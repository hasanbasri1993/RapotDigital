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8B4FDC90-5544-1132-1422-08BA33ACC69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aport\"/>
    </mc:Choice>
  </mc:AlternateContent>
  <bookViews>
    <workbookView xWindow="0" yWindow="0" windowWidth="21600" windowHeight="11205" tabRatio="572"/>
  </bookViews>
  <sheets>
    <sheet name="Menu" sheetId="1" r:id="rId1"/>
    <sheet name="Bantuan" sheetId="2" r:id="rId2"/>
    <sheet name="Pengaturan" sheetId="3" r:id="rId3"/>
    <sheet name="Legger" sheetId="4" r:id="rId4"/>
    <sheet name="InputNilai" sheetId="5" r:id="rId5"/>
    <sheet name="Rapot" sheetId="6" r:id="rId6"/>
    <sheet name="Top" sheetId="7" r:id="rId7"/>
    <sheet name="Temp" sheetId="8" r:id="rId8"/>
  </sheets>
  <functionGroups builtInGroupCount="18"/>
  <definedNames>
    <definedName name="_xlnm._FilterDatabase" localSheetId="3" hidden="1">Legger!$AK$6:$AL$55</definedName>
    <definedName name="_xlnm._FilterDatabase" localSheetId="7" hidden="1">Temp!$A$1:$E$1</definedName>
    <definedName name="_xlnm._FilterDatabase" localSheetId="6" hidden="1">Top!$A$2:$F$2</definedName>
    <definedName name="bnm">Pengaturan!$F$3:$J$34</definedName>
    <definedName name="JurusanA">Pengaturan!$B$75:$E$110</definedName>
    <definedName name="JurusanB">Pengaturan!$G$75:$J$110</definedName>
    <definedName name="KelasA">InputNilai!$B$8:$DZ$57</definedName>
    <definedName name="KelasB">InputNilai!$B$58:$DZ$107</definedName>
    <definedName name="KelasC">InputNilai!$B$108:$DZ$157</definedName>
    <definedName name="KelasD">InputNilai!$B$158:$DZ$207</definedName>
    <definedName name="KelasE">InputNilai!$B$208:$DZ$257</definedName>
    <definedName name="KelasF">InputNilai!$B$258:$DZ$307</definedName>
    <definedName name="KelasG">InputNilai!$B$308:$DZ$357</definedName>
    <definedName name="KelasH">InputNilai!$B$358:$DZ$407</definedName>
    <definedName name="KelasI">InputNilai!$B$408:$DZ$457</definedName>
    <definedName name="KelasJ">InputNilai!$B$458:$DZ$507</definedName>
    <definedName name="KelasK">InputNilai!$B$508:$DZ$557</definedName>
    <definedName name="KelasL">InputNilai!$B$558:$DZ$607</definedName>
    <definedName name="KNV">Pengaturan!$N$3:$O$8565</definedName>
    <definedName name="LEGER">Legger!$C$7:$AS$53</definedName>
    <definedName name="lemes">#REF!</definedName>
    <definedName name="lemes2">#REF!</definedName>
    <definedName name="lkj">Pengaturan!$N$3:$O$8565</definedName>
    <definedName name="NILAI">Pengaturan!$C$3:$D$27</definedName>
    <definedName name="Ppkn1">#REF!</definedName>
    <definedName name="Ppkn2">#REF!</definedName>
    <definedName name="Ppkn3">#REF!</definedName>
    <definedName name="Ppkn4">#REF!</definedName>
    <definedName name="Ppkn5">#REF!</definedName>
    <definedName name="_xlnm.Print_Area" localSheetId="3">Legger!$C$2:$AV$55</definedName>
    <definedName name="_xlnm.Print_Area" localSheetId="0">Menu!$A$1:$H$27</definedName>
    <definedName name="_xlnm.Print_Area" localSheetId="2">Pengaturan!$B$36:$M$110</definedName>
    <definedName name="_xlnm.Print_Area" localSheetId="5">Rapot!$C$7:$W$55</definedName>
    <definedName name="_xlnm.Print_Area" localSheetId="6">Top!$A$2:$F$34</definedName>
    <definedName name="slk">Pengaturan!$Q$7:$V$13</definedName>
    <definedName name="TabelKelas">Pengaturan!$G$36:$M$52</definedName>
    <definedName name="TablePelajaran">Pengaturan!$B$37:$E$72</definedName>
    <definedName name="Z_9E5BF7AF_C1C4_4AED_923E_F8A9FE973BF3_.wvu.Cols" localSheetId="3" hidden="1">Legger!$A:$A,Legger!$AC:$AJ</definedName>
    <definedName name="Z_9E5BF7AF_C1C4_4AED_923E_F8A9FE973BF3_.wvu.Cols" localSheetId="2" hidden="1">Pengaturan!$E:$E,Pengaturan!$M:$M,Pengaturan!$N:$N,Pengaturan!$T:$U</definedName>
    <definedName name="Z_9E5BF7AF_C1C4_4AED_923E_F8A9FE973BF3_.wvu.Cols" localSheetId="5" hidden="1">Rapot!$A:$A</definedName>
    <definedName name="Z_9E5BF7AF_C1C4_4AED_923E_F8A9FE973BF3_.wvu.PrintArea" localSheetId="3" hidden="1">Legger!$A$1:$AW$55</definedName>
    <definedName name="Z_9E5BF7AF_C1C4_4AED_923E_F8A9FE973BF3_.wvu.PrintArea" localSheetId="5" hidden="1">Rapot!$C$6:$W$55</definedName>
    <definedName name="Z_9E5BF7AF_C1C4_4AED_923E_F8A9FE973BF3_.wvu.Rows" localSheetId="3" hidden="1">Legger!#REF!,Legger!#REF!</definedName>
    <definedName name="Z_D6876842_41DE_4A2D_BA5A_3FB60505F493_.wvu.Cols" localSheetId="2" hidden="1">Pengaturan!$N:$XFD</definedName>
    <definedName name="Z_D6876842_41DE_4A2D_BA5A_3FB60505F493_.wvu.Cols" localSheetId="5" hidden="1">Rapot!$X:$Z,Rapot!$AB:$AG</definedName>
    <definedName name="Z_D6876842_41DE_4A2D_BA5A_3FB60505F493_.wvu.FilterData" localSheetId="3" hidden="1">Legger!$AK$6:$AL$55</definedName>
    <definedName name="Z_D6876842_41DE_4A2D_BA5A_3FB60505F493_.wvu.FilterData" localSheetId="7" hidden="1">Temp!$A$1:$E$1</definedName>
    <definedName name="Z_D6876842_41DE_4A2D_BA5A_3FB60505F493_.wvu.FilterData" localSheetId="6" hidden="1">Top!$A$2:$F$2</definedName>
    <definedName name="Z_D6876842_41DE_4A2D_BA5A_3FB60505F493_.wvu.PrintArea" localSheetId="3" hidden="1">Legger!$C$2:$AV$55</definedName>
    <definedName name="Z_D6876842_41DE_4A2D_BA5A_3FB60505F493_.wvu.PrintArea" localSheetId="0" hidden="1">Menu!$A$1:$H$27</definedName>
    <definedName name="Z_D6876842_41DE_4A2D_BA5A_3FB60505F493_.wvu.PrintArea" localSheetId="2" hidden="1">Pengaturan!$B$36:$M$110</definedName>
    <definedName name="Z_D6876842_41DE_4A2D_BA5A_3FB60505F493_.wvu.PrintArea" localSheetId="5" hidden="1">Rapot!$C$7:$W$55</definedName>
    <definedName name="Z_D6876842_41DE_4A2D_BA5A_3FB60505F493_.wvu.PrintArea" localSheetId="6" hidden="1">Top!$A$2:$F$34</definedName>
    <definedName name="Z_D6876842_41DE_4A2D_BA5A_3FB60505F493_.wvu.Rows" localSheetId="4" hidden="1">InputNilai!$4:$4,InputNilai!$8:$57,InputNilai!$108:$607</definedName>
    <definedName name="Z_D6876842_41DE_4A2D_BA5A_3FB60505F493_.wvu.Rows" localSheetId="2" hidden="1">Pengaturan!$8574:$1048576,Pengaturan!$1:$34,Pengaturan!$111:$8573</definedName>
    <definedName name="Z_D6876842_41DE_4A2D_BA5A_3FB60505F493_.wvu.Rows" localSheetId="5" hidden="1">Rapot!$56:$56,Rapot!$58:$220</definedName>
    <definedName name="Z_EAA758B6_7AEC_45F7_937A_E71BA55957BB_.wvu.PrintArea" localSheetId="3" hidden="1">Legger!$C$2:$AW$55</definedName>
    <definedName name="Z_EAA758B6_7AEC_45F7_937A_E71BA55957BB_.wvu.PrintArea" localSheetId="5" hidden="1">Rapot!$C$6:$W$55</definedName>
    <definedName name="Z_EAA758B6_7AEC_45F7_937A_E71BA55957BB_.wvu.PrintTitles" localSheetId="3" hidden="1">Legger!$2:$8</definedName>
    <definedName name="ؤلا">Rapot!$Z$32:$Z$38</definedName>
  </definedNames>
  <calcPr calcId="162913"/>
  <customWorkbookViews>
    <customWorkbookView name="Pusdai-B - Personal View" guid="{D6876842-41DE-4A2D-BA5A-3FB60505F493}" mergeInterval="0" personalView="1" maximized="1" xWindow="-4" yWindow="-4" windowWidth="1368" windowHeight="748" tabRatio="572" activeSheetId="5" showComments="commIndAndComment"/>
    <customWorkbookView name="test" guid="{EAA758B6-7AEC-45F7-937A-E71BA55957BB}" includeHiddenRowCol="0" maximized="1" showHorizontalScroll="0" showVerticalScroll="0" showSheetTabs="0" xWindow="-4" yWindow="-4" windowWidth="1448" windowHeight="880" tabRatio="493" activeSheetId="72" showFormulaBar="0"/>
    <customWorkbookView name="BPPK - Personal View" guid="{9E5BF7AF-C1C4-4AED-923E-F8A9FE973BF3}" mergeInterval="0" personalView="1" maximized="1" xWindow="1" yWindow="1" windowWidth="1024" windowHeight="573" tabRatio="926" activeSheetId="26" showFormulaBar="0"/>
  </customWorkbookViews>
</workbook>
</file>

<file path=xl/calcChain.xml><?xml version="1.0" encoding="utf-8"?>
<calcChain xmlns="http://schemas.openxmlformats.org/spreadsheetml/2006/main">
  <c r="Q32" i="4" l="1"/>
  <c r="Y40" i="4"/>
  <c r="W42" i="4"/>
  <c r="U19" i="4"/>
  <c r="S7" i="4"/>
  <c r="T7" i="4"/>
  <c r="X7" i="4"/>
  <c r="DP561" i="5"/>
  <c r="DP497" i="5"/>
  <c r="DP437" i="5"/>
  <c r="DP8" i="5"/>
  <c r="DL607" i="5"/>
  <c r="DP607" i="5" s="1"/>
  <c r="DL606" i="5"/>
  <c r="DP606" i="5" s="1"/>
  <c r="DL605" i="5"/>
  <c r="DP605" i="5" s="1"/>
  <c r="DL604" i="5"/>
  <c r="DP604" i="5" s="1"/>
  <c r="DL603" i="5"/>
  <c r="DP603" i="5" s="1"/>
  <c r="DL602" i="5"/>
  <c r="DP602" i="5" s="1"/>
  <c r="DL601" i="5"/>
  <c r="DP601" i="5" s="1"/>
  <c r="DL600" i="5"/>
  <c r="DP600" i="5" s="1"/>
  <c r="DL599" i="5"/>
  <c r="DP599" i="5" s="1"/>
  <c r="DL598" i="5"/>
  <c r="DP598" i="5" s="1"/>
  <c r="DL597" i="5"/>
  <c r="DP597" i="5" s="1"/>
  <c r="DL596" i="5"/>
  <c r="DP596" i="5" s="1"/>
  <c r="DL595" i="5"/>
  <c r="DP595" i="5" s="1"/>
  <c r="DL594" i="5"/>
  <c r="DP594" i="5" s="1"/>
  <c r="DL593" i="5"/>
  <c r="DP593" i="5" s="1"/>
  <c r="DL592" i="5"/>
  <c r="DP592" i="5" s="1"/>
  <c r="DL591" i="5"/>
  <c r="DP591" i="5" s="1"/>
  <c r="DL590" i="5"/>
  <c r="DP590" i="5" s="1"/>
  <c r="DL589" i="5"/>
  <c r="DP589" i="5" s="1"/>
  <c r="DL588" i="5"/>
  <c r="DP588" i="5" s="1"/>
  <c r="DL587" i="5"/>
  <c r="DP587" i="5" s="1"/>
  <c r="DL586" i="5"/>
  <c r="DP586" i="5" s="1"/>
  <c r="DL585" i="5"/>
  <c r="DP585" i="5" s="1"/>
  <c r="DL584" i="5"/>
  <c r="DP584" i="5" s="1"/>
  <c r="DL583" i="5"/>
  <c r="DP583" i="5" s="1"/>
  <c r="DL582" i="5"/>
  <c r="DP582" i="5" s="1"/>
  <c r="DL581" i="5"/>
  <c r="DP581" i="5" s="1"/>
  <c r="DL580" i="5"/>
  <c r="DP580" i="5" s="1"/>
  <c r="DL579" i="5"/>
  <c r="DP579" i="5" s="1"/>
  <c r="DL578" i="5"/>
  <c r="DP578" i="5" s="1"/>
  <c r="DL577" i="5"/>
  <c r="DP577" i="5" s="1"/>
  <c r="DL576" i="5"/>
  <c r="DP576" i="5" s="1"/>
  <c r="DL575" i="5"/>
  <c r="DP575" i="5" s="1"/>
  <c r="DL574" i="5"/>
  <c r="DP574" i="5" s="1"/>
  <c r="DL573" i="5"/>
  <c r="DP573" i="5" s="1"/>
  <c r="DL572" i="5"/>
  <c r="DP572" i="5" s="1"/>
  <c r="DL571" i="5"/>
  <c r="DP571" i="5" s="1"/>
  <c r="DL570" i="5"/>
  <c r="DP570" i="5" s="1"/>
  <c r="DL569" i="5"/>
  <c r="DP569" i="5" s="1"/>
  <c r="DL568" i="5"/>
  <c r="DP568" i="5" s="1"/>
  <c r="DL567" i="5"/>
  <c r="DP567" i="5" s="1"/>
  <c r="DL566" i="5"/>
  <c r="DP566" i="5" s="1"/>
  <c r="DL565" i="5"/>
  <c r="DP565" i="5" s="1"/>
  <c r="DL564" i="5"/>
  <c r="DP564" i="5" s="1"/>
  <c r="DL563" i="5"/>
  <c r="DP563" i="5" s="1"/>
  <c r="DL562" i="5"/>
  <c r="DP562" i="5" s="1"/>
  <c r="DL561" i="5"/>
  <c r="DL560" i="5"/>
  <c r="DP560" i="5" s="1"/>
  <c r="DL559" i="5"/>
  <c r="DP559" i="5" s="1"/>
  <c r="DL558" i="5"/>
  <c r="DP558" i="5" s="1"/>
  <c r="DL557" i="5"/>
  <c r="DP557" i="5" s="1"/>
  <c r="DL556" i="5"/>
  <c r="DP556" i="5" s="1"/>
  <c r="DL555" i="5"/>
  <c r="DP555" i="5" s="1"/>
  <c r="DL554" i="5"/>
  <c r="DP554" i="5" s="1"/>
  <c r="DL553" i="5"/>
  <c r="DP553" i="5" s="1"/>
  <c r="DL552" i="5"/>
  <c r="DP552" i="5" s="1"/>
  <c r="DL551" i="5"/>
  <c r="DP551" i="5" s="1"/>
  <c r="DL550" i="5"/>
  <c r="DP550" i="5" s="1"/>
  <c r="DL549" i="5"/>
  <c r="DP549" i="5" s="1"/>
  <c r="DL548" i="5"/>
  <c r="DP548" i="5" s="1"/>
  <c r="DL547" i="5"/>
  <c r="DP547" i="5" s="1"/>
  <c r="DL546" i="5"/>
  <c r="DP546" i="5" s="1"/>
  <c r="DL545" i="5"/>
  <c r="DP545" i="5" s="1"/>
  <c r="DL544" i="5"/>
  <c r="DP544" i="5" s="1"/>
  <c r="DL543" i="5"/>
  <c r="DP543" i="5" s="1"/>
  <c r="DL542" i="5"/>
  <c r="DP542" i="5" s="1"/>
  <c r="DL541" i="5"/>
  <c r="DP541" i="5" s="1"/>
  <c r="DL540" i="5"/>
  <c r="DP540" i="5" s="1"/>
  <c r="DL539" i="5"/>
  <c r="DP539" i="5" s="1"/>
  <c r="DL538" i="5"/>
  <c r="DP538" i="5" s="1"/>
  <c r="DL537" i="5"/>
  <c r="DP537" i="5" s="1"/>
  <c r="DL536" i="5"/>
  <c r="DP536" i="5" s="1"/>
  <c r="DL535" i="5"/>
  <c r="DP535" i="5" s="1"/>
  <c r="DL534" i="5"/>
  <c r="DP534" i="5" s="1"/>
  <c r="DL533" i="5"/>
  <c r="DP533" i="5" s="1"/>
  <c r="DL532" i="5"/>
  <c r="DP532" i="5" s="1"/>
  <c r="DL531" i="5"/>
  <c r="DP531" i="5" s="1"/>
  <c r="DL530" i="5"/>
  <c r="DP530" i="5" s="1"/>
  <c r="DL529" i="5"/>
  <c r="DP529" i="5" s="1"/>
  <c r="DL528" i="5"/>
  <c r="DP528" i="5" s="1"/>
  <c r="DL527" i="5"/>
  <c r="DP527" i="5" s="1"/>
  <c r="DL526" i="5"/>
  <c r="DP526" i="5" s="1"/>
  <c r="DL525" i="5"/>
  <c r="DP525" i="5" s="1"/>
  <c r="DL524" i="5"/>
  <c r="DP524" i="5" s="1"/>
  <c r="DL523" i="5"/>
  <c r="DP523" i="5" s="1"/>
  <c r="DL522" i="5"/>
  <c r="DP522" i="5" s="1"/>
  <c r="DL521" i="5"/>
  <c r="DP521" i="5" s="1"/>
  <c r="DL520" i="5"/>
  <c r="DP520" i="5" s="1"/>
  <c r="DL519" i="5"/>
  <c r="DP519" i="5" s="1"/>
  <c r="DL518" i="5"/>
  <c r="DP518" i="5" s="1"/>
  <c r="DL517" i="5"/>
  <c r="DP517" i="5" s="1"/>
  <c r="DL516" i="5"/>
  <c r="DP516" i="5" s="1"/>
  <c r="DL515" i="5"/>
  <c r="DP515" i="5" s="1"/>
  <c r="DL514" i="5"/>
  <c r="DP514" i="5" s="1"/>
  <c r="DL513" i="5"/>
  <c r="DP513" i="5" s="1"/>
  <c r="DL512" i="5"/>
  <c r="DP512" i="5" s="1"/>
  <c r="DL511" i="5"/>
  <c r="DP511" i="5" s="1"/>
  <c r="DL510" i="5"/>
  <c r="DP510" i="5" s="1"/>
  <c r="DL509" i="5"/>
  <c r="DP509" i="5" s="1"/>
  <c r="DL508" i="5"/>
  <c r="DP508" i="5" s="1"/>
  <c r="DL507" i="5"/>
  <c r="DP507" i="5" s="1"/>
  <c r="DL506" i="5"/>
  <c r="DP506" i="5" s="1"/>
  <c r="DL505" i="5"/>
  <c r="DP505" i="5" s="1"/>
  <c r="DL504" i="5"/>
  <c r="DP504" i="5" s="1"/>
  <c r="DL503" i="5"/>
  <c r="DP503" i="5" s="1"/>
  <c r="DL502" i="5"/>
  <c r="DP502" i="5" s="1"/>
  <c r="DL501" i="5"/>
  <c r="DP501" i="5" s="1"/>
  <c r="DL500" i="5"/>
  <c r="DP500" i="5" s="1"/>
  <c r="DL499" i="5"/>
  <c r="DP499" i="5" s="1"/>
  <c r="DL498" i="5"/>
  <c r="DP498" i="5" s="1"/>
  <c r="DL497" i="5"/>
  <c r="DL496" i="5"/>
  <c r="DP496" i="5" s="1"/>
  <c r="DL495" i="5"/>
  <c r="DP495" i="5" s="1"/>
  <c r="DL494" i="5"/>
  <c r="DP494" i="5" s="1"/>
  <c r="DL493" i="5"/>
  <c r="DP493" i="5" s="1"/>
  <c r="DL492" i="5"/>
  <c r="DP492" i="5" s="1"/>
  <c r="DL491" i="5"/>
  <c r="DP491" i="5" s="1"/>
  <c r="DL490" i="5"/>
  <c r="DP490" i="5" s="1"/>
  <c r="DL489" i="5"/>
  <c r="DP489" i="5" s="1"/>
  <c r="DL488" i="5"/>
  <c r="DP488" i="5" s="1"/>
  <c r="DL487" i="5"/>
  <c r="DP487" i="5" s="1"/>
  <c r="DL486" i="5"/>
  <c r="DP486" i="5" s="1"/>
  <c r="DL485" i="5"/>
  <c r="DP485" i="5" s="1"/>
  <c r="DL484" i="5"/>
  <c r="DP484" i="5" s="1"/>
  <c r="DL483" i="5"/>
  <c r="DP483" i="5" s="1"/>
  <c r="DL482" i="5"/>
  <c r="DP482" i="5" s="1"/>
  <c r="DL481" i="5"/>
  <c r="DP481" i="5" s="1"/>
  <c r="DL480" i="5"/>
  <c r="DP480" i="5" s="1"/>
  <c r="DL479" i="5"/>
  <c r="DP479" i="5" s="1"/>
  <c r="DL478" i="5"/>
  <c r="DP478" i="5" s="1"/>
  <c r="DL477" i="5"/>
  <c r="DP477" i="5" s="1"/>
  <c r="DL476" i="5"/>
  <c r="DP476" i="5" s="1"/>
  <c r="DL475" i="5"/>
  <c r="DP475" i="5" s="1"/>
  <c r="DL474" i="5"/>
  <c r="DP474" i="5" s="1"/>
  <c r="DL473" i="5"/>
  <c r="DP473" i="5" s="1"/>
  <c r="DL472" i="5"/>
  <c r="DP472" i="5" s="1"/>
  <c r="DL471" i="5"/>
  <c r="DP471" i="5" s="1"/>
  <c r="DL470" i="5"/>
  <c r="DP470" i="5" s="1"/>
  <c r="DL469" i="5"/>
  <c r="DP469" i="5" s="1"/>
  <c r="DL468" i="5"/>
  <c r="DP468" i="5" s="1"/>
  <c r="DL467" i="5"/>
  <c r="DP467" i="5" s="1"/>
  <c r="DL466" i="5"/>
  <c r="DP466" i="5" s="1"/>
  <c r="DL465" i="5"/>
  <c r="DP465" i="5" s="1"/>
  <c r="DL464" i="5"/>
  <c r="DP464" i="5" s="1"/>
  <c r="DL463" i="5"/>
  <c r="DP463" i="5" s="1"/>
  <c r="DL462" i="5"/>
  <c r="DP462" i="5" s="1"/>
  <c r="DL461" i="5"/>
  <c r="DP461" i="5" s="1"/>
  <c r="DL460" i="5"/>
  <c r="DP460" i="5" s="1"/>
  <c r="DL459" i="5"/>
  <c r="DP459" i="5" s="1"/>
  <c r="DL458" i="5"/>
  <c r="DP458" i="5" s="1"/>
  <c r="DL457" i="5"/>
  <c r="DP457" i="5" s="1"/>
  <c r="DL456" i="5"/>
  <c r="DP456" i="5" s="1"/>
  <c r="DL455" i="5"/>
  <c r="DP455" i="5" s="1"/>
  <c r="DL454" i="5"/>
  <c r="DP454" i="5" s="1"/>
  <c r="DL453" i="5"/>
  <c r="DP453" i="5" s="1"/>
  <c r="DL452" i="5"/>
  <c r="DP452" i="5" s="1"/>
  <c r="DL451" i="5"/>
  <c r="DP451" i="5" s="1"/>
  <c r="DL450" i="5"/>
  <c r="DP450" i="5" s="1"/>
  <c r="DL449" i="5"/>
  <c r="DP449" i="5" s="1"/>
  <c r="DL448" i="5"/>
  <c r="DP448" i="5" s="1"/>
  <c r="DL447" i="5"/>
  <c r="DP447" i="5" s="1"/>
  <c r="DL446" i="5"/>
  <c r="DP446" i="5" s="1"/>
  <c r="DL445" i="5"/>
  <c r="DP445" i="5" s="1"/>
  <c r="DL444" i="5"/>
  <c r="DP444" i="5" s="1"/>
  <c r="DL443" i="5"/>
  <c r="DP443" i="5" s="1"/>
  <c r="DL442" i="5"/>
  <c r="DP442" i="5" s="1"/>
  <c r="DL441" i="5"/>
  <c r="DP441" i="5" s="1"/>
  <c r="DL440" i="5"/>
  <c r="DP440" i="5" s="1"/>
  <c r="DL439" i="5"/>
  <c r="DP439" i="5" s="1"/>
  <c r="DL438" i="5"/>
  <c r="DP438" i="5" s="1"/>
  <c r="DL437" i="5"/>
  <c r="DL436" i="5"/>
  <c r="DP436" i="5" s="1"/>
  <c r="DL435" i="5"/>
  <c r="DP435" i="5" s="1"/>
  <c r="DL434" i="5"/>
  <c r="DP434" i="5" s="1"/>
  <c r="DL433" i="5"/>
  <c r="DP433" i="5" s="1"/>
  <c r="DL432" i="5"/>
  <c r="DP432" i="5" s="1"/>
  <c r="DL431" i="5"/>
  <c r="DP431" i="5" s="1"/>
  <c r="DL430" i="5"/>
  <c r="DP430" i="5" s="1"/>
  <c r="DL429" i="5"/>
  <c r="DP429" i="5" s="1"/>
  <c r="DL428" i="5"/>
  <c r="DP428" i="5" s="1"/>
  <c r="DL427" i="5"/>
  <c r="DP427" i="5" s="1"/>
  <c r="DL426" i="5"/>
  <c r="DP426" i="5" s="1"/>
  <c r="DL425" i="5"/>
  <c r="DP425" i="5" s="1"/>
  <c r="DL424" i="5"/>
  <c r="DP424" i="5" s="1"/>
  <c r="DL423" i="5"/>
  <c r="DP423" i="5" s="1"/>
  <c r="DL422" i="5"/>
  <c r="DP422" i="5" s="1"/>
  <c r="DL421" i="5"/>
  <c r="DP421" i="5" s="1"/>
  <c r="DL420" i="5"/>
  <c r="DP420" i="5" s="1"/>
  <c r="DL419" i="5"/>
  <c r="DP419" i="5" s="1"/>
  <c r="DL418" i="5"/>
  <c r="DP418" i="5" s="1"/>
  <c r="DL417" i="5"/>
  <c r="DP417" i="5" s="1"/>
  <c r="DL416" i="5"/>
  <c r="DP416" i="5" s="1"/>
  <c r="DL415" i="5"/>
  <c r="DP415" i="5" s="1"/>
  <c r="DL414" i="5"/>
  <c r="DP414" i="5" s="1"/>
  <c r="DL413" i="5"/>
  <c r="DP413" i="5" s="1"/>
  <c r="DL412" i="5"/>
  <c r="DP412" i="5" s="1"/>
  <c r="DL411" i="5"/>
  <c r="DP411" i="5" s="1"/>
  <c r="DL410" i="5"/>
  <c r="DP410" i="5" s="1"/>
  <c r="DL409" i="5"/>
  <c r="DP409" i="5" s="1"/>
  <c r="DL408" i="5"/>
  <c r="DP408" i="5" s="1"/>
  <c r="DL407" i="5"/>
  <c r="DP407" i="5" s="1"/>
  <c r="DL406" i="5"/>
  <c r="DP406" i="5" s="1"/>
  <c r="DL405" i="5"/>
  <c r="DP405" i="5" s="1"/>
  <c r="DL404" i="5"/>
  <c r="DP404" i="5" s="1"/>
  <c r="DL403" i="5"/>
  <c r="DP403" i="5" s="1"/>
  <c r="DL402" i="5"/>
  <c r="DP402" i="5" s="1"/>
  <c r="DL401" i="5"/>
  <c r="DP401" i="5" s="1"/>
  <c r="DL400" i="5"/>
  <c r="DP400" i="5" s="1"/>
  <c r="DL399" i="5"/>
  <c r="DP399" i="5" s="1"/>
  <c r="DL398" i="5"/>
  <c r="DP398" i="5" s="1"/>
  <c r="DL397" i="5"/>
  <c r="DP397" i="5" s="1"/>
  <c r="DL396" i="5"/>
  <c r="DP396" i="5" s="1"/>
  <c r="DL395" i="5"/>
  <c r="DP395" i="5" s="1"/>
  <c r="DL394" i="5"/>
  <c r="DP394" i="5" s="1"/>
  <c r="DL393" i="5"/>
  <c r="DP393" i="5" s="1"/>
  <c r="DL392" i="5"/>
  <c r="DP392" i="5" s="1"/>
  <c r="DL391" i="5"/>
  <c r="DP391" i="5" s="1"/>
  <c r="DL390" i="5"/>
  <c r="DP390" i="5" s="1"/>
  <c r="DL389" i="5"/>
  <c r="DP389" i="5" s="1"/>
  <c r="DL388" i="5"/>
  <c r="DP388" i="5" s="1"/>
  <c r="DL387" i="5"/>
  <c r="DP387" i="5" s="1"/>
  <c r="DL386" i="5"/>
  <c r="DP386" i="5" s="1"/>
  <c r="DL385" i="5"/>
  <c r="DP385" i="5" s="1"/>
  <c r="DL384" i="5"/>
  <c r="DP384" i="5" s="1"/>
  <c r="DL383" i="5"/>
  <c r="DP383" i="5" s="1"/>
  <c r="DL382" i="5"/>
  <c r="DP382" i="5" s="1"/>
  <c r="DL381" i="5"/>
  <c r="DP381" i="5" s="1"/>
  <c r="DL380" i="5"/>
  <c r="DP380" i="5" s="1"/>
  <c r="DL379" i="5"/>
  <c r="DP379" i="5" s="1"/>
  <c r="DL378" i="5"/>
  <c r="DP378" i="5" s="1"/>
  <c r="DL377" i="5"/>
  <c r="DP377" i="5" s="1"/>
  <c r="DL376" i="5"/>
  <c r="DP376" i="5" s="1"/>
  <c r="DL375" i="5"/>
  <c r="DP375" i="5" s="1"/>
  <c r="DL374" i="5"/>
  <c r="DP374" i="5" s="1"/>
  <c r="DL373" i="5"/>
  <c r="DP373" i="5" s="1"/>
  <c r="DL372" i="5"/>
  <c r="DP372" i="5" s="1"/>
  <c r="DL371" i="5"/>
  <c r="DP371" i="5" s="1"/>
  <c r="DL370" i="5"/>
  <c r="DP370" i="5" s="1"/>
  <c r="DL369" i="5"/>
  <c r="DP369" i="5" s="1"/>
  <c r="DL368" i="5"/>
  <c r="DP368" i="5" s="1"/>
  <c r="DL367" i="5"/>
  <c r="DP367" i="5" s="1"/>
  <c r="DL366" i="5"/>
  <c r="DP366" i="5" s="1"/>
  <c r="DL365" i="5"/>
  <c r="DP365" i="5" s="1"/>
  <c r="DL364" i="5"/>
  <c r="DP364" i="5" s="1"/>
  <c r="DL363" i="5"/>
  <c r="DP363" i="5" s="1"/>
  <c r="DL362" i="5"/>
  <c r="DP362" i="5" s="1"/>
  <c r="DL361" i="5"/>
  <c r="DP361" i="5" s="1"/>
  <c r="DL360" i="5"/>
  <c r="DP360" i="5" s="1"/>
  <c r="DL359" i="5"/>
  <c r="DP359" i="5" s="1"/>
  <c r="DL358" i="5"/>
  <c r="DP358" i="5" s="1"/>
  <c r="DL357" i="5"/>
  <c r="DP357" i="5" s="1"/>
  <c r="DL356" i="5"/>
  <c r="DP356" i="5" s="1"/>
  <c r="DL355" i="5"/>
  <c r="DP355" i="5" s="1"/>
  <c r="DL354" i="5"/>
  <c r="DP354" i="5" s="1"/>
  <c r="DL353" i="5"/>
  <c r="DP353" i="5" s="1"/>
  <c r="DL352" i="5"/>
  <c r="DP352" i="5" s="1"/>
  <c r="DL351" i="5"/>
  <c r="DP351" i="5" s="1"/>
  <c r="DL350" i="5"/>
  <c r="DP350" i="5" s="1"/>
  <c r="DL349" i="5"/>
  <c r="DP349" i="5" s="1"/>
  <c r="DL348" i="5"/>
  <c r="DP348" i="5" s="1"/>
  <c r="DL347" i="5"/>
  <c r="DP347" i="5" s="1"/>
  <c r="DL346" i="5"/>
  <c r="DP346" i="5" s="1"/>
  <c r="DL345" i="5"/>
  <c r="DP345" i="5" s="1"/>
  <c r="DL344" i="5"/>
  <c r="DP344" i="5" s="1"/>
  <c r="DL343" i="5"/>
  <c r="DP343" i="5" s="1"/>
  <c r="DL342" i="5"/>
  <c r="DP342" i="5" s="1"/>
  <c r="DL341" i="5"/>
  <c r="DP341" i="5" s="1"/>
  <c r="DL340" i="5"/>
  <c r="DP340" i="5" s="1"/>
  <c r="DL339" i="5"/>
  <c r="DP339" i="5" s="1"/>
  <c r="DL338" i="5"/>
  <c r="DP338" i="5" s="1"/>
  <c r="DL337" i="5"/>
  <c r="DP337" i="5" s="1"/>
  <c r="DL336" i="5"/>
  <c r="DP336" i="5" s="1"/>
  <c r="DL335" i="5"/>
  <c r="DP335" i="5" s="1"/>
  <c r="DL334" i="5"/>
  <c r="DP334" i="5" s="1"/>
  <c r="DL333" i="5"/>
  <c r="DP333" i="5" s="1"/>
  <c r="DL332" i="5"/>
  <c r="DP332" i="5" s="1"/>
  <c r="DL331" i="5"/>
  <c r="DP331" i="5" s="1"/>
  <c r="DL330" i="5"/>
  <c r="DP330" i="5" s="1"/>
  <c r="DL329" i="5"/>
  <c r="DP329" i="5" s="1"/>
  <c r="DL328" i="5"/>
  <c r="DP328" i="5" s="1"/>
  <c r="DL327" i="5"/>
  <c r="DP327" i="5" s="1"/>
  <c r="DL326" i="5"/>
  <c r="DP326" i="5" s="1"/>
  <c r="DL325" i="5"/>
  <c r="DP325" i="5" s="1"/>
  <c r="DL324" i="5"/>
  <c r="DP324" i="5" s="1"/>
  <c r="DL323" i="5"/>
  <c r="DP323" i="5" s="1"/>
  <c r="DL322" i="5"/>
  <c r="DP322" i="5" s="1"/>
  <c r="DL321" i="5"/>
  <c r="DP321" i="5" s="1"/>
  <c r="DL320" i="5"/>
  <c r="DP320" i="5" s="1"/>
  <c r="DL319" i="5"/>
  <c r="DP319" i="5" s="1"/>
  <c r="DL318" i="5"/>
  <c r="DP318" i="5" s="1"/>
  <c r="DL317" i="5"/>
  <c r="DP317" i="5" s="1"/>
  <c r="DL316" i="5"/>
  <c r="DP316" i="5" s="1"/>
  <c r="DL315" i="5"/>
  <c r="DP315" i="5" s="1"/>
  <c r="DL314" i="5"/>
  <c r="DP314" i="5" s="1"/>
  <c r="DL313" i="5"/>
  <c r="DP313" i="5" s="1"/>
  <c r="DL312" i="5"/>
  <c r="DP312" i="5" s="1"/>
  <c r="DL311" i="5"/>
  <c r="DP311" i="5" s="1"/>
  <c r="DL310" i="5"/>
  <c r="DP310" i="5" s="1"/>
  <c r="DL309" i="5"/>
  <c r="DP309" i="5" s="1"/>
  <c r="DL308" i="5"/>
  <c r="DP308" i="5" s="1"/>
  <c r="DL307" i="5"/>
  <c r="DP307" i="5" s="1"/>
  <c r="DL306" i="5"/>
  <c r="DP306" i="5" s="1"/>
  <c r="DL305" i="5"/>
  <c r="DP305" i="5" s="1"/>
  <c r="DL304" i="5"/>
  <c r="DP304" i="5" s="1"/>
  <c r="DL303" i="5"/>
  <c r="DP303" i="5" s="1"/>
  <c r="DL302" i="5"/>
  <c r="DP302" i="5" s="1"/>
  <c r="DL301" i="5"/>
  <c r="DP301" i="5" s="1"/>
  <c r="DL300" i="5"/>
  <c r="DP300" i="5" s="1"/>
  <c r="DL299" i="5"/>
  <c r="DP299" i="5" s="1"/>
  <c r="DL298" i="5"/>
  <c r="DP298" i="5" s="1"/>
  <c r="DL297" i="5"/>
  <c r="DP297" i="5" s="1"/>
  <c r="DL296" i="5"/>
  <c r="DP296" i="5" s="1"/>
  <c r="DL295" i="5"/>
  <c r="DP295" i="5" s="1"/>
  <c r="DL294" i="5"/>
  <c r="DP294" i="5" s="1"/>
  <c r="DL293" i="5"/>
  <c r="DP293" i="5" s="1"/>
  <c r="DL292" i="5"/>
  <c r="DP292" i="5" s="1"/>
  <c r="DL291" i="5"/>
  <c r="DP291" i="5" s="1"/>
  <c r="DL290" i="5"/>
  <c r="DP290" i="5" s="1"/>
  <c r="DL289" i="5"/>
  <c r="DP289" i="5" s="1"/>
  <c r="DL288" i="5"/>
  <c r="DP288" i="5" s="1"/>
  <c r="DL287" i="5"/>
  <c r="DP287" i="5" s="1"/>
  <c r="DL286" i="5"/>
  <c r="DP286" i="5" s="1"/>
  <c r="DL285" i="5"/>
  <c r="DP285" i="5" s="1"/>
  <c r="DL284" i="5"/>
  <c r="DP284" i="5" s="1"/>
  <c r="DL283" i="5"/>
  <c r="DP283" i="5" s="1"/>
  <c r="DL282" i="5"/>
  <c r="DP282" i="5" s="1"/>
  <c r="DL281" i="5"/>
  <c r="DP281" i="5" s="1"/>
  <c r="DL280" i="5"/>
  <c r="DP280" i="5" s="1"/>
  <c r="DL279" i="5"/>
  <c r="DP279" i="5" s="1"/>
  <c r="DL278" i="5"/>
  <c r="DP278" i="5" s="1"/>
  <c r="DL277" i="5"/>
  <c r="DP277" i="5" s="1"/>
  <c r="DL276" i="5"/>
  <c r="DP276" i="5" s="1"/>
  <c r="DL275" i="5"/>
  <c r="DP275" i="5" s="1"/>
  <c r="DL274" i="5"/>
  <c r="DP274" i="5" s="1"/>
  <c r="DL273" i="5"/>
  <c r="DP273" i="5" s="1"/>
  <c r="DL272" i="5"/>
  <c r="DP272" i="5" s="1"/>
  <c r="DL271" i="5"/>
  <c r="DP271" i="5" s="1"/>
  <c r="DL270" i="5"/>
  <c r="DP270" i="5" s="1"/>
  <c r="DL269" i="5"/>
  <c r="DP269" i="5" s="1"/>
  <c r="DL268" i="5"/>
  <c r="DP268" i="5" s="1"/>
  <c r="DL267" i="5"/>
  <c r="DP267" i="5" s="1"/>
  <c r="DL266" i="5"/>
  <c r="DP266" i="5" s="1"/>
  <c r="DL265" i="5"/>
  <c r="DP265" i="5" s="1"/>
  <c r="DL264" i="5"/>
  <c r="DP264" i="5" s="1"/>
  <c r="DL263" i="5"/>
  <c r="DP263" i="5" s="1"/>
  <c r="DL262" i="5"/>
  <c r="DP262" i="5" s="1"/>
  <c r="DL261" i="5"/>
  <c r="DP261" i="5" s="1"/>
  <c r="DL260" i="5"/>
  <c r="DP260" i="5" s="1"/>
  <c r="DL259" i="5"/>
  <c r="DP259" i="5" s="1"/>
  <c r="DL258" i="5"/>
  <c r="DP258" i="5" s="1"/>
  <c r="DL257" i="5"/>
  <c r="DP257" i="5" s="1"/>
  <c r="DL256" i="5"/>
  <c r="DP256" i="5" s="1"/>
  <c r="DL255" i="5"/>
  <c r="DP255" i="5" s="1"/>
  <c r="DL254" i="5"/>
  <c r="DP254" i="5" s="1"/>
  <c r="DL253" i="5"/>
  <c r="DP253" i="5" s="1"/>
  <c r="DL252" i="5"/>
  <c r="DP252" i="5" s="1"/>
  <c r="DL251" i="5"/>
  <c r="DP251" i="5" s="1"/>
  <c r="DL250" i="5"/>
  <c r="DP250" i="5" s="1"/>
  <c r="DL249" i="5"/>
  <c r="DP249" i="5" s="1"/>
  <c r="DL248" i="5"/>
  <c r="DP248" i="5" s="1"/>
  <c r="DL247" i="5"/>
  <c r="DP247" i="5" s="1"/>
  <c r="DL246" i="5"/>
  <c r="DP246" i="5" s="1"/>
  <c r="DL245" i="5"/>
  <c r="DP245" i="5" s="1"/>
  <c r="DL244" i="5"/>
  <c r="DP244" i="5" s="1"/>
  <c r="DL243" i="5"/>
  <c r="DP243" i="5" s="1"/>
  <c r="DL242" i="5"/>
  <c r="DP242" i="5" s="1"/>
  <c r="DL241" i="5"/>
  <c r="DP241" i="5" s="1"/>
  <c r="DL240" i="5"/>
  <c r="DP240" i="5" s="1"/>
  <c r="DL239" i="5"/>
  <c r="DP239" i="5" s="1"/>
  <c r="DL238" i="5"/>
  <c r="DP238" i="5" s="1"/>
  <c r="DL237" i="5"/>
  <c r="DP237" i="5" s="1"/>
  <c r="DL236" i="5"/>
  <c r="DP236" i="5" s="1"/>
  <c r="DL235" i="5"/>
  <c r="DP235" i="5" s="1"/>
  <c r="DL234" i="5"/>
  <c r="DP234" i="5" s="1"/>
  <c r="DL233" i="5"/>
  <c r="DP233" i="5" s="1"/>
  <c r="DL232" i="5"/>
  <c r="DP232" i="5" s="1"/>
  <c r="DL231" i="5"/>
  <c r="DP231" i="5" s="1"/>
  <c r="DL230" i="5"/>
  <c r="DP230" i="5" s="1"/>
  <c r="DL229" i="5"/>
  <c r="DP229" i="5" s="1"/>
  <c r="DL228" i="5"/>
  <c r="DP228" i="5" s="1"/>
  <c r="DL227" i="5"/>
  <c r="DP227" i="5" s="1"/>
  <c r="DL226" i="5"/>
  <c r="DP226" i="5" s="1"/>
  <c r="DL225" i="5"/>
  <c r="DP225" i="5" s="1"/>
  <c r="DL224" i="5"/>
  <c r="DP224" i="5" s="1"/>
  <c r="DL223" i="5"/>
  <c r="DP223" i="5" s="1"/>
  <c r="DL222" i="5"/>
  <c r="DP222" i="5" s="1"/>
  <c r="DL221" i="5"/>
  <c r="DP221" i="5" s="1"/>
  <c r="DL220" i="5"/>
  <c r="DP220" i="5" s="1"/>
  <c r="DL219" i="5"/>
  <c r="DP219" i="5" s="1"/>
  <c r="DL218" i="5"/>
  <c r="DP218" i="5" s="1"/>
  <c r="DL217" i="5"/>
  <c r="DP217" i="5" s="1"/>
  <c r="DL216" i="5"/>
  <c r="DP216" i="5" s="1"/>
  <c r="DL215" i="5"/>
  <c r="DP215" i="5" s="1"/>
  <c r="DL214" i="5"/>
  <c r="DP214" i="5" s="1"/>
  <c r="DL213" i="5"/>
  <c r="DP213" i="5" s="1"/>
  <c r="DL212" i="5"/>
  <c r="DP212" i="5" s="1"/>
  <c r="DL211" i="5"/>
  <c r="DP211" i="5" s="1"/>
  <c r="DL210" i="5"/>
  <c r="DP210" i="5" s="1"/>
  <c r="DL209" i="5"/>
  <c r="DP209" i="5" s="1"/>
  <c r="DL208" i="5"/>
  <c r="DP208" i="5" s="1"/>
  <c r="DL207" i="5"/>
  <c r="DP207" i="5" s="1"/>
  <c r="DL206" i="5"/>
  <c r="DP206" i="5" s="1"/>
  <c r="DL205" i="5"/>
  <c r="DP205" i="5" s="1"/>
  <c r="DL204" i="5"/>
  <c r="DP204" i="5" s="1"/>
  <c r="DL203" i="5"/>
  <c r="DP203" i="5" s="1"/>
  <c r="DL202" i="5"/>
  <c r="DP202" i="5" s="1"/>
  <c r="DL201" i="5"/>
  <c r="DP201" i="5" s="1"/>
  <c r="DL200" i="5"/>
  <c r="DP200" i="5" s="1"/>
  <c r="DL199" i="5"/>
  <c r="DP199" i="5" s="1"/>
  <c r="DL198" i="5"/>
  <c r="DP198" i="5" s="1"/>
  <c r="DL197" i="5"/>
  <c r="DP197" i="5" s="1"/>
  <c r="DL196" i="5"/>
  <c r="DP196" i="5" s="1"/>
  <c r="DL195" i="5"/>
  <c r="DP195" i="5" s="1"/>
  <c r="DL194" i="5"/>
  <c r="DP194" i="5" s="1"/>
  <c r="DL193" i="5"/>
  <c r="DP193" i="5" s="1"/>
  <c r="DL192" i="5"/>
  <c r="DP192" i="5" s="1"/>
  <c r="DL191" i="5"/>
  <c r="DP191" i="5" s="1"/>
  <c r="DL190" i="5"/>
  <c r="DP190" i="5" s="1"/>
  <c r="DL189" i="5"/>
  <c r="DP189" i="5" s="1"/>
  <c r="DL188" i="5"/>
  <c r="DP188" i="5" s="1"/>
  <c r="DL187" i="5"/>
  <c r="DP187" i="5" s="1"/>
  <c r="DL186" i="5"/>
  <c r="DP186" i="5" s="1"/>
  <c r="DL185" i="5"/>
  <c r="DP185" i="5" s="1"/>
  <c r="DL184" i="5"/>
  <c r="DP184" i="5" s="1"/>
  <c r="DL183" i="5"/>
  <c r="DP183" i="5" s="1"/>
  <c r="DL182" i="5"/>
  <c r="DP182" i="5" s="1"/>
  <c r="DL181" i="5"/>
  <c r="DP181" i="5" s="1"/>
  <c r="DL180" i="5"/>
  <c r="DP180" i="5" s="1"/>
  <c r="DL179" i="5"/>
  <c r="DP179" i="5" s="1"/>
  <c r="DL178" i="5"/>
  <c r="DP178" i="5" s="1"/>
  <c r="DL177" i="5"/>
  <c r="DP177" i="5" s="1"/>
  <c r="DL176" i="5"/>
  <c r="DP176" i="5" s="1"/>
  <c r="DL175" i="5"/>
  <c r="DP175" i="5" s="1"/>
  <c r="DL174" i="5"/>
  <c r="DP174" i="5" s="1"/>
  <c r="DL173" i="5"/>
  <c r="DP173" i="5" s="1"/>
  <c r="DL172" i="5"/>
  <c r="DP172" i="5" s="1"/>
  <c r="DL171" i="5"/>
  <c r="DP171" i="5" s="1"/>
  <c r="DL170" i="5"/>
  <c r="DP170" i="5" s="1"/>
  <c r="DL169" i="5"/>
  <c r="DP169" i="5" s="1"/>
  <c r="DL168" i="5"/>
  <c r="DP168" i="5" s="1"/>
  <c r="DL167" i="5"/>
  <c r="DP167" i="5" s="1"/>
  <c r="DL166" i="5"/>
  <c r="DP166" i="5" s="1"/>
  <c r="DL165" i="5"/>
  <c r="DP165" i="5" s="1"/>
  <c r="DL164" i="5"/>
  <c r="DP164" i="5" s="1"/>
  <c r="DL163" i="5"/>
  <c r="DP163" i="5" s="1"/>
  <c r="DL162" i="5"/>
  <c r="DP162" i="5" s="1"/>
  <c r="DL161" i="5"/>
  <c r="DP161" i="5" s="1"/>
  <c r="DL160" i="5"/>
  <c r="DP160" i="5" s="1"/>
  <c r="DL159" i="5"/>
  <c r="DP159" i="5" s="1"/>
  <c r="DL158" i="5"/>
  <c r="DP158" i="5" s="1"/>
  <c r="DL157" i="5"/>
  <c r="DP157" i="5" s="1"/>
  <c r="DL156" i="5"/>
  <c r="DP156" i="5" s="1"/>
  <c r="DL155" i="5"/>
  <c r="DP155" i="5" s="1"/>
  <c r="DL154" i="5"/>
  <c r="DP154" i="5" s="1"/>
  <c r="DL153" i="5"/>
  <c r="DP153" i="5" s="1"/>
  <c r="DL152" i="5"/>
  <c r="DP152" i="5" s="1"/>
  <c r="DL151" i="5"/>
  <c r="DP151" i="5" s="1"/>
  <c r="DL150" i="5"/>
  <c r="DP150" i="5" s="1"/>
  <c r="DL149" i="5"/>
  <c r="DP149" i="5" s="1"/>
  <c r="DL148" i="5"/>
  <c r="DP148" i="5" s="1"/>
  <c r="DL147" i="5"/>
  <c r="DP147" i="5" s="1"/>
  <c r="DL146" i="5"/>
  <c r="DP146" i="5" s="1"/>
  <c r="DL145" i="5"/>
  <c r="DP145" i="5" s="1"/>
  <c r="DL144" i="5"/>
  <c r="DP144" i="5" s="1"/>
  <c r="DL143" i="5"/>
  <c r="DP143" i="5" s="1"/>
  <c r="DL142" i="5"/>
  <c r="DP142" i="5" s="1"/>
  <c r="DL141" i="5"/>
  <c r="DP141" i="5" s="1"/>
  <c r="DL140" i="5"/>
  <c r="DP140" i="5" s="1"/>
  <c r="DL139" i="5"/>
  <c r="DP139" i="5" s="1"/>
  <c r="DL138" i="5"/>
  <c r="DP138" i="5" s="1"/>
  <c r="DL137" i="5"/>
  <c r="DP137" i="5" s="1"/>
  <c r="DL136" i="5"/>
  <c r="DP136" i="5" s="1"/>
  <c r="DL135" i="5"/>
  <c r="DP135" i="5" s="1"/>
  <c r="DL134" i="5"/>
  <c r="DP134" i="5" s="1"/>
  <c r="DL133" i="5"/>
  <c r="DP133" i="5" s="1"/>
  <c r="DL132" i="5"/>
  <c r="DP132" i="5" s="1"/>
  <c r="DL131" i="5"/>
  <c r="DP131" i="5" s="1"/>
  <c r="DL130" i="5"/>
  <c r="DP130" i="5" s="1"/>
  <c r="DL129" i="5"/>
  <c r="DP129" i="5" s="1"/>
  <c r="DL128" i="5"/>
  <c r="DP128" i="5" s="1"/>
  <c r="DL127" i="5"/>
  <c r="DP127" i="5" s="1"/>
  <c r="DL126" i="5"/>
  <c r="DP126" i="5" s="1"/>
  <c r="DL125" i="5"/>
  <c r="DP125" i="5" s="1"/>
  <c r="DL124" i="5"/>
  <c r="DP124" i="5" s="1"/>
  <c r="DL123" i="5"/>
  <c r="DP123" i="5" s="1"/>
  <c r="DL122" i="5"/>
  <c r="DP122" i="5" s="1"/>
  <c r="DL121" i="5"/>
  <c r="DP121" i="5" s="1"/>
  <c r="DL120" i="5"/>
  <c r="DP120" i="5" s="1"/>
  <c r="DL119" i="5"/>
  <c r="DP119" i="5" s="1"/>
  <c r="DL118" i="5"/>
  <c r="DP118" i="5" s="1"/>
  <c r="DL117" i="5"/>
  <c r="DP117" i="5" s="1"/>
  <c r="DL116" i="5"/>
  <c r="DP116" i="5" s="1"/>
  <c r="DL115" i="5"/>
  <c r="DP115" i="5" s="1"/>
  <c r="DL114" i="5"/>
  <c r="DP114" i="5" s="1"/>
  <c r="DL113" i="5"/>
  <c r="DP113" i="5" s="1"/>
  <c r="DL112" i="5"/>
  <c r="DP112" i="5" s="1"/>
  <c r="DL111" i="5"/>
  <c r="DP111" i="5" s="1"/>
  <c r="DL110" i="5"/>
  <c r="DP110" i="5" s="1"/>
  <c r="DL109" i="5"/>
  <c r="DP109" i="5" s="1"/>
  <c r="DL108" i="5"/>
  <c r="DP108" i="5" s="1"/>
  <c r="DL107" i="5"/>
  <c r="DP107" i="5" s="1"/>
  <c r="DL106" i="5"/>
  <c r="DP106" i="5" s="1"/>
  <c r="DL105" i="5"/>
  <c r="DP105" i="5" s="1"/>
  <c r="DL104" i="5"/>
  <c r="DP104" i="5" s="1"/>
  <c r="DL103" i="5"/>
  <c r="DP103" i="5" s="1"/>
  <c r="DL102" i="5"/>
  <c r="DP102" i="5" s="1"/>
  <c r="DL101" i="5"/>
  <c r="DP101" i="5" s="1"/>
  <c r="DL100" i="5"/>
  <c r="DP100" i="5" s="1"/>
  <c r="DL99" i="5"/>
  <c r="DP99" i="5" s="1"/>
  <c r="DL98" i="5"/>
  <c r="DP98" i="5" s="1"/>
  <c r="DL97" i="5"/>
  <c r="DP97" i="5" s="1"/>
  <c r="DL96" i="5"/>
  <c r="DP96" i="5" s="1"/>
  <c r="DL95" i="5"/>
  <c r="DP95" i="5" s="1"/>
  <c r="DL94" i="5"/>
  <c r="DP94" i="5" s="1"/>
  <c r="DL93" i="5"/>
  <c r="DP93" i="5" s="1"/>
  <c r="DL92" i="5"/>
  <c r="DP92" i="5" s="1"/>
  <c r="DL91" i="5"/>
  <c r="DP91" i="5" s="1"/>
  <c r="DL90" i="5"/>
  <c r="DP90" i="5" s="1"/>
  <c r="DL89" i="5"/>
  <c r="DP89" i="5" s="1"/>
  <c r="DL88" i="5"/>
  <c r="DP88" i="5" s="1"/>
  <c r="DL87" i="5"/>
  <c r="DP87" i="5" s="1"/>
  <c r="DL86" i="5"/>
  <c r="DP86" i="5" s="1"/>
  <c r="DL85" i="5"/>
  <c r="DP85" i="5" s="1"/>
  <c r="DL84" i="5"/>
  <c r="DP84" i="5" s="1"/>
  <c r="DL83" i="5"/>
  <c r="DP83" i="5" s="1"/>
  <c r="DL82" i="5"/>
  <c r="DP82" i="5" s="1"/>
  <c r="DL81" i="5"/>
  <c r="DP81" i="5" s="1"/>
  <c r="DL80" i="5"/>
  <c r="DP80" i="5" s="1"/>
  <c r="DL79" i="5"/>
  <c r="DP79" i="5" s="1"/>
  <c r="DL78" i="5"/>
  <c r="DP78" i="5" s="1"/>
  <c r="DL77" i="5"/>
  <c r="DP77" i="5" s="1"/>
  <c r="DL76" i="5"/>
  <c r="DP76" i="5" s="1"/>
  <c r="DL75" i="5"/>
  <c r="DP75" i="5" s="1"/>
  <c r="DL74" i="5"/>
  <c r="DP74" i="5" s="1"/>
  <c r="DL73" i="5"/>
  <c r="DP73" i="5" s="1"/>
  <c r="DL72" i="5"/>
  <c r="DP72" i="5" s="1"/>
  <c r="DL71" i="5"/>
  <c r="DP71" i="5" s="1"/>
  <c r="DL70" i="5"/>
  <c r="DP70" i="5" s="1"/>
  <c r="DL69" i="5"/>
  <c r="DP69" i="5" s="1"/>
  <c r="DL68" i="5"/>
  <c r="DP68" i="5" s="1"/>
  <c r="DL67" i="5"/>
  <c r="DP67" i="5" s="1"/>
  <c r="DL66" i="5"/>
  <c r="DP66" i="5" s="1"/>
  <c r="DL65" i="5"/>
  <c r="DP65" i="5" s="1"/>
  <c r="DL64" i="5"/>
  <c r="DP64" i="5" s="1"/>
  <c r="DL63" i="5"/>
  <c r="DP63" i="5" s="1"/>
  <c r="DL62" i="5"/>
  <c r="DP62" i="5" s="1"/>
  <c r="DL61" i="5"/>
  <c r="DP61" i="5" s="1"/>
  <c r="DL60" i="5"/>
  <c r="DP60" i="5" s="1"/>
  <c r="DL59" i="5"/>
  <c r="DP59" i="5" s="1"/>
  <c r="DL58" i="5"/>
  <c r="DP58" i="5" s="1"/>
  <c r="DL57" i="5"/>
  <c r="DP57" i="5" s="1"/>
  <c r="DL56" i="5"/>
  <c r="DP56" i="5" s="1"/>
  <c r="DL55" i="5"/>
  <c r="DP55" i="5" s="1"/>
  <c r="DL54" i="5"/>
  <c r="DP54" i="5" s="1"/>
  <c r="DL53" i="5"/>
  <c r="DP53" i="5" s="1"/>
  <c r="DL52" i="5"/>
  <c r="DP52" i="5" s="1"/>
  <c r="DL51" i="5"/>
  <c r="DP51" i="5" s="1"/>
  <c r="DL50" i="5"/>
  <c r="DP50" i="5" s="1"/>
  <c r="DL49" i="5"/>
  <c r="DP49" i="5" s="1"/>
  <c r="DL48" i="5"/>
  <c r="DP48" i="5" s="1"/>
  <c r="DL47" i="5"/>
  <c r="DP47" i="5" s="1"/>
  <c r="DL46" i="5"/>
  <c r="DP46" i="5" s="1"/>
  <c r="DL45" i="5"/>
  <c r="DP45" i="5" s="1"/>
  <c r="DL44" i="5"/>
  <c r="DP44" i="5" s="1"/>
  <c r="DL43" i="5"/>
  <c r="DP43" i="5" s="1"/>
  <c r="DL42" i="5"/>
  <c r="DP42" i="5" s="1"/>
  <c r="DL41" i="5"/>
  <c r="DP41" i="5" s="1"/>
  <c r="DL40" i="5"/>
  <c r="DP40" i="5" s="1"/>
  <c r="DL39" i="5"/>
  <c r="DP39" i="5" s="1"/>
  <c r="DL38" i="5"/>
  <c r="DP38" i="5" s="1"/>
  <c r="DL37" i="5"/>
  <c r="DP37" i="5" s="1"/>
  <c r="DL36" i="5"/>
  <c r="DP36" i="5" s="1"/>
  <c r="DL35" i="5"/>
  <c r="DP35" i="5" s="1"/>
  <c r="DL34" i="5"/>
  <c r="DP34" i="5" s="1"/>
  <c r="DL33" i="5"/>
  <c r="DP33" i="5" s="1"/>
  <c r="DL32" i="5"/>
  <c r="DP32" i="5" s="1"/>
  <c r="DL31" i="5"/>
  <c r="DP31" i="5" s="1"/>
  <c r="DL30" i="5"/>
  <c r="DP30" i="5" s="1"/>
  <c r="DL29" i="5"/>
  <c r="DP29" i="5" s="1"/>
  <c r="DL28" i="5"/>
  <c r="DP28" i="5" s="1"/>
  <c r="DL27" i="5"/>
  <c r="DP27" i="5" s="1"/>
  <c r="DL26" i="5"/>
  <c r="DP26" i="5" s="1"/>
  <c r="DL25" i="5"/>
  <c r="DP25" i="5" s="1"/>
  <c r="DL24" i="5"/>
  <c r="DP24" i="5" s="1"/>
  <c r="DL23" i="5"/>
  <c r="DP23" i="5" s="1"/>
  <c r="DL22" i="5"/>
  <c r="DP22" i="5" s="1"/>
  <c r="DL21" i="5"/>
  <c r="DP21" i="5" s="1"/>
  <c r="DL20" i="5"/>
  <c r="DP20" i="5" s="1"/>
  <c r="DL19" i="5"/>
  <c r="DP19" i="5" s="1"/>
  <c r="DL18" i="5"/>
  <c r="DP18" i="5" s="1"/>
  <c r="DL17" i="5"/>
  <c r="DP17" i="5" s="1"/>
  <c r="DL16" i="5"/>
  <c r="DP16" i="5" s="1"/>
  <c r="DL15" i="5"/>
  <c r="DP15" i="5" s="1"/>
  <c r="DL14" i="5"/>
  <c r="DP14" i="5" s="1"/>
  <c r="DL13" i="5"/>
  <c r="DP13" i="5" s="1"/>
  <c r="DL12" i="5"/>
  <c r="DP12" i="5" s="1"/>
  <c r="DL11" i="5"/>
  <c r="DP11" i="5" s="1"/>
  <c r="DL10" i="5"/>
  <c r="DP10" i="5" s="1"/>
  <c r="DL9" i="5"/>
  <c r="DP9" i="5" s="1"/>
  <c r="DL8" i="5"/>
  <c r="DH607" i="5"/>
  <c r="DH606" i="5"/>
  <c r="DH605" i="5"/>
  <c r="DH604" i="5"/>
  <c r="DH603" i="5"/>
  <c r="DH602" i="5"/>
  <c r="DH601" i="5"/>
  <c r="DH600" i="5"/>
  <c r="DH599" i="5"/>
  <c r="DH598" i="5"/>
  <c r="DH597" i="5"/>
  <c r="DH596" i="5"/>
  <c r="DH595" i="5"/>
  <c r="DH594" i="5"/>
  <c r="DH593" i="5"/>
  <c r="DH592" i="5"/>
  <c r="DH591" i="5"/>
  <c r="DH590" i="5"/>
  <c r="DH589" i="5"/>
  <c r="DH588" i="5"/>
  <c r="DH587" i="5"/>
  <c r="DH586" i="5"/>
  <c r="DH585" i="5"/>
  <c r="DH584" i="5"/>
  <c r="DH583" i="5"/>
  <c r="DH582" i="5"/>
  <c r="DH581" i="5"/>
  <c r="DH580" i="5"/>
  <c r="DH579" i="5"/>
  <c r="DH578" i="5"/>
  <c r="DH577" i="5"/>
  <c r="DH576" i="5"/>
  <c r="DH575" i="5"/>
  <c r="DH574" i="5"/>
  <c r="DH573" i="5"/>
  <c r="DH572" i="5"/>
  <c r="DH571" i="5"/>
  <c r="DH570" i="5"/>
  <c r="DH569" i="5"/>
  <c r="DH568" i="5"/>
  <c r="DH567" i="5"/>
  <c r="DH566" i="5"/>
  <c r="DH565" i="5"/>
  <c r="DH564" i="5"/>
  <c r="DH563" i="5"/>
  <c r="DH562" i="5"/>
  <c r="DH561" i="5"/>
  <c r="DH560" i="5"/>
  <c r="DH559" i="5"/>
  <c r="DH558" i="5"/>
  <c r="DH557" i="5"/>
  <c r="DH556" i="5"/>
  <c r="DH555" i="5"/>
  <c r="DH554" i="5"/>
  <c r="DH553" i="5"/>
  <c r="DH552" i="5"/>
  <c r="DH551" i="5"/>
  <c r="DH550" i="5"/>
  <c r="DH549" i="5"/>
  <c r="DH548" i="5"/>
  <c r="DH547" i="5"/>
  <c r="DH546" i="5"/>
  <c r="DH545" i="5"/>
  <c r="DH544" i="5"/>
  <c r="DH543" i="5"/>
  <c r="DH542" i="5"/>
  <c r="DH541" i="5"/>
  <c r="DH540" i="5"/>
  <c r="DH539" i="5"/>
  <c r="DH538" i="5"/>
  <c r="DH537" i="5"/>
  <c r="DH536" i="5"/>
  <c r="DH535" i="5"/>
  <c r="DH534" i="5"/>
  <c r="DH533" i="5"/>
  <c r="DH532" i="5"/>
  <c r="DH531" i="5"/>
  <c r="DH530" i="5"/>
  <c r="DH529" i="5"/>
  <c r="DH528" i="5"/>
  <c r="DH527" i="5"/>
  <c r="DH526" i="5"/>
  <c r="DH525" i="5"/>
  <c r="DH524" i="5"/>
  <c r="DH523" i="5"/>
  <c r="DH522" i="5"/>
  <c r="DH521" i="5"/>
  <c r="DH520" i="5"/>
  <c r="DH519" i="5"/>
  <c r="DH518" i="5"/>
  <c r="DH517" i="5"/>
  <c r="DH516" i="5"/>
  <c r="DH515" i="5"/>
  <c r="DH514" i="5"/>
  <c r="DH513" i="5"/>
  <c r="DH512" i="5"/>
  <c r="DH511" i="5"/>
  <c r="DH510" i="5"/>
  <c r="DH509" i="5"/>
  <c r="DH508" i="5"/>
  <c r="DH507" i="5"/>
  <c r="DH506" i="5"/>
  <c r="DH505" i="5"/>
  <c r="DH504" i="5"/>
  <c r="DH503" i="5"/>
  <c r="DH502" i="5"/>
  <c r="DH501" i="5"/>
  <c r="DH500" i="5"/>
  <c r="DH499" i="5"/>
  <c r="DH498" i="5"/>
  <c r="DH497" i="5"/>
  <c r="DH496" i="5"/>
  <c r="DH495" i="5"/>
  <c r="DH494" i="5"/>
  <c r="DH493" i="5"/>
  <c r="DH492" i="5"/>
  <c r="DH491" i="5"/>
  <c r="DH490" i="5"/>
  <c r="DH489" i="5"/>
  <c r="DH488" i="5"/>
  <c r="DH487" i="5"/>
  <c r="DH486" i="5"/>
  <c r="DH485" i="5"/>
  <c r="DH484" i="5"/>
  <c r="DH483" i="5"/>
  <c r="DH482" i="5"/>
  <c r="DH481" i="5"/>
  <c r="DH480" i="5"/>
  <c r="DH479" i="5"/>
  <c r="DH478" i="5"/>
  <c r="DH477" i="5"/>
  <c r="DH476" i="5"/>
  <c r="DH475" i="5"/>
  <c r="DH474" i="5"/>
  <c r="DH473" i="5"/>
  <c r="DH472" i="5"/>
  <c r="DH471" i="5"/>
  <c r="DH470" i="5"/>
  <c r="DH469" i="5"/>
  <c r="DH468" i="5"/>
  <c r="DH467" i="5"/>
  <c r="DH466" i="5"/>
  <c r="DH465" i="5"/>
  <c r="DH464" i="5"/>
  <c r="DH463" i="5"/>
  <c r="DH462" i="5"/>
  <c r="DH461" i="5"/>
  <c r="DH460" i="5"/>
  <c r="DH459" i="5"/>
  <c r="DH458" i="5"/>
  <c r="DH457" i="5"/>
  <c r="DH456" i="5"/>
  <c r="DH455" i="5"/>
  <c r="DH454" i="5"/>
  <c r="DH453" i="5"/>
  <c r="DH452" i="5"/>
  <c r="DH451" i="5"/>
  <c r="DH450" i="5"/>
  <c r="DH449" i="5"/>
  <c r="DH448" i="5"/>
  <c r="DH447" i="5"/>
  <c r="DH446" i="5"/>
  <c r="DH445" i="5"/>
  <c r="DH444" i="5"/>
  <c r="DH443" i="5"/>
  <c r="DH442" i="5"/>
  <c r="DH441" i="5"/>
  <c r="DH440" i="5"/>
  <c r="DH439" i="5"/>
  <c r="DH438" i="5"/>
  <c r="DH437" i="5"/>
  <c r="DH436" i="5"/>
  <c r="DH435" i="5"/>
  <c r="DH434" i="5"/>
  <c r="DH433" i="5"/>
  <c r="DH432" i="5"/>
  <c r="DH431" i="5"/>
  <c r="DH430" i="5"/>
  <c r="DH429" i="5"/>
  <c r="DH428" i="5"/>
  <c r="DH427" i="5"/>
  <c r="DH426" i="5"/>
  <c r="DH425" i="5"/>
  <c r="DH424" i="5"/>
  <c r="DH423" i="5"/>
  <c r="DH422" i="5"/>
  <c r="DH421" i="5"/>
  <c r="DH420" i="5"/>
  <c r="DH419" i="5"/>
  <c r="DH418" i="5"/>
  <c r="DH417" i="5"/>
  <c r="DH416" i="5"/>
  <c r="DH415" i="5"/>
  <c r="DH414" i="5"/>
  <c r="DH413" i="5"/>
  <c r="DH412" i="5"/>
  <c r="DH411" i="5"/>
  <c r="DH410" i="5"/>
  <c r="DH409" i="5"/>
  <c r="DH408" i="5"/>
  <c r="DH407" i="5"/>
  <c r="DH406" i="5"/>
  <c r="DH405" i="5"/>
  <c r="DH404" i="5"/>
  <c r="DH403" i="5"/>
  <c r="DH402" i="5"/>
  <c r="DH401" i="5"/>
  <c r="DH400" i="5"/>
  <c r="DH399" i="5"/>
  <c r="DH398" i="5"/>
  <c r="DH397" i="5"/>
  <c r="DH396" i="5"/>
  <c r="DH395" i="5"/>
  <c r="DH394" i="5"/>
  <c r="DH393" i="5"/>
  <c r="DH392" i="5"/>
  <c r="DH391" i="5"/>
  <c r="DH390" i="5"/>
  <c r="DH389" i="5"/>
  <c r="DH388" i="5"/>
  <c r="DH387" i="5"/>
  <c r="DH386" i="5"/>
  <c r="DH385" i="5"/>
  <c r="DH384" i="5"/>
  <c r="DH383" i="5"/>
  <c r="DH382" i="5"/>
  <c r="DH381" i="5"/>
  <c r="DH380" i="5"/>
  <c r="DH379" i="5"/>
  <c r="DH378" i="5"/>
  <c r="DH377" i="5"/>
  <c r="DH376" i="5"/>
  <c r="DH375" i="5"/>
  <c r="DH374" i="5"/>
  <c r="DH373" i="5"/>
  <c r="DH372" i="5"/>
  <c r="DH371" i="5"/>
  <c r="DH370" i="5"/>
  <c r="DH369" i="5"/>
  <c r="DH368" i="5"/>
  <c r="DH367" i="5"/>
  <c r="DH366" i="5"/>
  <c r="DH365" i="5"/>
  <c r="DH364" i="5"/>
  <c r="DH363" i="5"/>
  <c r="DH362" i="5"/>
  <c r="DH361" i="5"/>
  <c r="DH360" i="5"/>
  <c r="DH359" i="5"/>
  <c r="DH358" i="5"/>
  <c r="DH357" i="5"/>
  <c r="DH356" i="5"/>
  <c r="DH355" i="5"/>
  <c r="DH354" i="5"/>
  <c r="DH353" i="5"/>
  <c r="DH352" i="5"/>
  <c r="DH351" i="5"/>
  <c r="DH350" i="5"/>
  <c r="DH349" i="5"/>
  <c r="DH348" i="5"/>
  <c r="DH347" i="5"/>
  <c r="DH346" i="5"/>
  <c r="DH345" i="5"/>
  <c r="DH344" i="5"/>
  <c r="DH343" i="5"/>
  <c r="DH342" i="5"/>
  <c r="DH341" i="5"/>
  <c r="DH340" i="5"/>
  <c r="DH339" i="5"/>
  <c r="DH338" i="5"/>
  <c r="DH337" i="5"/>
  <c r="DH336" i="5"/>
  <c r="DH335" i="5"/>
  <c r="DH334" i="5"/>
  <c r="DH333" i="5"/>
  <c r="DH332" i="5"/>
  <c r="DH331" i="5"/>
  <c r="DH330" i="5"/>
  <c r="DH329" i="5"/>
  <c r="DH328" i="5"/>
  <c r="DH327" i="5"/>
  <c r="DH326" i="5"/>
  <c r="DH325" i="5"/>
  <c r="DH324" i="5"/>
  <c r="DH323" i="5"/>
  <c r="DH322" i="5"/>
  <c r="DH321" i="5"/>
  <c r="DH320" i="5"/>
  <c r="DH319" i="5"/>
  <c r="DH318" i="5"/>
  <c r="DH317" i="5"/>
  <c r="DH316" i="5"/>
  <c r="DH315" i="5"/>
  <c r="DH314" i="5"/>
  <c r="DH313" i="5"/>
  <c r="DH312" i="5"/>
  <c r="DH311" i="5"/>
  <c r="DH310" i="5"/>
  <c r="DH309" i="5"/>
  <c r="DH308" i="5"/>
  <c r="DH307" i="5"/>
  <c r="DH306" i="5"/>
  <c r="DH305" i="5"/>
  <c r="DH304" i="5"/>
  <c r="DH303" i="5"/>
  <c r="DH302" i="5"/>
  <c r="DH301" i="5"/>
  <c r="DH300" i="5"/>
  <c r="DH299" i="5"/>
  <c r="DH298" i="5"/>
  <c r="DH297" i="5"/>
  <c r="DH296" i="5"/>
  <c r="DH295" i="5"/>
  <c r="DH294" i="5"/>
  <c r="DH293" i="5"/>
  <c r="DH292" i="5"/>
  <c r="DH291" i="5"/>
  <c r="DH290" i="5"/>
  <c r="DH289" i="5"/>
  <c r="DH288" i="5"/>
  <c r="DH287" i="5"/>
  <c r="DH286" i="5"/>
  <c r="DH285" i="5"/>
  <c r="DH284" i="5"/>
  <c r="DH283" i="5"/>
  <c r="DH282" i="5"/>
  <c r="DH281" i="5"/>
  <c r="DH280" i="5"/>
  <c r="DH279" i="5"/>
  <c r="DH278" i="5"/>
  <c r="DH277" i="5"/>
  <c r="DH276" i="5"/>
  <c r="DH275" i="5"/>
  <c r="DH274" i="5"/>
  <c r="DH273" i="5"/>
  <c r="DH272" i="5"/>
  <c r="DH271" i="5"/>
  <c r="DH270" i="5"/>
  <c r="DH269" i="5"/>
  <c r="DH268" i="5"/>
  <c r="DH267" i="5"/>
  <c r="DH266" i="5"/>
  <c r="DH265" i="5"/>
  <c r="DH264" i="5"/>
  <c r="DH263" i="5"/>
  <c r="DH262" i="5"/>
  <c r="DH261" i="5"/>
  <c r="DH260" i="5"/>
  <c r="DH259" i="5"/>
  <c r="DH258" i="5"/>
  <c r="DH257" i="5"/>
  <c r="DH256" i="5"/>
  <c r="DH255" i="5"/>
  <c r="DH254" i="5"/>
  <c r="DH253" i="5"/>
  <c r="DH252" i="5"/>
  <c r="DH251" i="5"/>
  <c r="DH250" i="5"/>
  <c r="DH249" i="5"/>
  <c r="DH248" i="5"/>
  <c r="DH247" i="5"/>
  <c r="DH246" i="5"/>
  <c r="DH245" i="5"/>
  <c r="DH244" i="5"/>
  <c r="DH243" i="5"/>
  <c r="DH242" i="5"/>
  <c r="DH241" i="5"/>
  <c r="DH240" i="5"/>
  <c r="DH239" i="5"/>
  <c r="DH238" i="5"/>
  <c r="DH237" i="5"/>
  <c r="DH236" i="5"/>
  <c r="DH235" i="5"/>
  <c r="DH234" i="5"/>
  <c r="DH233" i="5"/>
  <c r="DH232" i="5"/>
  <c r="DH231" i="5"/>
  <c r="DH230" i="5"/>
  <c r="DH229" i="5"/>
  <c r="DH228" i="5"/>
  <c r="DH227" i="5"/>
  <c r="DH226" i="5"/>
  <c r="DH225" i="5"/>
  <c r="DH224" i="5"/>
  <c r="DH223" i="5"/>
  <c r="DH222" i="5"/>
  <c r="DH221" i="5"/>
  <c r="DH220" i="5"/>
  <c r="DH219" i="5"/>
  <c r="DH218" i="5"/>
  <c r="DH217" i="5"/>
  <c r="DH216" i="5"/>
  <c r="DH215" i="5"/>
  <c r="DH214" i="5"/>
  <c r="DH213" i="5"/>
  <c r="DH212" i="5"/>
  <c r="DH211" i="5"/>
  <c r="DH210" i="5"/>
  <c r="DH209" i="5"/>
  <c r="DH208" i="5"/>
  <c r="DH207" i="5"/>
  <c r="DH206" i="5"/>
  <c r="DH205" i="5"/>
  <c r="DH204" i="5"/>
  <c r="DH203" i="5"/>
  <c r="DH202" i="5"/>
  <c r="DH201" i="5"/>
  <c r="DH200" i="5"/>
  <c r="DH199" i="5"/>
  <c r="DH198" i="5"/>
  <c r="DH197" i="5"/>
  <c r="DH196" i="5"/>
  <c r="DH195" i="5"/>
  <c r="DH194" i="5"/>
  <c r="DH193" i="5"/>
  <c r="DH192" i="5"/>
  <c r="DH191" i="5"/>
  <c r="DH190" i="5"/>
  <c r="DH189" i="5"/>
  <c r="DH188" i="5"/>
  <c r="DH187" i="5"/>
  <c r="DH186" i="5"/>
  <c r="DH185" i="5"/>
  <c r="DH184" i="5"/>
  <c r="DH183" i="5"/>
  <c r="DH182" i="5"/>
  <c r="DH181" i="5"/>
  <c r="DH180" i="5"/>
  <c r="DH179" i="5"/>
  <c r="DH178" i="5"/>
  <c r="DH177" i="5"/>
  <c r="DH176" i="5"/>
  <c r="DH175" i="5"/>
  <c r="DH174" i="5"/>
  <c r="DH173" i="5"/>
  <c r="DH172" i="5"/>
  <c r="DH171" i="5"/>
  <c r="DH170" i="5"/>
  <c r="DH169" i="5"/>
  <c r="DH168" i="5"/>
  <c r="DH167" i="5"/>
  <c r="DH166" i="5"/>
  <c r="DH165" i="5"/>
  <c r="DH164" i="5"/>
  <c r="DH163" i="5"/>
  <c r="DH162" i="5"/>
  <c r="DH161" i="5"/>
  <c r="DH160" i="5"/>
  <c r="DH159" i="5"/>
  <c r="DH158" i="5"/>
  <c r="DH157" i="5"/>
  <c r="DH156" i="5"/>
  <c r="DH155" i="5"/>
  <c r="DH154" i="5"/>
  <c r="DH153" i="5"/>
  <c r="DH152" i="5"/>
  <c r="DH151" i="5"/>
  <c r="DH150" i="5"/>
  <c r="DH149" i="5"/>
  <c r="DH148" i="5"/>
  <c r="DH147" i="5"/>
  <c r="DH146" i="5"/>
  <c r="DH145" i="5"/>
  <c r="DH144" i="5"/>
  <c r="DH143" i="5"/>
  <c r="DH142" i="5"/>
  <c r="DH141" i="5"/>
  <c r="DH140" i="5"/>
  <c r="DH139" i="5"/>
  <c r="DH138" i="5"/>
  <c r="DH137" i="5"/>
  <c r="DH136" i="5"/>
  <c r="DH135" i="5"/>
  <c r="DH134" i="5"/>
  <c r="DH133" i="5"/>
  <c r="DH132" i="5"/>
  <c r="DH131" i="5"/>
  <c r="DH130" i="5"/>
  <c r="DH129" i="5"/>
  <c r="DH128" i="5"/>
  <c r="DH127" i="5"/>
  <c r="DH126" i="5"/>
  <c r="DH125" i="5"/>
  <c r="DH124" i="5"/>
  <c r="DH123" i="5"/>
  <c r="DH122" i="5"/>
  <c r="DH121" i="5"/>
  <c r="DH120" i="5"/>
  <c r="DH119" i="5"/>
  <c r="DH118" i="5"/>
  <c r="DH117" i="5"/>
  <c r="DH116" i="5"/>
  <c r="DH115" i="5"/>
  <c r="DH114" i="5"/>
  <c r="DH113" i="5"/>
  <c r="DH112" i="5"/>
  <c r="DH111" i="5"/>
  <c r="DH110" i="5"/>
  <c r="DH109" i="5"/>
  <c r="DH108" i="5"/>
  <c r="DH107" i="5"/>
  <c r="DH106" i="5"/>
  <c r="DH105" i="5"/>
  <c r="DH104" i="5"/>
  <c r="DH103" i="5"/>
  <c r="DH102" i="5"/>
  <c r="DH101" i="5"/>
  <c r="DH100" i="5"/>
  <c r="DH99" i="5"/>
  <c r="DH98" i="5"/>
  <c r="DH97" i="5"/>
  <c r="DH96" i="5"/>
  <c r="DH95" i="5"/>
  <c r="DH94" i="5"/>
  <c r="DH93" i="5"/>
  <c r="DH92" i="5"/>
  <c r="DH91" i="5"/>
  <c r="DH90" i="5"/>
  <c r="DH89" i="5"/>
  <c r="DH88" i="5"/>
  <c r="DH87" i="5"/>
  <c r="DH86" i="5"/>
  <c r="DH85" i="5"/>
  <c r="DH84" i="5"/>
  <c r="DH83" i="5"/>
  <c r="DH82" i="5"/>
  <c r="DH81" i="5"/>
  <c r="DH80" i="5"/>
  <c r="DH79" i="5"/>
  <c r="DH78" i="5"/>
  <c r="DH77" i="5"/>
  <c r="DH76" i="5"/>
  <c r="DH75" i="5"/>
  <c r="DH74" i="5"/>
  <c r="DH73" i="5"/>
  <c r="DH72" i="5"/>
  <c r="DH71" i="5"/>
  <c r="DH70" i="5"/>
  <c r="DH69" i="5"/>
  <c r="DH68" i="5"/>
  <c r="DH67" i="5"/>
  <c r="DH66" i="5"/>
  <c r="DH65" i="5"/>
  <c r="DH64" i="5"/>
  <c r="DH63" i="5"/>
  <c r="DH62" i="5"/>
  <c r="DH61" i="5"/>
  <c r="DH60" i="5"/>
  <c r="DH59" i="5"/>
  <c r="DH58" i="5"/>
  <c r="DH57" i="5"/>
  <c r="DH56" i="5"/>
  <c r="DH55" i="5"/>
  <c r="DH54" i="5"/>
  <c r="DH53" i="5"/>
  <c r="DH52" i="5"/>
  <c r="DH51" i="5"/>
  <c r="DH50" i="5"/>
  <c r="DH49" i="5"/>
  <c r="DH48" i="5"/>
  <c r="DH47" i="5"/>
  <c r="DH46" i="5"/>
  <c r="DH45" i="5"/>
  <c r="DH44" i="5"/>
  <c r="DH43" i="5"/>
  <c r="DH42" i="5"/>
  <c r="DH41" i="5"/>
  <c r="DH40" i="5"/>
  <c r="DH39" i="5"/>
  <c r="DH38" i="5"/>
  <c r="DH37" i="5"/>
  <c r="DH36" i="5"/>
  <c r="DH35" i="5"/>
  <c r="DH34" i="5"/>
  <c r="DH33" i="5"/>
  <c r="DH32" i="5"/>
  <c r="DH31" i="5"/>
  <c r="DH30" i="5"/>
  <c r="DH29" i="5"/>
  <c r="DH28" i="5"/>
  <c r="DH27" i="5"/>
  <c r="DH26" i="5"/>
  <c r="DH25" i="5"/>
  <c r="DH24" i="5"/>
  <c r="DH23" i="5"/>
  <c r="DH22" i="5"/>
  <c r="DH21" i="5"/>
  <c r="DH20" i="5"/>
  <c r="DH19" i="5"/>
  <c r="DH18" i="5"/>
  <c r="DH17" i="5"/>
  <c r="DH16" i="5"/>
  <c r="DH15" i="5"/>
  <c r="DH14" i="5"/>
  <c r="DH13" i="5"/>
  <c r="DH12" i="5"/>
  <c r="DH11" i="5"/>
  <c r="DH10" i="5"/>
  <c r="DH9" i="5"/>
  <c r="DH8" i="5"/>
  <c r="DD607" i="5"/>
  <c r="DD606" i="5"/>
  <c r="DD605" i="5"/>
  <c r="DD604" i="5"/>
  <c r="DD603" i="5"/>
  <c r="DD602" i="5"/>
  <c r="DD601" i="5"/>
  <c r="DD600" i="5"/>
  <c r="DD599" i="5"/>
  <c r="DD598" i="5"/>
  <c r="DD597" i="5"/>
  <c r="DD596" i="5"/>
  <c r="DD595" i="5"/>
  <c r="DD594" i="5"/>
  <c r="DD593" i="5"/>
  <c r="DD592" i="5"/>
  <c r="DD591" i="5"/>
  <c r="DD590" i="5"/>
  <c r="DD589" i="5"/>
  <c r="DD588" i="5"/>
  <c r="DD587" i="5"/>
  <c r="DD586" i="5"/>
  <c r="DD585" i="5"/>
  <c r="DD584" i="5"/>
  <c r="DD583" i="5"/>
  <c r="DD582" i="5"/>
  <c r="DD581" i="5"/>
  <c r="DD580" i="5"/>
  <c r="DD579" i="5"/>
  <c r="DD578" i="5"/>
  <c r="DD577" i="5"/>
  <c r="DD576" i="5"/>
  <c r="DD575" i="5"/>
  <c r="DD574" i="5"/>
  <c r="DD573" i="5"/>
  <c r="DD572" i="5"/>
  <c r="DD571" i="5"/>
  <c r="DD570" i="5"/>
  <c r="DD569" i="5"/>
  <c r="DD568" i="5"/>
  <c r="DD567" i="5"/>
  <c r="DD566" i="5"/>
  <c r="DD565" i="5"/>
  <c r="DD564" i="5"/>
  <c r="DD563" i="5"/>
  <c r="DD562" i="5"/>
  <c r="DD561" i="5"/>
  <c r="DD560" i="5"/>
  <c r="DD559" i="5"/>
  <c r="DD558" i="5"/>
  <c r="DD557" i="5"/>
  <c r="DD556" i="5"/>
  <c r="DD555" i="5"/>
  <c r="DD554" i="5"/>
  <c r="DD553" i="5"/>
  <c r="DD552" i="5"/>
  <c r="DD551" i="5"/>
  <c r="DD550" i="5"/>
  <c r="DD549" i="5"/>
  <c r="DD548" i="5"/>
  <c r="DD547" i="5"/>
  <c r="DD546" i="5"/>
  <c r="DD545" i="5"/>
  <c r="DD544" i="5"/>
  <c r="DD543" i="5"/>
  <c r="DD542" i="5"/>
  <c r="DD541" i="5"/>
  <c r="DD540" i="5"/>
  <c r="DD539" i="5"/>
  <c r="DD538" i="5"/>
  <c r="DD537" i="5"/>
  <c r="DD536" i="5"/>
  <c r="DD535" i="5"/>
  <c r="DD534" i="5"/>
  <c r="DD533" i="5"/>
  <c r="DD532" i="5"/>
  <c r="DD531" i="5"/>
  <c r="DD530" i="5"/>
  <c r="DD529" i="5"/>
  <c r="DD528" i="5"/>
  <c r="DD527" i="5"/>
  <c r="DD526" i="5"/>
  <c r="DD525" i="5"/>
  <c r="DD524" i="5"/>
  <c r="DD523" i="5"/>
  <c r="DD522" i="5"/>
  <c r="DD521" i="5"/>
  <c r="DD520" i="5"/>
  <c r="DD519" i="5"/>
  <c r="DD518" i="5"/>
  <c r="DD517" i="5"/>
  <c r="DD516" i="5"/>
  <c r="DD515" i="5"/>
  <c r="DD514" i="5"/>
  <c r="DD513" i="5"/>
  <c r="DD512" i="5"/>
  <c r="DD511" i="5"/>
  <c r="DD510" i="5"/>
  <c r="DD509" i="5"/>
  <c r="DD508" i="5"/>
  <c r="DD507" i="5"/>
  <c r="DD506" i="5"/>
  <c r="DD505" i="5"/>
  <c r="DD504" i="5"/>
  <c r="DD503" i="5"/>
  <c r="DD502" i="5"/>
  <c r="DD501" i="5"/>
  <c r="DD500" i="5"/>
  <c r="DD499" i="5"/>
  <c r="DD498" i="5"/>
  <c r="DD497" i="5"/>
  <c r="DD496" i="5"/>
  <c r="DD495" i="5"/>
  <c r="DD494" i="5"/>
  <c r="DD493" i="5"/>
  <c r="DD492" i="5"/>
  <c r="DD491" i="5"/>
  <c r="DD490" i="5"/>
  <c r="DD489" i="5"/>
  <c r="DD488" i="5"/>
  <c r="DD487" i="5"/>
  <c r="DD486" i="5"/>
  <c r="DD485" i="5"/>
  <c r="DD484" i="5"/>
  <c r="DD483" i="5"/>
  <c r="DD482" i="5"/>
  <c r="DD481" i="5"/>
  <c r="DD480" i="5"/>
  <c r="DD479" i="5"/>
  <c r="DD478" i="5"/>
  <c r="DD477" i="5"/>
  <c r="DD476" i="5"/>
  <c r="DD475" i="5"/>
  <c r="DD474" i="5"/>
  <c r="DD473" i="5"/>
  <c r="DD472" i="5"/>
  <c r="DD471" i="5"/>
  <c r="DD470" i="5"/>
  <c r="DD469" i="5"/>
  <c r="DD468" i="5"/>
  <c r="DD467" i="5"/>
  <c r="DD466" i="5"/>
  <c r="DD465" i="5"/>
  <c r="DD464" i="5"/>
  <c r="DD463" i="5"/>
  <c r="DD462" i="5"/>
  <c r="DD461" i="5"/>
  <c r="DD460" i="5"/>
  <c r="DD459" i="5"/>
  <c r="DD458" i="5"/>
  <c r="DD457" i="5"/>
  <c r="DD456" i="5"/>
  <c r="DD455" i="5"/>
  <c r="DD454" i="5"/>
  <c r="DD453" i="5"/>
  <c r="DD452" i="5"/>
  <c r="DD451" i="5"/>
  <c r="DD450" i="5"/>
  <c r="DD449" i="5"/>
  <c r="DD448" i="5"/>
  <c r="DD447" i="5"/>
  <c r="DD446" i="5"/>
  <c r="DD445" i="5"/>
  <c r="DD444" i="5"/>
  <c r="DD443" i="5"/>
  <c r="DD442" i="5"/>
  <c r="DD441" i="5"/>
  <c r="DD440" i="5"/>
  <c r="DD439" i="5"/>
  <c r="DD438" i="5"/>
  <c r="DD437" i="5"/>
  <c r="DD436" i="5"/>
  <c r="DD435" i="5"/>
  <c r="DD434" i="5"/>
  <c r="DD433" i="5"/>
  <c r="DD432" i="5"/>
  <c r="DD431" i="5"/>
  <c r="DD430" i="5"/>
  <c r="DD429" i="5"/>
  <c r="DD428" i="5"/>
  <c r="DD427" i="5"/>
  <c r="DD426" i="5"/>
  <c r="DD425" i="5"/>
  <c r="DD424" i="5"/>
  <c r="DD423" i="5"/>
  <c r="DD422" i="5"/>
  <c r="DD421" i="5"/>
  <c r="DD420" i="5"/>
  <c r="DD419" i="5"/>
  <c r="DD418" i="5"/>
  <c r="DD417" i="5"/>
  <c r="DD416" i="5"/>
  <c r="DD415" i="5"/>
  <c r="DD414" i="5"/>
  <c r="DD413" i="5"/>
  <c r="DD412" i="5"/>
  <c r="DD411" i="5"/>
  <c r="DD410" i="5"/>
  <c r="DD409" i="5"/>
  <c r="DD408" i="5"/>
  <c r="DD407" i="5"/>
  <c r="DD406" i="5"/>
  <c r="DD405" i="5"/>
  <c r="DD404" i="5"/>
  <c r="DD403" i="5"/>
  <c r="DD402" i="5"/>
  <c r="DD401" i="5"/>
  <c r="DD400" i="5"/>
  <c r="DD399" i="5"/>
  <c r="DD398" i="5"/>
  <c r="DD397" i="5"/>
  <c r="DD396" i="5"/>
  <c r="DD395" i="5"/>
  <c r="DD394" i="5"/>
  <c r="DD393" i="5"/>
  <c r="DD392" i="5"/>
  <c r="DD391" i="5"/>
  <c r="DD390" i="5"/>
  <c r="DD389" i="5"/>
  <c r="DD388" i="5"/>
  <c r="DD387" i="5"/>
  <c r="DD386" i="5"/>
  <c r="DD385" i="5"/>
  <c r="DD384" i="5"/>
  <c r="DD383" i="5"/>
  <c r="DD382" i="5"/>
  <c r="DD381" i="5"/>
  <c r="DD380" i="5"/>
  <c r="DD379" i="5"/>
  <c r="DD378" i="5"/>
  <c r="DD377" i="5"/>
  <c r="DD376" i="5"/>
  <c r="DD375" i="5"/>
  <c r="DD374" i="5"/>
  <c r="DD373" i="5"/>
  <c r="DD372" i="5"/>
  <c r="DD371" i="5"/>
  <c r="DD370" i="5"/>
  <c r="DD369" i="5"/>
  <c r="DD368" i="5"/>
  <c r="DD367" i="5"/>
  <c r="DD366" i="5"/>
  <c r="DD365" i="5"/>
  <c r="DD364" i="5"/>
  <c r="DD363" i="5"/>
  <c r="DD362" i="5"/>
  <c r="DD361" i="5"/>
  <c r="DD360" i="5"/>
  <c r="DD359" i="5"/>
  <c r="DD358" i="5"/>
  <c r="DD357" i="5"/>
  <c r="DD356" i="5"/>
  <c r="DD355" i="5"/>
  <c r="DD354" i="5"/>
  <c r="DD353" i="5"/>
  <c r="DD352" i="5"/>
  <c r="DD351" i="5"/>
  <c r="DD350" i="5"/>
  <c r="DD349" i="5"/>
  <c r="DD348" i="5"/>
  <c r="DD347" i="5"/>
  <c r="DD346" i="5"/>
  <c r="DD345" i="5"/>
  <c r="DD344" i="5"/>
  <c r="DD343" i="5"/>
  <c r="DD342" i="5"/>
  <c r="DD341" i="5"/>
  <c r="DD340" i="5"/>
  <c r="DD339" i="5"/>
  <c r="DD338" i="5"/>
  <c r="DD337" i="5"/>
  <c r="DD336" i="5"/>
  <c r="DD335" i="5"/>
  <c r="DD334" i="5"/>
  <c r="DD333" i="5"/>
  <c r="DD332" i="5"/>
  <c r="DD331" i="5"/>
  <c r="DD330" i="5"/>
  <c r="DD329" i="5"/>
  <c r="DD328" i="5"/>
  <c r="DD327" i="5"/>
  <c r="DD326" i="5"/>
  <c r="DD325" i="5"/>
  <c r="DD324" i="5"/>
  <c r="DD323" i="5"/>
  <c r="DD322" i="5"/>
  <c r="DD321" i="5"/>
  <c r="DD320" i="5"/>
  <c r="DD319" i="5"/>
  <c r="DD318" i="5"/>
  <c r="DD317" i="5"/>
  <c r="DD316" i="5"/>
  <c r="DD315" i="5"/>
  <c r="DD314" i="5"/>
  <c r="DD313" i="5"/>
  <c r="DD312" i="5"/>
  <c r="DD311" i="5"/>
  <c r="DD310" i="5"/>
  <c r="DD309" i="5"/>
  <c r="DD308" i="5"/>
  <c r="DD307" i="5"/>
  <c r="DD306" i="5"/>
  <c r="DD305" i="5"/>
  <c r="DD304" i="5"/>
  <c r="DD303" i="5"/>
  <c r="DD302" i="5"/>
  <c r="DD301" i="5"/>
  <c r="DD300" i="5"/>
  <c r="DD299" i="5"/>
  <c r="DD298" i="5"/>
  <c r="DD297" i="5"/>
  <c r="DD296" i="5"/>
  <c r="DD295" i="5"/>
  <c r="DD294" i="5"/>
  <c r="DD293" i="5"/>
  <c r="DD292" i="5"/>
  <c r="DD291" i="5"/>
  <c r="DD290" i="5"/>
  <c r="DD289" i="5"/>
  <c r="DD288" i="5"/>
  <c r="DD287" i="5"/>
  <c r="DD286" i="5"/>
  <c r="DD285" i="5"/>
  <c r="DD284" i="5"/>
  <c r="DD283" i="5"/>
  <c r="DD282" i="5"/>
  <c r="DD281" i="5"/>
  <c r="DD280" i="5"/>
  <c r="DD279" i="5"/>
  <c r="DD278" i="5"/>
  <c r="DD277" i="5"/>
  <c r="DD276" i="5"/>
  <c r="DD275" i="5"/>
  <c r="DD274" i="5"/>
  <c r="DD273" i="5"/>
  <c r="DD272" i="5"/>
  <c r="DD271" i="5"/>
  <c r="DD270" i="5"/>
  <c r="DD269" i="5"/>
  <c r="DD268" i="5"/>
  <c r="DD267" i="5"/>
  <c r="DD266" i="5"/>
  <c r="DD265" i="5"/>
  <c r="DD264" i="5"/>
  <c r="DD263" i="5"/>
  <c r="DD262" i="5"/>
  <c r="DD261" i="5"/>
  <c r="DD260" i="5"/>
  <c r="DD259" i="5"/>
  <c r="DD258" i="5"/>
  <c r="DD257" i="5"/>
  <c r="DD256" i="5"/>
  <c r="DD255" i="5"/>
  <c r="DD254" i="5"/>
  <c r="DD253" i="5"/>
  <c r="DD252" i="5"/>
  <c r="DD251" i="5"/>
  <c r="DD250" i="5"/>
  <c r="DD249" i="5"/>
  <c r="DD248" i="5"/>
  <c r="DD247" i="5"/>
  <c r="DD246" i="5"/>
  <c r="DD245" i="5"/>
  <c r="DD244" i="5"/>
  <c r="DD243" i="5"/>
  <c r="DD242" i="5"/>
  <c r="DD241" i="5"/>
  <c r="DD240" i="5"/>
  <c r="DD239" i="5"/>
  <c r="DD238" i="5"/>
  <c r="DD237" i="5"/>
  <c r="DD236" i="5"/>
  <c r="DD235" i="5"/>
  <c r="DD234" i="5"/>
  <c r="DD233" i="5"/>
  <c r="DD232" i="5"/>
  <c r="DD231" i="5"/>
  <c r="DD230" i="5"/>
  <c r="DD229" i="5"/>
  <c r="DD228" i="5"/>
  <c r="DD227" i="5"/>
  <c r="DD226" i="5"/>
  <c r="DD225" i="5"/>
  <c r="DD224" i="5"/>
  <c r="DD223" i="5"/>
  <c r="DD222" i="5"/>
  <c r="DD221" i="5"/>
  <c r="DD220" i="5"/>
  <c r="DD219" i="5"/>
  <c r="DD218" i="5"/>
  <c r="DD217" i="5"/>
  <c r="DD216" i="5"/>
  <c r="DD215" i="5"/>
  <c r="DD214" i="5"/>
  <c r="DD213" i="5"/>
  <c r="DD212" i="5"/>
  <c r="DD211" i="5"/>
  <c r="DD210" i="5"/>
  <c r="DD209" i="5"/>
  <c r="DD208" i="5"/>
  <c r="DD207" i="5"/>
  <c r="DD206" i="5"/>
  <c r="DD205" i="5"/>
  <c r="DD204" i="5"/>
  <c r="DD203" i="5"/>
  <c r="DD202" i="5"/>
  <c r="DD201" i="5"/>
  <c r="DD200" i="5"/>
  <c r="DD199" i="5"/>
  <c r="DD198" i="5"/>
  <c r="DD197" i="5"/>
  <c r="DD196" i="5"/>
  <c r="DD195" i="5"/>
  <c r="DD194" i="5"/>
  <c r="DD193" i="5"/>
  <c r="DD192" i="5"/>
  <c r="DD191" i="5"/>
  <c r="DD190" i="5"/>
  <c r="DD189" i="5"/>
  <c r="DD188" i="5"/>
  <c r="DD187" i="5"/>
  <c r="DD186" i="5"/>
  <c r="DD185" i="5"/>
  <c r="DD184" i="5"/>
  <c r="DD183" i="5"/>
  <c r="DD182" i="5"/>
  <c r="DD181" i="5"/>
  <c r="DD180" i="5"/>
  <c r="DD179" i="5"/>
  <c r="DD178" i="5"/>
  <c r="DD177" i="5"/>
  <c r="DD176" i="5"/>
  <c r="DD175" i="5"/>
  <c r="DD174" i="5"/>
  <c r="DD173" i="5"/>
  <c r="DD172" i="5"/>
  <c r="DD171" i="5"/>
  <c r="DD170" i="5"/>
  <c r="DD169" i="5"/>
  <c r="DD168" i="5"/>
  <c r="DD167" i="5"/>
  <c r="DD166" i="5"/>
  <c r="DD165" i="5"/>
  <c r="DD164" i="5"/>
  <c r="DD163" i="5"/>
  <c r="DD162" i="5"/>
  <c r="DD161" i="5"/>
  <c r="DD160" i="5"/>
  <c r="DD159" i="5"/>
  <c r="DD158" i="5"/>
  <c r="DD157" i="5"/>
  <c r="DD156" i="5"/>
  <c r="DD155" i="5"/>
  <c r="DD154" i="5"/>
  <c r="DD153" i="5"/>
  <c r="DD152" i="5"/>
  <c r="DD151" i="5"/>
  <c r="DD150" i="5"/>
  <c r="DD149" i="5"/>
  <c r="DD148" i="5"/>
  <c r="DD147" i="5"/>
  <c r="DD146" i="5"/>
  <c r="DD145" i="5"/>
  <c r="DD144" i="5"/>
  <c r="DD143" i="5"/>
  <c r="DD142" i="5"/>
  <c r="DD141" i="5"/>
  <c r="DD140" i="5"/>
  <c r="DD139" i="5"/>
  <c r="DD138" i="5"/>
  <c r="DD137" i="5"/>
  <c r="DD136" i="5"/>
  <c r="DD135" i="5"/>
  <c r="DD134" i="5"/>
  <c r="DD133" i="5"/>
  <c r="DD132" i="5"/>
  <c r="DD131" i="5"/>
  <c r="DD130" i="5"/>
  <c r="DD129" i="5"/>
  <c r="DD128" i="5"/>
  <c r="DD127" i="5"/>
  <c r="DD126" i="5"/>
  <c r="DD125" i="5"/>
  <c r="DD124" i="5"/>
  <c r="DD123" i="5"/>
  <c r="DD122" i="5"/>
  <c r="DD121" i="5"/>
  <c r="DD120" i="5"/>
  <c r="DD119" i="5"/>
  <c r="DD118" i="5"/>
  <c r="DD117" i="5"/>
  <c r="DD116" i="5"/>
  <c r="DD115" i="5"/>
  <c r="DD114" i="5"/>
  <c r="DD113" i="5"/>
  <c r="DD112" i="5"/>
  <c r="DD111" i="5"/>
  <c r="DD110" i="5"/>
  <c r="DD109" i="5"/>
  <c r="DD108" i="5"/>
  <c r="DD107" i="5"/>
  <c r="DD106" i="5"/>
  <c r="DD105" i="5"/>
  <c r="DD104" i="5"/>
  <c r="DD103" i="5"/>
  <c r="DD102" i="5"/>
  <c r="DD101" i="5"/>
  <c r="DD100" i="5"/>
  <c r="DD99" i="5"/>
  <c r="DD98" i="5"/>
  <c r="DD97" i="5"/>
  <c r="DD96" i="5"/>
  <c r="DD95" i="5"/>
  <c r="DD94" i="5"/>
  <c r="DD93" i="5"/>
  <c r="DD92" i="5"/>
  <c r="DD91" i="5"/>
  <c r="DD90" i="5"/>
  <c r="DD89" i="5"/>
  <c r="DD88" i="5"/>
  <c r="DD87" i="5"/>
  <c r="DD86" i="5"/>
  <c r="DD85" i="5"/>
  <c r="DD84" i="5"/>
  <c r="DD83" i="5"/>
  <c r="DD82" i="5"/>
  <c r="DD81" i="5"/>
  <c r="DD80" i="5"/>
  <c r="DD79" i="5"/>
  <c r="DD78" i="5"/>
  <c r="DD77" i="5"/>
  <c r="DD76" i="5"/>
  <c r="DD75" i="5"/>
  <c r="DD74" i="5"/>
  <c r="DD73" i="5"/>
  <c r="DD72" i="5"/>
  <c r="DD71" i="5"/>
  <c r="DD70" i="5"/>
  <c r="DD69" i="5"/>
  <c r="DD68" i="5"/>
  <c r="DD67" i="5"/>
  <c r="DD66" i="5"/>
  <c r="DD65" i="5"/>
  <c r="DD64" i="5"/>
  <c r="DD63" i="5"/>
  <c r="DD62" i="5"/>
  <c r="DD61" i="5"/>
  <c r="DD60" i="5"/>
  <c r="DD59" i="5"/>
  <c r="DD58" i="5"/>
  <c r="DD57" i="5"/>
  <c r="DD56" i="5"/>
  <c r="DD55" i="5"/>
  <c r="DD54" i="5"/>
  <c r="DD53" i="5"/>
  <c r="DD52" i="5"/>
  <c r="DD51" i="5"/>
  <c r="DD50" i="5"/>
  <c r="DD49" i="5"/>
  <c r="DD48" i="5"/>
  <c r="DD47" i="5"/>
  <c r="DD46" i="5"/>
  <c r="DD45" i="5"/>
  <c r="DD44" i="5"/>
  <c r="DD43" i="5"/>
  <c r="DD42" i="5"/>
  <c r="DD41" i="5"/>
  <c r="DD40" i="5"/>
  <c r="DD39" i="5"/>
  <c r="DD38" i="5"/>
  <c r="DD37" i="5"/>
  <c r="DD36" i="5"/>
  <c r="DD35" i="5"/>
  <c r="DD34" i="5"/>
  <c r="DD33" i="5"/>
  <c r="DD32" i="5"/>
  <c r="DD31" i="5"/>
  <c r="DD30" i="5"/>
  <c r="DD29" i="5"/>
  <c r="DD28" i="5"/>
  <c r="DD27" i="5"/>
  <c r="DD26" i="5"/>
  <c r="DD25" i="5"/>
  <c r="DD24" i="5"/>
  <c r="DD23" i="5"/>
  <c r="DD22" i="5"/>
  <c r="DD21" i="5"/>
  <c r="DD20" i="5"/>
  <c r="DD19" i="5"/>
  <c r="DD18" i="5"/>
  <c r="DD17" i="5"/>
  <c r="DD16" i="5"/>
  <c r="DD15" i="5"/>
  <c r="DD14" i="5"/>
  <c r="DD13" i="5"/>
  <c r="DD12" i="5"/>
  <c r="DD11" i="5"/>
  <c r="DD10" i="5"/>
  <c r="DD9" i="5"/>
  <c r="DD8" i="5"/>
  <c r="CZ607" i="5"/>
  <c r="CZ606" i="5"/>
  <c r="CZ605" i="5"/>
  <c r="CZ604" i="5"/>
  <c r="CZ603" i="5"/>
  <c r="CZ602" i="5"/>
  <c r="CZ601" i="5"/>
  <c r="CZ600" i="5"/>
  <c r="CZ599" i="5"/>
  <c r="CZ598" i="5"/>
  <c r="CZ597" i="5"/>
  <c r="CZ596" i="5"/>
  <c r="CZ595" i="5"/>
  <c r="CZ594" i="5"/>
  <c r="CZ593" i="5"/>
  <c r="CZ592" i="5"/>
  <c r="CZ591" i="5"/>
  <c r="CZ590" i="5"/>
  <c r="CZ589" i="5"/>
  <c r="CZ588" i="5"/>
  <c r="CZ587" i="5"/>
  <c r="CZ586" i="5"/>
  <c r="CZ585" i="5"/>
  <c r="CZ584" i="5"/>
  <c r="CZ583" i="5"/>
  <c r="CZ582" i="5"/>
  <c r="CZ581" i="5"/>
  <c r="CZ580" i="5"/>
  <c r="CZ579" i="5"/>
  <c r="CZ578" i="5"/>
  <c r="CZ577" i="5"/>
  <c r="CZ576" i="5"/>
  <c r="CZ575" i="5"/>
  <c r="CZ574" i="5"/>
  <c r="CZ573" i="5"/>
  <c r="CZ572" i="5"/>
  <c r="CZ571" i="5"/>
  <c r="CZ570" i="5"/>
  <c r="CZ569" i="5"/>
  <c r="CZ568" i="5"/>
  <c r="CZ567" i="5"/>
  <c r="CZ566" i="5"/>
  <c r="CZ565" i="5"/>
  <c r="CZ564" i="5"/>
  <c r="CZ563" i="5"/>
  <c r="CZ562" i="5"/>
  <c r="CZ561" i="5"/>
  <c r="CZ560" i="5"/>
  <c r="CZ559" i="5"/>
  <c r="CZ558" i="5"/>
  <c r="CZ557" i="5"/>
  <c r="CZ556" i="5"/>
  <c r="CZ555" i="5"/>
  <c r="CZ554" i="5"/>
  <c r="CZ553" i="5"/>
  <c r="CZ552" i="5"/>
  <c r="CZ551" i="5"/>
  <c r="CZ550" i="5"/>
  <c r="CZ549" i="5"/>
  <c r="CZ548" i="5"/>
  <c r="CZ547" i="5"/>
  <c r="CZ546" i="5"/>
  <c r="CZ545" i="5"/>
  <c r="CZ544" i="5"/>
  <c r="CZ543" i="5"/>
  <c r="CZ542" i="5"/>
  <c r="CZ541" i="5"/>
  <c r="CZ540" i="5"/>
  <c r="CZ539" i="5"/>
  <c r="CZ538" i="5"/>
  <c r="CZ537" i="5"/>
  <c r="CZ536" i="5"/>
  <c r="CZ535" i="5"/>
  <c r="CZ534" i="5"/>
  <c r="CZ533" i="5"/>
  <c r="CZ532" i="5"/>
  <c r="CZ531" i="5"/>
  <c r="CZ530" i="5"/>
  <c r="CZ529" i="5"/>
  <c r="CZ528" i="5"/>
  <c r="CZ527" i="5"/>
  <c r="CZ526" i="5"/>
  <c r="CZ525" i="5"/>
  <c r="CZ524" i="5"/>
  <c r="CZ523" i="5"/>
  <c r="CZ522" i="5"/>
  <c r="CZ521" i="5"/>
  <c r="CZ520" i="5"/>
  <c r="CZ519" i="5"/>
  <c r="CZ518" i="5"/>
  <c r="CZ517" i="5"/>
  <c r="CZ516" i="5"/>
  <c r="CZ515" i="5"/>
  <c r="CZ514" i="5"/>
  <c r="CZ513" i="5"/>
  <c r="CZ512" i="5"/>
  <c r="CZ511" i="5"/>
  <c r="CZ510" i="5"/>
  <c r="CZ509" i="5"/>
  <c r="CZ508" i="5"/>
  <c r="CZ507" i="5"/>
  <c r="CZ506" i="5"/>
  <c r="CZ505" i="5"/>
  <c r="CZ504" i="5"/>
  <c r="CZ503" i="5"/>
  <c r="CZ502" i="5"/>
  <c r="CZ501" i="5"/>
  <c r="CZ500" i="5"/>
  <c r="CZ499" i="5"/>
  <c r="CZ498" i="5"/>
  <c r="CZ497" i="5"/>
  <c r="CZ496" i="5"/>
  <c r="CZ495" i="5"/>
  <c r="CZ494" i="5"/>
  <c r="CZ493" i="5"/>
  <c r="CZ492" i="5"/>
  <c r="CZ491" i="5"/>
  <c r="CZ490" i="5"/>
  <c r="CZ489" i="5"/>
  <c r="CZ488" i="5"/>
  <c r="CZ487" i="5"/>
  <c r="CZ486" i="5"/>
  <c r="CZ485" i="5"/>
  <c r="CZ484" i="5"/>
  <c r="CZ483" i="5"/>
  <c r="CZ482" i="5"/>
  <c r="CZ481" i="5"/>
  <c r="CZ480" i="5"/>
  <c r="CZ479" i="5"/>
  <c r="CZ478" i="5"/>
  <c r="CZ477" i="5"/>
  <c r="CZ476" i="5"/>
  <c r="CZ475" i="5"/>
  <c r="CZ474" i="5"/>
  <c r="CZ473" i="5"/>
  <c r="CZ472" i="5"/>
  <c r="CZ471" i="5"/>
  <c r="CZ470" i="5"/>
  <c r="CZ469" i="5"/>
  <c r="CZ468" i="5"/>
  <c r="CZ467" i="5"/>
  <c r="CZ466" i="5"/>
  <c r="CZ465" i="5"/>
  <c r="CZ464" i="5"/>
  <c r="CZ463" i="5"/>
  <c r="CZ462" i="5"/>
  <c r="CZ461" i="5"/>
  <c r="CZ460" i="5"/>
  <c r="CZ459" i="5"/>
  <c r="CZ458" i="5"/>
  <c r="CZ457" i="5"/>
  <c r="CZ456" i="5"/>
  <c r="CZ455" i="5"/>
  <c r="CZ454" i="5"/>
  <c r="CZ453" i="5"/>
  <c r="CZ452" i="5"/>
  <c r="CZ451" i="5"/>
  <c r="CZ450" i="5"/>
  <c r="CZ449" i="5"/>
  <c r="CZ448" i="5"/>
  <c r="CZ447" i="5"/>
  <c r="CZ446" i="5"/>
  <c r="CZ445" i="5"/>
  <c r="CZ444" i="5"/>
  <c r="CZ443" i="5"/>
  <c r="CZ442" i="5"/>
  <c r="CZ441" i="5"/>
  <c r="CZ440" i="5"/>
  <c r="CZ439" i="5"/>
  <c r="CZ438" i="5"/>
  <c r="CZ437" i="5"/>
  <c r="CZ436" i="5"/>
  <c r="CZ435" i="5"/>
  <c r="CZ434" i="5"/>
  <c r="CZ433" i="5"/>
  <c r="CZ432" i="5"/>
  <c r="CZ431" i="5"/>
  <c r="CZ430" i="5"/>
  <c r="CZ429" i="5"/>
  <c r="CZ428" i="5"/>
  <c r="CZ427" i="5"/>
  <c r="CZ426" i="5"/>
  <c r="CZ425" i="5"/>
  <c r="CZ424" i="5"/>
  <c r="CZ423" i="5"/>
  <c r="CZ422" i="5"/>
  <c r="CZ421" i="5"/>
  <c r="CZ420" i="5"/>
  <c r="CZ419" i="5"/>
  <c r="CZ418" i="5"/>
  <c r="CZ417" i="5"/>
  <c r="CZ416" i="5"/>
  <c r="CZ415" i="5"/>
  <c r="CZ414" i="5"/>
  <c r="CZ413" i="5"/>
  <c r="CZ412" i="5"/>
  <c r="CZ411" i="5"/>
  <c r="CZ410" i="5"/>
  <c r="CZ409" i="5"/>
  <c r="CZ408" i="5"/>
  <c r="CZ407" i="5"/>
  <c r="CZ406" i="5"/>
  <c r="CZ405" i="5"/>
  <c r="CZ404" i="5"/>
  <c r="CZ403" i="5"/>
  <c r="CZ402" i="5"/>
  <c r="CZ401" i="5"/>
  <c r="CZ400" i="5"/>
  <c r="CZ399" i="5"/>
  <c r="CZ398" i="5"/>
  <c r="CZ397" i="5"/>
  <c r="CZ396" i="5"/>
  <c r="CZ395" i="5"/>
  <c r="CZ394" i="5"/>
  <c r="CZ393" i="5"/>
  <c r="CZ392" i="5"/>
  <c r="CZ391" i="5"/>
  <c r="CZ390" i="5"/>
  <c r="CZ389" i="5"/>
  <c r="CZ388" i="5"/>
  <c r="CZ387" i="5"/>
  <c r="CZ386" i="5"/>
  <c r="CZ385" i="5"/>
  <c r="CZ384" i="5"/>
  <c r="CZ383" i="5"/>
  <c r="CZ382" i="5"/>
  <c r="CZ381" i="5"/>
  <c r="CZ380" i="5"/>
  <c r="CZ379" i="5"/>
  <c r="CZ378" i="5"/>
  <c r="CZ377" i="5"/>
  <c r="CZ376" i="5"/>
  <c r="CZ375" i="5"/>
  <c r="CZ374" i="5"/>
  <c r="CZ373" i="5"/>
  <c r="CZ372" i="5"/>
  <c r="CZ371" i="5"/>
  <c r="CZ370" i="5"/>
  <c r="CZ369" i="5"/>
  <c r="CZ368" i="5"/>
  <c r="CZ367" i="5"/>
  <c r="CZ366" i="5"/>
  <c r="CZ365" i="5"/>
  <c r="CZ364" i="5"/>
  <c r="CZ363" i="5"/>
  <c r="CZ362" i="5"/>
  <c r="CZ361" i="5"/>
  <c r="CZ360" i="5"/>
  <c r="CZ359" i="5"/>
  <c r="CZ358" i="5"/>
  <c r="CZ357" i="5"/>
  <c r="CZ356" i="5"/>
  <c r="CZ355" i="5"/>
  <c r="CZ354" i="5"/>
  <c r="CZ353" i="5"/>
  <c r="CZ352" i="5"/>
  <c r="CZ351" i="5"/>
  <c r="CZ350" i="5"/>
  <c r="CZ349" i="5"/>
  <c r="CZ348" i="5"/>
  <c r="CZ347" i="5"/>
  <c r="CZ346" i="5"/>
  <c r="CZ345" i="5"/>
  <c r="CZ344" i="5"/>
  <c r="CZ343" i="5"/>
  <c r="CZ342" i="5"/>
  <c r="CZ341" i="5"/>
  <c r="CZ340" i="5"/>
  <c r="CZ339" i="5"/>
  <c r="CZ338" i="5"/>
  <c r="CZ337" i="5"/>
  <c r="CZ336" i="5"/>
  <c r="CZ335" i="5"/>
  <c r="CZ334" i="5"/>
  <c r="CZ333" i="5"/>
  <c r="CZ332" i="5"/>
  <c r="CZ331" i="5"/>
  <c r="CZ330" i="5"/>
  <c r="CZ329" i="5"/>
  <c r="CZ328" i="5"/>
  <c r="CZ327" i="5"/>
  <c r="CZ326" i="5"/>
  <c r="CZ325" i="5"/>
  <c r="CZ324" i="5"/>
  <c r="CZ323" i="5"/>
  <c r="CZ322" i="5"/>
  <c r="CZ321" i="5"/>
  <c r="CZ320" i="5"/>
  <c r="CZ319" i="5"/>
  <c r="CZ318" i="5"/>
  <c r="CZ317" i="5"/>
  <c r="CZ316" i="5"/>
  <c r="CZ315" i="5"/>
  <c r="CZ314" i="5"/>
  <c r="CZ313" i="5"/>
  <c r="CZ312" i="5"/>
  <c r="CZ311" i="5"/>
  <c r="CZ310" i="5"/>
  <c r="CZ309" i="5"/>
  <c r="CZ308" i="5"/>
  <c r="CZ307" i="5"/>
  <c r="CZ306" i="5"/>
  <c r="CZ305" i="5"/>
  <c r="CZ304" i="5"/>
  <c r="CZ303" i="5"/>
  <c r="CZ302" i="5"/>
  <c r="CZ301" i="5"/>
  <c r="CZ300" i="5"/>
  <c r="CZ299" i="5"/>
  <c r="CZ298" i="5"/>
  <c r="CZ297" i="5"/>
  <c r="CZ296" i="5"/>
  <c r="CZ295" i="5"/>
  <c r="CZ294" i="5"/>
  <c r="CZ293" i="5"/>
  <c r="CZ292" i="5"/>
  <c r="CZ291" i="5"/>
  <c r="CZ290" i="5"/>
  <c r="CZ289" i="5"/>
  <c r="CZ288" i="5"/>
  <c r="CZ287" i="5"/>
  <c r="CZ286" i="5"/>
  <c r="CZ285" i="5"/>
  <c r="CZ284" i="5"/>
  <c r="CZ283" i="5"/>
  <c r="CZ282" i="5"/>
  <c r="CZ281" i="5"/>
  <c r="CZ280" i="5"/>
  <c r="CZ279" i="5"/>
  <c r="CZ278" i="5"/>
  <c r="CZ277" i="5"/>
  <c r="CZ276" i="5"/>
  <c r="CZ275" i="5"/>
  <c r="CZ274" i="5"/>
  <c r="CZ273" i="5"/>
  <c r="CZ272" i="5"/>
  <c r="CZ271" i="5"/>
  <c r="CZ270" i="5"/>
  <c r="CZ269" i="5"/>
  <c r="CZ268" i="5"/>
  <c r="CZ267" i="5"/>
  <c r="CZ266" i="5"/>
  <c r="CZ265" i="5"/>
  <c r="CZ264" i="5"/>
  <c r="CZ263" i="5"/>
  <c r="CZ262" i="5"/>
  <c r="CZ261" i="5"/>
  <c r="CZ260" i="5"/>
  <c r="CZ259" i="5"/>
  <c r="CZ258" i="5"/>
  <c r="CZ257" i="5"/>
  <c r="CZ256" i="5"/>
  <c r="CZ255" i="5"/>
  <c r="CZ254" i="5"/>
  <c r="CZ253" i="5"/>
  <c r="CZ252" i="5"/>
  <c r="CZ251" i="5"/>
  <c r="CZ250" i="5"/>
  <c r="CZ249" i="5"/>
  <c r="CZ248" i="5"/>
  <c r="CZ247" i="5"/>
  <c r="CZ246" i="5"/>
  <c r="CZ245" i="5"/>
  <c r="CZ244" i="5"/>
  <c r="CZ243" i="5"/>
  <c r="CZ242" i="5"/>
  <c r="CZ241" i="5"/>
  <c r="CZ240" i="5"/>
  <c r="CZ239" i="5"/>
  <c r="CZ238" i="5"/>
  <c r="CZ237" i="5"/>
  <c r="CZ236" i="5"/>
  <c r="CZ235" i="5"/>
  <c r="CZ234" i="5"/>
  <c r="CZ233" i="5"/>
  <c r="CZ232" i="5"/>
  <c r="CZ231" i="5"/>
  <c r="CZ230" i="5"/>
  <c r="CZ229" i="5"/>
  <c r="CZ228" i="5"/>
  <c r="CZ227" i="5"/>
  <c r="CZ226" i="5"/>
  <c r="CZ225" i="5"/>
  <c r="CZ224" i="5"/>
  <c r="CZ223" i="5"/>
  <c r="CZ222" i="5"/>
  <c r="CZ221" i="5"/>
  <c r="CZ220" i="5"/>
  <c r="CZ219" i="5"/>
  <c r="CZ218" i="5"/>
  <c r="CZ217" i="5"/>
  <c r="CZ216" i="5"/>
  <c r="CZ215" i="5"/>
  <c r="CZ214" i="5"/>
  <c r="CZ213" i="5"/>
  <c r="CZ212" i="5"/>
  <c r="CZ211" i="5"/>
  <c r="CZ210" i="5"/>
  <c r="CZ209" i="5"/>
  <c r="CZ208" i="5"/>
  <c r="CZ207" i="5"/>
  <c r="CZ206" i="5"/>
  <c r="CZ205" i="5"/>
  <c r="CZ204" i="5"/>
  <c r="CZ203" i="5"/>
  <c r="CZ202" i="5"/>
  <c r="CZ201" i="5"/>
  <c r="CZ200" i="5"/>
  <c r="CZ199" i="5"/>
  <c r="CZ198" i="5"/>
  <c r="CZ197" i="5"/>
  <c r="CZ196" i="5"/>
  <c r="CZ195" i="5"/>
  <c r="CZ194" i="5"/>
  <c r="CZ193" i="5"/>
  <c r="CZ192" i="5"/>
  <c r="CZ191" i="5"/>
  <c r="CZ190" i="5"/>
  <c r="CZ189" i="5"/>
  <c r="CZ188" i="5"/>
  <c r="CZ187" i="5"/>
  <c r="CZ186" i="5"/>
  <c r="CZ185" i="5"/>
  <c r="CZ184" i="5"/>
  <c r="CZ183" i="5"/>
  <c r="CZ182" i="5"/>
  <c r="CZ181" i="5"/>
  <c r="CZ180" i="5"/>
  <c r="CZ179" i="5"/>
  <c r="CZ178" i="5"/>
  <c r="CZ177" i="5"/>
  <c r="CZ176" i="5"/>
  <c r="CZ175" i="5"/>
  <c r="CZ174" i="5"/>
  <c r="CZ173" i="5"/>
  <c r="CZ172" i="5"/>
  <c r="CZ171" i="5"/>
  <c r="CZ170" i="5"/>
  <c r="CZ169" i="5"/>
  <c r="CZ168" i="5"/>
  <c r="CZ167" i="5"/>
  <c r="CZ166" i="5"/>
  <c r="CZ165" i="5"/>
  <c r="CZ164" i="5"/>
  <c r="CZ163" i="5"/>
  <c r="CZ162" i="5"/>
  <c r="CZ161" i="5"/>
  <c r="CZ160" i="5"/>
  <c r="CZ159" i="5"/>
  <c r="CZ158" i="5"/>
  <c r="CZ157" i="5"/>
  <c r="CZ156" i="5"/>
  <c r="CZ155" i="5"/>
  <c r="CZ154" i="5"/>
  <c r="CZ153" i="5"/>
  <c r="CZ152" i="5"/>
  <c r="CZ151" i="5"/>
  <c r="CZ150" i="5"/>
  <c r="CZ149" i="5"/>
  <c r="CZ148" i="5"/>
  <c r="CZ147" i="5"/>
  <c r="CZ146" i="5"/>
  <c r="CZ145" i="5"/>
  <c r="CZ144" i="5"/>
  <c r="CZ143" i="5"/>
  <c r="CZ142" i="5"/>
  <c r="CZ141" i="5"/>
  <c r="CZ140" i="5"/>
  <c r="CZ139" i="5"/>
  <c r="CZ138" i="5"/>
  <c r="CZ137" i="5"/>
  <c r="CZ136" i="5"/>
  <c r="CZ135" i="5"/>
  <c r="CZ134" i="5"/>
  <c r="CZ133" i="5"/>
  <c r="CZ132" i="5"/>
  <c r="CZ131" i="5"/>
  <c r="CZ130" i="5"/>
  <c r="CZ129" i="5"/>
  <c r="CZ128" i="5"/>
  <c r="CZ127" i="5"/>
  <c r="CZ126" i="5"/>
  <c r="CZ125" i="5"/>
  <c r="CZ124" i="5"/>
  <c r="CZ123" i="5"/>
  <c r="CZ122" i="5"/>
  <c r="CZ121" i="5"/>
  <c r="CZ120" i="5"/>
  <c r="CZ119" i="5"/>
  <c r="CZ118" i="5"/>
  <c r="CZ117" i="5"/>
  <c r="CZ116" i="5"/>
  <c r="CZ115" i="5"/>
  <c r="CZ114" i="5"/>
  <c r="CZ113" i="5"/>
  <c r="CZ112" i="5"/>
  <c r="CZ111" i="5"/>
  <c r="CZ110" i="5"/>
  <c r="CZ109" i="5"/>
  <c r="CZ108" i="5"/>
  <c r="CZ107" i="5"/>
  <c r="CZ106" i="5"/>
  <c r="CZ105" i="5"/>
  <c r="CZ104" i="5"/>
  <c r="CZ103" i="5"/>
  <c r="CZ102" i="5"/>
  <c r="CZ101" i="5"/>
  <c r="CZ100" i="5"/>
  <c r="CZ99" i="5"/>
  <c r="CZ98" i="5"/>
  <c r="CZ97" i="5"/>
  <c r="CZ96" i="5"/>
  <c r="CZ95" i="5"/>
  <c r="CZ94" i="5"/>
  <c r="CZ93" i="5"/>
  <c r="CZ92" i="5"/>
  <c r="CZ91" i="5"/>
  <c r="CZ90" i="5"/>
  <c r="CZ89" i="5"/>
  <c r="CZ88" i="5"/>
  <c r="CZ87" i="5"/>
  <c r="CZ86" i="5"/>
  <c r="CZ85" i="5"/>
  <c r="CZ84" i="5"/>
  <c r="CZ83" i="5"/>
  <c r="CZ82" i="5"/>
  <c r="CZ81" i="5"/>
  <c r="CZ80" i="5"/>
  <c r="CZ79" i="5"/>
  <c r="CZ78" i="5"/>
  <c r="CZ77" i="5"/>
  <c r="CZ76" i="5"/>
  <c r="CZ75" i="5"/>
  <c r="CZ74" i="5"/>
  <c r="CZ73" i="5"/>
  <c r="CZ72" i="5"/>
  <c r="CZ71" i="5"/>
  <c r="CZ70" i="5"/>
  <c r="CZ69" i="5"/>
  <c r="CZ68" i="5"/>
  <c r="CZ67" i="5"/>
  <c r="CZ66" i="5"/>
  <c r="CZ65" i="5"/>
  <c r="CZ64" i="5"/>
  <c r="CZ63" i="5"/>
  <c r="CZ62" i="5"/>
  <c r="CZ61" i="5"/>
  <c r="CZ60" i="5"/>
  <c r="CZ59" i="5"/>
  <c r="CZ58" i="5"/>
  <c r="CZ57" i="5"/>
  <c r="CZ56" i="5"/>
  <c r="CZ55" i="5"/>
  <c r="CZ54" i="5"/>
  <c r="CZ53" i="5"/>
  <c r="CZ52" i="5"/>
  <c r="CZ51" i="5"/>
  <c r="CZ50" i="5"/>
  <c r="CZ49" i="5"/>
  <c r="CZ48" i="5"/>
  <c r="CZ47" i="5"/>
  <c r="CZ46" i="5"/>
  <c r="CZ45" i="5"/>
  <c r="CZ44" i="5"/>
  <c r="CZ43" i="5"/>
  <c r="CZ42" i="5"/>
  <c r="CZ41" i="5"/>
  <c r="CZ40" i="5"/>
  <c r="CZ39" i="5"/>
  <c r="CZ38" i="5"/>
  <c r="CZ37" i="5"/>
  <c r="CZ36" i="5"/>
  <c r="CZ35" i="5"/>
  <c r="CZ34" i="5"/>
  <c r="CZ33" i="5"/>
  <c r="CZ32" i="5"/>
  <c r="CZ31" i="5"/>
  <c r="CZ30" i="5"/>
  <c r="CZ29" i="5"/>
  <c r="CZ28" i="5"/>
  <c r="CZ27" i="5"/>
  <c r="CZ26" i="5"/>
  <c r="CZ25" i="5"/>
  <c r="CZ24" i="5"/>
  <c r="CZ23" i="5"/>
  <c r="CZ22" i="5"/>
  <c r="CZ21" i="5"/>
  <c r="CZ20" i="5"/>
  <c r="CZ19" i="5"/>
  <c r="CZ18" i="5"/>
  <c r="CZ17" i="5"/>
  <c r="CZ16" i="5"/>
  <c r="CZ15" i="5"/>
  <c r="CZ14" i="5"/>
  <c r="CZ13" i="5"/>
  <c r="CZ12" i="5"/>
  <c r="CZ11" i="5"/>
  <c r="CZ10" i="5"/>
  <c r="CZ9" i="5"/>
  <c r="CZ8" i="5"/>
  <c r="CV607" i="5"/>
  <c r="CV606" i="5"/>
  <c r="CV605" i="5"/>
  <c r="CV604" i="5"/>
  <c r="CV603" i="5"/>
  <c r="CV602" i="5"/>
  <c r="CV601" i="5"/>
  <c r="CV600" i="5"/>
  <c r="CV599" i="5"/>
  <c r="CV598" i="5"/>
  <c r="CV597" i="5"/>
  <c r="CV596" i="5"/>
  <c r="CV595" i="5"/>
  <c r="CV594" i="5"/>
  <c r="CV593" i="5"/>
  <c r="CV592" i="5"/>
  <c r="CV591" i="5"/>
  <c r="CV590" i="5"/>
  <c r="CV589" i="5"/>
  <c r="CV588" i="5"/>
  <c r="CV587" i="5"/>
  <c r="CV586" i="5"/>
  <c r="CV585" i="5"/>
  <c r="CV584" i="5"/>
  <c r="CV583" i="5"/>
  <c r="CV582" i="5"/>
  <c r="CV581" i="5"/>
  <c r="CV580" i="5"/>
  <c r="CV579" i="5"/>
  <c r="CV578" i="5"/>
  <c r="CV577" i="5"/>
  <c r="CV576" i="5"/>
  <c r="CV575" i="5"/>
  <c r="CV574" i="5"/>
  <c r="CV573" i="5"/>
  <c r="CV572" i="5"/>
  <c r="CV571" i="5"/>
  <c r="CV570" i="5"/>
  <c r="CV569" i="5"/>
  <c r="CV568" i="5"/>
  <c r="CV567" i="5"/>
  <c r="CV566" i="5"/>
  <c r="CV565" i="5"/>
  <c r="CV564" i="5"/>
  <c r="CV563" i="5"/>
  <c r="CV562" i="5"/>
  <c r="CV561" i="5"/>
  <c r="CV560" i="5"/>
  <c r="CV559" i="5"/>
  <c r="CV558" i="5"/>
  <c r="CV557" i="5"/>
  <c r="CV556" i="5"/>
  <c r="CV555" i="5"/>
  <c r="CV554" i="5"/>
  <c r="CV553" i="5"/>
  <c r="CV552" i="5"/>
  <c r="CV551" i="5"/>
  <c r="CV550" i="5"/>
  <c r="CV549" i="5"/>
  <c r="CV548" i="5"/>
  <c r="CV547" i="5"/>
  <c r="CV546" i="5"/>
  <c r="CV545" i="5"/>
  <c r="CV544" i="5"/>
  <c r="CV543" i="5"/>
  <c r="CV542" i="5"/>
  <c r="CV541" i="5"/>
  <c r="CV540" i="5"/>
  <c r="CV539" i="5"/>
  <c r="CV538" i="5"/>
  <c r="CV537" i="5"/>
  <c r="CV536" i="5"/>
  <c r="CV535" i="5"/>
  <c r="CV534" i="5"/>
  <c r="CV533" i="5"/>
  <c r="CV532" i="5"/>
  <c r="CV531" i="5"/>
  <c r="CV530" i="5"/>
  <c r="CV529" i="5"/>
  <c r="CV528" i="5"/>
  <c r="CV527" i="5"/>
  <c r="CV526" i="5"/>
  <c r="CV525" i="5"/>
  <c r="CV524" i="5"/>
  <c r="CV523" i="5"/>
  <c r="CV522" i="5"/>
  <c r="CV521" i="5"/>
  <c r="CV520" i="5"/>
  <c r="CV519" i="5"/>
  <c r="CV518" i="5"/>
  <c r="CV517" i="5"/>
  <c r="CV516" i="5"/>
  <c r="CV515" i="5"/>
  <c r="CV514" i="5"/>
  <c r="CV513" i="5"/>
  <c r="CV512" i="5"/>
  <c r="CV511" i="5"/>
  <c r="CV510" i="5"/>
  <c r="CV509" i="5"/>
  <c r="CV508" i="5"/>
  <c r="CV507" i="5"/>
  <c r="CV506" i="5"/>
  <c r="CV505" i="5"/>
  <c r="CV504" i="5"/>
  <c r="CV503" i="5"/>
  <c r="CV502" i="5"/>
  <c r="CV501" i="5"/>
  <c r="CV500" i="5"/>
  <c r="CV499" i="5"/>
  <c r="CV498" i="5"/>
  <c r="CV497" i="5"/>
  <c r="CV496" i="5"/>
  <c r="CV495" i="5"/>
  <c r="CV494" i="5"/>
  <c r="CV493" i="5"/>
  <c r="CV492" i="5"/>
  <c r="CV491" i="5"/>
  <c r="CV490" i="5"/>
  <c r="CV489" i="5"/>
  <c r="CV488" i="5"/>
  <c r="CV487" i="5"/>
  <c r="CV486" i="5"/>
  <c r="CV485" i="5"/>
  <c r="CV484" i="5"/>
  <c r="CV483" i="5"/>
  <c r="CV482" i="5"/>
  <c r="CV481" i="5"/>
  <c r="CV480" i="5"/>
  <c r="CV479" i="5"/>
  <c r="CV478" i="5"/>
  <c r="CV477" i="5"/>
  <c r="CV476" i="5"/>
  <c r="CV475" i="5"/>
  <c r="CV474" i="5"/>
  <c r="CV473" i="5"/>
  <c r="CV472" i="5"/>
  <c r="CV471" i="5"/>
  <c r="CV470" i="5"/>
  <c r="CV469" i="5"/>
  <c r="CV468" i="5"/>
  <c r="CV467" i="5"/>
  <c r="CV466" i="5"/>
  <c r="CV465" i="5"/>
  <c r="CV464" i="5"/>
  <c r="CV463" i="5"/>
  <c r="CV462" i="5"/>
  <c r="CV461" i="5"/>
  <c r="CV460" i="5"/>
  <c r="CV459" i="5"/>
  <c r="CV458" i="5"/>
  <c r="CV457" i="5"/>
  <c r="CV456" i="5"/>
  <c r="CV455" i="5"/>
  <c r="CV454" i="5"/>
  <c r="CV453" i="5"/>
  <c r="CV452" i="5"/>
  <c r="CV451" i="5"/>
  <c r="CV450" i="5"/>
  <c r="CV449" i="5"/>
  <c r="CV448" i="5"/>
  <c r="CV447" i="5"/>
  <c r="CV446" i="5"/>
  <c r="CV445" i="5"/>
  <c r="CV444" i="5"/>
  <c r="CV443" i="5"/>
  <c r="CV442" i="5"/>
  <c r="CV441" i="5"/>
  <c r="CV440" i="5"/>
  <c r="CV439" i="5"/>
  <c r="CV438" i="5"/>
  <c r="CV437" i="5"/>
  <c r="CV436" i="5"/>
  <c r="CV435" i="5"/>
  <c r="CV434" i="5"/>
  <c r="CV433" i="5"/>
  <c r="CV432" i="5"/>
  <c r="CV431" i="5"/>
  <c r="CV430" i="5"/>
  <c r="CV429" i="5"/>
  <c r="CV428" i="5"/>
  <c r="CV427" i="5"/>
  <c r="CV426" i="5"/>
  <c r="CV425" i="5"/>
  <c r="CV424" i="5"/>
  <c r="CV423" i="5"/>
  <c r="CV422" i="5"/>
  <c r="CV421" i="5"/>
  <c r="CV420" i="5"/>
  <c r="CV419" i="5"/>
  <c r="CV418" i="5"/>
  <c r="CV417" i="5"/>
  <c r="CV416" i="5"/>
  <c r="CV415" i="5"/>
  <c r="CV414" i="5"/>
  <c r="CV413" i="5"/>
  <c r="CV412" i="5"/>
  <c r="CV411" i="5"/>
  <c r="CV410" i="5"/>
  <c r="CV409" i="5"/>
  <c r="CV408" i="5"/>
  <c r="CV407" i="5"/>
  <c r="CV406" i="5"/>
  <c r="CV405" i="5"/>
  <c r="CV404" i="5"/>
  <c r="CV403" i="5"/>
  <c r="CV402" i="5"/>
  <c r="CV401" i="5"/>
  <c r="CV400" i="5"/>
  <c r="CV399" i="5"/>
  <c r="CV398" i="5"/>
  <c r="CV397" i="5"/>
  <c r="CV396" i="5"/>
  <c r="CV395" i="5"/>
  <c r="CV394" i="5"/>
  <c r="CV393" i="5"/>
  <c r="CV392" i="5"/>
  <c r="CV391" i="5"/>
  <c r="CV390" i="5"/>
  <c r="CV389" i="5"/>
  <c r="CV388" i="5"/>
  <c r="CV387" i="5"/>
  <c r="CV386" i="5"/>
  <c r="CV385" i="5"/>
  <c r="CV384" i="5"/>
  <c r="CV383" i="5"/>
  <c r="CV382" i="5"/>
  <c r="CV381" i="5"/>
  <c r="CV380" i="5"/>
  <c r="CV379" i="5"/>
  <c r="CV378" i="5"/>
  <c r="CV377" i="5"/>
  <c r="CV376" i="5"/>
  <c r="CV375" i="5"/>
  <c r="CV374" i="5"/>
  <c r="CV373" i="5"/>
  <c r="CV372" i="5"/>
  <c r="CV371" i="5"/>
  <c r="CV370" i="5"/>
  <c r="CV369" i="5"/>
  <c r="CV368" i="5"/>
  <c r="CV367" i="5"/>
  <c r="CV366" i="5"/>
  <c r="CV365" i="5"/>
  <c r="CV364" i="5"/>
  <c r="CV363" i="5"/>
  <c r="CV362" i="5"/>
  <c r="CV361" i="5"/>
  <c r="CV360" i="5"/>
  <c r="CV359" i="5"/>
  <c r="CV358" i="5"/>
  <c r="CV357" i="5"/>
  <c r="CV356" i="5"/>
  <c r="CV355" i="5"/>
  <c r="CV354" i="5"/>
  <c r="CV353" i="5"/>
  <c r="CV352" i="5"/>
  <c r="CV351" i="5"/>
  <c r="CV350" i="5"/>
  <c r="CV349" i="5"/>
  <c r="CV348" i="5"/>
  <c r="CV347" i="5"/>
  <c r="CV346" i="5"/>
  <c r="CV345" i="5"/>
  <c r="CV344" i="5"/>
  <c r="CV343" i="5"/>
  <c r="CV342" i="5"/>
  <c r="CV341" i="5"/>
  <c r="CV340" i="5"/>
  <c r="CV339" i="5"/>
  <c r="CV338" i="5"/>
  <c r="CV337" i="5"/>
  <c r="CV336" i="5"/>
  <c r="CV335" i="5"/>
  <c r="CV334" i="5"/>
  <c r="CV333" i="5"/>
  <c r="CV332" i="5"/>
  <c r="CV331" i="5"/>
  <c r="CV330" i="5"/>
  <c r="CV329" i="5"/>
  <c r="CV328" i="5"/>
  <c r="CV327" i="5"/>
  <c r="CV326" i="5"/>
  <c r="CV325" i="5"/>
  <c r="CV324" i="5"/>
  <c r="CV323" i="5"/>
  <c r="CV322" i="5"/>
  <c r="CV321" i="5"/>
  <c r="CV320" i="5"/>
  <c r="CV319" i="5"/>
  <c r="CV318" i="5"/>
  <c r="CV317" i="5"/>
  <c r="CV316" i="5"/>
  <c r="CV315" i="5"/>
  <c r="CV314" i="5"/>
  <c r="CV313" i="5"/>
  <c r="CV312" i="5"/>
  <c r="CV311" i="5"/>
  <c r="CV310" i="5"/>
  <c r="CV309" i="5"/>
  <c r="CV308" i="5"/>
  <c r="CV307" i="5"/>
  <c r="CV306" i="5"/>
  <c r="CV305" i="5"/>
  <c r="CV304" i="5"/>
  <c r="CV303" i="5"/>
  <c r="CV302" i="5"/>
  <c r="CV301" i="5"/>
  <c r="CV300" i="5"/>
  <c r="CV299" i="5"/>
  <c r="CV298" i="5"/>
  <c r="CV297" i="5"/>
  <c r="CV296" i="5"/>
  <c r="CV295" i="5"/>
  <c r="CV294" i="5"/>
  <c r="CV293" i="5"/>
  <c r="CV292" i="5"/>
  <c r="CV291" i="5"/>
  <c r="CV290" i="5"/>
  <c r="CV289" i="5"/>
  <c r="CV288" i="5"/>
  <c r="CV287" i="5"/>
  <c r="CV286" i="5"/>
  <c r="CV285" i="5"/>
  <c r="CV284" i="5"/>
  <c r="CV283" i="5"/>
  <c r="CV282" i="5"/>
  <c r="CV281" i="5"/>
  <c r="CV280" i="5"/>
  <c r="CV279" i="5"/>
  <c r="CV278" i="5"/>
  <c r="CV277" i="5"/>
  <c r="CV276" i="5"/>
  <c r="CV275" i="5"/>
  <c r="CV274" i="5"/>
  <c r="CV273" i="5"/>
  <c r="CV272" i="5"/>
  <c r="CV271" i="5"/>
  <c r="CV270" i="5"/>
  <c r="CV269" i="5"/>
  <c r="CV268" i="5"/>
  <c r="CV267" i="5"/>
  <c r="CV266" i="5"/>
  <c r="CV265" i="5"/>
  <c r="CV264" i="5"/>
  <c r="CV263" i="5"/>
  <c r="CV262" i="5"/>
  <c r="CV261" i="5"/>
  <c r="CV260" i="5"/>
  <c r="CV259" i="5"/>
  <c r="CV258" i="5"/>
  <c r="CV257" i="5"/>
  <c r="CV256" i="5"/>
  <c r="CV255" i="5"/>
  <c r="CV254" i="5"/>
  <c r="CV253" i="5"/>
  <c r="CV252" i="5"/>
  <c r="CV251" i="5"/>
  <c r="CV250" i="5"/>
  <c r="CV249" i="5"/>
  <c r="CV248" i="5"/>
  <c r="CV247" i="5"/>
  <c r="CV246" i="5"/>
  <c r="CV245" i="5"/>
  <c r="CV244" i="5"/>
  <c r="CV243" i="5"/>
  <c r="CV242" i="5"/>
  <c r="CV241" i="5"/>
  <c r="CV240" i="5"/>
  <c r="CV239" i="5"/>
  <c r="CV238" i="5"/>
  <c r="CV237" i="5"/>
  <c r="CV236" i="5"/>
  <c r="CV235" i="5"/>
  <c r="CV234" i="5"/>
  <c r="CV233" i="5"/>
  <c r="CV232" i="5"/>
  <c r="CV231" i="5"/>
  <c r="CV230" i="5"/>
  <c r="CV229" i="5"/>
  <c r="CV228" i="5"/>
  <c r="CV227" i="5"/>
  <c r="CV226" i="5"/>
  <c r="CV225" i="5"/>
  <c r="CV224" i="5"/>
  <c r="CV223" i="5"/>
  <c r="CV222" i="5"/>
  <c r="CV221" i="5"/>
  <c r="CV220" i="5"/>
  <c r="CV219" i="5"/>
  <c r="CV218" i="5"/>
  <c r="CV217" i="5"/>
  <c r="CV216" i="5"/>
  <c r="CV215" i="5"/>
  <c r="CV214" i="5"/>
  <c r="CV213" i="5"/>
  <c r="CV212" i="5"/>
  <c r="CV211" i="5"/>
  <c r="CV210" i="5"/>
  <c r="CV209" i="5"/>
  <c r="CV208" i="5"/>
  <c r="CV207" i="5"/>
  <c r="CV206" i="5"/>
  <c r="CV205" i="5"/>
  <c r="CV204" i="5"/>
  <c r="CV203" i="5"/>
  <c r="CV202" i="5"/>
  <c r="CV201" i="5"/>
  <c r="CV200" i="5"/>
  <c r="CV199" i="5"/>
  <c r="CV198" i="5"/>
  <c r="CV197" i="5"/>
  <c r="CV196" i="5"/>
  <c r="CV195" i="5"/>
  <c r="CV194" i="5"/>
  <c r="CV193" i="5"/>
  <c r="CV192" i="5"/>
  <c r="CV191" i="5"/>
  <c r="CV190" i="5"/>
  <c r="CV189" i="5"/>
  <c r="CV188" i="5"/>
  <c r="CV187" i="5"/>
  <c r="CV186" i="5"/>
  <c r="CV185" i="5"/>
  <c r="CV184" i="5"/>
  <c r="CV183" i="5"/>
  <c r="CV182" i="5"/>
  <c r="CV181" i="5"/>
  <c r="CV180" i="5"/>
  <c r="CV179" i="5"/>
  <c r="CV178" i="5"/>
  <c r="CV177" i="5"/>
  <c r="CV176" i="5"/>
  <c r="CV175" i="5"/>
  <c r="CV174" i="5"/>
  <c r="CV173" i="5"/>
  <c r="CV172" i="5"/>
  <c r="CV171" i="5"/>
  <c r="CV170" i="5"/>
  <c r="CV169" i="5"/>
  <c r="CV168" i="5"/>
  <c r="CV167" i="5"/>
  <c r="CV166" i="5"/>
  <c r="CV165" i="5"/>
  <c r="CV164" i="5"/>
  <c r="CV163" i="5"/>
  <c r="CV162" i="5"/>
  <c r="CV161" i="5"/>
  <c r="CV160" i="5"/>
  <c r="CV159" i="5"/>
  <c r="CV158" i="5"/>
  <c r="CV157" i="5"/>
  <c r="CV156" i="5"/>
  <c r="CV155" i="5"/>
  <c r="CV154" i="5"/>
  <c r="CV153" i="5"/>
  <c r="CV152" i="5"/>
  <c r="CV151" i="5"/>
  <c r="CV150" i="5"/>
  <c r="CV149" i="5"/>
  <c r="CV148" i="5"/>
  <c r="CV147" i="5"/>
  <c r="CV146" i="5"/>
  <c r="CV145" i="5"/>
  <c r="CV144" i="5"/>
  <c r="CV143" i="5"/>
  <c r="CV142" i="5"/>
  <c r="CV141" i="5"/>
  <c r="CV140" i="5"/>
  <c r="CV139" i="5"/>
  <c r="CV138" i="5"/>
  <c r="CV137" i="5"/>
  <c r="CV136" i="5"/>
  <c r="CV135" i="5"/>
  <c r="CV134" i="5"/>
  <c r="CV133" i="5"/>
  <c r="CV132" i="5"/>
  <c r="CV131" i="5"/>
  <c r="CV130" i="5"/>
  <c r="CV129" i="5"/>
  <c r="CV128" i="5"/>
  <c r="CV127" i="5"/>
  <c r="CV126" i="5"/>
  <c r="CV125" i="5"/>
  <c r="CV124" i="5"/>
  <c r="CV123" i="5"/>
  <c r="CV122" i="5"/>
  <c r="CV121" i="5"/>
  <c r="CV120" i="5"/>
  <c r="CV119" i="5"/>
  <c r="CV118" i="5"/>
  <c r="CV117" i="5"/>
  <c r="CV116" i="5"/>
  <c r="CV115" i="5"/>
  <c r="CV114" i="5"/>
  <c r="CV113" i="5"/>
  <c r="CV112" i="5"/>
  <c r="CV111" i="5"/>
  <c r="CV110" i="5"/>
  <c r="CV109" i="5"/>
  <c r="CV108" i="5"/>
  <c r="CV107" i="5"/>
  <c r="CV106" i="5"/>
  <c r="CV105" i="5"/>
  <c r="CV104" i="5"/>
  <c r="CV103" i="5"/>
  <c r="CV102" i="5"/>
  <c r="CV101" i="5"/>
  <c r="CV100" i="5"/>
  <c r="CV99" i="5"/>
  <c r="CV98" i="5"/>
  <c r="CV97" i="5"/>
  <c r="CV96" i="5"/>
  <c r="CV95" i="5"/>
  <c r="CV94" i="5"/>
  <c r="CV93" i="5"/>
  <c r="CV92" i="5"/>
  <c r="CV91" i="5"/>
  <c r="CV90" i="5"/>
  <c r="CV89" i="5"/>
  <c r="CV88" i="5"/>
  <c r="CV87" i="5"/>
  <c r="CV86" i="5"/>
  <c r="CV85" i="5"/>
  <c r="CV84" i="5"/>
  <c r="CV83" i="5"/>
  <c r="CV82" i="5"/>
  <c r="CV81" i="5"/>
  <c r="CV80" i="5"/>
  <c r="CV79" i="5"/>
  <c r="CV78" i="5"/>
  <c r="CV77" i="5"/>
  <c r="CV76" i="5"/>
  <c r="CV75" i="5"/>
  <c r="CV74" i="5"/>
  <c r="CV73" i="5"/>
  <c r="CV72" i="5"/>
  <c r="CV71" i="5"/>
  <c r="CV70" i="5"/>
  <c r="CV69" i="5"/>
  <c r="CV68" i="5"/>
  <c r="CV67" i="5"/>
  <c r="CV66" i="5"/>
  <c r="CV65" i="5"/>
  <c r="CV64" i="5"/>
  <c r="CV63" i="5"/>
  <c r="CV62" i="5"/>
  <c r="CV61" i="5"/>
  <c r="CV60" i="5"/>
  <c r="CV59" i="5"/>
  <c r="CV58" i="5"/>
  <c r="CV57" i="5"/>
  <c r="CV56" i="5"/>
  <c r="CV55" i="5"/>
  <c r="CV54" i="5"/>
  <c r="CV53" i="5"/>
  <c r="CV52" i="5"/>
  <c r="CV51" i="5"/>
  <c r="CV50" i="5"/>
  <c r="CV49" i="5"/>
  <c r="CV48" i="5"/>
  <c r="CV47" i="5"/>
  <c r="CV46" i="5"/>
  <c r="CV45" i="5"/>
  <c r="CV44" i="5"/>
  <c r="CV43" i="5"/>
  <c r="CV42" i="5"/>
  <c r="CV41" i="5"/>
  <c r="CV40" i="5"/>
  <c r="CV39" i="5"/>
  <c r="CV38" i="5"/>
  <c r="CV37" i="5"/>
  <c r="CV36" i="5"/>
  <c r="CV35" i="5"/>
  <c r="CV34" i="5"/>
  <c r="CV33" i="5"/>
  <c r="CV32" i="5"/>
  <c r="CV31" i="5"/>
  <c r="CV30" i="5"/>
  <c r="CV29" i="5"/>
  <c r="CV28" i="5"/>
  <c r="CV27" i="5"/>
  <c r="CV26" i="5"/>
  <c r="CV25" i="5"/>
  <c r="CV24" i="5"/>
  <c r="CV23" i="5"/>
  <c r="CV22" i="5"/>
  <c r="CV21" i="5"/>
  <c r="CV20" i="5"/>
  <c r="CV19" i="5"/>
  <c r="CV18" i="5"/>
  <c r="CV17" i="5"/>
  <c r="CV16" i="5"/>
  <c r="CV15" i="5"/>
  <c r="CV14" i="5"/>
  <c r="CV13" i="5"/>
  <c r="CV12" i="5"/>
  <c r="CV11" i="5"/>
  <c r="CV10" i="5"/>
  <c r="CV9" i="5"/>
  <c r="CV8" i="5"/>
  <c r="CR607" i="5"/>
  <c r="CR606" i="5"/>
  <c r="CR605" i="5"/>
  <c r="CR604" i="5"/>
  <c r="CR603" i="5"/>
  <c r="CR602" i="5"/>
  <c r="CR601" i="5"/>
  <c r="CR600" i="5"/>
  <c r="CR599" i="5"/>
  <c r="CR598" i="5"/>
  <c r="CR597" i="5"/>
  <c r="CR596" i="5"/>
  <c r="CR595" i="5"/>
  <c r="CR594" i="5"/>
  <c r="CR593" i="5"/>
  <c r="CR592" i="5"/>
  <c r="CR591" i="5"/>
  <c r="CR590" i="5"/>
  <c r="CR589" i="5"/>
  <c r="CR588" i="5"/>
  <c r="CR587" i="5"/>
  <c r="CR586" i="5"/>
  <c r="CR585" i="5"/>
  <c r="CR584" i="5"/>
  <c r="CR583" i="5"/>
  <c r="CR582" i="5"/>
  <c r="CR581" i="5"/>
  <c r="CR580" i="5"/>
  <c r="CR579" i="5"/>
  <c r="CR578" i="5"/>
  <c r="CR577" i="5"/>
  <c r="CR576" i="5"/>
  <c r="CR575" i="5"/>
  <c r="CR574" i="5"/>
  <c r="CR573" i="5"/>
  <c r="CR572" i="5"/>
  <c r="CR571" i="5"/>
  <c r="CR570" i="5"/>
  <c r="CR569" i="5"/>
  <c r="CR568" i="5"/>
  <c r="CR567" i="5"/>
  <c r="CR566" i="5"/>
  <c r="CR565" i="5"/>
  <c r="CR564" i="5"/>
  <c r="CR563" i="5"/>
  <c r="CR562" i="5"/>
  <c r="CR561" i="5"/>
  <c r="CR560" i="5"/>
  <c r="CR559" i="5"/>
  <c r="CR558" i="5"/>
  <c r="CR557" i="5"/>
  <c r="CR556" i="5"/>
  <c r="CR555" i="5"/>
  <c r="CR554" i="5"/>
  <c r="CR553" i="5"/>
  <c r="CR552" i="5"/>
  <c r="CR551" i="5"/>
  <c r="CR550" i="5"/>
  <c r="CR549" i="5"/>
  <c r="CR548" i="5"/>
  <c r="CR547" i="5"/>
  <c r="CR546" i="5"/>
  <c r="CR545" i="5"/>
  <c r="CR544" i="5"/>
  <c r="CR543" i="5"/>
  <c r="CR542" i="5"/>
  <c r="CR541" i="5"/>
  <c r="CR540" i="5"/>
  <c r="CR539" i="5"/>
  <c r="CR538" i="5"/>
  <c r="CR537" i="5"/>
  <c r="CR536" i="5"/>
  <c r="CR535" i="5"/>
  <c r="CR534" i="5"/>
  <c r="CR533" i="5"/>
  <c r="CR532" i="5"/>
  <c r="CR531" i="5"/>
  <c r="CR530" i="5"/>
  <c r="CR529" i="5"/>
  <c r="CR528" i="5"/>
  <c r="CR527" i="5"/>
  <c r="CR526" i="5"/>
  <c r="CR525" i="5"/>
  <c r="CR524" i="5"/>
  <c r="CR523" i="5"/>
  <c r="CR522" i="5"/>
  <c r="CR521" i="5"/>
  <c r="CR520" i="5"/>
  <c r="CR519" i="5"/>
  <c r="CR518" i="5"/>
  <c r="CR517" i="5"/>
  <c r="CR516" i="5"/>
  <c r="CR515" i="5"/>
  <c r="CR514" i="5"/>
  <c r="CR513" i="5"/>
  <c r="CR512" i="5"/>
  <c r="CR511" i="5"/>
  <c r="CR510" i="5"/>
  <c r="CR509" i="5"/>
  <c r="CR508" i="5"/>
  <c r="CR507" i="5"/>
  <c r="CR506" i="5"/>
  <c r="CR505" i="5"/>
  <c r="CR504" i="5"/>
  <c r="CR503" i="5"/>
  <c r="CR502" i="5"/>
  <c r="CR501" i="5"/>
  <c r="CR500" i="5"/>
  <c r="CR499" i="5"/>
  <c r="CR498" i="5"/>
  <c r="CR497" i="5"/>
  <c r="CR496" i="5"/>
  <c r="CR495" i="5"/>
  <c r="CR494" i="5"/>
  <c r="CR493" i="5"/>
  <c r="CR492" i="5"/>
  <c r="CR491" i="5"/>
  <c r="CR490" i="5"/>
  <c r="CR489" i="5"/>
  <c r="CR488" i="5"/>
  <c r="CR487" i="5"/>
  <c r="CR486" i="5"/>
  <c r="CR485" i="5"/>
  <c r="CR484" i="5"/>
  <c r="CR483" i="5"/>
  <c r="CR482" i="5"/>
  <c r="CR481" i="5"/>
  <c r="CR480" i="5"/>
  <c r="CR479" i="5"/>
  <c r="CR478" i="5"/>
  <c r="CR477" i="5"/>
  <c r="CR476" i="5"/>
  <c r="CR475" i="5"/>
  <c r="CR474" i="5"/>
  <c r="CR473" i="5"/>
  <c r="CR472" i="5"/>
  <c r="CR471" i="5"/>
  <c r="CR470" i="5"/>
  <c r="CR469" i="5"/>
  <c r="CR468" i="5"/>
  <c r="CR467" i="5"/>
  <c r="CR466" i="5"/>
  <c r="CR465" i="5"/>
  <c r="CR464" i="5"/>
  <c r="CR463" i="5"/>
  <c r="CR462" i="5"/>
  <c r="CR461" i="5"/>
  <c r="CR460" i="5"/>
  <c r="CR459" i="5"/>
  <c r="CR458" i="5"/>
  <c r="CR457" i="5"/>
  <c r="CR456" i="5"/>
  <c r="CR455" i="5"/>
  <c r="CR454" i="5"/>
  <c r="CR453" i="5"/>
  <c r="CR452" i="5"/>
  <c r="CR451" i="5"/>
  <c r="CR450" i="5"/>
  <c r="CR449" i="5"/>
  <c r="CR448" i="5"/>
  <c r="CR447" i="5"/>
  <c r="CR446" i="5"/>
  <c r="CR445" i="5"/>
  <c r="CR444" i="5"/>
  <c r="CR443" i="5"/>
  <c r="CR442" i="5"/>
  <c r="CR441" i="5"/>
  <c r="CR440" i="5"/>
  <c r="CR439" i="5"/>
  <c r="CR438" i="5"/>
  <c r="CR437" i="5"/>
  <c r="CR436" i="5"/>
  <c r="CR435" i="5"/>
  <c r="CR434" i="5"/>
  <c r="CR433" i="5"/>
  <c r="CR432" i="5"/>
  <c r="CR431" i="5"/>
  <c r="CR430" i="5"/>
  <c r="CR429" i="5"/>
  <c r="CR428" i="5"/>
  <c r="CR427" i="5"/>
  <c r="CR426" i="5"/>
  <c r="CR425" i="5"/>
  <c r="CR424" i="5"/>
  <c r="CR423" i="5"/>
  <c r="CR422" i="5"/>
  <c r="CR421" i="5"/>
  <c r="CR420" i="5"/>
  <c r="CR419" i="5"/>
  <c r="CR418" i="5"/>
  <c r="CR417" i="5"/>
  <c r="CR416" i="5"/>
  <c r="CR415" i="5"/>
  <c r="CR414" i="5"/>
  <c r="CR413" i="5"/>
  <c r="CR412" i="5"/>
  <c r="CR411" i="5"/>
  <c r="CR410" i="5"/>
  <c r="CR409" i="5"/>
  <c r="CR408" i="5"/>
  <c r="CR407" i="5"/>
  <c r="CR406" i="5"/>
  <c r="CR405" i="5"/>
  <c r="CR404" i="5"/>
  <c r="CR403" i="5"/>
  <c r="CR402" i="5"/>
  <c r="CR401" i="5"/>
  <c r="CR400" i="5"/>
  <c r="CR399" i="5"/>
  <c r="CR398" i="5"/>
  <c r="CR397" i="5"/>
  <c r="CR396" i="5"/>
  <c r="CR395" i="5"/>
  <c r="CR394" i="5"/>
  <c r="CR393" i="5"/>
  <c r="CR392" i="5"/>
  <c r="CR391" i="5"/>
  <c r="CR390" i="5"/>
  <c r="CR389" i="5"/>
  <c r="CR388" i="5"/>
  <c r="CR387" i="5"/>
  <c r="CR386" i="5"/>
  <c r="CR385" i="5"/>
  <c r="CR384" i="5"/>
  <c r="CR383" i="5"/>
  <c r="CR382" i="5"/>
  <c r="CR381" i="5"/>
  <c r="CR380" i="5"/>
  <c r="CR379" i="5"/>
  <c r="CR378" i="5"/>
  <c r="CR377" i="5"/>
  <c r="CR376" i="5"/>
  <c r="CR375" i="5"/>
  <c r="CR374" i="5"/>
  <c r="CR373" i="5"/>
  <c r="CR372" i="5"/>
  <c r="CR371" i="5"/>
  <c r="CR370" i="5"/>
  <c r="CR369" i="5"/>
  <c r="CR368" i="5"/>
  <c r="CR367" i="5"/>
  <c r="CR366" i="5"/>
  <c r="CR365" i="5"/>
  <c r="CR364" i="5"/>
  <c r="CR363" i="5"/>
  <c r="CR362" i="5"/>
  <c r="CR361" i="5"/>
  <c r="CR360" i="5"/>
  <c r="CR359" i="5"/>
  <c r="CR358" i="5"/>
  <c r="CR357" i="5"/>
  <c r="CR356" i="5"/>
  <c r="CR355" i="5"/>
  <c r="CR354" i="5"/>
  <c r="CR353" i="5"/>
  <c r="CR352" i="5"/>
  <c r="CR351" i="5"/>
  <c r="CR350" i="5"/>
  <c r="CR349" i="5"/>
  <c r="CR348" i="5"/>
  <c r="CR347" i="5"/>
  <c r="CR346" i="5"/>
  <c r="CR345" i="5"/>
  <c r="CR344" i="5"/>
  <c r="CR343" i="5"/>
  <c r="CR342" i="5"/>
  <c r="CR341" i="5"/>
  <c r="CR340" i="5"/>
  <c r="CR339" i="5"/>
  <c r="CR338" i="5"/>
  <c r="CR337" i="5"/>
  <c r="CR336" i="5"/>
  <c r="CR335" i="5"/>
  <c r="CR334" i="5"/>
  <c r="CR333" i="5"/>
  <c r="CR332" i="5"/>
  <c r="CR331" i="5"/>
  <c r="CR330" i="5"/>
  <c r="CR329" i="5"/>
  <c r="CR328" i="5"/>
  <c r="CR327" i="5"/>
  <c r="CR326" i="5"/>
  <c r="CR325" i="5"/>
  <c r="CR324" i="5"/>
  <c r="CR323" i="5"/>
  <c r="CR322" i="5"/>
  <c r="CR321" i="5"/>
  <c r="CR320" i="5"/>
  <c r="CR319" i="5"/>
  <c r="CR318" i="5"/>
  <c r="CR317" i="5"/>
  <c r="CR316" i="5"/>
  <c r="CR315" i="5"/>
  <c r="CR314" i="5"/>
  <c r="CR313" i="5"/>
  <c r="CR312" i="5"/>
  <c r="CR311" i="5"/>
  <c r="CR310" i="5"/>
  <c r="CR309" i="5"/>
  <c r="CR308" i="5"/>
  <c r="CR307" i="5"/>
  <c r="CR306" i="5"/>
  <c r="CR305" i="5"/>
  <c r="CR304" i="5"/>
  <c r="CR303" i="5"/>
  <c r="CR302" i="5"/>
  <c r="CR301" i="5"/>
  <c r="CR300" i="5"/>
  <c r="CR299" i="5"/>
  <c r="CR298" i="5"/>
  <c r="CR297" i="5"/>
  <c r="CR296" i="5"/>
  <c r="CR295" i="5"/>
  <c r="CR294" i="5"/>
  <c r="CR293" i="5"/>
  <c r="CR292" i="5"/>
  <c r="CR291" i="5"/>
  <c r="CR290" i="5"/>
  <c r="CR289" i="5"/>
  <c r="CR288" i="5"/>
  <c r="CR287" i="5"/>
  <c r="CR286" i="5"/>
  <c r="CR285" i="5"/>
  <c r="CR284" i="5"/>
  <c r="CR283" i="5"/>
  <c r="CR282" i="5"/>
  <c r="CR281" i="5"/>
  <c r="CR280" i="5"/>
  <c r="CR279" i="5"/>
  <c r="CR278" i="5"/>
  <c r="CR277" i="5"/>
  <c r="CR276" i="5"/>
  <c r="CR275" i="5"/>
  <c r="CR274" i="5"/>
  <c r="CR273" i="5"/>
  <c r="CR272" i="5"/>
  <c r="CR271" i="5"/>
  <c r="CR270" i="5"/>
  <c r="CR269" i="5"/>
  <c r="CR268" i="5"/>
  <c r="CR267" i="5"/>
  <c r="CR266" i="5"/>
  <c r="CR265" i="5"/>
  <c r="CR264" i="5"/>
  <c r="CR263" i="5"/>
  <c r="CR262" i="5"/>
  <c r="CR261" i="5"/>
  <c r="CR260" i="5"/>
  <c r="CR259" i="5"/>
  <c r="CR258" i="5"/>
  <c r="CR257" i="5"/>
  <c r="CR256" i="5"/>
  <c r="CR255" i="5"/>
  <c r="CR254" i="5"/>
  <c r="CR253" i="5"/>
  <c r="CR252" i="5"/>
  <c r="CR251" i="5"/>
  <c r="CR250" i="5"/>
  <c r="CR249" i="5"/>
  <c r="CR248" i="5"/>
  <c r="CR247" i="5"/>
  <c r="CR246" i="5"/>
  <c r="CR245" i="5"/>
  <c r="CR244" i="5"/>
  <c r="CR243" i="5"/>
  <c r="CR242" i="5"/>
  <c r="CR241" i="5"/>
  <c r="CR240" i="5"/>
  <c r="CR239" i="5"/>
  <c r="CR238" i="5"/>
  <c r="CR237" i="5"/>
  <c r="CR236" i="5"/>
  <c r="CR235" i="5"/>
  <c r="CR234" i="5"/>
  <c r="CR233" i="5"/>
  <c r="CR232" i="5"/>
  <c r="CR231" i="5"/>
  <c r="CR230" i="5"/>
  <c r="CR229" i="5"/>
  <c r="CR228" i="5"/>
  <c r="CR227" i="5"/>
  <c r="CR226" i="5"/>
  <c r="CR225" i="5"/>
  <c r="CR224" i="5"/>
  <c r="CR223" i="5"/>
  <c r="CR222" i="5"/>
  <c r="CR221" i="5"/>
  <c r="CR220" i="5"/>
  <c r="CR219" i="5"/>
  <c r="CR218" i="5"/>
  <c r="CR217" i="5"/>
  <c r="CR216" i="5"/>
  <c r="CR215" i="5"/>
  <c r="CR214" i="5"/>
  <c r="CR213" i="5"/>
  <c r="CR212" i="5"/>
  <c r="CR211" i="5"/>
  <c r="CR210" i="5"/>
  <c r="CR209" i="5"/>
  <c r="CR208" i="5"/>
  <c r="CR207" i="5"/>
  <c r="CR206" i="5"/>
  <c r="CR205" i="5"/>
  <c r="CR204" i="5"/>
  <c r="CR203" i="5"/>
  <c r="CR202" i="5"/>
  <c r="CR201" i="5"/>
  <c r="CR200" i="5"/>
  <c r="CR199" i="5"/>
  <c r="CR198" i="5"/>
  <c r="CR197" i="5"/>
  <c r="CR196" i="5"/>
  <c r="CR195" i="5"/>
  <c r="CR194" i="5"/>
  <c r="CR193" i="5"/>
  <c r="CR192" i="5"/>
  <c r="CR191" i="5"/>
  <c r="CR190" i="5"/>
  <c r="CR189" i="5"/>
  <c r="CR188" i="5"/>
  <c r="CR187" i="5"/>
  <c r="CR186" i="5"/>
  <c r="CR185" i="5"/>
  <c r="CR184" i="5"/>
  <c r="CR183" i="5"/>
  <c r="CR182" i="5"/>
  <c r="CR181" i="5"/>
  <c r="CR180" i="5"/>
  <c r="CR179" i="5"/>
  <c r="CR178" i="5"/>
  <c r="CR177" i="5"/>
  <c r="CR176" i="5"/>
  <c r="CR175" i="5"/>
  <c r="CR174" i="5"/>
  <c r="CR173" i="5"/>
  <c r="CR172" i="5"/>
  <c r="CR171" i="5"/>
  <c r="CR170" i="5"/>
  <c r="CR169" i="5"/>
  <c r="CR168" i="5"/>
  <c r="CR167" i="5"/>
  <c r="CR166" i="5"/>
  <c r="CR165" i="5"/>
  <c r="CR164" i="5"/>
  <c r="CR163" i="5"/>
  <c r="CR162" i="5"/>
  <c r="CR161" i="5"/>
  <c r="CR160" i="5"/>
  <c r="CR159" i="5"/>
  <c r="CR158" i="5"/>
  <c r="CR157" i="5"/>
  <c r="CR156" i="5"/>
  <c r="CR155" i="5"/>
  <c r="CR154" i="5"/>
  <c r="CR153" i="5"/>
  <c r="CR152" i="5"/>
  <c r="CR151" i="5"/>
  <c r="CR150" i="5"/>
  <c r="CR149" i="5"/>
  <c r="CR148" i="5"/>
  <c r="CR147" i="5"/>
  <c r="CR146" i="5"/>
  <c r="CR145" i="5"/>
  <c r="CR144" i="5"/>
  <c r="CR143" i="5"/>
  <c r="CR142" i="5"/>
  <c r="CR141" i="5"/>
  <c r="CR140" i="5"/>
  <c r="CR139" i="5"/>
  <c r="CR138" i="5"/>
  <c r="CR137" i="5"/>
  <c r="CR136" i="5"/>
  <c r="CR135" i="5"/>
  <c r="CR134" i="5"/>
  <c r="CR133" i="5"/>
  <c r="CR132" i="5"/>
  <c r="CR131" i="5"/>
  <c r="CR130" i="5"/>
  <c r="CR129" i="5"/>
  <c r="CR128" i="5"/>
  <c r="CR127" i="5"/>
  <c r="CR126" i="5"/>
  <c r="CR125" i="5"/>
  <c r="CR124" i="5"/>
  <c r="CR123" i="5"/>
  <c r="CR122" i="5"/>
  <c r="CR121" i="5"/>
  <c r="CR120" i="5"/>
  <c r="CR119" i="5"/>
  <c r="CR118" i="5"/>
  <c r="CR117" i="5"/>
  <c r="CR116" i="5"/>
  <c r="CR115" i="5"/>
  <c r="CR114" i="5"/>
  <c r="CR113" i="5"/>
  <c r="CR112" i="5"/>
  <c r="CR111" i="5"/>
  <c r="CR110" i="5"/>
  <c r="CR109" i="5"/>
  <c r="CR108" i="5"/>
  <c r="CR107" i="5"/>
  <c r="CR106" i="5"/>
  <c r="CR105" i="5"/>
  <c r="CR104" i="5"/>
  <c r="CR103" i="5"/>
  <c r="CR102" i="5"/>
  <c r="CR101" i="5"/>
  <c r="CR100" i="5"/>
  <c r="CR99" i="5"/>
  <c r="CR98" i="5"/>
  <c r="CR97" i="5"/>
  <c r="CR96" i="5"/>
  <c r="CR95" i="5"/>
  <c r="CR94" i="5"/>
  <c r="CR93" i="5"/>
  <c r="CR92" i="5"/>
  <c r="CR91" i="5"/>
  <c r="CR90" i="5"/>
  <c r="CR89" i="5"/>
  <c r="CR88" i="5"/>
  <c r="CR87" i="5"/>
  <c r="CR86" i="5"/>
  <c r="CR85" i="5"/>
  <c r="CR84" i="5"/>
  <c r="CR83" i="5"/>
  <c r="CR82" i="5"/>
  <c r="CR81" i="5"/>
  <c r="CR80" i="5"/>
  <c r="CR79" i="5"/>
  <c r="CR78" i="5"/>
  <c r="CR77" i="5"/>
  <c r="CR76" i="5"/>
  <c r="CR75" i="5"/>
  <c r="CR74" i="5"/>
  <c r="CR73" i="5"/>
  <c r="CR72" i="5"/>
  <c r="CR71" i="5"/>
  <c r="CR70" i="5"/>
  <c r="CR69" i="5"/>
  <c r="CR68" i="5"/>
  <c r="CR67" i="5"/>
  <c r="CR66" i="5"/>
  <c r="CR65" i="5"/>
  <c r="CR64" i="5"/>
  <c r="CR63" i="5"/>
  <c r="CR62" i="5"/>
  <c r="CR61" i="5"/>
  <c r="CR60" i="5"/>
  <c r="CR59" i="5"/>
  <c r="CR58" i="5"/>
  <c r="CR57" i="5"/>
  <c r="CR56" i="5"/>
  <c r="CR55" i="5"/>
  <c r="CR54" i="5"/>
  <c r="CR53" i="5"/>
  <c r="CR52" i="5"/>
  <c r="CR51" i="5"/>
  <c r="CR50" i="5"/>
  <c r="CR49" i="5"/>
  <c r="CR48" i="5"/>
  <c r="CR47" i="5"/>
  <c r="CR46" i="5"/>
  <c r="CR45" i="5"/>
  <c r="CR44" i="5"/>
  <c r="CR43" i="5"/>
  <c r="CR42" i="5"/>
  <c r="CR41" i="5"/>
  <c r="CR40" i="5"/>
  <c r="CR39" i="5"/>
  <c r="CR38" i="5"/>
  <c r="CR37" i="5"/>
  <c r="CR36" i="5"/>
  <c r="CR35" i="5"/>
  <c r="CR34" i="5"/>
  <c r="CR33" i="5"/>
  <c r="CR32" i="5"/>
  <c r="CR31" i="5"/>
  <c r="CR30" i="5"/>
  <c r="CR29" i="5"/>
  <c r="CR28" i="5"/>
  <c r="CR27" i="5"/>
  <c r="CR26" i="5"/>
  <c r="CR25" i="5"/>
  <c r="CR24" i="5"/>
  <c r="CR23" i="5"/>
  <c r="CR22" i="5"/>
  <c r="CR21" i="5"/>
  <c r="CR20" i="5"/>
  <c r="CR19" i="5"/>
  <c r="CR18" i="5"/>
  <c r="CR17" i="5"/>
  <c r="CR16" i="5"/>
  <c r="CR15" i="5"/>
  <c r="CR14" i="5"/>
  <c r="CR13" i="5"/>
  <c r="CR12" i="5"/>
  <c r="CR11" i="5"/>
  <c r="CR10" i="5"/>
  <c r="CR9" i="5"/>
  <c r="CR8" i="5"/>
  <c r="CJ607" i="5"/>
  <c r="CJ606" i="5"/>
  <c r="CJ605" i="5"/>
  <c r="CJ604" i="5"/>
  <c r="CJ603" i="5"/>
  <c r="CJ602" i="5"/>
  <c r="CJ601" i="5"/>
  <c r="CJ600" i="5"/>
  <c r="CJ599" i="5"/>
  <c r="CJ598" i="5"/>
  <c r="CJ597" i="5"/>
  <c r="CJ596" i="5"/>
  <c r="CJ595" i="5"/>
  <c r="CJ594" i="5"/>
  <c r="CJ593" i="5"/>
  <c r="CJ592" i="5"/>
  <c r="CJ591" i="5"/>
  <c r="CJ590" i="5"/>
  <c r="CJ589" i="5"/>
  <c r="CJ588" i="5"/>
  <c r="CJ587" i="5"/>
  <c r="CJ586" i="5"/>
  <c r="CJ585" i="5"/>
  <c r="CJ584" i="5"/>
  <c r="CJ583" i="5"/>
  <c r="CJ582" i="5"/>
  <c r="CJ581" i="5"/>
  <c r="CJ580" i="5"/>
  <c r="CJ579" i="5"/>
  <c r="CJ578" i="5"/>
  <c r="CJ577" i="5"/>
  <c r="CJ576" i="5"/>
  <c r="CJ575" i="5"/>
  <c r="CJ574" i="5"/>
  <c r="CJ573" i="5"/>
  <c r="CJ572" i="5"/>
  <c r="CJ571" i="5"/>
  <c r="CJ570" i="5"/>
  <c r="CJ569" i="5"/>
  <c r="CJ568" i="5"/>
  <c r="CJ567" i="5"/>
  <c r="CJ566" i="5"/>
  <c r="CJ565" i="5"/>
  <c r="CJ564" i="5"/>
  <c r="CJ563" i="5"/>
  <c r="CJ562" i="5"/>
  <c r="CJ561" i="5"/>
  <c r="CJ560" i="5"/>
  <c r="CJ559" i="5"/>
  <c r="CJ558" i="5"/>
  <c r="CJ557" i="5"/>
  <c r="CJ556" i="5"/>
  <c r="CJ555" i="5"/>
  <c r="CJ554" i="5"/>
  <c r="CJ553" i="5"/>
  <c r="CJ552" i="5"/>
  <c r="CJ551" i="5"/>
  <c r="CJ550" i="5"/>
  <c r="CJ549" i="5"/>
  <c r="CJ548" i="5"/>
  <c r="CJ547" i="5"/>
  <c r="CJ546" i="5"/>
  <c r="CJ545" i="5"/>
  <c r="CJ544" i="5"/>
  <c r="CJ543" i="5"/>
  <c r="CJ542" i="5"/>
  <c r="CJ541" i="5"/>
  <c r="CJ540" i="5"/>
  <c r="CJ539" i="5"/>
  <c r="CJ538" i="5"/>
  <c r="CJ537" i="5"/>
  <c r="CJ536" i="5"/>
  <c r="CJ535" i="5"/>
  <c r="CJ534" i="5"/>
  <c r="CJ533" i="5"/>
  <c r="CJ532" i="5"/>
  <c r="CJ531" i="5"/>
  <c r="CJ530" i="5"/>
  <c r="CJ529" i="5"/>
  <c r="CJ528" i="5"/>
  <c r="CJ527" i="5"/>
  <c r="CJ526" i="5"/>
  <c r="CJ525" i="5"/>
  <c r="CJ524" i="5"/>
  <c r="CJ523" i="5"/>
  <c r="CJ522" i="5"/>
  <c r="CJ521" i="5"/>
  <c r="CJ520" i="5"/>
  <c r="CJ519" i="5"/>
  <c r="CJ518" i="5"/>
  <c r="CJ517" i="5"/>
  <c r="CJ516" i="5"/>
  <c r="CJ515" i="5"/>
  <c r="CJ514" i="5"/>
  <c r="CJ513" i="5"/>
  <c r="CJ512" i="5"/>
  <c r="CJ511" i="5"/>
  <c r="CJ510" i="5"/>
  <c r="CJ509" i="5"/>
  <c r="CJ508" i="5"/>
  <c r="CJ507" i="5"/>
  <c r="CJ506" i="5"/>
  <c r="CJ505" i="5"/>
  <c r="CJ504" i="5"/>
  <c r="CJ503" i="5"/>
  <c r="CJ502" i="5"/>
  <c r="CJ501" i="5"/>
  <c r="CJ500" i="5"/>
  <c r="CJ499" i="5"/>
  <c r="CJ498" i="5"/>
  <c r="CJ497" i="5"/>
  <c r="CJ496" i="5"/>
  <c r="CJ495" i="5"/>
  <c r="CJ494" i="5"/>
  <c r="CJ493" i="5"/>
  <c r="CJ492" i="5"/>
  <c r="CJ491" i="5"/>
  <c r="CJ490" i="5"/>
  <c r="CJ489" i="5"/>
  <c r="CJ488" i="5"/>
  <c r="CJ487" i="5"/>
  <c r="CJ486" i="5"/>
  <c r="CJ485" i="5"/>
  <c r="CJ484" i="5"/>
  <c r="CJ483" i="5"/>
  <c r="CJ482" i="5"/>
  <c r="CJ481" i="5"/>
  <c r="CJ480" i="5"/>
  <c r="CJ479" i="5"/>
  <c r="CJ478" i="5"/>
  <c r="CJ477" i="5"/>
  <c r="CJ476" i="5"/>
  <c r="CJ475" i="5"/>
  <c r="CJ474" i="5"/>
  <c r="CJ473" i="5"/>
  <c r="CJ472" i="5"/>
  <c r="CJ471" i="5"/>
  <c r="CJ470" i="5"/>
  <c r="CJ469" i="5"/>
  <c r="CJ468" i="5"/>
  <c r="CJ467" i="5"/>
  <c r="CJ466" i="5"/>
  <c r="CJ465" i="5"/>
  <c r="CJ464" i="5"/>
  <c r="CJ463" i="5"/>
  <c r="CJ462" i="5"/>
  <c r="CJ461" i="5"/>
  <c r="CJ460" i="5"/>
  <c r="CJ459" i="5"/>
  <c r="CJ458" i="5"/>
  <c r="CJ457" i="5"/>
  <c r="CJ456" i="5"/>
  <c r="CJ455" i="5"/>
  <c r="CJ454" i="5"/>
  <c r="CJ453" i="5"/>
  <c r="CJ452" i="5"/>
  <c r="CJ451" i="5"/>
  <c r="CJ450" i="5"/>
  <c r="CJ449" i="5"/>
  <c r="CJ448" i="5"/>
  <c r="CJ447" i="5"/>
  <c r="CJ446" i="5"/>
  <c r="CJ445" i="5"/>
  <c r="CJ444" i="5"/>
  <c r="CJ443" i="5"/>
  <c r="CJ442" i="5"/>
  <c r="CJ441" i="5"/>
  <c r="CJ440" i="5"/>
  <c r="CJ439" i="5"/>
  <c r="CJ438" i="5"/>
  <c r="CJ437" i="5"/>
  <c r="CJ436" i="5"/>
  <c r="CJ435" i="5"/>
  <c r="CJ434" i="5"/>
  <c r="CJ433" i="5"/>
  <c r="CJ432" i="5"/>
  <c r="CJ431" i="5"/>
  <c r="CJ430" i="5"/>
  <c r="CJ429" i="5"/>
  <c r="CJ428" i="5"/>
  <c r="CJ427" i="5"/>
  <c r="CJ426" i="5"/>
  <c r="CJ425" i="5"/>
  <c r="CJ424" i="5"/>
  <c r="CJ423" i="5"/>
  <c r="CJ422" i="5"/>
  <c r="CJ421" i="5"/>
  <c r="CJ420" i="5"/>
  <c r="CJ419" i="5"/>
  <c r="CJ418" i="5"/>
  <c r="CJ417" i="5"/>
  <c r="CJ416" i="5"/>
  <c r="CJ415" i="5"/>
  <c r="CJ414" i="5"/>
  <c r="CJ413" i="5"/>
  <c r="CJ412" i="5"/>
  <c r="CJ411" i="5"/>
  <c r="CJ410" i="5"/>
  <c r="CJ409" i="5"/>
  <c r="CJ408" i="5"/>
  <c r="CJ407" i="5"/>
  <c r="CJ406" i="5"/>
  <c r="CJ405" i="5"/>
  <c r="CJ404" i="5"/>
  <c r="CJ403" i="5"/>
  <c r="CJ402" i="5"/>
  <c r="CJ401" i="5"/>
  <c r="CJ400" i="5"/>
  <c r="CJ399" i="5"/>
  <c r="CJ398" i="5"/>
  <c r="CJ397" i="5"/>
  <c r="CJ396" i="5"/>
  <c r="CJ395" i="5"/>
  <c r="CJ394" i="5"/>
  <c r="CJ393" i="5"/>
  <c r="CJ392" i="5"/>
  <c r="CJ391" i="5"/>
  <c r="CJ390" i="5"/>
  <c r="CJ389" i="5"/>
  <c r="CJ388" i="5"/>
  <c r="CJ387" i="5"/>
  <c r="CJ386" i="5"/>
  <c r="CJ385" i="5"/>
  <c r="CJ384" i="5"/>
  <c r="CJ383" i="5"/>
  <c r="CJ382" i="5"/>
  <c r="CJ381" i="5"/>
  <c r="CJ380" i="5"/>
  <c r="CJ379" i="5"/>
  <c r="CJ378" i="5"/>
  <c r="CJ377" i="5"/>
  <c r="CJ376" i="5"/>
  <c r="CJ375" i="5"/>
  <c r="CJ374" i="5"/>
  <c r="CJ373" i="5"/>
  <c r="CJ372" i="5"/>
  <c r="CJ371" i="5"/>
  <c r="CJ370" i="5"/>
  <c r="CJ369" i="5"/>
  <c r="CJ368" i="5"/>
  <c r="CJ367" i="5"/>
  <c r="CJ366" i="5"/>
  <c r="CJ365" i="5"/>
  <c r="CJ364" i="5"/>
  <c r="CJ363" i="5"/>
  <c r="CJ362" i="5"/>
  <c r="CJ361" i="5"/>
  <c r="CJ360" i="5"/>
  <c r="CJ359" i="5"/>
  <c r="CJ358" i="5"/>
  <c r="CJ357" i="5"/>
  <c r="CJ356" i="5"/>
  <c r="CJ355" i="5"/>
  <c r="CJ354" i="5"/>
  <c r="CJ353" i="5"/>
  <c r="CJ352" i="5"/>
  <c r="CJ351" i="5"/>
  <c r="CJ350" i="5"/>
  <c r="CJ349" i="5"/>
  <c r="CJ348" i="5"/>
  <c r="CJ347" i="5"/>
  <c r="CJ346" i="5"/>
  <c r="CJ345" i="5"/>
  <c r="CJ344" i="5"/>
  <c r="CJ343" i="5"/>
  <c r="CJ342" i="5"/>
  <c r="CJ341" i="5"/>
  <c r="CJ340" i="5"/>
  <c r="CJ339" i="5"/>
  <c r="CJ338" i="5"/>
  <c r="CJ337" i="5"/>
  <c r="CJ336" i="5"/>
  <c r="CJ335" i="5"/>
  <c r="CJ334" i="5"/>
  <c r="CJ333" i="5"/>
  <c r="CJ332" i="5"/>
  <c r="CJ331" i="5"/>
  <c r="CJ330" i="5"/>
  <c r="CJ329" i="5"/>
  <c r="CJ328" i="5"/>
  <c r="CJ327" i="5"/>
  <c r="CJ326" i="5"/>
  <c r="CJ325" i="5"/>
  <c r="CJ324" i="5"/>
  <c r="CJ323" i="5"/>
  <c r="CJ322" i="5"/>
  <c r="CJ321" i="5"/>
  <c r="CJ320" i="5"/>
  <c r="CJ319" i="5"/>
  <c r="CJ318" i="5"/>
  <c r="CJ317" i="5"/>
  <c r="CJ316" i="5"/>
  <c r="CJ315" i="5"/>
  <c r="CJ314" i="5"/>
  <c r="CJ313" i="5"/>
  <c r="CJ312" i="5"/>
  <c r="CJ311" i="5"/>
  <c r="CJ310" i="5"/>
  <c r="CJ309" i="5"/>
  <c r="CJ308" i="5"/>
  <c r="CJ307" i="5"/>
  <c r="CJ306" i="5"/>
  <c r="CJ305" i="5"/>
  <c r="CJ304" i="5"/>
  <c r="CJ303" i="5"/>
  <c r="CJ302" i="5"/>
  <c r="CJ301" i="5"/>
  <c r="CJ300" i="5"/>
  <c r="CJ299" i="5"/>
  <c r="CJ298" i="5"/>
  <c r="CJ297" i="5"/>
  <c r="CJ296" i="5"/>
  <c r="CJ295" i="5"/>
  <c r="CJ294" i="5"/>
  <c r="CJ293" i="5"/>
  <c r="CJ292" i="5"/>
  <c r="CJ291" i="5"/>
  <c r="CJ290" i="5"/>
  <c r="CJ289" i="5"/>
  <c r="CJ288" i="5"/>
  <c r="CJ287" i="5"/>
  <c r="CJ286" i="5"/>
  <c r="CJ285" i="5"/>
  <c r="CJ284" i="5"/>
  <c r="CJ283" i="5"/>
  <c r="CJ282" i="5"/>
  <c r="CJ281" i="5"/>
  <c r="CJ280" i="5"/>
  <c r="CJ279" i="5"/>
  <c r="CJ278" i="5"/>
  <c r="CJ277" i="5"/>
  <c r="CJ276" i="5"/>
  <c r="CJ275" i="5"/>
  <c r="CJ274" i="5"/>
  <c r="CJ273" i="5"/>
  <c r="CJ272" i="5"/>
  <c r="CJ271" i="5"/>
  <c r="CJ270" i="5"/>
  <c r="CJ269" i="5"/>
  <c r="CJ268" i="5"/>
  <c r="CJ267" i="5"/>
  <c r="CJ266" i="5"/>
  <c r="CJ265" i="5"/>
  <c r="CJ264" i="5"/>
  <c r="CJ263" i="5"/>
  <c r="CJ262" i="5"/>
  <c r="CJ261" i="5"/>
  <c r="CJ260" i="5"/>
  <c r="CJ259" i="5"/>
  <c r="CJ258" i="5"/>
  <c r="CJ257" i="5"/>
  <c r="CJ256" i="5"/>
  <c r="CJ255" i="5"/>
  <c r="CJ254" i="5"/>
  <c r="CJ253" i="5"/>
  <c r="CJ252" i="5"/>
  <c r="CJ251" i="5"/>
  <c r="CJ250" i="5"/>
  <c r="CJ249" i="5"/>
  <c r="CJ248" i="5"/>
  <c r="CJ247" i="5"/>
  <c r="CJ246" i="5"/>
  <c r="CJ245" i="5"/>
  <c r="CJ244" i="5"/>
  <c r="CJ243" i="5"/>
  <c r="CJ242" i="5"/>
  <c r="CJ241" i="5"/>
  <c r="CJ240" i="5"/>
  <c r="CJ239" i="5"/>
  <c r="CJ238" i="5"/>
  <c r="CJ237" i="5"/>
  <c r="CJ236" i="5"/>
  <c r="CJ235" i="5"/>
  <c r="CJ234" i="5"/>
  <c r="CJ233" i="5"/>
  <c r="CJ232" i="5"/>
  <c r="CJ231" i="5"/>
  <c r="CJ230" i="5"/>
  <c r="CJ229" i="5"/>
  <c r="CJ228" i="5"/>
  <c r="CJ227" i="5"/>
  <c r="CJ226" i="5"/>
  <c r="CJ225" i="5"/>
  <c r="CJ224" i="5"/>
  <c r="CJ223" i="5"/>
  <c r="CJ222" i="5"/>
  <c r="CJ221" i="5"/>
  <c r="CJ220" i="5"/>
  <c r="CJ219" i="5"/>
  <c r="CJ218" i="5"/>
  <c r="CJ217" i="5"/>
  <c r="CJ216" i="5"/>
  <c r="CJ215" i="5"/>
  <c r="CJ214" i="5"/>
  <c r="CJ213" i="5"/>
  <c r="CJ212" i="5"/>
  <c r="CJ211" i="5"/>
  <c r="CJ210" i="5"/>
  <c r="CJ209" i="5"/>
  <c r="CJ208" i="5"/>
  <c r="CJ207" i="5"/>
  <c r="CJ206" i="5"/>
  <c r="CJ205" i="5"/>
  <c r="CJ204" i="5"/>
  <c r="CJ203" i="5"/>
  <c r="CJ202" i="5"/>
  <c r="CJ201" i="5"/>
  <c r="CJ200" i="5"/>
  <c r="CJ199" i="5"/>
  <c r="CJ198" i="5"/>
  <c r="CJ197" i="5"/>
  <c r="CJ196" i="5"/>
  <c r="CJ195" i="5"/>
  <c r="CJ194" i="5"/>
  <c r="CJ193" i="5"/>
  <c r="CJ192" i="5"/>
  <c r="CJ191" i="5"/>
  <c r="CJ190" i="5"/>
  <c r="CJ189" i="5"/>
  <c r="CJ188" i="5"/>
  <c r="CJ187" i="5"/>
  <c r="CJ186" i="5"/>
  <c r="CJ185" i="5"/>
  <c r="CJ184" i="5"/>
  <c r="CJ183" i="5"/>
  <c r="CJ182" i="5"/>
  <c r="CJ181" i="5"/>
  <c r="CJ180" i="5"/>
  <c r="CJ179" i="5"/>
  <c r="CJ178" i="5"/>
  <c r="CJ177" i="5"/>
  <c r="CJ176" i="5"/>
  <c r="CJ175" i="5"/>
  <c r="CJ174" i="5"/>
  <c r="CJ173" i="5"/>
  <c r="CJ172" i="5"/>
  <c r="CJ171" i="5"/>
  <c r="CJ170" i="5"/>
  <c r="CJ169" i="5"/>
  <c r="CJ168" i="5"/>
  <c r="CJ167" i="5"/>
  <c r="CJ166" i="5"/>
  <c r="CJ165" i="5"/>
  <c r="CJ164" i="5"/>
  <c r="CJ163" i="5"/>
  <c r="CJ162" i="5"/>
  <c r="CJ161" i="5"/>
  <c r="CJ160" i="5"/>
  <c r="CJ159" i="5"/>
  <c r="CJ158" i="5"/>
  <c r="CJ157" i="5"/>
  <c r="CJ156" i="5"/>
  <c r="CJ155" i="5"/>
  <c r="CJ154" i="5"/>
  <c r="CJ153" i="5"/>
  <c r="CJ152" i="5"/>
  <c r="CJ151" i="5"/>
  <c r="CJ150" i="5"/>
  <c r="CJ149" i="5"/>
  <c r="CJ148" i="5"/>
  <c r="CJ147" i="5"/>
  <c r="CJ146" i="5"/>
  <c r="CJ145" i="5"/>
  <c r="CJ144" i="5"/>
  <c r="CJ143" i="5"/>
  <c r="CJ142" i="5"/>
  <c r="CJ141" i="5"/>
  <c r="CJ140" i="5"/>
  <c r="CJ139" i="5"/>
  <c r="CJ138" i="5"/>
  <c r="CJ137" i="5"/>
  <c r="CJ136" i="5"/>
  <c r="CJ135" i="5"/>
  <c r="CJ134" i="5"/>
  <c r="CJ133" i="5"/>
  <c r="CJ132" i="5"/>
  <c r="CJ131" i="5"/>
  <c r="CJ130" i="5"/>
  <c r="CJ129" i="5"/>
  <c r="CJ128" i="5"/>
  <c r="CJ127" i="5"/>
  <c r="CJ126" i="5"/>
  <c r="CJ125" i="5"/>
  <c r="CJ124" i="5"/>
  <c r="CJ123" i="5"/>
  <c r="CJ122" i="5"/>
  <c r="CJ121" i="5"/>
  <c r="CJ120" i="5"/>
  <c r="CJ119" i="5"/>
  <c r="CJ118" i="5"/>
  <c r="CJ117" i="5"/>
  <c r="CJ116" i="5"/>
  <c r="CJ115" i="5"/>
  <c r="CJ114" i="5"/>
  <c r="CJ113" i="5"/>
  <c r="CJ112" i="5"/>
  <c r="CJ111" i="5"/>
  <c r="CJ110" i="5"/>
  <c r="CJ109" i="5"/>
  <c r="CJ108" i="5"/>
  <c r="CJ107" i="5"/>
  <c r="CJ106" i="5"/>
  <c r="CJ105" i="5"/>
  <c r="CJ104" i="5"/>
  <c r="CJ103" i="5"/>
  <c r="CJ102" i="5"/>
  <c r="CJ101" i="5"/>
  <c r="CJ100" i="5"/>
  <c r="CJ99" i="5"/>
  <c r="CJ98" i="5"/>
  <c r="CJ97" i="5"/>
  <c r="CJ96" i="5"/>
  <c r="CJ95" i="5"/>
  <c r="CJ94" i="5"/>
  <c r="CJ93" i="5"/>
  <c r="CJ92" i="5"/>
  <c r="CJ91" i="5"/>
  <c r="CJ90" i="5"/>
  <c r="CJ89" i="5"/>
  <c r="CJ88" i="5"/>
  <c r="CJ87" i="5"/>
  <c r="CJ86" i="5"/>
  <c r="CJ85" i="5"/>
  <c r="CJ84" i="5"/>
  <c r="CJ83" i="5"/>
  <c r="CJ82" i="5"/>
  <c r="CJ81" i="5"/>
  <c r="CJ80" i="5"/>
  <c r="CJ79" i="5"/>
  <c r="CJ78" i="5"/>
  <c r="CJ77" i="5"/>
  <c r="CJ76" i="5"/>
  <c r="CJ75" i="5"/>
  <c r="CJ74" i="5"/>
  <c r="CJ73" i="5"/>
  <c r="CJ72" i="5"/>
  <c r="CJ71" i="5"/>
  <c r="CJ70" i="5"/>
  <c r="CJ69" i="5"/>
  <c r="CJ68" i="5"/>
  <c r="CJ67" i="5"/>
  <c r="CJ66" i="5"/>
  <c r="CJ65" i="5"/>
  <c r="CJ64" i="5"/>
  <c r="CJ63" i="5"/>
  <c r="CJ62" i="5"/>
  <c r="CJ61" i="5"/>
  <c r="CJ60" i="5"/>
  <c r="CJ59" i="5"/>
  <c r="CJ58" i="5"/>
  <c r="CJ57" i="5"/>
  <c r="CJ56" i="5"/>
  <c r="CJ55" i="5"/>
  <c r="CJ54" i="5"/>
  <c r="CJ53" i="5"/>
  <c r="CJ52" i="5"/>
  <c r="CJ51" i="5"/>
  <c r="CJ50" i="5"/>
  <c r="CJ49" i="5"/>
  <c r="CJ48" i="5"/>
  <c r="CJ47" i="5"/>
  <c r="CJ46" i="5"/>
  <c r="CJ45" i="5"/>
  <c r="CJ44" i="5"/>
  <c r="CJ43" i="5"/>
  <c r="CJ42" i="5"/>
  <c r="CJ41" i="5"/>
  <c r="CJ40" i="5"/>
  <c r="CJ39" i="5"/>
  <c r="CJ38" i="5"/>
  <c r="CJ37" i="5"/>
  <c r="CJ36" i="5"/>
  <c r="CJ35" i="5"/>
  <c r="CJ34" i="5"/>
  <c r="CJ33" i="5"/>
  <c r="CJ32" i="5"/>
  <c r="CJ31" i="5"/>
  <c r="CJ30" i="5"/>
  <c r="CJ29" i="5"/>
  <c r="CJ28" i="5"/>
  <c r="CJ27" i="5"/>
  <c r="CJ26" i="5"/>
  <c r="CJ25" i="5"/>
  <c r="CJ24" i="5"/>
  <c r="CJ23" i="5"/>
  <c r="CJ22" i="5"/>
  <c r="CJ21" i="5"/>
  <c r="CJ20" i="5"/>
  <c r="CJ19" i="5"/>
  <c r="CJ18" i="5"/>
  <c r="CJ17" i="5"/>
  <c r="CJ16" i="5"/>
  <c r="CJ15" i="5"/>
  <c r="CJ14" i="5"/>
  <c r="CJ13" i="5"/>
  <c r="CJ12" i="5"/>
  <c r="CJ11" i="5"/>
  <c r="CJ10" i="5"/>
  <c r="CJ9" i="5"/>
  <c r="CJ8" i="5"/>
  <c r="CF607" i="5"/>
  <c r="CF606" i="5"/>
  <c r="CF605" i="5"/>
  <c r="CF604" i="5"/>
  <c r="CF603" i="5"/>
  <c r="CF602" i="5"/>
  <c r="CF601" i="5"/>
  <c r="CF600" i="5"/>
  <c r="CF599" i="5"/>
  <c r="CF598" i="5"/>
  <c r="CF597" i="5"/>
  <c r="CF596" i="5"/>
  <c r="CF595" i="5"/>
  <c r="CF594" i="5"/>
  <c r="CF593" i="5"/>
  <c r="CF592" i="5"/>
  <c r="CF591" i="5"/>
  <c r="CF590" i="5"/>
  <c r="CF589" i="5"/>
  <c r="CF588" i="5"/>
  <c r="CF587" i="5"/>
  <c r="CF586" i="5"/>
  <c r="CF585" i="5"/>
  <c r="CF584" i="5"/>
  <c r="CF583" i="5"/>
  <c r="CF582" i="5"/>
  <c r="CF581" i="5"/>
  <c r="CF580" i="5"/>
  <c r="CF579" i="5"/>
  <c r="CF578" i="5"/>
  <c r="CF577" i="5"/>
  <c r="CF576" i="5"/>
  <c r="CF575" i="5"/>
  <c r="CF574" i="5"/>
  <c r="CF573" i="5"/>
  <c r="CF572" i="5"/>
  <c r="CF571" i="5"/>
  <c r="CF570" i="5"/>
  <c r="CF569" i="5"/>
  <c r="CF568" i="5"/>
  <c r="CF567" i="5"/>
  <c r="CF566" i="5"/>
  <c r="CF565" i="5"/>
  <c r="CF564" i="5"/>
  <c r="CF563" i="5"/>
  <c r="CF562" i="5"/>
  <c r="CF561" i="5"/>
  <c r="CF560" i="5"/>
  <c r="CF559" i="5"/>
  <c r="CF558" i="5"/>
  <c r="CF557" i="5"/>
  <c r="CF556" i="5"/>
  <c r="CF555" i="5"/>
  <c r="CF554" i="5"/>
  <c r="CF553" i="5"/>
  <c r="CF552" i="5"/>
  <c r="CF551" i="5"/>
  <c r="CF550" i="5"/>
  <c r="CF549" i="5"/>
  <c r="CF548" i="5"/>
  <c r="CF547" i="5"/>
  <c r="CF546" i="5"/>
  <c r="CF545" i="5"/>
  <c r="CF544" i="5"/>
  <c r="CF543" i="5"/>
  <c r="CF542" i="5"/>
  <c r="CF541" i="5"/>
  <c r="CF540" i="5"/>
  <c r="CF539" i="5"/>
  <c r="CF538" i="5"/>
  <c r="CF537" i="5"/>
  <c r="CF536" i="5"/>
  <c r="CF535" i="5"/>
  <c r="CF534" i="5"/>
  <c r="CF533" i="5"/>
  <c r="CF532" i="5"/>
  <c r="CF531" i="5"/>
  <c r="CF530" i="5"/>
  <c r="CF529" i="5"/>
  <c r="CF528" i="5"/>
  <c r="CF527" i="5"/>
  <c r="CF526" i="5"/>
  <c r="CF525" i="5"/>
  <c r="CF524" i="5"/>
  <c r="CF523" i="5"/>
  <c r="CF522" i="5"/>
  <c r="CF521" i="5"/>
  <c r="CF520" i="5"/>
  <c r="CF519" i="5"/>
  <c r="CF518" i="5"/>
  <c r="CF517" i="5"/>
  <c r="CF516" i="5"/>
  <c r="CF515" i="5"/>
  <c r="CF514" i="5"/>
  <c r="CF513" i="5"/>
  <c r="CF512" i="5"/>
  <c r="CF511" i="5"/>
  <c r="CF510" i="5"/>
  <c r="CF509" i="5"/>
  <c r="CF508" i="5"/>
  <c r="CF507" i="5"/>
  <c r="CF506" i="5"/>
  <c r="CF505" i="5"/>
  <c r="CF504" i="5"/>
  <c r="CF503" i="5"/>
  <c r="CF502" i="5"/>
  <c r="CF501" i="5"/>
  <c r="CF500" i="5"/>
  <c r="CF499" i="5"/>
  <c r="CF498" i="5"/>
  <c r="CF497" i="5"/>
  <c r="CF496" i="5"/>
  <c r="CF495" i="5"/>
  <c r="CF494" i="5"/>
  <c r="CF493" i="5"/>
  <c r="CF492" i="5"/>
  <c r="CF491" i="5"/>
  <c r="CF490" i="5"/>
  <c r="CF489" i="5"/>
  <c r="CF488" i="5"/>
  <c r="CF487" i="5"/>
  <c r="CF486" i="5"/>
  <c r="CF485" i="5"/>
  <c r="CF484" i="5"/>
  <c r="CF483" i="5"/>
  <c r="CF482" i="5"/>
  <c r="CF481" i="5"/>
  <c r="CF480" i="5"/>
  <c r="CF479" i="5"/>
  <c r="CF478" i="5"/>
  <c r="CF477" i="5"/>
  <c r="CF476" i="5"/>
  <c r="CF475" i="5"/>
  <c r="CF474" i="5"/>
  <c r="CF473" i="5"/>
  <c r="CF472" i="5"/>
  <c r="CF471" i="5"/>
  <c r="CF470" i="5"/>
  <c r="CF469" i="5"/>
  <c r="CF468" i="5"/>
  <c r="CF467" i="5"/>
  <c r="CF466" i="5"/>
  <c r="CF465" i="5"/>
  <c r="CF464" i="5"/>
  <c r="CF463" i="5"/>
  <c r="CF462" i="5"/>
  <c r="CF461" i="5"/>
  <c r="CF460" i="5"/>
  <c r="CF459" i="5"/>
  <c r="CF458" i="5"/>
  <c r="CF457" i="5"/>
  <c r="CF456" i="5"/>
  <c r="CF455" i="5"/>
  <c r="CF454" i="5"/>
  <c r="CF453" i="5"/>
  <c r="CF452" i="5"/>
  <c r="CF451" i="5"/>
  <c r="CF450" i="5"/>
  <c r="CF449" i="5"/>
  <c r="CF448" i="5"/>
  <c r="CF447" i="5"/>
  <c r="CF446" i="5"/>
  <c r="CF445" i="5"/>
  <c r="CF444" i="5"/>
  <c r="CF443" i="5"/>
  <c r="CF442" i="5"/>
  <c r="CF441" i="5"/>
  <c r="CF440" i="5"/>
  <c r="CF439" i="5"/>
  <c r="CF438" i="5"/>
  <c r="CF437" i="5"/>
  <c r="CF436" i="5"/>
  <c r="CF435" i="5"/>
  <c r="CF434" i="5"/>
  <c r="CF433" i="5"/>
  <c r="CF432" i="5"/>
  <c r="CF431" i="5"/>
  <c r="CF430" i="5"/>
  <c r="CF429" i="5"/>
  <c r="CF428" i="5"/>
  <c r="CF427" i="5"/>
  <c r="CF426" i="5"/>
  <c r="CF425" i="5"/>
  <c r="CF424" i="5"/>
  <c r="CF423" i="5"/>
  <c r="CF422" i="5"/>
  <c r="CF421" i="5"/>
  <c r="CF420" i="5"/>
  <c r="CF419" i="5"/>
  <c r="CF418" i="5"/>
  <c r="CF417" i="5"/>
  <c r="CF416" i="5"/>
  <c r="CF415" i="5"/>
  <c r="CF414" i="5"/>
  <c r="CF413" i="5"/>
  <c r="CF412" i="5"/>
  <c r="CF411" i="5"/>
  <c r="CF410" i="5"/>
  <c r="CF409" i="5"/>
  <c r="CF408" i="5"/>
  <c r="CF407" i="5"/>
  <c r="CF406" i="5"/>
  <c r="CF405" i="5"/>
  <c r="CF404" i="5"/>
  <c r="CF403" i="5"/>
  <c r="CF402" i="5"/>
  <c r="CF401" i="5"/>
  <c r="CF400" i="5"/>
  <c r="CF399" i="5"/>
  <c r="CF398" i="5"/>
  <c r="CF397" i="5"/>
  <c r="CF396" i="5"/>
  <c r="CF395" i="5"/>
  <c r="CF394" i="5"/>
  <c r="CF393" i="5"/>
  <c r="CF392" i="5"/>
  <c r="CF391" i="5"/>
  <c r="CF390" i="5"/>
  <c r="CF389" i="5"/>
  <c r="CF388" i="5"/>
  <c r="CF387" i="5"/>
  <c r="CF386" i="5"/>
  <c r="CF385" i="5"/>
  <c r="CF384" i="5"/>
  <c r="CF383" i="5"/>
  <c r="CF382" i="5"/>
  <c r="CF381" i="5"/>
  <c r="CF380" i="5"/>
  <c r="CF379" i="5"/>
  <c r="CF378" i="5"/>
  <c r="CF377" i="5"/>
  <c r="CF376" i="5"/>
  <c r="CF375" i="5"/>
  <c r="CF374" i="5"/>
  <c r="CF373" i="5"/>
  <c r="CF372" i="5"/>
  <c r="CF371" i="5"/>
  <c r="CF370" i="5"/>
  <c r="CF369" i="5"/>
  <c r="CF368" i="5"/>
  <c r="CF367" i="5"/>
  <c r="CF366" i="5"/>
  <c r="CF365" i="5"/>
  <c r="CF364" i="5"/>
  <c r="CF363" i="5"/>
  <c r="CF362" i="5"/>
  <c r="CF361" i="5"/>
  <c r="CF360" i="5"/>
  <c r="CF359" i="5"/>
  <c r="CF358" i="5"/>
  <c r="CF357" i="5"/>
  <c r="CF356" i="5"/>
  <c r="CF355" i="5"/>
  <c r="CF354" i="5"/>
  <c r="CF353" i="5"/>
  <c r="CF352" i="5"/>
  <c r="CF351" i="5"/>
  <c r="CF350" i="5"/>
  <c r="CF349" i="5"/>
  <c r="CF348" i="5"/>
  <c r="CF347" i="5"/>
  <c r="CF346" i="5"/>
  <c r="CF345" i="5"/>
  <c r="CF344" i="5"/>
  <c r="CF343" i="5"/>
  <c r="CF342" i="5"/>
  <c r="CF341" i="5"/>
  <c r="CF340" i="5"/>
  <c r="CF339" i="5"/>
  <c r="CF338" i="5"/>
  <c r="CF337" i="5"/>
  <c r="CF336" i="5"/>
  <c r="CF335" i="5"/>
  <c r="CF334" i="5"/>
  <c r="CF333" i="5"/>
  <c r="CF332" i="5"/>
  <c r="CF331" i="5"/>
  <c r="CF330" i="5"/>
  <c r="CF329" i="5"/>
  <c r="CF328" i="5"/>
  <c r="CF327" i="5"/>
  <c r="CF326" i="5"/>
  <c r="CF325" i="5"/>
  <c r="CF324" i="5"/>
  <c r="CF323" i="5"/>
  <c r="CF322" i="5"/>
  <c r="CF321" i="5"/>
  <c r="CF320" i="5"/>
  <c r="CF319" i="5"/>
  <c r="CF318" i="5"/>
  <c r="CF317" i="5"/>
  <c r="CF316" i="5"/>
  <c r="CF315" i="5"/>
  <c r="CF314" i="5"/>
  <c r="CF313" i="5"/>
  <c r="CF312" i="5"/>
  <c r="CF311" i="5"/>
  <c r="CF310" i="5"/>
  <c r="CF309" i="5"/>
  <c r="CF308" i="5"/>
  <c r="CF307" i="5"/>
  <c r="CF306" i="5"/>
  <c r="CF305" i="5"/>
  <c r="CF304" i="5"/>
  <c r="CF303" i="5"/>
  <c r="CF302" i="5"/>
  <c r="CF301" i="5"/>
  <c r="CF300" i="5"/>
  <c r="CF299" i="5"/>
  <c r="CF298" i="5"/>
  <c r="CF297" i="5"/>
  <c r="CF296" i="5"/>
  <c r="CF295" i="5"/>
  <c r="CF294" i="5"/>
  <c r="CF293" i="5"/>
  <c r="CF292" i="5"/>
  <c r="CF291" i="5"/>
  <c r="CF290" i="5"/>
  <c r="CF289" i="5"/>
  <c r="CF288" i="5"/>
  <c r="CF287" i="5"/>
  <c r="CF286" i="5"/>
  <c r="CF285" i="5"/>
  <c r="CF284" i="5"/>
  <c r="CF283" i="5"/>
  <c r="CF282" i="5"/>
  <c r="CF281" i="5"/>
  <c r="CF280" i="5"/>
  <c r="CF279" i="5"/>
  <c r="CF278" i="5"/>
  <c r="CF277" i="5"/>
  <c r="CF276" i="5"/>
  <c r="CF275" i="5"/>
  <c r="CF274" i="5"/>
  <c r="CF273" i="5"/>
  <c r="CF272" i="5"/>
  <c r="CF271" i="5"/>
  <c r="CF270" i="5"/>
  <c r="CF269" i="5"/>
  <c r="CF268" i="5"/>
  <c r="CF267" i="5"/>
  <c r="CF266" i="5"/>
  <c r="CF265" i="5"/>
  <c r="CF264" i="5"/>
  <c r="CF263" i="5"/>
  <c r="CF262" i="5"/>
  <c r="CF261" i="5"/>
  <c r="CF260" i="5"/>
  <c r="CF259" i="5"/>
  <c r="CF258" i="5"/>
  <c r="CF257" i="5"/>
  <c r="CF256" i="5"/>
  <c r="CF255" i="5"/>
  <c r="CF254" i="5"/>
  <c r="CF253" i="5"/>
  <c r="CF252" i="5"/>
  <c r="CF251" i="5"/>
  <c r="CF250" i="5"/>
  <c r="CF249" i="5"/>
  <c r="CF248" i="5"/>
  <c r="CF247" i="5"/>
  <c r="CF246" i="5"/>
  <c r="CF245" i="5"/>
  <c r="CF244" i="5"/>
  <c r="CF243" i="5"/>
  <c r="CF242" i="5"/>
  <c r="CF241" i="5"/>
  <c r="CF240" i="5"/>
  <c r="CF239" i="5"/>
  <c r="CF238" i="5"/>
  <c r="CF237" i="5"/>
  <c r="CF236" i="5"/>
  <c r="CF235" i="5"/>
  <c r="CF234" i="5"/>
  <c r="CF233" i="5"/>
  <c r="CF232" i="5"/>
  <c r="CF231" i="5"/>
  <c r="CF230" i="5"/>
  <c r="CF229" i="5"/>
  <c r="CF228" i="5"/>
  <c r="CF227" i="5"/>
  <c r="CF226" i="5"/>
  <c r="CF225" i="5"/>
  <c r="CF224" i="5"/>
  <c r="CF223" i="5"/>
  <c r="CF222" i="5"/>
  <c r="CF221" i="5"/>
  <c r="CF220" i="5"/>
  <c r="CF219" i="5"/>
  <c r="CF218" i="5"/>
  <c r="CF217" i="5"/>
  <c r="CF216" i="5"/>
  <c r="CF215" i="5"/>
  <c r="CF214" i="5"/>
  <c r="CF213" i="5"/>
  <c r="CF212" i="5"/>
  <c r="CF211" i="5"/>
  <c r="CF210" i="5"/>
  <c r="CF209" i="5"/>
  <c r="CF208" i="5"/>
  <c r="CF207" i="5"/>
  <c r="CF206" i="5"/>
  <c r="CF205" i="5"/>
  <c r="CF204" i="5"/>
  <c r="CF203" i="5"/>
  <c r="CF202" i="5"/>
  <c r="CF201" i="5"/>
  <c r="CF200" i="5"/>
  <c r="CF199" i="5"/>
  <c r="CF198" i="5"/>
  <c r="CF197" i="5"/>
  <c r="CF196" i="5"/>
  <c r="CF195" i="5"/>
  <c r="CF194" i="5"/>
  <c r="CF193" i="5"/>
  <c r="CF192" i="5"/>
  <c r="CF191" i="5"/>
  <c r="CF190" i="5"/>
  <c r="CF189" i="5"/>
  <c r="CF188" i="5"/>
  <c r="CF187" i="5"/>
  <c r="CF186" i="5"/>
  <c r="CF185" i="5"/>
  <c r="CF184" i="5"/>
  <c r="CF183" i="5"/>
  <c r="CF182" i="5"/>
  <c r="CF181" i="5"/>
  <c r="CF180" i="5"/>
  <c r="CF179" i="5"/>
  <c r="CF178" i="5"/>
  <c r="CF177" i="5"/>
  <c r="CF176" i="5"/>
  <c r="CF175" i="5"/>
  <c r="CF174" i="5"/>
  <c r="CF173" i="5"/>
  <c r="CF172" i="5"/>
  <c r="CF171" i="5"/>
  <c r="CF170" i="5"/>
  <c r="CF169" i="5"/>
  <c r="CF168" i="5"/>
  <c r="CF167" i="5"/>
  <c r="CF166" i="5"/>
  <c r="CF165" i="5"/>
  <c r="CF164" i="5"/>
  <c r="CF163" i="5"/>
  <c r="CF162" i="5"/>
  <c r="CF161" i="5"/>
  <c r="CF160" i="5"/>
  <c r="CF159" i="5"/>
  <c r="CF158" i="5"/>
  <c r="CF157" i="5"/>
  <c r="CF156" i="5"/>
  <c r="CF155" i="5"/>
  <c r="CF154" i="5"/>
  <c r="CF153" i="5"/>
  <c r="CF152" i="5"/>
  <c r="CF151" i="5"/>
  <c r="CF150" i="5"/>
  <c r="CF149" i="5"/>
  <c r="CF148" i="5"/>
  <c r="CF147" i="5"/>
  <c r="CF146" i="5"/>
  <c r="CF145" i="5"/>
  <c r="CF144" i="5"/>
  <c r="CF143" i="5"/>
  <c r="CF142" i="5"/>
  <c r="CF141" i="5"/>
  <c r="CF140" i="5"/>
  <c r="CF139" i="5"/>
  <c r="CF138" i="5"/>
  <c r="CF137" i="5"/>
  <c r="CF136" i="5"/>
  <c r="CF135" i="5"/>
  <c r="CF134" i="5"/>
  <c r="CF133" i="5"/>
  <c r="CF132" i="5"/>
  <c r="CF131" i="5"/>
  <c r="CF130" i="5"/>
  <c r="CF129" i="5"/>
  <c r="CF128" i="5"/>
  <c r="CF127" i="5"/>
  <c r="CF126" i="5"/>
  <c r="CF125" i="5"/>
  <c r="CF124" i="5"/>
  <c r="CF123" i="5"/>
  <c r="CF122" i="5"/>
  <c r="CF121" i="5"/>
  <c r="CF120" i="5"/>
  <c r="CF119" i="5"/>
  <c r="CF118" i="5"/>
  <c r="CF117" i="5"/>
  <c r="CF116" i="5"/>
  <c r="CF115" i="5"/>
  <c r="CF114" i="5"/>
  <c r="CF113" i="5"/>
  <c r="CF112" i="5"/>
  <c r="CF111" i="5"/>
  <c r="CF110" i="5"/>
  <c r="CF109" i="5"/>
  <c r="CF108" i="5"/>
  <c r="CF107" i="5"/>
  <c r="CF106" i="5"/>
  <c r="CF105" i="5"/>
  <c r="CF104" i="5"/>
  <c r="CF103" i="5"/>
  <c r="CF102" i="5"/>
  <c r="CF101" i="5"/>
  <c r="CF100" i="5"/>
  <c r="CF99" i="5"/>
  <c r="CF98" i="5"/>
  <c r="CF97" i="5"/>
  <c r="CF96" i="5"/>
  <c r="CF95" i="5"/>
  <c r="CF94" i="5"/>
  <c r="CF93" i="5"/>
  <c r="CF92" i="5"/>
  <c r="CF91" i="5"/>
  <c r="CF90" i="5"/>
  <c r="CF89" i="5"/>
  <c r="CF88" i="5"/>
  <c r="CF87" i="5"/>
  <c r="CF86" i="5"/>
  <c r="CF85" i="5"/>
  <c r="CF84" i="5"/>
  <c r="CF83" i="5"/>
  <c r="CF82" i="5"/>
  <c r="CF81" i="5"/>
  <c r="CF80" i="5"/>
  <c r="CF79" i="5"/>
  <c r="CF78" i="5"/>
  <c r="CF77" i="5"/>
  <c r="CF76" i="5"/>
  <c r="CF75" i="5"/>
  <c r="CF74" i="5"/>
  <c r="CF73" i="5"/>
  <c r="CF72" i="5"/>
  <c r="CF71" i="5"/>
  <c r="CF70" i="5"/>
  <c r="CF69" i="5"/>
  <c r="CF68" i="5"/>
  <c r="CF67" i="5"/>
  <c r="CF66" i="5"/>
  <c r="CF65" i="5"/>
  <c r="CF64" i="5"/>
  <c r="CF63" i="5"/>
  <c r="CF62" i="5"/>
  <c r="CF61" i="5"/>
  <c r="CF60" i="5"/>
  <c r="CF59" i="5"/>
  <c r="CF58" i="5"/>
  <c r="CF57" i="5"/>
  <c r="CF56" i="5"/>
  <c r="CF55" i="5"/>
  <c r="CF54" i="5"/>
  <c r="CF53" i="5"/>
  <c r="CF52" i="5"/>
  <c r="CF51" i="5"/>
  <c r="CF50" i="5"/>
  <c r="CF49" i="5"/>
  <c r="CF48" i="5"/>
  <c r="CF47" i="5"/>
  <c r="CF46" i="5"/>
  <c r="CF45" i="5"/>
  <c r="CF44" i="5"/>
  <c r="CF43" i="5"/>
  <c r="CF42" i="5"/>
  <c r="CF41" i="5"/>
  <c r="CF40" i="5"/>
  <c r="CF39" i="5"/>
  <c r="CF38" i="5"/>
  <c r="CF37" i="5"/>
  <c r="CF36" i="5"/>
  <c r="CF35" i="5"/>
  <c r="CF34" i="5"/>
  <c r="CF33" i="5"/>
  <c r="CF32" i="5"/>
  <c r="CF31" i="5"/>
  <c r="CF30" i="5"/>
  <c r="CF29" i="5"/>
  <c r="CF28" i="5"/>
  <c r="CF27" i="5"/>
  <c r="CF26" i="5"/>
  <c r="CF25" i="5"/>
  <c r="CF24" i="5"/>
  <c r="CF23" i="5"/>
  <c r="CF22" i="5"/>
  <c r="CF21" i="5"/>
  <c r="CF20" i="5"/>
  <c r="CF19" i="5"/>
  <c r="CF18" i="5"/>
  <c r="CF17" i="5"/>
  <c r="CF16" i="5"/>
  <c r="CF15" i="5"/>
  <c r="CF14" i="5"/>
  <c r="CF13" i="5"/>
  <c r="CF12" i="5"/>
  <c r="CF11" i="5"/>
  <c r="CF10" i="5"/>
  <c r="CF9" i="5"/>
  <c r="CF8" i="5"/>
  <c r="CN607" i="5"/>
  <c r="CN606" i="5"/>
  <c r="CN605" i="5"/>
  <c r="CN604" i="5"/>
  <c r="CN603" i="5"/>
  <c r="CN602" i="5"/>
  <c r="CN601" i="5"/>
  <c r="CN600" i="5"/>
  <c r="CN599" i="5"/>
  <c r="CN598" i="5"/>
  <c r="CN597" i="5"/>
  <c r="CN596" i="5"/>
  <c r="CN595" i="5"/>
  <c r="CN594" i="5"/>
  <c r="CN593" i="5"/>
  <c r="CN592" i="5"/>
  <c r="CN591" i="5"/>
  <c r="CN590" i="5"/>
  <c r="CN589" i="5"/>
  <c r="CN588" i="5"/>
  <c r="CN587" i="5"/>
  <c r="CN586" i="5"/>
  <c r="CN585" i="5"/>
  <c r="CN584" i="5"/>
  <c r="CN583" i="5"/>
  <c r="CN582" i="5"/>
  <c r="CN581" i="5"/>
  <c r="CN580" i="5"/>
  <c r="CN579" i="5"/>
  <c r="CN578" i="5"/>
  <c r="CN577" i="5"/>
  <c r="CN576" i="5"/>
  <c r="CN575" i="5"/>
  <c r="CN574" i="5"/>
  <c r="CN573" i="5"/>
  <c r="CN572" i="5"/>
  <c r="CN571" i="5"/>
  <c r="CN570" i="5"/>
  <c r="CN569" i="5"/>
  <c r="CN568" i="5"/>
  <c r="CN567" i="5"/>
  <c r="CN566" i="5"/>
  <c r="CN565" i="5"/>
  <c r="CN564" i="5"/>
  <c r="CN563" i="5"/>
  <c r="CN562" i="5"/>
  <c r="CN561" i="5"/>
  <c r="CN560" i="5"/>
  <c r="CN559" i="5"/>
  <c r="CN558" i="5"/>
  <c r="CN557" i="5"/>
  <c r="CN556" i="5"/>
  <c r="CN555" i="5"/>
  <c r="CN554" i="5"/>
  <c r="CN553" i="5"/>
  <c r="CN552" i="5"/>
  <c r="CN551" i="5"/>
  <c r="CN550" i="5"/>
  <c r="CN549" i="5"/>
  <c r="CN548" i="5"/>
  <c r="CN547" i="5"/>
  <c r="CN546" i="5"/>
  <c r="CN545" i="5"/>
  <c r="CN544" i="5"/>
  <c r="CN543" i="5"/>
  <c r="CN542" i="5"/>
  <c r="CN541" i="5"/>
  <c r="CN540" i="5"/>
  <c r="CN539" i="5"/>
  <c r="CN538" i="5"/>
  <c r="CN537" i="5"/>
  <c r="CN536" i="5"/>
  <c r="CN535" i="5"/>
  <c r="CN534" i="5"/>
  <c r="CN533" i="5"/>
  <c r="CN532" i="5"/>
  <c r="CN531" i="5"/>
  <c r="CN530" i="5"/>
  <c r="CN529" i="5"/>
  <c r="CN528" i="5"/>
  <c r="CN527" i="5"/>
  <c r="CN526" i="5"/>
  <c r="CN525" i="5"/>
  <c r="CN524" i="5"/>
  <c r="CN523" i="5"/>
  <c r="CN522" i="5"/>
  <c r="CN521" i="5"/>
  <c r="CN520" i="5"/>
  <c r="CN519" i="5"/>
  <c r="CN518" i="5"/>
  <c r="CN517" i="5"/>
  <c r="CN516" i="5"/>
  <c r="CN515" i="5"/>
  <c r="CN514" i="5"/>
  <c r="CN513" i="5"/>
  <c r="CN512" i="5"/>
  <c r="CN511" i="5"/>
  <c r="CN510" i="5"/>
  <c r="CN509" i="5"/>
  <c r="CN508" i="5"/>
  <c r="CN507" i="5"/>
  <c r="CN506" i="5"/>
  <c r="CN505" i="5"/>
  <c r="CN504" i="5"/>
  <c r="CN503" i="5"/>
  <c r="CN502" i="5"/>
  <c r="CN501" i="5"/>
  <c r="CN500" i="5"/>
  <c r="CN499" i="5"/>
  <c r="CN498" i="5"/>
  <c r="CN497" i="5"/>
  <c r="CN496" i="5"/>
  <c r="CN495" i="5"/>
  <c r="CN494" i="5"/>
  <c r="CN493" i="5"/>
  <c r="CN492" i="5"/>
  <c r="CN491" i="5"/>
  <c r="CN490" i="5"/>
  <c r="CN489" i="5"/>
  <c r="CN488" i="5"/>
  <c r="CN487" i="5"/>
  <c r="CN486" i="5"/>
  <c r="CN485" i="5"/>
  <c r="CN484" i="5"/>
  <c r="CN483" i="5"/>
  <c r="CN482" i="5"/>
  <c r="CN481" i="5"/>
  <c r="CN480" i="5"/>
  <c r="CN479" i="5"/>
  <c r="CN478" i="5"/>
  <c r="CN477" i="5"/>
  <c r="CN476" i="5"/>
  <c r="CN475" i="5"/>
  <c r="CN474" i="5"/>
  <c r="CN473" i="5"/>
  <c r="CN472" i="5"/>
  <c r="CN471" i="5"/>
  <c r="CN470" i="5"/>
  <c r="CN469" i="5"/>
  <c r="CN468" i="5"/>
  <c r="CN467" i="5"/>
  <c r="CN466" i="5"/>
  <c r="CN465" i="5"/>
  <c r="CN464" i="5"/>
  <c r="CN463" i="5"/>
  <c r="CN462" i="5"/>
  <c r="CN461" i="5"/>
  <c r="CN460" i="5"/>
  <c r="CN459" i="5"/>
  <c r="CN458" i="5"/>
  <c r="CN457" i="5"/>
  <c r="CN456" i="5"/>
  <c r="CN455" i="5"/>
  <c r="CN454" i="5"/>
  <c r="CN453" i="5"/>
  <c r="CN452" i="5"/>
  <c r="CN451" i="5"/>
  <c r="CN450" i="5"/>
  <c r="CN449" i="5"/>
  <c r="CN448" i="5"/>
  <c r="CN447" i="5"/>
  <c r="CN446" i="5"/>
  <c r="CN445" i="5"/>
  <c r="CN444" i="5"/>
  <c r="CN443" i="5"/>
  <c r="CN442" i="5"/>
  <c r="CN441" i="5"/>
  <c r="CN440" i="5"/>
  <c r="CN439" i="5"/>
  <c r="CN438" i="5"/>
  <c r="CN437" i="5"/>
  <c r="CN436" i="5"/>
  <c r="CN435" i="5"/>
  <c r="CN434" i="5"/>
  <c r="CN433" i="5"/>
  <c r="CN432" i="5"/>
  <c r="CN431" i="5"/>
  <c r="CN430" i="5"/>
  <c r="CN429" i="5"/>
  <c r="CN428" i="5"/>
  <c r="CN427" i="5"/>
  <c r="CN426" i="5"/>
  <c r="CN425" i="5"/>
  <c r="CN424" i="5"/>
  <c r="CN423" i="5"/>
  <c r="CN422" i="5"/>
  <c r="CN421" i="5"/>
  <c r="CN420" i="5"/>
  <c r="CN419" i="5"/>
  <c r="CN418" i="5"/>
  <c r="CN417" i="5"/>
  <c r="CN416" i="5"/>
  <c r="CN415" i="5"/>
  <c r="CN414" i="5"/>
  <c r="CN413" i="5"/>
  <c r="CN412" i="5"/>
  <c r="CN411" i="5"/>
  <c r="CN410" i="5"/>
  <c r="CN409" i="5"/>
  <c r="CN408" i="5"/>
  <c r="CN407" i="5"/>
  <c r="CN406" i="5"/>
  <c r="CN405" i="5"/>
  <c r="CN404" i="5"/>
  <c r="CN403" i="5"/>
  <c r="CN402" i="5"/>
  <c r="CN401" i="5"/>
  <c r="CN400" i="5"/>
  <c r="CN399" i="5"/>
  <c r="CN398" i="5"/>
  <c r="CN397" i="5"/>
  <c r="CN396" i="5"/>
  <c r="CN395" i="5"/>
  <c r="CN394" i="5"/>
  <c r="CN393" i="5"/>
  <c r="CN392" i="5"/>
  <c r="CN391" i="5"/>
  <c r="CN390" i="5"/>
  <c r="CN389" i="5"/>
  <c r="CN388" i="5"/>
  <c r="CN387" i="5"/>
  <c r="CN386" i="5"/>
  <c r="CN385" i="5"/>
  <c r="CN384" i="5"/>
  <c r="CN383" i="5"/>
  <c r="CN382" i="5"/>
  <c r="CN381" i="5"/>
  <c r="CN380" i="5"/>
  <c r="CN379" i="5"/>
  <c r="CN378" i="5"/>
  <c r="CN377" i="5"/>
  <c r="CN376" i="5"/>
  <c r="CN375" i="5"/>
  <c r="CN374" i="5"/>
  <c r="CN373" i="5"/>
  <c r="CN372" i="5"/>
  <c r="CN371" i="5"/>
  <c r="CN370" i="5"/>
  <c r="CN369" i="5"/>
  <c r="CN368" i="5"/>
  <c r="CN367" i="5"/>
  <c r="CN366" i="5"/>
  <c r="CN365" i="5"/>
  <c r="CN364" i="5"/>
  <c r="CN363" i="5"/>
  <c r="CN362" i="5"/>
  <c r="CN361" i="5"/>
  <c r="CN360" i="5"/>
  <c r="CN359" i="5"/>
  <c r="CN358" i="5"/>
  <c r="CN357" i="5"/>
  <c r="CN356" i="5"/>
  <c r="CN355" i="5"/>
  <c r="CN354" i="5"/>
  <c r="CN353" i="5"/>
  <c r="CN352" i="5"/>
  <c r="CN351" i="5"/>
  <c r="CN350" i="5"/>
  <c r="CN349" i="5"/>
  <c r="CN348" i="5"/>
  <c r="CN347" i="5"/>
  <c r="CN346" i="5"/>
  <c r="CN345" i="5"/>
  <c r="CN344" i="5"/>
  <c r="CN343" i="5"/>
  <c r="CN342" i="5"/>
  <c r="CN341" i="5"/>
  <c r="CN340" i="5"/>
  <c r="CN339" i="5"/>
  <c r="CN338" i="5"/>
  <c r="CN337" i="5"/>
  <c r="CN336" i="5"/>
  <c r="CN335" i="5"/>
  <c r="CN334" i="5"/>
  <c r="CN333" i="5"/>
  <c r="CN332" i="5"/>
  <c r="CN331" i="5"/>
  <c r="CN330" i="5"/>
  <c r="CN329" i="5"/>
  <c r="CN328" i="5"/>
  <c r="CN327" i="5"/>
  <c r="CN326" i="5"/>
  <c r="CN325" i="5"/>
  <c r="CN324" i="5"/>
  <c r="CN323" i="5"/>
  <c r="CN322" i="5"/>
  <c r="CN321" i="5"/>
  <c r="CN320" i="5"/>
  <c r="CN319" i="5"/>
  <c r="CN318" i="5"/>
  <c r="CN317" i="5"/>
  <c r="CN316" i="5"/>
  <c r="CN315" i="5"/>
  <c r="CN314" i="5"/>
  <c r="CN313" i="5"/>
  <c r="CN312" i="5"/>
  <c r="CN311" i="5"/>
  <c r="CN310" i="5"/>
  <c r="CN309" i="5"/>
  <c r="CN308" i="5"/>
  <c r="CN307" i="5"/>
  <c r="CN306" i="5"/>
  <c r="CN305" i="5"/>
  <c r="CN304" i="5"/>
  <c r="CN303" i="5"/>
  <c r="CN302" i="5"/>
  <c r="CN301" i="5"/>
  <c r="CN300" i="5"/>
  <c r="CN299" i="5"/>
  <c r="CN298" i="5"/>
  <c r="CN297" i="5"/>
  <c r="CN296" i="5"/>
  <c r="CN295" i="5"/>
  <c r="CN294" i="5"/>
  <c r="CN293" i="5"/>
  <c r="CN292" i="5"/>
  <c r="CN291" i="5"/>
  <c r="CN290" i="5"/>
  <c r="CN289" i="5"/>
  <c r="CN288" i="5"/>
  <c r="CN287" i="5"/>
  <c r="CN286" i="5"/>
  <c r="CN285" i="5"/>
  <c r="CN284" i="5"/>
  <c r="CN283" i="5"/>
  <c r="CN282" i="5"/>
  <c r="CN281" i="5"/>
  <c r="CN280" i="5"/>
  <c r="CN279" i="5"/>
  <c r="CN278" i="5"/>
  <c r="CN277" i="5"/>
  <c r="CN276" i="5"/>
  <c r="CN275" i="5"/>
  <c r="CN274" i="5"/>
  <c r="CN273" i="5"/>
  <c r="CN272" i="5"/>
  <c r="CN271" i="5"/>
  <c r="CN270" i="5"/>
  <c r="CN269" i="5"/>
  <c r="CN268" i="5"/>
  <c r="CN267" i="5"/>
  <c r="CN266" i="5"/>
  <c r="CN265" i="5"/>
  <c r="CN264" i="5"/>
  <c r="CN263" i="5"/>
  <c r="CN262" i="5"/>
  <c r="CN261" i="5"/>
  <c r="CN260" i="5"/>
  <c r="CN259" i="5"/>
  <c r="CN258" i="5"/>
  <c r="CN257" i="5"/>
  <c r="CN256" i="5"/>
  <c r="CN255" i="5"/>
  <c r="CN254" i="5"/>
  <c r="CN253" i="5"/>
  <c r="CN252" i="5"/>
  <c r="CN251" i="5"/>
  <c r="CN250" i="5"/>
  <c r="CN249" i="5"/>
  <c r="CN248" i="5"/>
  <c r="CN247" i="5"/>
  <c r="CN246" i="5"/>
  <c r="CN245" i="5"/>
  <c r="CN244" i="5"/>
  <c r="CN243" i="5"/>
  <c r="CN242" i="5"/>
  <c r="CN241" i="5"/>
  <c r="CN240" i="5"/>
  <c r="CN239" i="5"/>
  <c r="CN238" i="5"/>
  <c r="CN237" i="5"/>
  <c r="CN236" i="5"/>
  <c r="CN235" i="5"/>
  <c r="CN234" i="5"/>
  <c r="CN233" i="5"/>
  <c r="CN232" i="5"/>
  <c r="CN231" i="5"/>
  <c r="CN230" i="5"/>
  <c r="CN229" i="5"/>
  <c r="CN228" i="5"/>
  <c r="CN227" i="5"/>
  <c r="CN226" i="5"/>
  <c r="CN225" i="5"/>
  <c r="CN224" i="5"/>
  <c r="CN223" i="5"/>
  <c r="CN222" i="5"/>
  <c r="CN221" i="5"/>
  <c r="CN220" i="5"/>
  <c r="CN219" i="5"/>
  <c r="CN218" i="5"/>
  <c r="CN217" i="5"/>
  <c r="CN216" i="5"/>
  <c r="CN215" i="5"/>
  <c r="CN214" i="5"/>
  <c r="CN213" i="5"/>
  <c r="CN212" i="5"/>
  <c r="CN211" i="5"/>
  <c r="CN210" i="5"/>
  <c r="CN209" i="5"/>
  <c r="CN208" i="5"/>
  <c r="CN207" i="5"/>
  <c r="CN206" i="5"/>
  <c r="CN205" i="5"/>
  <c r="CN204" i="5"/>
  <c r="CN203" i="5"/>
  <c r="CN202" i="5"/>
  <c r="CN201" i="5"/>
  <c r="CN200" i="5"/>
  <c r="CN199" i="5"/>
  <c r="CN198" i="5"/>
  <c r="CN197" i="5"/>
  <c r="CN196" i="5"/>
  <c r="CN195" i="5"/>
  <c r="CN194" i="5"/>
  <c r="CN193" i="5"/>
  <c r="CN192" i="5"/>
  <c r="CN191" i="5"/>
  <c r="CN190" i="5"/>
  <c r="CN189" i="5"/>
  <c r="CN188" i="5"/>
  <c r="CN187" i="5"/>
  <c r="CN186" i="5"/>
  <c r="CN185" i="5"/>
  <c r="CN184" i="5"/>
  <c r="CN183" i="5"/>
  <c r="CN182" i="5"/>
  <c r="CN181" i="5"/>
  <c r="CN180" i="5"/>
  <c r="CN179" i="5"/>
  <c r="CN178" i="5"/>
  <c r="CN177" i="5"/>
  <c r="CN176" i="5"/>
  <c r="CN175" i="5"/>
  <c r="CN174" i="5"/>
  <c r="CN173" i="5"/>
  <c r="CN172" i="5"/>
  <c r="CN171" i="5"/>
  <c r="CN170" i="5"/>
  <c r="CN169" i="5"/>
  <c r="CN168" i="5"/>
  <c r="CN167" i="5"/>
  <c r="CN166" i="5"/>
  <c r="CN165" i="5"/>
  <c r="CN164" i="5"/>
  <c r="CN163" i="5"/>
  <c r="CN162" i="5"/>
  <c r="CN161" i="5"/>
  <c r="CN160" i="5"/>
  <c r="CN159" i="5"/>
  <c r="CN158" i="5"/>
  <c r="CN157" i="5"/>
  <c r="CN156" i="5"/>
  <c r="CN155" i="5"/>
  <c r="CN154" i="5"/>
  <c r="CN153" i="5"/>
  <c r="CN152" i="5"/>
  <c r="CN151" i="5"/>
  <c r="CN150" i="5"/>
  <c r="CN149" i="5"/>
  <c r="CN148" i="5"/>
  <c r="CN147" i="5"/>
  <c r="CN146" i="5"/>
  <c r="CN145" i="5"/>
  <c r="CN144" i="5"/>
  <c r="CN143" i="5"/>
  <c r="CN142" i="5"/>
  <c r="CN141" i="5"/>
  <c r="CN140" i="5"/>
  <c r="CN139" i="5"/>
  <c r="CN138" i="5"/>
  <c r="CN137" i="5"/>
  <c r="CN136" i="5"/>
  <c r="CN135" i="5"/>
  <c r="CN134" i="5"/>
  <c r="CN133" i="5"/>
  <c r="CN132" i="5"/>
  <c r="CN131" i="5"/>
  <c r="CN130" i="5"/>
  <c r="CN129" i="5"/>
  <c r="CN128" i="5"/>
  <c r="CN127" i="5"/>
  <c r="CN126" i="5"/>
  <c r="CN125" i="5"/>
  <c r="CN124" i="5"/>
  <c r="CN123" i="5"/>
  <c r="CN122" i="5"/>
  <c r="CN121" i="5"/>
  <c r="CN120" i="5"/>
  <c r="CN119" i="5"/>
  <c r="CN118" i="5"/>
  <c r="CN117" i="5"/>
  <c r="CN116" i="5"/>
  <c r="CN115" i="5"/>
  <c r="CN114" i="5"/>
  <c r="CN113" i="5"/>
  <c r="CN112" i="5"/>
  <c r="CN111" i="5"/>
  <c r="CN110" i="5"/>
  <c r="CN109" i="5"/>
  <c r="CN108" i="5"/>
  <c r="CN107" i="5"/>
  <c r="CN106" i="5"/>
  <c r="CN105" i="5"/>
  <c r="CN104" i="5"/>
  <c r="CN103" i="5"/>
  <c r="CN102" i="5"/>
  <c r="CN101" i="5"/>
  <c r="CN100" i="5"/>
  <c r="CN99" i="5"/>
  <c r="CN98" i="5"/>
  <c r="CN97" i="5"/>
  <c r="CN96" i="5"/>
  <c r="CN95" i="5"/>
  <c r="CN94" i="5"/>
  <c r="CN93" i="5"/>
  <c r="CN92" i="5"/>
  <c r="CN91" i="5"/>
  <c r="CN90" i="5"/>
  <c r="CN89" i="5"/>
  <c r="CN88" i="5"/>
  <c r="CN87" i="5"/>
  <c r="CN86" i="5"/>
  <c r="CN85" i="5"/>
  <c r="CN84" i="5"/>
  <c r="CN83" i="5"/>
  <c r="CN82" i="5"/>
  <c r="CN81" i="5"/>
  <c r="CN80" i="5"/>
  <c r="CN79" i="5"/>
  <c r="CN78" i="5"/>
  <c r="CN77" i="5"/>
  <c r="CN76" i="5"/>
  <c r="CN75" i="5"/>
  <c r="CN74" i="5"/>
  <c r="CN73" i="5"/>
  <c r="CN72" i="5"/>
  <c r="CN71" i="5"/>
  <c r="CN70" i="5"/>
  <c r="CN69" i="5"/>
  <c r="CN68" i="5"/>
  <c r="CN67" i="5"/>
  <c r="CN66" i="5"/>
  <c r="CN65" i="5"/>
  <c r="CN64" i="5"/>
  <c r="CN63" i="5"/>
  <c r="CN62" i="5"/>
  <c r="CN61" i="5"/>
  <c r="CN60" i="5"/>
  <c r="CN59" i="5"/>
  <c r="CN58" i="5"/>
  <c r="CN57" i="5"/>
  <c r="CN56" i="5"/>
  <c r="CN55" i="5"/>
  <c r="CN54" i="5"/>
  <c r="CN53" i="5"/>
  <c r="CN52" i="5"/>
  <c r="CN51" i="5"/>
  <c r="CN50" i="5"/>
  <c r="CN49" i="5"/>
  <c r="CN48" i="5"/>
  <c r="CN47" i="5"/>
  <c r="CN46" i="5"/>
  <c r="CN45" i="5"/>
  <c r="CN44" i="5"/>
  <c r="CN43" i="5"/>
  <c r="CN42" i="5"/>
  <c r="CN41" i="5"/>
  <c r="CN40" i="5"/>
  <c r="CN39" i="5"/>
  <c r="CN38" i="5"/>
  <c r="CN37" i="5"/>
  <c r="CN36" i="5"/>
  <c r="CN35" i="5"/>
  <c r="CN34" i="5"/>
  <c r="CN33" i="5"/>
  <c r="CN32" i="5"/>
  <c r="CN31" i="5"/>
  <c r="CN30" i="5"/>
  <c r="CN29" i="5"/>
  <c r="CN28" i="5"/>
  <c r="CN27" i="5"/>
  <c r="CN26" i="5"/>
  <c r="CN25" i="5"/>
  <c r="CN24" i="5"/>
  <c r="CN23" i="5"/>
  <c r="CN22" i="5"/>
  <c r="CN21" i="5"/>
  <c r="CN20" i="5"/>
  <c r="CN19" i="5"/>
  <c r="CN18" i="5"/>
  <c r="CN17" i="5"/>
  <c r="CN16" i="5"/>
  <c r="CN15" i="5"/>
  <c r="CN14" i="5"/>
  <c r="CN13" i="5"/>
  <c r="CN12" i="5"/>
  <c r="CN11" i="5"/>
  <c r="CN10" i="5"/>
  <c r="CN9" i="5"/>
  <c r="CN8" i="5"/>
  <c r="BX607" i="5"/>
  <c r="BX606" i="5"/>
  <c r="BX605" i="5"/>
  <c r="BX604" i="5"/>
  <c r="BX603" i="5"/>
  <c r="BX602" i="5"/>
  <c r="BX601" i="5"/>
  <c r="BX600" i="5"/>
  <c r="BX599" i="5"/>
  <c r="BX598" i="5"/>
  <c r="BX597" i="5"/>
  <c r="BX596" i="5"/>
  <c r="BX595" i="5"/>
  <c r="BX594" i="5"/>
  <c r="BX593" i="5"/>
  <c r="BX592" i="5"/>
  <c r="BX591" i="5"/>
  <c r="BX590" i="5"/>
  <c r="BX589" i="5"/>
  <c r="BX588" i="5"/>
  <c r="BX587" i="5"/>
  <c r="BX586" i="5"/>
  <c r="BX585" i="5"/>
  <c r="BX584" i="5"/>
  <c r="BX583" i="5"/>
  <c r="BX582" i="5"/>
  <c r="BX581" i="5"/>
  <c r="BX580" i="5"/>
  <c r="BX579" i="5"/>
  <c r="BX578" i="5"/>
  <c r="BX577" i="5"/>
  <c r="BX576" i="5"/>
  <c r="BX575" i="5"/>
  <c r="BX574" i="5"/>
  <c r="BX573" i="5"/>
  <c r="BX572" i="5"/>
  <c r="BX571" i="5"/>
  <c r="BX570" i="5"/>
  <c r="BX569" i="5"/>
  <c r="BX568" i="5"/>
  <c r="BX567" i="5"/>
  <c r="BX566" i="5"/>
  <c r="BX565" i="5"/>
  <c r="BX564" i="5"/>
  <c r="BX563" i="5"/>
  <c r="BX562" i="5"/>
  <c r="BX561" i="5"/>
  <c r="BX560" i="5"/>
  <c r="BX559" i="5"/>
  <c r="BX558" i="5"/>
  <c r="BX557" i="5"/>
  <c r="BX556" i="5"/>
  <c r="BX555" i="5"/>
  <c r="BX554" i="5"/>
  <c r="BX553" i="5"/>
  <c r="BX552" i="5"/>
  <c r="BX551" i="5"/>
  <c r="BX550" i="5"/>
  <c r="BX549" i="5"/>
  <c r="BX548" i="5"/>
  <c r="BX547" i="5"/>
  <c r="BX546" i="5"/>
  <c r="BX545" i="5"/>
  <c r="BX544" i="5"/>
  <c r="BX543" i="5"/>
  <c r="BX542" i="5"/>
  <c r="BX541" i="5"/>
  <c r="BX540" i="5"/>
  <c r="BX539" i="5"/>
  <c r="BX538" i="5"/>
  <c r="BX537" i="5"/>
  <c r="BX536" i="5"/>
  <c r="BX535" i="5"/>
  <c r="BX534" i="5"/>
  <c r="BX533" i="5"/>
  <c r="BX532" i="5"/>
  <c r="BX531" i="5"/>
  <c r="BX530" i="5"/>
  <c r="BX529" i="5"/>
  <c r="BX528" i="5"/>
  <c r="BX527" i="5"/>
  <c r="BX526" i="5"/>
  <c r="BX525" i="5"/>
  <c r="BX524" i="5"/>
  <c r="BX523" i="5"/>
  <c r="BX522" i="5"/>
  <c r="BX521" i="5"/>
  <c r="BX520" i="5"/>
  <c r="BX519" i="5"/>
  <c r="BX518" i="5"/>
  <c r="BX517" i="5"/>
  <c r="BX516" i="5"/>
  <c r="BX515" i="5"/>
  <c r="BX514" i="5"/>
  <c r="BX513" i="5"/>
  <c r="BX512" i="5"/>
  <c r="BX511" i="5"/>
  <c r="BX510" i="5"/>
  <c r="BX509" i="5"/>
  <c r="BX508" i="5"/>
  <c r="BX507" i="5"/>
  <c r="BX506" i="5"/>
  <c r="BX505" i="5"/>
  <c r="BX504" i="5"/>
  <c r="BX503" i="5"/>
  <c r="BX502" i="5"/>
  <c r="BX501" i="5"/>
  <c r="BX500" i="5"/>
  <c r="BX499" i="5"/>
  <c r="BX498" i="5"/>
  <c r="BX497" i="5"/>
  <c r="BX496" i="5"/>
  <c r="BX495" i="5"/>
  <c r="BX494" i="5"/>
  <c r="BX493" i="5"/>
  <c r="BX492" i="5"/>
  <c r="BX491" i="5"/>
  <c r="BX490" i="5"/>
  <c r="BX489" i="5"/>
  <c r="BX488" i="5"/>
  <c r="BX487" i="5"/>
  <c r="BX486" i="5"/>
  <c r="BX485" i="5"/>
  <c r="BX484" i="5"/>
  <c r="BX483" i="5"/>
  <c r="BX482" i="5"/>
  <c r="BX481" i="5"/>
  <c r="BX480" i="5"/>
  <c r="BX479" i="5"/>
  <c r="BX478" i="5"/>
  <c r="BX477" i="5"/>
  <c r="BX476" i="5"/>
  <c r="BX475" i="5"/>
  <c r="BX474" i="5"/>
  <c r="BX473" i="5"/>
  <c r="BX472" i="5"/>
  <c r="BX471" i="5"/>
  <c r="BX470" i="5"/>
  <c r="BX469" i="5"/>
  <c r="BX468" i="5"/>
  <c r="BX467" i="5"/>
  <c r="BX466" i="5"/>
  <c r="BX465" i="5"/>
  <c r="BX464" i="5"/>
  <c r="BX463" i="5"/>
  <c r="BX462" i="5"/>
  <c r="BX461" i="5"/>
  <c r="BX460" i="5"/>
  <c r="BX459" i="5"/>
  <c r="BX458" i="5"/>
  <c r="BX457" i="5"/>
  <c r="BX456" i="5"/>
  <c r="BX455" i="5"/>
  <c r="BX454" i="5"/>
  <c r="BX453" i="5"/>
  <c r="BX452" i="5"/>
  <c r="BX451" i="5"/>
  <c r="BX450" i="5"/>
  <c r="BX449" i="5"/>
  <c r="BX448" i="5"/>
  <c r="BX447" i="5"/>
  <c r="BX446" i="5"/>
  <c r="BX445" i="5"/>
  <c r="BX444" i="5"/>
  <c r="BX443" i="5"/>
  <c r="BX442" i="5"/>
  <c r="BX441" i="5"/>
  <c r="BX440" i="5"/>
  <c r="BX439" i="5"/>
  <c r="BX438" i="5"/>
  <c r="BX437" i="5"/>
  <c r="BX436" i="5"/>
  <c r="BX435" i="5"/>
  <c r="BX434" i="5"/>
  <c r="BX433" i="5"/>
  <c r="BX432" i="5"/>
  <c r="BX431" i="5"/>
  <c r="BX430" i="5"/>
  <c r="BX429" i="5"/>
  <c r="BX428" i="5"/>
  <c r="BX427" i="5"/>
  <c r="BX426" i="5"/>
  <c r="BX425" i="5"/>
  <c r="BX424" i="5"/>
  <c r="BX423" i="5"/>
  <c r="BX422" i="5"/>
  <c r="BX421" i="5"/>
  <c r="BX420" i="5"/>
  <c r="BX419" i="5"/>
  <c r="BX418" i="5"/>
  <c r="BX417" i="5"/>
  <c r="BX416" i="5"/>
  <c r="BX415" i="5"/>
  <c r="BX414" i="5"/>
  <c r="BX413" i="5"/>
  <c r="BX412" i="5"/>
  <c r="BX411" i="5"/>
  <c r="BX410" i="5"/>
  <c r="BX409" i="5"/>
  <c r="BX408" i="5"/>
  <c r="BX407" i="5"/>
  <c r="BX406" i="5"/>
  <c r="BX405" i="5"/>
  <c r="BX404" i="5"/>
  <c r="BX403" i="5"/>
  <c r="BX402" i="5"/>
  <c r="BX401" i="5"/>
  <c r="BX400" i="5"/>
  <c r="BX399" i="5"/>
  <c r="BX398" i="5"/>
  <c r="BX397" i="5"/>
  <c r="BX396" i="5"/>
  <c r="BX395" i="5"/>
  <c r="BX394" i="5"/>
  <c r="BX393" i="5"/>
  <c r="BX392" i="5"/>
  <c r="BX391" i="5"/>
  <c r="BX390" i="5"/>
  <c r="BX389" i="5"/>
  <c r="BX388" i="5"/>
  <c r="BX387" i="5"/>
  <c r="BX386" i="5"/>
  <c r="BX385" i="5"/>
  <c r="BX384" i="5"/>
  <c r="BX383" i="5"/>
  <c r="BX382" i="5"/>
  <c r="BX381" i="5"/>
  <c r="BX380" i="5"/>
  <c r="BX379" i="5"/>
  <c r="BX378" i="5"/>
  <c r="BX377" i="5"/>
  <c r="BX376" i="5"/>
  <c r="BX375" i="5"/>
  <c r="BX374" i="5"/>
  <c r="BX373" i="5"/>
  <c r="BX372" i="5"/>
  <c r="BX371" i="5"/>
  <c r="BX370" i="5"/>
  <c r="BX369" i="5"/>
  <c r="BX368" i="5"/>
  <c r="BX367" i="5"/>
  <c r="BX366" i="5"/>
  <c r="BX365" i="5"/>
  <c r="BX364" i="5"/>
  <c r="BX363" i="5"/>
  <c r="BX362" i="5"/>
  <c r="BX361" i="5"/>
  <c r="BX360" i="5"/>
  <c r="BX359" i="5"/>
  <c r="BX358" i="5"/>
  <c r="BX357" i="5"/>
  <c r="BX356" i="5"/>
  <c r="BX355" i="5"/>
  <c r="BX354" i="5"/>
  <c r="BX353" i="5"/>
  <c r="BX352" i="5"/>
  <c r="BX351" i="5"/>
  <c r="BX350" i="5"/>
  <c r="BX349" i="5"/>
  <c r="BX348" i="5"/>
  <c r="BX347" i="5"/>
  <c r="BX346" i="5"/>
  <c r="BX345" i="5"/>
  <c r="BX344" i="5"/>
  <c r="BX343" i="5"/>
  <c r="BX342" i="5"/>
  <c r="BX341" i="5"/>
  <c r="BX340" i="5"/>
  <c r="BX339" i="5"/>
  <c r="BX338" i="5"/>
  <c r="BX337" i="5"/>
  <c r="BX336" i="5"/>
  <c r="BX335" i="5"/>
  <c r="BX334" i="5"/>
  <c r="BX333" i="5"/>
  <c r="BX332" i="5"/>
  <c r="BX331" i="5"/>
  <c r="BX330" i="5"/>
  <c r="BX329" i="5"/>
  <c r="BX328" i="5"/>
  <c r="BX327" i="5"/>
  <c r="BX326" i="5"/>
  <c r="BX325" i="5"/>
  <c r="BX324" i="5"/>
  <c r="BX323" i="5"/>
  <c r="BX322" i="5"/>
  <c r="BX321" i="5"/>
  <c r="BX320" i="5"/>
  <c r="BX319" i="5"/>
  <c r="BX318" i="5"/>
  <c r="BX317" i="5"/>
  <c r="BX316" i="5"/>
  <c r="BX315" i="5"/>
  <c r="BX314" i="5"/>
  <c r="BX313" i="5"/>
  <c r="BX312" i="5"/>
  <c r="BX311" i="5"/>
  <c r="BX310" i="5"/>
  <c r="BX309" i="5"/>
  <c r="BX308" i="5"/>
  <c r="BX307" i="5"/>
  <c r="BX306" i="5"/>
  <c r="BX305" i="5"/>
  <c r="BX304" i="5"/>
  <c r="BX303" i="5"/>
  <c r="BX302" i="5"/>
  <c r="BX301" i="5"/>
  <c r="BX300" i="5"/>
  <c r="BX299" i="5"/>
  <c r="BX298" i="5"/>
  <c r="BX297" i="5"/>
  <c r="BX296" i="5"/>
  <c r="BX295" i="5"/>
  <c r="BX294" i="5"/>
  <c r="BX293" i="5"/>
  <c r="BX292" i="5"/>
  <c r="BX291" i="5"/>
  <c r="BX290" i="5"/>
  <c r="BX289" i="5"/>
  <c r="BX288" i="5"/>
  <c r="BX287" i="5"/>
  <c r="BX286" i="5"/>
  <c r="BX285" i="5"/>
  <c r="BX284" i="5"/>
  <c r="BX283" i="5"/>
  <c r="BX282" i="5"/>
  <c r="BX281" i="5"/>
  <c r="BX280" i="5"/>
  <c r="BX279" i="5"/>
  <c r="BX278" i="5"/>
  <c r="BX277" i="5"/>
  <c r="BX276" i="5"/>
  <c r="BX275" i="5"/>
  <c r="BX274" i="5"/>
  <c r="BX273" i="5"/>
  <c r="BX272" i="5"/>
  <c r="BX271" i="5"/>
  <c r="BX270" i="5"/>
  <c r="BX269" i="5"/>
  <c r="BX268" i="5"/>
  <c r="BX267" i="5"/>
  <c r="BX266" i="5"/>
  <c r="BX265" i="5"/>
  <c r="BX264" i="5"/>
  <c r="BX263" i="5"/>
  <c r="BX262" i="5"/>
  <c r="BX261" i="5"/>
  <c r="BX260" i="5"/>
  <c r="BX259" i="5"/>
  <c r="BX258" i="5"/>
  <c r="BX257" i="5"/>
  <c r="BX256" i="5"/>
  <c r="BX255" i="5"/>
  <c r="BX254" i="5"/>
  <c r="BX253" i="5"/>
  <c r="BX252" i="5"/>
  <c r="BX251" i="5"/>
  <c r="BX250" i="5"/>
  <c r="BX249" i="5"/>
  <c r="BX248" i="5"/>
  <c r="BX247" i="5"/>
  <c r="BX246" i="5"/>
  <c r="BX245" i="5"/>
  <c r="BX244" i="5"/>
  <c r="BX243" i="5"/>
  <c r="BX242" i="5"/>
  <c r="BX241" i="5"/>
  <c r="BX240" i="5"/>
  <c r="BX239" i="5"/>
  <c r="BX238" i="5"/>
  <c r="BX237" i="5"/>
  <c r="BX236" i="5"/>
  <c r="BX235" i="5"/>
  <c r="BX234" i="5"/>
  <c r="BX233" i="5"/>
  <c r="BX232" i="5"/>
  <c r="BX231" i="5"/>
  <c r="BX230" i="5"/>
  <c r="BX229" i="5"/>
  <c r="BX228" i="5"/>
  <c r="BX227" i="5"/>
  <c r="BX226" i="5"/>
  <c r="BX225" i="5"/>
  <c r="BX224" i="5"/>
  <c r="BX223" i="5"/>
  <c r="BX222" i="5"/>
  <c r="BX221" i="5"/>
  <c r="BX220" i="5"/>
  <c r="BX219" i="5"/>
  <c r="BX218" i="5"/>
  <c r="BX217" i="5"/>
  <c r="BX216" i="5"/>
  <c r="BX215" i="5"/>
  <c r="BX214" i="5"/>
  <c r="BX213" i="5"/>
  <c r="BX212" i="5"/>
  <c r="BX211" i="5"/>
  <c r="BX210" i="5"/>
  <c r="BX209" i="5"/>
  <c r="BX208" i="5"/>
  <c r="BX207" i="5"/>
  <c r="BX206" i="5"/>
  <c r="BX205" i="5"/>
  <c r="BX204" i="5"/>
  <c r="BX203" i="5"/>
  <c r="BX202" i="5"/>
  <c r="BX201" i="5"/>
  <c r="BX200" i="5"/>
  <c r="BX199" i="5"/>
  <c r="BX198" i="5"/>
  <c r="BX197" i="5"/>
  <c r="BX196" i="5"/>
  <c r="BX195" i="5"/>
  <c r="BX194" i="5"/>
  <c r="BX193" i="5"/>
  <c r="BX192" i="5"/>
  <c r="BX191" i="5"/>
  <c r="BX190" i="5"/>
  <c r="BX189" i="5"/>
  <c r="BX188" i="5"/>
  <c r="BX187" i="5"/>
  <c r="BX186" i="5"/>
  <c r="BX185" i="5"/>
  <c r="BX184" i="5"/>
  <c r="BX183" i="5"/>
  <c r="BX182" i="5"/>
  <c r="BX181" i="5"/>
  <c r="BX180" i="5"/>
  <c r="BX179" i="5"/>
  <c r="BX178" i="5"/>
  <c r="BX177" i="5"/>
  <c r="BX176" i="5"/>
  <c r="BX175" i="5"/>
  <c r="BX174" i="5"/>
  <c r="BX173" i="5"/>
  <c r="BX172" i="5"/>
  <c r="BX171" i="5"/>
  <c r="BX170" i="5"/>
  <c r="BX169" i="5"/>
  <c r="BX168" i="5"/>
  <c r="BX167" i="5"/>
  <c r="BX166" i="5"/>
  <c r="BX165" i="5"/>
  <c r="BX164" i="5"/>
  <c r="BX163" i="5"/>
  <c r="BX162" i="5"/>
  <c r="BX161" i="5"/>
  <c r="BX160" i="5"/>
  <c r="BX159" i="5"/>
  <c r="BX158" i="5"/>
  <c r="BX157" i="5"/>
  <c r="BX156" i="5"/>
  <c r="BX155" i="5"/>
  <c r="BX154" i="5"/>
  <c r="BX153" i="5"/>
  <c r="BX152" i="5"/>
  <c r="BX151" i="5"/>
  <c r="BX150" i="5"/>
  <c r="BX149" i="5"/>
  <c r="BX148" i="5"/>
  <c r="BX147" i="5"/>
  <c r="BX146" i="5"/>
  <c r="BX145" i="5"/>
  <c r="BX144" i="5"/>
  <c r="BX143" i="5"/>
  <c r="BX142" i="5"/>
  <c r="BX141" i="5"/>
  <c r="BX140" i="5"/>
  <c r="BX139" i="5"/>
  <c r="BX138" i="5"/>
  <c r="BX137" i="5"/>
  <c r="BX136" i="5"/>
  <c r="BX135" i="5"/>
  <c r="BX134" i="5"/>
  <c r="BX133" i="5"/>
  <c r="BX132" i="5"/>
  <c r="BX131" i="5"/>
  <c r="BX130" i="5"/>
  <c r="BX129" i="5"/>
  <c r="BX128" i="5"/>
  <c r="BX127" i="5"/>
  <c r="BX126" i="5"/>
  <c r="BX125" i="5"/>
  <c r="BX124" i="5"/>
  <c r="BX123" i="5"/>
  <c r="BX122" i="5"/>
  <c r="BX121" i="5"/>
  <c r="BX120" i="5"/>
  <c r="BX119" i="5"/>
  <c r="BX118" i="5"/>
  <c r="BX117" i="5"/>
  <c r="BX116" i="5"/>
  <c r="BX115" i="5"/>
  <c r="BX114" i="5"/>
  <c r="BX113" i="5"/>
  <c r="BX112" i="5"/>
  <c r="BX111" i="5"/>
  <c r="BX110" i="5"/>
  <c r="BX109" i="5"/>
  <c r="BX108" i="5"/>
  <c r="BX107" i="5"/>
  <c r="BX106" i="5"/>
  <c r="BX105" i="5"/>
  <c r="BX104" i="5"/>
  <c r="BX103" i="5"/>
  <c r="BX102" i="5"/>
  <c r="BX101" i="5"/>
  <c r="BX100" i="5"/>
  <c r="BX99" i="5"/>
  <c r="BX98" i="5"/>
  <c r="BX97" i="5"/>
  <c r="BX96" i="5"/>
  <c r="BX95" i="5"/>
  <c r="BX94" i="5"/>
  <c r="BX93" i="5"/>
  <c r="BX92" i="5"/>
  <c r="BX91" i="5"/>
  <c r="BX90" i="5"/>
  <c r="BX89" i="5"/>
  <c r="BX88" i="5"/>
  <c r="BX87" i="5"/>
  <c r="BX86" i="5"/>
  <c r="BX85" i="5"/>
  <c r="BX84" i="5"/>
  <c r="BX83" i="5"/>
  <c r="BX82" i="5"/>
  <c r="BX81" i="5"/>
  <c r="BX80" i="5"/>
  <c r="BX79" i="5"/>
  <c r="BX78" i="5"/>
  <c r="BX77" i="5"/>
  <c r="BX76" i="5"/>
  <c r="BX75" i="5"/>
  <c r="BX74" i="5"/>
  <c r="BX73" i="5"/>
  <c r="BX72" i="5"/>
  <c r="BX71" i="5"/>
  <c r="BX70" i="5"/>
  <c r="BX69" i="5"/>
  <c r="BX68" i="5"/>
  <c r="BX67" i="5"/>
  <c r="BX66" i="5"/>
  <c r="BX65" i="5"/>
  <c r="BX64" i="5"/>
  <c r="BX63" i="5"/>
  <c r="BX62" i="5"/>
  <c r="BX61" i="5"/>
  <c r="BX60" i="5"/>
  <c r="BX59" i="5"/>
  <c r="BX58" i="5"/>
  <c r="BX57" i="5"/>
  <c r="BX56" i="5"/>
  <c r="BX55" i="5"/>
  <c r="BX54" i="5"/>
  <c r="BX53" i="5"/>
  <c r="BX52" i="5"/>
  <c r="BX51" i="5"/>
  <c r="BX50" i="5"/>
  <c r="BX49" i="5"/>
  <c r="BX48" i="5"/>
  <c r="BX47" i="5"/>
  <c r="BX46" i="5"/>
  <c r="BX45" i="5"/>
  <c r="BX44" i="5"/>
  <c r="BX43" i="5"/>
  <c r="BX42" i="5"/>
  <c r="BX41" i="5"/>
  <c r="BX40" i="5"/>
  <c r="BX39" i="5"/>
  <c r="BX38" i="5"/>
  <c r="BX37" i="5"/>
  <c r="BX36" i="5"/>
  <c r="BX35" i="5"/>
  <c r="BX34" i="5"/>
  <c r="BX33" i="5"/>
  <c r="BX32" i="5"/>
  <c r="BX31" i="5"/>
  <c r="BX30" i="5"/>
  <c r="BX29" i="5"/>
  <c r="BX28" i="5"/>
  <c r="BX27" i="5"/>
  <c r="BX26" i="5"/>
  <c r="BX25" i="5"/>
  <c r="BX24" i="5"/>
  <c r="BX23" i="5"/>
  <c r="BX22" i="5"/>
  <c r="BX21" i="5"/>
  <c r="BX20" i="5"/>
  <c r="BX19" i="5"/>
  <c r="BX18" i="5"/>
  <c r="BX17" i="5"/>
  <c r="BX16" i="5"/>
  <c r="BX15" i="5"/>
  <c r="BX14" i="5"/>
  <c r="BX13" i="5"/>
  <c r="BX12" i="5"/>
  <c r="BX11" i="5"/>
  <c r="BX10" i="5"/>
  <c r="BX9" i="5"/>
  <c r="BX8" i="5"/>
  <c r="BT607" i="5"/>
  <c r="BT606" i="5"/>
  <c r="BT605" i="5"/>
  <c r="BT604" i="5"/>
  <c r="BT603" i="5"/>
  <c r="BT602" i="5"/>
  <c r="BT601" i="5"/>
  <c r="BT600" i="5"/>
  <c r="BT599" i="5"/>
  <c r="BT598" i="5"/>
  <c r="BT597" i="5"/>
  <c r="BT596" i="5"/>
  <c r="BT595" i="5"/>
  <c r="BT594" i="5"/>
  <c r="BT593" i="5"/>
  <c r="BT592" i="5"/>
  <c r="BT591" i="5"/>
  <c r="BT590" i="5"/>
  <c r="BT589" i="5"/>
  <c r="BT588" i="5"/>
  <c r="BT587" i="5"/>
  <c r="BT586" i="5"/>
  <c r="BT585" i="5"/>
  <c r="BT584" i="5"/>
  <c r="BT583" i="5"/>
  <c r="BT582" i="5"/>
  <c r="BT581" i="5"/>
  <c r="BT580" i="5"/>
  <c r="BT579" i="5"/>
  <c r="BT578" i="5"/>
  <c r="BT577" i="5"/>
  <c r="BT576" i="5"/>
  <c r="BT575" i="5"/>
  <c r="BT574" i="5"/>
  <c r="BT573" i="5"/>
  <c r="BT572" i="5"/>
  <c r="BT571" i="5"/>
  <c r="BT570" i="5"/>
  <c r="BT569" i="5"/>
  <c r="BT568" i="5"/>
  <c r="BT567" i="5"/>
  <c r="BT566" i="5"/>
  <c r="BT565" i="5"/>
  <c r="BT564" i="5"/>
  <c r="BT563" i="5"/>
  <c r="BT562" i="5"/>
  <c r="BT561" i="5"/>
  <c r="BT560" i="5"/>
  <c r="BT559" i="5"/>
  <c r="BT558" i="5"/>
  <c r="BT557" i="5"/>
  <c r="BT556" i="5"/>
  <c r="BT555" i="5"/>
  <c r="BT554" i="5"/>
  <c r="BT553" i="5"/>
  <c r="BT552" i="5"/>
  <c r="BT551" i="5"/>
  <c r="BT550" i="5"/>
  <c r="BT549" i="5"/>
  <c r="BT548" i="5"/>
  <c r="BT547" i="5"/>
  <c r="BT546" i="5"/>
  <c r="BT545" i="5"/>
  <c r="BT544" i="5"/>
  <c r="BT543" i="5"/>
  <c r="BT542" i="5"/>
  <c r="BT541" i="5"/>
  <c r="BT540" i="5"/>
  <c r="BT539" i="5"/>
  <c r="BT538" i="5"/>
  <c r="BT537" i="5"/>
  <c r="BT536" i="5"/>
  <c r="BT535" i="5"/>
  <c r="BT534" i="5"/>
  <c r="BT533" i="5"/>
  <c r="BT532" i="5"/>
  <c r="BT531" i="5"/>
  <c r="BT530" i="5"/>
  <c r="BT529" i="5"/>
  <c r="BT528" i="5"/>
  <c r="BT527" i="5"/>
  <c r="BT526" i="5"/>
  <c r="BT525" i="5"/>
  <c r="BT524" i="5"/>
  <c r="BT523" i="5"/>
  <c r="BT522" i="5"/>
  <c r="BT521" i="5"/>
  <c r="BT520" i="5"/>
  <c r="BT519" i="5"/>
  <c r="BT518" i="5"/>
  <c r="BT517" i="5"/>
  <c r="BT516" i="5"/>
  <c r="BT515" i="5"/>
  <c r="BT514" i="5"/>
  <c r="BT513" i="5"/>
  <c r="BT512" i="5"/>
  <c r="BT511" i="5"/>
  <c r="BT510" i="5"/>
  <c r="BT509" i="5"/>
  <c r="BT508" i="5"/>
  <c r="BT507" i="5"/>
  <c r="BT506" i="5"/>
  <c r="BT505" i="5"/>
  <c r="BT504" i="5"/>
  <c r="BT503" i="5"/>
  <c r="BT502" i="5"/>
  <c r="BT501" i="5"/>
  <c r="BT500" i="5"/>
  <c r="BT499" i="5"/>
  <c r="BT498" i="5"/>
  <c r="BT497" i="5"/>
  <c r="BT496" i="5"/>
  <c r="BT495" i="5"/>
  <c r="BT494" i="5"/>
  <c r="BT493" i="5"/>
  <c r="BT492" i="5"/>
  <c r="BT491" i="5"/>
  <c r="BT490" i="5"/>
  <c r="BT489" i="5"/>
  <c r="BT488" i="5"/>
  <c r="BT487" i="5"/>
  <c r="BT486" i="5"/>
  <c r="BT485" i="5"/>
  <c r="BT484" i="5"/>
  <c r="BT483" i="5"/>
  <c r="BT482" i="5"/>
  <c r="BT481" i="5"/>
  <c r="BT480" i="5"/>
  <c r="BT479" i="5"/>
  <c r="BT478" i="5"/>
  <c r="BT477" i="5"/>
  <c r="BT476" i="5"/>
  <c r="BT475" i="5"/>
  <c r="BT474" i="5"/>
  <c r="BT473" i="5"/>
  <c r="BT472" i="5"/>
  <c r="BT471" i="5"/>
  <c r="BT470" i="5"/>
  <c r="BT469" i="5"/>
  <c r="BT468" i="5"/>
  <c r="BT467" i="5"/>
  <c r="BT466" i="5"/>
  <c r="BT465" i="5"/>
  <c r="BT464" i="5"/>
  <c r="BT463" i="5"/>
  <c r="BT462" i="5"/>
  <c r="BT461" i="5"/>
  <c r="BT460" i="5"/>
  <c r="BT459" i="5"/>
  <c r="BT458" i="5"/>
  <c r="BT457" i="5"/>
  <c r="BT456" i="5"/>
  <c r="BT455" i="5"/>
  <c r="BT454" i="5"/>
  <c r="BT453" i="5"/>
  <c r="BT452" i="5"/>
  <c r="BT451" i="5"/>
  <c r="BT450" i="5"/>
  <c r="BT449" i="5"/>
  <c r="BT448" i="5"/>
  <c r="BT447" i="5"/>
  <c r="BT446" i="5"/>
  <c r="BT445" i="5"/>
  <c r="BT444" i="5"/>
  <c r="BT443" i="5"/>
  <c r="BT442" i="5"/>
  <c r="BT441" i="5"/>
  <c r="BT440" i="5"/>
  <c r="BT439" i="5"/>
  <c r="BT438" i="5"/>
  <c r="BT437" i="5"/>
  <c r="BT436" i="5"/>
  <c r="BT435" i="5"/>
  <c r="BT434" i="5"/>
  <c r="BT433" i="5"/>
  <c r="BT432" i="5"/>
  <c r="BT431" i="5"/>
  <c r="BT430" i="5"/>
  <c r="BT429" i="5"/>
  <c r="BT428" i="5"/>
  <c r="BT427" i="5"/>
  <c r="BT426" i="5"/>
  <c r="BT425" i="5"/>
  <c r="BT424" i="5"/>
  <c r="BT423" i="5"/>
  <c r="BT422" i="5"/>
  <c r="BT421" i="5"/>
  <c r="BT420" i="5"/>
  <c r="BT419" i="5"/>
  <c r="BT418" i="5"/>
  <c r="BT417" i="5"/>
  <c r="BT416" i="5"/>
  <c r="BT415" i="5"/>
  <c r="BT414" i="5"/>
  <c r="BT413" i="5"/>
  <c r="BT412" i="5"/>
  <c r="BT411" i="5"/>
  <c r="BT410" i="5"/>
  <c r="BT409" i="5"/>
  <c r="BT408" i="5"/>
  <c r="BT407" i="5"/>
  <c r="BT406" i="5"/>
  <c r="BT405" i="5"/>
  <c r="BT404" i="5"/>
  <c r="BT403" i="5"/>
  <c r="BT402" i="5"/>
  <c r="BT401" i="5"/>
  <c r="BT400" i="5"/>
  <c r="BT399" i="5"/>
  <c r="BT398" i="5"/>
  <c r="BT397" i="5"/>
  <c r="BT396" i="5"/>
  <c r="BT395" i="5"/>
  <c r="BT394" i="5"/>
  <c r="BT393" i="5"/>
  <c r="BT392" i="5"/>
  <c r="BT391" i="5"/>
  <c r="BT390" i="5"/>
  <c r="BT389" i="5"/>
  <c r="BT388" i="5"/>
  <c r="BT387" i="5"/>
  <c r="BT386" i="5"/>
  <c r="BT385" i="5"/>
  <c r="BT384" i="5"/>
  <c r="BT383" i="5"/>
  <c r="BT382" i="5"/>
  <c r="BT381" i="5"/>
  <c r="BT380" i="5"/>
  <c r="BT379" i="5"/>
  <c r="BT378" i="5"/>
  <c r="BT377" i="5"/>
  <c r="BT376" i="5"/>
  <c r="BT375" i="5"/>
  <c r="BT374" i="5"/>
  <c r="BT373" i="5"/>
  <c r="BT372" i="5"/>
  <c r="BT371" i="5"/>
  <c r="BT370" i="5"/>
  <c r="BT369" i="5"/>
  <c r="BT368" i="5"/>
  <c r="BT367" i="5"/>
  <c r="BT366" i="5"/>
  <c r="BT365" i="5"/>
  <c r="BT364" i="5"/>
  <c r="BT363" i="5"/>
  <c r="BT362" i="5"/>
  <c r="BT361" i="5"/>
  <c r="BT360" i="5"/>
  <c r="BT359" i="5"/>
  <c r="BT358" i="5"/>
  <c r="BT357" i="5"/>
  <c r="BT356" i="5"/>
  <c r="BT355" i="5"/>
  <c r="BT354" i="5"/>
  <c r="BT353" i="5"/>
  <c r="BT352" i="5"/>
  <c r="BT351" i="5"/>
  <c r="BT350" i="5"/>
  <c r="BT349" i="5"/>
  <c r="BT348" i="5"/>
  <c r="BT347" i="5"/>
  <c r="BT346" i="5"/>
  <c r="BT345" i="5"/>
  <c r="BT344" i="5"/>
  <c r="BT343" i="5"/>
  <c r="BT342" i="5"/>
  <c r="BT341" i="5"/>
  <c r="BT340" i="5"/>
  <c r="BT339" i="5"/>
  <c r="BT338" i="5"/>
  <c r="BT337" i="5"/>
  <c r="BT336" i="5"/>
  <c r="BT335" i="5"/>
  <c r="BT334" i="5"/>
  <c r="BT333" i="5"/>
  <c r="BT332" i="5"/>
  <c r="BT331" i="5"/>
  <c r="BT330" i="5"/>
  <c r="BT329" i="5"/>
  <c r="BT328" i="5"/>
  <c r="BT327" i="5"/>
  <c r="BT326" i="5"/>
  <c r="BT325" i="5"/>
  <c r="BT324" i="5"/>
  <c r="BT323" i="5"/>
  <c r="BT322" i="5"/>
  <c r="BT321" i="5"/>
  <c r="BT320" i="5"/>
  <c r="BT319" i="5"/>
  <c r="BT318" i="5"/>
  <c r="BT317" i="5"/>
  <c r="BT316" i="5"/>
  <c r="BT315" i="5"/>
  <c r="BT314" i="5"/>
  <c r="BT313" i="5"/>
  <c r="BT312" i="5"/>
  <c r="BT311" i="5"/>
  <c r="BT310" i="5"/>
  <c r="BT309" i="5"/>
  <c r="BT308" i="5"/>
  <c r="BT307" i="5"/>
  <c r="BT306" i="5"/>
  <c r="BT305" i="5"/>
  <c r="BT304" i="5"/>
  <c r="BT303" i="5"/>
  <c r="BT302" i="5"/>
  <c r="BT301" i="5"/>
  <c r="BT300" i="5"/>
  <c r="BT299" i="5"/>
  <c r="BT298" i="5"/>
  <c r="BT297" i="5"/>
  <c r="BT296" i="5"/>
  <c r="BT295" i="5"/>
  <c r="BT294" i="5"/>
  <c r="BT293" i="5"/>
  <c r="BT292" i="5"/>
  <c r="BT291" i="5"/>
  <c r="BT290" i="5"/>
  <c r="BT289" i="5"/>
  <c r="BT288" i="5"/>
  <c r="BT287" i="5"/>
  <c r="BT286" i="5"/>
  <c r="BT285" i="5"/>
  <c r="BT284" i="5"/>
  <c r="BT283" i="5"/>
  <c r="BT282" i="5"/>
  <c r="BT281" i="5"/>
  <c r="BT280" i="5"/>
  <c r="BT279" i="5"/>
  <c r="BT278" i="5"/>
  <c r="BT277" i="5"/>
  <c r="BT276" i="5"/>
  <c r="BT275" i="5"/>
  <c r="BT274" i="5"/>
  <c r="BT273" i="5"/>
  <c r="BT272" i="5"/>
  <c r="BT271" i="5"/>
  <c r="BT270" i="5"/>
  <c r="BT269" i="5"/>
  <c r="BT268" i="5"/>
  <c r="BT267" i="5"/>
  <c r="BT266" i="5"/>
  <c r="BT265" i="5"/>
  <c r="BT264" i="5"/>
  <c r="BT263" i="5"/>
  <c r="BT262" i="5"/>
  <c r="BT261" i="5"/>
  <c r="BT260" i="5"/>
  <c r="BT259" i="5"/>
  <c r="BT258" i="5"/>
  <c r="BT257" i="5"/>
  <c r="BT256" i="5"/>
  <c r="BT255" i="5"/>
  <c r="BT254" i="5"/>
  <c r="BT253" i="5"/>
  <c r="BT252" i="5"/>
  <c r="BT251" i="5"/>
  <c r="BT250" i="5"/>
  <c r="BT249" i="5"/>
  <c r="BT248" i="5"/>
  <c r="BT247" i="5"/>
  <c r="BT246" i="5"/>
  <c r="BT245" i="5"/>
  <c r="BT244" i="5"/>
  <c r="BT243" i="5"/>
  <c r="BT242" i="5"/>
  <c r="BT241" i="5"/>
  <c r="BT240" i="5"/>
  <c r="BT239" i="5"/>
  <c r="BT238" i="5"/>
  <c r="BT237" i="5"/>
  <c r="BT236" i="5"/>
  <c r="BT235" i="5"/>
  <c r="BT234" i="5"/>
  <c r="BT233" i="5"/>
  <c r="BT232" i="5"/>
  <c r="BT231" i="5"/>
  <c r="BT230" i="5"/>
  <c r="BT229" i="5"/>
  <c r="BT228" i="5"/>
  <c r="BT227" i="5"/>
  <c r="BT226" i="5"/>
  <c r="BT225" i="5"/>
  <c r="BT224" i="5"/>
  <c r="BT223" i="5"/>
  <c r="BT222" i="5"/>
  <c r="BT221" i="5"/>
  <c r="BT220" i="5"/>
  <c r="BT219" i="5"/>
  <c r="BT218" i="5"/>
  <c r="BT217" i="5"/>
  <c r="BT216" i="5"/>
  <c r="BT215" i="5"/>
  <c r="BT214" i="5"/>
  <c r="BT213" i="5"/>
  <c r="BT212" i="5"/>
  <c r="BT211" i="5"/>
  <c r="BT210" i="5"/>
  <c r="BT209" i="5"/>
  <c r="BT208" i="5"/>
  <c r="BT207" i="5"/>
  <c r="BT206" i="5"/>
  <c r="BT205" i="5"/>
  <c r="BT204" i="5"/>
  <c r="BT203" i="5"/>
  <c r="BT202" i="5"/>
  <c r="BT201" i="5"/>
  <c r="BT200" i="5"/>
  <c r="BT199" i="5"/>
  <c r="BT198" i="5"/>
  <c r="BT197" i="5"/>
  <c r="BT196" i="5"/>
  <c r="BT195" i="5"/>
  <c r="BT194" i="5"/>
  <c r="BT193" i="5"/>
  <c r="BT192" i="5"/>
  <c r="BT191" i="5"/>
  <c r="BT190" i="5"/>
  <c r="BT189" i="5"/>
  <c r="BT188" i="5"/>
  <c r="BT187" i="5"/>
  <c r="BT186" i="5"/>
  <c r="BT185" i="5"/>
  <c r="BT184" i="5"/>
  <c r="BT183" i="5"/>
  <c r="BT182" i="5"/>
  <c r="BT181" i="5"/>
  <c r="BT180" i="5"/>
  <c r="BT179" i="5"/>
  <c r="BT178" i="5"/>
  <c r="BT177" i="5"/>
  <c r="BT176" i="5"/>
  <c r="BT175" i="5"/>
  <c r="BT174" i="5"/>
  <c r="BT173" i="5"/>
  <c r="BT172" i="5"/>
  <c r="BT171" i="5"/>
  <c r="BT170" i="5"/>
  <c r="BT169" i="5"/>
  <c r="BT168" i="5"/>
  <c r="BT167" i="5"/>
  <c r="BT166" i="5"/>
  <c r="BT165" i="5"/>
  <c r="BT164" i="5"/>
  <c r="BT163" i="5"/>
  <c r="BT162" i="5"/>
  <c r="BT161" i="5"/>
  <c r="BT160" i="5"/>
  <c r="BT159" i="5"/>
  <c r="BT158" i="5"/>
  <c r="BT157" i="5"/>
  <c r="BT156" i="5"/>
  <c r="BT155" i="5"/>
  <c r="BT154" i="5"/>
  <c r="BT153" i="5"/>
  <c r="BT152" i="5"/>
  <c r="BT151" i="5"/>
  <c r="BT150" i="5"/>
  <c r="BT149" i="5"/>
  <c r="BT148" i="5"/>
  <c r="BT147" i="5"/>
  <c r="BT146" i="5"/>
  <c r="BT145" i="5"/>
  <c r="BT144" i="5"/>
  <c r="BT143" i="5"/>
  <c r="BT142" i="5"/>
  <c r="BT141" i="5"/>
  <c r="BT140" i="5"/>
  <c r="BT139" i="5"/>
  <c r="BT138" i="5"/>
  <c r="BT137" i="5"/>
  <c r="BT136" i="5"/>
  <c r="BT135" i="5"/>
  <c r="BT134" i="5"/>
  <c r="BT133" i="5"/>
  <c r="BT132" i="5"/>
  <c r="BT131" i="5"/>
  <c r="BT130" i="5"/>
  <c r="BT129" i="5"/>
  <c r="BT128" i="5"/>
  <c r="BT127" i="5"/>
  <c r="BT126" i="5"/>
  <c r="BT125" i="5"/>
  <c r="BT124" i="5"/>
  <c r="BT123" i="5"/>
  <c r="BT122" i="5"/>
  <c r="BT121" i="5"/>
  <c r="BT120" i="5"/>
  <c r="BT119" i="5"/>
  <c r="BT118" i="5"/>
  <c r="BT117" i="5"/>
  <c r="BT116" i="5"/>
  <c r="BT115" i="5"/>
  <c r="BT114" i="5"/>
  <c r="BT113" i="5"/>
  <c r="BT112" i="5"/>
  <c r="BT111" i="5"/>
  <c r="BT110" i="5"/>
  <c r="BT109" i="5"/>
  <c r="BT108" i="5"/>
  <c r="BT107" i="5"/>
  <c r="BT106" i="5"/>
  <c r="BT105" i="5"/>
  <c r="BT104" i="5"/>
  <c r="BT103" i="5"/>
  <c r="BT102" i="5"/>
  <c r="BT101" i="5"/>
  <c r="BT100" i="5"/>
  <c r="BT99" i="5"/>
  <c r="BT98" i="5"/>
  <c r="BT97" i="5"/>
  <c r="BT96" i="5"/>
  <c r="BT95" i="5"/>
  <c r="BT94" i="5"/>
  <c r="BT93" i="5"/>
  <c r="BT92" i="5"/>
  <c r="BT91" i="5"/>
  <c r="BT90" i="5"/>
  <c r="BT89" i="5"/>
  <c r="BT88" i="5"/>
  <c r="BT87" i="5"/>
  <c r="BT86" i="5"/>
  <c r="BT85" i="5"/>
  <c r="BT84" i="5"/>
  <c r="BT83" i="5"/>
  <c r="BT82" i="5"/>
  <c r="BT81" i="5"/>
  <c r="BT80" i="5"/>
  <c r="BT79" i="5"/>
  <c r="BT78" i="5"/>
  <c r="BT77" i="5"/>
  <c r="BT76" i="5"/>
  <c r="BT75" i="5"/>
  <c r="BT74" i="5"/>
  <c r="BT73" i="5"/>
  <c r="BT72" i="5"/>
  <c r="BT71" i="5"/>
  <c r="BT70" i="5"/>
  <c r="BT69" i="5"/>
  <c r="BT68" i="5"/>
  <c r="BT67" i="5"/>
  <c r="BT66" i="5"/>
  <c r="BT65" i="5"/>
  <c r="BT64" i="5"/>
  <c r="BT63" i="5"/>
  <c r="BT62" i="5"/>
  <c r="BT61" i="5"/>
  <c r="BT60" i="5"/>
  <c r="BT59" i="5"/>
  <c r="BT58" i="5"/>
  <c r="BT57" i="5"/>
  <c r="BT56" i="5"/>
  <c r="BT55" i="5"/>
  <c r="BT54" i="5"/>
  <c r="BT53" i="5"/>
  <c r="BT52" i="5"/>
  <c r="BT51" i="5"/>
  <c r="BT50" i="5"/>
  <c r="BT49" i="5"/>
  <c r="BT48" i="5"/>
  <c r="BT47" i="5"/>
  <c r="BT46" i="5"/>
  <c r="BT45" i="5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P607" i="5"/>
  <c r="BP606" i="5"/>
  <c r="BP605" i="5"/>
  <c r="BP604" i="5"/>
  <c r="BP603" i="5"/>
  <c r="BP602" i="5"/>
  <c r="BP601" i="5"/>
  <c r="BP600" i="5"/>
  <c r="BP599" i="5"/>
  <c r="BP598" i="5"/>
  <c r="BP597" i="5"/>
  <c r="BP596" i="5"/>
  <c r="BP595" i="5"/>
  <c r="BP594" i="5"/>
  <c r="BP593" i="5"/>
  <c r="BP592" i="5"/>
  <c r="BP591" i="5"/>
  <c r="BP590" i="5"/>
  <c r="BP589" i="5"/>
  <c r="BP588" i="5"/>
  <c r="BP587" i="5"/>
  <c r="BP586" i="5"/>
  <c r="BP585" i="5"/>
  <c r="BP584" i="5"/>
  <c r="BP583" i="5"/>
  <c r="BP582" i="5"/>
  <c r="BP581" i="5"/>
  <c r="BP580" i="5"/>
  <c r="BP579" i="5"/>
  <c r="BP578" i="5"/>
  <c r="BP577" i="5"/>
  <c r="BP576" i="5"/>
  <c r="BP575" i="5"/>
  <c r="BP574" i="5"/>
  <c r="BP573" i="5"/>
  <c r="BP572" i="5"/>
  <c r="BP571" i="5"/>
  <c r="BP570" i="5"/>
  <c r="BP569" i="5"/>
  <c r="BP568" i="5"/>
  <c r="BP567" i="5"/>
  <c r="BP566" i="5"/>
  <c r="BP565" i="5"/>
  <c r="BP564" i="5"/>
  <c r="BP563" i="5"/>
  <c r="BP562" i="5"/>
  <c r="BP561" i="5"/>
  <c r="BP560" i="5"/>
  <c r="BP559" i="5"/>
  <c r="BP558" i="5"/>
  <c r="BP557" i="5"/>
  <c r="BP556" i="5"/>
  <c r="BP555" i="5"/>
  <c r="BP554" i="5"/>
  <c r="BP553" i="5"/>
  <c r="BP552" i="5"/>
  <c r="BP551" i="5"/>
  <c r="BP550" i="5"/>
  <c r="BP549" i="5"/>
  <c r="BP548" i="5"/>
  <c r="BP547" i="5"/>
  <c r="BP546" i="5"/>
  <c r="BP545" i="5"/>
  <c r="BP544" i="5"/>
  <c r="BP543" i="5"/>
  <c r="BP542" i="5"/>
  <c r="BP541" i="5"/>
  <c r="BP540" i="5"/>
  <c r="BP539" i="5"/>
  <c r="BP538" i="5"/>
  <c r="BP537" i="5"/>
  <c r="BP536" i="5"/>
  <c r="BP535" i="5"/>
  <c r="BP534" i="5"/>
  <c r="BP533" i="5"/>
  <c r="BP532" i="5"/>
  <c r="BP531" i="5"/>
  <c r="BP530" i="5"/>
  <c r="BP529" i="5"/>
  <c r="BP528" i="5"/>
  <c r="BP527" i="5"/>
  <c r="BP526" i="5"/>
  <c r="BP525" i="5"/>
  <c r="BP524" i="5"/>
  <c r="BP523" i="5"/>
  <c r="BP522" i="5"/>
  <c r="BP521" i="5"/>
  <c r="BP520" i="5"/>
  <c r="BP519" i="5"/>
  <c r="BP518" i="5"/>
  <c r="BP517" i="5"/>
  <c r="BP516" i="5"/>
  <c r="BP515" i="5"/>
  <c r="BP514" i="5"/>
  <c r="BP513" i="5"/>
  <c r="BP512" i="5"/>
  <c r="BP511" i="5"/>
  <c r="BP510" i="5"/>
  <c r="BP509" i="5"/>
  <c r="BP508" i="5"/>
  <c r="BP507" i="5"/>
  <c r="BP506" i="5"/>
  <c r="BP505" i="5"/>
  <c r="BP504" i="5"/>
  <c r="BP503" i="5"/>
  <c r="BP502" i="5"/>
  <c r="BP501" i="5"/>
  <c r="BP500" i="5"/>
  <c r="BP499" i="5"/>
  <c r="BP498" i="5"/>
  <c r="BP497" i="5"/>
  <c r="BP496" i="5"/>
  <c r="BP495" i="5"/>
  <c r="BP494" i="5"/>
  <c r="BP493" i="5"/>
  <c r="BP492" i="5"/>
  <c r="BP491" i="5"/>
  <c r="BP490" i="5"/>
  <c r="BP489" i="5"/>
  <c r="BP488" i="5"/>
  <c r="BP487" i="5"/>
  <c r="BP486" i="5"/>
  <c r="BP485" i="5"/>
  <c r="BP484" i="5"/>
  <c r="BP483" i="5"/>
  <c r="BP482" i="5"/>
  <c r="BP481" i="5"/>
  <c r="BP480" i="5"/>
  <c r="BP479" i="5"/>
  <c r="BP478" i="5"/>
  <c r="BP477" i="5"/>
  <c r="BP476" i="5"/>
  <c r="BP475" i="5"/>
  <c r="BP474" i="5"/>
  <c r="BP473" i="5"/>
  <c r="BP472" i="5"/>
  <c r="BP471" i="5"/>
  <c r="BP470" i="5"/>
  <c r="BP469" i="5"/>
  <c r="BP468" i="5"/>
  <c r="BP467" i="5"/>
  <c r="BP466" i="5"/>
  <c r="BP465" i="5"/>
  <c r="BP464" i="5"/>
  <c r="BP463" i="5"/>
  <c r="BP462" i="5"/>
  <c r="BP461" i="5"/>
  <c r="BP460" i="5"/>
  <c r="BP459" i="5"/>
  <c r="BP458" i="5"/>
  <c r="BP457" i="5"/>
  <c r="BP456" i="5"/>
  <c r="BP455" i="5"/>
  <c r="BP454" i="5"/>
  <c r="BP453" i="5"/>
  <c r="BP452" i="5"/>
  <c r="BP451" i="5"/>
  <c r="BP450" i="5"/>
  <c r="BP449" i="5"/>
  <c r="BP448" i="5"/>
  <c r="BP447" i="5"/>
  <c r="BP446" i="5"/>
  <c r="BP445" i="5"/>
  <c r="BP444" i="5"/>
  <c r="BP443" i="5"/>
  <c r="BP442" i="5"/>
  <c r="BP441" i="5"/>
  <c r="BP440" i="5"/>
  <c r="BP439" i="5"/>
  <c r="BP438" i="5"/>
  <c r="BP437" i="5"/>
  <c r="BP436" i="5"/>
  <c r="BP435" i="5"/>
  <c r="BP434" i="5"/>
  <c r="BP433" i="5"/>
  <c r="BP432" i="5"/>
  <c r="BP431" i="5"/>
  <c r="BP430" i="5"/>
  <c r="BP429" i="5"/>
  <c r="BP428" i="5"/>
  <c r="BP427" i="5"/>
  <c r="BP426" i="5"/>
  <c r="BP425" i="5"/>
  <c r="BP424" i="5"/>
  <c r="BP423" i="5"/>
  <c r="BP422" i="5"/>
  <c r="BP421" i="5"/>
  <c r="BP420" i="5"/>
  <c r="BP419" i="5"/>
  <c r="BP418" i="5"/>
  <c r="BP417" i="5"/>
  <c r="BP416" i="5"/>
  <c r="BP415" i="5"/>
  <c r="BP414" i="5"/>
  <c r="BP413" i="5"/>
  <c r="BP412" i="5"/>
  <c r="BP411" i="5"/>
  <c r="BP410" i="5"/>
  <c r="BP409" i="5"/>
  <c r="BP408" i="5"/>
  <c r="BP407" i="5"/>
  <c r="BP406" i="5"/>
  <c r="BP405" i="5"/>
  <c r="BP404" i="5"/>
  <c r="BP403" i="5"/>
  <c r="BP402" i="5"/>
  <c r="BP401" i="5"/>
  <c r="BP400" i="5"/>
  <c r="BP399" i="5"/>
  <c r="BP398" i="5"/>
  <c r="BP397" i="5"/>
  <c r="BP396" i="5"/>
  <c r="BP395" i="5"/>
  <c r="BP394" i="5"/>
  <c r="BP393" i="5"/>
  <c r="BP392" i="5"/>
  <c r="BP391" i="5"/>
  <c r="BP390" i="5"/>
  <c r="BP389" i="5"/>
  <c r="BP388" i="5"/>
  <c r="BP387" i="5"/>
  <c r="BP386" i="5"/>
  <c r="BP385" i="5"/>
  <c r="BP384" i="5"/>
  <c r="BP383" i="5"/>
  <c r="BP382" i="5"/>
  <c r="BP381" i="5"/>
  <c r="BP380" i="5"/>
  <c r="BP379" i="5"/>
  <c r="BP378" i="5"/>
  <c r="BP377" i="5"/>
  <c r="BP376" i="5"/>
  <c r="BP375" i="5"/>
  <c r="BP374" i="5"/>
  <c r="BP373" i="5"/>
  <c r="BP372" i="5"/>
  <c r="BP371" i="5"/>
  <c r="BP370" i="5"/>
  <c r="BP369" i="5"/>
  <c r="BP368" i="5"/>
  <c r="BP367" i="5"/>
  <c r="BP366" i="5"/>
  <c r="BP365" i="5"/>
  <c r="BP364" i="5"/>
  <c r="BP363" i="5"/>
  <c r="BP362" i="5"/>
  <c r="BP361" i="5"/>
  <c r="BP360" i="5"/>
  <c r="BP359" i="5"/>
  <c r="BP358" i="5"/>
  <c r="BP357" i="5"/>
  <c r="BP356" i="5"/>
  <c r="BP355" i="5"/>
  <c r="BP354" i="5"/>
  <c r="BP353" i="5"/>
  <c r="BP352" i="5"/>
  <c r="BP351" i="5"/>
  <c r="BP350" i="5"/>
  <c r="BP349" i="5"/>
  <c r="BP348" i="5"/>
  <c r="BP347" i="5"/>
  <c r="BP346" i="5"/>
  <c r="BP345" i="5"/>
  <c r="BP344" i="5"/>
  <c r="BP343" i="5"/>
  <c r="BP342" i="5"/>
  <c r="BP341" i="5"/>
  <c r="BP340" i="5"/>
  <c r="BP339" i="5"/>
  <c r="BP338" i="5"/>
  <c r="BP337" i="5"/>
  <c r="BP336" i="5"/>
  <c r="BP335" i="5"/>
  <c r="BP334" i="5"/>
  <c r="BP333" i="5"/>
  <c r="BP332" i="5"/>
  <c r="BP331" i="5"/>
  <c r="BP330" i="5"/>
  <c r="BP329" i="5"/>
  <c r="BP328" i="5"/>
  <c r="BP327" i="5"/>
  <c r="BP326" i="5"/>
  <c r="BP325" i="5"/>
  <c r="BP324" i="5"/>
  <c r="BP323" i="5"/>
  <c r="BP322" i="5"/>
  <c r="BP321" i="5"/>
  <c r="BP320" i="5"/>
  <c r="BP319" i="5"/>
  <c r="BP318" i="5"/>
  <c r="BP317" i="5"/>
  <c r="BP316" i="5"/>
  <c r="BP315" i="5"/>
  <c r="BP314" i="5"/>
  <c r="BP313" i="5"/>
  <c r="BP312" i="5"/>
  <c r="BP311" i="5"/>
  <c r="BP310" i="5"/>
  <c r="BP309" i="5"/>
  <c r="BP308" i="5"/>
  <c r="BP307" i="5"/>
  <c r="BP306" i="5"/>
  <c r="BP305" i="5"/>
  <c r="BP304" i="5"/>
  <c r="BP303" i="5"/>
  <c r="BP302" i="5"/>
  <c r="BP301" i="5"/>
  <c r="BP300" i="5"/>
  <c r="BP299" i="5"/>
  <c r="BP298" i="5"/>
  <c r="BP297" i="5"/>
  <c r="BP296" i="5"/>
  <c r="BP295" i="5"/>
  <c r="BP294" i="5"/>
  <c r="BP293" i="5"/>
  <c r="BP292" i="5"/>
  <c r="BP291" i="5"/>
  <c r="BP290" i="5"/>
  <c r="BP289" i="5"/>
  <c r="BP288" i="5"/>
  <c r="BP287" i="5"/>
  <c r="BP286" i="5"/>
  <c r="BP285" i="5"/>
  <c r="BP284" i="5"/>
  <c r="BP283" i="5"/>
  <c r="BP282" i="5"/>
  <c r="BP281" i="5"/>
  <c r="BP280" i="5"/>
  <c r="BP279" i="5"/>
  <c r="BP278" i="5"/>
  <c r="BP277" i="5"/>
  <c r="BP276" i="5"/>
  <c r="BP275" i="5"/>
  <c r="BP274" i="5"/>
  <c r="BP273" i="5"/>
  <c r="BP272" i="5"/>
  <c r="BP271" i="5"/>
  <c r="BP270" i="5"/>
  <c r="BP269" i="5"/>
  <c r="BP268" i="5"/>
  <c r="BP267" i="5"/>
  <c r="BP266" i="5"/>
  <c r="BP265" i="5"/>
  <c r="BP264" i="5"/>
  <c r="BP263" i="5"/>
  <c r="BP262" i="5"/>
  <c r="BP261" i="5"/>
  <c r="BP260" i="5"/>
  <c r="BP259" i="5"/>
  <c r="BP258" i="5"/>
  <c r="BP257" i="5"/>
  <c r="BP256" i="5"/>
  <c r="BP255" i="5"/>
  <c r="BP254" i="5"/>
  <c r="BP253" i="5"/>
  <c r="BP252" i="5"/>
  <c r="BP251" i="5"/>
  <c r="BP250" i="5"/>
  <c r="BP249" i="5"/>
  <c r="BP248" i="5"/>
  <c r="BP247" i="5"/>
  <c r="BP246" i="5"/>
  <c r="BP245" i="5"/>
  <c r="BP244" i="5"/>
  <c r="BP243" i="5"/>
  <c r="BP242" i="5"/>
  <c r="BP241" i="5"/>
  <c r="BP240" i="5"/>
  <c r="BP239" i="5"/>
  <c r="BP238" i="5"/>
  <c r="BP237" i="5"/>
  <c r="BP236" i="5"/>
  <c r="BP235" i="5"/>
  <c r="BP234" i="5"/>
  <c r="BP233" i="5"/>
  <c r="BP232" i="5"/>
  <c r="BP231" i="5"/>
  <c r="BP230" i="5"/>
  <c r="BP229" i="5"/>
  <c r="BP228" i="5"/>
  <c r="BP227" i="5"/>
  <c r="BP226" i="5"/>
  <c r="BP225" i="5"/>
  <c r="BP224" i="5"/>
  <c r="BP223" i="5"/>
  <c r="BP222" i="5"/>
  <c r="BP221" i="5"/>
  <c r="BP220" i="5"/>
  <c r="BP219" i="5"/>
  <c r="BP218" i="5"/>
  <c r="BP217" i="5"/>
  <c r="BP216" i="5"/>
  <c r="BP215" i="5"/>
  <c r="BP214" i="5"/>
  <c r="BP213" i="5"/>
  <c r="BP212" i="5"/>
  <c r="BP211" i="5"/>
  <c r="BP210" i="5"/>
  <c r="BP209" i="5"/>
  <c r="BP208" i="5"/>
  <c r="BP207" i="5"/>
  <c r="BP206" i="5"/>
  <c r="BP205" i="5"/>
  <c r="BP204" i="5"/>
  <c r="BP203" i="5"/>
  <c r="BP202" i="5"/>
  <c r="BP201" i="5"/>
  <c r="BP200" i="5"/>
  <c r="BP199" i="5"/>
  <c r="BP198" i="5"/>
  <c r="BP197" i="5"/>
  <c r="BP196" i="5"/>
  <c r="BP195" i="5"/>
  <c r="BP194" i="5"/>
  <c r="BP193" i="5"/>
  <c r="BP192" i="5"/>
  <c r="BP191" i="5"/>
  <c r="BP190" i="5"/>
  <c r="BP189" i="5"/>
  <c r="BP188" i="5"/>
  <c r="BP187" i="5"/>
  <c r="BP186" i="5"/>
  <c r="BP185" i="5"/>
  <c r="BP184" i="5"/>
  <c r="BP183" i="5"/>
  <c r="BP182" i="5"/>
  <c r="BP181" i="5"/>
  <c r="BP180" i="5"/>
  <c r="BP179" i="5"/>
  <c r="BP178" i="5"/>
  <c r="BP177" i="5"/>
  <c r="BP176" i="5"/>
  <c r="BP175" i="5"/>
  <c r="BP174" i="5"/>
  <c r="BP173" i="5"/>
  <c r="BP172" i="5"/>
  <c r="BP171" i="5"/>
  <c r="BP170" i="5"/>
  <c r="BP169" i="5"/>
  <c r="BP168" i="5"/>
  <c r="BP167" i="5"/>
  <c r="BP166" i="5"/>
  <c r="BP165" i="5"/>
  <c r="BP164" i="5"/>
  <c r="BP163" i="5"/>
  <c r="BP162" i="5"/>
  <c r="BP161" i="5"/>
  <c r="BP160" i="5"/>
  <c r="BP159" i="5"/>
  <c r="BP158" i="5"/>
  <c r="BP157" i="5"/>
  <c r="BP156" i="5"/>
  <c r="BP155" i="5"/>
  <c r="BP154" i="5"/>
  <c r="BP153" i="5"/>
  <c r="BP152" i="5"/>
  <c r="BP151" i="5"/>
  <c r="BP150" i="5"/>
  <c r="BP149" i="5"/>
  <c r="BP148" i="5"/>
  <c r="BP147" i="5"/>
  <c r="BP146" i="5"/>
  <c r="BP145" i="5"/>
  <c r="BP144" i="5"/>
  <c r="BP143" i="5"/>
  <c r="BP142" i="5"/>
  <c r="BP141" i="5"/>
  <c r="BP140" i="5"/>
  <c r="BP139" i="5"/>
  <c r="BP138" i="5"/>
  <c r="BP137" i="5"/>
  <c r="BP136" i="5"/>
  <c r="BP135" i="5"/>
  <c r="BP134" i="5"/>
  <c r="BP133" i="5"/>
  <c r="BP132" i="5"/>
  <c r="BP131" i="5"/>
  <c r="BP130" i="5"/>
  <c r="BP129" i="5"/>
  <c r="BP128" i="5"/>
  <c r="BP127" i="5"/>
  <c r="BP126" i="5"/>
  <c r="BP125" i="5"/>
  <c r="BP124" i="5"/>
  <c r="BP123" i="5"/>
  <c r="BP122" i="5"/>
  <c r="BP121" i="5"/>
  <c r="BP120" i="5"/>
  <c r="BP119" i="5"/>
  <c r="BP118" i="5"/>
  <c r="BP117" i="5"/>
  <c r="BP116" i="5"/>
  <c r="BP115" i="5"/>
  <c r="BP114" i="5"/>
  <c r="BP113" i="5"/>
  <c r="BP112" i="5"/>
  <c r="BP111" i="5"/>
  <c r="BP110" i="5"/>
  <c r="BP109" i="5"/>
  <c r="BP108" i="5"/>
  <c r="BP107" i="5"/>
  <c r="BP106" i="5"/>
  <c r="BP105" i="5"/>
  <c r="BP104" i="5"/>
  <c r="BP103" i="5"/>
  <c r="BP102" i="5"/>
  <c r="BP101" i="5"/>
  <c r="BP100" i="5"/>
  <c r="BP99" i="5"/>
  <c r="BP98" i="5"/>
  <c r="BP97" i="5"/>
  <c r="BP96" i="5"/>
  <c r="BP95" i="5"/>
  <c r="BP94" i="5"/>
  <c r="BP93" i="5"/>
  <c r="BP92" i="5"/>
  <c r="BP91" i="5"/>
  <c r="BP90" i="5"/>
  <c r="BP89" i="5"/>
  <c r="BP88" i="5"/>
  <c r="BP87" i="5"/>
  <c r="BP86" i="5"/>
  <c r="BP85" i="5"/>
  <c r="BP84" i="5"/>
  <c r="BP83" i="5"/>
  <c r="BP82" i="5"/>
  <c r="BP81" i="5"/>
  <c r="BP80" i="5"/>
  <c r="BP79" i="5"/>
  <c r="BP78" i="5"/>
  <c r="BP77" i="5"/>
  <c r="BP76" i="5"/>
  <c r="BP75" i="5"/>
  <c r="BP74" i="5"/>
  <c r="BP73" i="5"/>
  <c r="BP72" i="5"/>
  <c r="BP71" i="5"/>
  <c r="BP70" i="5"/>
  <c r="BP69" i="5"/>
  <c r="BP68" i="5"/>
  <c r="BP67" i="5"/>
  <c r="BP66" i="5"/>
  <c r="BP65" i="5"/>
  <c r="BP64" i="5"/>
  <c r="BP63" i="5"/>
  <c r="BP62" i="5"/>
  <c r="BP61" i="5"/>
  <c r="BP60" i="5"/>
  <c r="BP59" i="5"/>
  <c r="BP58" i="5"/>
  <c r="BP57" i="5"/>
  <c r="BP56" i="5"/>
  <c r="BP55" i="5"/>
  <c r="BP54" i="5"/>
  <c r="BP53" i="5"/>
  <c r="BP52" i="5"/>
  <c r="BP51" i="5"/>
  <c r="BP50" i="5"/>
  <c r="BP49" i="5"/>
  <c r="BP48" i="5"/>
  <c r="BP47" i="5"/>
  <c r="BP46" i="5"/>
  <c r="BP45" i="5"/>
  <c r="BP44" i="5"/>
  <c r="BP43" i="5"/>
  <c r="BP42" i="5"/>
  <c r="BP41" i="5"/>
  <c r="BP40" i="5"/>
  <c r="BP39" i="5"/>
  <c r="BP38" i="5"/>
  <c r="BP37" i="5"/>
  <c r="BP36" i="5"/>
  <c r="BP35" i="5"/>
  <c r="BP34" i="5"/>
  <c r="BP33" i="5"/>
  <c r="BP32" i="5"/>
  <c r="BP31" i="5"/>
  <c r="BP30" i="5"/>
  <c r="BP29" i="5"/>
  <c r="BP28" i="5"/>
  <c r="BP27" i="5"/>
  <c r="BP26" i="5"/>
  <c r="BP25" i="5"/>
  <c r="BP24" i="5"/>
  <c r="BP23" i="5"/>
  <c r="BP22" i="5"/>
  <c r="BP21" i="5"/>
  <c r="BP20" i="5"/>
  <c r="BP19" i="5"/>
  <c r="BP18" i="5"/>
  <c r="BP17" i="5"/>
  <c r="BP16" i="5"/>
  <c r="BP15" i="5"/>
  <c r="BP14" i="5"/>
  <c r="BP13" i="5"/>
  <c r="BP12" i="5"/>
  <c r="BP11" i="5"/>
  <c r="BP10" i="5"/>
  <c r="BP9" i="5"/>
  <c r="BP8" i="5"/>
  <c r="BL607" i="5"/>
  <c r="BL606" i="5"/>
  <c r="BL605" i="5"/>
  <c r="BL604" i="5"/>
  <c r="BL603" i="5"/>
  <c r="BL602" i="5"/>
  <c r="BL601" i="5"/>
  <c r="BL600" i="5"/>
  <c r="BL599" i="5"/>
  <c r="BL598" i="5"/>
  <c r="BL597" i="5"/>
  <c r="BL596" i="5"/>
  <c r="BL595" i="5"/>
  <c r="BL594" i="5"/>
  <c r="BL593" i="5"/>
  <c r="BL592" i="5"/>
  <c r="BL591" i="5"/>
  <c r="BL590" i="5"/>
  <c r="BL589" i="5"/>
  <c r="BL588" i="5"/>
  <c r="BL587" i="5"/>
  <c r="BL586" i="5"/>
  <c r="BL585" i="5"/>
  <c r="BL584" i="5"/>
  <c r="BL583" i="5"/>
  <c r="BL582" i="5"/>
  <c r="BL581" i="5"/>
  <c r="BL580" i="5"/>
  <c r="BL579" i="5"/>
  <c r="BL578" i="5"/>
  <c r="BL577" i="5"/>
  <c r="BL576" i="5"/>
  <c r="BL575" i="5"/>
  <c r="BL574" i="5"/>
  <c r="BL573" i="5"/>
  <c r="BL572" i="5"/>
  <c r="BL571" i="5"/>
  <c r="BL570" i="5"/>
  <c r="BL569" i="5"/>
  <c r="BL568" i="5"/>
  <c r="BL567" i="5"/>
  <c r="BL566" i="5"/>
  <c r="BL565" i="5"/>
  <c r="BL564" i="5"/>
  <c r="BL563" i="5"/>
  <c r="BL562" i="5"/>
  <c r="BL561" i="5"/>
  <c r="BL560" i="5"/>
  <c r="BL559" i="5"/>
  <c r="BL558" i="5"/>
  <c r="BL557" i="5"/>
  <c r="BL556" i="5"/>
  <c r="BL555" i="5"/>
  <c r="BL554" i="5"/>
  <c r="BL553" i="5"/>
  <c r="BL552" i="5"/>
  <c r="BL551" i="5"/>
  <c r="BL550" i="5"/>
  <c r="BL549" i="5"/>
  <c r="BL548" i="5"/>
  <c r="BL547" i="5"/>
  <c r="BL546" i="5"/>
  <c r="BL545" i="5"/>
  <c r="BL544" i="5"/>
  <c r="BL543" i="5"/>
  <c r="BL542" i="5"/>
  <c r="BL541" i="5"/>
  <c r="BL540" i="5"/>
  <c r="BL539" i="5"/>
  <c r="BL538" i="5"/>
  <c r="BL537" i="5"/>
  <c r="BL536" i="5"/>
  <c r="BL535" i="5"/>
  <c r="BL534" i="5"/>
  <c r="BL533" i="5"/>
  <c r="BL532" i="5"/>
  <c r="BL531" i="5"/>
  <c r="BL530" i="5"/>
  <c r="BL529" i="5"/>
  <c r="BL528" i="5"/>
  <c r="BL527" i="5"/>
  <c r="BL526" i="5"/>
  <c r="BL525" i="5"/>
  <c r="BL524" i="5"/>
  <c r="BL523" i="5"/>
  <c r="BL522" i="5"/>
  <c r="BL521" i="5"/>
  <c r="BL520" i="5"/>
  <c r="BL519" i="5"/>
  <c r="BL518" i="5"/>
  <c r="BL517" i="5"/>
  <c r="BL516" i="5"/>
  <c r="BL515" i="5"/>
  <c r="BL514" i="5"/>
  <c r="BL513" i="5"/>
  <c r="BL512" i="5"/>
  <c r="BL511" i="5"/>
  <c r="BL510" i="5"/>
  <c r="BL509" i="5"/>
  <c r="BL508" i="5"/>
  <c r="BL507" i="5"/>
  <c r="BL506" i="5"/>
  <c r="BL505" i="5"/>
  <c r="BL504" i="5"/>
  <c r="BL503" i="5"/>
  <c r="BL502" i="5"/>
  <c r="BL501" i="5"/>
  <c r="BL500" i="5"/>
  <c r="BL499" i="5"/>
  <c r="BL498" i="5"/>
  <c r="BL497" i="5"/>
  <c r="BL496" i="5"/>
  <c r="BL495" i="5"/>
  <c r="BL494" i="5"/>
  <c r="BL493" i="5"/>
  <c r="BL492" i="5"/>
  <c r="BL491" i="5"/>
  <c r="BL490" i="5"/>
  <c r="BL489" i="5"/>
  <c r="BL488" i="5"/>
  <c r="BL487" i="5"/>
  <c r="BL486" i="5"/>
  <c r="BL485" i="5"/>
  <c r="BL484" i="5"/>
  <c r="BL483" i="5"/>
  <c r="BL482" i="5"/>
  <c r="BL481" i="5"/>
  <c r="BL480" i="5"/>
  <c r="BL479" i="5"/>
  <c r="BL478" i="5"/>
  <c r="BL477" i="5"/>
  <c r="BL476" i="5"/>
  <c r="BL475" i="5"/>
  <c r="BL474" i="5"/>
  <c r="BL473" i="5"/>
  <c r="BL472" i="5"/>
  <c r="BL471" i="5"/>
  <c r="BL470" i="5"/>
  <c r="BL469" i="5"/>
  <c r="BL468" i="5"/>
  <c r="BL467" i="5"/>
  <c r="BL466" i="5"/>
  <c r="BL465" i="5"/>
  <c r="BL464" i="5"/>
  <c r="BL463" i="5"/>
  <c r="BL462" i="5"/>
  <c r="BL461" i="5"/>
  <c r="BL460" i="5"/>
  <c r="BL459" i="5"/>
  <c r="BL458" i="5"/>
  <c r="BL457" i="5"/>
  <c r="BL456" i="5"/>
  <c r="BL455" i="5"/>
  <c r="BL454" i="5"/>
  <c r="BL453" i="5"/>
  <c r="BL452" i="5"/>
  <c r="BL451" i="5"/>
  <c r="BL450" i="5"/>
  <c r="BL449" i="5"/>
  <c r="BL448" i="5"/>
  <c r="BL447" i="5"/>
  <c r="BL446" i="5"/>
  <c r="BL445" i="5"/>
  <c r="BL444" i="5"/>
  <c r="BL443" i="5"/>
  <c r="BL442" i="5"/>
  <c r="BL441" i="5"/>
  <c r="BL440" i="5"/>
  <c r="BL439" i="5"/>
  <c r="BL438" i="5"/>
  <c r="BL437" i="5"/>
  <c r="BL436" i="5"/>
  <c r="BL435" i="5"/>
  <c r="BL434" i="5"/>
  <c r="BL433" i="5"/>
  <c r="BL432" i="5"/>
  <c r="BL431" i="5"/>
  <c r="BL430" i="5"/>
  <c r="BL429" i="5"/>
  <c r="BL428" i="5"/>
  <c r="BL427" i="5"/>
  <c r="BL426" i="5"/>
  <c r="BL425" i="5"/>
  <c r="BL424" i="5"/>
  <c r="BL423" i="5"/>
  <c r="BL422" i="5"/>
  <c r="BL421" i="5"/>
  <c r="BL420" i="5"/>
  <c r="BL419" i="5"/>
  <c r="BL418" i="5"/>
  <c r="BL417" i="5"/>
  <c r="BL416" i="5"/>
  <c r="BL415" i="5"/>
  <c r="BL414" i="5"/>
  <c r="BL413" i="5"/>
  <c r="BL412" i="5"/>
  <c r="BL411" i="5"/>
  <c r="BL410" i="5"/>
  <c r="BL409" i="5"/>
  <c r="BL408" i="5"/>
  <c r="BL407" i="5"/>
  <c r="BL406" i="5"/>
  <c r="BL405" i="5"/>
  <c r="BL404" i="5"/>
  <c r="BL403" i="5"/>
  <c r="BL402" i="5"/>
  <c r="BL401" i="5"/>
  <c r="BL400" i="5"/>
  <c r="BL399" i="5"/>
  <c r="BL398" i="5"/>
  <c r="BL397" i="5"/>
  <c r="BL396" i="5"/>
  <c r="BL395" i="5"/>
  <c r="BL394" i="5"/>
  <c r="BL393" i="5"/>
  <c r="BL392" i="5"/>
  <c r="BL391" i="5"/>
  <c r="BL390" i="5"/>
  <c r="BL389" i="5"/>
  <c r="BL388" i="5"/>
  <c r="BL387" i="5"/>
  <c r="BL386" i="5"/>
  <c r="BL385" i="5"/>
  <c r="BL384" i="5"/>
  <c r="BL383" i="5"/>
  <c r="BL382" i="5"/>
  <c r="BL381" i="5"/>
  <c r="BL380" i="5"/>
  <c r="BL379" i="5"/>
  <c r="BL378" i="5"/>
  <c r="BL377" i="5"/>
  <c r="BL376" i="5"/>
  <c r="BL375" i="5"/>
  <c r="BL374" i="5"/>
  <c r="BL373" i="5"/>
  <c r="BL372" i="5"/>
  <c r="BL371" i="5"/>
  <c r="BL370" i="5"/>
  <c r="BL369" i="5"/>
  <c r="BL368" i="5"/>
  <c r="BL367" i="5"/>
  <c r="BL366" i="5"/>
  <c r="BL365" i="5"/>
  <c r="BL364" i="5"/>
  <c r="BL363" i="5"/>
  <c r="BL362" i="5"/>
  <c r="BL361" i="5"/>
  <c r="BL360" i="5"/>
  <c r="BL359" i="5"/>
  <c r="BL358" i="5"/>
  <c r="BL357" i="5"/>
  <c r="BL356" i="5"/>
  <c r="BL355" i="5"/>
  <c r="BL354" i="5"/>
  <c r="BL353" i="5"/>
  <c r="BL352" i="5"/>
  <c r="BL351" i="5"/>
  <c r="BL350" i="5"/>
  <c r="BL349" i="5"/>
  <c r="BL348" i="5"/>
  <c r="BL347" i="5"/>
  <c r="BL346" i="5"/>
  <c r="BL345" i="5"/>
  <c r="BL344" i="5"/>
  <c r="BL343" i="5"/>
  <c r="BL342" i="5"/>
  <c r="BL341" i="5"/>
  <c r="BL340" i="5"/>
  <c r="BL339" i="5"/>
  <c r="BL338" i="5"/>
  <c r="BL337" i="5"/>
  <c r="BL336" i="5"/>
  <c r="BL335" i="5"/>
  <c r="BL334" i="5"/>
  <c r="BL333" i="5"/>
  <c r="BL332" i="5"/>
  <c r="BL331" i="5"/>
  <c r="BL330" i="5"/>
  <c r="BL329" i="5"/>
  <c r="BL328" i="5"/>
  <c r="BL327" i="5"/>
  <c r="BL326" i="5"/>
  <c r="BL325" i="5"/>
  <c r="BL324" i="5"/>
  <c r="BL323" i="5"/>
  <c r="BL322" i="5"/>
  <c r="BL321" i="5"/>
  <c r="BL320" i="5"/>
  <c r="BL319" i="5"/>
  <c r="BL318" i="5"/>
  <c r="BL317" i="5"/>
  <c r="BL316" i="5"/>
  <c r="BL315" i="5"/>
  <c r="BL314" i="5"/>
  <c r="BL313" i="5"/>
  <c r="BL312" i="5"/>
  <c r="BL311" i="5"/>
  <c r="BL310" i="5"/>
  <c r="BL309" i="5"/>
  <c r="BL308" i="5"/>
  <c r="BL307" i="5"/>
  <c r="BL306" i="5"/>
  <c r="BL305" i="5"/>
  <c r="BL304" i="5"/>
  <c r="BL303" i="5"/>
  <c r="BL302" i="5"/>
  <c r="BL301" i="5"/>
  <c r="BL300" i="5"/>
  <c r="BL299" i="5"/>
  <c r="BL298" i="5"/>
  <c r="BL297" i="5"/>
  <c r="BL296" i="5"/>
  <c r="BL295" i="5"/>
  <c r="BL294" i="5"/>
  <c r="BL293" i="5"/>
  <c r="BL292" i="5"/>
  <c r="BL291" i="5"/>
  <c r="BL290" i="5"/>
  <c r="BL289" i="5"/>
  <c r="BL288" i="5"/>
  <c r="BL287" i="5"/>
  <c r="BL286" i="5"/>
  <c r="BL285" i="5"/>
  <c r="BL284" i="5"/>
  <c r="BL283" i="5"/>
  <c r="BL282" i="5"/>
  <c r="BL281" i="5"/>
  <c r="BL280" i="5"/>
  <c r="BL279" i="5"/>
  <c r="BL278" i="5"/>
  <c r="BL277" i="5"/>
  <c r="BL276" i="5"/>
  <c r="BL275" i="5"/>
  <c r="BL274" i="5"/>
  <c r="BL273" i="5"/>
  <c r="BL272" i="5"/>
  <c r="BL271" i="5"/>
  <c r="BL270" i="5"/>
  <c r="BL269" i="5"/>
  <c r="BL268" i="5"/>
  <c r="BL267" i="5"/>
  <c r="BL266" i="5"/>
  <c r="BL265" i="5"/>
  <c r="BL264" i="5"/>
  <c r="BL263" i="5"/>
  <c r="BL262" i="5"/>
  <c r="BL261" i="5"/>
  <c r="BL260" i="5"/>
  <c r="BL259" i="5"/>
  <c r="BL258" i="5"/>
  <c r="BL257" i="5"/>
  <c r="BL256" i="5"/>
  <c r="BL255" i="5"/>
  <c r="BL254" i="5"/>
  <c r="BL253" i="5"/>
  <c r="BL252" i="5"/>
  <c r="BL251" i="5"/>
  <c r="BL250" i="5"/>
  <c r="BL249" i="5"/>
  <c r="BL248" i="5"/>
  <c r="BL247" i="5"/>
  <c r="BL246" i="5"/>
  <c r="BL245" i="5"/>
  <c r="BL244" i="5"/>
  <c r="BL243" i="5"/>
  <c r="BL242" i="5"/>
  <c r="BL241" i="5"/>
  <c r="BL240" i="5"/>
  <c r="BL239" i="5"/>
  <c r="BL238" i="5"/>
  <c r="BL237" i="5"/>
  <c r="BL236" i="5"/>
  <c r="BL235" i="5"/>
  <c r="BL234" i="5"/>
  <c r="BL233" i="5"/>
  <c r="BL232" i="5"/>
  <c r="BL231" i="5"/>
  <c r="BL230" i="5"/>
  <c r="BL229" i="5"/>
  <c r="BL228" i="5"/>
  <c r="BL227" i="5"/>
  <c r="BL226" i="5"/>
  <c r="BL225" i="5"/>
  <c r="BL224" i="5"/>
  <c r="BL223" i="5"/>
  <c r="BL222" i="5"/>
  <c r="BL221" i="5"/>
  <c r="BL220" i="5"/>
  <c r="BL219" i="5"/>
  <c r="BL218" i="5"/>
  <c r="BL217" i="5"/>
  <c r="BL216" i="5"/>
  <c r="BL215" i="5"/>
  <c r="BL214" i="5"/>
  <c r="BL213" i="5"/>
  <c r="BL212" i="5"/>
  <c r="BL211" i="5"/>
  <c r="BL210" i="5"/>
  <c r="BL209" i="5"/>
  <c r="BL208" i="5"/>
  <c r="BL207" i="5"/>
  <c r="BL206" i="5"/>
  <c r="BL205" i="5"/>
  <c r="BL204" i="5"/>
  <c r="BL203" i="5"/>
  <c r="BL202" i="5"/>
  <c r="BL201" i="5"/>
  <c r="BL200" i="5"/>
  <c r="BL199" i="5"/>
  <c r="BL198" i="5"/>
  <c r="BL197" i="5"/>
  <c r="BL196" i="5"/>
  <c r="BL195" i="5"/>
  <c r="BL194" i="5"/>
  <c r="BL193" i="5"/>
  <c r="BL192" i="5"/>
  <c r="BL191" i="5"/>
  <c r="BL190" i="5"/>
  <c r="BL189" i="5"/>
  <c r="BL188" i="5"/>
  <c r="BL187" i="5"/>
  <c r="BL186" i="5"/>
  <c r="BL185" i="5"/>
  <c r="BL184" i="5"/>
  <c r="BL183" i="5"/>
  <c r="BL182" i="5"/>
  <c r="BL181" i="5"/>
  <c r="BL180" i="5"/>
  <c r="BL179" i="5"/>
  <c r="BL178" i="5"/>
  <c r="BL177" i="5"/>
  <c r="BL176" i="5"/>
  <c r="BL175" i="5"/>
  <c r="BL174" i="5"/>
  <c r="BL173" i="5"/>
  <c r="BL172" i="5"/>
  <c r="BL171" i="5"/>
  <c r="BL170" i="5"/>
  <c r="BL169" i="5"/>
  <c r="BL168" i="5"/>
  <c r="BL167" i="5"/>
  <c r="BL166" i="5"/>
  <c r="BL165" i="5"/>
  <c r="BL164" i="5"/>
  <c r="BL163" i="5"/>
  <c r="BL162" i="5"/>
  <c r="BL161" i="5"/>
  <c r="BL160" i="5"/>
  <c r="BL159" i="5"/>
  <c r="BL158" i="5"/>
  <c r="BL157" i="5"/>
  <c r="BL156" i="5"/>
  <c r="BL155" i="5"/>
  <c r="BL154" i="5"/>
  <c r="BL153" i="5"/>
  <c r="BL152" i="5"/>
  <c r="BL151" i="5"/>
  <c r="BL150" i="5"/>
  <c r="BL149" i="5"/>
  <c r="BL148" i="5"/>
  <c r="BL147" i="5"/>
  <c r="BL146" i="5"/>
  <c r="BL145" i="5"/>
  <c r="BL144" i="5"/>
  <c r="BL143" i="5"/>
  <c r="BL142" i="5"/>
  <c r="BL141" i="5"/>
  <c r="BL140" i="5"/>
  <c r="BL139" i="5"/>
  <c r="BL138" i="5"/>
  <c r="BL137" i="5"/>
  <c r="BL136" i="5"/>
  <c r="BL135" i="5"/>
  <c r="BL134" i="5"/>
  <c r="BL133" i="5"/>
  <c r="BL132" i="5"/>
  <c r="BL131" i="5"/>
  <c r="BL130" i="5"/>
  <c r="BL129" i="5"/>
  <c r="BL128" i="5"/>
  <c r="BL127" i="5"/>
  <c r="BL126" i="5"/>
  <c r="BL125" i="5"/>
  <c r="BL124" i="5"/>
  <c r="BL123" i="5"/>
  <c r="BL122" i="5"/>
  <c r="BL121" i="5"/>
  <c r="BL120" i="5"/>
  <c r="BL119" i="5"/>
  <c r="BL118" i="5"/>
  <c r="BL117" i="5"/>
  <c r="BL116" i="5"/>
  <c r="BL115" i="5"/>
  <c r="BL114" i="5"/>
  <c r="BL113" i="5"/>
  <c r="BL112" i="5"/>
  <c r="BL111" i="5"/>
  <c r="BL110" i="5"/>
  <c r="BL109" i="5"/>
  <c r="BL108" i="5"/>
  <c r="BL107" i="5"/>
  <c r="BL106" i="5"/>
  <c r="BL105" i="5"/>
  <c r="BL104" i="5"/>
  <c r="BL103" i="5"/>
  <c r="BL102" i="5"/>
  <c r="BL101" i="5"/>
  <c r="BL100" i="5"/>
  <c r="BL99" i="5"/>
  <c r="BL98" i="5"/>
  <c r="BL97" i="5"/>
  <c r="BL96" i="5"/>
  <c r="BL95" i="5"/>
  <c r="BL94" i="5"/>
  <c r="BL93" i="5"/>
  <c r="BL92" i="5"/>
  <c r="BL91" i="5"/>
  <c r="BL90" i="5"/>
  <c r="BL89" i="5"/>
  <c r="BL88" i="5"/>
  <c r="BL87" i="5"/>
  <c r="BL86" i="5"/>
  <c r="BL85" i="5"/>
  <c r="BL84" i="5"/>
  <c r="BL83" i="5"/>
  <c r="BL82" i="5"/>
  <c r="BL81" i="5"/>
  <c r="BL80" i="5"/>
  <c r="BL79" i="5"/>
  <c r="BL78" i="5"/>
  <c r="BL77" i="5"/>
  <c r="BL76" i="5"/>
  <c r="BL75" i="5"/>
  <c r="BL74" i="5"/>
  <c r="BL73" i="5"/>
  <c r="BL72" i="5"/>
  <c r="BL71" i="5"/>
  <c r="BL70" i="5"/>
  <c r="BL69" i="5"/>
  <c r="BL68" i="5"/>
  <c r="BL67" i="5"/>
  <c r="BL66" i="5"/>
  <c r="BL65" i="5"/>
  <c r="BL64" i="5"/>
  <c r="BL63" i="5"/>
  <c r="BL62" i="5"/>
  <c r="BL61" i="5"/>
  <c r="BL60" i="5"/>
  <c r="BL59" i="5"/>
  <c r="BL58" i="5"/>
  <c r="BL57" i="5"/>
  <c r="BL56" i="5"/>
  <c r="BL55" i="5"/>
  <c r="BL54" i="5"/>
  <c r="BL53" i="5"/>
  <c r="BL52" i="5"/>
  <c r="BL51" i="5"/>
  <c r="BL50" i="5"/>
  <c r="BL49" i="5"/>
  <c r="BL48" i="5"/>
  <c r="BL47" i="5"/>
  <c r="BL46" i="5"/>
  <c r="BL45" i="5"/>
  <c r="BL44" i="5"/>
  <c r="BL43" i="5"/>
  <c r="BL42" i="5"/>
  <c r="BL41" i="5"/>
  <c r="BL40" i="5"/>
  <c r="BL39" i="5"/>
  <c r="BL38" i="5"/>
  <c r="BL37" i="5"/>
  <c r="BL36" i="5"/>
  <c r="BL35" i="5"/>
  <c r="BL34" i="5"/>
  <c r="BL33" i="5"/>
  <c r="BL32" i="5"/>
  <c r="BL31" i="5"/>
  <c r="BL30" i="5"/>
  <c r="BL29" i="5"/>
  <c r="BL28" i="5"/>
  <c r="BL27" i="5"/>
  <c r="BL26" i="5"/>
  <c r="BL25" i="5"/>
  <c r="BL24" i="5"/>
  <c r="BL23" i="5"/>
  <c r="BL22" i="5"/>
  <c r="BL21" i="5"/>
  <c r="BL20" i="5"/>
  <c r="BL19" i="5"/>
  <c r="BL18" i="5"/>
  <c r="BL17" i="5"/>
  <c r="BL16" i="5"/>
  <c r="BL15" i="5"/>
  <c r="BL14" i="5"/>
  <c r="BL13" i="5"/>
  <c r="BL12" i="5"/>
  <c r="BL11" i="5"/>
  <c r="BL10" i="5"/>
  <c r="BL9" i="5"/>
  <c r="BL8" i="5"/>
  <c r="BH607" i="5"/>
  <c r="BH606" i="5"/>
  <c r="BH605" i="5"/>
  <c r="BH604" i="5"/>
  <c r="BH603" i="5"/>
  <c r="BH602" i="5"/>
  <c r="BH601" i="5"/>
  <c r="BH600" i="5"/>
  <c r="BH599" i="5"/>
  <c r="BH598" i="5"/>
  <c r="BH597" i="5"/>
  <c r="BH596" i="5"/>
  <c r="BH595" i="5"/>
  <c r="BH594" i="5"/>
  <c r="BH593" i="5"/>
  <c r="BH592" i="5"/>
  <c r="BH591" i="5"/>
  <c r="BH590" i="5"/>
  <c r="BH589" i="5"/>
  <c r="BH588" i="5"/>
  <c r="BH587" i="5"/>
  <c r="BH586" i="5"/>
  <c r="BH585" i="5"/>
  <c r="BH584" i="5"/>
  <c r="BH583" i="5"/>
  <c r="BH582" i="5"/>
  <c r="BH581" i="5"/>
  <c r="BH580" i="5"/>
  <c r="BH579" i="5"/>
  <c r="BH578" i="5"/>
  <c r="BH577" i="5"/>
  <c r="BH576" i="5"/>
  <c r="BH575" i="5"/>
  <c r="BH574" i="5"/>
  <c r="BH573" i="5"/>
  <c r="BH572" i="5"/>
  <c r="BH571" i="5"/>
  <c r="BH570" i="5"/>
  <c r="BH569" i="5"/>
  <c r="BH568" i="5"/>
  <c r="BH567" i="5"/>
  <c r="BH566" i="5"/>
  <c r="BH565" i="5"/>
  <c r="BH564" i="5"/>
  <c r="BH563" i="5"/>
  <c r="BH562" i="5"/>
  <c r="BH561" i="5"/>
  <c r="BH560" i="5"/>
  <c r="BH559" i="5"/>
  <c r="BH558" i="5"/>
  <c r="BH557" i="5"/>
  <c r="BH556" i="5"/>
  <c r="BH555" i="5"/>
  <c r="BH554" i="5"/>
  <c r="BH553" i="5"/>
  <c r="BH552" i="5"/>
  <c r="BH551" i="5"/>
  <c r="BH550" i="5"/>
  <c r="BH549" i="5"/>
  <c r="BH548" i="5"/>
  <c r="BH547" i="5"/>
  <c r="BH546" i="5"/>
  <c r="BH545" i="5"/>
  <c r="BH544" i="5"/>
  <c r="BH543" i="5"/>
  <c r="BH542" i="5"/>
  <c r="BH541" i="5"/>
  <c r="BH540" i="5"/>
  <c r="BH539" i="5"/>
  <c r="BH538" i="5"/>
  <c r="BH537" i="5"/>
  <c r="BH536" i="5"/>
  <c r="BH535" i="5"/>
  <c r="BH534" i="5"/>
  <c r="BH533" i="5"/>
  <c r="BH532" i="5"/>
  <c r="BH531" i="5"/>
  <c r="BH530" i="5"/>
  <c r="BH529" i="5"/>
  <c r="BH528" i="5"/>
  <c r="BH527" i="5"/>
  <c r="BH526" i="5"/>
  <c r="BH525" i="5"/>
  <c r="BH524" i="5"/>
  <c r="BH523" i="5"/>
  <c r="BH522" i="5"/>
  <c r="BH521" i="5"/>
  <c r="BH520" i="5"/>
  <c r="BH519" i="5"/>
  <c r="BH518" i="5"/>
  <c r="BH517" i="5"/>
  <c r="BH516" i="5"/>
  <c r="BH515" i="5"/>
  <c r="BH514" i="5"/>
  <c r="BH513" i="5"/>
  <c r="BH512" i="5"/>
  <c r="BH511" i="5"/>
  <c r="BH510" i="5"/>
  <c r="BH509" i="5"/>
  <c r="BH508" i="5"/>
  <c r="BH507" i="5"/>
  <c r="BH506" i="5"/>
  <c r="BH505" i="5"/>
  <c r="BH504" i="5"/>
  <c r="BH503" i="5"/>
  <c r="BH502" i="5"/>
  <c r="BH501" i="5"/>
  <c r="BH500" i="5"/>
  <c r="BH499" i="5"/>
  <c r="BH498" i="5"/>
  <c r="BH497" i="5"/>
  <c r="BH496" i="5"/>
  <c r="BH495" i="5"/>
  <c r="BH494" i="5"/>
  <c r="BH493" i="5"/>
  <c r="BH492" i="5"/>
  <c r="BH491" i="5"/>
  <c r="BH490" i="5"/>
  <c r="BH489" i="5"/>
  <c r="BH488" i="5"/>
  <c r="BH487" i="5"/>
  <c r="BH486" i="5"/>
  <c r="BH485" i="5"/>
  <c r="BH484" i="5"/>
  <c r="BH483" i="5"/>
  <c r="BH482" i="5"/>
  <c r="BH481" i="5"/>
  <c r="BH480" i="5"/>
  <c r="BH479" i="5"/>
  <c r="BH478" i="5"/>
  <c r="BH477" i="5"/>
  <c r="BH476" i="5"/>
  <c r="BH475" i="5"/>
  <c r="BH474" i="5"/>
  <c r="BH473" i="5"/>
  <c r="BH472" i="5"/>
  <c r="BH471" i="5"/>
  <c r="BH470" i="5"/>
  <c r="BH469" i="5"/>
  <c r="BH468" i="5"/>
  <c r="BH467" i="5"/>
  <c r="BH466" i="5"/>
  <c r="BH465" i="5"/>
  <c r="BH464" i="5"/>
  <c r="BH463" i="5"/>
  <c r="BH462" i="5"/>
  <c r="BH461" i="5"/>
  <c r="BH460" i="5"/>
  <c r="BH459" i="5"/>
  <c r="BH458" i="5"/>
  <c r="BH457" i="5"/>
  <c r="BH456" i="5"/>
  <c r="BH455" i="5"/>
  <c r="BH454" i="5"/>
  <c r="BH453" i="5"/>
  <c r="BH452" i="5"/>
  <c r="BH451" i="5"/>
  <c r="BH450" i="5"/>
  <c r="BH449" i="5"/>
  <c r="BH448" i="5"/>
  <c r="BH447" i="5"/>
  <c r="BH446" i="5"/>
  <c r="BH445" i="5"/>
  <c r="BH444" i="5"/>
  <c r="BH443" i="5"/>
  <c r="BH442" i="5"/>
  <c r="BH441" i="5"/>
  <c r="BH440" i="5"/>
  <c r="BH439" i="5"/>
  <c r="BH438" i="5"/>
  <c r="BH437" i="5"/>
  <c r="BH436" i="5"/>
  <c r="BH435" i="5"/>
  <c r="BH434" i="5"/>
  <c r="BH433" i="5"/>
  <c r="BH432" i="5"/>
  <c r="BH431" i="5"/>
  <c r="BH430" i="5"/>
  <c r="BH429" i="5"/>
  <c r="BH428" i="5"/>
  <c r="BH427" i="5"/>
  <c r="BH426" i="5"/>
  <c r="BH425" i="5"/>
  <c r="BH424" i="5"/>
  <c r="BH423" i="5"/>
  <c r="BH422" i="5"/>
  <c r="BH421" i="5"/>
  <c r="BH420" i="5"/>
  <c r="BH419" i="5"/>
  <c r="BH418" i="5"/>
  <c r="BH417" i="5"/>
  <c r="BH416" i="5"/>
  <c r="BH415" i="5"/>
  <c r="BH414" i="5"/>
  <c r="BH413" i="5"/>
  <c r="BH412" i="5"/>
  <c r="BH411" i="5"/>
  <c r="BH410" i="5"/>
  <c r="BH409" i="5"/>
  <c r="BH408" i="5"/>
  <c r="BH407" i="5"/>
  <c r="BH406" i="5"/>
  <c r="BH405" i="5"/>
  <c r="BH404" i="5"/>
  <c r="BH403" i="5"/>
  <c r="BH402" i="5"/>
  <c r="BH401" i="5"/>
  <c r="BH400" i="5"/>
  <c r="BH399" i="5"/>
  <c r="BH398" i="5"/>
  <c r="BH397" i="5"/>
  <c r="BH396" i="5"/>
  <c r="BH395" i="5"/>
  <c r="BH394" i="5"/>
  <c r="BH393" i="5"/>
  <c r="BH392" i="5"/>
  <c r="BH391" i="5"/>
  <c r="BH390" i="5"/>
  <c r="BH389" i="5"/>
  <c r="BH388" i="5"/>
  <c r="BH387" i="5"/>
  <c r="BH386" i="5"/>
  <c r="BH385" i="5"/>
  <c r="BH384" i="5"/>
  <c r="BH383" i="5"/>
  <c r="BH382" i="5"/>
  <c r="BH381" i="5"/>
  <c r="BH380" i="5"/>
  <c r="BH379" i="5"/>
  <c r="BH378" i="5"/>
  <c r="BH377" i="5"/>
  <c r="BH376" i="5"/>
  <c r="BH375" i="5"/>
  <c r="BH374" i="5"/>
  <c r="BH373" i="5"/>
  <c r="BH372" i="5"/>
  <c r="BH371" i="5"/>
  <c r="BH370" i="5"/>
  <c r="BH369" i="5"/>
  <c r="BH368" i="5"/>
  <c r="BH367" i="5"/>
  <c r="BH366" i="5"/>
  <c r="BH365" i="5"/>
  <c r="BH364" i="5"/>
  <c r="BH363" i="5"/>
  <c r="BH362" i="5"/>
  <c r="BH361" i="5"/>
  <c r="BH360" i="5"/>
  <c r="BH359" i="5"/>
  <c r="BH358" i="5"/>
  <c r="BH357" i="5"/>
  <c r="BH356" i="5"/>
  <c r="BH355" i="5"/>
  <c r="BH354" i="5"/>
  <c r="BH353" i="5"/>
  <c r="BH352" i="5"/>
  <c r="BH351" i="5"/>
  <c r="BH350" i="5"/>
  <c r="BH349" i="5"/>
  <c r="BH348" i="5"/>
  <c r="BH347" i="5"/>
  <c r="BH346" i="5"/>
  <c r="BH345" i="5"/>
  <c r="BH344" i="5"/>
  <c r="BH343" i="5"/>
  <c r="BH342" i="5"/>
  <c r="BH341" i="5"/>
  <c r="BH340" i="5"/>
  <c r="BH339" i="5"/>
  <c r="BH338" i="5"/>
  <c r="BH337" i="5"/>
  <c r="BH336" i="5"/>
  <c r="BH335" i="5"/>
  <c r="BH334" i="5"/>
  <c r="BH333" i="5"/>
  <c r="BH332" i="5"/>
  <c r="BH331" i="5"/>
  <c r="BH330" i="5"/>
  <c r="BH329" i="5"/>
  <c r="BH328" i="5"/>
  <c r="BH327" i="5"/>
  <c r="BH326" i="5"/>
  <c r="BH325" i="5"/>
  <c r="BH324" i="5"/>
  <c r="BH323" i="5"/>
  <c r="BH322" i="5"/>
  <c r="BH321" i="5"/>
  <c r="BH320" i="5"/>
  <c r="BH319" i="5"/>
  <c r="BH318" i="5"/>
  <c r="BH317" i="5"/>
  <c r="BH316" i="5"/>
  <c r="BH315" i="5"/>
  <c r="BH314" i="5"/>
  <c r="BH313" i="5"/>
  <c r="BH312" i="5"/>
  <c r="BH311" i="5"/>
  <c r="BH310" i="5"/>
  <c r="BH309" i="5"/>
  <c r="BH308" i="5"/>
  <c r="BH307" i="5"/>
  <c r="BH306" i="5"/>
  <c r="BH305" i="5"/>
  <c r="BH304" i="5"/>
  <c r="BH303" i="5"/>
  <c r="BH302" i="5"/>
  <c r="BH301" i="5"/>
  <c r="BH300" i="5"/>
  <c r="BH299" i="5"/>
  <c r="BH298" i="5"/>
  <c r="BH297" i="5"/>
  <c r="BH296" i="5"/>
  <c r="BH295" i="5"/>
  <c r="BH294" i="5"/>
  <c r="BH293" i="5"/>
  <c r="BH292" i="5"/>
  <c r="BH291" i="5"/>
  <c r="BH290" i="5"/>
  <c r="BH289" i="5"/>
  <c r="BH288" i="5"/>
  <c r="BH287" i="5"/>
  <c r="BH286" i="5"/>
  <c r="BH285" i="5"/>
  <c r="BH284" i="5"/>
  <c r="BH283" i="5"/>
  <c r="BH282" i="5"/>
  <c r="BH281" i="5"/>
  <c r="BH280" i="5"/>
  <c r="BH279" i="5"/>
  <c r="BH278" i="5"/>
  <c r="BH277" i="5"/>
  <c r="BH276" i="5"/>
  <c r="BH275" i="5"/>
  <c r="BH274" i="5"/>
  <c r="BH273" i="5"/>
  <c r="BH272" i="5"/>
  <c r="BH271" i="5"/>
  <c r="BH270" i="5"/>
  <c r="BH269" i="5"/>
  <c r="BH268" i="5"/>
  <c r="BH267" i="5"/>
  <c r="BH266" i="5"/>
  <c r="BH265" i="5"/>
  <c r="BH264" i="5"/>
  <c r="BH263" i="5"/>
  <c r="BH262" i="5"/>
  <c r="BH261" i="5"/>
  <c r="BH260" i="5"/>
  <c r="BH259" i="5"/>
  <c r="BH258" i="5"/>
  <c r="BH257" i="5"/>
  <c r="BH256" i="5"/>
  <c r="BH255" i="5"/>
  <c r="BH254" i="5"/>
  <c r="BH253" i="5"/>
  <c r="BH252" i="5"/>
  <c r="BH251" i="5"/>
  <c r="BH250" i="5"/>
  <c r="BH249" i="5"/>
  <c r="BH248" i="5"/>
  <c r="BH247" i="5"/>
  <c r="BH246" i="5"/>
  <c r="BH245" i="5"/>
  <c r="BH244" i="5"/>
  <c r="BH243" i="5"/>
  <c r="BH242" i="5"/>
  <c r="BH241" i="5"/>
  <c r="BH240" i="5"/>
  <c r="BH239" i="5"/>
  <c r="BH238" i="5"/>
  <c r="BH237" i="5"/>
  <c r="BH236" i="5"/>
  <c r="BH235" i="5"/>
  <c r="BH234" i="5"/>
  <c r="BH233" i="5"/>
  <c r="BH232" i="5"/>
  <c r="BH231" i="5"/>
  <c r="BH230" i="5"/>
  <c r="BH229" i="5"/>
  <c r="BH228" i="5"/>
  <c r="BH227" i="5"/>
  <c r="BH226" i="5"/>
  <c r="BH225" i="5"/>
  <c r="BH224" i="5"/>
  <c r="BH223" i="5"/>
  <c r="BH222" i="5"/>
  <c r="BH221" i="5"/>
  <c r="BH220" i="5"/>
  <c r="BH219" i="5"/>
  <c r="BH218" i="5"/>
  <c r="BH217" i="5"/>
  <c r="BH216" i="5"/>
  <c r="BH215" i="5"/>
  <c r="BH214" i="5"/>
  <c r="BH213" i="5"/>
  <c r="BH212" i="5"/>
  <c r="BH211" i="5"/>
  <c r="BH210" i="5"/>
  <c r="BH209" i="5"/>
  <c r="BH208" i="5"/>
  <c r="BH207" i="5"/>
  <c r="BH206" i="5"/>
  <c r="BH205" i="5"/>
  <c r="BH204" i="5"/>
  <c r="BH203" i="5"/>
  <c r="BH202" i="5"/>
  <c r="BH201" i="5"/>
  <c r="BH200" i="5"/>
  <c r="BH199" i="5"/>
  <c r="BH198" i="5"/>
  <c r="BH197" i="5"/>
  <c r="BH196" i="5"/>
  <c r="BH195" i="5"/>
  <c r="BH194" i="5"/>
  <c r="BH193" i="5"/>
  <c r="BH192" i="5"/>
  <c r="BH191" i="5"/>
  <c r="BH190" i="5"/>
  <c r="BH189" i="5"/>
  <c r="BH188" i="5"/>
  <c r="BH187" i="5"/>
  <c r="BH186" i="5"/>
  <c r="BH185" i="5"/>
  <c r="BH184" i="5"/>
  <c r="BH183" i="5"/>
  <c r="BH182" i="5"/>
  <c r="BH181" i="5"/>
  <c r="BH180" i="5"/>
  <c r="BH179" i="5"/>
  <c r="BH178" i="5"/>
  <c r="BH177" i="5"/>
  <c r="BH176" i="5"/>
  <c r="BH175" i="5"/>
  <c r="BH174" i="5"/>
  <c r="BH173" i="5"/>
  <c r="BH172" i="5"/>
  <c r="BH171" i="5"/>
  <c r="BH170" i="5"/>
  <c r="BH169" i="5"/>
  <c r="BH168" i="5"/>
  <c r="BH167" i="5"/>
  <c r="BH166" i="5"/>
  <c r="BH165" i="5"/>
  <c r="BH164" i="5"/>
  <c r="BH163" i="5"/>
  <c r="BH162" i="5"/>
  <c r="BH161" i="5"/>
  <c r="BH160" i="5"/>
  <c r="BH159" i="5"/>
  <c r="BH158" i="5"/>
  <c r="BH157" i="5"/>
  <c r="BH156" i="5"/>
  <c r="BH155" i="5"/>
  <c r="BH154" i="5"/>
  <c r="BH153" i="5"/>
  <c r="BH152" i="5"/>
  <c r="BH151" i="5"/>
  <c r="BH150" i="5"/>
  <c r="BH149" i="5"/>
  <c r="BH148" i="5"/>
  <c r="BH147" i="5"/>
  <c r="BH146" i="5"/>
  <c r="BH145" i="5"/>
  <c r="BH144" i="5"/>
  <c r="BH143" i="5"/>
  <c r="BH142" i="5"/>
  <c r="BH141" i="5"/>
  <c r="BH140" i="5"/>
  <c r="BH139" i="5"/>
  <c r="BH138" i="5"/>
  <c r="BH137" i="5"/>
  <c r="BH136" i="5"/>
  <c r="BH135" i="5"/>
  <c r="BH134" i="5"/>
  <c r="BH133" i="5"/>
  <c r="BH132" i="5"/>
  <c r="BH131" i="5"/>
  <c r="BH130" i="5"/>
  <c r="BH129" i="5"/>
  <c r="BH128" i="5"/>
  <c r="BH127" i="5"/>
  <c r="BH126" i="5"/>
  <c r="BH125" i="5"/>
  <c r="BH124" i="5"/>
  <c r="BH123" i="5"/>
  <c r="BH122" i="5"/>
  <c r="BH121" i="5"/>
  <c r="BH120" i="5"/>
  <c r="BH119" i="5"/>
  <c r="BH118" i="5"/>
  <c r="BH117" i="5"/>
  <c r="BH116" i="5"/>
  <c r="BH115" i="5"/>
  <c r="BH114" i="5"/>
  <c r="BH113" i="5"/>
  <c r="BH112" i="5"/>
  <c r="BH111" i="5"/>
  <c r="BH110" i="5"/>
  <c r="BH109" i="5"/>
  <c r="BH108" i="5"/>
  <c r="BH107" i="5"/>
  <c r="BH106" i="5"/>
  <c r="BH105" i="5"/>
  <c r="BH104" i="5"/>
  <c r="BH103" i="5"/>
  <c r="BH102" i="5"/>
  <c r="BH101" i="5"/>
  <c r="BH100" i="5"/>
  <c r="BH99" i="5"/>
  <c r="BH98" i="5"/>
  <c r="BH97" i="5"/>
  <c r="BH96" i="5"/>
  <c r="BH95" i="5"/>
  <c r="BH94" i="5"/>
  <c r="BH93" i="5"/>
  <c r="BH92" i="5"/>
  <c r="BH91" i="5"/>
  <c r="BH90" i="5"/>
  <c r="BH89" i="5"/>
  <c r="BH88" i="5"/>
  <c r="BH87" i="5"/>
  <c r="BH86" i="5"/>
  <c r="BH85" i="5"/>
  <c r="BH84" i="5"/>
  <c r="BH83" i="5"/>
  <c r="BH82" i="5"/>
  <c r="BH81" i="5"/>
  <c r="BH80" i="5"/>
  <c r="BH79" i="5"/>
  <c r="BH78" i="5"/>
  <c r="BH77" i="5"/>
  <c r="BH76" i="5"/>
  <c r="BH75" i="5"/>
  <c r="BH74" i="5"/>
  <c r="BH73" i="5"/>
  <c r="BH72" i="5"/>
  <c r="BH71" i="5"/>
  <c r="BH70" i="5"/>
  <c r="BH69" i="5"/>
  <c r="BH68" i="5"/>
  <c r="BH67" i="5"/>
  <c r="BH66" i="5"/>
  <c r="BH65" i="5"/>
  <c r="BH64" i="5"/>
  <c r="BH63" i="5"/>
  <c r="BH62" i="5"/>
  <c r="BH61" i="5"/>
  <c r="BH60" i="5"/>
  <c r="BH59" i="5"/>
  <c r="BH58" i="5"/>
  <c r="BH57" i="5"/>
  <c r="BH56" i="5"/>
  <c r="BH55" i="5"/>
  <c r="BH54" i="5"/>
  <c r="BH53" i="5"/>
  <c r="BH52" i="5"/>
  <c r="BH51" i="5"/>
  <c r="BH50" i="5"/>
  <c r="BH49" i="5"/>
  <c r="BH48" i="5"/>
  <c r="BH47" i="5"/>
  <c r="BH46" i="5"/>
  <c r="BH45" i="5"/>
  <c r="BH44" i="5"/>
  <c r="BH43" i="5"/>
  <c r="BH42" i="5"/>
  <c r="BH41" i="5"/>
  <c r="BH40" i="5"/>
  <c r="BH39" i="5"/>
  <c r="BH38" i="5"/>
  <c r="BH37" i="5"/>
  <c r="BH36" i="5"/>
  <c r="BH35" i="5"/>
  <c r="BH34" i="5"/>
  <c r="BH33" i="5"/>
  <c r="BH32" i="5"/>
  <c r="BH31" i="5"/>
  <c r="BH30" i="5"/>
  <c r="BH29" i="5"/>
  <c r="BH28" i="5"/>
  <c r="BH27" i="5"/>
  <c r="BH26" i="5"/>
  <c r="BH25" i="5"/>
  <c r="BH24" i="5"/>
  <c r="BH23" i="5"/>
  <c r="BH22" i="5"/>
  <c r="BH21" i="5"/>
  <c r="BH20" i="5"/>
  <c r="BH19" i="5"/>
  <c r="BH18" i="5"/>
  <c r="BH17" i="5"/>
  <c r="BH16" i="5"/>
  <c r="BH15" i="5"/>
  <c r="BH14" i="5"/>
  <c r="BH13" i="5"/>
  <c r="BH12" i="5"/>
  <c r="BH11" i="5"/>
  <c r="BH10" i="5"/>
  <c r="BH9" i="5"/>
  <c r="BH8" i="5"/>
  <c r="BD607" i="5"/>
  <c r="BD606" i="5"/>
  <c r="BD605" i="5"/>
  <c r="BD604" i="5"/>
  <c r="BD603" i="5"/>
  <c r="BD602" i="5"/>
  <c r="BD601" i="5"/>
  <c r="BD600" i="5"/>
  <c r="BD599" i="5"/>
  <c r="BD598" i="5"/>
  <c r="BD597" i="5"/>
  <c r="BD596" i="5"/>
  <c r="BD595" i="5"/>
  <c r="BD594" i="5"/>
  <c r="BD593" i="5"/>
  <c r="BD592" i="5"/>
  <c r="BD591" i="5"/>
  <c r="BD590" i="5"/>
  <c r="BD589" i="5"/>
  <c r="BD588" i="5"/>
  <c r="BD587" i="5"/>
  <c r="BD586" i="5"/>
  <c r="BD585" i="5"/>
  <c r="BD584" i="5"/>
  <c r="BD583" i="5"/>
  <c r="BD582" i="5"/>
  <c r="BD581" i="5"/>
  <c r="BD580" i="5"/>
  <c r="BD579" i="5"/>
  <c r="BD578" i="5"/>
  <c r="BD577" i="5"/>
  <c r="BD576" i="5"/>
  <c r="BD575" i="5"/>
  <c r="BD574" i="5"/>
  <c r="BD573" i="5"/>
  <c r="BD572" i="5"/>
  <c r="BD571" i="5"/>
  <c r="BD570" i="5"/>
  <c r="BD569" i="5"/>
  <c r="BD568" i="5"/>
  <c r="BD567" i="5"/>
  <c r="BD566" i="5"/>
  <c r="BD565" i="5"/>
  <c r="BD564" i="5"/>
  <c r="BD563" i="5"/>
  <c r="BD562" i="5"/>
  <c r="BD561" i="5"/>
  <c r="BD560" i="5"/>
  <c r="BD559" i="5"/>
  <c r="BD558" i="5"/>
  <c r="BD557" i="5"/>
  <c r="BD556" i="5"/>
  <c r="BD555" i="5"/>
  <c r="BD554" i="5"/>
  <c r="BD553" i="5"/>
  <c r="BD552" i="5"/>
  <c r="BD551" i="5"/>
  <c r="BD550" i="5"/>
  <c r="BD549" i="5"/>
  <c r="BD548" i="5"/>
  <c r="BD547" i="5"/>
  <c r="BD546" i="5"/>
  <c r="BD545" i="5"/>
  <c r="BD544" i="5"/>
  <c r="BD543" i="5"/>
  <c r="BD542" i="5"/>
  <c r="BD541" i="5"/>
  <c r="BD540" i="5"/>
  <c r="BD539" i="5"/>
  <c r="BD538" i="5"/>
  <c r="BD537" i="5"/>
  <c r="BD536" i="5"/>
  <c r="BD535" i="5"/>
  <c r="BD534" i="5"/>
  <c r="BD533" i="5"/>
  <c r="BD532" i="5"/>
  <c r="BD531" i="5"/>
  <c r="BD530" i="5"/>
  <c r="BD529" i="5"/>
  <c r="BD528" i="5"/>
  <c r="BD527" i="5"/>
  <c r="BD526" i="5"/>
  <c r="BD525" i="5"/>
  <c r="BD524" i="5"/>
  <c r="BD523" i="5"/>
  <c r="BD522" i="5"/>
  <c r="BD521" i="5"/>
  <c r="BD520" i="5"/>
  <c r="BD519" i="5"/>
  <c r="BD518" i="5"/>
  <c r="BD517" i="5"/>
  <c r="BD516" i="5"/>
  <c r="BD515" i="5"/>
  <c r="BD514" i="5"/>
  <c r="BD513" i="5"/>
  <c r="BD512" i="5"/>
  <c r="BD511" i="5"/>
  <c r="BD510" i="5"/>
  <c r="BD509" i="5"/>
  <c r="BD508" i="5"/>
  <c r="BD507" i="5"/>
  <c r="BD506" i="5"/>
  <c r="BD505" i="5"/>
  <c r="BD504" i="5"/>
  <c r="BD503" i="5"/>
  <c r="BD502" i="5"/>
  <c r="BD501" i="5"/>
  <c r="BD500" i="5"/>
  <c r="BD499" i="5"/>
  <c r="BD498" i="5"/>
  <c r="BD497" i="5"/>
  <c r="BD496" i="5"/>
  <c r="BD495" i="5"/>
  <c r="BD494" i="5"/>
  <c r="BD493" i="5"/>
  <c r="BD492" i="5"/>
  <c r="BD491" i="5"/>
  <c r="BD490" i="5"/>
  <c r="BD489" i="5"/>
  <c r="BD488" i="5"/>
  <c r="BD487" i="5"/>
  <c r="BD486" i="5"/>
  <c r="BD485" i="5"/>
  <c r="BD484" i="5"/>
  <c r="BD483" i="5"/>
  <c r="BD482" i="5"/>
  <c r="BD481" i="5"/>
  <c r="BD480" i="5"/>
  <c r="BD479" i="5"/>
  <c r="BD478" i="5"/>
  <c r="BD477" i="5"/>
  <c r="BD476" i="5"/>
  <c r="BD475" i="5"/>
  <c r="BD474" i="5"/>
  <c r="BD473" i="5"/>
  <c r="BD472" i="5"/>
  <c r="BD471" i="5"/>
  <c r="BD470" i="5"/>
  <c r="BD469" i="5"/>
  <c r="BD468" i="5"/>
  <c r="BD467" i="5"/>
  <c r="BD466" i="5"/>
  <c r="BD465" i="5"/>
  <c r="BD464" i="5"/>
  <c r="BD463" i="5"/>
  <c r="BD462" i="5"/>
  <c r="BD461" i="5"/>
  <c r="BD460" i="5"/>
  <c r="BD459" i="5"/>
  <c r="BD458" i="5"/>
  <c r="BD457" i="5"/>
  <c r="BD456" i="5"/>
  <c r="BD455" i="5"/>
  <c r="BD454" i="5"/>
  <c r="BD453" i="5"/>
  <c r="BD452" i="5"/>
  <c r="BD451" i="5"/>
  <c r="BD450" i="5"/>
  <c r="BD449" i="5"/>
  <c r="BD448" i="5"/>
  <c r="BD447" i="5"/>
  <c r="BD446" i="5"/>
  <c r="BD445" i="5"/>
  <c r="BD444" i="5"/>
  <c r="BD443" i="5"/>
  <c r="BD442" i="5"/>
  <c r="BD441" i="5"/>
  <c r="BD440" i="5"/>
  <c r="BD439" i="5"/>
  <c r="BD438" i="5"/>
  <c r="BD437" i="5"/>
  <c r="BD436" i="5"/>
  <c r="BD435" i="5"/>
  <c r="BD434" i="5"/>
  <c r="BD433" i="5"/>
  <c r="BD432" i="5"/>
  <c r="BD431" i="5"/>
  <c r="BD430" i="5"/>
  <c r="BD429" i="5"/>
  <c r="BD428" i="5"/>
  <c r="BD427" i="5"/>
  <c r="BD426" i="5"/>
  <c r="BD425" i="5"/>
  <c r="BD424" i="5"/>
  <c r="BD423" i="5"/>
  <c r="BD422" i="5"/>
  <c r="BD421" i="5"/>
  <c r="BD420" i="5"/>
  <c r="BD419" i="5"/>
  <c r="BD418" i="5"/>
  <c r="BD417" i="5"/>
  <c r="BD416" i="5"/>
  <c r="BD415" i="5"/>
  <c r="BD414" i="5"/>
  <c r="BD413" i="5"/>
  <c r="BD412" i="5"/>
  <c r="BD411" i="5"/>
  <c r="BD410" i="5"/>
  <c r="BD409" i="5"/>
  <c r="BD408" i="5"/>
  <c r="BD407" i="5"/>
  <c r="BD406" i="5"/>
  <c r="BD405" i="5"/>
  <c r="BD404" i="5"/>
  <c r="BD403" i="5"/>
  <c r="BD402" i="5"/>
  <c r="BD401" i="5"/>
  <c r="BD400" i="5"/>
  <c r="BD399" i="5"/>
  <c r="BD398" i="5"/>
  <c r="BD397" i="5"/>
  <c r="BD396" i="5"/>
  <c r="BD395" i="5"/>
  <c r="BD394" i="5"/>
  <c r="BD393" i="5"/>
  <c r="BD392" i="5"/>
  <c r="BD391" i="5"/>
  <c r="BD390" i="5"/>
  <c r="BD389" i="5"/>
  <c r="BD388" i="5"/>
  <c r="BD387" i="5"/>
  <c r="BD386" i="5"/>
  <c r="BD385" i="5"/>
  <c r="BD384" i="5"/>
  <c r="BD383" i="5"/>
  <c r="BD382" i="5"/>
  <c r="BD381" i="5"/>
  <c r="BD380" i="5"/>
  <c r="BD379" i="5"/>
  <c r="BD378" i="5"/>
  <c r="BD377" i="5"/>
  <c r="BD376" i="5"/>
  <c r="BD375" i="5"/>
  <c r="BD374" i="5"/>
  <c r="BD373" i="5"/>
  <c r="BD372" i="5"/>
  <c r="BD371" i="5"/>
  <c r="BD370" i="5"/>
  <c r="BD369" i="5"/>
  <c r="BD368" i="5"/>
  <c r="BD367" i="5"/>
  <c r="BD366" i="5"/>
  <c r="BD365" i="5"/>
  <c r="BD364" i="5"/>
  <c r="BD363" i="5"/>
  <c r="BD362" i="5"/>
  <c r="BD361" i="5"/>
  <c r="BD360" i="5"/>
  <c r="BD359" i="5"/>
  <c r="BD358" i="5"/>
  <c r="BD357" i="5"/>
  <c r="BD356" i="5"/>
  <c r="BD355" i="5"/>
  <c r="BD354" i="5"/>
  <c r="BD353" i="5"/>
  <c r="BD352" i="5"/>
  <c r="BD351" i="5"/>
  <c r="BD350" i="5"/>
  <c r="BD349" i="5"/>
  <c r="BD348" i="5"/>
  <c r="BD347" i="5"/>
  <c r="BD346" i="5"/>
  <c r="BD345" i="5"/>
  <c r="BD344" i="5"/>
  <c r="BD343" i="5"/>
  <c r="BD342" i="5"/>
  <c r="BD341" i="5"/>
  <c r="BD340" i="5"/>
  <c r="BD339" i="5"/>
  <c r="BD338" i="5"/>
  <c r="BD337" i="5"/>
  <c r="BD336" i="5"/>
  <c r="BD335" i="5"/>
  <c r="BD334" i="5"/>
  <c r="BD333" i="5"/>
  <c r="BD332" i="5"/>
  <c r="BD331" i="5"/>
  <c r="BD330" i="5"/>
  <c r="BD329" i="5"/>
  <c r="BD328" i="5"/>
  <c r="BD327" i="5"/>
  <c r="BD326" i="5"/>
  <c r="BD325" i="5"/>
  <c r="BD324" i="5"/>
  <c r="BD323" i="5"/>
  <c r="BD322" i="5"/>
  <c r="BD321" i="5"/>
  <c r="BD320" i="5"/>
  <c r="BD319" i="5"/>
  <c r="BD318" i="5"/>
  <c r="BD317" i="5"/>
  <c r="BD316" i="5"/>
  <c r="BD315" i="5"/>
  <c r="BD314" i="5"/>
  <c r="BD313" i="5"/>
  <c r="BD312" i="5"/>
  <c r="BD311" i="5"/>
  <c r="BD310" i="5"/>
  <c r="BD309" i="5"/>
  <c r="BD308" i="5"/>
  <c r="BD307" i="5"/>
  <c r="BD306" i="5"/>
  <c r="BD305" i="5"/>
  <c r="BD304" i="5"/>
  <c r="BD303" i="5"/>
  <c r="BD302" i="5"/>
  <c r="BD301" i="5"/>
  <c r="BD300" i="5"/>
  <c r="BD299" i="5"/>
  <c r="BD298" i="5"/>
  <c r="BD297" i="5"/>
  <c r="BD296" i="5"/>
  <c r="BD295" i="5"/>
  <c r="BD294" i="5"/>
  <c r="BD293" i="5"/>
  <c r="BD292" i="5"/>
  <c r="BD291" i="5"/>
  <c r="BD290" i="5"/>
  <c r="BD289" i="5"/>
  <c r="BD288" i="5"/>
  <c r="BD287" i="5"/>
  <c r="BD286" i="5"/>
  <c r="BD285" i="5"/>
  <c r="BD284" i="5"/>
  <c r="BD283" i="5"/>
  <c r="BD282" i="5"/>
  <c r="BD281" i="5"/>
  <c r="BD280" i="5"/>
  <c r="BD279" i="5"/>
  <c r="BD278" i="5"/>
  <c r="BD277" i="5"/>
  <c r="BD276" i="5"/>
  <c r="BD275" i="5"/>
  <c r="BD274" i="5"/>
  <c r="BD273" i="5"/>
  <c r="BD272" i="5"/>
  <c r="BD271" i="5"/>
  <c r="BD270" i="5"/>
  <c r="BD269" i="5"/>
  <c r="BD268" i="5"/>
  <c r="BD267" i="5"/>
  <c r="BD266" i="5"/>
  <c r="BD265" i="5"/>
  <c r="BD264" i="5"/>
  <c r="BD263" i="5"/>
  <c r="BD262" i="5"/>
  <c r="BD261" i="5"/>
  <c r="BD260" i="5"/>
  <c r="BD259" i="5"/>
  <c r="BD258" i="5"/>
  <c r="BD257" i="5"/>
  <c r="BD256" i="5"/>
  <c r="BD255" i="5"/>
  <c r="BD254" i="5"/>
  <c r="BD253" i="5"/>
  <c r="BD252" i="5"/>
  <c r="BD251" i="5"/>
  <c r="BD250" i="5"/>
  <c r="BD249" i="5"/>
  <c r="BD248" i="5"/>
  <c r="BD247" i="5"/>
  <c r="BD246" i="5"/>
  <c r="BD245" i="5"/>
  <c r="BD244" i="5"/>
  <c r="BD243" i="5"/>
  <c r="BD242" i="5"/>
  <c r="BD241" i="5"/>
  <c r="BD240" i="5"/>
  <c r="BD239" i="5"/>
  <c r="BD238" i="5"/>
  <c r="BD237" i="5"/>
  <c r="BD236" i="5"/>
  <c r="BD235" i="5"/>
  <c r="BD234" i="5"/>
  <c r="BD233" i="5"/>
  <c r="BD232" i="5"/>
  <c r="BD231" i="5"/>
  <c r="BD230" i="5"/>
  <c r="BD229" i="5"/>
  <c r="BD228" i="5"/>
  <c r="BD227" i="5"/>
  <c r="BD226" i="5"/>
  <c r="BD225" i="5"/>
  <c r="BD224" i="5"/>
  <c r="BD223" i="5"/>
  <c r="BD222" i="5"/>
  <c r="BD221" i="5"/>
  <c r="BD220" i="5"/>
  <c r="BD219" i="5"/>
  <c r="BD218" i="5"/>
  <c r="BD217" i="5"/>
  <c r="BD216" i="5"/>
  <c r="BD215" i="5"/>
  <c r="BD214" i="5"/>
  <c r="BD213" i="5"/>
  <c r="BD212" i="5"/>
  <c r="BD211" i="5"/>
  <c r="BD210" i="5"/>
  <c r="BD209" i="5"/>
  <c r="BD208" i="5"/>
  <c r="BD207" i="5"/>
  <c r="BD206" i="5"/>
  <c r="BD205" i="5"/>
  <c r="BD204" i="5"/>
  <c r="BD203" i="5"/>
  <c r="BD202" i="5"/>
  <c r="BD201" i="5"/>
  <c r="BD200" i="5"/>
  <c r="BD199" i="5"/>
  <c r="BD198" i="5"/>
  <c r="BD197" i="5"/>
  <c r="BD196" i="5"/>
  <c r="BD195" i="5"/>
  <c r="BD194" i="5"/>
  <c r="BD193" i="5"/>
  <c r="BD192" i="5"/>
  <c r="BD191" i="5"/>
  <c r="BD190" i="5"/>
  <c r="BD189" i="5"/>
  <c r="BD188" i="5"/>
  <c r="BD187" i="5"/>
  <c r="BD186" i="5"/>
  <c r="BD185" i="5"/>
  <c r="BD184" i="5"/>
  <c r="BD183" i="5"/>
  <c r="BD182" i="5"/>
  <c r="BD181" i="5"/>
  <c r="BD180" i="5"/>
  <c r="BD179" i="5"/>
  <c r="BD178" i="5"/>
  <c r="BD177" i="5"/>
  <c r="BD176" i="5"/>
  <c r="BD175" i="5"/>
  <c r="BD174" i="5"/>
  <c r="BD173" i="5"/>
  <c r="BD172" i="5"/>
  <c r="BD171" i="5"/>
  <c r="BD170" i="5"/>
  <c r="BD169" i="5"/>
  <c r="BD168" i="5"/>
  <c r="BD167" i="5"/>
  <c r="BD166" i="5"/>
  <c r="BD165" i="5"/>
  <c r="BD164" i="5"/>
  <c r="BD163" i="5"/>
  <c r="BD162" i="5"/>
  <c r="BD161" i="5"/>
  <c r="BD160" i="5"/>
  <c r="BD159" i="5"/>
  <c r="BD158" i="5"/>
  <c r="BD157" i="5"/>
  <c r="BD156" i="5"/>
  <c r="BD155" i="5"/>
  <c r="BD154" i="5"/>
  <c r="BD153" i="5"/>
  <c r="BD152" i="5"/>
  <c r="BD151" i="5"/>
  <c r="BD150" i="5"/>
  <c r="BD149" i="5"/>
  <c r="BD148" i="5"/>
  <c r="BD147" i="5"/>
  <c r="BD146" i="5"/>
  <c r="BD145" i="5"/>
  <c r="BD144" i="5"/>
  <c r="BD143" i="5"/>
  <c r="BD142" i="5"/>
  <c r="BD141" i="5"/>
  <c r="BD140" i="5"/>
  <c r="BD139" i="5"/>
  <c r="BD138" i="5"/>
  <c r="BD137" i="5"/>
  <c r="BD136" i="5"/>
  <c r="BD135" i="5"/>
  <c r="BD134" i="5"/>
  <c r="BD133" i="5"/>
  <c r="BD132" i="5"/>
  <c r="BD131" i="5"/>
  <c r="BD130" i="5"/>
  <c r="BD129" i="5"/>
  <c r="BD128" i="5"/>
  <c r="BD127" i="5"/>
  <c r="BD126" i="5"/>
  <c r="BD125" i="5"/>
  <c r="BD124" i="5"/>
  <c r="BD123" i="5"/>
  <c r="BD122" i="5"/>
  <c r="BD121" i="5"/>
  <c r="BD120" i="5"/>
  <c r="BD119" i="5"/>
  <c r="BD118" i="5"/>
  <c r="BD117" i="5"/>
  <c r="BD116" i="5"/>
  <c r="BD115" i="5"/>
  <c r="BD114" i="5"/>
  <c r="BD113" i="5"/>
  <c r="BD112" i="5"/>
  <c r="BD111" i="5"/>
  <c r="BD110" i="5"/>
  <c r="BD109" i="5"/>
  <c r="BD108" i="5"/>
  <c r="BD107" i="5"/>
  <c r="BD106" i="5"/>
  <c r="BD105" i="5"/>
  <c r="BD104" i="5"/>
  <c r="BD103" i="5"/>
  <c r="BD102" i="5"/>
  <c r="BD101" i="5"/>
  <c r="BD100" i="5"/>
  <c r="BD99" i="5"/>
  <c r="BD98" i="5"/>
  <c r="BD97" i="5"/>
  <c r="BD96" i="5"/>
  <c r="BD95" i="5"/>
  <c r="BD94" i="5"/>
  <c r="BD93" i="5"/>
  <c r="BD92" i="5"/>
  <c r="BD91" i="5"/>
  <c r="BD90" i="5"/>
  <c r="BD89" i="5"/>
  <c r="BD88" i="5"/>
  <c r="BD87" i="5"/>
  <c r="BD86" i="5"/>
  <c r="BD85" i="5"/>
  <c r="BD84" i="5"/>
  <c r="BD83" i="5"/>
  <c r="BD82" i="5"/>
  <c r="BD81" i="5"/>
  <c r="BD80" i="5"/>
  <c r="BD79" i="5"/>
  <c r="BD78" i="5"/>
  <c r="BD77" i="5"/>
  <c r="BD76" i="5"/>
  <c r="BD75" i="5"/>
  <c r="BD74" i="5"/>
  <c r="BD73" i="5"/>
  <c r="BD72" i="5"/>
  <c r="BD71" i="5"/>
  <c r="BD70" i="5"/>
  <c r="BD69" i="5"/>
  <c r="BD68" i="5"/>
  <c r="BD67" i="5"/>
  <c r="BD66" i="5"/>
  <c r="BD65" i="5"/>
  <c r="BD64" i="5"/>
  <c r="BD63" i="5"/>
  <c r="BD62" i="5"/>
  <c r="BD61" i="5"/>
  <c r="BD60" i="5"/>
  <c r="BD59" i="5"/>
  <c r="BD58" i="5"/>
  <c r="BD57" i="5"/>
  <c r="BD56" i="5"/>
  <c r="BD55" i="5"/>
  <c r="BD54" i="5"/>
  <c r="BD53" i="5"/>
  <c r="BD52" i="5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AZ607" i="5"/>
  <c r="AZ606" i="5"/>
  <c r="AZ605" i="5"/>
  <c r="AZ604" i="5"/>
  <c r="AZ603" i="5"/>
  <c r="AZ602" i="5"/>
  <c r="AZ601" i="5"/>
  <c r="AZ600" i="5"/>
  <c r="AZ599" i="5"/>
  <c r="AZ598" i="5"/>
  <c r="AZ597" i="5"/>
  <c r="AZ596" i="5"/>
  <c r="AZ595" i="5"/>
  <c r="AZ594" i="5"/>
  <c r="AZ593" i="5"/>
  <c r="AZ592" i="5"/>
  <c r="AZ591" i="5"/>
  <c r="AZ590" i="5"/>
  <c r="AZ589" i="5"/>
  <c r="AZ588" i="5"/>
  <c r="AZ587" i="5"/>
  <c r="AZ586" i="5"/>
  <c r="AZ585" i="5"/>
  <c r="AZ584" i="5"/>
  <c r="AZ583" i="5"/>
  <c r="AZ582" i="5"/>
  <c r="AZ581" i="5"/>
  <c r="AZ580" i="5"/>
  <c r="AZ579" i="5"/>
  <c r="AZ578" i="5"/>
  <c r="AZ577" i="5"/>
  <c r="AZ576" i="5"/>
  <c r="AZ575" i="5"/>
  <c r="AZ574" i="5"/>
  <c r="AZ573" i="5"/>
  <c r="AZ572" i="5"/>
  <c r="AZ571" i="5"/>
  <c r="AZ570" i="5"/>
  <c r="AZ569" i="5"/>
  <c r="AZ568" i="5"/>
  <c r="AZ567" i="5"/>
  <c r="AZ566" i="5"/>
  <c r="AZ565" i="5"/>
  <c r="AZ564" i="5"/>
  <c r="AZ563" i="5"/>
  <c r="AZ562" i="5"/>
  <c r="AZ561" i="5"/>
  <c r="AZ560" i="5"/>
  <c r="AZ559" i="5"/>
  <c r="AZ558" i="5"/>
  <c r="AZ557" i="5"/>
  <c r="AZ556" i="5"/>
  <c r="AZ555" i="5"/>
  <c r="AZ554" i="5"/>
  <c r="AZ553" i="5"/>
  <c r="AZ552" i="5"/>
  <c r="AZ551" i="5"/>
  <c r="AZ550" i="5"/>
  <c r="AZ549" i="5"/>
  <c r="AZ548" i="5"/>
  <c r="AZ547" i="5"/>
  <c r="AZ546" i="5"/>
  <c r="AZ545" i="5"/>
  <c r="AZ544" i="5"/>
  <c r="AZ543" i="5"/>
  <c r="AZ542" i="5"/>
  <c r="AZ541" i="5"/>
  <c r="AZ540" i="5"/>
  <c r="AZ539" i="5"/>
  <c r="AZ538" i="5"/>
  <c r="AZ537" i="5"/>
  <c r="AZ536" i="5"/>
  <c r="AZ535" i="5"/>
  <c r="AZ534" i="5"/>
  <c r="AZ533" i="5"/>
  <c r="AZ532" i="5"/>
  <c r="AZ531" i="5"/>
  <c r="AZ530" i="5"/>
  <c r="AZ529" i="5"/>
  <c r="AZ528" i="5"/>
  <c r="AZ527" i="5"/>
  <c r="AZ526" i="5"/>
  <c r="AZ525" i="5"/>
  <c r="AZ524" i="5"/>
  <c r="AZ523" i="5"/>
  <c r="AZ522" i="5"/>
  <c r="AZ521" i="5"/>
  <c r="AZ520" i="5"/>
  <c r="AZ519" i="5"/>
  <c r="AZ518" i="5"/>
  <c r="AZ517" i="5"/>
  <c r="AZ516" i="5"/>
  <c r="AZ515" i="5"/>
  <c r="AZ514" i="5"/>
  <c r="AZ513" i="5"/>
  <c r="AZ512" i="5"/>
  <c r="AZ511" i="5"/>
  <c r="AZ510" i="5"/>
  <c r="AZ509" i="5"/>
  <c r="AZ508" i="5"/>
  <c r="AZ507" i="5"/>
  <c r="AZ506" i="5"/>
  <c r="AZ505" i="5"/>
  <c r="AZ504" i="5"/>
  <c r="AZ503" i="5"/>
  <c r="AZ502" i="5"/>
  <c r="AZ501" i="5"/>
  <c r="AZ500" i="5"/>
  <c r="AZ499" i="5"/>
  <c r="AZ498" i="5"/>
  <c r="AZ497" i="5"/>
  <c r="AZ496" i="5"/>
  <c r="AZ495" i="5"/>
  <c r="AZ494" i="5"/>
  <c r="AZ493" i="5"/>
  <c r="AZ492" i="5"/>
  <c r="AZ491" i="5"/>
  <c r="AZ490" i="5"/>
  <c r="AZ489" i="5"/>
  <c r="AZ488" i="5"/>
  <c r="AZ487" i="5"/>
  <c r="AZ486" i="5"/>
  <c r="AZ485" i="5"/>
  <c r="AZ484" i="5"/>
  <c r="AZ483" i="5"/>
  <c r="AZ482" i="5"/>
  <c r="AZ481" i="5"/>
  <c r="AZ480" i="5"/>
  <c r="AZ479" i="5"/>
  <c r="AZ478" i="5"/>
  <c r="AZ477" i="5"/>
  <c r="AZ476" i="5"/>
  <c r="AZ475" i="5"/>
  <c r="AZ474" i="5"/>
  <c r="AZ473" i="5"/>
  <c r="AZ472" i="5"/>
  <c r="AZ471" i="5"/>
  <c r="AZ470" i="5"/>
  <c r="AZ469" i="5"/>
  <c r="AZ468" i="5"/>
  <c r="AZ467" i="5"/>
  <c r="AZ466" i="5"/>
  <c r="AZ465" i="5"/>
  <c r="AZ464" i="5"/>
  <c r="AZ463" i="5"/>
  <c r="AZ462" i="5"/>
  <c r="AZ461" i="5"/>
  <c r="AZ460" i="5"/>
  <c r="AZ459" i="5"/>
  <c r="AZ458" i="5"/>
  <c r="AZ457" i="5"/>
  <c r="AZ456" i="5"/>
  <c r="AZ455" i="5"/>
  <c r="AZ454" i="5"/>
  <c r="AZ453" i="5"/>
  <c r="AZ452" i="5"/>
  <c r="AZ451" i="5"/>
  <c r="AZ450" i="5"/>
  <c r="AZ449" i="5"/>
  <c r="AZ448" i="5"/>
  <c r="AZ447" i="5"/>
  <c r="AZ446" i="5"/>
  <c r="AZ445" i="5"/>
  <c r="AZ444" i="5"/>
  <c r="AZ443" i="5"/>
  <c r="AZ442" i="5"/>
  <c r="AZ441" i="5"/>
  <c r="AZ440" i="5"/>
  <c r="AZ439" i="5"/>
  <c r="AZ438" i="5"/>
  <c r="AZ437" i="5"/>
  <c r="AZ436" i="5"/>
  <c r="AZ435" i="5"/>
  <c r="AZ434" i="5"/>
  <c r="AZ433" i="5"/>
  <c r="AZ432" i="5"/>
  <c r="AZ431" i="5"/>
  <c r="AZ430" i="5"/>
  <c r="AZ429" i="5"/>
  <c r="AZ428" i="5"/>
  <c r="AZ427" i="5"/>
  <c r="AZ426" i="5"/>
  <c r="AZ425" i="5"/>
  <c r="AZ424" i="5"/>
  <c r="AZ423" i="5"/>
  <c r="AZ422" i="5"/>
  <c r="AZ421" i="5"/>
  <c r="AZ420" i="5"/>
  <c r="AZ419" i="5"/>
  <c r="AZ418" i="5"/>
  <c r="AZ417" i="5"/>
  <c r="AZ416" i="5"/>
  <c r="AZ415" i="5"/>
  <c r="AZ414" i="5"/>
  <c r="AZ413" i="5"/>
  <c r="AZ412" i="5"/>
  <c r="AZ411" i="5"/>
  <c r="AZ410" i="5"/>
  <c r="AZ409" i="5"/>
  <c r="AZ408" i="5"/>
  <c r="AZ407" i="5"/>
  <c r="AZ406" i="5"/>
  <c r="AZ405" i="5"/>
  <c r="AZ404" i="5"/>
  <c r="AZ403" i="5"/>
  <c r="AZ402" i="5"/>
  <c r="AZ401" i="5"/>
  <c r="AZ400" i="5"/>
  <c r="AZ399" i="5"/>
  <c r="AZ398" i="5"/>
  <c r="AZ397" i="5"/>
  <c r="AZ396" i="5"/>
  <c r="AZ395" i="5"/>
  <c r="AZ394" i="5"/>
  <c r="AZ393" i="5"/>
  <c r="AZ392" i="5"/>
  <c r="AZ391" i="5"/>
  <c r="AZ390" i="5"/>
  <c r="AZ389" i="5"/>
  <c r="AZ388" i="5"/>
  <c r="AZ387" i="5"/>
  <c r="AZ386" i="5"/>
  <c r="AZ385" i="5"/>
  <c r="AZ384" i="5"/>
  <c r="AZ383" i="5"/>
  <c r="AZ382" i="5"/>
  <c r="AZ381" i="5"/>
  <c r="AZ380" i="5"/>
  <c r="AZ379" i="5"/>
  <c r="AZ378" i="5"/>
  <c r="AZ377" i="5"/>
  <c r="AZ376" i="5"/>
  <c r="AZ375" i="5"/>
  <c r="AZ374" i="5"/>
  <c r="AZ373" i="5"/>
  <c r="AZ372" i="5"/>
  <c r="AZ371" i="5"/>
  <c r="AZ370" i="5"/>
  <c r="AZ369" i="5"/>
  <c r="AZ368" i="5"/>
  <c r="AZ367" i="5"/>
  <c r="AZ366" i="5"/>
  <c r="AZ365" i="5"/>
  <c r="AZ364" i="5"/>
  <c r="AZ363" i="5"/>
  <c r="AZ362" i="5"/>
  <c r="AZ361" i="5"/>
  <c r="AZ360" i="5"/>
  <c r="AZ359" i="5"/>
  <c r="AZ358" i="5"/>
  <c r="AZ357" i="5"/>
  <c r="AZ356" i="5"/>
  <c r="AZ355" i="5"/>
  <c r="AZ354" i="5"/>
  <c r="AZ353" i="5"/>
  <c r="AZ352" i="5"/>
  <c r="AZ351" i="5"/>
  <c r="AZ350" i="5"/>
  <c r="AZ349" i="5"/>
  <c r="AZ348" i="5"/>
  <c r="AZ347" i="5"/>
  <c r="AZ346" i="5"/>
  <c r="AZ345" i="5"/>
  <c r="AZ344" i="5"/>
  <c r="AZ343" i="5"/>
  <c r="AZ342" i="5"/>
  <c r="AZ341" i="5"/>
  <c r="AZ340" i="5"/>
  <c r="AZ339" i="5"/>
  <c r="AZ338" i="5"/>
  <c r="AZ337" i="5"/>
  <c r="AZ336" i="5"/>
  <c r="AZ335" i="5"/>
  <c r="AZ334" i="5"/>
  <c r="AZ333" i="5"/>
  <c r="AZ332" i="5"/>
  <c r="AZ331" i="5"/>
  <c r="AZ330" i="5"/>
  <c r="AZ329" i="5"/>
  <c r="AZ328" i="5"/>
  <c r="AZ327" i="5"/>
  <c r="AZ326" i="5"/>
  <c r="AZ325" i="5"/>
  <c r="AZ324" i="5"/>
  <c r="AZ323" i="5"/>
  <c r="AZ322" i="5"/>
  <c r="AZ321" i="5"/>
  <c r="AZ320" i="5"/>
  <c r="AZ319" i="5"/>
  <c r="AZ318" i="5"/>
  <c r="AZ317" i="5"/>
  <c r="AZ316" i="5"/>
  <c r="AZ315" i="5"/>
  <c r="AZ314" i="5"/>
  <c r="AZ313" i="5"/>
  <c r="AZ312" i="5"/>
  <c r="AZ311" i="5"/>
  <c r="AZ310" i="5"/>
  <c r="AZ309" i="5"/>
  <c r="AZ308" i="5"/>
  <c r="AZ307" i="5"/>
  <c r="AZ306" i="5"/>
  <c r="AZ305" i="5"/>
  <c r="AZ304" i="5"/>
  <c r="AZ303" i="5"/>
  <c r="AZ302" i="5"/>
  <c r="AZ301" i="5"/>
  <c r="AZ300" i="5"/>
  <c r="AZ299" i="5"/>
  <c r="AZ298" i="5"/>
  <c r="AZ297" i="5"/>
  <c r="AZ296" i="5"/>
  <c r="AZ295" i="5"/>
  <c r="AZ294" i="5"/>
  <c r="AZ293" i="5"/>
  <c r="AZ292" i="5"/>
  <c r="AZ291" i="5"/>
  <c r="AZ290" i="5"/>
  <c r="AZ289" i="5"/>
  <c r="AZ288" i="5"/>
  <c r="AZ287" i="5"/>
  <c r="AZ286" i="5"/>
  <c r="AZ285" i="5"/>
  <c r="AZ284" i="5"/>
  <c r="AZ283" i="5"/>
  <c r="AZ282" i="5"/>
  <c r="AZ281" i="5"/>
  <c r="AZ280" i="5"/>
  <c r="AZ279" i="5"/>
  <c r="AZ278" i="5"/>
  <c r="AZ277" i="5"/>
  <c r="AZ276" i="5"/>
  <c r="AZ275" i="5"/>
  <c r="AZ274" i="5"/>
  <c r="AZ273" i="5"/>
  <c r="AZ272" i="5"/>
  <c r="AZ271" i="5"/>
  <c r="AZ270" i="5"/>
  <c r="AZ269" i="5"/>
  <c r="AZ268" i="5"/>
  <c r="AZ267" i="5"/>
  <c r="AZ266" i="5"/>
  <c r="AZ265" i="5"/>
  <c r="AZ264" i="5"/>
  <c r="AZ263" i="5"/>
  <c r="AZ262" i="5"/>
  <c r="AZ261" i="5"/>
  <c r="AZ260" i="5"/>
  <c r="AZ259" i="5"/>
  <c r="AZ258" i="5"/>
  <c r="AZ257" i="5"/>
  <c r="AZ256" i="5"/>
  <c r="AZ255" i="5"/>
  <c r="AZ254" i="5"/>
  <c r="AZ253" i="5"/>
  <c r="AZ252" i="5"/>
  <c r="AZ251" i="5"/>
  <c r="AZ250" i="5"/>
  <c r="AZ249" i="5"/>
  <c r="AZ248" i="5"/>
  <c r="AZ247" i="5"/>
  <c r="AZ246" i="5"/>
  <c r="AZ245" i="5"/>
  <c r="AZ244" i="5"/>
  <c r="AZ243" i="5"/>
  <c r="AZ242" i="5"/>
  <c r="AZ241" i="5"/>
  <c r="AZ240" i="5"/>
  <c r="AZ239" i="5"/>
  <c r="AZ238" i="5"/>
  <c r="AZ237" i="5"/>
  <c r="AZ236" i="5"/>
  <c r="AZ235" i="5"/>
  <c r="AZ234" i="5"/>
  <c r="AZ233" i="5"/>
  <c r="AZ232" i="5"/>
  <c r="AZ231" i="5"/>
  <c r="AZ230" i="5"/>
  <c r="AZ229" i="5"/>
  <c r="AZ228" i="5"/>
  <c r="AZ227" i="5"/>
  <c r="AZ226" i="5"/>
  <c r="AZ225" i="5"/>
  <c r="AZ224" i="5"/>
  <c r="AZ223" i="5"/>
  <c r="AZ222" i="5"/>
  <c r="AZ221" i="5"/>
  <c r="AZ220" i="5"/>
  <c r="AZ219" i="5"/>
  <c r="AZ218" i="5"/>
  <c r="AZ217" i="5"/>
  <c r="AZ216" i="5"/>
  <c r="AZ215" i="5"/>
  <c r="AZ214" i="5"/>
  <c r="AZ213" i="5"/>
  <c r="AZ212" i="5"/>
  <c r="AZ211" i="5"/>
  <c r="AZ210" i="5"/>
  <c r="AZ209" i="5"/>
  <c r="AZ208" i="5"/>
  <c r="AZ207" i="5"/>
  <c r="AZ206" i="5"/>
  <c r="AZ205" i="5"/>
  <c r="AZ204" i="5"/>
  <c r="AZ203" i="5"/>
  <c r="AZ202" i="5"/>
  <c r="AZ201" i="5"/>
  <c r="AZ200" i="5"/>
  <c r="AZ199" i="5"/>
  <c r="AZ198" i="5"/>
  <c r="AZ197" i="5"/>
  <c r="AZ196" i="5"/>
  <c r="AZ195" i="5"/>
  <c r="AZ194" i="5"/>
  <c r="AZ193" i="5"/>
  <c r="AZ192" i="5"/>
  <c r="AZ191" i="5"/>
  <c r="AZ190" i="5"/>
  <c r="AZ189" i="5"/>
  <c r="AZ188" i="5"/>
  <c r="AZ187" i="5"/>
  <c r="AZ186" i="5"/>
  <c r="AZ185" i="5"/>
  <c r="AZ184" i="5"/>
  <c r="AZ183" i="5"/>
  <c r="AZ182" i="5"/>
  <c r="AZ181" i="5"/>
  <c r="AZ180" i="5"/>
  <c r="AZ179" i="5"/>
  <c r="AZ178" i="5"/>
  <c r="AZ177" i="5"/>
  <c r="AZ176" i="5"/>
  <c r="AZ175" i="5"/>
  <c r="AZ174" i="5"/>
  <c r="AZ173" i="5"/>
  <c r="AZ172" i="5"/>
  <c r="AZ171" i="5"/>
  <c r="AZ170" i="5"/>
  <c r="AZ169" i="5"/>
  <c r="AZ168" i="5"/>
  <c r="AZ167" i="5"/>
  <c r="AZ166" i="5"/>
  <c r="AZ165" i="5"/>
  <c r="AZ164" i="5"/>
  <c r="AZ163" i="5"/>
  <c r="AZ162" i="5"/>
  <c r="AZ161" i="5"/>
  <c r="AZ160" i="5"/>
  <c r="AZ159" i="5"/>
  <c r="AZ158" i="5"/>
  <c r="AZ157" i="5"/>
  <c r="AZ156" i="5"/>
  <c r="AZ155" i="5"/>
  <c r="AZ154" i="5"/>
  <c r="AZ153" i="5"/>
  <c r="AZ152" i="5"/>
  <c r="AZ151" i="5"/>
  <c r="AZ150" i="5"/>
  <c r="AZ149" i="5"/>
  <c r="AZ148" i="5"/>
  <c r="AZ147" i="5"/>
  <c r="AZ146" i="5"/>
  <c r="AZ145" i="5"/>
  <c r="AZ144" i="5"/>
  <c r="AZ143" i="5"/>
  <c r="AZ142" i="5"/>
  <c r="AZ141" i="5"/>
  <c r="AZ140" i="5"/>
  <c r="AZ139" i="5"/>
  <c r="AZ138" i="5"/>
  <c r="AZ137" i="5"/>
  <c r="AZ136" i="5"/>
  <c r="AZ135" i="5"/>
  <c r="AZ134" i="5"/>
  <c r="AZ133" i="5"/>
  <c r="AZ132" i="5"/>
  <c r="AZ131" i="5"/>
  <c r="AZ130" i="5"/>
  <c r="AZ129" i="5"/>
  <c r="AZ128" i="5"/>
  <c r="AZ127" i="5"/>
  <c r="AZ126" i="5"/>
  <c r="AZ125" i="5"/>
  <c r="AZ124" i="5"/>
  <c r="AZ123" i="5"/>
  <c r="AZ122" i="5"/>
  <c r="AZ121" i="5"/>
  <c r="AZ120" i="5"/>
  <c r="AZ119" i="5"/>
  <c r="AZ118" i="5"/>
  <c r="AZ117" i="5"/>
  <c r="AZ116" i="5"/>
  <c r="AZ115" i="5"/>
  <c r="AZ114" i="5"/>
  <c r="AZ113" i="5"/>
  <c r="AZ112" i="5"/>
  <c r="AZ111" i="5"/>
  <c r="AZ110" i="5"/>
  <c r="AZ109" i="5"/>
  <c r="AZ108" i="5"/>
  <c r="AZ107" i="5"/>
  <c r="AZ106" i="5"/>
  <c r="AZ105" i="5"/>
  <c r="AZ104" i="5"/>
  <c r="AZ103" i="5"/>
  <c r="AZ102" i="5"/>
  <c r="AZ101" i="5"/>
  <c r="AZ100" i="5"/>
  <c r="AZ99" i="5"/>
  <c r="AZ98" i="5"/>
  <c r="AZ97" i="5"/>
  <c r="AZ96" i="5"/>
  <c r="AZ95" i="5"/>
  <c r="AZ94" i="5"/>
  <c r="AZ93" i="5"/>
  <c r="AZ92" i="5"/>
  <c r="AZ91" i="5"/>
  <c r="AZ90" i="5"/>
  <c r="AZ89" i="5"/>
  <c r="AZ88" i="5"/>
  <c r="AZ87" i="5"/>
  <c r="AZ86" i="5"/>
  <c r="AZ85" i="5"/>
  <c r="AZ84" i="5"/>
  <c r="AZ83" i="5"/>
  <c r="AZ82" i="5"/>
  <c r="AZ81" i="5"/>
  <c r="AZ80" i="5"/>
  <c r="AZ79" i="5"/>
  <c r="AZ78" i="5"/>
  <c r="AZ77" i="5"/>
  <c r="AZ76" i="5"/>
  <c r="AZ75" i="5"/>
  <c r="AZ74" i="5"/>
  <c r="AZ73" i="5"/>
  <c r="AZ72" i="5"/>
  <c r="AZ71" i="5"/>
  <c r="AZ70" i="5"/>
  <c r="AZ69" i="5"/>
  <c r="AZ68" i="5"/>
  <c r="AZ67" i="5"/>
  <c r="AZ66" i="5"/>
  <c r="AZ65" i="5"/>
  <c r="AZ64" i="5"/>
  <c r="AZ63" i="5"/>
  <c r="AZ62" i="5"/>
  <c r="AZ61" i="5"/>
  <c r="AZ60" i="5"/>
  <c r="AZ59" i="5"/>
  <c r="AZ58" i="5"/>
  <c r="AZ57" i="5"/>
  <c r="AZ56" i="5"/>
  <c r="AZ55" i="5"/>
  <c r="AZ54" i="5"/>
  <c r="AZ53" i="5"/>
  <c r="AZ52" i="5"/>
  <c r="AZ51" i="5"/>
  <c r="AZ50" i="5"/>
  <c r="AZ49" i="5"/>
  <c r="AZ48" i="5"/>
  <c r="AZ47" i="5"/>
  <c r="AZ46" i="5"/>
  <c r="AZ45" i="5"/>
  <c r="AZ44" i="5"/>
  <c r="AZ43" i="5"/>
  <c r="AZ42" i="5"/>
  <c r="AZ41" i="5"/>
  <c r="AZ40" i="5"/>
  <c r="AZ39" i="5"/>
  <c r="AZ38" i="5"/>
  <c r="AZ37" i="5"/>
  <c r="AZ36" i="5"/>
  <c r="AZ35" i="5"/>
  <c r="AZ34" i="5"/>
  <c r="AZ33" i="5"/>
  <c r="AZ32" i="5"/>
  <c r="AZ31" i="5"/>
  <c r="AZ30" i="5"/>
  <c r="AZ29" i="5"/>
  <c r="AZ28" i="5"/>
  <c r="AZ27" i="5"/>
  <c r="AZ26" i="5"/>
  <c r="AZ25" i="5"/>
  <c r="AZ24" i="5"/>
  <c r="AZ23" i="5"/>
  <c r="AZ22" i="5"/>
  <c r="AZ21" i="5"/>
  <c r="AZ20" i="5"/>
  <c r="AZ19" i="5"/>
  <c r="AZ18" i="5"/>
  <c r="AZ17" i="5"/>
  <c r="AZ16" i="5"/>
  <c r="AZ15" i="5"/>
  <c r="AZ14" i="5"/>
  <c r="AZ13" i="5"/>
  <c r="AZ12" i="5"/>
  <c r="AZ11" i="5"/>
  <c r="AZ10" i="5"/>
  <c r="AZ9" i="5"/>
  <c r="AZ8" i="5"/>
  <c r="AV607" i="5"/>
  <c r="AV606" i="5"/>
  <c r="AV605" i="5"/>
  <c r="AV604" i="5"/>
  <c r="AV603" i="5"/>
  <c r="AV602" i="5"/>
  <c r="AV601" i="5"/>
  <c r="AV600" i="5"/>
  <c r="AV599" i="5"/>
  <c r="AV598" i="5"/>
  <c r="AV597" i="5"/>
  <c r="AV596" i="5"/>
  <c r="AV595" i="5"/>
  <c r="AV594" i="5"/>
  <c r="AV593" i="5"/>
  <c r="AV592" i="5"/>
  <c r="AV591" i="5"/>
  <c r="AV590" i="5"/>
  <c r="AV589" i="5"/>
  <c r="AV588" i="5"/>
  <c r="AV587" i="5"/>
  <c r="AV586" i="5"/>
  <c r="AV585" i="5"/>
  <c r="AV584" i="5"/>
  <c r="AV583" i="5"/>
  <c r="AV582" i="5"/>
  <c r="AV581" i="5"/>
  <c r="AV580" i="5"/>
  <c r="AV579" i="5"/>
  <c r="AV578" i="5"/>
  <c r="AV577" i="5"/>
  <c r="AV576" i="5"/>
  <c r="AV575" i="5"/>
  <c r="AV574" i="5"/>
  <c r="AV573" i="5"/>
  <c r="AV572" i="5"/>
  <c r="AV571" i="5"/>
  <c r="AV570" i="5"/>
  <c r="AV569" i="5"/>
  <c r="AV568" i="5"/>
  <c r="AV567" i="5"/>
  <c r="AV566" i="5"/>
  <c r="AV565" i="5"/>
  <c r="AV564" i="5"/>
  <c r="AV563" i="5"/>
  <c r="AV562" i="5"/>
  <c r="AV561" i="5"/>
  <c r="AV560" i="5"/>
  <c r="AV559" i="5"/>
  <c r="AV558" i="5"/>
  <c r="AV557" i="5"/>
  <c r="AV556" i="5"/>
  <c r="AV555" i="5"/>
  <c r="AV554" i="5"/>
  <c r="AV553" i="5"/>
  <c r="AV552" i="5"/>
  <c r="AV551" i="5"/>
  <c r="AV550" i="5"/>
  <c r="AV549" i="5"/>
  <c r="AV548" i="5"/>
  <c r="AV547" i="5"/>
  <c r="AV546" i="5"/>
  <c r="AV545" i="5"/>
  <c r="AV544" i="5"/>
  <c r="AV543" i="5"/>
  <c r="AV542" i="5"/>
  <c r="AV541" i="5"/>
  <c r="AV540" i="5"/>
  <c r="AV539" i="5"/>
  <c r="AV538" i="5"/>
  <c r="AV537" i="5"/>
  <c r="AV536" i="5"/>
  <c r="AV535" i="5"/>
  <c r="AV534" i="5"/>
  <c r="AV533" i="5"/>
  <c r="AV532" i="5"/>
  <c r="AV531" i="5"/>
  <c r="AV530" i="5"/>
  <c r="AV529" i="5"/>
  <c r="AV528" i="5"/>
  <c r="AV527" i="5"/>
  <c r="AV526" i="5"/>
  <c r="AV525" i="5"/>
  <c r="AV524" i="5"/>
  <c r="AV523" i="5"/>
  <c r="AV522" i="5"/>
  <c r="AV521" i="5"/>
  <c r="AV520" i="5"/>
  <c r="AV519" i="5"/>
  <c r="AV518" i="5"/>
  <c r="AV517" i="5"/>
  <c r="AV516" i="5"/>
  <c r="AV515" i="5"/>
  <c r="AV514" i="5"/>
  <c r="AV513" i="5"/>
  <c r="AV512" i="5"/>
  <c r="AV511" i="5"/>
  <c r="AV510" i="5"/>
  <c r="AV509" i="5"/>
  <c r="AV508" i="5"/>
  <c r="AV507" i="5"/>
  <c r="AV506" i="5"/>
  <c r="AV505" i="5"/>
  <c r="AV504" i="5"/>
  <c r="AV503" i="5"/>
  <c r="AV502" i="5"/>
  <c r="AV501" i="5"/>
  <c r="AV500" i="5"/>
  <c r="AV499" i="5"/>
  <c r="AV498" i="5"/>
  <c r="AV497" i="5"/>
  <c r="AV496" i="5"/>
  <c r="AV495" i="5"/>
  <c r="AV494" i="5"/>
  <c r="AV493" i="5"/>
  <c r="AV492" i="5"/>
  <c r="AV491" i="5"/>
  <c r="AV490" i="5"/>
  <c r="AV489" i="5"/>
  <c r="AV488" i="5"/>
  <c r="AV487" i="5"/>
  <c r="AV486" i="5"/>
  <c r="AV485" i="5"/>
  <c r="AV484" i="5"/>
  <c r="AV483" i="5"/>
  <c r="AV482" i="5"/>
  <c r="AV481" i="5"/>
  <c r="AV480" i="5"/>
  <c r="AV479" i="5"/>
  <c r="AV478" i="5"/>
  <c r="AV477" i="5"/>
  <c r="AV476" i="5"/>
  <c r="AV475" i="5"/>
  <c r="AV474" i="5"/>
  <c r="AV473" i="5"/>
  <c r="AV472" i="5"/>
  <c r="AV471" i="5"/>
  <c r="AV470" i="5"/>
  <c r="AV469" i="5"/>
  <c r="AV468" i="5"/>
  <c r="AV467" i="5"/>
  <c r="AV466" i="5"/>
  <c r="AV465" i="5"/>
  <c r="AV464" i="5"/>
  <c r="AV463" i="5"/>
  <c r="AV462" i="5"/>
  <c r="AV461" i="5"/>
  <c r="AV460" i="5"/>
  <c r="AV459" i="5"/>
  <c r="AV458" i="5"/>
  <c r="AV457" i="5"/>
  <c r="AV456" i="5"/>
  <c r="AV455" i="5"/>
  <c r="AV454" i="5"/>
  <c r="AV453" i="5"/>
  <c r="AV452" i="5"/>
  <c r="AV451" i="5"/>
  <c r="AV450" i="5"/>
  <c r="AV449" i="5"/>
  <c r="AV448" i="5"/>
  <c r="AV447" i="5"/>
  <c r="AV446" i="5"/>
  <c r="AV445" i="5"/>
  <c r="AV444" i="5"/>
  <c r="AV443" i="5"/>
  <c r="AV442" i="5"/>
  <c r="AV441" i="5"/>
  <c r="AV440" i="5"/>
  <c r="AV439" i="5"/>
  <c r="AV438" i="5"/>
  <c r="AV437" i="5"/>
  <c r="AV436" i="5"/>
  <c r="AV435" i="5"/>
  <c r="AV434" i="5"/>
  <c r="AV433" i="5"/>
  <c r="AV432" i="5"/>
  <c r="AV431" i="5"/>
  <c r="AV430" i="5"/>
  <c r="AV429" i="5"/>
  <c r="AV428" i="5"/>
  <c r="AV427" i="5"/>
  <c r="AV426" i="5"/>
  <c r="AV425" i="5"/>
  <c r="AV424" i="5"/>
  <c r="AV423" i="5"/>
  <c r="AV422" i="5"/>
  <c r="AV421" i="5"/>
  <c r="AV420" i="5"/>
  <c r="AV419" i="5"/>
  <c r="AV418" i="5"/>
  <c r="AV417" i="5"/>
  <c r="AV416" i="5"/>
  <c r="AV415" i="5"/>
  <c r="AV414" i="5"/>
  <c r="AV413" i="5"/>
  <c r="AV412" i="5"/>
  <c r="AV411" i="5"/>
  <c r="AV410" i="5"/>
  <c r="AV409" i="5"/>
  <c r="AV408" i="5"/>
  <c r="AV407" i="5"/>
  <c r="AV406" i="5"/>
  <c r="AV405" i="5"/>
  <c r="AV404" i="5"/>
  <c r="AV403" i="5"/>
  <c r="AV402" i="5"/>
  <c r="AV401" i="5"/>
  <c r="AV400" i="5"/>
  <c r="AV399" i="5"/>
  <c r="AV398" i="5"/>
  <c r="AV397" i="5"/>
  <c r="AV396" i="5"/>
  <c r="AV395" i="5"/>
  <c r="AV394" i="5"/>
  <c r="AV393" i="5"/>
  <c r="AV392" i="5"/>
  <c r="AV391" i="5"/>
  <c r="AV390" i="5"/>
  <c r="AV389" i="5"/>
  <c r="AV388" i="5"/>
  <c r="AV387" i="5"/>
  <c r="AV386" i="5"/>
  <c r="AV385" i="5"/>
  <c r="AV384" i="5"/>
  <c r="AV383" i="5"/>
  <c r="AV382" i="5"/>
  <c r="AV381" i="5"/>
  <c r="AV380" i="5"/>
  <c r="AV379" i="5"/>
  <c r="AV378" i="5"/>
  <c r="AV377" i="5"/>
  <c r="AV376" i="5"/>
  <c r="AV375" i="5"/>
  <c r="AV374" i="5"/>
  <c r="AV373" i="5"/>
  <c r="AV372" i="5"/>
  <c r="AV371" i="5"/>
  <c r="AV370" i="5"/>
  <c r="AV369" i="5"/>
  <c r="AV368" i="5"/>
  <c r="AV367" i="5"/>
  <c r="AV366" i="5"/>
  <c r="AV365" i="5"/>
  <c r="AV364" i="5"/>
  <c r="AV363" i="5"/>
  <c r="AV362" i="5"/>
  <c r="AV361" i="5"/>
  <c r="AV360" i="5"/>
  <c r="AV359" i="5"/>
  <c r="AV358" i="5"/>
  <c r="AV357" i="5"/>
  <c r="AV356" i="5"/>
  <c r="AV355" i="5"/>
  <c r="AV354" i="5"/>
  <c r="AV353" i="5"/>
  <c r="AV352" i="5"/>
  <c r="AV351" i="5"/>
  <c r="AV350" i="5"/>
  <c r="AV349" i="5"/>
  <c r="AV348" i="5"/>
  <c r="AV347" i="5"/>
  <c r="AV346" i="5"/>
  <c r="AV345" i="5"/>
  <c r="AV344" i="5"/>
  <c r="AV343" i="5"/>
  <c r="AV342" i="5"/>
  <c r="AV341" i="5"/>
  <c r="AV340" i="5"/>
  <c r="AV339" i="5"/>
  <c r="AV338" i="5"/>
  <c r="AV337" i="5"/>
  <c r="AV336" i="5"/>
  <c r="AV335" i="5"/>
  <c r="AV334" i="5"/>
  <c r="AV333" i="5"/>
  <c r="AV332" i="5"/>
  <c r="AV331" i="5"/>
  <c r="AV330" i="5"/>
  <c r="AV329" i="5"/>
  <c r="AV328" i="5"/>
  <c r="AV327" i="5"/>
  <c r="AV326" i="5"/>
  <c r="AV325" i="5"/>
  <c r="AV324" i="5"/>
  <c r="AV323" i="5"/>
  <c r="AV322" i="5"/>
  <c r="AV321" i="5"/>
  <c r="AV320" i="5"/>
  <c r="AV319" i="5"/>
  <c r="AV318" i="5"/>
  <c r="AV317" i="5"/>
  <c r="AV316" i="5"/>
  <c r="AV315" i="5"/>
  <c r="AV314" i="5"/>
  <c r="AV313" i="5"/>
  <c r="AV312" i="5"/>
  <c r="AV311" i="5"/>
  <c r="AV310" i="5"/>
  <c r="AV309" i="5"/>
  <c r="AV308" i="5"/>
  <c r="AV307" i="5"/>
  <c r="AV306" i="5"/>
  <c r="AV305" i="5"/>
  <c r="AV304" i="5"/>
  <c r="AV303" i="5"/>
  <c r="AV302" i="5"/>
  <c r="AV301" i="5"/>
  <c r="AV300" i="5"/>
  <c r="AV299" i="5"/>
  <c r="AV298" i="5"/>
  <c r="AV297" i="5"/>
  <c r="AV296" i="5"/>
  <c r="AV295" i="5"/>
  <c r="AV294" i="5"/>
  <c r="AV293" i="5"/>
  <c r="AV292" i="5"/>
  <c r="AV291" i="5"/>
  <c r="AV290" i="5"/>
  <c r="AV289" i="5"/>
  <c r="AV288" i="5"/>
  <c r="AV287" i="5"/>
  <c r="AV286" i="5"/>
  <c r="AV285" i="5"/>
  <c r="AV284" i="5"/>
  <c r="AV283" i="5"/>
  <c r="AV282" i="5"/>
  <c r="AV281" i="5"/>
  <c r="AV280" i="5"/>
  <c r="AV279" i="5"/>
  <c r="AV278" i="5"/>
  <c r="AV277" i="5"/>
  <c r="AV276" i="5"/>
  <c r="AV275" i="5"/>
  <c r="AV274" i="5"/>
  <c r="AV273" i="5"/>
  <c r="AV272" i="5"/>
  <c r="AV271" i="5"/>
  <c r="AV270" i="5"/>
  <c r="AV269" i="5"/>
  <c r="AV268" i="5"/>
  <c r="AV267" i="5"/>
  <c r="AV266" i="5"/>
  <c r="AV265" i="5"/>
  <c r="AV264" i="5"/>
  <c r="AV263" i="5"/>
  <c r="AV262" i="5"/>
  <c r="AV261" i="5"/>
  <c r="AV260" i="5"/>
  <c r="AV259" i="5"/>
  <c r="AV258" i="5"/>
  <c r="AV257" i="5"/>
  <c r="AV256" i="5"/>
  <c r="AV255" i="5"/>
  <c r="AV254" i="5"/>
  <c r="AV253" i="5"/>
  <c r="AV252" i="5"/>
  <c r="AV251" i="5"/>
  <c r="AV250" i="5"/>
  <c r="AV249" i="5"/>
  <c r="AV248" i="5"/>
  <c r="AV247" i="5"/>
  <c r="AV246" i="5"/>
  <c r="AV245" i="5"/>
  <c r="AV244" i="5"/>
  <c r="AV243" i="5"/>
  <c r="AV242" i="5"/>
  <c r="AV241" i="5"/>
  <c r="AV240" i="5"/>
  <c r="AV239" i="5"/>
  <c r="AV238" i="5"/>
  <c r="AV237" i="5"/>
  <c r="AV236" i="5"/>
  <c r="AV235" i="5"/>
  <c r="AV234" i="5"/>
  <c r="AV233" i="5"/>
  <c r="AV232" i="5"/>
  <c r="AV231" i="5"/>
  <c r="AV230" i="5"/>
  <c r="AV229" i="5"/>
  <c r="AV228" i="5"/>
  <c r="AV227" i="5"/>
  <c r="AV226" i="5"/>
  <c r="AV225" i="5"/>
  <c r="AV224" i="5"/>
  <c r="AV223" i="5"/>
  <c r="AV222" i="5"/>
  <c r="AV221" i="5"/>
  <c r="AV220" i="5"/>
  <c r="AV219" i="5"/>
  <c r="AV218" i="5"/>
  <c r="AV217" i="5"/>
  <c r="AV216" i="5"/>
  <c r="AV215" i="5"/>
  <c r="AV214" i="5"/>
  <c r="AV213" i="5"/>
  <c r="AV212" i="5"/>
  <c r="AV211" i="5"/>
  <c r="AV210" i="5"/>
  <c r="AV209" i="5"/>
  <c r="AV208" i="5"/>
  <c r="AV207" i="5"/>
  <c r="AV206" i="5"/>
  <c r="AV205" i="5"/>
  <c r="AV204" i="5"/>
  <c r="AV203" i="5"/>
  <c r="AV202" i="5"/>
  <c r="AV201" i="5"/>
  <c r="AV200" i="5"/>
  <c r="AV199" i="5"/>
  <c r="AV198" i="5"/>
  <c r="AV197" i="5"/>
  <c r="AV196" i="5"/>
  <c r="AV195" i="5"/>
  <c r="AV194" i="5"/>
  <c r="AV193" i="5"/>
  <c r="AV192" i="5"/>
  <c r="AV191" i="5"/>
  <c r="AV190" i="5"/>
  <c r="AV189" i="5"/>
  <c r="AV188" i="5"/>
  <c r="AV187" i="5"/>
  <c r="AV186" i="5"/>
  <c r="AV185" i="5"/>
  <c r="AV184" i="5"/>
  <c r="AV183" i="5"/>
  <c r="AV182" i="5"/>
  <c r="AV181" i="5"/>
  <c r="AV180" i="5"/>
  <c r="AV179" i="5"/>
  <c r="AV178" i="5"/>
  <c r="AV177" i="5"/>
  <c r="AV176" i="5"/>
  <c r="AV175" i="5"/>
  <c r="AV174" i="5"/>
  <c r="AV173" i="5"/>
  <c r="AV172" i="5"/>
  <c r="AV171" i="5"/>
  <c r="AV170" i="5"/>
  <c r="AV169" i="5"/>
  <c r="AV168" i="5"/>
  <c r="AV167" i="5"/>
  <c r="AV166" i="5"/>
  <c r="AV165" i="5"/>
  <c r="AV164" i="5"/>
  <c r="AV163" i="5"/>
  <c r="AV162" i="5"/>
  <c r="AV161" i="5"/>
  <c r="AV160" i="5"/>
  <c r="AV159" i="5"/>
  <c r="AV158" i="5"/>
  <c r="AV157" i="5"/>
  <c r="AV156" i="5"/>
  <c r="AV155" i="5"/>
  <c r="AV154" i="5"/>
  <c r="AV153" i="5"/>
  <c r="AV152" i="5"/>
  <c r="AV151" i="5"/>
  <c r="AV150" i="5"/>
  <c r="AV149" i="5"/>
  <c r="AV148" i="5"/>
  <c r="AV147" i="5"/>
  <c r="AV146" i="5"/>
  <c r="AV145" i="5"/>
  <c r="AV144" i="5"/>
  <c r="AV143" i="5"/>
  <c r="AV142" i="5"/>
  <c r="AV141" i="5"/>
  <c r="AV140" i="5"/>
  <c r="AV139" i="5"/>
  <c r="AV138" i="5"/>
  <c r="AV137" i="5"/>
  <c r="AV136" i="5"/>
  <c r="AV135" i="5"/>
  <c r="AV134" i="5"/>
  <c r="AV133" i="5"/>
  <c r="AV132" i="5"/>
  <c r="AV131" i="5"/>
  <c r="AV130" i="5"/>
  <c r="AV129" i="5"/>
  <c r="AV128" i="5"/>
  <c r="AV127" i="5"/>
  <c r="AV126" i="5"/>
  <c r="AV125" i="5"/>
  <c r="AV124" i="5"/>
  <c r="AV123" i="5"/>
  <c r="AV122" i="5"/>
  <c r="AV121" i="5"/>
  <c r="AV120" i="5"/>
  <c r="AV119" i="5"/>
  <c r="AV118" i="5"/>
  <c r="AV117" i="5"/>
  <c r="AV116" i="5"/>
  <c r="AV115" i="5"/>
  <c r="AV114" i="5"/>
  <c r="AV113" i="5"/>
  <c r="AV112" i="5"/>
  <c r="AV111" i="5"/>
  <c r="AV110" i="5"/>
  <c r="AV109" i="5"/>
  <c r="AV108" i="5"/>
  <c r="AV107" i="5"/>
  <c r="AV106" i="5"/>
  <c r="AV105" i="5"/>
  <c r="AV104" i="5"/>
  <c r="AV103" i="5"/>
  <c r="AV102" i="5"/>
  <c r="AV101" i="5"/>
  <c r="AV100" i="5"/>
  <c r="AV99" i="5"/>
  <c r="AV98" i="5"/>
  <c r="AV97" i="5"/>
  <c r="AV96" i="5"/>
  <c r="AV95" i="5"/>
  <c r="AV94" i="5"/>
  <c r="AV93" i="5"/>
  <c r="AV92" i="5"/>
  <c r="AV91" i="5"/>
  <c r="AV90" i="5"/>
  <c r="AV89" i="5"/>
  <c r="AV88" i="5"/>
  <c r="AV87" i="5"/>
  <c r="AV86" i="5"/>
  <c r="AV85" i="5"/>
  <c r="AV84" i="5"/>
  <c r="AV83" i="5"/>
  <c r="AV82" i="5"/>
  <c r="AV81" i="5"/>
  <c r="AV80" i="5"/>
  <c r="AV79" i="5"/>
  <c r="AV78" i="5"/>
  <c r="AV77" i="5"/>
  <c r="AV76" i="5"/>
  <c r="AV75" i="5"/>
  <c r="AV74" i="5"/>
  <c r="AV73" i="5"/>
  <c r="AV72" i="5"/>
  <c r="AV71" i="5"/>
  <c r="AV70" i="5"/>
  <c r="AV69" i="5"/>
  <c r="AV68" i="5"/>
  <c r="AV67" i="5"/>
  <c r="AV66" i="5"/>
  <c r="AV65" i="5"/>
  <c r="AV64" i="5"/>
  <c r="AV63" i="5"/>
  <c r="AV62" i="5"/>
  <c r="AV61" i="5"/>
  <c r="AV60" i="5"/>
  <c r="AV59" i="5"/>
  <c r="AV58" i="5"/>
  <c r="AV57" i="5"/>
  <c r="AV56" i="5"/>
  <c r="AV55" i="5"/>
  <c r="AV54" i="5"/>
  <c r="AV53" i="5"/>
  <c r="AV52" i="5"/>
  <c r="AV51" i="5"/>
  <c r="AV50" i="5"/>
  <c r="AV49" i="5"/>
  <c r="AV48" i="5"/>
  <c r="AV47" i="5"/>
  <c r="AV46" i="5"/>
  <c r="AV45" i="5"/>
  <c r="AV44" i="5"/>
  <c r="AV43" i="5"/>
  <c r="AV42" i="5"/>
  <c r="AV41" i="5"/>
  <c r="AV40" i="5"/>
  <c r="AV39" i="5"/>
  <c r="AV38" i="5"/>
  <c r="AV37" i="5"/>
  <c r="AV36" i="5"/>
  <c r="AV35" i="5"/>
  <c r="AV34" i="5"/>
  <c r="AV33" i="5"/>
  <c r="AV32" i="5"/>
  <c r="AV31" i="5"/>
  <c r="AV30" i="5"/>
  <c r="AV29" i="5"/>
  <c r="AV28" i="5"/>
  <c r="AV27" i="5"/>
  <c r="AV26" i="5"/>
  <c r="AV25" i="5"/>
  <c r="AV24" i="5"/>
  <c r="AV23" i="5"/>
  <c r="AV22" i="5"/>
  <c r="AV21" i="5"/>
  <c r="AV20" i="5"/>
  <c r="AV19" i="5"/>
  <c r="AV18" i="5"/>
  <c r="AV17" i="5"/>
  <c r="AV16" i="5"/>
  <c r="AV15" i="5"/>
  <c r="AV14" i="5"/>
  <c r="AV13" i="5"/>
  <c r="AV12" i="5"/>
  <c r="AV11" i="5"/>
  <c r="AV10" i="5"/>
  <c r="AV9" i="5"/>
  <c r="AV8" i="5"/>
  <c r="AR607" i="5"/>
  <c r="AR606" i="5"/>
  <c r="AR605" i="5"/>
  <c r="AR604" i="5"/>
  <c r="AR603" i="5"/>
  <c r="AR602" i="5"/>
  <c r="AR601" i="5"/>
  <c r="AR600" i="5"/>
  <c r="AR599" i="5"/>
  <c r="AR598" i="5"/>
  <c r="AR597" i="5"/>
  <c r="AR596" i="5"/>
  <c r="AR595" i="5"/>
  <c r="AR594" i="5"/>
  <c r="AR593" i="5"/>
  <c r="AR592" i="5"/>
  <c r="AR591" i="5"/>
  <c r="AR590" i="5"/>
  <c r="AR589" i="5"/>
  <c r="AR588" i="5"/>
  <c r="AR587" i="5"/>
  <c r="AR586" i="5"/>
  <c r="AR585" i="5"/>
  <c r="AR584" i="5"/>
  <c r="AR583" i="5"/>
  <c r="AR582" i="5"/>
  <c r="AR581" i="5"/>
  <c r="AR580" i="5"/>
  <c r="AR579" i="5"/>
  <c r="AR578" i="5"/>
  <c r="AR577" i="5"/>
  <c r="AR576" i="5"/>
  <c r="AR575" i="5"/>
  <c r="AR574" i="5"/>
  <c r="AR573" i="5"/>
  <c r="AR572" i="5"/>
  <c r="AR571" i="5"/>
  <c r="AR570" i="5"/>
  <c r="AR569" i="5"/>
  <c r="AR568" i="5"/>
  <c r="AR567" i="5"/>
  <c r="AR566" i="5"/>
  <c r="AR565" i="5"/>
  <c r="AR564" i="5"/>
  <c r="AR563" i="5"/>
  <c r="AR562" i="5"/>
  <c r="AR561" i="5"/>
  <c r="AR560" i="5"/>
  <c r="AR559" i="5"/>
  <c r="AR558" i="5"/>
  <c r="AR557" i="5"/>
  <c r="AR556" i="5"/>
  <c r="AR555" i="5"/>
  <c r="AR554" i="5"/>
  <c r="AR553" i="5"/>
  <c r="AR552" i="5"/>
  <c r="AR551" i="5"/>
  <c r="AR550" i="5"/>
  <c r="AR549" i="5"/>
  <c r="AR548" i="5"/>
  <c r="AR547" i="5"/>
  <c r="AR546" i="5"/>
  <c r="AR545" i="5"/>
  <c r="AR544" i="5"/>
  <c r="AR543" i="5"/>
  <c r="AR542" i="5"/>
  <c r="AR541" i="5"/>
  <c r="AR540" i="5"/>
  <c r="AR539" i="5"/>
  <c r="AR538" i="5"/>
  <c r="AR537" i="5"/>
  <c r="AR536" i="5"/>
  <c r="AR535" i="5"/>
  <c r="AR534" i="5"/>
  <c r="AR533" i="5"/>
  <c r="AR532" i="5"/>
  <c r="AR531" i="5"/>
  <c r="AR530" i="5"/>
  <c r="AR529" i="5"/>
  <c r="AR528" i="5"/>
  <c r="AR527" i="5"/>
  <c r="AR526" i="5"/>
  <c r="AR525" i="5"/>
  <c r="AR524" i="5"/>
  <c r="AR523" i="5"/>
  <c r="AR522" i="5"/>
  <c r="AR521" i="5"/>
  <c r="AR520" i="5"/>
  <c r="AR519" i="5"/>
  <c r="AR518" i="5"/>
  <c r="AR517" i="5"/>
  <c r="AR516" i="5"/>
  <c r="AR515" i="5"/>
  <c r="AR514" i="5"/>
  <c r="AR513" i="5"/>
  <c r="AR512" i="5"/>
  <c r="AR511" i="5"/>
  <c r="AR510" i="5"/>
  <c r="AR509" i="5"/>
  <c r="AR508" i="5"/>
  <c r="AR507" i="5"/>
  <c r="AR506" i="5"/>
  <c r="AR505" i="5"/>
  <c r="AR504" i="5"/>
  <c r="AR503" i="5"/>
  <c r="AR502" i="5"/>
  <c r="AR501" i="5"/>
  <c r="AR500" i="5"/>
  <c r="AR499" i="5"/>
  <c r="AR498" i="5"/>
  <c r="AR497" i="5"/>
  <c r="AR496" i="5"/>
  <c r="AR495" i="5"/>
  <c r="AR494" i="5"/>
  <c r="AR493" i="5"/>
  <c r="AR492" i="5"/>
  <c r="AR491" i="5"/>
  <c r="AR490" i="5"/>
  <c r="AR489" i="5"/>
  <c r="AR488" i="5"/>
  <c r="AR487" i="5"/>
  <c r="AR486" i="5"/>
  <c r="AR485" i="5"/>
  <c r="AR484" i="5"/>
  <c r="AR483" i="5"/>
  <c r="AR482" i="5"/>
  <c r="AR481" i="5"/>
  <c r="AR480" i="5"/>
  <c r="AR479" i="5"/>
  <c r="AR478" i="5"/>
  <c r="AR477" i="5"/>
  <c r="AR476" i="5"/>
  <c r="AR475" i="5"/>
  <c r="AR474" i="5"/>
  <c r="AR473" i="5"/>
  <c r="AR472" i="5"/>
  <c r="AR471" i="5"/>
  <c r="AR470" i="5"/>
  <c r="AR469" i="5"/>
  <c r="AR468" i="5"/>
  <c r="AR467" i="5"/>
  <c r="AR466" i="5"/>
  <c r="AR465" i="5"/>
  <c r="AR464" i="5"/>
  <c r="AR463" i="5"/>
  <c r="AR462" i="5"/>
  <c r="AR461" i="5"/>
  <c r="AR460" i="5"/>
  <c r="AR459" i="5"/>
  <c r="AR458" i="5"/>
  <c r="AR457" i="5"/>
  <c r="AR456" i="5"/>
  <c r="AR455" i="5"/>
  <c r="AR454" i="5"/>
  <c r="AR453" i="5"/>
  <c r="AR452" i="5"/>
  <c r="AR451" i="5"/>
  <c r="AR450" i="5"/>
  <c r="AR449" i="5"/>
  <c r="AR448" i="5"/>
  <c r="AR447" i="5"/>
  <c r="AR446" i="5"/>
  <c r="AR445" i="5"/>
  <c r="AR444" i="5"/>
  <c r="AR443" i="5"/>
  <c r="AR442" i="5"/>
  <c r="AR441" i="5"/>
  <c r="AR440" i="5"/>
  <c r="AR439" i="5"/>
  <c r="AR438" i="5"/>
  <c r="AR437" i="5"/>
  <c r="AR436" i="5"/>
  <c r="AR435" i="5"/>
  <c r="AR434" i="5"/>
  <c r="AR433" i="5"/>
  <c r="AR432" i="5"/>
  <c r="AR431" i="5"/>
  <c r="AR430" i="5"/>
  <c r="AR429" i="5"/>
  <c r="AR428" i="5"/>
  <c r="AR427" i="5"/>
  <c r="AR426" i="5"/>
  <c r="AR425" i="5"/>
  <c r="AR424" i="5"/>
  <c r="AR423" i="5"/>
  <c r="AR422" i="5"/>
  <c r="AR421" i="5"/>
  <c r="AR420" i="5"/>
  <c r="AR419" i="5"/>
  <c r="AR418" i="5"/>
  <c r="AR417" i="5"/>
  <c r="AR416" i="5"/>
  <c r="AR415" i="5"/>
  <c r="AR414" i="5"/>
  <c r="AR413" i="5"/>
  <c r="AR412" i="5"/>
  <c r="AR411" i="5"/>
  <c r="AR410" i="5"/>
  <c r="AR409" i="5"/>
  <c r="AR408" i="5"/>
  <c r="AR407" i="5"/>
  <c r="AR406" i="5"/>
  <c r="AR405" i="5"/>
  <c r="AR404" i="5"/>
  <c r="AR403" i="5"/>
  <c r="AR402" i="5"/>
  <c r="AR401" i="5"/>
  <c r="AR400" i="5"/>
  <c r="AR399" i="5"/>
  <c r="AR398" i="5"/>
  <c r="AR397" i="5"/>
  <c r="AR396" i="5"/>
  <c r="AR395" i="5"/>
  <c r="AR394" i="5"/>
  <c r="AR393" i="5"/>
  <c r="AR392" i="5"/>
  <c r="AR391" i="5"/>
  <c r="AR390" i="5"/>
  <c r="AR389" i="5"/>
  <c r="AR388" i="5"/>
  <c r="AR387" i="5"/>
  <c r="AR386" i="5"/>
  <c r="AR385" i="5"/>
  <c r="AR384" i="5"/>
  <c r="AR383" i="5"/>
  <c r="AR382" i="5"/>
  <c r="AR381" i="5"/>
  <c r="AR380" i="5"/>
  <c r="AR379" i="5"/>
  <c r="AR378" i="5"/>
  <c r="AR377" i="5"/>
  <c r="AR376" i="5"/>
  <c r="AR375" i="5"/>
  <c r="AR374" i="5"/>
  <c r="AR373" i="5"/>
  <c r="AR372" i="5"/>
  <c r="AR371" i="5"/>
  <c r="AR370" i="5"/>
  <c r="AR369" i="5"/>
  <c r="AR368" i="5"/>
  <c r="AR367" i="5"/>
  <c r="AR366" i="5"/>
  <c r="AR365" i="5"/>
  <c r="AR364" i="5"/>
  <c r="AR363" i="5"/>
  <c r="AR362" i="5"/>
  <c r="AR361" i="5"/>
  <c r="AR360" i="5"/>
  <c r="AR359" i="5"/>
  <c r="AR358" i="5"/>
  <c r="AR357" i="5"/>
  <c r="AR356" i="5"/>
  <c r="AR355" i="5"/>
  <c r="AR354" i="5"/>
  <c r="AR353" i="5"/>
  <c r="AR352" i="5"/>
  <c r="AR351" i="5"/>
  <c r="AR350" i="5"/>
  <c r="AR349" i="5"/>
  <c r="AR348" i="5"/>
  <c r="AR347" i="5"/>
  <c r="AR346" i="5"/>
  <c r="AR345" i="5"/>
  <c r="AR344" i="5"/>
  <c r="AR343" i="5"/>
  <c r="AR342" i="5"/>
  <c r="AR341" i="5"/>
  <c r="AR340" i="5"/>
  <c r="AR339" i="5"/>
  <c r="AR338" i="5"/>
  <c r="AR337" i="5"/>
  <c r="AR336" i="5"/>
  <c r="AR335" i="5"/>
  <c r="AR334" i="5"/>
  <c r="AR333" i="5"/>
  <c r="AR332" i="5"/>
  <c r="AR331" i="5"/>
  <c r="AR330" i="5"/>
  <c r="AR329" i="5"/>
  <c r="AR328" i="5"/>
  <c r="AR327" i="5"/>
  <c r="AR326" i="5"/>
  <c r="AR325" i="5"/>
  <c r="AR324" i="5"/>
  <c r="AR323" i="5"/>
  <c r="AR322" i="5"/>
  <c r="AR321" i="5"/>
  <c r="AR320" i="5"/>
  <c r="AR319" i="5"/>
  <c r="AR318" i="5"/>
  <c r="AR317" i="5"/>
  <c r="AR316" i="5"/>
  <c r="AR315" i="5"/>
  <c r="AR314" i="5"/>
  <c r="AR313" i="5"/>
  <c r="AR312" i="5"/>
  <c r="AR311" i="5"/>
  <c r="AR310" i="5"/>
  <c r="AR309" i="5"/>
  <c r="AR308" i="5"/>
  <c r="AR307" i="5"/>
  <c r="AR306" i="5"/>
  <c r="AR305" i="5"/>
  <c r="AR304" i="5"/>
  <c r="AR303" i="5"/>
  <c r="AR302" i="5"/>
  <c r="AR301" i="5"/>
  <c r="AR300" i="5"/>
  <c r="AR299" i="5"/>
  <c r="AR298" i="5"/>
  <c r="AR297" i="5"/>
  <c r="AR296" i="5"/>
  <c r="AR295" i="5"/>
  <c r="AR294" i="5"/>
  <c r="AR293" i="5"/>
  <c r="AR292" i="5"/>
  <c r="AR291" i="5"/>
  <c r="AR290" i="5"/>
  <c r="AR289" i="5"/>
  <c r="AR288" i="5"/>
  <c r="AR287" i="5"/>
  <c r="AR286" i="5"/>
  <c r="AR285" i="5"/>
  <c r="AR284" i="5"/>
  <c r="AR283" i="5"/>
  <c r="AR282" i="5"/>
  <c r="AR281" i="5"/>
  <c r="AR280" i="5"/>
  <c r="AR279" i="5"/>
  <c r="AR278" i="5"/>
  <c r="AR277" i="5"/>
  <c r="AR276" i="5"/>
  <c r="AR275" i="5"/>
  <c r="AR274" i="5"/>
  <c r="AR273" i="5"/>
  <c r="AR272" i="5"/>
  <c r="AR271" i="5"/>
  <c r="AR270" i="5"/>
  <c r="AR269" i="5"/>
  <c r="AR268" i="5"/>
  <c r="AR267" i="5"/>
  <c r="AR266" i="5"/>
  <c r="AR265" i="5"/>
  <c r="AR264" i="5"/>
  <c r="AR263" i="5"/>
  <c r="AR262" i="5"/>
  <c r="AR261" i="5"/>
  <c r="AR260" i="5"/>
  <c r="AR259" i="5"/>
  <c r="AR258" i="5"/>
  <c r="AR257" i="5"/>
  <c r="AR256" i="5"/>
  <c r="AR255" i="5"/>
  <c r="AR254" i="5"/>
  <c r="AR253" i="5"/>
  <c r="AR252" i="5"/>
  <c r="AR251" i="5"/>
  <c r="AR250" i="5"/>
  <c r="AR249" i="5"/>
  <c r="AR248" i="5"/>
  <c r="AR247" i="5"/>
  <c r="AR246" i="5"/>
  <c r="AR245" i="5"/>
  <c r="AR244" i="5"/>
  <c r="AR243" i="5"/>
  <c r="AR242" i="5"/>
  <c r="AR241" i="5"/>
  <c r="AR240" i="5"/>
  <c r="AR239" i="5"/>
  <c r="AR238" i="5"/>
  <c r="AR237" i="5"/>
  <c r="AR236" i="5"/>
  <c r="AR235" i="5"/>
  <c r="AR234" i="5"/>
  <c r="AR233" i="5"/>
  <c r="AR232" i="5"/>
  <c r="AR231" i="5"/>
  <c r="AR230" i="5"/>
  <c r="AR229" i="5"/>
  <c r="AR228" i="5"/>
  <c r="AR227" i="5"/>
  <c r="AR226" i="5"/>
  <c r="AR225" i="5"/>
  <c r="AR224" i="5"/>
  <c r="AR223" i="5"/>
  <c r="AR222" i="5"/>
  <c r="AR221" i="5"/>
  <c r="AR220" i="5"/>
  <c r="AR219" i="5"/>
  <c r="AR218" i="5"/>
  <c r="AR217" i="5"/>
  <c r="AR216" i="5"/>
  <c r="AR215" i="5"/>
  <c r="AR214" i="5"/>
  <c r="AR213" i="5"/>
  <c r="AR212" i="5"/>
  <c r="AR211" i="5"/>
  <c r="AR210" i="5"/>
  <c r="AR209" i="5"/>
  <c r="AR208" i="5"/>
  <c r="AR207" i="5"/>
  <c r="AR206" i="5"/>
  <c r="AR205" i="5"/>
  <c r="AR204" i="5"/>
  <c r="AR203" i="5"/>
  <c r="AR202" i="5"/>
  <c r="AR201" i="5"/>
  <c r="AR200" i="5"/>
  <c r="AR199" i="5"/>
  <c r="AR198" i="5"/>
  <c r="AR197" i="5"/>
  <c r="AR196" i="5"/>
  <c r="AR195" i="5"/>
  <c r="AR194" i="5"/>
  <c r="AR193" i="5"/>
  <c r="AR192" i="5"/>
  <c r="AR191" i="5"/>
  <c r="AR190" i="5"/>
  <c r="AR189" i="5"/>
  <c r="AR188" i="5"/>
  <c r="AR187" i="5"/>
  <c r="AR186" i="5"/>
  <c r="AR185" i="5"/>
  <c r="AR184" i="5"/>
  <c r="AR183" i="5"/>
  <c r="AR182" i="5"/>
  <c r="AR181" i="5"/>
  <c r="AR180" i="5"/>
  <c r="AR179" i="5"/>
  <c r="AR178" i="5"/>
  <c r="AR177" i="5"/>
  <c r="AR176" i="5"/>
  <c r="AR175" i="5"/>
  <c r="AR174" i="5"/>
  <c r="AR173" i="5"/>
  <c r="AR172" i="5"/>
  <c r="AR171" i="5"/>
  <c r="AR170" i="5"/>
  <c r="AR169" i="5"/>
  <c r="AR168" i="5"/>
  <c r="AR167" i="5"/>
  <c r="AR166" i="5"/>
  <c r="AR165" i="5"/>
  <c r="AR164" i="5"/>
  <c r="AR163" i="5"/>
  <c r="AR162" i="5"/>
  <c r="AR161" i="5"/>
  <c r="AR160" i="5"/>
  <c r="AR159" i="5"/>
  <c r="AR158" i="5"/>
  <c r="AR157" i="5"/>
  <c r="AR156" i="5"/>
  <c r="AR155" i="5"/>
  <c r="AR154" i="5"/>
  <c r="AR153" i="5"/>
  <c r="AR152" i="5"/>
  <c r="AR151" i="5"/>
  <c r="AR150" i="5"/>
  <c r="AR149" i="5"/>
  <c r="AR148" i="5"/>
  <c r="AR147" i="5"/>
  <c r="AR146" i="5"/>
  <c r="AR145" i="5"/>
  <c r="AR144" i="5"/>
  <c r="AR143" i="5"/>
  <c r="AR142" i="5"/>
  <c r="AR141" i="5"/>
  <c r="AR140" i="5"/>
  <c r="AR139" i="5"/>
  <c r="AR138" i="5"/>
  <c r="AR137" i="5"/>
  <c r="AR136" i="5"/>
  <c r="AR135" i="5"/>
  <c r="AR134" i="5"/>
  <c r="AR133" i="5"/>
  <c r="AR132" i="5"/>
  <c r="AR131" i="5"/>
  <c r="AR130" i="5"/>
  <c r="AR129" i="5"/>
  <c r="AR128" i="5"/>
  <c r="AR127" i="5"/>
  <c r="AR126" i="5"/>
  <c r="AR125" i="5"/>
  <c r="AR124" i="5"/>
  <c r="AR123" i="5"/>
  <c r="AR122" i="5"/>
  <c r="AR121" i="5"/>
  <c r="AR120" i="5"/>
  <c r="AR119" i="5"/>
  <c r="AR118" i="5"/>
  <c r="AR117" i="5"/>
  <c r="AR116" i="5"/>
  <c r="AR115" i="5"/>
  <c r="AR114" i="5"/>
  <c r="AR113" i="5"/>
  <c r="AR112" i="5"/>
  <c r="AR111" i="5"/>
  <c r="AR110" i="5"/>
  <c r="AR109" i="5"/>
  <c r="AR108" i="5"/>
  <c r="AR107" i="5"/>
  <c r="AR106" i="5"/>
  <c r="AR105" i="5"/>
  <c r="AR104" i="5"/>
  <c r="AR103" i="5"/>
  <c r="AR102" i="5"/>
  <c r="AR101" i="5"/>
  <c r="AR100" i="5"/>
  <c r="AR99" i="5"/>
  <c r="AR98" i="5"/>
  <c r="AR97" i="5"/>
  <c r="AR96" i="5"/>
  <c r="AR95" i="5"/>
  <c r="AR94" i="5"/>
  <c r="AR93" i="5"/>
  <c r="AR92" i="5"/>
  <c r="AR91" i="5"/>
  <c r="AR90" i="5"/>
  <c r="AR89" i="5"/>
  <c r="AR88" i="5"/>
  <c r="AR87" i="5"/>
  <c r="AR86" i="5"/>
  <c r="AR85" i="5"/>
  <c r="AR84" i="5"/>
  <c r="AR83" i="5"/>
  <c r="AR82" i="5"/>
  <c r="AR81" i="5"/>
  <c r="AR80" i="5"/>
  <c r="AR79" i="5"/>
  <c r="AR78" i="5"/>
  <c r="AR77" i="5"/>
  <c r="AR76" i="5"/>
  <c r="AR75" i="5"/>
  <c r="AR74" i="5"/>
  <c r="AR73" i="5"/>
  <c r="AR72" i="5"/>
  <c r="AR71" i="5"/>
  <c r="AR70" i="5"/>
  <c r="AR69" i="5"/>
  <c r="AR68" i="5"/>
  <c r="AR67" i="5"/>
  <c r="AR66" i="5"/>
  <c r="AR65" i="5"/>
  <c r="AR64" i="5"/>
  <c r="AR63" i="5"/>
  <c r="AR62" i="5"/>
  <c r="AR61" i="5"/>
  <c r="AR60" i="5"/>
  <c r="AR59" i="5"/>
  <c r="AR58" i="5"/>
  <c r="AR57" i="5"/>
  <c r="AR56" i="5"/>
  <c r="AR55" i="5"/>
  <c r="AR54" i="5"/>
  <c r="AR53" i="5"/>
  <c r="AR52" i="5"/>
  <c r="AR51" i="5"/>
  <c r="AR50" i="5"/>
  <c r="AR49" i="5"/>
  <c r="AR48" i="5"/>
  <c r="AR47" i="5"/>
  <c r="AR46" i="5"/>
  <c r="AR45" i="5"/>
  <c r="AR44" i="5"/>
  <c r="AR43" i="5"/>
  <c r="AR42" i="5"/>
  <c r="AR41" i="5"/>
  <c r="AR40" i="5"/>
  <c r="AR39" i="5"/>
  <c r="AR38" i="5"/>
  <c r="AR37" i="5"/>
  <c r="AR36" i="5"/>
  <c r="AR35" i="5"/>
  <c r="AR34" i="5"/>
  <c r="AR33" i="5"/>
  <c r="AR32" i="5"/>
  <c r="AR31" i="5"/>
  <c r="AR30" i="5"/>
  <c r="AR29" i="5"/>
  <c r="AR28" i="5"/>
  <c r="AR27" i="5"/>
  <c r="AR26" i="5"/>
  <c r="AR25" i="5"/>
  <c r="AR24" i="5"/>
  <c r="AR23" i="5"/>
  <c r="AR22" i="5"/>
  <c r="AR21" i="5"/>
  <c r="AR20" i="5"/>
  <c r="AR19" i="5"/>
  <c r="AR18" i="5"/>
  <c r="AR17" i="5"/>
  <c r="AR16" i="5"/>
  <c r="AR15" i="5"/>
  <c r="AR14" i="5"/>
  <c r="AR13" i="5"/>
  <c r="AR12" i="5"/>
  <c r="AR11" i="5"/>
  <c r="AR10" i="5"/>
  <c r="AR9" i="5"/>
  <c r="AR8" i="5"/>
  <c r="AN607" i="5"/>
  <c r="AN606" i="5"/>
  <c r="AN605" i="5"/>
  <c r="AN604" i="5"/>
  <c r="AN603" i="5"/>
  <c r="AN602" i="5"/>
  <c r="AN601" i="5"/>
  <c r="AN600" i="5"/>
  <c r="AN599" i="5"/>
  <c r="AN598" i="5"/>
  <c r="AN597" i="5"/>
  <c r="AN596" i="5"/>
  <c r="AN595" i="5"/>
  <c r="AN594" i="5"/>
  <c r="AN593" i="5"/>
  <c r="AN592" i="5"/>
  <c r="AN591" i="5"/>
  <c r="AN590" i="5"/>
  <c r="AN589" i="5"/>
  <c r="AN588" i="5"/>
  <c r="AN587" i="5"/>
  <c r="AN586" i="5"/>
  <c r="AN585" i="5"/>
  <c r="AN584" i="5"/>
  <c r="AN583" i="5"/>
  <c r="AN582" i="5"/>
  <c r="AN581" i="5"/>
  <c r="AN580" i="5"/>
  <c r="AN579" i="5"/>
  <c r="AN578" i="5"/>
  <c r="AN577" i="5"/>
  <c r="AN576" i="5"/>
  <c r="AN575" i="5"/>
  <c r="AN574" i="5"/>
  <c r="AN573" i="5"/>
  <c r="AN572" i="5"/>
  <c r="AN571" i="5"/>
  <c r="AN570" i="5"/>
  <c r="AN569" i="5"/>
  <c r="AN568" i="5"/>
  <c r="AN567" i="5"/>
  <c r="AN566" i="5"/>
  <c r="AN565" i="5"/>
  <c r="AN564" i="5"/>
  <c r="AN563" i="5"/>
  <c r="AN562" i="5"/>
  <c r="AN561" i="5"/>
  <c r="AN560" i="5"/>
  <c r="AN559" i="5"/>
  <c r="AN558" i="5"/>
  <c r="AN557" i="5"/>
  <c r="AN556" i="5"/>
  <c r="AN555" i="5"/>
  <c r="AN554" i="5"/>
  <c r="AN553" i="5"/>
  <c r="AN552" i="5"/>
  <c r="AN551" i="5"/>
  <c r="AN550" i="5"/>
  <c r="AN549" i="5"/>
  <c r="AN548" i="5"/>
  <c r="AN547" i="5"/>
  <c r="AN546" i="5"/>
  <c r="AN545" i="5"/>
  <c r="AN544" i="5"/>
  <c r="AN543" i="5"/>
  <c r="AN542" i="5"/>
  <c r="AN541" i="5"/>
  <c r="AN540" i="5"/>
  <c r="AN539" i="5"/>
  <c r="AN538" i="5"/>
  <c r="AN537" i="5"/>
  <c r="AN536" i="5"/>
  <c r="AN535" i="5"/>
  <c r="AN534" i="5"/>
  <c r="AN533" i="5"/>
  <c r="AN532" i="5"/>
  <c r="AN531" i="5"/>
  <c r="AN530" i="5"/>
  <c r="AN529" i="5"/>
  <c r="AN528" i="5"/>
  <c r="AN527" i="5"/>
  <c r="AN526" i="5"/>
  <c r="AN525" i="5"/>
  <c r="AN524" i="5"/>
  <c r="AN523" i="5"/>
  <c r="AN522" i="5"/>
  <c r="AN521" i="5"/>
  <c r="AN520" i="5"/>
  <c r="AN519" i="5"/>
  <c r="AN518" i="5"/>
  <c r="AN517" i="5"/>
  <c r="AN516" i="5"/>
  <c r="AN515" i="5"/>
  <c r="AN514" i="5"/>
  <c r="AN513" i="5"/>
  <c r="AN512" i="5"/>
  <c r="AN511" i="5"/>
  <c r="AN510" i="5"/>
  <c r="AN509" i="5"/>
  <c r="AN508" i="5"/>
  <c r="AN507" i="5"/>
  <c r="AN506" i="5"/>
  <c r="AN505" i="5"/>
  <c r="AN504" i="5"/>
  <c r="AN503" i="5"/>
  <c r="AN502" i="5"/>
  <c r="AN501" i="5"/>
  <c r="AN500" i="5"/>
  <c r="AN499" i="5"/>
  <c r="AN498" i="5"/>
  <c r="AN497" i="5"/>
  <c r="AN496" i="5"/>
  <c r="AN495" i="5"/>
  <c r="AN494" i="5"/>
  <c r="AN493" i="5"/>
  <c r="AN492" i="5"/>
  <c r="AN491" i="5"/>
  <c r="AN490" i="5"/>
  <c r="AN489" i="5"/>
  <c r="AN488" i="5"/>
  <c r="AN487" i="5"/>
  <c r="AN486" i="5"/>
  <c r="AN485" i="5"/>
  <c r="AN484" i="5"/>
  <c r="AN483" i="5"/>
  <c r="AN482" i="5"/>
  <c r="AN481" i="5"/>
  <c r="AN480" i="5"/>
  <c r="AN479" i="5"/>
  <c r="AN478" i="5"/>
  <c r="AN477" i="5"/>
  <c r="AN476" i="5"/>
  <c r="AN475" i="5"/>
  <c r="AN474" i="5"/>
  <c r="AN473" i="5"/>
  <c r="AN472" i="5"/>
  <c r="AN471" i="5"/>
  <c r="AN470" i="5"/>
  <c r="AN469" i="5"/>
  <c r="AN468" i="5"/>
  <c r="AN467" i="5"/>
  <c r="AN466" i="5"/>
  <c r="AN465" i="5"/>
  <c r="AN464" i="5"/>
  <c r="AN463" i="5"/>
  <c r="AN462" i="5"/>
  <c r="AN461" i="5"/>
  <c r="AN460" i="5"/>
  <c r="AN459" i="5"/>
  <c r="AN458" i="5"/>
  <c r="AN457" i="5"/>
  <c r="AN456" i="5"/>
  <c r="AN455" i="5"/>
  <c r="AN454" i="5"/>
  <c r="AN453" i="5"/>
  <c r="AN452" i="5"/>
  <c r="AN451" i="5"/>
  <c r="AN450" i="5"/>
  <c r="AN449" i="5"/>
  <c r="AN448" i="5"/>
  <c r="AN447" i="5"/>
  <c r="AN446" i="5"/>
  <c r="AN445" i="5"/>
  <c r="AN444" i="5"/>
  <c r="AN443" i="5"/>
  <c r="AN442" i="5"/>
  <c r="AN441" i="5"/>
  <c r="AN440" i="5"/>
  <c r="AN439" i="5"/>
  <c r="AN438" i="5"/>
  <c r="AN437" i="5"/>
  <c r="AN436" i="5"/>
  <c r="AN435" i="5"/>
  <c r="AN434" i="5"/>
  <c r="AN433" i="5"/>
  <c r="AN432" i="5"/>
  <c r="AN431" i="5"/>
  <c r="AN430" i="5"/>
  <c r="AN429" i="5"/>
  <c r="AN428" i="5"/>
  <c r="AN427" i="5"/>
  <c r="AN426" i="5"/>
  <c r="AN425" i="5"/>
  <c r="AN424" i="5"/>
  <c r="AN423" i="5"/>
  <c r="AN422" i="5"/>
  <c r="AN421" i="5"/>
  <c r="AN420" i="5"/>
  <c r="AN419" i="5"/>
  <c r="AN418" i="5"/>
  <c r="AN417" i="5"/>
  <c r="AN416" i="5"/>
  <c r="AN415" i="5"/>
  <c r="AN414" i="5"/>
  <c r="AN413" i="5"/>
  <c r="AN412" i="5"/>
  <c r="AN411" i="5"/>
  <c r="AN410" i="5"/>
  <c r="AN409" i="5"/>
  <c r="AN408" i="5"/>
  <c r="AN407" i="5"/>
  <c r="AN406" i="5"/>
  <c r="AN405" i="5"/>
  <c r="AN404" i="5"/>
  <c r="AN403" i="5"/>
  <c r="AN402" i="5"/>
  <c r="AN401" i="5"/>
  <c r="AN400" i="5"/>
  <c r="AN399" i="5"/>
  <c r="AN398" i="5"/>
  <c r="AN397" i="5"/>
  <c r="AN396" i="5"/>
  <c r="AN395" i="5"/>
  <c r="AN394" i="5"/>
  <c r="AN393" i="5"/>
  <c r="AN392" i="5"/>
  <c r="AN391" i="5"/>
  <c r="AN390" i="5"/>
  <c r="AN389" i="5"/>
  <c r="AN388" i="5"/>
  <c r="AN387" i="5"/>
  <c r="AN386" i="5"/>
  <c r="AN385" i="5"/>
  <c r="AN384" i="5"/>
  <c r="AN383" i="5"/>
  <c r="AN382" i="5"/>
  <c r="AN381" i="5"/>
  <c r="AN380" i="5"/>
  <c r="AN379" i="5"/>
  <c r="AN378" i="5"/>
  <c r="AN377" i="5"/>
  <c r="AN376" i="5"/>
  <c r="AN375" i="5"/>
  <c r="AN374" i="5"/>
  <c r="AN373" i="5"/>
  <c r="AN372" i="5"/>
  <c r="AN371" i="5"/>
  <c r="AN370" i="5"/>
  <c r="AN369" i="5"/>
  <c r="AN368" i="5"/>
  <c r="AN367" i="5"/>
  <c r="AN366" i="5"/>
  <c r="AN365" i="5"/>
  <c r="AN364" i="5"/>
  <c r="AN363" i="5"/>
  <c r="AN362" i="5"/>
  <c r="AN361" i="5"/>
  <c r="AN360" i="5"/>
  <c r="AN359" i="5"/>
  <c r="AN358" i="5"/>
  <c r="AN357" i="5"/>
  <c r="AN356" i="5"/>
  <c r="AN355" i="5"/>
  <c r="AN354" i="5"/>
  <c r="AN353" i="5"/>
  <c r="AN352" i="5"/>
  <c r="AN351" i="5"/>
  <c r="AN350" i="5"/>
  <c r="AN349" i="5"/>
  <c r="AN348" i="5"/>
  <c r="AN347" i="5"/>
  <c r="AN346" i="5"/>
  <c r="AN345" i="5"/>
  <c r="AN344" i="5"/>
  <c r="AN343" i="5"/>
  <c r="AN342" i="5"/>
  <c r="AN341" i="5"/>
  <c r="AN340" i="5"/>
  <c r="AN339" i="5"/>
  <c r="AN338" i="5"/>
  <c r="AN337" i="5"/>
  <c r="AN336" i="5"/>
  <c r="AN335" i="5"/>
  <c r="AN334" i="5"/>
  <c r="AN333" i="5"/>
  <c r="AN332" i="5"/>
  <c r="AN331" i="5"/>
  <c r="AN330" i="5"/>
  <c r="AN329" i="5"/>
  <c r="AN328" i="5"/>
  <c r="AN327" i="5"/>
  <c r="AN326" i="5"/>
  <c r="AN325" i="5"/>
  <c r="AN324" i="5"/>
  <c r="AN323" i="5"/>
  <c r="AN322" i="5"/>
  <c r="AN321" i="5"/>
  <c r="AN320" i="5"/>
  <c r="AN319" i="5"/>
  <c r="AN318" i="5"/>
  <c r="AN317" i="5"/>
  <c r="AN316" i="5"/>
  <c r="AN315" i="5"/>
  <c r="AN314" i="5"/>
  <c r="AN313" i="5"/>
  <c r="AN312" i="5"/>
  <c r="AN311" i="5"/>
  <c r="AN310" i="5"/>
  <c r="AN309" i="5"/>
  <c r="AN308" i="5"/>
  <c r="AN307" i="5"/>
  <c r="AN306" i="5"/>
  <c r="AN305" i="5"/>
  <c r="AN304" i="5"/>
  <c r="AN303" i="5"/>
  <c r="AN302" i="5"/>
  <c r="AN301" i="5"/>
  <c r="AN300" i="5"/>
  <c r="AN299" i="5"/>
  <c r="AN298" i="5"/>
  <c r="AN297" i="5"/>
  <c r="AN296" i="5"/>
  <c r="AN295" i="5"/>
  <c r="AN294" i="5"/>
  <c r="AN293" i="5"/>
  <c r="AN292" i="5"/>
  <c r="AN291" i="5"/>
  <c r="AN290" i="5"/>
  <c r="AN289" i="5"/>
  <c r="AN288" i="5"/>
  <c r="AN287" i="5"/>
  <c r="AN286" i="5"/>
  <c r="AN285" i="5"/>
  <c r="AN284" i="5"/>
  <c r="AN283" i="5"/>
  <c r="AN282" i="5"/>
  <c r="AN281" i="5"/>
  <c r="AN280" i="5"/>
  <c r="AN279" i="5"/>
  <c r="AN278" i="5"/>
  <c r="AN277" i="5"/>
  <c r="AN276" i="5"/>
  <c r="AN275" i="5"/>
  <c r="AN274" i="5"/>
  <c r="AN273" i="5"/>
  <c r="AN272" i="5"/>
  <c r="AN271" i="5"/>
  <c r="AN270" i="5"/>
  <c r="AN269" i="5"/>
  <c r="AN268" i="5"/>
  <c r="AN267" i="5"/>
  <c r="AN266" i="5"/>
  <c r="AN265" i="5"/>
  <c r="AN264" i="5"/>
  <c r="AN263" i="5"/>
  <c r="AN262" i="5"/>
  <c r="AN261" i="5"/>
  <c r="AN260" i="5"/>
  <c r="AN259" i="5"/>
  <c r="AN258" i="5"/>
  <c r="AN257" i="5"/>
  <c r="AN256" i="5"/>
  <c r="AN255" i="5"/>
  <c r="AN254" i="5"/>
  <c r="AN253" i="5"/>
  <c r="AN252" i="5"/>
  <c r="AN251" i="5"/>
  <c r="AN250" i="5"/>
  <c r="AN249" i="5"/>
  <c r="AN248" i="5"/>
  <c r="AN247" i="5"/>
  <c r="AN246" i="5"/>
  <c r="AN245" i="5"/>
  <c r="AN244" i="5"/>
  <c r="AN243" i="5"/>
  <c r="AN242" i="5"/>
  <c r="AN241" i="5"/>
  <c r="AN240" i="5"/>
  <c r="AN239" i="5"/>
  <c r="AN238" i="5"/>
  <c r="AN237" i="5"/>
  <c r="AN236" i="5"/>
  <c r="AN235" i="5"/>
  <c r="AN234" i="5"/>
  <c r="AN233" i="5"/>
  <c r="AN232" i="5"/>
  <c r="AN231" i="5"/>
  <c r="AN230" i="5"/>
  <c r="AN229" i="5"/>
  <c r="AN228" i="5"/>
  <c r="AN227" i="5"/>
  <c r="AN226" i="5"/>
  <c r="AN225" i="5"/>
  <c r="AN224" i="5"/>
  <c r="AN223" i="5"/>
  <c r="AN222" i="5"/>
  <c r="AN221" i="5"/>
  <c r="AN220" i="5"/>
  <c r="AN219" i="5"/>
  <c r="AN218" i="5"/>
  <c r="AN217" i="5"/>
  <c r="AN216" i="5"/>
  <c r="AN215" i="5"/>
  <c r="AN214" i="5"/>
  <c r="AN213" i="5"/>
  <c r="AN212" i="5"/>
  <c r="AN211" i="5"/>
  <c r="AN210" i="5"/>
  <c r="AN209" i="5"/>
  <c r="AN208" i="5"/>
  <c r="AN207" i="5"/>
  <c r="AN206" i="5"/>
  <c r="AN205" i="5"/>
  <c r="AN204" i="5"/>
  <c r="AN203" i="5"/>
  <c r="AN202" i="5"/>
  <c r="AN201" i="5"/>
  <c r="AN200" i="5"/>
  <c r="AN199" i="5"/>
  <c r="AN198" i="5"/>
  <c r="AN197" i="5"/>
  <c r="AN196" i="5"/>
  <c r="AN195" i="5"/>
  <c r="AN194" i="5"/>
  <c r="AN193" i="5"/>
  <c r="AN192" i="5"/>
  <c r="AN191" i="5"/>
  <c r="AN190" i="5"/>
  <c r="AN189" i="5"/>
  <c r="AN188" i="5"/>
  <c r="AN187" i="5"/>
  <c r="AN186" i="5"/>
  <c r="AN185" i="5"/>
  <c r="AN184" i="5"/>
  <c r="AN183" i="5"/>
  <c r="AN182" i="5"/>
  <c r="AN181" i="5"/>
  <c r="AN180" i="5"/>
  <c r="AN179" i="5"/>
  <c r="AN178" i="5"/>
  <c r="AN177" i="5"/>
  <c r="AN176" i="5"/>
  <c r="AN175" i="5"/>
  <c r="AN174" i="5"/>
  <c r="AN173" i="5"/>
  <c r="AN172" i="5"/>
  <c r="AN171" i="5"/>
  <c r="AN170" i="5"/>
  <c r="AN169" i="5"/>
  <c r="AN168" i="5"/>
  <c r="AN167" i="5"/>
  <c r="AN166" i="5"/>
  <c r="AN165" i="5"/>
  <c r="AN164" i="5"/>
  <c r="AN163" i="5"/>
  <c r="AN162" i="5"/>
  <c r="AN161" i="5"/>
  <c r="AN160" i="5"/>
  <c r="AN159" i="5"/>
  <c r="AN158" i="5"/>
  <c r="AN157" i="5"/>
  <c r="AN156" i="5"/>
  <c r="AN155" i="5"/>
  <c r="AN154" i="5"/>
  <c r="AN153" i="5"/>
  <c r="AN152" i="5"/>
  <c r="AN151" i="5"/>
  <c r="AN150" i="5"/>
  <c r="AN149" i="5"/>
  <c r="AN148" i="5"/>
  <c r="AN147" i="5"/>
  <c r="AN146" i="5"/>
  <c r="AN145" i="5"/>
  <c r="AN144" i="5"/>
  <c r="AN143" i="5"/>
  <c r="AN142" i="5"/>
  <c r="AN141" i="5"/>
  <c r="AN140" i="5"/>
  <c r="AN139" i="5"/>
  <c r="AN138" i="5"/>
  <c r="AN137" i="5"/>
  <c r="AN136" i="5"/>
  <c r="AN135" i="5"/>
  <c r="AN134" i="5"/>
  <c r="AN133" i="5"/>
  <c r="AN132" i="5"/>
  <c r="AN131" i="5"/>
  <c r="AN130" i="5"/>
  <c r="AN129" i="5"/>
  <c r="AN128" i="5"/>
  <c r="AN127" i="5"/>
  <c r="AN126" i="5"/>
  <c r="AN125" i="5"/>
  <c r="AN124" i="5"/>
  <c r="AN123" i="5"/>
  <c r="AN122" i="5"/>
  <c r="AN121" i="5"/>
  <c r="AN120" i="5"/>
  <c r="AN119" i="5"/>
  <c r="AN118" i="5"/>
  <c r="AN117" i="5"/>
  <c r="AN116" i="5"/>
  <c r="AN115" i="5"/>
  <c r="AN114" i="5"/>
  <c r="AN113" i="5"/>
  <c r="AN112" i="5"/>
  <c r="AN111" i="5"/>
  <c r="AN110" i="5"/>
  <c r="AN109" i="5"/>
  <c r="AN108" i="5"/>
  <c r="AN107" i="5"/>
  <c r="AN106" i="5"/>
  <c r="AN105" i="5"/>
  <c r="AN104" i="5"/>
  <c r="AN103" i="5"/>
  <c r="AN102" i="5"/>
  <c r="AN101" i="5"/>
  <c r="AN100" i="5"/>
  <c r="AN99" i="5"/>
  <c r="AN98" i="5"/>
  <c r="AN97" i="5"/>
  <c r="AN96" i="5"/>
  <c r="AN95" i="5"/>
  <c r="AN94" i="5"/>
  <c r="AN93" i="5"/>
  <c r="AN92" i="5"/>
  <c r="AN91" i="5"/>
  <c r="AN90" i="5"/>
  <c r="AN89" i="5"/>
  <c r="AN88" i="5"/>
  <c r="AN87" i="5"/>
  <c r="AN86" i="5"/>
  <c r="AN85" i="5"/>
  <c r="AN84" i="5"/>
  <c r="AN83" i="5"/>
  <c r="AN82" i="5"/>
  <c r="AN81" i="5"/>
  <c r="AN80" i="5"/>
  <c r="AN79" i="5"/>
  <c r="AN78" i="5"/>
  <c r="AN77" i="5"/>
  <c r="AN76" i="5"/>
  <c r="AN75" i="5"/>
  <c r="AN74" i="5"/>
  <c r="AN73" i="5"/>
  <c r="AN72" i="5"/>
  <c r="AN71" i="5"/>
  <c r="AN70" i="5"/>
  <c r="AN69" i="5"/>
  <c r="AN68" i="5"/>
  <c r="AN67" i="5"/>
  <c r="AN66" i="5"/>
  <c r="AN65" i="5"/>
  <c r="AN64" i="5"/>
  <c r="AN63" i="5"/>
  <c r="AN62" i="5"/>
  <c r="AN61" i="5"/>
  <c r="AN60" i="5"/>
  <c r="AN59" i="5"/>
  <c r="AN58" i="5"/>
  <c r="AN57" i="5"/>
  <c r="AN56" i="5"/>
  <c r="AN55" i="5"/>
  <c r="AN54" i="5"/>
  <c r="AN53" i="5"/>
  <c r="AN52" i="5"/>
  <c r="AN51" i="5"/>
  <c r="AN50" i="5"/>
  <c r="AN49" i="5"/>
  <c r="AN48" i="5"/>
  <c r="AN47" i="5"/>
  <c r="AN46" i="5"/>
  <c r="AN45" i="5"/>
  <c r="AN44" i="5"/>
  <c r="AN43" i="5"/>
  <c r="AN42" i="5"/>
  <c r="AN41" i="5"/>
  <c r="AN40" i="5"/>
  <c r="AN39" i="5"/>
  <c r="AN38" i="5"/>
  <c r="AN37" i="5"/>
  <c r="AN36" i="5"/>
  <c r="AN35" i="5"/>
  <c r="AN34" i="5"/>
  <c r="AN33" i="5"/>
  <c r="AN32" i="5"/>
  <c r="AN31" i="5"/>
  <c r="AN30" i="5"/>
  <c r="AN29" i="5"/>
  <c r="AN28" i="5"/>
  <c r="AN27" i="5"/>
  <c r="AN26" i="5"/>
  <c r="AN25" i="5"/>
  <c r="AN24" i="5"/>
  <c r="AN23" i="5"/>
  <c r="AN22" i="5"/>
  <c r="AN21" i="5"/>
  <c r="AN20" i="5"/>
  <c r="AN19" i="5"/>
  <c r="AN18" i="5"/>
  <c r="AN17" i="5"/>
  <c r="AN16" i="5"/>
  <c r="AN15" i="5"/>
  <c r="AN14" i="5"/>
  <c r="AN13" i="5"/>
  <c r="AN12" i="5"/>
  <c r="AN11" i="5"/>
  <c r="AN10" i="5"/>
  <c r="AN9" i="5"/>
  <c r="AN8" i="5"/>
  <c r="AJ607" i="5"/>
  <c r="AJ606" i="5"/>
  <c r="AJ605" i="5"/>
  <c r="AJ604" i="5"/>
  <c r="AJ603" i="5"/>
  <c r="AJ602" i="5"/>
  <c r="AJ601" i="5"/>
  <c r="AJ600" i="5"/>
  <c r="AJ599" i="5"/>
  <c r="AJ598" i="5"/>
  <c r="AJ597" i="5"/>
  <c r="AJ596" i="5"/>
  <c r="AJ595" i="5"/>
  <c r="AJ594" i="5"/>
  <c r="AJ593" i="5"/>
  <c r="AJ592" i="5"/>
  <c r="AJ591" i="5"/>
  <c r="AJ590" i="5"/>
  <c r="AJ589" i="5"/>
  <c r="AJ588" i="5"/>
  <c r="AJ587" i="5"/>
  <c r="AJ586" i="5"/>
  <c r="AJ585" i="5"/>
  <c r="AJ584" i="5"/>
  <c r="AJ583" i="5"/>
  <c r="AJ582" i="5"/>
  <c r="AJ581" i="5"/>
  <c r="AJ580" i="5"/>
  <c r="AJ579" i="5"/>
  <c r="AJ578" i="5"/>
  <c r="AJ577" i="5"/>
  <c r="AJ576" i="5"/>
  <c r="AJ575" i="5"/>
  <c r="AJ574" i="5"/>
  <c r="AJ573" i="5"/>
  <c r="AJ572" i="5"/>
  <c r="AJ571" i="5"/>
  <c r="AJ570" i="5"/>
  <c r="AJ569" i="5"/>
  <c r="AJ568" i="5"/>
  <c r="AJ567" i="5"/>
  <c r="AJ566" i="5"/>
  <c r="AJ565" i="5"/>
  <c r="AJ564" i="5"/>
  <c r="AJ563" i="5"/>
  <c r="AJ562" i="5"/>
  <c r="AJ561" i="5"/>
  <c r="AJ560" i="5"/>
  <c r="AJ559" i="5"/>
  <c r="AJ558" i="5"/>
  <c r="AJ557" i="5"/>
  <c r="AJ556" i="5"/>
  <c r="AJ555" i="5"/>
  <c r="AJ554" i="5"/>
  <c r="AJ553" i="5"/>
  <c r="AJ552" i="5"/>
  <c r="AJ551" i="5"/>
  <c r="AJ550" i="5"/>
  <c r="AJ549" i="5"/>
  <c r="AJ548" i="5"/>
  <c r="AJ547" i="5"/>
  <c r="AJ546" i="5"/>
  <c r="AJ545" i="5"/>
  <c r="AJ544" i="5"/>
  <c r="AJ543" i="5"/>
  <c r="AJ542" i="5"/>
  <c r="AJ541" i="5"/>
  <c r="AJ540" i="5"/>
  <c r="AJ539" i="5"/>
  <c r="AJ538" i="5"/>
  <c r="AJ537" i="5"/>
  <c r="AJ536" i="5"/>
  <c r="AJ535" i="5"/>
  <c r="AJ534" i="5"/>
  <c r="AJ533" i="5"/>
  <c r="AJ532" i="5"/>
  <c r="AJ531" i="5"/>
  <c r="AJ530" i="5"/>
  <c r="AJ529" i="5"/>
  <c r="AJ528" i="5"/>
  <c r="AJ527" i="5"/>
  <c r="AJ526" i="5"/>
  <c r="AJ525" i="5"/>
  <c r="AJ524" i="5"/>
  <c r="AJ523" i="5"/>
  <c r="AJ522" i="5"/>
  <c r="AJ521" i="5"/>
  <c r="AJ520" i="5"/>
  <c r="AJ519" i="5"/>
  <c r="AJ518" i="5"/>
  <c r="AJ517" i="5"/>
  <c r="AJ516" i="5"/>
  <c r="AJ515" i="5"/>
  <c r="AJ514" i="5"/>
  <c r="AJ513" i="5"/>
  <c r="AJ512" i="5"/>
  <c r="AJ511" i="5"/>
  <c r="AJ510" i="5"/>
  <c r="AJ509" i="5"/>
  <c r="AJ508" i="5"/>
  <c r="AJ507" i="5"/>
  <c r="AJ506" i="5"/>
  <c r="AJ505" i="5"/>
  <c r="AJ504" i="5"/>
  <c r="AJ503" i="5"/>
  <c r="AJ502" i="5"/>
  <c r="AJ501" i="5"/>
  <c r="AJ500" i="5"/>
  <c r="AJ499" i="5"/>
  <c r="AJ498" i="5"/>
  <c r="AJ497" i="5"/>
  <c r="AJ496" i="5"/>
  <c r="AJ495" i="5"/>
  <c r="AJ494" i="5"/>
  <c r="AJ493" i="5"/>
  <c r="AJ492" i="5"/>
  <c r="AJ491" i="5"/>
  <c r="AJ490" i="5"/>
  <c r="AJ489" i="5"/>
  <c r="AJ488" i="5"/>
  <c r="AJ487" i="5"/>
  <c r="AJ486" i="5"/>
  <c r="AJ485" i="5"/>
  <c r="AJ484" i="5"/>
  <c r="AJ483" i="5"/>
  <c r="AJ482" i="5"/>
  <c r="AJ481" i="5"/>
  <c r="AJ480" i="5"/>
  <c r="AJ479" i="5"/>
  <c r="AJ478" i="5"/>
  <c r="AJ477" i="5"/>
  <c r="AJ476" i="5"/>
  <c r="AJ475" i="5"/>
  <c r="AJ474" i="5"/>
  <c r="AJ473" i="5"/>
  <c r="AJ472" i="5"/>
  <c r="AJ471" i="5"/>
  <c r="AJ470" i="5"/>
  <c r="AJ469" i="5"/>
  <c r="AJ468" i="5"/>
  <c r="AJ467" i="5"/>
  <c r="AJ466" i="5"/>
  <c r="AJ465" i="5"/>
  <c r="AJ464" i="5"/>
  <c r="AJ463" i="5"/>
  <c r="AJ462" i="5"/>
  <c r="AJ461" i="5"/>
  <c r="AJ460" i="5"/>
  <c r="AJ459" i="5"/>
  <c r="AJ458" i="5"/>
  <c r="AJ457" i="5"/>
  <c r="AJ456" i="5"/>
  <c r="AJ455" i="5"/>
  <c r="AJ454" i="5"/>
  <c r="AJ453" i="5"/>
  <c r="AJ452" i="5"/>
  <c r="AJ451" i="5"/>
  <c r="AJ450" i="5"/>
  <c r="AJ449" i="5"/>
  <c r="AJ448" i="5"/>
  <c r="AJ447" i="5"/>
  <c r="AJ446" i="5"/>
  <c r="AJ445" i="5"/>
  <c r="AJ444" i="5"/>
  <c r="AJ443" i="5"/>
  <c r="AJ442" i="5"/>
  <c r="AJ441" i="5"/>
  <c r="AJ440" i="5"/>
  <c r="AJ439" i="5"/>
  <c r="AJ438" i="5"/>
  <c r="AJ437" i="5"/>
  <c r="AJ436" i="5"/>
  <c r="AJ435" i="5"/>
  <c r="AJ434" i="5"/>
  <c r="AJ433" i="5"/>
  <c r="AJ432" i="5"/>
  <c r="AJ431" i="5"/>
  <c r="AJ430" i="5"/>
  <c r="AJ429" i="5"/>
  <c r="AJ428" i="5"/>
  <c r="AJ427" i="5"/>
  <c r="AJ426" i="5"/>
  <c r="AJ425" i="5"/>
  <c r="AJ424" i="5"/>
  <c r="AJ423" i="5"/>
  <c r="AJ422" i="5"/>
  <c r="AJ421" i="5"/>
  <c r="AJ420" i="5"/>
  <c r="AJ419" i="5"/>
  <c r="AJ418" i="5"/>
  <c r="AJ417" i="5"/>
  <c r="AJ416" i="5"/>
  <c r="AJ415" i="5"/>
  <c r="AJ414" i="5"/>
  <c r="AJ413" i="5"/>
  <c r="AJ412" i="5"/>
  <c r="AJ411" i="5"/>
  <c r="AJ410" i="5"/>
  <c r="AJ409" i="5"/>
  <c r="AJ408" i="5"/>
  <c r="AJ407" i="5"/>
  <c r="AJ406" i="5"/>
  <c r="AJ405" i="5"/>
  <c r="AJ404" i="5"/>
  <c r="AJ403" i="5"/>
  <c r="AJ402" i="5"/>
  <c r="AJ401" i="5"/>
  <c r="AJ400" i="5"/>
  <c r="AJ399" i="5"/>
  <c r="AJ398" i="5"/>
  <c r="AJ397" i="5"/>
  <c r="AJ396" i="5"/>
  <c r="AJ395" i="5"/>
  <c r="AJ394" i="5"/>
  <c r="AJ393" i="5"/>
  <c r="AJ392" i="5"/>
  <c r="AJ391" i="5"/>
  <c r="AJ390" i="5"/>
  <c r="AJ389" i="5"/>
  <c r="AJ388" i="5"/>
  <c r="AJ387" i="5"/>
  <c r="AJ386" i="5"/>
  <c r="AJ385" i="5"/>
  <c r="AJ384" i="5"/>
  <c r="AJ383" i="5"/>
  <c r="AJ382" i="5"/>
  <c r="AJ381" i="5"/>
  <c r="AJ380" i="5"/>
  <c r="AJ379" i="5"/>
  <c r="AJ378" i="5"/>
  <c r="AJ377" i="5"/>
  <c r="AJ376" i="5"/>
  <c r="AJ375" i="5"/>
  <c r="AJ374" i="5"/>
  <c r="AJ373" i="5"/>
  <c r="AJ372" i="5"/>
  <c r="AJ371" i="5"/>
  <c r="AJ370" i="5"/>
  <c r="AJ369" i="5"/>
  <c r="AJ368" i="5"/>
  <c r="AJ367" i="5"/>
  <c r="AJ366" i="5"/>
  <c r="AJ365" i="5"/>
  <c r="AJ364" i="5"/>
  <c r="AJ363" i="5"/>
  <c r="AJ362" i="5"/>
  <c r="AJ361" i="5"/>
  <c r="AJ360" i="5"/>
  <c r="AJ359" i="5"/>
  <c r="AJ358" i="5"/>
  <c r="AJ357" i="5"/>
  <c r="AJ356" i="5"/>
  <c r="AJ355" i="5"/>
  <c r="AJ354" i="5"/>
  <c r="AJ353" i="5"/>
  <c r="AJ352" i="5"/>
  <c r="AJ351" i="5"/>
  <c r="AJ350" i="5"/>
  <c r="AJ349" i="5"/>
  <c r="AJ348" i="5"/>
  <c r="AJ347" i="5"/>
  <c r="AJ346" i="5"/>
  <c r="AJ345" i="5"/>
  <c r="AJ344" i="5"/>
  <c r="AJ343" i="5"/>
  <c r="AJ342" i="5"/>
  <c r="AJ341" i="5"/>
  <c r="AJ340" i="5"/>
  <c r="AJ339" i="5"/>
  <c r="AJ338" i="5"/>
  <c r="AJ337" i="5"/>
  <c r="AJ336" i="5"/>
  <c r="AJ335" i="5"/>
  <c r="AJ334" i="5"/>
  <c r="AJ333" i="5"/>
  <c r="AJ332" i="5"/>
  <c r="AJ331" i="5"/>
  <c r="AJ330" i="5"/>
  <c r="AJ329" i="5"/>
  <c r="AJ328" i="5"/>
  <c r="AJ327" i="5"/>
  <c r="AJ326" i="5"/>
  <c r="AJ325" i="5"/>
  <c r="AJ324" i="5"/>
  <c r="AJ323" i="5"/>
  <c r="AJ322" i="5"/>
  <c r="AJ321" i="5"/>
  <c r="AJ320" i="5"/>
  <c r="AJ319" i="5"/>
  <c r="AJ318" i="5"/>
  <c r="AJ317" i="5"/>
  <c r="AJ316" i="5"/>
  <c r="AJ315" i="5"/>
  <c r="AJ314" i="5"/>
  <c r="AJ313" i="5"/>
  <c r="AJ312" i="5"/>
  <c r="AJ311" i="5"/>
  <c r="AJ310" i="5"/>
  <c r="AJ309" i="5"/>
  <c r="AJ308" i="5"/>
  <c r="AJ307" i="5"/>
  <c r="AJ306" i="5"/>
  <c r="AJ305" i="5"/>
  <c r="AJ304" i="5"/>
  <c r="AJ303" i="5"/>
  <c r="AJ302" i="5"/>
  <c r="AJ301" i="5"/>
  <c r="AJ300" i="5"/>
  <c r="AJ299" i="5"/>
  <c r="AJ298" i="5"/>
  <c r="AJ297" i="5"/>
  <c r="AJ296" i="5"/>
  <c r="AJ295" i="5"/>
  <c r="AJ294" i="5"/>
  <c r="AJ293" i="5"/>
  <c r="AJ292" i="5"/>
  <c r="AJ291" i="5"/>
  <c r="AJ290" i="5"/>
  <c r="AJ289" i="5"/>
  <c r="AJ288" i="5"/>
  <c r="AJ287" i="5"/>
  <c r="AJ286" i="5"/>
  <c r="AJ285" i="5"/>
  <c r="AJ284" i="5"/>
  <c r="AJ283" i="5"/>
  <c r="AJ282" i="5"/>
  <c r="AJ281" i="5"/>
  <c r="AJ280" i="5"/>
  <c r="AJ279" i="5"/>
  <c r="AJ278" i="5"/>
  <c r="AJ277" i="5"/>
  <c r="AJ276" i="5"/>
  <c r="AJ275" i="5"/>
  <c r="AJ274" i="5"/>
  <c r="AJ273" i="5"/>
  <c r="AJ272" i="5"/>
  <c r="AJ271" i="5"/>
  <c r="AJ270" i="5"/>
  <c r="AJ269" i="5"/>
  <c r="AJ268" i="5"/>
  <c r="AJ267" i="5"/>
  <c r="AJ266" i="5"/>
  <c r="AJ265" i="5"/>
  <c r="AJ264" i="5"/>
  <c r="AJ263" i="5"/>
  <c r="AJ262" i="5"/>
  <c r="AJ261" i="5"/>
  <c r="AJ260" i="5"/>
  <c r="AJ259" i="5"/>
  <c r="AJ258" i="5"/>
  <c r="AJ257" i="5"/>
  <c r="AJ256" i="5"/>
  <c r="AJ255" i="5"/>
  <c r="AJ254" i="5"/>
  <c r="AJ253" i="5"/>
  <c r="AJ252" i="5"/>
  <c r="AJ251" i="5"/>
  <c r="AJ250" i="5"/>
  <c r="AJ249" i="5"/>
  <c r="AJ248" i="5"/>
  <c r="AJ247" i="5"/>
  <c r="AJ246" i="5"/>
  <c r="AJ245" i="5"/>
  <c r="AJ244" i="5"/>
  <c r="AJ243" i="5"/>
  <c r="AJ242" i="5"/>
  <c r="AJ241" i="5"/>
  <c r="AJ240" i="5"/>
  <c r="AJ239" i="5"/>
  <c r="AJ238" i="5"/>
  <c r="AJ237" i="5"/>
  <c r="AJ236" i="5"/>
  <c r="AJ235" i="5"/>
  <c r="AJ234" i="5"/>
  <c r="AJ233" i="5"/>
  <c r="AJ232" i="5"/>
  <c r="AJ231" i="5"/>
  <c r="AJ230" i="5"/>
  <c r="AJ229" i="5"/>
  <c r="AJ228" i="5"/>
  <c r="AJ227" i="5"/>
  <c r="AJ226" i="5"/>
  <c r="AJ225" i="5"/>
  <c r="AJ224" i="5"/>
  <c r="AJ223" i="5"/>
  <c r="AJ222" i="5"/>
  <c r="AJ221" i="5"/>
  <c r="AJ220" i="5"/>
  <c r="AJ219" i="5"/>
  <c r="AJ218" i="5"/>
  <c r="AJ217" i="5"/>
  <c r="AJ216" i="5"/>
  <c r="AJ215" i="5"/>
  <c r="AJ214" i="5"/>
  <c r="AJ213" i="5"/>
  <c r="AJ212" i="5"/>
  <c r="AJ211" i="5"/>
  <c r="AJ210" i="5"/>
  <c r="AJ209" i="5"/>
  <c r="AJ208" i="5"/>
  <c r="AJ207" i="5"/>
  <c r="AJ206" i="5"/>
  <c r="AJ205" i="5"/>
  <c r="AJ204" i="5"/>
  <c r="AJ203" i="5"/>
  <c r="AJ202" i="5"/>
  <c r="AJ201" i="5"/>
  <c r="AJ200" i="5"/>
  <c r="AJ199" i="5"/>
  <c r="AJ198" i="5"/>
  <c r="AJ197" i="5"/>
  <c r="AJ196" i="5"/>
  <c r="AJ195" i="5"/>
  <c r="AJ194" i="5"/>
  <c r="AJ193" i="5"/>
  <c r="AJ192" i="5"/>
  <c r="AJ191" i="5"/>
  <c r="AJ190" i="5"/>
  <c r="AJ189" i="5"/>
  <c r="AJ188" i="5"/>
  <c r="AJ187" i="5"/>
  <c r="AJ186" i="5"/>
  <c r="AJ185" i="5"/>
  <c r="AJ184" i="5"/>
  <c r="AJ183" i="5"/>
  <c r="AJ182" i="5"/>
  <c r="AJ181" i="5"/>
  <c r="AJ180" i="5"/>
  <c r="AJ179" i="5"/>
  <c r="AJ178" i="5"/>
  <c r="AJ177" i="5"/>
  <c r="AJ176" i="5"/>
  <c r="AJ175" i="5"/>
  <c r="AJ174" i="5"/>
  <c r="AJ173" i="5"/>
  <c r="AJ172" i="5"/>
  <c r="AJ171" i="5"/>
  <c r="AJ170" i="5"/>
  <c r="AJ169" i="5"/>
  <c r="AJ168" i="5"/>
  <c r="AJ167" i="5"/>
  <c r="AJ166" i="5"/>
  <c r="AJ165" i="5"/>
  <c r="AJ164" i="5"/>
  <c r="AJ163" i="5"/>
  <c r="AJ162" i="5"/>
  <c r="AJ161" i="5"/>
  <c r="AJ160" i="5"/>
  <c r="AJ159" i="5"/>
  <c r="AJ158" i="5"/>
  <c r="AJ157" i="5"/>
  <c r="AJ156" i="5"/>
  <c r="AJ155" i="5"/>
  <c r="AJ154" i="5"/>
  <c r="AJ153" i="5"/>
  <c r="AJ152" i="5"/>
  <c r="AJ151" i="5"/>
  <c r="AJ150" i="5"/>
  <c r="AJ149" i="5"/>
  <c r="AJ148" i="5"/>
  <c r="AJ147" i="5"/>
  <c r="AJ146" i="5"/>
  <c r="AJ145" i="5"/>
  <c r="AJ144" i="5"/>
  <c r="AJ143" i="5"/>
  <c r="AJ142" i="5"/>
  <c r="AJ141" i="5"/>
  <c r="AJ140" i="5"/>
  <c r="AJ139" i="5"/>
  <c r="AJ138" i="5"/>
  <c r="AJ137" i="5"/>
  <c r="AJ136" i="5"/>
  <c r="AJ135" i="5"/>
  <c r="AJ134" i="5"/>
  <c r="AJ133" i="5"/>
  <c r="AJ132" i="5"/>
  <c r="AJ131" i="5"/>
  <c r="AJ130" i="5"/>
  <c r="AJ129" i="5"/>
  <c r="AJ128" i="5"/>
  <c r="AJ127" i="5"/>
  <c r="AJ126" i="5"/>
  <c r="AJ125" i="5"/>
  <c r="AJ124" i="5"/>
  <c r="AJ123" i="5"/>
  <c r="AJ122" i="5"/>
  <c r="AJ121" i="5"/>
  <c r="AJ120" i="5"/>
  <c r="AJ119" i="5"/>
  <c r="AJ118" i="5"/>
  <c r="AJ117" i="5"/>
  <c r="AJ116" i="5"/>
  <c r="AJ115" i="5"/>
  <c r="AJ114" i="5"/>
  <c r="AJ113" i="5"/>
  <c r="AJ112" i="5"/>
  <c r="AJ111" i="5"/>
  <c r="AJ110" i="5"/>
  <c r="AJ109" i="5"/>
  <c r="AJ108" i="5"/>
  <c r="AJ107" i="5"/>
  <c r="AJ106" i="5"/>
  <c r="AJ105" i="5"/>
  <c r="AJ104" i="5"/>
  <c r="AJ103" i="5"/>
  <c r="AJ102" i="5"/>
  <c r="AJ101" i="5"/>
  <c r="AJ100" i="5"/>
  <c r="AJ99" i="5"/>
  <c r="AJ98" i="5"/>
  <c r="AJ97" i="5"/>
  <c r="AJ96" i="5"/>
  <c r="AJ95" i="5"/>
  <c r="AJ94" i="5"/>
  <c r="AJ93" i="5"/>
  <c r="AJ92" i="5"/>
  <c r="AJ91" i="5"/>
  <c r="AJ90" i="5"/>
  <c r="AJ89" i="5"/>
  <c r="AJ88" i="5"/>
  <c r="AJ87" i="5"/>
  <c r="AJ86" i="5"/>
  <c r="AJ85" i="5"/>
  <c r="AJ84" i="5"/>
  <c r="AJ83" i="5"/>
  <c r="AJ82" i="5"/>
  <c r="AJ81" i="5"/>
  <c r="AJ80" i="5"/>
  <c r="AJ79" i="5"/>
  <c r="AJ78" i="5"/>
  <c r="AJ77" i="5"/>
  <c r="AJ76" i="5"/>
  <c r="AJ75" i="5"/>
  <c r="AJ74" i="5"/>
  <c r="AJ73" i="5"/>
  <c r="AJ72" i="5"/>
  <c r="AJ71" i="5"/>
  <c r="AJ70" i="5"/>
  <c r="AJ69" i="5"/>
  <c r="AJ68" i="5"/>
  <c r="AJ67" i="5"/>
  <c r="AJ66" i="5"/>
  <c r="AJ65" i="5"/>
  <c r="AJ64" i="5"/>
  <c r="AJ63" i="5"/>
  <c r="AJ62" i="5"/>
  <c r="AJ61" i="5"/>
  <c r="AJ60" i="5"/>
  <c r="AJ59" i="5"/>
  <c r="AJ58" i="5"/>
  <c r="AJ57" i="5"/>
  <c r="AJ56" i="5"/>
  <c r="AJ55" i="5"/>
  <c r="AJ54" i="5"/>
  <c r="AJ53" i="5"/>
  <c r="AJ52" i="5"/>
  <c r="AJ51" i="5"/>
  <c r="AJ50" i="5"/>
  <c r="AJ49" i="5"/>
  <c r="AJ48" i="5"/>
  <c r="AJ47" i="5"/>
  <c r="AJ46" i="5"/>
  <c r="AJ45" i="5"/>
  <c r="AJ44" i="5"/>
  <c r="AJ43" i="5"/>
  <c r="AJ42" i="5"/>
  <c r="AJ41" i="5"/>
  <c r="AJ40" i="5"/>
  <c r="AJ39" i="5"/>
  <c r="AJ38" i="5"/>
  <c r="AJ37" i="5"/>
  <c r="AJ36" i="5"/>
  <c r="AJ35" i="5"/>
  <c r="AJ34" i="5"/>
  <c r="AJ33" i="5"/>
  <c r="AJ32" i="5"/>
  <c r="AJ31" i="5"/>
  <c r="AJ30" i="5"/>
  <c r="AJ29" i="5"/>
  <c r="AJ28" i="5"/>
  <c r="AJ27" i="5"/>
  <c r="AJ26" i="5"/>
  <c r="AJ25" i="5"/>
  <c r="AJ24" i="5"/>
  <c r="AJ23" i="5"/>
  <c r="AJ22" i="5"/>
  <c r="AJ21" i="5"/>
  <c r="AJ20" i="5"/>
  <c r="AJ19" i="5"/>
  <c r="AJ18" i="5"/>
  <c r="AJ17" i="5"/>
  <c r="AJ16" i="5"/>
  <c r="AJ15" i="5"/>
  <c r="AJ14" i="5"/>
  <c r="AJ13" i="5"/>
  <c r="AJ12" i="5"/>
  <c r="AJ11" i="5"/>
  <c r="AJ10" i="5"/>
  <c r="AJ9" i="5"/>
  <c r="AJ8" i="5"/>
  <c r="AF607" i="5"/>
  <c r="AF606" i="5"/>
  <c r="AF605" i="5"/>
  <c r="AF604" i="5"/>
  <c r="AF603" i="5"/>
  <c r="AF602" i="5"/>
  <c r="AF601" i="5"/>
  <c r="AF600" i="5"/>
  <c r="AF599" i="5"/>
  <c r="AF598" i="5"/>
  <c r="AF597" i="5"/>
  <c r="AF596" i="5"/>
  <c r="AF595" i="5"/>
  <c r="AF594" i="5"/>
  <c r="AF593" i="5"/>
  <c r="AF592" i="5"/>
  <c r="AF591" i="5"/>
  <c r="AF590" i="5"/>
  <c r="AF589" i="5"/>
  <c r="AF588" i="5"/>
  <c r="AF587" i="5"/>
  <c r="AF586" i="5"/>
  <c r="AF585" i="5"/>
  <c r="AF584" i="5"/>
  <c r="AF583" i="5"/>
  <c r="AF582" i="5"/>
  <c r="AF581" i="5"/>
  <c r="AF580" i="5"/>
  <c r="AF579" i="5"/>
  <c r="AF578" i="5"/>
  <c r="AF577" i="5"/>
  <c r="AF576" i="5"/>
  <c r="AF575" i="5"/>
  <c r="AF574" i="5"/>
  <c r="AF573" i="5"/>
  <c r="AF572" i="5"/>
  <c r="AF571" i="5"/>
  <c r="AF570" i="5"/>
  <c r="AF569" i="5"/>
  <c r="AF568" i="5"/>
  <c r="AF567" i="5"/>
  <c r="AF566" i="5"/>
  <c r="AF565" i="5"/>
  <c r="AF564" i="5"/>
  <c r="AF563" i="5"/>
  <c r="AF562" i="5"/>
  <c r="AF561" i="5"/>
  <c r="AF560" i="5"/>
  <c r="AF559" i="5"/>
  <c r="AF558" i="5"/>
  <c r="AF557" i="5"/>
  <c r="AF556" i="5"/>
  <c r="AF555" i="5"/>
  <c r="AF554" i="5"/>
  <c r="AF553" i="5"/>
  <c r="AF552" i="5"/>
  <c r="AF551" i="5"/>
  <c r="AF550" i="5"/>
  <c r="AF549" i="5"/>
  <c r="AF548" i="5"/>
  <c r="AF547" i="5"/>
  <c r="AF546" i="5"/>
  <c r="AF545" i="5"/>
  <c r="AF544" i="5"/>
  <c r="AF543" i="5"/>
  <c r="AF542" i="5"/>
  <c r="AF541" i="5"/>
  <c r="AF540" i="5"/>
  <c r="AF539" i="5"/>
  <c r="AF538" i="5"/>
  <c r="AF537" i="5"/>
  <c r="AF536" i="5"/>
  <c r="AF535" i="5"/>
  <c r="AF534" i="5"/>
  <c r="AF533" i="5"/>
  <c r="AF532" i="5"/>
  <c r="AF531" i="5"/>
  <c r="AF530" i="5"/>
  <c r="AF529" i="5"/>
  <c r="AF528" i="5"/>
  <c r="AF527" i="5"/>
  <c r="AF526" i="5"/>
  <c r="AF525" i="5"/>
  <c r="AF524" i="5"/>
  <c r="AF523" i="5"/>
  <c r="AF522" i="5"/>
  <c r="AF521" i="5"/>
  <c r="AF520" i="5"/>
  <c r="AF519" i="5"/>
  <c r="AF518" i="5"/>
  <c r="AF517" i="5"/>
  <c r="AF516" i="5"/>
  <c r="AF515" i="5"/>
  <c r="AF514" i="5"/>
  <c r="AF513" i="5"/>
  <c r="AF512" i="5"/>
  <c r="AF511" i="5"/>
  <c r="AF510" i="5"/>
  <c r="AF509" i="5"/>
  <c r="AF508" i="5"/>
  <c r="AF507" i="5"/>
  <c r="AF506" i="5"/>
  <c r="AF505" i="5"/>
  <c r="AF504" i="5"/>
  <c r="AF503" i="5"/>
  <c r="AF502" i="5"/>
  <c r="AF501" i="5"/>
  <c r="AF500" i="5"/>
  <c r="AF499" i="5"/>
  <c r="AF498" i="5"/>
  <c r="AF497" i="5"/>
  <c r="AF496" i="5"/>
  <c r="AF495" i="5"/>
  <c r="AF494" i="5"/>
  <c r="AF493" i="5"/>
  <c r="AF492" i="5"/>
  <c r="AF491" i="5"/>
  <c r="AF490" i="5"/>
  <c r="AF489" i="5"/>
  <c r="AF488" i="5"/>
  <c r="AF487" i="5"/>
  <c r="AF486" i="5"/>
  <c r="AF485" i="5"/>
  <c r="AF484" i="5"/>
  <c r="AF483" i="5"/>
  <c r="AF482" i="5"/>
  <c r="AF481" i="5"/>
  <c r="AF480" i="5"/>
  <c r="AF479" i="5"/>
  <c r="AF478" i="5"/>
  <c r="AF477" i="5"/>
  <c r="AF476" i="5"/>
  <c r="AF475" i="5"/>
  <c r="AF474" i="5"/>
  <c r="AF473" i="5"/>
  <c r="AF472" i="5"/>
  <c r="AF471" i="5"/>
  <c r="AF470" i="5"/>
  <c r="AF469" i="5"/>
  <c r="AF468" i="5"/>
  <c r="AF467" i="5"/>
  <c r="AF466" i="5"/>
  <c r="AF465" i="5"/>
  <c r="AF464" i="5"/>
  <c r="AF463" i="5"/>
  <c r="AF462" i="5"/>
  <c r="AF461" i="5"/>
  <c r="AF460" i="5"/>
  <c r="AF459" i="5"/>
  <c r="AF458" i="5"/>
  <c r="AF457" i="5"/>
  <c r="AF456" i="5"/>
  <c r="AF455" i="5"/>
  <c r="AF454" i="5"/>
  <c r="AF453" i="5"/>
  <c r="AF452" i="5"/>
  <c r="AF451" i="5"/>
  <c r="AF450" i="5"/>
  <c r="AF449" i="5"/>
  <c r="AF448" i="5"/>
  <c r="AF447" i="5"/>
  <c r="AF446" i="5"/>
  <c r="AF445" i="5"/>
  <c r="AF444" i="5"/>
  <c r="AF443" i="5"/>
  <c r="AF442" i="5"/>
  <c r="AF441" i="5"/>
  <c r="AF440" i="5"/>
  <c r="AF439" i="5"/>
  <c r="AF438" i="5"/>
  <c r="AF437" i="5"/>
  <c r="AF436" i="5"/>
  <c r="AF435" i="5"/>
  <c r="AF434" i="5"/>
  <c r="AF433" i="5"/>
  <c r="AF432" i="5"/>
  <c r="AF431" i="5"/>
  <c r="AF430" i="5"/>
  <c r="AF429" i="5"/>
  <c r="AF428" i="5"/>
  <c r="AF427" i="5"/>
  <c r="AF426" i="5"/>
  <c r="AF425" i="5"/>
  <c r="AF424" i="5"/>
  <c r="AF423" i="5"/>
  <c r="AF422" i="5"/>
  <c r="AF421" i="5"/>
  <c r="AF420" i="5"/>
  <c r="AF419" i="5"/>
  <c r="AF418" i="5"/>
  <c r="AF417" i="5"/>
  <c r="AF416" i="5"/>
  <c r="AF415" i="5"/>
  <c r="AF414" i="5"/>
  <c r="AF413" i="5"/>
  <c r="AF412" i="5"/>
  <c r="AF411" i="5"/>
  <c r="AF410" i="5"/>
  <c r="AF409" i="5"/>
  <c r="AF408" i="5"/>
  <c r="AF407" i="5"/>
  <c r="AF406" i="5"/>
  <c r="AF405" i="5"/>
  <c r="AF404" i="5"/>
  <c r="AF403" i="5"/>
  <c r="AF402" i="5"/>
  <c r="AF401" i="5"/>
  <c r="AF400" i="5"/>
  <c r="AF399" i="5"/>
  <c r="AF398" i="5"/>
  <c r="AF397" i="5"/>
  <c r="AF396" i="5"/>
  <c r="AF395" i="5"/>
  <c r="AF394" i="5"/>
  <c r="AF393" i="5"/>
  <c r="AF392" i="5"/>
  <c r="AF391" i="5"/>
  <c r="AF390" i="5"/>
  <c r="AF389" i="5"/>
  <c r="AF388" i="5"/>
  <c r="AF387" i="5"/>
  <c r="AF386" i="5"/>
  <c r="AF385" i="5"/>
  <c r="AF384" i="5"/>
  <c r="AF383" i="5"/>
  <c r="AF382" i="5"/>
  <c r="AF381" i="5"/>
  <c r="AF380" i="5"/>
  <c r="AF379" i="5"/>
  <c r="AF378" i="5"/>
  <c r="AF377" i="5"/>
  <c r="AF376" i="5"/>
  <c r="AF375" i="5"/>
  <c r="AF374" i="5"/>
  <c r="AF373" i="5"/>
  <c r="AF372" i="5"/>
  <c r="AF371" i="5"/>
  <c r="AF370" i="5"/>
  <c r="AF369" i="5"/>
  <c r="AF368" i="5"/>
  <c r="AF367" i="5"/>
  <c r="AF366" i="5"/>
  <c r="AF365" i="5"/>
  <c r="AF364" i="5"/>
  <c r="AF363" i="5"/>
  <c r="AF362" i="5"/>
  <c r="AF361" i="5"/>
  <c r="AF360" i="5"/>
  <c r="AF359" i="5"/>
  <c r="AF358" i="5"/>
  <c r="AF357" i="5"/>
  <c r="AF356" i="5"/>
  <c r="AF355" i="5"/>
  <c r="AF354" i="5"/>
  <c r="AF353" i="5"/>
  <c r="AF352" i="5"/>
  <c r="AF351" i="5"/>
  <c r="AF350" i="5"/>
  <c r="AF349" i="5"/>
  <c r="AF348" i="5"/>
  <c r="AF347" i="5"/>
  <c r="AF346" i="5"/>
  <c r="AF345" i="5"/>
  <c r="AF344" i="5"/>
  <c r="AF343" i="5"/>
  <c r="AF342" i="5"/>
  <c r="AF341" i="5"/>
  <c r="AF340" i="5"/>
  <c r="AF339" i="5"/>
  <c r="AF338" i="5"/>
  <c r="AF337" i="5"/>
  <c r="AF336" i="5"/>
  <c r="AF335" i="5"/>
  <c r="AF334" i="5"/>
  <c r="AF333" i="5"/>
  <c r="AF332" i="5"/>
  <c r="AF331" i="5"/>
  <c r="AF330" i="5"/>
  <c r="AF329" i="5"/>
  <c r="AF328" i="5"/>
  <c r="AF327" i="5"/>
  <c r="AF326" i="5"/>
  <c r="AF325" i="5"/>
  <c r="AF324" i="5"/>
  <c r="AF323" i="5"/>
  <c r="AF322" i="5"/>
  <c r="AF321" i="5"/>
  <c r="AF320" i="5"/>
  <c r="AF319" i="5"/>
  <c r="AF318" i="5"/>
  <c r="AF317" i="5"/>
  <c r="AF316" i="5"/>
  <c r="AF315" i="5"/>
  <c r="AF314" i="5"/>
  <c r="AF313" i="5"/>
  <c r="AF312" i="5"/>
  <c r="AF311" i="5"/>
  <c r="AF310" i="5"/>
  <c r="AF309" i="5"/>
  <c r="AF308" i="5"/>
  <c r="AF307" i="5"/>
  <c r="AF306" i="5"/>
  <c r="AF305" i="5"/>
  <c r="AF304" i="5"/>
  <c r="AF303" i="5"/>
  <c r="AF302" i="5"/>
  <c r="AF301" i="5"/>
  <c r="AF300" i="5"/>
  <c r="AF299" i="5"/>
  <c r="AF298" i="5"/>
  <c r="AF297" i="5"/>
  <c r="AF296" i="5"/>
  <c r="AF295" i="5"/>
  <c r="AF294" i="5"/>
  <c r="AF293" i="5"/>
  <c r="AF292" i="5"/>
  <c r="AF291" i="5"/>
  <c r="AF290" i="5"/>
  <c r="AF289" i="5"/>
  <c r="AF288" i="5"/>
  <c r="AF287" i="5"/>
  <c r="AF286" i="5"/>
  <c r="AF285" i="5"/>
  <c r="AF284" i="5"/>
  <c r="AF283" i="5"/>
  <c r="AF282" i="5"/>
  <c r="AF281" i="5"/>
  <c r="AF280" i="5"/>
  <c r="AF279" i="5"/>
  <c r="AF278" i="5"/>
  <c r="AF277" i="5"/>
  <c r="AF276" i="5"/>
  <c r="AF275" i="5"/>
  <c r="AF274" i="5"/>
  <c r="AF273" i="5"/>
  <c r="AF272" i="5"/>
  <c r="AF271" i="5"/>
  <c r="AF270" i="5"/>
  <c r="AF269" i="5"/>
  <c r="AF268" i="5"/>
  <c r="AF267" i="5"/>
  <c r="AF266" i="5"/>
  <c r="AF265" i="5"/>
  <c r="AF264" i="5"/>
  <c r="AF263" i="5"/>
  <c r="AF262" i="5"/>
  <c r="AF261" i="5"/>
  <c r="AF260" i="5"/>
  <c r="AF259" i="5"/>
  <c r="AF258" i="5"/>
  <c r="AF257" i="5"/>
  <c r="AF256" i="5"/>
  <c r="AF255" i="5"/>
  <c r="AF254" i="5"/>
  <c r="AF253" i="5"/>
  <c r="AF252" i="5"/>
  <c r="AF251" i="5"/>
  <c r="AF250" i="5"/>
  <c r="AF249" i="5"/>
  <c r="AF248" i="5"/>
  <c r="AF247" i="5"/>
  <c r="AF246" i="5"/>
  <c r="AF245" i="5"/>
  <c r="AF244" i="5"/>
  <c r="AF243" i="5"/>
  <c r="AF242" i="5"/>
  <c r="AF241" i="5"/>
  <c r="AF240" i="5"/>
  <c r="AF239" i="5"/>
  <c r="AF238" i="5"/>
  <c r="AF237" i="5"/>
  <c r="AF236" i="5"/>
  <c r="AF235" i="5"/>
  <c r="AF234" i="5"/>
  <c r="AF233" i="5"/>
  <c r="AF232" i="5"/>
  <c r="AF231" i="5"/>
  <c r="AF230" i="5"/>
  <c r="AF229" i="5"/>
  <c r="AF228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205" i="5"/>
  <c r="AF204" i="5"/>
  <c r="AF203" i="5"/>
  <c r="AF202" i="5"/>
  <c r="AF201" i="5"/>
  <c r="AF200" i="5"/>
  <c r="AF199" i="5"/>
  <c r="AF198" i="5"/>
  <c r="AF197" i="5"/>
  <c r="AF196" i="5"/>
  <c r="AF195" i="5"/>
  <c r="AF194" i="5"/>
  <c r="AF193" i="5"/>
  <c r="AF192" i="5"/>
  <c r="AF191" i="5"/>
  <c r="AF190" i="5"/>
  <c r="AF189" i="5"/>
  <c r="AF188" i="5"/>
  <c r="AF187" i="5"/>
  <c r="AF186" i="5"/>
  <c r="AF185" i="5"/>
  <c r="AF184" i="5"/>
  <c r="AF183" i="5"/>
  <c r="AF182" i="5"/>
  <c r="AF181" i="5"/>
  <c r="AF180" i="5"/>
  <c r="AF179" i="5"/>
  <c r="AF178" i="5"/>
  <c r="AF177" i="5"/>
  <c r="AF176" i="5"/>
  <c r="AF175" i="5"/>
  <c r="AF174" i="5"/>
  <c r="AF173" i="5"/>
  <c r="AF172" i="5"/>
  <c r="AF171" i="5"/>
  <c r="AF170" i="5"/>
  <c r="AF169" i="5"/>
  <c r="AF168" i="5"/>
  <c r="AF167" i="5"/>
  <c r="AF166" i="5"/>
  <c r="AF165" i="5"/>
  <c r="AF164" i="5"/>
  <c r="AF163" i="5"/>
  <c r="AF162" i="5"/>
  <c r="AF161" i="5"/>
  <c r="AF160" i="5"/>
  <c r="AF159" i="5"/>
  <c r="AF158" i="5"/>
  <c r="AF157" i="5"/>
  <c r="AF156" i="5"/>
  <c r="AF155" i="5"/>
  <c r="AF154" i="5"/>
  <c r="AF153" i="5"/>
  <c r="AF152" i="5"/>
  <c r="AF151" i="5"/>
  <c r="AF150" i="5"/>
  <c r="AF149" i="5"/>
  <c r="AF148" i="5"/>
  <c r="AF147" i="5"/>
  <c r="AF146" i="5"/>
  <c r="AF145" i="5"/>
  <c r="AF144" i="5"/>
  <c r="AF143" i="5"/>
  <c r="AF142" i="5"/>
  <c r="AF141" i="5"/>
  <c r="AF140" i="5"/>
  <c r="AF139" i="5"/>
  <c r="AF138" i="5"/>
  <c r="AF137" i="5"/>
  <c r="AF136" i="5"/>
  <c r="AF135" i="5"/>
  <c r="AF134" i="5"/>
  <c r="AF133" i="5"/>
  <c r="AF132" i="5"/>
  <c r="AF131" i="5"/>
  <c r="AF130" i="5"/>
  <c r="AF129" i="5"/>
  <c r="AF128" i="5"/>
  <c r="AF127" i="5"/>
  <c r="AF126" i="5"/>
  <c r="AF125" i="5"/>
  <c r="AF124" i="5"/>
  <c r="AF123" i="5"/>
  <c r="AF122" i="5"/>
  <c r="AF121" i="5"/>
  <c r="AF120" i="5"/>
  <c r="AF119" i="5"/>
  <c r="AF118" i="5"/>
  <c r="AF117" i="5"/>
  <c r="AF116" i="5"/>
  <c r="AF115" i="5"/>
  <c r="AF114" i="5"/>
  <c r="AF113" i="5"/>
  <c r="AF112" i="5"/>
  <c r="AF111" i="5"/>
  <c r="AF110" i="5"/>
  <c r="AF109" i="5"/>
  <c r="AF108" i="5"/>
  <c r="AF107" i="5"/>
  <c r="AF106" i="5"/>
  <c r="AF105" i="5"/>
  <c r="AF104" i="5"/>
  <c r="AF103" i="5"/>
  <c r="AF102" i="5"/>
  <c r="AF101" i="5"/>
  <c r="AF100" i="5"/>
  <c r="AF99" i="5"/>
  <c r="AF98" i="5"/>
  <c r="AF97" i="5"/>
  <c r="AF96" i="5"/>
  <c r="AF95" i="5"/>
  <c r="AF94" i="5"/>
  <c r="AF93" i="5"/>
  <c r="AF92" i="5"/>
  <c r="AF91" i="5"/>
  <c r="AF90" i="5"/>
  <c r="AF89" i="5"/>
  <c r="AF88" i="5"/>
  <c r="AF87" i="5"/>
  <c r="AF86" i="5"/>
  <c r="AF85" i="5"/>
  <c r="AF84" i="5"/>
  <c r="AF83" i="5"/>
  <c r="AF82" i="5"/>
  <c r="AF81" i="5"/>
  <c r="AF80" i="5"/>
  <c r="AF79" i="5"/>
  <c r="AF78" i="5"/>
  <c r="AF77" i="5"/>
  <c r="AF76" i="5"/>
  <c r="AF75" i="5"/>
  <c r="AF74" i="5"/>
  <c r="AF73" i="5"/>
  <c r="AF72" i="5"/>
  <c r="AF71" i="5"/>
  <c r="AF70" i="5"/>
  <c r="AF69" i="5"/>
  <c r="AF68" i="5"/>
  <c r="AF67" i="5"/>
  <c r="AF66" i="5"/>
  <c r="AF65" i="5"/>
  <c r="AF64" i="5"/>
  <c r="AF63" i="5"/>
  <c r="AF62" i="5"/>
  <c r="AF61" i="5"/>
  <c r="AF60" i="5"/>
  <c r="AF59" i="5"/>
  <c r="AF58" i="5"/>
  <c r="AF57" i="5"/>
  <c r="AF56" i="5"/>
  <c r="AF55" i="5"/>
  <c r="AF54" i="5"/>
  <c r="AF53" i="5"/>
  <c r="AF52" i="5"/>
  <c r="AF51" i="5"/>
  <c r="AF50" i="5"/>
  <c r="AF49" i="5"/>
  <c r="AF48" i="5"/>
  <c r="AF47" i="5"/>
  <c r="AF46" i="5"/>
  <c r="AF45" i="5"/>
  <c r="AF44" i="5"/>
  <c r="AF43" i="5"/>
  <c r="AF42" i="5"/>
  <c r="AF41" i="5"/>
  <c r="AF40" i="5"/>
  <c r="AF39" i="5"/>
  <c r="AF38" i="5"/>
  <c r="AF37" i="5"/>
  <c r="AF36" i="5"/>
  <c r="AF35" i="5"/>
  <c r="AF34" i="5"/>
  <c r="AF33" i="5"/>
  <c r="AF32" i="5"/>
  <c r="AF31" i="5"/>
  <c r="AF30" i="5"/>
  <c r="AF29" i="5"/>
  <c r="AF28" i="5"/>
  <c r="AF27" i="5"/>
  <c r="AF26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F10" i="5"/>
  <c r="AF9" i="5"/>
  <c r="AF8" i="5"/>
  <c r="AB607" i="5"/>
  <c r="AB606" i="5"/>
  <c r="AB605" i="5"/>
  <c r="AB604" i="5"/>
  <c r="AB603" i="5"/>
  <c r="AB602" i="5"/>
  <c r="AB601" i="5"/>
  <c r="AB600" i="5"/>
  <c r="AB599" i="5"/>
  <c r="AB598" i="5"/>
  <c r="AB597" i="5"/>
  <c r="AB596" i="5"/>
  <c r="AB595" i="5"/>
  <c r="AB594" i="5"/>
  <c r="AB593" i="5"/>
  <c r="AB592" i="5"/>
  <c r="AB591" i="5"/>
  <c r="AB590" i="5"/>
  <c r="AB589" i="5"/>
  <c r="AB588" i="5"/>
  <c r="AB587" i="5"/>
  <c r="AB586" i="5"/>
  <c r="AB585" i="5"/>
  <c r="AB584" i="5"/>
  <c r="AB583" i="5"/>
  <c r="AB582" i="5"/>
  <c r="AB581" i="5"/>
  <c r="AB580" i="5"/>
  <c r="AB579" i="5"/>
  <c r="AB578" i="5"/>
  <c r="AB577" i="5"/>
  <c r="AB576" i="5"/>
  <c r="AB575" i="5"/>
  <c r="AB574" i="5"/>
  <c r="AB573" i="5"/>
  <c r="AB572" i="5"/>
  <c r="AB571" i="5"/>
  <c r="AB570" i="5"/>
  <c r="AB569" i="5"/>
  <c r="AB568" i="5"/>
  <c r="AB567" i="5"/>
  <c r="AB566" i="5"/>
  <c r="AB565" i="5"/>
  <c r="AB564" i="5"/>
  <c r="AB563" i="5"/>
  <c r="AB562" i="5"/>
  <c r="AB561" i="5"/>
  <c r="AB560" i="5"/>
  <c r="AB559" i="5"/>
  <c r="AB558" i="5"/>
  <c r="AB557" i="5"/>
  <c r="AB556" i="5"/>
  <c r="AB555" i="5"/>
  <c r="AB554" i="5"/>
  <c r="AB553" i="5"/>
  <c r="AB552" i="5"/>
  <c r="AB551" i="5"/>
  <c r="AB550" i="5"/>
  <c r="AB549" i="5"/>
  <c r="AB548" i="5"/>
  <c r="AB547" i="5"/>
  <c r="AB546" i="5"/>
  <c r="AB545" i="5"/>
  <c r="AB544" i="5"/>
  <c r="AB543" i="5"/>
  <c r="AB542" i="5"/>
  <c r="AB541" i="5"/>
  <c r="AB540" i="5"/>
  <c r="AB539" i="5"/>
  <c r="AB538" i="5"/>
  <c r="AB537" i="5"/>
  <c r="AB536" i="5"/>
  <c r="AB535" i="5"/>
  <c r="AB534" i="5"/>
  <c r="AB533" i="5"/>
  <c r="AB532" i="5"/>
  <c r="AB531" i="5"/>
  <c r="AB530" i="5"/>
  <c r="AB529" i="5"/>
  <c r="AB528" i="5"/>
  <c r="AB527" i="5"/>
  <c r="AB526" i="5"/>
  <c r="AB525" i="5"/>
  <c r="AB524" i="5"/>
  <c r="AB523" i="5"/>
  <c r="AB522" i="5"/>
  <c r="AB521" i="5"/>
  <c r="AB520" i="5"/>
  <c r="AB519" i="5"/>
  <c r="AB518" i="5"/>
  <c r="AB517" i="5"/>
  <c r="AB516" i="5"/>
  <c r="AB515" i="5"/>
  <c r="AB514" i="5"/>
  <c r="AB513" i="5"/>
  <c r="AB512" i="5"/>
  <c r="AB511" i="5"/>
  <c r="AB510" i="5"/>
  <c r="AB509" i="5"/>
  <c r="AB508" i="5"/>
  <c r="AB507" i="5"/>
  <c r="AB506" i="5"/>
  <c r="AB505" i="5"/>
  <c r="AB504" i="5"/>
  <c r="AB503" i="5"/>
  <c r="AB502" i="5"/>
  <c r="AB501" i="5"/>
  <c r="AB500" i="5"/>
  <c r="AB499" i="5"/>
  <c r="AB498" i="5"/>
  <c r="AB497" i="5"/>
  <c r="AB496" i="5"/>
  <c r="AB495" i="5"/>
  <c r="AB494" i="5"/>
  <c r="AB493" i="5"/>
  <c r="AB492" i="5"/>
  <c r="AB491" i="5"/>
  <c r="AB490" i="5"/>
  <c r="AB489" i="5"/>
  <c r="AB488" i="5"/>
  <c r="AB487" i="5"/>
  <c r="AB486" i="5"/>
  <c r="AB485" i="5"/>
  <c r="AB484" i="5"/>
  <c r="AB483" i="5"/>
  <c r="AB482" i="5"/>
  <c r="AB481" i="5"/>
  <c r="AB480" i="5"/>
  <c r="AB479" i="5"/>
  <c r="AB478" i="5"/>
  <c r="AB477" i="5"/>
  <c r="AB476" i="5"/>
  <c r="AB475" i="5"/>
  <c r="AB474" i="5"/>
  <c r="AB473" i="5"/>
  <c r="AB472" i="5"/>
  <c r="AB471" i="5"/>
  <c r="AB470" i="5"/>
  <c r="AB469" i="5"/>
  <c r="AB468" i="5"/>
  <c r="AB467" i="5"/>
  <c r="AB466" i="5"/>
  <c r="AB465" i="5"/>
  <c r="AB464" i="5"/>
  <c r="AB463" i="5"/>
  <c r="AB462" i="5"/>
  <c r="AB461" i="5"/>
  <c r="AB460" i="5"/>
  <c r="AB459" i="5"/>
  <c r="AB458" i="5"/>
  <c r="AB457" i="5"/>
  <c r="AB456" i="5"/>
  <c r="AB455" i="5"/>
  <c r="AB454" i="5"/>
  <c r="AB453" i="5"/>
  <c r="AB452" i="5"/>
  <c r="AB451" i="5"/>
  <c r="AB450" i="5"/>
  <c r="AB449" i="5"/>
  <c r="AB448" i="5"/>
  <c r="AB447" i="5"/>
  <c r="AB446" i="5"/>
  <c r="AB445" i="5"/>
  <c r="AB444" i="5"/>
  <c r="AB443" i="5"/>
  <c r="AB442" i="5"/>
  <c r="AB441" i="5"/>
  <c r="AB440" i="5"/>
  <c r="AB439" i="5"/>
  <c r="AB438" i="5"/>
  <c r="AB437" i="5"/>
  <c r="AB436" i="5"/>
  <c r="AB435" i="5"/>
  <c r="AB434" i="5"/>
  <c r="AB433" i="5"/>
  <c r="AB432" i="5"/>
  <c r="AB431" i="5"/>
  <c r="AB430" i="5"/>
  <c r="AB429" i="5"/>
  <c r="AB428" i="5"/>
  <c r="AB427" i="5"/>
  <c r="AB426" i="5"/>
  <c r="AB425" i="5"/>
  <c r="AB424" i="5"/>
  <c r="AB423" i="5"/>
  <c r="AB422" i="5"/>
  <c r="AB421" i="5"/>
  <c r="AB420" i="5"/>
  <c r="AB419" i="5"/>
  <c r="AB418" i="5"/>
  <c r="AB417" i="5"/>
  <c r="AB416" i="5"/>
  <c r="AB415" i="5"/>
  <c r="AB414" i="5"/>
  <c r="AB413" i="5"/>
  <c r="AB412" i="5"/>
  <c r="AB411" i="5"/>
  <c r="AB410" i="5"/>
  <c r="AB409" i="5"/>
  <c r="AB408" i="5"/>
  <c r="AB407" i="5"/>
  <c r="AB406" i="5"/>
  <c r="AB405" i="5"/>
  <c r="AB404" i="5"/>
  <c r="AB403" i="5"/>
  <c r="AB402" i="5"/>
  <c r="AB401" i="5"/>
  <c r="AB400" i="5"/>
  <c r="AB399" i="5"/>
  <c r="AB398" i="5"/>
  <c r="AB397" i="5"/>
  <c r="AB396" i="5"/>
  <c r="AB395" i="5"/>
  <c r="AB394" i="5"/>
  <c r="AB393" i="5"/>
  <c r="AB392" i="5"/>
  <c r="AB391" i="5"/>
  <c r="AB390" i="5"/>
  <c r="AB389" i="5"/>
  <c r="AB388" i="5"/>
  <c r="AB387" i="5"/>
  <c r="AB386" i="5"/>
  <c r="AB385" i="5"/>
  <c r="AB384" i="5"/>
  <c r="AB383" i="5"/>
  <c r="AB382" i="5"/>
  <c r="AB381" i="5"/>
  <c r="AB380" i="5"/>
  <c r="AB379" i="5"/>
  <c r="AB378" i="5"/>
  <c r="AB377" i="5"/>
  <c r="AB376" i="5"/>
  <c r="AB375" i="5"/>
  <c r="AB374" i="5"/>
  <c r="AB373" i="5"/>
  <c r="AB372" i="5"/>
  <c r="AB371" i="5"/>
  <c r="AB370" i="5"/>
  <c r="AB369" i="5"/>
  <c r="AB368" i="5"/>
  <c r="AB367" i="5"/>
  <c r="AB366" i="5"/>
  <c r="AB365" i="5"/>
  <c r="AB364" i="5"/>
  <c r="AB363" i="5"/>
  <c r="AB362" i="5"/>
  <c r="AB361" i="5"/>
  <c r="AB360" i="5"/>
  <c r="AB359" i="5"/>
  <c r="AB358" i="5"/>
  <c r="AB357" i="5"/>
  <c r="AB356" i="5"/>
  <c r="AB355" i="5"/>
  <c r="AB354" i="5"/>
  <c r="AB353" i="5"/>
  <c r="AB352" i="5"/>
  <c r="AB351" i="5"/>
  <c r="AB350" i="5"/>
  <c r="AB349" i="5"/>
  <c r="AB348" i="5"/>
  <c r="AB347" i="5"/>
  <c r="AB346" i="5"/>
  <c r="AB345" i="5"/>
  <c r="AB344" i="5"/>
  <c r="AB343" i="5"/>
  <c r="AB342" i="5"/>
  <c r="AB341" i="5"/>
  <c r="AB340" i="5"/>
  <c r="AB339" i="5"/>
  <c r="AB338" i="5"/>
  <c r="AB337" i="5"/>
  <c r="AB336" i="5"/>
  <c r="AB335" i="5"/>
  <c r="AB334" i="5"/>
  <c r="AB333" i="5"/>
  <c r="AB332" i="5"/>
  <c r="AB331" i="5"/>
  <c r="AB330" i="5"/>
  <c r="AB329" i="5"/>
  <c r="AB328" i="5"/>
  <c r="AB327" i="5"/>
  <c r="AB326" i="5"/>
  <c r="AB325" i="5"/>
  <c r="AB324" i="5"/>
  <c r="AB323" i="5"/>
  <c r="AB322" i="5"/>
  <c r="AB321" i="5"/>
  <c r="AB320" i="5"/>
  <c r="AB319" i="5"/>
  <c r="AB318" i="5"/>
  <c r="AB317" i="5"/>
  <c r="AB316" i="5"/>
  <c r="AB315" i="5"/>
  <c r="AB314" i="5"/>
  <c r="AB313" i="5"/>
  <c r="AB312" i="5"/>
  <c r="AB311" i="5"/>
  <c r="AB310" i="5"/>
  <c r="AB309" i="5"/>
  <c r="AB308" i="5"/>
  <c r="AB307" i="5"/>
  <c r="AB306" i="5"/>
  <c r="AB305" i="5"/>
  <c r="AB304" i="5"/>
  <c r="AB303" i="5"/>
  <c r="AB302" i="5"/>
  <c r="AB301" i="5"/>
  <c r="AB300" i="5"/>
  <c r="AB299" i="5"/>
  <c r="AB298" i="5"/>
  <c r="AB297" i="5"/>
  <c r="AB296" i="5"/>
  <c r="AB295" i="5"/>
  <c r="AB294" i="5"/>
  <c r="AB293" i="5"/>
  <c r="AB292" i="5"/>
  <c r="AB291" i="5"/>
  <c r="AB290" i="5"/>
  <c r="AB289" i="5"/>
  <c r="AB288" i="5"/>
  <c r="AB287" i="5"/>
  <c r="AB286" i="5"/>
  <c r="AB285" i="5"/>
  <c r="AB284" i="5"/>
  <c r="AB283" i="5"/>
  <c r="AB282" i="5"/>
  <c r="AB281" i="5"/>
  <c r="AB280" i="5"/>
  <c r="AB279" i="5"/>
  <c r="AB278" i="5"/>
  <c r="AB277" i="5"/>
  <c r="AB276" i="5"/>
  <c r="AB275" i="5"/>
  <c r="AB274" i="5"/>
  <c r="AB273" i="5"/>
  <c r="AB272" i="5"/>
  <c r="AB271" i="5"/>
  <c r="AB270" i="5"/>
  <c r="AB269" i="5"/>
  <c r="AB268" i="5"/>
  <c r="AB267" i="5"/>
  <c r="AB266" i="5"/>
  <c r="AB265" i="5"/>
  <c r="AB264" i="5"/>
  <c r="AB263" i="5"/>
  <c r="AB262" i="5"/>
  <c r="AB261" i="5"/>
  <c r="AB260" i="5"/>
  <c r="AB259" i="5"/>
  <c r="AB258" i="5"/>
  <c r="AB257" i="5"/>
  <c r="AB256" i="5"/>
  <c r="AB255" i="5"/>
  <c r="AB254" i="5"/>
  <c r="AB253" i="5"/>
  <c r="AB252" i="5"/>
  <c r="AB251" i="5"/>
  <c r="AB250" i="5"/>
  <c r="AB249" i="5"/>
  <c r="AB248" i="5"/>
  <c r="AB247" i="5"/>
  <c r="AB246" i="5"/>
  <c r="AB245" i="5"/>
  <c r="AB244" i="5"/>
  <c r="AB243" i="5"/>
  <c r="AB242" i="5"/>
  <c r="AB241" i="5"/>
  <c r="AB240" i="5"/>
  <c r="AB239" i="5"/>
  <c r="AB238" i="5"/>
  <c r="AB237" i="5"/>
  <c r="AB236" i="5"/>
  <c r="AB235" i="5"/>
  <c r="AB234" i="5"/>
  <c r="AB233" i="5"/>
  <c r="AB232" i="5"/>
  <c r="AB231" i="5"/>
  <c r="AB230" i="5"/>
  <c r="AB229" i="5"/>
  <c r="AB228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205" i="5"/>
  <c r="AB204" i="5"/>
  <c r="AB203" i="5"/>
  <c r="AB202" i="5"/>
  <c r="AB201" i="5"/>
  <c r="AB200" i="5"/>
  <c r="AB199" i="5"/>
  <c r="AB198" i="5"/>
  <c r="AB197" i="5"/>
  <c r="AB196" i="5"/>
  <c r="AB195" i="5"/>
  <c r="AB194" i="5"/>
  <c r="AB193" i="5"/>
  <c r="AB192" i="5"/>
  <c r="AB191" i="5"/>
  <c r="AB190" i="5"/>
  <c r="AB189" i="5"/>
  <c r="AB188" i="5"/>
  <c r="AB187" i="5"/>
  <c r="AB186" i="5"/>
  <c r="AB185" i="5"/>
  <c r="AB184" i="5"/>
  <c r="AB183" i="5"/>
  <c r="AB182" i="5"/>
  <c r="AB181" i="5"/>
  <c r="AB180" i="5"/>
  <c r="AB179" i="5"/>
  <c r="AB178" i="5"/>
  <c r="AB177" i="5"/>
  <c r="AB176" i="5"/>
  <c r="AB175" i="5"/>
  <c r="AB174" i="5"/>
  <c r="AB173" i="5"/>
  <c r="AB172" i="5"/>
  <c r="AB171" i="5"/>
  <c r="AB170" i="5"/>
  <c r="AB169" i="5"/>
  <c r="AB168" i="5"/>
  <c r="AB167" i="5"/>
  <c r="AB166" i="5"/>
  <c r="AB165" i="5"/>
  <c r="AB164" i="5"/>
  <c r="AB163" i="5"/>
  <c r="AB162" i="5"/>
  <c r="AB161" i="5"/>
  <c r="AB160" i="5"/>
  <c r="AB159" i="5"/>
  <c r="AB158" i="5"/>
  <c r="AB157" i="5"/>
  <c r="AB156" i="5"/>
  <c r="AB155" i="5"/>
  <c r="AB154" i="5"/>
  <c r="AB153" i="5"/>
  <c r="AB152" i="5"/>
  <c r="AB151" i="5"/>
  <c r="AB150" i="5"/>
  <c r="AB149" i="5"/>
  <c r="AB148" i="5"/>
  <c r="AB147" i="5"/>
  <c r="AB146" i="5"/>
  <c r="AB145" i="5"/>
  <c r="AB144" i="5"/>
  <c r="AB143" i="5"/>
  <c r="AB142" i="5"/>
  <c r="AB141" i="5"/>
  <c r="AB140" i="5"/>
  <c r="AB139" i="5"/>
  <c r="AB138" i="5"/>
  <c r="AB137" i="5"/>
  <c r="AB136" i="5"/>
  <c r="AB135" i="5"/>
  <c r="AB134" i="5"/>
  <c r="AB133" i="5"/>
  <c r="AB132" i="5"/>
  <c r="AB131" i="5"/>
  <c r="AB130" i="5"/>
  <c r="AB129" i="5"/>
  <c r="AB128" i="5"/>
  <c r="AB127" i="5"/>
  <c r="AB126" i="5"/>
  <c r="AB125" i="5"/>
  <c r="AB124" i="5"/>
  <c r="AB123" i="5"/>
  <c r="AB122" i="5"/>
  <c r="AB121" i="5"/>
  <c r="AB120" i="5"/>
  <c r="AB119" i="5"/>
  <c r="AB118" i="5"/>
  <c r="AB117" i="5"/>
  <c r="AB116" i="5"/>
  <c r="AB115" i="5"/>
  <c r="AB114" i="5"/>
  <c r="AB113" i="5"/>
  <c r="AB112" i="5"/>
  <c r="AB111" i="5"/>
  <c r="AB110" i="5"/>
  <c r="AB109" i="5"/>
  <c r="AB108" i="5"/>
  <c r="AB107" i="5"/>
  <c r="AB106" i="5"/>
  <c r="AB105" i="5"/>
  <c r="AB104" i="5"/>
  <c r="AB103" i="5"/>
  <c r="AB102" i="5"/>
  <c r="AB101" i="5"/>
  <c r="AB100" i="5"/>
  <c r="AB99" i="5"/>
  <c r="AB98" i="5"/>
  <c r="AB97" i="5"/>
  <c r="AB96" i="5"/>
  <c r="AB95" i="5"/>
  <c r="AB94" i="5"/>
  <c r="AB93" i="5"/>
  <c r="AB92" i="5"/>
  <c r="AB91" i="5"/>
  <c r="AB90" i="5"/>
  <c r="AB89" i="5"/>
  <c r="AB88" i="5"/>
  <c r="AB87" i="5"/>
  <c r="AB86" i="5"/>
  <c r="AB85" i="5"/>
  <c r="AB84" i="5"/>
  <c r="AB83" i="5"/>
  <c r="AB82" i="5"/>
  <c r="AB81" i="5"/>
  <c r="AB80" i="5"/>
  <c r="AB79" i="5"/>
  <c r="AB78" i="5"/>
  <c r="AB77" i="5"/>
  <c r="AB76" i="5"/>
  <c r="AB75" i="5"/>
  <c r="AB74" i="5"/>
  <c r="AB73" i="5"/>
  <c r="AB72" i="5"/>
  <c r="AB71" i="5"/>
  <c r="AB70" i="5"/>
  <c r="AB69" i="5"/>
  <c r="AB68" i="5"/>
  <c r="AB67" i="5"/>
  <c r="AB66" i="5"/>
  <c r="AB65" i="5"/>
  <c r="AB64" i="5"/>
  <c r="AB63" i="5"/>
  <c r="AB62" i="5"/>
  <c r="AB61" i="5"/>
  <c r="AB60" i="5"/>
  <c r="AB59" i="5"/>
  <c r="AB58" i="5"/>
  <c r="AB57" i="5"/>
  <c r="AB56" i="5"/>
  <c r="AB55" i="5"/>
  <c r="AB54" i="5"/>
  <c r="AB53" i="5"/>
  <c r="AB52" i="5"/>
  <c r="AB51" i="5"/>
  <c r="AB50" i="5"/>
  <c r="AB49" i="5"/>
  <c r="AB48" i="5"/>
  <c r="AB47" i="5"/>
  <c r="AB46" i="5"/>
  <c r="AB45" i="5"/>
  <c r="AB44" i="5"/>
  <c r="AB43" i="5"/>
  <c r="AB42" i="5"/>
  <c r="AB41" i="5"/>
  <c r="AB40" i="5"/>
  <c r="AB39" i="5"/>
  <c r="AB38" i="5"/>
  <c r="AB37" i="5"/>
  <c r="AB36" i="5"/>
  <c r="AB35" i="5"/>
  <c r="AB34" i="5"/>
  <c r="AB33" i="5"/>
  <c r="AB32" i="5"/>
  <c r="AB31" i="5"/>
  <c r="AB30" i="5"/>
  <c r="AB29" i="5"/>
  <c r="AB28" i="5"/>
  <c r="AB27" i="5"/>
  <c r="AB26" i="5"/>
  <c r="AB25" i="5"/>
  <c r="AB24" i="5"/>
  <c r="AB23" i="5"/>
  <c r="AB22" i="5"/>
  <c r="AB21" i="5"/>
  <c r="AB20" i="5"/>
  <c r="AB19" i="5"/>
  <c r="AB18" i="5"/>
  <c r="AB17" i="5"/>
  <c r="AB16" i="5"/>
  <c r="AB15" i="5"/>
  <c r="AB14" i="5"/>
  <c r="AB13" i="5"/>
  <c r="AB12" i="5"/>
  <c r="AB11" i="5"/>
  <c r="AB10" i="5"/>
  <c r="AB9" i="5"/>
  <c r="AB8" i="5"/>
  <c r="X607" i="5"/>
  <c r="X606" i="5"/>
  <c r="X605" i="5"/>
  <c r="X604" i="5"/>
  <c r="X603" i="5"/>
  <c r="X602" i="5"/>
  <c r="X601" i="5"/>
  <c r="X600" i="5"/>
  <c r="X599" i="5"/>
  <c r="X598" i="5"/>
  <c r="X597" i="5"/>
  <c r="X596" i="5"/>
  <c r="X595" i="5"/>
  <c r="X594" i="5"/>
  <c r="X593" i="5"/>
  <c r="X592" i="5"/>
  <c r="X591" i="5"/>
  <c r="X590" i="5"/>
  <c r="X589" i="5"/>
  <c r="X588" i="5"/>
  <c r="X587" i="5"/>
  <c r="X586" i="5"/>
  <c r="X585" i="5"/>
  <c r="X584" i="5"/>
  <c r="X583" i="5"/>
  <c r="X582" i="5"/>
  <c r="X581" i="5"/>
  <c r="X580" i="5"/>
  <c r="X579" i="5"/>
  <c r="X578" i="5"/>
  <c r="X577" i="5"/>
  <c r="X576" i="5"/>
  <c r="X575" i="5"/>
  <c r="X574" i="5"/>
  <c r="X573" i="5"/>
  <c r="X572" i="5"/>
  <c r="X571" i="5"/>
  <c r="X570" i="5"/>
  <c r="X569" i="5"/>
  <c r="X568" i="5"/>
  <c r="X567" i="5"/>
  <c r="X566" i="5"/>
  <c r="X565" i="5"/>
  <c r="X564" i="5"/>
  <c r="X563" i="5"/>
  <c r="X562" i="5"/>
  <c r="X561" i="5"/>
  <c r="X560" i="5"/>
  <c r="X559" i="5"/>
  <c r="X558" i="5"/>
  <c r="X557" i="5"/>
  <c r="X556" i="5"/>
  <c r="X555" i="5"/>
  <c r="X554" i="5"/>
  <c r="X553" i="5"/>
  <c r="X552" i="5"/>
  <c r="X551" i="5"/>
  <c r="X550" i="5"/>
  <c r="X549" i="5"/>
  <c r="X548" i="5"/>
  <c r="X547" i="5"/>
  <c r="X546" i="5"/>
  <c r="X545" i="5"/>
  <c r="X544" i="5"/>
  <c r="X543" i="5"/>
  <c r="X542" i="5"/>
  <c r="X541" i="5"/>
  <c r="X540" i="5"/>
  <c r="X539" i="5"/>
  <c r="X538" i="5"/>
  <c r="X537" i="5"/>
  <c r="X536" i="5"/>
  <c r="X535" i="5"/>
  <c r="X534" i="5"/>
  <c r="X533" i="5"/>
  <c r="X532" i="5"/>
  <c r="X531" i="5"/>
  <c r="X530" i="5"/>
  <c r="X529" i="5"/>
  <c r="X528" i="5"/>
  <c r="X527" i="5"/>
  <c r="X526" i="5"/>
  <c r="X525" i="5"/>
  <c r="X524" i="5"/>
  <c r="X523" i="5"/>
  <c r="X522" i="5"/>
  <c r="X521" i="5"/>
  <c r="X520" i="5"/>
  <c r="X519" i="5"/>
  <c r="X518" i="5"/>
  <c r="X517" i="5"/>
  <c r="X516" i="5"/>
  <c r="X515" i="5"/>
  <c r="X514" i="5"/>
  <c r="X513" i="5"/>
  <c r="X512" i="5"/>
  <c r="X511" i="5"/>
  <c r="X510" i="5"/>
  <c r="X509" i="5"/>
  <c r="X508" i="5"/>
  <c r="X507" i="5"/>
  <c r="X506" i="5"/>
  <c r="X505" i="5"/>
  <c r="X504" i="5"/>
  <c r="X503" i="5"/>
  <c r="X502" i="5"/>
  <c r="X501" i="5"/>
  <c r="X500" i="5"/>
  <c r="X499" i="5"/>
  <c r="X498" i="5"/>
  <c r="X497" i="5"/>
  <c r="X496" i="5"/>
  <c r="X495" i="5"/>
  <c r="X494" i="5"/>
  <c r="X493" i="5"/>
  <c r="X492" i="5"/>
  <c r="X491" i="5"/>
  <c r="X490" i="5"/>
  <c r="X489" i="5"/>
  <c r="X488" i="5"/>
  <c r="X487" i="5"/>
  <c r="X486" i="5"/>
  <c r="X485" i="5"/>
  <c r="X484" i="5"/>
  <c r="X483" i="5"/>
  <c r="X482" i="5"/>
  <c r="X481" i="5"/>
  <c r="X480" i="5"/>
  <c r="X479" i="5"/>
  <c r="X478" i="5"/>
  <c r="X477" i="5"/>
  <c r="X476" i="5"/>
  <c r="X475" i="5"/>
  <c r="X474" i="5"/>
  <c r="X473" i="5"/>
  <c r="X472" i="5"/>
  <c r="X471" i="5"/>
  <c r="X470" i="5"/>
  <c r="X469" i="5"/>
  <c r="X468" i="5"/>
  <c r="X467" i="5"/>
  <c r="X466" i="5"/>
  <c r="X465" i="5"/>
  <c r="X464" i="5"/>
  <c r="X463" i="5"/>
  <c r="X462" i="5"/>
  <c r="X461" i="5"/>
  <c r="X460" i="5"/>
  <c r="X459" i="5"/>
  <c r="X458" i="5"/>
  <c r="X457" i="5"/>
  <c r="X456" i="5"/>
  <c r="X455" i="5"/>
  <c r="X454" i="5"/>
  <c r="X453" i="5"/>
  <c r="X452" i="5"/>
  <c r="X451" i="5"/>
  <c r="X450" i="5"/>
  <c r="X449" i="5"/>
  <c r="X448" i="5"/>
  <c r="X447" i="5"/>
  <c r="X446" i="5"/>
  <c r="X445" i="5"/>
  <c r="X444" i="5"/>
  <c r="X443" i="5"/>
  <c r="X442" i="5"/>
  <c r="X441" i="5"/>
  <c r="X440" i="5"/>
  <c r="X439" i="5"/>
  <c r="X438" i="5"/>
  <c r="X437" i="5"/>
  <c r="X436" i="5"/>
  <c r="X435" i="5"/>
  <c r="X434" i="5"/>
  <c r="X433" i="5"/>
  <c r="X432" i="5"/>
  <c r="X431" i="5"/>
  <c r="X430" i="5"/>
  <c r="X429" i="5"/>
  <c r="X428" i="5"/>
  <c r="X427" i="5"/>
  <c r="X426" i="5"/>
  <c r="X425" i="5"/>
  <c r="X424" i="5"/>
  <c r="X423" i="5"/>
  <c r="X422" i="5"/>
  <c r="X421" i="5"/>
  <c r="X420" i="5"/>
  <c r="X419" i="5"/>
  <c r="X418" i="5"/>
  <c r="X417" i="5"/>
  <c r="X416" i="5"/>
  <c r="X415" i="5"/>
  <c r="X414" i="5"/>
  <c r="X413" i="5"/>
  <c r="X412" i="5"/>
  <c r="X411" i="5"/>
  <c r="X410" i="5"/>
  <c r="X409" i="5"/>
  <c r="X408" i="5"/>
  <c r="X407" i="5"/>
  <c r="X406" i="5"/>
  <c r="X405" i="5"/>
  <c r="X404" i="5"/>
  <c r="X403" i="5"/>
  <c r="X402" i="5"/>
  <c r="X401" i="5"/>
  <c r="X400" i="5"/>
  <c r="X399" i="5"/>
  <c r="X398" i="5"/>
  <c r="X397" i="5"/>
  <c r="X396" i="5"/>
  <c r="X395" i="5"/>
  <c r="X394" i="5"/>
  <c r="X393" i="5"/>
  <c r="X392" i="5"/>
  <c r="X391" i="5"/>
  <c r="X390" i="5"/>
  <c r="X389" i="5"/>
  <c r="X388" i="5"/>
  <c r="X387" i="5"/>
  <c r="X386" i="5"/>
  <c r="X385" i="5"/>
  <c r="X384" i="5"/>
  <c r="X383" i="5"/>
  <c r="X382" i="5"/>
  <c r="X381" i="5"/>
  <c r="X380" i="5"/>
  <c r="X379" i="5"/>
  <c r="X378" i="5"/>
  <c r="X377" i="5"/>
  <c r="X376" i="5"/>
  <c r="X375" i="5"/>
  <c r="X374" i="5"/>
  <c r="X373" i="5"/>
  <c r="X372" i="5"/>
  <c r="X371" i="5"/>
  <c r="X370" i="5"/>
  <c r="X369" i="5"/>
  <c r="X368" i="5"/>
  <c r="X367" i="5"/>
  <c r="X366" i="5"/>
  <c r="X365" i="5"/>
  <c r="X364" i="5"/>
  <c r="X363" i="5"/>
  <c r="X362" i="5"/>
  <c r="X361" i="5"/>
  <c r="X360" i="5"/>
  <c r="X359" i="5"/>
  <c r="X358" i="5"/>
  <c r="X357" i="5"/>
  <c r="X356" i="5"/>
  <c r="X355" i="5"/>
  <c r="X354" i="5"/>
  <c r="X353" i="5"/>
  <c r="X352" i="5"/>
  <c r="X351" i="5"/>
  <c r="X350" i="5"/>
  <c r="X349" i="5"/>
  <c r="X348" i="5"/>
  <c r="X347" i="5"/>
  <c r="X346" i="5"/>
  <c r="X345" i="5"/>
  <c r="X344" i="5"/>
  <c r="X343" i="5"/>
  <c r="X342" i="5"/>
  <c r="X341" i="5"/>
  <c r="X340" i="5"/>
  <c r="X339" i="5"/>
  <c r="X338" i="5"/>
  <c r="X337" i="5"/>
  <c r="X336" i="5"/>
  <c r="X335" i="5"/>
  <c r="X334" i="5"/>
  <c r="X333" i="5"/>
  <c r="X332" i="5"/>
  <c r="X331" i="5"/>
  <c r="X330" i="5"/>
  <c r="X329" i="5"/>
  <c r="X328" i="5"/>
  <c r="X327" i="5"/>
  <c r="X326" i="5"/>
  <c r="X325" i="5"/>
  <c r="X324" i="5"/>
  <c r="X323" i="5"/>
  <c r="X322" i="5"/>
  <c r="X321" i="5"/>
  <c r="X320" i="5"/>
  <c r="X319" i="5"/>
  <c r="X318" i="5"/>
  <c r="X317" i="5"/>
  <c r="X316" i="5"/>
  <c r="X315" i="5"/>
  <c r="X314" i="5"/>
  <c r="X313" i="5"/>
  <c r="X312" i="5"/>
  <c r="X311" i="5"/>
  <c r="X310" i="5"/>
  <c r="X309" i="5"/>
  <c r="X308" i="5"/>
  <c r="X307" i="5"/>
  <c r="X306" i="5"/>
  <c r="X305" i="5"/>
  <c r="X304" i="5"/>
  <c r="X303" i="5"/>
  <c r="X302" i="5"/>
  <c r="X301" i="5"/>
  <c r="X300" i="5"/>
  <c r="X299" i="5"/>
  <c r="X298" i="5"/>
  <c r="X297" i="5"/>
  <c r="X296" i="5"/>
  <c r="X295" i="5"/>
  <c r="X294" i="5"/>
  <c r="X293" i="5"/>
  <c r="X292" i="5"/>
  <c r="X291" i="5"/>
  <c r="X290" i="5"/>
  <c r="X289" i="5"/>
  <c r="X288" i="5"/>
  <c r="X287" i="5"/>
  <c r="X286" i="5"/>
  <c r="X285" i="5"/>
  <c r="X284" i="5"/>
  <c r="X283" i="5"/>
  <c r="X282" i="5"/>
  <c r="X281" i="5"/>
  <c r="X280" i="5"/>
  <c r="X279" i="5"/>
  <c r="X278" i="5"/>
  <c r="X277" i="5"/>
  <c r="X276" i="5"/>
  <c r="X275" i="5"/>
  <c r="X274" i="5"/>
  <c r="X273" i="5"/>
  <c r="X272" i="5"/>
  <c r="X271" i="5"/>
  <c r="X270" i="5"/>
  <c r="X269" i="5"/>
  <c r="X268" i="5"/>
  <c r="X267" i="5"/>
  <c r="X266" i="5"/>
  <c r="X265" i="5"/>
  <c r="X264" i="5"/>
  <c r="X263" i="5"/>
  <c r="X262" i="5"/>
  <c r="X261" i="5"/>
  <c r="X260" i="5"/>
  <c r="X259" i="5"/>
  <c r="X258" i="5"/>
  <c r="X257" i="5"/>
  <c r="X256" i="5"/>
  <c r="X255" i="5"/>
  <c r="X254" i="5"/>
  <c r="X253" i="5"/>
  <c r="X252" i="5"/>
  <c r="X251" i="5"/>
  <c r="X250" i="5"/>
  <c r="X249" i="5"/>
  <c r="X248" i="5"/>
  <c r="X247" i="5"/>
  <c r="X246" i="5"/>
  <c r="X245" i="5"/>
  <c r="X244" i="5"/>
  <c r="X243" i="5"/>
  <c r="X242" i="5"/>
  <c r="X241" i="5"/>
  <c r="X240" i="5"/>
  <c r="X239" i="5"/>
  <c r="X238" i="5"/>
  <c r="X237" i="5"/>
  <c r="X236" i="5"/>
  <c r="X235" i="5"/>
  <c r="X234" i="5"/>
  <c r="X233" i="5"/>
  <c r="X232" i="5"/>
  <c r="X231" i="5"/>
  <c r="X230" i="5"/>
  <c r="X229" i="5"/>
  <c r="X228" i="5"/>
  <c r="X227" i="5"/>
  <c r="X226" i="5"/>
  <c r="X225" i="5"/>
  <c r="X224" i="5"/>
  <c r="X223" i="5"/>
  <c r="X222" i="5"/>
  <c r="X221" i="5"/>
  <c r="X220" i="5"/>
  <c r="X219" i="5"/>
  <c r="X218" i="5"/>
  <c r="X217" i="5"/>
  <c r="X216" i="5"/>
  <c r="X215" i="5"/>
  <c r="X214" i="5"/>
  <c r="X213" i="5"/>
  <c r="X212" i="5"/>
  <c r="X211" i="5"/>
  <c r="X210" i="5"/>
  <c r="X209" i="5"/>
  <c r="X208" i="5"/>
  <c r="X207" i="5"/>
  <c r="X206" i="5"/>
  <c r="X205" i="5"/>
  <c r="X204" i="5"/>
  <c r="X203" i="5"/>
  <c r="X202" i="5"/>
  <c r="X201" i="5"/>
  <c r="X200" i="5"/>
  <c r="X199" i="5"/>
  <c r="X198" i="5"/>
  <c r="X197" i="5"/>
  <c r="X196" i="5"/>
  <c r="X195" i="5"/>
  <c r="X194" i="5"/>
  <c r="X193" i="5"/>
  <c r="X192" i="5"/>
  <c r="X191" i="5"/>
  <c r="X190" i="5"/>
  <c r="X189" i="5"/>
  <c r="X188" i="5"/>
  <c r="X187" i="5"/>
  <c r="X186" i="5"/>
  <c r="X185" i="5"/>
  <c r="X184" i="5"/>
  <c r="X183" i="5"/>
  <c r="X182" i="5"/>
  <c r="X181" i="5"/>
  <c r="X180" i="5"/>
  <c r="X179" i="5"/>
  <c r="X178" i="5"/>
  <c r="X177" i="5"/>
  <c r="X176" i="5"/>
  <c r="X175" i="5"/>
  <c r="X174" i="5"/>
  <c r="X173" i="5"/>
  <c r="X172" i="5"/>
  <c r="X171" i="5"/>
  <c r="X170" i="5"/>
  <c r="X169" i="5"/>
  <c r="X168" i="5"/>
  <c r="X167" i="5"/>
  <c r="X166" i="5"/>
  <c r="X165" i="5"/>
  <c r="X164" i="5"/>
  <c r="X163" i="5"/>
  <c r="X162" i="5"/>
  <c r="X161" i="5"/>
  <c r="X160" i="5"/>
  <c r="X159" i="5"/>
  <c r="X158" i="5"/>
  <c r="X157" i="5"/>
  <c r="X156" i="5"/>
  <c r="X155" i="5"/>
  <c r="X154" i="5"/>
  <c r="X153" i="5"/>
  <c r="X152" i="5"/>
  <c r="X151" i="5"/>
  <c r="X150" i="5"/>
  <c r="X149" i="5"/>
  <c r="X148" i="5"/>
  <c r="X147" i="5"/>
  <c r="X146" i="5"/>
  <c r="X145" i="5"/>
  <c r="X144" i="5"/>
  <c r="X143" i="5"/>
  <c r="X142" i="5"/>
  <c r="X141" i="5"/>
  <c r="X140" i="5"/>
  <c r="X139" i="5"/>
  <c r="X138" i="5"/>
  <c r="X137" i="5"/>
  <c r="X136" i="5"/>
  <c r="X135" i="5"/>
  <c r="X134" i="5"/>
  <c r="X133" i="5"/>
  <c r="X132" i="5"/>
  <c r="X131" i="5"/>
  <c r="X130" i="5"/>
  <c r="X129" i="5"/>
  <c r="X128" i="5"/>
  <c r="X127" i="5"/>
  <c r="X126" i="5"/>
  <c r="X125" i="5"/>
  <c r="X124" i="5"/>
  <c r="X123" i="5"/>
  <c r="X122" i="5"/>
  <c r="X121" i="5"/>
  <c r="X120" i="5"/>
  <c r="X119" i="5"/>
  <c r="X118" i="5"/>
  <c r="X117" i="5"/>
  <c r="X116" i="5"/>
  <c r="X115" i="5"/>
  <c r="X114" i="5"/>
  <c r="X113" i="5"/>
  <c r="X112" i="5"/>
  <c r="X111" i="5"/>
  <c r="X110" i="5"/>
  <c r="X109" i="5"/>
  <c r="X108" i="5"/>
  <c r="X107" i="5"/>
  <c r="X106" i="5"/>
  <c r="X105" i="5"/>
  <c r="X104" i="5"/>
  <c r="X103" i="5"/>
  <c r="X102" i="5"/>
  <c r="X101" i="5"/>
  <c r="X100" i="5"/>
  <c r="X99" i="5"/>
  <c r="X98" i="5"/>
  <c r="X97" i="5"/>
  <c r="X96" i="5"/>
  <c r="X95" i="5"/>
  <c r="X94" i="5"/>
  <c r="X93" i="5"/>
  <c r="X92" i="5"/>
  <c r="X91" i="5"/>
  <c r="X90" i="5"/>
  <c r="X89" i="5"/>
  <c r="X88" i="5"/>
  <c r="X87" i="5"/>
  <c r="X86" i="5"/>
  <c r="X85" i="5"/>
  <c r="X84" i="5"/>
  <c r="X83" i="5"/>
  <c r="X82" i="5"/>
  <c r="X81" i="5"/>
  <c r="X80" i="5"/>
  <c r="X79" i="5"/>
  <c r="X78" i="5"/>
  <c r="X77" i="5"/>
  <c r="X76" i="5"/>
  <c r="X75" i="5"/>
  <c r="X74" i="5"/>
  <c r="X73" i="5"/>
  <c r="X72" i="5"/>
  <c r="X71" i="5"/>
  <c r="X70" i="5"/>
  <c r="X69" i="5"/>
  <c r="X68" i="5"/>
  <c r="X67" i="5"/>
  <c r="X66" i="5"/>
  <c r="X65" i="5"/>
  <c r="X64" i="5"/>
  <c r="X63" i="5"/>
  <c r="X62" i="5"/>
  <c r="X61" i="5"/>
  <c r="X60" i="5"/>
  <c r="X59" i="5"/>
  <c r="X58" i="5"/>
  <c r="X57" i="5"/>
  <c r="X56" i="5"/>
  <c r="X55" i="5"/>
  <c r="X54" i="5"/>
  <c r="X53" i="5"/>
  <c r="X52" i="5"/>
  <c r="X51" i="5"/>
  <c r="X50" i="5"/>
  <c r="X49" i="5"/>
  <c r="X48" i="5"/>
  <c r="X47" i="5"/>
  <c r="X46" i="5"/>
  <c r="X45" i="5"/>
  <c r="X44" i="5"/>
  <c r="X43" i="5"/>
  <c r="X42" i="5"/>
  <c r="X41" i="5"/>
  <c r="X40" i="5"/>
  <c r="X39" i="5"/>
  <c r="X38" i="5"/>
  <c r="X37" i="5"/>
  <c r="X36" i="5"/>
  <c r="X35" i="5"/>
  <c r="X34" i="5"/>
  <c r="X33" i="5"/>
  <c r="X32" i="5"/>
  <c r="X31" i="5"/>
  <c r="X30" i="5"/>
  <c r="X29" i="5"/>
  <c r="X28" i="5"/>
  <c r="X27" i="5"/>
  <c r="X26" i="5"/>
  <c r="X25" i="5"/>
  <c r="X24" i="5"/>
  <c r="X23" i="5"/>
  <c r="X22" i="5"/>
  <c r="X21" i="5"/>
  <c r="X20" i="5"/>
  <c r="X19" i="5"/>
  <c r="X18" i="5"/>
  <c r="X17" i="5"/>
  <c r="X16" i="5"/>
  <c r="X15" i="5"/>
  <c r="X14" i="5"/>
  <c r="X13" i="5"/>
  <c r="X12" i="5"/>
  <c r="X11" i="5"/>
  <c r="X10" i="5"/>
  <c r="X9" i="5"/>
  <c r="X8" i="5"/>
  <c r="T607" i="5"/>
  <c r="T606" i="5"/>
  <c r="T605" i="5"/>
  <c r="T604" i="5"/>
  <c r="T603" i="5"/>
  <c r="T602" i="5"/>
  <c r="T601" i="5"/>
  <c r="T600" i="5"/>
  <c r="T599" i="5"/>
  <c r="T598" i="5"/>
  <c r="T597" i="5"/>
  <c r="T596" i="5"/>
  <c r="T595" i="5"/>
  <c r="T594" i="5"/>
  <c r="T593" i="5"/>
  <c r="T592" i="5"/>
  <c r="T591" i="5"/>
  <c r="T590" i="5"/>
  <c r="T589" i="5"/>
  <c r="T588" i="5"/>
  <c r="T587" i="5"/>
  <c r="T586" i="5"/>
  <c r="T585" i="5"/>
  <c r="T584" i="5"/>
  <c r="T583" i="5"/>
  <c r="T582" i="5"/>
  <c r="T581" i="5"/>
  <c r="T580" i="5"/>
  <c r="T579" i="5"/>
  <c r="T578" i="5"/>
  <c r="T577" i="5"/>
  <c r="T576" i="5"/>
  <c r="T575" i="5"/>
  <c r="T574" i="5"/>
  <c r="T573" i="5"/>
  <c r="T572" i="5"/>
  <c r="T571" i="5"/>
  <c r="T570" i="5"/>
  <c r="T569" i="5"/>
  <c r="T568" i="5"/>
  <c r="T567" i="5"/>
  <c r="T566" i="5"/>
  <c r="T565" i="5"/>
  <c r="T564" i="5"/>
  <c r="T563" i="5"/>
  <c r="T562" i="5"/>
  <c r="T561" i="5"/>
  <c r="T560" i="5"/>
  <c r="T559" i="5"/>
  <c r="T558" i="5"/>
  <c r="T557" i="5"/>
  <c r="T556" i="5"/>
  <c r="T555" i="5"/>
  <c r="T554" i="5"/>
  <c r="T553" i="5"/>
  <c r="T552" i="5"/>
  <c r="T551" i="5"/>
  <c r="T550" i="5"/>
  <c r="T549" i="5"/>
  <c r="T548" i="5"/>
  <c r="T547" i="5"/>
  <c r="T546" i="5"/>
  <c r="T545" i="5"/>
  <c r="T544" i="5"/>
  <c r="T543" i="5"/>
  <c r="T542" i="5"/>
  <c r="T541" i="5"/>
  <c r="T540" i="5"/>
  <c r="T539" i="5"/>
  <c r="T538" i="5"/>
  <c r="T537" i="5"/>
  <c r="T536" i="5"/>
  <c r="T535" i="5"/>
  <c r="T534" i="5"/>
  <c r="T533" i="5"/>
  <c r="T532" i="5"/>
  <c r="T531" i="5"/>
  <c r="T530" i="5"/>
  <c r="T529" i="5"/>
  <c r="T528" i="5"/>
  <c r="T527" i="5"/>
  <c r="T526" i="5"/>
  <c r="T525" i="5"/>
  <c r="T524" i="5"/>
  <c r="T523" i="5"/>
  <c r="T522" i="5"/>
  <c r="T521" i="5"/>
  <c r="T520" i="5"/>
  <c r="T519" i="5"/>
  <c r="T518" i="5"/>
  <c r="T517" i="5"/>
  <c r="T516" i="5"/>
  <c r="T515" i="5"/>
  <c r="T514" i="5"/>
  <c r="T513" i="5"/>
  <c r="T512" i="5"/>
  <c r="T511" i="5"/>
  <c r="T510" i="5"/>
  <c r="T509" i="5"/>
  <c r="T508" i="5"/>
  <c r="T507" i="5"/>
  <c r="T506" i="5"/>
  <c r="T505" i="5"/>
  <c r="T504" i="5"/>
  <c r="T503" i="5"/>
  <c r="T502" i="5"/>
  <c r="T501" i="5"/>
  <c r="T500" i="5"/>
  <c r="T499" i="5"/>
  <c r="T498" i="5"/>
  <c r="T497" i="5"/>
  <c r="T496" i="5"/>
  <c r="T495" i="5"/>
  <c r="T494" i="5"/>
  <c r="T493" i="5"/>
  <c r="T492" i="5"/>
  <c r="T491" i="5"/>
  <c r="T490" i="5"/>
  <c r="T489" i="5"/>
  <c r="T488" i="5"/>
  <c r="T487" i="5"/>
  <c r="T486" i="5"/>
  <c r="T485" i="5"/>
  <c r="T484" i="5"/>
  <c r="T483" i="5"/>
  <c r="T482" i="5"/>
  <c r="T481" i="5"/>
  <c r="T480" i="5"/>
  <c r="T479" i="5"/>
  <c r="T478" i="5"/>
  <c r="T477" i="5"/>
  <c r="T476" i="5"/>
  <c r="T475" i="5"/>
  <c r="T474" i="5"/>
  <c r="T473" i="5"/>
  <c r="T472" i="5"/>
  <c r="T471" i="5"/>
  <c r="T470" i="5"/>
  <c r="T469" i="5"/>
  <c r="T468" i="5"/>
  <c r="T467" i="5"/>
  <c r="T466" i="5"/>
  <c r="T465" i="5"/>
  <c r="T464" i="5"/>
  <c r="T463" i="5"/>
  <c r="T462" i="5"/>
  <c r="T461" i="5"/>
  <c r="T460" i="5"/>
  <c r="T459" i="5"/>
  <c r="T458" i="5"/>
  <c r="T457" i="5"/>
  <c r="T456" i="5"/>
  <c r="T455" i="5"/>
  <c r="T454" i="5"/>
  <c r="T453" i="5"/>
  <c r="T452" i="5"/>
  <c r="T451" i="5"/>
  <c r="T450" i="5"/>
  <c r="T449" i="5"/>
  <c r="T448" i="5"/>
  <c r="T447" i="5"/>
  <c r="T446" i="5"/>
  <c r="T445" i="5"/>
  <c r="T444" i="5"/>
  <c r="T443" i="5"/>
  <c r="T442" i="5"/>
  <c r="T441" i="5"/>
  <c r="T440" i="5"/>
  <c r="T439" i="5"/>
  <c r="T438" i="5"/>
  <c r="T437" i="5"/>
  <c r="T436" i="5"/>
  <c r="T435" i="5"/>
  <c r="T434" i="5"/>
  <c r="T433" i="5"/>
  <c r="T432" i="5"/>
  <c r="T431" i="5"/>
  <c r="T430" i="5"/>
  <c r="T429" i="5"/>
  <c r="T428" i="5"/>
  <c r="T427" i="5"/>
  <c r="T426" i="5"/>
  <c r="T425" i="5"/>
  <c r="T424" i="5"/>
  <c r="T423" i="5"/>
  <c r="T422" i="5"/>
  <c r="T421" i="5"/>
  <c r="T420" i="5"/>
  <c r="T419" i="5"/>
  <c r="T418" i="5"/>
  <c r="T417" i="5"/>
  <c r="T416" i="5"/>
  <c r="T415" i="5"/>
  <c r="T414" i="5"/>
  <c r="T413" i="5"/>
  <c r="T412" i="5"/>
  <c r="T411" i="5"/>
  <c r="T410" i="5"/>
  <c r="T409" i="5"/>
  <c r="T408" i="5"/>
  <c r="T407" i="5"/>
  <c r="T406" i="5"/>
  <c r="T405" i="5"/>
  <c r="T404" i="5"/>
  <c r="T403" i="5"/>
  <c r="T402" i="5"/>
  <c r="T401" i="5"/>
  <c r="T400" i="5"/>
  <c r="T399" i="5"/>
  <c r="T398" i="5"/>
  <c r="T397" i="5"/>
  <c r="T396" i="5"/>
  <c r="T395" i="5"/>
  <c r="T394" i="5"/>
  <c r="T393" i="5"/>
  <c r="T392" i="5"/>
  <c r="T391" i="5"/>
  <c r="T390" i="5"/>
  <c r="T389" i="5"/>
  <c r="T388" i="5"/>
  <c r="T387" i="5"/>
  <c r="T386" i="5"/>
  <c r="T385" i="5"/>
  <c r="T384" i="5"/>
  <c r="T383" i="5"/>
  <c r="T382" i="5"/>
  <c r="T381" i="5"/>
  <c r="T380" i="5"/>
  <c r="T379" i="5"/>
  <c r="T378" i="5"/>
  <c r="T377" i="5"/>
  <c r="T376" i="5"/>
  <c r="T375" i="5"/>
  <c r="T374" i="5"/>
  <c r="T373" i="5"/>
  <c r="T372" i="5"/>
  <c r="T371" i="5"/>
  <c r="T370" i="5"/>
  <c r="T369" i="5"/>
  <c r="T368" i="5"/>
  <c r="T367" i="5"/>
  <c r="T366" i="5"/>
  <c r="T365" i="5"/>
  <c r="T364" i="5"/>
  <c r="T363" i="5"/>
  <c r="T362" i="5"/>
  <c r="T361" i="5"/>
  <c r="T360" i="5"/>
  <c r="T359" i="5"/>
  <c r="T358" i="5"/>
  <c r="T357" i="5"/>
  <c r="T356" i="5"/>
  <c r="T355" i="5"/>
  <c r="T354" i="5"/>
  <c r="T353" i="5"/>
  <c r="T352" i="5"/>
  <c r="T351" i="5"/>
  <c r="T350" i="5"/>
  <c r="T349" i="5"/>
  <c r="T348" i="5"/>
  <c r="T347" i="5"/>
  <c r="T346" i="5"/>
  <c r="T345" i="5"/>
  <c r="T344" i="5"/>
  <c r="T343" i="5"/>
  <c r="T342" i="5"/>
  <c r="T341" i="5"/>
  <c r="T340" i="5"/>
  <c r="T339" i="5"/>
  <c r="T338" i="5"/>
  <c r="T337" i="5"/>
  <c r="T336" i="5"/>
  <c r="T335" i="5"/>
  <c r="T334" i="5"/>
  <c r="T333" i="5"/>
  <c r="T332" i="5"/>
  <c r="T331" i="5"/>
  <c r="T330" i="5"/>
  <c r="T329" i="5"/>
  <c r="T328" i="5"/>
  <c r="T327" i="5"/>
  <c r="T326" i="5"/>
  <c r="T325" i="5"/>
  <c r="T324" i="5"/>
  <c r="T323" i="5"/>
  <c r="T322" i="5"/>
  <c r="T321" i="5"/>
  <c r="T320" i="5"/>
  <c r="T319" i="5"/>
  <c r="T318" i="5"/>
  <c r="T317" i="5"/>
  <c r="T316" i="5"/>
  <c r="T315" i="5"/>
  <c r="T314" i="5"/>
  <c r="T313" i="5"/>
  <c r="T312" i="5"/>
  <c r="T311" i="5"/>
  <c r="T310" i="5"/>
  <c r="T309" i="5"/>
  <c r="T308" i="5"/>
  <c r="T307" i="5"/>
  <c r="T306" i="5"/>
  <c r="T305" i="5"/>
  <c r="T304" i="5"/>
  <c r="T303" i="5"/>
  <c r="T302" i="5"/>
  <c r="T301" i="5"/>
  <c r="T300" i="5"/>
  <c r="T299" i="5"/>
  <c r="T298" i="5"/>
  <c r="T297" i="5"/>
  <c r="T296" i="5"/>
  <c r="T295" i="5"/>
  <c r="T294" i="5"/>
  <c r="T293" i="5"/>
  <c r="T292" i="5"/>
  <c r="T291" i="5"/>
  <c r="T290" i="5"/>
  <c r="T289" i="5"/>
  <c r="T288" i="5"/>
  <c r="T287" i="5"/>
  <c r="T286" i="5"/>
  <c r="T285" i="5"/>
  <c r="T284" i="5"/>
  <c r="T283" i="5"/>
  <c r="T282" i="5"/>
  <c r="T281" i="5"/>
  <c r="T280" i="5"/>
  <c r="T279" i="5"/>
  <c r="T278" i="5"/>
  <c r="T277" i="5"/>
  <c r="T276" i="5"/>
  <c r="T275" i="5"/>
  <c r="T274" i="5"/>
  <c r="T273" i="5"/>
  <c r="T272" i="5"/>
  <c r="T271" i="5"/>
  <c r="T270" i="5"/>
  <c r="T269" i="5"/>
  <c r="T268" i="5"/>
  <c r="T267" i="5"/>
  <c r="T266" i="5"/>
  <c r="T265" i="5"/>
  <c r="T264" i="5"/>
  <c r="T263" i="5"/>
  <c r="T262" i="5"/>
  <c r="T261" i="5"/>
  <c r="T260" i="5"/>
  <c r="T259" i="5"/>
  <c r="T258" i="5"/>
  <c r="T257" i="5"/>
  <c r="T256" i="5"/>
  <c r="T255" i="5"/>
  <c r="T254" i="5"/>
  <c r="T253" i="5"/>
  <c r="T252" i="5"/>
  <c r="T251" i="5"/>
  <c r="T250" i="5"/>
  <c r="T249" i="5"/>
  <c r="T248" i="5"/>
  <c r="T247" i="5"/>
  <c r="T246" i="5"/>
  <c r="T245" i="5"/>
  <c r="T244" i="5"/>
  <c r="T243" i="5"/>
  <c r="T242" i="5"/>
  <c r="T241" i="5"/>
  <c r="T240" i="5"/>
  <c r="T239" i="5"/>
  <c r="T238" i="5"/>
  <c r="T237" i="5"/>
  <c r="T236" i="5"/>
  <c r="T235" i="5"/>
  <c r="T234" i="5"/>
  <c r="T233" i="5"/>
  <c r="T232" i="5"/>
  <c r="T231" i="5"/>
  <c r="T230" i="5"/>
  <c r="T229" i="5"/>
  <c r="T228" i="5"/>
  <c r="T227" i="5"/>
  <c r="T226" i="5"/>
  <c r="T225" i="5"/>
  <c r="T224" i="5"/>
  <c r="T223" i="5"/>
  <c r="T222" i="5"/>
  <c r="T221" i="5"/>
  <c r="T220" i="5"/>
  <c r="T219" i="5"/>
  <c r="T218" i="5"/>
  <c r="T217" i="5"/>
  <c r="T216" i="5"/>
  <c r="T215" i="5"/>
  <c r="T214" i="5"/>
  <c r="T213" i="5"/>
  <c r="T212" i="5"/>
  <c r="T211" i="5"/>
  <c r="T210" i="5"/>
  <c r="T209" i="5"/>
  <c r="T208" i="5"/>
  <c r="T207" i="5"/>
  <c r="T206" i="5"/>
  <c r="T205" i="5"/>
  <c r="T204" i="5"/>
  <c r="T203" i="5"/>
  <c r="T202" i="5"/>
  <c r="T201" i="5"/>
  <c r="T200" i="5"/>
  <c r="T199" i="5"/>
  <c r="T198" i="5"/>
  <c r="T197" i="5"/>
  <c r="T196" i="5"/>
  <c r="T195" i="5"/>
  <c r="T194" i="5"/>
  <c r="T193" i="5"/>
  <c r="T192" i="5"/>
  <c r="T191" i="5"/>
  <c r="T190" i="5"/>
  <c r="T189" i="5"/>
  <c r="T188" i="5"/>
  <c r="T187" i="5"/>
  <c r="T186" i="5"/>
  <c r="T185" i="5"/>
  <c r="T184" i="5"/>
  <c r="T183" i="5"/>
  <c r="T182" i="5"/>
  <c r="T181" i="5"/>
  <c r="T180" i="5"/>
  <c r="T179" i="5"/>
  <c r="T178" i="5"/>
  <c r="T177" i="5"/>
  <c r="T176" i="5"/>
  <c r="T175" i="5"/>
  <c r="T174" i="5"/>
  <c r="T173" i="5"/>
  <c r="T172" i="5"/>
  <c r="T171" i="5"/>
  <c r="T170" i="5"/>
  <c r="T169" i="5"/>
  <c r="T168" i="5"/>
  <c r="T167" i="5"/>
  <c r="T166" i="5"/>
  <c r="T165" i="5"/>
  <c r="T164" i="5"/>
  <c r="T163" i="5"/>
  <c r="T162" i="5"/>
  <c r="T161" i="5"/>
  <c r="T160" i="5"/>
  <c r="T159" i="5"/>
  <c r="T158" i="5"/>
  <c r="T157" i="5"/>
  <c r="T156" i="5"/>
  <c r="T155" i="5"/>
  <c r="T154" i="5"/>
  <c r="T153" i="5"/>
  <c r="T152" i="5"/>
  <c r="T151" i="5"/>
  <c r="T150" i="5"/>
  <c r="T149" i="5"/>
  <c r="T148" i="5"/>
  <c r="T147" i="5"/>
  <c r="T146" i="5"/>
  <c r="T145" i="5"/>
  <c r="T144" i="5"/>
  <c r="T143" i="5"/>
  <c r="T142" i="5"/>
  <c r="T141" i="5"/>
  <c r="T140" i="5"/>
  <c r="T139" i="5"/>
  <c r="T138" i="5"/>
  <c r="T137" i="5"/>
  <c r="T136" i="5"/>
  <c r="T135" i="5"/>
  <c r="T134" i="5"/>
  <c r="T133" i="5"/>
  <c r="T132" i="5"/>
  <c r="T131" i="5"/>
  <c r="T130" i="5"/>
  <c r="T129" i="5"/>
  <c r="T128" i="5"/>
  <c r="T127" i="5"/>
  <c r="T126" i="5"/>
  <c r="T125" i="5"/>
  <c r="T124" i="5"/>
  <c r="T123" i="5"/>
  <c r="T122" i="5"/>
  <c r="T121" i="5"/>
  <c r="T120" i="5"/>
  <c r="T119" i="5"/>
  <c r="T118" i="5"/>
  <c r="T117" i="5"/>
  <c r="T116" i="5"/>
  <c r="T115" i="5"/>
  <c r="T114" i="5"/>
  <c r="T113" i="5"/>
  <c r="T112" i="5"/>
  <c r="T111" i="5"/>
  <c r="T110" i="5"/>
  <c r="T109" i="5"/>
  <c r="T108" i="5"/>
  <c r="T107" i="5"/>
  <c r="T106" i="5"/>
  <c r="T105" i="5"/>
  <c r="T104" i="5"/>
  <c r="T103" i="5"/>
  <c r="T102" i="5"/>
  <c r="T101" i="5"/>
  <c r="T100" i="5"/>
  <c r="T99" i="5"/>
  <c r="T98" i="5"/>
  <c r="T97" i="5"/>
  <c r="T96" i="5"/>
  <c r="T95" i="5"/>
  <c r="T94" i="5"/>
  <c r="T93" i="5"/>
  <c r="T92" i="5"/>
  <c r="T91" i="5"/>
  <c r="T90" i="5"/>
  <c r="T89" i="5"/>
  <c r="T88" i="5"/>
  <c r="T87" i="5"/>
  <c r="T86" i="5"/>
  <c r="T85" i="5"/>
  <c r="T84" i="5"/>
  <c r="T83" i="5"/>
  <c r="T82" i="5"/>
  <c r="T81" i="5"/>
  <c r="T80" i="5"/>
  <c r="T79" i="5"/>
  <c r="T78" i="5"/>
  <c r="T77" i="5"/>
  <c r="T76" i="5"/>
  <c r="T75" i="5"/>
  <c r="T74" i="5"/>
  <c r="T73" i="5"/>
  <c r="T72" i="5"/>
  <c r="T71" i="5"/>
  <c r="T70" i="5"/>
  <c r="T69" i="5"/>
  <c r="T68" i="5"/>
  <c r="T67" i="5"/>
  <c r="T66" i="5"/>
  <c r="T65" i="5"/>
  <c r="T64" i="5"/>
  <c r="T63" i="5"/>
  <c r="T62" i="5"/>
  <c r="T61" i="5"/>
  <c r="T60" i="5"/>
  <c r="T59" i="5"/>
  <c r="T58" i="5"/>
  <c r="T57" i="5"/>
  <c r="T56" i="5"/>
  <c r="T55" i="5"/>
  <c r="T54" i="5"/>
  <c r="T53" i="5"/>
  <c r="T52" i="5"/>
  <c r="T51" i="5"/>
  <c r="T50" i="5"/>
  <c r="T49" i="5"/>
  <c r="T48" i="5"/>
  <c r="T47" i="5"/>
  <c r="T46" i="5"/>
  <c r="T45" i="5"/>
  <c r="T44" i="5"/>
  <c r="T43" i="5"/>
  <c r="T42" i="5"/>
  <c r="T41" i="5"/>
  <c r="T40" i="5"/>
  <c r="T39" i="5"/>
  <c r="T38" i="5"/>
  <c r="T37" i="5"/>
  <c r="T36" i="5"/>
  <c r="T35" i="5"/>
  <c r="T34" i="5"/>
  <c r="T33" i="5"/>
  <c r="T32" i="5"/>
  <c r="T31" i="5"/>
  <c r="T30" i="5"/>
  <c r="T29" i="5"/>
  <c r="T28" i="5"/>
  <c r="T27" i="5"/>
  <c r="T26" i="5"/>
  <c r="T25" i="5"/>
  <c r="T24" i="5"/>
  <c r="T23" i="5"/>
  <c r="T22" i="5"/>
  <c r="T21" i="5"/>
  <c r="T20" i="5"/>
  <c r="T19" i="5"/>
  <c r="T18" i="5"/>
  <c r="T17" i="5"/>
  <c r="T16" i="5"/>
  <c r="T15" i="5"/>
  <c r="T14" i="5"/>
  <c r="T13" i="5"/>
  <c r="T12" i="5"/>
  <c r="T11" i="5"/>
  <c r="T10" i="5"/>
  <c r="T9" i="5"/>
  <c r="T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8" i="5"/>
  <c r="C2" i="4" l="1"/>
  <c r="G11" i="6" l="1"/>
  <c r="Z9" i="4"/>
  <c r="AA9" i="4"/>
  <c r="D44" i="6"/>
  <c r="D43" i="6"/>
  <c r="P55" i="6"/>
  <c r="AN3" i="4"/>
  <c r="L52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E5" i="4"/>
  <c r="H5" i="4"/>
  <c r="C3" i="4"/>
  <c r="I14" i="8"/>
  <c r="I13" i="8"/>
  <c r="I12" i="8"/>
  <c r="J6" i="8"/>
  <c r="K6" i="8"/>
  <c r="K7" i="8" s="1"/>
  <c r="K8" i="8" s="1"/>
  <c r="K9" i="8" s="1"/>
  <c r="K10" i="8" s="1"/>
  <c r="K11" i="8" s="1"/>
  <c r="K12" i="8" s="1"/>
  <c r="K13" i="8" s="1"/>
  <c r="K14" i="8" s="1"/>
  <c r="K15" i="8" s="1"/>
  <c r="J7" i="8"/>
  <c r="J8" i="8" s="1"/>
  <c r="K5" i="8"/>
  <c r="J5" i="8"/>
  <c r="I4" i="8"/>
  <c r="AN4" i="4" l="1"/>
  <c r="J9" i="8"/>
  <c r="I8" i="8"/>
  <c r="I7" i="8"/>
  <c r="I6" i="8"/>
  <c r="I5" i="8"/>
  <c r="I9" i="8" l="1"/>
  <c r="J10" i="8"/>
  <c r="I10" i="8" l="1"/>
  <c r="J11" i="8"/>
  <c r="J12" i="8" l="1"/>
  <c r="I11" i="8"/>
  <c r="J13" i="8" l="1"/>
  <c r="J14" i="8" l="1"/>
  <c r="J15" i="8" l="1"/>
  <c r="I15" i="8" l="1"/>
  <c r="B1" i="5" l="1"/>
  <c r="AK6" i="5" l="1"/>
  <c r="BA6" i="5"/>
  <c r="BQ6" i="5"/>
  <c r="CG6" i="5"/>
  <c r="CW6" i="5"/>
  <c r="DP6" i="5"/>
  <c r="DT6" i="5"/>
  <c r="DX6" i="5"/>
  <c r="L6" i="5"/>
  <c r="J6" i="5"/>
  <c r="Y6" i="5"/>
  <c r="AO6" i="5"/>
  <c r="BE6" i="5"/>
  <c r="BU6" i="5"/>
  <c r="CK6" i="5"/>
  <c r="DA6" i="5"/>
  <c r="DQ6" i="5"/>
  <c r="DU6" i="5"/>
  <c r="DY6" i="5"/>
  <c r="M6" i="5"/>
  <c r="AC6" i="5"/>
  <c r="AS6" i="5"/>
  <c r="BI6" i="5"/>
  <c r="BY6" i="5"/>
  <c r="CO6" i="5"/>
  <c r="DH6" i="5"/>
  <c r="DR6" i="5"/>
  <c r="DV6" i="5"/>
  <c r="DZ6" i="5"/>
  <c r="Q6" i="5"/>
  <c r="AG6" i="5"/>
  <c r="AW6" i="5"/>
  <c r="BM6" i="5"/>
  <c r="CC6" i="5"/>
  <c r="CS6" i="5"/>
  <c r="DL6" i="5"/>
  <c r="DS6" i="5"/>
  <c r="DW6" i="5"/>
  <c r="K6" i="5"/>
  <c r="U6" i="5"/>
  <c r="D49" i="6"/>
  <c r="AF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9" i="4"/>
  <c r="G1" i="4" l="1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38" i="3"/>
  <c r="AN10" i="4"/>
  <c r="AO10" i="4"/>
  <c r="AP10" i="4"/>
  <c r="AQ10" i="4"/>
  <c r="AR10" i="4"/>
  <c r="AS10" i="4"/>
  <c r="AN11" i="4"/>
  <c r="AO11" i="4"/>
  <c r="AP11" i="4"/>
  <c r="AQ11" i="4"/>
  <c r="AR11" i="4"/>
  <c r="AS11" i="4"/>
  <c r="AN12" i="4"/>
  <c r="AO12" i="4"/>
  <c r="AP12" i="4"/>
  <c r="AQ12" i="4"/>
  <c r="AR12" i="4"/>
  <c r="AS12" i="4"/>
  <c r="AN13" i="4"/>
  <c r="AO13" i="4"/>
  <c r="AP13" i="4"/>
  <c r="AQ13" i="4"/>
  <c r="AR13" i="4"/>
  <c r="AS13" i="4"/>
  <c r="AN14" i="4"/>
  <c r="AO14" i="4"/>
  <c r="AP14" i="4"/>
  <c r="AQ14" i="4"/>
  <c r="AR14" i="4"/>
  <c r="AS14" i="4"/>
  <c r="AN15" i="4"/>
  <c r="AO15" i="4"/>
  <c r="AP15" i="4"/>
  <c r="AQ15" i="4"/>
  <c r="AR15" i="4"/>
  <c r="AS15" i="4"/>
  <c r="AN16" i="4"/>
  <c r="AO16" i="4"/>
  <c r="AP16" i="4"/>
  <c r="AQ16" i="4"/>
  <c r="AR16" i="4"/>
  <c r="AS16" i="4"/>
  <c r="AN17" i="4"/>
  <c r="AO17" i="4"/>
  <c r="AP17" i="4"/>
  <c r="AQ17" i="4"/>
  <c r="AR17" i="4"/>
  <c r="AS17" i="4"/>
  <c r="AN18" i="4"/>
  <c r="AO18" i="4"/>
  <c r="AP18" i="4"/>
  <c r="AQ18" i="4"/>
  <c r="AR18" i="4"/>
  <c r="AS18" i="4"/>
  <c r="AN19" i="4"/>
  <c r="AO19" i="4"/>
  <c r="AP19" i="4"/>
  <c r="AQ19" i="4"/>
  <c r="AR19" i="4"/>
  <c r="AS19" i="4"/>
  <c r="AN20" i="4"/>
  <c r="AO20" i="4"/>
  <c r="AP20" i="4"/>
  <c r="AQ20" i="4"/>
  <c r="AR20" i="4"/>
  <c r="AS20" i="4"/>
  <c r="AN21" i="4"/>
  <c r="AO21" i="4"/>
  <c r="AP21" i="4"/>
  <c r="AQ21" i="4"/>
  <c r="AR21" i="4"/>
  <c r="AS21" i="4"/>
  <c r="AN22" i="4"/>
  <c r="AO22" i="4"/>
  <c r="AP22" i="4"/>
  <c r="AQ22" i="4"/>
  <c r="AR22" i="4"/>
  <c r="AS22" i="4"/>
  <c r="AN23" i="4"/>
  <c r="AO23" i="4"/>
  <c r="AP23" i="4"/>
  <c r="AQ23" i="4"/>
  <c r="AR23" i="4"/>
  <c r="AS23" i="4"/>
  <c r="AN24" i="4"/>
  <c r="AO24" i="4"/>
  <c r="AP24" i="4"/>
  <c r="AQ24" i="4"/>
  <c r="AR24" i="4"/>
  <c r="AS24" i="4"/>
  <c r="AN25" i="4"/>
  <c r="AO25" i="4"/>
  <c r="AP25" i="4"/>
  <c r="AQ25" i="4"/>
  <c r="AR25" i="4"/>
  <c r="AS25" i="4"/>
  <c r="AN26" i="4"/>
  <c r="AO26" i="4"/>
  <c r="AP26" i="4"/>
  <c r="AQ26" i="4"/>
  <c r="AR26" i="4"/>
  <c r="AS26" i="4"/>
  <c r="AN27" i="4"/>
  <c r="AO27" i="4"/>
  <c r="AP27" i="4"/>
  <c r="AQ27" i="4"/>
  <c r="AR27" i="4"/>
  <c r="AS27" i="4"/>
  <c r="AN28" i="4"/>
  <c r="AO28" i="4"/>
  <c r="AP28" i="4"/>
  <c r="AQ28" i="4"/>
  <c r="AR28" i="4"/>
  <c r="AS28" i="4"/>
  <c r="AN29" i="4"/>
  <c r="AO29" i="4"/>
  <c r="AP29" i="4"/>
  <c r="AQ29" i="4"/>
  <c r="AR29" i="4"/>
  <c r="AS29" i="4"/>
  <c r="AN30" i="4"/>
  <c r="AO30" i="4"/>
  <c r="AP30" i="4"/>
  <c r="AQ30" i="4"/>
  <c r="AR30" i="4"/>
  <c r="AS30" i="4"/>
  <c r="AN31" i="4"/>
  <c r="AO31" i="4"/>
  <c r="AP31" i="4"/>
  <c r="AQ31" i="4"/>
  <c r="AR31" i="4"/>
  <c r="AS31" i="4"/>
  <c r="AN32" i="4"/>
  <c r="AO32" i="4"/>
  <c r="AP32" i="4"/>
  <c r="AQ32" i="4"/>
  <c r="AR32" i="4"/>
  <c r="AS32" i="4"/>
  <c r="AN33" i="4"/>
  <c r="AO33" i="4"/>
  <c r="AP33" i="4"/>
  <c r="AQ33" i="4"/>
  <c r="AR33" i="4"/>
  <c r="AS33" i="4"/>
  <c r="AN34" i="4"/>
  <c r="AO34" i="4"/>
  <c r="AP34" i="4"/>
  <c r="AQ34" i="4"/>
  <c r="AR34" i="4"/>
  <c r="AS34" i="4"/>
  <c r="AN35" i="4"/>
  <c r="AO35" i="4"/>
  <c r="AP35" i="4"/>
  <c r="AQ35" i="4"/>
  <c r="AR35" i="4"/>
  <c r="AS35" i="4"/>
  <c r="AN36" i="4"/>
  <c r="AO36" i="4"/>
  <c r="AP36" i="4"/>
  <c r="AQ36" i="4"/>
  <c r="AR36" i="4"/>
  <c r="AS36" i="4"/>
  <c r="AN37" i="4"/>
  <c r="AO37" i="4"/>
  <c r="AP37" i="4"/>
  <c r="AQ37" i="4"/>
  <c r="AR37" i="4"/>
  <c r="AS37" i="4"/>
  <c r="AN38" i="4"/>
  <c r="AO38" i="4"/>
  <c r="AP38" i="4"/>
  <c r="AQ38" i="4"/>
  <c r="AR38" i="4"/>
  <c r="AS38" i="4"/>
  <c r="AN39" i="4"/>
  <c r="AO39" i="4"/>
  <c r="AP39" i="4"/>
  <c r="AQ39" i="4"/>
  <c r="AR39" i="4"/>
  <c r="AS39" i="4"/>
  <c r="AN40" i="4"/>
  <c r="AO40" i="4"/>
  <c r="AP40" i="4"/>
  <c r="AQ40" i="4"/>
  <c r="AR40" i="4"/>
  <c r="AS40" i="4"/>
  <c r="AN41" i="4"/>
  <c r="AO41" i="4"/>
  <c r="AP41" i="4"/>
  <c r="AQ41" i="4"/>
  <c r="AR41" i="4"/>
  <c r="AS41" i="4"/>
  <c r="AN42" i="4"/>
  <c r="AO42" i="4"/>
  <c r="AP42" i="4"/>
  <c r="AQ42" i="4"/>
  <c r="AR42" i="4"/>
  <c r="AS42" i="4"/>
  <c r="AN43" i="4"/>
  <c r="AO43" i="4"/>
  <c r="AP43" i="4"/>
  <c r="AQ43" i="4"/>
  <c r="AR43" i="4"/>
  <c r="AS43" i="4"/>
  <c r="AN44" i="4"/>
  <c r="AO44" i="4"/>
  <c r="AP44" i="4"/>
  <c r="AQ44" i="4"/>
  <c r="AR44" i="4"/>
  <c r="AS44" i="4"/>
  <c r="AN45" i="4"/>
  <c r="AO45" i="4"/>
  <c r="AP45" i="4"/>
  <c r="AQ45" i="4"/>
  <c r="AR45" i="4"/>
  <c r="AS45" i="4"/>
  <c r="AN46" i="4"/>
  <c r="AO46" i="4"/>
  <c r="AP46" i="4"/>
  <c r="AQ46" i="4"/>
  <c r="AR46" i="4"/>
  <c r="AS46" i="4"/>
  <c r="AN47" i="4"/>
  <c r="AO47" i="4"/>
  <c r="AP47" i="4"/>
  <c r="AQ47" i="4"/>
  <c r="AR47" i="4"/>
  <c r="AS47" i="4"/>
  <c r="AN48" i="4"/>
  <c r="AO48" i="4"/>
  <c r="AP48" i="4"/>
  <c r="AQ48" i="4"/>
  <c r="AR48" i="4"/>
  <c r="AS48" i="4"/>
  <c r="AN49" i="4"/>
  <c r="AO49" i="4"/>
  <c r="AP49" i="4"/>
  <c r="AQ49" i="4"/>
  <c r="AR49" i="4"/>
  <c r="AS49" i="4"/>
  <c r="AN50" i="4"/>
  <c r="AO50" i="4"/>
  <c r="AP50" i="4"/>
  <c r="AQ50" i="4"/>
  <c r="AR50" i="4"/>
  <c r="AS50" i="4"/>
  <c r="AN51" i="4"/>
  <c r="AO51" i="4"/>
  <c r="AP51" i="4"/>
  <c r="AQ51" i="4"/>
  <c r="AR51" i="4"/>
  <c r="AS51" i="4"/>
  <c r="AN52" i="4"/>
  <c r="AO52" i="4"/>
  <c r="AP52" i="4"/>
  <c r="AQ52" i="4"/>
  <c r="AR52" i="4"/>
  <c r="AS52" i="4"/>
  <c r="AN53" i="4"/>
  <c r="AO53" i="4"/>
  <c r="AP53" i="4"/>
  <c r="AQ53" i="4"/>
  <c r="AR53" i="4"/>
  <c r="AS53" i="4"/>
  <c r="AQ9" i="4"/>
  <c r="AR9" i="4"/>
  <c r="AS9" i="4"/>
  <c r="AO9" i="4"/>
  <c r="AP9" i="4"/>
  <c r="AN9" i="4"/>
  <c r="AB9" i="4"/>
  <c r="AW1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AD10" i="4"/>
  <c r="AE10" i="4"/>
  <c r="AF10" i="4"/>
  <c r="AG10" i="4"/>
  <c r="AH10" i="4"/>
  <c r="AI10" i="4"/>
  <c r="AJ10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AD11" i="4"/>
  <c r="AE11" i="4"/>
  <c r="AF11" i="4"/>
  <c r="AG11" i="4"/>
  <c r="AH11" i="4"/>
  <c r="AI11" i="4"/>
  <c r="AJ11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AD12" i="4"/>
  <c r="AE12" i="4"/>
  <c r="AF12" i="4"/>
  <c r="AG12" i="4"/>
  <c r="AH12" i="4"/>
  <c r="AI12" i="4"/>
  <c r="AJ12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AD13" i="4"/>
  <c r="AE13" i="4"/>
  <c r="AF13" i="4"/>
  <c r="AG13" i="4"/>
  <c r="AH13" i="4"/>
  <c r="AI13" i="4"/>
  <c r="AJ13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AD14" i="4"/>
  <c r="AE14" i="4"/>
  <c r="AF14" i="4"/>
  <c r="AG14" i="4"/>
  <c r="AH14" i="4"/>
  <c r="AI14" i="4"/>
  <c r="AJ14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5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AD16" i="4"/>
  <c r="AE16" i="4"/>
  <c r="AF16" i="4"/>
  <c r="AG16" i="4"/>
  <c r="AH16" i="4"/>
  <c r="AI16" i="4"/>
  <c r="AJ16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AD17" i="4"/>
  <c r="AE17" i="4"/>
  <c r="AF17" i="4"/>
  <c r="AG17" i="4"/>
  <c r="AH17" i="4"/>
  <c r="AI17" i="4"/>
  <c r="AJ17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AD18" i="4"/>
  <c r="AE18" i="4"/>
  <c r="AF18" i="4"/>
  <c r="AG18" i="4"/>
  <c r="AH18" i="4"/>
  <c r="AI18" i="4"/>
  <c r="AJ18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V19" i="4"/>
  <c r="W19" i="4"/>
  <c r="X19" i="4"/>
  <c r="Y19" i="4"/>
  <c r="Z19" i="4"/>
  <c r="AA19" i="4"/>
  <c r="AB19" i="4"/>
  <c r="AC19" i="4"/>
  <c r="AD19" i="4"/>
  <c r="AE19" i="4"/>
  <c r="AF19" i="4"/>
  <c r="AG19" i="4"/>
  <c r="AH19" i="4"/>
  <c r="AI19" i="4"/>
  <c r="AJ19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AD20" i="4"/>
  <c r="AE20" i="4"/>
  <c r="AF20" i="4"/>
  <c r="AG20" i="4"/>
  <c r="AH20" i="4"/>
  <c r="AI20" i="4"/>
  <c r="AJ20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AD21" i="4"/>
  <c r="AE21" i="4"/>
  <c r="AF21" i="4"/>
  <c r="AG21" i="4"/>
  <c r="AH21" i="4"/>
  <c r="AI21" i="4"/>
  <c r="AJ21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AD22" i="4"/>
  <c r="AE22" i="4"/>
  <c r="AF22" i="4"/>
  <c r="AG22" i="4"/>
  <c r="AH22" i="4"/>
  <c r="AI22" i="4"/>
  <c r="AJ22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AD23" i="4"/>
  <c r="AE23" i="4"/>
  <c r="AF23" i="4"/>
  <c r="AG23" i="4"/>
  <c r="AH23" i="4"/>
  <c r="AI23" i="4"/>
  <c r="AJ23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AE24" i="4"/>
  <c r="AF24" i="4"/>
  <c r="AG24" i="4"/>
  <c r="AH24" i="4"/>
  <c r="AI24" i="4"/>
  <c r="AJ24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AD25" i="4"/>
  <c r="AE25" i="4"/>
  <c r="AF25" i="4"/>
  <c r="AG25" i="4"/>
  <c r="AH25" i="4"/>
  <c r="AI25" i="4"/>
  <c r="AJ25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AD26" i="4"/>
  <c r="AE26" i="4"/>
  <c r="AF26" i="4"/>
  <c r="AG26" i="4"/>
  <c r="AH26" i="4"/>
  <c r="AI26" i="4"/>
  <c r="AJ26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AD27" i="4"/>
  <c r="AE27" i="4"/>
  <c r="AF27" i="4"/>
  <c r="AG27" i="4"/>
  <c r="AH27" i="4"/>
  <c r="AI27" i="4"/>
  <c r="AJ27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AD28" i="4"/>
  <c r="AE28" i="4"/>
  <c r="AF28" i="4"/>
  <c r="AG28" i="4"/>
  <c r="AH28" i="4"/>
  <c r="AI28" i="4"/>
  <c r="AJ28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AD29" i="4"/>
  <c r="AE29" i="4"/>
  <c r="AF29" i="4"/>
  <c r="AG29" i="4"/>
  <c r="AH29" i="4"/>
  <c r="AI29" i="4"/>
  <c r="AJ29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AD30" i="4"/>
  <c r="AE30" i="4"/>
  <c r="AF30" i="4"/>
  <c r="AG30" i="4"/>
  <c r="AH30" i="4"/>
  <c r="AI30" i="4"/>
  <c r="AJ30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AD31" i="4"/>
  <c r="AE31" i="4"/>
  <c r="AF31" i="4"/>
  <c r="AG31" i="4"/>
  <c r="AH31" i="4"/>
  <c r="AI31" i="4"/>
  <c r="AJ31" i="4"/>
  <c r="E32" i="4"/>
  <c r="F32" i="4"/>
  <c r="G32" i="4"/>
  <c r="H32" i="4"/>
  <c r="I32" i="4"/>
  <c r="J32" i="4"/>
  <c r="K32" i="4"/>
  <c r="L32" i="4"/>
  <c r="M32" i="4"/>
  <c r="N32" i="4"/>
  <c r="O32" i="4"/>
  <c r="P32" i="4"/>
  <c r="R32" i="4"/>
  <c r="S32" i="4"/>
  <c r="T32" i="4"/>
  <c r="U32" i="4"/>
  <c r="V32" i="4"/>
  <c r="W32" i="4"/>
  <c r="X32" i="4"/>
  <c r="Y32" i="4"/>
  <c r="Z32" i="4"/>
  <c r="AA32" i="4"/>
  <c r="AB32" i="4"/>
  <c r="AC32" i="4"/>
  <c r="AD32" i="4"/>
  <c r="AE32" i="4"/>
  <c r="AF32" i="4"/>
  <c r="AG32" i="4"/>
  <c r="AH32" i="4"/>
  <c r="AI32" i="4"/>
  <c r="AJ32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AD33" i="4"/>
  <c r="AE33" i="4"/>
  <c r="AF33" i="4"/>
  <c r="AG33" i="4"/>
  <c r="AH33" i="4"/>
  <c r="AI33" i="4"/>
  <c r="AJ33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AD34" i="4"/>
  <c r="AE34" i="4"/>
  <c r="AF34" i="4"/>
  <c r="AG34" i="4"/>
  <c r="AH34" i="4"/>
  <c r="AI34" i="4"/>
  <c r="AJ34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AD35" i="4"/>
  <c r="AE35" i="4"/>
  <c r="AF35" i="4"/>
  <c r="AG35" i="4"/>
  <c r="AH35" i="4"/>
  <c r="AI35" i="4"/>
  <c r="AJ35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AD36" i="4"/>
  <c r="AE36" i="4"/>
  <c r="AF36" i="4"/>
  <c r="AG36" i="4"/>
  <c r="AH36" i="4"/>
  <c r="AI36" i="4"/>
  <c r="AJ36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AD37" i="4"/>
  <c r="AE37" i="4"/>
  <c r="AF37" i="4"/>
  <c r="AG37" i="4"/>
  <c r="AH37" i="4"/>
  <c r="AI37" i="4"/>
  <c r="AJ37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AD38" i="4"/>
  <c r="AE38" i="4"/>
  <c r="AF38" i="4"/>
  <c r="AG38" i="4"/>
  <c r="AH38" i="4"/>
  <c r="AI38" i="4"/>
  <c r="AJ38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AD39" i="4"/>
  <c r="AE39" i="4"/>
  <c r="AF39" i="4"/>
  <c r="AG39" i="4"/>
  <c r="AH39" i="4"/>
  <c r="AI39" i="4"/>
  <c r="AJ39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Z40" i="4"/>
  <c r="AA40" i="4"/>
  <c r="AB40" i="4"/>
  <c r="AC40" i="4"/>
  <c r="AD40" i="4"/>
  <c r="AE40" i="4"/>
  <c r="AF40" i="4"/>
  <c r="AG40" i="4"/>
  <c r="AH40" i="4"/>
  <c r="AI40" i="4"/>
  <c r="AJ40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AD41" i="4"/>
  <c r="AE41" i="4"/>
  <c r="AF41" i="4"/>
  <c r="AG41" i="4"/>
  <c r="AH41" i="4"/>
  <c r="AI41" i="4"/>
  <c r="AJ41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X42" i="4"/>
  <c r="Y42" i="4"/>
  <c r="Z42" i="4"/>
  <c r="AA42" i="4"/>
  <c r="AB42" i="4"/>
  <c r="AC42" i="4"/>
  <c r="AD42" i="4"/>
  <c r="AE42" i="4"/>
  <c r="AF42" i="4"/>
  <c r="AG42" i="4"/>
  <c r="AH42" i="4"/>
  <c r="AI42" i="4"/>
  <c r="AJ42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AD43" i="4"/>
  <c r="AE43" i="4"/>
  <c r="AF43" i="4"/>
  <c r="AG43" i="4"/>
  <c r="AH43" i="4"/>
  <c r="AI43" i="4"/>
  <c r="AJ43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AD44" i="4"/>
  <c r="AE44" i="4"/>
  <c r="AF44" i="4"/>
  <c r="AG44" i="4"/>
  <c r="AH44" i="4"/>
  <c r="AI44" i="4"/>
  <c r="AJ44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AJ45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AJ46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AD47" i="4"/>
  <c r="AE47" i="4"/>
  <c r="AF47" i="4"/>
  <c r="AG47" i="4"/>
  <c r="AH47" i="4"/>
  <c r="AI47" i="4"/>
  <c r="AJ47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AD48" i="4"/>
  <c r="AE48" i="4"/>
  <c r="AF48" i="4"/>
  <c r="AG48" i="4"/>
  <c r="AH48" i="4"/>
  <c r="AI48" i="4"/>
  <c r="AJ48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AD49" i="4"/>
  <c r="AE49" i="4"/>
  <c r="AF49" i="4"/>
  <c r="AG49" i="4"/>
  <c r="AH49" i="4"/>
  <c r="AI49" i="4"/>
  <c r="AJ49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AD50" i="4"/>
  <c r="AE50" i="4"/>
  <c r="AF50" i="4"/>
  <c r="AG50" i="4"/>
  <c r="AH50" i="4"/>
  <c r="AI50" i="4"/>
  <c r="AJ50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AD51" i="4"/>
  <c r="AE51" i="4"/>
  <c r="AF51" i="4"/>
  <c r="AG51" i="4"/>
  <c r="AH51" i="4"/>
  <c r="AI51" i="4"/>
  <c r="AJ51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AD52" i="4"/>
  <c r="AE52" i="4"/>
  <c r="AF52" i="4"/>
  <c r="AG52" i="4"/>
  <c r="AH52" i="4"/>
  <c r="AI52" i="4"/>
  <c r="AJ52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AD53" i="4"/>
  <c r="AE53" i="4"/>
  <c r="AF53" i="4"/>
  <c r="AG53" i="4"/>
  <c r="AH53" i="4"/>
  <c r="AI53" i="4"/>
  <c r="AJ53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AC9" i="4"/>
  <c r="AD9" i="4"/>
  <c r="AE9" i="4"/>
  <c r="AG9" i="4"/>
  <c r="AH9" i="4"/>
  <c r="AI9" i="4"/>
  <c r="AJ9" i="4"/>
  <c r="E9" i="4"/>
  <c r="Q31" i="6" l="1"/>
  <c r="F27" i="6"/>
  <c r="D27" i="6" s="1"/>
  <c r="F31" i="6"/>
  <c r="D31" i="6" s="1"/>
  <c r="F30" i="6"/>
  <c r="D30" i="6" s="1"/>
  <c r="F26" i="6"/>
  <c r="F29" i="6"/>
  <c r="D29" i="6" s="1"/>
  <c r="F28" i="6"/>
  <c r="D28" i="6" s="1"/>
  <c r="V3" i="6"/>
  <c r="AX1" i="4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9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6" i="3"/>
  <c r="D97" i="3"/>
  <c r="D98" i="3"/>
  <c r="O7" i="4" l="1"/>
  <c r="I7" i="4"/>
  <c r="F7" i="4"/>
  <c r="AB6" i="4"/>
  <c r="H23" i="6" s="1"/>
  <c r="AF6" i="4"/>
  <c r="H27" i="6" s="1"/>
  <c r="AJ6" i="4"/>
  <c r="H31" i="6" s="1"/>
  <c r="AE7" i="4"/>
  <c r="AI7" i="4"/>
  <c r="AG7" i="4"/>
  <c r="AC6" i="4"/>
  <c r="H24" i="6" s="1"/>
  <c r="AG6" i="4"/>
  <c r="H28" i="6" s="1"/>
  <c r="AB7" i="4"/>
  <c r="AF7" i="4"/>
  <c r="AJ7" i="4"/>
  <c r="AD6" i="4"/>
  <c r="H25" i="6" s="1"/>
  <c r="AH6" i="4"/>
  <c r="H29" i="6" s="1"/>
  <c r="AC7" i="4"/>
  <c r="AE6" i="4"/>
  <c r="H26" i="6" s="1"/>
  <c r="AI6" i="4"/>
  <c r="H30" i="6" s="1"/>
  <c r="AD7" i="4"/>
  <c r="AH7" i="4"/>
  <c r="E6" i="4"/>
  <c r="X6" i="4"/>
  <c r="T6" i="4"/>
  <c r="P6" i="4"/>
  <c r="L6" i="4"/>
  <c r="H6" i="4"/>
  <c r="AA6" i="4"/>
  <c r="H22" i="6" s="1"/>
  <c r="W6" i="4"/>
  <c r="S6" i="4"/>
  <c r="O6" i="4"/>
  <c r="K6" i="4"/>
  <c r="G6" i="4"/>
  <c r="Z6" i="4"/>
  <c r="H21" i="6" s="1"/>
  <c r="V6" i="4"/>
  <c r="R6" i="4"/>
  <c r="N6" i="4"/>
  <c r="J6" i="4"/>
  <c r="F6" i="4"/>
  <c r="Y6" i="4"/>
  <c r="U6" i="4"/>
  <c r="Q6" i="4"/>
  <c r="M6" i="4"/>
  <c r="I6" i="4"/>
  <c r="W7" i="4"/>
  <c r="G7" i="4"/>
  <c r="AA7" i="4"/>
  <c r="K7" i="4"/>
  <c r="Y7" i="4"/>
  <c r="U7" i="4"/>
  <c r="Q7" i="4"/>
  <c r="M7" i="4"/>
  <c r="E7" i="4"/>
  <c r="P7" i="4"/>
  <c r="L7" i="4"/>
  <c r="H7" i="4"/>
  <c r="Z7" i="4"/>
  <c r="V7" i="4"/>
  <c r="R7" i="4"/>
  <c r="N7" i="4"/>
  <c r="J7" i="4"/>
  <c r="AT1" i="6" l="1"/>
  <c r="I27" i="6" l="1"/>
  <c r="I26" i="6"/>
  <c r="I25" i="6"/>
  <c r="I24" i="6"/>
  <c r="I23" i="6"/>
  <c r="I22" i="6" l="1"/>
  <c r="G10" i="6"/>
  <c r="J35" i="6"/>
  <c r="J36" i="6"/>
  <c r="Q35" i="6"/>
  <c r="J34" i="6"/>
  <c r="Q34" i="6"/>
  <c r="Q36" i="6"/>
  <c r="Q29" i="6" l="1"/>
  <c r="I18" i="6" l="1"/>
  <c r="S28" i="6" l="1"/>
  <c r="S26" i="6"/>
  <c r="S24" i="6"/>
  <c r="H19" i="6"/>
  <c r="T17" i="6"/>
  <c r="I15" i="6"/>
  <c r="H20" i="6"/>
  <c r="H16" i="6"/>
  <c r="T31" i="6"/>
  <c r="I17" i="6"/>
  <c r="S22" i="6"/>
  <c r="S20" i="6"/>
  <c r="S17" i="6"/>
  <c r="I21" i="6"/>
  <c r="S31" i="6"/>
  <c r="T28" i="6"/>
  <c r="T26" i="6"/>
  <c r="T24" i="6"/>
  <c r="T22" i="6"/>
  <c r="T20" i="6"/>
  <c r="S27" i="6"/>
  <c r="S23" i="6"/>
  <c r="S18" i="6"/>
  <c r="I19" i="6"/>
  <c r="I20" i="6"/>
  <c r="I16" i="6"/>
  <c r="S29" i="6"/>
  <c r="S25" i="6"/>
  <c r="S21" i="6"/>
  <c r="T16" i="6"/>
  <c r="H15" i="6"/>
  <c r="T29" i="6"/>
  <c r="T27" i="6"/>
  <c r="T25" i="6"/>
  <c r="T23" i="6"/>
  <c r="T21" i="6"/>
  <c r="T18" i="6"/>
  <c r="S16" i="6"/>
  <c r="H17" i="6" l="1"/>
  <c r="S30" i="6"/>
  <c r="H18" i="6"/>
  <c r="T30" i="6"/>
  <c r="AN5" i="4"/>
  <c r="H33" i="6" l="1"/>
  <c r="D26" i="6" l="1"/>
  <c r="F25" i="6"/>
  <c r="D25" i="6" s="1"/>
  <c r="F24" i="6"/>
  <c r="D24" i="6" s="1"/>
  <c r="F23" i="6"/>
  <c r="D23" i="6" s="1"/>
  <c r="F22" i="6"/>
  <c r="D22" i="6" s="1"/>
  <c r="AC54" i="4"/>
  <c r="AE54" i="4"/>
  <c r="AG54" i="4"/>
  <c r="AF54" i="4"/>
  <c r="AI54" i="4"/>
  <c r="AH54" i="4"/>
  <c r="AD54" i="4"/>
  <c r="AJ54" i="4"/>
  <c r="AJ55" i="4" s="1"/>
  <c r="AB54" i="4"/>
  <c r="AA54" i="4"/>
  <c r="AA55" i="4" l="1"/>
  <c r="O11" i="6"/>
  <c r="G31" i="6"/>
  <c r="AG55" i="4"/>
  <c r="G28" i="6" s="1"/>
  <c r="AF55" i="4"/>
  <c r="G27" i="6" s="1"/>
  <c r="AD55" i="4"/>
  <c r="G25" i="6" s="1"/>
  <c r="AB55" i="4"/>
  <c r="G23" i="6" s="1"/>
  <c r="AH55" i="4"/>
  <c r="G29" i="6" s="1"/>
  <c r="AC55" i="4"/>
  <c r="G24" i="6" s="1"/>
  <c r="AE55" i="4"/>
  <c r="G26" i="6" s="1"/>
  <c r="AI55" i="4"/>
  <c r="G30" i="6" s="1"/>
  <c r="C26" i="6"/>
  <c r="C30" i="6"/>
  <c r="C28" i="6"/>
  <c r="C24" i="6"/>
  <c r="C22" i="6"/>
  <c r="C23" i="6"/>
  <c r="C29" i="6"/>
  <c r="C27" i="6"/>
  <c r="C25" i="6"/>
  <c r="C31" i="6"/>
  <c r="G22" i="6" l="1"/>
  <c r="Y56" i="6"/>
  <c r="Y5" i="6" l="1"/>
  <c r="C36" i="6"/>
  <c r="C35" i="6"/>
  <c r="C34" i="6"/>
  <c r="Q18" i="6" l="1"/>
  <c r="K54" i="4"/>
  <c r="K55" i="4" s="1"/>
  <c r="O54" i="4"/>
  <c r="O55" i="4" s="1"/>
  <c r="J54" i="4"/>
  <c r="J55" i="4" s="1"/>
  <c r="N54" i="4"/>
  <c r="N55" i="4" s="1"/>
  <c r="M54" i="4"/>
  <c r="M55" i="4" s="1"/>
  <c r="H54" i="4"/>
  <c r="H55" i="4" s="1"/>
  <c r="I54" i="4"/>
  <c r="I55" i="4" s="1"/>
  <c r="F54" i="4"/>
  <c r="F55" i="4" s="1"/>
  <c r="L54" i="4"/>
  <c r="L55" i="4" s="1"/>
  <c r="P54" i="4"/>
  <c r="P55" i="4" s="1"/>
  <c r="G54" i="4"/>
  <c r="G55" i="4" s="1"/>
  <c r="Q54" i="4"/>
  <c r="Q55" i="4" s="1"/>
  <c r="R27" i="6" l="1"/>
  <c r="R24" i="6"/>
  <c r="R23" i="6"/>
  <c r="R18" i="6"/>
  <c r="R21" i="6"/>
  <c r="R22" i="6"/>
  <c r="R28" i="6"/>
  <c r="R20" i="6"/>
  <c r="R25" i="6"/>
  <c r="R29" i="6"/>
  <c r="R17" i="6"/>
  <c r="R26" i="6"/>
  <c r="Q24" i="6"/>
  <c r="O24" i="6" s="1"/>
  <c r="Q20" i="6"/>
  <c r="N20" i="6" s="1"/>
  <c r="Q27" i="6"/>
  <c r="O27" i="6" s="1"/>
  <c r="F15" i="6"/>
  <c r="C15" i="6" s="1"/>
  <c r="Q28" i="6"/>
  <c r="O28" i="6" s="1"/>
  <c r="Q25" i="6"/>
  <c r="O25" i="6" s="1"/>
  <c r="F18" i="6"/>
  <c r="D18" i="6" s="1"/>
  <c r="Q21" i="6"/>
  <c r="O21" i="6" s="1"/>
  <c r="Q26" i="6"/>
  <c r="O26" i="6" s="1"/>
  <c r="F16" i="6"/>
  <c r="D16" i="6" s="1"/>
  <c r="Q17" i="6"/>
  <c r="O17" i="6" s="1"/>
  <c r="Q30" i="6"/>
  <c r="O30" i="6" s="1"/>
  <c r="F19" i="6"/>
  <c r="C19" i="6" s="1"/>
  <c r="Q22" i="6"/>
  <c r="O22" i="6" s="1"/>
  <c r="O18" i="6"/>
  <c r="F20" i="6"/>
  <c r="C20" i="6" s="1"/>
  <c r="Q23" i="6"/>
  <c r="O23" i="6" s="1"/>
  <c r="N29" i="6"/>
  <c r="F17" i="6"/>
  <c r="D17" i="6" s="1"/>
  <c r="O31" i="6"/>
  <c r="E54" i="4"/>
  <c r="E55" i="4" s="1"/>
  <c r="AT9" i="4"/>
  <c r="AU9" i="4" s="1"/>
  <c r="T54" i="4"/>
  <c r="T55" i="4" s="1"/>
  <c r="X54" i="4"/>
  <c r="X55" i="4" s="1"/>
  <c r="S54" i="4"/>
  <c r="S55" i="4" s="1"/>
  <c r="U54" i="4"/>
  <c r="U55" i="4" s="1"/>
  <c r="G16" i="6" s="1"/>
  <c r="Y54" i="4"/>
  <c r="Y55" i="4" s="1"/>
  <c r="W54" i="4"/>
  <c r="W55" i="4" s="1"/>
  <c r="V54" i="4"/>
  <c r="V55" i="4" s="1"/>
  <c r="R54" i="4"/>
  <c r="R55" i="4" s="1"/>
  <c r="AT52" i="4"/>
  <c r="AU52" i="4" s="1"/>
  <c r="AK26" i="4"/>
  <c r="AT21" i="4"/>
  <c r="AU21" i="4" s="1"/>
  <c r="AT14" i="4"/>
  <c r="AU14" i="4" s="1"/>
  <c r="AT53" i="4"/>
  <c r="AU53" i="4" s="1"/>
  <c r="F21" i="6"/>
  <c r="D21" i="6" s="1"/>
  <c r="AK16" i="4"/>
  <c r="AL16" i="4" s="1"/>
  <c r="AT23" i="4"/>
  <c r="AU23" i="4" s="1"/>
  <c r="AK23" i="4"/>
  <c r="AT10" i="4"/>
  <c r="AU10" i="4" s="1"/>
  <c r="AK24" i="4"/>
  <c r="AL24" i="4" s="1"/>
  <c r="AK11" i="4"/>
  <c r="AL11" i="4" s="1"/>
  <c r="AT17" i="4"/>
  <c r="AU17" i="4" s="1"/>
  <c r="AK15" i="4"/>
  <c r="AL15" i="4" s="1"/>
  <c r="AT18" i="4"/>
  <c r="AU18" i="4" s="1"/>
  <c r="AT24" i="4"/>
  <c r="AU24" i="4" s="1"/>
  <c r="AT26" i="4"/>
  <c r="AU26" i="4" s="1"/>
  <c r="AK14" i="4"/>
  <c r="AT16" i="4"/>
  <c r="AU16" i="4" s="1"/>
  <c r="AK21" i="4"/>
  <c r="AT19" i="4"/>
  <c r="AU19" i="4" s="1"/>
  <c r="AT13" i="4"/>
  <c r="AU13" i="4" s="1"/>
  <c r="AK13" i="4"/>
  <c r="AT15" i="4"/>
  <c r="AU15" i="4" s="1"/>
  <c r="AT20" i="4"/>
  <c r="AU20" i="4" s="1"/>
  <c r="AK20" i="4"/>
  <c r="AK27" i="4"/>
  <c r="AK12" i="4"/>
  <c r="AT25" i="4"/>
  <c r="AU25" i="4" s="1"/>
  <c r="AK9" i="4"/>
  <c r="AT27" i="4"/>
  <c r="AU27" i="4" s="1"/>
  <c r="Q16" i="6"/>
  <c r="O16" i="6" s="1"/>
  <c r="AT22" i="4"/>
  <c r="AU22" i="4" s="1"/>
  <c r="AK22" i="4"/>
  <c r="AK17" i="4"/>
  <c r="AK25" i="4"/>
  <c r="AK10" i="4"/>
  <c r="AK18" i="4"/>
  <c r="AK19" i="4"/>
  <c r="AT12" i="4"/>
  <c r="AU12" i="4" s="1"/>
  <c r="AT11" i="4"/>
  <c r="AU11" i="4" s="1"/>
  <c r="O32" i="6" l="1"/>
  <c r="G18" i="6"/>
  <c r="G19" i="6"/>
  <c r="G20" i="6"/>
  <c r="G15" i="6"/>
  <c r="R30" i="6"/>
  <c r="G17" i="6"/>
  <c r="R31" i="6"/>
  <c r="R16" i="6"/>
  <c r="N24" i="6"/>
  <c r="C18" i="6"/>
  <c r="N28" i="6"/>
  <c r="O20" i="6"/>
  <c r="N25" i="6"/>
  <c r="D15" i="6"/>
  <c r="N26" i="6"/>
  <c r="N21" i="6"/>
  <c r="N27" i="6"/>
  <c r="AL26" i="4"/>
  <c r="N17" i="6"/>
  <c r="N18" i="6"/>
  <c r="C17" i="6"/>
  <c r="D20" i="6"/>
  <c r="N30" i="6"/>
  <c r="D19" i="6"/>
  <c r="C16" i="6"/>
  <c r="N22" i="6"/>
  <c r="N23" i="6"/>
  <c r="N31" i="6"/>
  <c r="O29" i="6"/>
  <c r="AT32" i="4"/>
  <c r="AU32" i="4" s="1"/>
  <c r="AT42" i="4"/>
  <c r="AU42" i="4" s="1"/>
  <c r="AK34" i="4"/>
  <c r="AL34" i="4" s="1"/>
  <c r="AT30" i="4"/>
  <c r="AU30" i="4" s="1"/>
  <c r="AK28" i="4"/>
  <c r="AL28" i="4" s="1"/>
  <c r="AK51" i="4"/>
  <c r="AK29" i="4"/>
  <c r="AT47" i="4"/>
  <c r="AU47" i="4" s="1"/>
  <c r="AK53" i="4"/>
  <c r="AK46" i="4"/>
  <c r="AL46" i="4" s="1"/>
  <c r="AK32" i="4"/>
  <c r="AL32" i="4" s="1"/>
  <c r="AT48" i="4"/>
  <c r="AU48" i="4" s="1"/>
  <c r="AK42" i="4"/>
  <c r="AK52" i="4"/>
  <c r="AL52" i="4" s="1"/>
  <c r="AT28" i="4"/>
  <c r="AU28" i="4" s="1"/>
  <c r="AK48" i="4"/>
  <c r="AT46" i="4"/>
  <c r="AU46" i="4" s="1"/>
  <c r="AK50" i="4"/>
  <c r="AL50" i="4" s="1"/>
  <c r="AK36" i="4"/>
  <c r="AK38" i="4"/>
  <c r="AK44" i="4"/>
  <c r="AT34" i="4"/>
  <c r="AU34" i="4" s="1"/>
  <c r="AT50" i="4"/>
  <c r="AU50" i="4" s="1"/>
  <c r="AK30" i="4"/>
  <c r="AT36" i="4"/>
  <c r="AU36" i="4" s="1"/>
  <c r="AT38" i="4"/>
  <c r="AU38" i="4" s="1"/>
  <c r="AT40" i="4"/>
  <c r="AU40" i="4" s="1"/>
  <c r="AT35" i="4"/>
  <c r="AU35" i="4" s="1"/>
  <c r="AL23" i="4"/>
  <c r="AT31" i="4"/>
  <c r="AU31" i="4" s="1"/>
  <c r="AT41" i="4"/>
  <c r="AU41" i="4" s="1"/>
  <c r="Z54" i="4"/>
  <c r="Z55" i="4" s="1"/>
  <c r="AK40" i="4"/>
  <c r="C21" i="6"/>
  <c r="AK41" i="4"/>
  <c r="AL41" i="4" s="1"/>
  <c r="AK31" i="4"/>
  <c r="AK47" i="4"/>
  <c r="AT33" i="4"/>
  <c r="AU33" i="4" s="1"/>
  <c r="AK35" i="4"/>
  <c r="AK43" i="4"/>
  <c r="AL43" i="4" s="1"/>
  <c r="AK33" i="4"/>
  <c r="AT49" i="4"/>
  <c r="AU49" i="4" s="1"/>
  <c r="AK45" i="4"/>
  <c r="AT39" i="4"/>
  <c r="AU39" i="4" s="1"/>
  <c r="AT45" i="4"/>
  <c r="AU45" i="4" s="1"/>
  <c r="AK37" i="4"/>
  <c r="AT51" i="4"/>
  <c r="AU51" i="4" s="1"/>
  <c r="AT29" i="4"/>
  <c r="AU29" i="4" s="1"/>
  <c r="AK49" i="4"/>
  <c r="AK39" i="4"/>
  <c r="AT43" i="4"/>
  <c r="AU43" i="4" s="1"/>
  <c r="AT37" i="4"/>
  <c r="AU37" i="4" s="1"/>
  <c r="AT44" i="4"/>
  <c r="AU44" i="4" s="1"/>
  <c r="AL10" i="4"/>
  <c r="N16" i="6"/>
  <c r="AL9" i="4"/>
  <c r="AL13" i="4"/>
  <c r="AL21" i="4"/>
  <c r="AL27" i="4"/>
  <c r="AL20" i="4"/>
  <c r="AL14" i="4"/>
  <c r="AL17" i="4"/>
  <c r="AL19" i="4"/>
  <c r="AL18" i="4"/>
  <c r="AL25" i="4"/>
  <c r="AL22" i="4"/>
  <c r="AL12" i="4"/>
  <c r="G21" i="6" l="1"/>
  <c r="O33" i="6"/>
  <c r="C32" i="6"/>
  <c r="AM48" i="4"/>
  <c r="AM33" i="4"/>
  <c r="AM47" i="4"/>
  <c r="AM53" i="4"/>
  <c r="AM45" i="4"/>
  <c r="AM18" i="4"/>
  <c r="AM51" i="4"/>
  <c r="AM11" i="4"/>
  <c r="AM44" i="4"/>
  <c r="AM22" i="4"/>
  <c r="AM20" i="4"/>
  <c r="AM10" i="4"/>
  <c r="AM31" i="4"/>
  <c r="AM30" i="4"/>
  <c r="AM38" i="4"/>
  <c r="AM42" i="4"/>
  <c r="AM17" i="4"/>
  <c r="AM21" i="4"/>
  <c r="AM9" i="4"/>
  <c r="AM25" i="4"/>
  <c r="AM13" i="4"/>
  <c r="AM15" i="4"/>
  <c r="AM35" i="4"/>
  <c r="AM36" i="4"/>
  <c r="AM26" i="4"/>
  <c r="AM24" i="4"/>
  <c r="AM19" i="4"/>
  <c r="AM27" i="4"/>
  <c r="AM12" i="4"/>
  <c r="AM14" i="4"/>
  <c r="AM37" i="4"/>
  <c r="AM29" i="4"/>
  <c r="AM16" i="4"/>
  <c r="AM23" i="4"/>
  <c r="AM52" i="4"/>
  <c r="AM34" i="4"/>
  <c r="AL31" i="4"/>
  <c r="AL53" i="4"/>
  <c r="AM46" i="4"/>
  <c r="AL29" i="4"/>
  <c r="AM50" i="4"/>
  <c r="AL48" i="4"/>
  <c r="AL33" i="4"/>
  <c r="AL51" i="4"/>
  <c r="AL44" i="4"/>
  <c r="AL35" i="4"/>
  <c r="AM28" i="4"/>
  <c r="AL36" i="4"/>
  <c r="AL30" i="4"/>
  <c r="AL42" i="4"/>
  <c r="AL38" i="4"/>
  <c r="AM32" i="4"/>
  <c r="AL47" i="4"/>
  <c r="AL37" i="4"/>
  <c r="AM41" i="4"/>
  <c r="AL45" i="4"/>
  <c r="AM40" i="4"/>
  <c r="AL40" i="4"/>
  <c r="AM43" i="4"/>
  <c r="AM49" i="4"/>
  <c r="AL49" i="4"/>
  <c r="AL39" i="4"/>
  <c r="AM39" i="4"/>
  <c r="N39" i="6" l="1"/>
  <c r="J33" i="6"/>
  <c r="O36" i="6"/>
  <c r="O35" i="6"/>
  <c r="O34" i="6"/>
</calcChain>
</file>

<file path=xl/sharedStrings.xml><?xml version="1.0" encoding="utf-8"?>
<sst xmlns="http://schemas.openxmlformats.org/spreadsheetml/2006/main" count="9303" uniqueCount="8696">
  <si>
    <t>أربعمائة وثمانون ونصف</t>
  </si>
  <si>
    <t>ثلاثمائة وأربعون   وواحدة</t>
  </si>
  <si>
    <t>ثلاثمائة وأربعون  واثنتان</t>
  </si>
  <si>
    <t>ثلاثمائة وأربعون  وثلاث</t>
  </si>
  <si>
    <t>ثلاثمائة وأربعون  وأربع</t>
  </si>
  <si>
    <t>ثلاثمائة وأربعون  ونصف</t>
  </si>
  <si>
    <t>خمسمائة وواحدة وستون وثلاث</t>
  </si>
  <si>
    <t>خمسمائة وواحدة وستون وأربع</t>
  </si>
  <si>
    <t>خمسمائة وواحدة وستون ونصف</t>
  </si>
  <si>
    <t>خمسمائة وواحدة وستون وست</t>
  </si>
  <si>
    <t>خمسمائة وواحدة وستون وسبع</t>
  </si>
  <si>
    <t>خمسمائة وواحدة وستون وثمان</t>
  </si>
  <si>
    <t>خمسمائة وواحدة وستون وتسع</t>
  </si>
  <si>
    <t xml:space="preserve">خمسمائة واثنان وستون </t>
  </si>
  <si>
    <t>خمسمائة واثنتان وستون وواحدة</t>
  </si>
  <si>
    <t>خمسمائة واثنتان وستون واثنتان</t>
  </si>
  <si>
    <t>خمسمائة واثنتان وستون وثلاث</t>
  </si>
  <si>
    <t>خمسمائة واثنتان وستون وأربع</t>
  </si>
  <si>
    <t>خمسمائة واثنتان وستون ونصف</t>
  </si>
  <si>
    <t>خمسمائة واثنتان وستون وست</t>
  </si>
  <si>
    <t>مائتان وواحدة و أربعون   وواحدة</t>
  </si>
  <si>
    <t>مائتان وواحدة و أربعون واثنتان</t>
  </si>
  <si>
    <t>مائتان وواحدة و أربعون  وثلاث</t>
  </si>
  <si>
    <t>مائتان وواحدة و أربعون  وأربع</t>
  </si>
  <si>
    <t>مائتان وواحدة و أربعون  ونصف</t>
  </si>
  <si>
    <t>مائتان وواحدة و أربعون  وست</t>
  </si>
  <si>
    <t>مائتان وواحد و أربعون  وسبع</t>
  </si>
  <si>
    <t>مائتان وواحد و أربعون  وثمان</t>
  </si>
  <si>
    <t>مائتان وواحد و أربعون  وتسع</t>
  </si>
  <si>
    <t xml:space="preserve">مائتان واثنتان و أربعون  </t>
  </si>
  <si>
    <t>مائتان واثنتان و أربعون   وواحدة</t>
  </si>
  <si>
    <t>مائتان واثنتان و أربعون  واثنتان</t>
  </si>
  <si>
    <t>مائتان واثنتان و أربعون  وثلاث</t>
  </si>
  <si>
    <t>مائتان واثنتان و أربعون  وأربع</t>
  </si>
  <si>
    <t>مائتان واثنتان و أربعون  ونصف</t>
  </si>
  <si>
    <t>مائتان واثنتان و أربعون  وست</t>
  </si>
  <si>
    <t>مائتان واثنتان و أربعون  وسبع</t>
  </si>
  <si>
    <t>مائتان واثنتان و أربعون  وثمان</t>
  </si>
  <si>
    <t>مائتان واثنتان و أربعون  وتسع</t>
  </si>
  <si>
    <t xml:space="preserve">مائتان وثلاث و أربعون </t>
  </si>
  <si>
    <t>مائتان وثلاث و أربعون   وواحدة</t>
  </si>
  <si>
    <t>مائتان وثلاث و أربعون  واثنتان</t>
  </si>
  <si>
    <t>مائتان وثلاث و أربعون  وثلاث</t>
  </si>
  <si>
    <t>مائتان وثلاث و أربعون  وأربع</t>
  </si>
  <si>
    <t>مائتان وثلاث و أربعون  ونصف</t>
  </si>
  <si>
    <t>مائتان وثلاث و أربعون  وست</t>
  </si>
  <si>
    <t>مائتان وثلاث و أربعون  وسبع</t>
  </si>
  <si>
    <t>مائتان وثلاث و أربعون  وثمان</t>
  </si>
  <si>
    <t>مائتان وثلاث و أربعون  وتسع</t>
  </si>
  <si>
    <t>مائتان وأربع و أربعون  وتسع</t>
  </si>
  <si>
    <t>مائتان وأربع و أربعون   وواحدة</t>
  </si>
  <si>
    <t>مائتان وأربع و أربعون  واثنتان</t>
  </si>
  <si>
    <t>مائتان وأربع و أربعون  وثلاث</t>
  </si>
  <si>
    <t>مائتان وأربع و أربعون  وأربع</t>
  </si>
  <si>
    <t>مائتان وأربع و أربعون  ونصف</t>
  </si>
  <si>
    <t>مائتان وأربع و أربعون  وست</t>
  </si>
  <si>
    <t>مائتان وأربع و أربعون  وسبع</t>
  </si>
  <si>
    <t>مائتان وأربع و أربعون  وثمان</t>
  </si>
  <si>
    <t xml:space="preserve">مائتان وخمس و أربعون  </t>
  </si>
  <si>
    <t>مائتان وخمس و أربعون   وواحدة</t>
  </si>
  <si>
    <t>مائتان وخمس و أربعون  واثنتان</t>
  </si>
  <si>
    <t>مائتان وأخمس و أربعون  وثلاث</t>
  </si>
  <si>
    <t>مائتان وخمس و أربعون  وأربع</t>
  </si>
  <si>
    <t>مائتان وخمس و أربعون  ونصف</t>
  </si>
  <si>
    <t>مائتان وخمس و أربعون  وست</t>
  </si>
  <si>
    <t>مائتان وخمس و أربعون  وسبع</t>
  </si>
  <si>
    <t>مائتان وخمس و أربعون  وثمان</t>
  </si>
  <si>
    <t>مائتان وخمس و أربعون وتسع</t>
  </si>
  <si>
    <t xml:space="preserve">مائتان وست و أربعون  </t>
  </si>
  <si>
    <t>مائتان وست و أربعون وواحدة</t>
  </si>
  <si>
    <t>مائتان وست و أربعون واثنتان</t>
  </si>
  <si>
    <t>مائتان وست و أربعون  وثلاث</t>
  </si>
  <si>
    <t>أربعمائة واثنتان وسبعون ونصف</t>
  </si>
  <si>
    <t>أربعمائة واثنتان وسبعون وست</t>
  </si>
  <si>
    <t>أربعمائة واثنتان وسبعون وسبع</t>
  </si>
  <si>
    <t>أربعمائة واثنتان وسبعون وثمان</t>
  </si>
  <si>
    <t>أربعمائة واثنتان وسبعون وتسع</t>
  </si>
  <si>
    <t xml:space="preserve">أربعمائة وثلاث وسبعون </t>
  </si>
  <si>
    <t>أربعمائة وثلاث وسبعون وواحدة</t>
  </si>
  <si>
    <t>أربعمائة وثلاث وسبعون واثنتان</t>
  </si>
  <si>
    <t>أربعمائة وثلاث وسبعون وثلاث</t>
  </si>
  <si>
    <t>أربعمائة وثلاث وسبعون وأربع</t>
  </si>
  <si>
    <t>ستمائة وتسع وسبعون وأربع</t>
  </si>
  <si>
    <t>ستمائة وتسع وسبعون ونصف</t>
  </si>
  <si>
    <t>مائتان وثمان و أربعون  وست</t>
  </si>
  <si>
    <t>أربعمائة وخمسون وست</t>
  </si>
  <si>
    <t>أربعمائة وخمسون وسبع</t>
  </si>
  <si>
    <t>أربعمائة وخمسون وثمان</t>
  </si>
  <si>
    <t>أربعمائة وخمسون وتسع</t>
  </si>
  <si>
    <t xml:space="preserve">أربعمائة وواحدة وخمسون </t>
  </si>
  <si>
    <t>أربعمائة وواحدة وخمسون وواحدة</t>
  </si>
  <si>
    <t>أربعمائة وواحدة وخمسون واثنتان</t>
  </si>
  <si>
    <t>أربعمائة وواحدة وخمسون وثلاث</t>
  </si>
  <si>
    <t>أربعمائة وواحدة وخمسون وأربع</t>
  </si>
  <si>
    <t>أربعمائة وواحدة وخمسون ونصف</t>
  </si>
  <si>
    <t>أربعمائة وواحدة وخمسون وست</t>
  </si>
  <si>
    <t>أربعمائة وواحدة وخمسون وسبع</t>
  </si>
  <si>
    <t>أربعمائة وواحدة وخمسون وثمان</t>
  </si>
  <si>
    <t>أربعمائة وواحدة وخمسون وتسع</t>
  </si>
  <si>
    <t xml:space="preserve">أربعمائة واثنتان وخمسون </t>
  </si>
  <si>
    <t>أربعمائة واثنتان وخمسون وواحدة</t>
  </si>
  <si>
    <t>أربعمائة واثنتان وخمسون واثنتان</t>
  </si>
  <si>
    <t>أربعمائة واثنتان وخمسون وثلاث</t>
  </si>
  <si>
    <t>مائتان وتسع و أربعون  وست</t>
  </si>
  <si>
    <t>مائتان وتسع و أربعون  وسبع</t>
  </si>
  <si>
    <t>مائتان وتسع و أربعون  وثمان</t>
  </si>
  <si>
    <t>مائتان وتسع و أربعون  وتسع</t>
  </si>
  <si>
    <t xml:space="preserve">مائتان وخمسون  </t>
  </si>
  <si>
    <t>مائتان وخمسون وواحدة</t>
  </si>
  <si>
    <t>مائتان وخمسون واثنتان</t>
  </si>
  <si>
    <t>مائتان وخمسون وثلاث</t>
  </si>
  <si>
    <t>مائتان وخمسون وأربع</t>
  </si>
  <si>
    <t>مائتان وخمسون ونصف</t>
  </si>
  <si>
    <t>مائتان وخمسون وست</t>
  </si>
  <si>
    <t>مائتان وخمسون وسبع</t>
  </si>
  <si>
    <t>مائتان وخمسون وثمان</t>
  </si>
  <si>
    <t>مائتان وخمسون وتسع</t>
  </si>
  <si>
    <t xml:space="preserve">مائتان وواحدة وخمسون </t>
  </si>
  <si>
    <t>مائتان وواحدة وخمسون وواحدة</t>
  </si>
  <si>
    <t>مائتان وواحدة وخمسون واثنتان</t>
  </si>
  <si>
    <t>مائتان وواحدة وخمسون وثلاث</t>
  </si>
  <si>
    <t>مائتان وواحدة وخمسون وأربع</t>
  </si>
  <si>
    <t>مائتان وواحدة وخمسون ونصف</t>
  </si>
  <si>
    <t>مائتان وواحدة وخمسون وست</t>
  </si>
  <si>
    <t>مائتان وواحدة وخمسون وسبع</t>
  </si>
  <si>
    <t>مائتان وواحدة وخمسون وثمان</t>
  </si>
  <si>
    <t>مائتان وواحدة وخمسون وتسع</t>
  </si>
  <si>
    <t xml:space="preserve">مائتان واثنتان وخمسون </t>
  </si>
  <si>
    <t>مائتان واثنتان وخمسون وواحدة</t>
  </si>
  <si>
    <t>مائتان واثنتان وخمسون واثنتان</t>
  </si>
  <si>
    <t>مائتان واثنتان وخمسون وثلاث</t>
  </si>
  <si>
    <t>مائتان واثنتان وخمسون وأربع</t>
  </si>
  <si>
    <t>مائتان واثنتان وخمسون ونصف</t>
  </si>
  <si>
    <t>مائتان واثنتان وخمسون وست</t>
  </si>
  <si>
    <t>مائتان واثنتان وخمسون وسبع</t>
  </si>
  <si>
    <t>مائتان واثنتان وخمسون وثمان</t>
  </si>
  <si>
    <t>مائتان واثنتان وخمسون وتسع</t>
  </si>
  <si>
    <t xml:space="preserve">مائتان وثلاث وخمسون </t>
  </si>
  <si>
    <t>مائتان وثلاث وخمسون وواحدة</t>
  </si>
  <si>
    <t>مائتان وثلاث وخمسون واثنتان</t>
  </si>
  <si>
    <t>مائتان وثلاث وخمسون وثلاث</t>
  </si>
  <si>
    <t>مائتان وثلاث وخمسون وأربع</t>
  </si>
  <si>
    <t>مائتان وثلاث وخمسون ونصف</t>
  </si>
  <si>
    <t>مائتان وثلاث وخمسون وست</t>
  </si>
  <si>
    <t>مائتان وثلاث وخمسون وسبع</t>
  </si>
  <si>
    <t>مائتان وثلاث وخمسون وثمان</t>
  </si>
  <si>
    <t>مائتان وثلاث وخمسون وتسع</t>
  </si>
  <si>
    <t xml:space="preserve">مائتان وأربع وخمسون </t>
  </si>
  <si>
    <t>مائتان وأربع وخمسون وواحدة</t>
  </si>
  <si>
    <t>ثلاثمائة وواحدة سبعون وثلاث</t>
  </si>
  <si>
    <t>ثلاثمائة وواحدة سبعون وأربع</t>
  </si>
  <si>
    <t>مائتان وسبعون ونصف</t>
  </si>
  <si>
    <t>مائتان وسبعون وست</t>
  </si>
  <si>
    <t>مائتان وسبعون وسبع</t>
  </si>
  <si>
    <t>مائتان وسبعون وثمان</t>
  </si>
  <si>
    <t>مائتان وسبعون وتسع</t>
  </si>
  <si>
    <t>ثلاثمائة وواحدة وخمسون واثنتان</t>
  </si>
  <si>
    <t>ثلاثمائة وواحدة وخمسون وثلاث</t>
  </si>
  <si>
    <t>ثلاثمائة وواحدة وخمسون وأربع</t>
  </si>
  <si>
    <t>ثلاثمائة وواحدة وخمسون ونصف</t>
  </si>
  <si>
    <t>ثلاثمائة وواحدة وخمسون وست</t>
  </si>
  <si>
    <t>ثلاثمائة وواحدة وخمسون وسبع</t>
  </si>
  <si>
    <t>مائتان وثمان و أربعون  وسبع</t>
  </si>
  <si>
    <t>أربعمائة واثنتان وتسعون وست</t>
  </si>
  <si>
    <t>أربعمائة واثنتان وتسعون وسبع</t>
  </si>
  <si>
    <t>أربعمائة واثنتان وتسعون وثمان</t>
  </si>
  <si>
    <t>أربعمائة واثنتان وتسعون وتسع</t>
  </si>
  <si>
    <t xml:space="preserve">أربعمائة وثلاث وتسعون </t>
  </si>
  <si>
    <t>أربعمائة وثلاث وتسعون وواحدة</t>
  </si>
  <si>
    <t>أربعمائة وثلاث وتسعون واثنتان</t>
  </si>
  <si>
    <t>أربعمائة وثلاث وتسعون وثلاث</t>
  </si>
  <si>
    <t>أربعمائة وثلاث وتسعون وأربع</t>
  </si>
  <si>
    <t>أربعمائة وثلاث وتسعون ونصف</t>
  </si>
  <si>
    <t>أربعمائة وثلاث وتسعون وست</t>
  </si>
  <si>
    <t>أربعمائة وثلاث وتسعون وسبع</t>
  </si>
  <si>
    <t>أربعمائة واثلاث وتسعون وثمان</t>
  </si>
  <si>
    <t>أربعمائة وثلاث وتسعون وتسع</t>
  </si>
  <si>
    <t xml:space="preserve">أربعمائة وأربع وتسعون </t>
  </si>
  <si>
    <t>أربعمائة وأربع وتسعون وواحدة</t>
  </si>
  <si>
    <t>أربعمائة وأربع وتسعون واثنتان</t>
  </si>
  <si>
    <t>أربعمائة وأربع وتسعون وثلاث</t>
  </si>
  <si>
    <t>مائتان وسبع وتسعون واثنتان</t>
  </si>
  <si>
    <t>مائتان وسبع وتسعون وثلاث</t>
  </si>
  <si>
    <t>مائتان وسبع وتسعون وأربع</t>
  </si>
  <si>
    <t>مائتان وسبع وتسعون ونصف</t>
  </si>
  <si>
    <t>مائتان وسبع وتسعون وست</t>
  </si>
  <si>
    <t>مائتان وسبع وتسعون وسبع</t>
  </si>
  <si>
    <t>مائتان وسبع وتسعون وثمان</t>
  </si>
  <si>
    <t>ثلاثمائة وخمس وسبعون وست</t>
  </si>
  <si>
    <t>ثلاثمائة وخمس وسبعون وسبع</t>
  </si>
  <si>
    <t>ثلاثمائة وخمس وسبعون وثمان</t>
  </si>
  <si>
    <t>مائتان وست وخمسون وثمان</t>
  </si>
  <si>
    <t>أربعمائة وتسع وخمسون وسبع</t>
  </si>
  <si>
    <t>أربعمائة ستون</t>
  </si>
  <si>
    <t>أربعمائة وستون وواحدة</t>
  </si>
  <si>
    <t>أربعمائة وستون واثنتان</t>
  </si>
  <si>
    <t>مائتان وسبع و ثلاثون وثمان</t>
  </si>
  <si>
    <t>مائتان وسبع و ثلاثون وتسع</t>
  </si>
  <si>
    <t>مائتان وثمان و ثلاثون</t>
  </si>
  <si>
    <t>أربعمائة وستون وسبع</t>
  </si>
  <si>
    <t>أربعمائة وستون وثمان</t>
  </si>
  <si>
    <t>أربعمائة وستون وتسع</t>
  </si>
  <si>
    <t xml:space="preserve">أربعمائة وواحدة وستون </t>
  </si>
  <si>
    <t>أربعمائة وواحدة وستون وواحدة</t>
  </si>
  <si>
    <t>مائتان وثمان و ثلاثون وست</t>
  </si>
  <si>
    <t>مائتان وثمان و ثلاثون وسبع</t>
  </si>
  <si>
    <t>مائتان وثمان و ثلاثون وثمان</t>
  </si>
  <si>
    <t>مائتان وثمان و ثلاثون وتسع</t>
  </si>
  <si>
    <t xml:space="preserve">مائتان وتسع و ثلاثون </t>
  </si>
  <si>
    <t>مائتان وتسع و ثلاثون  وواحدة</t>
  </si>
  <si>
    <t>مائتان وتسع و ثلاثون واثنتان</t>
  </si>
  <si>
    <t>مائتان وتسع و ثلاثون وثلاث</t>
  </si>
  <si>
    <t>مائتان وتسع و ثلاثون وأربع</t>
  </si>
  <si>
    <t>مائتان وتسع و ثلاثون ونصف</t>
  </si>
  <si>
    <t>مائتان وتسع و ثلاثون وست</t>
  </si>
  <si>
    <t>أربعمائة وثمانون وست</t>
  </si>
  <si>
    <t>أربعمائة وثمانون وسبع</t>
  </si>
  <si>
    <t>مائتان وثمان وخمسون وست</t>
  </si>
  <si>
    <t>مائتان وثمان وخمسون وسبع</t>
  </si>
  <si>
    <t>مائتان وثمان وخمسون وثمان</t>
  </si>
  <si>
    <t>مائتان وثمان وخمسون وتسع</t>
  </si>
  <si>
    <t xml:space="preserve">مائتان وتسع وخمسون </t>
  </si>
  <si>
    <t>مائتان وتسع وخمسون وواحدة</t>
  </si>
  <si>
    <t>مائتان وتسع وخمسون واثنتان</t>
  </si>
  <si>
    <t>مائتان وتسع وخمسون وثلاث</t>
  </si>
  <si>
    <t>مائتان وتسع وخمسون وأربع</t>
  </si>
  <si>
    <t>مائتان وتسع وخمسون ونصف</t>
  </si>
  <si>
    <t>ثلاثمائة واثنتان وثمانون وست</t>
  </si>
  <si>
    <t>ثلاثمائة واثنتان وثمانون وسبع</t>
  </si>
  <si>
    <t>ثلاثمائة واثنتان وثمانون وثمان</t>
  </si>
  <si>
    <t>مائتان وأربعون  وست</t>
  </si>
  <si>
    <t>مائتان وأربعون  وسبع</t>
  </si>
  <si>
    <t>مائتان وأربعون  وثمان</t>
  </si>
  <si>
    <t>مائتان وواحد وثمانون ونصف</t>
  </si>
  <si>
    <t>مائتان وواحد وثمانون وست</t>
  </si>
  <si>
    <t>مائتان وواحد وثمانون وسبع</t>
  </si>
  <si>
    <t>ثلاثمائة وواحدة وثمانون وسبع</t>
  </si>
  <si>
    <t>ثلاثمائة وواحدة وثمانون وثمان</t>
  </si>
  <si>
    <t>ثلاثمائة وواحدة وثمانون وتسع</t>
  </si>
  <si>
    <t xml:space="preserve">ثلاثمائة واثنتان وثمانون </t>
  </si>
  <si>
    <t>ثلاثمائة واثنتان وثمانون وواحدة</t>
  </si>
  <si>
    <t>ثلاثمائة واثنتان وثمانون واثنتان</t>
  </si>
  <si>
    <t>ثلاثمائة واثنتان وثمانون وثلاث</t>
  </si>
  <si>
    <t>ثلاثمائة واثنتان وثمانون وأربع</t>
  </si>
  <si>
    <t>ثلاثمائة واثنتان وثمانون ونصف</t>
  </si>
  <si>
    <t>ستمائة وتسع</t>
  </si>
  <si>
    <t>ستمائة وتسع وواحدة</t>
  </si>
  <si>
    <t>ستمائة وتسع واثنتان</t>
  </si>
  <si>
    <t>ستمائة وتسع وثلاث</t>
  </si>
  <si>
    <t>ستمائة وتسع وأربع</t>
  </si>
  <si>
    <t>ستمائة وتسع ونصف</t>
  </si>
  <si>
    <t>ستمائة وتسع وست</t>
  </si>
  <si>
    <t>ستمائة وتسع وسبع</t>
  </si>
  <si>
    <t>ستمائة وتسع وثمان</t>
  </si>
  <si>
    <t>ستمائة وتسع وتسع</t>
  </si>
  <si>
    <t>مائتان وثمانون واثنتان</t>
  </si>
  <si>
    <t>أربعمائة وتسع وتسعون ونصف</t>
  </si>
  <si>
    <t>أربعمائة وتسع وتسعون وست</t>
  </si>
  <si>
    <t>أربعمائة وتسع وتسعون وسبع</t>
  </si>
  <si>
    <t>أربعمائة وتسع وتسعون وثمان</t>
  </si>
  <si>
    <t>أربعمائة وتسع وتسعون وتسع</t>
  </si>
  <si>
    <t>خمسمائة</t>
  </si>
  <si>
    <t>خمسمائة وواحدة</t>
  </si>
  <si>
    <t>خمسمائة واثنتان</t>
  </si>
  <si>
    <t>خمسمائة وثلاث</t>
  </si>
  <si>
    <t>خمسمائة وأربع</t>
  </si>
  <si>
    <t>خمسمائة ونصف</t>
  </si>
  <si>
    <t>خمسمائة وست</t>
  </si>
  <si>
    <t>خمسمائة وسبع</t>
  </si>
  <si>
    <t>خمسمائة وثمان</t>
  </si>
  <si>
    <t>خمسمائة و تسع</t>
  </si>
  <si>
    <t xml:space="preserve">خمسمائة وواحدة وواحدة </t>
  </si>
  <si>
    <t>خمسمائة وواحدة واثنتان</t>
  </si>
  <si>
    <t>خمسمائة وواحدة وثلاث</t>
  </si>
  <si>
    <t>خمسمائة وواحدة وأربع</t>
  </si>
  <si>
    <t>خمسمائة وواحدة ونصف</t>
  </si>
  <si>
    <t>خمسمائة وواحدة وست</t>
  </si>
  <si>
    <t>خمسمائة وواحدة وسبع</t>
  </si>
  <si>
    <t>خمسمائة وواحدة وثمان</t>
  </si>
  <si>
    <t>خمسمائة وواحدة وتسع</t>
  </si>
  <si>
    <t>خمسمائة وسبع وثمانون واثنتان</t>
  </si>
  <si>
    <t>ثلاثمائة واثنتان وثمانون وتسع</t>
  </si>
  <si>
    <t>ثلاثمائة وثلاث وثمانون</t>
  </si>
  <si>
    <t>ثلاثمائة وثلاث وثمانون وواحدة</t>
  </si>
  <si>
    <t>مائتان وثلاث وستون وأربع</t>
  </si>
  <si>
    <t>مائتان وثلاث وستون ونصف</t>
  </si>
  <si>
    <t>مائتان وثلاث وستون وست</t>
  </si>
  <si>
    <t>مائتان وثلاث وستون وسبع</t>
  </si>
  <si>
    <t>مائتان وثلاث وستون وثمان</t>
  </si>
  <si>
    <t>مائتان وثلاث وستون وتسع</t>
  </si>
  <si>
    <t xml:space="preserve">مائتان وأربع وستون </t>
  </si>
  <si>
    <t>مائتان وأربع وستون وواحدة</t>
  </si>
  <si>
    <t>أربعمائة وتسع وستون وواحدة</t>
  </si>
  <si>
    <t>ثأربعمائة وتسع وستون واثنتان</t>
  </si>
  <si>
    <t>أربعمائة وتسع وستون وثلاث</t>
  </si>
  <si>
    <t>أربعمائة وتسع وستون وأربع</t>
  </si>
  <si>
    <t>أربعمائة وتسع وستون ونصف</t>
  </si>
  <si>
    <t>أربعمائة وتسع وستون وست</t>
  </si>
  <si>
    <t>أربعمائة وتسع وستون وسبع</t>
  </si>
  <si>
    <t>أربعمائة وتسع وستون وثمان</t>
  </si>
  <si>
    <t>أربعمائة وتسع وستون وتسع</t>
  </si>
  <si>
    <t xml:space="preserve">أربعمائة وسبعون </t>
  </si>
  <si>
    <t>أربعمائة وسبعون وواحدة</t>
  </si>
  <si>
    <t>أربعمائة وسبعون واثنتان</t>
  </si>
  <si>
    <t>أربعمائة وسبعون وثلاث</t>
  </si>
  <si>
    <t>أربعمائة وسبعون وأربع</t>
  </si>
  <si>
    <t>أربعمائة وسبعون ونصف</t>
  </si>
  <si>
    <t>أربعمائة وسبعون وست</t>
  </si>
  <si>
    <t>أربعمائة وسبعون وسبع</t>
  </si>
  <si>
    <t>سبعمائة وواحدة وسبع</t>
  </si>
  <si>
    <t>سبعمائة وواحدة وثمان</t>
  </si>
  <si>
    <t>سبعمائة وواحدة وتسع</t>
  </si>
  <si>
    <t>سبعمائة واثنتان وواحدة</t>
  </si>
  <si>
    <t>سبعمائة واثنتان واثنتان</t>
  </si>
  <si>
    <t>سبعمائة واثنتان وثلاث</t>
  </si>
  <si>
    <t>سبعمائة واثنتان وأربع</t>
  </si>
  <si>
    <t>سبعمائة واثنتان ونصف</t>
  </si>
  <si>
    <t>سبعمائة واثنتان وست</t>
  </si>
  <si>
    <t>ثمــــــــــان مائة وواحدة وتسعون وسبع</t>
  </si>
  <si>
    <t xml:space="preserve">أربعمائة وواحدة وسبعون </t>
  </si>
  <si>
    <t>أربعمائة وواحدة سبعون وواحدة</t>
  </si>
  <si>
    <t>أربعمائة وواحدة سبعون واثنتان</t>
  </si>
  <si>
    <t>أربعمائة وواحدة سبعون وثلاث</t>
  </si>
  <si>
    <t>أربعمائة وواحدة سبعون وأربع</t>
  </si>
  <si>
    <t>سبعمائة واثنتان وسبع</t>
  </si>
  <si>
    <t>سبعمائة واثنتان وثمان</t>
  </si>
  <si>
    <t>سبعمائة واثنتان وتسع</t>
  </si>
  <si>
    <t>سبعمائة وثلاث وواحدة</t>
  </si>
  <si>
    <t>سبعمائة وثلاث واثنتان</t>
  </si>
  <si>
    <t>سبعمائة وثلاث وثلاث</t>
  </si>
  <si>
    <t>ثلاثمائة واثنتان وتسعون وأربع</t>
  </si>
  <si>
    <t>ثلاثمائة واثنتان وتسعون ونصف</t>
  </si>
  <si>
    <t>ثلاثمائة واثنتان وتسعون وست</t>
  </si>
  <si>
    <t>ثلاثمائة واثنتان وتسعون وسبع</t>
  </si>
  <si>
    <t>ثلاثمائة واثنتان وتسعون وثمان</t>
  </si>
  <si>
    <t>ثلاثمائة واثنان وتسعون وتسع</t>
  </si>
  <si>
    <t>مائتان وأربع وتسعون وثلاث</t>
  </si>
  <si>
    <t>مائتان وأربع وتسعون وأربع</t>
  </si>
  <si>
    <t>مائتان وأربع وتسعون ونصف</t>
  </si>
  <si>
    <t>مائتان وأربع وتسعون وست</t>
  </si>
  <si>
    <t>مائتان وأربع وتسعون وسبع</t>
  </si>
  <si>
    <t>مائتان وأربع وتسعون وثمان</t>
  </si>
  <si>
    <t>أربعمائة واثنتان وتسعون ونصف</t>
  </si>
  <si>
    <t>سبعمائة وست وواحدة</t>
  </si>
  <si>
    <t>سبعمائة وست واثنتان</t>
  </si>
  <si>
    <t xml:space="preserve">سبعمائة وست وثلاث </t>
  </si>
  <si>
    <t>سبعمائة وست وأربع</t>
  </si>
  <si>
    <t>سبعمائة وست ونصف</t>
  </si>
  <si>
    <t xml:space="preserve">ثلاثمائة واثنتان وتسعون </t>
  </si>
  <si>
    <t>ثلاثمائة واثنتان وتسعون وواحدة</t>
  </si>
  <si>
    <t>ثلاثمائة واثنتان وتسعون واثنان</t>
  </si>
  <si>
    <t>ثلاثمائة واثنتان وتسعون وثلاث</t>
  </si>
  <si>
    <t>ثلاثمائة وتسع وثمانون وأربع</t>
  </si>
  <si>
    <t>ثلاثمائة وتسع وثمانون ونصف</t>
  </si>
  <si>
    <t>ثلاثمائة وتسع وثمانون وست</t>
  </si>
  <si>
    <t>ثلاثمائة وتسع وثمانون وسبع</t>
  </si>
  <si>
    <t>ثلاثمائة وتسع وثمانون وثمان</t>
  </si>
  <si>
    <t>ثلاثمائة وتسع وثمانون وتسع</t>
  </si>
  <si>
    <t>ثلاثمائة وتسعون</t>
  </si>
  <si>
    <t>ثلاثمائة وتسعون وواحدة</t>
  </si>
  <si>
    <t>ثلاثمائة وتسعون واثنتان</t>
  </si>
  <si>
    <t>ثلاثمائة وتسعون وثلاث</t>
  </si>
  <si>
    <t>ثلاثمائة وتسعون وأربع</t>
  </si>
  <si>
    <t>ثلاثمائة وتسعون ونصف</t>
  </si>
  <si>
    <t>ثلاثمائة وتسعون وست</t>
  </si>
  <si>
    <t>ثلاثمائة وتسعون وسبع</t>
  </si>
  <si>
    <t>ثلاثمائة وتسعون وثمان</t>
  </si>
  <si>
    <t>ثلاثمائة وتسعون وتسع</t>
  </si>
  <si>
    <t xml:space="preserve">ثلاثمائة وواحدة وتسعون </t>
  </si>
  <si>
    <t>خمسمائة وثلاث وتسعون وست</t>
  </si>
  <si>
    <t>خمسمائة وثلاث وتسعون وسبع</t>
  </si>
  <si>
    <t>خمسمائة واثلاث وتسعون وثمان</t>
  </si>
  <si>
    <t>خمسمائة وثلاث وتسعون وتسع</t>
  </si>
  <si>
    <t xml:space="preserve">خمسمائة وأربع وتسعون </t>
  </si>
  <si>
    <t>خمسمائة وأربع وتسعون وواحدة</t>
  </si>
  <si>
    <t>خمسمائة وأربع وتسعون واثنتان</t>
  </si>
  <si>
    <t>ثلاثمائة وواحدة سبعون ونصف</t>
  </si>
  <si>
    <t>ثلاثمائة وواحدة سبعون وست</t>
  </si>
  <si>
    <t>ثلاثمائة وواحدة سبعون وسبع</t>
  </si>
  <si>
    <t>ثلاثمائة وواحدة سبعون وثمان</t>
  </si>
  <si>
    <t>ثلاثمائة وواحدة سبعون وتسع</t>
  </si>
  <si>
    <t xml:space="preserve">ثلاثمائة واثنتان وسبعون </t>
  </si>
  <si>
    <t>ثلاثمائة واثنتان وسبعون وواحدة</t>
  </si>
  <si>
    <t>ثلاثمائة واثنتان وسبعون واثنتان</t>
  </si>
  <si>
    <t>مائتان وواحدة سبعون وتسع</t>
  </si>
  <si>
    <t xml:space="preserve">مائتان واثنتان وسبعون </t>
  </si>
  <si>
    <t>مائتان واثنتان وسبعون وواحدة</t>
  </si>
  <si>
    <t>مائتان واثنتان وسبعون واثنتان</t>
  </si>
  <si>
    <t>مائتان واثنتان وسبعون وثلاث</t>
  </si>
  <si>
    <t>مائتان واثنتان وسبعون وأربع</t>
  </si>
  <si>
    <t>مائتان واثنتان وسبعون ونصف</t>
  </si>
  <si>
    <t>مائتان واثنتان وسبعون وست</t>
  </si>
  <si>
    <t>مائتان واثنتان وسبعون وسبع</t>
  </si>
  <si>
    <t>مائتان واثنتان وسبعون وثمان</t>
  </si>
  <si>
    <t>مائتان واثنتان وسبعون وتسع</t>
  </si>
  <si>
    <t xml:space="preserve">مائتان وثلاث وسبعون </t>
  </si>
  <si>
    <t>مائتان وثلاث وسبعون وواحدة</t>
  </si>
  <si>
    <t>مائتان وثلاث وسبعون واثنتان</t>
  </si>
  <si>
    <t>ثلاثمائة وخمس وسبعون وواحدة</t>
  </si>
  <si>
    <t>ثلاثمائة وخمس وسبعون واثنتان</t>
  </si>
  <si>
    <t>ثلاثمائة وخمس وسبعون وثلاث</t>
  </si>
  <si>
    <t>مائتان وثمان وسبعون وتسع</t>
  </si>
  <si>
    <t xml:space="preserve">مائتان وتسع وسبعون </t>
  </si>
  <si>
    <t>مائتان وتسع وسبعون وواحدة</t>
  </si>
  <si>
    <t>مائتان وتسع وسبعون واثنتان</t>
  </si>
  <si>
    <t>مائتان وتسع وسبعون وثلاث</t>
  </si>
  <si>
    <t>مائتان وتسع وسبعون وأربع</t>
  </si>
  <si>
    <t>مائتان وتسع وسبعون ونصف</t>
  </si>
  <si>
    <t>مائتان وتسع وسبعون وست</t>
  </si>
  <si>
    <t>مائتان وتسع وسبعون وسبع</t>
  </si>
  <si>
    <t>مائتان وتسع وسبعون وثمان</t>
  </si>
  <si>
    <t>مائتان وتسع وسبعون وتسع</t>
  </si>
  <si>
    <t>مائتان وثمانون</t>
  </si>
  <si>
    <t>مائتان وثمانون وواحدة</t>
  </si>
  <si>
    <t xml:space="preserve">أربعمائة وتسع وسبعون </t>
  </si>
  <si>
    <t>أربعمائة وتسع وسبعون وواحدة</t>
  </si>
  <si>
    <t>أربعمائة وتسع وسبعون واثنتان</t>
  </si>
  <si>
    <t>أربعمائة وتسع وسبعون وثلاث</t>
  </si>
  <si>
    <t>أربعمائة وتسع وسبعون وأربع</t>
  </si>
  <si>
    <t>أربعمائة وتسع وسبعون ونصف</t>
  </si>
  <si>
    <t>أربعمائة وتسع وسبعون وست</t>
  </si>
  <si>
    <t>أربعمائة وتسع وسبعون وسبع</t>
  </si>
  <si>
    <t>أربعمائة وتسع وسبعون وثمان</t>
  </si>
  <si>
    <t>أربعمائة وتسع وسبعون وتسع</t>
  </si>
  <si>
    <t>أربعمائة وثمانون</t>
  </si>
  <si>
    <t>سبعمائة وأربع عشرة واثنتان</t>
  </si>
  <si>
    <t>سبعمائة وأربع عشرة وثلاث</t>
  </si>
  <si>
    <t>سبعمائة وأربع عشرة وأربع</t>
  </si>
  <si>
    <t>سبعمائة وأربع عشرة ونصف</t>
  </si>
  <si>
    <t>سبعمائة وأربع عشرة وست</t>
  </si>
  <si>
    <t>سبعمائة وأربع عشرة وسبع</t>
  </si>
  <si>
    <t>ثأربعمائة وثمانون وثمان</t>
  </si>
  <si>
    <t>أربعمائة وثمانون وتسع</t>
  </si>
  <si>
    <t>أربعمائة وواحدة وثمانون</t>
  </si>
  <si>
    <t>أربعمائة وواحدة وثمانون وواحدة</t>
  </si>
  <si>
    <t>أربعمائة وواحدة وثمانون واثنتان</t>
  </si>
  <si>
    <t>أربعمائة وواحدة وثمانون وثلاث</t>
  </si>
  <si>
    <t>أربعمائة وواحدة وثمانون وأربع</t>
  </si>
  <si>
    <t>مائتان وتسع وخمسون وست</t>
  </si>
  <si>
    <t>مائتان وتسع وخمسون وسبع</t>
  </si>
  <si>
    <t>مائتان ستون</t>
  </si>
  <si>
    <t>مائتان وستون وواحدة</t>
  </si>
  <si>
    <t>مائتان وستون واثنتان</t>
  </si>
  <si>
    <t>مائتان وستون وثلاث</t>
  </si>
  <si>
    <t>مائتان وستون وأربع</t>
  </si>
  <si>
    <t>مائتان وستون ونصف</t>
  </si>
  <si>
    <t>مائتان وستون وست</t>
  </si>
  <si>
    <t>مائتان وستون وسبع</t>
  </si>
  <si>
    <t>مائتان وستون وثمان</t>
  </si>
  <si>
    <t>مائتان وستون وتسع</t>
  </si>
  <si>
    <t xml:space="preserve">مائتان وواحدة وستون </t>
  </si>
  <si>
    <t>مائتان وواحدة وستون وواحدة</t>
  </si>
  <si>
    <t>مائتان وواحدة وستون واثنتان</t>
  </si>
  <si>
    <t>مائتان وواحدة وستون وثلاث</t>
  </si>
  <si>
    <t>مائتان وواحدة وستون وأربع</t>
  </si>
  <si>
    <t>مائتان وواحدة وستون ونصف</t>
  </si>
  <si>
    <t>مائتان وواحدة وستون وست</t>
  </si>
  <si>
    <t>مائتان وواحدة وستون وسبع</t>
  </si>
  <si>
    <t>مائتان وواحدة وستون وثمان</t>
  </si>
  <si>
    <t>مائتان وواحدة وستون وتسع</t>
  </si>
  <si>
    <t>ثلاثمائة وست وست</t>
  </si>
  <si>
    <t>ثلاثمائة وست وسبع</t>
  </si>
  <si>
    <t>ثلاثمائة وست وثمان</t>
  </si>
  <si>
    <t>ثلاثمائة وست وتسع</t>
  </si>
  <si>
    <t>ثلاثمائة وسبع وواحدة</t>
  </si>
  <si>
    <t>ثلاثمائة وسبع واثنتان</t>
  </si>
  <si>
    <t>ثلاثمائة وسبع وثلاث</t>
  </si>
  <si>
    <t>ثلاثمائة وسبع وأربع</t>
  </si>
  <si>
    <t>ثلاثمائة وسبع ونصف</t>
  </si>
  <si>
    <t>ثلاثمائة وسبع وست</t>
  </si>
  <si>
    <t>ثلاثمائة وسبع وسبع</t>
  </si>
  <si>
    <t>ثلاثمائة وسبع وثمان</t>
  </si>
  <si>
    <t xml:space="preserve">الصف / الفصل </t>
  </si>
  <si>
    <t>أربعمائة وخمس</t>
  </si>
  <si>
    <t>أربعمائة وخمس وواحدة</t>
  </si>
  <si>
    <t>أربعمائة وخمس واثنتان</t>
  </si>
  <si>
    <t>أربعمائة وخمس وثلاث</t>
  </si>
  <si>
    <t>أربعمائة وخمس وأربع</t>
  </si>
  <si>
    <t>أربعمائة وخمس ونصف</t>
  </si>
  <si>
    <t>أربعمائة وخمس وست</t>
  </si>
  <si>
    <t>ستمائة واثنتان و ثلاثون ونصف</t>
  </si>
  <si>
    <t>ستمائة واثنتان و ثلاثون وست</t>
  </si>
  <si>
    <t>ستمائة واثنتان و ثلاثون وسبع</t>
  </si>
  <si>
    <t>ستمائة واثنتان و ثلاثون وثمان</t>
  </si>
  <si>
    <t>ستمائة واثنتان و ثلاثون وتسع</t>
  </si>
  <si>
    <t xml:space="preserve">ستمائة وثلاث و ثلاثون </t>
  </si>
  <si>
    <t xml:space="preserve">ستمائة وأربع و ثلاثون </t>
  </si>
  <si>
    <t>ستمائة وأربع و ثلاثون  وواحدة</t>
  </si>
  <si>
    <t>ستمائة وأربع و ثلاثون واثنتان</t>
  </si>
  <si>
    <t>ستمائة وأربع و ثلاثون وثلاث</t>
  </si>
  <si>
    <t>ستمائة وأربع و ثلاثون وأربع</t>
  </si>
  <si>
    <t>ستمائة وأربع و ثلاثون ونصف</t>
  </si>
  <si>
    <t>ستمائة وأربع و ثلاثون وست</t>
  </si>
  <si>
    <t>ستمائة وأربع و ثلاثون وسبع</t>
  </si>
  <si>
    <t>ستمائة وأربع و ثلاثون وثمان</t>
  </si>
  <si>
    <t>ستمائة وأربع و ثلاثون وتسع</t>
  </si>
  <si>
    <t xml:space="preserve">ستمائة وخمس و ثلاثون </t>
  </si>
  <si>
    <t>ستمائة وخمس و ثلاثون  وواحدة</t>
  </si>
  <si>
    <t>ستمائة وخمس و ثلاثون واثنتان</t>
  </si>
  <si>
    <t>ستمائة وخمس و ثلاثون وثلاث</t>
  </si>
  <si>
    <t>خمسمائة وست وعشرون وثلاث</t>
  </si>
  <si>
    <t>خمسمائة وست وعشرون وأربع</t>
  </si>
  <si>
    <t>خمسمائة وست وعشرون ونصف</t>
  </si>
  <si>
    <t>خمسمائة وست وعشرون وست</t>
  </si>
  <si>
    <t>خمسمائة وست وعشرون وسبع</t>
  </si>
  <si>
    <t>خمسمائة وست وعشرون وثمان</t>
  </si>
  <si>
    <t>خمسمائة وست وعشرون وتسع</t>
  </si>
  <si>
    <t xml:space="preserve">خمسمائة وسبع وعشرون </t>
  </si>
  <si>
    <t>خمسمائة وسبع وعشرون  وواحدة</t>
  </si>
  <si>
    <t>خمسمائة وسبع و عشرون واثنتان</t>
  </si>
  <si>
    <t>خمسمائة وسبع وعشرون وثلاث</t>
  </si>
  <si>
    <t>خمسمائة وسبع وعشرون وأربع</t>
  </si>
  <si>
    <t>خمسمائة وسبع وعشرون ونصف</t>
  </si>
  <si>
    <t>أربعمائة وثمان وثمانون واثنتان</t>
  </si>
  <si>
    <t>أربعمائة وثمان وثمانون وثلاث</t>
  </si>
  <si>
    <t>أربعمائة وثمان وثمانون وأربع</t>
  </si>
  <si>
    <t>أربعمائة وثمان وثمانون ونصف</t>
  </si>
  <si>
    <t>أربعمائة وثمان وثمانون وست</t>
  </si>
  <si>
    <t>أربعمائة وثمان وثمانون وسبع</t>
  </si>
  <si>
    <t>أربعمائة وثمان وثمانون وثمان</t>
  </si>
  <si>
    <t>أربعمائة وثمان وثمانون وتسع</t>
  </si>
  <si>
    <t>أربعمائة وتسع وثمانون</t>
  </si>
  <si>
    <t>أربعمائة وتسع وثمانون وواحدة</t>
  </si>
  <si>
    <t>أربعمائة وتسع وثمانون واثنتان</t>
  </si>
  <si>
    <t>أربعمائة وتسع وثمانون وثلاث</t>
  </si>
  <si>
    <t>أربعمائة وتسع وثمانون وأربع</t>
  </si>
  <si>
    <t>أربعمائة وتسع وثمانون ونصف</t>
  </si>
  <si>
    <t>أربعمائة وتسع وثمانون وست</t>
  </si>
  <si>
    <t>أربعمائة وتسع وثمانون وسبع</t>
  </si>
  <si>
    <t>أربعمائة وتسع وثمانون وثمان</t>
  </si>
  <si>
    <t>أربعمائة وتسع وثمانون وتسع</t>
  </si>
  <si>
    <t>أربعمائة وتسعون</t>
  </si>
  <si>
    <t>أربعمائة وتسعون وواحدة</t>
  </si>
  <si>
    <t>أربعمائة وتسعون واثنتان</t>
  </si>
  <si>
    <t>أربعمائة وتسعون وثلاث</t>
  </si>
  <si>
    <t>مائتان وثمان وستون وتسع</t>
  </si>
  <si>
    <t xml:space="preserve">مائتان وتسع وستون </t>
  </si>
  <si>
    <t>مائتان وتسع وستون وواحدة</t>
  </si>
  <si>
    <t>مائتان وتسع وستون واثنتان</t>
  </si>
  <si>
    <t>مائتان وتسع وستون وثلاث</t>
  </si>
  <si>
    <t>مائتان وتسع وستون وأربع</t>
  </si>
  <si>
    <t>مائتان وتسع وستون ونصف</t>
  </si>
  <si>
    <t>مائتان وتسع وستون وست</t>
  </si>
  <si>
    <t>مائتان وتسع وستون وسبع</t>
  </si>
  <si>
    <t>مائتان وتسع وستون وثمان</t>
  </si>
  <si>
    <t>مائتان وتسع وستون وتسع</t>
  </si>
  <si>
    <t xml:space="preserve">مائتان وسبعون </t>
  </si>
  <si>
    <t>مائتان وسبعون وواحدة</t>
  </si>
  <si>
    <t>مائتان وسبعون واثنتان</t>
  </si>
  <si>
    <t>مائتان وسبعون وثلاث</t>
  </si>
  <si>
    <t>مائتان وسبعون وأربع</t>
  </si>
  <si>
    <t>أربعمائة وواحدة وتسعون وتسع</t>
  </si>
  <si>
    <t xml:space="preserve">أربعمائة واثنتان وتسعون </t>
  </si>
  <si>
    <t>أربعمائة واثنتان وتسعون وواحدة</t>
  </si>
  <si>
    <t>أربعمائة واثنتان وتسعون واثنتان</t>
  </si>
  <si>
    <t>أربعمائة واثنتان وتسعون وثلاث</t>
  </si>
  <si>
    <t>أربعمائة واثنتان وتسعون وأربع</t>
  </si>
  <si>
    <t>سبعمائة وست وعشرون وتسع</t>
  </si>
  <si>
    <t xml:space="preserve">سبعمائة وسبع وعشرون </t>
  </si>
  <si>
    <t>سبعمائة وسبع وعشرون  وواحدة</t>
  </si>
  <si>
    <t>سبعمائة وسبع و عشرون واثنتان</t>
  </si>
  <si>
    <t>سبعمائة وسبع وعشرون وثلاث</t>
  </si>
  <si>
    <t>أربعمائة وخمس عشرة وست</t>
  </si>
  <si>
    <t>أربعمائة وخمس عشرة وسبع</t>
  </si>
  <si>
    <t>أربعمائة وخمس عشرة وثمان</t>
  </si>
  <si>
    <t>أربعمائة وخمس عشرة وتسع</t>
  </si>
  <si>
    <t>أربعمائة وست عشرة</t>
  </si>
  <si>
    <t>أربعمائة وست عشرة وواحدة</t>
  </si>
  <si>
    <t>أربعمائة وست عشرة  واثنتان</t>
  </si>
  <si>
    <t>أربعمائة وست عشرة وثلاث</t>
  </si>
  <si>
    <t>أربعمائة وست عشرة وأربع</t>
  </si>
  <si>
    <t>أربعمائة وست عشرة ونصف</t>
  </si>
  <si>
    <t>أربعمائة وست عشرة وست</t>
  </si>
  <si>
    <t>مجموع الطلبة</t>
  </si>
  <si>
    <t>مجموع الدرجة الوزنية</t>
  </si>
  <si>
    <t>النتائج اللتي تحت النهاية الصغرى</t>
  </si>
  <si>
    <t>المئاوية</t>
  </si>
  <si>
    <t>ولي الأمر،</t>
  </si>
  <si>
    <t>ولي الفصل،</t>
  </si>
  <si>
    <t xml:space="preserve">     رئيس لجنة الامتحان،</t>
  </si>
  <si>
    <t>مدير المعهد،</t>
  </si>
  <si>
    <t>ثلاثمائة واثنتان ونصف</t>
  </si>
  <si>
    <t>ثلاثمائة واثنتان وست</t>
  </si>
  <si>
    <t>ثلاثمائة واثنتان وسبع</t>
  </si>
  <si>
    <t>ثلاثمائة واثنتان وثمان</t>
  </si>
  <si>
    <t>ثلاثمائة واثنتان وتسع</t>
  </si>
  <si>
    <t xml:space="preserve">خمسمائة وثلاث وعشرون </t>
  </si>
  <si>
    <t>خمسمائة وثلاث وعشرون  وواحدة</t>
  </si>
  <si>
    <t>خمسمائة وثلاث و عشرون واثنتان</t>
  </si>
  <si>
    <t>خمسمائة وثلاث وعشرون وثلاث</t>
  </si>
  <si>
    <t>خمسمائة وثلاث وعشرون وأربع</t>
  </si>
  <si>
    <t>خمسمائة وثلاث وعشرون ونصف</t>
  </si>
  <si>
    <t>خمسمائة وثلاث وعشرون وست</t>
  </si>
  <si>
    <t>خمسمائة وثلاث وعشرون وسبع</t>
  </si>
  <si>
    <t>خمسمائة وثلاث وعشرون وثمان</t>
  </si>
  <si>
    <t>خمسمائة وثلاث وعشرون وتسع</t>
  </si>
  <si>
    <t xml:space="preserve">خمسمائة وأربع وعشرون </t>
  </si>
  <si>
    <t>خمسمائة وأربع وعشرون  وواحدة</t>
  </si>
  <si>
    <t>خمسمائة وأربع و عشرون واثنتان</t>
  </si>
  <si>
    <t>خمسمائة وأربع وعشرون وثلاث</t>
  </si>
  <si>
    <t>خمسمائة وأربع وعشرون وأربع</t>
  </si>
  <si>
    <t>خمسمائة وأربع وعشرون ونصف</t>
  </si>
  <si>
    <t>خمسمائة وأربع وعشرون وست</t>
  </si>
  <si>
    <t>خمسمائة وأربع وعشرون وسبع</t>
  </si>
  <si>
    <t>يوم واحد</t>
  </si>
  <si>
    <t>خمس</t>
  </si>
  <si>
    <t>مائتان وواحدة</t>
  </si>
  <si>
    <t>ثلاث</t>
  </si>
  <si>
    <t>يومان اثنان</t>
  </si>
  <si>
    <t>ست</t>
  </si>
  <si>
    <t>مائتان واثنتان</t>
  </si>
  <si>
    <t>أيــــــــــــــام</t>
  </si>
  <si>
    <t>سبع</t>
  </si>
  <si>
    <t>مائتان وثلاث</t>
  </si>
  <si>
    <t>ثمان</t>
  </si>
  <si>
    <t>مائتان وأربع</t>
  </si>
  <si>
    <t>مائتان ونصف</t>
  </si>
  <si>
    <t>مائتان وست</t>
  </si>
  <si>
    <t>مائتان وسبع</t>
  </si>
  <si>
    <t>مائتان وثمان</t>
  </si>
  <si>
    <t>مائتان تسع</t>
  </si>
  <si>
    <t>إحدى عشر يوما</t>
  </si>
  <si>
    <t>مائتان وواحدة وواحدة</t>
  </si>
  <si>
    <t>إثن عشرة يومل</t>
  </si>
  <si>
    <t>إثنا عشرة يوما</t>
  </si>
  <si>
    <t>مائتان وواحدة واثنتان</t>
  </si>
  <si>
    <t>ثلاثة عشر يوما</t>
  </si>
  <si>
    <t>مائتان وواحدة وثلاث</t>
  </si>
  <si>
    <t>أربعة عشر يوما</t>
  </si>
  <si>
    <t xml:space="preserve">أربعمائة وتسع وعشرون </t>
  </si>
  <si>
    <t>أربعمائة وتسع وعشرون  وواحدة</t>
  </si>
  <si>
    <t>أربعمائة وتسع و عشرون واثنتان</t>
  </si>
  <si>
    <t>أربعمائة وتسع وعشرون وثلاث</t>
  </si>
  <si>
    <t>أربعمائة وتسع وعشرون وأربع</t>
  </si>
  <si>
    <t>أربعمائة وتسع وعشرون ونصف</t>
  </si>
  <si>
    <t>أربعمائة وتسع وعشرون وست</t>
  </si>
  <si>
    <t>أربعمائة وتسع وعشرون وسبع</t>
  </si>
  <si>
    <t>أربعمائة وتسع وعشرون وثمان</t>
  </si>
  <si>
    <t>أربعمائة وتسع وعشرون وتسع</t>
  </si>
  <si>
    <t>أربعمائة وثلاثون</t>
  </si>
  <si>
    <t>أربعمائة وثلاثون  وواحدة</t>
  </si>
  <si>
    <t>أربعمائة وثلاثون واثنتان</t>
  </si>
  <si>
    <t>أربعمائة وثلاثون وثلاث</t>
  </si>
  <si>
    <t>أربعمائة وثلاثون وأربع</t>
  </si>
  <si>
    <t>أربعمائة وثلاثون ونصف</t>
  </si>
  <si>
    <t>أربعمائة وثلاثون وست</t>
  </si>
  <si>
    <t>أربعمائة وثلاثون وسبع</t>
  </si>
  <si>
    <t>أربعمائة وثلاثون وثمان</t>
  </si>
  <si>
    <t>أربعمائة وثلاثون وتسع</t>
  </si>
  <si>
    <t xml:space="preserve">أربعمائة وواحدة وثلاثون </t>
  </si>
  <si>
    <t>أربعمائة وواحدة و ثلاثون  وواحدة</t>
  </si>
  <si>
    <t>أربعمائة وواحدة و ثلاثون واثنتان</t>
  </si>
  <si>
    <t>أربعمائة وواحدة و ثلاثون وثلاث</t>
  </si>
  <si>
    <t>أربعمائة وواحدة و ثلاثون وأربع</t>
  </si>
  <si>
    <t>أربعمائة وواحدة و ثلاثون ونصف</t>
  </si>
  <si>
    <t>أربعمائة وواحدة و ثلاثون وست</t>
  </si>
  <si>
    <t>أربعمائة وواحدة و ثلاثون وسبع</t>
  </si>
  <si>
    <t>أربعمائة وواحدة و ثلاثون وثمان</t>
  </si>
  <si>
    <t>أربعمائة وواحدة و ثلاثون وتسع</t>
  </si>
  <si>
    <t>ثلاثمائة وتسع وعشرون  وواحدة</t>
  </si>
  <si>
    <t>ثلاثمائة وتسع و عشرون واثنتان</t>
  </si>
  <si>
    <t>ثلاثمائة وتسع وعشرون وثلاث</t>
  </si>
  <si>
    <t>ثلاثمائة وتسع وعشرون وأربع</t>
  </si>
  <si>
    <t>ثلاثمائة وتسع وعشرون ونصف</t>
  </si>
  <si>
    <t>ثلاثمائة وتسع وعشرون وست</t>
  </si>
  <si>
    <t>ثلاثمائة وتسع وعشرون وسبع</t>
  </si>
  <si>
    <t>ثلاثمائة وتسع وعشرون وثمان</t>
  </si>
  <si>
    <t>ثلاثمائة وتسع وعشرون وتسع</t>
  </si>
  <si>
    <t>ثلاثمائة وثلاثون</t>
  </si>
  <si>
    <t>مائتان وخمس وعشرون وأربع</t>
  </si>
  <si>
    <t>مائتان وخمس وعشرون ونصف</t>
  </si>
  <si>
    <t>مائتان وخمس وعشرون وست</t>
  </si>
  <si>
    <t>مائتان وخمس وعشرون وسبع</t>
  </si>
  <si>
    <t>مائتان وخمس وعشرون وثمان</t>
  </si>
  <si>
    <t>مائتان وخمس وعشرون وتسع</t>
  </si>
  <si>
    <t xml:space="preserve">مائتان وست وعشرون </t>
  </si>
  <si>
    <t>مائتان وست وعشرون  وواحدة</t>
  </si>
  <si>
    <t>مائتان وست و عشرون واثنتان</t>
  </si>
  <si>
    <t>مائتان وست وعشرون وثلاث</t>
  </si>
  <si>
    <t>مائتان وست وعشرون وأربع</t>
  </si>
  <si>
    <t>مائتان وست وعشرون ونصف</t>
  </si>
  <si>
    <t>مائتان وست وعشرون وست</t>
  </si>
  <si>
    <t>ثلاثمائة واثنتا عشرة</t>
  </si>
  <si>
    <t>ثلاثمائة واثنتا عشرة وواحدة</t>
  </si>
  <si>
    <t>ثلاثمائة واثنتا عشرة واثنتان</t>
  </si>
  <si>
    <t>ثلاثمائة واثنتا عشرة وثلاث</t>
  </si>
  <si>
    <t>ثلاثمائة واثنتا عشرة وأربع</t>
  </si>
  <si>
    <t>ثلاثمائة واثنتا عشرة ونصف</t>
  </si>
  <si>
    <t>ثلاثمائة وأربع عشرة</t>
  </si>
  <si>
    <t>ثلاثمائة وأربع عشر وواحدة</t>
  </si>
  <si>
    <t>ثلاثمائة وأربع عشرة واثنتان</t>
  </si>
  <si>
    <t>ثلاثمائة وأربع عشرة وثلاث</t>
  </si>
  <si>
    <t>ثلاثمائة وأربع عشرة وأربع</t>
  </si>
  <si>
    <t>ثلاثمائة وأربع عشرة ونصف</t>
  </si>
  <si>
    <t>مائتان وسبع وتسع</t>
  </si>
  <si>
    <t>مائتان وثمان وواحدة</t>
  </si>
  <si>
    <t>مائتان وثمان واثنتان</t>
  </si>
  <si>
    <t>مائتان وثمان وثلاث</t>
  </si>
  <si>
    <t>مائتان وثمان وأربع</t>
  </si>
  <si>
    <t>مائتان وثمان ونصف</t>
  </si>
  <si>
    <t>مائتان وثمان وست</t>
  </si>
  <si>
    <t>مائتان وثمان وسبع</t>
  </si>
  <si>
    <t>مائتان وثمان وثمان</t>
  </si>
  <si>
    <t>مائتان وثمان وتسع</t>
  </si>
  <si>
    <t>مائتان وتسع</t>
  </si>
  <si>
    <t>مائتان وتسع وواحدة</t>
  </si>
  <si>
    <t>مائتان وتسع واثنتان</t>
  </si>
  <si>
    <t>مائتان وتسع وثلاث</t>
  </si>
  <si>
    <t>مائتان وتسع وأربع</t>
  </si>
  <si>
    <t>مائتان وتسع ونصف</t>
  </si>
  <si>
    <t>مائتان وتسع وست</t>
  </si>
  <si>
    <t>مائتان وتسع وسبع</t>
  </si>
  <si>
    <t>مائتان وتسع وثمان</t>
  </si>
  <si>
    <t>مائتان وتسع وتسع</t>
  </si>
  <si>
    <t>مائتان وعشر</t>
  </si>
  <si>
    <t>مائتان وعشر وواحدة</t>
  </si>
  <si>
    <t>مائتان وعشر واثنتان</t>
  </si>
  <si>
    <t>مائتان وعشر وثلاث</t>
  </si>
  <si>
    <t>مائتان وعشر وأربع</t>
  </si>
  <si>
    <t>مائتان وعشر ونصف</t>
  </si>
  <si>
    <t>مائتان وعشر وست</t>
  </si>
  <si>
    <t>مائتان وعشر وسبع</t>
  </si>
  <si>
    <t>مائتان وعشر وثمان</t>
  </si>
  <si>
    <t>مائتان وعشر وتسع</t>
  </si>
  <si>
    <t>مائتان واحدى عشرة</t>
  </si>
  <si>
    <t>مائتان واحدى عشرة وواحدة</t>
  </si>
  <si>
    <t>مائتان واحدى عشرة واثنتان</t>
  </si>
  <si>
    <t>مائتان واحدى عشرة وثلاث</t>
  </si>
  <si>
    <t>مائتان واحدى عشرة وأربع</t>
  </si>
  <si>
    <t>مائتان واحدى عشرة ونصف</t>
  </si>
  <si>
    <t>مائتان واحدى عشرة وست</t>
  </si>
  <si>
    <t>مائتان واحدى عشرة وسبع</t>
  </si>
  <si>
    <t>مائتان واحدى عشرة وثمان</t>
  </si>
  <si>
    <t>مائتان واحدى عشرة وتسع</t>
  </si>
  <si>
    <t>مائتان واثنتا عشرة</t>
  </si>
  <si>
    <t>مائتان واثنتا عشر وواحدة</t>
  </si>
  <si>
    <t>مائتان واثنتا عشرة واثنتان</t>
  </si>
  <si>
    <t>مائتان واثنتا عشرة وثلاث</t>
  </si>
  <si>
    <t>مائتان واثنتا عشرة وأربع</t>
  </si>
  <si>
    <t>مائتان واثنتا عشرة ونصف</t>
  </si>
  <si>
    <t>مائتان واثنتان وتسعون ونصف</t>
  </si>
  <si>
    <t>مائتان واثنتان وتسعون وست</t>
  </si>
  <si>
    <t>مائتان واثنتان وتسعون وسبع</t>
  </si>
  <si>
    <t>مائتان واثنتان وتسعون وثمان</t>
  </si>
  <si>
    <t>مائتان واثنتان وتسعون وتسع</t>
  </si>
  <si>
    <t xml:space="preserve">مائتان وثلاث وتسعون </t>
  </si>
  <si>
    <t>مائتان وثلاث وتسعون وواحدة</t>
  </si>
  <si>
    <t>مائتان وثلاث وتسعون واثنتان</t>
  </si>
  <si>
    <t>مائتان وثلاث وتسعون وثلاث</t>
  </si>
  <si>
    <t>مائتان وثلاث وتسعون وأربع</t>
  </si>
  <si>
    <t>مائتان وثلاث وتسعون ونصف</t>
  </si>
  <si>
    <t>مائتان وثلاث وتسعون وست</t>
  </si>
  <si>
    <t>مائتان وثلاث وتسعون وسبع</t>
  </si>
  <si>
    <t>مائتان واثلاث وتسعون وثمان</t>
  </si>
  <si>
    <t>مائتان وثلاث وتسعون وتسع</t>
  </si>
  <si>
    <t>خمسمائة وست عشرة وسبع</t>
  </si>
  <si>
    <t>خمسمائة وست عشرة وثمان</t>
  </si>
  <si>
    <t>خمسمائة وست عشرة وتسع</t>
  </si>
  <si>
    <t>خمسمائة وسبع عشرة</t>
  </si>
  <si>
    <t>خمسمائة وسبع عشرة وواحدة</t>
  </si>
  <si>
    <t>خمسمائة وسبع عشرة واثنتان</t>
  </si>
  <si>
    <t>خمسمائة وسبع عشرة وثلاث</t>
  </si>
  <si>
    <t>سبعمائة وثمان و أربعون   وواحدة</t>
  </si>
  <si>
    <t>سبعمائة وثمان و أربعون  واثنتان</t>
  </si>
  <si>
    <t>سبعمائة وثمان و أربعون  وثلاث</t>
  </si>
  <si>
    <t>سبعمائة وثمان و أربعون  وأربع</t>
  </si>
  <si>
    <t>سبعمائة وثمان و أربعون  ونصف</t>
  </si>
  <si>
    <t>سبعمائة وثمان و أربعون  وست</t>
  </si>
  <si>
    <t>سبعمائة وثمان و أربعون  وسبع</t>
  </si>
  <si>
    <t>سبعمائة وثمان و أربعون  وثمان</t>
  </si>
  <si>
    <t>سبعمائة وثمان و أربعون  وتسع</t>
  </si>
  <si>
    <t xml:space="preserve">سبعمائة وتسع و أربعون  </t>
  </si>
  <si>
    <t>سبعمائة وتسع و أربعون   وواحدة</t>
  </si>
  <si>
    <t>سبعمائة وتسع و أربعون  واثنتان</t>
  </si>
  <si>
    <t>سبعمائة وتسع و أربعون  وثلاث</t>
  </si>
  <si>
    <t>سبعمائة وتسع و أربعون  وأربع</t>
  </si>
  <si>
    <t>سبعمائة وتسع و أربعون  ونصف</t>
  </si>
  <si>
    <t>سبعمائة وتسع و أربعون  وست</t>
  </si>
  <si>
    <t>سبعمائة وتسع و أربعون  وسبع</t>
  </si>
  <si>
    <t>سبعمائة وتسع و أربعون  وثمان</t>
  </si>
  <si>
    <t>سبعمائة وتسع و أربعون  وتسع</t>
  </si>
  <si>
    <t xml:space="preserve">سبعمائة وخمسون  </t>
  </si>
  <si>
    <t>سبعمائة وخمسون وواحدة</t>
  </si>
  <si>
    <t>ثلاثمائة وواحدة وعشرون ونصف</t>
  </si>
  <si>
    <t>ثلاثمائة وواحدة وعشرون وست</t>
  </si>
  <si>
    <t>ثلاثمائة وواحدة وعشرون وسبع</t>
  </si>
  <si>
    <t>ثلاثمائة وواحدة وعشرون وثمان</t>
  </si>
  <si>
    <t>ثلاثمائة وواحدة وعشرون وتسع</t>
  </si>
  <si>
    <t>ثلاثمائة واثنتان وعشرون واثنتان</t>
  </si>
  <si>
    <t>ثلاثمائة واثنتان وعشرون  وواحدة</t>
  </si>
  <si>
    <t>ثلاثمائة واثنتان و عشرون واثنتان</t>
  </si>
  <si>
    <t>ثلاثمائة واثنتان وعشرون وثلاث</t>
  </si>
  <si>
    <t>ثلاثمائة واثنتان وعشرون وأربع</t>
  </si>
  <si>
    <t>ثلاثمائة واثنتان وعشرون ونصف</t>
  </si>
  <si>
    <t>ثلاثمائة واثنتان و أربعون واثنتان</t>
  </si>
  <si>
    <t>ثلاثمائة واثنتان و أربعون  وثلاث</t>
  </si>
  <si>
    <t>ثلاثمائة واثنتان و أربعون  وأربع</t>
  </si>
  <si>
    <t>ثلاثمائة واثنتان و أربعون  ونصف</t>
  </si>
  <si>
    <t>ثلاثمائة واثنتان و أربعون  وست</t>
  </si>
  <si>
    <t>ثلاثمائة واثنتان و أربعون  وسبع</t>
  </si>
  <si>
    <t>ثلاثمائة واثنتان و أربعون  وثمان</t>
  </si>
  <si>
    <t>Jumlah Santri</t>
  </si>
  <si>
    <t>Nadzofah</t>
  </si>
  <si>
    <t>T. Keterangan</t>
  </si>
  <si>
    <t>Muwadzobah</t>
  </si>
  <si>
    <t>MENU</t>
  </si>
  <si>
    <t>Kembali Ke</t>
  </si>
  <si>
    <t>الدرجة الوزنية</t>
  </si>
  <si>
    <t>المواد الدراسية</t>
  </si>
  <si>
    <t>الرقم</t>
  </si>
  <si>
    <t>المجموع</t>
  </si>
  <si>
    <t>المكتسبة</t>
  </si>
  <si>
    <t>معدل الصف</t>
  </si>
  <si>
    <t>ثلاثمائة وثلاث وعشرون وست</t>
  </si>
  <si>
    <t>ثلاثمائة وثلاث وعشرون وسبع</t>
  </si>
  <si>
    <t>ثلاثمائة وثلاث وعشرون وثمان</t>
  </si>
  <si>
    <t>ثلاثمائة وثلاث وعشرون وتسع</t>
  </si>
  <si>
    <t xml:space="preserve">ثلاثمائة وأربع وعشرون </t>
  </si>
  <si>
    <t>ثلاثمائة وأربع وعشرون  وواحدة</t>
  </si>
  <si>
    <t>ثلاثمائة وأربع و عشرون واثنتان</t>
  </si>
  <si>
    <t>ثلاثمائة وأربع وعشرون وثلاث</t>
  </si>
  <si>
    <t>ثلاثمائة وأربع وعشرون وأربع</t>
  </si>
  <si>
    <t>ثلاثمائة وأربع وعشرون ونصف</t>
  </si>
  <si>
    <t>ثلاثمائة وأربع وعشرون وست</t>
  </si>
  <si>
    <t>ثلاثمائة وأربع وعشرون وسبع</t>
  </si>
  <si>
    <t>ثلاثمائة وأربع وعشرون وثمان</t>
  </si>
  <si>
    <t>ثلاثمائة وأربع وعشرون وتسع</t>
  </si>
  <si>
    <t xml:space="preserve">ثلاثمائة وخمس وعشرون </t>
  </si>
  <si>
    <t>ثلاثمائة وخمس وعشرون  وواحدة</t>
  </si>
  <si>
    <t>ثلاثمائة وخمس و عشرون واثنتان</t>
  </si>
  <si>
    <t>ثلاثمائة وخمس وعشرون وثلاث</t>
  </si>
  <si>
    <t>ثلاثمائة وخمس وعشرون وأربع</t>
  </si>
  <si>
    <t>ثلاثمائة وخمس وعشرون ونصف</t>
  </si>
  <si>
    <t>ثلاثمائة وخمس وعشرون وست</t>
  </si>
  <si>
    <t>ثلاثمائة وخمس وعشرون وسبع</t>
  </si>
  <si>
    <t>ثلاثمائة وخمس وعشرون وثمان</t>
  </si>
  <si>
    <t>ثلاثمائة وخمس وعشرون وتسع</t>
  </si>
  <si>
    <t xml:space="preserve">ثلاثمائة وست وعشرون </t>
  </si>
  <si>
    <t>ثلاثمائة وست وعشرون  وواحدة</t>
  </si>
  <si>
    <t>ثلاثمائة وست و عشرون واثنتان</t>
  </si>
  <si>
    <t>ثلاثمائة وست وعشرون وثلاث</t>
  </si>
  <si>
    <t>ثلاثمائة وست وعشرون وأربع</t>
  </si>
  <si>
    <t>ثلاثمائة وست وعشرون ونصف</t>
  </si>
  <si>
    <t>ثلاثمائة وست وعشرون وست</t>
  </si>
  <si>
    <t>ثلاثمائة وست وعشرون وسبع</t>
  </si>
  <si>
    <t>ثلاثمائة وست وعشرون وثمان</t>
  </si>
  <si>
    <t>ثلاثمائة وست وعشرون وتسع</t>
  </si>
  <si>
    <t xml:space="preserve">ثلاثمائة وسبع وعشرون </t>
  </si>
  <si>
    <t>ثلاثمائة وسبع وعشرون  وواحدة</t>
  </si>
  <si>
    <t>ثلاثمائة وسبع و عشرون واثنتان</t>
  </si>
  <si>
    <t>ثلاثمائة وسبع وعشرون وثلاث</t>
  </si>
  <si>
    <t>ثلاثمائة وسبع وعشرون وأربع</t>
  </si>
  <si>
    <t>ثلاثمائة وسبع وعشرون ونصف</t>
  </si>
  <si>
    <t>ثلاثمائة وسبع وعشرون وست</t>
  </si>
  <si>
    <t>ثلاثمائة وسبع وعشرون وسبع</t>
  </si>
  <si>
    <t>مائتان وأربع وعشرون وأربع</t>
  </si>
  <si>
    <t>مائتان وأربع وعشرون ونصف</t>
  </si>
  <si>
    <t>مائتان وأربع وعشرون وست</t>
  </si>
  <si>
    <t>مائتان وأربع وعشرون وسبع</t>
  </si>
  <si>
    <t>مائتان وأربع وعشرون وثمان</t>
  </si>
  <si>
    <t>مائتان وأربع وعشرون وتسع</t>
  </si>
  <si>
    <t xml:space="preserve">مائتان وخمس وعشرون </t>
  </si>
  <si>
    <t>مائتان وخمس وعشرون  وواحدة</t>
  </si>
  <si>
    <t>مائتان وخمس و عشرون واثنتان</t>
  </si>
  <si>
    <t>مائتان وخمس وعشرون وثلاث</t>
  </si>
  <si>
    <t>أربعمائة وتسع و أربعون  واثنتان</t>
  </si>
  <si>
    <t>أربعمائة وتسع و أربعون  وثلاث</t>
  </si>
  <si>
    <t>أربعمائة وتسع و أربعون  وأربع</t>
  </si>
  <si>
    <t>أربعمائة وتسع و أربعون  ونصف</t>
  </si>
  <si>
    <t>أربعمائة وتسع و أربعون  وست</t>
  </si>
  <si>
    <t>أربعمائة وتسع و أربعون  وسبع</t>
  </si>
  <si>
    <t>أربعمائة وتسع و أربعون  وثمان</t>
  </si>
  <si>
    <t>أربعمائة وتسع و أربعون  وتسع</t>
  </si>
  <si>
    <t xml:space="preserve">أربعمائة وخمسون  </t>
  </si>
  <si>
    <t>أربعمائة وخمسون وواحدة</t>
  </si>
  <si>
    <t>أربعمائة وخمسون واثنتان</t>
  </si>
  <si>
    <t>أربعمائة وخمسون وثلاث</t>
  </si>
  <si>
    <t>أربعمائة وخمسون وأربع</t>
  </si>
  <si>
    <t>أربعمائة وخمسون ونصف</t>
  </si>
  <si>
    <t>ستمائة وتسع وسبعون وثلاث</t>
  </si>
  <si>
    <t xml:space="preserve">مائتان وثمان و أربعون  </t>
  </si>
  <si>
    <t>مائتان وثمان و أربعون   وواحدة</t>
  </si>
  <si>
    <t>مائتان وثمان و أربعون  واثنتان</t>
  </si>
  <si>
    <t>مائتان وثمان و أربعون  وثلاث</t>
  </si>
  <si>
    <t>مائتان وثمان و أربعون  وأربع</t>
  </si>
  <si>
    <t>مائتان وثمان و أربعون  ونصف</t>
  </si>
  <si>
    <t>%</t>
  </si>
  <si>
    <t>الفصل</t>
  </si>
  <si>
    <t>الأسماء</t>
  </si>
  <si>
    <t>مجموع الكلى</t>
  </si>
  <si>
    <t>معدل المجموع الكلى</t>
  </si>
  <si>
    <t>الترتيب فى الصف</t>
  </si>
  <si>
    <t>لمرض</t>
  </si>
  <si>
    <t>مجموع</t>
  </si>
  <si>
    <t xml:space="preserve">مائتان وثمان وعشرون </t>
  </si>
  <si>
    <t>مائتان وثمان وعشرون  وواحدة</t>
  </si>
  <si>
    <t>مائتان وثمان و عشرون واثنتان</t>
  </si>
  <si>
    <t>مائتان وثمان وعشرون وثلاث</t>
  </si>
  <si>
    <t>مائتان وثمان وعشرون وأربع</t>
  </si>
  <si>
    <t>ثلاثمائة وأربع و ثلاثون وثلاث</t>
  </si>
  <si>
    <t>ثلاثمائة وأربع و ثلاثون وأربع</t>
  </si>
  <si>
    <t>ثلاثمائة وأربع و ثلاثون ونصف</t>
  </si>
  <si>
    <t>ثلاثمائة وأربع و ثلاثون وست</t>
  </si>
  <si>
    <t>ثلاثمائة وأربع و ثلاثون وسبع</t>
  </si>
  <si>
    <t>ثلاثمائة وأربع و ثلاثون وثمان</t>
  </si>
  <si>
    <t>ثلاثمائة وأربع و ثلاثون وتسع</t>
  </si>
  <si>
    <t xml:space="preserve">ثلاثمائة وخمس و ثلاثون </t>
  </si>
  <si>
    <t>ثلاثمائة وخمس و ثلاثون  وواحدة</t>
  </si>
  <si>
    <t>ثلاثمائة وخمس و ثلاثون واثنتان</t>
  </si>
  <si>
    <t>ثلاثمائة وخمس و ثلاثون وثلاث</t>
  </si>
  <si>
    <t>ثلاثمائة وخمس و ثلاثون وأربع</t>
  </si>
  <si>
    <t>ثلاثمائة وخمس و ثلاثون ونصف</t>
  </si>
  <si>
    <t>مثلاثمائة وخمس و ثلاثون وست</t>
  </si>
  <si>
    <t>ثلاثمائة وخمس و ثلاثون وسبع</t>
  </si>
  <si>
    <t>ثلاثمائة وخمس و ثلاثون وثمان</t>
  </si>
  <si>
    <t>ثلاثمائة وخمس و ثلاثون وتسع</t>
  </si>
  <si>
    <t xml:space="preserve">ثلاثمائة وست و ثلاثون </t>
  </si>
  <si>
    <t>ثلاثمائة وست و ثلاثون  وواحدة</t>
  </si>
  <si>
    <t>ثلاثمائة وست و ثلاثون واثنتان</t>
  </si>
  <si>
    <t>ثلاثمائة وست و ثلاثون وثلاث</t>
  </si>
  <si>
    <t>ثلاثمائة وست و ثلاثون وأربع</t>
  </si>
  <si>
    <t>ثلاثمائة وست و ثلاثون ونصف</t>
  </si>
  <si>
    <t>ثلاثمائة وست و ثلاثون وست</t>
  </si>
  <si>
    <t>ثلاثمائة وست و ثلاثون وسبع</t>
  </si>
  <si>
    <t>ثلاثمائة وست و ثلاثون وثمان</t>
  </si>
  <si>
    <t>مائتان وأربع و ثلاثون واثنتان</t>
  </si>
  <si>
    <t>مائتان وأربع و ثلاثون وثلاث</t>
  </si>
  <si>
    <t>مائتان وأربع و ثلاثون وأربع</t>
  </si>
  <si>
    <t>مائتان وأربع و ثلاثون ونصف</t>
  </si>
  <si>
    <t>مائتان وأربع و ثلاثون وست</t>
  </si>
  <si>
    <t>مائتان وأربع و ثلاثون وسبع</t>
  </si>
  <si>
    <t>مائتان وأربع و ثلاثون وثمان</t>
  </si>
  <si>
    <t>مائتان وأربع و ثلاثون وتسع</t>
  </si>
  <si>
    <t xml:space="preserve">مائتان وخمس و ثلاثون </t>
  </si>
  <si>
    <t>مائتان وخمس و ثلاثون  وواحدة</t>
  </si>
  <si>
    <t>مائتان وخمس و ثلاثون واثنتان</t>
  </si>
  <si>
    <t>مائتان وخمس و ثلاثون وثلاث</t>
  </si>
  <si>
    <t>مائتان وخمس و ثلاثون وأربع</t>
  </si>
  <si>
    <t>مائتان وخمس و ثلاثون ونصف</t>
  </si>
  <si>
    <t>مائتان وخمس و ثلاثون وست</t>
  </si>
  <si>
    <t>مائتان وخمس و ثلاثون وسبع</t>
  </si>
  <si>
    <t>مائتان وخمس و ثلاثون وثمان</t>
  </si>
  <si>
    <t>مائتان وخمس و ثلاثون وتسع</t>
  </si>
  <si>
    <t xml:space="preserve">مائتان وست و ثلاثون </t>
  </si>
  <si>
    <t>مائتان وست و ثلاثون  وواحدة</t>
  </si>
  <si>
    <t>مائتان وست و ثلاثون واثنتان</t>
  </si>
  <si>
    <t>مائتان وست و ثلاثون وثلاث</t>
  </si>
  <si>
    <t>مائتان وست و ثلاثون وأربع</t>
  </si>
  <si>
    <t>مائتان وست و ثلاثون ونصف</t>
  </si>
  <si>
    <t>مائتان وست و ثلاثون وست</t>
  </si>
  <si>
    <t>مائتان وست و ثلاثون وسبع</t>
  </si>
  <si>
    <t>مائتان وست و ثلاثون وثمان</t>
  </si>
  <si>
    <t>مائتان وست و ثلاثون وتسع</t>
  </si>
  <si>
    <t xml:space="preserve">مائتان وسبع و ثلاثون </t>
  </si>
  <si>
    <t>مائتان وسبع و ثلاثون  وواحدة</t>
  </si>
  <si>
    <t>مائتان وسبع و ثلاثون واثنتان</t>
  </si>
  <si>
    <t>مائتان وسبع و ثلاثون وثلاث</t>
  </si>
  <si>
    <t>مائتان وسبع و ثلاثون وأربع</t>
  </si>
  <si>
    <t>مائتان وسبع و ثلاثون ونصف</t>
  </si>
  <si>
    <t>مائتان وسبع و ثلاثون وست</t>
  </si>
  <si>
    <t>ثلاثمائة وتسع عشرة وواحدة</t>
  </si>
  <si>
    <t>ثلاثمائة وتسع عشرة واثنتان</t>
  </si>
  <si>
    <t>ثلاثمائة وتسع عشرة وثلاث</t>
  </si>
  <si>
    <t>ثلاثمائة وتسع عشرة وأربع</t>
  </si>
  <si>
    <t>ثلاثمائة وتسع عشرة ونصف</t>
  </si>
  <si>
    <t>ثلاثمائة وتسع عشرة وست</t>
  </si>
  <si>
    <t>ثلاثمائة وتسع عشرة وسبع</t>
  </si>
  <si>
    <t>ثلاثمائة وتسع عشرة وثمان</t>
  </si>
  <si>
    <t>خمسمائة وتسع و ثلاثون وثمان</t>
  </si>
  <si>
    <t>خمسمائة وتسع و ثلاثون وتسع</t>
  </si>
  <si>
    <t xml:space="preserve">خمسمائة وأربعون </t>
  </si>
  <si>
    <t>خمسمائة وأربعون   وواحدة</t>
  </si>
  <si>
    <t>خمسمائة وأربعون  واثنتان</t>
  </si>
  <si>
    <t>خمسمائة وأربعون  وثلاث</t>
  </si>
  <si>
    <t>خمسمائة وأربعون  وأربع</t>
  </si>
  <si>
    <t>خمسمائة وأربعون  ونصف</t>
  </si>
  <si>
    <t>خمسمائة وأربعون  وست</t>
  </si>
  <si>
    <t>خمسمائة وأربعون  وسبع</t>
  </si>
  <si>
    <t>خمسمائة وأربعون  وثمان</t>
  </si>
  <si>
    <t>خمسمائة وأربعون  وتسع</t>
  </si>
  <si>
    <t xml:space="preserve">خمسمائة وواحدة وأربعون  </t>
  </si>
  <si>
    <t>خمسمائة وواحدة و أربعون   وواحدة</t>
  </si>
  <si>
    <t>خمسمائة وواحدة و أربعون  واثنتان</t>
  </si>
  <si>
    <t>خمسمائة وواحدة و أربعون  وثلاث</t>
  </si>
  <si>
    <t>خمسمائة وواحدة و أربعون  وأربع</t>
  </si>
  <si>
    <t>خمسمائة وواحدة و أربعون  ونصف</t>
  </si>
  <si>
    <t>خمسمائة وواحدة و أربعون  وست</t>
  </si>
  <si>
    <t>خمسمائة وواحدة و أربعون  وسبع</t>
  </si>
  <si>
    <t>خمسمائة وواحدة و أربعون  وثمان</t>
  </si>
  <si>
    <t>خمسمائة وواحدة و أربعون  وتسع</t>
  </si>
  <si>
    <t xml:space="preserve">خمسمائة واثنتان و أربعون  </t>
  </si>
  <si>
    <t>خمسمائة واثنتان و أربعون  وواحدة</t>
  </si>
  <si>
    <t>خمسمائة واثنتان و أربعون واثنتان</t>
  </si>
  <si>
    <t>ثلاثمائة وواحدة و أربعون  وأربع</t>
  </si>
  <si>
    <t>ثلاثمائة وواحدة و أربعون  ونصف</t>
  </si>
  <si>
    <t>ثلاثمائة وواحدة و أربعون  وست</t>
  </si>
  <si>
    <t>مائتان وثمان و ثلاثون  وواحدة</t>
  </si>
  <si>
    <t>مائتان وثمان و ثلاثون واثنتان</t>
  </si>
  <si>
    <t>مائتان وثمان و ثلاثون وثلاث</t>
  </si>
  <si>
    <t>مائتان وثمان و ثلاثون وأربع</t>
  </si>
  <si>
    <t>مائتان وثمان و ثلاثون ونصف</t>
  </si>
  <si>
    <t>ثلاثمائة واثنتان وستون وواحدة</t>
  </si>
  <si>
    <t>ثلاثمائة واثنتان وستون واثنتان</t>
  </si>
  <si>
    <t>ثلاثمائة واثنتان وستون وثلاث</t>
  </si>
  <si>
    <t>ثلاثمائة واثنتان وستون وأربع</t>
  </si>
  <si>
    <t>ثلاثمائة واثنتان وستون ونصف</t>
  </si>
  <si>
    <t>ثلاثمائة واثنتان وستون وست</t>
  </si>
  <si>
    <t>ثلاثمائة واثنتان وستون وسبع</t>
  </si>
  <si>
    <t>مائتان وسبع عشرة وثمان</t>
  </si>
  <si>
    <t>مائتان وسبع عشرة وتسع</t>
  </si>
  <si>
    <t>مائتان وثمان عشرة</t>
  </si>
  <si>
    <t>مائتان وثمان عشر وواحدة</t>
  </si>
  <si>
    <t>مائتان وثمان عشرة واثنتان</t>
  </si>
  <si>
    <t>مائتان وثمان عشرة وثلاث</t>
  </si>
  <si>
    <t>مائتان وثمان عشرة وأربع</t>
  </si>
  <si>
    <t>مائتان وثمان عشرة ونصف</t>
  </si>
  <si>
    <t>مائتان وثمان عشرة وست</t>
  </si>
  <si>
    <t>مائتان وثمان عشرة وسبع</t>
  </si>
  <si>
    <t>مائتان وثمان عشرة وثمان</t>
  </si>
  <si>
    <t>مائتان وثمان عشرة وتسع</t>
  </si>
  <si>
    <t>مائتان وتسع عشرة</t>
  </si>
  <si>
    <t>مائتان وتسع عشرة وواحدة</t>
  </si>
  <si>
    <t>مائتان وتسع عشرة واثنتان</t>
  </si>
  <si>
    <t>مائتان وتسع عشرة وثلاث</t>
  </si>
  <si>
    <t>مائتان وتسع عشرة وأربع</t>
  </si>
  <si>
    <t>مائتان وتسع عشرة ونصف</t>
  </si>
  <si>
    <t>مائتان وتسع عشرة وست</t>
  </si>
  <si>
    <t>مائتان وتسع عشرة وسبع</t>
  </si>
  <si>
    <t>مائتان وتسع عشرة وثمان</t>
  </si>
  <si>
    <t>مائتان وتسع عشرة وتسع</t>
  </si>
  <si>
    <t>مائتان وعشرون</t>
  </si>
  <si>
    <t>مائتان وعشرون وواحدة</t>
  </si>
  <si>
    <t>مائتان وعشرون واثنتان</t>
  </si>
  <si>
    <t>مائتان وعشرون وثلاث</t>
  </si>
  <si>
    <t>مائتان وعشرون وأربع</t>
  </si>
  <si>
    <t>مائتان وعشرون ونصف</t>
  </si>
  <si>
    <t>مائتان وعشرون وست</t>
  </si>
  <si>
    <t>ثلاثمائة وسبع و أربعون   وواحدة</t>
  </si>
  <si>
    <t>ثلاثمائة وسبع و أربعون  واثنتان</t>
  </si>
  <si>
    <t>ثلاثمائة وسبع و أربعون  وثلاث</t>
  </si>
  <si>
    <t>ثلاثمائة وسبع و أربعون  وأربع</t>
  </si>
  <si>
    <t>ثلاثمائة وسبع و أربعون  ونصف</t>
  </si>
  <si>
    <t>ثلاثمائة وسبع و أربعون  وست</t>
  </si>
  <si>
    <t>ثلاثمائة وسبع و أربعون  وسبع</t>
  </si>
  <si>
    <t>ثلاثمائة وسبع و أربعون  وثمان</t>
  </si>
  <si>
    <t>ثلاثمائة وسبع و أربعون  وتسع</t>
  </si>
  <si>
    <t xml:space="preserve">ثلاثمائة وثمان و أربعون  </t>
  </si>
  <si>
    <t>ثلاثمائة وثمان و أربعون   وواحدة</t>
  </si>
  <si>
    <t>ثلاثمائة وثمان و أربعون  واثنتان</t>
  </si>
  <si>
    <t>ثلاثمائة وثمان و أربعون  وثلاث</t>
  </si>
  <si>
    <t>ثلاثمائة وثمان و أربعون  وأربع</t>
  </si>
  <si>
    <t>ثلاثمائة وثمان و أربعون  ونصف</t>
  </si>
  <si>
    <t>ثلاثمائة وثمان و أربعون  وست</t>
  </si>
  <si>
    <t>ثلاثمائة وثمان و أربعون  وسبع</t>
  </si>
  <si>
    <t>ثلاثمائة وثمان و أربعون  وثمان</t>
  </si>
  <si>
    <t>ثلاثمائة وثمان و أربعون  وتسع</t>
  </si>
  <si>
    <t xml:space="preserve">ثلاثمائة وتسع و أربعون  </t>
  </si>
  <si>
    <t>ثلاثمائة وتسع و أربعون   وواحدة</t>
  </si>
  <si>
    <t>ثلاثمائة وتسع و أربعون  واثنتان</t>
  </si>
  <si>
    <t>ثلاثمائة وتسع و أربعون  وثلاث</t>
  </si>
  <si>
    <t>ثلاثمائة وتسع و أربعون  وأربع</t>
  </si>
  <si>
    <t>ثلاثمائة وتسع و أربعون  ونصف</t>
  </si>
  <si>
    <t>ثلاثمائة وتسع و أربعون  وست</t>
  </si>
  <si>
    <t>ثلاثمائة وتسع و أربعون  وسبع</t>
  </si>
  <si>
    <t>ثلاثمائة وتسع و أربعون  وثمان</t>
  </si>
  <si>
    <t>ثلاثمائة وتسع و أربعون  وتسع</t>
  </si>
  <si>
    <t xml:space="preserve">ثلاثمائة وخمسون  </t>
  </si>
  <si>
    <t>ثلاثمائة وخمسون وواحدة</t>
  </si>
  <si>
    <t>ثلاثمائة وخمسون واثنتان</t>
  </si>
  <si>
    <t>ثلاثمائة وخمسون وثلاث</t>
  </si>
  <si>
    <t>ثلاثمائة وخمسون وأربع</t>
  </si>
  <si>
    <t>ثلاثمائة وخمسون ونصف</t>
  </si>
  <si>
    <t>مائتان وثلاث وسبعون وثلاث</t>
  </si>
  <si>
    <t>مائتان وثلاث وسبعون وأربع</t>
  </si>
  <si>
    <t>مائتان وثلاث وسبعون ونصف</t>
  </si>
  <si>
    <t>مائتان وثلاث وسبعون وست</t>
  </si>
  <si>
    <t>مائتان وثلاث وسبعون وسبع</t>
  </si>
  <si>
    <t>ثلاثمائة وأربع وخمسون وثلاث</t>
  </si>
  <si>
    <t>ثلاثمائة وأربع وخمسون وأربع</t>
  </si>
  <si>
    <t>ثلاثمائة وأربع وخمسون ونصف</t>
  </si>
  <si>
    <t>ثلاثمائة وأربع وخمسون وست</t>
  </si>
  <si>
    <t>ثلاثمائة وأربع وخمسون وسبع</t>
  </si>
  <si>
    <t>ثلاثمائة وأربع وخمسون وثمان</t>
  </si>
  <si>
    <t>ثلاثمائة وأربع وخمسون وتسع</t>
  </si>
  <si>
    <t xml:space="preserve">ثلاثمائة وخمس وخمسون </t>
  </si>
  <si>
    <t>ثلاثمائة وخمس وخمسون وواحدة</t>
  </si>
  <si>
    <t>ثلاثمائة وخمس وخمسون واثنتان</t>
  </si>
  <si>
    <t>ثلاثمائة وخمس وخمسون وثلاث</t>
  </si>
  <si>
    <t>ثلاثمائة وخمس وخمسون وأربع</t>
  </si>
  <si>
    <t>ثلاثمائة وخمس وخمسون ونصف</t>
  </si>
  <si>
    <t>ثلاثمائة وخمس وخمسون وست</t>
  </si>
  <si>
    <t>ثلاثمائة وخمس وخمسون وسبع</t>
  </si>
  <si>
    <t>ثلاثمائة وخمس وخمسون وثمان</t>
  </si>
  <si>
    <t>ثلاثمائة وخمس وخمسون وتسع</t>
  </si>
  <si>
    <t xml:space="preserve">ثلاثمائة وست وخمسون </t>
  </si>
  <si>
    <t>ثلاثمائة وست وخمسون وواحدة</t>
  </si>
  <si>
    <t>ثلاثمائة وست وخمسون واثنتان</t>
  </si>
  <si>
    <t>ثلاثمائة وست وخمسون وثلاث</t>
  </si>
  <si>
    <t>ثلاثمائة وست وخمسون وأربع</t>
  </si>
  <si>
    <t>ثلاثمائة وست وخمسون ونصف</t>
  </si>
  <si>
    <t>ثلاثمائة وست وخمسون وست</t>
  </si>
  <si>
    <t>ثلاثمائة وست وخمسون وسبع</t>
  </si>
  <si>
    <t>ثلاثمائة وست وخمسون وثمان</t>
  </si>
  <si>
    <t>ثلاثمائة وست وخمسون وتسع</t>
  </si>
  <si>
    <t xml:space="preserve">ثلاثمائة وسبع وخمسون </t>
  </si>
  <si>
    <t>ثلاثمائة وسبع وخمسون وواحدة</t>
  </si>
  <si>
    <t>ثلاثمائة وسبع وخمسون واثنتان</t>
  </si>
  <si>
    <t>ثلاثمائة وسبع وخمسون وثلاث</t>
  </si>
  <si>
    <t>ثلاثمائة وسبع وخمسون وأربع</t>
  </si>
  <si>
    <t>ثلاثمائة وسبع وخمسون ونصف</t>
  </si>
  <si>
    <t>ثلاثمائة وسبع وخمسون وست</t>
  </si>
  <si>
    <t>ثلاثمائة وسبع وخمسون وسبع</t>
  </si>
  <si>
    <t>ثلاثمائة وسبع وخمسون وثمان</t>
  </si>
  <si>
    <t>ثلاثمائة وسبع وخمسون وتسع</t>
  </si>
  <si>
    <t xml:space="preserve">ثلاثمائة وثمان وخمسون </t>
  </si>
  <si>
    <t>ثلاثمائة وثمان وخمسون وواحدة</t>
  </si>
  <si>
    <t>ثلاثمائة وثمان وخمسون واثنتان</t>
  </si>
  <si>
    <t>ثلاثمائة وثمان وخمسون وثلاث</t>
  </si>
  <si>
    <t>ثلاثمائة وثمان وخمسون وأربع</t>
  </si>
  <si>
    <t>ثلاثمائة وثمان وخمسون ونصف</t>
  </si>
  <si>
    <t>ثلاثمائة وثمان وخمسون وست</t>
  </si>
  <si>
    <t>ثلاثمائة وثمان وخمسون وسبع</t>
  </si>
  <si>
    <t>ثلاثمائة وثمان وخمسون وثمان</t>
  </si>
  <si>
    <t>ثلاثمائة وثمان وخمسون وتسع</t>
  </si>
  <si>
    <t xml:space="preserve">ثلاثمائة وتسع وخمسون </t>
  </si>
  <si>
    <t>ثلاثمائة وتسع وخمسون وواحدة</t>
  </si>
  <si>
    <t>ثلاثمائة وتسع وخمسون واثنتان</t>
  </si>
  <si>
    <t>ثلاثمائة وتسع وخمسون وثلاث</t>
  </si>
  <si>
    <t>ثلاثمائة وتسع وخمسون وأربع</t>
  </si>
  <si>
    <t>ثلاثمائة وتسع وخمسون ونصف</t>
  </si>
  <si>
    <t>ثلاثمائة وتسع وخمسون وست</t>
  </si>
  <si>
    <t>ثلاثمائة وتسع وخمسون وسبع</t>
  </si>
  <si>
    <t>ثلاثمائة ستون</t>
  </si>
  <si>
    <t>ثلاثمائة وستون وواحدة</t>
  </si>
  <si>
    <t>ثلاثمائة وستون واثنتان</t>
  </si>
  <si>
    <t>ثلاثمائة وستون وثلاث</t>
  </si>
  <si>
    <t>ثلاثمائة وستون وأربع</t>
  </si>
  <si>
    <t>ثلاثمائة وستون ونصف</t>
  </si>
  <si>
    <t>ثلاثمائة وستون وست</t>
  </si>
  <si>
    <t>ثلاثمائة وستون وسبع</t>
  </si>
  <si>
    <t>ثلاثمائة وستون وثمان</t>
  </si>
  <si>
    <t>ثلاثمائة وستون وتسع</t>
  </si>
  <si>
    <t xml:space="preserve">ثلاثمائة وواحد وستون </t>
  </si>
  <si>
    <t>خمسمائة وثلاث وثمانون واثنتان</t>
  </si>
  <si>
    <t>خمسمائة وثلاث وثمانون وثلاث</t>
  </si>
  <si>
    <t>خمسمائة وثلاث وثمانون وأربع</t>
  </si>
  <si>
    <t>خمسمائة وثلاث وثمانون ونصف</t>
  </si>
  <si>
    <t>خمسمائة وثلاث وثمانون وست</t>
  </si>
  <si>
    <t>خمسمائة وثلاث وثمانون وسبع</t>
  </si>
  <si>
    <t>ثلاثمائة وواحد وستون وواحدة</t>
  </si>
  <si>
    <t>ثلاثمائة وواحد وستون واثنتان</t>
  </si>
  <si>
    <t>ثلاثمائة وواحد وستون وثلاث</t>
  </si>
  <si>
    <t>ثلاثمائة وواحد وستون وأربع</t>
  </si>
  <si>
    <t>ثلاثمائة وواحد وستون ونصف</t>
  </si>
  <si>
    <t>ثلاثمائة وواحد وستون وست</t>
  </si>
  <si>
    <t>ثلاثمائة وواحد وستون وسبع</t>
  </si>
  <si>
    <t>ثلاثمائة وواحد وستون وثمان</t>
  </si>
  <si>
    <t>ثلاثمائة وواحد وستون وتسع</t>
  </si>
  <si>
    <t xml:space="preserve">ثلاثمائة واثنتان وستون </t>
  </si>
  <si>
    <t>خمسمائة وأربع وثمانون وواحدة</t>
  </si>
  <si>
    <t>خمسمائة وأربع وثمانون واثنتان</t>
  </si>
  <si>
    <t>خمسمائة وأربع وثمانون وثلاث</t>
  </si>
  <si>
    <t>خمسمائة وأربع وثمانون وأربع</t>
  </si>
  <si>
    <t>خمسمائة وأربع وثمانون ونصف</t>
  </si>
  <si>
    <t>خمسمائة وأربع وثمانون وست</t>
  </si>
  <si>
    <t>مائتان وست وخمسون وتسع</t>
  </si>
  <si>
    <t xml:space="preserve">مائتان وسبع وخمسون </t>
  </si>
  <si>
    <t>مائتان وسبع وخمسون وواحدة</t>
  </si>
  <si>
    <t>مائتان وسبع وخمسون واثنتان</t>
  </si>
  <si>
    <t>مائتان وسبع وخمسون وثلاث</t>
  </si>
  <si>
    <t>مائتان وسبع وخمسون وأربع</t>
  </si>
  <si>
    <t>مائتان وسبع وخمسون ونصف</t>
  </si>
  <si>
    <t>مائتان وسبع وخمسون وست</t>
  </si>
  <si>
    <t>مائتان وسبع وخمسون وسبع</t>
  </si>
  <si>
    <t>مائتان وسبع وخمسون وثمان</t>
  </si>
  <si>
    <t>مائتان وسبع وخمسون وتسع</t>
  </si>
  <si>
    <t xml:space="preserve">مائتان وثمان وخمسون </t>
  </si>
  <si>
    <t>مائتان وثمان وخمسون وواحدة</t>
  </si>
  <si>
    <t>مائتان وثمان وخمسون واثنتان</t>
  </si>
  <si>
    <t>مائتان وثمان وخمسون وثلاث</t>
  </si>
  <si>
    <t>مائتان وثمان وخمسون وأربع</t>
  </si>
  <si>
    <t>مائتان وثمان وخمسون ونصف</t>
  </si>
  <si>
    <t>أربعمائة وثمانون وواحدة</t>
  </si>
  <si>
    <t>أربعمائة وثمانون واثنتان</t>
  </si>
  <si>
    <t>أربعمائة وثمانون وثلاث</t>
  </si>
  <si>
    <t>أربعمائة وثمانون وأربع</t>
  </si>
  <si>
    <t xml:space="preserve">خمسمائة وثمان وخمسون </t>
  </si>
  <si>
    <t>خمسمائة وثمان وخمسون وواحدة</t>
  </si>
  <si>
    <t>خمسمائة وثمان وخمسون واثنتان</t>
  </si>
  <si>
    <t>ثلاثمائة وست و ثلاثون وتسع</t>
  </si>
  <si>
    <t xml:space="preserve">ثلاثمائة وسبع و ثلاثون </t>
  </si>
  <si>
    <t>ثلاثمائة وسبع و ثلاثون  وواحدة</t>
  </si>
  <si>
    <t>ثلاثمائة وسبع و ثلاثون واثنتان</t>
  </si>
  <si>
    <t>ثلاثمائة وسبع و ثلاثون وثلاث</t>
  </si>
  <si>
    <t>ثلاثمائة وسبع و ثلاثون وأربع</t>
  </si>
  <si>
    <t>ثلاثمائة وسبع و ثلاثون ونصف</t>
  </si>
  <si>
    <t>ثلاثمائة وسبع و ثلاثون وست</t>
  </si>
  <si>
    <t>ثلاثمائة وسبع و ثلاثون وسبع</t>
  </si>
  <si>
    <t>ثلاثمائة وسبع و ثلاثون وثمان</t>
  </si>
  <si>
    <t>ثلاثمائة وسبع و ثلاثون وتسع</t>
  </si>
  <si>
    <t>ثلاثمائة وثمان و ثلاثون</t>
  </si>
  <si>
    <t>ثلاثمائة وثمان و ثلاثون  وواحدة</t>
  </si>
  <si>
    <t>ثلاثمائة وثمان و ثلاثون واثنتان</t>
  </si>
  <si>
    <t>ثلاثمائة وثمان و ثلاثون وثلاث</t>
  </si>
  <si>
    <t>ثلاثمائة وثمان و ثلاثون وأربع</t>
  </si>
  <si>
    <t>ثلاثمائة وثمان و ثلاثون ونصف</t>
  </si>
  <si>
    <t>ثلاثمائة وثمان و ثلاثون وست</t>
  </si>
  <si>
    <t>مائثلاثمائة وثمان و ثلاثون وسبع</t>
  </si>
  <si>
    <t>ثلاثمائة وثمان و ثلاثون وثمان</t>
  </si>
  <si>
    <t>ثلاثمائة وثمان و ثلاثون وتسع</t>
  </si>
  <si>
    <t xml:space="preserve">ثلاثمائة وتسع و ثلاثون </t>
  </si>
  <si>
    <t>ثلاثمائة وتسع و ثلاثون  وواحدة</t>
  </si>
  <si>
    <t>ثلاثمائة وتسع و ثلاثون واثنتان</t>
  </si>
  <si>
    <t>ثلاثمائة وتسع و ثلاثون وثلاث</t>
  </si>
  <si>
    <t>ثلاثمائة وتسع و ثلاثون وأربع</t>
  </si>
  <si>
    <t>ثلاثمائة وتسع و ثلاثون ونصف</t>
  </si>
  <si>
    <t>ثلاثمائة وتسع و ثلاثون وست</t>
  </si>
  <si>
    <t>ثلاثمائة وتسع و ثلاثون وسبع</t>
  </si>
  <si>
    <t>ثلاثمائة وتسع و ثلاثون وثمان</t>
  </si>
  <si>
    <t>ثلاثمائة وتسع و ثلاثون وتسع</t>
  </si>
  <si>
    <t xml:space="preserve">ثلاثمائة وأربعون </t>
  </si>
  <si>
    <t>خمسمائة واثنتان وستون وسبع</t>
  </si>
  <si>
    <t>خمسمائة واثنتان وستون وثمان</t>
  </si>
  <si>
    <t>خمسمائة واثنتان وستون وتسع</t>
  </si>
  <si>
    <t xml:space="preserve">خمسمائة وثلاث وستون </t>
  </si>
  <si>
    <t>خمسمائة وثلاث وستون وواحدة</t>
  </si>
  <si>
    <t>سبعمائة وثلاث وتسعون وسبع</t>
  </si>
  <si>
    <t>ثلاثمائة وواحدة و أربعون  وسبع</t>
  </si>
  <si>
    <t>خمسمائة وثلاث وستون واثنتان</t>
  </si>
  <si>
    <t>خمسمائة وثلاث وستون وثلاث</t>
  </si>
  <si>
    <t>خمسمائة وثلاث وستون وأربع</t>
  </si>
  <si>
    <t>خمسمائة وثلاث وستون ونصف</t>
  </si>
  <si>
    <t>خمسمائة وثلاث وستون وست</t>
  </si>
  <si>
    <t>خمسمائة وثلاث وستون وسبع</t>
  </si>
  <si>
    <t>خمسمائة وثلاث وستون وثمان</t>
  </si>
  <si>
    <t>خمسمائة وثلاث وستون وتسع</t>
  </si>
  <si>
    <t xml:space="preserve">خمسمائة وأربع وستون </t>
  </si>
  <si>
    <t>خمسمائة وأربع وستون وواحدة</t>
  </si>
  <si>
    <t>خمسمائة وأربع وستون واثنتان</t>
  </si>
  <si>
    <t>خمسمائة وأربع وستون وثلاث</t>
  </si>
  <si>
    <t>خمسمائة وأربع وستون وأربع</t>
  </si>
  <si>
    <t>خمسمائة وأربع وستون ونصف</t>
  </si>
  <si>
    <t>خمسمائة وأربع وستون وست</t>
  </si>
  <si>
    <t>خمسمائة وأربع وستون وسبع</t>
  </si>
  <si>
    <t>خمسمائة وأربع وستون وثمان</t>
  </si>
  <si>
    <t>خمسمائة وأربع وستون وتسع</t>
  </si>
  <si>
    <t>ثلاثمائة واثنتان وستون وثمان</t>
  </si>
  <si>
    <t>ثلاثمائة واثنتان وستون وتسع</t>
  </si>
  <si>
    <t xml:space="preserve">ثلاثمائة وثلاث وستون </t>
  </si>
  <si>
    <t>ثلاثمائة وثلاث وستون وواحدة</t>
  </si>
  <si>
    <t>ثلاثمائة وثلاث وستون واثنتان</t>
  </si>
  <si>
    <t>ثلاثمائة وثلاث وستون وثلاث</t>
  </si>
  <si>
    <t>ثلاثمائة وثلاث وستون وأربع</t>
  </si>
  <si>
    <t>ثلاثمائة وثلاث وستون ونصف</t>
  </si>
  <si>
    <t>ثلاثمائة وثلاث وستون وست</t>
  </si>
  <si>
    <t>ثلاثمائة وثلاث وستون وسبع</t>
  </si>
  <si>
    <t>ثلاثمائة وثلاث وستون وثمان</t>
  </si>
  <si>
    <t>ثلاثمائة وثلاث وستون وتسع</t>
  </si>
  <si>
    <t xml:space="preserve">ثلاثمائة وأربع وستون </t>
  </si>
  <si>
    <t>ثلاثمائة وأربع وستون وواحدة</t>
  </si>
  <si>
    <t>مائتان وست و أربعون  وأربع</t>
  </si>
  <si>
    <t>مائتان وست و أربعون  ونصف</t>
  </si>
  <si>
    <t>مائتان وست و أربعون  وست</t>
  </si>
  <si>
    <t>مائتان وست و أربعون  وسبع</t>
  </si>
  <si>
    <t>مائتان وست و أربعون  وثمان</t>
  </si>
  <si>
    <t>مائتان وست و أربعون  وتسع</t>
  </si>
  <si>
    <t xml:space="preserve">مائتان وسبع و أربعون  </t>
  </si>
  <si>
    <t>مائتان وسبع و أربعون   وواحدة</t>
  </si>
  <si>
    <t>مائتان وسبع و أربعون  واثنتان</t>
  </si>
  <si>
    <t>مائتان وسبع و أربعون  وثلاث</t>
  </si>
  <si>
    <t>مائتان وسبع و أربعون  وأربع</t>
  </si>
  <si>
    <t>مائتان وسبع و أربعون  ونصف</t>
  </si>
  <si>
    <t>مائتان وسبع و أربعون  وست</t>
  </si>
  <si>
    <t>مائتان وسبع و أربعون  وسبع</t>
  </si>
  <si>
    <t>أربعمائة وسبعون وثمان</t>
  </si>
  <si>
    <t>ثلاثمائة وسبعون وثلاث</t>
  </si>
  <si>
    <t>ثلاثمائة وسبعون وأربع</t>
  </si>
  <si>
    <t>ثلاثمائة وسبعون ونصف</t>
  </si>
  <si>
    <t>ثلاثمائة وسبعون وست</t>
  </si>
  <si>
    <t>ثلاثمائة وسبعون وسبع</t>
  </si>
  <si>
    <t>ثلاثمائة وسبعون وثمان</t>
  </si>
  <si>
    <t>ثلاثمائة وسبعون وتسع</t>
  </si>
  <si>
    <t xml:space="preserve">ثلاثمائة وواحدة وسبعون </t>
  </si>
  <si>
    <t>ثلاثمائة وواحدة سبعون وواحدة</t>
  </si>
  <si>
    <t>ثلاثمائة وواحدة سبعون واثنتان</t>
  </si>
  <si>
    <t>ثلاثمائة وست وستون وسبع</t>
  </si>
  <si>
    <t>ثلاثمائة وست وستون وثمان</t>
  </si>
  <si>
    <t>ثلاثمائة وست وستون وتسع</t>
  </si>
  <si>
    <t xml:space="preserve">ثلاثمائة وسبع وستون </t>
  </si>
  <si>
    <t>ثلاثمائة وسبع وستون وواحدة</t>
  </si>
  <si>
    <t>ثلاثمائة وسبع وستون واثنتان</t>
  </si>
  <si>
    <t>ثلاثمائة وسبع وستون وثلاث</t>
  </si>
  <si>
    <t>ثلاثمائة وسبع وستون وأربع</t>
  </si>
  <si>
    <t>ثلاثمائة وسبع وستون ونصف</t>
  </si>
  <si>
    <t>ثلاثمائة وسبع وستون وست</t>
  </si>
  <si>
    <t>ثلاثمائة وسبع وستون وسبع</t>
  </si>
  <si>
    <t>ثلاثمائة وسبع وستون وثمان</t>
  </si>
  <si>
    <t>ثلاثمائة وسبع وستون وتسع</t>
  </si>
  <si>
    <t xml:space="preserve">ثلاثمائة وثمان وستون </t>
  </si>
  <si>
    <t>ثلاثمائة وثمان وستون وواحدة</t>
  </si>
  <si>
    <t>ثلاثمائة وثمان وستون واثنتان</t>
  </si>
  <si>
    <t>ثلاثمائة وثمان وستون وثلاث</t>
  </si>
  <si>
    <t>ثلاثمائة وثمان وستون وأربع</t>
  </si>
  <si>
    <t>ثلاثمائة وثمان وستون ونصف</t>
  </si>
  <si>
    <t>ثلاثمائة وثمان وستون وست</t>
  </si>
  <si>
    <t>ثلاثمائة وثمان وستون وسبع</t>
  </si>
  <si>
    <t>ثلاثمائة وثمان وستون وثمان</t>
  </si>
  <si>
    <t>ثلاثمائة وثمان وستون وتسع</t>
  </si>
  <si>
    <t xml:space="preserve">ثلاثمائة وتسع وستون </t>
  </si>
  <si>
    <t>ثلاثمائة وتسع وستون وواحدة</t>
  </si>
  <si>
    <t>ثلاثمائة وتسع وستون واثنتان</t>
  </si>
  <si>
    <t>ثلاثمائة وتسع وستون وثلاث</t>
  </si>
  <si>
    <t>ثلاثمائة وتسع وستون وأربع</t>
  </si>
  <si>
    <t>ثلاثمائة وتسع وستون ونصف</t>
  </si>
  <si>
    <t>ثلاثمائة وتسع وستون وست</t>
  </si>
  <si>
    <t>ثلاثمائة وتسع وستون وسبع</t>
  </si>
  <si>
    <t>ثلاثمائة وتسع وستون وثمان</t>
  </si>
  <si>
    <t>ثلاثمائة وتسع وستون وتسع</t>
  </si>
  <si>
    <t xml:space="preserve">ثلاثمائة وسبعون </t>
  </si>
  <si>
    <t>ثلاثمائة وسبعون وواحدة</t>
  </si>
  <si>
    <t>ثلاثمائة وسبعون واثنتان</t>
  </si>
  <si>
    <t>خمسمائة وواحدة سبعون وتسع</t>
  </si>
  <si>
    <t xml:space="preserve">خمسمائة واثنتان وسبعون </t>
  </si>
  <si>
    <t>خمسمائة واثنتان وسبعون وواحدة</t>
  </si>
  <si>
    <t>خمسمائة واثنتان وسبعون واثنتان</t>
  </si>
  <si>
    <t>خمسمائة واثنتان وسبعون وثلاث</t>
  </si>
  <si>
    <t>خمسمائة واثنتان وسبعون وأربع</t>
  </si>
  <si>
    <t>ثلاثمائة وخمس وسبعون وتسع</t>
  </si>
  <si>
    <t xml:space="preserve">ثلاثمائة وست وسبعون </t>
  </si>
  <si>
    <t>ثلاثمائة وست وسبعون وواحدة</t>
  </si>
  <si>
    <t>ثلاثمائة وست وسبعون واثنتان</t>
  </si>
  <si>
    <t>ثلاثمائة وست وسبعون وثلاث</t>
  </si>
  <si>
    <t>ثلاثمائة وست وسبعون وأربع</t>
  </si>
  <si>
    <t>ثلاثمائة وست وسبعون ونصف</t>
  </si>
  <si>
    <t>ثلاثمائة وست وسبعون وست</t>
  </si>
  <si>
    <t>ثلاثمائة وست وسبعون وسبع</t>
  </si>
  <si>
    <t>ثلاثمائة وست وسبعون وثمان</t>
  </si>
  <si>
    <t>ثلاثمائة وست وسبعون وتسع</t>
  </si>
  <si>
    <t>ثلاثمائة وسبع وسبعون</t>
  </si>
  <si>
    <t>ثلاثمائة وسبع وسبعون وواحدة</t>
  </si>
  <si>
    <t>ثلاثمائة وسبع وسبعون واثنتان</t>
  </si>
  <si>
    <t>ثلاثمائة وسبع وسبعون وثلاث</t>
  </si>
  <si>
    <t>ثلاثمائة وسبع وسبعون وأربع</t>
  </si>
  <si>
    <t>ثلاثمائة وسبع وسبعون ونصف</t>
  </si>
  <si>
    <t>ثلاثمائة وسبع وسبعون وست</t>
  </si>
  <si>
    <t>ثلاثمائة وسبع وسبعون وسبع</t>
  </si>
  <si>
    <t>ثلاثمائة وسبع وسبعون وثمان</t>
  </si>
  <si>
    <t>ثلاثمائة وسبع وسبعون وتسع</t>
  </si>
  <si>
    <t xml:space="preserve">ثلاثمائة وثمان وسبعون </t>
  </si>
  <si>
    <t>ثلاثمائة وثمان وسبعون وواحدة</t>
  </si>
  <si>
    <t>ثلاثمائة وثمان وسبعون واثنتان</t>
  </si>
  <si>
    <t>ثلاثمائة وثمان وسبعون وثلاث</t>
  </si>
  <si>
    <t>ثلاثمائة وثمان وسبعون وأربع</t>
  </si>
  <si>
    <t>ثلاثمائة وثمان وسبعون ونصف</t>
  </si>
  <si>
    <t>ثلاثمائة وثمان وسبعون وست</t>
  </si>
  <si>
    <t>ثلاثمائة وثمان وسبعون وسبع</t>
  </si>
  <si>
    <t>ثلاثمائة وثمان وسبعون وثمان</t>
  </si>
  <si>
    <t>ثلاثمائة وثمان وسبعون وتسع</t>
  </si>
  <si>
    <t xml:space="preserve">ثلاثمائة وتسع وسبعون </t>
  </si>
  <si>
    <t>ثلاثمائة وتسع وسبعون وواحدة</t>
  </si>
  <si>
    <t>ثلاثمائة وتسع وسبعون واثنتان</t>
  </si>
  <si>
    <t>ثلاثمائة وتسع وسبعون وثلاث</t>
  </si>
  <si>
    <t>ثلاثمائة وتسع وسبعون وأربع</t>
  </si>
  <si>
    <t>ثلاثمائة وتسع وسبعون ونصف</t>
  </si>
  <si>
    <t>ثلاثمائة وتسع وسبعون وست</t>
  </si>
  <si>
    <t>ثلاثمائة وتسع وسبعون وسبع</t>
  </si>
  <si>
    <t>مائتان وثمانون وثلاث</t>
  </si>
  <si>
    <t>مائتان وثمانون وأربع</t>
  </si>
  <si>
    <t>مائتان وثمانون ونصف</t>
  </si>
  <si>
    <t>مائتان وثمانون وست</t>
  </si>
  <si>
    <t>مائتان وثمانون وسبع</t>
  </si>
  <si>
    <t>مائتان وثمانون وثمان</t>
  </si>
  <si>
    <t>مائتان وثمانون وتسع</t>
  </si>
  <si>
    <t>مائتان وواحد وثمانون</t>
  </si>
  <si>
    <t>مائتان وواحد وثمانون وواحدة</t>
  </si>
  <si>
    <t>مائتان وواحد وثمانون واثنتان</t>
  </si>
  <si>
    <t>مائتان وواحد وثمانون وثلاث</t>
  </si>
  <si>
    <t>مائتان وواحد وثمانون وأربع</t>
  </si>
  <si>
    <t>خمسمائة وسبع وسبعون وتسع</t>
  </si>
  <si>
    <t xml:space="preserve">خمسمائة وثمان وسبعون </t>
  </si>
  <si>
    <t>خمسمائة وثمان وسبعون وواحدة</t>
  </si>
  <si>
    <t>خمسمائة وثمان وسبعون واثنتان</t>
  </si>
  <si>
    <t>خمسمائة وثمان وسبعون وثلاث</t>
  </si>
  <si>
    <t>خمسمائة وثمان وسبعون وأربع</t>
  </si>
  <si>
    <t>خمسمائة وثمان وسبعون ونصف</t>
  </si>
  <si>
    <t>خمسمائة وثمان وسبعون وست</t>
  </si>
  <si>
    <t>خمسمائة وثمان وسبعون وسبع</t>
  </si>
  <si>
    <t>خمسمائة وثمان وسبعون وثمان</t>
  </si>
  <si>
    <t>خمسمائة وثمان وسبعون وتسع</t>
  </si>
  <si>
    <t xml:space="preserve">خمسمائة وتسع وسبعون </t>
  </si>
  <si>
    <t>خمسمائة وتسع وسبعون وواحدة</t>
  </si>
  <si>
    <t>خمسمائة وتسع وسبعون واثنتان</t>
  </si>
  <si>
    <t>خمسمائة وتسع وسبعون وثلاث</t>
  </si>
  <si>
    <t>خمسمائة وتسع وسبعون وأربع</t>
  </si>
  <si>
    <t>خمسمائة وتسع وسبعون ونصف</t>
  </si>
  <si>
    <t>خمسمائة وتسع وسبعون وست</t>
  </si>
  <si>
    <t>خمسمائة وتسع وسبعون وسبع</t>
  </si>
  <si>
    <t>خمسمائة وتسع وسبعون وثمان</t>
  </si>
  <si>
    <t>خمسمائة وتسع وسبعون وتسع</t>
  </si>
  <si>
    <t>خمسمائة وثمانون</t>
  </si>
  <si>
    <t>خمسمائة وثمانون وواحدة</t>
  </si>
  <si>
    <t>خمسمائة وثمانون واثنتان</t>
  </si>
  <si>
    <t>خمسمائة وثمانون وثلاث</t>
  </si>
  <si>
    <t>خمسمائة وثمانون وأربع</t>
  </si>
  <si>
    <t>خمسمائة وثمانون ونصف</t>
  </si>
  <si>
    <t>خمسمائة وثمانون وست</t>
  </si>
  <si>
    <t>خمسمائة وثمانون وسبع</t>
  </si>
  <si>
    <t>خمسمائة وثمانون وثمان</t>
  </si>
  <si>
    <t>خمسمائة وثمانون وتسع</t>
  </si>
  <si>
    <t>خمسمائة وواحدة وثمانون</t>
  </si>
  <si>
    <t>خمسمائة وواحدة وثمانون وواحدة</t>
  </si>
  <si>
    <t>خمسمائة وواحدة وثمانون واثنتان</t>
  </si>
  <si>
    <t>خمسمائة وواحدة وثمانون وثلاث</t>
  </si>
  <si>
    <t>خمسمائة وواحدة وثمانون وأربع</t>
  </si>
  <si>
    <t>خمسمائة وواحدة وثمانون ونصف</t>
  </si>
  <si>
    <t>خمسمائة وواحدة وثمانون وست</t>
  </si>
  <si>
    <t>خمسمائة وواحدة وثمانون وسبع</t>
  </si>
  <si>
    <t>خمسمائة وواحدة وثمانون وثمان</t>
  </si>
  <si>
    <t>خمسمائة وواحدة وثمانون وتسع</t>
  </si>
  <si>
    <t xml:space="preserve">خمسمائة واثنتان وثمانون </t>
  </si>
  <si>
    <t>خمسمائة واثنتان وثمانون وواحدة</t>
  </si>
  <si>
    <t>خمسمائة واثنتان وثمانون واثنتان</t>
  </si>
  <si>
    <t>خمسمائة واثنتان وثمانون وثلاث</t>
  </si>
  <si>
    <t>خمسمائة واثنتان وثمانون وأربع</t>
  </si>
  <si>
    <t>خمسمائة واثنتان وثمانون ونصف</t>
  </si>
  <si>
    <t>خمسمائة واثنتان وثمانون وست</t>
  </si>
  <si>
    <t>خمسمائة واثنتان وثمانون وسبع</t>
  </si>
  <si>
    <t>خمسمائة واثنتان وثمانون وثمان</t>
  </si>
  <si>
    <t>خمسمائة واثنتان وثمانون وتسع</t>
  </si>
  <si>
    <t>خمسمائة وثلاث وثمانون</t>
  </si>
  <si>
    <t>مائتان وأربع وستون واثنتان</t>
  </si>
  <si>
    <t>مائتان وأربع وستون وثلاث</t>
  </si>
  <si>
    <t>مائتان وأربع وستون وأربع</t>
  </si>
  <si>
    <t>مائتان وأربع وستون ونصف</t>
  </si>
  <si>
    <t>مائتان وأربع وستون وست</t>
  </si>
  <si>
    <t>مائتان وأربع وستون وسبع</t>
  </si>
  <si>
    <t>مائتان وأربع وستون وثمان</t>
  </si>
  <si>
    <t>مائتان وأربع وستون وتسع</t>
  </si>
  <si>
    <t xml:space="preserve">مائتان وخمس وستون </t>
  </si>
  <si>
    <t>مائتان وخمس وستون وواحدة</t>
  </si>
  <si>
    <t>مائتان وخمس وستون واثنتان</t>
  </si>
  <si>
    <t>مائتان وخمس وستون وثلاث</t>
  </si>
  <si>
    <t>مائتان وخمس وستون وأربع</t>
  </si>
  <si>
    <t>مائتان وخمس وستون ونصف</t>
  </si>
  <si>
    <t>مائتان وخمس وستون وست</t>
  </si>
  <si>
    <t>مائتان وخمس وستون وسبع</t>
  </si>
  <si>
    <t>مائتان وخمس وستون وثمان</t>
  </si>
  <si>
    <t>مائتان وخمس وستون وتسع</t>
  </si>
  <si>
    <t>مائتان وست وستون</t>
  </si>
  <si>
    <t>مائتان وست وستون وواحدة</t>
  </si>
  <si>
    <t>مائتان وست وستون واثنتان</t>
  </si>
  <si>
    <t>مائتان وست وستون وثلاث</t>
  </si>
  <si>
    <t>مائتان وست وستون وأربع</t>
  </si>
  <si>
    <t>مائتان وست وستون ونصف</t>
  </si>
  <si>
    <t>مائتان وست وستون وست</t>
  </si>
  <si>
    <t>مائتان وست وستون وسبع</t>
  </si>
  <si>
    <t>مائتان وست وستون وثمان</t>
  </si>
  <si>
    <t>مائتان وست وستون وتسع</t>
  </si>
  <si>
    <t xml:space="preserve">مائتان وسبع وستون </t>
  </si>
  <si>
    <t>مائتان وسبع وستون وواحدة</t>
  </si>
  <si>
    <t>مائتان وسبع وستون واثنتان</t>
  </si>
  <si>
    <t>مائتان وسبع وستون وثلاث</t>
  </si>
  <si>
    <t>مائتان وسبع وستون وأربع</t>
  </si>
  <si>
    <t>مائتان وسبع وستون ونصف</t>
  </si>
  <si>
    <t>مائتان وسبع وستون وست</t>
  </si>
  <si>
    <t>مائتان وسبع وستون وسبع</t>
  </si>
  <si>
    <t>مائتان وسبع وستون وثمان</t>
  </si>
  <si>
    <t>مائتان وسبع وستون وتسع</t>
  </si>
  <si>
    <t xml:space="preserve">مائتان وثمان وستون </t>
  </si>
  <si>
    <t>مائتان وثمان وستون وواحدة</t>
  </si>
  <si>
    <t>مائتان وثمان وستون واثنتان</t>
  </si>
  <si>
    <t>مائتان وثمان وستون وثلاث</t>
  </si>
  <si>
    <t>مائتان وثمان وستون وأربع</t>
  </si>
  <si>
    <t>مائتان وثمان وستون ونصف</t>
  </si>
  <si>
    <t>مائتان وثمان وستون وست</t>
  </si>
  <si>
    <t>مائتان وثمان وستون وسبع</t>
  </si>
  <si>
    <t>مائتان وثمان وستون وثمان</t>
  </si>
  <si>
    <t>ثلاثمائة وواحدة وتسعون وواحدة</t>
  </si>
  <si>
    <t>ثلاثمائة وواحدة وتسعون واثنتان</t>
  </si>
  <si>
    <t>ثلاثمائة وواحدة وتسعون وثلاث</t>
  </si>
  <si>
    <t>ثلاثمائة وواحدة وتسعون وأربع</t>
  </si>
  <si>
    <t>ثلاثمائة وواحدة وتسعون ونصف</t>
  </si>
  <si>
    <t>ثلاثمائة وواحدة وتسعون وست</t>
  </si>
  <si>
    <t>ثلاثمائة وواحدة وتسعون وسبع</t>
  </si>
  <si>
    <t>ثلاثمائة وواحدة وتسعون وثمان</t>
  </si>
  <si>
    <t>ثلاثمائة وواحدة وتسعون وتسع</t>
  </si>
  <si>
    <t>ثلاثمائة وأربع وثمانون وسبع</t>
  </si>
  <si>
    <t>ثلاثمائة وأربع وثمانون وثمان</t>
  </si>
  <si>
    <t>ثلاثمائة وأربع وثمانون وتسع</t>
  </si>
  <si>
    <t xml:space="preserve">ثلاثمائة وخمس وثمانون </t>
  </si>
  <si>
    <t>ثلاثمائة وخمس وثمانون وواحدة</t>
  </si>
  <si>
    <t>ثلاثمائة وخمس وثمانون واثنتان</t>
  </si>
  <si>
    <t>ثلاثمائة وخمس وثمانون وثلاث</t>
  </si>
  <si>
    <t>ثلاثمائة وخمس وثمانون وأربع</t>
  </si>
  <si>
    <t>ثلاثمائة وخمس وثمانون ونصف</t>
  </si>
  <si>
    <t>ثلاثمائة وخمس وثمانون وست</t>
  </si>
  <si>
    <t>ثلاثمائة وخمس وثمانون وسبع</t>
  </si>
  <si>
    <t>ثلاثمائة وخمس وثمانون وثمان</t>
  </si>
  <si>
    <t>ثلاثمائة وخمس وثمانون وتسع</t>
  </si>
  <si>
    <t xml:space="preserve">ثلاثمائة وست وثمانون </t>
  </si>
  <si>
    <t xml:space="preserve">ثلاثمائة وسبع وثمانون </t>
  </si>
  <si>
    <t>ثلاثمائة وسبع وثمانون وواحدة</t>
  </si>
  <si>
    <t>ثلاثمائة وسبع وثمانون واثنتان</t>
  </si>
  <si>
    <t>ثلاثمائة وسبع وثمانون وثلاث</t>
  </si>
  <si>
    <t>ثلاثمائة وسبع وثمانون وأربع</t>
  </si>
  <si>
    <t>ثلاثمائة وسبع وثمانون ونصف</t>
  </si>
  <si>
    <t>ثلاثمائة وسبع وثمانون وست</t>
  </si>
  <si>
    <t>ثلاثمائة وسبع وثمانون وسبع</t>
  </si>
  <si>
    <t>ثلاثمائة وسبع وثمانون وثمان</t>
  </si>
  <si>
    <t>ثلاثمائة وسبع وثمانون وتسع</t>
  </si>
  <si>
    <t xml:space="preserve">ثلاثمائة وثمان وثمانون </t>
  </si>
  <si>
    <t>ثلاثمائة وثمان وثمانون وواحدة</t>
  </si>
  <si>
    <t>ثلاثمائة وثمان وثمانون واثنتان</t>
  </si>
  <si>
    <t>ثلاثمائة وثمان وثمانون وثلاث</t>
  </si>
  <si>
    <t>ثلاثمائة وثمان وثمانون وأربع</t>
  </si>
  <si>
    <t>ثلاثمائة وثمان وثمانون ونصف</t>
  </si>
  <si>
    <t>ثلاثمائة وثمان وثمانون وست</t>
  </si>
  <si>
    <t>ثلاثمائة وثمان وثمانون وسبع</t>
  </si>
  <si>
    <t>ثلاثمائة وثمان وثمانون وثمان</t>
  </si>
  <si>
    <t>ثلاثمائة وثمان وثمانون وتسع</t>
  </si>
  <si>
    <t>ثلاثمائة وتسع وثمانون</t>
  </si>
  <si>
    <t>ثلاثمائة وتسع وثمانون وواحدة</t>
  </si>
  <si>
    <t>ثلاثمائة وتسع وثمانون واثنتان</t>
  </si>
  <si>
    <t>ثلاثمائة وتسع وثمانون وثلاث</t>
  </si>
  <si>
    <t>خمسمائة وواحدة وتسعون وسبع</t>
  </si>
  <si>
    <t>خمسمائة وواحدة وتسعون وثمان</t>
  </si>
  <si>
    <t>خمسمائة وواحدة وتسعون وتسع</t>
  </si>
  <si>
    <t xml:space="preserve">خمسمائة واثنتان وتسعون </t>
  </si>
  <si>
    <t>خمسمائة واثنتان وتسعون وواحدة</t>
  </si>
  <si>
    <t>خمسمائة واثنتان وتسعون واثنتان</t>
  </si>
  <si>
    <t>خمسمائة واثنتان وتسعون وثلاث</t>
  </si>
  <si>
    <t>خمسمائة واثنتان وتسعون وأربع</t>
  </si>
  <si>
    <t>خمسمائة واثنتان وتسعون ونصف</t>
  </si>
  <si>
    <t>خمسمائة واثنتان وتسعون وست</t>
  </si>
  <si>
    <t>خمسمائة واثنتان وتسعون وسبع</t>
  </si>
  <si>
    <t>خمسمائة واثنتان وتسعون وثمان</t>
  </si>
  <si>
    <t>ثلاثمائة وسبع وتسعون وثمان</t>
  </si>
  <si>
    <t>ثلاثمائة وسبع وتسعون وتسع</t>
  </si>
  <si>
    <t>ثلاثمائة وثمان وتسعون</t>
  </si>
  <si>
    <t>ثلاثمائة وثمان وتسعون وواحدة</t>
  </si>
  <si>
    <t>ثلاثمائة وثمان وتسعون واثنتان</t>
  </si>
  <si>
    <t>ثلاثمائة وثمان وتسعون وثلاث</t>
  </si>
  <si>
    <t>ثلاثمائة وثمان وتسعون وأربع</t>
  </si>
  <si>
    <t>ثلاثمائة وثمان وتسعون ونصف</t>
  </si>
  <si>
    <t>ثلاثمائة وثمان وتسعون وست</t>
  </si>
  <si>
    <t>ثلاثمائة وثمان وتسعون وسبع</t>
  </si>
  <si>
    <t>ثلاثمائة وثمان وتسعون وثمان</t>
  </si>
  <si>
    <t>ثلاثمائة وثمان وتسعون وتسع</t>
  </si>
  <si>
    <t xml:space="preserve">ثلاثمائة وتسع وتسعون </t>
  </si>
  <si>
    <t>ثلاثمائة وتسع وتسعون وواحدة</t>
  </si>
  <si>
    <t>ثلاثمائة وتسع وتسعون واثنتان</t>
  </si>
  <si>
    <t>ثلاثمائة وتسع وتسعون وثلاث</t>
  </si>
  <si>
    <t>ثلاثمائة وتسع وتسعون وأربع</t>
  </si>
  <si>
    <t>ثلاثمائة وتسع وتسعون ونصف</t>
  </si>
  <si>
    <t>ثلاثمائة وتسع وتسعون وست</t>
  </si>
  <si>
    <t>ثلاثمائة وتسع وتسعون وسبع</t>
  </si>
  <si>
    <t>ثلاثمائة وتسع وتسعون وثمان</t>
  </si>
  <si>
    <t>ثلاثمائة وتسع وتسعون وتسع</t>
  </si>
  <si>
    <t>أربعمائة</t>
  </si>
  <si>
    <t>أربعمائة وواحدة</t>
  </si>
  <si>
    <t>ثلاثمائة وثلاث وواحدة</t>
  </si>
  <si>
    <t>ثلاثمائة وثلاث واثنتان</t>
  </si>
  <si>
    <t>ثلاثمائة وثلاث وثلاث</t>
  </si>
  <si>
    <t>ثلاثمائة وثلاث وأربع</t>
  </si>
  <si>
    <t>ثلاثمائة وثلاث ونصف</t>
  </si>
  <si>
    <t>ثلاثمائة وثلاث وست</t>
  </si>
  <si>
    <t>ثلاثمائة وثلاث وسبع</t>
  </si>
  <si>
    <t>ثلاثمائة وثلاث وثمان</t>
  </si>
  <si>
    <t>ثلاثمائة وثلاث وتسع</t>
  </si>
  <si>
    <t>ثلاثمائة وأربع وواحدة</t>
  </si>
  <si>
    <t>ثلاثمائة وأربع واثنتان</t>
  </si>
  <si>
    <t>ثلاثمائة وأربع وثلاث</t>
  </si>
  <si>
    <t>ثلاثمائة وأربع وأربع</t>
  </si>
  <si>
    <t>ثلاثمائة وأربع ونصف</t>
  </si>
  <si>
    <t>ثلاثمائة وأربع وست</t>
  </si>
  <si>
    <t>ثلاثمائة وأربع وسبع</t>
  </si>
  <si>
    <t>ثلاثمائة وأربع وثمان</t>
  </si>
  <si>
    <t>ثلاثمائة وأربع وتسع</t>
  </si>
  <si>
    <t>ثلاثمائة وخمس</t>
  </si>
  <si>
    <t>ثلاثمائة وخمس وواحدة</t>
  </si>
  <si>
    <t>ثلاثمائة وخمس واثنتان</t>
  </si>
  <si>
    <t>ثلاثمائة وخمس وثلاث</t>
  </si>
  <si>
    <t>ثلاثمائة وخمس وأربع</t>
  </si>
  <si>
    <t>ثلاثمائة وخمس ونصف</t>
  </si>
  <si>
    <t>ثلاثمائة وخمس وست</t>
  </si>
  <si>
    <t>ثلاثمائة وخمس وسبع</t>
  </si>
  <si>
    <t>ثلاثمائة وخمس وثمان</t>
  </si>
  <si>
    <t>ثلاثمائة وخمس وتسع</t>
  </si>
  <si>
    <t>ثلاثمائة وست وواحدة</t>
  </si>
  <si>
    <t>ثلاثمائة وست واثنتان</t>
  </si>
  <si>
    <t xml:space="preserve">ثلاثمائة وست وثلاث </t>
  </si>
  <si>
    <t>ثلاثمائة وست وأربع</t>
  </si>
  <si>
    <t>ثلاثمائة وست ونصف</t>
  </si>
  <si>
    <t>ستمائة</t>
  </si>
  <si>
    <t>ستمائة وواحدة</t>
  </si>
  <si>
    <t>ستمائة واثنتان</t>
  </si>
  <si>
    <t>ستمائة وثلاث</t>
  </si>
  <si>
    <t>ستمائة وأربع</t>
  </si>
  <si>
    <t>ستمائة ونصف</t>
  </si>
  <si>
    <t>ستمائة وست</t>
  </si>
  <si>
    <t>ستمائة وسبع</t>
  </si>
  <si>
    <t>ستمائة وثمان</t>
  </si>
  <si>
    <t>ستمائة و تسع</t>
  </si>
  <si>
    <t xml:space="preserve">ستمائة وواحدة وواحدة </t>
  </si>
  <si>
    <t>ستمائة وواحدة واثنتان</t>
  </si>
  <si>
    <t>ستمائة وواحدة وثلاث</t>
  </si>
  <si>
    <t>ستمائة وواحدة وأربع</t>
  </si>
  <si>
    <t>ستمائة وواحدة ونصف</t>
  </si>
  <si>
    <t>ستمائة وواحدة وست</t>
  </si>
  <si>
    <t>ستمائة وواحدة وسبع</t>
  </si>
  <si>
    <t>ستمائة وواحدة وثمان</t>
  </si>
  <si>
    <t>ستمائة وواحدة وتسع</t>
  </si>
  <si>
    <t>ستمائة واثنتان وواحدة</t>
  </si>
  <si>
    <t>ستمائة واثنتان واثنتان</t>
  </si>
  <si>
    <t>ستمائة واثنتان وثلاث</t>
  </si>
  <si>
    <t>ستمائة واثنتان وأربع</t>
  </si>
  <si>
    <t>ستمائة واثنتان ونصف</t>
  </si>
  <si>
    <t>ستمائة واثنتان وست</t>
  </si>
  <si>
    <t>ستمائة واثنتان وسبع</t>
  </si>
  <si>
    <t>ستمائة واثنتان وثمان</t>
  </si>
  <si>
    <t>ستمائة واثنتان وتسع</t>
  </si>
  <si>
    <t>ستمائة وثلاث وواحدة</t>
  </si>
  <si>
    <t>ستمائة وثلاث واثنتان</t>
  </si>
  <si>
    <t>ستمائة وثلاث وثلاث</t>
  </si>
  <si>
    <t>ستمائة وثلاث وأربع</t>
  </si>
  <si>
    <t>ستمائة وثلاث ونصف</t>
  </si>
  <si>
    <t>ستمائة وثلاث وست</t>
  </si>
  <si>
    <t>ستمائة وثلاث وسبع</t>
  </si>
  <si>
    <t>ستمائة وثلاث وثمان</t>
  </si>
  <si>
    <t>ستمائة وثلاث وتسع</t>
  </si>
  <si>
    <t>ستمائة وأربع وواحدة</t>
  </si>
  <si>
    <t>ستمائة وأربع واثنتان</t>
  </si>
  <si>
    <t>ستمائة وأربع وثلاث</t>
  </si>
  <si>
    <t>ستمائة وأربع وأربع</t>
  </si>
  <si>
    <t>ستمائة وأربع ونصف</t>
  </si>
  <si>
    <t>ستمائة وأربع وست</t>
  </si>
  <si>
    <t>ستمائة وأربع وسبع</t>
  </si>
  <si>
    <t>ثلاثمائة وتسع وسبعون وثمان</t>
  </si>
  <si>
    <t>ثلاثمائة وتسع وسبعون وتسع</t>
  </si>
  <si>
    <t>ثلاثمائة وثمانون</t>
  </si>
  <si>
    <t>ثلاثمائة وثمانون وواحدة</t>
  </si>
  <si>
    <t>ثلاثمائة وثمانون واثنتان</t>
  </si>
  <si>
    <t>ثلاثمائة وثمانون وثلاث</t>
  </si>
  <si>
    <t>ثلاثمائة وثمانون وأربع</t>
  </si>
  <si>
    <t>ثلاثمائة وثمانون ونصف</t>
  </si>
  <si>
    <t>ثلاثمائة وثمانون وست</t>
  </si>
  <si>
    <t>ثلاثمائة وثمانون وسبع</t>
  </si>
  <si>
    <t>ثلاثمائة وثمانون وثمان</t>
  </si>
  <si>
    <t>ثلاثمائة وثمانون وتسع</t>
  </si>
  <si>
    <t>ثلاثمائة وواحدة وثمانون</t>
  </si>
  <si>
    <t>ثلاثمائة وواحدة وثمانون وواحدة</t>
  </si>
  <si>
    <t>ثلاثمائة وواحدة وثمانون واثنتان</t>
  </si>
  <si>
    <t>ثلاثمائة وواحدة وثمانون وثلاث</t>
  </si>
  <si>
    <t>ثلاثمائة وواحدة وثمانون وأربع</t>
  </si>
  <si>
    <t>ثلاثمائة وواحدة وثمانون ونصف</t>
  </si>
  <si>
    <t>ستمائة وعشر</t>
  </si>
  <si>
    <t>خمسمائة وسبع وعشرون وست</t>
  </si>
  <si>
    <t>خمسمائة وسبع وعشرون وسبع</t>
  </si>
  <si>
    <t>خمسمائة وسبع وعشرون وثمان</t>
  </si>
  <si>
    <t>خمسمائة وسبع وعشرون وتسع</t>
  </si>
  <si>
    <t xml:space="preserve">خمسمائة وثمان وعشرون </t>
  </si>
  <si>
    <t>خمسمائة وثمان وعشرون  وواحدة</t>
  </si>
  <si>
    <t>خمسمائة وثمان و عشرون واثنتان</t>
  </si>
  <si>
    <t>خمسمائة وثمان وعشرون وثلاث</t>
  </si>
  <si>
    <t>خمسمائة وثمان وعشرون وأربع</t>
  </si>
  <si>
    <t>خمسمائة وثمان وعشرون ونصف</t>
  </si>
  <si>
    <t>خمسمائة وثمان وعشرون وست</t>
  </si>
  <si>
    <t>مائتان وواحدة وأربع</t>
  </si>
  <si>
    <t>خمسة عشر يوما</t>
  </si>
  <si>
    <t>مائتان وواحدة ونصف</t>
  </si>
  <si>
    <t>ستة عشر يوما</t>
  </si>
  <si>
    <t>مائتان وواحدة وست</t>
  </si>
  <si>
    <t>سبعة عشر يوما</t>
  </si>
  <si>
    <t>مائتان وواحدة وسبع</t>
  </si>
  <si>
    <t>ثمانية عشر يوما</t>
  </si>
  <si>
    <t>مائتان وواحدة وثمان</t>
  </si>
  <si>
    <t>تسعة عشر يوما</t>
  </si>
  <si>
    <t>مائتان وواحدة وتسع</t>
  </si>
  <si>
    <t>مائتان وتسع وثمانون وثمان</t>
  </si>
  <si>
    <t>مائتان وتسع وثمانون وتسع</t>
  </si>
  <si>
    <t>مائتان وتسعون</t>
  </si>
  <si>
    <t>مائتان وتسعون وواحدة</t>
  </si>
  <si>
    <t>مائتان وتسعون واثنتان</t>
  </si>
  <si>
    <t>مائتان وتسعون وثلاث</t>
  </si>
  <si>
    <t>مائتان وتسعون وأربع</t>
  </si>
  <si>
    <t>مائتان وتسعون ونصف</t>
  </si>
  <si>
    <t>مائتان وتسعون وست</t>
  </si>
  <si>
    <t>مائتان وتسعون وسبع</t>
  </si>
  <si>
    <t>مائتان وتسعون وثمان</t>
  </si>
  <si>
    <t>مائتان وتسعون وتسع</t>
  </si>
  <si>
    <t>أربعمائة وثلاث عشرة وسبع</t>
  </si>
  <si>
    <t>أربعمائة وثلاث عشرة وثمان</t>
  </si>
  <si>
    <t>أربعمائة وثلاث عشرة وتسع</t>
  </si>
  <si>
    <t>أربعمائة وأربع عشرة</t>
  </si>
  <si>
    <t>أربعمائة وأربع عشرة وواحدة</t>
  </si>
  <si>
    <t>أربعمائة وأربع عشرة  واثنتان</t>
  </si>
  <si>
    <t>أربعمائة وأربع عشرة وثلاث</t>
  </si>
  <si>
    <t>أربعمائة وأربع عشرة وأربع</t>
  </si>
  <si>
    <t>أربعمائة وأربع عشرة ونصف</t>
  </si>
  <si>
    <t>أربعمائة وأربع عشرة وست</t>
  </si>
  <si>
    <t>أربعمائة وأربع عشرة وسبع</t>
  </si>
  <si>
    <t>أربعمائة وأربع عشرة وثمان</t>
  </si>
  <si>
    <t>أربعمائة وأربع عشرة وتسع</t>
  </si>
  <si>
    <t>أربعمائة وخمس عشرة</t>
  </si>
  <si>
    <t>أربعمائة وخمس عشرة وواحدة</t>
  </si>
  <si>
    <t>أربعمائة وخمس عشرة  واثنتان</t>
  </si>
  <si>
    <t>أربعمائة وخمس عشرة وثلاث</t>
  </si>
  <si>
    <t>أربعمائة وخمس عشرة وأربع</t>
  </si>
  <si>
    <t>أربعمائة وخمس عشرة ونصف</t>
  </si>
  <si>
    <t>مائتان وتسع وثمانون واثنتان</t>
  </si>
  <si>
    <t>مائتان وتسع وثمانون وثلاث</t>
  </si>
  <si>
    <t>مائتان وتسع وثمانون وأربع</t>
  </si>
  <si>
    <t>مائتان وتسع وثمانون ونصف</t>
  </si>
  <si>
    <t>مائتان وتسع وثمانون وست</t>
  </si>
  <si>
    <t>مائتان وتسع وثمانون وسبع</t>
  </si>
  <si>
    <t>أربعمائة وثمان وتسع</t>
  </si>
  <si>
    <t>أربعمائة وتسع</t>
  </si>
  <si>
    <t>أربعمائة وتسع وواحدة</t>
  </si>
  <si>
    <t>أربعمائة وتسع واثنتان</t>
  </si>
  <si>
    <t>أربعمائة وتسع وثلاث</t>
  </si>
  <si>
    <t>أربعمائة وتسع وأربع</t>
  </si>
  <si>
    <t>أربعمائة وتسع ونصف</t>
  </si>
  <si>
    <t>أربعمائة وتسع وست</t>
  </si>
  <si>
    <t>أربعمائة وتسع وسبع</t>
  </si>
  <si>
    <t>أربعمائة وتسع وثمان</t>
  </si>
  <si>
    <t>أربعمائة وتسع وتسع</t>
  </si>
  <si>
    <t>أربعمائة وعشر</t>
  </si>
  <si>
    <t>أربعمائة وعشر وواحدة</t>
  </si>
  <si>
    <t>أربعمائة وعشر واثنتان</t>
  </si>
  <si>
    <t>أربعمائة وعشر وثلاث</t>
  </si>
  <si>
    <t>أربعمائة وعشر وأربع</t>
  </si>
  <si>
    <t>أربعمائة وعشر ونصف</t>
  </si>
  <si>
    <t>أربعمائة وعشر وست</t>
  </si>
  <si>
    <t>أربعمائة وعشر وسبع</t>
  </si>
  <si>
    <t>أربعمائة وعشر وثمان</t>
  </si>
  <si>
    <t>أربعمائة وعشر وتسع</t>
  </si>
  <si>
    <t>أربعمائة واحدى عشرة</t>
  </si>
  <si>
    <t>أربعمائة واحدى عشرة وواحدة</t>
  </si>
  <si>
    <t>أربعمائة واحدى عشرة واثنتان</t>
  </si>
  <si>
    <t>أربعمائة واحدى عشرة وثلاث</t>
  </si>
  <si>
    <t>أربعمائة واحدى عشرة وأربع</t>
  </si>
  <si>
    <t>أربعمائة واحدى عشرة ونصف</t>
  </si>
  <si>
    <t>أربعمائة واحدى عشرة وست</t>
  </si>
  <si>
    <t>أربعمائة واحدى عشرة وسبع</t>
  </si>
  <si>
    <t>أربعمائة واحدى عشرة وثمان</t>
  </si>
  <si>
    <t>أربعمائة واحدى عشرة وتسع</t>
  </si>
  <si>
    <t>أربعمائة واثنتا عشرة</t>
  </si>
  <si>
    <t>أربعمائة  واثنتا  عشرة وواحدة</t>
  </si>
  <si>
    <t xml:space="preserve">أربعمائة  واثنتا  عشرة واثنتان </t>
  </si>
  <si>
    <t>أربعمائة  واثنتا  عشرة وثلاث</t>
  </si>
  <si>
    <t>أربعمائة  واثنتا  عشرة وأربع</t>
  </si>
  <si>
    <t>أربعمائة  واثنتا  عشرة ونصف</t>
  </si>
  <si>
    <t>أربعمائة  واثنتا  عشرة وست</t>
  </si>
  <si>
    <t>أربعمائة  واثنتا  عشرة وسبع</t>
  </si>
  <si>
    <t>أربعمائة  واثنتا  عشرة وثمان</t>
  </si>
  <si>
    <t>أربعمائة  واثنتا  عشرة وتسع</t>
  </si>
  <si>
    <t>أربعمائة وثلاث عشرة</t>
  </si>
  <si>
    <t>أربعمائة وثلاث عشرة وواحد</t>
  </si>
  <si>
    <t>أربعمائة وثلاث عشرة  واثنتان</t>
  </si>
  <si>
    <t>أربعمائة وثلاث عشرة وثلاث</t>
  </si>
  <si>
    <t>أربعمائة وثلاث عشرة وأربع</t>
  </si>
  <si>
    <t>أربعمائة وثلاث عشرة ونصف</t>
  </si>
  <si>
    <t>أربعمائة وست عشرة وسبع</t>
  </si>
  <si>
    <t>أربعمائة وست عشرة وثمان</t>
  </si>
  <si>
    <t>أربعمائة وست عشرة وتسع</t>
  </si>
  <si>
    <t>أربعمائة وسبع عشرة</t>
  </si>
  <si>
    <t>أربعمائة وسبع عشرة وواحدة</t>
  </si>
  <si>
    <t>أربعمائة وسبع عشرة  واثنتان</t>
  </si>
  <si>
    <t>أربعمائة وسبع عشرة وثلاث</t>
  </si>
  <si>
    <t>أربعمائة وسبع عشرة وأربع</t>
  </si>
  <si>
    <t>أربعمائة وسبع عشرة ونصف</t>
  </si>
  <si>
    <t>أربعمائة وسبع عشرة وست</t>
  </si>
  <si>
    <t>أربعمائة وسبع عشرة وسبع</t>
  </si>
  <si>
    <t>أربعمائة وسبع عشرة وثمان</t>
  </si>
  <si>
    <t>أربعمائة وسبع عشرة وتسع</t>
  </si>
  <si>
    <t>أربعمائة وثمان عشرة</t>
  </si>
  <si>
    <t xml:space="preserve">مائتان وأربع وتسعون </t>
  </si>
  <si>
    <t>مائتان وأربع وتسعون وواحدة</t>
  </si>
  <si>
    <t>مائتان وأربع وتسعون واثنتان</t>
  </si>
  <si>
    <t>خمسمائة وسبع عشرة وأربع</t>
  </si>
  <si>
    <t>خمسمائة وسبع عشرة ونصف</t>
  </si>
  <si>
    <t>خمسمائة وسبع عشرة وست</t>
  </si>
  <si>
    <t>خمسمائة وسبع عشرة وسبع</t>
  </si>
  <si>
    <t>خمسمائة وسبع عشرة وثمان</t>
  </si>
  <si>
    <t>خمسمائة وسبع عشرة وتسع</t>
  </si>
  <si>
    <t>ستمائة وثمان عشرة وتسع</t>
  </si>
  <si>
    <t>ستمائة وتسع عشرة</t>
  </si>
  <si>
    <t>ستمائة وتسع عشرة وواحدة</t>
  </si>
  <si>
    <t>ستمائة وتسع عشرة واثنتان</t>
  </si>
  <si>
    <t>ستمائة وتسع عشرة وثلاث</t>
  </si>
  <si>
    <t>ستمائة وتسع عشرة وأربع</t>
  </si>
  <si>
    <t>ستمائة وتسع عشرة ونصف</t>
  </si>
  <si>
    <t>ستمائة وتسع عشرة وست</t>
  </si>
  <si>
    <t>ستمائة وتسع عشرة وسبع</t>
  </si>
  <si>
    <t>ستمائة وتسع عشرة وثمان</t>
  </si>
  <si>
    <t>ستمائة وتسع عشرة وتسع</t>
  </si>
  <si>
    <t>ستمائة وعشرون</t>
  </si>
  <si>
    <t>ستمائة وعشرون وواحدة</t>
  </si>
  <si>
    <t>ستمائة وعشرون واثنتان</t>
  </si>
  <si>
    <t>ستمائة وعشرون وثلاث</t>
  </si>
  <si>
    <t>ستمائة وعشرون وأربع</t>
  </si>
  <si>
    <t>ستمائة وعشرون ونصف</t>
  </si>
  <si>
    <t>ستمائة وعشرون وست</t>
  </si>
  <si>
    <t>ستمائة وعشرون وسبع</t>
  </si>
  <si>
    <t>ستمائة وعشرون وثمان</t>
  </si>
  <si>
    <t>ستمائة وعشرون وتسع</t>
  </si>
  <si>
    <t xml:space="preserve">ثلاثمائة وثلاث وتسعون </t>
  </si>
  <si>
    <t>ثلاثمائة وثلاث وتسعون وواحدة</t>
  </si>
  <si>
    <t>مائتان وأربع وتسعون وتسع</t>
  </si>
  <si>
    <t xml:space="preserve">مائتان وخمس وتسعون </t>
  </si>
  <si>
    <t>مائتان وخمس وتسعون وواحدة</t>
  </si>
  <si>
    <t>مائتان وخمس وتسعون واثنتان</t>
  </si>
  <si>
    <t>مائتان وخمس وتسعون وثلاث</t>
  </si>
  <si>
    <t>مائتان وخمس وتسعون وأربع</t>
  </si>
  <si>
    <t>مائتان وخمس وتسعون ونصف</t>
  </si>
  <si>
    <t>مائتان وخمس وتسعون وست</t>
  </si>
  <si>
    <t>مائتان وخمس وتسعون وسبع</t>
  </si>
  <si>
    <t>مائتان وخمس وتسعون وثمان</t>
  </si>
  <si>
    <t>مائتان وخمس وتسعون وتسع</t>
  </si>
  <si>
    <t xml:space="preserve">مائتان وست وتسعون </t>
  </si>
  <si>
    <t>مائتان وست وتسعون وواحدة</t>
  </si>
  <si>
    <t>مائتان وست وتسعون واثنتان</t>
  </si>
  <si>
    <t>مائتان وست وتسعون وثلاث</t>
  </si>
  <si>
    <t>مائتان وست وتسعون وأربع</t>
  </si>
  <si>
    <t>مائتان وست وتسعون ونصف</t>
  </si>
  <si>
    <t>مائتان وست وتسعون وست</t>
  </si>
  <si>
    <t>مائتان وست وتسعون وسبع</t>
  </si>
  <si>
    <t>مائتان وست وتسعون وثمان</t>
  </si>
  <si>
    <t>مائتان وست وتسعون وتسع</t>
  </si>
  <si>
    <t xml:space="preserve">مائتان وسبع وتسعون </t>
  </si>
  <si>
    <t>مائتان وسبع وتسعون وواحدة</t>
  </si>
  <si>
    <t xml:space="preserve">ثلاثمائة وست وتسعون </t>
  </si>
  <si>
    <t>ثلاثمائة وست وتسعون وواحدة</t>
  </si>
  <si>
    <t>ثلاثمائة وست وتسعون واثنتان</t>
  </si>
  <si>
    <t>ثلاثمائة وست وتسعون وثلاث</t>
  </si>
  <si>
    <t>ثلاثمائة وست وتسعون وأربع</t>
  </si>
  <si>
    <t>ثلاثمائة وست وتسعون ونصف</t>
  </si>
  <si>
    <t>ثلاثمائة وست وتسعون وست</t>
  </si>
  <si>
    <t>ثلاثمائة وست وتسعون وسبع</t>
  </si>
  <si>
    <t>ثلاثمائة وست وتسعون وثمان</t>
  </si>
  <si>
    <t>ثلاثمائة وست وتسعون وتسع</t>
  </si>
  <si>
    <t xml:space="preserve">ثلاثمائة وسبع وتسعون </t>
  </si>
  <si>
    <t>ثلاثمائة وسبع وتسعون وواحدة</t>
  </si>
  <si>
    <t>ثلاثمائة وسبع وتسعون واثنتان</t>
  </si>
  <si>
    <t>ثلاثمائة وسبع وتسعون وثلاث</t>
  </si>
  <si>
    <t>ثلاثمائة وسبع وتسعون وأربع</t>
  </si>
  <si>
    <t>ثلاثمائة وسبع وتسعون ونصف</t>
  </si>
  <si>
    <t>ثلاثمائة وسبع وتسعون وست</t>
  </si>
  <si>
    <t>ثلاثمائة وسبع وتسعون وسبع</t>
  </si>
  <si>
    <t xml:space="preserve">   المجموع الكلى</t>
  </si>
  <si>
    <t>السلوك</t>
  </si>
  <si>
    <t xml:space="preserve"> لمرض</t>
  </si>
  <si>
    <t xml:space="preserve"> أيام الغياب</t>
  </si>
  <si>
    <t xml:space="preserve">   معدل المجموع الكلى </t>
  </si>
  <si>
    <t>المواظبة</t>
  </si>
  <si>
    <t>من</t>
  </si>
  <si>
    <t xml:space="preserve">   الترتيب فى الصف</t>
  </si>
  <si>
    <t>النظافة</t>
  </si>
  <si>
    <t xml:space="preserve"> لآخــــــــر</t>
  </si>
  <si>
    <t>م</t>
  </si>
  <si>
    <t>هـ</t>
  </si>
  <si>
    <t>قرار النجاح</t>
  </si>
  <si>
    <t>منقول / غير منقول إلى الصف</t>
  </si>
  <si>
    <t>رقم دفتر القيد</t>
  </si>
  <si>
    <t xml:space="preserve">الاسم الكامل  </t>
  </si>
  <si>
    <t>درجة الامتحان</t>
  </si>
  <si>
    <t>:</t>
  </si>
  <si>
    <t>Tulis Nomor Urut yang akan dicetak</t>
  </si>
  <si>
    <t>TABEL NILAI</t>
  </si>
  <si>
    <t>TABEL ABSEN</t>
  </si>
  <si>
    <t>TABEL AFIK</t>
  </si>
  <si>
    <t>ANGKA</t>
  </si>
  <si>
    <t>KET</t>
  </si>
  <si>
    <t>SAKIT</t>
  </si>
  <si>
    <t>T.KET</t>
  </si>
  <si>
    <t>SULUK</t>
  </si>
  <si>
    <t>MUWAZHOBAH</t>
  </si>
  <si>
    <t>NAZHOFAH</t>
  </si>
  <si>
    <t>_</t>
  </si>
  <si>
    <t>أربعمائة وأربع وواحدة</t>
  </si>
  <si>
    <t>أربعمائة وأربع واثنتان</t>
  </si>
  <si>
    <t>أربعمائة وأربع وثلاث</t>
  </si>
  <si>
    <t>أربعمائة وأربع وأربع</t>
  </si>
  <si>
    <t>أربعمائة وأربع ونصف</t>
  </si>
  <si>
    <t>أربعمائة وأربع وست</t>
  </si>
  <si>
    <t>أربعمائة وأربع وسبع</t>
  </si>
  <si>
    <t>أربعمائة وأربع وثمان</t>
  </si>
  <si>
    <t>أربعمائة وأربع وتسع</t>
  </si>
  <si>
    <t>ستمائة وواحدة و ثلاثون وتسع</t>
  </si>
  <si>
    <t xml:space="preserve">ستمائة واثنتان و ثلاثون </t>
  </si>
  <si>
    <t>ستمائة واثنتان و ثلاثون  وواحدة</t>
  </si>
  <si>
    <t>ستمائة واثنتان و ثلاثون واثنتان</t>
  </si>
  <si>
    <t>ستمائة واثنتان و ثلاثون وثلاث</t>
  </si>
  <si>
    <t>ستمائة واثنتان و ثلاثون وأربع</t>
  </si>
  <si>
    <t>ثمــــــــــان مائة وأربع و أربعون  وتسع</t>
  </si>
  <si>
    <t>ثمــــــــــان مائة وأربع و أربعون   وواحدة</t>
  </si>
  <si>
    <t>ستمائة وخمس و ثلاثون وأربع</t>
  </si>
  <si>
    <t>ستمائة وخمس و ثلاثون ونصف</t>
  </si>
  <si>
    <t>ستمائة وخمس و ثلاثون وست</t>
  </si>
  <si>
    <t>ستمائة وخمس و ثلاثون وسبع</t>
  </si>
  <si>
    <t>ستمائة وخمس و ثلاثون وثمان</t>
  </si>
  <si>
    <t>ستمائة وخمس و ثلاثون وتسع</t>
  </si>
  <si>
    <t xml:space="preserve">ستمائة وست و ثلاثون </t>
  </si>
  <si>
    <t>ستمائة وست و ثلاثون  وواحدة</t>
  </si>
  <si>
    <t>ستمائة وست و ثلاثون واثنتان</t>
  </si>
  <si>
    <t>ستمائة وست و ثلاثون وثلاث</t>
  </si>
  <si>
    <t>ستمائة وست و ثلاثون وأربع</t>
  </si>
  <si>
    <t>ستمائة وست و ثلاثون ونصف</t>
  </si>
  <si>
    <t>ستمائة وست و ثلاثون وست</t>
  </si>
  <si>
    <t>ستمائة وست و ثلاثون وسبع</t>
  </si>
  <si>
    <t>ستمائة وست و ثلاثون وثمان</t>
  </si>
  <si>
    <t>ستمائة وست و ثلاثون وتسع</t>
  </si>
  <si>
    <t xml:space="preserve">ستمائة وسبع و ثلاثون </t>
  </si>
  <si>
    <t>ستمائة وسبع و ثلاثون  وواحدة</t>
  </si>
  <si>
    <t>ستمائة وسبع و ثلاثون واثنتان</t>
  </si>
  <si>
    <t>ستمائة وسبع و ثلاثون وثلاث</t>
  </si>
  <si>
    <t>ستمائة وسبع و ثلاثون وأربع</t>
  </si>
  <si>
    <t>ستمائة وسبع و ثلاثون ونصف</t>
  </si>
  <si>
    <t>واحد وعشرون يوما</t>
  </si>
  <si>
    <t>مائتان واثنتان وواحدة</t>
  </si>
  <si>
    <t>إثنان وعشرون يوما</t>
  </si>
  <si>
    <t>ثلاثمائة واثنتا عشرة وست</t>
  </si>
  <si>
    <t>ثلاثمائة واثنتا عشرة وسبع</t>
  </si>
  <si>
    <t>ثلاثمائة واثنتا عشرة وثمان</t>
  </si>
  <si>
    <t>ثلاثمائة واثنتا عشرة وتسع</t>
  </si>
  <si>
    <t>ثلاثمائة وثلاث عشرة</t>
  </si>
  <si>
    <t>ثلاثمائة وثلاث عشرة وواحدة</t>
  </si>
  <si>
    <t>ثلاثمائة وثلاث عشرة واثنتان</t>
  </si>
  <si>
    <t>ثلاثمائة وثلاث عشرة وثلاث</t>
  </si>
  <si>
    <t>مائتان وأربع وثمان</t>
  </si>
  <si>
    <t>ســـــــــت وسبع</t>
  </si>
  <si>
    <t>مائتان وأربع وتسع</t>
  </si>
  <si>
    <t>مائتان وخمس</t>
  </si>
  <si>
    <t>ســـــــــت وتسع</t>
  </si>
  <si>
    <t>مائتان وخمس وواحدة</t>
  </si>
  <si>
    <t>مائتان وخمس واثنتان</t>
  </si>
  <si>
    <t>مائتان وخمس وثلاث</t>
  </si>
  <si>
    <t>مائتان وخمس وأربع</t>
  </si>
  <si>
    <t>مائتان وخمس ونصف</t>
  </si>
  <si>
    <t>مائتان وخمس وست</t>
  </si>
  <si>
    <t>مائتان وخمس وسبع</t>
  </si>
  <si>
    <t>مائتان وخمس وثمان</t>
  </si>
  <si>
    <t>مائتان وخمس وتسع</t>
  </si>
  <si>
    <t>مائتان وست وواحدة</t>
  </si>
  <si>
    <t>مائتان وست واثنتان</t>
  </si>
  <si>
    <t xml:space="preserve">مائتان وست وثلاث </t>
  </si>
  <si>
    <t>مائتان وست وأربع</t>
  </si>
  <si>
    <t>مائتان وست ونصف</t>
  </si>
  <si>
    <t>مائتان وست وست</t>
  </si>
  <si>
    <t>مائتان وست وسبع</t>
  </si>
  <si>
    <t>مائتان وست وثمان</t>
  </si>
  <si>
    <t>مائتان وست وتسع</t>
  </si>
  <si>
    <t>مائتان وسبع وواحدة</t>
  </si>
  <si>
    <t>مائتان وسبع واثنتان</t>
  </si>
  <si>
    <t>مائتان وسبع وثلاث</t>
  </si>
  <si>
    <t>مائتان وسبع وأربع</t>
  </si>
  <si>
    <t>مائتان وسبع ونصف</t>
  </si>
  <si>
    <t>مائتان وسبع وست</t>
  </si>
  <si>
    <t>مائتان وسبع وسبع</t>
  </si>
  <si>
    <t>مائتان وسبع وثمان</t>
  </si>
  <si>
    <t>مائتان وأربع وأربع</t>
  </si>
  <si>
    <t>ســـــــــت وثالث</t>
  </si>
  <si>
    <t>مائتان وأربع ونصف</t>
  </si>
  <si>
    <t>ســـــــــت وأربع</t>
  </si>
  <si>
    <t>مائتان وأربع وست</t>
  </si>
  <si>
    <t>مائتان وأربع وسبع</t>
  </si>
  <si>
    <t>ســـــــــت وستت</t>
  </si>
  <si>
    <t>ستمائة وثمان و ثلاثون ونصف</t>
  </si>
  <si>
    <t>ستمائة وثمان و ثلاثون وست</t>
  </si>
  <si>
    <t>ستمائة وثمان و ثلاثون وسبع</t>
  </si>
  <si>
    <t>ستمائة وثمان و ثلاثون وثمان</t>
  </si>
  <si>
    <t>ستمائة وثمان و ثلاثون وتسع</t>
  </si>
  <si>
    <t xml:space="preserve">ستمائة وتسع و ثلاثون </t>
  </si>
  <si>
    <t>ستمائة وتسع و ثلاثون  وواحدة</t>
  </si>
  <si>
    <t>ستمائة وتسع و ثلاثون واثنتان</t>
  </si>
  <si>
    <t>ستمائة وتسع و ثلاثون وثلاث</t>
  </si>
  <si>
    <t>ستمائة وتسع و ثلاثون وأربع</t>
  </si>
  <si>
    <t>ستمائة وتسع و ثلاثون ونصف</t>
  </si>
  <si>
    <t>ستمائة وتسع و ثلاثون وست</t>
  </si>
  <si>
    <t>ستمائة وتسع و ثلاثون وسبع</t>
  </si>
  <si>
    <t>ستمائة وتسع و ثلاثون وثمان</t>
  </si>
  <si>
    <t>ستمائة وتسع و ثلاثون وتسع</t>
  </si>
  <si>
    <t xml:space="preserve">ستمائة وأربعون </t>
  </si>
  <si>
    <t>ستمائة وأربعون   وواحدة</t>
  </si>
  <si>
    <t>ستمائة وأربعون  واثنتان</t>
  </si>
  <si>
    <t>ستمائة وأربعون  وثلاث</t>
  </si>
  <si>
    <t>ستمائة وأربعون  وأربع</t>
  </si>
  <si>
    <t>ستمائة وأربعون  ونصف</t>
  </si>
  <si>
    <t>ستمائة وأربعون  وست</t>
  </si>
  <si>
    <t>ستمائة وأربعون  وسبع</t>
  </si>
  <si>
    <t>ستمائة وأربعون  وثمان</t>
  </si>
  <si>
    <t>ستمائة وأربعون  وتسع</t>
  </si>
  <si>
    <t xml:space="preserve">ستمائة وواحدة وأربعون  </t>
  </si>
  <si>
    <t>ستمائة وواحدة و أربعون   وواحدة</t>
  </si>
  <si>
    <t>ستمائة وواحدة و أربعون  واثنتان</t>
  </si>
  <si>
    <t>ستمائة وواحدة و أربعون  وثلاث</t>
  </si>
  <si>
    <t>ستمائة وواحدة و أربعون  وأربع</t>
  </si>
  <si>
    <t>ستمائة وواحدة و أربعون  ونصف</t>
  </si>
  <si>
    <t>ستمائة وواحدة و أربعون  وست</t>
  </si>
  <si>
    <t>ستمائة وواحدة و أربعون  وسبع</t>
  </si>
  <si>
    <t>ستمائة وواحدة و أربعون  وثمان</t>
  </si>
  <si>
    <t>ستمائة وواحدة و أربعون  وتسع</t>
  </si>
  <si>
    <t xml:space="preserve">ستمائة واثنتان و أربعون  </t>
  </si>
  <si>
    <t>ستمائة واثنتان و أربعون   وواحدة</t>
  </si>
  <si>
    <t>مائتان واثنتا عشرة وست</t>
  </si>
  <si>
    <t>مائتان واثنتا عشرة وسبع</t>
  </si>
  <si>
    <t>مائتان واثنتا عشرة وثمان</t>
  </si>
  <si>
    <t>مائتان واثنتا عشرة وتسع</t>
  </si>
  <si>
    <t>مائتان وثلاث عشرة</t>
  </si>
  <si>
    <t>مائتان وثلاث عشرة وواحدة</t>
  </si>
  <si>
    <t>ثلاثمائة وتسع عشرة وتسع</t>
  </si>
  <si>
    <t>ثلاثمائة وعشرون</t>
  </si>
  <si>
    <t>ثلاثمائة وعشرون وواحدة</t>
  </si>
  <si>
    <t>ثلاثمائة وعشرون واثنتان</t>
  </si>
  <si>
    <t>ثلاثمائة وعشرون وثلاث</t>
  </si>
  <si>
    <t>ثلاثمائة وعشرون وأربع</t>
  </si>
  <si>
    <t>ثلاثمائة وعشرون ونصف</t>
  </si>
  <si>
    <t>ثلاثمائة وعشرون وست</t>
  </si>
  <si>
    <t>ثلاثمائة وعشرون وسبع</t>
  </si>
  <si>
    <t>ثلاثمائة وعشرون وثمان</t>
  </si>
  <si>
    <t>ثلاثمائة وعشرون وتسع</t>
  </si>
  <si>
    <t>ثلاثمائة وواحدة وعشرون  وواحدة</t>
  </si>
  <si>
    <t>ثلاثمائة وواحدة و عشرون واثنتان</t>
  </si>
  <si>
    <t>ثلاثمائة وواحدة وعشرون وثلاث</t>
  </si>
  <si>
    <t>ثلاثمائة وواحدة وعشرون وأربع</t>
  </si>
  <si>
    <t>ستمائة وثلاث و أربعون   وواحدة</t>
  </si>
  <si>
    <t>ستمائة وثلاث و أربعون  واثنتان</t>
  </si>
  <si>
    <t>ستمائة وثلاث و أربعون  وثلاث</t>
  </si>
  <si>
    <t>ستمائة وثلاث و أربعون  وأربع</t>
  </si>
  <si>
    <t>ستمائة وثلاث و أربعون  ونصف</t>
  </si>
  <si>
    <t>ستمائة وثلاث و أربعون  وست</t>
  </si>
  <si>
    <t>ستمائة وثلاث و أربعون  وسبع</t>
  </si>
  <si>
    <t>أربعمائة وثمان عشرة وثلاث</t>
  </si>
  <si>
    <t>أربعمائة وثمان عشرة وواحدة</t>
  </si>
  <si>
    <t>أربعمائة وثمان عشرة  واثنتان</t>
  </si>
  <si>
    <t>Hadits</t>
  </si>
  <si>
    <t>Fiqh</t>
  </si>
  <si>
    <t>أربعمائة واثنتان وعشرون وست</t>
  </si>
  <si>
    <t>أربعمائة واثنتان وعشرون وسبع</t>
  </si>
  <si>
    <t>أربعمائة واثنتان وعشرون وثمان</t>
  </si>
  <si>
    <t>IZIN</t>
  </si>
  <si>
    <t>Tingkah Laku</t>
  </si>
  <si>
    <t>أربعمائة وثلاث و عشرون واثنتان</t>
  </si>
  <si>
    <t>أربعمائة وثلاث وعشرون وثلاث</t>
  </si>
  <si>
    <t>أربعمائة وثلاث وعشرون وأربع</t>
  </si>
  <si>
    <t>أربعمائة وثلاث وعشرون ونصف</t>
  </si>
  <si>
    <t>أربعمائة وثلاث وعشرون وست</t>
  </si>
  <si>
    <t>أربعمائة وثلاث وعشرون وسبع</t>
  </si>
  <si>
    <t>أربعمائة وثلاث وعشرون وثمان</t>
  </si>
  <si>
    <t>أربعمائة وثلاث وعشرون وتسع</t>
  </si>
  <si>
    <t xml:space="preserve">أربعمائة وأربع وعشرون </t>
  </si>
  <si>
    <t>أربعمائة وأربع وعشرون  وواحدة</t>
  </si>
  <si>
    <t>أربعمائة وأربع و عشرون واثنتان</t>
  </si>
  <si>
    <t>أربعمائة وأربع وعشرون وثلاث</t>
  </si>
  <si>
    <t>أربعمائة وأربع وعشرون وأربع</t>
  </si>
  <si>
    <t>أربعمائة وأربع وعشرون ونصف</t>
  </si>
  <si>
    <t>أربعمائة وأربع وعشرون وست</t>
  </si>
  <si>
    <t>أربعمائة وأربع وعشرون وسبع</t>
  </si>
  <si>
    <t>أربعمائة وأربع وعشرون وثمان</t>
  </si>
  <si>
    <t>أربعمائة وأربع وعشرون وتسع</t>
  </si>
  <si>
    <t xml:space="preserve">أربعمائة وخمس وعشرون </t>
  </si>
  <si>
    <t>أربعمائة وخمس وعشرون  وواحدة</t>
  </si>
  <si>
    <t>أربعمائة وخمس و عشرون واثنتان</t>
  </si>
  <si>
    <t>أربعمائة وخمس وعشرون وثلاث</t>
  </si>
  <si>
    <t>أربعمائة وخمس وعشرون وأربع</t>
  </si>
  <si>
    <t>أربعمائة وخمس وعشرون ونصف</t>
  </si>
  <si>
    <t>مائتان وعشرون وسبع</t>
  </si>
  <si>
    <t>مائتان وعشرون وثمان</t>
  </si>
  <si>
    <t>مائتان وعشرون وتسع</t>
  </si>
  <si>
    <t>مائتان وواحدة وعشرون  وواحدة</t>
  </si>
  <si>
    <t>مائتان وواحدة و عشرون واثنتان</t>
  </si>
  <si>
    <t>مائتان وواحدة وعشرون وثلاث</t>
  </si>
  <si>
    <t>مائتان وواحدة  وعشرون وأربع</t>
  </si>
  <si>
    <t>مائتان وواحدة  وعشرون ونصف</t>
  </si>
  <si>
    <t>مائتان وواحدة  وعشرون وست</t>
  </si>
  <si>
    <t>مائتان وواحدة  وعشرون وسبع</t>
  </si>
  <si>
    <t>مائتان وواحدة  وعشرون وثمان</t>
  </si>
  <si>
    <t>مائتان وواحدة  وعشرون وتسع</t>
  </si>
  <si>
    <t>مائتان واثنتان وعشرون واثنتان</t>
  </si>
  <si>
    <t>مائتان واثنتان وعشرون  وواحدة</t>
  </si>
  <si>
    <t>مائتان واثنتان و عشرون واثنتان</t>
  </si>
  <si>
    <t>مائتان واثنتان وعشرون وثلاث</t>
  </si>
  <si>
    <t>مائتان واثنتان وعشرون وأربع</t>
  </si>
  <si>
    <t>مائتان واثنتان وعشرون ونصف</t>
  </si>
  <si>
    <t>مائتان واثنتان وعشرون وست</t>
  </si>
  <si>
    <t>مائتان واثنتان وعشرون وسبع</t>
  </si>
  <si>
    <t>مائتان واثنتان وعشرون وثمان</t>
  </si>
  <si>
    <t>مائتان واثنتان وعشرون وتسع</t>
  </si>
  <si>
    <t xml:space="preserve">مائتان وثلاث وعشرون </t>
  </si>
  <si>
    <t>مائتان وثلاث وعشرون  وواحدة</t>
  </si>
  <si>
    <t>مائتان وثلاث و عشرون واثنتان</t>
  </si>
  <si>
    <t>مائتان وثلاث وعشرون وثلاث</t>
  </si>
  <si>
    <t>مائتان وثلاث وعشرون وأربع</t>
  </si>
  <si>
    <t>مائتان وثلاث وعشرون ونصف</t>
  </si>
  <si>
    <t>مائتان وثلاث وعشرون وست</t>
  </si>
  <si>
    <t>مائتان وثلاث وعشرون وسبع</t>
  </si>
  <si>
    <t>مائتان وثلاث وعشرون وثمان</t>
  </si>
  <si>
    <t>مائتان وثلاث وعشرون وتسع</t>
  </si>
  <si>
    <t xml:space="preserve">مائتان وأربع وعشرون </t>
  </si>
  <si>
    <t>مائتان وأربع وعشرون  وواحدة</t>
  </si>
  <si>
    <t>مائتان وأربع و عشرون واثنتان</t>
  </si>
  <si>
    <t>مائتان وأربع وعشرون وثلاث</t>
  </si>
  <si>
    <t>ستمائة وأربع وخمسون وسبع</t>
  </si>
  <si>
    <t>ستمائة وأربع وخمسون وثمان</t>
  </si>
  <si>
    <t>ستمائة وأربع وخمسون وتسع</t>
  </si>
  <si>
    <t xml:space="preserve">ستمائة وخمس وخمسون </t>
  </si>
  <si>
    <t>ستمائة وخمس وخمسون وواحدة</t>
  </si>
  <si>
    <t>ستمائة وخمس وخمسون واثنتان</t>
  </si>
  <si>
    <t>ستمائة وخمس وخمسون وثلاث</t>
  </si>
  <si>
    <t>ستمائة وخمس وخمسون وأربع</t>
  </si>
  <si>
    <t>ستمائة وخمس وخمسون ونصف</t>
  </si>
  <si>
    <t>ستمائة وخمس وخمسون وست</t>
  </si>
  <si>
    <t xml:space="preserve">أربعمائة واثنتان و ثلاثون </t>
  </si>
  <si>
    <t>ستمائة وسبع وخمسون وأربع</t>
  </si>
  <si>
    <t>ستمائة وسبع وخمسون ونصف</t>
  </si>
  <si>
    <t>ستمائة وسبع وخمسون وست</t>
  </si>
  <si>
    <t>ستمائة وسبع وخمسون وسبع</t>
  </si>
  <si>
    <t>ستمائة وسبع وخمسون وثمان</t>
  </si>
  <si>
    <t>ستمائة وسبع وخمسون وتسع</t>
  </si>
  <si>
    <t xml:space="preserve">ستمائة وثمان وخمسون </t>
  </si>
  <si>
    <t>ستمائة وثمان وخمسون وواحدة</t>
  </si>
  <si>
    <t>مائتان وست وعشرون وسبع</t>
  </si>
  <si>
    <t>مائتان وست وعشرون وثمان</t>
  </si>
  <si>
    <t>مائتان وست وعشرون وتسع</t>
  </si>
  <si>
    <t xml:space="preserve">مائتان وسبع وعشرون </t>
  </si>
  <si>
    <t>مائتان وسبع وعشرون  وواحدة</t>
  </si>
  <si>
    <t>مائتان وسبع و عشرون واثنتان</t>
  </si>
  <si>
    <t>مائتان وسبع وعشرون وثلاث</t>
  </si>
  <si>
    <t>مائتان وسبع وعشرون وأربع</t>
  </si>
  <si>
    <t>أربعمائة واثنتان و ثلاثون  وواحدة</t>
  </si>
  <si>
    <t>أربعمائة واثنتان و ثلاثون واثنتان</t>
  </si>
  <si>
    <t>مائتان وثمان وعشرون ونصف</t>
  </si>
  <si>
    <t>مائتان وثمان وعشرون وست</t>
  </si>
  <si>
    <t>مائتان وثمان وعشرون وسبع</t>
  </si>
  <si>
    <t>مائتان وثمان وعشرون وثمان</t>
  </si>
  <si>
    <t>مائتان وثمان وعشرون وتسع</t>
  </si>
  <si>
    <t xml:space="preserve">مائتان وتسع وعشرون </t>
  </si>
  <si>
    <t>مائتان وتسع وعشرون  وواحدة</t>
  </si>
  <si>
    <t>مائتان وتسع و عشرون واثنتان</t>
  </si>
  <si>
    <t>مائتان وتسع وعشرون وثلاث</t>
  </si>
  <si>
    <t>مائتان وتسع وعشرون وأربع</t>
  </si>
  <si>
    <t>مائتان وتسع وعشرون ونصف</t>
  </si>
  <si>
    <t>مائتان وتسع وعشرون وست</t>
  </si>
  <si>
    <t>مائتان وتسع وعشرون وسبع</t>
  </si>
  <si>
    <t>مائتان وتسع وعشرون وثمان</t>
  </si>
  <si>
    <t>مائتان وتسع وعشرون وتسع</t>
  </si>
  <si>
    <t>مائتان وثلاثون</t>
  </si>
  <si>
    <t>مائتان وثلاثون  وواحدة</t>
  </si>
  <si>
    <t>مائتان وثلاثون واثنتان</t>
  </si>
  <si>
    <t>مائتان وثلاثون وثلاث</t>
  </si>
  <si>
    <t>مائتان وثلاثون وأربع</t>
  </si>
  <si>
    <t>مائتان وثلاثون ونصف</t>
  </si>
  <si>
    <t>مائتان وثلاثون وست</t>
  </si>
  <si>
    <t>مائتان وثلاثون وسبع</t>
  </si>
  <si>
    <t>مائتان وثلاثون وثمان</t>
  </si>
  <si>
    <t>مائتان وثلاثون وتسع</t>
  </si>
  <si>
    <t xml:space="preserve">مائتان وواحدة وثلاثون </t>
  </si>
  <si>
    <t>مائتان وواحدة و ثلاثون  وواحدة</t>
  </si>
  <si>
    <t>مائتان وواحدة و ثلاثون واثنتان</t>
  </si>
  <si>
    <t>مائتان وواحدة و ثلاثون وثلاث</t>
  </si>
  <si>
    <t>مائتان وواحدة و ثلاثون وأربع</t>
  </si>
  <si>
    <t>مائتان وواحدة و ثلاثون ونصف</t>
  </si>
  <si>
    <t>مائتان وواحدة و ثلاثون وست</t>
  </si>
  <si>
    <t>مائتان وواحدة و ثلاثون وسبع</t>
  </si>
  <si>
    <t>مائتان وواحدة و ثلاثون وثمان</t>
  </si>
  <si>
    <t>مائتان وواحدة و ثلاثون وتسع</t>
  </si>
  <si>
    <t xml:space="preserve">مائتان واثنتان و ثلاثون </t>
  </si>
  <si>
    <t>مائتان واثنتان و ثلاثون  وواحدة</t>
  </si>
  <si>
    <t>مائتان واثنتان و ثلاثون واثنتان</t>
  </si>
  <si>
    <t>مائتان واثنتان و ثلاثون وثلاث</t>
  </si>
  <si>
    <t>مائتان واثنتان و ثلاثون وأربع</t>
  </si>
  <si>
    <t>مائتان واثنتان و ثلاثون ونصف</t>
  </si>
  <si>
    <t>مائتان واثنتان و ثلاثون وست</t>
  </si>
  <si>
    <t>مائتان واثنتان و ثلاثون وسبع</t>
  </si>
  <si>
    <t>مائتان واثنتان و ثلاثون وثمان</t>
  </si>
  <si>
    <t>مائتان واثنتان و ثلاثون وتسع</t>
  </si>
  <si>
    <t xml:space="preserve">مائتان وثلاث و ثلاثون </t>
  </si>
  <si>
    <t xml:space="preserve">مائتان وأربع و ثلاثون </t>
  </si>
  <si>
    <t>مائتان وأربع و ثلاثون  وواحدة</t>
  </si>
  <si>
    <t>أربعمائة وست و ثلاثون ونصف</t>
  </si>
  <si>
    <t>أربعمائة وست و ثلاثون وست</t>
  </si>
  <si>
    <t>أربعمائة وست و ثلاثون وسبع</t>
  </si>
  <si>
    <t>أربعمائة وست و ثلاثون وثمان</t>
  </si>
  <si>
    <t>أربعمائة وست و ثلاثون وتسع</t>
  </si>
  <si>
    <t xml:space="preserve">أربعمائة وسبع و ثلاثون </t>
  </si>
  <si>
    <t>أربعمائة وسبع و ثلاثون  وواحدة</t>
  </si>
  <si>
    <t>أربعمائة وسبع و ثلاثون واثنتان</t>
  </si>
  <si>
    <t>أربعمائة وسبع و ثلاثون وثلاث</t>
  </si>
  <si>
    <t>أربعمائة وسبع و ثلاثون وأربع</t>
  </si>
  <si>
    <t>أربعمائة وسبع و ثلاثون ونصف</t>
  </si>
  <si>
    <t>أربعمائة وسبع و ثلاثون وست</t>
  </si>
  <si>
    <t>أربعمائة وسبع و ثلاثون وسبع</t>
  </si>
  <si>
    <t>أربعمائة وسبع و ثلاثون وثمان</t>
  </si>
  <si>
    <t>أربعمائة وسبع و ثلاثون وتسع</t>
  </si>
  <si>
    <t>أربعمائة وثمان و ثلاثون</t>
  </si>
  <si>
    <t>أربعمائة وثمان و ثلاثون  وواحدة</t>
  </si>
  <si>
    <t>أربعمائة وثمان و ثلاثون واثنتان</t>
  </si>
  <si>
    <t>أربعمائة وثمان و ثلاثون وثلاث</t>
  </si>
  <si>
    <t>أربعمائة وثمان و ثلاثون وأربع</t>
  </si>
  <si>
    <t>أربعمائة وثمان و ثلاثون ونصف</t>
  </si>
  <si>
    <t>أربعمائة وثمان و ثلاثون وست</t>
  </si>
  <si>
    <t>أربعمائة وثمان و ثلاثون وسبع</t>
  </si>
  <si>
    <t>مائتان وثلاث عشرة واثنتان</t>
  </si>
  <si>
    <t>مائتان وثلاث عشرة وثلاث</t>
  </si>
  <si>
    <t>مائتان وثلاث عشرة وأربع</t>
  </si>
  <si>
    <t>مائتان وثلاث عشرة ونصف</t>
  </si>
  <si>
    <t>مائتان وثلاث عشرة وست</t>
  </si>
  <si>
    <t>مائتان وثلاث عشرة وسبع</t>
  </si>
  <si>
    <t>أربعمائة وتسع و ثلاثون وسبع</t>
  </si>
  <si>
    <t>أربعمائة وتسع و ثلاثون وثمان</t>
  </si>
  <si>
    <t>أربعمائة وتسع و ثلاثون وتسع</t>
  </si>
  <si>
    <t xml:space="preserve">أربعمائة وأربعون </t>
  </si>
  <si>
    <t>أربعمائة وأربعون   وواحدة</t>
  </si>
  <si>
    <t>أربعمائة وأربعون  واثنتان</t>
  </si>
  <si>
    <t>أربعمائة وأربعون  وثلاث</t>
  </si>
  <si>
    <t>أربعمائة وأربعون  وأربع</t>
  </si>
  <si>
    <t>مائتان وسبع و ثلاثون وسبع</t>
  </si>
  <si>
    <t>ثلاثمائة وأربعون  وست</t>
  </si>
  <si>
    <t>ثلاثمائة وأربعون  وسبع</t>
  </si>
  <si>
    <t>ثلاثمائة وأربعون  وثمان</t>
  </si>
  <si>
    <t>ثلاثمائة وأربعون  وتسع</t>
  </si>
  <si>
    <t xml:space="preserve">ثلاثمائة وواحدة وأربعون  </t>
  </si>
  <si>
    <t>ثلاثمائة وواحدة و أربعون وواحدة</t>
  </si>
  <si>
    <t>ثلاثمائة وواحدة و أربعون  واثنتان</t>
  </si>
  <si>
    <t>ثلاثمائة وواحدة و أربعون  وثلاث</t>
  </si>
  <si>
    <t>مائتان وثلاث عشرة وثمان</t>
  </si>
  <si>
    <t>مائتان وثلاث عشرة وتسع</t>
  </si>
  <si>
    <t>مائتان وأربع عشرة</t>
  </si>
  <si>
    <t>مائتان وأربع عشرة وواحدة</t>
  </si>
  <si>
    <t>مائتان وأربع عشرة واثنتان</t>
  </si>
  <si>
    <t>مائتان وأربع عشرة وثلاث</t>
  </si>
  <si>
    <t>مائتان وأربع عشرة وأربع</t>
  </si>
  <si>
    <t>مائتان وأربع عشرة ونصف</t>
  </si>
  <si>
    <t>مائتان وأربع عشرة وست</t>
  </si>
  <si>
    <t>مائتان وأربع عشرة وسبع</t>
  </si>
  <si>
    <t>مائتان وأربع عشرة وثمان</t>
  </si>
  <si>
    <t>مائتان وأربع عشرة وتسع</t>
  </si>
  <si>
    <t>مائتان وخمس عشرة</t>
  </si>
  <si>
    <t>مائتان وخمس عشرة وواحدة</t>
  </si>
  <si>
    <t>مائتان وخمس عشرة واثنتان</t>
  </si>
  <si>
    <t>مائتان وخمس عشرة وثلاث</t>
  </si>
  <si>
    <t>ثلاثمائة وواحدة و أربعون  وثمان</t>
  </si>
  <si>
    <t>ثلاثمائة وواحدة و أربعون  وتسع</t>
  </si>
  <si>
    <t xml:space="preserve">ثلاثمائة واثنتان و أربعون  </t>
  </si>
  <si>
    <t>ثلاثمائة واثنتان و أربعون وواحدة</t>
  </si>
  <si>
    <t>مائتان وست عشرة وسبع</t>
  </si>
  <si>
    <t>مائتان وست عشرة وثمان</t>
  </si>
  <si>
    <t>مائتان وست عشرة وتسع</t>
  </si>
  <si>
    <t>مائتان وسبع عشرة</t>
  </si>
  <si>
    <t>مائتان وسبع عشرة وواحدة</t>
  </si>
  <si>
    <t>مائتان وسبع عشرة واثنتان</t>
  </si>
  <si>
    <t>مائتان وسبع عشرة وثلاث</t>
  </si>
  <si>
    <t>مائتان وسبع عشرة وأربع</t>
  </si>
  <si>
    <t>مائتان وسبع عشرة ونصف</t>
  </si>
  <si>
    <t>مائتان وسبع عشرة وست</t>
  </si>
  <si>
    <t>مائتان وسبع عشرة وسبع</t>
  </si>
  <si>
    <t>أربعمائة وثلاث و أربعون  وأربع</t>
  </si>
  <si>
    <t>أربعمائة وثلاث و أربعون  ونصف</t>
  </si>
  <si>
    <t>أربعمائة وثلاث و أربعون  وست</t>
  </si>
  <si>
    <t>أربعمائة وثلاث و أربعون  وسبع</t>
  </si>
  <si>
    <t>أربعمائة وثلاث و أربعون  وثمان</t>
  </si>
  <si>
    <t>أربعمائة وثلاث و أربعون  وتسع</t>
  </si>
  <si>
    <t>أربعمائة وأربع و أربعون  وتسع</t>
  </si>
  <si>
    <t>أربعمائة وأربع و أربعون   وواحدة</t>
  </si>
  <si>
    <t>أربعمائة وأربع و أربعون  واثنتان</t>
  </si>
  <si>
    <t>أربعمائة وأربع و أربعون  وثلاث</t>
  </si>
  <si>
    <t>أربعمائة وأربع و أربعون  وأربع</t>
  </si>
  <si>
    <t>أربعمائة وأربع و أربعون  ونصف</t>
  </si>
  <si>
    <t>أربعمائة وأربع و أربعون  وست</t>
  </si>
  <si>
    <t>أربعمائة وأربع و أربعون  وسبع</t>
  </si>
  <si>
    <t>أربعمائة وأربع و أربعون  وثمان</t>
  </si>
  <si>
    <t xml:space="preserve">أربعمائة وخمس و أربعون  </t>
  </si>
  <si>
    <t>أربعمائة وخمس و أربعون   وواحدة</t>
  </si>
  <si>
    <t>أربعمائة وخمس و أربعون  واثنتان</t>
  </si>
  <si>
    <t>أربعمائة وأخمس و أربعون  وثلاث</t>
  </si>
  <si>
    <t>أربعمائة وخمس و أربعون  وأربع</t>
  </si>
  <si>
    <t>أربعمائة وخمس و أربعون  ونصف</t>
  </si>
  <si>
    <t>أربعمائة وخمس و أربعون  وست</t>
  </si>
  <si>
    <t>أربعمائة وخمس و أربعون  وسبع</t>
  </si>
  <si>
    <t>أربعمائة وخمس و أربعون  وثمان</t>
  </si>
  <si>
    <t>أربعمائة وخمس و أربعون  وتسع</t>
  </si>
  <si>
    <t xml:space="preserve">أربعمائة وست و أربعون  </t>
  </si>
  <si>
    <t>أربعمائة وست و أربعون   وواحدة</t>
  </si>
  <si>
    <t>أربعمائة وست و أربعون  واثنتان</t>
  </si>
  <si>
    <t>أربعمائة وست و أربعون  وثلاث</t>
  </si>
  <si>
    <t>أربعمائة وست و أربعون  وأربع</t>
  </si>
  <si>
    <t>أربعمائة وست و أربعون  ونصف</t>
  </si>
  <si>
    <t>أربعمائة وست و أربعون  وست</t>
  </si>
  <si>
    <t>أربعمائة وست و أربعون  وسبع</t>
  </si>
  <si>
    <t>أربعمائة وست و أربعون  وثمان</t>
  </si>
  <si>
    <t>أربعمائة وست و أربعون  وتسع</t>
  </si>
  <si>
    <t xml:space="preserve">أربعمائة وسبع و أربعون  </t>
  </si>
  <si>
    <t>أربعمائة وسبع و أربعون   وواحدة</t>
  </si>
  <si>
    <t>أربعمائة وسبع و أربعون  واثنتان</t>
  </si>
  <si>
    <t>أربعمائة وسبعون وتسع</t>
  </si>
  <si>
    <t xml:space="preserve">مائتان وواحدة وسبعون </t>
  </si>
  <si>
    <t>مائتان وواحدة سبعون وواحدة</t>
  </si>
  <si>
    <t>مائتان وواحدة سبعون واثنتان</t>
  </si>
  <si>
    <t>مائتان وواحدة سبعون وثلاث</t>
  </si>
  <si>
    <t>مائتان وواحدة سبعون وأربع</t>
  </si>
  <si>
    <t>مائتان وواحدة سبعون ونصف</t>
  </si>
  <si>
    <t>مائتان وواحدة سبعون وست</t>
  </si>
  <si>
    <t>مائتان وواحدة سبعون وسبع</t>
  </si>
  <si>
    <t>مائتان وواحدة سبعون وثمان</t>
  </si>
  <si>
    <t>أربعمائة وواحدة سبعون ونصف</t>
  </si>
  <si>
    <t>أربعمائة وواحدة سبعون وست</t>
  </si>
  <si>
    <t>أربعمائة وواحدة سبعون وسبع</t>
  </si>
  <si>
    <t>أربعمائة وواحدة سبعون وثمان</t>
  </si>
  <si>
    <t>أربعمائة وواحدة سبعون وتسع</t>
  </si>
  <si>
    <t xml:space="preserve">أربعمائة واثنتان وسبعون </t>
  </si>
  <si>
    <t>أربعمائة واثنتان وسبعون وواحدة</t>
  </si>
  <si>
    <t>أربعمائة واثنتان وسبعون واثنتان</t>
  </si>
  <si>
    <t>أربعمائة واثنتان وسبعون وثلاث</t>
  </si>
  <si>
    <t>أربعمائة واثنتان وسبعون وأربع</t>
  </si>
  <si>
    <t>ستمائة وثلاث وسبعون وأربع</t>
  </si>
  <si>
    <t>ستمائة وثلاث وسبعون ونصف</t>
  </si>
  <si>
    <t>ستمائة وثلاث وسبعون وست</t>
  </si>
  <si>
    <t>ستمائة وثلاث وسبعون وسبع</t>
  </si>
  <si>
    <t>ستمائة وثلاث وسبعون وثمان</t>
  </si>
  <si>
    <t>ستمائة وثلاث وسبعون وتسع</t>
  </si>
  <si>
    <t xml:space="preserve">ستمائة وأربع وسبعون </t>
  </si>
  <si>
    <t>ستمائة وأربع وسبعون وواحدة</t>
  </si>
  <si>
    <t>ستمائة وأربع وسبعون واثنتان</t>
  </si>
  <si>
    <t>أربعمائة وسبع و أربعون  وثلاث</t>
  </si>
  <si>
    <t>أربعمائة وسبع و أربعون  وأربع</t>
  </si>
  <si>
    <t>أربعمائة وسبع و أربعون  ونصف</t>
  </si>
  <si>
    <t>أربعمائة وسبع و أربعون  وست</t>
  </si>
  <si>
    <t>أربعمائة وسبع و أربعون  وسبع</t>
  </si>
  <si>
    <t>أربعمائة وسبع و أربعون  وثمان</t>
  </si>
  <si>
    <t>أربعمائة وسبع و أربعون  وتسع</t>
  </si>
  <si>
    <t xml:space="preserve">أربعمائة وثمان و أربعون  </t>
  </si>
  <si>
    <t>أربعمائة وثمان و أربعون   وواحدة</t>
  </si>
  <si>
    <t>أربعمائة وثمان و أربعون  واثنتان</t>
  </si>
  <si>
    <t>أربعمائة وثمان و أربعون  وثلاث</t>
  </si>
  <si>
    <t>أربعمائة وثمان و أربعون  وأربع</t>
  </si>
  <si>
    <t>أربعمائة وثمان و أربعون  ونصف</t>
  </si>
  <si>
    <t>أربعمائة وثمان و أربعون  وست</t>
  </si>
  <si>
    <t>أربعمائة وثمان و أربعون  وسبع</t>
  </si>
  <si>
    <t>أربعمائة وثمان و أربعون  وثمان</t>
  </si>
  <si>
    <t>أربعمائة وثمان و أربعون  وتسع</t>
  </si>
  <si>
    <t xml:space="preserve">أربعمائة وتسع و أربعون  </t>
  </si>
  <si>
    <t>أربعمائة وتسع و أربعون   وواحدة</t>
  </si>
  <si>
    <t>ستمائة وسبع وسبعون وست</t>
  </si>
  <si>
    <t>ستمائة وسبع وسبعون وسبع</t>
  </si>
  <si>
    <t>ستمائة وسبع وسبعون وثمان</t>
  </si>
  <si>
    <t>ستمائة وسبع وسبعون وتسع</t>
  </si>
  <si>
    <t xml:space="preserve">ستمائة وثمان وسبعون </t>
  </si>
  <si>
    <t>ستمائة وثمان وسبعون وواحدة</t>
  </si>
  <si>
    <t>ستمائة وثمان وسبعون واثنتان</t>
  </si>
  <si>
    <t>ستمائة وثمان وسبعون وثلاث</t>
  </si>
  <si>
    <t>ستمائة وثمان وسبعون وأربع</t>
  </si>
  <si>
    <t>ستمائة وثمان وسبعون ونصف</t>
  </si>
  <si>
    <t>ستمائة وثمان وسبعون وست</t>
  </si>
  <si>
    <t>ستمائة وثمان وسبعون وسبع</t>
  </si>
  <si>
    <t>ستمائة وتسع وسبعون واثنتان</t>
  </si>
  <si>
    <t>ثمــــــــــان مائة وخمس وسبعون وتسع</t>
  </si>
  <si>
    <t xml:space="preserve">ثمــــــــــان مائة وست وسبعون </t>
  </si>
  <si>
    <t>ثمــــــــــان مائة وست وسبعون وواحدة</t>
  </si>
  <si>
    <t>ثمــــــــــان مائة وست وسبعون واثنتان</t>
  </si>
  <si>
    <t>ثمــــــــــان مائة وست وسبعون وثلاث</t>
  </si>
  <si>
    <t>ثمــــــــــان مائة وست وسبعون وأربع</t>
  </si>
  <si>
    <t>ستمائة وتسع وسبعون وست</t>
  </si>
  <si>
    <t>ستمائة وتسع وسبعون وسبع</t>
  </si>
  <si>
    <t>ستمائة وتسع وسبعون وثمان</t>
  </si>
  <si>
    <t>ستمائة وتسع وسبعون وتسع</t>
  </si>
  <si>
    <t>ستمائة وثمانون</t>
  </si>
  <si>
    <t>ستمائة وثمانون وواحدة</t>
  </si>
  <si>
    <t>ستمائة وثمانون واثنتان</t>
  </si>
  <si>
    <t>ستمائة وثمانون وثلاث</t>
  </si>
  <si>
    <t>ستمائة وثمانون وأربع</t>
  </si>
  <si>
    <t>ستمائة وثمانون ونصف</t>
  </si>
  <si>
    <t>ستمائة وثمانون وست</t>
  </si>
  <si>
    <t>ستمائة وثمانون وسبع</t>
  </si>
  <si>
    <t>ستمائة وثمانون وثمان</t>
  </si>
  <si>
    <t>ستمائة وثمانون وتسع</t>
  </si>
  <si>
    <t>ستمائة وواحدة وثمانون</t>
  </si>
  <si>
    <t>ستمائة وواحدة وثمانون وواحدة</t>
  </si>
  <si>
    <t>ستمائة وواحدة وثمانون واثنتان</t>
  </si>
  <si>
    <t>ستمائة وواحدة وثمانون وثلاث</t>
  </si>
  <si>
    <t>ستمائة وواحدة وثمانون وأربع</t>
  </si>
  <si>
    <t>ستمائة وواحد وثمانون ونصف</t>
  </si>
  <si>
    <t>أربعمائة واثنتان وخمسون وأربع</t>
  </si>
  <si>
    <t>أربعمائة واثنتان وخمسون ونصف</t>
  </si>
  <si>
    <t>أربعمائة واثنتان وخمسون وست</t>
  </si>
  <si>
    <t>أربعمائة واثنتان وخمسون وسبع</t>
  </si>
  <si>
    <t>أربعمائة واثنتان وخمسون وثمان</t>
  </si>
  <si>
    <t>أربعمائة واثنتان وخمسون وتسع</t>
  </si>
  <si>
    <t>مائتان وأربع وخمسون واثنتان</t>
  </si>
  <si>
    <t>مائتان وأربع وخمسون وثلاث</t>
  </si>
  <si>
    <t>مائتان وأربع وخمسون وأربع</t>
  </si>
  <si>
    <t>مائتان وأربع وخمسون ونصف</t>
  </si>
  <si>
    <t>مائتان وأربع وخمسون وست</t>
  </si>
  <si>
    <t>مائتان وأربع وخمسون وسبع</t>
  </si>
  <si>
    <t>مائتان وأربع وخمسون وثمان</t>
  </si>
  <si>
    <t>مائتان وأربع وخمسون وتسع</t>
  </si>
  <si>
    <t xml:space="preserve">مائتان وخمس وخمسون </t>
  </si>
  <si>
    <t>مائتان وخمس وخمسون وواحدة</t>
  </si>
  <si>
    <t>مائتان وخمس وخمسون واثنتان</t>
  </si>
  <si>
    <t>مائتان وخمس وخمسون وثلاث</t>
  </si>
  <si>
    <t>مائتان وخمس وخمسون وأربع</t>
  </si>
  <si>
    <t>مائتان وخمس وخمسون ونصف</t>
  </si>
  <si>
    <t>مائتان وخمس وخمسون وست</t>
  </si>
  <si>
    <t>مائتان وخمس وخمسون وسبع</t>
  </si>
  <si>
    <t>مائتان وخمس وخمسون وثمان</t>
  </si>
  <si>
    <t>مائتان وخمس وخمسون وتسع</t>
  </si>
  <si>
    <t xml:space="preserve">مائتان وست وخمسون </t>
  </si>
  <si>
    <t>مائتان وست وخمسون وواحدة</t>
  </si>
  <si>
    <t>مائتان وست وخمسون واثنتان</t>
  </si>
  <si>
    <t>مائتان وست وخمسون وثلاث</t>
  </si>
  <si>
    <t>مائتان وست وخمسون وأربع</t>
  </si>
  <si>
    <t>مائتان وست وخمسون ونصف</t>
  </si>
  <si>
    <t>مائتان وست وخمسون وست</t>
  </si>
  <si>
    <t>مائتان وست وخمسون وسبع</t>
  </si>
  <si>
    <t>أربعمائة وخمس وخمسون وأربع</t>
  </si>
  <si>
    <t>أربعمائة وخمس وخمسون ونصف</t>
  </si>
  <si>
    <t>أربعمائة وخمس وخمسون وست</t>
  </si>
  <si>
    <t>أربعمائة وخمس وخمسون وسبع</t>
  </si>
  <si>
    <t>أربعمائة وخمس وخمسون وثمان</t>
  </si>
  <si>
    <t>أربعمائة وخمس وخمسون وتسع</t>
  </si>
  <si>
    <t xml:space="preserve">أربعمائة وست وخمسون </t>
  </si>
  <si>
    <t>أربعمائة وست وخمسون وواحدة</t>
  </si>
  <si>
    <t>أربعمائة وست وخمسون واثنتان</t>
  </si>
  <si>
    <t>أربعمائة وست وخمسون وثلاث</t>
  </si>
  <si>
    <t>أربعمائة وست وخمسون وأربع</t>
  </si>
  <si>
    <t>أربعمائة وست وخمسون ونصف</t>
  </si>
  <si>
    <t>أربعمائة وست وخمسون وست</t>
  </si>
  <si>
    <t>أربعمائة وست وخمسون وسبع</t>
  </si>
  <si>
    <t>أربعمائة وست وخمسون وثمان</t>
  </si>
  <si>
    <t>أربعمائة وست وخمسون وتسع</t>
  </si>
  <si>
    <t xml:space="preserve">أربعمائة وسبع وخمسون </t>
  </si>
  <si>
    <t>أربعمائة وسبع وخمسون وواحدة</t>
  </si>
  <si>
    <t>أربعمائة وسبع وخمسون واثنتان</t>
  </si>
  <si>
    <t>أربعمائة وسبع وخمسون وثلاث</t>
  </si>
  <si>
    <t>أربعمائة وسبع وخمسون وأربع</t>
  </si>
  <si>
    <t>أربعمائة وسبع وخمسون ونصف</t>
  </si>
  <si>
    <t>أربعمائة وسبع وخمسون وست</t>
  </si>
  <si>
    <t>أربعمائة وسبع وخمسون وسبع</t>
  </si>
  <si>
    <t>أربعمائة وسبع وخمسون وثمان</t>
  </si>
  <si>
    <t>أربعمائة وسبع وخمسون وتسع</t>
  </si>
  <si>
    <t xml:space="preserve">أربعمائة وثمان وخمسون </t>
  </si>
  <si>
    <t>أربعمائة وثمان وخمسون وواحدة</t>
  </si>
  <si>
    <t>أربعمائة وثمان وخمسون واثنتان</t>
  </si>
  <si>
    <t>أربعمائة وثمان وخمسون وثلاث</t>
  </si>
  <si>
    <t>أربعمائة وثمان وخمسون وأربع</t>
  </si>
  <si>
    <t>أربعمائة وثمان وخمسون ونصف</t>
  </si>
  <si>
    <t>أربعمائة وثمان وخمسون وست</t>
  </si>
  <si>
    <t>أربعمائة وثمان وخمسون وسبع</t>
  </si>
  <si>
    <t>أربعمائة وثمان وخمسون وثمان</t>
  </si>
  <si>
    <t>أربعمائة وثمان وخمسون وتسع</t>
  </si>
  <si>
    <t xml:space="preserve">أربعمائة وتسع وخمسون </t>
  </si>
  <si>
    <t>أربعمائة وتسع وخمسون وواحدة</t>
  </si>
  <si>
    <t>أربعمائة وتسع وخمسون واثنتان</t>
  </si>
  <si>
    <t>أربعمائة وتسع وخمسون وثلاث</t>
  </si>
  <si>
    <t>أربعمائة وتسع وخمسون وأربع</t>
  </si>
  <si>
    <t>أربعمائة وتسع وخمسون ونصف</t>
  </si>
  <si>
    <t>مائتان وأربعون  وتسع</t>
  </si>
  <si>
    <t xml:space="preserve">مائتان وواحدة وأربعون  </t>
  </si>
  <si>
    <t>مائتان وأربعون  وأربع</t>
  </si>
  <si>
    <t>مائتان وأربعون  ونصف</t>
  </si>
  <si>
    <t>أربعمائة وأربع وستون وثلاث</t>
  </si>
  <si>
    <t>أربعمائة وأربع وستون وأربع</t>
  </si>
  <si>
    <t>أربعمائة وأربع وستون ونصف</t>
  </si>
  <si>
    <t>أربعمائة وأربع وستون وست</t>
  </si>
  <si>
    <t>أربعمائة وأربع وستون وسبع</t>
  </si>
  <si>
    <t>أربعمائة وأربع وستون وثمان</t>
  </si>
  <si>
    <t>أربعمائة وأربع وستون وتسع</t>
  </si>
  <si>
    <t xml:space="preserve">أربعمائة وخمس وستون </t>
  </si>
  <si>
    <t>أربعمائة وخمس وستون وواحدة</t>
  </si>
  <si>
    <t>أربعمائة وخمس وستون واثنتان</t>
  </si>
  <si>
    <t>أربعمائة وخمس وستون وثلاث</t>
  </si>
  <si>
    <t>أربعمائة وخمس وستون وأربع</t>
  </si>
  <si>
    <t>أربعمائة وخمس وستون ونصف</t>
  </si>
  <si>
    <t>أربعمائة وخمس وستون وست</t>
  </si>
  <si>
    <t>أربعمائة وخمس وستون وسبع</t>
  </si>
  <si>
    <t>أربعمائة وخمس وستون وثمان</t>
  </si>
  <si>
    <t>أربعمائة وخمس وستون وتسع</t>
  </si>
  <si>
    <t>أربعمائة وست وستون</t>
  </si>
  <si>
    <t>أربعمائة وست وستون وواحدة</t>
  </si>
  <si>
    <t>أربعمائة وست وستون واثنتان</t>
  </si>
  <si>
    <t>أربعمائة وست وستون وثلاث</t>
  </si>
  <si>
    <t>أربعمائة وست وستون وأربع</t>
  </si>
  <si>
    <t>أربعمائة وست وستون ونصف</t>
  </si>
  <si>
    <t>أربعمائة وست وستون وست</t>
  </si>
  <si>
    <t>أربعمائة وست وستون وسبع</t>
  </si>
  <si>
    <t>أربعمائة وست وستون وثمان</t>
  </si>
  <si>
    <t>أربعمائة وست وستون وتسع</t>
  </si>
  <si>
    <t xml:space="preserve">أربعمائة وسبع وستون </t>
  </si>
  <si>
    <t>أربعمائة وسبع وستون وواحدة</t>
  </si>
  <si>
    <t>أربعمائة وسبع وستون واثنتان</t>
  </si>
  <si>
    <t>أربعمائة وسبع وستون وثلاث</t>
  </si>
  <si>
    <t>أربعمائة وسبع وستون وأربع</t>
  </si>
  <si>
    <t>أربعمائة وسبع وستون ونصف</t>
  </si>
  <si>
    <t>أربعمائة وسبع وستون وست</t>
  </si>
  <si>
    <t>أربعمائة وسبع وستون وسبع</t>
  </si>
  <si>
    <t>أربعمائة وسبع وستون وثمان</t>
  </si>
  <si>
    <t>أربعمائة وسبع وستون وتسع</t>
  </si>
  <si>
    <t xml:space="preserve">أربعمائة وثمان وستون </t>
  </si>
  <si>
    <t>أربعمائة وثمان وستون وواحدة</t>
  </si>
  <si>
    <t>أربعمائة وثمان وستون واثنتان</t>
  </si>
  <si>
    <t>أربعمائة وثمان وستون وثلاث</t>
  </si>
  <si>
    <t>أربعمائة وثمان وستون وأربع</t>
  </si>
  <si>
    <t>أربعمائة وثمان وستون ونصف</t>
  </si>
  <si>
    <t>أربعمائة وثمان وستون وست</t>
  </si>
  <si>
    <t>أربعمائة وثمان وستون وسبع</t>
  </si>
  <si>
    <t>أربعمائة وثمان وستون وثمان</t>
  </si>
  <si>
    <t>أربعمائة وثمان وستون وتسع</t>
  </si>
  <si>
    <t xml:space="preserve">أربعمائة وتسع وستون </t>
  </si>
  <si>
    <t>ستمائة وثلاث وتسعون ونصف</t>
  </si>
  <si>
    <t>ستمائة وثلاث وتسعون وست</t>
  </si>
  <si>
    <t>ستمائة وثلاث وتسعون وسبع</t>
  </si>
  <si>
    <t>ستمائة واثلاث وتسعون وثمان</t>
  </si>
  <si>
    <t>ستمائة وثلاث وتسعون وتسع</t>
  </si>
  <si>
    <t xml:space="preserve">ستمائة وأربع وتسعون </t>
  </si>
  <si>
    <t>ستمائة وأربع وتسعون وواحدة</t>
  </si>
  <si>
    <t>ستمائة وأربع وتسعون واثنتان</t>
  </si>
  <si>
    <t>ستمائة وأربع وتسعون وثلاث</t>
  </si>
  <si>
    <t>ستمائة وأربع وتسعون وأربع</t>
  </si>
  <si>
    <t>ستمائة وأربع وتسعون ونصف</t>
  </si>
  <si>
    <t>ستمائة وأربع وتسعون وست</t>
  </si>
  <si>
    <t>ستمائة وأربع وتسعون وسبع</t>
  </si>
  <si>
    <t>ستمائة وأربع وتسعون وثمان</t>
  </si>
  <si>
    <t>ستمائة وأربع وتسعون وتسع</t>
  </si>
  <si>
    <t xml:space="preserve">ستمائة وخمس وتسعون </t>
  </si>
  <si>
    <t>ستمائة وخمس وتسعون وواحدة</t>
  </si>
  <si>
    <t>ستمائة وخمس وتسعون واثنتان</t>
  </si>
  <si>
    <t>ستمائة وخمس وتسعون وثلاث</t>
  </si>
  <si>
    <t>ستمائة وخمس وتسعون وأربع</t>
  </si>
  <si>
    <t>ستمائة وخمس وتسعون ونصف</t>
  </si>
  <si>
    <t>ستمائة وخمس وتسعون وست</t>
  </si>
  <si>
    <t>ستمائة وخمس وتسعون وسبع</t>
  </si>
  <si>
    <t>ستمائة وخمس وتسعون وثمان</t>
  </si>
  <si>
    <t>ستمائة وخمس وتسعون وتسع</t>
  </si>
  <si>
    <t xml:space="preserve">ستمائة وست وتسعون </t>
  </si>
  <si>
    <t>ستمائة وست وتسعون وواحدة</t>
  </si>
  <si>
    <t>ستمائة وست وتسعون واثنتان</t>
  </si>
  <si>
    <t>ستمائة وست وتسعون وثلاث</t>
  </si>
  <si>
    <t>ستمائة وست وتسعون وأربع</t>
  </si>
  <si>
    <t>ستمائة وست وتسعون ونصف</t>
  </si>
  <si>
    <t>ستمائة وست وتسعون وست</t>
  </si>
  <si>
    <t>ستمائة وست وتسعون وسبع</t>
  </si>
  <si>
    <t>ستمائة وست وتسعون وثمان</t>
  </si>
  <si>
    <t>ستمائة وست وتسعون وتسع</t>
  </si>
  <si>
    <t xml:space="preserve">ستمائة وسبع وتسعون </t>
  </si>
  <si>
    <t>ستمائة وسبع وتسعون وواحدة</t>
  </si>
  <si>
    <t>ستمائة وسبع وتسعون واثنتان</t>
  </si>
  <si>
    <t>ستمائة وسبع وتسعون وثلاث</t>
  </si>
  <si>
    <t>ستمائة وسبع وتسعون وأربع</t>
  </si>
  <si>
    <t>ستمائة وسبع وتسعون ونصف</t>
  </si>
  <si>
    <t>ستمائة وسبع وتسعون وست</t>
  </si>
  <si>
    <t>ستمائة وسبع وتسعون وسبع</t>
  </si>
  <si>
    <t>ستمائة وسبع وتسعون وثمان</t>
  </si>
  <si>
    <t>ستمائة وسبع وتسعون وتسع</t>
  </si>
  <si>
    <t>ستمائة وثمان وتسعون</t>
  </si>
  <si>
    <t>ستمائة وثمان وتسعون وواحدة</t>
  </si>
  <si>
    <t>ستمائة وثمان وتسعون واثنتان</t>
  </si>
  <si>
    <t>ستمائة وثمان وتسعون وثلاث</t>
  </si>
  <si>
    <t>ستمائة وثمان وتسعون وأربع</t>
  </si>
  <si>
    <t>ثمــــــــــان مائة وواحدة وتسعون وثمان</t>
  </si>
  <si>
    <t>ثمــــــــــان مائة وواحدة وتسعون وتسع</t>
  </si>
  <si>
    <t>سبعمائة وست وست</t>
  </si>
  <si>
    <t>سبعمائة وست وسبع</t>
  </si>
  <si>
    <t>سبعمائة وست وثمان</t>
  </si>
  <si>
    <t>سبعمائة وست وتسع</t>
  </si>
  <si>
    <t>مائتان وثلاث وسبعون وثمان</t>
  </si>
  <si>
    <t>مائتان وثلاث وسبعون وتسع</t>
  </si>
  <si>
    <t xml:space="preserve">مائتان وأربع وسبعون </t>
  </si>
  <si>
    <t>مائتان وأربع وسبعون وواحدة</t>
  </si>
  <si>
    <t>مائتان وأربع وسبعون واثنتان</t>
  </si>
  <si>
    <t>مائتان وأربع وسبعون وثلاث</t>
  </si>
  <si>
    <t>مائتان وأربع وسبعون وأربع</t>
  </si>
  <si>
    <t>مائتان وأربع وسبعون ونصف</t>
  </si>
  <si>
    <t>مائتان وأربع وسبعون وست</t>
  </si>
  <si>
    <t>مائتان وأربع وسبعون وسبع</t>
  </si>
  <si>
    <t>مائتان وأربع وسبعون وثمان</t>
  </si>
  <si>
    <t>مائتان وأربع وسبعون وتسع</t>
  </si>
  <si>
    <t xml:space="preserve">مائتان وخمس وسبعون </t>
  </si>
  <si>
    <t>مائتان وخمس وسبعون وواحدة</t>
  </si>
  <si>
    <t>مائتان وخمس وسبعون واثنتان</t>
  </si>
  <si>
    <t>مائتان وخمس وسبعون وثلاث</t>
  </si>
  <si>
    <t>مائتان وخمس وسبعون وأربع</t>
  </si>
  <si>
    <t>مائتان وخمس وسبعون ونصف</t>
  </si>
  <si>
    <t>مائتان وخمس وسبعون وست</t>
  </si>
  <si>
    <t>مائتان وخمس وسبعون وسبع</t>
  </si>
  <si>
    <t>مائتان وخمس وسبعون وثمان</t>
  </si>
  <si>
    <t>مائتان وخمس وسبعون وتسع</t>
  </si>
  <si>
    <t xml:space="preserve">مائتان وست وسبعون </t>
  </si>
  <si>
    <t>مائتان وست وسبعون وواحدة</t>
  </si>
  <si>
    <t>مائتان وست وسبعون واثنتان</t>
  </si>
  <si>
    <t>مائتان وست وسبعون وثلاث</t>
  </si>
  <si>
    <t>مائتان وست وسبعون وأربع</t>
  </si>
  <si>
    <t>مائتان وست وسبعون ونصف</t>
  </si>
  <si>
    <t>مائتان وست وسبعون وست</t>
  </si>
  <si>
    <t>مائتان وست وسبعون وسبع</t>
  </si>
  <si>
    <t>مائتان وست وسبعون وثمان</t>
  </si>
  <si>
    <t>مائتان وست وسبعون وتسع</t>
  </si>
  <si>
    <t>مائتان وسبع وسبعون</t>
  </si>
  <si>
    <t>مائتان وسبع وسبعون وواحدة</t>
  </si>
  <si>
    <t>مائتان وسبع وسبعون واثنتان</t>
  </si>
  <si>
    <t>مائتان وسبع وسبعون وثلاث</t>
  </si>
  <si>
    <t>مائتان وسبع وسبعون وأربع</t>
  </si>
  <si>
    <t>مائتان وسبع وسبعون ونصف</t>
  </si>
  <si>
    <t>مائتان وسبع وسبعون وست</t>
  </si>
  <si>
    <t>مائتان وسبع وسبعون وسبع</t>
  </si>
  <si>
    <t>مائتان وسبع وسبعون وثمان</t>
  </si>
  <si>
    <t>مائتان وسبع وسبعون وتسع</t>
  </si>
  <si>
    <t xml:space="preserve">مائتان وثمان وسبعون </t>
  </si>
  <si>
    <t>مائتان وثمان وسبعون وواحدة</t>
  </si>
  <si>
    <t>مائتان وثمان وسبعون واثنتان</t>
  </si>
  <si>
    <t>مائتان وثمان وسبعون وثلاث</t>
  </si>
  <si>
    <t>مائتان وثمان وسبعون وأربع</t>
  </si>
  <si>
    <t>مائتان وثمان وسبعون ونصف</t>
  </si>
  <si>
    <t>مائتان وثمان وسبعون وست</t>
  </si>
  <si>
    <t>مائتان وثمان وسبعون وسبع</t>
  </si>
  <si>
    <t>مائتان وثمان وسبعون وثمان</t>
  </si>
  <si>
    <t>أربعمائة وأربع وسبعون وثمان</t>
  </si>
  <si>
    <t>أربعمائة وأربع وسبعون وتسع</t>
  </si>
  <si>
    <t xml:space="preserve">أربعمائة وخمس وسبعون </t>
  </si>
  <si>
    <t>أربعمائة وخمس وسبعون وواحدة</t>
  </si>
  <si>
    <t>أربعمائة وخمس وسبعون واثنتان</t>
  </si>
  <si>
    <t>أربعمائة وخمس وسبعون وثلاث</t>
  </si>
  <si>
    <t>أربعمائة وخمس وسبعون وأربع</t>
  </si>
  <si>
    <t>أربعمائة وخمس وسبعون ونصف</t>
  </si>
  <si>
    <t>أربعمائة وخمس وسبعون وست</t>
  </si>
  <si>
    <t>أربعمائة وخمس وسبعون وسبع</t>
  </si>
  <si>
    <t>أربعمائة وخمس وسبعون وثمان</t>
  </si>
  <si>
    <t>أربعمائة وخمس وسبعون وتسع</t>
  </si>
  <si>
    <t xml:space="preserve">أربعمائة وست وسبعون </t>
  </si>
  <si>
    <t>أربعمائة وست وسبعون وواحدة</t>
  </si>
  <si>
    <t>أربعمائة وست وسبعون واثنتان</t>
  </si>
  <si>
    <t>أربعمائة وست وسبعون وثلاث</t>
  </si>
  <si>
    <t>أربعمائة وست وسبعون وأربع</t>
  </si>
  <si>
    <t>أربعمائة وست وسبعون ونصف</t>
  </si>
  <si>
    <t>أربعمائة وست وسبعون وست</t>
  </si>
  <si>
    <t>أربعمائة وست وسبعون وسبع</t>
  </si>
  <si>
    <t>أربعمائة وست وسبعون وثمان</t>
  </si>
  <si>
    <t>أربعمائة وست وسبعون وتسع</t>
  </si>
  <si>
    <t>أربعمائة وسبع وسبعون</t>
  </si>
  <si>
    <t>أربعمائة وسبع وسبعون وواحدة</t>
  </si>
  <si>
    <t>أربعمائة وسبع وسبعون واثنتان</t>
  </si>
  <si>
    <t>أربعمائة وسبع وسبعون وثلاث</t>
  </si>
  <si>
    <t>أربعمائة وسبع وسبعون وأربع</t>
  </si>
  <si>
    <t>أربعمائة وسبع وسبعون ونصف</t>
  </si>
  <si>
    <t>أربعمائة وسبع وسبعون وست</t>
  </si>
  <si>
    <t>أربعمائة وسبع وسبعون وسبع</t>
  </si>
  <si>
    <t>أربعمائة وسبع وسبعون وثمان</t>
  </si>
  <si>
    <t>أربعمائة وسبع وسبعون وتسع</t>
  </si>
  <si>
    <t xml:space="preserve">أربعمائة وثمان وسبعون </t>
  </si>
  <si>
    <t>أربعمائة وثمان وسبعون وواحدة</t>
  </si>
  <si>
    <t>أربعمائة وثمان وسبعون واثنتان</t>
  </si>
  <si>
    <t>أربعمائة وثمان وسبعون وثلاث</t>
  </si>
  <si>
    <t>أربعمائة وثمان وسبعون وأربع</t>
  </si>
  <si>
    <t>أربعمائة وثمان وسبعون ونصف</t>
  </si>
  <si>
    <t>أربعمائة وثمان وسبعون وست</t>
  </si>
  <si>
    <t>أربعمائة وثمان وسبعون وسبع</t>
  </si>
  <si>
    <t>أربعمائة وثمان وسبعون وثمان</t>
  </si>
  <si>
    <t>أربعمائة وثمان وسبعون وتسع</t>
  </si>
  <si>
    <t>سبعمائة واثنتا عشرة وست</t>
  </si>
  <si>
    <t>سبعمائة واثنتا عشرة وسبع</t>
  </si>
  <si>
    <t>سبعمائة واثنتا عشرة وثمان</t>
  </si>
  <si>
    <t>سبعمائة واثنتا عشرة وتسع</t>
  </si>
  <si>
    <t>سبعمائة وثلاث عشرة</t>
  </si>
  <si>
    <t>سبعمائة وثلاث عشرة وواحدة</t>
  </si>
  <si>
    <t>سبعمائة وثلاث عشرة واثنتان</t>
  </si>
  <si>
    <t>سبعمائة وثلاث عشرة وثلاث</t>
  </si>
  <si>
    <t>سبعمائة وثلاث عشرة وأربع</t>
  </si>
  <si>
    <t xml:space="preserve">مائتان واثنتان وستون </t>
  </si>
  <si>
    <t>مائتان واثنتان وستون وواحدة</t>
  </si>
  <si>
    <t>مائتان واثنتان وستون واثنتان</t>
  </si>
  <si>
    <t>مائتان واثنتان وستون وثلاث</t>
  </si>
  <si>
    <t>مائتان واثنتان وستون وأربع</t>
  </si>
  <si>
    <t>مائتان واثنتان وستون ونصف</t>
  </si>
  <si>
    <t>مائتان واثنتان وستون وست</t>
  </si>
  <si>
    <t>خمسمائة واثنتان وواحدة</t>
  </si>
  <si>
    <t>خمسمائة واثنتان واثنتان</t>
  </si>
  <si>
    <t>خمسمائة واثنتان وثلاث</t>
  </si>
  <si>
    <t>خمسمائة واثنتان وأربع</t>
  </si>
  <si>
    <t>خمسمائة واثنتان ونصف</t>
  </si>
  <si>
    <t>خمسمائة واثنتان وست</t>
  </si>
  <si>
    <t>خمسمائة واثنتان وسبع</t>
  </si>
  <si>
    <t>خمسمائة واثنتان وثمان</t>
  </si>
  <si>
    <t>خمسمائة واثنتان وتسع</t>
  </si>
  <si>
    <t>خمسمائة وثلاث وواحدة</t>
  </si>
  <si>
    <t>خمسمائة وثلاث واثنتان</t>
  </si>
  <si>
    <t>خمسمائة وثلاث وثلاث</t>
  </si>
  <si>
    <t>خمسمائة وثلاث وأربع</t>
  </si>
  <si>
    <t>مائتان وواحد وثمانون وثمان</t>
  </si>
  <si>
    <t>مائتان وواحد وثمانون وتسع</t>
  </si>
  <si>
    <t xml:space="preserve">مائتان واثنان وثمانون </t>
  </si>
  <si>
    <t>مائتان واثنان وثمانون وواحدة</t>
  </si>
  <si>
    <t>أربعمائة وخمس وسبع</t>
  </si>
  <si>
    <t>أربعمائة وخمس وثمان</t>
  </si>
  <si>
    <t>أربعمائة وخمس وتسع</t>
  </si>
  <si>
    <t>أربعمائة وست وواحدة</t>
  </si>
  <si>
    <t>أربعمائة وست واثنتان</t>
  </si>
  <si>
    <t>مائتان واثنتان وستون وسبع</t>
  </si>
  <si>
    <t>مائتان واثنتان وستون وثمان</t>
  </si>
  <si>
    <t>مائتان واثنتان وستون وتسع</t>
  </si>
  <si>
    <t xml:space="preserve">مائتان وثلاث وستون </t>
  </si>
  <si>
    <t>مائتان وثلاث وستون وواحدة</t>
  </si>
  <si>
    <t>مائتان وثلاث وستون واثنتان</t>
  </si>
  <si>
    <t>مائتان وثلاث وستون وثلاث</t>
  </si>
  <si>
    <t>أربعمائة وخمس وثمانون وست</t>
  </si>
  <si>
    <t>أربعمائة وخمس وثمانون وسبع</t>
  </si>
  <si>
    <t>أربعمائة وخمس وثمانون وثمان</t>
  </si>
  <si>
    <t>أربعمائة وخمس وثمانون وتسع</t>
  </si>
  <si>
    <t xml:space="preserve">أربعمائة وست وثمانون </t>
  </si>
  <si>
    <t xml:space="preserve">أربعمائة وسبع وثمانون </t>
  </si>
  <si>
    <t>أربعمائة وسبع وثمانون وواحدة</t>
  </si>
  <si>
    <t>أربعمائة وسبع وثمانون واثنتان</t>
  </si>
  <si>
    <t>أربعمائة وسبع وثمانون وثلاث</t>
  </si>
  <si>
    <t>أربعمائة وسبع وثمانون وأربع</t>
  </si>
  <si>
    <t>أربعمائة وسبع وثمانون ونصف</t>
  </si>
  <si>
    <t>أربعمائة وسبع وثمانون وست</t>
  </si>
  <si>
    <t>أربعمائة وسبع وثمانون وسبع</t>
  </si>
  <si>
    <t>أربعمائة وسبع وثمانون وثمان</t>
  </si>
  <si>
    <t>أربعمائة وسبع وثمانون وتسع</t>
  </si>
  <si>
    <t xml:space="preserve">أربعمائة وثمان وثمانون </t>
  </si>
  <si>
    <t>أربعمائة وثمان وثمانون وواحدة</t>
  </si>
  <si>
    <t>أربعمائة وخمس وثمانون وثلاث</t>
  </si>
  <si>
    <t>أربعمائة وخمس وثمانون وأربع</t>
  </si>
  <si>
    <t>أربعمائة وخمس وثمانون ونصف</t>
  </si>
  <si>
    <t>سبعمائة وسبع عشرة وأربع</t>
  </si>
  <si>
    <t>سبعمائة وسبع عشرة ونصف</t>
  </si>
  <si>
    <t>سبعمائة وسبع عشرة وست</t>
  </si>
  <si>
    <t>سبعمائة وسبع عشرة وسبع</t>
  </si>
  <si>
    <t>سبعمائة وسبع عشرة وثمان</t>
  </si>
  <si>
    <t>سبعمائة وسبع عشرة وتسع</t>
  </si>
  <si>
    <t>سبعمائة وثمان عشرة</t>
  </si>
  <si>
    <t>سبعمائة وثمان عشرة وواحدة</t>
  </si>
  <si>
    <t>سبعمائة وثمان عشرة واثنتان</t>
  </si>
  <si>
    <t>سبعمائة وثمان عشرة وثلاث</t>
  </si>
  <si>
    <t>سبعمائة وثمان عشرة وأربع</t>
  </si>
  <si>
    <t>سبعمائة وثمان عشرة ونصف</t>
  </si>
  <si>
    <t>سبعمائة وثمان عشرة وست</t>
  </si>
  <si>
    <t>سبعمائة وثمان عشرة وسبع</t>
  </si>
  <si>
    <t>سبعمائة وثمان عشرة وثمان</t>
  </si>
  <si>
    <t>سبعمائة وثمان عشرة وتسع</t>
  </si>
  <si>
    <t>سبعمائة وتسع عشرة</t>
  </si>
  <si>
    <t>سبعمائة وتسع عشرة وواحدة</t>
  </si>
  <si>
    <t>سبعمائة وتسع عشرة واثنتان</t>
  </si>
  <si>
    <t>سبعمائة وتسع عشرة وثلاث</t>
  </si>
  <si>
    <t>سبعمائة وتسع عشرة وأربع</t>
  </si>
  <si>
    <t>سبعمائة وتسع عشرة ونصف</t>
  </si>
  <si>
    <t>سبعمائة وتسع عشرة وست</t>
  </si>
  <si>
    <t>سبعمائة وتسع عشرة وسبع</t>
  </si>
  <si>
    <t>سبعمائة وتسع عشرة وثمان</t>
  </si>
  <si>
    <t>سبعمائة وتسع عشرة وتسع</t>
  </si>
  <si>
    <t>سبعمائة وعشرون</t>
  </si>
  <si>
    <t>سبعمائة وعشرون وواحدة</t>
  </si>
  <si>
    <t>سبعمائة وعشرون واثنتان</t>
  </si>
  <si>
    <t>سبعمائة وعشرون وثلاث</t>
  </si>
  <si>
    <t>سبعمائة وعشرون وأربع</t>
  </si>
  <si>
    <t>سبعمائة وعشرون ونصف</t>
  </si>
  <si>
    <t>سبعمائة وعشرون وست</t>
  </si>
  <si>
    <t>سبعمائة وعشرون وسبع</t>
  </si>
  <si>
    <t>سبعمائة وعشرون وثمان</t>
  </si>
  <si>
    <t>سبعمائة وعشرون وتسع</t>
  </si>
  <si>
    <t>سبعمائة وواحدة وعشرون  وواحدة</t>
  </si>
  <si>
    <t>سبعمائة وواحدة و عشرون واثنتان</t>
  </si>
  <si>
    <t>سبعمائة وواحدة وعشرون وثلاث</t>
  </si>
  <si>
    <t>أربعمائة وتسعون وأربع</t>
  </si>
  <si>
    <t>أربعمائة وتسعون ونصف</t>
  </si>
  <si>
    <t>أربعمائة وتسعون وست</t>
  </si>
  <si>
    <t>أربعمائة وتسعون وسبع</t>
  </si>
  <si>
    <t>أربعمائة وتسعون وثمان</t>
  </si>
  <si>
    <t>أربعمائة وتسعون وتسع</t>
  </si>
  <si>
    <t xml:space="preserve">أربعمائة وواحدة وتسعون </t>
  </si>
  <si>
    <t>أربعمائة وواحدة وتسعون وواحدة</t>
  </si>
  <si>
    <t>أربعمائة وواحدة وتسعون واثنتان</t>
  </si>
  <si>
    <t>أربعمائة وواحدة وتسعون وثلاث</t>
  </si>
  <si>
    <t>أربعمائة وواحدة وتسعون وأربع</t>
  </si>
  <si>
    <t>سبعمائة وسبع وعشرون وأربع</t>
  </si>
  <si>
    <t>سبعمائة وسبع وعشرون ونصف</t>
  </si>
  <si>
    <t>خمسمائة وثمان عشرة</t>
  </si>
  <si>
    <t>خمسمائة وثمان عشرة وواحدة</t>
  </si>
  <si>
    <t>خمسمائة وثمان عشرة واثنتان</t>
  </si>
  <si>
    <t>خمسمائة وثمان عشرة وثلاث</t>
  </si>
  <si>
    <t>خمسمائة وثمان عشرة وأربع</t>
  </si>
  <si>
    <t>خمسمائة وثمان عشرة ونصف</t>
  </si>
  <si>
    <t>خمسمائة وثمان عشرة وست</t>
  </si>
  <si>
    <t>خمسمائة وثمان عشرة وسبع</t>
  </si>
  <si>
    <t>خمسمائة وثمان عشرة وثمان</t>
  </si>
  <si>
    <t>خمسمائة وثمان عشرة وتسع</t>
  </si>
  <si>
    <t>خمسمائة وتسع عشرة</t>
  </si>
  <si>
    <t>خمسمائة وتسع عشرة وواحدة</t>
  </si>
  <si>
    <t>خمسمائة وتسع عشرة واثنتان</t>
  </si>
  <si>
    <t>خمسمائة وتسع عشرة وثلاث</t>
  </si>
  <si>
    <t>خمسمائة وتسع عشرة وأربع</t>
  </si>
  <si>
    <t>خمسمائة وتسع عشرة ونصف</t>
  </si>
  <si>
    <t>خمسمائة وتسع عشرة وست</t>
  </si>
  <si>
    <t>خمسمائة وتسع عشرة وسبع</t>
  </si>
  <si>
    <t>خمسمائة وتسع عشرة وثمان</t>
  </si>
  <si>
    <t>خمسمائة وتسع عشرة وتسع</t>
  </si>
  <si>
    <t>خمسمائة وعشرون</t>
  </si>
  <si>
    <t>خمسمائة وعشرون وواحدة</t>
  </si>
  <si>
    <t>خمسمائة وعشرون واثنتان</t>
  </si>
  <si>
    <t>خمسمائة وعشرون وثلاث</t>
  </si>
  <si>
    <t>خمسمائة وعشرون وأربع</t>
  </si>
  <si>
    <t>خمسمائة وعشرون ونصف</t>
  </si>
  <si>
    <t>خمسمائة وعشرون وست</t>
  </si>
  <si>
    <t>خمسمائة وعشرون وسبع</t>
  </si>
  <si>
    <t>Mahfudzot</t>
  </si>
  <si>
    <t>Tauhid</t>
  </si>
  <si>
    <t>Khot</t>
  </si>
  <si>
    <t>Sakit</t>
  </si>
  <si>
    <t>مائتان وتسع وتسعون وثمان</t>
  </si>
  <si>
    <t>مائتان وتسع وتسعون وتسع</t>
  </si>
  <si>
    <t>ثلاثمائة</t>
  </si>
  <si>
    <t>ثلاثمائة وواحدة</t>
  </si>
  <si>
    <t>ثلاثمائة واثنتان</t>
  </si>
  <si>
    <t>ثلاثمائة وثلاث</t>
  </si>
  <si>
    <t>ثلاثمائة وأربع</t>
  </si>
  <si>
    <t>ثلاثمائة ونصف</t>
  </si>
  <si>
    <t>ثلاثمائة وست</t>
  </si>
  <si>
    <t>ثلاثمائة وسبع</t>
  </si>
  <si>
    <t>ثلاثمائة وثمان</t>
  </si>
  <si>
    <t>ثلاثمائة و تسع</t>
  </si>
  <si>
    <t xml:space="preserve">ثلاثمائة وواحدة وواحدة </t>
  </si>
  <si>
    <t>ثلاثمائة وواحدة واثنتان</t>
  </si>
  <si>
    <t>ثلاثمائة وواحدة وثلاث</t>
  </si>
  <si>
    <t>ثلاثمائة وواحدة وأربع</t>
  </si>
  <si>
    <t>ثلاثمائة وواحدة ونصف</t>
  </si>
  <si>
    <t>ثلاثمائة وواحدة وست</t>
  </si>
  <si>
    <t>ثلاثمائة وواحدة وسبع</t>
  </si>
  <si>
    <t>ثلاثمائة وواحدة وثمان</t>
  </si>
  <si>
    <t>ثلاثمائة وواحدة وتسع</t>
  </si>
  <si>
    <t>ثلاثمائة واثنتان وواحدة</t>
  </si>
  <si>
    <t>ثلاثمائة واثنتان واثنتان</t>
  </si>
  <si>
    <t>ثلاثمائة واثنتان وثلاث</t>
  </si>
  <si>
    <t>ثلاثمائة واثنتان وأربع</t>
  </si>
  <si>
    <t>مائتان وتسع وتسعون وواحدة</t>
  </si>
  <si>
    <t>مائتان وتسع وتسعون واثنتان</t>
  </si>
  <si>
    <t>مائتان وتسع وتسعون وثلاث</t>
  </si>
  <si>
    <t>مائتان وتسع وتسعون وأربع</t>
  </si>
  <si>
    <t>مائتان وتسع وتسعون ونصف</t>
  </si>
  <si>
    <t>مائتان وتسع وتسعون وست</t>
  </si>
  <si>
    <t>مائتان وتسع وتسعون وسبع</t>
  </si>
  <si>
    <t>أربعمائة وأربع وتسعون وثمان</t>
  </si>
  <si>
    <t>أربعمائة وأربع وتسعون وتسع</t>
  </si>
  <si>
    <t xml:space="preserve">أربعمائة وخمس وتسعون </t>
  </si>
  <si>
    <t>أربعمائة وخمس وتسعون وواحدة</t>
  </si>
  <si>
    <t>أربعمائة وخمس وتسعون واثنتان</t>
  </si>
  <si>
    <t>أربعمائة وخمس وتسعون وثلاث</t>
  </si>
  <si>
    <t>أربعمائة وخمس وتسعون وأربع</t>
  </si>
  <si>
    <t>أربعمائة وخمس وتسعون ونصف</t>
  </si>
  <si>
    <t>أربعمائة وخمس وتسعون وست</t>
  </si>
  <si>
    <t>أربعمائة وخمس وتسعون وسبع</t>
  </si>
  <si>
    <t>أربعمائة وخمس وتسعون وثمان</t>
  </si>
  <si>
    <t>أربعمائة وخمس وتسعون وتسع</t>
  </si>
  <si>
    <t xml:space="preserve">أربعمائة وست وتسعون </t>
  </si>
  <si>
    <t>أربعمائة وست وتسعون وواحدة</t>
  </si>
  <si>
    <t>أربعمائة وست وتسعون واثنتان</t>
  </si>
  <si>
    <t>أربعمائة وست وتسعون وثلاث</t>
  </si>
  <si>
    <t>أربعمائة وست وتسعون وأربع</t>
  </si>
  <si>
    <t>أربعمائة وست وتسعون ونصف</t>
  </si>
  <si>
    <t>أربعمائة وست وتسعون وست</t>
  </si>
  <si>
    <t>أربعمائة وست وتسعون وسبع</t>
  </si>
  <si>
    <t>أربعمائة وست وتسعون وثمان</t>
  </si>
  <si>
    <t>أربعمائة وست وتسعون وتسع</t>
  </si>
  <si>
    <t xml:space="preserve">أربعمائة وسبع وتسعون </t>
  </si>
  <si>
    <t>أربعمائة وسبع وتسعون وواحدة</t>
  </si>
  <si>
    <t>أربعمائة وسبع وتسعون واثنتان</t>
  </si>
  <si>
    <t>أربعمائة وسبع وتسعون وثلاث</t>
  </si>
  <si>
    <t>أربعمائة وسبع وتسعون وأربع</t>
  </si>
  <si>
    <t>أربعمائة وسبع وتسعون ونصف</t>
  </si>
  <si>
    <t>أربعمائة وسبع وتسعون وست</t>
  </si>
  <si>
    <t>أربعمائة وسبع وتسعون وسبع</t>
  </si>
  <si>
    <t>أربعمائة وسبع وتسعون وثمان</t>
  </si>
  <si>
    <t>أربعمائة وسبع وتسعون وتسع</t>
  </si>
  <si>
    <t>أربعمائة وثمان وتسعون</t>
  </si>
  <si>
    <t>أربعمائة وثمان وتسعون وواحدة</t>
  </si>
  <si>
    <t>أربعمائة وثمان وتسعون واثنتان</t>
  </si>
  <si>
    <t>أربعمائة وثمان وتسعون وثلاث</t>
  </si>
  <si>
    <t>أربعمائة وثمان وتسعون وأربع</t>
  </si>
  <si>
    <t>أربعمائة وثمان وتسعون ونصف</t>
  </si>
  <si>
    <t>أربعمائة وثمان وتسعون وست</t>
  </si>
  <si>
    <t>أربعمائة وثمان وتسعون وسبع</t>
  </si>
  <si>
    <t>أربعمائة وثمان وتسعون وثمان</t>
  </si>
  <si>
    <t>أربعمائة وثمان وتسعون وتسع</t>
  </si>
  <si>
    <t>خمسمائة وأربع وعشرون وثمان</t>
  </si>
  <si>
    <t>خمسمائة وأربع وعشرون وتسع</t>
  </si>
  <si>
    <t xml:space="preserve">خمسمائة وخمس وعشرون </t>
  </si>
  <si>
    <t>خمسمائة وخمس وعشرون  وواحدة</t>
  </si>
  <si>
    <t>خمسمائة وخمس و عشرون واثنتان</t>
  </si>
  <si>
    <t>خمسمائة وخمس وعشرون وثلاث</t>
  </si>
  <si>
    <t>خمسمائة وخمس وعشرون وأربع</t>
  </si>
  <si>
    <t>خمسمائة وخمس وعشرون ونصف</t>
  </si>
  <si>
    <t>خمسمائة وخمس وعشرون وست</t>
  </si>
  <si>
    <t>خمسمائة وخمس وعشرون وسبع</t>
  </si>
  <si>
    <t>خمسمائة وخمس وعشرون وثمان</t>
  </si>
  <si>
    <t>خمسمائة وخمس وعشرون وتسع</t>
  </si>
  <si>
    <t xml:space="preserve">خمسمائة وست وعشرون </t>
  </si>
  <si>
    <t>خمسمائة وست وعشرون  وواحدة</t>
  </si>
  <si>
    <t>خمسمائة وست و عشرون واثنتان</t>
  </si>
  <si>
    <t>سبعمائة وست و ثلاثون  وواحدة</t>
  </si>
  <si>
    <t>سبعمائة وست و ثلاثون واثنتان</t>
  </si>
  <si>
    <t>سبعمائة وست و ثلاثون وثلاث</t>
  </si>
  <si>
    <t>سبعمائة وست و ثلاثون وأربع</t>
  </si>
  <si>
    <t>سبعمائة وست و ثلاثون ونصف</t>
  </si>
  <si>
    <t>سبعمائة وست و ثلاثون وست</t>
  </si>
  <si>
    <t>سبعمائة وست و ثلاثون وسبع</t>
  </si>
  <si>
    <t>سبعمائة وست و ثلاثون وثمان</t>
  </si>
  <si>
    <t>سبعمائة وست و ثلاثون وتسع</t>
  </si>
  <si>
    <t xml:space="preserve">سبعمائة وسبع و ثلاثون </t>
  </si>
  <si>
    <t>سبعمائة وسبع و ثلاثون  وواحدة</t>
  </si>
  <si>
    <t>سبعمائة وسبع و ثلاثون واثنتان</t>
  </si>
  <si>
    <t>سبعمائة وسبع و ثلاثون وثلاث</t>
  </si>
  <si>
    <t>سبعمائة وسبع و ثلاثون وأربع</t>
  </si>
  <si>
    <t>سبعمائة وسبع و ثلاثون ونصف</t>
  </si>
  <si>
    <t>سبعمائة وسبع و ثلاثون وست</t>
  </si>
  <si>
    <t>مائتان واثنان وثمانون واثنتان</t>
  </si>
  <si>
    <t>مائتان واثنان وثمانون وثلاث</t>
  </si>
  <si>
    <t>مائتان واثنان وثمانون وأربع</t>
  </si>
  <si>
    <t>مائتان واثنان وثمانون ونصف</t>
  </si>
  <si>
    <t>مائتان واثنان وثمانون وست</t>
  </si>
  <si>
    <t>مائتان واثنان وثمانون وسبع</t>
  </si>
  <si>
    <t>مائتان واثنان وثمانون وثمان</t>
  </si>
  <si>
    <t>مائتان واثنان وثمانون وتسع</t>
  </si>
  <si>
    <t>مائتان وثلاث وثمانون</t>
  </si>
  <si>
    <t>مائتان وثلاث وثمانون وواحدة</t>
  </si>
  <si>
    <t>مائتان وثلاث وثمانون واثنتان</t>
  </si>
  <si>
    <t>مائتان وثلاث وثمانون وثلاث</t>
  </si>
  <si>
    <t>مائتان وثلاث وثمانون وأربع</t>
  </si>
  <si>
    <t>مائتان وثلاث وثمانون ونصف</t>
  </si>
  <si>
    <t>مائتان وثلاث وثمانون وست</t>
  </si>
  <si>
    <t>مائتان وثلاث وثمانون وسبع</t>
  </si>
  <si>
    <t>مائتان وثلاث وثمانون وثمان</t>
  </si>
  <si>
    <t>مائتان وثلاث وثمانون وتسع</t>
  </si>
  <si>
    <t xml:space="preserve">مائتان وأربع وثمانون </t>
  </si>
  <si>
    <t>مائتان وأربع وثمانون وواحدة</t>
  </si>
  <si>
    <t>مائتان وأربع وثمانون واثنتان</t>
  </si>
  <si>
    <t>مائتان وأربع وثمانون وثلاث</t>
  </si>
  <si>
    <t>مائتان وأربع وثمانون وأربع</t>
  </si>
  <si>
    <t>مائتان وأربع وثمانون ونصف</t>
  </si>
  <si>
    <t>مائتان وأربع وثمانون وست</t>
  </si>
  <si>
    <t>مائتان وأربع وثمانون وسبع</t>
  </si>
  <si>
    <t>مائتان وأربع وثمانون وثمان</t>
  </si>
  <si>
    <t>مائتان وأربع وثمانون وتسع</t>
  </si>
  <si>
    <t xml:space="preserve">مائتان وخمس وثمانون </t>
  </si>
  <si>
    <t>مائتان وخمس وثمانون وواحدة</t>
  </si>
  <si>
    <t>مائتان وخمس وثمانون واثنتان</t>
  </si>
  <si>
    <t>مائتان وخمس وثمانون وثلاث</t>
  </si>
  <si>
    <t>خمسمائة وثمان وثمان</t>
  </si>
  <si>
    <t>خمسمائة وثمان وتسع</t>
  </si>
  <si>
    <t>خمسمائة وتسع</t>
  </si>
  <si>
    <t>خمسمائة وتسع وواحدة</t>
  </si>
  <si>
    <t>خمسمائة وتسع واثنتان</t>
  </si>
  <si>
    <t>خمسمائة وتسع وثلاث</t>
  </si>
  <si>
    <t>خمسمائة وتسع وأربع</t>
  </si>
  <si>
    <t>خمسمائة وتسع ونصف</t>
  </si>
  <si>
    <t>خمسمائة وتسع وست</t>
  </si>
  <si>
    <t>خمسمائة وتسع وسبع</t>
  </si>
  <si>
    <t>خمسمائة وتسع وثمان</t>
  </si>
  <si>
    <t>خمسمائة وتسع وتسع</t>
  </si>
  <si>
    <t>خمسمائة وعشر</t>
  </si>
  <si>
    <t>خمسمائة وعشر وواحدة</t>
  </si>
  <si>
    <t>خمسمائة وعشر واثنتان</t>
  </si>
  <si>
    <t>خمسمائة وعشر وثلاث</t>
  </si>
  <si>
    <t>عشرون يوما</t>
  </si>
  <si>
    <t>مائتان وسبع وثمانون وواحدة</t>
  </si>
  <si>
    <t>مائتان وسبع وثمانون واثنتان</t>
  </si>
  <si>
    <t>مائتان وسبع وثمانون وثلاث</t>
  </si>
  <si>
    <t>مائتان وخمس وثمانون وأربع</t>
  </si>
  <si>
    <t>مائتان وخمس وثمانون ونصف</t>
  </si>
  <si>
    <t>مائتان وخمس وثمانون وست</t>
  </si>
  <si>
    <t>مائتان وخمس وثمانون وسبع</t>
  </si>
  <si>
    <t>مائتان وخمس وثمانون وثمان</t>
  </si>
  <si>
    <t>مائتان وخمس وثمانون وتسع</t>
  </si>
  <si>
    <t xml:space="preserve">مائتان وست وثمانون </t>
  </si>
  <si>
    <t xml:space="preserve">مائتان وسبع وثمانون </t>
  </si>
  <si>
    <t>خمسمائة واحدى عشرة</t>
  </si>
  <si>
    <t>خمسمائة واحدى عشرة وواحدة</t>
  </si>
  <si>
    <t>خمسمائة واحدى عشرة واثنتان</t>
  </si>
  <si>
    <t>خمسمائة واحدى عشرة وثلاث</t>
  </si>
  <si>
    <t>خمسمائة واحدى عشرة وأربع</t>
  </si>
  <si>
    <t>خمسمائة واحدى عشرة ونصف</t>
  </si>
  <si>
    <t>خمسمائة واحدى عشرة وست</t>
  </si>
  <si>
    <t>خمسمائة واحدى عشرة وسبع</t>
  </si>
  <si>
    <t>خمسمائة واحدى عشرة وثمان</t>
  </si>
  <si>
    <t>خمسمائة واحدى عشرة وتسع</t>
  </si>
  <si>
    <t>خمسمائة واثنتا عشرة</t>
  </si>
  <si>
    <t>خمسمائة واثنتا عشرة وواحدة</t>
  </si>
  <si>
    <t>خمسمائة واثنتا عشرة واثنتان</t>
  </si>
  <si>
    <t>خمسمائة واثنتا عشرة وثلاث</t>
  </si>
  <si>
    <t>خمسمائة واثنتا عشرة وأربع</t>
  </si>
  <si>
    <t xml:space="preserve">مائتان وواحدة وتسعون </t>
  </si>
  <si>
    <t>مائتان وواحدة وتسعون وواحدة</t>
  </si>
  <si>
    <t>مائتان وواحدة وتسعون واثنتان</t>
  </si>
  <si>
    <t>مائتان وواحدة وتسعون وثلاث</t>
  </si>
  <si>
    <t>مائتان وواحدة وتسعون وأربع</t>
  </si>
  <si>
    <t>مائتان وواحدة وتسعون ونصف</t>
  </si>
  <si>
    <t>مائتان وواحدة وتسعون وست</t>
  </si>
  <si>
    <t>مائتان وواحدة وتسعون وسبع</t>
  </si>
  <si>
    <t>مائتان وواحدة وتسعون وثمان</t>
  </si>
  <si>
    <t>مائتان وواحدة وتسعون وتسع</t>
  </si>
  <si>
    <t xml:space="preserve">مائتان واثنتان وتسعون </t>
  </si>
  <si>
    <t>مائتان واثنتان وتسعون وواحدة</t>
  </si>
  <si>
    <t>مائتان واثنتان وتسعون واثنتان</t>
  </si>
  <si>
    <t>مائتان واثنتان وتسعون وثلاث</t>
  </si>
  <si>
    <t>مائتان واثنتان وتسعون وأربع</t>
  </si>
  <si>
    <t>خمسمائة وأربع عشرة وتسع</t>
  </si>
  <si>
    <t>خمسمائة وخمس عشرة</t>
  </si>
  <si>
    <t>خمسمائة وخمس عشرة وواحدة</t>
  </si>
  <si>
    <t>خمسمائة وخمس عشرة واثنتان</t>
  </si>
  <si>
    <t>خمسمائة وخمس عشرة وثلاث</t>
  </si>
  <si>
    <t>خمسمائة وخمس عشرة وأربع</t>
  </si>
  <si>
    <t>خمسمائة وخمس عشرة ونصف</t>
  </si>
  <si>
    <t>خمسمائة وخمس عشرة وست</t>
  </si>
  <si>
    <t>خمسمائة وخمس عشرة وسبع</t>
  </si>
  <si>
    <t>خمسمائة وخمس عشرة وثمان</t>
  </si>
  <si>
    <t>خمسمائة وخمس عشرة وتسع</t>
  </si>
  <si>
    <t>خمسمائة وست عشرة</t>
  </si>
  <si>
    <t>خمسمائة وست عشرة وواحدة</t>
  </si>
  <si>
    <t>خمسمائة وست عشرة واثنتان</t>
  </si>
  <si>
    <t>خمسمائة وست عشرة وثلاث</t>
  </si>
  <si>
    <t>خمسمائة وست عشرة وأربع</t>
  </si>
  <si>
    <t>خمسمائة وست عشرة ونصف</t>
  </si>
  <si>
    <t>خمسمائة وست عشرة وست</t>
  </si>
  <si>
    <t>سبعمائة وسبع و أربعون  ونصف</t>
  </si>
  <si>
    <t>سبعمائة وسبع و أربعون  وست</t>
  </si>
  <si>
    <t>سبعمائة وخمسون واثنتان</t>
  </si>
  <si>
    <t>سبعمائة وخمسون وثلاث</t>
  </si>
  <si>
    <t>سبعمائة وخمسون وأربع</t>
  </si>
  <si>
    <t>سبعمائة وخمسون ونصف</t>
  </si>
  <si>
    <t>سبعمائة وخمسون وست</t>
  </si>
  <si>
    <t>سبعمائة وخمسون وسبع</t>
  </si>
  <si>
    <t>سبعمائة وخمسون وثمان</t>
  </si>
  <si>
    <t>سبعمائة وخمسون وتسع</t>
  </si>
  <si>
    <t xml:space="preserve">سبعمائة وواحدة وخمسون </t>
  </si>
  <si>
    <t>سبعمائة وواحدة وخمسون وواحدة</t>
  </si>
  <si>
    <t>سبعمائة وواحدة وخمسون واثنتان</t>
  </si>
  <si>
    <t>سبعمائة وواحدة وخمسون وثلاث</t>
  </si>
  <si>
    <t>سبعمائة وواحدة وخمسون وأربع</t>
  </si>
  <si>
    <t>سبعمائة وواحدة وخمسون ونصف</t>
  </si>
  <si>
    <t>سبعمائة وواحدة وخمسون وست</t>
  </si>
  <si>
    <t>سبعمائة وواحدة وخمسون وسبع</t>
  </si>
  <si>
    <t>سبعمائة وواحدة وخمسون وثمان</t>
  </si>
  <si>
    <t>سبعمائة وواحدة وخمسون وتسع</t>
  </si>
  <si>
    <t xml:space="preserve">سبعمائة واثنتان وخمسون </t>
  </si>
  <si>
    <t>سبعمائة واثنتان وخمسون وواحدة</t>
  </si>
  <si>
    <t>سبعمائة واثنتان وخمسون واثنتان</t>
  </si>
  <si>
    <t>سبعمائة واثنتان وخمسون وثلاث</t>
  </si>
  <si>
    <t>سبعمائة واثنتان وخمسون وأربع</t>
  </si>
  <si>
    <t>سبعمائة واثنتان وخمسون ونصف</t>
  </si>
  <si>
    <t>سبعمائة واثنتان وخمسون وست</t>
  </si>
  <si>
    <t>سبعمائة واثنتان وخمسون وسبع</t>
  </si>
  <si>
    <t>سبعمائة واثنتان وخمسون وثمان</t>
  </si>
  <si>
    <t>سبعمائة واثنتان وخمسون وتسع</t>
  </si>
  <si>
    <t xml:space="preserve">سبعمائة وثلاث وخمسون </t>
  </si>
  <si>
    <t>سبعمائة وثلاث وخمسون وواحدة</t>
  </si>
  <si>
    <t>سبعمائة وثلاث وخمسون واثنتان</t>
  </si>
  <si>
    <t>TIK</t>
  </si>
  <si>
    <t>Imla</t>
  </si>
  <si>
    <t>Tahun Ajaran Hijriyah</t>
  </si>
  <si>
    <t>Titimangsa Raport (M)</t>
  </si>
  <si>
    <t>Titimangsa Raport (H)</t>
  </si>
  <si>
    <t>ثلاثمائة واثنان وعشرون وثمان</t>
  </si>
  <si>
    <t>ثلاثمائة واثنتان وعشرون وتسع</t>
  </si>
  <si>
    <t xml:space="preserve">ثلاثمائة وثلاث وعشرون </t>
  </si>
  <si>
    <t>ثلاثمائة وثلاث وعشرون  وواحدة</t>
  </si>
  <si>
    <t>ثلاثمائة وثلاث و عشرون واثنتان</t>
  </si>
  <si>
    <t>ثلاثمائة وثلاث وعشرون وثلاث</t>
  </si>
  <si>
    <t>ثلاثمائة وثلاث وعشرون وأربع</t>
  </si>
  <si>
    <t>ثلاثمائة وثلاث وعشرون ونصف</t>
  </si>
  <si>
    <t>خمسمائة واثنتان وعشرون ونصف</t>
  </si>
  <si>
    <t>خمسمائة واثنتان وعشرون وست</t>
  </si>
  <si>
    <t>خمسمائة واثنتان وعشرون وسبع</t>
  </si>
  <si>
    <t>خمسمائة واثنتان وعشرون وثمان</t>
  </si>
  <si>
    <t>خمسمائة واثنتان وعشرون وتسع</t>
  </si>
  <si>
    <t xml:space="preserve">سبعمائة وأربع وخمسون </t>
  </si>
  <si>
    <t>سبعمائة وأربع وخمسون وواحدة</t>
  </si>
  <si>
    <t>سبعمائة وأربع وخمسون واثنتان</t>
  </si>
  <si>
    <t>سبعمائة وأربع وخمسون وثلاث</t>
  </si>
  <si>
    <t>سبعمائة وأربع وخمسون وأربع</t>
  </si>
  <si>
    <t>سبعمائة وأربع وخمسون ونصف</t>
  </si>
  <si>
    <t>سبعمائة وأربع وخمسون وست</t>
  </si>
  <si>
    <t>سبعمائة وأربع وخمسون وسبع</t>
  </si>
  <si>
    <t>سبعمائة وأربع وخمسون وثمان</t>
  </si>
  <si>
    <t>سبعمائة وأربع وخمسون وتسع</t>
  </si>
  <si>
    <t xml:space="preserve">سبعمائة وخمس وخمسون </t>
  </si>
  <si>
    <t>سبعمائة وخمس وخمسون وواحدة</t>
  </si>
  <si>
    <t>سبعمائة وخمس وخمسون واثنتان</t>
  </si>
  <si>
    <t>سبعمائة وخمس وخمسون وثلاث</t>
  </si>
  <si>
    <t>سبعمائة وخمس وخمسون وأربع</t>
  </si>
  <si>
    <t>سبعمائة وخمس وخمسون ونصف</t>
  </si>
  <si>
    <t>سبعمائة وخمس وخمسون وست</t>
  </si>
  <si>
    <t>سبعمائة وخمس وخمسون وسبع</t>
  </si>
  <si>
    <t>سبعمائة وخمس وخمسون وثمان</t>
  </si>
  <si>
    <t>سبعمائة وخمس وخمسون وتسع</t>
  </si>
  <si>
    <t xml:space="preserve">سبعمائة وست وخمسون </t>
  </si>
  <si>
    <t>سبعمائة وست وخمسون وواحدة</t>
  </si>
  <si>
    <t>سبعمائة وست وخمسون واثنتان</t>
  </si>
  <si>
    <t>سبعمائة وست وخمسون وثلاث</t>
  </si>
  <si>
    <t>سبعمائة وست وخمسون وأربع</t>
  </si>
  <si>
    <t>سبعمائة وست وخمسون ونصف</t>
  </si>
  <si>
    <t>سبعمائة وست وخمسون وست</t>
  </si>
  <si>
    <t>سبعمائة وست وخمسون وسبع</t>
  </si>
  <si>
    <t>سبعمائة وست وخمسون وثمان</t>
  </si>
  <si>
    <t>سبعمائة وست وخمسون وتسع</t>
  </si>
  <si>
    <t xml:space="preserve">سبعمائة وسبع وخمسون </t>
  </si>
  <si>
    <t>سبعمائة وسبع وخمسون وواحدة</t>
  </si>
  <si>
    <t>سبعمائة وسبع وخمسون واثنتان</t>
  </si>
  <si>
    <t>سبعمائة وسبع وخمسون وثلاث</t>
  </si>
  <si>
    <t>سبعمائة وسبع وخمسون وأربع</t>
  </si>
  <si>
    <t>سبعمائة وسبع وخمسون ونصف</t>
  </si>
  <si>
    <t>سبعمائة وسبع وخمسون وست</t>
  </si>
  <si>
    <t>ثلاثمائة وسبع وعشرون وثمان</t>
  </si>
  <si>
    <t>ثلاثمائة وسبع وعشرون وتسع</t>
  </si>
  <si>
    <t xml:space="preserve">ثلاثمائة وثمان وعشرون </t>
  </si>
  <si>
    <t>ثلاثمائة وثمان وعشرون  وواحدة</t>
  </si>
  <si>
    <t>ثلاثمائة وثمان و عشرون واثنتان</t>
  </si>
  <si>
    <t>ثلاثمائة وثمان وعشرون وثلاث</t>
  </si>
  <si>
    <t>ثلاثمائة وثمان وعشرون وأربع</t>
  </si>
  <si>
    <t>ثلاثمائة وثمان وعشرون ونصف</t>
  </si>
  <si>
    <t>ثلاثمائة وثمان وعشرون وست</t>
  </si>
  <si>
    <t>ثلاثمائة وثمان وعشرون وسبع</t>
  </si>
  <si>
    <t>ثلاثمائة وثمان وعشرون وثمان</t>
  </si>
  <si>
    <t>ثلاثمائة وثمان وعشرون وتسع</t>
  </si>
  <si>
    <t xml:space="preserve">ثلاثمائة وتسع وعشرون </t>
  </si>
  <si>
    <t>ثلاثمائة وسبع وتسع</t>
  </si>
  <si>
    <t>ثلاثمائة وثمان وواحدة</t>
  </si>
  <si>
    <t>ثلاثمائة وثمان واثنتان</t>
  </si>
  <si>
    <t>ثلاثمائة وثمان وثلاث</t>
  </si>
  <si>
    <t>ثلاثمائة وثمان وأربع</t>
  </si>
  <si>
    <t>ثلاثمائة وثمان ونصف</t>
  </si>
  <si>
    <t>ثلاثمائة وثمان وست</t>
  </si>
  <si>
    <t>ثلاثمائة وثمان وسبع</t>
  </si>
  <si>
    <t>ثلاثمائة وثمان وثمان</t>
  </si>
  <si>
    <t>ثلاثمائة وثمان وتسع</t>
  </si>
  <si>
    <t>ثلاثمائة وتسع</t>
  </si>
  <si>
    <t>ثلاثمائة وتسع وواحدة</t>
  </si>
  <si>
    <t>ثلاثمائة وتسع واثنتان</t>
  </si>
  <si>
    <t>ثلاثمائة وتسع وثلاث</t>
  </si>
  <si>
    <t>ثلاثمائة وتسع وأربع</t>
  </si>
  <si>
    <t>ثلاثمائة وتسع ونصف</t>
  </si>
  <si>
    <t>ثلاثمائة وتسع وست</t>
  </si>
  <si>
    <t>ثلاثمائة وتسع وسبع</t>
  </si>
  <si>
    <t>ثلاثمائة وتسع وثمان</t>
  </si>
  <si>
    <t>ثلاثمائة وتسع وتسع</t>
  </si>
  <si>
    <t>ثلاثمائة وعشر</t>
  </si>
  <si>
    <t>ثلاثمائة وعشر وواحدة</t>
  </si>
  <si>
    <t>ثلاثمائة وعشر واثنتان</t>
  </si>
  <si>
    <t>ثلاثمائة وعشر وثلاث</t>
  </si>
  <si>
    <t>ثلاثمائة وعشر وأربع</t>
  </si>
  <si>
    <t>ثلاثمائة وعشر ونصف</t>
  </si>
  <si>
    <t>ثلاثمائة وعشر وست</t>
  </si>
  <si>
    <t>ثلاثمائة وعشر وسبع</t>
  </si>
  <si>
    <t>ثلاثمائة وعشر وثمان</t>
  </si>
  <si>
    <t>ثلاثمائة وعشر وتسع</t>
  </si>
  <si>
    <t>ثلاثمائة واحدى عشرة</t>
  </si>
  <si>
    <t>ثلاثمائة واحدى عشرة وواحدة</t>
  </si>
  <si>
    <t>ثلاثمائة واحدى عشرة واثنتان</t>
  </si>
  <si>
    <t>ثلاثمائة واحدى عشرة وثلاث</t>
  </si>
  <si>
    <t>ثلاثمائة واحدى عشرة وأربع</t>
  </si>
  <si>
    <t>ثلاثمائة واحدى عشرة ونصف</t>
  </si>
  <si>
    <t>ثلاثمائة واحدى عشرة وست</t>
  </si>
  <si>
    <t>ثلاثمائة واحدى عشرة وسبع</t>
  </si>
  <si>
    <t>ثلاثمائة واحدى عشرة وثمان</t>
  </si>
  <si>
    <t>ثلاثمائة واحدى عشرة وتسع</t>
  </si>
  <si>
    <t>ثلاثمائة وثلاث عشرة ونصف</t>
  </si>
  <si>
    <t>ثلاثمائة وثلاث عشرة وست</t>
  </si>
  <si>
    <t>ثلاثمائة وثلاث عشرة وسبع</t>
  </si>
  <si>
    <t>ثلاثمائة وثلاث عشرة وثمان</t>
  </si>
  <si>
    <t>ثلاثمائة وثلاث عشرة وتسع</t>
  </si>
  <si>
    <t>خمسمائة واثنتان و ثلاثون وسبع</t>
  </si>
  <si>
    <t>خمسمائة واثنتان و ثلاثون وثمان</t>
  </si>
  <si>
    <t>خمسمائة واثنتان و ثلاثون وتسع</t>
  </si>
  <si>
    <t xml:space="preserve">خمسمائة وثلاث و ثلاثون </t>
  </si>
  <si>
    <t xml:space="preserve">خمسمائة وأربع و ثلاثون </t>
  </si>
  <si>
    <t>خمسمائة وأربع و ثلاثون  وواحدة</t>
  </si>
  <si>
    <t>خمسمائة وأربع و ثلاثون واثنتان</t>
  </si>
  <si>
    <t>خمسمائة وأربع و ثلاثون وثلاث</t>
  </si>
  <si>
    <t>خمسمائة وأربع و ثلاثون وأربع</t>
  </si>
  <si>
    <t>خمسمائة وأربع و ثلاثون ونصف</t>
  </si>
  <si>
    <t>خمسمائة وأربع و ثلاثون وست</t>
  </si>
  <si>
    <t>خمسمائة وأربع و ثلاثون وسبع</t>
  </si>
  <si>
    <t>خمسمائة وأربع و ثلاثون وثمان</t>
  </si>
  <si>
    <t>خمسمائة وأربع و ثلاثون وتسع</t>
  </si>
  <si>
    <t xml:space="preserve">خمسمائة وخمس و ثلاثون </t>
  </si>
  <si>
    <t>خمسمائة وخمس و ثلاثون  وواحدة</t>
  </si>
  <si>
    <t>خمسمائة وخمس و ثلاثون واثنتان</t>
  </si>
  <si>
    <t>خمسمائة وخمس و ثلاثون وثلاث</t>
  </si>
  <si>
    <t>خمسمائة وخمس و ثلاثون وأربع</t>
  </si>
  <si>
    <t>ثلاثمائة وأربع عشرة وست</t>
  </si>
  <si>
    <t>ثلاثمائة وأربع عشرة وسبع</t>
  </si>
  <si>
    <t>ثلاثمائة وأربع عشرة وثمان</t>
  </si>
  <si>
    <t>ثلاثمائة وأربع عشرة وتسع</t>
  </si>
  <si>
    <t>ثلاثمائة وخمس عشرة</t>
  </si>
  <si>
    <t>ثلاثمائة وخمس عشرة وواحدة</t>
  </si>
  <si>
    <t>ثلاثمائة وخمس عشرة واثنتان</t>
  </si>
  <si>
    <t>ثلاثمائة وخمس عشرة وثلاث</t>
  </si>
  <si>
    <t>ثلاثمائة وخمس عشرة وأربع</t>
  </si>
  <si>
    <t>ثلاثمائة وخمس عشرة ونصف</t>
  </si>
  <si>
    <t>ثلاثمائة وخمس عشرة وست</t>
  </si>
  <si>
    <t>ثلاثمائة وخمس عشرة وسبع</t>
  </si>
  <si>
    <t>ثلاثمائة وخمس عشرة وثمان</t>
  </si>
  <si>
    <t>ثلاثمائة وخمس عشرة وتسع</t>
  </si>
  <si>
    <t>ثلاثمائة وست عشرة</t>
  </si>
  <si>
    <t>ثلاثمائة وست عشرة وواحدة</t>
  </si>
  <si>
    <t>ثلاثمائة وست عشرة واثنتان</t>
  </si>
  <si>
    <t>ثلاثمائة وست عشرة وثلاث</t>
  </si>
  <si>
    <t>ثلاثمائة وست عشرة وأربع</t>
  </si>
  <si>
    <t>ثلاثمائة وست عشرة ونصف</t>
  </si>
  <si>
    <t>ثلاثمائة وست عشرة وست</t>
  </si>
  <si>
    <t>ثلاثمائة وست عشرة وسبع</t>
  </si>
  <si>
    <t>ثلاثمائة وست عشرة وثمان</t>
  </si>
  <si>
    <t>ثلاثمائة وست عشرة وتسع</t>
  </si>
  <si>
    <t>ثلاثمائة وسبع عشرة</t>
  </si>
  <si>
    <t>ثلاثمائة وسبع عشر وواحدة</t>
  </si>
  <si>
    <t>ثلاثمائة وسبع عشرة واثنتان</t>
  </si>
  <si>
    <t>ثلاثمائة وسبع عشرة وثلاث</t>
  </si>
  <si>
    <t>ثلاثمائة وسبع عشرة وأربع</t>
  </si>
  <si>
    <t>ثلاثمائة وسبع عشرة ونصف</t>
  </si>
  <si>
    <t>ثلاثمائة وسبع عشرة وست</t>
  </si>
  <si>
    <t>ثلاثمائة وسبع عشرة وسبع</t>
  </si>
  <si>
    <t>ثلاثمائة وسبع عشرة وثمان</t>
  </si>
  <si>
    <t>ثلاثمائة وسبع عشرة وتسع</t>
  </si>
  <si>
    <t>ثلاثمائة وثمان عشرة</t>
  </si>
  <si>
    <t>ثلاثمائة وثمان عشر وواحدة</t>
  </si>
  <si>
    <t>ثلاثمائة وثمان عشر واثنتان</t>
  </si>
  <si>
    <t>ثلاثمائة وثمان عشر وثلاث</t>
  </si>
  <si>
    <t>ثلاثمائة وثمان عشرة وأربع</t>
  </si>
  <si>
    <t>ثلاثمائة وثمان عشرة ونصف</t>
  </si>
  <si>
    <t>ثلاثمائة وثمان عشرة وست</t>
  </si>
  <si>
    <t>ثلاثمائة وثمان عشرة وسبع</t>
  </si>
  <si>
    <t>ثلاثمائة وثمان عشرة وثمان</t>
  </si>
  <si>
    <t>ثلاثمائة وثمان عشرة وتسع</t>
  </si>
  <si>
    <t>ثلاثمائة وتسع عشرة</t>
  </si>
  <si>
    <t xml:space="preserve">خمسمائة وتسع و ثلاثون </t>
  </si>
  <si>
    <t>خمسمائة وتسع و ثلاثون  وواحدة</t>
  </si>
  <si>
    <t>خمسمائة وتسع و ثلاثون واثنتان</t>
  </si>
  <si>
    <t>خمسمائة وتسع و ثلاثون وثلاث</t>
  </si>
  <si>
    <t>خمسمائة وتسع و ثلاثون وأربع</t>
  </si>
  <si>
    <t>خمسمائة وتسع و ثلاثون ونصف</t>
  </si>
  <si>
    <t>خمسمائة وتسع و ثلاثون وست</t>
  </si>
  <si>
    <t>خمسمائة وتسع و ثلاثون وسبع</t>
  </si>
  <si>
    <t>سبعمائة وسبعون وواحدة</t>
  </si>
  <si>
    <t>سبعمائة وسبعون واثنتان</t>
  </si>
  <si>
    <t>سبعمائة وسبعون وثلاث</t>
  </si>
  <si>
    <t>سبعمائة وسبعون وأربع</t>
  </si>
  <si>
    <t>خمسمائة واثنتان و أربعون  وثلاث</t>
  </si>
  <si>
    <t>خمسمائة واثنتان و أربعون  وأربع</t>
  </si>
  <si>
    <t>خمسمائة واثنتان و أربعون  ونصف</t>
  </si>
  <si>
    <t>خمسمائة واثنتان و أربعون  وست</t>
  </si>
  <si>
    <t>خمسمائة واثنتان و أربعون  وسبع</t>
  </si>
  <si>
    <t>خمسمائة واثنتان و أربعون  وثمان</t>
  </si>
  <si>
    <t>سبعمائة واثنتان وسبعون وتسع</t>
  </si>
  <si>
    <t xml:space="preserve">سبعمائة وثلاث وسبعون </t>
  </si>
  <si>
    <t>سبعمائة وثلاث وسبعون وواحدة</t>
  </si>
  <si>
    <t>سبعمائة وثلاث وسبعون واثنتان</t>
  </si>
  <si>
    <t>سبعمائة وثلاث وسبعون وثلاث</t>
  </si>
  <si>
    <t>سبعمائة وثلاث وسبعون وأربع</t>
  </si>
  <si>
    <t>سبعمائة وثلاث وسبعون ونصف</t>
  </si>
  <si>
    <t>سبعمائة وثلاث وسبعون وست</t>
  </si>
  <si>
    <t>سبعمائة وثلاث وسبعون وسبع</t>
  </si>
  <si>
    <t>ثلاثمائة واثنتان وعشرون وست</t>
  </si>
  <si>
    <t>ثلاثمائة واثنتان وعشرون وسبع</t>
  </si>
  <si>
    <t>خمسمائة واثنتان و أربعون  وتسع</t>
  </si>
  <si>
    <t xml:space="preserve">خمسمائة وثلاث و أربعون </t>
  </si>
  <si>
    <t>خمسمائة وثلاث و أربعون   وواحدة</t>
  </si>
  <si>
    <t>خمسمائة وثلاث و أربعون  واثنتان</t>
  </si>
  <si>
    <t>خمسمائة وثلاث و أربعون  وثلاث</t>
  </si>
  <si>
    <t>ثلاثمائة واثنتان و أربعون  وتسع</t>
  </si>
  <si>
    <t xml:space="preserve">ثلاثمائة وثلاث و أربعون </t>
  </si>
  <si>
    <t>ثلاثمائة وثلاث و أربعون   وواحدة</t>
  </si>
  <si>
    <t>ثلاثمائة وثلاث و أربعون  واثنتان</t>
  </si>
  <si>
    <t>ثلاثمائة وثلاث و أربعون  وثلاث</t>
  </si>
  <si>
    <t>ثلاثمائة وثلاث و أربعون  وأربع</t>
  </si>
  <si>
    <t>ثلاثمائة وثلاث و أربعون  ونصف</t>
  </si>
  <si>
    <t>ثلاثمائة وثلاث و أربعون  وست</t>
  </si>
  <si>
    <t>ثلاثمائة وثلاث و أربعون  وسبع</t>
  </si>
  <si>
    <t>ثلاثمائة وثلاث و أربعون  وثمان</t>
  </si>
  <si>
    <t>ثلاثمائة وثلاث و أربعون  وتسع</t>
  </si>
  <si>
    <t>ثلاثمائة وأربع و أربعون  وتسع</t>
  </si>
  <si>
    <t>ثلاثمائة وأربع و أربعون   وواحدة</t>
  </si>
  <si>
    <t>ثلاثمائة وأربع و أربعون  واثنتان</t>
  </si>
  <si>
    <t>ثلاثمائة وأربع و أربعون  وثلاث</t>
  </si>
  <si>
    <t>ثلاثمائة وأربع و أربعون  وأربع</t>
  </si>
  <si>
    <t>ثلاثمائة وأربع و أربعون  ونصف</t>
  </si>
  <si>
    <t>ثلاثمائة وأربع و أربعون  وست</t>
  </si>
  <si>
    <t>ثلاثمائة وأربع و أربعون  وسبع</t>
  </si>
  <si>
    <t>ثلاثمائة وأربع و أربعون  وثمان</t>
  </si>
  <si>
    <t xml:space="preserve">ثلاثمائة وخمس و أربعون  </t>
  </si>
  <si>
    <t>ثلاثمائة وخمس و أربعون وواحدة</t>
  </si>
  <si>
    <t>ثلاثمائة وخمس و أربعون  واثنتان</t>
  </si>
  <si>
    <t>ثلاثمائة وأخمس و أربعون  وثلاث</t>
  </si>
  <si>
    <t>ثلاثمائة وخمس و أربعون  وأربع</t>
  </si>
  <si>
    <t>ثلاثمائة وخمس و أربعون  ونصف</t>
  </si>
  <si>
    <t>ثلاثمائة وخمس و أربعون  وست</t>
  </si>
  <si>
    <t>ثلاثمائة وخمس و أربعون  وسبع</t>
  </si>
  <si>
    <t>ثلاثمائة وخمس و أربعون  وثمان</t>
  </si>
  <si>
    <t>ثلاثمائة وخمس و أربعون  وتسع</t>
  </si>
  <si>
    <t xml:space="preserve">ثلاثمائة وست و أربعون  </t>
  </si>
  <si>
    <t>ثلاثمائة وست و أربعون   وواحدة</t>
  </si>
  <si>
    <t>ثلاثمائة وست و أربعون  واثنتان</t>
  </si>
  <si>
    <t>ثلاثمائة وست و أربعون  وثلاث</t>
  </si>
  <si>
    <t>ثلاثمائة وست و أربعون  وأربع</t>
  </si>
  <si>
    <t>ثلاثمائة وست و أربعون  ونصف</t>
  </si>
  <si>
    <t>ثلاثمائة وست و أربعون  وست</t>
  </si>
  <si>
    <t>ثلاثمائة وست و أربعون  وسبع</t>
  </si>
  <si>
    <t>ثلاثمائة وست و أربعون  وثمان</t>
  </si>
  <si>
    <t>ثلاثمائة وست و أربعون  وتسع</t>
  </si>
  <si>
    <t xml:space="preserve">ثلاثمائة وسبع و أربعون  </t>
  </si>
  <si>
    <t xml:space="preserve">خمسمائة وسبع و أربعون  </t>
  </si>
  <si>
    <t>خمسمائة وسبع و أربعون   وواحدة</t>
  </si>
  <si>
    <t>خمسمائة وسبع و أربعون  واثنتان</t>
  </si>
  <si>
    <t>خمسمائة وسبع و أربعون  وثلاث</t>
  </si>
  <si>
    <t>خمسمائة وسبع و أربعون  وأربع</t>
  </si>
  <si>
    <t>خمسمائة وسبع و أربعون  ونصف</t>
  </si>
  <si>
    <t>خمسمائة وسبع و أربعون  وست</t>
  </si>
  <si>
    <t>خمسمائة وسبع و أربعون  وسبع</t>
  </si>
  <si>
    <t>خمسمائة وسبع و أربعون  وثمان</t>
  </si>
  <si>
    <t>خمسمائة وسبع و أربعون  وتسع</t>
  </si>
  <si>
    <t xml:space="preserve">خمسمائة وثمان و أربعون  </t>
  </si>
  <si>
    <t>خمسمائة وثمان و أربعون   وواحدة</t>
  </si>
  <si>
    <t>خمسمائة وثمان و أربعون  واثنتان</t>
  </si>
  <si>
    <t>خمسمائة وثمان و أربعون  وثلاث</t>
  </si>
  <si>
    <t>خمسمائة وثمان و أربعون  وأربع</t>
  </si>
  <si>
    <t>خمسمائة وثمان و أربعون  ونصف</t>
  </si>
  <si>
    <t>خمسمائة وثمان و أربعون  وست</t>
  </si>
  <si>
    <t>خمسمائة وثمان و أربعون  وسبع</t>
  </si>
  <si>
    <t>خمسمائة وثمان و أربعون  وثمان</t>
  </si>
  <si>
    <t>خمسمائة وثمان و أربعون  وتسع</t>
  </si>
  <si>
    <t xml:space="preserve">خمسمائة وتسع و أربعون  </t>
  </si>
  <si>
    <t>خمسمائة وتسع و أربعون   وواحدة</t>
  </si>
  <si>
    <t>خمسمائة وتسع و أربعون  واثنتان</t>
  </si>
  <si>
    <t>خمسمائة وتسع و أربعون  وثلاث</t>
  </si>
  <si>
    <t>خمسمائة وتسع و أربعون  وأربع</t>
  </si>
  <si>
    <t>ثلاثمائة وثلاثون  وواحدة</t>
  </si>
  <si>
    <t>ثلاثمائة وثلاثون واثنتان</t>
  </si>
  <si>
    <t>ثلاثمائة وثلاثون وثلاث</t>
  </si>
  <si>
    <t>ثلاثمائة وثلاثون وأربع</t>
  </si>
  <si>
    <t>ثلاثمائة وثلاثون ونصف</t>
  </si>
  <si>
    <t>ثلاثمائة وثلاثون وست</t>
  </si>
  <si>
    <t>مائتان وسبع و أربعون  وثمان</t>
  </si>
  <si>
    <t>مائتان وسبع و أربعون  وتسع</t>
  </si>
  <si>
    <t>ثلاثمائة وثلاثون وسبع</t>
  </si>
  <si>
    <t>ثلاثمائة وثلاثون وثمان</t>
  </si>
  <si>
    <t>ثلاثمائة وثلاثون وتسع</t>
  </si>
  <si>
    <t xml:space="preserve">ثلاثمائة وواحدة وثلاثون </t>
  </si>
  <si>
    <t>ثلاثمائة وواحدة و ثلاثون  وواحدة</t>
  </si>
  <si>
    <t>ثلاثمائة وواحدة و ثلاثون واثنتان</t>
  </si>
  <si>
    <t>ثلاثمائة وواحدة و ثلاثون وثلاث</t>
  </si>
  <si>
    <t>ثلاثمائة وواحدة و ثلاثون وأربع</t>
  </si>
  <si>
    <t>ثلاثمائة وواحدة و ثلاثون ونصف</t>
  </si>
  <si>
    <t>ثلاثمائة وواحدة و ثلاثون وست</t>
  </si>
  <si>
    <t>ثلاثمائة وواحدة و ثلاثون وسبع</t>
  </si>
  <si>
    <t>ثلاثمائة وواحدة و ثلاثون وثمان</t>
  </si>
  <si>
    <t>ثلاثمائة وواحدة و ثلاثون وتسع</t>
  </si>
  <si>
    <t xml:space="preserve">ثلاثمائة واثنتان و ثلاثون </t>
  </si>
  <si>
    <t>ثلاثمائة واثنتان و ثلاثون  وواحدة</t>
  </si>
  <si>
    <t>ثلاثمائة واثنتان و ثلاثون واثنتان</t>
  </si>
  <si>
    <t>ثلاثمائة واثنتان و ثلاثون وثلاث</t>
  </si>
  <si>
    <t>ثلاثمائة واثنتان و ثلاثون وأربع</t>
  </si>
  <si>
    <t>ثلاثمائة واثنتان و ثلاثون ونصف</t>
  </si>
  <si>
    <t>مائتان وسبع وعشرون ونصف</t>
  </si>
  <si>
    <t>مائتان وسبع وعشرون وست</t>
  </si>
  <si>
    <t>مائتان وسبع وعشرون وسبع</t>
  </si>
  <si>
    <t>مائتان وسبع وعشرون وثمان</t>
  </si>
  <si>
    <t>مائتان وسبع وعشرون وتسع</t>
  </si>
  <si>
    <t>ثلاثمائة وثلاث و ثلاثون وست</t>
  </si>
  <si>
    <t>ثلاثمائة وثلاث و ثلاثون وسبع</t>
  </si>
  <si>
    <t>ثلاثمائة وثلاث و ثلاثون وثمان</t>
  </si>
  <si>
    <t>مثلاثمائة وثلاث و ثلاثون وتسع</t>
  </si>
  <si>
    <t xml:space="preserve">ثلاثمائة وأربع و ثلاثون </t>
  </si>
  <si>
    <t>ثلاثمائة وأربع و ثلاثون  وواحدة</t>
  </si>
  <si>
    <t>ثلاثمائة وأربع و ثلاثون واثنتان</t>
  </si>
  <si>
    <t>خمسمائة وثلاث وخمسون وتسع</t>
  </si>
  <si>
    <t xml:space="preserve">خمسمائة وأربع وخمسون </t>
  </si>
  <si>
    <t>خمسمائة وأربع وخمسون وواحدة</t>
  </si>
  <si>
    <t>خمسمائة وأربع وخمسون واثنتان</t>
  </si>
  <si>
    <t>خمسمائة وأربع وخمسون وثلاث</t>
  </si>
  <si>
    <t>خمسمائة وأربع وخمسون وأربع</t>
  </si>
  <si>
    <t>خمسمائة وأربع وخمسون ونصف</t>
  </si>
  <si>
    <t>خمسمائة وأربع وخمسون وست</t>
  </si>
  <si>
    <t>خمسمائة وأربع وخمسون وسبع</t>
  </si>
  <si>
    <t>خمسمائة وأربع وخمسون وثمان</t>
  </si>
  <si>
    <t>خمسمائة وأربع وخمسون وتسع</t>
  </si>
  <si>
    <t xml:space="preserve">خمسمائة وخمس وخمسون </t>
  </si>
  <si>
    <t>خمسمائة وخمس وخمسون وواحدة</t>
  </si>
  <si>
    <t>خمسمائة وخمس وخمسون واثنتان</t>
  </si>
  <si>
    <t>خمسمائة وخمس وخمسون وثلاث</t>
  </si>
  <si>
    <t>خمسمائة وخمس وخمسون وأربع</t>
  </si>
  <si>
    <t>خمسمائة وخمس وخمسون ونصف</t>
  </si>
  <si>
    <t>خمسمائة وخمس وخمسون وست</t>
  </si>
  <si>
    <t>خمسمائة وخمس وخمسون وسبع</t>
  </si>
  <si>
    <t>خمسمائة وخمس وخمسون وثمان</t>
  </si>
  <si>
    <t>خمسمائة وخمس وخمسون وتسع</t>
  </si>
  <si>
    <t xml:space="preserve">خمسمائة وست وخمسون </t>
  </si>
  <si>
    <t>خمسمائة وست وخمسون وواحدة</t>
  </si>
  <si>
    <t>خمسمائة وست وخمسون واثنتان</t>
  </si>
  <si>
    <t>خمسمائة وست وخمسون وثلاث</t>
  </si>
  <si>
    <t>خمسمائة وست وخمسون وأربع</t>
  </si>
  <si>
    <t>خمسمائة وست وخمسون ونصف</t>
  </si>
  <si>
    <t>خمسمائة وست وخمسون وست</t>
  </si>
  <si>
    <t>خمسمائة وست وخمسون وسبع</t>
  </si>
  <si>
    <t>خمسمائة وست وخمسون وثمان</t>
  </si>
  <si>
    <t>خمسمائة وست وخمسون وتسع</t>
  </si>
  <si>
    <t xml:space="preserve">خمسمائة وسبع وخمسون </t>
  </si>
  <si>
    <t>خمسمائة وسبع وخمسون وواحدة</t>
  </si>
  <si>
    <t>خمسمائة وسبع وخمسون واثنتان</t>
  </si>
  <si>
    <t>خمسمائة وسبع وخمسون وثلاث</t>
  </si>
  <si>
    <t>خمسمائة وسبع وخمسون وأربع</t>
  </si>
  <si>
    <t>خمسمائة وسبع وخمسون ونصف</t>
  </si>
  <si>
    <t>خمسمائة وسبع وخمسون وست</t>
  </si>
  <si>
    <t>خمسمائة وسبع وخمسون وسبع</t>
  </si>
  <si>
    <t>خمسمائة وسبع وخمسون وثمان</t>
  </si>
  <si>
    <t>خمسمائة وسبع وخمسون وتسع</t>
  </si>
  <si>
    <t>سبعمائة وسبع وثمانون وتسع</t>
  </si>
  <si>
    <t xml:space="preserve">سبعمائة وثمان وثمانون </t>
  </si>
  <si>
    <t>سبعمائة وثمان وثمانون وواحدة</t>
  </si>
  <si>
    <t>سبعمائة وثمان وثمانون واثنتان</t>
  </si>
  <si>
    <t>سبعمائة وثمان وثمانون وثلاث</t>
  </si>
  <si>
    <t>سبعمائة وثمان وثمانون وأربع</t>
  </si>
  <si>
    <t>سبعمائة وثمان وثمانون ونصف</t>
  </si>
  <si>
    <t>سبعمائة وثمان وثمانون وست</t>
  </si>
  <si>
    <t>سبعمائة وثمان وثمانون وسبع</t>
  </si>
  <si>
    <t>سبعمائة وثمان وثمانون وثمان</t>
  </si>
  <si>
    <t>سبعمائة وثمان وثمانون وتسع</t>
  </si>
  <si>
    <t>سبعمائة وتسع وثمانون</t>
  </si>
  <si>
    <t>سبعمائة وتسع وثمانون وواحدة</t>
  </si>
  <si>
    <t>سبعمائة وتسع وثمانون واثنتان</t>
  </si>
  <si>
    <t>سبعمائة وتسع وثمانون وثلاث</t>
  </si>
  <si>
    <t>سبعمائة وتسع وثمانون وأربع</t>
  </si>
  <si>
    <t>سبعمائة وتسع وثمانون ونصف</t>
  </si>
  <si>
    <t>سبعمائة وتسع وثمانون وست</t>
  </si>
  <si>
    <t>سبعمائة وتسع وثمانون وسبع</t>
  </si>
  <si>
    <t>سبعمائة وتسع وثمانون وثمان</t>
  </si>
  <si>
    <t>سبعمائة وتسع وثمانون وتسع</t>
  </si>
  <si>
    <t>خمسمائة وثمان وخمسون وثلاث</t>
  </si>
  <si>
    <t>خمسمائة وثمان وخمسون وأربع</t>
  </si>
  <si>
    <t>خمسمائة وثمان وخمسون ونصف</t>
  </si>
  <si>
    <t>خمسمائة وثمان وخمسون وست</t>
  </si>
  <si>
    <t>خمسمائة وثمان وخمسون وسبع</t>
  </si>
  <si>
    <t>خمسمائة وثمان وخمسون وثمان</t>
  </si>
  <si>
    <t>خمسمائة وثمان وخمسون وتسع</t>
  </si>
  <si>
    <t xml:space="preserve">خمسمائة وتسع وخمسون </t>
  </si>
  <si>
    <t>خمسمائة وتسع وخمسون وواحدة</t>
  </si>
  <si>
    <t>خمسمائة وتسع وخمسون واثنتان</t>
  </si>
  <si>
    <t>خمسمائة وتسع وخمسون وثلاث</t>
  </si>
  <si>
    <t>خمسمائة وتسع وخمسون وأربع</t>
  </si>
  <si>
    <t>خمسمائة وتسع وخمسون ونصف</t>
  </si>
  <si>
    <t>خمسمائة وتسع وخمسون وست</t>
  </si>
  <si>
    <t>خمسمائة وتسع وخمسون وسبع</t>
  </si>
  <si>
    <t>خمسمائة وستون</t>
  </si>
  <si>
    <t>خمسمائة وستون وواحدة</t>
  </si>
  <si>
    <t>خمسمائة وستون واثنتان</t>
  </si>
  <si>
    <t>خمسمائة وستون وثلاث</t>
  </si>
  <si>
    <t>خمسمائة وستون وأربع</t>
  </si>
  <si>
    <t>خمسمائة وستون ونصف</t>
  </si>
  <si>
    <t>خمسمائة وستون وست</t>
  </si>
  <si>
    <t>خمسمائة وستون وسبع</t>
  </si>
  <si>
    <t>خمسمائة وستون وثمان</t>
  </si>
  <si>
    <t>خمسمائة وستون وتسع</t>
  </si>
  <si>
    <t xml:space="preserve">خمسمائة وواحدة وستون </t>
  </si>
  <si>
    <t>خمسمائة وواحدة وستون وواحدة</t>
  </si>
  <si>
    <t>خمسمائة وواحدة وستون واثنتان</t>
  </si>
  <si>
    <t>سبعمائة واثنتان وتسعون وتسع</t>
  </si>
  <si>
    <t xml:space="preserve">سبعمائة وثلاث وتسعون </t>
  </si>
  <si>
    <t>سبعمائة وثلاث وتسعون وواحدة</t>
  </si>
  <si>
    <t>سبعمائة وثلاث وتسعون واثنتان</t>
  </si>
  <si>
    <t>سبعمائة وثلاث وتسعون وثلاث</t>
  </si>
  <si>
    <t>سبعمائة وثلاث وتسعون وأربع</t>
  </si>
  <si>
    <t>سبعمائة وثلاث وتسعون ونصف</t>
  </si>
  <si>
    <t>سبعمائة وثلاث وتسعون وست</t>
  </si>
  <si>
    <t>تسع مائة وست وسبعون وثمان</t>
  </si>
  <si>
    <t>تسع مائة وست وسبعون وتسع</t>
  </si>
  <si>
    <t>تسع مائة وسبع وسبعون</t>
  </si>
  <si>
    <t>تسع مائة وسبع وسبعون وواحدة</t>
  </si>
  <si>
    <t>تسع مائة وسبع وسبعون واثنتان</t>
  </si>
  <si>
    <t>تسع مائة وسبع وسبعون وثلاث</t>
  </si>
  <si>
    <t>تسع مائة وسبع وسبعون وأربع</t>
  </si>
  <si>
    <t>تسع مائة وسبع وسبعون ونصف</t>
  </si>
  <si>
    <t>تسع مائة وسبع وسبعون وست</t>
  </si>
  <si>
    <t>تسع مائة وسبع وسبعون وسبع</t>
  </si>
  <si>
    <t>تسع مائة وسبع وسبعون وثمان</t>
  </si>
  <si>
    <t>سبعمائة واثلاث وتسعون وثمان</t>
  </si>
  <si>
    <t>سبعمائة وثلاث وتسعون وتسع</t>
  </si>
  <si>
    <t xml:space="preserve">سبعمائة وأربع وتسعون </t>
  </si>
  <si>
    <t>سبعمائة وأربع وتسعون وواحدة</t>
  </si>
  <si>
    <t>سبعمائة وأربع وتسعون واثنتان</t>
  </si>
  <si>
    <t>سبعمائة وأربع وتسعون وثلاث</t>
  </si>
  <si>
    <t>سبعمائة وأربع وتسعون وأربع</t>
  </si>
  <si>
    <t>سبعمائة وأربع وتسعون ونصف</t>
  </si>
  <si>
    <t>سبعمائة وأربع وتسعون وست</t>
  </si>
  <si>
    <t>سبعمائة وأربع وتسعون وسبع</t>
  </si>
  <si>
    <t>ثلاثمائة وأربع وستون واثنتان</t>
  </si>
  <si>
    <t>ثلاثمائة وأربع وستون وثلاث</t>
  </si>
  <si>
    <t>ثلاثمائة وأربع وستون وأربع</t>
  </si>
  <si>
    <t>ثلاثمائة وأربع وستون ونصف</t>
  </si>
  <si>
    <t>ثلاثمائة وأربع وستون وست</t>
  </si>
  <si>
    <t>ثلاثمائة وأربع وستون وسبع</t>
  </si>
  <si>
    <t>ثلاثمائة وأربع وستون وثمان</t>
  </si>
  <si>
    <t>ثلاثمائة وأربع وستون وتسع</t>
  </si>
  <si>
    <t xml:space="preserve">ثلاثمائة وخمس وستون </t>
  </si>
  <si>
    <t>ثلاثمائة وخمس وستون وواحدة</t>
  </si>
  <si>
    <t>ثلاثمائة وخمس وستون واثنتان</t>
  </si>
  <si>
    <t>ثلاثمائة وخمس وستون وثلاث</t>
  </si>
  <si>
    <t>ثلاثمائة وخمس وستون وأربع</t>
  </si>
  <si>
    <t>ثلاثمائة وخمس وستون ونصف</t>
  </si>
  <si>
    <t>ثلاثمائة وخمس وستون وست</t>
  </si>
  <si>
    <t>ثلاثمائة وخمس وستون وسبع</t>
  </si>
  <si>
    <t>ثلاثمائة وخمس وستون وثمان</t>
  </si>
  <si>
    <t>ثلاثمائة وخمس وستون وتسع</t>
  </si>
  <si>
    <t>ثلاثمائة وست وستون</t>
  </si>
  <si>
    <t>ثلاثمائة وست وستون وواحدة</t>
  </si>
  <si>
    <t>ثلاثمائة وست وستون واثنتان</t>
  </si>
  <si>
    <t>ثلاثمائة وست وستون وثلاث</t>
  </si>
  <si>
    <t>ثلاثمائة وست وستون وأربع</t>
  </si>
  <si>
    <t>ثلاثمائة وست وستون ونصف</t>
  </si>
  <si>
    <t>ثلاثمائة وست وستون وست</t>
  </si>
  <si>
    <t>خمسمائة وسبع وستون وأربع</t>
  </si>
  <si>
    <t>خمسمائة وسبع وستون ونصف</t>
  </si>
  <si>
    <t>خمسمائة وسبع وستون وست</t>
  </si>
  <si>
    <t>خمسمائة وسبع وستون وسبع</t>
  </si>
  <si>
    <t>خمسمائة وسبع وستون وثمان</t>
  </si>
  <si>
    <t>خمسمائة وسبع وستون وتسع</t>
  </si>
  <si>
    <t xml:space="preserve">خمسمائة وثمان وستون </t>
  </si>
  <si>
    <t>خمسمائة وثمان وستون وواحدة</t>
  </si>
  <si>
    <t>خمسمائة وثمان وستون واثنتان</t>
  </si>
  <si>
    <t>خمسمائة وثمان وستون وثلاث</t>
  </si>
  <si>
    <t>خمسمائة وثمان وستون وأربع</t>
  </si>
  <si>
    <t>خمسمائة وثمان وستون ونصف</t>
  </si>
  <si>
    <t>خمسمائة وثمان وستون وست</t>
  </si>
  <si>
    <t>خمسمائة وثمان وستون وسبع</t>
  </si>
  <si>
    <t>خمسمائة وثمان وستون وثمان</t>
  </si>
  <si>
    <t>خمسمائة وثمان وستون وتسع</t>
  </si>
  <si>
    <t xml:space="preserve">خمسمائة وتسع وستون </t>
  </si>
  <si>
    <t>خمسمائة وتسع وستون وواحدة</t>
  </si>
  <si>
    <t>خمسمائة وتسع وستون واثنتان</t>
  </si>
  <si>
    <t>خمسمائة وتسع وستون وثلاث</t>
  </si>
  <si>
    <t>خمسمائة وتسع وستون وأربع</t>
  </si>
  <si>
    <t>خمسمائة وتسع وستون ونصف</t>
  </si>
  <si>
    <t>خمسمائة وتسع وستون وست</t>
  </si>
  <si>
    <t>خمسمائة وتسع وستون وسبع</t>
  </si>
  <si>
    <t>خمسمائة وتسع وستون وثمان</t>
  </si>
  <si>
    <t>خمسمائة وتسع وستون وتسع</t>
  </si>
  <si>
    <t xml:space="preserve">خمسمائة وسبعون </t>
  </si>
  <si>
    <t>خمسمائة وسبعون وواحدة</t>
  </si>
  <si>
    <t>خمسمائة وسبعون واثنتان</t>
  </si>
  <si>
    <t>خمسمائة وسبعون وثلاث</t>
  </si>
  <si>
    <t>خمسمائة وسبعون وأربع</t>
  </si>
  <si>
    <t>خمسمائة وسبعون ونصف</t>
  </si>
  <si>
    <t>خمسمائة وسبعون وست</t>
  </si>
  <si>
    <t>خمسمائة وسبعون وسبع</t>
  </si>
  <si>
    <t>خمسمائة وسبعون وثمان</t>
  </si>
  <si>
    <t>خمسمائة وسبعون وتسع</t>
  </si>
  <si>
    <t xml:space="preserve">خمسمائة وواحدة وسبعون </t>
  </si>
  <si>
    <t>خمسمائة وواحدة سبعون وواحدة</t>
  </si>
  <si>
    <t>خمسمائة وواحدة سبعون واثنتان</t>
  </si>
  <si>
    <t>خمسمائة وواحدة سبعون وثلاث</t>
  </si>
  <si>
    <t>خمسمائة وواحدة سبعون وأربع</t>
  </si>
  <si>
    <t>خمسمائة وواحدة سبعون ونصف</t>
  </si>
  <si>
    <t>خمسمائة وواحدة سبعون وست</t>
  </si>
  <si>
    <t>خمسمائة وواحدة سبعون وسبع</t>
  </si>
  <si>
    <t>خمسمائة وواحدة سبعون وثمان</t>
  </si>
  <si>
    <t>ثمــــــــــان مائة  واثنتان ونصف</t>
  </si>
  <si>
    <t>خمسمائة واثنتان وسبعون ونصف</t>
  </si>
  <si>
    <t>خمسمائة واثنان وسبعون وست</t>
  </si>
  <si>
    <t>خمسمائة واثنان وسبعون وسبع</t>
  </si>
  <si>
    <t>خمسمائة واثنان وسبعون وثمان</t>
  </si>
  <si>
    <t>ثلاثمائة وخمسون وست</t>
  </si>
  <si>
    <t>ثلاثمائة وخمسون وسبع</t>
  </si>
  <si>
    <t>ثلاثمائة وخمسون وثمان</t>
  </si>
  <si>
    <t>ثلاثمائة وخمسون وتسع</t>
  </si>
  <si>
    <t xml:space="preserve">ثلاثمائة وواحدة وخمسون </t>
  </si>
  <si>
    <t>مائتان وثمان و أربعون  وثمان</t>
  </si>
  <si>
    <t>مائتان وثمان و أربعون  وتسع</t>
  </si>
  <si>
    <t xml:space="preserve">مائتان وتسع و أربعون  </t>
  </si>
  <si>
    <t>مائتان وتسع و أربعون   وواحدة</t>
  </si>
  <si>
    <t>مائتان وتسع و أربعون  واثنتان</t>
  </si>
  <si>
    <t>مائتان وتسع و أربعون  وثلاث</t>
  </si>
  <si>
    <t>مائتان وتسع و أربعون  وأربع</t>
  </si>
  <si>
    <t>مائتان وتسع و أربعون  ونصف</t>
  </si>
  <si>
    <t>ثلاثمائة وثلاث وخمسون وتسع</t>
  </si>
  <si>
    <t xml:space="preserve">ثلاثمائة وأربع وخمسون </t>
  </si>
  <si>
    <t>ثلاثمائة وأربع وخمسون وواحدة</t>
  </si>
  <si>
    <t>ثلاثمائة وأربع وخمسون واثنتان</t>
  </si>
  <si>
    <t xml:space="preserve">ثلاثمائة وثلاث وخمسون </t>
  </si>
  <si>
    <t>ثلاثمائة وثلاث وخمسون وواحدة</t>
  </si>
  <si>
    <t>ثلاثمائة وثلاث وخمسون واثنتان</t>
  </si>
  <si>
    <t>ثلاثمائة وثلاث وخمسون وثلاث</t>
  </si>
  <si>
    <t>ثلاثمائة وثلاث وخمسون وأربع</t>
  </si>
  <si>
    <t>ثلاثمائة وثلاث وخمسون ونصف</t>
  </si>
  <si>
    <t>ثلاثمائة وثلاث وخمسون وست</t>
  </si>
  <si>
    <t>ثلاثمائة وثلاث وخمسون وسبع</t>
  </si>
  <si>
    <t>ثلاثمائة وثلاث وخمسون وثمان</t>
  </si>
  <si>
    <t xml:space="preserve">خمسمائة وست وسبعون </t>
  </si>
  <si>
    <t>خمسمائة وست وسبعون وواحدة</t>
  </si>
  <si>
    <t>خمسمائة وست وسبعون واثنتان</t>
  </si>
  <si>
    <t>خمسمائة وست وسبعون وثلاث</t>
  </si>
  <si>
    <t>خمسمائة وست وسبعون وأربع</t>
  </si>
  <si>
    <t>خمسمائة وست وسبعون ونصف</t>
  </si>
  <si>
    <t>خمسمائة وست وسبعون وست</t>
  </si>
  <si>
    <t>خمسمائة وست وسبعون وسبع</t>
  </si>
  <si>
    <t>خمسمائة وست وسبعون وثمان</t>
  </si>
  <si>
    <t>خمسمائة وست وسبعون وتسع</t>
  </si>
  <si>
    <t>خمسمائة وسبع وسبعون</t>
  </si>
  <si>
    <t>خمسمائة وسبع وسبعون وواحدة</t>
  </si>
  <si>
    <t>خمسمائة وسبع وسبعون واثنتان</t>
  </si>
  <si>
    <t>خمسمائة وسبع وسبعون وثلاث</t>
  </si>
  <si>
    <t>خمسمائة وسبع وسبعون وأربع</t>
  </si>
  <si>
    <t>خمسمائة وسبع وسبعون ونصف</t>
  </si>
  <si>
    <t>خمسمائة وسبع وسبعون وست</t>
  </si>
  <si>
    <t>خمسمائة وسبع وسبعون وسبع</t>
  </si>
  <si>
    <t>خمسمائة وسبع وسبعون وثمان</t>
  </si>
  <si>
    <t>ثمــــــــــان مائة  وسبع وواحدة</t>
  </si>
  <si>
    <t>ثمــــــــــان مائة  وسبع واثنتان</t>
  </si>
  <si>
    <t>ثمــــــــــان مائة  وسبع وثلاث</t>
  </si>
  <si>
    <t>ثمــــــــــان مائة  وسبع وأربع</t>
  </si>
  <si>
    <t>ثمــــــــــان مائة  وسبع ونصف</t>
  </si>
  <si>
    <t>ثمــــــــــان مائة  وسبع وست</t>
  </si>
  <si>
    <t>ثمــــــــــان مائة  وسبع وسبع</t>
  </si>
  <si>
    <t>ثمــــــــــان مائة  وسبع وثمان</t>
  </si>
  <si>
    <t>ثمــــــــــان مائة  وسبع وتسع</t>
  </si>
  <si>
    <t>ثمــــــــــا نمائة و ثمان وواحدة</t>
  </si>
  <si>
    <t>ثمــــــــــان  مائة وثمان واثنتان</t>
  </si>
  <si>
    <t>ثمــــــــــان مائة  وثمان وثلاث</t>
  </si>
  <si>
    <t>ثمــــــــــان مائة  وثمان وأربع</t>
  </si>
  <si>
    <t>ثمــــــــــان مائة  وثمان ونصف</t>
  </si>
  <si>
    <t>ثمــــــــــان مائة  وثمان وست</t>
  </si>
  <si>
    <t>ثمــــــــــان مائة  وثمان وسبع</t>
  </si>
  <si>
    <t>ثمــــــــــان مائة  وثمان وثمان</t>
  </si>
  <si>
    <t>ثمــــــــــان مائة  وثمان وتسع</t>
  </si>
  <si>
    <t>ثمــــــــــان مائة  وتسع</t>
  </si>
  <si>
    <t>ثمــــــــــان مائة  وتسع وواحدة</t>
  </si>
  <si>
    <t>ثمــــــــــان مائة  وتسع واثنتان</t>
  </si>
  <si>
    <t>ثمــــــــــان مائة  وتسع وثلاث</t>
  </si>
  <si>
    <t>ثمــــــــــان مائة  وتسع وأربع</t>
  </si>
  <si>
    <t>ثمــــــــــان مائة  وتسع ونصف</t>
  </si>
  <si>
    <t>ثمــــــــــان مائة  وتسع وست</t>
  </si>
  <si>
    <t>ثمــــــــــان مائة  وتسع وسبع</t>
  </si>
  <si>
    <t>ثمــــــــــان مائة  وتسع وثمان</t>
  </si>
  <si>
    <t>ثمــــــــــان مائة  وتسع وتسع</t>
  </si>
  <si>
    <t>ثمــــــــــان مائة  وعشر</t>
  </si>
  <si>
    <t>ثمــــــــــان مائة  وعشر وواحدة</t>
  </si>
  <si>
    <t>ثمــــــــــان مائة  وعشر واثنتان</t>
  </si>
  <si>
    <t>ثمــــــــــان مائة  وعشر وثلاث</t>
  </si>
  <si>
    <t>ثمــــــــــان مائة  وعشر وأربع</t>
  </si>
  <si>
    <t>ثمــــــــــان مائة  وعشر ونصف</t>
  </si>
  <si>
    <t>ثمــــــــــان مائة  وعشر وست</t>
  </si>
  <si>
    <t>ثمــــــــــان مائة  وعشر وسبع</t>
  </si>
  <si>
    <t>تسع مائة وسبع وتسعون وثمان</t>
  </si>
  <si>
    <t>تسع مائة وسبع وتسعون وتسع</t>
  </si>
  <si>
    <t>تسع مائة وثمان وتسعون</t>
  </si>
  <si>
    <t>تسع مائة وثمان وتسعون وواحدة</t>
  </si>
  <si>
    <t>تسع مائة وثمان وتسعون واثنتان</t>
  </si>
  <si>
    <t>تسع مائة وثمان وتسعون وثلاث</t>
  </si>
  <si>
    <t>تسع مائة وثمان وتسعون وأربع</t>
  </si>
  <si>
    <t>تسع مائة وثمان وتسعون ونصف</t>
  </si>
  <si>
    <t>تسع مائة وثمان وتسعون وست</t>
  </si>
  <si>
    <t>تسع مائة وسبع وتسعون وست</t>
  </si>
  <si>
    <t>تسع مائة وسبع وتسعون وسبع</t>
  </si>
  <si>
    <t>خمسمائة وثلاث وثمانون وثمان</t>
  </si>
  <si>
    <t>خمسمائة وثلاث وثمانون وتسع</t>
  </si>
  <si>
    <t xml:space="preserve">خمسمائة وأربع وثمانون </t>
  </si>
  <si>
    <t>خمسمائة وثلاث وثمانون وواحدة</t>
  </si>
  <si>
    <t>خمسمائة وأربع وثمانون وسبع</t>
  </si>
  <si>
    <t>خمسمائة وأربع وثمانون وثمان</t>
  </si>
  <si>
    <t>خمسمائة وأربع وثمانون وتسع</t>
  </si>
  <si>
    <t xml:space="preserve">خمسمائة وخمس وثمانون </t>
  </si>
  <si>
    <t>خمسمائة وخمس وثمانون وواحدة</t>
  </si>
  <si>
    <t>خمسمائة وخمس وثمانون واثنتان</t>
  </si>
  <si>
    <t>خمسمائة وخمس وثمانون وثلاث</t>
  </si>
  <si>
    <t>خمسمائة وخمس وثمانون وأربع</t>
  </si>
  <si>
    <t>خمسمائة وخمس وثمانون ونصف</t>
  </si>
  <si>
    <t>خمسمائة وخمس وثمانون وست</t>
  </si>
  <si>
    <t>خمسمائة وخمس وثمانون وسبع</t>
  </si>
  <si>
    <t>خمسمائة وخمس وثمانون وثمان</t>
  </si>
  <si>
    <t>خمسمائة وخمس وثمانون وتسع</t>
  </si>
  <si>
    <t xml:space="preserve">خمسمائة وست وثمانون </t>
  </si>
  <si>
    <t xml:space="preserve">خمسمائة وسبع وثمانون </t>
  </si>
  <si>
    <t>خمسمائة وسبع وثمانون وواحدة</t>
  </si>
  <si>
    <t>ثمــــــــــان مائة  وثلاث عشرة وثمان</t>
  </si>
  <si>
    <t>ثمــــــــــان مائة  وثلاث عشرة وتسع</t>
  </si>
  <si>
    <t>ثمــــــــــان مائة  وأربع عشرة</t>
  </si>
  <si>
    <t>ثمــــــــــان مائة  وأربع عشرة وواحدة</t>
  </si>
  <si>
    <t>ثمــــــــــان مائة  وأربع عشرة واثنتان</t>
  </si>
  <si>
    <t>ثمــــــــــان مائة  وأربع عشرة وثلاث</t>
  </si>
  <si>
    <t>ثمــــــــــان مائة  وأربع عشرة وأربع</t>
  </si>
  <si>
    <t>ثمــــــــــان مائة  وأربع عشرة ونصف</t>
  </si>
  <si>
    <t>ثلاثمائة وثلاث وثمانون واثنتان</t>
  </si>
  <si>
    <t>ثلاثمائة وثلاث وثمانون وثلاث</t>
  </si>
  <si>
    <t>ثلاثمائة وثلاث وثمانون وأربع</t>
  </si>
  <si>
    <t>ثلاثمائة وثلاث وثمانون ونصف</t>
  </si>
  <si>
    <t>ثلاثمائة وثلاث وثمانون وست</t>
  </si>
  <si>
    <t>ثلاثمائة وثلاث وثمانون وسبع</t>
  </si>
  <si>
    <t>ثلاثمائة وثلاث وثمانون وثمان</t>
  </si>
  <si>
    <t>ثلاثمائة وثلاث وثمانون وتسع</t>
  </si>
  <si>
    <t xml:space="preserve">ثلاثمائة وأربع وثمانون </t>
  </si>
  <si>
    <t>ثلاثمائة وأربع وثمانون وواحدة</t>
  </si>
  <si>
    <t>ثلاثمائة وأربع وثمانون واثنتان</t>
  </si>
  <si>
    <t>ثلاثمائة وأربع وثمانون وثلاث</t>
  </si>
  <si>
    <t>ثلاثمائة وأربع وثمانون وأربع</t>
  </si>
  <si>
    <t>ثلاثمائة وأربع وثمانون ونصف</t>
  </si>
  <si>
    <t>ثلاثمائة وأربع وثمانون وست</t>
  </si>
  <si>
    <t>خمسمائة وسبع وثمانون وسبع</t>
  </si>
  <si>
    <t>خمسمائة وسبع وثمانون وثمان</t>
  </si>
  <si>
    <t>خمسمائة وسبع وثمانون وتسع</t>
  </si>
  <si>
    <t xml:space="preserve">خمسمائة وثمان وثمانون </t>
  </si>
  <si>
    <t>خمسمائة وثمان وثمانون وواحدة</t>
  </si>
  <si>
    <t>خمسمائة وثمان وثمانون واثنتان</t>
  </si>
  <si>
    <t>خمسمائة وثمان وثمانون وثلاث</t>
  </si>
  <si>
    <t>خمسمائة وثمان وثمانون وأربع</t>
  </si>
  <si>
    <t>خمسمائة وثمان وثمانون ونصف</t>
  </si>
  <si>
    <t>خمسمائة وثمان وثمانون وست</t>
  </si>
  <si>
    <t>خمسمائة وثمان وثمانون وسبع</t>
  </si>
  <si>
    <t>خمسمائة وثمان وثمانون وثمان</t>
  </si>
  <si>
    <t>خمسمائة وثمان وثمانون وتسع</t>
  </si>
  <si>
    <t>خمسمائة وتسع وثمانون</t>
  </si>
  <si>
    <t>خمسمائة وتسع وثمانون وواحدة</t>
  </si>
  <si>
    <t>خمسمائة وتسع وثمانون واثنتان</t>
  </si>
  <si>
    <t>خمسمائة وتسع وثمانون وثلاث</t>
  </si>
  <si>
    <t>خمسمائة وتسع وثمانون وأربع</t>
  </si>
  <si>
    <t>خمسمائة وتسع وثمانون ونصف</t>
  </si>
  <si>
    <t>خمسمائة وتسع وثمانون وست</t>
  </si>
  <si>
    <t>خمسمائة وتسع وثمانون وسبع</t>
  </si>
  <si>
    <t>خمسمائة وتسع وثمانون وثمان</t>
  </si>
  <si>
    <t>خمسمائة وتسع وثمانون وتسع</t>
  </si>
  <si>
    <t>خمسمائة وتسعون</t>
  </si>
  <si>
    <t>خمسمائة وتسعون وواحدة</t>
  </si>
  <si>
    <t>خمسمائة وتسعون واثنتان</t>
  </si>
  <si>
    <t>خمسمائة وتسعون وثلاث</t>
  </si>
  <si>
    <t>خمسمائة وتسعون وأربع</t>
  </si>
  <si>
    <t>خمسمائة وتسعون ونصف</t>
  </si>
  <si>
    <t>خمسمائة وتسعون وست</t>
  </si>
  <si>
    <t>خمسمائة وتسعون وسبع</t>
  </si>
  <si>
    <t>خمسمائة وتسعون وثمان</t>
  </si>
  <si>
    <t>خمسمائة وتسعون وتسع</t>
  </si>
  <si>
    <t xml:space="preserve">خمسمائة وواحدة وتسعون </t>
  </si>
  <si>
    <t>خمسمائة وواحدة وتسعون وواحدة</t>
  </si>
  <si>
    <t>خمسمائة وواحدة وتسعون واثنتان</t>
  </si>
  <si>
    <t>خمسمائة وواحدة وتسعون وثلاث</t>
  </si>
  <si>
    <t>خمسمائة وواحدة وتسعون وأربع</t>
  </si>
  <si>
    <t>خمسمائة وواحدة وتسعون ونصف</t>
  </si>
  <si>
    <t>خمسمائة وواحدة وتسعون وست</t>
  </si>
  <si>
    <t>ثمــــــــــان مائة  وثمان عشرة وسبع</t>
  </si>
  <si>
    <t>ثمــــــــــان مائة  وثمان عشرة وثمان</t>
  </si>
  <si>
    <t>ثمــــــــــان مائة  وثمان عشرة وتسع</t>
  </si>
  <si>
    <t>ثمــــــــــان مائة  وتسع عشرة</t>
  </si>
  <si>
    <t>ثمــــــــــان مائة  وتسع عشرة وواحدة</t>
  </si>
  <si>
    <t>ثمــــــــــان مائة  وتسع عشرة واثنتان</t>
  </si>
  <si>
    <t>ثمــــــــــان مائة  وتسع عشرة وثلاث</t>
  </si>
  <si>
    <t>ألف  واحدى عشرة وأربع</t>
  </si>
  <si>
    <t>ألف  واحدى عشرة ونصف</t>
  </si>
  <si>
    <t>ألف  واحدى عشرة وست</t>
  </si>
  <si>
    <t>خمسمائة واثنتان وتسعون وتسع</t>
  </si>
  <si>
    <t xml:space="preserve">خمسمائة وثلاث وتسعون </t>
  </si>
  <si>
    <t>خمسمائة وثلاث وتسعون وواحدة</t>
  </si>
  <si>
    <t>خمسمائة وثلاث وتسعون واثنتان</t>
  </si>
  <si>
    <t>خمسمائة وثلاث وتسعون وثلاث</t>
  </si>
  <si>
    <t>خمسمائة وثلاث وتسعون وأربع</t>
  </si>
  <si>
    <t>خمسمائة وثلاث وتسعون ونصف</t>
  </si>
  <si>
    <t>ثمــــــــــان مائة  وتسع عشرة وأربع</t>
  </si>
  <si>
    <t>ثمــــــــــان مائة  وتسع عشرة ونصف</t>
  </si>
  <si>
    <t>ثمــــــــــان مائة  وتسع عشرة وست</t>
  </si>
  <si>
    <t>ثمــــــــــان مائة  وتسع عشرة وسبع</t>
  </si>
  <si>
    <t>ثمــــــــــان مائة  وتسع عشرة وثمان</t>
  </si>
  <si>
    <t>ثمــــــــــان مائة  وتسع عشرة وتسع</t>
  </si>
  <si>
    <t>ثمــــــــــان مائة  وعشرون</t>
  </si>
  <si>
    <t>ثمــــــــــان مائة  وعشرون وواحدة</t>
  </si>
  <si>
    <t>ثمــــــــــان مائة  وعشرون واثنتان</t>
  </si>
  <si>
    <t>ثمــــــــــان مائة  وعشرون وثلاث</t>
  </si>
  <si>
    <t>خمسمائة وأربع وتسعون وثلاث</t>
  </si>
  <si>
    <t>خمسمائة وأربع وتسعون وأربع</t>
  </si>
  <si>
    <t>خمسمائة وأربع وتسعون ونصف</t>
  </si>
  <si>
    <t>ثلاثمائة واثنتان وسبعون وثلاث</t>
  </si>
  <si>
    <t>ثلاثمائة واثنتان وسبعون وأربع</t>
  </si>
  <si>
    <t>ثلاثمائة واثنتان وسبعون ونصف</t>
  </si>
  <si>
    <t>ثلاثمائة واثنتان وسبعون وست</t>
  </si>
  <si>
    <t>ثلاثمائة واثنتان وسبعون وسبع</t>
  </si>
  <si>
    <t>ثلاثمائة واثنتان وسبعون وثمان</t>
  </si>
  <si>
    <t>ثلاثمائة واثنتان وسبعون وتسع</t>
  </si>
  <si>
    <t xml:space="preserve">ثلاثمائة وثلاث وسبعون </t>
  </si>
  <si>
    <t>ثلاثمائة وثلاث وسبعون وواحدة</t>
  </si>
  <si>
    <t>ثلاثمائة وثلاث وسبعون واثنتان</t>
  </si>
  <si>
    <t>ثلاثمائة وثلاث وسبعون وثلاث</t>
  </si>
  <si>
    <t>ثلاثمائة وخمس وسبعون وأربع</t>
  </si>
  <si>
    <t>ثلاثمائة وخمس وسبعون ونصف</t>
  </si>
  <si>
    <t>ثلاثمائة وأربع وسبعون وواحدة</t>
  </si>
  <si>
    <t>ثلاثمائة وأربع وسبعون واثنتان</t>
  </si>
  <si>
    <t>ثلاثمائة وأربع وسبعون وثلاث</t>
  </si>
  <si>
    <t>ثلاثمائة وأربع وسبعون وأربع</t>
  </si>
  <si>
    <t>ثلاثمائة وأربع وسبعون ونصف</t>
  </si>
  <si>
    <t>ثلاثمائة وأربع وسبعون وست</t>
  </si>
  <si>
    <t>ثلاثمائة وأربع وسبعون وسبع</t>
  </si>
  <si>
    <t>ثلاثمائة وأربع وسبعون وثمان</t>
  </si>
  <si>
    <t>ثلاثمائة وأربع وسبعون وتسع</t>
  </si>
  <si>
    <t xml:space="preserve">ثلاثمائة وخمس وسبعون </t>
  </si>
  <si>
    <t>خمسمائة وتسع وتسعون وسبع</t>
  </si>
  <si>
    <t>خمسمائة وتسع وتسعون وثمان</t>
  </si>
  <si>
    <t>خمسمائة وتسع وتسعون وتسع</t>
  </si>
  <si>
    <t>ثمــــــــــان مائة واثنتان وعشرون وأربع</t>
  </si>
  <si>
    <t>ثمــــــــــان مائة واثنتان وعشرون ونصف</t>
  </si>
  <si>
    <t>ثمــــــــــان مائة واثنتان وعشرون وست</t>
  </si>
  <si>
    <t>ثمــــــــــان مائة واثنتان وعشرون وسبع</t>
  </si>
  <si>
    <t>ثمــــــــــان مائة واثنتان وعشرون وثمان</t>
  </si>
  <si>
    <t>ثمــــــــــان مائة واثنتان وعشرون وتسع</t>
  </si>
  <si>
    <t xml:space="preserve">ثمــــــــــان مائة وثلاث وعشرون </t>
  </si>
  <si>
    <t>ثمــــــــــان مائة وثلاث وعشرون  وواحدة</t>
  </si>
  <si>
    <t>ثمــــــــــان مائة وثلاث و عشرون واثنتان</t>
  </si>
  <si>
    <t>ثمــــــــــان مائة وثلاث وعشرون وثلاث</t>
  </si>
  <si>
    <t>ثمــــــــــان مائة وثلاث وعشرون وأربع</t>
  </si>
  <si>
    <t>ثمــــــــــان مائة وثلاث وعشرون ونصف</t>
  </si>
  <si>
    <t>ثمــــــــــان مائة وثلاث وعشرون وست</t>
  </si>
  <si>
    <t>ثمــــــــــان مائة وثلاث وعشرون وسبع</t>
  </si>
  <si>
    <t>ثمــــــــــان مائة وثلاث وعشرون وثمان</t>
  </si>
  <si>
    <t>ثمــــــــــان مائة وثلاث وعشرون وتسع</t>
  </si>
  <si>
    <t xml:space="preserve">ثمــــــــــان مائة وأربع وعشرون </t>
  </si>
  <si>
    <t>ثمــــــــــان مائة وأربع وعشرون  وواحدة</t>
  </si>
  <si>
    <t>ثمــــــــــان مائة وأربع و عشرون واثنتان</t>
  </si>
  <si>
    <t>ثمــــــــــان مائة وأربع وعشرون وثلاث</t>
  </si>
  <si>
    <t>ستمائة وأربع وثمان</t>
  </si>
  <si>
    <t>ستمائة وأربع وتسع</t>
  </si>
  <si>
    <t>ستمائة وخمس</t>
  </si>
  <si>
    <t>ستمائة وخمس وواحدة</t>
  </si>
  <si>
    <t>ستمائة وخمس واثنتان</t>
  </si>
  <si>
    <t>ستمائة وخمس وثلاث</t>
  </si>
  <si>
    <t>ستمائة وخمس وأربع</t>
  </si>
  <si>
    <t>ستمائة وخمس ونصف</t>
  </si>
  <si>
    <t>ستمائة وخمس وست</t>
  </si>
  <si>
    <t>ستمائة وخمس وسبع</t>
  </si>
  <si>
    <t>ستمائة وخمس وثمان</t>
  </si>
  <si>
    <t>ستمائة وخمس وتسع</t>
  </si>
  <si>
    <t>ستمائة وست وواحدة</t>
  </si>
  <si>
    <t>ستمائة وست واثنتان</t>
  </si>
  <si>
    <t xml:space="preserve">ستمائة وست وثلاث </t>
  </si>
  <si>
    <t>ستمائة وست وأربع</t>
  </si>
  <si>
    <t>ستمائة وست ونصف</t>
  </si>
  <si>
    <t>ستمائة وست وست</t>
  </si>
  <si>
    <t>ستمائة وست وسبع</t>
  </si>
  <si>
    <t>ستمائة وست وثمان</t>
  </si>
  <si>
    <t>ستمائة وست وتسع</t>
  </si>
  <si>
    <t>ستمائة وسبع وواحدة</t>
  </si>
  <si>
    <t>ستمائة وسبع واثنتان</t>
  </si>
  <si>
    <t>ستمائة وسبع وثلاث</t>
  </si>
  <si>
    <t>ستمائة وسبع وأربع</t>
  </si>
  <si>
    <t>ستمائة وسبع ونصف</t>
  </si>
  <si>
    <t>ستمائة وسبع وست</t>
  </si>
  <si>
    <t>ستمائة وسبع وسبع</t>
  </si>
  <si>
    <t>ستمائة وسبع وثمان</t>
  </si>
  <si>
    <t>ثلاثمائة وواحدة وثمانون وست</t>
  </si>
  <si>
    <t>ستمائة وثمان وواحدة</t>
  </si>
  <si>
    <t>ستمائة وثمان واثنتان</t>
  </si>
  <si>
    <t>ستمائة وثمان وثلاث</t>
  </si>
  <si>
    <t>ستمائة وعشر وواحدة</t>
  </si>
  <si>
    <t>ستمائة وعشر واثنتان</t>
  </si>
  <si>
    <t>ستمائة وعشر وثلاث</t>
  </si>
  <si>
    <t>ستمائة وعشر وأربع</t>
  </si>
  <si>
    <t>ستمائة وعشر ونصف</t>
  </si>
  <si>
    <t>ستمائة وعشر وست</t>
  </si>
  <si>
    <t>ستمائة وعشر وسبع</t>
  </si>
  <si>
    <t>ستمائة وعشر وثمان</t>
  </si>
  <si>
    <t>ستمائة وعشر وتسع</t>
  </si>
  <si>
    <t>ستمائة واحدى عشر</t>
  </si>
  <si>
    <t>ستمائة واحدى عشرة وواحدة</t>
  </si>
  <si>
    <t>ستمائة واحدى عشرة واثنتان</t>
  </si>
  <si>
    <t>ستمائة واحدى عشرة وثلاث</t>
  </si>
  <si>
    <t>ستمائة واحدى عشرة وأربع</t>
  </si>
  <si>
    <t>ستمائة واحدى عشرة ونصف</t>
  </si>
  <si>
    <t>ستمائة واحدى عشرة وست</t>
  </si>
  <si>
    <t>ستمائة واحدى عشرة وسبع</t>
  </si>
  <si>
    <t>ستمائة واحدى عشرة وثمان</t>
  </si>
  <si>
    <t>ستمائة واحدى عشرة وتسع</t>
  </si>
  <si>
    <t>ستمائة واثنا عشرة</t>
  </si>
  <si>
    <t>ستمائة واثنتا عشرة وواحدة</t>
  </si>
  <si>
    <t>ستمائة واثنتا عشرة واثنتان</t>
  </si>
  <si>
    <t>ستمائة واثنتا عشرة وثلاث</t>
  </si>
  <si>
    <t>ستمائة واثنتا عشرة وأربع</t>
  </si>
  <si>
    <t>ستمائة واثنتا عشرة ونصف</t>
  </si>
  <si>
    <t>ستمائة واثنتا عشرة وست</t>
  </si>
  <si>
    <t>ستمائة واثنتا عشرة وسبع</t>
  </si>
  <si>
    <t>ستمائة واثنتا عشرة وثمان</t>
  </si>
  <si>
    <t>ستمائة واثنتا عشرة وتسع</t>
  </si>
  <si>
    <t>ستمائة وثلاث عشرة</t>
  </si>
  <si>
    <t>ستمائة وثلاث عشرة وواحدة</t>
  </si>
  <si>
    <t>ستمائة وثلاث عشرة واثنتان</t>
  </si>
  <si>
    <t xml:space="preserve">أربعمائة وست وثلاث </t>
  </si>
  <si>
    <t>أربعمائة وست وأربع</t>
  </si>
  <si>
    <t>أربعمائة وست ونصف</t>
  </si>
  <si>
    <t>أربعمائة وست وست</t>
  </si>
  <si>
    <t>مائتان وسبع وثمانون وأربع</t>
  </si>
  <si>
    <t>مائتان وسبع وثمانون ونصف</t>
  </si>
  <si>
    <t>مائتان وسبع وثمانون وست</t>
  </si>
  <si>
    <t>مائتان وسبع وثمانون وسبع</t>
  </si>
  <si>
    <t>مائتان وسبع وثمانون وثمان</t>
  </si>
  <si>
    <t>مائتان وسبع وثمانون وتسع</t>
  </si>
  <si>
    <t xml:space="preserve">مائتان وثمان وثمانون </t>
  </si>
  <si>
    <t>مائتان وثمان وثمانون وواحدة</t>
  </si>
  <si>
    <t>مائتان وثمان وثمانون واثنتان</t>
  </si>
  <si>
    <t>مائتان وثمان وثمانون وثلاث</t>
  </si>
  <si>
    <t>مائتان وثمان وثمانون وأربع</t>
  </si>
  <si>
    <t>مائتان وثمان وثمانون ونصف</t>
  </si>
  <si>
    <t>مائتان وثمان وثمانون وست</t>
  </si>
  <si>
    <t>مائتان وثمان وثمانون وسبع</t>
  </si>
  <si>
    <t>مائتان وثمان وثمانون وثمان</t>
  </si>
  <si>
    <t>مائتان وثمان وثمانون وتسع</t>
  </si>
  <si>
    <t>مائتان وتسع وثمانون</t>
  </si>
  <si>
    <t>مائتان وتسع وثمانون وواحدة</t>
  </si>
  <si>
    <t>أربعمائة وسبع وثمان</t>
  </si>
  <si>
    <t>أربعمائة وسبع وتسع</t>
  </si>
  <si>
    <t>أربعمائة وثمان وواحدة</t>
  </si>
  <si>
    <t>أربعمائة وثمان واثنتان</t>
  </si>
  <si>
    <t>أربعمائة وثمان وثلاث</t>
  </si>
  <si>
    <t>أربعمائة وثمان وأربع</t>
  </si>
  <si>
    <t>أربعمائة وثمان ونصف</t>
  </si>
  <si>
    <t>أربعمائة وثمان وست</t>
  </si>
  <si>
    <t>أربعمائة وثمان وسبع</t>
  </si>
  <si>
    <t>أربعمائة وثمان وثمان</t>
  </si>
  <si>
    <t>ثمــــــــــان مائة وواحدة و ثلاثون  وواحدة</t>
  </si>
  <si>
    <t>ثمــــــــــان مائة وواحدة و ثلاثون واثنتان</t>
  </si>
  <si>
    <t>ثمــــــــــان مائة وواحدة و ثلاثون وثلاث</t>
  </si>
  <si>
    <t>ثمــــــــــان مائة وواحدة و ثلاثون وأربع</t>
  </si>
  <si>
    <t>ثمــــــــــان مائة وواحدة و ثلاثون ونصف</t>
  </si>
  <si>
    <t>ستمائة وثلاث عشرة وثلاث</t>
  </si>
  <si>
    <t>ستمائة وثلاث عشرة وأربع</t>
  </si>
  <si>
    <t>ستمائة وثلاث عشرة ونصف</t>
  </si>
  <si>
    <t>ستمائة وثلاث عشرة وست</t>
  </si>
  <si>
    <t>ستمائة وثلاث عشرة وسبع</t>
  </si>
  <si>
    <t>ستمائة وثلاث عشرة وثمان</t>
  </si>
  <si>
    <t>ستمائة وثلاث عشرة وتسع</t>
  </si>
  <si>
    <t>ستمائة وأربع عشرة</t>
  </si>
  <si>
    <t>ستمائة وأربع عشرة وواحدة</t>
  </si>
  <si>
    <t>ستمائة وأربع عشرة واثنتان</t>
  </si>
  <si>
    <t>ستمائة وأربع عشرة وثلاث</t>
  </si>
  <si>
    <t>ستمائة وأربع عشرة وأربع</t>
  </si>
  <si>
    <t>ستمائة وأربع عشرة ونصف</t>
  </si>
  <si>
    <t>ستمائة وأربع عشرة وست</t>
  </si>
  <si>
    <t>ستمائة وأربع عشرة وسبع</t>
  </si>
  <si>
    <t>ستمائة وأربع عشرة وثمان</t>
  </si>
  <si>
    <t>ستمائة وأربع عشرة وتسع</t>
  </si>
  <si>
    <t>ستمائة وخمس عشرة</t>
  </si>
  <si>
    <t>ستمائة وخمس عشرة وواحدة</t>
  </si>
  <si>
    <t>ستمائة وخمس عشرة واثنتان</t>
  </si>
  <si>
    <t>ستمائة وخمس عشرة وثلاث</t>
  </si>
  <si>
    <t>ستمائة وخمس عشرة وأربع</t>
  </si>
  <si>
    <t>ستمائة وخمس عشرة ونصف</t>
  </si>
  <si>
    <t>ستمائة وخمس عشرة وست</t>
  </si>
  <si>
    <t>ستمائة وخمس عشرة وسبع</t>
  </si>
  <si>
    <t>ستمائة وخمس عشرة وثمان</t>
  </si>
  <si>
    <t>ستمائة وخمس عشرة وتسع</t>
  </si>
  <si>
    <t>ستمائة وست عشرة</t>
  </si>
  <si>
    <t>ستمائة وست عشرة وواحدة</t>
  </si>
  <si>
    <t>ستمائة وست عشرة واثنتان</t>
  </si>
  <si>
    <t>ستمائة وست عشرة وثلاث</t>
  </si>
  <si>
    <t>ستمائة وست عشرة وأربع</t>
  </si>
  <si>
    <t>ستمائة وست عشرة ونصف</t>
  </si>
  <si>
    <t>ستمائة وست عشرة وست</t>
  </si>
  <si>
    <t>ستمائة وست عشرة وسبع</t>
  </si>
  <si>
    <t>ستمائة وست عشرة وثمان</t>
  </si>
  <si>
    <t>ستمائة وست عشرة وتسع</t>
  </si>
  <si>
    <t>ستمائة وسبع عشرة</t>
  </si>
  <si>
    <t>ستمائة وسبع عشرة وواحدة</t>
  </si>
  <si>
    <t>ستمائة وسبع عشرة واثنتان</t>
  </si>
  <si>
    <t>أربعمائة وثلاث عشرة وست</t>
  </si>
  <si>
    <t>ستمائة وسبع عشرة وثمان</t>
  </si>
  <si>
    <t>ستمائة وسبع عشرة وتسع</t>
  </si>
  <si>
    <t>ستمائة وثمان عشرة</t>
  </si>
  <si>
    <t>ستمائة وثمان عشرة وواحدة</t>
  </si>
  <si>
    <t>ستمائة وثمان عشرة واثنتان</t>
  </si>
  <si>
    <t>ستمائة وثمان عشرة وثلاث</t>
  </si>
  <si>
    <t>ستمائة وثمان عشرة وأربع</t>
  </si>
  <si>
    <t>ستمائة وثمان عشرة ونصف</t>
  </si>
  <si>
    <t>ستمائة وثمان عشرة وست</t>
  </si>
  <si>
    <t>ستمائة وثمان عشرة وسبع</t>
  </si>
  <si>
    <t>ستمائة وثمان عشرة وثمان</t>
  </si>
  <si>
    <t>ثمــــــــــان مائة وأربع و ثلاثون وست</t>
  </si>
  <si>
    <t>ثمــــــــــان مائة وأربع و ثلاثون وسبع</t>
  </si>
  <si>
    <t>ثمــــــــــان مائة وأربع و ثلاثون وثمان</t>
  </si>
  <si>
    <t>ثمــــــــــان مائة وأربع و ثلاثون وتسع</t>
  </si>
  <si>
    <t xml:space="preserve">ثمــــــــــان مائة وخمس و ثلاثون </t>
  </si>
  <si>
    <t>ثمــــــــــان مائة وخمس و ثلاثون  وواحدة</t>
  </si>
  <si>
    <t>ثمــــــــــان مائة وخمس و ثلاثون واثنتان</t>
  </si>
  <si>
    <t>ثمــــــــــان مائة وخمس و ثلاثون وثلاث</t>
  </si>
  <si>
    <t>ثمــــــــــان مائة وخمس و ثلاثون وأربع</t>
  </si>
  <si>
    <t>ثمــــــــــان مائة وخمس و ثلاثون ونصف</t>
  </si>
  <si>
    <t>ثمــــــــــان مائة وخمس و ثلاثون وست</t>
  </si>
  <si>
    <t>ثمــــــــــان مائة وخمس و ثلاثون وسبع</t>
  </si>
  <si>
    <t>ثمــــــــــان مائة وخمس و ثلاثون وثمان</t>
  </si>
  <si>
    <t>ثمــــــــــان مائة وخمس و ثلاثون وتسع</t>
  </si>
  <si>
    <t xml:space="preserve">ثمــــــــــان مائة وست و ثلاثون </t>
  </si>
  <si>
    <t>ثمــــــــــان مائة وست و ثلاثون  وواحدة</t>
  </si>
  <si>
    <t>ثلاثمائة وثلاث وتسعون واثنتان</t>
  </si>
  <si>
    <t>ثلاثمائة وثلاث وتسعون وثلاث</t>
  </si>
  <si>
    <t>ثلاثمائة وثلاث وتسعون وأربع</t>
  </si>
  <si>
    <t>ثلاثمائة وثلاث وتسعون ونصف</t>
  </si>
  <si>
    <t>ثلاثمائة وثلاث وتسعون وست</t>
  </si>
  <si>
    <t>ثلاثمائة وثلاث وتسعون وسبع</t>
  </si>
  <si>
    <t>ثلاثمائة واثلاث وتسعون وثمان</t>
  </si>
  <si>
    <t>ثلاثمائة وثلاث وتسعون وتسع</t>
  </si>
  <si>
    <t xml:space="preserve">ثلاثمائة وأربع وتسعون </t>
  </si>
  <si>
    <t>ثلاثمائة وأربع وتسعون وواحدة</t>
  </si>
  <si>
    <t>ثلاثمائة وأربع وتسعون واثنتان</t>
  </si>
  <si>
    <t>ثلاثمائة وأربع وتسعون وثلاث</t>
  </si>
  <si>
    <t>ثلاثمائة وأربع وتسعون وأربع</t>
  </si>
  <si>
    <t>ثلاثمائة وأربع وتسعون ونصف</t>
  </si>
  <si>
    <t>ثلاثمائة وأربع وتسعون وست</t>
  </si>
  <si>
    <t>ثلاثمائة وأربع وتسعون وسبع</t>
  </si>
  <si>
    <t>ثلاثمائة وأربع وتسعون وثمان</t>
  </si>
  <si>
    <t>ثلاثمائة وأربع وتسعون وتسع</t>
  </si>
  <si>
    <t xml:space="preserve">ثلاثمائة وخمس وتسعون </t>
  </si>
  <si>
    <t>ثلاثمائة وخمس وتسعون وواحدة</t>
  </si>
  <si>
    <t>ثلاثمائة وخمس وتسعون واثنتان</t>
  </si>
  <si>
    <t>ثلاثمائة وخمس وتسعون وثلاث</t>
  </si>
  <si>
    <t>ثلاثمائة وخمس وتسعون وأربع</t>
  </si>
  <si>
    <t>ثلاثمائة وخمس وتسعون ونصف</t>
  </si>
  <si>
    <t>ثلاثمائة وخمس وتسعون وست</t>
  </si>
  <si>
    <t>ثلاثمائة وخمس وتسعون وسبع</t>
  </si>
  <si>
    <t>ثلاثمائة وخمس وتسعون وثمان</t>
  </si>
  <si>
    <t>ثلاثمائة وخمس وتسعون وتسع</t>
  </si>
  <si>
    <t>ستمائة وخمس وعشرون ونصف</t>
  </si>
  <si>
    <t>ستمائة وخمس وعشرون وست</t>
  </si>
  <si>
    <t>ستمائة وخمس وعشرون وسبع</t>
  </si>
  <si>
    <t>ستمائة وخمس وعشرون وثمان</t>
  </si>
  <si>
    <t>ستمائة وخمس وعشرون وتسع</t>
  </si>
  <si>
    <t xml:space="preserve">ستمائة وست وعشرون </t>
  </si>
  <si>
    <t>ستمائة وست وعشرون  وواحدة</t>
  </si>
  <si>
    <t>ستمائة وست و عشرون واثنتان</t>
  </si>
  <si>
    <t>ستمائة وست وعشرون وثلاث</t>
  </si>
  <si>
    <t>ستمائة وست وعشرون وأربع</t>
  </si>
  <si>
    <t>ستمائة وست وعشرون ونصف</t>
  </si>
  <si>
    <t>ثمــــــــــان مائة وثمان و ثلاثون وأربع</t>
  </si>
  <si>
    <t>ثمــــــــــان مائة وثمان و ثلاثون ونصف</t>
  </si>
  <si>
    <t>ستمائة وست وعشرون وست</t>
  </si>
  <si>
    <t>ستمائة وست وعشرون وسبع</t>
  </si>
  <si>
    <t>ستمائة وست وعشرون وثمان</t>
  </si>
  <si>
    <t>ستمائة وست وعشرون وتسع</t>
  </si>
  <si>
    <t xml:space="preserve">ستمائة وسبع وعشرون </t>
  </si>
  <si>
    <t>ستمائة وسبع وعشرون  وواحدة</t>
  </si>
  <si>
    <t>ستمائة وسبع و عشرون واثنتان</t>
  </si>
  <si>
    <t>ستمائة وسبع وعشرون وثلاث</t>
  </si>
  <si>
    <t>ستمائة وسبع وعشرون وأربع</t>
  </si>
  <si>
    <t>ستمائة وسبع وعشرون ونصف</t>
  </si>
  <si>
    <t>ستمائة وسبع وعشرون وست</t>
  </si>
  <si>
    <t>ستمائة وسبع وعشرون وسبع</t>
  </si>
  <si>
    <t>ستمائة وسبع وعشرون وثمان</t>
  </si>
  <si>
    <t>أربعمائة واثنتان</t>
  </si>
  <si>
    <t>أربعمائة وثلاث</t>
  </si>
  <si>
    <t>أربعمائة وأربع</t>
  </si>
  <si>
    <t>أربعمائة ونصف</t>
  </si>
  <si>
    <t>أربعمائة وست</t>
  </si>
  <si>
    <t>أربعمائة وسبع</t>
  </si>
  <si>
    <t>أربعمائة وثمان</t>
  </si>
  <si>
    <t>أربعمائة و تسع</t>
  </si>
  <si>
    <t xml:space="preserve">أربعمائة وواحدة وواحدة </t>
  </si>
  <si>
    <t>أربعمائة وواحدة واثنتان</t>
  </si>
  <si>
    <t>أربعمائة وواحدة وثلاث</t>
  </si>
  <si>
    <t>أربعمائة وواحدة وأربع</t>
  </si>
  <si>
    <t>أربعمائة وواحدة ونصف</t>
  </si>
  <si>
    <t>أربعمائة وواحدة وست</t>
  </si>
  <si>
    <t>أربعمائة وواحدة وسبع</t>
  </si>
  <si>
    <t>أربعمائة وواحدة وثمان</t>
  </si>
  <si>
    <t>أربعمائة وواحدة وتسع</t>
  </si>
  <si>
    <t>أربعمائة واثنتان وواحدة</t>
  </si>
  <si>
    <t>أربعمائة واثنتان واثنان</t>
  </si>
  <si>
    <t>أربعمائة واثنتان وثلاث</t>
  </si>
  <si>
    <t>أربعمائة واثنتان وأربع</t>
  </si>
  <si>
    <t>أربعمائة واثنتان ونصف</t>
  </si>
  <si>
    <t>أربعمائة واثنتان وست</t>
  </si>
  <si>
    <t>أربعمائة واثنتان وسبع</t>
  </si>
  <si>
    <t>أربعمائة واثنتان وثمان</t>
  </si>
  <si>
    <t>أربعمائة واثنتان وتسع</t>
  </si>
  <si>
    <t>أربعمائة وثلاث وواحدة</t>
  </si>
  <si>
    <t>أربعمائة وثلاث واثنتان</t>
  </si>
  <si>
    <t>أربعمائة وثلاث وثلاث</t>
  </si>
  <si>
    <t>أربعمائة وثلاث وأربع</t>
  </si>
  <si>
    <t>أربعمائة وثلاث ونصف</t>
  </si>
  <si>
    <t>أربعمائة وثلاث وست</t>
  </si>
  <si>
    <t>أربعمائة وثلاث وسبع</t>
  </si>
  <si>
    <t>أربعمائة وثلاث وثمان</t>
  </si>
  <si>
    <t>أربعمائة وثلاث وتسع</t>
  </si>
  <si>
    <t>ستمائة وواحدة و ثلاثون وثمان</t>
  </si>
  <si>
    <t>ثمــــــــــان مائة وثلاث و أربعون  واثنتان</t>
  </si>
  <si>
    <t>ثمــــــــــان مائة وثلاث و أربعون  وثلاث</t>
  </si>
  <si>
    <t>ثمــــــــــان مائة وثلاث و أربعون  وأربع</t>
  </si>
  <si>
    <t>ثمــــــــــان مائة وثلاث و أربعون  ونصف</t>
  </si>
  <si>
    <t>ثمــــــــــان مائة وثلاث و أربعون  وست</t>
  </si>
  <si>
    <t>ثمــــــــــان مائة وثلاث و أربعون  وسبع</t>
  </si>
  <si>
    <t>ثمــــــــــان مائة وثلاث و أربعون  وثمان</t>
  </si>
  <si>
    <t>ثمــــــــــان مائة وثلاث و أربعون  وتسع</t>
  </si>
  <si>
    <t>ثمــــــــــان مائة وأربع و أربعون  واثنتان</t>
  </si>
  <si>
    <t>ثمــــــــــان مائة وأربع و أربعون  وثلاث</t>
  </si>
  <si>
    <t>ثمــــــــــان مائة وأربع و أربعون  وأربع</t>
  </si>
  <si>
    <t>ثمــــــــــان مائة وأربع و أربعون  ونصف</t>
  </si>
  <si>
    <t>ثمــــــــــان مائة وأربع و أربعون  وست</t>
  </si>
  <si>
    <t>ثمــــــــــان مائة وأربع و أربعون  وسبع</t>
  </si>
  <si>
    <t>ثمــــــــــان مائة وأربع و أربعون  وثمان</t>
  </si>
  <si>
    <t xml:space="preserve">ثمــــــــــان مائة وخمس و أربعون  </t>
  </si>
  <si>
    <t>ثمــــــــــان مائة وخمس و أربعون   وواحدة</t>
  </si>
  <si>
    <t>ثمــــــــــان مائة وخمس و أربعون  واثنتان</t>
  </si>
  <si>
    <t>ثمــــــــــان مائة وأخمس و أربعون  وثلاث</t>
  </si>
  <si>
    <t>ثمــــــــــان مائة وخمس و أربعون  وأربع</t>
  </si>
  <si>
    <t>ثمــــــــــان مائة وخمس و أربعون  ونصف</t>
  </si>
  <si>
    <t>ثمــــــــــان مائة وخمس و أربعون  وست</t>
  </si>
  <si>
    <t>ثمــــــــــان مائة وخمس و أربعون  وسبع</t>
  </si>
  <si>
    <t>ثمــــــــــان مائة وخمس و أربعون  وثمان</t>
  </si>
  <si>
    <t>ثمــــــــــان مائة وخمس و أربعون  وتسع</t>
  </si>
  <si>
    <t xml:space="preserve">ثمــــــــــان مائة وست و أربعون  </t>
  </si>
  <si>
    <t>ثمــــــــــان مائة وست و أربعون   وواحدة</t>
  </si>
  <si>
    <t>ثمــــــــــان مائة وست و أربعون  واثنتان</t>
  </si>
  <si>
    <t>ثمــــــــــان مائة وست و أربعون  وثلاث</t>
  </si>
  <si>
    <t>ثمــــــــــان مائة وست و أربعون  وأربع</t>
  </si>
  <si>
    <t>ثمــــــــــان مائة وست و أربعون  ونصف</t>
  </si>
  <si>
    <t>ثمــــــــــان مائة وست و أربعون  وست</t>
  </si>
  <si>
    <t>ثمــــــــــان مائة وست و أربعون  وسبع</t>
  </si>
  <si>
    <t>مائتان واثنان واثنتان</t>
  </si>
  <si>
    <t xml:space="preserve"> ثلاثة وعشرون يوما</t>
  </si>
  <si>
    <t>مائتان واثنتان وثلاث</t>
  </si>
  <si>
    <t>أربعة وعشرون يوما</t>
  </si>
  <si>
    <t>مائتان واثنتان وأربع</t>
  </si>
  <si>
    <t>خمسة وعشرون يوما</t>
  </si>
  <si>
    <t>مائتان واثنتان ونصف</t>
  </si>
  <si>
    <t>ستة وعشرون يوما</t>
  </si>
  <si>
    <t>مائتان واثنتان وست</t>
  </si>
  <si>
    <t>سبعة وعشرون يوما</t>
  </si>
  <si>
    <t>مائتان واثنتان وسبع</t>
  </si>
  <si>
    <t>ثمانية وعشرون يوما</t>
  </si>
  <si>
    <t>مائتان واثنتان وثمان</t>
  </si>
  <si>
    <t>تسعة وعشرون يوما</t>
  </si>
  <si>
    <t>مائتان واثنتان وتسع</t>
  </si>
  <si>
    <t>ثلاثون يوما</t>
  </si>
  <si>
    <t>مائتان وثلاث وواحدة</t>
  </si>
  <si>
    <t>مائتان وثلاث واثنتان</t>
  </si>
  <si>
    <t>مائتان وثلاث وثلاث</t>
  </si>
  <si>
    <t>مائتان وثلاث وأربع</t>
  </si>
  <si>
    <t>مائتان وثلاث ونصف</t>
  </si>
  <si>
    <t>مائتان وثلاث وست</t>
  </si>
  <si>
    <t>مائتان وثلاث وسبع</t>
  </si>
  <si>
    <t>مائتان وثلاث وثمان</t>
  </si>
  <si>
    <t>مائتان وثلاث وتسع</t>
  </si>
  <si>
    <t>مائتان وأربع وواحدة</t>
  </si>
  <si>
    <t>مائتان وأربع واثنتان</t>
  </si>
  <si>
    <t>ســـــــــت وواحدة</t>
  </si>
  <si>
    <t>مائتان وأربع وثلاث</t>
  </si>
  <si>
    <t>ســـــــــت واثنتان</t>
  </si>
  <si>
    <t>ثمــــــــــان مائة وسبع و أربعون  وثمان</t>
  </si>
  <si>
    <t>ثمــــــــــان مائة وسبع و أربعون  وتسع</t>
  </si>
  <si>
    <t xml:space="preserve">ثمــــــــــان مائة وثمان و أربعون  </t>
  </si>
  <si>
    <t>ثمــــــــــان مائة وثمان و أربعون   وواحدة</t>
  </si>
  <si>
    <t>ثمــــــــــان مائة وثمان و أربعون  واثنتان</t>
  </si>
  <si>
    <t>ثمــــــــــان مائة وثمان و أربعون  وثلاث</t>
  </si>
  <si>
    <t>ثمــــــــــان مائة وثمان و أربعون  وأربع</t>
  </si>
  <si>
    <t>ثمــــــــــان مائة وثمان و أربعون  ونصف</t>
  </si>
  <si>
    <t>ثمــــــــــان مائة وثمان و أربعون  وست</t>
  </si>
  <si>
    <t>ثمــــــــــان مائة وثمان و أربعون  وسبع</t>
  </si>
  <si>
    <t>ثمــــــــــان مائة وثمان و أربعون  وثمان</t>
  </si>
  <si>
    <t>ثمــــــــــان مائة وثمان و أربعون  وتسع</t>
  </si>
  <si>
    <t xml:space="preserve">ثمــــــــــان مائة وتسع و أربعون  </t>
  </si>
  <si>
    <t>ثمــــــــــان مائة وتسع و أربعون   وواحدة</t>
  </si>
  <si>
    <t>ثمــــــــــان مائة وتسع و أربعون  واثنتان</t>
  </si>
  <si>
    <t>ثمــــــــــان مائة وتسع و أربعون  وثلاث</t>
  </si>
  <si>
    <t>ثمــــــــــان مائة وتسع و أربعون  وأربع</t>
  </si>
  <si>
    <t>ثمــــــــــان مائة وتسع و أربعون  ونصف</t>
  </si>
  <si>
    <t>ثمــــــــــان مائة وتسع و أربعون  وست</t>
  </si>
  <si>
    <t>ثمــــــــــان مائة وتسع و أربعون  وسبع</t>
  </si>
  <si>
    <t>ثمــــــــــان مائة وتسع و أربعون  وثمان</t>
  </si>
  <si>
    <t>ثمــــــــــان مائة وتسع و أربعون  وتسع</t>
  </si>
  <si>
    <t xml:space="preserve">ثمــــــــــان مائة وخمسون  </t>
  </si>
  <si>
    <t>ثمــــــــــان مائة وخمسون وواحدة</t>
  </si>
  <si>
    <t>ثمــــــــــان مائة وخمسون واثنتان</t>
  </si>
  <si>
    <t>ثمــــــــــان مائة وخمسون وثلاث</t>
  </si>
  <si>
    <t>ثمــــــــــان مائة وخمسون وأربع</t>
  </si>
  <si>
    <t>ثمــــــــــان مائة وخمسون ونصف</t>
  </si>
  <si>
    <t>ستمائة واثنتان و أربعون  واثنتان</t>
  </si>
  <si>
    <t>ستمائة واثنتان و أربعون  وثلاث</t>
  </si>
  <si>
    <t>ستمائة واثنتان و أربعون  وأربع</t>
  </si>
  <si>
    <t>ستمائة واثنتان و أربعون  ونصف</t>
  </si>
  <si>
    <t>ستمائة واثنتان و أربعون  وست</t>
  </si>
  <si>
    <t>ستمائة واثنتان و أربعون  وسبع</t>
  </si>
  <si>
    <t>ستمائة واثنتان و أربعون  وثمان</t>
  </si>
  <si>
    <t>ستمائة واثنان و أربعون  وتسع</t>
  </si>
  <si>
    <t xml:space="preserve">ستمائة وثلاث و أربعون </t>
  </si>
  <si>
    <t>أربعمائة وثمان عشرة ونصف</t>
  </si>
  <si>
    <t>أربعمائة وثمان عشرة وست</t>
  </si>
  <si>
    <t>أربعمائة وثمان عشرة وسبع</t>
  </si>
  <si>
    <t>أربعمائة وثمان عشرة وثمان</t>
  </si>
  <si>
    <t>أربعمائة وثمان عشرة وتسع</t>
  </si>
  <si>
    <t>أربعمائة وتسع عشرة</t>
  </si>
  <si>
    <t>أربعمائة وتسع عشر وواحدة</t>
  </si>
  <si>
    <t>أربعمائة وتسع عشرة  واثنتان</t>
  </si>
  <si>
    <t>أربعمائة وتسع عشرة وثلاث</t>
  </si>
  <si>
    <t>أربعمائة وتسع عشرة وأربع</t>
  </si>
  <si>
    <t>أربعمائة وتسع عشرة ونصف</t>
  </si>
  <si>
    <t>أربعمائة وتسع عشرة وست</t>
  </si>
  <si>
    <t>أربعمائة وتسع عشرة وسبع</t>
  </si>
  <si>
    <t>أربعمائة وتسع عشرة وثمان</t>
  </si>
  <si>
    <t>أربعمائة وتسع عشرة وتسع</t>
  </si>
  <si>
    <t>أربعمائة وعشرون</t>
  </si>
  <si>
    <t>أربعمائة وعشرون وواحدة</t>
  </si>
  <si>
    <t>أربعمائة وعشرون  واثنتان</t>
  </si>
  <si>
    <t>أربعمائة وعشرون وثلاث</t>
  </si>
  <si>
    <t>أربعمائة وعشرون وأربع</t>
  </si>
  <si>
    <t>أربعمائة وعشرون ونصف</t>
  </si>
  <si>
    <t>أربعمائة وعشرون وست</t>
  </si>
  <si>
    <t>أربعمائة وعشرون وسبع</t>
  </si>
  <si>
    <t>أربعمائة وعشرون وثمان</t>
  </si>
  <si>
    <t>أربعمائة وعشرون وتسع</t>
  </si>
  <si>
    <t>أربعمائة وواحدة وعشرون  وواحدة</t>
  </si>
  <si>
    <t>أربعمائة وواحدة و عشرون  واثنتان</t>
  </si>
  <si>
    <t>أربعمائة وواحدة وعشرون وثلاث</t>
  </si>
  <si>
    <t>أربعمائة وواحدة وعشرون وأربع</t>
  </si>
  <si>
    <t>أربعمائة وواحدة وعشرون ونصف</t>
  </si>
  <si>
    <t>أربعمائة وواحدة وعشرون وست</t>
  </si>
  <si>
    <t>أربعمائة وواحدة وعشرون وسبع</t>
  </si>
  <si>
    <t>أربعمائة وواحدة وعشرون وثمان</t>
  </si>
  <si>
    <t>أربعمائة وواحدة وعشرون وتسع</t>
  </si>
  <si>
    <t>أربعمائة  واثنتان وعشرون  واثنتان</t>
  </si>
  <si>
    <t>أربعمائة  واثنتان وعشرون  وواحدة</t>
  </si>
  <si>
    <t>أربعمائة  واثنتان و عشرون واثنان</t>
  </si>
  <si>
    <t>أربعمائة  واثنتان وعشرون وثلاث</t>
  </si>
  <si>
    <t>أربعمائة واثنتان وعشرون وأربع</t>
  </si>
  <si>
    <t>أربعمائة واثنتان وعشرون ونصف</t>
  </si>
  <si>
    <t>أربعمائة وثلاث وعشرون  وواحدة</t>
  </si>
  <si>
    <t>ستمائة وثمان و أربعون  وسبع</t>
  </si>
  <si>
    <t>ستمائة وثمان و أربعون  وثمان</t>
  </si>
  <si>
    <t>ستمائة وثمان و أربعون  وتسع</t>
  </si>
  <si>
    <t xml:space="preserve">ستمائة وتسع و أربعون  </t>
  </si>
  <si>
    <t>ستمائة وتسع و أربعون   وواحدة</t>
  </si>
  <si>
    <t>ستمائة وتسع و أربعون  واثنتان</t>
  </si>
  <si>
    <t>ستمائة وتسع و أربعون  وثلاث</t>
  </si>
  <si>
    <t>ستمائة وتسع و أربعون  وأربع</t>
  </si>
  <si>
    <t>ستمائة وتسع و أربعون  ونصف</t>
  </si>
  <si>
    <t>ستمائة وتسع و أربعون  وست</t>
  </si>
  <si>
    <t>ستمائة وتسع و أربعون  وسبع</t>
  </si>
  <si>
    <t>ستمائة وتسع و أربعون  وثمان</t>
  </si>
  <si>
    <t>ستمائة وتسع و أربعون  وتسع</t>
  </si>
  <si>
    <t xml:space="preserve">ستمائة وخمسون  </t>
  </si>
  <si>
    <t>ستمائة وخمسون وواحدة</t>
  </si>
  <si>
    <t>ستمائة وخمسون واثنتان</t>
  </si>
  <si>
    <t>ستمائة وخمسون وثلاث</t>
  </si>
  <si>
    <t>ستمائة وخمسون وأربع</t>
  </si>
  <si>
    <t>ستمائة وخمسون ونصف</t>
  </si>
  <si>
    <t>ستمائة وخمسون وست</t>
  </si>
  <si>
    <t>ستمائة وخمسون وسبع</t>
  </si>
  <si>
    <t>ستمائة وخمسون وثمان</t>
  </si>
  <si>
    <t>ستمائة وخمسون وتسع</t>
  </si>
  <si>
    <t xml:space="preserve">ستمائة وواحدة وخمسون </t>
  </si>
  <si>
    <t>ستمائة وواحدة وخمسون وواحدة</t>
  </si>
  <si>
    <t>أربعمائة وخمس وعشرون وست</t>
  </si>
  <si>
    <t>أربعمائة وخمس وعشرون وسبع</t>
  </si>
  <si>
    <t>أربعمائة وخمس وعشرون وثمان</t>
  </si>
  <si>
    <t>أربعمائة وخمس وعشرون وتسع</t>
  </si>
  <si>
    <t xml:space="preserve">أربعمائة وست وعشرون </t>
  </si>
  <si>
    <t>أربعمائة وست وعشرون  وواحدة</t>
  </si>
  <si>
    <t>أربعمائة وست و عشرون واثنتان</t>
  </si>
  <si>
    <t>أربعمائة وست وعشرون وثلاث</t>
  </si>
  <si>
    <t>أربعمائة وست وعشرون وأربع</t>
  </si>
  <si>
    <t>أربعمائة وست وعشرون ونصف</t>
  </si>
  <si>
    <t>أربعمائة وست وعشرون وست</t>
  </si>
  <si>
    <t>أربعمائة وست وعشرون وسبع</t>
  </si>
  <si>
    <t>أربعمائة وست وعشرون وثمان</t>
  </si>
  <si>
    <t>أربعمائة وست وعشرون وتسع</t>
  </si>
  <si>
    <t xml:space="preserve">أربعمائة وسبع وعشرون </t>
  </si>
  <si>
    <t>أربعمائة وسبع وعشرون  وواحدة</t>
  </si>
  <si>
    <t>أربعمائة وسبع و عشرون واثنتان</t>
  </si>
  <si>
    <t>أربعمائة وسبع وعشرون وثلاث</t>
  </si>
  <si>
    <t>أربعمائة وسبع وعشرون وأربع</t>
  </si>
  <si>
    <t>أربعمائة وسبع وعشرون ونصف</t>
  </si>
  <si>
    <t>أربعمائة وسبع وعشرون وست</t>
  </si>
  <si>
    <t>أربعمائة وسبع وعشرون وسبع</t>
  </si>
  <si>
    <t>أربعمائة وسبع وعشرون وثمان</t>
  </si>
  <si>
    <t>أربعمائة وسبع وعشرون وتسع</t>
  </si>
  <si>
    <t xml:space="preserve">أربعمائة وثمان وعشرون </t>
  </si>
  <si>
    <t>أربعمائة وثمان وعشرون  وواحدة</t>
  </si>
  <si>
    <t>أربعمائة وثمان و عشرون واثنتان</t>
  </si>
  <si>
    <t>أربعمائة وثمان وعشرون وثلاث</t>
  </si>
  <si>
    <t>أربعمائة وثمان وعشرون وأربع</t>
  </si>
  <si>
    <t>أربعمائة وثمان وعشرون ونصف</t>
  </si>
  <si>
    <t>أربعمائة وثمان وعشرون وست</t>
  </si>
  <si>
    <t>أربعمائة وثمان وعشرون وسبع</t>
  </si>
  <si>
    <t>أربعمائة وثمان وعشرون وثمان</t>
  </si>
  <si>
    <t>أربعمائة وثمان وعشرون وتسع</t>
  </si>
  <si>
    <t>ستمائة وأربع وخمسون وواحدة</t>
  </si>
  <si>
    <t>ستمائة وأربع وخمسون واثنتان</t>
  </si>
  <si>
    <t>ستمائة وأربع وخمسون وثلاث</t>
  </si>
  <si>
    <t>ستمائة وأربع وخمسون وأربع</t>
  </si>
  <si>
    <t>ستمائة وأربع وخمسون ونصف</t>
  </si>
  <si>
    <t>ستمائة وأربع وخمسون وست</t>
  </si>
  <si>
    <t>ثمــــــــــان مائة وتسع وخمسون وأربع</t>
  </si>
  <si>
    <t>ثمــــــــــان مائة وتسع وخمسون ونصف</t>
  </si>
  <si>
    <t>ثمــــــــــان مائة وتسع وخمسون وست</t>
  </si>
  <si>
    <t>ثمــــــــــان مائة وتسع وخمسون وسبع</t>
  </si>
  <si>
    <t>ثمــــــــــان مائة ستون</t>
  </si>
  <si>
    <t>ستمائة وخمس وخمسون وسبع</t>
  </si>
  <si>
    <t>ستمائة وخمس وخمسون وثمان</t>
  </si>
  <si>
    <t>ستمائة وخمس وخمسون وتسع</t>
  </si>
  <si>
    <t xml:space="preserve">ستمائة وست وخمسون </t>
  </si>
  <si>
    <t>ستمائة وست وخمسون وواحدة</t>
  </si>
  <si>
    <t>ستمائة وست وخمسون واثنتان</t>
  </si>
  <si>
    <t>ستمائة وست وخمسون وثلاث</t>
  </si>
  <si>
    <t>ستمائة وست وخمسون وأربع</t>
  </si>
  <si>
    <t>ستمائة وست وخمسون ونصف</t>
  </si>
  <si>
    <t>ستمائة وست وخمسون وست</t>
  </si>
  <si>
    <t>ستمائة وست وخمسون وسبع</t>
  </si>
  <si>
    <t>ستمائة وست وخمسون وثمان</t>
  </si>
  <si>
    <t>ستمائة وست وخمسون وتسع</t>
  </si>
  <si>
    <t xml:space="preserve">ستمائة وسبع وخمسون </t>
  </si>
  <si>
    <t>ستمائة وسبع وخمسون وواحدة</t>
  </si>
  <si>
    <t>ستمائة وسبع وخمسون واثنتان</t>
  </si>
  <si>
    <t>ستمائة وسبع وخمسون وثلاث</t>
  </si>
  <si>
    <t>ثمــــــــــان مائة وواحدة وستون وست</t>
  </si>
  <si>
    <t>ثمــــــــــان مائة وواحدة وستون وسبع</t>
  </si>
  <si>
    <t>ثمــــــــــان مائة وواحدة وستون وثمان</t>
  </si>
  <si>
    <t>ثمــــــــــان مائة وواحدة وستون وتسع</t>
  </si>
  <si>
    <t xml:space="preserve">ثمــــــــــان مائة واثنتان وستون </t>
  </si>
  <si>
    <t>ثمــــــــــان مائة واثنتان وستون وواحدة</t>
  </si>
  <si>
    <t>ثمــــــــــان مائة واثنتان وستون واثنتان</t>
  </si>
  <si>
    <t>ستمائة وثمان وخمسون واثنتان</t>
  </si>
  <si>
    <t>ستمائة وثمان وخمسون وثلاث</t>
  </si>
  <si>
    <t>ستمائة وثمان وخمسون وأربع</t>
  </si>
  <si>
    <t>ستمائة وثمان وخمسون ونصف</t>
  </si>
  <si>
    <t>ستمائة وثمان وخمسون وست</t>
  </si>
  <si>
    <t>أربعمائة واثنتان و ثلاثون وثلاث</t>
  </si>
  <si>
    <t>أربعمائة واثنتان و ثلاثون وأربع</t>
  </si>
  <si>
    <t>أربعمائة واثنتان و ثلاثون ونصف</t>
  </si>
  <si>
    <t>أربعمائة واثنتان و ثلاثون وست</t>
  </si>
  <si>
    <t>أربعمائة واثنتان و ثلاثون وسبع</t>
  </si>
  <si>
    <t>أربعمائة واثنتان و ثلاثون وثمان</t>
  </si>
  <si>
    <t>أربعمائة واثنتان و ثلاثون وتسع</t>
  </si>
  <si>
    <t xml:space="preserve">أربعمائة وثلاث و ثلاثون </t>
  </si>
  <si>
    <t>أربعمائة وثلاث و ثلاثون  وواحدة</t>
  </si>
  <si>
    <t>أربعمائة وثلاث و ثلاثون واثنتان</t>
  </si>
  <si>
    <t>أربعمائة وثلاث و ثلاثون وثلاث</t>
  </si>
  <si>
    <t>أربعمائة وثلاث و ثلاثون وأربع</t>
  </si>
  <si>
    <t>أربعمائة وثلاث و ثلاثون ونصف</t>
  </si>
  <si>
    <t>أربعمائة وثلاث و ثلاثون وست</t>
  </si>
  <si>
    <t>أربعمائة وثلاث و ثلاثون وسبع</t>
  </si>
  <si>
    <t>أربعمائة وثلاث و ثلاثون وثمان</t>
  </si>
  <si>
    <t>أربعمائة وثلاث و ثلاثون وتسع</t>
  </si>
  <si>
    <t xml:space="preserve">أربعمائة وأربع و ثلاثون </t>
  </si>
  <si>
    <t>أربعمائة وأربع و ثلاثون  وواحدة</t>
  </si>
  <si>
    <t>أربعمائة وأربع و ثلاثون واثنتان</t>
  </si>
  <si>
    <t>أربعمائة وأربع و ثلاثون وثلاث</t>
  </si>
  <si>
    <t>أربعمائة وأربع و ثلاثون وأربع</t>
  </si>
  <si>
    <t>أربعمائة وأربع و ثلاثون ونصف</t>
  </si>
  <si>
    <t>أربعمائة وأربع و ثلاثون وست</t>
  </si>
  <si>
    <t>أربعمائة وأربع و ثلاثون وسبع</t>
  </si>
  <si>
    <t>أربعمائة وأربع و ثلاثون وثمان</t>
  </si>
  <si>
    <t>أربعمائة وأربع و ثلاثون وتسع</t>
  </si>
  <si>
    <t xml:space="preserve">أربعمائة وخمس و ثلاثون </t>
  </si>
  <si>
    <t>أربعمائة وخمس و ثلاثون  وواحدة</t>
  </si>
  <si>
    <t>أربعمائة وخمس و ثلاثون واثنتان</t>
  </si>
  <si>
    <t>أربعمائة وخمس و ثلاثون وثلاث</t>
  </si>
  <si>
    <t>أربعمائة وخمس و ثلاثون وأربع</t>
  </si>
  <si>
    <t>أربعمائة وخمس و ثلاثون ونصف</t>
  </si>
  <si>
    <t>أربعمائة وخمس و ثلاثون وست</t>
  </si>
  <si>
    <t>أربعمائة وخمس و ثلاثون وسبع</t>
  </si>
  <si>
    <t>أربعمائة وخمس و ثلاثون وثمان</t>
  </si>
  <si>
    <t>أربعمائة وخمس و ثلاثون وتسع</t>
  </si>
  <si>
    <t xml:space="preserve">أربعمائة وست و ثلاثون </t>
  </si>
  <si>
    <t>أربعمائة وست و ثلاثون  وواحدة</t>
  </si>
  <si>
    <t>أربعمائة وست و ثلاثون واثنتان</t>
  </si>
  <si>
    <t>أربعمائة وست و ثلاثون وثلاث</t>
  </si>
  <si>
    <t>أربعمائة وست و ثلاثون وأربع</t>
  </si>
  <si>
    <t>ستمائة واثنتان وستون وثمان</t>
  </si>
  <si>
    <t>ستمائة واثنان وستون وتسع</t>
  </si>
  <si>
    <t xml:space="preserve">ستمائة وثلاث وستون </t>
  </si>
  <si>
    <t>ستمائة وثلاث وستون وواحدة</t>
  </si>
  <si>
    <t>ستمائة وثلاث وستون واثنتان</t>
  </si>
  <si>
    <t>ستمائة وثلاث وستون وثلاث</t>
  </si>
  <si>
    <t>ستمائة وثلاث وستون وأربع</t>
  </si>
  <si>
    <t>ستمائة وثلاث وستون ونصف</t>
  </si>
  <si>
    <t>ستمائة وثلاث وستون وست</t>
  </si>
  <si>
    <t>ستمائة وثلاث وستون وسبع</t>
  </si>
  <si>
    <t>ستمائة وثلاث وستون وثمان</t>
  </si>
  <si>
    <t>ستمائة وثلاث وستون وتسع</t>
  </si>
  <si>
    <t xml:space="preserve">ستمائة وأربع وستون </t>
  </si>
  <si>
    <t>ستمائة وأربع وستون وواحدة</t>
  </si>
  <si>
    <t>ستمائة وأربع وستون واثنتان</t>
  </si>
  <si>
    <t>ستمائة وأربع وستون وثلاث</t>
  </si>
  <si>
    <t>ستمائة وأربع وستون وأربع</t>
  </si>
  <si>
    <t>ستمائة وأربع وستون ونصف</t>
  </si>
  <si>
    <t>ستمائة وأربع وستون وست</t>
  </si>
  <si>
    <t>ستمائة وأربع وستون وسبع</t>
  </si>
  <si>
    <t>ستمائة وأربع وستون وثمان</t>
  </si>
  <si>
    <t>ستمائة وأربع وستون وتسع</t>
  </si>
  <si>
    <t xml:space="preserve">ستمائة وخمس وستون </t>
  </si>
  <si>
    <t>ستمائة وخمس وستون وواحدة</t>
  </si>
  <si>
    <t>ستمائة وخمس وستون واثنتان</t>
  </si>
  <si>
    <t>أربعمائة وثمان و ثلاثون وثمان</t>
  </si>
  <si>
    <t>أربعمائة وثمان و ثلاثون وتسع</t>
  </si>
  <si>
    <t xml:space="preserve">أربعمائة وتسع و ثلاثون </t>
  </si>
  <si>
    <t>أربعمائة وتسع و ثلاثون  وواحدة</t>
  </si>
  <si>
    <t>أربعمائة وتسع و ثلاثون واثنتان</t>
  </si>
  <si>
    <t>أربعمائة وأربعون  ونصف</t>
  </si>
  <si>
    <t>أربعمائة وأربعون  وست</t>
  </si>
  <si>
    <t>أربعمائة وأربعون  وسبع</t>
  </si>
  <si>
    <t>أربعمائة وأربعون  وثمان</t>
  </si>
  <si>
    <t>أربعمائة وأربعون  وتسع</t>
  </si>
  <si>
    <t xml:space="preserve">أربعمائة وواحد وأربعون  </t>
  </si>
  <si>
    <t>أربعمائة وواحد و أربعون   وواحدة</t>
  </si>
  <si>
    <t>أربعمائة وواحد و أربعون  واثنتان</t>
  </si>
  <si>
    <t>مائتان وخمس عشر وأربع</t>
  </si>
  <si>
    <t>مائتان وخمس عشرة ونصف</t>
  </si>
  <si>
    <t>مائتان وخمس عشرة وست</t>
  </si>
  <si>
    <t>مائتان وخمس عشرة وسبع</t>
  </si>
  <si>
    <t>مائتان وخمس عشرة وثمان</t>
  </si>
  <si>
    <t>مائتان وخمس عشرة وتسع</t>
  </si>
  <si>
    <t>مائتان وست عشرة</t>
  </si>
  <si>
    <t>مائتان وست عشرة وواحدة</t>
  </si>
  <si>
    <t>مائتان وست عشرة واثنتان</t>
  </si>
  <si>
    <t>مائتان وست عشرة وثلاث</t>
  </si>
  <si>
    <t>مائتان وست عشرة وأربع</t>
  </si>
  <si>
    <t>مائتان وست عشرة ونصف</t>
  </si>
  <si>
    <t>مائتان وست عشرة وست</t>
  </si>
  <si>
    <t>أربعمائة واثنان و أربعون  وست</t>
  </si>
  <si>
    <t>أربعمائة واثنان و أربعون  وسبع</t>
  </si>
  <si>
    <t>أربعمائة واثنان و أربعون  وثمان</t>
  </si>
  <si>
    <t>أربعمائة واثنان و أربعون  وتسع</t>
  </si>
  <si>
    <t xml:space="preserve">أربعمائة وثلاث و أربعون </t>
  </si>
  <si>
    <t>أربعمائة وثلاث و أربعون   وواحدة</t>
  </si>
  <si>
    <t>أربعمائة وثلاث و أربعون  واثنتان</t>
  </si>
  <si>
    <t>أربعمائة وثلاث و أربعون  وثلاث</t>
  </si>
  <si>
    <t>ستمائة وثمان وستون وسبع</t>
  </si>
  <si>
    <t>ستمائة وثمان وستون وثمان</t>
  </si>
  <si>
    <t>ستمائة وثمان وستون وتسع</t>
  </si>
  <si>
    <t xml:space="preserve">ستمائة وتسع وستون </t>
  </si>
  <si>
    <t>ستمائة وتسع وستون وواحدة</t>
  </si>
  <si>
    <t>ستمائة وتسع وستون واثنتان</t>
  </si>
  <si>
    <t>ستمائة وتسع وستون وثلاث</t>
  </si>
  <si>
    <t>ستمائة وتسع وستون وأربع</t>
  </si>
  <si>
    <t>ستمائة وتسع وستون ونصف</t>
  </si>
  <si>
    <t>ستمائة وتسع وستون وست</t>
  </si>
  <si>
    <t>ستمائة وتسع وستون وسبع</t>
  </si>
  <si>
    <t>ستمائة وتسع وستون وثمان</t>
  </si>
  <si>
    <t>ستمائة وتسع وستون وتسع</t>
  </si>
  <si>
    <t xml:space="preserve">ستمائة وسبعون </t>
  </si>
  <si>
    <t>ستمائة وسبعون وواحدة</t>
  </si>
  <si>
    <t>ستمائة وسبعون واثنتان</t>
  </si>
  <si>
    <t>ستمائة وسبعون وثلاث</t>
  </si>
  <si>
    <t>ستمائة وسبعون وأربع</t>
  </si>
  <si>
    <t>ستمائة وسبعون ونصف</t>
  </si>
  <si>
    <t>ستمائة وسبعون وست</t>
  </si>
  <si>
    <t>ستمائة وسبعون وسبع</t>
  </si>
  <si>
    <t>ستمائة وسبعون وثمان</t>
  </si>
  <si>
    <t>ستمائة وسبعون وتسع</t>
  </si>
  <si>
    <t xml:space="preserve">ستمائة وواحدة وسبعون </t>
  </si>
  <si>
    <t>ستمائة وواحدة سبعون وواحدة</t>
  </si>
  <si>
    <t>ستمائة وواحدة سبعون واثنتان</t>
  </si>
  <si>
    <t>ستمائة وواحدة سبعون وثلاث</t>
  </si>
  <si>
    <t>ستمائة وواحدة سبعون وأربع</t>
  </si>
  <si>
    <t>ستمائة وواحدة سبعون ونصف</t>
  </si>
  <si>
    <t>ستمائة وواحدة سبعون وست</t>
  </si>
  <si>
    <t>ستمائة وواحدة سبعون وسبع</t>
  </si>
  <si>
    <t>ستمائة وواحدة سبعون وثمان</t>
  </si>
  <si>
    <t>ستمائة وواحدة سبعون وتسع</t>
  </si>
  <si>
    <t xml:space="preserve">ستمائة واثنتان وسبعون </t>
  </si>
  <si>
    <t>ستمائة واثنتان وسبعون وواحدة</t>
  </si>
  <si>
    <t>ستمائة واثنتان وسبعون واثنتان</t>
  </si>
  <si>
    <t>ستمائة واثنتان وسبعون وثلاث</t>
  </si>
  <si>
    <t>ستمائة واثنتان وسبعون وأربع</t>
  </si>
  <si>
    <t>ستمائة واثنتان وسبعون ونصف</t>
  </si>
  <si>
    <t>ستمائة واثنتان وسبعون وست</t>
  </si>
  <si>
    <t>ستمائة واثنتان وسبعون وسبع</t>
  </si>
  <si>
    <t>ستمائة واثنتان وسبعون وثمان</t>
  </si>
  <si>
    <t>ستمائة واثنتان وسبعون وتسع</t>
  </si>
  <si>
    <t xml:space="preserve">ستمائة وثلاث وسبعون </t>
  </si>
  <si>
    <t>ستمائة وثلاث وسبعون وواحدة</t>
  </si>
  <si>
    <t>ستمائة وثلاث وسبعون واثنتان</t>
  </si>
  <si>
    <t>ستمائة وثلاث وسبعون وثلاث</t>
  </si>
  <si>
    <t>ثمــــــــــان مائة وخمس وثمانون وثمان</t>
  </si>
  <si>
    <t>ثمــــــــــان مائة وخمس وثمانون وتسع</t>
  </si>
  <si>
    <t xml:space="preserve">ثمــــــــــان مائة وست وثمانون </t>
  </si>
  <si>
    <t xml:space="preserve">ثمــــــــــان مائة وسبع وثمانون </t>
  </si>
  <si>
    <t>ثمــــــــــان مائة وسبع وثمانون وواحدة</t>
  </si>
  <si>
    <t>ثمــــــــــان مائة وسبع وثمانون واثنتان</t>
  </si>
  <si>
    <t>ثمــــــــــان مائة وسبع وثمانون وثلاث</t>
  </si>
  <si>
    <t>ثمــــــــــان مائة وسبع وثمانون وأربع</t>
  </si>
  <si>
    <t>ثمــــــــــان مائة وسبع وثمانون ونصف</t>
  </si>
  <si>
    <t>ثمــــــــــان مائة وسبع وثمانون وست</t>
  </si>
  <si>
    <t>ثمــــــــــان مائة وسبع وثمانون وسبع</t>
  </si>
  <si>
    <t>ثمــــــــــان مائة وسبع وثمانون وثمان</t>
  </si>
  <si>
    <t>ثمــــــــــان مائة وسبع وثمانون وتسع</t>
  </si>
  <si>
    <t xml:space="preserve">ثمــــــــــان مائة وثمان وثمانون </t>
  </si>
  <si>
    <t>ثمــــــــــان مائة وثمان وثمانون وواحدة</t>
  </si>
  <si>
    <t>ثمــــــــــان مائة وثمان وثمانون واثنتان</t>
  </si>
  <si>
    <t>ثمــــــــــان مائة وثمان وثمانون وثلاث</t>
  </si>
  <si>
    <t>ثمــــــــــان مائة وثمان وثمانون وأربع</t>
  </si>
  <si>
    <t>ثمــــــــــان مائة وثمان وثمانون ونصف</t>
  </si>
  <si>
    <t>ستمائة وأربع وسبعون وثلاث</t>
  </si>
  <si>
    <t>ستمائة وأربع وسبعون وأربع</t>
  </si>
  <si>
    <t>ستمائة وأربع وسبعون ونصف</t>
  </si>
  <si>
    <t>ستمائة وأربع وسبعون وست</t>
  </si>
  <si>
    <t>ستمائة وأربع وسبعون وسبع</t>
  </si>
  <si>
    <t>ستمائة وأربع وسبعون وثمان</t>
  </si>
  <si>
    <t>ستمائة وأربع وسبعون وتسع</t>
  </si>
  <si>
    <t xml:space="preserve">ستمائة وخمس وسبعون </t>
  </si>
  <si>
    <t>ستمائة وخمس وسبعون وواحدة</t>
  </si>
  <si>
    <t>ستمائة وخمس وسبعون واثنتان</t>
  </si>
  <si>
    <t>ستمائة وخمس وسبعون وثلاث</t>
  </si>
  <si>
    <t>ستمائة وخمس وسبعون وأربع</t>
  </si>
  <si>
    <t>ستمائة وخمس وسبعون ونصف</t>
  </si>
  <si>
    <t>ستمائة وخمس وسبعون وست</t>
  </si>
  <si>
    <t>ستمائة وخمس وسبعون وسبع</t>
  </si>
  <si>
    <t>ستمائة وخمس وسبعون وثمان</t>
  </si>
  <si>
    <t>ستمائة وخمس وسبعون وتسع</t>
  </si>
  <si>
    <t xml:space="preserve">ستمائة وست وسبعون </t>
  </si>
  <si>
    <t>أستمائة وثمان وسبعون وثمان</t>
  </si>
  <si>
    <t>ستمائة وثمان وسبعون وتسع</t>
  </si>
  <si>
    <t xml:space="preserve">ستمائة وتسع وسبعون </t>
  </si>
  <si>
    <t>ستمائة وتسع وسبعون وواحدة</t>
  </si>
  <si>
    <t>ثمــــــــــان مائة وتسع وثمانون وسبع</t>
  </si>
  <si>
    <t>ثمــــــــــان مائة وتسع وثمانون وثمان</t>
  </si>
  <si>
    <t>ستمائة وست وسبعون وواحدة</t>
  </si>
  <si>
    <t>ستمائة وست وسبعون واثنتان</t>
  </si>
  <si>
    <t>ستمائة وست وسبعون وثلاث</t>
  </si>
  <si>
    <t>ستمائة وست وسبعون وأربع</t>
  </si>
  <si>
    <t>ستمائة وست وسبعون ونصف</t>
  </si>
  <si>
    <t>ستمائة وست وسبعون وست</t>
  </si>
  <si>
    <t>ستمائة وست وسبعون وسبع</t>
  </si>
  <si>
    <t>ستمائة وست وسبعون وثمان</t>
  </si>
  <si>
    <t>ستمائة وست وسبعون وتسع</t>
  </si>
  <si>
    <t>ستمائة وسبع وسبعون</t>
  </si>
  <si>
    <t>ستمائة وسبع وسبعون وواحدة</t>
  </si>
  <si>
    <t>ستمائة وسبع وسبعون واثنتان</t>
  </si>
  <si>
    <t>ستمائة وسبع وسبعون وثلاث</t>
  </si>
  <si>
    <t>ستمائة وسبع وسبعون وأربع</t>
  </si>
  <si>
    <t>ستمائة وسبع وسبعون ونصف</t>
  </si>
  <si>
    <t>ثمــــــــــان مائة وأربع وسبعون وتسع</t>
  </si>
  <si>
    <t xml:space="preserve">ثمــــــــــان مائة وخمس وسبعون </t>
  </si>
  <si>
    <t>ثمــــــــــان مائة وست وسبعون ونصف</t>
  </si>
  <si>
    <t>ثمــــــــــان مائة وست وسبعون وست</t>
  </si>
  <si>
    <t>ثمــــــــــان مائة وست وسبعون وسبع</t>
  </si>
  <si>
    <t>ثمــــــــــان مائة وست وسبعون وثمان</t>
  </si>
  <si>
    <t>ثمــــــــــان مائة وست وسبعون وتسع</t>
  </si>
  <si>
    <t>ثمــــــــــان مائة وسبع وسبعون</t>
  </si>
  <si>
    <t>ثمــــــــــان مائة وسبع وسبعون وواحدة</t>
  </si>
  <si>
    <t xml:space="preserve">أربعمائة وثلاث وخمسون </t>
  </si>
  <si>
    <t>أربعمائة وثلاث وخمسون وواحدة</t>
  </si>
  <si>
    <t>أربعمائة وثلاث وخمسون واثنتان</t>
  </si>
  <si>
    <t>أربعمائة وثلاث وخمسون وثلاث</t>
  </si>
  <si>
    <t>أربعمائة وثلاث وخمسون وأربع</t>
  </si>
  <si>
    <t>أربعمائة وثلاث وخمسون ونصف</t>
  </si>
  <si>
    <t>أربعمائة وثلاث وخمسون وست</t>
  </si>
  <si>
    <t>أربعمائة وثلاث وخمسون وسبع</t>
  </si>
  <si>
    <t>أربعمائة وثلاث وخمسون وثمان</t>
  </si>
  <si>
    <t>أربعمائة وثلاث وخمسون وتسع</t>
  </si>
  <si>
    <t xml:space="preserve">أربعمائة وأربع وخمسون </t>
  </si>
  <si>
    <t>أربعمائة وأربع وخمسون وواحدة</t>
  </si>
  <si>
    <t>أربعمائة وأربع وخمسون واثنتان</t>
  </si>
  <si>
    <t>أربعمائة وأربع وخمسون وثلاث</t>
  </si>
  <si>
    <t>أربعمائة وأربع وخمسون وأربع</t>
  </si>
  <si>
    <t>أربعمائة وأربع وخمسون ونصف</t>
  </si>
  <si>
    <t>أربعمائة وأربع وخمسون وست</t>
  </si>
  <si>
    <t>أربعمائة وأربع وخمسون وسبع</t>
  </si>
  <si>
    <t>أربعمائة وأربع وخمسون وثمان</t>
  </si>
  <si>
    <t>أربعمائة وأربع وخمسون وتسع</t>
  </si>
  <si>
    <t xml:space="preserve">أربعمائة وخمس وخمسون </t>
  </si>
  <si>
    <t>أربعمائة وخمس وخمسون وواحدة</t>
  </si>
  <si>
    <t>أربعمائة وخمس وخمسون واثنتان</t>
  </si>
  <si>
    <t>أربعمائة وخمس وخمسون وثلاث</t>
  </si>
  <si>
    <t>ستمائة وثلاث وثمانون واثنتان</t>
  </si>
  <si>
    <t>ستمائة وثلاث وثمانون وثلاث</t>
  </si>
  <si>
    <t>ستمائة وثلاث وثمانون وأربع</t>
  </si>
  <si>
    <t>ستمائة وثلاث وثمانون ونصف</t>
  </si>
  <si>
    <t>ستمائة وثلاث وثمانون وست</t>
  </si>
  <si>
    <t>ستمائة وثلاث وثمانون وسبع</t>
  </si>
  <si>
    <t>ستمائة وثلاث وثمانون وثمان</t>
  </si>
  <si>
    <t>ستمائة وثلاث وثمانون وتسع</t>
  </si>
  <si>
    <t xml:space="preserve">ستمائة وأربع وثمانون </t>
  </si>
  <si>
    <t>ستمائة وأربع وثمانون وواحدة</t>
  </si>
  <si>
    <t>ستمائة وأربع وثمانون واثنتان</t>
  </si>
  <si>
    <t>ستمائة وأربع وثمانون وثلاث</t>
  </si>
  <si>
    <t>ستمائة وأربع وثمانون وأربع</t>
  </si>
  <si>
    <t>ستمائة وأربع وثمانون ونصف</t>
  </si>
  <si>
    <t>ستمائة وأربع وثمانون وست</t>
  </si>
  <si>
    <t>ستمائة وأربع وثمانون وسبع</t>
  </si>
  <si>
    <t>ستمائة وأربع وثمانون وثمان</t>
  </si>
  <si>
    <t>ستمائة وأربع وثمانون وتسع</t>
  </si>
  <si>
    <t xml:space="preserve">ستمائة وخمس وثمانون </t>
  </si>
  <si>
    <t>ستمائة وخمس وثمانون وواحدة</t>
  </si>
  <si>
    <t>ستمائة وخمس وثمانون واثنتان</t>
  </si>
  <si>
    <t>ستمائة وخمس وثمانون وثلاث</t>
  </si>
  <si>
    <t>ستمائة وخمس وثمانون وأربع</t>
  </si>
  <si>
    <t>ستمائة وخمس وثمانون ونصف</t>
  </si>
  <si>
    <t>ستمائة وخمس وثمانون وست</t>
  </si>
  <si>
    <t>ستمائة وخمس وثمانون وسبع</t>
  </si>
  <si>
    <t>ستمائة وخمس وثمانون وثمان</t>
  </si>
  <si>
    <t>ستمائة وخمس وثمانون وتسع</t>
  </si>
  <si>
    <t xml:space="preserve">ستمائة وست وثمانون </t>
  </si>
  <si>
    <t xml:space="preserve">ستمائة وسبع وثمانون </t>
  </si>
  <si>
    <t>ستمائة وسبع وثمانون وواحدة</t>
  </si>
  <si>
    <t>ستمائة وسبع وثمانون واثنتان</t>
  </si>
  <si>
    <t>ستمائة وسبع وثمانون وثلاث</t>
  </si>
  <si>
    <t>ستمائة وسبع وثمانون وأربع</t>
  </si>
  <si>
    <t>ستمائة وسبع وثمانون ونصف</t>
  </si>
  <si>
    <t>ستمائة وسبع وثمانون وست</t>
  </si>
  <si>
    <t>ستمائة وسبع وثمانون وسبع</t>
  </si>
  <si>
    <t>ستمائة وسبع وثمانون وثمان</t>
  </si>
  <si>
    <t>ستمائة وسبع وثمانون وتسع</t>
  </si>
  <si>
    <t xml:space="preserve">ستمائة وثمان وثمانون </t>
  </si>
  <si>
    <t>ستمائة وثمان وثمانون وواحدة</t>
  </si>
  <si>
    <t>ستمائة وثمان وثمانون واثنتان</t>
  </si>
  <si>
    <t>ستمائة وثمان وثمانون وثلاث</t>
  </si>
  <si>
    <t>ستمائة وثمان وثمانون وأربع</t>
  </si>
  <si>
    <t>ستمائة وثمان وثمانون ونصف</t>
  </si>
  <si>
    <t>ستمائة وثمان وثمانون وست</t>
  </si>
  <si>
    <t>ستمائة وثمان وثمانون وسبع</t>
  </si>
  <si>
    <t>أربعمائة وتسع وخمسون وست</t>
  </si>
  <si>
    <t>ستمائة وثمان وثمانون وتسع</t>
  </si>
  <si>
    <t>ستمائة وتسع وثمانون</t>
  </si>
  <si>
    <t>ستمائة وتسع وثمانون وواحدة</t>
  </si>
  <si>
    <t>ستمائة وتسع وثمانون واثنتان</t>
  </si>
  <si>
    <t>ستمائة وتسع وثمانون وثلاث</t>
  </si>
  <si>
    <t>ستمائة وتسع وثمانون وأربع</t>
  </si>
  <si>
    <t>ستمائة وتسع وثمانون ونصف</t>
  </si>
  <si>
    <t>ستمائة وتسع وثمانون وست</t>
  </si>
  <si>
    <t>ستمائة وتسع وثمانون وسبع</t>
  </si>
  <si>
    <t>ستمائة وتسع وثمانون وثمان</t>
  </si>
  <si>
    <t>ستمائة وتسع وثمانون وتسع</t>
  </si>
  <si>
    <t>مائتان وتسع و ثلاثون وسبع</t>
  </si>
  <si>
    <t>مائتان وتسع و ثلاثون وثمان</t>
  </si>
  <si>
    <t>مائتان وتسع و ثلاثون وتسع</t>
  </si>
  <si>
    <t xml:space="preserve">مائتان وأربعون </t>
  </si>
  <si>
    <t>مائتان وأربعون   وواحدة</t>
  </si>
  <si>
    <t>مائتان وأربعون  واثنتان</t>
  </si>
  <si>
    <t>مائتان وأربعون  وثلاث</t>
  </si>
  <si>
    <t>أربعمائة وثلاث وستون وثلاث</t>
  </si>
  <si>
    <t>أربعمائة وثلاث وستون وأربع</t>
  </si>
  <si>
    <t>أربعمائة وثلاث وستون ونصف</t>
  </si>
  <si>
    <t>أربعمائة وثلاث وستون وست</t>
  </si>
  <si>
    <t>أربعمائة وثلاث وستون وسبع</t>
  </si>
  <si>
    <t>أربعمائة وثلاث وستون وثمان</t>
  </si>
  <si>
    <t>أربعمائة وثلاث وستون وتسع</t>
  </si>
  <si>
    <t xml:space="preserve">أربعمائة وأربع وستون </t>
  </si>
  <si>
    <t>أربعمائة وأربع وستون وواحدة</t>
  </si>
  <si>
    <t>أربعمائة وأربع وستون واثنتان</t>
  </si>
  <si>
    <t>ستمائة وواحدة وتسعون واثنتان</t>
  </si>
  <si>
    <t>ستمائة وواحدة وتسعون وثلاث</t>
  </si>
  <si>
    <t>ستمائة وواحدة وتسعون وأربع</t>
  </si>
  <si>
    <t>ستمائة وواحدة وتسعون ونصف</t>
  </si>
  <si>
    <t>ستمائة وواحدة وتسعون وست</t>
  </si>
  <si>
    <t>ستمائة وواحدة وتسعون وسبع</t>
  </si>
  <si>
    <t>ستمائة وواحدة وتسعون وثمان</t>
  </si>
  <si>
    <t>ستمائة وواحدة وتسعون وتسع</t>
  </si>
  <si>
    <t xml:space="preserve">ستمائة واثنتان وتسعون </t>
  </si>
  <si>
    <t>ستمائة واثنتان وتسعون وواحدة</t>
  </si>
  <si>
    <t>ستمائة واثنتان وتسعون واثنتان</t>
  </si>
  <si>
    <t>ستمائة واثنتان وتسعون وثلاث</t>
  </si>
  <si>
    <t>ستمائة واثنتان وتسعون وأربع</t>
  </si>
  <si>
    <t>ستمائة واثنتان وتسعون ونصف</t>
  </si>
  <si>
    <t>ستمائة واثنتان وتسعون وست</t>
  </si>
  <si>
    <t>ستمائة واثنتان وتسعون وسبع</t>
  </si>
  <si>
    <t>ستمائة واثنتان وتسعون وثمان</t>
  </si>
  <si>
    <t>ستمائة واثنتان وتسعون وتسع</t>
  </si>
  <si>
    <t xml:space="preserve">ستمائة وثلاث وتسعون </t>
  </si>
  <si>
    <t>ستمائة وثلاث وتسعون وواحدة</t>
  </si>
  <si>
    <t>ستمائة وثلاث وتسعون واثنتان</t>
  </si>
  <si>
    <t>ستمائة وثلاث وتسعون وثلاث</t>
  </si>
  <si>
    <t>ستمائة وثلاث وتسعون وأربع</t>
  </si>
  <si>
    <t>ثمــــــــــان مائة  واثنتا عشرة وثلاث</t>
  </si>
  <si>
    <t>ثمــــــــــان مائة  واثنتا عشرة وأربع</t>
  </si>
  <si>
    <t>ثمــــــــــان مائة  واثنتا عشرة ونصف</t>
  </si>
  <si>
    <t>ثمــــــــــان مائة  واثنتا عشرة وست</t>
  </si>
  <si>
    <t>ثمــــــــــان مائة  واثنتا عشرة وسبع</t>
  </si>
  <si>
    <t>تسع مائة وسبع وتسعون وواحدة</t>
  </si>
  <si>
    <t>تسع مائة وسبع وتسعون واثنتان</t>
  </si>
  <si>
    <t>تسع مائة وسبع وتسعون وثلاث</t>
  </si>
  <si>
    <t>تسع مائة وسبع وتسعون وأربع</t>
  </si>
  <si>
    <t>تسع مائة وسبع وتسعون ونصف</t>
  </si>
  <si>
    <t>ثمــــــــــان مائة وتسع وتسعون واثنتان</t>
  </si>
  <si>
    <t>ثمــــــــــان مائة وتسع وتسعون وثلاث</t>
  </si>
  <si>
    <t>ثمــــــــــان مائة وتسع وتسعون وأربع</t>
  </si>
  <si>
    <t>ثمــــــــــان مائة وتسع وتسعون ونصف</t>
  </si>
  <si>
    <t>ثمــــــــــان مائة وتسع وتسعون وست</t>
  </si>
  <si>
    <t>ثمــــــــــان مائة وتسع وتسعون وسبع</t>
  </si>
  <si>
    <t>ثمــــــــــان مائة وتسع وتسعون وثمان</t>
  </si>
  <si>
    <t>ثمــــــــــان مائة وتسع وتسعون وتسع</t>
  </si>
  <si>
    <t>تسـع مائة</t>
  </si>
  <si>
    <t>تسع مائة  وواحدة</t>
  </si>
  <si>
    <t>تسع مائة  واثنتان</t>
  </si>
  <si>
    <t>تسع مائة  وثلاث</t>
  </si>
  <si>
    <t>تسع مائة  وأربع</t>
  </si>
  <si>
    <t>تسع مائة  ونصف</t>
  </si>
  <si>
    <t>تسع مائة  وست</t>
  </si>
  <si>
    <t>تسع مائة  وسبع</t>
  </si>
  <si>
    <t>تسع مائة  وثمان</t>
  </si>
  <si>
    <t>تسع مائة  و تسع</t>
  </si>
  <si>
    <t xml:space="preserve">تسع مائة  وواحدة وواحدة </t>
  </si>
  <si>
    <t>تسع مائة  وواحدة واثنتان</t>
  </si>
  <si>
    <t>تسع مائة  وواحدة وثلاث</t>
  </si>
  <si>
    <t>تسع مائة  وواحدة وأربع</t>
  </si>
  <si>
    <t>تسع مائة  وواحدة ونصف</t>
  </si>
  <si>
    <t>تسع مائة  وواحدة وست</t>
  </si>
  <si>
    <t>تسع مائة  وواحدة وسبع</t>
  </si>
  <si>
    <t>تسع مائة  وواحدة وثمان</t>
  </si>
  <si>
    <t>تسع مائة  وواحدة وتسع</t>
  </si>
  <si>
    <t>تسع مائة  واثنتان وواحدة</t>
  </si>
  <si>
    <t>تسع مائة  واثنتان واثنان</t>
  </si>
  <si>
    <t>تسع مائة  واثنتان وثلاث</t>
  </si>
  <si>
    <t>تسع مائة  واثنتان وأربع</t>
  </si>
  <si>
    <t>تسع مائة  واثنتان ونصف</t>
  </si>
  <si>
    <t>تسع مائة  واثنتان وست</t>
  </si>
  <si>
    <t>تسع مائة  واثنتان وسبع</t>
  </si>
  <si>
    <t>تسع مائة  واثنتان وثمان</t>
  </si>
  <si>
    <t>تسع مائة  واثنتان وتسع</t>
  </si>
  <si>
    <t>تسع مائة  وثلاث وواحدة</t>
  </si>
  <si>
    <t>تسع مائة  وثلاث واثنتان</t>
  </si>
  <si>
    <t>تسع مائة  وثلاث وثلاث</t>
  </si>
  <si>
    <t>تسع مائة  وثلاث وأربع</t>
  </si>
  <si>
    <t>تسع مائة  وثلاث ونصف</t>
  </si>
  <si>
    <t xml:space="preserve">ثمــــــــــان مائة واثنتان وتسعون </t>
  </si>
  <si>
    <t>ثمــــــــــان مائة واثنتان وتسعون وواحدة</t>
  </si>
  <si>
    <t>ثمــــــــــان مائة واثنتان وتسعون واثنتان</t>
  </si>
  <si>
    <t>سبعمائة وثلاث وأربع</t>
  </si>
  <si>
    <t>سبعمائة وثلاث ونصف</t>
  </si>
  <si>
    <t>سبعمائة وثلاث وست</t>
  </si>
  <si>
    <t>سبعمائة وثلاث وسبع</t>
  </si>
  <si>
    <t>سبعمائة وثلاث وثمان</t>
  </si>
  <si>
    <t>سبعمائة وثلاث وتسع</t>
  </si>
  <si>
    <t>سبعمائة وأربع وواحدة</t>
  </si>
  <si>
    <t>سبعمائة وأربع واثنتان</t>
  </si>
  <si>
    <t>سبعمائة وأربع وثلاث</t>
  </si>
  <si>
    <t>سبعمائة وأربع وأربع</t>
  </si>
  <si>
    <t>سبعمائة وأربع ونصف</t>
  </si>
  <si>
    <t>سبعمائة وأربع وست</t>
  </si>
  <si>
    <t>سبعمائة وأربع وسبع</t>
  </si>
  <si>
    <t>سبعمائة وأربع وثمان</t>
  </si>
  <si>
    <t>سبعمائة وأربع وتسع</t>
  </si>
  <si>
    <t>سبعمائة وخمس</t>
  </si>
  <si>
    <t>سبعمائة وخمس وواحدة</t>
  </si>
  <si>
    <t>سبعمائة وخمس واثنتان</t>
  </si>
  <si>
    <t>سبعمائة وخمس وثلاث</t>
  </si>
  <si>
    <t>سبعمائة وخمس وأربع</t>
  </si>
  <si>
    <t>سبعمائة وخمس ونصف</t>
  </si>
  <si>
    <t>سبعمائة وخمس وست</t>
  </si>
  <si>
    <t>سبعمائة وخمس وسبع</t>
  </si>
  <si>
    <t>سبعمائة وخمس وثمان</t>
  </si>
  <si>
    <t>سبعمائة وخمس وتسع</t>
  </si>
  <si>
    <t>ثمــــــــــان مائة وثلاث وتسعون وواحدة</t>
  </si>
  <si>
    <t>ثمــــــــــان مائة وثلاث وتسعون واثنتان</t>
  </si>
  <si>
    <t>ثمــــــــــان مائة وثلاث وتسعون وثلاث</t>
  </si>
  <si>
    <t>ثمــــــــــان مائة وثلاث وتسعون وأربع</t>
  </si>
  <si>
    <t>ثمــــــــــان مائة وثلاث وتسعون ونصف</t>
  </si>
  <si>
    <t>ثمــــــــــان مائة وثلاث وتسعون وست</t>
  </si>
  <si>
    <t>ثمــــــــــان مائة وثلاث وتسعون وسبع</t>
  </si>
  <si>
    <t>سبعمائة وسبع وواحدة</t>
  </si>
  <si>
    <t>سبعمائة وسبع واثنتان</t>
  </si>
  <si>
    <t>أربعمائة وثلاث وسبعون ونصف</t>
  </si>
  <si>
    <t>أربعمائة وثلاث وسبعون وست</t>
  </si>
  <si>
    <t>أربعمائة وثلاث وسبعون وسبع</t>
  </si>
  <si>
    <t>أربعمائة وثلاث وسبعون وثمان</t>
  </si>
  <si>
    <t>أربعمائة وثلاث وسبعون وتسع</t>
  </si>
  <si>
    <t xml:space="preserve">أربعمائة وأربع وسبعون </t>
  </si>
  <si>
    <t>أربعمائة وأربع وسبعون وواحدة</t>
  </si>
  <si>
    <t>أربعمائة وأربع وسبعون واثنتان</t>
  </si>
  <si>
    <t>أربعمائة وأربع وسبعون وثلاث</t>
  </si>
  <si>
    <t>أربعمائة وأربع وسبعون وأربع</t>
  </si>
  <si>
    <t>أربعمائة وأربع وسبعون ونصف</t>
  </si>
  <si>
    <t>أربعمائة وأربع وسبعون وست</t>
  </si>
  <si>
    <t>أربعمائة وأربع وسبعون وسبع</t>
  </si>
  <si>
    <t>سبعمائة وثمان وست</t>
  </si>
  <si>
    <t>سبعمائة وثمان وسبع</t>
  </si>
  <si>
    <t>سبعمائة وثمان وثمان</t>
  </si>
  <si>
    <t>سبعمائة وثمان وتسع</t>
  </si>
  <si>
    <t>سبعمائة وتسع</t>
  </si>
  <si>
    <t>سبعمائة وتسع وواحدة</t>
  </si>
  <si>
    <t>سبعمائة وتسع واثنتان</t>
  </si>
  <si>
    <t>سبعمائة وتسع وثلاث</t>
  </si>
  <si>
    <t>سبعمائة وتسع وأربع</t>
  </si>
  <si>
    <t>سبعمائة وتسع ونصف</t>
  </si>
  <si>
    <t>سبعمائة وتسع وست</t>
  </si>
  <si>
    <t>سبعمائة وتسع وسبع</t>
  </si>
  <si>
    <t>سبعمائة وتسع وثمان</t>
  </si>
  <si>
    <t>سبعمائة وتسع وتسع</t>
  </si>
  <si>
    <t>سبعمائة وعشر</t>
  </si>
  <si>
    <t>سبعمائة وعشر وواحدة</t>
  </si>
  <si>
    <t>سبعمائة وعشر واثنتان</t>
  </si>
  <si>
    <t>سبعمائة وعشر وثلاث</t>
  </si>
  <si>
    <t>سبعمائة وعشر وأربع</t>
  </si>
  <si>
    <t>سبعمائة وعشر ونصف</t>
  </si>
  <si>
    <t>سبعمائة وعشر وست</t>
  </si>
  <si>
    <t>سبعمائة وعشر وسبع</t>
  </si>
  <si>
    <t>سبعمائة وعشر وثمان</t>
  </si>
  <si>
    <t>سبعمائة وعشر وتسع</t>
  </si>
  <si>
    <t>سبعمائة واحدى عشرة</t>
  </si>
  <si>
    <t>سبعمائة واحدى عشرة وواحدة</t>
  </si>
  <si>
    <t>سبعمائة واحدى عشرة واثنتان</t>
  </si>
  <si>
    <t>سبعمائة واحدى عشرة وثلاث</t>
  </si>
  <si>
    <t>سبعمائة واحدى عشرة وأربع</t>
  </si>
  <si>
    <t>سبعمائة واحدى عشرة ونصف</t>
  </si>
  <si>
    <t>سبعمائة واحدى عشرة وست</t>
  </si>
  <si>
    <t>سبعمائة واحدى عشرة وسبع</t>
  </si>
  <si>
    <t>سبعمائة واحدى عشرة وثمان</t>
  </si>
  <si>
    <t>سبعمائة واحدى عشرة وتسع</t>
  </si>
  <si>
    <t>سبعمائة واثنتا عشرة</t>
  </si>
  <si>
    <t>سبعمائة واثنتا عشرة وواحدة</t>
  </si>
  <si>
    <t>سبعمائة واثنتا عشرة واثنتان</t>
  </si>
  <si>
    <t>سبعمائة واثنتا عشرة وثلاث</t>
  </si>
  <si>
    <t>سبعمائة واثنتا عشرة وأربع</t>
  </si>
  <si>
    <t>سبعمائة واثنتا عشرة ونصف</t>
  </si>
  <si>
    <t>ألف واثنتان وعشرون وست</t>
  </si>
  <si>
    <t>ألف واثنتان وعشرون وسبع</t>
  </si>
  <si>
    <t>ألف واثنتان وعشرون وثمان</t>
  </si>
  <si>
    <t>ألف واثنتان وعشرون وتسع</t>
  </si>
  <si>
    <t xml:space="preserve">ألف وثلاث وعشرون </t>
  </si>
  <si>
    <t>ألف وثلاث وعشرون  وواحدة</t>
  </si>
  <si>
    <t>ألف وثلاث و عشرون واثنتان</t>
  </si>
  <si>
    <t>ألف وثلاث وعشرون وثلاث</t>
  </si>
  <si>
    <t>ألف وثلاث وعشرون وأربع</t>
  </si>
  <si>
    <t>ألف وثلاث وعشرون ونصف</t>
  </si>
  <si>
    <t>ألف وثلاث وعشرون وست</t>
  </si>
  <si>
    <t>ألف وثلاث وعشرون وسبع</t>
  </si>
  <si>
    <t>ألف وثلاث وعشرون وثمان</t>
  </si>
  <si>
    <t>ألف وثلاث وعشرون وتسع</t>
  </si>
  <si>
    <t xml:space="preserve">ألف وأربع وعشرون </t>
  </si>
  <si>
    <t>ألف وأربع وعشرون  وواحدة</t>
  </si>
  <si>
    <t>ألف وأربع و عشرون واثنتان</t>
  </si>
  <si>
    <t>ألف وأربع وعشرون وثلاث</t>
  </si>
  <si>
    <t>ألف وأربع وعشرون وأربع</t>
  </si>
  <si>
    <t>سبعمائة وثلاث عشرة ونصف</t>
  </si>
  <si>
    <t>سبعمائة وثلاث عشرة وست</t>
  </si>
  <si>
    <t>سبعمائة وثلاث عشرة وسبع</t>
  </si>
  <si>
    <t>سبعمائة وثلاث عشرة وثمان</t>
  </si>
  <si>
    <t>سبعمائة وثلاث عشرة وتسع</t>
  </si>
  <si>
    <t>سبعمائة وأربع عشرة</t>
  </si>
  <si>
    <t>سبعمائة وأربع عشرة وواحدة</t>
  </si>
  <si>
    <t>ثمــــــــــان مائة وثمان وتسعون وأربع</t>
  </si>
  <si>
    <t>ثمــــــــــان مائة وثمان وتسعون ونصف</t>
  </si>
  <si>
    <t>ثمــــــــــان مائة وثمان وتسعون وست</t>
  </si>
  <si>
    <t>ثمــــــــــان مائة وثمان وتسعون وسبع</t>
  </si>
  <si>
    <t>ثمــــــــــان مائة وثمان وتسعون وثمان</t>
  </si>
  <si>
    <t>ثمــــــــــان مائة وثمان وتسعون وتسع</t>
  </si>
  <si>
    <t>سبعمائة وأربع عشرة وثمان</t>
  </si>
  <si>
    <t>أربعمائة وواحدة وثمانون ونصف</t>
  </si>
  <si>
    <t>أربعمائة وواحدة وثمانون وست</t>
  </si>
  <si>
    <t>أربعمائة وواحدة وثمانون وسبع</t>
  </si>
  <si>
    <t>أربعمائة وواحدة وثمانون وثمان</t>
  </si>
  <si>
    <t>أربعمائة وواحدة وثمانون وتسع</t>
  </si>
  <si>
    <t xml:space="preserve">أربعمائة واثنتان وثمانون </t>
  </si>
  <si>
    <t>أربعمائة واثنان وثمانون وواحدة</t>
  </si>
  <si>
    <t>أربعمائة واثنتان وثمانون واثنتان</t>
  </si>
  <si>
    <t>أربعمائة واثنتان وثمانون وثلاث</t>
  </si>
  <si>
    <t>أربعمائة واثنتان وثمانون وأربع</t>
  </si>
  <si>
    <t>أربعمائة واثنتان وثمانون ونصف</t>
  </si>
  <si>
    <t>أربعمائة واثنتان وثمانون وست</t>
  </si>
  <si>
    <t>أربعمائة واثنتان وثمانون وسبع</t>
  </si>
  <si>
    <t>أربعمائة واثنتان وثمانون وثمان</t>
  </si>
  <si>
    <t>أربعمائة واثنتان وثمانون وتسع</t>
  </si>
  <si>
    <t>أربعمائة وثلاث وثمانون</t>
  </si>
  <si>
    <t>أربعمائة وثلاث وثمانون وواحدة</t>
  </si>
  <si>
    <t>أربعمائة وثلاث وثمانون واثنتان</t>
  </si>
  <si>
    <t>أربعمائة وثلاث وثمانون وثلاث</t>
  </si>
  <si>
    <t>أربعمائة وثلاث وثمانون وأربع</t>
  </si>
  <si>
    <t>أربعمائة وثلاث وثمانون ونصف</t>
  </si>
  <si>
    <t>أربعمائة وثلاث وثمانون وست</t>
  </si>
  <si>
    <t>أربعمائة وثلاث وثمانون وسبع</t>
  </si>
  <si>
    <t>أربعمائة وأربع وثمانون وثلاث</t>
  </si>
  <si>
    <t>أربعمائة وأربع وثمانون وأربع</t>
  </si>
  <si>
    <t>أربعمائة وأربع وثمانون ونصف</t>
  </si>
  <si>
    <t>أربعمائة وأربع وثمانون وست</t>
  </si>
  <si>
    <t>أربعمائة وأربع وثمانون وسبع</t>
  </si>
  <si>
    <t>أربعمائة وأربع وثمانون وثمان</t>
  </si>
  <si>
    <t>أربعمائة وأربع وثمانون وتسع</t>
  </si>
  <si>
    <t xml:space="preserve">أربعمائة وخمس وثمانون </t>
  </si>
  <si>
    <t>أربعمائة وخمس وثمانون وواحدة</t>
  </si>
  <si>
    <t>أربعمائة وخمس وثمانون واثنتان</t>
  </si>
  <si>
    <t>سبعمائة وسبع عشرة وواحدة</t>
  </si>
  <si>
    <t>سبعمائة وسبع عشرة واثنتان</t>
  </si>
  <si>
    <t>سبعمائة وسبع عشرة وثلاث</t>
  </si>
  <si>
    <t>ثمــــــــــان مائة وسبع وعشرون ونصف</t>
  </si>
  <si>
    <t>ثمــــــــــان مائة وسبع وعشرون وست</t>
  </si>
  <si>
    <t>ثمــــــــــان مائة وسبع وعشرون وسبع</t>
  </si>
  <si>
    <t>ثمــــــــــان مائة وسبع وعشرون وثمان</t>
  </si>
  <si>
    <t>ألف وثمان و أربعون  وثلاث</t>
  </si>
  <si>
    <t>ألف وثمان و أربعون  وأربع</t>
  </si>
  <si>
    <t>ألف وثمان و أربعون  ونصف</t>
  </si>
  <si>
    <t>ألف وثمان و أربعون  وست</t>
  </si>
  <si>
    <t>ألف وثمان و أربعون  وسبع</t>
  </si>
  <si>
    <t>ألف وثمان و أربعون  وثمان</t>
  </si>
  <si>
    <t>ألف وثمان و أربعون  وتسع</t>
  </si>
  <si>
    <t xml:space="preserve">ألف وتسع و أربعون  </t>
  </si>
  <si>
    <t>تسع مائة واثنتان وعشرون وسبع</t>
  </si>
  <si>
    <t>تسع مائة واثنتان وعشرون وثمان</t>
  </si>
  <si>
    <t>تسع مائة واثنتان وعشرون وتسع</t>
  </si>
  <si>
    <t xml:space="preserve">تسع مائة وثلاث وعشرون </t>
  </si>
  <si>
    <t>تسع مائة وثلاث وعشرون  وواحدة</t>
  </si>
  <si>
    <t>تسع مائة وثلاث و عشرون واثنتان</t>
  </si>
  <si>
    <t>تسع مائة وثلاث وعشرون وثلاث</t>
  </si>
  <si>
    <t>تسع مائة وثلاث وعشرون وأربع</t>
  </si>
  <si>
    <t>تسع مائة وثلاث وعشرون ونصف</t>
  </si>
  <si>
    <t>تسع مائة وثلاث وعشرون وست</t>
  </si>
  <si>
    <t>تسع مائة وثلاث وعشرون وسبع</t>
  </si>
  <si>
    <t>تسع مائة وثلاث وعشرون وثمان</t>
  </si>
  <si>
    <t>تسع مائة وثلاث وعشرون وتسع</t>
  </si>
  <si>
    <t xml:space="preserve">تسع مائة وأربع وعشرون </t>
  </si>
  <si>
    <t>تسع مائة وأربع وعشرون  وواحدة</t>
  </si>
  <si>
    <t>تسع مائة وأربع و عشرون واثنتان</t>
  </si>
  <si>
    <t>تسع مائة وأربع وعشرون وثلاث</t>
  </si>
  <si>
    <t>تسع مائة وأربع وعشرون وأربع</t>
  </si>
  <si>
    <t>تسع مائة وأربع وعشرون ونصف</t>
  </si>
  <si>
    <t>تسع مائة وأربع وعشرون وست</t>
  </si>
  <si>
    <t>تسع مائة وأربع وعشرون وسبع</t>
  </si>
  <si>
    <t>تسع مائة وأربع وعشرون وثمان</t>
  </si>
  <si>
    <t>تسع مائة وأربع وعشرون وتسع</t>
  </si>
  <si>
    <t xml:space="preserve">تسع مائة وخمس وعشرون </t>
  </si>
  <si>
    <t>تسع مائة وخمس وعشرون  وواحدة</t>
  </si>
  <si>
    <t>تسع مائة وخمس و عشرون واثنتان</t>
  </si>
  <si>
    <t>تسع مائة وخمس وعشرون وثلاث</t>
  </si>
  <si>
    <t>تسع مائة وخمس وعشرون وأربع</t>
  </si>
  <si>
    <t>تسع مائة وخمس وعشرون ونصف</t>
  </si>
  <si>
    <t>تسع مائة وخمس وعشرون وست</t>
  </si>
  <si>
    <t>تسع مائة وخمس وعشرون وسبع</t>
  </si>
  <si>
    <t>تسع مائة وخمس وعشرون وثمان</t>
  </si>
  <si>
    <t>تسع مائة وخمس وعشرون وتسع</t>
  </si>
  <si>
    <t xml:space="preserve">تسع مائة وست وعشرون </t>
  </si>
  <si>
    <t>سبعمائة وسبع وعشرون وست</t>
  </si>
  <si>
    <t>سبعمائة وسبع وعشرون وسبع</t>
  </si>
  <si>
    <t>سبعمائة وسبع وعشرون وثمان</t>
  </si>
  <si>
    <t>سبعمائة وسبع وعشرون وتسع</t>
  </si>
  <si>
    <t xml:space="preserve">سبعمائة وثمان وعشرون </t>
  </si>
  <si>
    <t>سبعمائة وثمان وعشرون  وواحدة</t>
  </si>
  <si>
    <t>سبعمائة وثمان و عشرون واثنتان</t>
  </si>
  <si>
    <t>سبعمائة وثمان وعشرون وثلاث</t>
  </si>
  <si>
    <t>سبعمائة وثمان وعشرون وأربع</t>
  </si>
  <si>
    <t>سبعمائة وثمان وعشرون ونصف</t>
  </si>
  <si>
    <t>سبعمائة وثمان وعشرون وست</t>
  </si>
  <si>
    <t>سبعمائة وثمان وعشرون وسبع</t>
  </si>
  <si>
    <t>سبعمائة وثمان وعشرون وثمان</t>
  </si>
  <si>
    <t>سبعمائة وثمان وعشرون وتسع</t>
  </si>
  <si>
    <t xml:space="preserve">سبعمائة وتسع وعشرون </t>
  </si>
  <si>
    <t>سبعمائة وتسع وعشرون  وواحدة</t>
  </si>
  <si>
    <t>سبعمائة وتسع و عشرون واثنتان</t>
  </si>
  <si>
    <t>سبعمائة وتسع وعشرون وثلاث</t>
  </si>
  <si>
    <t>سبعمائة وتسع وعشرون وأربع</t>
  </si>
  <si>
    <t>سبعمائة وتسع وعشرون ونصف</t>
  </si>
  <si>
    <t>سبعمائة وتسع وعشرون وست</t>
  </si>
  <si>
    <t>سبعمائة وتسع وعشرون وسبع</t>
  </si>
  <si>
    <t>سبعمائة وتسع وعشرون وثمان</t>
  </si>
  <si>
    <t>سبعمائة وتسع وعشرون وتسع</t>
  </si>
  <si>
    <t>سبعمائة وثلاثون</t>
  </si>
  <si>
    <t>سبعمائة وثلاثون  وواحدة</t>
  </si>
  <si>
    <t>سبعمائة وثلاثون واثنتان</t>
  </si>
  <si>
    <t>سبعمائة وثلاثون وثلاث</t>
  </si>
  <si>
    <t>سبعمائة وثلاثون وأربع</t>
  </si>
  <si>
    <t>سبعمائة وثلاثون ونصف</t>
  </si>
  <si>
    <t>سبعمائة وثلاثون وست</t>
  </si>
  <si>
    <t>سبعمائة وثلاثون وسبع</t>
  </si>
  <si>
    <t>سبعمائة وثلاثون وثمان</t>
  </si>
  <si>
    <t>سبعمائة وثلاثون وتسع</t>
  </si>
  <si>
    <t xml:space="preserve">سبعمائة وواحدة وثلاثون </t>
  </si>
  <si>
    <t>سبعمائة وواحدة و ثلاثون  وواحدة</t>
  </si>
  <si>
    <t>سبعمائة وواحدة و ثلاثون واثنتان</t>
  </si>
  <si>
    <t>سبعمائة وواحدة و ثلاثون وثلاث</t>
  </si>
  <si>
    <t>سبعمائة وواحدة و ثلاثون وأربع</t>
  </si>
  <si>
    <t>سبعمائة وواحدة و ثلاثون ونصف</t>
  </si>
  <si>
    <t>مائتان وسبع وتسعون وتسع</t>
  </si>
  <si>
    <t>مائتان وثمان وتسعون</t>
  </si>
  <si>
    <t>مائتان وثمان وتسعون وواحدة</t>
  </si>
  <si>
    <t>مائتان وثمان وتسعون واثنتان</t>
  </si>
  <si>
    <t>مائتان وثمان وتسعون وثلاث</t>
  </si>
  <si>
    <t>مائتان وثمان وتسعون وأربع</t>
  </si>
  <si>
    <t>مائتان وثمان وتسعون ونصف</t>
  </si>
  <si>
    <t>مائتان وثمان وتسعون وست</t>
  </si>
  <si>
    <t>مائتان وثمان وتسعون وسبع</t>
  </si>
  <si>
    <t>مائتان وثمان وتسعون وثمان</t>
  </si>
  <si>
    <t>مائتان وثمان وتسعون وتسع</t>
  </si>
  <si>
    <t xml:space="preserve">مائتان وتسع وتسعون </t>
  </si>
  <si>
    <t>تسع مائة  وخمس عشرة واثنتان</t>
  </si>
  <si>
    <t>تسع مائة  وخمس عشرة وثلاث</t>
  </si>
  <si>
    <t>سبعمائة وواحدة و ثلاثون وست</t>
  </si>
  <si>
    <t>سبعمائة وواحدة و ثلاثون وسبع</t>
  </si>
  <si>
    <t>سبعمائة وواحدة و ثلاثون وثمان</t>
  </si>
  <si>
    <t>سبعمائة وواحدة و ثلاثون وتسع</t>
  </si>
  <si>
    <t>أربعمائة وأربع وتسعون وأربع</t>
  </si>
  <si>
    <t>أربعمائة وأربع وتسعون ونصف</t>
  </si>
  <si>
    <t>أربعمائة وأربع وتسعون وست</t>
  </si>
  <si>
    <t>أربعمائة وأربع وتسعون وسبع</t>
  </si>
  <si>
    <t xml:space="preserve">سبعمائة واثنتان و ثلاثون </t>
  </si>
  <si>
    <t>سبعمائة واثنتان و ثلاثون  وواحدة</t>
  </si>
  <si>
    <t>سبعمائة واثنتان و ثلاثون واثنتان</t>
  </si>
  <si>
    <t>سبعمائة واثنتان و ثلاثون وثلاث</t>
  </si>
  <si>
    <t>سبعمائة واثنتان و ثلاثون وأربع</t>
  </si>
  <si>
    <t>سبعمائة واثنتان و ثلاثون ونصف</t>
  </si>
  <si>
    <t>سبعمائة واثنتان و ثلاثون وست</t>
  </si>
  <si>
    <t>سبعمائة واثنتان و ثلاثون وسبع</t>
  </si>
  <si>
    <t>سبعمائة واثنتان و ثلاثون وثمان</t>
  </si>
  <si>
    <t>سبعمائة واثنتان و ثلاثون وتسع</t>
  </si>
  <si>
    <t xml:space="preserve">سبعمائة وثلاث و ثلاثون </t>
  </si>
  <si>
    <t xml:space="preserve">سبعمائة وأربع و ثلاثون </t>
  </si>
  <si>
    <t>سبعمائة وأربع و ثلاثون  وواحدة</t>
  </si>
  <si>
    <t>سبعمائة وأربع و ثلاثون واثنتان</t>
  </si>
  <si>
    <t>سبعمائة وأربع و ثلاثون وثلاث</t>
  </si>
  <si>
    <t>سبعمائة وأربع و ثلاثون وأربع</t>
  </si>
  <si>
    <t>سبعمائة وأربع و ثلاثون ونصف</t>
  </si>
  <si>
    <t>سبعمائة وأربع و ثلاثون وست</t>
  </si>
  <si>
    <t>سبعمائة وأربع و ثلاثون وسبع</t>
  </si>
  <si>
    <t>سبعمائة وأربع و ثلاثون وثمان</t>
  </si>
  <si>
    <t>سبعمائة وأربع و ثلاثون وتسع</t>
  </si>
  <si>
    <t xml:space="preserve">سبعمائة وخمس و ثلاثون </t>
  </si>
  <si>
    <t>سبعمائة وخمس و ثلاثون  وواحدة</t>
  </si>
  <si>
    <t>سبعمائة وخمس و ثلاثون واثنتان</t>
  </si>
  <si>
    <t>سبعمائة وخمس و ثلاثون وثلاث</t>
  </si>
  <si>
    <t>تسع مائة  وتسع عشرة</t>
  </si>
  <si>
    <t>تسع مائة  وتسع عشرة وواحدة</t>
  </si>
  <si>
    <t>تسع مائة  وتسع عشرة واثنتان</t>
  </si>
  <si>
    <t>تسع مائة  وتسع عشرة وثلاث</t>
  </si>
  <si>
    <t>تسع مائة  وتسع عشرة وأربع</t>
  </si>
  <si>
    <t>تسع مائة  وتسع عشرة ونصف</t>
  </si>
  <si>
    <t>تسع مائة  وتسع عشرة وست</t>
  </si>
  <si>
    <t>تسع مائة  وتسع عشرة وسبع</t>
  </si>
  <si>
    <t>تسع مائة  وتسع عشرة وثمان</t>
  </si>
  <si>
    <t>تسع مائة  وتسع عشرة وتسع</t>
  </si>
  <si>
    <t>تسع مائة  وعشرون</t>
  </si>
  <si>
    <t>تسع مائة  وعشرون وواحدة</t>
  </si>
  <si>
    <t>تسع مائة  وعشرون واثنتان</t>
  </si>
  <si>
    <t>تسع مائة  وعشرون وثلاث</t>
  </si>
  <si>
    <t xml:space="preserve">أربعمائة وتسع وتسعون </t>
  </si>
  <si>
    <t>أربعمائة وتسع وتسعون وواحدة</t>
  </si>
  <si>
    <t>أربعمائة وتسع وتسعون واثنتان</t>
  </si>
  <si>
    <t>أربعمائة وتسع وتسعون وثلاث</t>
  </si>
  <si>
    <t>أربعمائة وتسع وتسعون وأربع</t>
  </si>
  <si>
    <t>سبعمائة وخمس و ثلاثون وأربع</t>
  </si>
  <si>
    <t>سبعمائة وخمس و ثلاثون ونصف</t>
  </si>
  <si>
    <t>سبعمائة وخمس و ثلاثون وست</t>
  </si>
  <si>
    <t>سبعمائة وخمس و ثلاثون وسبع</t>
  </si>
  <si>
    <t>سبعمائة وخمس و ثلاثون وثمان</t>
  </si>
  <si>
    <t>سبعمائة وخمس و ثلاثون وتسع</t>
  </si>
  <si>
    <t xml:space="preserve">سبعمائة وست و ثلاثون </t>
  </si>
  <si>
    <t>تسع مائة  وواحدة وعشرون وثلاث</t>
  </si>
  <si>
    <t>تسع مائة  وواحدة وعشرون وأربع</t>
  </si>
  <si>
    <t>تسع مائة وواحدة وعشرون ونصف</t>
  </si>
  <si>
    <t>تسع مائة وواحدة وعشرون وست</t>
  </si>
  <si>
    <t>تسع مائة وواحدة وعشرون وسبع</t>
  </si>
  <si>
    <t>تسع مائة وواحدة وعشرون وثمان</t>
  </si>
  <si>
    <t>تسع مائة وواحدة وعشرون وتسع</t>
  </si>
  <si>
    <t>تسع مائة واثنتان وعشرون واثنتان</t>
  </si>
  <si>
    <t>تسع مائة واثنتان وعشرون  وواحدة</t>
  </si>
  <si>
    <t>تسع مائة واثنتان و عشرون واثنتان</t>
  </si>
  <si>
    <t>تسع مائة واثنتان وعشرون وثلاث</t>
  </si>
  <si>
    <t>خمسمائة وثلاث ونصف</t>
  </si>
  <si>
    <t>خمسمائة وثلاث وست</t>
  </si>
  <si>
    <t>خمسمائة وثلاث وسبع</t>
  </si>
  <si>
    <t>خمسمائة وثلاث وثمان</t>
  </si>
  <si>
    <t>خمسمائة وثلاث وتسع</t>
  </si>
  <si>
    <t>خمسمائة وأربع وواحدة</t>
  </si>
  <si>
    <t>خمسمائة وأربع واثنتان</t>
  </si>
  <si>
    <t>خمسمائة وأربع وثلاث</t>
  </si>
  <si>
    <t>خمسمائة وأربع وأربع</t>
  </si>
  <si>
    <t>خمسمائة وأربع ونصف</t>
  </si>
  <si>
    <t>خمسمائة وأربع وست</t>
  </si>
  <si>
    <t>خمسمائة وأربع وسبع</t>
  </si>
  <si>
    <t>خمسمائة وأربع وثمان</t>
  </si>
  <si>
    <t>خمسمائة وأربع وتسع</t>
  </si>
  <si>
    <t>خمسمائة وخمس</t>
  </si>
  <si>
    <t>خمسمائة وخمس وواحدة</t>
  </si>
  <si>
    <t>خمسمائة وخمس واثنتان</t>
  </si>
  <si>
    <t>خمسمائة وخمس وثلاث</t>
  </si>
  <si>
    <t>خمسمائة وخمس وأربع</t>
  </si>
  <si>
    <t>خمسمائة وخمس ونصف</t>
  </si>
  <si>
    <t>خمسمائة وخمس وست</t>
  </si>
  <si>
    <t>خمسمائة وخمس وسبع</t>
  </si>
  <si>
    <t>خمسمائة وخمس وثمان</t>
  </si>
  <si>
    <t>خمسمائة وخمس وتسع</t>
  </si>
  <si>
    <t>خمسمائة وست وواحدة</t>
  </si>
  <si>
    <t>خمسمائة وست واثنتان</t>
  </si>
  <si>
    <t xml:space="preserve">خمسمائة وست وثلاث </t>
  </si>
  <si>
    <t>خمسمائة وست وأربع</t>
  </si>
  <si>
    <t>خمسمائة وست ونصف</t>
  </si>
  <si>
    <t>خمسمائة وست وست</t>
  </si>
  <si>
    <t>خمسمائة وست وسبع</t>
  </si>
  <si>
    <t>خمسمائة وست وثمان</t>
  </si>
  <si>
    <t>خمسمائة وست وتسع</t>
  </si>
  <si>
    <t>خمسمائة وسبع وواحدة</t>
  </si>
  <si>
    <t>خمسمائة وسبع واثنتان</t>
  </si>
  <si>
    <t>خمسمائة وسبع وثلاث</t>
  </si>
  <si>
    <t>خمسمائة وسبع وأربع</t>
  </si>
  <si>
    <t>خمسمائة وسبع ونصف</t>
  </si>
  <si>
    <t>خمسمائة وسبع وست</t>
  </si>
  <si>
    <t>خمسمائة وسبع وسبع</t>
  </si>
  <si>
    <t>خمسمائة وسبع وثمان</t>
  </si>
  <si>
    <t>خمسمائة وسبع وتسع</t>
  </si>
  <si>
    <t>خمسمائة وثمان وواحدة</t>
  </si>
  <si>
    <t>خمسمائة وثمان واثنتان</t>
  </si>
  <si>
    <t>خمسمائة وثمان وثلاث</t>
  </si>
  <si>
    <t>خمسمائة وثمان وأربع</t>
  </si>
  <si>
    <t>خمسمائة وثمان ونصف</t>
  </si>
  <si>
    <t>خمسمائة وثمان وست</t>
  </si>
  <si>
    <t>خمسمائة وثمان وسبع</t>
  </si>
  <si>
    <t>سبعمائة وتسع و ثلاثون وست</t>
  </si>
  <si>
    <t>سبعمائة وتسع و ثلاثون وسبع</t>
  </si>
  <si>
    <t>سبعمائة وتسع و ثلاثون وثمان</t>
  </si>
  <si>
    <t>سبعمائة وتسع و ثلاثون وتسع</t>
  </si>
  <si>
    <t xml:space="preserve">سبعمائة وأربعون </t>
  </si>
  <si>
    <t>سبعمائة وأربعون   وواحدة</t>
  </si>
  <si>
    <t>سبعمائة وأربعون  واثنتان</t>
  </si>
  <si>
    <t>سبعمائة وأربعون  وثلاث</t>
  </si>
  <si>
    <t>تسع مائة وأربع و أربعون   وواحدة</t>
  </si>
  <si>
    <t>تسع مائة وأربع و أربعون  واثنتان</t>
  </si>
  <si>
    <t>تسع مائة وأربع و أربعون  وثلاث</t>
  </si>
  <si>
    <t>تسع مائة وأربع و أربعون  وأربع</t>
  </si>
  <si>
    <t>تسع مائة وأربع و أربعون  ونصف</t>
  </si>
  <si>
    <t>تسع مائة وأربع و أربعون  وست</t>
  </si>
  <si>
    <t>تسع مائة وأربع و أربعون  وسبع</t>
  </si>
  <si>
    <t>خمسمائة وعشر وأربع</t>
  </si>
  <si>
    <t>خمسمائة وعشر ونصف</t>
  </si>
  <si>
    <t>خمسمائة وعشر وست</t>
  </si>
  <si>
    <t>خمسمائة وعشر وسبع</t>
  </si>
  <si>
    <t>خمسمائة وعشر وثمان</t>
  </si>
  <si>
    <t>خمسمائة وعشر وتسع</t>
  </si>
  <si>
    <t>سبعمائة وأربعون  وأربع</t>
  </si>
  <si>
    <t>سبعمائة وأربعون  ونصف</t>
  </si>
  <si>
    <t>سبعمائة وأربعون  وست</t>
  </si>
  <si>
    <t>سبعمائة وأربعون  وسبع</t>
  </si>
  <si>
    <t>سبعمائة وأربعون  وثمان</t>
  </si>
  <si>
    <t>سبعمائة وأربعون  وتسع</t>
  </si>
  <si>
    <t xml:space="preserve">سبعمائة وواحدة وأربعون  </t>
  </si>
  <si>
    <t>سبعمائة وواحدة و أربعون   وواحدة</t>
  </si>
  <si>
    <t>سبعمائة وواحدة و أربعون  واثنتان</t>
  </si>
  <si>
    <t>سبعمائة وواحدة و أربعون  وثلاث</t>
  </si>
  <si>
    <t>سبعمائة وواحدة و أربعون  وأربع</t>
  </si>
  <si>
    <t>سبعمائة وواحدة و أربعون  ونصف</t>
  </si>
  <si>
    <t>سبعمائة وواحدة و أربعون  وست</t>
  </si>
  <si>
    <t>خمسمائة واثنتا عشرة ونصف</t>
  </si>
  <si>
    <t>خمسمائة واثنتا عشرة وست</t>
  </si>
  <si>
    <t>خمسمائة واثنتا عشرة وسبع</t>
  </si>
  <si>
    <t>خمسمائة واثنتا عشرة وثمان</t>
  </si>
  <si>
    <t>خمسمائة واثنتا عشرة وتسع</t>
  </si>
  <si>
    <t>خمسمائة وثلاث عشرة</t>
  </si>
  <si>
    <t>خمسمائة وثلاث عشرة وواحدة</t>
  </si>
  <si>
    <t>خمسمائة وثلاث عشرة واثنتان</t>
  </si>
  <si>
    <t>خمسمائة وثلاث عشرة وثلاث</t>
  </si>
  <si>
    <t>خمسمائة وثلاث عشرة وأربع</t>
  </si>
  <si>
    <t>خمسمائة وثلاث عشرة ونصف</t>
  </si>
  <si>
    <t>خمسمائة وثلاث عشرة وست</t>
  </si>
  <si>
    <t>خمسمائة وثلاث عشرة وسبع</t>
  </si>
  <si>
    <t>خمسمائة وثلاث عشرة وثمان</t>
  </si>
  <si>
    <t>خمسمائة وثلاث عشرة وتسع</t>
  </si>
  <si>
    <t>خمسمائة وأربع عشرة</t>
  </si>
  <si>
    <t>خمسمائة وأربع عشرة وواحدة</t>
  </si>
  <si>
    <t>خمسمائة وأربع عشرة واثنتان</t>
  </si>
  <si>
    <t>خمسمائة وأربع عشرة وثلاث</t>
  </si>
  <si>
    <t>خمسمائة وأربع عشرة وأربع</t>
  </si>
  <si>
    <t>خمسمائة وأربع عشرة ونصف</t>
  </si>
  <si>
    <t>خمسمائة وأربع عشرة وست</t>
  </si>
  <si>
    <t>خمسمائة وأربع عشرة وسبع</t>
  </si>
  <si>
    <t>خمسمائة وأربع عشرة وثمان</t>
  </si>
  <si>
    <t>سبعمائة وثلاث و أربعون  واثنتان</t>
  </si>
  <si>
    <t>سبعمائة وثلاث و أربعون  وثلاث</t>
  </si>
  <si>
    <t>سبعمائة وثلاث و أربعون  وأربع</t>
  </si>
  <si>
    <t>سبعمائة وثلاث و أربعون  ونصف</t>
  </si>
  <si>
    <t>سبعمائة وثلاث و أربعون  وست</t>
  </si>
  <si>
    <t>سبعمائة وثلاث و أربعون  وسبع</t>
  </si>
  <si>
    <t>سبعمائة وثلاث و أربعون  وثمان</t>
  </si>
  <si>
    <t>سبعمائة وثلاث و أربعون  وتسع</t>
  </si>
  <si>
    <t>سبعمائة وأربع و أربعون  وتسع</t>
  </si>
  <si>
    <t>سبعمائة وأربع و أربعون   وواحدة</t>
  </si>
  <si>
    <t>سبعمائة وأربع و أربعون  واثنتان</t>
  </si>
  <si>
    <t>سبعمائة وأربع و أربعون  وثلاث</t>
  </si>
  <si>
    <t>سبعمائة وأربع و أربعون  وأربع</t>
  </si>
  <si>
    <t>سبعمائة وسبع و أربعون  وسبع</t>
  </si>
  <si>
    <t>سبعمائة وسبع و أربعون  وثمان</t>
  </si>
  <si>
    <t>سبعمائة وسبع و أربعون  وتسع</t>
  </si>
  <si>
    <t xml:space="preserve">سبعمائة وثمان و أربعون  </t>
  </si>
  <si>
    <t>تسع مائة وثلاث و ثلاثون وسبع</t>
  </si>
  <si>
    <t>تسع مائة وثلاث و ثلاثون وثمان</t>
  </si>
  <si>
    <t>تسع مائة وثلاث و ثلاثون وتسع</t>
  </si>
  <si>
    <t xml:space="preserve">تسع مائة وأربع و ثلاثون </t>
  </si>
  <si>
    <t>تسع مائة وأربع و ثلاثون  وواحدة</t>
  </si>
  <si>
    <t>تسع مائة وأربع و ثلاثون واثنتان</t>
  </si>
  <si>
    <t>تسع مائة وأربع و ثلاثون وثلاث</t>
  </si>
  <si>
    <t>تسع مائة وأربع و ثلاثون وأربع</t>
  </si>
  <si>
    <t>تسع مائة وأربع و ثلاثون ونصف</t>
  </si>
  <si>
    <t>تسع مائة وأربع و ثلاثون وست</t>
  </si>
  <si>
    <t>تسع مائة وأربع و ثلاثون وسبع</t>
  </si>
  <si>
    <t>تسع مائة وأربع و ثلاثون وثمان</t>
  </si>
  <si>
    <t>تسع مائة وأربع و ثلاثون وتسع</t>
  </si>
  <si>
    <t xml:space="preserve">تسع مائة وخمس و ثلاثون </t>
  </si>
  <si>
    <t>تسع مائة وخمس و ثلاثون  وواحدة</t>
  </si>
  <si>
    <t>تسع مائة وخمس و ثلاثون واثنتان</t>
  </si>
  <si>
    <t>تسع مائة وخمس و ثلاثون وثلاث</t>
  </si>
  <si>
    <t>تسع مائة وخمس و ثلاثون وأربع</t>
  </si>
  <si>
    <t>تسع مائة وخمس و ثلاثون ونصف</t>
  </si>
  <si>
    <t>تسع مائة وخمس و ثلاثون وست</t>
  </si>
  <si>
    <t>تسع مائة وخمس و ثلاثون وسبع</t>
  </si>
  <si>
    <t>تسع مائة وخمس و ثلاثون وثمان</t>
  </si>
  <si>
    <t>تسع مائة وخمس و ثلاثون وتسع</t>
  </si>
  <si>
    <t xml:space="preserve">تسع مائة وست و ثلاثون </t>
  </si>
  <si>
    <t>تسع مائة وست و ثلاثون  وواحدة</t>
  </si>
  <si>
    <t>تسع مائة وست و ثلاثون واثنتان</t>
  </si>
  <si>
    <t>تسع مائة وست و ثلاثون وثلاث</t>
  </si>
  <si>
    <t>تسع مائة وست و ثلاثون وأربع</t>
  </si>
  <si>
    <t>تسع مائة وست و ثلاثون ونصف</t>
  </si>
  <si>
    <t>تسع مائة وست و ثلاثون وست</t>
  </si>
  <si>
    <t>تسع مائة وست و ثلاثون وسبع</t>
  </si>
  <si>
    <t>تسع مائة وست و ثلاثون وثمان</t>
  </si>
  <si>
    <t>تسع مائة وست و ثلاثون وتسع</t>
  </si>
  <si>
    <t xml:space="preserve">تسع مائة وسبع و ثلاثون </t>
  </si>
  <si>
    <t>سبعمائة وثلاث وخمسون وثلاث</t>
  </si>
  <si>
    <t>سبعمائة وثلاث وخمسون وأربع</t>
  </si>
  <si>
    <t>سبعمائة وثلاث وخمسون ونصف</t>
  </si>
  <si>
    <t>سبعمائة وثلاث وخمسون وست</t>
  </si>
  <si>
    <t>خمسمائة وعشرون وثمان</t>
  </si>
  <si>
    <t>خمسمائة وعشرون وتسع</t>
  </si>
  <si>
    <t>خمسمائة وواحدة وعشرون  وواحدة</t>
  </si>
  <si>
    <t>خمسمائة وواحدة و عشرون واثنتان</t>
  </si>
  <si>
    <t>خمسمائة وواحدة وعشرون وثلاث</t>
  </si>
  <si>
    <t>خمسمائة وواحدة وعشرون وأربع</t>
  </si>
  <si>
    <t>خمسمائة وواحدة وعشرون ونصف</t>
  </si>
  <si>
    <t>خمسمائة وواحدة وعشرون وست</t>
  </si>
  <si>
    <t>خمسمائة وواحدة وعشرون وسبع</t>
  </si>
  <si>
    <t>خمسمائة وواحدة وعشرون وثمان</t>
  </si>
  <si>
    <t>خمسمائة وواحدة وعشرون وتسع</t>
  </si>
  <si>
    <t>خمسمائة واثنتان وعشرون واثنتان</t>
  </si>
  <si>
    <t>خمسمائة واثنتان وعشرون  وواحدة</t>
  </si>
  <si>
    <t>خمسمائة واثنتان و عشرون واثنتان</t>
  </si>
  <si>
    <t>خمسمائة واثنتان وعشرون وثلاث</t>
  </si>
  <si>
    <t>خمسمائة واثنتان وعشرون وأربع</t>
  </si>
  <si>
    <t>تسع مائة وتسع و ثلاثون وثمان</t>
  </si>
  <si>
    <t>تسع مائة وتسع و ثلاثون وتسع</t>
  </si>
  <si>
    <t xml:space="preserve">تسع مائة وأربعون </t>
  </si>
  <si>
    <t>تسع مائة وأربعون   وواحدة</t>
  </si>
  <si>
    <t>تسع مائة وأربعون  واثنتان</t>
  </si>
  <si>
    <t>تسع مائة وأربعون  وثلاث</t>
  </si>
  <si>
    <t>تسع مائة وأربعون  وأربع</t>
  </si>
  <si>
    <t>تسع مائة وأربعون  ونصف</t>
  </si>
  <si>
    <t>تسع مائة وأربعون  وست</t>
  </si>
  <si>
    <t>تسع مائة وأربعون  وسبع</t>
  </si>
  <si>
    <t>تسع مائة وأربعون  وثمان</t>
  </si>
  <si>
    <t>تسع مائة وأربعون  وتسع</t>
  </si>
  <si>
    <t xml:space="preserve">تسع مائة وواحدة وأربعون  </t>
  </si>
  <si>
    <t>تسع مائة وواحدة و أربعون   وواحدة</t>
  </si>
  <si>
    <t>تسع مائة وواحدة و أربعون  واثنتان</t>
  </si>
  <si>
    <t>تسع مائة وواحدة و أربعون  وثلاث</t>
  </si>
  <si>
    <t>تسع مائة وواحدة و أربعون  وأربع</t>
  </si>
  <si>
    <t>تسع مائة وواحدة و أربعون  ونصف</t>
  </si>
  <si>
    <t>تسع مائة وواحدة و أربعون  وست</t>
  </si>
  <si>
    <t>تسع مائة وواحدة و أربعون  وسبع</t>
  </si>
  <si>
    <t>تسع مائة وواحدة و أربعون  وثمان</t>
  </si>
  <si>
    <t>تسع مائة وواحدة و أربعون  وتسع</t>
  </si>
  <si>
    <t xml:space="preserve">تسع مائة واثنتان و أربعون  </t>
  </si>
  <si>
    <t>تسع مائة واثنتان و أربعون   وواحدة</t>
  </si>
  <si>
    <t>تسع مائة واثنتان و أربعون  واثنتان</t>
  </si>
  <si>
    <t>تسع مائة واثنتان و أربعون  وثلاث</t>
  </si>
  <si>
    <t>تسع مائة واثنتان و أربعون  وأربع</t>
  </si>
  <si>
    <t>تسع مائة واثنتان و أربعون  ونصف</t>
  </si>
  <si>
    <t>تسع مائة واثنتان و أربعون  وست</t>
  </si>
  <si>
    <t>تسع مائة واثنتان و أربعون  وسبع</t>
  </si>
  <si>
    <t>تسع مائة واثنتان و أربعون  وثمان</t>
  </si>
  <si>
    <t>تسع مائة واثنتان و أربعون  وتسع</t>
  </si>
  <si>
    <t xml:space="preserve">تسع مائة وثلاث و أربعون </t>
  </si>
  <si>
    <t>تسع مائة وثلاث و أربعون   وواحدة</t>
  </si>
  <si>
    <t>سبعمائة وسبع وخمسون وسبع</t>
  </si>
  <si>
    <t>سبعمائة وسبع وخمسون وثمان</t>
  </si>
  <si>
    <t>سبعمائة وسبع وخمسون وتسع</t>
  </si>
  <si>
    <t xml:space="preserve">سبعمائة وثمان وخمسون </t>
  </si>
  <si>
    <t>سبعمائة وثمان وخمسون وواحدة</t>
  </si>
  <si>
    <t>سبعمائة وثمان وخمسون واثنتان</t>
  </si>
  <si>
    <t>سبعمائة وثمان وخمسون وثلاث</t>
  </si>
  <si>
    <t>سبعمائة وثمان وخمسون وأربع</t>
  </si>
  <si>
    <t>سبعمائة وثمان وخمسون ونصف</t>
  </si>
  <si>
    <t>سبعمائة وثمان وخمسون وست</t>
  </si>
  <si>
    <t>خمسمائة وتسع وعشرون ونصف</t>
  </si>
  <si>
    <t>خمسمائة وتسع وعشرون وست</t>
  </si>
  <si>
    <t>خمسمائة وتسع وعشرون وسبع</t>
  </si>
  <si>
    <t>خمسمائة وتسع وعشرون وثمان</t>
  </si>
  <si>
    <t>خمسمائة وتسع وعشرون وتسع</t>
  </si>
  <si>
    <t>خمسمائة وثلاثون</t>
  </si>
  <si>
    <t>خمسمائة وثلاثون  وواحدة</t>
  </si>
  <si>
    <t>خمسمائة وثلاثون واثنتان</t>
  </si>
  <si>
    <t>خمسمائة وثلاثون وثلاث</t>
  </si>
  <si>
    <t>خمسمائة وثلاثون وأربع</t>
  </si>
  <si>
    <t>خمسمائة وثلاثون ونصف</t>
  </si>
  <si>
    <t>خمسمائة وثلاثون وست</t>
  </si>
  <si>
    <t>خمسمائة وثلاثون وسبع</t>
  </si>
  <si>
    <t>خمسمائة وثلاثون وثمان</t>
  </si>
  <si>
    <t>خمسمائة وثلاثون وتسع</t>
  </si>
  <si>
    <t xml:space="preserve">خمسمائة وواحدة وثلاثون </t>
  </si>
  <si>
    <t>خمسمائة وواحدة و ثلاثون  وواحدة</t>
  </si>
  <si>
    <t>خمسمائة وواحدة و ثلاثون واثنتان</t>
  </si>
  <si>
    <t>خمسمائة وواحدة و ثلاثون وثلاث</t>
  </si>
  <si>
    <t>خمسمائة وواحدة و ثلاثون وأربع</t>
  </si>
  <si>
    <t>خمسمائة وواحدة و ثلاثون ونصف</t>
  </si>
  <si>
    <t>خمسمائة وواحدة و ثلاثون وست</t>
  </si>
  <si>
    <t>خمسمائة وواحدة و ثلاثون وسبع</t>
  </si>
  <si>
    <t>خمسمائة وواحدة و ثلاثون وثمان</t>
  </si>
  <si>
    <t>خمسمائة وواحدة و ثلاثون وتسع</t>
  </si>
  <si>
    <t xml:space="preserve">خمسمائة واثنتان و ثلاثون </t>
  </si>
  <si>
    <t>خمسمائة واثنتان و ثلاثون  وواحدة</t>
  </si>
  <si>
    <t>خمسمائة واثنتان و ثلاثون واثنتان</t>
  </si>
  <si>
    <t>خمسمائة واثنتان و ثلاثون وثلاث</t>
  </si>
  <si>
    <t>خمسمائة واثنتان و ثلاثون وأربع</t>
  </si>
  <si>
    <t>خمسمائة واثنتان و ثلاثون ونصف</t>
  </si>
  <si>
    <t>خمسمائة واثنتان و ثلاثون وست</t>
  </si>
  <si>
    <t>ثلاثمائة وثلاث عشرة وأربع</t>
  </si>
  <si>
    <t>ثمــــــــــان مائة وثمان وخمسون وست</t>
  </si>
  <si>
    <t>ثمــــــــــان مائة وثمان وخمسون وسبع</t>
  </si>
  <si>
    <t>ثمــــــــــان مائة وثمان وخمسون وثمان</t>
  </si>
  <si>
    <t>تسع مائة وأربع وستون وثلاث</t>
  </si>
  <si>
    <t>تسع مائة وأربع وستون وأربع</t>
  </si>
  <si>
    <t>تسع مائة وأربع وستون ونصف</t>
  </si>
  <si>
    <t>تسع مائة وأربع وستون وست</t>
  </si>
  <si>
    <t>تسع مائة وأربع وستون وسبع</t>
  </si>
  <si>
    <t>تسع مائة وأربع وستون وثمان</t>
  </si>
  <si>
    <t>تسع مائة وأربع وستون وتسع</t>
  </si>
  <si>
    <t xml:space="preserve">تسع مائة وخمس وستون </t>
  </si>
  <si>
    <t>تسع مائة وخمس وستون وواحدة</t>
  </si>
  <si>
    <t>تسع مائة وخمس وستون واثنتان</t>
  </si>
  <si>
    <t>تسع مائة وخمس وستون وثلاث</t>
  </si>
  <si>
    <t>سبعمائة وأربع وستون واثنتان</t>
  </si>
  <si>
    <t>سبعمائة وأربع وستون وثلاث</t>
  </si>
  <si>
    <t>سبعمائة وأربع وستون وأربع</t>
  </si>
  <si>
    <t>سبعمائة وأربع وستون ونصف</t>
  </si>
  <si>
    <t>سبعمائة وأربع وستون وست</t>
  </si>
  <si>
    <t>سبعمائة وأربع وستون وسبع</t>
  </si>
  <si>
    <t>سبعمائة وأربع وستون وثمان</t>
  </si>
  <si>
    <t>سبعمائة وأربع وستون وتسع</t>
  </si>
  <si>
    <t xml:space="preserve">سبعمائة وخمس وستون </t>
  </si>
  <si>
    <t>سبعمائة وخمس وستون وواحدة</t>
  </si>
  <si>
    <t>سبعمائة وخمس وستون واثنتان</t>
  </si>
  <si>
    <t>سبعمائة وخمس وستون وثلاث</t>
  </si>
  <si>
    <t>سبعمائة وخمس وستون وأربع</t>
  </si>
  <si>
    <t>سبعمائة وخمس وستون ونصف</t>
  </si>
  <si>
    <t>خمسمائة وخمس و ثلاثون ونصف</t>
  </si>
  <si>
    <t>خمسمائة وخمس و ثلاثون وست</t>
  </si>
  <si>
    <t>خمسمائة وخمس و ثلاثون وسبع</t>
  </si>
  <si>
    <t>خمسمائة وخمس و ثلاثون وثمان</t>
  </si>
  <si>
    <t>خمسمائة وخمس و ثلاثون وتسع</t>
  </si>
  <si>
    <t xml:space="preserve">خمسمائة وست و ثلاثون </t>
  </si>
  <si>
    <t>خمسمائة وست و ثلاثون  وواحدة</t>
  </si>
  <si>
    <t>خمسمائة وست و ثلاثون واثنتان</t>
  </si>
  <si>
    <t>خمسمائة وست و ثلاثون وثلاث</t>
  </si>
  <si>
    <t>خمسمائة وست و ثلاثون وأربع</t>
  </si>
  <si>
    <t>خمسمائة وست و ثلاثون ونصف</t>
  </si>
  <si>
    <t>خمسمائة وست و ثلاثون وست</t>
  </si>
  <si>
    <t>خمسمائة وست و ثلاثون وسبع</t>
  </si>
  <si>
    <t>خمسمائة وست و ثلاثون وثمان</t>
  </si>
  <si>
    <t>خمسمائة وست و ثلاثون وتسع</t>
  </si>
  <si>
    <t xml:space="preserve">خمسمائة وسبع و ثلاثون </t>
  </si>
  <si>
    <t>خمسمائة وسبع و ثلاثون  وواحدة</t>
  </si>
  <si>
    <t>خمسمائة وسبع و ثلاثون واثنتان</t>
  </si>
  <si>
    <t>خمسمائة وسبع و ثلاثون وثلاث</t>
  </si>
  <si>
    <t>خمسمائة وسبع و ثلاثون وأربع</t>
  </si>
  <si>
    <t>خمسمائة وسبع و ثلاثون ونصف</t>
  </si>
  <si>
    <t>خمسمائة وسبع و ثلاثون وست</t>
  </si>
  <si>
    <t>خمسمائة وسبع و ثلاثون وسبع</t>
  </si>
  <si>
    <t>خمسمائة وسبع و ثلاثون وثمان</t>
  </si>
  <si>
    <t>خمسمائة وسبع و ثلاثون وتسع</t>
  </si>
  <si>
    <t>خمسمائة وثمان و ثلاثون</t>
  </si>
  <si>
    <t>خمسمائة وثمان و ثلاثون  وواحدة</t>
  </si>
  <si>
    <t>خمسمائة وثمان و ثلاثون واثنتان</t>
  </si>
  <si>
    <t>خمسمائة وثمان و ثلاثون وثلاث</t>
  </si>
  <si>
    <t>خمسمائة وثمان و ثلاثون وأربع</t>
  </si>
  <si>
    <t>خمسمائة وثمان و ثلاثون ونصف</t>
  </si>
  <si>
    <t>خمسمائة وثمان و ثلاثون وست</t>
  </si>
  <si>
    <t>خمسمائة وثمان و ثلاثون وسبع</t>
  </si>
  <si>
    <t>خمسمائة وثمان و ثلاثون وثمان</t>
  </si>
  <si>
    <t>خمسمائة وثمان و ثلاثون وتسع</t>
  </si>
  <si>
    <t>سبعمائة وثمان وستون وتسع</t>
  </si>
  <si>
    <t xml:space="preserve">سبعمائة وتسع وستون </t>
  </si>
  <si>
    <t>سبعمائة وتسع وستون وواحدة</t>
  </si>
  <si>
    <t>سبعمائة وتسع وستون واثنتان</t>
  </si>
  <si>
    <t>سبعمائة وتسع وستون وثلاث</t>
  </si>
  <si>
    <t>سبعمائة وتسع وستون وأربع</t>
  </si>
  <si>
    <t>سبعمائة وتسع وستون ونصف</t>
  </si>
  <si>
    <t>سبعمائة وتسع وستون وست</t>
  </si>
  <si>
    <t>سبعمائة وتسع وستون وسبع</t>
  </si>
  <si>
    <t>سبعمائة وتسع وستون وثمان</t>
  </si>
  <si>
    <t>سبعمائة وتسع وستون وتسع</t>
  </si>
  <si>
    <t xml:space="preserve">سبعمائة وسبعون </t>
  </si>
  <si>
    <t>تسع مائة وثلاث وخمسون واثنتان</t>
  </si>
  <si>
    <t>سبعمائة وسبعون ونصف</t>
  </si>
  <si>
    <t>سبعمائة وسبعون وست</t>
  </si>
  <si>
    <t>سبعمائة وسبعون وسبع</t>
  </si>
  <si>
    <t>سبعمائة وسبعون وثمان</t>
  </si>
  <si>
    <t>سبعمائة وسبعون وتسع</t>
  </si>
  <si>
    <t xml:space="preserve">سبعمائة وواحدة وسبعون </t>
  </si>
  <si>
    <t>سبعمائة وواحدة سبعون وواحدة</t>
  </si>
  <si>
    <t>سبعمائة وواحدة سبعون واثنتان</t>
  </si>
  <si>
    <t>سبعمائة وواحدة سبعون وثلاث</t>
  </si>
  <si>
    <t>سبعمائة وواحدة سبعون وأربع</t>
  </si>
  <si>
    <t>سبعمائة وواحدة سبعون ونصف</t>
  </si>
  <si>
    <t>سبعمائة وواحدة سبعون وست</t>
  </si>
  <si>
    <t>سبعمائة وواحدة سبعون وسبع</t>
  </si>
  <si>
    <t>سبعمائة وواحدة سبعون وثمان</t>
  </si>
  <si>
    <t>سبعمائة وواحدة سبعون وتسع</t>
  </si>
  <si>
    <t xml:space="preserve">سبعمائة واثنتان وسبعون </t>
  </si>
  <si>
    <t>سبعمائة واثنتان وسبعون وواحدة</t>
  </si>
  <si>
    <t>سبعمائة واثنتان وسبعون واثنتان</t>
  </si>
  <si>
    <t>سبعمائة واثنتان وسبعون وثلاث</t>
  </si>
  <si>
    <t>سبعمائة واثنتان وسبعون وأربع</t>
  </si>
  <si>
    <t>سبعمائة واثنتان وسبعون ونصف</t>
  </si>
  <si>
    <t>سبعمائة واثنتان وسبعون وست</t>
  </si>
  <si>
    <t>سبعمائة واثنتان وسبعون وسبع</t>
  </si>
  <si>
    <t>سبعمائة واثنتان وسبعون وثمان</t>
  </si>
  <si>
    <t>تسع مائة وست وخمسون وسبع</t>
  </si>
  <si>
    <t>تسع مائة وست وخمسون وثمان</t>
  </si>
  <si>
    <t>تسع مائة وست وخمسون وتسع</t>
  </si>
  <si>
    <t xml:space="preserve">تسع مائة وسبع وخمسون </t>
  </si>
  <si>
    <t>تسع مائة وسبع وخمسون وواحدة</t>
  </si>
  <si>
    <t>تسع مائة وسبع وخمسون واثنتان</t>
  </si>
  <si>
    <t>تسع مائة وسبع وخمسون وثلاث</t>
  </si>
  <si>
    <t>تسع مائة وسبع وخمسون وأربع</t>
  </si>
  <si>
    <t>تسع مائة وسبع وخمسون ونصف</t>
  </si>
  <si>
    <t>تسع مائة وسبع وخمسون وست</t>
  </si>
  <si>
    <t>تسع مائة وسبع وخمسون وسبع</t>
  </si>
  <si>
    <t>سبعمائة وثلاث وسبعون وثمان</t>
  </si>
  <si>
    <t>سبعمائة وثلاث وسبعون وتسع</t>
  </si>
  <si>
    <t xml:space="preserve">سبعمائة وأربع وسبعون </t>
  </si>
  <si>
    <t>خمسمائة وثلاث و أربعون  وأربع</t>
  </si>
  <si>
    <t>خمسمائة وثلاث و أربعون  ونصف</t>
  </si>
  <si>
    <t>خمسمائة وثلاث و أربعون  وست</t>
  </si>
  <si>
    <t>خمسمائة وثلاث و أربعون  وسبع</t>
  </si>
  <si>
    <t>خمسمائة وثلاث و أربعون  وثمان</t>
  </si>
  <si>
    <t>خمسمائة وثلاث و أربعون  وتسع</t>
  </si>
  <si>
    <t>خمسمائة وأربع و أربعون  وتسع</t>
  </si>
  <si>
    <t>خمسمائة وأربع و أربعون   وواحدة</t>
  </si>
  <si>
    <t>خمسمائة وأربع و أربعون  واثنتان</t>
  </si>
  <si>
    <t>خمسمائة وأربع و أربعون  وثلاث</t>
  </si>
  <si>
    <t>خمسمائة وأربع و أربعون  وأربع</t>
  </si>
  <si>
    <t>خمسمائة وأربع و أربعون  ونصف</t>
  </si>
  <si>
    <t>خمسمائة وأربع و أربعون  وست</t>
  </si>
  <si>
    <t>خمسمائة وأربع و أربعون  وسبع</t>
  </si>
  <si>
    <t>خمسمائة وأربع و أربعون  وثمان</t>
  </si>
  <si>
    <t xml:space="preserve">خمسمائة وخمس و أربعون  </t>
  </si>
  <si>
    <t>خمسمائة وخمس و أربعون   وواحدة</t>
  </si>
  <si>
    <t>خمسمائة وخمس و أربعون  واثنتان</t>
  </si>
  <si>
    <t>خمسمائة وأخمس و أربعون  وثلاث</t>
  </si>
  <si>
    <t>خمسمائة وخمس و أربعون  وأربع</t>
  </si>
  <si>
    <t>خمسمائة وخمس و أربعون  ونصف</t>
  </si>
  <si>
    <t>خمسمائة وخمس و أربعون  وست</t>
  </si>
  <si>
    <t>خمسمائة وخمس و أربعون  وسبع</t>
  </si>
  <si>
    <t>خمسمائة وخمس و أربعون  وثمان</t>
  </si>
  <si>
    <t>خمسمائة وخمس و أربعون  وتسع</t>
  </si>
  <si>
    <t xml:space="preserve">خمسمائة وست و أربعون  </t>
  </si>
  <si>
    <t>خمسمائة وست و أربعون   وواحدة</t>
  </si>
  <si>
    <t>خمسمائة وست و أربعون  واثنتان</t>
  </si>
  <si>
    <t>خمسمائة وست و أربعون  وثلاث</t>
  </si>
  <si>
    <t>خمسمائة وست و أربعون  وأربع</t>
  </si>
  <si>
    <t>خمسمائة وست و أربعون  ونصف</t>
  </si>
  <si>
    <t>خمسمائة وست و أربعون  وست</t>
  </si>
  <si>
    <t>خمسمائة وست و أربعون  وسبع</t>
  </si>
  <si>
    <t>خمسمائة وست و أربعون  وثمان</t>
  </si>
  <si>
    <t>خمسمائة وست و أربعون  وتسع</t>
  </si>
  <si>
    <t xml:space="preserve">سبعمائة وتسع وسبعون </t>
  </si>
  <si>
    <t>سبعمائة وتسع وسبعون وواحدة</t>
  </si>
  <si>
    <t>سبعمائة وتسع وسبعون واثنتان</t>
  </si>
  <si>
    <t>سبعمائة وتسع وسبعون وثلاث</t>
  </si>
  <si>
    <t>سبعمائة وتسع وسبعون وأربع</t>
  </si>
  <si>
    <t>سبعمائة وتسع وسبعون ونصف</t>
  </si>
  <si>
    <t>سبعمائة وتسع وسبعون وست</t>
  </si>
  <si>
    <t>سبعمائة وتسع وسبعون وسبع</t>
  </si>
  <si>
    <t>سبعمائة وتسع وسبعون وثمان</t>
  </si>
  <si>
    <t>سبعمائة وتسع وسبعون وتسع</t>
  </si>
  <si>
    <t>سبعمائة وثمانون</t>
  </si>
  <si>
    <t>سبعمائة وثمانون وواحدة</t>
  </si>
  <si>
    <t>سبعمائة وثمانون واثنتان</t>
  </si>
  <si>
    <t>سبعمائة وثمانون وثلاث</t>
  </si>
  <si>
    <t>سبعمائة وثمانون وأربع</t>
  </si>
  <si>
    <t>سبعمائة وثمانون ونصف</t>
  </si>
  <si>
    <t>سبعمائة وثمانون وست</t>
  </si>
  <si>
    <t>خمسمائة وتسع و أربعون  ونصف</t>
  </si>
  <si>
    <t>خمسمائة وتسع و أربعون  وست</t>
  </si>
  <si>
    <t>خمسمائة وتسع و أربعون  وسبع</t>
  </si>
  <si>
    <t>خمسمائة وتسع و أربعون  وثمان</t>
  </si>
  <si>
    <t>خمسمائة وتسع و أربعون  وتسع</t>
  </si>
  <si>
    <t xml:space="preserve">خمسمائة وخمسون  </t>
  </si>
  <si>
    <t>خمسمائة وخمسون وواحدة</t>
  </si>
  <si>
    <t>خمسمائة وخمسون واثنتان</t>
  </si>
  <si>
    <t>خمسمائة وخمسون وثلاث</t>
  </si>
  <si>
    <t>خمسمائة وخمسون وأربع</t>
  </si>
  <si>
    <t>خمسمائة وخمسون وتسع</t>
  </si>
  <si>
    <t xml:space="preserve">خمسمائة وواحدة وخمسون </t>
  </si>
  <si>
    <t>خمسمائة وواحدة وخمسون وواحدة</t>
  </si>
  <si>
    <t>خمسمائة وواحدة وخمسون واثنتان</t>
  </si>
  <si>
    <t>خمسمائة وواحدة وخمسون وثلاث</t>
  </si>
  <si>
    <t>خمسمائة وواحدة وخمسون وأربع</t>
  </si>
  <si>
    <t>خمسمائة وواحدة وخمسون ونصف</t>
  </si>
  <si>
    <t>خمسمائة وواحدة وخمسون وست</t>
  </si>
  <si>
    <t>خمسمائة وواحدة وخمسون وسبع</t>
  </si>
  <si>
    <t>ثلاثمائة واثنتان و ثلاثون وست</t>
  </si>
  <si>
    <t>ثلاثمائة واثنتان و ثلاثون وسبع</t>
  </si>
  <si>
    <t>ثلاثمائة واثنتان و ثلاثون وثمان</t>
  </si>
  <si>
    <t>ثلاثمائة واثنتان و ثلاثون وتسع</t>
  </si>
  <si>
    <t xml:space="preserve">ثلاثمائة وثلاث و ثلاثون </t>
  </si>
  <si>
    <t>ثلاثمائة وثلاث و ثلاثون  وواحدة</t>
  </si>
  <si>
    <t>ثلاثمائة وثلاث و ثلاثون واثنتان</t>
  </si>
  <si>
    <t>ثلاثمائة وثلاث و ثلاثون وثلاث</t>
  </si>
  <si>
    <t>ثلاثمائة وثلاث و ثلاثون وأربع</t>
  </si>
  <si>
    <t>ثلاثمائة وثلاث و ثلاثون ونصف</t>
  </si>
  <si>
    <t>خمسمائة وثلاث وخمسون وواحدة</t>
  </si>
  <si>
    <t>خمسمائة وثلاث وخمسون واثنتان</t>
  </si>
  <si>
    <t>خمسمائة وثلاث وخمسون وثلاث</t>
  </si>
  <si>
    <t>خمسمائة وثلاث وخمسون وأربع</t>
  </si>
  <si>
    <t>خمسمائة وثلاث وخمسون ونصف</t>
  </si>
  <si>
    <t>خمسمائة وثلاث وخمسون وست</t>
  </si>
  <si>
    <t>خمسمائة وثلاث وخمسون وسبع</t>
  </si>
  <si>
    <t>خمسمائة وثلاث وخمسون وثمان</t>
  </si>
  <si>
    <t>سبعمائة وثلاث وثمانون وأربع</t>
  </si>
  <si>
    <t>سبعمائة وثلاث وثمانون ونصف</t>
  </si>
  <si>
    <t>سبعمائة وثلاث وثمانون وست</t>
  </si>
  <si>
    <t>سبعمائة وثلاث وثمانون وسبع</t>
  </si>
  <si>
    <t>سبعمائة وثلاث وثمانون وثمان</t>
  </si>
  <si>
    <t>سبعمائة وثلاث وثمانون وتسع</t>
  </si>
  <si>
    <t xml:space="preserve">سبعمائة وأربع وثمانون </t>
  </si>
  <si>
    <t>سبعمائة وأربع وثمانون وواحدة</t>
  </si>
  <si>
    <t>سبعمائة وأربع وثمانون واثنتان</t>
  </si>
  <si>
    <t>سبعمائة وأربع وثمانون وثلاث</t>
  </si>
  <si>
    <t>سبعمائة وأربع وثمانون وأربع</t>
  </si>
  <si>
    <t>سبعمائة وأربع وثمانون ونصف</t>
  </si>
  <si>
    <t>سبعمائة وأربع وثمانون وست</t>
  </si>
  <si>
    <t>سبعمائة وأربع وثمانون وسبع</t>
  </si>
  <si>
    <t>سبعمائة وأربع وثمانون وثمان</t>
  </si>
  <si>
    <t>سبعمائة وأربع وثمانون وتسع</t>
  </si>
  <si>
    <t xml:space="preserve">سبعمائة وخمس وثمانون </t>
  </si>
  <si>
    <t>سبعمائة وخمس وثمانون وواحدة</t>
  </si>
  <si>
    <t>سبعمائة وخمس وثمانون واثنتان</t>
  </si>
  <si>
    <t>سبعمائة وخمس وثمانون وثلاث</t>
  </si>
  <si>
    <t>سبعمائة وخمس وثمانون وأربع</t>
  </si>
  <si>
    <t>سبعمائة وخمس وثمانون ونصف</t>
  </si>
  <si>
    <t>سبعمائة وخمس وثمانون وست</t>
  </si>
  <si>
    <t>سبعمائة وخمس وثمانون وسبع</t>
  </si>
  <si>
    <t>سبعمائة وخمس وثمانون وثمان</t>
  </si>
  <si>
    <t>سبعمائة وخمس وثمانون وتسع</t>
  </si>
  <si>
    <t xml:space="preserve">سبعمائة وست وثمانون </t>
  </si>
  <si>
    <t xml:space="preserve">سبعمائة وسبع وثمانون </t>
  </si>
  <si>
    <t>سبعمائة وسبع وثمانون وواحدة</t>
  </si>
  <si>
    <t>سبعمائة وسبع وثمانون واثنتان</t>
  </si>
  <si>
    <t>سبعمائة وسبع وثمانون وثلاث</t>
  </si>
  <si>
    <t>سبعمائة وسبع وثمانون وأربع</t>
  </si>
  <si>
    <t>سبعمائة وسبع وثمانون ونصف</t>
  </si>
  <si>
    <t>سبعمائة وسبع وثمانون وست</t>
  </si>
  <si>
    <t>سبعمائة وسبع وثمانون وسبع</t>
  </si>
  <si>
    <t>سبعمائة وسبع وثمانون وثمان</t>
  </si>
  <si>
    <t>تسع مائة وواحدة وتسعون وثمان</t>
  </si>
  <si>
    <t>تسع مائة وواحدة وتسعون وتسع</t>
  </si>
  <si>
    <t xml:space="preserve">تسع مائة واثنتان وتسعون </t>
  </si>
  <si>
    <t>تسع مائة واثنتان وتسعون وواحدة</t>
  </si>
  <si>
    <t>تسع مائة واثنتان وتسعون واثنتان</t>
  </si>
  <si>
    <t>تسع مائة واثنتان وتسعون وثلاث</t>
  </si>
  <si>
    <t>تسع مائة واثنتان وتسعون وأربع</t>
  </si>
  <si>
    <t>تسع مائة واثنتان وتسعون ونصف</t>
  </si>
  <si>
    <t>تسع مائة واثنتان وتسعون وست</t>
  </si>
  <si>
    <t>تسع مائة واثنتان وتسعون وسبع</t>
  </si>
  <si>
    <t>تسع مائة واثنتان وتسعون وثمان</t>
  </si>
  <si>
    <t>تسع مائة واثنتان وتسعون وتسع</t>
  </si>
  <si>
    <t xml:space="preserve">تسع مائة وثلاث وتسعون </t>
  </si>
  <si>
    <t>تسع مائة وثلاث وتسعون وواحدة</t>
  </si>
  <si>
    <t>تسع مائة وثلاث وتسعون واثنتان</t>
  </si>
  <si>
    <t>تسع مائة وثلاث وتسعون وثلاث</t>
  </si>
  <si>
    <t>تسع مائة وثلاث وتسعون وأربع</t>
  </si>
  <si>
    <t>تسع مائة وثلاث وتسعون ونصف</t>
  </si>
  <si>
    <t>تسع مائة وثلاث وتسعون وست</t>
  </si>
  <si>
    <t>تسع مائة وثلاث وتسعون وسبع</t>
  </si>
  <si>
    <t>تسع مائة واثلاث وتسعون وثمان</t>
  </si>
  <si>
    <t>تسع مائة وثلاث وتسعون وتسع</t>
  </si>
  <si>
    <t xml:space="preserve">تسع مائة وأربع وتسعون </t>
  </si>
  <si>
    <t>تسع مائة وأربع وتسعون وواحدة</t>
  </si>
  <si>
    <t>تسع مائة وأربع وتسعون واثنتان</t>
  </si>
  <si>
    <t>تسع مائة وأربع وتسعون وثلاث</t>
  </si>
  <si>
    <t>تسع مائة وأربع وتسعون وأربع</t>
  </si>
  <si>
    <t>تسع مائة وأربع وتسعون ونصف</t>
  </si>
  <si>
    <t>تسع مائة وأربع وتسعون وست</t>
  </si>
  <si>
    <t>تسع مائة وأربع وتسعون وسبع</t>
  </si>
  <si>
    <t>تسع مائة وأربع وتسعون وثمان</t>
  </si>
  <si>
    <t>تسع مائة وأربع وتسعون وتسع</t>
  </si>
  <si>
    <t xml:space="preserve">تسع مائة وخمس وتسعون </t>
  </si>
  <si>
    <t>سبعمائة وتسعون</t>
  </si>
  <si>
    <t>سبعمائة وتسعون وواحدة</t>
  </si>
  <si>
    <t>سبعمائة وتسعون واثنتان</t>
  </si>
  <si>
    <t>سبعمائة وتسعون وثلاث</t>
  </si>
  <si>
    <t>سبعمائة وتسعون وأربع</t>
  </si>
  <si>
    <t>سبعمائة وتسعون ونصف</t>
  </si>
  <si>
    <t>سبعمائة وتسعون وست</t>
  </si>
  <si>
    <t>سبعمائة وتسعون وسبع</t>
  </si>
  <si>
    <t>سبعمائة وتسعون وثمان</t>
  </si>
  <si>
    <t>سبعمائة وتسعون وتسع</t>
  </si>
  <si>
    <t xml:space="preserve">سبعمائة وواحدة وتسعون </t>
  </si>
  <si>
    <t>سبعمائة وواحدة وتسعون وواحدة</t>
  </si>
  <si>
    <t>سبعمائة وواحدة وتسعون واثنتان</t>
  </si>
  <si>
    <t>سبعمائة وواحدة وتسعون وثلاث</t>
  </si>
  <si>
    <t>سبعمائة وواحدة وتسعون وأربع</t>
  </si>
  <si>
    <t>سبعمائة وواحدة وتسعون ونصف</t>
  </si>
  <si>
    <t>سبعمائة وواحدة وتسعون وست</t>
  </si>
  <si>
    <t>سبعمائة وواحدة وتسعون وسبع</t>
  </si>
  <si>
    <t>سبعمائة وواحدة وتسعون وثمان</t>
  </si>
  <si>
    <t>سبعمائة وواحدة وتسعون وتسع</t>
  </si>
  <si>
    <t>سبعمائة واثنتان وتسعون وست</t>
  </si>
  <si>
    <t>سبعمائة واثنتان وتسعون وسبع</t>
  </si>
  <si>
    <t>سبعمائة واثنتان وتسعون وثمان</t>
  </si>
  <si>
    <t>ثمــــــــــان مائة  واحدى عشرة</t>
  </si>
  <si>
    <t>ثمــــــــــان مائة  واحدى عشرة وواحدة</t>
  </si>
  <si>
    <t xml:space="preserve">سبعمائة واثنتان وتسعون </t>
  </si>
  <si>
    <t>سبعمائة واثنتان وتسعون وواحدة</t>
  </si>
  <si>
    <t>سبعمائة واثنتان وتسعون واثنتان</t>
  </si>
  <si>
    <t>تسع مائة وسبع وسبعون وتسع</t>
  </si>
  <si>
    <t xml:space="preserve">تسع مائة وثمان وسبعون </t>
  </si>
  <si>
    <t>تسع مائة وثمان وسبعون وواحدة</t>
  </si>
  <si>
    <t>تسع مائة وثمان وسبعون واثنتان</t>
  </si>
  <si>
    <t>تسع مائة وثمان وسبعون وثلاث</t>
  </si>
  <si>
    <t>تسع مائة وثمان وسبعون وأربع</t>
  </si>
  <si>
    <t>تسع مائة وثمان وسبعون ونصف</t>
  </si>
  <si>
    <t>تسع مائة وثمان وسبعون وست</t>
  </si>
  <si>
    <t>تسع مائة وثمان وسبعون وسبع</t>
  </si>
  <si>
    <t>تسع مائة وثمان وسبعون وثمان</t>
  </si>
  <si>
    <t>تسع مائة وثمان وسبعون وتسع</t>
  </si>
  <si>
    <t xml:space="preserve">تسع مائة وتسع وسبعون </t>
  </si>
  <si>
    <t>سبعمائة وأربع وتسعون وثمان</t>
  </si>
  <si>
    <t>سبعمائة وأربع وتسعون وتسع</t>
  </si>
  <si>
    <t xml:space="preserve">سبعمائة وخمس وتسعون </t>
  </si>
  <si>
    <t>سبعمائة وخمس وتسعون وواحدة</t>
  </si>
  <si>
    <t>سبعمائة وخمس وتسعون واثنتان</t>
  </si>
  <si>
    <t>سبعمائة وخمس وتسعون وثلاث</t>
  </si>
  <si>
    <t xml:space="preserve">خمسمائة وخمس وستون </t>
  </si>
  <si>
    <t>خمسمائة وخمس وستون وواحدة</t>
  </si>
  <si>
    <t>خمسمائة وخمس وستون واثنتان</t>
  </si>
  <si>
    <t>خمسمائة وخمس وستون وثلاث</t>
  </si>
  <si>
    <t>خمسمائة وخمس وستون وأربع</t>
  </si>
  <si>
    <t>خمسمائة وخمس وستون ونصف</t>
  </si>
  <si>
    <t>خمسمائة وخمس وستون وست</t>
  </si>
  <si>
    <t>خمسمائة وخمس وستون وسبع</t>
  </si>
  <si>
    <t>خمسمائة وخمس وستون وثمان</t>
  </si>
  <si>
    <t>خمسمائة وخمس وستون وتسع</t>
  </si>
  <si>
    <t>خمسمائة وست وستون</t>
  </si>
  <si>
    <t>خمسمائة وست وستون وواحدة</t>
  </si>
  <si>
    <t>خمسمائة وست وستون واثنتان</t>
  </si>
  <si>
    <t>خمسمائة وست وستون وثلاث</t>
  </si>
  <si>
    <t>خمسمائة وست وستون وأربع</t>
  </si>
  <si>
    <t>خمسمائة وست وستون ونصف</t>
  </si>
  <si>
    <t>خمسمائة وست وستون وست</t>
  </si>
  <si>
    <t>خمسمائة وست وستون وسبع</t>
  </si>
  <si>
    <t>خمسمائة وست وستون وثمان</t>
  </si>
  <si>
    <t>خمسمائة وست وستون وتسع</t>
  </si>
  <si>
    <t xml:space="preserve">خمسمائة وسبع وستون </t>
  </si>
  <si>
    <t>خمسمائة وسبع وستون وواحدة</t>
  </si>
  <si>
    <t>خمسمائة وسبع وستون واثنتان</t>
  </si>
  <si>
    <t>خمسمائة وسبع وستون وثلاث</t>
  </si>
  <si>
    <t xml:space="preserve">سبعمائة وسبع وتسعون </t>
  </si>
  <si>
    <t>سبعمائة وسبع وتسعون وواحدة</t>
  </si>
  <si>
    <t>سبعمائة وسبع وتسعون واثنتان</t>
  </si>
  <si>
    <t>سبعمائة وسبع وتسعون وثلاث</t>
  </si>
  <si>
    <t>سبعمائة وسبع وتسعون وأربع</t>
  </si>
  <si>
    <t>سبعمائة وسبع وتسعون ونصف</t>
  </si>
  <si>
    <t>سبعمائة وسبع وتسعون وست</t>
  </si>
  <si>
    <t>سبعمائة وسبع وتسعون وسبع</t>
  </si>
  <si>
    <t>سبعمائة وسبع وتسعون وثمان</t>
  </si>
  <si>
    <t>سبعمائة وسبع وتسعون وتسع</t>
  </si>
  <si>
    <t>سبعمائة وثمان وتسعون</t>
  </si>
  <si>
    <t>سبعمائة وثمان وتسعون وواحدة</t>
  </si>
  <si>
    <t>سبعمائة وثمان وتسعون واثنتان</t>
  </si>
  <si>
    <t>سبعمائة وثمان وتسعون وثلاث</t>
  </si>
  <si>
    <t>سبعمائة وثمان وتسعون وأربع</t>
  </si>
  <si>
    <t>سبعمائة وثمان وتسعون ونصف</t>
  </si>
  <si>
    <t>سبعمائة وثمان وتسعون وست</t>
  </si>
  <si>
    <t>سبعمائة وثمان وتسعون وسبع</t>
  </si>
  <si>
    <t>سبعمائة وثمان وتسعون وثمان</t>
  </si>
  <si>
    <t>سبعمائة وثمان وتسعون وتسع</t>
  </si>
  <si>
    <t xml:space="preserve">سبعمائة وتسع وتسعون </t>
  </si>
  <si>
    <t>سبعمائة وتسع وتسعون وواحدة</t>
  </si>
  <si>
    <t>سبعمائة وتسع وتسعون واثنتان</t>
  </si>
  <si>
    <t>سبعمائة وتسع وتسعون وثلاث</t>
  </si>
  <si>
    <t>سبعمائة وتسع وتسعون وأربع</t>
  </si>
  <si>
    <t>سبعمائة وتسع وتسعون ونصف</t>
  </si>
  <si>
    <t>سبعمائة وتسع وتسعون وست</t>
  </si>
  <si>
    <t>سبعمائة وتسع وتسعون وسبع</t>
  </si>
  <si>
    <t>سبعمائة وتسع وتسعون وثمان</t>
  </si>
  <si>
    <t>سبعمائة وتسع وتسعون وتسع</t>
  </si>
  <si>
    <t xml:space="preserve">ثمــــــــــان مائة </t>
  </si>
  <si>
    <t>ثمــــــــــان مائة  وواحدة</t>
  </si>
  <si>
    <t>ثمــــــــــان مائة  واثنتان</t>
  </si>
  <si>
    <t>ثمــــــــــان مائة  وثلاث</t>
  </si>
  <si>
    <t>ثمــــــــــان مائة  وأربع</t>
  </si>
  <si>
    <t>ثمــــــــــان مائة  ونصف</t>
  </si>
  <si>
    <t>ثمــــــــــان مائة  وست</t>
  </si>
  <si>
    <t>ثمــــــــــان مائة  وسبع</t>
  </si>
  <si>
    <t>ثمــــــــــان مائة  وثمان</t>
  </si>
  <si>
    <t>ثمــــــــــان مائة  و تسع</t>
  </si>
  <si>
    <t xml:space="preserve">ثمــــــــــان مائة  وواحدة وواحدة </t>
  </si>
  <si>
    <t>ثمــــــــــان مائة  وواحدة واثنتان</t>
  </si>
  <si>
    <t>ثمــــــــــان مائة  وواحدة وثلاث</t>
  </si>
  <si>
    <t>ثمــــــــــان مائة  وواحدة وأربع</t>
  </si>
  <si>
    <t>ثمــــــــــان مائة  وواحدة ونصف</t>
  </si>
  <si>
    <t>ثمــــــــــان مائة  وواحدة وست</t>
  </si>
  <si>
    <t>ثمــــــــــان مائة  وواحدة وسبع</t>
  </si>
  <si>
    <t>ثمــــــــــان مائة  واثنتان وست</t>
  </si>
  <si>
    <t>ثمــــــــــان مائة  واثنتان وسبع</t>
  </si>
  <si>
    <t>ثمــــــــــان مائة  واثنتان وثمان</t>
  </si>
  <si>
    <t>ثمــــــــــان مائة  واثنتان وتسع</t>
  </si>
  <si>
    <t>ثمــــــــــان مائة  وثلاث وواحدة</t>
  </si>
  <si>
    <t>ثمــــــــــان مائة  وثلاث واثنتان</t>
  </si>
  <si>
    <t>ثمــــــــــان مائة  وثلاث وثلاث</t>
  </si>
  <si>
    <t>ثمــــــــــان مائة  وثلاث وأربع</t>
  </si>
  <si>
    <t>خمسمائة وثلاث وسبعون ونصف</t>
  </si>
  <si>
    <t>خمسمائة وثلاث وسبعون وست</t>
  </si>
  <si>
    <t>خمسمائة وثلاث وسبعون وسبع</t>
  </si>
  <si>
    <t>ثلاثمائة وواحدة وخمسون وواحدة</t>
  </si>
  <si>
    <t>ثمــــــــــان مائة  وثلاث ونصف</t>
  </si>
  <si>
    <t>ثمــــــــــان مائة  وثلاث وست</t>
  </si>
  <si>
    <t>ثلاثمائة وواحدة وخمسون وثمان</t>
  </si>
  <si>
    <t>ثلاثمائة وواحدة وخمسون وتسع</t>
  </si>
  <si>
    <t xml:space="preserve">ثلاثمائة واثنتان وخمسون </t>
  </si>
  <si>
    <t>ثلاثمائة واثنتان وخمسون وواحدة</t>
  </si>
  <si>
    <t>ثلاثمائة واثنتان وخمسون واثنتان</t>
  </si>
  <si>
    <t>ثلاثمائة واثنتان وخمسون وثلاث</t>
  </si>
  <si>
    <t>ثلاثمائة واثنتان وخمسون وأربع</t>
  </si>
  <si>
    <t>ثلاثمائة واثنتان وخمسون ونصف</t>
  </si>
  <si>
    <t>ثلاثمائة واثنتان وخمسون وست</t>
  </si>
  <si>
    <t>ثلاثمائة واثنتان وخمسون وسبع</t>
  </si>
  <si>
    <t>ثلاثمائة واثنتان وخمسون وثمان</t>
  </si>
  <si>
    <t>ثلاثمائة واثنتان وخمسون وتسع</t>
  </si>
  <si>
    <t>خمسمائة وخمس وسبعون وست</t>
  </si>
  <si>
    <t>خمسمائة وخمس وسبعون وسبع</t>
  </si>
  <si>
    <t>خمسمائة وخمس وسبعون وثمان</t>
  </si>
  <si>
    <t>خمسمائة وخمس وسبعون وتسع</t>
  </si>
  <si>
    <t>ثمــــــــــان مائة  وخمس وأربع</t>
  </si>
  <si>
    <t>ثمــــــــــان مائة  وخمس ونصف</t>
  </si>
  <si>
    <t>ثمــــــــــان مائة  وخمس وست</t>
  </si>
  <si>
    <t>ثمــــــــــان مائة  وخمس وسبع</t>
  </si>
  <si>
    <t>ثمــــــــــان مائة  وخمس وثمان</t>
  </si>
  <si>
    <t>ثمــــــــــان مائة  وخمس وتسع</t>
  </si>
  <si>
    <t>ثمــــــــــان مائة  وست وواحدة</t>
  </si>
  <si>
    <t>ثمــــــــــان مائة  وست واثنتان</t>
  </si>
  <si>
    <t xml:space="preserve">ثمــــــــــان مائة  وست وثلاث </t>
  </si>
  <si>
    <t>ثمــــــــــان مائة  وست وأربع</t>
  </si>
  <si>
    <t>ثمــــــــــان مائة  وست ونصف</t>
  </si>
  <si>
    <t>ثمــــــــــان مائة  وست وست</t>
  </si>
  <si>
    <t>ثمــــــــــان مائة  وست وسبع</t>
  </si>
  <si>
    <t>ثمــــــــــان مائة  وست وثمان</t>
  </si>
  <si>
    <t>ثمــــــــــان مائة  وست وتسع</t>
  </si>
  <si>
    <t>ألف  وثلاث عشرة وواحدة</t>
  </si>
  <si>
    <t>ألف  وثلاث عشرة واثنتان</t>
  </si>
  <si>
    <t>ألف  وثلاث عشرة وثلاث</t>
  </si>
  <si>
    <t>ألف  وثلاث عشرة وأربع</t>
  </si>
  <si>
    <t>ألف  وثلاث عشرة ونصف</t>
  </si>
  <si>
    <t>ألف  وثلاث عشرة وست</t>
  </si>
  <si>
    <t>ألف  وثلاث عشرة وسبع</t>
  </si>
  <si>
    <t>ألف  وثلاث عشرة وثمان</t>
  </si>
  <si>
    <t>ألف  وثلاث عشرة وتسع</t>
  </si>
  <si>
    <t>ألف  وأربع عشرة</t>
  </si>
  <si>
    <t>ألف  وأربع عشرة وواحدة</t>
  </si>
  <si>
    <t>ألف  وأربع عشرة واثنتان</t>
  </si>
  <si>
    <t>ألف  وأربع عشرة وثلاث</t>
  </si>
  <si>
    <t>ألف  وأربع عشرة وأربع</t>
  </si>
  <si>
    <t>ألف  وأربع عشرة ونصف</t>
  </si>
  <si>
    <t>ألف  وأربع عشرة وست</t>
  </si>
  <si>
    <t>ألف  وأربع عشرة وسبع</t>
  </si>
  <si>
    <t>ألف  وأربع عشرة وثمان</t>
  </si>
  <si>
    <t>ألف  وأربع عشرة وتسع</t>
  </si>
  <si>
    <t>ألف  وخمس عشرة</t>
  </si>
  <si>
    <t>ألف  وخمس عشرة وواحدة</t>
  </si>
  <si>
    <t>ألف  وخمس عشرة واثنتان</t>
  </si>
  <si>
    <t>ألف  وخمس عشرة وثلاث</t>
  </si>
  <si>
    <t>ألف  وخمس عشرة وأربع</t>
  </si>
  <si>
    <t>ألف  وخمس عشرة ونصف</t>
  </si>
  <si>
    <t>ألف  وخمس عشرة وست</t>
  </si>
  <si>
    <t>ألف  وخمس عشرة وسبع</t>
  </si>
  <si>
    <t>ألف  وخمس عشرة وثمان</t>
  </si>
  <si>
    <t>ألف  وخمس عشرة وتسع</t>
  </si>
  <si>
    <t>ألف  وست عشرة</t>
  </si>
  <si>
    <t>ألف  وست عشرة وواحدة</t>
  </si>
  <si>
    <t>ألف  وست عشرة واثنتان</t>
  </si>
  <si>
    <t>ألف  وست عشرة وثلاث</t>
  </si>
  <si>
    <t>ألف  وست عشرة وأربع</t>
  </si>
  <si>
    <t>ألف  وست عشرة ونصف</t>
  </si>
  <si>
    <t>ألف  وست عشرة وست</t>
  </si>
  <si>
    <t>ألف  وست عشرة وسبع</t>
  </si>
  <si>
    <t>ألف  وست عشرة وثمان</t>
  </si>
  <si>
    <t>ألف  وست عشرة وتسع</t>
  </si>
  <si>
    <t>ألف  وسبع عشرة</t>
  </si>
  <si>
    <t>ألف  وسبع عشرة وواحدة</t>
  </si>
  <si>
    <t>ألف  وسبع عشرة واثنتان</t>
  </si>
  <si>
    <t>ألف  وسبع عشرة وثلاث</t>
  </si>
  <si>
    <t>ألف  وسبع عشرة وأربع</t>
  </si>
  <si>
    <t>ألف  وسبع عشرة ونصف</t>
  </si>
  <si>
    <t>ألف  وسبع عشرة وست</t>
  </si>
  <si>
    <t>ألف  وسبع عشرة وسبع</t>
  </si>
  <si>
    <t>ألف  وسبع عشرة وثمان</t>
  </si>
  <si>
    <t>ألف  وسبع عشرة وتسع</t>
  </si>
  <si>
    <t>ألف  وثمان عشرة</t>
  </si>
  <si>
    <t>ألف  وثمان عشرة وواحدة</t>
  </si>
  <si>
    <t>ألف  وثمان عشرة واثنتان</t>
  </si>
  <si>
    <t>ألف وثمان عشرة وثلاث</t>
  </si>
  <si>
    <t>ألف  وثمان عشرة وأربع</t>
  </si>
  <si>
    <t>ألف  وثمان عشرة ونصف</t>
  </si>
  <si>
    <t>ألف  وثمان عشرة وست</t>
  </si>
  <si>
    <t>ألف  وثمان عشرة وسبع</t>
  </si>
  <si>
    <t>ألف  وثمان عشرة وثمان</t>
  </si>
  <si>
    <t>ألف  وثمان عشرة وتسع</t>
  </si>
  <si>
    <t>ألف  وتسع عشرة</t>
  </si>
  <si>
    <t>تسع مائة وثمان وتسعون وسبع</t>
  </si>
  <si>
    <t>تسع مائة وثمان وتسعون وثمان</t>
  </si>
  <si>
    <t>تسع مائة وثمان وتسعون وتسع</t>
  </si>
  <si>
    <t xml:space="preserve">تسع مائة وتسع وتسعون </t>
  </si>
  <si>
    <t>تسع مائة وتسع وتسعون وواحدة</t>
  </si>
  <si>
    <t>تسع مائة وتسع وتسعون واثنتان</t>
  </si>
  <si>
    <t>تسع مائة وتسع وتسعون وثلاث</t>
  </si>
  <si>
    <t>تسع مائة وتسع وتسعون وأربع</t>
  </si>
  <si>
    <t>تسع مائة وتسع وتسعون ونصف</t>
  </si>
  <si>
    <t>تسع مائة وتسع وتسعون وست</t>
  </si>
  <si>
    <t>ثمــــــــــان مائة  واثنتا عشرة وثمان</t>
  </si>
  <si>
    <t>ثمــــــــــان مائة  واثنتا عشرة وتسع</t>
  </si>
  <si>
    <t>ثمــــــــــان مائة  وثلاث عشرة</t>
  </si>
  <si>
    <t>ثمــــــــــان مائة  وثلاث عشرة وواحدة</t>
  </si>
  <si>
    <t>ثمــــــــــان مائة  وثلاث عشرة واثنتان</t>
  </si>
  <si>
    <t>ثمــــــــــان مائة  وثلاث عشرة وثلاث</t>
  </si>
  <si>
    <t>ثمــــــــــان مائة  وثلاث عشرة وأربع</t>
  </si>
  <si>
    <t>ثمــــــــــان مائة  وثلاث عشرة ونصف</t>
  </si>
  <si>
    <t>ثمــــــــــان مائة  وثلاث عشرة وست</t>
  </si>
  <si>
    <t>ثمــــــــــان مائة  وثلاث عشرة وسبع</t>
  </si>
  <si>
    <t>ألف  واثنتان وسبع</t>
  </si>
  <si>
    <t>ألف  واثنتان وثمان</t>
  </si>
  <si>
    <t>ألف  واثنتان وتسع</t>
  </si>
  <si>
    <t>ألف  وثلاث وواحدة</t>
  </si>
  <si>
    <t>ألف  وثلاث واثنتان</t>
  </si>
  <si>
    <t>ألف  وثلاث وثلاث</t>
  </si>
  <si>
    <t>ألف  وثلاث وأربع</t>
  </si>
  <si>
    <t>ألف  وثلاث ونصف</t>
  </si>
  <si>
    <t>ألف  وثلاث وست</t>
  </si>
  <si>
    <t>ثمــــــــــان مائة  وأربع عشرة وست</t>
  </si>
  <si>
    <t>ثمــــــــــان مائة  وأربع عشرة وسبع</t>
  </si>
  <si>
    <t>ثمــــــــــان مائة  وأربع عشرة وثمان</t>
  </si>
  <si>
    <t>ثمــــــــــان مائة  وأربع عشرة وتسع</t>
  </si>
  <si>
    <t>ثمــــــــــان مائة  وخمس عشرة</t>
  </si>
  <si>
    <t>ثمــــــــــان مائة  وخمس عشرة وواحدة</t>
  </si>
  <si>
    <t>ثمــــــــــان مائة  وخمس عشرة واثنتان</t>
  </si>
  <si>
    <t>ثمــــــــــان مائة  وخمس عشرة وثلاث</t>
  </si>
  <si>
    <t>ثمــــــــــان مائة  وخمس عشرة وأربع</t>
  </si>
  <si>
    <t>خمسمائة وسبع وثمانون وثلاث</t>
  </si>
  <si>
    <t>خمسمائة وسبع وثمانون وأربع</t>
  </si>
  <si>
    <t>خمسمائة وسبع وثمانون ونصف</t>
  </si>
  <si>
    <t>خمسمائة وسبع وثمانون وست</t>
  </si>
  <si>
    <t>ثمــــــــــان مائة  وخمس عشرة وثمان</t>
  </si>
  <si>
    <t>ثمــــــــــان مائة  وخمس عشرة وتسع</t>
  </si>
  <si>
    <t>ثمــــــــــان مائة  وست عشرة</t>
  </si>
  <si>
    <t>ثمــــــــــان مائة  وست عشرة وواحدة</t>
  </si>
  <si>
    <t>ثمــــــــــان مائة  وست عشرة واثنتان</t>
  </si>
  <si>
    <t>ثمــــــــــان مائة  وست عشرة وثلاث</t>
  </si>
  <si>
    <t>ثمــــــــــان مائة  وست عشرة وأربع</t>
  </si>
  <si>
    <t>ثمــــــــــان مائة  وست عشرة ونصف</t>
  </si>
  <si>
    <t>ثمــــــــــان مائة  وست عشرة وست</t>
  </si>
  <si>
    <r>
      <t>ثمــــــــــان</t>
    </r>
    <r>
      <rPr>
        <sz val="12"/>
        <rFont val="Arial"/>
        <family val="2"/>
      </rPr>
      <t xml:space="preserve"> </t>
    </r>
    <r>
      <rPr>
        <b/>
        <sz val="12"/>
        <rFont val="Arial"/>
        <family val="2"/>
      </rPr>
      <t>مائة  وست عشرة وسبع</t>
    </r>
  </si>
  <si>
    <t>ثمــــــــــان مائة  وست عشرة وثمان</t>
  </si>
  <si>
    <t>ثمــــــــــان مائة  وست عشرة وتسع</t>
  </si>
  <si>
    <t>ثمــــــــــان مائة  وسبع عشرة</t>
  </si>
  <si>
    <t>ثمــــــــــان مائة  وسبع عشرة وواحدة</t>
  </si>
  <si>
    <t>ثمــــــــــان مائة  وسبع عشرة واثنتان</t>
  </si>
  <si>
    <t>ثمــــــــــان مائة  وسبع عشرة وثلاث</t>
  </si>
  <si>
    <t>ثمــــــــــان مائة  وسبع عشرة وأربع</t>
  </si>
  <si>
    <t>ثمــــــــــان مائة  وسبع عشرة ونصف</t>
  </si>
  <si>
    <t>ثمــــــــــان مائة  وسبع عشرة وست</t>
  </si>
  <si>
    <t>ثمــــــــــان مائة  وسبع عشرة وسبع</t>
  </si>
  <si>
    <t>ثمــــــــــان مائة  وسبع عشرة وثمان</t>
  </si>
  <si>
    <t>ثمــــــــــان مائة  وسبع عشرة وتسع</t>
  </si>
  <si>
    <t>ثمــــــــــان مائة  وثمان عشرة</t>
  </si>
  <si>
    <t>ثمــــــــــان مائة  وثمان عشرة وواحدة</t>
  </si>
  <si>
    <t>ثمــــــــــان مائة  وثمان عشرة واثنتان</t>
  </si>
  <si>
    <t>ثمــــــــــان مائة  وثمان عشرة وثلاث</t>
  </si>
  <si>
    <t>ثمــــــــــان مائة  وثمان عشرة وأربع</t>
  </si>
  <si>
    <t>ثمــــــــــان مائة  وثمان عشرة ونصف</t>
  </si>
  <si>
    <t>ثمــــــــــان مائة  وثمان عشرة وست</t>
  </si>
  <si>
    <t>تسع مائة وواحدة و ثلاثون وثمان</t>
  </si>
  <si>
    <t>تسع مائة وواحدة و ثلاثون وتسع</t>
  </si>
  <si>
    <t xml:space="preserve">تسع مائة واثنتان و ثلاثون </t>
  </si>
  <si>
    <t>تسع مائة واثنتان و ثلاثون  وواحدة</t>
  </si>
  <si>
    <t>ألف وست و ثلاثون وثلاث</t>
  </si>
  <si>
    <t>ألف وست و ثلاثون وأربع</t>
  </si>
  <si>
    <t>ألف وست و ثلاثون ونصف</t>
  </si>
  <si>
    <t>ألف وست و ثلاثون وست</t>
  </si>
  <si>
    <t>ألف وست و ثلاثون وسبع</t>
  </si>
  <si>
    <t>ألف وست و ثلاثون وثمان</t>
  </si>
  <si>
    <t>ألف وست و ثلاثون وتسع</t>
  </si>
  <si>
    <t xml:space="preserve">ألف وسبع و ثلاثون </t>
  </si>
  <si>
    <t>ألف وسبع و ثلاثون  وواحدة</t>
  </si>
  <si>
    <t>ثمــــــــــان مائة وست و ثلاثون وأربع</t>
  </si>
  <si>
    <t>ألف  واحدى عشرة وسبع</t>
  </si>
  <si>
    <t>ألف  واحدى عشرة وثمان</t>
  </si>
  <si>
    <t>ثمــــــــــان مائة  وعشرون وأربع</t>
  </si>
  <si>
    <t>ثمــــــــــان مائة  وعشرون ونصف</t>
  </si>
  <si>
    <t>ثمــــــــــان مائة  وعشرون وست</t>
  </si>
  <si>
    <t>خمسمائة وأربع وتسعون وست</t>
  </si>
  <si>
    <t>خمسمائة وأربع وتسعون وسبع</t>
  </si>
  <si>
    <t>خمسمائة وأربع وتسعون وثمان</t>
  </si>
  <si>
    <t>خمسمائة وأربع وتسعون وتسع</t>
  </si>
  <si>
    <t xml:space="preserve">خمسمائة وخمس وتسعون </t>
  </si>
  <si>
    <t>خمسمائة وخمس وتسعون وواحدة</t>
  </si>
  <si>
    <t>خمسمائة وخمس وتسعون واثنتان</t>
  </si>
  <si>
    <t>خمسمائةوخمس وتسعون وثلاث</t>
  </si>
  <si>
    <t>خمسمائة وخمس وتسعون وأربع</t>
  </si>
  <si>
    <t>خمسمائة وخمس وتسعون ونصف</t>
  </si>
  <si>
    <t>خمسمائة وخمس وتسعون وست</t>
  </si>
  <si>
    <t>خمسمائة وخمس وتسعون وسبع</t>
  </si>
  <si>
    <t>خمسمائة وخمس وتسعون وثمان</t>
  </si>
  <si>
    <t>خمسمائة وخمس وتسعون وتسع</t>
  </si>
  <si>
    <t xml:space="preserve">خمسمائة وست وتسعون </t>
  </si>
  <si>
    <t>خمسمائة وست وتسعون وواحدة</t>
  </si>
  <si>
    <t>خمسمائة وست وتسعون واثنتان</t>
  </si>
  <si>
    <t>خمسمائة وست وتسعون وثلاث</t>
  </si>
  <si>
    <t>خمسمائة وست وتسعون وأربع</t>
  </si>
  <si>
    <t>خمسمائة وست وتسعون ونصف</t>
  </si>
  <si>
    <t>خمسمائة وست وتسعون وست</t>
  </si>
  <si>
    <t>خمسمائة وست وتسعون وسبع</t>
  </si>
  <si>
    <t>خمسمائة وست وتسعون وثمان</t>
  </si>
  <si>
    <t>خمسمائة وست وتسعون وتسع</t>
  </si>
  <si>
    <t xml:space="preserve">خمسمائة وسبع وتسعون </t>
  </si>
  <si>
    <t>خمسمائة وسبع وتسعون وواحدة</t>
  </si>
  <si>
    <t>خمسمائة وسبع وتسعون واثنتان</t>
  </si>
  <si>
    <t>خمسمائة وسبع وتسعون وثلاث</t>
  </si>
  <si>
    <t>خمسمائة وسبع وتسعون وأربع</t>
  </si>
  <si>
    <t>خمسمائة وسبع وتسعون ونصف</t>
  </si>
  <si>
    <t>خمسمائة وسبع وتسعون وست</t>
  </si>
  <si>
    <t>خمسمائة وسبع وتسعون وسبع</t>
  </si>
  <si>
    <t>خمسمائة وسبع وتسعون وثمان</t>
  </si>
  <si>
    <t>خمسمائة وسبع وتسعون وتسع</t>
  </si>
  <si>
    <t>خمسمائة وثمان وتسعون</t>
  </si>
  <si>
    <t>خمسمائة وثمان وتسعون وواحدة</t>
  </si>
  <si>
    <t>خمسمائة وثمان وتسعون واثنتان</t>
  </si>
  <si>
    <t>ثلاثمائة وثلاث وسبعون وأربع</t>
  </si>
  <si>
    <t>ثلاثمائة وثلاث وسبعون ونصف</t>
  </si>
  <si>
    <t>ثلاثمائة وثلاث وسبعون وست</t>
  </si>
  <si>
    <t>ثلاثمائة وثلاث وسبعون وسبع</t>
  </si>
  <si>
    <t>ثلاثمائة وثلاث وسبعون وثمان</t>
  </si>
  <si>
    <t>ثلاثمائة وثلاث وسبعون وتسع</t>
  </si>
  <si>
    <t xml:space="preserve">ثلاثمائة وأربع وسبعون </t>
  </si>
  <si>
    <t>خمسمائة وتسع وتسعون وثلاث</t>
  </si>
  <si>
    <t>خمسمائة وتسع وتسعون وأربع</t>
  </si>
  <si>
    <t>خمسمائة وتسع وتسعون ونصف</t>
  </si>
  <si>
    <t>خمسمائة وتسع وتسعون وست</t>
  </si>
  <si>
    <t>خمسمائة وثمان وتسعون وثلاث</t>
  </si>
  <si>
    <t>خمسمائة وثمان وتسعون وأربع</t>
  </si>
  <si>
    <t>خمسمائة وثمان وتسعون ونصف</t>
  </si>
  <si>
    <t>خمسمائة وثمان وتسعون وست</t>
  </si>
  <si>
    <t>خمسمائة وثمان وتسعون وسبع</t>
  </si>
  <si>
    <t>خمسمائة وثمان وتسعون وثمان</t>
  </si>
  <si>
    <t>خمسمائة وثمان وتسعون وتسع</t>
  </si>
  <si>
    <t xml:space="preserve">خمسمائة وتسع وتسعون </t>
  </si>
  <si>
    <t>خمسمائة وتسع وتسعون وواحدة</t>
  </si>
  <si>
    <t>خمسمائة وتسع وتسعون واثنتان</t>
  </si>
  <si>
    <t>ثمــــــــــان مائة وواحدة وعشرون وسبع</t>
  </si>
  <si>
    <t>ثمــــــــــان مائة وواحدة وعشرون وثمان</t>
  </si>
  <si>
    <t>ثمــــــــــان مائة وواحدة وعشرون وتسع</t>
  </si>
  <si>
    <t>ثمــــــــــان مائة واثنتان وعشرون واثنتان</t>
  </si>
  <si>
    <t>ثمــــــــــان مائة واثنتان وعشرون  وواحد</t>
  </si>
  <si>
    <t>ثمــــــــــان مائة واثنتان و عشرون واثنتان</t>
  </si>
  <si>
    <t>ثمــــــــــان مائة واثنتان وعشرون وثلاث</t>
  </si>
  <si>
    <t>ألف وثمان و ثلاثون  وواحدة</t>
  </si>
  <si>
    <t>ألف وثمان و ثلاثون واثنتان</t>
  </si>
  <si>
    <t>ألف وثمان و ثلاثون وثلاث</t>
  </si>
  <si>
    <t>ألف وثمان و ثلاثون وأربع</t>
  </si>
  <si>
    <t>ألف وثمان و ثلاثون ونصف</t>
  </si>
  <si>
    <t>ألف وثمان و ثلاثون وست</t>
  </si>
  <si>
    <t>ألف وثمان و ثلاثون وسبع</t>
  </si>
  <si>
    <t>ألف وثمان و ثلاثون وثمان</t>
  </si>
  <si>
    <t>ألف وثمان و ثلاثون وتسع</t>
  </si>
  <si>
    <t xml:space="preserve">ألف وتسع و ثلاثون </t>
  </si>
  <si>
    <t>ألف وتسع و ثلاثون  وواحدة</t>
  </si>
  <si>
    <t>ألف وتسع و ثلاثون واثنتان</t>
  </si>
  <si>
    <t>ألف وتسع و ثلاثون وثلاث</t>
  </si>
  <si>
    <t>ألف وتسع و ثلاثون وأربع</t>
  </si>
  <si>
    <t>ألف وتسع و ثلاثون ونصف</t>
  </si>
  <si>
    <t>ألف وتسع و ثلاثون وست</t>
  </si>
  <si>
    <t>ألف وتسع و ثلاثون وسبع</t>
  </si>
  <si>
    <t>ألف وتسع و ثلاثون وثمان</t>
  </si>
  <si>
    <t>ألف وتسع و ثلاثون وتسع</t>
  </si>
  <si>
    <t xml:space="preserve">ألف وأربعون </t>
  </si>
  <si>
    <t>ألف وأربعون   وواحدة</t>
  </si>
  <si>
    <t>ألف وأربعون  واثنتان</t>
  </si>
  <si>
    <t>ألف وأربعون  وثلاث</t>
  </si>
  <si>
    <t>ألف وأربعون  وأربع</t>
  </si>
  <si>
    <t>ألف وأربعون  ونصف</t>
  </si>
  <si>
    <t>ألف وأربعون  وست</t>
  </si>
  <si>
    <t>ألف وأربعون  وسبع</t>
  </si>
  <si>
    <t>ألف وأربعون  وثمان</t>
  </si>
  <si>
    <t>ألف وأربعون  وتسع</t>
  </si>
  <si>
    <t xml:space="preserve">ألف وواحدة وأربعون  </t>
  </si>
  <si>
    <t>ألف وواحدة و أربعون   وواحدة</t>
  </si>
  <si>
    <t>ستمائة وثمان وأربع</t>
  </si>
  <si>
    <t>ستمائة وثمان ونصف</t>
  </si>
  <si>
    <t>ستمائة وثمان وست</t>
  </si>
  <si>
    <t>ستمائة وثمان وسبع</t>
  </si>
  <si>
    <t>ستمائة وثمان وثمان</t>
  </si>
  <si>
    <t>ستمائة وثمان وتسع</t>
  </si>
  <si>
    <t>ستمائة وسبع وتسع</t>
  </si>
  <si>
    <t>ثمــــــــــان مائة وثمان وعشرون  وواحدة</t>
  </si>
  <si>
    <t>ثمــــــــــان مائة وثمان و عشرون واثنتان</t>
  </si>
  <si>
    <t>ثمــــــــــان مائة وثمان وعشرون وثلاث</t>
  </si>
  <si>
    <t>ثمــــــــــان مائة وثمان وعشرون وأربع</t>
  </si>
  <si>
    <t>ثمــــــــــان مائة وثمان وعشرون ونصف</t>
  </si>
  <si>
    <t>ثمــــــــــان مائة وثمان وعشرون وست</t>
  </si>
  <si>
    <t>ثمــــــــــان مائة وثمان وعشرون وسبع</t>
  </si>
  <si>
    <t>ثمــــــــــان مائة وثمان وعشرون وثمان</t>
  </si>
  <si>
    <t>ثمــــــــــان مائة وثمان وعشرون وتسع</t>
  </si>
  <si>
    <t xml:space="preserve">ثمــــــــــان مائة وتسع وعشرون </t>
  </si>
  <si>
    <t>ثمــــــــــان مائة وتسع وعشرون  وواحدة</t>
  </si>
  <si>
    <t>ثمــــــــــان مائة وتسع و عشرون واثنتان</t>
  </si>
  <si>
    <t>ثمــــــــــان مائة وتسع وعشرون وثلاث</t>
  </si>
  <si>
    <t>ثمــــــــــان مائة وتسع وعشرون وأربع</t>
  </si>
  <si>
    <t>ثمــــــــــان مائة وتسع وعشرون ونصف</t>
  </si>
  <si>
    <t>ثمــــــــــان مائة وتسع وعشرون وست</t>
  </si>
  <si>
    <t>ثمــــــــــان مائة وتسع وعشرون وسبع</t>
  </si>
  <si>
    <t>ثمــــــــــان مائة وتسع وعشرون وثمان</t>
  </si>
  <si>
    <t>ثمــــــــــان مائة وتسع وعشرون وتسع</t>
  </si>
  <si>
    <t>ثمــــــــــان مائة وثلاثون</t>
  </si>
  <si>
    <t>ثمــــــــــان مائة وثلاثون  وواحدة</t>
  </si>
  <si>
    <t>ثمــــــــــان مائة وثلاثون واثنتان</t>
  </si>
  <si>
    <t>ثمــــــــــان مائة وثلاثون وثلاث</t>
  </si>
  <si>
    <t>ثمــــــــــان مائة وثلاثون وأربع</t>
  </si>
  <si>
    <t>ثمــــــــــان مائة وثلاثون ونصف</t>
  </si>
  <si>
    <t>ثمــــــــــان مائة وثلاثون وست</t>
  </si>
  <si>
    <t>ثمــــــــــان مائة وثلاثون وسبع</t>
  </si>
  <si>
    <t>أربعمائة وست وسبع</t>
  </si>
  <si>
    <t>أربعمائة وست وثمان</t>
  </si>
  <si>
    <t>أربعمائة وست وتسع</t>
  </si>
  <si>
    <t>أربعمائة وسبع وواحدة</t>
  </si>
  <si>
    <t>أربعمائة وسبع واثنتان</t>
  </si>
  <si>
    <t>أربعمائة وسبع وثلاث</t>
  </si>
  <si>
    <t>أربعمائة وسبع وأربع</t>
  </si>
  <si>
    <t>أربعمائة وسبع ونصف</t>
  </si>
  <si>
    <t>أربعمائة وسبع وست</t>
  </si>
  <si>
    <t>أربعمائة وسبع وسبع</t>
  </si>
  <si>
    <t>ألف وتسع وعشرون  وواحدة</t>
  </si>
  <si>
    <t>ألف وتسع و عشرون واثنتان</t>
  </si>
  <si>
    <t>ألف وتسع وعشرون وثلاث</t>
  </si>
  <si>
    <t>ألف وتسع وعشرون وأربع</t>
  </si>
  <si>
    <t>ألف وتسع وعشرون ونصف</t>
  </si>
  <si>
    <t>ألف وتسع وعشرون وست</t>
  </si>
  <si>
    <t>ألف وتسع وعشرون وسبع</t>
  </si>
  <si>
    <t>ألف وتسع وعشرون وثمان</t>
  </si>
  <si>
    <t>ألف وتسع وعشرون وتسع</t>
  </si>
  <si>
    <t>ألف وثلاثون</t>
  </si>
  <si>
    <t>ألف وثلاثون  وواحدة</t>
  </si>
  <si>
    <t>ألف وثلاثون واثنتان</t>
  </si>
  <si>
    <t>ألف وثلاثون وثلاث</t>
  </si>
  <si>
    <t>ألف وثلاثون وأربع</t>
  </si>
  <si>
    <t>ألف وثلاثون ونصف</t>
  </si>
  <si>
    <t>ألف وثلاثون وست</t>
  </si>
  <si>
    <t>ألف وثلاثون وسبع</t>
  </si>
  <si>
    <t>ألف وثلاثون وثمان</t>
  </si>
  <si>
    <t>ألف وثلاثون وتسع</t>
  </si>
  <si>
    <t xml:space="preserve">ألف وواحدة وثلاثون </t>
  </si>
  <si>
    <t>ثمــــــــــان مائة وثلاثون وثمان</t>
  </si>
  <si>
    <t>ثمــــــــــان مائة وثلاثون وتسع</t>
  </si>
  <si>
    <t xml:space="preserve">ثمــــــــــان مائة وواحدة وثلاثون </t>
  </si>
  <si>
    <t>ثمــــــــــان مائة وواحدة و ثلاثون وست</t>
  </si>
  <si>
    <t>ثمــــــــــان مائة وواحدة و ثلاثون وسبع</t>
  </si>
  <si>
    <t>ثمــــــــــان مائة وواحدة و ثلاثون وثمان</t>
  </si>
  <si>
    <t>ثمــــــــــان مائة وواحدة و ثلاثون وتسع</t>
  </si>
  <si>
    <t xml:space="preserve">ثمــــــــــان مائة واثنتان و ثلاثون </t>
  </si>
  <si>
    <t>ثمــــــــــان مائة واثنتان و ثلاثون  وواحدة</t>
  </si>
  <si>
    <t>ثمــــــــــان مائة واثنتان و ثلاثون واثنتان</t>
  </si>
  <si>
    <t>ثمــــــــــان مائة واثنتان و ثلاثون وثلاث</t>
  </si>
  <si>
    <t>ثمــــــــــان مائة واثنتان و ثلاثون وأربع</t>
  </si>
  <si>
    <t>ثمــــــــــان مائة واثنتان و ثلاثون ونصف</t>
  </si>
  <si>
    <t>ثمــــــــــان مائة واثنتان و ثلاثون وست</t>
  </si>
  <si>
    <t>ثمــــــــــان مائة واثنتان و ثلاثون وسبع</t>
  </si>
  <si>
    <t>ثمــــــــــان مائة واثنتان و ثلاثون وثمان</t>
  </si>
  <si>
    <t>ثمــــــــــان مائة واثنتان و ثلاثون وتسع</t>
  </si>
  <si>
    <t xml:space="preserve">ثمــــــــــان مائة وثلاث و ثلاثون </t>
  </si>
  <si>
    <t xml:space="preserve">ثمــــــــــان مائة وأربع و ثلاثون </t>
  </si>
  <si>
    <t xml:space="preserve">ألف وثلاث و ثلاثون </t>
  </si>
  <si>
    <t>ألف وثلاث و ثلاثون  وواحدة</t>
  </si>
  <si>
    <t>ألف وثلاث و ثلاثون واثنتان</t>
  </si>
  <si>
    <t>ألف وثلاث و ثلاثون وثلاث</t>
  </si>
  <si>
    <t>ألف وثلاث و ثلاثون وأربع</t>
  </si>
  <si>
    <t>ألف وثلاث و ثلاثون ونصف</t>
  </si>
  <si>
    <t>ألف وثلاث و ثلاثون وست</t>
  </si>
  <si>
    <t>ألف وثلاث و ثلاثون وسبع</t>
  </si>
  <si>
    <t>ألف وثلاث و ثلاثون وثمان</t>
  </si>
  <si>
    <t>ألف وثلاث و ثلاثون وتسع</t>
  </si>
  <si>
    <t xml:space="preserve">ألف وأربع و ثلاثون </t>
  </si>
  <si>
    <t>ألف وأربع و ثلاثون  وواحدة</t>
  </si>
  <si>
    <t>ستمائة وسبع عشرة وثلاث</t>
  </si>
  <si>
    <t>ستمائة وسبع عشرة وأربع</t>
  </si>
  <si>
    <t>ستمائة وسبع عشرة ونصف</t>
  </si>
  <si>
    <t>ستمائة وسبع عشرة وست</t>
  </si>
  <si>
    <t>ستمائة وسبع عشرة وسبع</t>
  </si>
  <si>
    <t>ثمــــــــــان مائة وأربع و ثلاثون  وواحدة</t>
  </si>
  <si>
    <t>ثمــــــــــان مائة وأربع و ثلاثون واثنتان</t>
  </si>
  <si>
    <t>ثمــــــــــان مائة وأربع و ثلاثون وثلاث</t>
  </si>
  <si>
    <t>ثمــــــــــان مائة وأربع و ثلاثون وأربع</t>
  </si>
  <si>
    <t>ثمــــــــــان مائة وأربع و ثلاثون ونصف</t>
  </si>
  <si>
    <t>ألف وخمس و ثلاثون وسبع</t>
  </si>
  <si>
    <t>ألف وخمس و ثلاثون وثمان</t>
  </si>
  <si>
    <t>ألف وخمس و ثلاثون وتسع</t>
  </si>
  <si>
    <t xml:space="preserve">ألف وست و ثلاثون </t>
  </si>
  <si>
    <t>ألف وست و ثلاثون  وواحدة</t>
  </si>
  <si>
    <t>ألف وست و ثلاثون واثنتان</t>
  </si>
  <si>
    <t>ثمــــــــــان مائة وست و ثلاثون واثنتان</t>
  </si>
  <si>
    <t>ثمــــــــــان مائة وست و ثلاثون وثلاث</t>
  </si>
  <si>
    <t>ستمائة وعشرون وواحد</t>
  </si>
  <si>
    <t>ستمائة وواحدة وعشرون  وواحدة</t>
  </si>
  <si>
    <t>ستمائة وواحدة و عشرون واثنتان</t>
  </si>
  <si>
    <t>ستمائة وواحدة وعشرون وثلاث</t>
  </si>
  <si>
    <t>ستمائة وواحدة وعشرون وأربع</t>
  </si>
  <si>
    <t>ستمائة وواحدة وعشرون ونصف</t>
  </si>
  <si>
    <t>ستمائة وواحدة وعشرون وست</t>
  </si>
  <si>
    <t>ستمائة وواحدة وعشرون وسبع</t>
  </si>
  <si>
    <t>ستمائة وواحدة وعشرون وثمان</t>
  </si>
  <si>
    <t>ستمائة وواحدة وعشرون وتسع</t>
  </si>
  <si>
    <t>ستمائة واثنتان وعشرون واثنتان</t>
  </si>
  <si>
    <t>ستمائة واثنتان وعشرون  وواحدة</t>
  </si>
  <si>
    <t>ستمائة واثنتان و عشرون واثنتان</t>
  </si>
  <si>
    <t>ستمائة واثنتان وعشرون وثلاث</t>
  </si>
  <si>
    <t>ستمائة واثنتان وعشرون وأربع</t>
  </si>
  <si>
    <t>ستمائة واثنتان وعشرون ونصف</t>
  </si>
  <si>
    <t>ستمائة واثنتان وعشرون وست</t>
  </si>
  <si>
    <t>ستمائة واثنتان وعشرون وسبع</t>
  </si>
  <si>
    <t>ستمائة واثنتان وعشرون وثمان</t>
  </si>
  <si>
    <t>ستمائة واثنتان وعشرون وتسع</t>
  </si>
  <si>
    <t xml:space="preserve">ستمائة وثلاث وعشرون </t>
  </si>
  <si>
    <t>ستمائة وثلاث وعشرون  وواحدة</t>
  </si>
  <si>
    <t>ستمائة وثلاث و عشرون واثنتان</t>
  </si>
  <si>
    <t>ستمائة وثلاث وعشرون وثلاث</t>
  </si>
  <si>
    <t>ستمائة وثلاث وعشرون وأربع</t>
  </si>
  <si>
    <t>ستمائة وثلاث وعشرون ونصف</t>
  </si>
  <si>
    <t>ستمائة وثلاث وعشرون وست</t>
  </si>
  <si>
    <t>ستمائة وثلاث وعشرون وسبع</t>
  </si>
  <si>
    <t>ستمائة وثلاث وعشرون وثمان</t>
  </si>
  <si>
    <t>ستمائة وثلاث وعشرون وتسع</t>
  </si>
  <si>
    <t xml:space="preserve">ستمائة وأربع وعشرون </t>
  </si>
  <si>
    <t>ستمائة وأربع وعشرون  وواحدة</t>
  </si>
  <si>
    <t>ستمائة وأربع و عشرون واثنتان</t>
  </si>
  <si>
    <t>ستمائة وأربع وعشرون وثلاث</t>
  </si>
  <si>
    <t>ستمائة وأربع وعشرون وأربع</t>
  </si>
  <si>
    <t>ستمائة وأربع وعشرون ونصف</t>
  </si>
  <si>
    <t>ستمائة وأربع وعشرون وست</t>
  </si>
  <si>
    <t>ستمائة وأربع وعشرون وسبع</t>
  </si>
  <si>
    <t>ستمائة وأربع وعشرون وثمان</t>
  </si>
  <si>
    <t>ستمائة وأربع وعشرون وتسع</t>
  </si>
  <si>
    <t xml:space="preserve">ستمائة وخمس وعشرون </t>
  </si>
  <si>
    <t>ستمائة وخمس وعشرون  وواحدة</t>
  </si>
  <si>
    <t>ستمائة وخمس و عشرون واثنتان</t>
  </si>
  <si>
    <t>ستمائة وخمس وعشرون وثلاث</t>
  </si>
  <si>
    <t>ستمائة وخمس وعشرون وأربع</t>
  </si>
  <si>
    <t>ثمــــــــــان مائة وسبع و ثلاثون وسبع</t>
  </si>
  <si>
    <t>ثمــــــــــان مائة وسبع و ثلاثون وثمان</t>
  </si>
  <si>
    <t>ثمــــــــــان مائة وسبع و ثلاثون وتسع</t>
  </si>
  <si>
    <t>ثمــــــــــان مائة وثمان و ثلاثون</t>
  </si>
  <si>
    <t>ثمــــــــــان مائة وثمان و ثلاثون  وواحدة</t>
  </si>
  <si>
    <t>ثمــــــــــان مائة وثمان و ثلاثون واثنتان</t>
  </si>
  <si>
    <t>ثمــــــــــان مائة وثمان و ثلاثون وثلاث</t>
  </si>
  <si>
    <t>تسع مائة واثنتان و ثلاثون وثمان</t>
  </si>
  <si>
    <t>تسع مائة واثنتان و ثلاثون وتسع</t>
  </si>
  <si>
    <t>ثمــــــــــان مائة وثمان و ثلاثون وست</t>
  </si>
  <si>
    <t>ثمــــــــــان مائة وثمان و ثلاثون وسبع</t>
  </si>
  <si>
    <t>ستمائة وسبع وعشرون وتسع</t>
  </si>
  <si>
    <t xml:space="preserve">ستمائة وثمان وعشرون </t>
  </si>
  <si>
    <t>ستمائة وثمان وعشرون  وواحدة</t>
  </si>
  <si>
    <t>ستمائة وثمان و عشرون واثنتان</t>
  </si>
  <si>
    <t>ستمائة وثمان وعشرون وثلاث</t>
  </si>
  <si>
    <t>ستمائة وثمان وعشرون وأربع</t>
  </si>
  <si>
    <t>ستمائة وثمان وعشرون ونصف</t>
  </si>
  <si>
    <t>ستمائة وثمان وعشرون وست</t>
  </si>
  <si>
    <t>ستمائة وثمان وعشرون وسبع</t>
  </si>
  <si>
    <t>ستمائة وثمان وعشرون وثمان</t>
  </si>
  <si>
    <t>ستمائة وثمان وعشرون وتسع</t>
  </si>
  <si>
    <t xml:space="preserve">ستمائة وتسع وعشرون </t>
  </si>
  <si>
    <t>ستمائة وتسع وعشرون  وواحدة</t>
  </si>
  <si>
    <t>ستمائة وتسع و عشرون واثنتان</t>
  </si>
  <si>
    <t>ستمائة وتسع وعشرون وثلاث</t>
  </si>
  <si>
    <t>ستمائة وتسع وعشرون وأربع</t>
  </si>
  <si>
    <t>ستمائة وتسع وعشرون ونصف</t>
  </si>
  <si>
    <t>ستمائة وتسع وعشرون وست</t>
  </si>
  <si>
    <t>ستمائة وتسع وعشرون وسبع</t>
  </si>
  <si>
    <t>ستمائة وتسع وعشرون وثمان</t>
  </si>
  <si>
    <t>ستمائة وتسع وعشرون وتسع</t>
  </si>
  <si>
    <t>ستمائة وثلاثون</t>
  </si>
  <si>
    <t>ستمائة وثلاثون  وواحدة</t>
  </si>
  <si>
    <t>ستمائة وثلاثون واثنتان</t>
  </si>
  <si>
    <t>ستمائة وثلاثون وثلاث</t>
  </si>
  <si>
    <t>ستمائة وثلاثون وأربع</t>
  </si>
  <si>
    <t>ستمائة وثلاثون ونصف</t>
  </si>
  <si>
    <t>ستمائة وثلاثون وست</t>
  </si>
  <si>
    <t>ستمائة وثلاثون وسبع</t>
  </si>
  <si>
    <t>ستمائة وثلاثون وثمان</t>
  </si>
  <si>
    <t>ستمائة وثلاثون وتسع</t>
  </si>
  <si>
    <t xml:space="preserve">ستمائة وواحدة وثلاثون </t>
  </si>
  <si>
    <t>ستمائة وواحدة و ثلاثون  وواحدة</t>
  </si>
  <si>
    <t>ستمائة وواحدة و ثلاثون واثنتان</t>
  </si>
  <si>
    <t>ستمائة وواحدة و ثلاثون وثلاث</t>
  </si>
  <si>
    <t>ستمائة وواحدة و ثلاثون وأربع</t>
  </si>
  <si>
    <t>ستمائة وواحدة و ثلاثون ونصف</t>
  </si>
  <si>
    <t>ستمائة وواحدة و ثلاثون وست</t>
  </si>
  <si>
    <t>ستمائة وواحدة و ثلاثون وسبع</t>
  </si>
  <si>
    <t>ثمــــــــــان مائة وثلاث وخمسون واثنتان</t>
  </si>
  <si>
    <t>ثمــــــــــان مائة وثلاث وخمسون وثلاث</t>
  </si>
  <si>
    <t>ثمــــــــــان مائة وثلاث وخمسون وأربع</t>
  </si>
  <si>
    <t>ثمــــــــــان مائة وثلاث وخمسون ونصف</t>
  </si>
  <si>
    <t>ثمــــــــــان مائة وثلاث وخمسون وست</t>
  </si>
  <si>
    <t>ثمــــــــــان مائة وثلاث وخمسون وسبع</t>
  </si>
  <si>
    <t>ثمــــــــــان مائة وثلاث وخمسون وثمان</t>
  </si>
  <si>
    <t>ثمــــــــــان مائة وثلاث وخمسون وتسع</t>
  </si>
  <si>
    <t xml:space="preserve">ثمــــــــــان مائة وأربع وخمسون </t>
  </si>
  <si>
    <t>ثمــــــــــان مائة وأربع وخمسون وواحدة</t>
  </si>
  <si>
    <t>ثمــــــــــان مائة وأربع وخمسون واثنتان</t>
  </si>
  <si>
    <t>ثمــــــــــان مائة وأربع وخمسون وثلاث</t>
  </si>
  <si>
    <t>ثمــــــــــان مائة وأربع وخمسون وأربع</t>
  </si>
  <si>
    <t>ثمــــــــــان مائة وأربع وخمسون ونصف</t>
  </si>
  <si>
    <t>ثمــــــــــان مائة وأربع وخمسون وست</t>
  </si>
  <si>
    <t>ثمــــــــــان مائة وأربع وخمسون وسبع</t>
  </si>
  <si>
    <t>ألف وتسع و أربعون   وواحدة</t>
  </si>
  <si>
    <t>ألف وتسع و أربعون  واثنتان</t>
  </si>
  <si>
    <t>ألف وتسع و أربعون  وثلاث</t>
  </si>
  <si>
    <t>ألف وتسع و أربعون  وأربع</t>
  </si>
  <si>
    <t>ألف وتسع و أربعون  ونصف</t>
  </si>
  <si>
    <t>ألف وتسع و أربعون  وست</t>
  </si>
  <si>
    <t>ألف وتسع و أربعون  وسبع</t>
  </si>
  <si>
    <t>ألف وتسع و أربعون  وثمان</t>
  </si>
  <si>
    <t>ألف وتسع و أربعون  وتسع</t>
  </si>
  <si>
    <t xml:space="preserve">ألف وخمسون  </t>
  </si>
  <si>
    <t>ألف وخمسون وواحدة</t>
  </si>
  <si>
    <t>ألف وخمسون واثنتان</t>
  </si>
  <si>
    <t>ألف وخمسون وثلاث</t>
  </si>
  <si>
    <t>ألف وخمسون وأربع</t>
  </si>
  <si>
    <t>ألف وخمسون ونصف</t>
  </si>
  <si>
    <t>ألف وخمسون وست</t>
  </si>
  <si>
    <t>ألف وخمسون وسبع</t>
  </si>
  <si>
    <t>ألف وخمسون وثمان</t>
  </si>
  <si>
    <t>ألف وخمسون وتسع</t>
  </si>
  <si>
    <t xml:space="preserve">ألف وواحد وخمسون </t>
  </si>
  <si>
    <t>ألف وواحدة وخمسون وواحدة</t>
  </si>
  <si>
    <t>ألف وواحدة وخمسون واثنتان</t>
  </si>
  <si>
    <t>ألف وواحدة وخمسون وثلاث</t>
  </si>
  <si>
    <t>ألف وواحدة وخمسون وأربع</t>
  </si>
  <si>
    <t>ألف وواحدة وخمسون ونصف</t>
  </si>
  <si>
    <t>ألف وواحدة وخمسون وست</t>
  </si>
  <si>
    <t>ألف وواحدة وخمسون وسبع</t>
  </si>
  <si>
    <t>ألف وواحدة وخمسون وثمان</t>
  </si>
  <si>
    <t>ألف وواحدة وخمسون وتسع</t>
  </si>
  <si>
    <t xml:space="preserve">ألف واثنتان وخمسون </t>
  </si>
  <si>
    <t>ألف واثنتان وخمسون وواحدة</t>
  </si>
  <si>
    <t>ألف واثنتان وخمسون واثنتان</t>
  </si>
  <si>
    <t>ألف واثنتان وخمسون وثلاث</t>
  </si>
  <si>
    <t>ألف واثنتان وخمسون وأربع</t>
  </si>
  <si>
    <t>ألف واثنتان وخمسون ونصف</t>
  </si>
  <si>
    <t>ألف واثنتان وخمسون وست</t>
  </si>
  <si>
    <t>ألف واثنتان وخمسون وسبع</t>
  </si>
  <si>
    <t>ألف واثنتان وخمسون وثمان</t>
  </si>
  <si>
    <t>ألف واثنتان وخمسون وتسع</t>
  </si>
  <si>
    <t xml:space="preserve">ألف وثلاث وخمسون </t>
  </si>
  <si>
    <t>ألف وثلاث وخمسون وواحدة</t>
  </si>
  <si>
    <t>ألف وثلاث وخمسون واثنتان</t>
  </si>
  <si>
    <t>ألف وثلاث وخمسون وثلاث</t>
  </si>
  <si>
    <t>ألف وثلاث وخمسون وأربع</t>
  </si>
  <si>
    <t>ألف وثلاث وخمسون ونصف</t>
  </si>
  <si>
    <t>ألف وثلاث وخمسون وست</t>
  </si>
  <si>
    <t>ألف وثلاث وخمسون وسبع</t>
  </si>
  <si>
    <t>ألف وثلاث وخمسون وثمان</t>
  </si>
  <si>
    <t>ألف وثلاث وخمسون وتسع</t>
  </si>
  <si>
    <t xml:space="preserve">ألف وأربع وخمسون </t>
  </si>
  <si>
    <t>ألف وأربع وخمسون وواحدة</t>
  </si>
  <si>
    <t>ثمــــــــــان مائة وست و أربعون  وثمان</t>
  </si>
  <si>
    <t>ثمــــــــــان مائة وست و أربعون  وتسع</t>
  </si>
  <si>
    <t xml:space="preserve">ثمــــــــــان مائة وسبع و أربعون  </t>
  </si>
  <si>
    <t>ثمــــــــــان مائة وسبع و أربعون   وواحدة</t>
  </si>
  <si>
    <t>ثمــــــــــان مائة وسبع و أربعون  واثنتان</t>
  </si>
  <si>
    <t>ثمــــــــــان مائة وسبع و أربعون  وثلاث</t>
  </si>
  <si>
    <t>ستمائة وسبع و ثلاثون وست</t>
  </si>
  <si>
    <t>ستمائة وسبع و ثلاثون وسبع</t>
  </si>
  <si>
    <t>ستمائة وسبع و ثلاثون وثمان</t>
  </si>
  <si>
    <t>ستمائة وسبع و ثلاثون وتسع</t>
  </si>
  <si>
    <t>ستمائة وثمان و ثلاثون</t>
  </si>
  <si>
    <t>ستمائة وثمان و ثلاثون  وواحدة</t>
  </si>
  <si>
    <t>ستمائة وثمان و ثلاثون واثنتان</t>
  </si>
  <si>
    <t>ستمائة وثمان و ثلاثون وثلاث</t>
  </si>
  <si>
    <t>ستمائة وثمان و ثلاثون وأربع</t>
  </si>
  <si>
    <t>ثلاث وخمس</t>
  </si>
  <si>
    <t>ثلاث وست</t>
  </si>
  <si>
    <t>ثلاث وسبع</t>
  </si>
  <si>
    <t>ثلاث وثمان</t>
  </si>
  <si>
    <t>ثلاث وتسع</t>
  </si>
  <si>
    <t>أربــــــــع</t>
  </si>
  <si>
    <t>أربــــع وواحدة</t>
  </si>
  <si>
    <t>أربــــع واثنتان</t>
  </si>
  <si>
    <t>أربــــع وثلاث</t>
  </si>
  <si>
    <t>أربــــع وأربع</t>
  </si>
  <si>
    <t>أربــــع وخمس</t>
  </si>
  <si>
    <t>أربــــع وست</t>
  </si>
  <si>
    <t>أربــــع وثمان</t>
  </si>
  <si>
    <t>أربــــع وتسع</t>
  </si>
  <si>
    <t>خمس وواحدة</t>
  </si>
  <si>
    <t>خمس واثنتان</t>
  </si>
  <si>
    <t>خمس وثلاث</t>
  </si>
  <si>
    <t>خمس وأربع</t>
  </si>
  <si>
    <t>خمس وخمس</t>
  </si>
  <si>
    <t>خمس وست</t>
  </si>
  <si>
    <t>خمس وسبع</t>
  </si>
  <si>
    <t>خمس وثمان</t>
  </si>
  <si>
    <t>خمس وتسع</t>
  </si>
  <si>
    <t>ســـــــــــــــــــت</t>
  </si>
  <si>
    <t>ســـــــــت وخمس</t>
  </si>
  <si>
    <t>ثمــــــــــــــــان</t>
  </si>
  <si>
    <t>ثمــــــــــان مائة وخمسون وست</t>
  </si>
  <si>
    <t>ثمــــــــــان مائة وخمسون وسبع</t>
  </si>
  <si>
    <t>ثمــــــــــان مائة وخمسون وثمان</t>
  </si>
  <si>
    <t>ثمــــــــــان مائة وخمسون وتسع</t>
  </si>
  <si>
    <t xml:space="preserve">ثمــــــــــان مائة وواحدة وخمسون </t>
  </si>
  <si>
    <t>ثمــــــــــان مائة وواحدة وخمسون وواحدة</t>
  </si>
  <si>
    <t>ثمــــــــــان مائة وواحدة وخمسون واثنتان</t>
  </si>
  <si>
    <t>ثمــــــــــان مائة وواحدة وخمسون وثلاث</t>
  </si>
  <si>
    <t>أربعمائة وثمان عشرة وأربع</t>
  </si>
  <si>
    <t>ستمائة وأخمس و أربعون  وثلاث</t>
  </si>
  <si>
    <t>ستمائة وخمس و أربعون  وأربع</t>
  </si>
  <si>
    <t>ستمائة وخمس و أربعون  ونصف</t>
  </si>
  <si>
    <t>ستمائة وخمس و أربعون  وست</t>
  </si>
  <si>
    <t>ستمائة وخمس و أربعون  وسبع</t>
  </si>
  <si>
    <t>ستمائة وخمس و أربعون  وثمان</t>
  </si>
  <si>
    <t>ستمائة وخمس و أربعون  وتسع</t>
  </si>
  <si>
    <t xml:space="preserve">ستمائة وست و أربعون  </t>
  </si>
  <si>
    <t>ستمائة وست و أربعون   وواحدة</t>
  </si>
  <si>
    <t>ستمائة وست و أربعون  واثنتان</t>
  </si>
  <si>
    <t>ستمائة وست و أربعون  وثلاث</t>
  </si>
  <si>
    <t>ستمائة وست و أربعون  وأربع</t>
  </si>
  <si>
    <t>ستمائة وست و أربعون  ونصف</t>
  </si>
  <si>
    <t>ستمائة وست و أربعون  وست</t>
  </si>
  <si>
    <t>ستمائة وست و أربعون  وسبع</t>
  </si>
  <si>
    <t>ستمائة وست و أربعون  وثمان</t>
  </si>
  <si>
    <t>ستمائة وست و أربعون  وتسع</t>
  </si>
  <si>
    <t xml:space="preserve">ستمائة وسبع و أربعون  </t>
  </si>
  <si>
    <t>ستمائة وسبع و أربعون   وواحدة</t>
  </si>
  <si>
    <t>ستمائة وسبع و أربعون  واثنتان</t>
  </si>
  <si>
    <t>ستمائة وسبع و أربعون  وثلاث</t>
  </si>
  <si>
    <t>ستمائة وسبع و أربعون  وأربع</t>
  </si>
  <si>
    <t>ستمائة وسبع و أربعون  ونصف</t>
  </si>
  <si>
    <t>ستمائة وسبع و أربعون  وست</t>
  </si>
  <si>
    <t>ستمائة وسبع و أربعون  وسبع</t>
  </si>
  <si>
    <t>ستمائة وسبع و أربعون  وثمان</t>
  </si>
  <si>
    <t>أربعمائة واثنتان وعشرون وتسع</t>
  </si>
  <si>
    <t xml:space="preserve">أربعمائة وثلاث وعشرون </t>
  </si>
  <si>
    <t>ستمائة وثمان و أربعون   وواحدة</t>
  </si>
  <si>
    <t>ستمائة وثمان و أربعون  واثنتان</t>
  </si>
  <si>
    <t>ستمائة وثمان و أربعون  وثلاث</t>
  </si>
  <si>
    <t>ستمائة وثمان و أربعون  وأربع</t>
  </si>
  <si>
    <t>ستمائة وثمان و أربعون  ونصف</t>
  </si>
  <si>
    <t>ستمائة وثمان و أربعون  وست</t>
  </si>
  <si>
    <t xml:space="preserve">تسع مائة وست وخمسون </t>
  </si>
  <si>
    <t>تسع مائة وست وخمسون وواحدة</t>
  </si>
  <si>
    <t>تسع مائة وست وخمسون واثنتان</t>
  </si>
  <si>
    <t>تسع مائة وست وخمسون وثلاث</t>
  </si>
  <si>
    <t>تسع مائة وست وخمسون وأربع</t>
  </si>
  <si>
    <t>تسع مائة وست وخمسون ونصف</t>
  </si>
  <si>
    <t>تسع مائة وست وخمسون وست</t>
  </si>
  <si>
    <t>ثمــــــــــان مائة وثمان وستون وست</t>
  </si>
  <si>
    <t>ثمــــــــــان مائة وثمان وستون وسبع</t>
  </si>
  <si>
    <t>ثمــــــــــان مائة وثمان وستون وثمان</t>
  </si>
  <si>
    <t>ثمــــــــــان مائة وثمان وستون وتسع</t>
  </si>
  <si>
    <t xml:space="preserve">ثمــــــــــان مائة وتسع وستون </t>
  </si>
  <si>
    <t>ثمــــــــــان مائة وتسع وستون وواحدة</t>
  </si>
  <si>
    <t>ثمــــــــــان مائة وتسع وستون واثنتان</t>
  </si>
  <si>
    <t>ثمــــــــــان مائة وتسع وستون وثلاث</t>
  </si>
  <si>
    <t>ثمــــــــــان مائة وتسع وستون وأربع</t>
  </si>
  <si>
    <t>ثمــــــــــان مائة وتسع وستون ونصف</t>
  </si>
  <si>
    <t>ثمــــــــــان مائة وتسع وستون وست</t>
  </si>
  <si>
    <t>ثمــــــــــان مائة وتسع وستون وسبع</t>
  </si>
  <si>
    <t>ثمــــــــــان مائة وتسع وستون وثمان</t>
  </si>
  <si>
    <t>ثمــــــــــان مائة وتسع وستون وتسع</t>
  </si>
  <si>
    <t xml:space="preserve">ثمــــــــــان مائة وسبعون </t>
  </si>
  <si>
    <t>ثمــــــــــان مائة وسبعون وواحدة</t>
  </si>
  <si>
    <t>ثمــــــــــان مائة وسبعون واثنتان</t>
  </si>
  <si>
    <t>ستمائة وواحدة وخمسون واثنتان</t>
  </si>
  <si>
    <t>ستمائة وواحدة وخمسون وثلاث</t>
  </si>
  <si>
    <t>ستمائة وواحدة وخمسون وأربع</t>
  </si>
  <si>
    <t>ستمائة وواحدة وخمسون ونصف</t>
  </si>
  <si>
    <t>ستمائة وواحدة وخمسون وست</t>
  </si>
  <si>
    <t>ستمائة وواحدة وخمسون وسبع</t>
  </si>
  <si>
    <t>ستمائة وواحدة وخمسون وثمان</t>
  </si>
  <si>
    <t>ستمائة وواحدة وخمسون وتسع</t>
  </si>
  <si>
    <t xml:space="preserve">ستمائة واثنتان وخمسون </t>
  </si>
  <si>
    <t>ستمائة واثنتان وخمسون وواحدة</t>
  </si>
  <si>
    <t>ستمائة واثنتان وخمسون واثنتان</t>
  </si>
  <si>
    <t>ستمائة واثنتان وخمسون وثلاث</t>
  </si>
  <si>
    <t>ستمائة واثنتان وخمسون وأربع</t>
  </si>
  <si>
    <t>ستمائة واثنتان وخمسون ونصف</t>
  </si>
  <si>
    <t>ستمائة واثنتان وخمسون وست</t>
  </si>
  <si>
    <t>ستمائة واثنتان وخمسون وسبع</t>
  </si>
  <si>
    <t>ستمائة واثنتان وخمسون وثمان</t>
  </si>
  <si>
    <t>ستمائة واثنتان وخمسون وتسع</t>
  </si>
  <si>
    <t xml:space="preserve">ستمائة وثلاث وخمسون </t>
  </si>
  <si>
    <t>ستمائة وثلاث وخمسون وواحدة</t>
  </si>
  <si>
    <t>ستمائة وثلاث وخمسون واثنتان</t>
  </si>
  <si>
    <t>ستمائة وثلاث وخمسون وثلاث</t>
  </si>
  <si>
    <t>ستمائة وثلاث وخمسون وأربع</t>
  </si>
  <si>
    <t>ستمائة وثلاث وخمسون ونصف</t>
  </si>
  <si>
    <t>ستمائة وثلاث وخمسون وست</t>
  </si>
  <si>
    <t>ستمائة وثلاث وخمسون وسبع</t>
  </si>
  <si>
    <t>ستمائة وثلاث وخمسون وثمان</t>
  </si>
  <si>
    <t>ستمائة وثلاث وخمسون وتسع</t>
  </si>
  <si>
    <t xml:space="preserve">ستمائة وأربع وخمسون </t>
  </si>
  <si>
    <t>ثمــــــــــان مائة وثمان وخمسون وتسع</t>
  </si>
  <si>
    <t xml:space="preserve">ثمــــــــــان مائة وتسع وخمسون </t>
  </si>
  <si>
    <t>ثمــــــــــان مائة وتسع وخمسون وواحدة</t>
  </si>
  <si>
    <t>ثمــــــــــان مائة وتسع وخمسون واثنتان</t>
  </si>
  <si>
    <t>ثمــــــــــان مائة وتسع وخمسون وثلاث</t>
  </si>
  <si>
    <t>ثمــــــــــان مائة وواحدة سبعون وسبع</t>
  </si>
  <si>
    <t>ثمــــــــــان مائة وواحدة سبعون وثمان</t>
  </si>
  <si>
    <t>ثمــــــــــان مائة وواحدة سبعون وتسع</t>
  </si>
  <si>
    <t xml:space="preserve">ثمــــــــــان مائة واثنتان وسبعون </t>
  </si>
  <si>
    <t>ثمــــــــــان مائة واثنتان وسبعون وواحدة</t>
  </si>
  <si>
    <t>ثمــــــــــان مائة واثنتان وسبعون واثنتان</t>
  </si>
  <si>
    <t>ثمــــــــــان مائة واثنتان وسبعون وثلاث</t>
  </si>
  <si>
    <t>ثمــــــــــان مائة واثنتان وسبعون وأربع</t>
  </si>
  <si>
    <t>ثمــــــــــان مائة واثنتان وسبعون ونصف</t>
  </si>
  <si>
    <t>ثمــــــــــان مائة واثنتان وسبعون وست</t>
  </si>
  <si>
    <t>ثمــــــــــان مائة واثنتان وسبعون وسبع</t>
  </si>
  <si>
    <t>ثمــــــــــان مائة واثنتان وسبعون وثمان</t>
  </si>
  <si>
    <t>ثمــــــــــان مائة واثنتان وسبعون وتسع</t>
  </si>
  <si>
    <t xml:space="preserve">ثمــــــــــان مائة وثلاث وسبعون </t>
  </si>
  <si>
    <t>ثمــــــــــان مائة وثلاث وسبعون وواحدة</t>
  </si>
  <si>
    <t>ثمــــــــــان مائة وثلاث وسبعون واثنتان</t>
  </si>
  <si>
    <t>ثمــــــــــان مائة وستون وواحدة</t>
  </si>
  <si>
    <t>ثمــــــــــان مائة وستون واثنتان</t>
  </si>
  <si>
    <t>ثمــــــــــان مائة وستون وثلاث</t>
  </si>
  <si>
    <t>ثمــــــــــان مائة وستون وأربع</t>
  </si>
  <si>
    <t>ثمــــــــــان مائة وستون ونصف</t>
  </si>
  <si>
    <t>ثمــــــــــان مائة وستون وست</t>
  </si>
  <si>
    <t>ثمــــــــــان مائة وستون وسبع</t>
  </si>
  <si>
    <t>ثمــــــــــان مائة وستون وثمان</t>
  </si>
  <si>
    <t>ثمــــــــــان مائة وستون وتسع</t>
  </si>
  <si>
    <t xml:space="preserve">ثمــــــــــان مائة وواحدة وستون </t>
  </si>
  <si>
    <t>ثمــــــــــان مائة وواحدة وستون وواحدة</t>
  </si>
  <si>
    <t>ثمــــــــــان مائة وواحدة وستون واثنتان</t>
  </si>
  <si>
    <t>ثمــــــــــان مائة وواحدة وستون وثلاث</t>
  </si>
  <si>
    <t>ثمــــــــــان مائة وواحدة وستون وأربع</t>
  </si>
  <si>
    <t>ثمــــــــــان مائة وواحدة وستون ونصف</t>
  </si>
  <si>
    <t>تسع مائة وخمس وستون وأربع</t>
  </si>
  <si>
    <t>تسع مائة وخمس وستون ونصف</t>
  </si>
  <si>
    <t>تسع مائة وخمس وستون وست</t>
  </si>
  <si>
    <t>تسع مائة وخمس وستون وسبع</t>
  </si>
  <si>
    <t>تسع مائة وخمس وستون وثمان</t>
  </si>
  <si>
    <t>تسع مائة وخمس وستون وتسع</t>
  </si>
  <si>
    <t>تسع مائة وست وستون</t>
  </si>
  <si>
    <t>تسع مائة وست وستون وواحدة</t>
  </si>
  <si>
    <t>تسع مائة وست وستون واثنتان</t>
  </si>
  <si>
    <t>تسع مائة وست وستون وثلاث</t>
  </si>
  <si>
    <t>تسع مائة وست وستون وأربع</t>
  </si>
  <si>
    <t>تسع مائة وست وستون ونصف</t>
  </si>
  <si>
    <t>ثمــــــــــان مائة واثنتان وستون وثلاث</t>
  </si>
  <si>
    <t>ثمــــــــــان مائة واثنتان وستون وأربع</t>
  </si>
  <si>
    <t>ثمــــــــــان مائة واثنتان وستون ونصف</t>
  </si>
  <si>
    <t>ثمــــــــــان مائة واثنتان وستون وست</t>
  </si>
  <si>
    <t>ثمــــــــــان مائة واثنتان وستون وسبع</t>
  </si>
  <si>
    <t>ثمــــــــــان مائة واثنتان وستون وثمان</t>
  </si>
  <si>
    <t>ثمــــــــــان مائة واثنتان وستون وتسع</t>
  </si>
  <si>
    <t>ستمائة وثمان وخمسون وسبع</t>
  </si>
  <si>
    <t>ستمائة وثمان وخمسون وثمان</t>
  </si>
  <si>
    <t>ستمائة وثمان وخمسون وتسع</t>
  </si>
  <si>
    <t xml:space="preserve">ستمائة وتسع وخمسون </t>
  </si>
  <si>
    <t>ستمائة وتسع وخمسون وواحدة</t>
  </si>
  <si>
    <t>ستمائة وتسع وخمسون واثنتان</t>
  </si>
  <si>
    <t>ستمائة وتسع وخمسون وثلاث</t>
  </si>
  <si>
    <t>ستمائة وتسع وخمسون وأربع</t>
  </si>
  <si>
    <t>ستمائة وتسع وخمسون ونصف</t>
  </si>
  <si>
    <t>ستمائة وتسع وخمسون وست</t>
  </si>
  <si>
    <t>ستمائة وتسع وخمسون وسبع</t>
  </si>
  <si>
    <t>ستمائة ستون</t>
  </si>
  <si>
    <t>ستمائة وستون وواحدة</t>
  </si>
  <si>
    <t>ستمائة وستون واثنتان</t>
  </si>
  <si>
    <t>ستمائة وستون وثلاث</t>
  </si>
  <si>
    <t>ستمائة وستون وأربع</t>
  </si>
  <si>
    <t>ستمائة وستون ونصف</t>
  </si>
  <si>
    <t>ستمائة وستون وست</t>
  </si>
  <si>
    <t>ستمائة وستون وسبع</t>
  </si>
  <si>
    <t>ستمائة وستون وثمان</t>
  </si>
  <si>
    <t>ستمائة وستون وتسع</t>
  </si>
  <si>
    <t xml:space="preserve">ستمائة وواحدة وستون </t>
  </si>
  <si>
    <t>ستمائة وواحدة وستون وواحدة</t>
  </si>
  <si>
    <t>ستمائة وواحدة وستون واثنتان</t>
  </si>
  <si>
    <t>ستمائة وواحدة وستون وثلاث</t>
  </si>
  <si>
    <t>ستمائة وواحدة وستون وأربع</t>
  </si>
  <si>
    <t>ستمائة وواحدة وستون ونصف</t>
  </si>
  <si>
    <t>ستمائة وواحدة وستون وست</t>
  </si>
  <si>
    <t>ستمائة وواحدة وستون وسبع</t>
  </si>
  <si>
    <t>ستمائة وواحدة وستون وثمان</t>
  </si>
  <si>
    <t>ستمائة وواحدة وستون وتسع</t>
  </si>
  <si>
    <t xml:space="preserve">ستمائة واثنتان وستون </t>
  </si>
  <si>
    <t>ستمائة واثنتان وستون وواحدة</t>
  </si>
  <si>
    <t>ستمائة واثنتان وستون واثنتان</t>
  </si>
  <si>
    <t>أستمائة واثنتان وستون وثلاث</t>
  </si>
  <si>
    <t>ستمائة واثنتان وستون وأربع</t>
  </si>
  <si>
    <t>ستمائة واثنتان وستون ونصف</t>
  </si>
  <si>
    <t>ستمائة واثنتان وستون وست</t>
  </si>
  <si>
    <t>ستمائة واثنتان وستون وسبع</t>
  </si>
  <si>
    <t>ثمــــــــــان مائة وست وستون وست</t>
  </si>
  <si>
    <t>ثمــــــــــان مائة وست وستون وسبع</t>
  </si>
  <si>
    <t>ستمائة وخمس وستون وثلاث</t>
  </si>
  <si>
    <t>ستمائة وخمس وستون وأربع</t>
  </si>
  <si>
    <t>ستمائة وخمس وستون ونصف</t>
  </si>
  <si>
    <t>ستمائة وخمس وستون وست</t>
  </si>
  <si>
    <t>ستمائة وخمس وستون وسبع</t>
  </si>
  <si>
    <t>ستمائة وخمس وستون وثمان</t>
  </si>
  <si>
    <t>ستمائة وخمس وستون وتسع</t>
  </si>
  <si>
    <t>ستمائة وست وستون</t>
  </si>
  <si>
    <t>ستمائة وست وستون وواحدة</t>
  </si>
  <si>
    <t>ستمائة وست وستون واثنتان</t>
  </si>
  <si>
    <t>ستمائة وست وستون وثلاث</t>
  </si>
  <si>
    <t>ستمائة وست وستون وأربع</t>
  </si>
  <si>
    <t>ستمائة وست وستون ونصف</t>
  </si>
  <si>
    <t>ستمائة وست وستون وست</t>
  </si>
  <si>
    <t>ستمائة وست وستون وسبع</t>
  </si>
  <si>
    <t>أربعمائة وتسع و ثلاثون وثلاث</t>
  </si>
  <si>
    <t>أربعمائة وتسع و ثلاثون وأربع</t>
  </si>
  <si>
    <t>أربعمائة وتسع و ثلاثون ونصف</t>
  </si>
  <si>
    <t>أربعمائة وتسع و ثلاثون وست</t>
  </si>
  <si>
    <t>ستمائة وسبع وستون وتسع</t>
  </si>
  <si>
    <t>أربعمائة وواحد و أربعون  وثلاث</t>
  </si>
  <si>
    <t>أربعمائة وواحد و أربعون  وأربع</t>
  </si>
  <si>
    <t>أربعمائة وواحد و أربعون  ونصف</t>
  </si>
  <si>
    <t>أربعمائة وواحد و أربعون  وست</t>
  </si>
  <si>
    <t>أربعمائة وواحد و أربعون  وسبع</t>
  </si>
  <si>
    <t>أربعمائة وواحد و أربعون  وثمان</t>
  </si>
  <si>
    <t>أربعمائة وواحد و أربعون  وتسع</t>
  </si>
  <si>
    <t xml:space="preserve">أربعمائة واثنان و أربعون  </t>
  </si>
  <si>
    <t>أربعمائة واثنان و أربعون   وواحدة</t>
  </si>
  <si>
    <t>أربعمائة واثنان و أربعون  واثنتان</t>
  </si>
  <si>
    <t>أربعمائة واثنان و أربعون  وثلاث</t>
  </si>
  <si>
    <t>أربعمائة واثنان و أربعون  وأربع</t>
  </si>
  <si>
    <t>أربعمائة واثنان و أربعون  ونصف</t>
  </si>
  <si>
    <t xml:space="preserve">ثمــــــــــان مائة وثمان وستون </t>
  </si>
  <si>
    <t>ثمــــــــــان مائة وثمان وستون وواحدة</t>
  </si>
  <si>
    <t>ثمــــــــــان مائة وثمان وستون واثنتان</t>
  </si>
  <si>
    <t>ثمــــــــــان مائة وثمان وستون وثلاث</t>
  </si>
  <si>
    <t>ثمــــــــــان مائة وثمان وستون وأربع</t>
  </si>
  <si>
    <t>ثمــــــــــان مائة وثمان وستون ونصف</t>
  </si>
  <si>
    <t xml:space="preserve">ستمائة وثمان وستون </t>
  </si>
  <si>
    <t>ستمائة وثمان وستون وواحدة</t>
  </si>
  <si>
    <t>ستمائة وثمان وستون واثنتان</t>
  </si>
  <si>
    <t>ستمائة وثمان وستون وثلاث</t>
  </si>
  <si>
    <t>ستمائة وثمان وستون وأربع</t>
  </si>
  <si>
    <t>ستمائة وثمان وستون ونصف</t>
  </si>
  <si>
    <t>ستمائة وثمان وستون وست</t>
  </si>
  <si>
    <t>تسع مائة وست وسبعون وسبع</t>
  </si>
  <si>
    <t>ثمــــــــــان مائة وثلاث وثمانون وتسع</t>
  </si>
  <si>
    <t xml:space="preserve">ثمــــــــــان مائة وأربع وثمانون </t>
  </si>
  <si>
    <t>ثمــــــــــان مائة وأربع وثمانون وواحدة</t>
  </si>
  <si>
    <t>ثمــــــــــان مائة وأربع وثمانون واثنتان</t>
  </si>
  <si>
    <t>ثمــــــــــان مائة وأربع وثمانون وثلاث</t>
  </si>
  <si>
    <t>ثمــــــــــان مائة وأربع وثمانون وأربع</t>
  </si>
  <si>
    <t>ثمــــــــــان مائة وأربع وثمانون ونصف</t>
  </si>
  <si>
    <t>ثمــــــــــان مائة وأربع وثمانون وست</t>
  </si>
  <si>
    <t>ثمــــــــــان مائة وأربع وثمانون وسبع</t>
  </si>
  <si>
    <t>ثمــــــــــان مائة وأربع وثمانون وثمان</t>
  </si>
  <si>
    <t>ثمــــــــــان مائة وأربع وثمانون وتسع</t>
  </si>
  <si>
    <t xml:space="preserve">ثمــــــــــان مائة وخمس وثمانون </t>
  </si>
  <si>
    <t>ثمــــــــــان مائة وخمس وثمانون وواحدة</t>
  </si>
  <si>
    <t>ثمــــــــــان مائة وخمس وثمانون واثنتان</t>
  </si>
  <si>
    <t>ثمــــــــــان مائة وخمس وثمانون وثلاث</t>
  </si>
  <si>
    <t>ثمــــــــــان مائة وخمس وثمانون وأربع</t>
  </si>
  <si>
    <t>ثمــــــــــان مائة وخمس وثمانون ونصف</t>
  </si>
  <si>
    <t>ثمــــــــــان مائة وخمس وثمانون وست</t>
  </si>
  <si>
    <t>ثمــــــــــان مائة وخمس وثمانون وسبع</t>
  </si>
  <si>
    <t>تسع مائة وثمانون ونصف</t>
  </si>
  <si>
    <t>تسع مائة وثمانون وست</t>
  </si>
  <si>
    <t>تسع مائة وثمانون وسبع</t>
  </si>
  <si>
    <t>تسع مائة وثمانون وثمان</t>
  </si>
  <si>
    <t>تسع مائة وثمانون وتسع</t>
  </si>
  <si>
    <t>تسع مائة وواحدة وثمانون</t>
  </si>
  <si>
    <t>تسع مائة وواحدة وثمانون وواحدة</t>
  </si>
  <si>
    <t>تسع مائة وواحدة وثمانون واثنتان</t>
  </si>
  <si>
    <t>تسع مائة وواحدة وثمانون وثلاث</t>
  </si>
  <si>
    <t>تسع مائة وواحدة وثمانون وأربع</t>
  </si>
  <si>
    <t>تسع مائة وواحدة وثمانون ونصف</t>
  </si>
  <si>
    <t>تسع مائة وواحدة وثمانون وست</t>
  </si>
  <si>
    <t>تسع مائة وواحدة وثمانون وسبع</t>
  </si>
  <si>
    <t>تسع مائة وواحدة وثمانون وثمان</t>
  </si>
  <si>
    <t>تسع مائة وواحدة وثمانون وتسع</t>
  </si>
  <si>
    <t xml:space="preserve">تسع مائة واثنتان وثمانون </t>
  </si>
  <si>
    <t>تسع مائة واثنتان وثمانون وواحدة</t>
  </si>
  <si>
    <t>تسع مائة واثنتان وثمانون واثنتان</t>
  </si>
  <si>
    <t>تسع مائة واثنتان وثمانون وثلاث</t>
  </si>
  <si>
    <t>تسع مائة واثنتان وثمانون وأربع</t>
  </si>
  <si>
    <t>تسع مائة واثنتان وثمانون ونصف</t>
  </si>
  <si>
    <t>تسع مائة واثنتان وثمانون وست</t>
  </si>
  <si>
    <t>تسع مائة واثنتان وثمانون وسبع</t>
  </si>
  <si>
    <t>تسع مائة واثنتان وثمانون وثمان</t>
  </si>
  <si>
    <t>تسع مائة واثنتان وثمانون وتسع</t>
  </si>
  <si>
    <t>تسع مائة وثلاث وثمانون</t>
  </si>
  <si>
    <t>تسع مائة وثلاث وثمانون وواحدة</t>
  </si>
  <si>
    <t>تسع مائة وثلاث وثمانون واثنتان</t>
  </si>
  <si>
    <t>تسع مائة وثلاث وثمانون وثلاث</t>
  </si>
  <si>
    <t>تسع مائة وثلاث وثمانون وأربع</t>
  </si>
  <si>
    <t>تسع مائة وثلاث وثمانون ونصف</t>
  </si>
  <si>
    <t>تسع مائة وثلاث وثمانون وست</t>
  </si>
  <si>
    <t>تسع مائة وثلاث وثمانون وسبع</t>
  </si>
  <si>
    <t>تسع مائة وثلاث وثمانون وثمان</t>
  </si>
  <si>
    <t>تسع مائة وثلاث وثمانون وتسع</t>
  </si>
  <si>
    <t xml:space="preserve">تسع مائة وأربع وثمانون </t>
  </si>
  <si>
    <t>تسع مائة وأربع وثمانون وواحدة</t>
  </si>
  <si>
    <t>تسع مائة وأربع وثمانون واثنتان</t>
  </si>
  <si>
    <t>تسع مائة وأربع وثمانون وثلاث</t>
  </si>
  <si>
    <t>تسع مائة وأربع وثمانون وأربع</t>
  </si>
  <si>
    <t>تسع مائة وأربع وثمانون ونصف</t>
  </si>
  <si>
    <t>تسع مائة وأربع وثمانون وست</t>
  </si>
  <si>
    <t>تسع مائة وأربع وثمانون وسبع</t>
  </si>
  <si>
    <t>تسع مائة وأربع وثمانون وثمان</t>
  </si>
  <si>
    <t>تسع مائة وأربع وثمانون وتسع</t>
  </si>
  <si>
    <t xml:space="preserve">تسع مائة وخمس وثمانون </t>
  </si>
  <si>
    <t>تسع مائة وخمس وثمانون وواحدة</t>
  </si>
  <si>
    <t>تسع مائة وخمس وثمانون واثنتان</t>
  </si>
  <si>
    <t>تسع مائة وخمس وثمانون وثلاث</t>
  </si>
  <si>
    <t>تسع مائة وخمس وثمانون وأربع</t>
  </si>
  <si>
    <t>تسع مائة وخمس وثمانون ونصف</t>
  </si>
  <si>
    <t>ثمــــــــــان مائة  وثلاث وثمان</t>
  </si>
  <si>
    <t>ثمــــــــــان مائة  وثلاث وتسع</t>
  </si>
  <si>
    <t>ثمــــــــــان مائة  وأربع وواحدة</t>
  </si>
  <si>
    <t>ثمــــــــــان مائة  وأربع واثنتان</t>
  </si>
  <si>
    <t>ثمــــــــــان مائة  وأربع وثلاث</t>
  </si>
  <si>
    <t>ثمــــــــــان مائة  وأربع وأربع</t>
  </si>
  <si>
    <t>ثمــــــــــان مائة  وأربع ونصف</t>
  </si>
  <si>
    <t>ثمــــــــــان مائة  وأربع وست</t>
  </si>
  <si>
    <t>ثمــــــــــان مائة  وثلاث وسبع</t>
  </si>
  <si>
    <t>خمسمائة واثنان وسبعون وتسع</t>
  </si>
  <si>
    <t xml:space="preserve">خمسمائة وثلاث وسبعون </t>
  </si>
  <si>
    <t>خمسمائة وثلاث وسبعون وواحدة</t>
  </si>
  <si>
    <t>خمسمائة وثلاث وسبعون واثنتان</t>
  </si>
  <si>
    <t>خمسمائة وثلاث وسبعون وثلاث</t>
  </si>
  <si>
    <t>خمسمائة وثلاث وسبعون وأربع</t>
  </si>
  <si>
    <t>ثمــــــــــان مائة وتسعون وواحدة</t>
  </si>
  <si>
    <t>ثمــــــــــان مائة وتسعون واثنتان</t>
  </si>
  <si>
    <t>ثمــــــــــان مائة وسبع وسبعون واثنتان</t>
  </si>
  <si>
    <t>ثمــــــــــان مائة وسبع وسبعون وثلاث</t>
  </si>
  <si>
    <t>ثمــــــــــان مائة وسبع وسبعون وأربع</t>
  </si>
  <si>
    <t>ثمــــــــــان مائة وسبع وسبعون ونصف</t>
  </si>
  <si>
    <t>ثمــــــــــان مائة وسبع وسبعون وست</t>
  </si>
  <si>
    <t>ثمــــــــــان مائة وسبع وسبعون وسبع</t>
  </si>
  <si>
    <t>ثمــــــــــان مائة وسبع وسبعون وثمان</t>
  </si>
  <si>
    <t>ثمــــــــــان مائة وسبع وسبعون وتسع</t>
  </si>
  <si>
    <t>ستمائة وواحدة وثمانون وست</t>
  </si>
  <si>
    <t>ستمائة وواحدة وثمانون وسبع</t>
  </si>
  <si>
    <t>ستمائة وواحدة وثمانون وثمان</t>
  </si>
  <si>
    <t>ستمائة وواحدة وثمانون وتسع</t>
  </si>
  <si>
    <t xml:space="preserve">ستمائة واثنتان وثمانون </t>
  </si>
  <si>
    <t>ستمائة واثنتان وثمانون وواحدة</t>
  </si>
  <si>
    <t>ستمائة واثنتان وثمانون واثنتان</t>
  </si>
  <si>
    <t>ستمائة واثنتان وثمانون وثلاث</t>
  </si>
  <si>
    <t>ستمائة واثنتان وثمانون وأربع</t>
  </si>
  <si>
    <t>ستمائة واثنتان وثمانون ونصف</t>
  </si>
  <si>
    <t>ستمائة واثنتان وثمانون وست</t>
  </si>
  <si>
    <t>ستمائة واثنتان وثمانون وسبع</t>
  </si>
  <si>
    <t>ستمائة واثنتان وثمانون وثمان</t>
  </si>
  <si>
    <t>ستمائة واثنتان وثمانون وتسع</t>
  </si>
  <si>
    <t>ستمائة وثلاث وثمانون</t>
  </si>
  <si>
    <t>ستمائة وثلاث وثمانون وواحدة</t>
  </si>
  <si>
    <t>ثمــــــــــان مائة وخمس وتسعون وأربع</t>
  </si>
  <si>
    <t>ثمــــــــــان مائة وخمس وتسعون ونصف</t>
  </si>
  <si>
    <t>ثمــــــــــان مائة وخمس وتسعون وست</t>
  </si>
  <si>
    <t>ثمــــــــــان مائة وخمس وتسعون وسبع</t>
  </si>
  <si>
    <t>ثمــــــــــان مائة وخمس وتسعون وثمان</t>
  </si>
  <si>
    <t>ثمــــــــــان مائة وخمس وتسعون وتسع</t>
  </si>
  <si>
    <t xml:space="preserve">ثمــــــــــان مائة وست وتسعون </t>
  </si>
  <si>
    <t>ثمــــــــــان مائة وست وتسعون وواحدة</t>
  </si>
  <si>
    <t>ثمــــــــــان مائة وست وتسعون واثنتان</t>
  </si>
  <si>
    <t>ثمــــــــــان مائة وست وتسعون وثلاث</t>
  </si>
  <si>
    <t>ثمــــــــــان مائة وست وتسعون وأربع</t>
  </si>
  <si>
    <t>ثمــــــــــان مائة وست وتسعون ونصف</t>
  </si>
  <si>
    <t>ثمــــــــــان مائة وست وتسعون وست</t>
  </si>
  <si>
    <t>ثمــــــــــان مائة وست وتسعون وسبع</t>
  </si>
  <si>
    <t>ثمــــــــــان مائة وست وتسعون وثمان</t>
  </si>
  <si>
    <t>ثمــــــــــان مائة وست وتسعون وتسع</t>
  </si>
  <si>
    <t xml:space="preserve">ثمــــــــــان مائة وسبع وتسعون </t>
  </si>
  <si>
    <t>ثمــــــــــان مائة وسبع وتسعون وواحدة</t>
  </si>
  <si>
    <t>ثمــــــــــان مائة وسبع وتسعون واثنتان</t>
  </si>
  <si>
    <t>ثمــــــــــان مائة وسبع وتسعون وثلاث</t>
  </si>
  <si>
    <t>ثمــــــــــان مائة وسبع وتسعون وأربع</t>
  </si>
  <si>
    <t>ثمــــــــــان مائة وسبع وتسعون ونصف</t>
  </si>
  <si>
    <t>ثمــــــــــان مائة وسبع وتسعون وست</t>
  </si>
  <si>
    <t>ثمــــــــــان مائة وسبع وتسعون وسبع</t>
  </si>
  <si>
    <t>ثمــــــــــان مائة وسبع وتسعون وثمان</t>
  </si>
  <si>
    <t>ثمــــــــــان مائة وسبع وتسعون وتسع</t>
  </si>
  <si>
    <t>ثمــــــــــان مائة وثمان وتسعون</t>
  </si>
  <si>
    <t>ثمــــــــــان مائة وثمان وتسعون وواحدة</t>
  </si>
  <si>
    <t>ثمــــــــــان مائة وثمان وتسعون واثنتان</t>
  </si>
  <si>
    <t>ثمــــــــــان مائة وثمان وتسعون وثلاث</t>
  </si>
  <si>
    <t>ألف  وواحدة وعشرون  وواحدة</t>
  </si>
  <si>
    <t>ألف  وواحدة وعشرون واثنتان</t>
  </si>
  <si>
    <t>تسع مائة  وواحد وعشرون وثلاث</t>
  </si>
  <si>
    <t>ألف  وواحدة وعشرون وأربع</t>
  </si>
  <si>
    <t>ألف وواحدة وعشرون ونصف</t>
  </si>
  <si>
    <t>ألف وواحدة وعشرون وست</t>
  </si>
  <si>
    <t>ألف وواحدة وعشرون وسبع</t>
  </si>
  <si>
    <t>ألف وواحدة وعشرون وثمان</t>
  </si>
  <si>
    <t>ألف وواحدة وعشرون وتسع</t>
  </si>
  <si>
    <t>ألف واثنتان وعشرون واثنتان</t>
  </si>
  <si>
    <t>ألف واثنتان وعشرون  وواحدة</t>
  </si>
  <si>
    <t>ستمائة وثمان وثمانون وثمان</t>
  </si>
  <si>
    <t>ثمــــــــــان مائة وسبع و عشرون واثنتان</t>
  </si>
  <si>
    <t>ثمــــــــــان مائة وسبع وعشرون وثلاث</t>
  </si>
  <si>
    <t>ثمــــــــــان مائة وسبع وعشرون وأربع</t>
  </si>
  <si>
    <t>ألف  وأربع وواحدة</t>
  </si>
  <si>
    <t>ألف  وأربع واثنتان</t>
  </si>
  <si>
    <t>ألف  وأربع وثلاث</t>
  </si>
  <si>
    <t>ألف  وأربع وأربع</t>
  </si>
  <si>
    <t>ألف  وأربع ونصف</t>
  </si>
  <si>
    <t>ألف  وأربع وست</t>
  </si>
  <si>
    <t>ألف  وأربع وسبع</t>
  </si>
  <si>
    <t>ألف  وأربع وثمان</t>
  </si>
  <si>
    <t>ألف  وأربع وتسع</t>
  </si>
  <si>
    <t>ألف  وخمس</t>
  </si>
  <si>
    <t>ألف  وخمس وواحدة</t>
  </si>
  <si>
    <t>ستمائة وتسعون</t>
  </si>
  <si>
    <t>أربعمائة وستون وثلاث</t>
  </si>
  <si>
    <t>أربعمائة وستون وأربع</t>
  </si>
  <si>
    <t>أربعمائة وستون ونصف</t>
  </si>
  <si>
    <t>أربعمائة وستون وست</t>
  </si>
  <si>
    <t>أربعمائة وواحدة وستون وست</t>
  </si>
  <si>
    <t>أربعمائة وواحدة وستون وسبع</t>
  </si>
  <si>
    <t>أربعمائة وواحدة وستون وثمان</t>
  </si>
  <si>
    <t>أربعمائة وواحدة وستون وتسع</t>
  </si>
  <si>
    <t xml:space="preserve">أربعمائة واثنتان وستون </t>
  </si>
  <si>
    <t>أربعمائة واثنتان وستون وواحدة</t>
  </si>
  <si>
    <t>أربعمائة واثنتان وستون واثنتان</t>
  </si>
  <si>
    <t>أربعمائة واثنتان وستون وثلاث</t>
  </si>
  <si>
    <t>أربعمائة واثنتان وستون وأربع</t>
  </si>
  <si>
    <t>أربعمائة واثنتان وستون ونصف</t>
  </si>
  <si>
    <t>أربعمائة واثنتان وستون وست</t>
  </si>
  <si>
    <t>أربعمائة واثنتان وستون وسبع</t>
  </si>
  <si>
    <t>أربعمائة واثنتان وستون وثمان</t>
  </si>
  <si>
    <t>أربعمائة واثنتان وستون وتسع</t>
  </si>
  <si>
    <t xml:space="preserve">أربعمائة وثلاث وستون </t>
  </si>
  <si>
    <t>أربعمائة وثلاث وستون وواحدة</t>
  </si>
  <si>
    <t>أربعمائة وثلاث وستون واثنتان</t>
  </si>
  <si>
    <t>ستمائة وتسعون وست</t>
  </si>
  <si>
    <t>ستمائة وتسعون وسبع</t>
  </si>
  <si>
    <t>ستمائة وتسعون وثمان</t>
  </si>
  <si>
    <t>ستمائة وتسعون وتسع</t>
  </si>
  <si>
    <t xml:space="preserve">ستمائة وواحدة وتسعون </t>
  </si>
  <si>
    <t>ستمائة وواحدة وتسعون وواحدة</t>
  </si>
  <si>
    <t>ثمــــــــــان مائة  واحدى عشرة ونصف</t>
  </si>
  <si>
    <t>ثمــــــــــان مائة  واحدى عشرة وست</t>
  </si>
  <si>
    <t>ثمــــــــــان مائة  واحدى عشرة وسبع</t>
  </si>
  <si>
    <t>ثمــــــــــان مائة  واحدى عشرة وثمان</t>
  </si>
  <si>
    <t>ثمــــــــــان مائة  واحدى عشرة وتسع</t>
  </si>
  <si>
    <t>ثمــــــــــان مائة  واثنتا عشرة</t>
  </si>
  <si>
    <t>ثمــــــــــان مائة  واثنتا عشرة وواحدة</t>
  </si>
  <si>
    <t>ثمــــــــــان مائة  واثنتا عشرة واثنتان</t>
  </si>
  <si>
    <t>ألف  وتسع واثنتان</t>
  </si>
  <si>
    <t>ألف  وتسع وثلاث</t>
  </si>
  <si>
    <t>ألف وتسع وأربع</t>
  </si>
  <si>
    <t>ألف  وتسع ونصف</t>
  </si>
  <si>
    <t>ألف  وتسع وست</t>
  </si>
  <si>
    <t>ألف  وتسع وسبع</t>
  </si>
  <si>
    <t>ألف  وتسع وثمان</t>
  </si>
  <si>
    <t>ألف  وتسع وتسع</t>
  </si>
  <si>
    <t>ألف  وعشر</t>
  </si>
  <si>
    <t>ألف  وعشر وواحدة</t>
  </si>
  <si>
    <t>ألف  وعشر واثنتان</t>
  </si>
  <si>
    <t>ألف  وعشر وثلاث</t>
  </si>
  <si>
    <t>ألف  وعشر وأربع</t>
  </si>
  <si>
    <t>ألف  وعشر ونصف</t>
  </si>
  <si>
    <t>ألف  وعشر وست</t>
  </si>
  <si>
    <t>ألف  وعشر وسبع</t>
  </si>
  <si>
    <t>ألف  وعشر وثمان</t>
  </si>
  <si>
    <t>ألف  وعشر وتسع</t>
  </si>
  <si>
    <t>ألف  واحدى عشرة</t>
  </si>
  <si>
    <t>ألف  واحدى عشرة وواحدة</t>
  </si>
  <si>
    <t>ألف  واحدى عشرة واثنتان</t>
  </si>
  <si>
    <t>ألف  واحدى عشرة وثلاث</t>
  </si>
  <si>
    <t>تسع مائة  وست ونصف</t>
  </si>
  <si>
    <t>تسع مائة  وست وست</t>
  </si>
  <si>
    <t>تسع مائة  وست وسبع</t>
  </si>
  <si>
    <t>تسع مائة  وست وثمان</t>
  </si>
  <si>
    <t>تسع مائة  وست وتسع</t>
  </si>
  <si>
    <t>تسع مائة  وسبع وواحدة</t>
  </si>
  <si>
    <t>تسع مائة  وسبع واثنتان</t>
  </si>
  <si>
    <t>تسع مائة  وسبع وثلاث</t>
  </si>
  <si>
    <t>تسع مائة  وسبع وأربع</t>
  </si>
  <si>
    <t>تسع مائة  وسبع ونصف</t>
  </si>
  <si>
    <t>تسع مائة  وسبع وست</t>
  </si>
  <si>
    <t>تسع مائة  وسبع وسبع</t>
  </si>
  <si>
    <t>تسع مائة  وسبع وثمان</t>
  </si>
  <si>
    <t>تسع مائة  وسبع وتسع</t>
  </si>
  <si>
    <t>تسع مائة و ثمان وواحدة</t>
  </si>
  <si>
    <t>تسع  مائة وثمان واثنتان</t>
  </si>
  <si>
    <t>تسع مائة  وثمان وثلاث</t>
  </si>
  <si>
    <t>تسع مائة  وثمان وأربع</t>
  </si>
  <si>
    <t>تسع مائة  وثمان ونصف</t>
  </si>
  <si>
    <t>تسع مائة  وثمان وست</t>
  </si>
  <si>
    <t>تسع مائة  وثمان وسبع</t>
  </si>
  <si>
    <t>تسع مائة  وثمان وثمان</t>
  </si>
  <si>
    <t>تسع مائة  وثمان وتسع</t>
  </si>
  <si>
    <t>تسع مائة  وتسع</t>
  </si>
  <si>
    <t>تسع مائة  وتسع وواحدة</t>
  </si>
  <si>
    <t>تسع مائة  وتسع واثنتان</t>
  </si>
  <si>
    <t>تسع مائة  وتسع وثلاث</t>
  </si>
  <si>
    <t>تسع مائة  وتسع وأربع</t>
  </si>
  <si>
    <t>تسع مائة  وتسع ونصف</t>
  </si>
  <si>
    <t>تسع مائة  وتسع وست</t>
  </si>
  <si>
    <t>تسع مائة  وتسع وسبع</t>
  </si>
  <si>
    <t>تسع مائة  وتسع وثمان</t>
  </si>
  <si>
    <t>تسع مائة  وتسع وتسع</t>
  </si>
  <si>
    <t>تسع مائة  وعشر</t>
  </si>
  <si>
    <t>تسع مائة  وعشر وواحدة</t>
  </si>
  <si>
    <t>تسع مائة  وعشر واثنتان</t>
  </si>
  <si>
    <t>تسع مائة  وعشر وثلاث</t>
  </si>
  <si>
    <t>تسع مائة  وعشر وأربع</t>
  </si>
  <si>
    <t>تسع مائة  وعشر ونصف</t>
  </si>
  <si>
    <t>تسع مائة  وثلاث وست</t>
  </si>
  <si>
    <t>تسع مائة  وثلاث وسبع</t>
  </si>
  <si>
    <t>تسع مائة  وثلاث وثمان</t>
  </si>
  <si>
    <t>تسع مائة  وثلاث وتسع</t>
  </si>
  <si>
    <t>تسع مائة  وأربع وواحدة</t>
  </si>
  <si>
    <t>تسع مائة  وأربع واثنتان</t>
  </si>
  <si>
    <t>تسع مائة  وأربع وثلاث</t>
  </si>
  <si>
    <t>تسع مائة  وأربع وأربع</t>
  </si>
  <si>
    <t>تسع مائة  وأربع ونصف</t>
  </si>
  <si>
    <t>تسع مائة  وأربع وست</t>
  </si>
  <si>
    <t>تسع مائة  وأربع وسبع</t>
  </si>
  <si>
    <t>تسع مائة  وأربع وثمان</t>
  </si>
  <si>
    <t>تسع مائة  وأربع وتسع</t>
  </si>
  <si>
    <t>تسع مائة  وخمس</t>
  </si>
  <si>
    <t>تسع مائة  وخمس وواحدة</t>
  </si>
  <si>
    <t>تسع مائة  وخمس واثنتان</t>
  </si>
  <si>
    <t>تسع مائة  وخمس وثلاث</t>
  </si>
  <si>
    <t>ثمــــــــــان مائة واثنتان وتسعون وثلاث</t>
  </si>
  <si>
    <t>ثمــــــــــان مائة واثنتان وتسعون وأربع</t>
  </si>
  <si>
    <t>ثمــــــــــان مائة واثنتان وتسعون ونصف</t>
  </si>
  <si>
    <t>ثمــــــــــان مائة واثنتان وتسعون وست</t>
  </si>
  <si>
    <t>ثمــــــــــان مائة واثنتان وتسعون وسبع</t>
  </si>
  <si>
    <t>ثمــــــــــان مائة واثنتان وتسعون وثمان</t>
  </si>
  <si>
    <t>ثمــــــــــان مائة واثنتان وتسعون وتسع</t>
  </si>
  <si>
    <t xml:space="preserve">ثمــــــــــان مائة وثلاث وتسعون </t>
  </si>
  <si>
    <t>سبعمائة واثنتان</t>
  </si>
  <si>
    <t>سبعمائة وثلاث</t>
  </si>
  <si>
    <t>سبعمائة وأربع</t>
  </si>
  <si>
    <t>سبعمائة ونصف</t>
  </si>
  <si>
    <t>سبعمائة وست</t>
  </si>
  <si>
    <t>ثمــــــــــان مائة واثلاث وتسعون وثمان</t>
  </si>
  <si>
    <t>ثمــــــــــان مائة وثلاث وتسعون وتسع</t>
  </si>
  <si>
    <t xml:space="preserve">ثمــــــــــان مائة وأربع وتسعون </t>
  </si>
  <si>
    <t>ثمــــــــــان مائة وأربع وتسعون وواحدة</t>
  </si>
  <si>
    <t>ثمــــــــــان مائة وأربع وتسعون واثنتان</t>
  </si>
  <si>
    <t>ثمــــــــــان مائة وأربع وتسعون وثلاث</t>
  </si>
  <si>
    <t>ثمــــــــــان مائة وأربع وتسعون وأربع</t>
  </si>
  <si>
    <t>ثمــــــــــان مائة وأربع وتسعون ونصف</t>
  </si>
  <si>
    <t>سبعمائة وسبع وثلاث</t>
  </si>
  <si>
    <t>سبعمائة وسبع وأربع</t>
  </si>
  <si>
    <t>سبعمائة وسبع ونصف</t>
  </si>
  <si>
    <t>سبعمائة وسبع وست</t>
  </si>
  <si>
    <t>سبعمائة وسبع وسبع</t>
  </si>
  <si>
    <t>سبعمائة وسبع وثمان</t>
  </si>
  <si>
    <t>سبعمائة وسبع وتسع</t>
  </si>
  <si>
    <t>سبعمائة وثمان وواحدة</t>
  </si>
  <si>
    <t>سبعمائة وثمان واثنتان</t>
  </si>
  <si>
    <t>سبعمائة وثمان وثلاث</t>
  </si>
  <si>
    <t>سبعمائة وثمان وأربع</t>
  </si>
  <si>
    <t>سبعمائة وثمان ونصف</t>
  </si>
  <si>
    <t>ستمائة وتسع وتسعون وست</t>
  </si>
  <si>
    <t>ستمائة وتسع وتسعون وسبع</t>
  </si>
  <si>
    <t>ستمائة وتسع وتسعون وثمان</t>
  </si>
  <si>
    <t>ستمائة وتسع وتسعون وتسع</t>
  </si>
  <si>
    <t>سبعمائة</t>
  </si>
  <si>
    <t>سبعمائة وواحدة</t>
  </si>
  <si>
    <t>ألف وثلاث و أربعون   وواحدة</t>
  </si>
  <si>
    <t>ألف وثلاث و أربعون  واثنتان</t>
  </si>
  <si>
    <t>ألف وثلاث و أربعون  وثلاث</t>
  </si>
  <si>
    <t>ألف وثلاث و أربعون  وأربع</t>
  </si>
  <si>
    <t>ألف وثلاث و أربعون  ونصف</t>
  </si>
  <si>
    <t>ألف وثلاث و أربعون  وست</t>
  </si>
  <si>
    <t>ألف وثلاث و أربعون  وسبع</t>
  </si>
  <si>
    <t>ألف وثلاث و أربعون  وثمان</t>
  </si>
  <si>
    <t>ألف وثلاث و أربعون  وتسع</t>
  </si>
  <si>
    <t>ألف وأربع و أربعون  وتسع</t>
  </si>
  <si>
    <t>ألف وأربع و أربعون   وواحدة</t>
  </si>
  <si>
    <t>ألف وأربع و أربعون  واثنتان</t>
  </si>
  <si>
    <t>ألف وأربع و أربعون  وثلاث</t>
  </si>
  <si>
    <t>ألف وأربع و أربعون  وأربع</t>
  </si>
  <si>
    <t>ألف وأربع و أربعون  ونصف</t>
  </si>
  <si>
    <t>ألف وأربع و أربعون  وست</t>
  </si>
  <si>
    <t>ألف وأربع و أربعون  وسبع</t>
  </si>
  <si>
    <t>ألف وأربع و أربعون  وثمان</t>
  </si>
  <si>
    <t xml:space="preserve">ألف وخمس و أربعون  </t>
  </si>
  <si>
    <t>ألف وخمس و أربعون   وواحدة</t>
  </si>
  <si>
    <t>ألف وخمس و أربعون  واثنتان</t>
  </si>
  <si>
    <t>ألف وأخمس و أربعون  وثلاث</t>
  </si>
  <si>
    <t>ألف وخمس و أربعون  وأربع</t>
  </si>
  <si>
    <t>ألف وخمس و أربعون  ونصف</t>
  </si>
  <si>
    <t>ألف وخمس و أربعون  وست</t>
  </si>
  <si>
    <t>ألف وخمس و أربعون  وسبع</t>
  </si>
  <si>
    <t>ألف وخمس و أربعون  وثمان</t>
  </si>
  <si>
    <t>ألف وخمس و أربعون  وتسع</t>
  </si>
  <si>
    <t xml:space="preserve">ألف وست و أربعون  </t>
  </si>
  <si>
    <t>ألف وست و أربعون   وواحدة</t>
  </si>
  <si>
    <t>ألف وست و أربعون  واثنتان</t>
  </si>
  <si>
    <t>ألف وست و أربعون  وثلاث</t>
  </si>
  <si>
    <t>ألف وست و أربعون  وأربع</t>
  </si>
  <si>
    <t>ألف وست و أربعون  ونصف</t>
  </si>
  <si>
    <t>ألف وست و أربعون  وست</t>
  </si>
  <si>
    <t>ألف وست و أربعون  وسبع</t>
  </si>
  <si>
    <t>ألف وست و أربعون  وثمان</t>
  </si>
  <si>
    <t>ألف وست و أربعون  وتسع</t>
  </si>
  <si>
    <t xml:space="preserve">ألف وسبع و أربعون  </t>
  </si>
  <si>
    <t>ألف وسبع و أربعون   وواحدة</t>
  </si>
  <si>
    <t>ألف وسبع و أربعون  واثنتان</t>
  </si>
  <si>
    <t>ألف وسبع و أربعون  وثلاث</t>
  </si>
  <si>
    <t>ألف وسبع و أربعون  وأربع</t>
  </si>
  <si>
    <t>ألف وسبع و أربعون  ونصف</t>
  </si>
  <si>
    <t>ألف وسبع و أربعون  وست</t>
  </si>
  <si>
    <t>ألف وسبع و أربعون  وسبع</t>
  </si>
  <si>
    <t>ألف واثنتان و أربعون  واثنتان</t>
  </si>
  <si>
    <t>ثمــــــــــان مائة وثمان و ثلاثون وثمان</t>
  </si>
  <si>
    <t>ثمــــــــــان مائة وثمان و ثلاثون وتسع</t>
  </si>
  <si>
    <t xml:space="preserve">ثمــــــــــان مائة وتسع و ثلاثون </t>
  </si>
  <si>
    <t>ثمــــــــــان مائة وتسع و ثلاثون  وواحدة</t>
  </si>
  <si>
    <t xml:space="preserve">ثمــــــــــان مائة وتسع وتسعون </t>
  </si>
  <si>
    <t>ثمــــــــــان مائة وتسع وتسعون وواحدة</t>
  </si>
  <si>
    <t>سبعمائة وأربع عشرة وتسع</t>
  </si>
  <si>
    <t>سبعمائة وخمس عشرة</t>
  </si>
  <si>
    <t>سبعمائة وخمس عشرة وواحدة</t>
  </si>
  <si>
    <t>سبعمائة وخمس عشرة واثنتان</t>
  </si>
  <si>
    <t>سبعمائة وخمس عشرة وثلاث</t>
  </si>
  <si>
    <t>سبعمائة وخمس عشرة وأربع</t>
  </si>
  <si>
    <t>سبعمائة وخمس عشرة ونصف</t>
  </si>
  <si>
    <t>سبعمائة وخمس عشرة وست</t>
  </si>
  <si>
    <t>سبعمائة وخمس عشرة وسبع</t>
  </si>
  <si>
    <t>سبعمائة وخمس عشرة وثمان</t>
  </si>
  <si>
    <t>سبعمائة وخمس عشرة وتسع</t>
  </si>
  <si>
    <t>سبعمائة وست عشرة</t>
  </si>
  <si>
    <t>سبعمائة وست عشرة وواحدة</t>
  </si>
  <si>
    <t>سبعمائة وست عشرة واثنتان</t>
  </si>
  <si>
    <t>سبعمائة وست عشرة وثلاث</t>
  </si>
  <si>
    <t>سبعمائة وست عشرة وأربع</t>
  </si>
  <si>
    <t>سبعمائة وست عشرة ونصف</t>
  </si>
  <si>
    <t xml:space="preserve">ثمــــــــــان مائة وثلاث و أربعون </t>
  </si>
  <si>
    <t>ثمــــــــــان مائة وثلاث و أربعون   وواحدة</t>
  </si>
  <si>
    <t>تسع مائة وثلاث و أربعون  وست</t>
  </si>
  <si>
    <t>تسع مائة وثلاث و أربعون  وسبع</t>
  </si>
  <si>
    <t>تسع مائة وثلاث و أربعون  وثمان</t>
  </si>
  <si>
    <t>تسع مائة وثلاث و أربعون  وتسع</t>
  </si>
  <si>
    <t>تسع مائة وأربع و أربعون  وتسع</t>
  </si>
  <si>
    <t>ألف وواحدة و ثلاثون وست</t>
  </si>
  <si>
    <t>ألف وواحدة و ثلاثون وسبع</t>
  </si>
  <si>
    <t>ألف وواحدة و ثلاثون وثمان</t>
  </si>
  <si>
    <t>ألف وواحدة و ثلاثون وتسع</t>
  </si>
  <si>
    <t xml:space="preserve">ألف واثنان و ثلاثون </t>
  </si>
  <si>
    <t>ألف واثنان و ثلاثون  وواحدة</t>
  </si>
  <si>
    <t>ألف واثنان و ثلاثون واثنتان</t>
  </si>
  <si>
    <t>ألف واثنان و ثلاثون وثلاث</t>
  </si>
  <si>
    <t>ألف واثنان و ثلاثون وأربع</t>
  </si>
  <si>
    <t>ألف واثنان و ثلاثون ونصف</t>
  </si>
  <si>
    <t>ألف واثنان و ثلاثون وست</t>
  </si>
  <si>
    <t>ألف واثنان و ثلاثون وسبع</t>
  </si>
  <si>
    <t>ألف واثنان و ثلاثون وثمان</t>
  </si>
  <si>
    <t>ألف واثنان و ثلاثون وتسع</t>
  </si>
  <si>
    <t>تسع مائة وست وعشرون وست</t>
  </si>
  <si>
    <t>تسع مائة وست وعشرون وسبع</t>
  </si>
  <si>
    <t>أربعمائة وثلاث وثمانون وثمان</t>
  </si>
  <si>
    <t>أربعمائة وثلاث وثمانون وتسع</t>
  </si>
  <si>
    <t xml:space="preserve">أربعمائة وأربع وثمانون </t>
  </si>
  <si>
    <t>أربعمائة وأربع وثمانون وواحدة</t>
  </si>
  <si>
    <t>أربعمائة وأربع وثمانون واثنتان</t>
  </si>
  <si>
    <t>سبعمائة وست عشرة وست</t>
  </si>
  <si>
    <t>سبعمائة وست عشرة وسبع</t>
  </si>
  <si>
    <t>سبعمائة وست عشرة وثمان</t>
  </si>
  <si>
    <t>سبعمائة وست عشرة وتسع</t>
  </si>
  <si>
    <t>سبعمائة وسبع عشرة</t>
  </si>
  <si>
    <t>ثمــــــــــان مائة واثنتان و أربعون  وتسع</t>
  </si>
  <si>
    <t>ألف وواحدة و ثلاثون  وواحدة</t>
  </si>
  <si>
    <t>ألف وواحدة و ثلاثون واثنتان</t>
  </si>
  <si>
    <t>ألف وواحدة و ثلاثون وثلاث</t>
  </si>
  <si>
    <t>ألف وواحدة و ثلاثون وأربع</t>
  </si>
  <si>
    <t>ألف وواحدة و ثلاثون ونصف</t>
  </si>
  <si>
    <t>تسع مائة وست وعشرون وثمان</t>
  </si>
  <si>
    <t>تسع مائة وست وعشرون وتسع</t>
  </si>
  <si>
    <t xml:space="preserve">تسع مائة وسبع وعشرون </t>
  </si>
  <si>
    <t>تسع مائة وسبع وعشرون  وواحدة</t>
  </si>
  <si>
    <t>تسع مائة وسبع و عشرون واثنتان</t>
  </si>
  <si>
    <t>تسع مائة وسبع وعشرون وثلاث</t>
  </si>
  <si>
    <t>تسع مائة وسبع وعشرون وأربع</t>
  </si>
  <si>
    <t>تسع مائة وسبع وعشرون ونصف</t>
  </si>
  <si>
    <t>تسع مائة وسبع وعشرون وست</t>
  </si>
  <si>
    <t>تسع مائة وسبع وعشرون وسبع</t>
  </si>
  <si>
    <t>تسع مائة وسبع وعشرون وثمان</t>
  </si>
  <si>
    <t>تسع مائة وسبع وعشرون وتسع</t>
  </si>
  <si>
    <t xml:space="preserve">تسع مائة وثمان وعشرون </t>
  </si>
  <si>
    <t>تسع مائة وثمان وعشرون  وواحدة</t>
  </si>
  <si>
    <t>تسع مائة وثمان و عشرون واثنتان</t>
  </si>
  <si>
    <t>تسع مائة وثمان وعشرون وثلاث</t>
  </si>
  <si>
    <t>تسع مائة وثمان وعشرون وأربع</t>
  </si>
  <si>
    <t>تسع مائة وثمان وعشرون ونصف</t>
  </si>
  <si>
    <t>تسع مائة وثمان وعشرون وست</t>
  </si>
  <si>
    <t>تسع مائة وثمان وعشرون وسبع</t>
  </si>
  <si>
    <t>تسع مائة وثمان وعشرون وثمان</t>
  </si>
  <si>
    <t>تسع مائة وثمان وعشرون وتسع</t>
  </si>
  <si>
    <t xml:space="preserve">تسع مائة وتسع وعشرون </t>
  </si>
  <si>
    <t>تسع مائة وتسع وعشرون  وواحدة</t>
  </si>
  <si>
    <t>تسع مائة وتسع و عشرون واثنتان</t>
  </si>
  <si>
    <t>تسع مائة وتسع وعشرون وثلاث</t>
  </si>
  <si>
    <t>تسع مائة وتسع وعشرون وأربع</t>
  </si>
  <si>
    <t>تسع مائة وتسع وعشرون ونصف</t>
  </si>
  <si>
    <t>تسع مائة وتسع وعشرون وست</t>
  </si>
  <si>
    <t>تسع مائة وتسع وعشرون وسبع</t>
  </si>
  <si>
    <t>تسع مائة وتسع وعشرون وثمان</t>
  </si>
  <si>
    <t>تسع مائة وتسع وعشرون وتسع</t>
  </si>
  <si>
    <t>تسع مائة وثلاثون</t>
  </si>
  <si>
    <t>تسع مائة وثلاثون  وواحدة</t>
  </si>
  <si>
    <t>تسع مائة وثلاثون واثنتان</t>
  </si>
  <si>
    <t>تسع مائة وثلاثون وثلاث</t>
  </si>
  <si>
    <t>تسع مائة وثلاثون وأربع</t>
  </si>
  <si>
    <t>تسع مائة وثلاثون ونصف</t>
  </si>
  <si>
    <t>تسع مائة وثلاثون وست</t>
  </si>
  <si>
    <t>تسع مائة وثلاثون وسبع</t>
  </si>
  <si>
    <t>تسع مائة وثلاثون وثمان</t>
  </si>
  <si>
    <t>تسع مائة وثلاثون وتسع</t>
  </si>
  <si>
    <t>أربعمائة وواحدة وتسعون ونصف</t>
  </si>
  <si>
    <t>أربعمائة وواحدة وتسعون وست</t>
  </si>
  <si>
    <t>أربعمائة وواحدة وتسعون وسبع</t>
  </si>
  <si>
    <t>أربعمائة وواحدة وتسعون وثمان</t>
  </si>
  <si>
    <t>سبعمائة وست وعشرون  وواحدة</t>
  </si>
  <si>
    <t>سبعمائة وست و عشرون واثنتان</t>
  </si>
  <si>
    <t>سبعمائة وست وعشرون وثلاث</t>
  </si>
  <si>
    <t>سبعمائة وست وعشرون وأربع</t>
  </si>
  <si>
    <t>سبعمائة وست وعشرون ونصف</t>
  </si>
  <si>
    <t>سبعمائة وست وعشرون وست</t>
  </si>
  <si>
    <t>سبعمائة وست وعشرون وسبع</t>
  </si>
  <si>
    <t>سبعمائة وست وعشرون وثمان</t>
  </si>
  <si>
    <t>سبعمائة وخمس وعشرون وثمان</t>
  </si>
  <si>
    <t>سبعمائة وخمس وعشرون وتسع</t>
  </si>
  <si>
    <t xml:space="preserve">سبعمائة وست وعشرون </t>
  </si>
  <si>
    <t>تسع مائة  واحدى عشرة وثمان</t>
  </si>
  <si>
    <t>تسع مائة  واحدى عشرة وتسع</t>
  </si>
  <si>
    <t>تسع مائة  واثنتا عشرة</t>
  </si>
  <si>
    <t>تسع مائة  واثنتا عشرة وواحدة</t>
  </si>
  <si>
    <t>تسع مائة  واثنتا عشرة واثنتان</t>
  </si>
  <si>
    <t>تسع مائة  واثنتا عشرة وثلاث</t>
  </si>
  <si>
    <t>تسع مائة  واثنتا عشرة وأربع</t>
  </si>
  <si>
    <t>تسع مائة  واثنتا عشرة ونصف</t>
  </si>
  <si>
    <t>ثتسع مائة  واثنتا عشرة وست</t>
  </si>
  <si>
    <t>تسع مائة  واثنتا عشرة وسبع</t>
  </si>
  <si>
    <t>تسع مائة  واثنتا عشرة وثمان</t>
  </si>
  <si>
    <t>تسع مائة  واثنتا عشرة وتسع</t>
  </si>
  <si>
    <t>تسع مائة  وثلاث عشرة</t>
  </si>
  <si>
    <t>تسع مائة  وثلاث عشرة وواحدة</t>
  </si>
  <si>
    <t>تسع مائة  وثلاث عشرة واثنتان</t>
  </si>
  <si>
    <t>تسع مائة  وثلاث عشرة وثلاث</t>
  </si>
  <si>
    <t>تسع مائة  وثلاث عشرة وأربع</t>
  </si>
  <si>
    <t>تسع مائة  وثلاث عشرة ونصف</t>
  </si>
  <si>
    <t>تسع مائة  وثلاث عشرة وست</t>
  </si>
  <si>
    <t>تسع مائة  وثلاث عشرة وسبع</t>
  </si>
  <si>
    <t>تسع مائة  وثلاث عشرة وثمان</t>
  </si>
  <si>
    <t>تسع مائة  وثلاث عشرة وتسع</t>
  </si>
  <si>
    <t>تسع مائة  وأربع عشرة</t>
  </si>
  <si>
    <t>تسع مائة  وأربع عشرة وواحدة</t>
  </si>
  <si>
    <t>تسع مائة  وأربع عشرة واثنتان</t>
  </si>
  <si>
    <t>تسع مائة  وأربع عشرة وثلاث</t>
  </si>
  <si>
    <t>تسع مائة  وأربع عشرة وأربع</t>
  </si>
  <si>
    <t>تسع مائة  وأربع عشرة ونصف</t>
  </si>
  <si>
    <t>تسع مائة  وأربع عشرة وست</t>
  </si>
  <si>
    <t>تسع مائة  وأربع عشرة وسبع</t>
  </si>
  <si>
    <t>تسع مائة  وأربع عشرة وثمان</t>
  </si>
  <si>
    <t>تسع مائة  وأربع عشرة وتسع</t>
  </si>
  <si>
    <t>تسع مائة  وخمس عشرة</t>
  </si>
  <si>
    <t>تسع مائة  وخمس عشرة وواحدة</t>
  </si>
  <si>
    <t>سبعمائة وأربع وعشرون وسبع</t>
  </si>
  <si>
    <t>سبعمائة وأربع وعشرون وثمان</t>
  </si>
  <si>
    <t>سبعمائة وأربع وعشرون وتسع</t>
  </si>
  <si>
    <t xml:space="preserve">سبعمائة وخمس وعشرون </t>
  </si>
  <si>
    <t>سبعمائة وخمس وعشرون  وواحدة</t>
  </si>
  <si>
    <t>سبعمائة وخمس و عشرون واثنتان</t>
  </si>
  <si>
    <t>سبعمائة وخمس وعشرون وثلاث</t>
  </si>
  <si>
    <t>سبعمائة وخمس وعشرون وأربع</t>
  </si>
  <si>
    <t>سبعمائة وخمس وعشرون ونصف</t>
  </si>
  <si>
    <t>سبعمائة وخمس وعشرون وست</t>
  </si>
  <si>
    <t>سبعمائة وخمس وعشرون وسبع</t>
  </si>
  <si>
    <t>تسع مائة  واحدى عشرة وست</t>
  </si>
  <si>
    <t>تسع مائة  واحدى عشرة وسبع</t>
  </si>
  <si>
    <t>ألف وسبع و ثلاثون واثنتان</t>
  </si>
  <si>
    <t>ألف وسبع و ثلاثون وثلاث</t>
  </si>
  <si>
    <t>تسع مائة  وخمس عشرة وأربع</t>
  </si>
  <si>
    <t>تسع مائة  وخمس عشرة ونصف</t>
  </si>
  <si>
    <t>تسع مائة  وخمس عشرة وست</t>
  </si>
  <si>
    <t>تسع مائة  وخمس عشرة وسبع</t>
  </si>
  <si>
    <t>تسع مائة  وخمس عشرة وثمان</t>
  </si>
  <si>
    <t>تسع مائة  وخمس عشرة وتسع</t>
  </si>
  <si>
    <t>تسع مائة  وست عشرة</t>
  </si>
  <si>
    <t>تسع مائة  وست عشرة وواحدة</t>
  </si>
  <si>
    <t>تسع مائة  وست عشرة واثنتان</t>
  </si>
  <si>
    <t>تسع مائة  وست عشرة وثلاث</t>
  </si>
  <si>
    <t>تسع مائة  وست عشرة وأربع</t>
  </si>
  <si>
    <t>تسع مائة  وست عشرة ونصف</t>
  </si>
  <si>
    <t>تسع مائة  وست عشرة وست</t>
  </si>
  <si>
    <t>سبعمائة وتسع وخمسون وثلاث</t>
  </si>
  <si>
    <t>سبعمائة وتسع وخمسون وأربع</t>
  </si>
  <si>
    <t>سبعمائة وتسع وخمسون ونصف</t>
  </si>
  <si>
    <t>سبعمائة وتسع وخمسون وست</t>
  </si>
  <si>
    <t>سبعمائة وتسع وخمسون وسبع</t>
  </si>
  <si>
    <t>سبعمائة ستون</t>
  </si>
  <si>
    <t>سبعمائة وستون وواحدة</t>
  </si>
  <si>
    <t>سبعمائة وستون واثنتان</t>
  </si>
  <si>
    <t>سبعمائة وستون وثلاث</t>
  </si>
  <si>
    <t>سبعمائة وستون وأربع</t>
  </si>
  <si>
    <t>سبعمائة وستون ونصف</t>
  </si>
  <si>
    <t>سبعمائة وستون وست</t>
  </si>
  <si>
    <t>سبعمائة وستون وسبع</t>
  </si>
  <si>
    <t>سبعمائة وستون وثمان</t>
  </si>
  <si>
    <t>سبعمائة وستون وتسع</t>
  </si>
  <si>
    <t xml:space="preserve">سبعمائة وواحدة وستون </t>
  </si>
  <si>
    <t>سبعمائة وواحدة وستون وواحدة</t>
  </si>
  <si>
    <t>سبعمائة وواحدة وستون واثنتان</t>
  </si>
  <si>
    <t>سبعمائة وواحدة وستون وثلاث</t>
  </si>
  <si>
    <t>سبعمائة وواحدة وستون وأربع</t>
  </si>
  <si>
    <t>سبعمائة وواحدة وستون ونصف</t>
  </si>
  <si>
    <t>سبعمائة وواحدة وستون وست</t>
  </si>
  <si>
    <t>سبعمائة وواحدة وستون وسبع</t>
  </si>
  <si>
    <t>سبعمائة وواحدة وستون وثمان</t>
  </si>
  <si>
    <t>سبعمائة وواحدة وستون وتسع</t>
  </si>
  <si>
    <t xml:space="preserve">سبعمائة واثنتان وستون </t>
  </si>
  <si>
    <t>سبعمائة واثنتان وستون وواحدة</t>
  </si>
  <si>
    <t>سبعمائة واثنتان وستون واثنتان</t>
  </si>
  <si>
    <t>سبعمائة واثنتان وستون وثلاث</t>
  </si>
  <si>
    <t>سبعمائة واثنتان وستون وأربع</t>
  </si>
  <si>
    <t>سبعمائة واثنتان وستون ونصف</t>
  </si>
  <si>
    <t>سبعمائة واثنتان وستون وست</t>
  </si>
  <si>
    <t>تسع مائة  وعشرون وأربع</t>
  </si>
  <si>
    <t>تسع مائة  وعشرون ونصف</t>
  </si>
  <si>
    <t>تسع مائة  وعشرون وست</t>
  </si>
  <si>
    <t>تسع مائة  وعشرون وسبع</t>
  </si>
  <si>
    <t>تسع مائة  وعشرون وثمان</t>
  </si>
  <si>
    <t>تسع مائة  وعشرون وتسع</t>
  </si>
  <si>
    <t>تسع مائة  وواحدة وعشرون  وواحدة</t>
  </si>
  <si>
    <t>تسع مائة  وواحدة و عشرون واثنتان</t>
  </si>
  <si>
    <t>ألف وسبع و أربعون  وثمان</t>
  </si>
  <si>
    <t>ألف وسبع و أربعون  وتسع</t>
  </si>
  <si>
    <t xml:space="preserve">ألف وثمان و أربعون  </t>
  </si>
  <si>
    <t>ألف وثمان و أربعون   وواحدة</t>
  </si>
  <si>
    <t>ألف وثمان و أربعون  واثنتان</t>
  </si>
  <si>
    <t>تسع مائة واثنتان وعشرون وأربع</t>
  </si>
  <si>
    <t>تسع مائة واثنتان وعشرون ونصف</t>
  </si>
  <si>
    <t>تسع مائة واثنتان وعشرون وست</t>
  </si>
  <si>
    <t>سبعمائة وسبع و ثلاثون وسبع</t>
  </si>
  <si>
    <t>سبعمائة وسبع و ثلاثون وثمان</t>
  </si>
  <si>
    <t>سبعمائة وسبع و ثلاثون وتسع</t>
  </si>
  <si>
    <t>سبعمائة وثمان و ثلاثون</t>
  </si>
  <si>
    <t>سبعمائة وثمان و ثلاثون  وواحدة</t>
  </si>
  <si>
    <t>سبعمائة وثمان و ثلاثون واثنتان</t>
  </si>
  <si>
    <t>سبعمائة وثمان و ثلاثون وثلاث</t>
  </si>
  <si>
    <t>سبعمائة وثمان و ثلاثون وأربع</t>
  </si>
  <si>
    <t>سبعمائة وثمان و ثلاثون ونصف</t>
  </si>
  <si>
    <t>سبعمائة وثمان و ثلاثون وست</t>
  </si>
  <si>
    <t>سبعمائة وثمان و ثلاثون وسبع</t>
  </si>
  <si>
    <t>سبعمائة وثمان و ثلاثون وثمان</t>
  </si>
  <si>
    <t>سبعمائة وثمان و ثلاثون وتسع</t>
  </si>
  <si>
    <t xml:space="preserve">سبعمائة وتسع و ثلاثون </t>
  </si>
  <si>
    <t>سبعمائة وتسع و ثلاثون  وواحدة</t>
  </si>
  <si>
    <t>سبعمائة وتسع و ثلاثون واثنتان</t>
  </si>
  <si>
    <t>سبعمائة وتسع و ثلاثون وثلاث</t>
  </si>
  <si>
    <t>سبعمائة وتسع و ثلاثون وأربع</t>
  </si>
  <si>
    <t>سبعمائة وتسع و ثلاثون ونصف</t>
  </si>
  <si>
    <t>ألف وأربع وخمسون وثلاث</t>
  </si>
  <si>
    <t>ألف وأربع وخمسون وأربع</t>
  </si>
  <si>
    <t>ألف وأربع وخمسون ونصف</t>
  </si>
  <si>
    <t>ألف وأربع وخمسون وست</t>
  </si>
  <si>
    <t>ألف وأربع وخمسون وسبع</t>
  </si>
  <si>
    <t>تسع مائة وست و أربعون  وثمان</t>
  </si>
  <si>
    <t>تسع مائة وست و أربعون  وتسع</t>
  </si>
  <si>
    <t xml:space="preserve">تسع مائة وسبع و أربعون  </t>
  </si>
  <si>
    <t>تسع مائة وسبع و أربعون   وواحدة</t>
  </si>
  <si>
    <t>تسع مائة وسبع و أربعون  واثنتان</t>
  </si>
  <si>
    <t>تسع مائة وسبع و أربعون  وثلاث</t>
  </si>
  <si>
    <t>تسع مائة وسبع و أربعون  وأربع</t>
  </si>
  <si>
    <t>تسع مائة وسبع و أربعون  ونصف</t>
  </si>
  <si>
    <t>تسع مائة وسبع و أربعون  وست</t>
  </si>
  <si>
    <t>تسع مائة وسبع و أربعون  وسبع</t>
  </si>
  <si>
    <t>تسع مائة وسبع و أربعون  وثمان</t>
  </si>
  <si>
    <t>تسع مائة وسبع و أربعون  وتسع</t>
  </si>
  <si>
    <t xml:space="preserve">تسع مائة وثمان و أربعون  </t>
  </si>
  <si>
    <t>تسع مائة وثمان و أربعون   وواحدة</t>
  </si>
  <si>
    <t>تسع مائة وثمان و أربعون  واثنتان</t>
  </si>
  <si>
    <t>تسع مائة وثمان و أربعون  وثلاث</t>
  </si>
  <si>
    <t>تسع مائة وثمان و أربعون  وأربع</t>
  </si>
  <si>
    <t>تسع مائة وثمان و أربعون  ونصف</t>
  </si>
  <si>
    <t>تسع مائة وثمان و أربعون  وست</t>
  </si>
  <si>
    <t>تسع مائة وثمان و أربعون  وسبع</t>
  </si>
  <si>
    <t>تسع مائة وثمان و أربعون  وثمان</t>
  </si>
  <si>
    <t>تسع مائة وثمان و أربعون  وتسع</t>
  </si>
  <si>
    <t xml:space="preserve">تسع مائة وتسع و أربعون  </t>
  </si>
  <si>
    <t>تسع مائة وتسع و أربعون   وواحدة</t>
  </si>
  <si>
    <t>تسع مائة وتسع و أربعون  واثنتان</t>
  </si>
  <si>
    <t>تسع مائة وتسع و أربعون  وثلاث</t>
  </si>
  <si>
    <t>تسع مائة وتسع و أربعون  وأربع</t>
  </si>
  <si>
    <t>تسع مائة وتسع و أربعون  ونصف</t>
  </si>
  <si>
    <t>تسع مائة وتسع و أربعون  وست</t>
  </si>
  <si>
    <t>تسع مائة وتسع و أربعون  وسبع</t>
  </si>
  <si>
    <t>تسع مائة وتسع و أربعون  وثمان</t>
  </si>
  <si>
    <t>تسع مائة وتسع و أربعون  وتسع</t>
  </si>
  <si>
    <t xml:space="preserve">تسع مائة وخمسون  </t>
  </si>
  <si>
    <t>تسع مائة وخمسون وواحدة</t>
  </si>
  <si>
    <t>تسع مائة وخمسون واثنتان</t>
  </si>
  <si>
    <t>تسع مائة وأربع و أربعون  وثمان</t>
  </si>
  <si>
    <t xml:space="preserve">تسع مائة وخمس و أربعون  </t>
  </si>
  <si>
    <t>تسع مائة وخمس و أربعون   وواحدة</t>
  </si>
  <si>
    <t>تسع مائة وخمس و أربعون  واثنتان</t>
  </si>
  <si>
    <t>تسع مائة وأخمس و أربعون  وثلاث</t>
  </si>
  <si>
    <t>تسع مائة وخمس و أربعون  وأربع</t>
  </si>
  <si>
    <t>تسع مائة وخمس و أربعون  ونصف</t>
  </si>
  <si>
    <t>تسع مائة وخمس و أربعون  وست</t>
  </si>
  <si>
    <t>تسع مائة وخمس و أربعون  وسبع</t>
  </si>
  <si>
    <t>تسع مائة وخمس و أربعون  وثمان</t>
  </si>
  <si>
    <t>تسع مائة وخمس و أربعون  وتسع</t>
  </si>
  <si>
    <t xml:space="preserve">تسع مائة وست و أربعون  </t>
  </si>
  <si>
    <t>تسع مائة وست و أربعون   وواحدة</t>
  </si>
  <si>
    <t>تسع مائة وست و أربعون  واثنتان</t>
  </si>
  <si>
    <t>تسع مائة وست و أربعون  وثلاث</t>
  </si>
  <si>
    <t>تسع مائة وست و أربعون  وأربع</t>
  </si>
  <si>
    <t>تسع مائة وست و أربعون  ونصف</t>
  </si>
  <si>
    <t>تسع مائة وست و أربعون  وست</t>
  </si>
  <si>
    <t>تسع مائة وست و أربعون  وسبع</t>
  </si>
  <si>
    <t>سبعمائة وواحدة و أربعون  وسبع</t>
  </si>
  <si>
    <t>سبعمائة وواحدة و أربعون  وثمان</t>
  </si>
  <si>
    <t>سبعمائة وواحدة و أربعون  وتسع</t>
  </si>
  <si>
    <t xml:space="preserve">سبعمائة واثنتان و أربعون  </t>
  </si>
  <si>
    <t>سبعمائة واثنتان و أربعون   وواحدة</t>
  </si>
  <si>
    <t>سبعمائة واثنتان و أربعون  واثنتان</t>
  </si>
  <si>
    <t>سبعمائة واثنتان و أربعون  وثلاث</t>
  </si>
  <si>
    <t>سبعمائة واثنتان و أربعون  وأربع</t>
  </si>
  <si>
    <t>سبعمائة واثنتان و أربعون  ونصف</t>
  </si>
  <si>
    <t>سبعمائة واثنتان و أربعون  وست</t>
  </si>
  <si>
    <t>سبعمائة واثنتان و أربعون  وسبع</t>
  </si>
  <si>
    <t>سبعمائة واثنتان و أربعون  وثمان</t>
  </si>
  <si>
    <t>سبعمائة واثنتان و أربعون  وتسع</t>
  </si>
  <si>
    <t xml:space="preserve">سبعمائة وثلاث و أربعون </t>
  </si>
  <si>
    <t>سبعمائة وثلاث و أربعون   وواحدة</t>
  </si>
  <si>
    <t xml:space="preserve"> لاستئذان</t>
  </si>
  <si>
    <t>ثمــــــــــان مائة وواحدة وخمسون وست</t>
  </si>
  <si>
    <t>ثمــــــــــان مائة وواحدة وخمسون وسبع</t>
  </si>
  <si>
    <t>ثمــــــــــان مائة وواحدة وخمسون وثمان</t>
  </si>
  <si>
    <t>ثمــــــــــان مائة وواحدة وخمسون وتسع</t>
  </si>
  <si>
    <t xml:space="preserve">ثمــــــــــان مائة واثنتان وخمسون </t>
  </si>
  <si>
    <t>ثمــــــــــان مائة واثنتان وخمسون وواحدة</t>
  </si>
  <si>
    <t>ثمــــــــــان مائة واثنتان وخمسون واثنتان</t>
  </si>
  <si>
    <t>ثمــــــــــان مائة واثنتان وخمسون وثلاث</t>
  </si>
  <si>
    <t>ثمــــــــــان مائة واثنتان وخمسون وأربع</t>
  </si>
  <si>
    <t>ثمــــــــــان مائة واثنتان وخمسون ونصف</t>
  </si>
  <si>
    <t>سبعمائة وأربع و أربعون  ونصف</t>
  </si>
  <si>
    <t>سبعمائة وأربع و أربعون  وست</t>
  </si>
  <si>
    <t>سبعمائة وأربع و أربعون  وسبع</t>
  </si>
  <si>
    <t>سبعمائة وأربع و أربعون  وثمان</t>
  </si>
  <si>
    <t xml:space="preserve">سبعمائة وخمس و أربعون  </t>
  </si>
  <si>
    <t>سبعمائة وخمس و أربعون   وواحدة</t>
  </si>
  <si>
    <t>سبعمائة وخمس و أربعون  واثنتان</t>
  </si>
  <si>
    <t>سبعمائة وأخمس و أربعون  وثلاث</t>
  </si>
  <si>
    <t>سبعمائة وخمس و أربعون  وأربع</t>
  </si>
  <si>
    <t>سبعمائة وخمس و أربعون  ونصف</t>
  </si>
  <si>
    <t>سبعمائة وخمس و أربعون  وست</t>
  </si>
  <si>
    <t>سبعمائة وخمس و أربعون  وسبع</t>
  </si>
  <si>
    <t>سبعمائة وخمس و أربعون  وثمان</t>
  </si>
  <si>
    <t>سبعمائة وخمس و أربعون  وتسع</t>
  </si>
  <si>
    <t xml:space="preserve">سبعمائة وست و أربعون  </t>
  </si>
  <si>
    <t>سبعمائة وست و أربعون   وواحدة</t>
  </si>
  <si>
    <t>سبعمائة وست و أربعون  واثنتان</t>
  </si>
  <si>
    <t>سبعمائة وست و أربعون  وثلاث</t>
  </si>
  <si>
    <t>سبعمائة وست و أربعون  وأربع</t>
  </si>
  <si>
    <t>سبعمائة وست و أربعون  ونصف</t>
  </si>
  <si>
    <t>سبعمائة وست و أربعون  وست</t>
  </si>
  <si>
    <t>سبعمائة وست و أربعون  وسبع</t>
  </si>
  <si>
    <t>سبعمائة وست و أربعون  وثمان</t>
  </si>
  <si>
    <t>سبعمائة وست و أربعون  وتسع</t>
  </si>
  <si>
    <t xml:space="preserve">سبعمائة وسبع و أربعون  </t>
  </si>
  <si>
    <t>سبعمائة وسبع و أربعون   وواحدة</t>
  </si>
  <si>
    <t>سبعمائة وسبع و أربعون  واثنتان</t>
  </si>
  <si>
    <t>سبعمائة وسبع و أربعون  وثلاث</t>
  </si>
  <si>
    <t>سبعمائةوسبع و أربعون  وأربع</t>
  </si>
  <si>
    <t>تسع مائة واثنتان و ثلاثون واثنتان</t>
  </si>
  <si>
    <t>تسع مائة واثنتان و ثلاثون وثلاث</t>
  </si>
  <si>
    <t>تسع مائة واثنتان و ثلاثون وأربع</t>
  </si>
  <si>
    <t>تسع مائة واثنتان و ثلاثون ونصف</t>
  </si>
  <si>
    <t>تسع مائة واثنتان و ثلاثون وست</t>
  </si>
  <si>
    <t>تسع مائة واثنتان و ثلاثون وسبع</t>
  </si>
  <si>
    <t>تسع مائة وثمان و ثلاثون</t>
  </si>
  <si>
    <t>تسع مائة وثمان و ثلاثون  وواحدة</t>
  </si>
  <si>
    <t>تسع مائة وسبع و ثلاثون  وواحدة</t>
  </si>
  <si>
    <t>تسع مائة وسبع و ثلاثون واثنتان</t>
  </si>
  <si>
    <t>تسع مائة وسبع و ثلاثون وثلاث</t>
  </si>
  <si>
    <t>تسع مائة وسبع و ثلاثون وأربع</t>
  </si>
  <si>
    <t>تسع مائة وسبع و ثلاثون ونصف</t>
  </si>
  <si>
    <t>تسع مائة وسبع و ثلاثون وست</t>
  </si>
  <si>
    <t>تسع مائة وسبع و ثلاثون وسبع</t>
  </si>
  <si>
    <t>تسع مائة وسبع و ثلاثون وثمان</t>
  </si>
  <si>
    <t>تسع مائة وسبع و ثلاثون وتسع</t>
  </si>
  <si>
    <t>سبعمائة وثلاث وخمسون وسبع</t>
  </si>
  <si>
    <t>سبعمائة وثلاث وخمسون وثمان</t>
  </si>
  <si>
    <t>سبعمائة وثلاث وخمسون وتسع</t>
  </si>
  <si>
    <t>تسع مائة وثمان و ثلاثون وست</t>
  </si>
  <si>
    <t>تسع مائة وثمان و ثلاثون وسبع</t>
  </si>
  <si>
    <t>تسع مائة وثمان و ثلاثون وثمان</t>
  </si>
  <si>
    <t>تسع مائة وثمان و ثلاثون وتسع</t>
  </si>
  <si>
    <t xml:space="preserve">تسع مائة وتسع و ثلاثون </t>
  </si>
  <si>
    <t>تسع مائة وتسع و ثلاثون  وواحدة</t>
  </si>
  <si>
    <t>تسع مائة وتسع و ثلاثون واثنتان</t>
  </si>
  <si>
    <t>تسع مائة وتسع و ثلاثون وثلاث</t>
  </si>
  <si>
    <t>تسع مائة وتسع و ثلاثون وأربع</t>
  </si>
  <si>
    <t>تسع مائة وتسع و ثلاثون ونصف</t>
  </si>
  <si>
    <t>تسع مائة وتسع و ثلاثون وست</t>
  </si>
  <si>
    <t>تسع مائة وتسع و ثلاثون وسبع</t>
  </si>
  <si>
    <t>سبعمائة واثنتان وثمانون وأربع</t>
  </si>
  <si>
    <t>سبعمائة واثنتان وثمانون ونصف</t>
  </si>
  <si>
    <t>سبعمائة واثنتان وثمانون وست</t>
  </si>
  <si>
    <t>سبعمائة واثنتان وثمانون وسبع</t>
  </si>
  <si>
    <t>سبعمائة واثنتان وثمانون وثمان</t>
  </si>
  <si>
    <t>سبعمائة واثنتان وثمانون وتسع</t>
  </si>
  <si>
    <t>سبعمائة وثلاث وثمانون</t>
  </si>
  <si>
    <t>خمسمائة وواحدة وخمسون وثمان</t>
  </si>
  <si>
    <t>خمسمائة وواحدة وخمسون وتسع</t>
  </si>
  <si>
    <t xml:space="preserve">خمسمائة واثنتان وخمسون </t>
  </si>
  <si>
    <t>خمسمائة واثنتان وخمسون وواحدة</t>
  </si>
  <si>
    <t>خمسمائة واثنتان وخمسون واثنتان</t>
  </si>
  <si>
    <t>خمسمائة واثنتان وخمسون وثلاث</t>
  </si>
  <si>
    <t>خمسمائة واثنتان وخمسون وأربع</t>
  </si>
  <si>
    <t>خمسمائة واثنتان وخمسون ونصف</t>
  </si>
  <si>
    <t>خمسمائة واثنتان وخمسون وست</t>
  </si>
  <si>
    <t>خمسمائة واثنتان وخمسون وسبع</t>
  </si>
  <si>
    <t>خمسمائة واثنتان وخمسون وثمان</t>
  </si>
  <si>
    <t>خمسمائة واثنتان وخمسون وتسع</t>
  </si>
  <si>
    <t xml:space="preserve">خمسمائة وثلاث وخمسون </t>
  </si>
  <si>
    <t>تسع مائة وخمس وثمانون وسبع</t>
  </si>
  <si>
    <t>تسع مائة وخمس وثمانون وثمان</t>
  </si>
  <si>
    <t>تسع مائة وخمس وثمانون وتسع</t>
  </si>
  <si>
    <t xml:space="preserve">تسع مائة وست وثمانون </t>
  </si>
  <si>
    <t xml:space="preserve">تسع مائة وسبع وثمانون </t>
  </si>
  <si>
    <t>تسع مائة وثلاث و أربعون  واثنتان</t>
  </si>
  <si>
    <t>تسع مائة وثلاث و أربعون  وثلاث</t>
  </si>
  <si>
    <t>تسع مائة وثلاث و أربعون  وأربع</t>
  </si>
  <si>
    <t>سبعمائة وثمان وخمسون وسبع</t>
  </si>
  <si>
    <t>خمسمائة وثمان وعشرون وسبع</t>
  </si>
  <si>
    <t>خمسمائة وثمان وعشرون وثمان</t>
  </si>
  <si>
    <t>خمسمائة وثمان وعشرون وتسع</t>
  </si>
  <si>
    <t xml:space="preserve">خمسمائة وتسع وعشرون </t>
  </si>
  <si>
    <t>خمسمائة وتسع وعشرون  وواحدة</t>
  </si>
  <si>
    <t>خمسمائة وتسع و عشرون واثنتان</t>
  </si>
  <si>
    <t>خمسمائة وتسع وعشرون وثلاث</t>
  </si>
  <si>
    <t>خمسمائة وتسع وعشرون وأربع</t>
  </si>
  <si>
    <t>ثمــــــــــان مائة وثمان وخمسون وواحدة</t>
  </si>
  <si>
    <t>ثمــــــــــان مائة وثمان وخمسون واثنتان</t>
  </si>
  <si>
    <t>ثمــــــــــان مائة وثمان وخمسون وثلاث</t>
  </si>
  <si>
    <t>ثمــــــــــان مائة وثمان وخمسون وأربع</t>
  </si>
  <si>
    <t>ثمــــــــــان مائة وثمان وخمسون ونصف</t>
  </si>
  <si>
    <t xml:space="preserve">تسع مائة وثمان وستون </t>
  </si>
  <si>
    <t>تسع مائة وثمان وستون وواحدة</t>
  </si>
  <si>
    <t>تسع مائة وثمان وستون واثنتان</t>
  </si>
  <si>
    <t>تسع مائة وثمان وستون وثلاث</t>
  </si>
  <si>
    <t>تسع مائة وثمان وستون وأربع</t>
  </si>
  <si>
    <t>تسع مائة وثمان وستون ونصف</t>
  </si>
  <si>
    <t>تسع مائة وثمان وستون وست</t>
  </si>
  <si>
    <t>تسع مائة وثمان وستون وسبع</t>
  </si>
  <si>
    <t>تسع مائة وثمان وستون وثمان</t>
  </si>
  <si>
    <t>تسع مائة وثمان وستون وتسع</t>
  </si>
  <si>
    <t xml:space="preserve">تسع مائة وتسع وستون </t>
  </si>
  <si>
    <t>تسع مائة وتسع وستون وواحدة</t>
  </si>
  <si>
    <t>تسع مائة وتسع وستون واثنتان</t>
  </si>
  <si>
    <t>تسع مائة وتسع وستون وثلاث</t>
  </si>
  <si>
    <t>تسع مائة وتسع وستون وأربع</t>
  </si>
  <si>
    <t>تسع مائة وتسع وستون ونصف</t>
  </si>
  <si>
    <t>تسع مائة وتسع وستون وست</t>
  </si>
  <si>
    <t>تسع مائة وتسع وستون وسبع</t>
  </si>
  <si>
    <t>تسع مائة وتسع وستون وثمان</t>
  </si>
  <si>
    <t>تسع مائة وتسع وستون وتسع</t>
  </si>
  <si>
    <t xml:space="preserve">تسع مائة وسبعون </t>
  </si>
  <si>
    <t>تسع مائة وسبعون وواحدة</t>
  </si>
  <si>
    <t>تسع مائة وسبعون واثنتان</t>
  </si>
  <si>
    <t>تسع مائة وسبعون وثلاث</t>
  </si>
  <si>
    <t>تسع مائة وسبعون وأربع</t>
  </si>
  <si>
    <t>تسع مائة وسبعون ونصف</t>
  </si>
  <si>
    <t>تسع مائة وسبعون وست</t>
  </si>
  <si>
    <t>تسع مائة وسبعون وسبع</t>
  </si>
  <si>
    <t>تسع مائة وسبعون وثمان</t>
  </si>
  <si>
    <t>تسع مائة وسبعون وتسع</t>
  </si>
  <si>
    <t xml:space="preserve">تسع مائة وواحدة وسبعون </t>
  </si>
  <si>
    <t>تسع مائة وواحدة سبعون وواحدة</t>
  </si>
  <si>
    <t>تسع مائة وواحدة سبعون واثنتان</t>
  </si>
  <si>
    <t>تسع مائة وواحدة سبعون وثلاث</t>
  </si>
  <si>
    <t>تسع مائة وواحدة سبعون وأربع</t>
  </si>
  <si>
    <t>تسع مائة وواحدة سبعون ونصف</t>
  </si>
  <si>
    <t>تسع مائة وواحدة سبعون وست</t>
  </si>
  <si>
    <t>تسع مائة وواحدة سبعون وسبع</t>
  </si>
  <si>
    <t>تسع مائة وواحدة سبعون وثمان</t>
  </si>
  <si>
    <t>تسع مائة وواحدة سبعون وتسع</t>
  </si>
  <si>
    <t xml:space="preserve">تسع مائة واثنتان وسبعون </t>
  </si>
  <si>
    <t>تسع مائة واثنتان وسبعون وواحدة</t>
  </si>
  <si>
    <t>تسع مائة واثنتان وسبعون واثنتان</t>
  </si>
  <si>
    <t>تسع مائة واثنتان وسبعون وثلاث</t>
  </si>
  <si>
    <t>تسع مائة واثنتان وسبعون وأربع</t>
  </si>
  <si>
    <t>تسع مائة واثنتان وسبعون ونصف</t>
  </si>
  <si>
    <t>تسع مائة واثنتان وسبعون وست</t>
  </si>
  <si>
    <t>تسع مائة واثنتان وسبعون وسبع</t>
  </si>
  <si>
    <t>تسع مائة واثنتان وسبعون وثمان</t>
  </si>
  <si>
    <t>تسع مائة واثنتان وسبعون وتسع</t>
  </si>
  <si>
    <t xml:space="preserve">تسع مائة وثلاث وسبعون </t>
  </si>
  <si>
    <t>تسع مائة وثلاث وسبعون وواحدة</t>
  </si>
  <si>
    <t>تسع مائة وثلاث وسبعون واثنتان</t>
  </si>
  <si>
    <t>تسع مائة وثلاث وسبعون وثلاث</t>
  </si>
  <si>
    <t>تسع مائة وثلاث وسبعون وأربع</t>
  </si>
  <si>
    <t>تسع مائة وثلاث وسبعون ونصف</t>
  </si>
  <si>
    <t>تسع مائة وثلاث وسبعون وست</t>
  </si>
  <si>
    <t>تسع مائة وثلاث وسبعون وسبع</t>
  </si>
  <si>
    <t>تسع مائة وثلاث وسبعون وثمان</t>
  </si>
  <si>
    <t>تسع مائة وثلاث وسبعون وتسع</t>
  </si>
  <si>
    <t xml:space="preserve">تسع مائة وأربع وسبعون </t>
  </si>
  <si>
    <t>سبعمائة وخمس وستون وست</t>
  </si>
  <si>
    <t>سبعمائة وخمس وستون وسبع</t>
  </si>
  <si>
    <t>سبعمائة وخمس وستون وثمان</t>
  </si>
  <si>
    <t>سبعمائة وخمس وستون وتسع</t>
  </si>
  <si>
    <t>سبعمائةوست وستون</t>
  </si>
  <si>
    <t>سبعمائة وست وستون وواحدة</t>
  </si>
  <si>
    <t>سبعمائة وست وستون واثنتان</t>
  </si>
  <si>
    <t>سبعمائة وست وستون وثلاث</t>
  </si>
  <si>
    <t>سبعمائة وست وستون وأربع</t>
  </si>
  <si>
    <t>سبعمائة وست وستون ونصف</t>
  </si>
  <si>
    <t>سبعمائة وست وستون وست</t>
  </si>
  <si>
    <t>سبعمائة وست وستون وسبع</t>
  </si>
  <si>
    <t>سبعمائة وست وستون وثمان</t>
  </si>
  <si>
    <t>سبعمائة وست وستون وتسع</t>
  </si>
  <si>
    <t xml:space="preserve">سبعمائة وسبع وستون </t>
  </si>
  <si>
    <t>سبعمائة وسبع وستون وواحدة</t>
  </si>
  <si>
    <t>سبعمائة وسبع وستون واثنتان</t>
  </si>
  <si>
    <t>سبعمائة وسبع وستون وثلاث</t>
  </si>
  <si>
    <t>سبعمائة وسبع وستون وأربع</t>
  </si>
  <si>
    <t>سبعمائة وسبع وستون ونصف</t>
  </si>
  <si>
    <t>سبعمائة وسبع وستون وست</t>
  </si>
  <si>
    <t>سبعمائة وسبع وستون وسبع</t>
  </si>
  <si>
    <t>سبعمائة وسبع وستون وثمان</t>
  </si>
  <si>
    <t>سبعمائة وسبع وستون وتسع</t>
  </si>
  <si>
    <t xml:space="preserve">سبعمائة وثمان وستون </t>
  </si>
  <si>
    <t>سبعمائة وثمان وستون وواحدة</t>
  </si>
  <si>
    <t>سبعمائة وثمان وستون واثنتان</t>
  </si>
  <si>
    <t>سبعمائة وثمان وستون وثلاث</t>
  </si>
  <si>
    <t>سبعمائة وثمان وستون وأربع</t>
  </si>
  <si>
    <t>سبعمائة وثمان وستون ونصف</t>
  </si>
  <si>
    <t>سبعمائة وثمان وستون وست</t>
  </si>
  <si>
    <t>سبعمائة وثمان وستون وسبع</t>
  </si>
  <si>
    <t>سبعمائة وثمان وستون وثمان</t>
  </si>
  <si>
    <t>ثمــــــــــان مائة وسبع وستون وأربع</t>
  </si>
  <si>
    <t>ثمــــــــــان مائة وسبع وستون ونصف</t>
  </si>
  <si>
    <t>ثمــــــــــان مائة وسبع وستون وست</t>
  </si>
  <si>
    <t>ثمــــــــــان مائة وسبع وستون وسبع</t>
  </si>
  <si>
    <t>ثمــــــــــان مائة وسبع وستون وثمان</t>
  </si>
  <si>
    <t>ثمــــــــــان مائة وسبع وستون وتسع</t>
  </si>
  <si>
    <t>سبعمائة واثنتان وتسعون وثلاث</t>
  </si>
  <si>
    <t>سبعمائة واثنتان وتسعون وأربع</t>
  </si>
  <si>
    <t>سبعمائة واثنتان وتسعون ونصف</t>
  </si>
  <si>
    <t xml:space="preserve">تسع مائة وخمس وسبعون </t>
  </si>
  <si>
    <t>تسع مائة وخمس وسبعون وواحدة</t>
  </si>
  <si>
    <t>تسع مائة وخمس وسبعون واثنتان</t>
  </si>
  <si>
    <t>تسع مائة وخمس وسبعون وثلاث</t>
  </si>
  <si>
    <t>تسع مائة وخمس وسبعون وأربع</t>
  </si>
  <si>
    <t>تسع مائة وخمس وسبعون ونصف</t>
  </si>
  <si>
    <t>تسع مائة وخمس وسبعون وست</t>
  </si>
  <si>
    <t>تسع مائة وخمس وسبعون وسبع</t>
  </si>
  <si>
    <t>تسع مائة وخمس وسبعون وثمان</t>
  </si>
  <si>
    <t>تسع مائة وخمس وسبعون وتسع</t>
  </si>
  <si>
    <t xml:space="preserve">تسع مائة وست وسبعون </t>
  </si>
  <si>
    <t>تسع مائة وثلاث وخمسون وثلاث</t>
  </si>
  <si>
    <t>تسع مائة وثلاث وخمسون وأربع</t>
  </si>
  <si>
    <t>تسع مائة وثلاث وخمسون ونصف</t>
  </si>
  <si>
    <t>تسع مائة وثلاث وخمسون وست</t>
  </si>
  <si>
    <t>تسع مائة وثلاث وخمسون وسبع</t>
  </si>
  <si>
    <t>تسع مائة وثلاث وخمسون وثمان</t>
  </si>
  <si>
    <t>تسع مائة وثلاث وخمسون وتسع</t>
  </si>
  <si>
    <t xml:space="preserve">تسع مائة وأربع وخمسون </t>
  </si>
  <si>
    <t>تسع مائة وأربع وخمسون وواحدة</t>
  </si>
  <si>
    <t>تسع مائة وأربع وخمسون واثنتان</t>
  </si>
  <si>
    <t>تسع مائة وأربع وخمسون وثلاث</t>
  </si>
  <si>
    <t>تسع مائة وأربع وخمسون وأربع</t>
  </si>
  <si>
    <t>تسع مائة وأربع وخمسون ونصف</t>
  </si>
  <si>
    <t>تسع مائة وأربع وخمسون وست</t>
  </si>
  <si>
    <t>تسع مائة وأربع وخمسون وسبع</t>
  </si>
  <si>
    <t>تسع مائة وأربع وخمسون وثمان</t>
  </si>
  <si>
    <t>تسع مائة وأربع وخمسون وتسع</t>
  </si>
  <si>
    <t xml:space="preserve">تسع مائة وخمس وخمسون </t>
  </si>
  <si>
    <t>تسع مائة وسبع وخمسون وثمان</t>
  </si>
  <si>
    <t>تسع مائة وسبع وخمسون وتسع</t>
  </si>
  <si>
    <t xml:space="preserve">تسع مائة وثمان وخمسون </t>
  </si>
  <si>
    <t>تسع مائة وثمان وخمسون وواحدة</t>
  </si>
  <si>
    <t>تسع مائة وثمان وخمسون واثنتان</t>
  </si>
  <si>
    <t>تسع مائة وثمان وخمسون وثلاث</t>
  </si>
  <si>
    <t>تسع مائة وثمان وخمسون وأربع</t>
  </si>
  <si>
    <t>تسع مائة وثمان وخمسون ونصف</t>
  </si>
  <si>
    <t>تسع مائة وثمان وخمسون وست</t>
  </si>
  <si>
    <t>تسع مائة وثمان وخمسون وسبع</t>
  </si>
  <si>
    <t>تسع مائة وثمان وخمسون وثمان</t>
  </si>
  <si>
    <t>تسع مائة وثمان وخمسون وتسع</t>
  </si>
  <si>
    <t xml:space="preserve">تسع مائة وتسع وخمسون </t>
  </si>
  <si>
    <t>سبعمائة وأربع وسبعون وواحدة</t>
  </si>
  <si>
    <t>سبعمائة وأربع وسبعون واثنتان</t>
  </si>
  <si>
    <t>سبعمائة وأربع وسبعون وثلاث</t>
  </si>
  <si>
    <t>سبعمائة وأربع وسبعون وأربع</t>
  </si>
  <si>
    <t>سبعمائة وأربع وسبعون ونصف</t>
  </si>
  <si>
    <t>سبعمائة وأربع وسبعون وست</t>
  </si>
  <si>
    <t>سبعمائة وأربع وسبعون وسبع</t>
  </si>
  <si>
    <t>سبعمائة وأربع وسبعون وثمان</t>
  </si>
  <si>
    <t>سبعمائة وأربع وسبعون وتسع</t>
  </si>
  <si>
    <t xml:space="preserve">سبعمائة وخمس وسبعون </t>
  </si>
  <si>
    <t>سبعمائة وخمس وسبعون وواحدة</t>
  </si>
  <si>
    <t>سبعمائة وخمس وسبعون واثنتان</t>
  </si>
  <si>
    <t>سبعمائة وخمس وسبعون وثلاث</t>
  </si>
  <si>
    <t>سبعمائة وخمس وسبعون وأربع</t>
  </si>
  <si>
    <t>سبعمائة وخمس وسبعون ونصف</t>
  </si>
  <si>
    <t>سبعمائة وخمس وسبعون وست</t>
  </si>
  <si>
    <t>سبعمائة وخمس وسبعون وسبع</t>
  </si>
  <si>
    <t>سبعمائة وخمس وسبعون وثمان</t>
  </si>
  <si>
    <t>سبعمائة وخمس وسبعون وتسع</t>
  </si>
  <si>
    <t xml:space="preserve">سبعمائة وست وسبعون </t>
  </si>
  <si>
    <t>سبعمائة وست وسبعون وواحدة</t>
  </si>
  <si>
    <t>سبعمائة وست وسبعون واثنتان</t>
  </si>
  <si>
    <t>سبعمائة وست وسبعون وثلاث</t>
  </si>
  <si>
    <t>سبعمائة وست وسبعون وأربع</t>
  </si>
  <si>
    <t>سبعمائة وست وسبعون ونصف</t>
  </si>
  <si>
    <t>سبعمائة وست وسبعون وست</t>
  </si>
  <si>
    <t>سبعمائة وست وسبعون وسبع</t>
  </si>
  <si>
    <t>سبعمائة وست وسبعون وثمان</t>
  </si>
  <si>
    <t>سبعمائة وست وسبعون وتسع</t>
  </si>
  <si>
    <t>سبعمائة وسبع وسبعون</t>
  </si>
  <si>
    <t>سبعمائة وسبع وسبعون وواحدة</t>
  </si>
  <si>
    <t>سبعمائة وسبع وسبعون واثنتان</t>
  </si>
  <si>
    <t>سبعمائة وسبع وسبعون وثلاث</t>
  </si>
  <si>
    <t>سبعمائة وسبع وسبعون وأربع</t>
  </si>
  <si>
    <t>سبعمائة وسبع وسبعون ونصف</t>
  </si>
  <si>
    <t>سبعمائة وسبع وسبعون وست</t>
  </si>
  <si>
    <t>سبعمائة وسبع وسبعون وسبع</t>
  </si>
  <si>
    <t>سبعمائة وسبع وسبعون وثمان</t>
  </si>
  <si>
    <t>سبعمائة وسبع وسبعون وتسع</t>
  </si>
  <si>
    <t xml:space="preserve">سبعمائة وثمان وسبعون </t>
  </si>
  <si>
    <t>سبعمائة وثمان وسبعون وواحدة</t>
  </si>
  <si>
    <t>سبعمائة وثمان وسبعون واثنتان</t>
  </si>
  <si>
    <t>سبعمائة وثمان وسبعون وثلاث</t>
  </si>
  <si>
    <t>سبعمائة وثمان وسبعون وأربع</t>
  </si>
  <si>
    <t>سبعمائة وثمان وسبعون ونصف</t>
  </si>
  <si>
    <t>سبعمائة وثمان وسبعون وست</t>
  </si>
  <si>
    <t>سبعمائة وثمان وسبعون وسبع</t>
  </si>
  <si>
    <t>سبعمائة وثمان وسبعون وثمان</t>
  </si>
  <si>
    <t>سبعمائة وثمان وسبعون وتسع</t>
  </si>
  <si>
    <t>ثمــــــــــان مائة وواحدة وتسعون وثلاث</t>
  </si>
  <si>
    <t>ثمــــــــــان مائة وواحدة وتسعون وأربع</t>
  </si>
  <si>
    <t>ثمــــــــــان مائة وواحدة وتسعون ونصف</t>
  </si>
  <si>
    <t>ثمــــــــــان مائة وواحدة وتسعون وست</t>
  </si>
  <si>
    <t>ألف واحدى عشرة وتسع</t>
  </si>
  <si>
    <t>ألف  واثنتا عشرة</t>
  </si>
  <si>
    <t>ألف عشرة وواحدة</t>
  </si>
  <si>
    <t>ألف  واثنتا عشرة واثنتان</t>
  </si>
  <si>
    <t>ألف  واثنتا عشرة وثلاث</t>
  </si>
  <si>
    <t>ألف  واثنتا عشرة وأربع</t>
  </si>
  <si>
    <t>ألف  واثنتا عشرة ونصف</t>
  </si>
  <si>
    <t>ثمــــــــــان مائة وتسع وثمانون وتسع</t>
  </si>
  <si>
    <t>ثمــــــــــان مائة وتسعون</t>
  </si>
  <si>
    <t xml:space="preserve">             يشهد عليه : </t>
  </si>
  <si>
    <t xml:space="preserve">ثمــــــــــان مائة وثمان وسبعون </t>
  </si>
  <si>
    <t>خمسمائة وخمسون ونصف</t>
  </si>
  <si>
    <t>خمسمائة وخمسون وست</t>
  </si>
  <si>
    <t>خمسمائة وخمسون وسبع</t>
  </si>
  <si>
    <t>خمسمائة وخمسون وثمان</t>
  </si>
  <si>
    <t xml:space="preserve">التقدير                             </t>
  </si>
  <si>
    <t>ملاحظة عامة</t>
  </si>
  <si>
    <t>سبعمائة وثلاث وثمانون وواحدة</t>
  </si>
  <si>
    <t>سبعمائة وثلاث وثمانون واثنتان</t>
  </si>
  <si>
    <t>سبعمائة وثلاث وثمانون وثلاث</t>
  </si>
  <si>
    <t>ثمــــــــــان مائة وخمس وسبعون وواحدة</t>
  </si>
  <si>
    <t>ثمــــــــــان مائة وخمس وسبعون واثنتان</t>
  </si>
  <si>
    <t>ثمــــــــــان مائة وخمس وسبعون وثلاث</t>
  </si>
  <si>
    <t>ثمــــــــــان مائة وخمس وسبعون وأربع</t>
  </si>
  <si>
    <t>ثمــــــــــان مائة وخمس وسبعون ونصف</t>
  </si>
  <si>
    <t>ثمــــــــــان مائة وخمس وسبعون وست</t>
  </si>
  <si>
    <t>ثمــــــــــان مائة وخمس وسبعون وسبع</t>
  </si>
  <si>
    <t>ثمــــــــــان مائة وخمس وسبعون وثمان</t>
  </si>
  <si>
    <t>تسع مائة وسبع وثمانون وتسع</t>
  </si>
  <si>
    <t xml:space="preserve">تسع مائة وثمان وثمانون </t>
  </si>
  <si>
    <t>تسع مائة وثمان وثمانون وواحدة</t>
  </si>
  <si>
    <t>تسع مائة وثمان وثمانون واثنتان</t>
  </si>
  <si>
    <t>تسع مائة وثمان وثمانون وثلاث</t>
  </si>
  <si>
    <t>تسع مائة وثمان وثمانون وأربع</t>
  </si>
  <si>
    <t>تسع مائة وثمان وثمانون ونصف</t>
  </si>
  <si>
    <t>تسع مائة وثمان وثمانون وست</t>
  </si>
  <si>
    <t>تسع مائة وثمان وثمانون وسبع</t>
  </si>
  <si>
    <t>تسع مائة وثمان وثمانون وثمان</t>
  </si>
  <si>
    <t>تسع مائة وثمان وثمانون وتسع</t>
  </si>
  <si>
    <t>تسع مائة وتسع وثمانون</t>
  </si>
  <si>
    <t>تسع مائة وتسع وثمانون وواحدة</t>
  </si>
  <si>
    <t>تسع مائة وتسع وثمانون واثنتان</t>
  </si>
  <si>
    <t>تسع مائة وتسع وثمانون وثلاث</t>
  </si>
  <si>
    <t>تسع مائة وتسع وثمانون وأربع</t>
  </si>
  <si>
    <t>تسع مائة وتسع وثمانون ونصف</t>
  </si>
  <si>
    <t>تسع مائة وتسع وثمانون وست</t>
  </si>
  <si>
    <t>تسع مائة وتسع وثمانون وسبع</t>
  </si>
  <si>
    <t>تسع مائة وتسع وثمانون وثمان</t>
  </si>
  <si>
    <t>تسع مائة وتسع وثمانون وتسع</t>
  </si>
  <si>
    <t>تسع مائة وتسعون</t>
  </si>
  <si>
    <t>تسع مائة وتسعون وواحدة</t>
  </si>
  <si>
    <t>تسع مائة وتسعون واثنتان</t>
  </si>
  <si>
    <t>تسع مائة وتسعون وثلاث</t>
  </si>
  <si>
    <t>تسع مائة وتسعون وأربع</t>
  </si>
  <si>
    <t>تسع مائة وتسعون ونصف</t>
  </si>
  <si>
    <t>تسع مائة وتسعون وست</t>
  </si>
  <si>
    <t>تسع مائة وتسعون وسبع</t>
  </si>
  <si>
    <t>تسع مائة وتسعون وثمان</t>
  </si>
  <si>
    <t>تسع مائة وتسعون وتسع</t>
  </si>
  <si>
    <t xml:space="preserve">تسع مائة وواحدة وتسعون </t>
  </si>
  <si>
    <t>تسع مائة وواحدة وتسعون وواحدة</t>
  </si>
  <si>
    <t>تسع مائة وواحدة وتسعون واثنتان</t>
  </si>
  <si>
    <t>تسع مائة وواحدة وتسعون وثلاث</t>
  </si>
  <si>
    <t>تسع مائة وواحدة وتسعون وأربع</t>
  </si>
  <si>
    <t>تسع مائة وواحدة وتسعون ونصف</t>
  </si>
  <si>
    <t>تسع مائة وواحدة وتسعون وست</t>
  </si>
  <si>
    <t>تسع مائة وواحدة وتسعون وسبع</t>
  </si>
  <si>
    <t>ثمــــــــــان مائة وتسعون وثلاث</t>
  </si>
  <si>
    <t>ثمــــــــــان مائة وتسعون وأربع</t>
  </si>
  <si>
    <t>ثمــــــــــان مائة وتسعون ونصف</t>
  </si>
  <si>
    <t>ثمــــــــــان مائة وتسعون وست</t>
  </si>
  <si>
    <t>ثمــــــــــان مائة وتسعون وسبع</t>
  </si>
  <si>
    <t>ثمــــــــــان مائة وتسعون وثمان</t>
  </si>
  <si>
    <t>ثمــــــــــان مائة وتسعون وتسع</t>
  </si>
  <si>
    <t xml:space="preserve">ثمــــــــــان مائة وواحدة وتسعون </t>
  </si>
  <si>
    <t>ثمــــــــــان مائة وواحدة وتسعون وواحدة</t>
  </si>
  <si>
    <t>ثمــــــــــان مائة وواحدة وتسعون واثنتان</t>
  </si>
  <si>
    <t>ثمــــــــــان مائة وثمان وثمانون وست</t>
  </si>
  <si>
    <t>ثمــــــــــان مائة وثمان وثمانون وسبع</t>
  </si>
  <si>
    <t>ثمــــــــــان مائة وثمان وثمانون وثمان</t>
  </si>
  <si>
    <t>ثمــــــــــان مائة وثمان وثمانون وتسع</t>
  </si>
  <si>
    <t>ثمــــــــــان مائة وتسع وثمانون</t>
  </si>
  <si>
    <t>ثمــــــــــان مائة وتسع وثمانون وواحدة</t>
  </si>
  <si>
    <t>ثمــــــــــان مائة وتسع وثمانون واثنتان</t>
  </si>
  <si>
    <t>ثمــــــــــان مائة وتسع وثمانون وثلاث</t>
  </si>
  <si>
    <t>ثمــــــــــان مائة وتسع وثمانون وأربع</t>
  </si>
  <si>
    <t>ثمــــــــــان مائة وتسع وثمانون ونصف</t>
  </si>
  <si>
    <t>ثمــــــــــان مائة وتسع وثمانون وست</t>
  </si>
  <si>
    <t>تسع مائة وتسع وسبعون وواحدة</t>
  </si>
  <si>
    <t>تسع مائة وتسع وسبعون واثنتان</t>
  </si>
  <si>
    <t>تسع مائة وتسع وسبعون وثلاث</t>
  </si>
  <si>
    <t>تسع مائة وتسع وسبعون وأربع</t>
  </si>
  <si>
    <t>تسع مائة وتسع وسبعون ونصف</t>
  </si>
  <si>
    <t>تسع مائة وتسع وسبعون وست</t>
  </si>
  <si>
    <t>تسع مائة وتسع وسبعون وسبع</t>
  </si>
  <si>
    <t>تسع مائة وتسع وسبعون وثمان</t>
  </si>
  <si>
    <t>تسع مائة وتسع وسبعون وتسع</t>
  </si>
  <si>
    <t>تسع مائة وثمانون</t>
  </si>
  <si>
    <t>تسع مائة وثمانون وواحدة</t>
  </si>
  <si>
    <t>تسع مائة وثمانون واثنتان</t>
  </si>
  <si>
    <t>تسع مائة وثمانون وثلاث</t>
  </si>
  <si>
    <t>سبعمائة وخمس وتسعون وأربع</t>
  </si>
  <si>
    <t>سبعمائة وخمس وتسعون ونصف</t>
  </si>
  <si>
    <t>سبعمائة وخمس وتسعون وست</t>
  </si>
  <si>
    <t>سبعمائة وخمس وتسعون وسبع</t>
  </si>
  <si>
    <t>سبعمائة وخمس وتسعون وثمان</t>
  </si>
  <si>
    <t>سبعمائة وخمس وتسعون وتسع</t>
  </si>
  <si>
    <t xml:space="preserve">سبعمائة وست وتسعون </t>
  </si>
  <si>
    <t>سبعمائة وست وتسعون وواحدة</t>
  </si>
  <si>
    <t>سبعمائة وست وتسعون واثنتان</t>
  </si>
  <si>
    <t>سبعمائة وست وتسعون وثلاث</t>
  </si>
  <si>
    <t>سبعمائة وست وتسعون وأربع</t>
  </si>
  <si>
    <t>سبعمائة وست وتسعون ونصف</t>
  </si>
  <si>
    <t>سبعمائة وست وتسعون وست</t>
  </si>
  <si>
    <t>سبعمائة وست وتسعون وسبع</t>
  </si>
  <si>
    <t>سبعمائة وست وتسعون وثمان</t>
  </si>
  <si>
    <t>سبعمائة وست وتسعون وتسع</t>
  </si>
  <si>
    <t>ألف واثنتان و عشرون واثنتان</t>
  </si>
  <si>
    <t>ألف واثنتان وعشرون وثلاث</t>
  </si>
  <si>
    <t>ألف واثنتان وعشرون وأربع</t>
  </si>
  <si>
    <t>ألف واثنتان وعشرون ونصف</t>
  </si>
  <si>
    <t>ثمــــــــــان مائة وأربع وعشرون وسبع</t>
  </si>
  <si>
    <t>ثمــــــــــان مائة وأربع وعشرون وثمان</t>
  </si>
  <si>
    <t>ثمــــــــــان مائة وأربع وعشرون وتسع</t>
  </si>
  <si>
    <t xml:space="preserve">ثمــــــــــان مائة وخمس وعشرون </t>
  </si>
  <si>
    <t>ثمــــــــــان مائة وخمس وعشرون  وواحدة</t>
  </si>
  <si>
    <t>ثمــــــــــان مائة وخمس و عشرون واثنتان</t>
  </si>
  <si>
    <t>ثمــــــــــان مائة وخمس وعشرون وثلاث</t>
  </si>
  <si>
    <t>ثمــــــــــان مائة وخمس وعشرون وأربع</t>
  </si>
  <si>
    <t>ثمــــــــــان مائة وخمس وعشرون ونصف</t>
  </si>
  <si>
    <t>ثمــــــــــان مائة وخمس وعشرون وست</t>
  </si>
  <si>
    <t>ثمــــــــــان مائة وخمس وعشرون وسبع</t>
  </si>
  <si>
    <t>ثمــــــــــان مائة وخمس وعشرون وثمان</t>
  </si>
  <si>
    <t>ثمــــــــــان مائة وخمس وعشرون وتسع</t>
  </si>
  <si>
    <t xml:space="preserve">ثمــــــــــان مائة وست وعشرون </t>
  </si>
  <si>
    <t>ثمــــــــــان مائة وست وعشرون  وواحدة</t>
  </si>
  <si>
    <t>ثمــــــــــان مائة وست و عشرون واثنتان</t>
  </si>
  <si>
    <t>ثمــــــــــان مائة وست وعشرون وثلاث</t>
  </si>
  <si>
    <t>ثمــــــــــان مائة وست وعشرون وأربع</t>
  </si>
  <si>
    <t>ثمــــــــــان مائة وست وعشرون ونصف</t>
  </si>
  <si>
    <t>ألف  وخمس واثنتان</t>
  </si>
  <si>
    <t>ألف  وخمس وثلاث</t>
  </si>
  <si>
    <t>ألف  وخمس وأربع</t>
  </si>
  <si>
    <t>ألف  وخمس ونصف</t>
  </si>
  <si>
    <t>ألف  وخمس وست</t>
  </si>
  <si>
    <t>ألف  وخمس وسبع</t>
  </si>
  <si>
    <t>ألف  وخمس وثمان</t>
  </si>
  <si>
    <t>ألف  وخمس وتسع</t>
  </si>
  <si>
    <t>ألف  وست وواحدة</t>
  </si>
  <si>
    <t>ألف  وست واثنان</t>
  </si>
  <si>
    <t xml:space="preserve">ألف  وست وثلاث </t>
  </si>
  <si>
    <t>ألف  وست وأربع</t>
  </si>
  <si>
    <t>ألف  وست ونصف</t>
  </si>
  <si>
    <t>ألف  وست وست</t>
  </si>
  <si>
    <t>ألف  وست وسبع</t>
  </si>
  <si>
    <t>ألف  وست وثمان</t>
  </si>
  <si>
    <t>ألف  وست وتسع</t>
  </si>
  <si>
    <t>ألف  وسبع وواحدة</t>
  </si>
  <si>
    <t>ألف  وسبع واثنتان</t>
  </si>
  <si>
    <t>ألف  وسبع وثلاث</t>
  </si>
  <si>
    <t>ألف  وسبع وأربع</t>
  </si>
  <si>
    <t>ألف  وسبع ونصف</t>
  </si>
  <si>
    <t>ألف وسبع وست</t>
  </si>
  <si>
    <t>ألف  وسبع وسبع</t>
  </si>
  <si>
    <t>ألف  وسبع وثمان</t>
  </si>
  <si>
    <t>ألف  وسبع وتسع</t>
  </si>
  <si>
    <t>ألف و ثمان وواحد</t>
  </si>
  <si>
    <t>ألف وثمان واثنتان</t>
  </si>
  <si>
    <t>ألف  وثمان وثلاث</t>
  </si>
  <si>
    <t>ألف  وثمان وأربع</t>
  </si>
  <si>
    <t>ألف  وثمان ونصف</t>
  </si>
  <si>
    <t>ألف  وثمان وست</t>
  </si>
  <si>
    <t>ألف  وثمان وسبع</t>
  </si>
  <si>
    <t>ألف  وثمان وثمان</t>
  </si>
  <si>
    <t>ألف  وثمان وتسع</t>
  </si>
  <si>
    <t>ألف  وتسع</t>
  </si>
  <si>
    <t>ألف  وتسع وواحد</t>
  </si>
  <si>
    <t>ثمــــــــــان مائة  وواحدة وثمان</t>
  </si>
  <si>
    <t>ثمــــــــــان مائة  وواحدة وتسع</t>
  </si>
  <si>
    <t>ثمــــــــــان مائة  واثنتان وواحدة</t>
  </si>
  <si>
    <t>ثمــــــــــان مائة  واثنتان واثنتان</t>
  </si>
  <si>
    <t>ثمــــــــــان مائة  واثنتان وثلاث</t>
  </si>
  <si>
    <t>ثمــــــــــان مائة  واثنتان وأربع</t>
  </si>
  <si>
    <t>سبعمائة وواحدة وثلاث</t>
  </si>
  <si>
    <t>سبعمائة وواحدة وأربع</t>
  </si>
  <si>
    <t>سبعمائة وواحدة ونصف</t>
  </si>
  <si>
    <t>سبعمائة وواحدة وست</t>
  </si>
  <si>
    <t>ألف  واثنتا عشرة وست</t>
  </si>
  <si>
    <t>ثمــــــــــان مائة وأربع وتسعون وست</t>
  </si>
  <si>
    <t>ثمــــــــــان مائة وأربع وتسعون وسبع</t>
  </si>
  <si>
    <t>ثمــــــــــان مائة وأربع وتسعون وثمان</t>
  </si>
  <si>
    <t>ثمــــــــــان مائة وأربع وتسعون وتسع</t>
  </si>
  <si>
    <t xml:space="preserve">ثمــــــــــان مائة وخمس وتسعون </t>
  </si>
  <si>
    <t>ثمــــــــــان مائة وخمس وتسعون وواحدة</t>
  </si>
  <si>
    <t>ثمــــــــــان مائة وخمس وتسعون واثنتان</t>
  </si>
  <si>
    <t>ثمــــــــــان مائة وخمس وتسعون وثلاث</t>
  </si>
  <si>
    <t>خمسمائة وثلاث وسبعون وثمان</t>
  </si>
  <si>
    <t>خمسمائة وثلاث وسبعون وتسع</t>
  </si>
  <si>
    <t xml:space="preserve">خمسمائة وأربع وسبعون </t>
  </si>
  <si>
    <t>خمسمائة وأربع وسبعون وواحدة</t>
  </si>
  <si>
    <t>خمسمائة وأربع وسبعون واثنتان</t>
  </si>
  <si>
    <t>خمسمائة وأربع وسبعون وثلاث</t>
  </si>
  <si>
    <t>خمسمائة وأربع وسبعون وأربع</t>
  </si>
  <si>
    <t>خمسمائة وأربع وسبعون ونصف</t>
  </si>
  <si>
    <t>خمسمائة وأربع وسبعون وست</t>
  </si>
  <si>
    <t>خمسمائة وأربع وسبعون وسبع</t>
  </si>
  <si>
    <t>خمسمائة وأربع وسبعون وثمان</t>
  </si>
  <si>
    <t>خمسمائة وأربع وسبعون وتسع</t>
  </si>
  <si>
    <t xml:space="preserve">خمسمائة وخمس وسبعون </t>
  </si>
  <si>
    <t>خمسمائة وخمس وسبعون وواحدة</t>
  </si>
  <si>
    <t>خمسمائة وخمس وسبعون واثنتان</t>
  </si>
  <si>
    <t>خمسمائة وخمس وسبعون وثلاث</t>
  </si>
  <si>
    <t>خمسمائة وخمس وسبعون وأربع</t>
  </si>
  <si>
    <t>خمسمائة وخمس وسبعون ونصف</t>
  </si>
  <si>
    <t>ثمــــــــــان مائة  وأربع وسبع</t>
  </si>
  <si>
    <t>ثمــــــــــان مائة  وأربع وثمان</t>
  </si>
  <si>
    <t>ثمــــــــــان مائة  وأربع وتسع</t>
  </si>
  <si>
    <t>ثمــــــــــان مائة  وخمس</t>
  </si>
  <si>
    <t>ثمــــــــــان مائة  وخمس وواحدة</t>
  </si>
  <si>
    <t>ثمــــــــــان مائة  وخمس واثنتان</t>
  </si>
  <si>
    <t>ثمــــــــــان مائة  وخمس وثلاث</t>
  </si>
  <si>
    <t>ألف  واثنتا عشرة وسبع</t>
  </si>
  <si>
    <t>ألف  واثنتا عشرة وثمان</t>
  </si>
  <si>
    <t>ألف  واثنتا عشرة وتسع</t>
  </si>
  <si>
    <t>ألف  وثلاث عشرة</t>
  </si>
  <si>
    <t>تسع مائة  وعشر وست</t>
  </si>
  <si>
    <t>تسع مائة  وعشر وسبع</t>
  </si>
  <si>
    <t>تسع مائة  وعشر وثمان</t>
  </si>
  <si>
    <t>تسع مائة  وعشر وتسع</t>
  </si>
  <si>
    <t>تسع مائة  واحدى عشرة</t>
  </si>
  <si>
    <t>تسع مائة  واحدى عشرة وواحدة</t>
  </si>
  <si>
    <t>تسع مائة  واحدى عشرة واثنتان</t>
  </si>
  <si>
    <t>تسع مائة  واحدى عشرة وثلاث</t>
  </si>
  <si>
    <t>تسع مائة  واحدى عشرة وأربع</t>
  </si>
  <si>
    <t>تسع مائة  واحدى عشرة ونصف</t>
  </si>
  <si>
    <t>ثمــــــــــان مائة  وعشرون وسبع</t>
  </si>
  <si>
    <t>ثمــــــــــان مائة  وعشرون وثمان</t>
  </si>
  <si>
    <t>ثمــــــــــان مائة  وعشرون وتسع</t>
  </si>
  <si>
    <t>ثمــــــــــان مائة  وواحدة وعشرون  وواحدة</t>
  </si>
  <si>
    <t>ثمــــــــــان مائة  وواحدة و عشرون واثنتان</t>
  </si>
  <si>
    <t>ثمــــــــــان مائة  وواحدة وعشرون وثلاث</t>
  </si>
  <si>
    <t>ثمــــــــــان مائة  وواحدة وعشرون وأربع</t>
  </si>
  <si>
    <t>ثمــــــــــان مائة وواحدة وعشرون ونصف</t>
  </si>
  <si>
    <t>ثمــــــــــان مائة وواحدة وعشرون وست</t>
  </si>
  <si>
    <t>سبعمائة وسبع</t>
  </si>
  <si>
    <t>سبعمائة وثمان</t>
  </si>
  <si>
    <t>سبعمائة و تسع</t>
  </si>
  <si>
    <t xml:space="preserve">سبعمائة وواحدة وواحدة </t>
  </si>
  <si>
    <t>سبعمائة وواحدة واثنتان</t>
  </si>
  <si>
    <t>تسع مائة  وخمس وأربع</t>
  </si>
  <si>
    <t>تسع مائة  وخمس ونصف</t>
  </si>
  <si>
    <t>تسع مائة  وخمس وست</t>
  </si>
  <si>
    <t>تسع مائة  وخمس وسبع</t>
  </si>
  <si>
    <t>تسع مائة  وخمس وثمان</t>
  </si>
  <si>
    <t>تسع مائة  وخمس وتسع</t>
  </si>
  <si>
    <t>تسع مائة  وست وواحدة</t>
  </si>
  <si>
    <t>تسع مائة  وست واثنتان</t>
  </si>
  <si>
    <t xml:space="preserve">تسع مائة  وست وثلاث </t>
  </si>
  <si>
    <t>تسع مائة  وست وأربع</t>
  </si>
  <si>
    <t>ستمائة وثمان وتسعون ونصف</t>
  </si>
  <si>
    <t>ستمائة وثمان وتسعون وست</t>
  </si>
  <si>
    <t>ستمائة وثمان وتسعون وسبع</t>
  </si>
  <si>
    <t>ستمائة وثمان وتسعون وثمان</t>
  </si>
  <si>
    <t>ستمائة وثمان وتسعون وتسع</t>
  </si>
  <si>
    <t xml:space="preserve">ستمائة وتسع وتسعون </t>
  </si>
  <si>
    <t>ستمائة وتسع وتسعون وواحدة</t>
  </si>
  <si>
    <t>ستمائة وتسع وتسعون واثنتان</t>
  </si>
  <si>
    <t>ستمائة وتسع وتسعون وثلاث</t>
  </si>
  <si>
    <t>ستمائة وتسع وتسعون وأربع</t>
  </si>
  <si>
    <t>ستمائة وتسع وتسعون ونصف</t>
  </si>
  <si>
    <t>ألف  وتسع عشرة وواحدة</t>
  </si>
  <si>
    <t>ألف  وتسع عشرة واثنتان</t>
  </si>
  <si>
    <t>ألف  وتسع عشرة وثلاث</t>
  </si>
  <si>
    <t>ألف  وتسع عشرة وأربع</t>
  </si>
  <si>
    <t>ألف  وتسع عشرة ونصف</t>
  </si>
  <si>
    <t>ألف  وتسع عشرة وست</t>
  </si>
  <si>
    <t>ألف  وتسع عشرة وسبع</t>
  </si>
  <si>
    <t>ألف  وتسع عشرة وثمان</t>
  </si>
  <si>
    <t>ألف  وتسع عشرة وتسع</t>
  </si>
  <si>
    <t>ألف وعشرون</t>
  </si>
  <si>
    <t>ألف  وعشرون وواحدة</t>
  </si>
  <si>
    <t>ألف  وعشرون واثنتان</t>
  </si>
  <si>
    <t>ألف  وعشرون وثلاث</t>
  </si>
  <si>
    <t>ألف  وعشرون وأربع</t>
  </si>
  <si>
    <t>ألف  وعشرون ونصف</t>
  </si>
  <si>
    <t>ألف  وعشرون وست</t>
  </si>
  <si>
    <t>ألف  وعشرون وسبع</t>
  </si>
  <si>
    <t>ألف  وعشرون وثمان</t>
  </si>
  <si>
    <t>ألف  وعشرون وتسع</t>
  </si>
  <si>
    <t>ثمــــــــــان مائة وأربع وعشرون وأربع</t>
  </si>
  <si>
    <t>ثمــــــــــان مائة وأربع وعشرون ونصف</t>
  </si>
  <si>
    <t>ثمــــــــــان مائة وأربع وعشرون وست</t>
  </si>
  <si>
    <t>تسع مائة وتسع وتسعون وسبع</t>
  </si>
  <si>
    <t>تسع مائة وتسع وتسعون وثمان</t>
  </si>
  <si>
    <t>تسع مائة وتسع وتسعون وتسع</t>
  </si>
  <si>
    <t>ألف</t>
  </si>
  <si>
    <t>ألف وواحدة</t>
  </si>
  <si>
    <t>ألف  واثنتان</t>
  </si>
  <si>
    <t>ألف  وثلاث</t>
  </si>
  <si>
    <t>ألف  وأربع</t>
  </si>
  <si>
    <t>ألف  ونصف</t>
  </si>
  <si>
    <t>ألف  وست</t>
  </si>
  <si>
    <t>ألف  وسبع</t>
  </si>
  <si>
    <t>ألف  وثمان</t>
  </si>
  <si>
    <t>ألف  و تسع</t>
  </si>
  <si>
    <t>ألف  وواحدة</t>
  </si>
  <si>
    <t xml:space="preserve">ألف  وواحدة وواحدة </t>
  </si>
  <si>
    <t>ألف  وواحدة واثنتان</t>
  </si>
  <si>
    <t>ألف  وواحدة وثلاث</t>
  </si>
  <si>
    <t>ألف  وواحدة وأربع</t>
  </si>
  <si>
    <t>ألف  وواحدة ونصف</t>
  </si>
  <si>
    <t>ألف وواحدة وست</t>
  </si>
  <si>
    <t>ألف  وواحدة وسبع</t>
  </si>
  <si>
    <t>ألف  وواحدة وثمان</t>
  </si>
  <si>
    <t>ألف  وواحدة وتسع</t>
  </si>
  <si>
    <t>ألف  واثنتان وواحدة</t>
  </si>
  <si>
    <t>ألف  واثنتان واثنتان</t>
  </si>
  <si>
    <t>ألف  واثنتان وثلاث</t>
  </si>
  <si>
    <t>ألف  واثنتان وأربع</t>
  </si>
  <si>
    <t>ألف  واثنتان ونصف</t>
  </si>
  <si>
    <t>ألف  واثنتان وست</t>
  </si>
  <si>
    <t>ثمــــــــــان مائة وست وعشرون وست</t>
  </si>
  <si>
    <t>ثمــــــــــان مائة وست وعشرون وسبع</t>
  </si>
  <si>
    <t>ثمــــــــــان مائة وست وعشرون وثمان</t>
  </si>
  <si>
    <t>ألف  وثلاث وسبع</t>
  </si>
  <si>
    <t>ألف  وثلاث وثمان</t>
  </si>
  <si>
    <t>ألف  وثلاث وتسع</t>
  </si>
  <si>
    <t>ثمــــــــــان مائة  وخمس عشرة ونصف</t>
  </si>
  <si>
    <t>ثمــــــــــان مائة  وخمس عشرة وست</t>
  </si>
  <si>
    <t>ثمــــــــــان مائة  وخمس عشرة وسبع</t>
  </si>
  <si>
    <t>ثمــــــــــان مائة وتسع و ثلاثون واثنتان</t>
  </si>
  <si>
    <t>ثمــــــــــان مائة وتسع و ثلاثون وثلاث</t>
  </si>
  <si>
    <t>ثمــــــــــان مائة وتسع و ثلاثون وأربع</t>
  </si>
  <si>
    <t>ثمــــــــــان مائة وتسع و ثلاثون ونصف</t>
  </si>
  <si>
    <t>ثمــــــــــان مائة وتسع و ثلاثون وست</t>
  </si>
  <si>
    <t>ثمــــــــــان مائة وتسع و ثلاثون وسبع</t>
  </si>
  <si>
    <t>ثمــــــــــان مائة وتسع و ثلاثون وثمان</t>
  </si>
  <si>
    <t>ثمــــــــــان مائة وتسع و ثلاثون وتسع</t>
  </si>
  <si>
    <t xml:space="preserve">ثمــــــــــان مائة وأربعون </t>
  </si>
  <si>
    <t>ثمــــــــــان مائة وأربعون   وواحدة</t>
  </si>
  <si>
    <t>ثمــــــــــان مائة وأربعون  واثنتان</t>
  </si>
  <si>
    <t>ثمــــــــــان مائة وأربعون  وثلاث</t>
  </si>
  <si>
    <t>ثمــــــــــان مائة وأربعون  وأربع</t>
  </si>
  <si>
    <t>ثمــــــــــان مائة وأربعون  ونصف</t>
  </si>
  <si>
    <t>ثمــــــــــان مائة وأربعون  وست</t>
  </si>
  <si>
    <t>ثمــــــــــان مائة وأربعون  وسبع</t>
  </si>
  <si>
    <t>ثمــــــــــان مائة وأربعون  وثمان</t>
  </si>
  <si>
    <t>ثمــــــــــان مائة وأربعون  وتسع</t>
  </si>
  <si>
    <t xml:space="preserve">ثمــــــــــان مائة وواحدة وأربعون  </t>
  </si>
  <si>
    <t>ثمــــــــــان مائة وواحدة و أربعون   وواحدة</t>
  </si>
  <si>
    <t>ثمــــــــــان مائة وواحدة و أربعون  واثنتان</t>
  </si>
  <si>
    <t>ثمــــــــــان مائة وواحدة و أربعون  وثلاث</t>
  </si>
  <si>
    <t>ثمــــــــــان مائة وواحدة و أربعون  وأربع</t>
  </si>
  <si>
    <t>ثمــــــــــان مائة وواحدة و أربعون  ونصف</t>
  </si>
  <si>
    <t>ثمــــــــــان مائة وواحدة و أربعون  وست</t>
  </si>
  <si>
    <t>ثمــــــــــان مائة وواحدة و أربعون  وسبع</t>
  </si>
  <si>
    <t>ثمــــــــــان مائة وواحدة و أربعون  وثمان</t>
  </si>
  <si>
    <t>ثمــــــــــان مائة وواحدة و أربعون  وتسع</t>
  </si>
  <si>
    <t xml:space="preserve">ثمــــــــــان مائة واثنتان و أربعون  </t>
  </si>
  <si>
    <t>ثمــــــــــان مائة واثنتان و أربعون   وواحدة</t>
  </si>
  <si>
    <t>ثمــــــــــان مائة واثنتان و أربعون  واثنان</t>
  </si>
  <si>
    <t>ثمــــــــــان مائة واثنتان و أربعون  وثلاث</t>
  </si>
  <si>
    <t>ثمــــــــــان مائة واثنتان و أربعون  وأربع</t>
  </si>
  <si>
    <t>ثمــــــــــان مائة واثنتان و أربعون  ونصف</t>
  </si>
  <si>
    <t>ثمــــــــــان مائة واثنتان و أربعون  وست</t>
  </si>
  <si>
    <t>ثمــــــــــان مائة واثنتان و أربعون  وسبع</t>
  </si>
  <si>
    <t>ثمــــــــــان مائة واثنتان و أربعون  وثمان</t>
  </si>
  <si>
    <t>ثمــــــــــان مائة وست و ثلاثون ونصف</t>
  </si>
  <si>
    <t>ثمــــــــــان مائة وست و ثلاثون وست</t>
  </si>
  <si>
    <t>ثمــــــــــان مائة وست و ثلاثون وسبع</t>
  </si>
  <si>
    <t>ثمــــــــــان مائة وست و ثلاثون وثمان</t>
  </si>
  <si>
    <t>ثمــــــــــان مائة وست و ثلاثون وتسع</t>
  </si>
  <si>
    <t xml:space="preserve">ثمــــــــــان مائة وسبع و ثلاثون </t>
  </si>
  <si>
    <t>ثمــــــــــان مائة وسبع و ثلاثون  وواحدة</t>
  </si>
  <si>
    <t>ثمــــــــــان مائة وسبع و ثلاثون واثنتان</t>
  </si>
  <si>
    <t>ثمــــــــــان مائة وسبع و ثلاثون وثلاث</t>
  </si>
  <si>
    <t>ثمــــــــــان مائة وسبع و ثلاثون وأربع</t>
  </si>
  <si>
    <t>ثمــــــــــان مائة وسبع و ثلاثون ونصف</t>
  </si>
  <si>
    <t>ثمــــــــــان مائة وسبع و ثلاثون وست</t>
  </si>
  <si>
    <t>ألف وسبع و ثلاثون وأربع</t>
  </si>
  <si>
    <t>ألف وسبع و ثلاثون ونصف</t>
  </si>
  <si>
    <t>ألف وسبع و ثلاثون وست</t>
  </si>
  <si>
    <t>ألف وسبع و ثلاثون وسبع</t>
  </si>
  <si>
    <t>ألف وسبع و ثلاثون وثمان</t>
  </si>
  <si>
    <t>ألف وسبع و ثلاثون وتسع</t>
  </si>
  <si>
    <t>ألف وثمان و ثلاثون</t>
  </si>
  <si>
    <r>
      <t>تسع</t>
    </r>
    <r>
      <rPr>
        <sz val="12"/>
        <rFont val="Arial"/>
        <family val="2"/>
      </rPr>
      <t xml:space="preserve"> </t>
    </r>
    <r>
      <rPr>
        <b/>
        <sz val="12"/>
        <rFont val="Arial"/>
        <family val="2"/>
      </rPr>
      <t>مائة  وست عشرة وسبع</t>
    </r>
  </si>
  <si>
    <t>تسع مائة  وست عشرة وثمان</t>
  </si>
  <si>
    <t>تسع مائة  وست عشرة وتسع</t>
  </si>
  <si>
    <t>تسع مائة  وسبع عشرة</t>
  </si>
  <si>
    <t>تسع مائة  وسبع عشرة وواحدة</t>
  </si>
  <si>
    <t>تسع مائة  وسبع عشرة واثنتان</t>
  </si>
  <si>
    <t>تسع مائة  وسبع عشرة وثلاث</t>
  </si>
  <si>
    <t>تسع مائة  وسبع عشرة وأربع</t>
  </si>
  <si>
    <t>تسع مائة  وسبع عشرة ونصف</t>
  </si>
  <si>
    <t>تسع مائة  وسبع عشرة وست</t>
  </si>
  <si>
    <t>تسع مائة  وسبع عشرة وسبع</t>
  </si>
  <si>
    <t>تسع مائة  وسبع عشرة وثمان</t>
  </si>
  <si>
    <t>تسع مائة  وسبع عشرة وتسع</t>
  </si>
  <si>
    <t>تسع مائة  وثمان عشرة</t>
  </si>
  <si>
    <t>تسع مائة  وثمان عشرة وواحدة</t>
  </si>
  <si>
    <t>تسع مائة  وثمان عشرة واثنتان</t>
  </si>
  <si>
    <t>تسع مائة  وثمان عشرة وثلاث</t>
  </si>
  <si>
    <t>تسع مائة  وثمان عشرة وأربع</t>
  </si>
  <si>
    <t>تسع مائة  وثمان عشرة ونصف</t>
  </si>
  <si>
    <t>تسع مائة  وثمان عشرة وست</t>
  </si>
  <si>
    <t>تسع مائة  وثمان عشرة وسبع</t>
  </si>
  <si>
    <t>تسع مائة  وثمان عشرة وثمان</t>
  </si>
  <si>
    <t>تسع مائة  وثمان عشرة وتسع</t>
  </si>
  <si>
    <t>ألف واثنتان و أربعون  وثلاث</t>
  </si>
  <si>
    <t>ألف واثنتان و أربعون  وأربع</t>
  </si>
  <si>
    <t>ألف واثنتان و أربعون  ونصف</t>
  </si>
  <si>
    <t>ألف واثنتان و أربعون  وست</t>
  </si>
  <si>
    <t>ألف واثنتان و أربعون  وسبع</t>
  </si>
  <si>
    <t>ألف واثنتان و أربعون  وثمان</t>
  </si>
  <si>
    <t>ألف واثنتان و أربعون  وتسع</t>
  </si>
  <si>
    <t xml:space="preserve">ألف وثلاث و أربعون </t>
  </si>
  <si>
    <t xml:space="preserve">تسع مائة وواحدة وثلاثون </t>
  </si>
  <si>
    <t>تسع مائة وواحدة و ثلاثون  وواحدة</t>
  </si>
  <si>
    <t>تسع مائة وواحدة و ثلاثون واثنتان</t>
  </si>
  <si>
    <t>تسع مائة وواحدة و ثلاثون وثلاث</t>
  </si>
  <si>
    <t>تسع مائة وواحدة و ثلاثون وأربع</t>
  </si>
  <si>
    <t>تسع مائة وواحدة و ثلاثون ونصف</t>
  </si>
  <si>
    <t>تسع مائة وواحدة و ثلاثون وست</t>
  </si>
  <si>
    <t>تسع مائة وواحدة و ثلاثون وسبع</t>
  </si>
  <si>
    <t>تسع مائة وست وعشرون  وواحدة</t>
  </si>
  <si>
    <t>تسع مائة وست و عشرون واثنتان</t>
  </si>
  <si>
    <t>تسع مائة وست وعشرون وثلاث</t>
  </si>
  <si>
    <t>تسع مائة وست وعشرون وأربع</t>
  </si>
  <si>
    <t>تسع مائة وست وعشرون ونصف</t>
  </si>
  <si>
    <t>سبعمائة وواحدة وعشرون وأربع</t>
  </si>
  <si>
    <t>سبعمائة وواحدة وعشرون ونصف</t>
  </si>
  <si>
    <t>سبعمائة وواحدة وعشرون وست</t>
  </si>
  <si>
    <t>سبعمائة وواحدة وعشرون وسبع</t>
  </si>
  <si>
    <t>سبعمائة وواحدة وعشرون وثمان</t>
  </si>
  <si>
    <t>سبعمائة وواحدة وعشرون وتسع</t>
  </si>
  <si>
    <t>سبعمائة واثنتان وعشرون واثنتان</t>
  </si>
  <si>
    <t>سبعمائة واثنتان وعشرون  وواحدة</t>
  </si>
  <si>
    <t>سبعمائة واثنتان و عشرون واثنتان</t>
  </si>
  <si>
    <t>سبعمائة واثنتان وعشرون وثلاث</t>
  </si>
  <si>
    <t>سبعمائة واثنتان وعشرون وأربع</t>
  </si>
  <si>
    <t>سبعمائة واثنتان وعشرون ونصف</t>
  </si>
  <si>
    <t>سبعمائة واثنتان وعشرون وست</t>
  </si>
  <si>
    <t>سبعمائة واثنتان وعشرون وسبع</t>
  </si>
  <si>
    <t>سبعمائة واثنتان وعشرون وثمان</t>
  </si>
  <si>
    <t>سبعمائة واثنتان وعشرون وتسع</t>
  </si>
  <si>
    <t xml:space="preserve">سبعمائة وثلاث وعشرون </t>
  </si>
  <si>
    <t>سبعمائة وثلاث وعشرون  وواحدة</t>
  </si>
  <si>
    <t>سبعمائة وثلاث و عشرون واثنتان</t>
  </si>
  <si>
    <t>سبعمائة وثلاث وعشرون وثلاث</t>
  </si>
  <si>
    <t>سبعمائة وثلاث وعشرون وأربع</t>
  </si>
  <si>
    <t>سبعمائة وثلاث وعشرون ونصف</t>
  </si>
  <si>
    <t>سبعمائة وثلاث وعشرون وست</t>
  </si>
  <si>
    <t>سبعمائة وثلاث وعشرون وسبع</t>
  </si>
  <si>
    <t>سبعمائة وثلاث وعشرون وثمان</t>
  </si>
  <si>
    <t>سبعمائة وثلاث وعشرون وتسع</t>
  </si>
  <si>
    <t xml:space="preserve">سبعمائة وأربع وعشرون </t>
  </si>
  <si>
    <t>سبعمائة وأربع وعشرون  وواحدة</t>
  </si>
  <si>
    <t>سبعمائة وأربع و عشرون واثنتان</t>
  </si>
  <si>
    <t>سبعمائة وأربع وعشرون وثلاث</t>
  </si>
  <si>
    <t>سبعمائة وأربع وعشرون وأربع</t>
  </si>
  <si>
    <t>سبعمائة وأربع وعشرون ونصف</t>
  </si>
  <si>
    <t>سبعمائة وأربع وعشرون وست</t>
  </si>
  <si>
    <t>ألف وواحدة و أربعون  واثنتان</t>
  </si>
  <si>
    <t>ألف وواحدة و أربعون  وثلاث</t>
  </si>
  <si>
    <t>ألف وواحدة و أربعون  وأربع</t>
  </si>
  <si>
    <t>ألف وواحدة و أربعون  ونصف</t>
  </si>
  <si>
    <t>ألف وواحدة و أربعون  وست</t>
  </si>
  <si>
    <t>ألف وواحدة و أربعون  وسبع</t>
  </si>
  <si>
    <t>ألف وواحدة و أربعون  وثمان</t>
  </si>
  <si>
    <t>ألف وواحدة و أربعون  وتسع</t>
  </si>
  <si>
    <t xml:space="preserve">ألف واثنتان و أربعون  </t>
  </si>
  <si>
    <t>ألف واثنتان و أربعون   وواحدة</t>
  </si>
  <si>
    <t>ثمــــــــــان مائة وسبع وعشرون وتسع</t>
  </si>
  <si>
    <t xml:space="preserve">ثمــــــــــان مائة وثمان وعشرون </t>
  </si>
  <si>
    <t>ألف وأربع وعشرون ونصف</t>
  </si>
  <si>
    <t>ألف وأربع وعشرون وست</t>
  </si>
  <si>
    <t>ألف وأربع وعشرون وثمان</t>
  </si>
  <si>
    <t>ألف وأربع وعشرون وتسع</t>
  </si>
  <si>
    <t xml:space="preserve">ألف وخمس وعشرون </t>
  </si>
  <si>
    <t>ألف وخمس وعشرون  وواحدة</t>
  </si>
  <si>
    <t>ألف وخمس و عشرون واثنتان</t>
  </si>
  <si>
    <t>ألف وخمس وعشرون وثلاث</t>
  </si>
  <si>
    <t>ألف وخمس وعشرون وأربع</t>
  </si>
  <si>
    <t>ألف وخمس وعشرون ونصف</t>
  </si>
  <si>
    <t>ألف وخمس وعشرون وست</t>
  </si>
  <si>
    <t>ألف وخمس وعشرون وسبع</t>
  </si>
  <si>
    <t>ألف وخمس وعشرون وثمان</t>
  </si>
  <si>
    <t>ألف وخمس وعشرون وتسع</t>
  </si>
  <si>
    <t xml:space="preserve">ألف وست وعشرون </t>
  </si>
  <si>
    <t>ألف وست وعشرون  وواحدة</t>
  </si>
  <si>
    <t>ألف وست و عشرون واثنتان</t>
  </si>
  <si>
    <t>ألف وست وعشرون وثلاث</t>
  </si>
  <si>
    <t>ألف وست وعشرون وأربع</t>
  </si>
  <si>
    <t>ألف وست وعشرون ونصف</t>
  </si>
  <si>
    <t>ألف وست وعشرون وست</t>
  </si>
  <si>
    <t>ألف وست وعشرون وسبع</t>
  </si>
  <si>
    <t>ألف وست وعشرون وثمان</t>
  </si>
  <si>
    <t>ألف وست وعشرون وتسع</t>
  </si>
  <si>
    <t xml:space="preserve">ألف وسبع وعشرون </t>
  </si>
  <si>
    <t>ألف وسبع وعشرون  وواحدة</t>
  </si>
  <si>
    <t>ألف وسبع و عشرون واثنتان</t>
  </si>
  <si>
    <t>ألف وسبع وعشرون وثلاث</t>
  </si>
  <si>
    <t>ألف وسبع وعشرون وأربع</t>
  </si>
  <si>
    <t>ألف وسبع وعشرون ونصف</t>
  </si>
  <si>
    <t>ألف وسبع وعشرون وست</t>
  </si>
  <si>
    <t>ألف وسبع وعشرون وسبع</t>
  </si>
  <si>
    <t>ألف وسبع وعشرون وثمان</t>
  </si>
  <si>
    <t>ألف وسبع وعشرون وتسع</t>
  </si>
  <si>
    <t xml:space="preserve">ألف وثمان وعشرون </t>
  </si>
  <si>
    <t>ألف وثمان وعشرون  وواحدة</t>
  </si>
  <si>
    <t>ألف وثمان و عشرون واثنتان</t>
  </si>
  <si>
    <t>ألف وثمان وعشرون وثلاث</t>
  </si>
  <si>
    <t>ألف وثمان وعشرون وأربع</t>
  </si>
  <si>
    <t>ألف وثمان وعشرون ونصف</t>
  </si>
  <si>
    <t>ألف وثمان وعشرون وست</t>
  </si>
  <si>
    <t>ألف وثمان وعشرون وسبع</t>
  </si>
  <si>
    <t>ألف وثمان وعشرون وثمان</t>
  </si>
  <si>
    <t>ألف وثمان وعشرون وتسع</t>
  </si>
  <si>
    <t xml:space="preserve">ألف وتسع وعشرون </t>
  </si>
  <si>
    <t>سبعمائة واثنتان وستون وسبع</t>
  </si>
  <si>
    <t>سبعمائة واثنتان وستون وثمان</t>
  </si>
  <si>
    <t>سبعمائة واثنتان وستون وتسع</t>
  </si>
  <si>
    <t xml:space="preserve">سبعمائة وثلاث وستون </t>
  </si>
  <si>
    <t>سبعمائة وثلاث وستون وواحدة</t>
  </si>
  <si>
    <t>سبعمائة وثلاث وستون واثنتان</t>
  </si>
  <si>
    <t>سبعمائة وثلاث وستون وثلاث</t>
  </si>
  <si>
    <t>سبعمائة وثلاث وستون وأربع</t>
  </si>
  <si>
    <t>سبعمائة وثلاث وستون ونصف</t>
  </si>
  <si>
    <t>سبعمائة وثلاث وستون وست</t>
  </si>
  <si>
    <t>سبعمائة وثلاث وستون وسبع</t>
  </si>
  <si>
    <t>سبعمائة وثلاث وستون وثمان</t>
  </si>
  <si>
    <t>سبعمائة وثلاث وستون وتسع</t>
  </si>
  <si>
    <t xml:space="preserve">سبعمائة وأربع وستون </t>
  </si>
  <si>
    <t>سبعمائة وأربع وستون وواحدة</t>
  </si>
  <si>
    <t>ثمــــــــــان مائة وسبع وخمسون وتسع</t>
  </si>
  <si>
    <t xml:space="preserve">ثمــــــــــان مائة وثمان وخمسون </t>
  </si>
  <si>
    <t>ثمــــــــــان مائة وأربع وخمسون وثمان</t>
  </si>
  <si>
    <t>ثمــــــــــان مائة وأربع وخمسون وتسع</t>
  </si>
  <si>
    <t xml:space="preserve">ثمــــــــــان مائة وخمس وخمسون </t>
  </si>
  <si>
    <t>ثمــــــــــان مائة وخمس وخمسون وواحدة</t>
  </si>
  <si>
    <t>ثمــــــــــان مائة وخمس وخمسون واثنتان</t>
  </si>
  <si>
    <t>ثمــــــــــان مائة وخمس وخمسون وثلاث</t>
  </si>
  <si>
    <t>ثمــــــــــان مائة وخمس وخمسون وأربع</t>
  </si>
  <si>
    <t>ثمــــــــــان مائة وخمس وخمسون ونصف</t>
  </si>
  <si>
    <t>ثمــــــــــان مائة وخمس وخمسون وست</t>
  </si>
  <si>
    <t>ثمــــــــــان مائة وخمس وخمسون وسبع</t>
  </si>
  <si>
    <t>ثمــــــــــان مائة وخمس وخمسون وثمان</t>
  </si>
  <si>
    <t>ثمــــــــــان مائة وخمس وخمسون وتسع</t>
  </si>
  <si>
    <t xml:space="preserve">ثمــــــــــان مائة وست وخمسون </t>
  </si>
  <si>
    <t>ثمــــــــــان مائة وست وخمسون وواحدة</t>
  </si>
  <si>
    <t>ثمــــــــــان مائة وست وخمسون واثنتان</t>
  </si>
  <si>
    <t>ثمــــــــــان مائة وست وخمسون وثلاث</t>
  </si>
  <si>
    <t>ثمــــــــــان مائة وست وخمسون وأربع</t>
  </si>
  <si>
    <t>ثمــــــــــان مائة وست وخمسون ونصف</t>
  </si>
  <si>
    <t>ثمــــــــــان مائة وست وخمسون وست</t>
  </si>
  <si>
    <t>ثمــــــــــان مائة وست وخمسون وسبع</t>
  </si>
  <si>
    <t>ثمــــــــــان مائة وست وخمسون وثمان</t>
  </si>
  <si>
    <t>ثمــــــــــان مائة وست وخمسون وتسع</t>
  </si>
  <si>
    <t xml:space="preserve">ثمــــــــــان مائة وسبع وخمسون </t>
  </si>
  <si>
    <t>ثمــــــــــان مائة وسبع وخمسون وواحدة</t>
  </si>
  <si>
    <t>ثمــــــــــان مائة وسبع وخمسون واثنتان</t>
  </si>
  <si>
    <t>ثمــــــــــان مائة وسبع وخمسون وثلاث</t>
  </si>
  <si>
    <t>ثمــــــــــان مائة وسبع وخمسون وأربع</t>
  </si>
  <si>
    <t>ثمــــــــــان مائة وسبع وخمسون ونصف</t>
  </si>
  <si>
    <t>ثمــــــــــان مائة وسبع وخمسون وست</t>
  </si>
  <si>
    <t>ثمــــــــــان مائة وسبع وخمسون وسبع</t>
  </si>
  <si>
    <t>ثمــــــــــان مائة وسبع وخمسون وثمان</t>
  </si>
  <si>
    <t>ألف وأربع وخمسون واثنتان</t>
  </si>
  <si>
    <t>ثمــــــــــان مائة وسبع و أربعون  وأربع</t>
  </si>
  <si>
    <t>ثمــــــــــان مائة وسبع و أربعون  ونصف</t>
  </si>
  <si>
    <t>ثمــــــــــان مائة وسبع و أربعون  وست</t>
  </si>
  <si>
    <t>ثمــــــــــان مائة وسبع و أربعون  وسبع</t>
  </si>
  <si>
    <t>ألف وأربع وخمسون وثمان</t>
  </si>
  <si>
    <t>ألف وأربع وخمسون وتسع</t>
  </si>
  <si>
    <t xml:space="preserve">ألف وخمس وخمسون </t>
  </si>
  <si>
    <t>ألف وخمس وخمسون وواحدة</t>
  </si>
  <si>
    <t>ألف وخمس وخمسون واثنتان</t>
  </si>
  <si>
    <t>ألف وخمس وخمسون وثلاث</t>
  </si>
  <si>
    <t>ألف وخمس وخمسون وأربع</t>
  </si>
  <si>
    <t>ألف وخمس وخمسون ونصف</t>
  </si>
  <si>
    <t>ألف وخمس وخمسون وست</t>
  </si>
  <si>
    <t>ألف وخمس وخمسون وسبع</t>
  </si>
  <si>
    <t>ألف وخمس وخمسون وثمان</t>
  </si>
  <si>
    <t>ألف وخمس وخمسون وتسع</t>
  </si>
  <si>
    <t xml:space="preserve">ألف وست وخمسون </t>
  </si>
  <si>
    <t>ألف وست وخمسون وواحدة</t>
  </si>
  <si>
    <t>………………………………………..</t>
  </si>
  <si>
    <t>إثنتان</t>
  </si>
  <si>
    <t>إثنتان وواحدة</t>
  </si>
  <si>
    <t>اثنــــتان واثنتان</t>
  </si>
  <si>
    <t>اثنــــتان وثلاث</t>
  </si>
  <si>
    <t>اثنــــتان وأربع</t>
  </si>
  <si>
    <t>اثنــــتان وخمس</t>
  </si>
  <si>
    <t>اثنــــتان وست</t>
  </si>
  <si>
    <t>اثنــــتان وسبع</t>
  </si>
  <si>
    <t xml:space="preserve">اثنــــتان وثمان   </t>
  </si>
  <si>
    <t>اثنــــتان وتسع</t>
  </si>
  <si>
    <t>ثلاث وواحدة</t>
  </si>
  <si>
    <t>ثلاث وثنان</t>
  </si>
  <si>
    <t>ثلاث وثلاث</t>
  </si>
  <si>
    <t>ثلاث وأربع</t>
  </si>
  <si>
    <t>تسع مائة وخمسون وثلاث</t>
  </si>
  <si>
    <t>تسع مائة وخمسون وأربع</t>
  </si>
  <si>
    <t>تسع مائة وخمسون ونصف</t>
  </si>
  <si>
    <t>تسع مائة وخمسون وست</t>
  </si>
  <si>
    <t>تسع مائة وخمسون وسبع</t>
  </si>
  <si>
    <t>تسع مائة وخمسون وثمان</t>
  </si>
  <si>
    <t>تسع مائة وخمسون وتسع</t>
  </si>
  <si>
    <t xml:space="preserve">تسع مائة وواحدة وخمسون </t>
  </si>
  <si>
    <t>تسع مائة وواحدة وخمسون وواحدة</t>
  </si>
  <si>
    <t>تسع مائة وواحدة وخمسون واثنتان</t>
  </si>
  <si>
    <t>تسع مائة وواحدة وخمسون وثلاث</t>
  </si>
  <si>
    <t>تسع مائة وواحدة وخمسون وأربع</t>
  </si>
  <si>
    <t>تسع مائة وواحدة وخمسون ونصف</t>
  </si>
  <si>
    <t>تسع مائة وواحدة وخمسون وست</t>
  </si>
  <si>
    <t>تسع مائة وواحدة وخمسون وسبع</t>
  </si>
  <si>
    <t>تسع مائة وواحدة وخمسون وثمان</t>
  </si>
  <si>
    <t>تسع مائة وواحدة وخمسون وتسع</t>
  </si>
  <si>
    <t xml:space="preserve">تسع مائة واثنتان وخمسون </t>
  </si>
  <si>
    <t>تسع مائة واثنتان وخمسون وواحدة</t>
  </si>
  <si>
    <t>تسع مائة واثنتان وخمسون واثنتان</t>
  </si>
  <si>
    <t>تسع مائة واثنتان وخمسون وثلاث</t>
  </si>
  <si>
    <t>تسع مائة واثنتان وخمسون وأربع</t>
  </si>
  <si>
    <t>تسع مائة واثنتان وخمسون ونصف</t>
  </si>
  <si>
    <t>تسع مائة واثنتان وخمسون وست</t>
  </si>
  <si>
    <t>تسع مائة واثنتان وخمسون وسبع</t>
  </si>
  <si>
    <t>تسع مائة واثنتان وخمسون وثمان</t>
  </si>
  <si>
    <t>تسع مائة واثنتان وخمسون وتسع</t>
  </si>
  <si>
    <t xml:space="preserve">تسع مائة وثلاث وخمسون </t>
  </si>
  <si>
    <t>تسع مائة وثلاث وخمسون وواحدة</t>
  </si>
  <si>
    <t>ألف وأربع و ثلاثون واثنتان</t>
  </si>
  <si>
    <t>ألف وأربع و ثلاثون وثلاث</t>
  </si>
  <si>
    <t>ألف وأربع و ثلاثون وأربع</t>
  </si>
  <si>
    <t>ألف وأربع و ثلاثون ونصف</t>
  </si>
  <si>
    <t>ألف وأربع و ثلاثون وست</t>
  </si>
  <si>
    <t>ألف وأربع و ثلاثون وسبع</t>
  </si>
  <si>
    <t>ألف وأربع و ثلاثون وثمان</t>
  </si>
  <si>
    <t>ألف وأربع و ثلاثون وتسع</t>
  </si>
  <si>
    <t xml:space="preserve">ألف وخمس و ثلاثون </t>
  </si>
  <si>
    <t>ألف وخمس و ثلاثون  وواحدة</t>
  </si>
  <si>
    <t>ألف وخمس و ثلاثون واثنتان</t>
  </si>
  <si>
    <t>ألف وخمس و ثلاثون وثلاث</t>
  </si>
  <si>
    <t>ألف وخمس و ثلاثون وأربع</t>
  </si>
  <si>
    <t>ألف وخمس و ثلاثون ونصف</t>
  </si>
  <si>
    <t>ألف وخمس و ثلاثون وست</t>
  </si>
  <si>
    <t>ثمــــــــــان مائة واثنتان وخمسون وست</t>
  </si>
  <si>
    <t>ثمــــــــــان مائة واثنتان وخمسون وسبع</t>
  </si>
  <si>
    <t>ثمــــــــــان مائة واثنتان وخمسون وثمان</t>
  </si>
  <si>
    <t>ستمائة وسبع و أربعون  وتسع</t>
  </si>
  <si>
    <t xml:space="preserve">ستمائة وثمان و أربعون  </t>
  </si>
  <si>
    <t>تسع مائة وخمس وخمسون وواحدة</t>
  </si>
  <si>
    <t>تسع مائة وخمس وخمسون واثنتان</t>
  </si>
  <si>
    <t>تسع مائة وخمس وخمسون وثلاث</t>
  </si>
  <si>
    <t>تسع مائة وخمس وخمسون وأربع</t>
  </si>
  <si>
    <t>تسع مائة وخمس وخمسون ونصف</t>
  </si>
  <si>
    <t>تسع مائة وخمس وخمسون وست</t>
  </si>
  <si>
    <t>تسع مائة وخمس وخمسون وسبع</t>
  </si>
  <si>
    <t>تسع مائة وخمس وخمسون وثمان</t>
  </si>
  <si>
    <t>تسع مائة وخمس وخمسون وتسع</t>
  </si>
  <si>
    <t>تسع مائة وثمان و ثلاثون واثنتان</t>
  </si>
  <si>
    <t>تسع مائة وثمان و ثلاثون وثلاث</t>
  </si>
  <si>
    <t>تسع مائة وثمان و ثلاثون وأربع</t>
  </si>
  <si>
    <t>تسع مائة وثمان و ثلاثون ونصف</t>
  </si>
  <si>
    <t>ســـــــــــــــــــــــــــــــــــــت وواحدة</t>
  </si>
  <si>
    <t>ســـــــــــــــــــــــــــــــــــــت واثنتان</t>
  </si>
  <si>
    <t>ســـــــــــــــــــــــــــــــــــــــت وثالث</t>
  </si>
  <si>
    <t>ســــــــــــــــــــــــــــــــــــــت وأربع</t>
  </si>
  <si>
    <t>ســـــــــــــــــــــــــــــــــــــــت وستت</t>
  </si>
  <si>
    <t>ســــــــــــــــــــــــــــــــــــــــت وسبع</t>
  </si>
  <si>
    <t>ســـــــــــــــــــــــــــــــــــــــت وثمان</t>
  </si>
  <si>
    <t>تسع ونصف</t>
  </si>
  <si>
    <t>ثمان ونصف</t>
  </si>
  <si>
    <t>سبع ونصف</t>
  </si>
  <si>
    <t>ســـــت وتسع</t>
  </si>
  <si>
    <t>خمس و نصف</t>
  </si>
  <si>
    <t>ثلاث و نصف</t>
  </si>
  <si>
    <t>أربع و نصف</t>
  </si>
  <si>
    <t>ست و نصف</t>
  </si>
  <si>
    <t>أربــــــــــــــــع</t>
  </si>
  <si>
    <t>خمـــــــــــــــس</t>
  </si>
  <si>
    <t>ســــــــــــــــت</t>
  </si>
  <si>
    <t>خمــــــــــــــــــــــــــــــــــــــس</t>
  </si>
  <si>
    <t>ســــــــــــــــــــــــــــــــــــــــــت</t>
  </si>
  <si>
    <t>ثمــــــــــــــــــــــــــــــــــــــــــان</t>
  </si>
  <si>
    <t>ثـــــــــــــــــلاث</t>
  </si>
  <si>
    <t>مواد الامتحان الشفهي</t>
  </si>
  <si>
    <t>الدرجة التي حصل عليها الطالب/الطالبة</t>
  </si>
  <si>
    <t>ســـــــــــــــــبع</t>
  </si>
  <si>
    <t>ســــــــــــــــــــــــــــــــــــــــــبـع</t>
  </si>
  <si>
    <t>………..…………….………..……………………..………............................................…...…………..</t>
  </si>
  <si>
    <t xml:space="preserve">  تاريخ الإصـــــــــدار</t>
  </si>
  <si>
    <t>……………………....…..….</t>
  </si>
  <si>
    <t>مواد الامتحان التحريري</t>
  </si>
  <si>
    <t>تسع مائة وثلاث و أربعون  ونصف</t>
  </si>
  <si>
    <t>سبعمائة وثمان وخمسون وثمان</t>
  </si>
  <si>
    <t>سبعمائة وثمان وخمسون وتسع</t>
  </si>
  <si>
    <t xml:space="preserve">سبعمائة وتسع وخمسون </t>
  </si>
  <si>
    <t>سبعمائة وتسع وخمسون وواحدة</t>
  </si>
  <si>
    <t>سبعمائة وتسع وخمسون واثنتان</t>
  </si>
  <si>
    <t xml:space="preserve">تسع مائة وثلاث و ثلاثون </t>
  </si>
  <si>
    <t>تسع مائة وثلاث و ثلاثون  وواحدة</t>
  </si>
  <si>
    <t>تسع مائة وثلاث و ثلاثون واثنتان</t>
  </si>
  <si>
    <t>تسع مائة وثلاث و ثلاثون وثلاث</t>
  </si>
  <si>
    <t>تسع مائة وثلاث و ثلاثون وأربع</t>
  </si>
  <si>
    <t>تسع مائة وثلاث و ثلاثون ونصف</t>
  </si>
  <si>
    <t>تسع مائة وثلاث و ثلاثون وست</t>
  </si>
  <si>
    <t>ثمــــــــــان مائة واثنتان وخمسون وتسع</t>
  </si>
  <si>
    <t xml:space="preserve">ثمــــــــــان مائة وثلاث وخمسون </t>
  </si>
  <si>
    <t>ثمــــــــــان مائة وثلاث وخمسون وواحدة</t>
  </si>
  <si>
    <t>تسع مائة وسبع وثمانون وواحدة</t>
  </si>
  <si>
    <t>تسع مائة وسبع وثمانون واثنتان</t>
  </si>
  <si>
    <t>تسع مائة وسبع وثمانون وثلاث</t>
  </si>
  <si>
    <t>تسع مائة وسبع وثمانون وأربع</t>
  </si>
  <si>
    <t>تسع مائة وسبع وثمانون ونصف</t>
  </si>
  <si>
    <t>تسع مائة وسبع وثمانون وست</t>
  </si>
  <si>
    <t>تسع مائة وسبع وثمانون وسبع</t>
  </si>
  <si>
    <t>تسع مائة وسبع وثمانون وثمان</t>
  </si>
  <si>
    <t>ثمــــــــــان مائة وثلاث وسبعون وثلاث</t>
  </si>
  <si>
    <t>ثمــــــــــان مائة وثلاث وسبعون وأربع</t>
  </si>
  <si>
    <t>ثمــــــــــان مائة وثلاث وسبعون ونصف</t>
  </si>
  <si>
    <t>ثمــــــــــان مائة وثلاث وسبعون وست</t>
  </si>
  <si>
    <t>ثمــــــــــان مائة وثلاث وسبعون وسبع</t>
  </si>
  <si>
    <t>ثمــــــــــان مائة وثلاث وسبعون وثمان</t>
  </si>
  <si>
    <t>ثمــــــــــان مائة وثلاث وسبعون وتسع</t>
  </si>
  <si>
    <t xml:space="preserve">ثمــــــــــان مائة وأربع وسبعون </t>
  </si>
  <si>
    <t>ثمــــــــــان مائة وأربع وسبعون وواحدة</t>
  </si>
  <si>
    <t>ثمــــــــــان مائة وأربع وسبعون واثنتان</t>
  </si>
  <si>
    <t>ثمــــــــــان مائة وأربع وسبعون وثلاث</t>
  </si>
  <si>
    <t>ثمــــــــــان مائة وأربع وسبعون وأربع</t>
  </si>
  <si>
    <t>ثمــــــــــان مائة وأربع وسبعون ونصف</t>
  </si>
  <si>
    <t>ثمــــــــــان مائة وأربع وسبعون وست</t>
  </si>
  <si>
    <t>ثمــــــــــان مائة وأربع وسبعون وسبع</t>
  </si>
  <si>
    <t>ثمــــــــــان مائة وأربع وسبعون وثمان</t>
  </si>
  <si>
    <t>تسع مائة وخمس وثمانون وست</t>
  </si>
  <si>
    <t>تسع مائة وست وستون وست</t>
  </si>
  <si>
    <t>تسع مائة وست وستون وسبع</t>
  </si>
  <si>
    <t>تسع مائة وست وستون وثمان</t>
  </si>
  <si>
    <t>تسع مائة وست وستون وتسع</t>
  </si>
  <si>
    <t xml:space="preserve">تسع مائة وسبع وستون </t>
  </si>
  <si>
    <t>تسع مائة وسبع وستون وواحدة</t>
  </si>
  <si>
    <t>تسع مائة وسبع وستون واثنتان</t>
  </si>
  <si>
    <t>تسع مائة وسبع وستون وثلاث</t>
  </si>
  <si>
    <t>تسع مائة وسبع وستون وأربع</t>
  </si>
  <si>
    <t>تسع مائة وسبع وستون ونصف</t>
  </si>
  <si>
    <t>تسع مائة وسبع وستون وست</t>
  </si>
  <si>
    <t>تسع مائة وسبع وستون وسبع</t>
  </si>
  <si>
    <t>تسع مائة وسبع وستون وثمان</t>
  </si>
  <si>
    <t>تسع مائة وسبع وستون وتسع</t>
  </si>
  <si>
    <t xml:space="preserve">ثمــــــــــان مائة وثلاث وستون </t>
  </si>
  <si>
    <t>ثمــــــــــان مائة وثلاث وستون وواحدة</t>
  </si>
  <si>
    <t>ثمــــــــــان مائة وثلاث وستون واثنتان</t>
  </si>
  <si>
    <t>ثمــــــــــان مائة وثلاث وستون وثلاث</t>
  </si>
  <si>
    <t>ثمــــــــــان مائة وثلاث وستون وأربع</t>
  </si>
  <si>
    <t>ثمــــــــــان مائة وثلاث وستون ونصف</t>
  </si>
  <si>
    <t>ثمــــــــــان مائة وثلاث وستون وست</t>
  </si>
  <si>
    <t>ثمــــــــــان مائة وثلاث وستون وسبع</t>
  </si>
  <si>
    <t>ثمــــــــــان مائة وثلاث وستون وثمان</t>
  </si>
  <si>
    <t>ثمــــــــــان مائة وثلاث وستون وتسع</t>
  </si>
  <si>
    <t xml:space="preserve">ثمــــــــــان مائة وأربع وستون </t>
  </si>
  <si>
    <t>ثمــــــــــان مائة وأربع وستون وواحدة</t>
  </si>
  <si>
    <t>ثمــــــــــان مائة وأربع وستون واثنتان</t>
  </si>
  <si>
    <t>ثمــــــــــان مائة وأربع وستون وثلاث</t>
  </si>
  <si>
    <t>ثمــــــــــان مائة وأربع وستون وأربع</t>
  </si>
  <si>
    <t>ثمــــــــــان مائة وأربع وستون ونصف</t>
  </si>
  <si>
    <t>ثمــــــــــان مائة وأربع وستون وست</t>
  </si>
  <si>
    <t>ثمــــــــــان مائة وأربع وستون وسبع</t>
  </si>
  <si>
    <t>ثمــــــــــان مائة وأربع وستون وثمان</t>
  </si>
  <si>
    <t>ثمــــــــــان مائة وأربع وستون وتسع</t>
  </si>
  <si>
    <t xml:space="preserve">ثمــــــــــان مائة وخمس وستون </t>
  </si>
  <si>
    <t>ثمــــــــــان مائة وخمس وستون وواحدة</t>
  </si>
  <si>
    <t>ثمــــــــــان مائة وخمس وستون واثنتان</t>
  </si>
  <si>
    <t>ثمــــــــــان مائة وخمس وستون وثلاث</t>
  </si>
  <si>
    <t>ثمــــــــــان مائة وخمس وستون وأربع</t>
  </si>
  <si>
    <t>ثمــــــــــان مائة وخمس وستون ونصف</t>
  </si>
  <si>
    <t>ثمــــــــــان مائة وخمس وستون وست</t>
  </si>
  <si>
    <t>ثمــــــــــان مائة وخمس وستون وسبع</t>
  </si>
  <si>
    <t>ثمــــــــــان مائة وخمس وستون وثمان</t>
  </si>
  <si>
    <t>ثمــــــــــان مائة وخمس وستون وتسع</t>
  </si>
  <si>
    <t>ثمــــــــــان مائة وست وستون</t>
  </si>
  <si>
    <t>ثمــــــــــان مائة وست وستون وواحدة</t>
  </si>
  <si>
    <t>ثمــــــــــان مائة وست وستون واثنتان</t>
  </si>
  <si>
    <t>ثمــــــــــان مائة وست وستون وثلاث</t>
  </si>
  <si>
    <t>ثمــــــــــان مائة وست وستون وأربع</t>
  </si>
  <si>
    <t>ثمــــــــــان مائة وست وستون ونصف</t>
  </si>
  <si>
    <t>تسع مائة وأربع وسبعون وواحدة</t>
  </si>
  <si>
    <t>تسع مائة وأربع وسبعون واثنتان</t>
  </si>
  <si>
    <t>تسع مائة وأربع وسبعون وثلاث</t>
  </si>
  <si>
    <t>تسع مائة وأربع وسبعون وأربع</t>
  </si>
  <si>
    <t>تسع مائة وأربع وسبعون ونصف</t>
  </si>
  <si>
    <t>تسع مائة وأربع وسبعون وست</t>
  </si>
  <si>
    <t>تسع مائة وأربع وسبعون وسبع</t>
  </si>
  <si>
    <t>تسع مائة وأربع وسبعون وثمان</t>
  </si>
  <si>
    <t>تسع مائة وأربع وسبعون وتسع</t>
  </si>
  <si>
    <t>ثمــــــــــان مائة وست وستون وثمان</t>
  </si>
  <si>
    <t>ثمــــــــــان مائة وست وستون وتسع</t>
  </si>
  <si>
    <t xml:space="preserve">ثمــــــــــان مائة وسبع وستون </t>
  </si>
  <si>
    <t>ثمــــــــــان مائة وسبع وستون وواحدة</t>
  </si>
  <si>
    <t>ثمــــــــــان مائة وسبع وستون واثنتان</t>
  </si>
  <si>
    <t>ثمــــــــــان مائة وسبع وستون وثلاث</t>
  </si>
  <si>
    <t>تســــــــــــــــع</t>
  </si>
  <si>
    <t>ثمــــــــــان مائة وواحدة وخمسون وأربع</t>
  </si>
  <si>
    <t>ثمــــــــــان مائة وواحدة وخمسون ونصف</t>
  </si>
  <si>
    <t>ستمائة وثلاث و أربعون  وثمان</t>
  </si>
  <si>
    <t>ستمائة وثلاث و أربعون  وتسع</t>
  </si>
  <si>
    <t>ستمائة وأربع و أربعون  وتسع</t>
  </si>
  <si>
    <t>ستمائة وأربع و أربعون   وواحدة</t>
  </si>
  <si>
    <t>ستمائة وأربع و أربعون  واثنتان</t>
  </si>
  <si>
    <t>ستمائة وأربع و أربعون  وثلاث</t>
  </si>
  <si>
    <t>ستمائة وأربع و أربعون  وأربع</t>
  </si>
  <si>
    <t>ستمائة وأربع و أربعون  ونصف</t>
  </si>
  <si>
    <t>ستمائة وأربع و أربعون  وست</t>
  </si>
  <si>
    <t>ستمائة وأربع و أربعون  وسبع</t>
  </si>
  <si>
    <t>ستمائة وأربع و أربعون  وثمان</t>
  </si>
  <si>
    <t xml:space="preserve">ستمائة وخمس و أربعون  </t>
  </si>
  <si>
    <t>ستمائة وخمس و أربعون   وواحدة</t>
  </si>
  <si>
    <t>ستمائة وخمس و أربعون  واثنتان</t>
  </si>
  <si>
    <t>تسع مائة وست وسبعون وواحدة</t>
  </si>
  <si>
    <t>تسع مائة وست وسبعون واثنتان</t>
  </si>
  <si>
    <t>تسع مائة وست وسبعون وثلاث</t>
  </si>
  <si>
    <t>تسع مائة وست وسبعون وأربع</t>
  </si>
  <si>
    <t>تسع مائة وست وسبعون ونصف</t>
  </si>
  <si>
    <t>تسع مائة وست وسبعون وست</t>
  </si>
  <si>
    <t>تسع مائة وتسع وخمسون وواحدة</t>
  </si>
  <si>
    <t>تسع مائة وتسع وخمسون واثنتان</t>
  </si>
  <si>
    <t>تسع مائة وتسع وخمسون وثلاث</t>
  </si>
  <si>
    <t>تسع مائة وتسع وخمسون وأربع</t>
  </si>
  <si>
    <t>تسع مائة وتسع وخمسون ونصف</t>
  </si>
  <si>
    <t>تسع مائة وتسع وخمسون وست</t>
  </si>
  <si>
    <t>تسع مائة وتسع وخمسون وسبع</t>
  </si>
  <si>
    <t>تسع مائة ستون</t>
  </si>
  <si>
    <t>تسع مائة وستون وواحدة</t>
  </si>
  <si>
    <t>تسع مائة وستون واثنتان</t>
  </si>
  <si>
    <t>تسع مائة وستون وثلاث</t>
  </si>
  <si>
    <t>تسع مائة وستون وأربع</t>
  </si>
  <si>
    <t>تسع مائة وستون ونصف</t>
  </si>
  <si>
    <t>تسع مائة وستون وست</t>
  </si>
  <si>
    <t>تسع مائة وستون وسبع</t>
  </si>
  <si>
    <t>تسع مائة وستون وثمان</t>
  </si>
  <si>
    <t>تسع مائة وستون وتسع</t>
  </si>
  <si>
    <t xml:space="preserve">تسع مائة وواحدة وستون </t>
  </si>
  <si>
    <t>تسع مائة وواحدة وستون وواحدة</t>
  </si>
  <si>
    <t>تسع مائة وواحدة وستون واثنتان</t>
  </si>
  <si>
    <t>تسع مائة وواحدة وستون وثلاث</t>
  </si>
  <si>
    <t>تسع مائة وواحدة وستون وأربع</t>
  </si>
  <si>
    <t>تسع مائة وواحدة وستون ونصف</t>
  </si>
  <si>
    <t>تسع مائة وواحدة وستون وست</t>
  </si>
  <si>
    <t>تسع مائة وواحدة وستون وسبع</t>
  </si>
  <si>
    <t>تسع مائة وواحدة وستون وثمان</t>
  </si>
  <si>
    <t>تسع مائة وواحدة وستون وتسع</t>
  </si>
  <si>
    <t xml:space="preserve">تسع مائة واثنتان وستون </t>
  </si>
  <si>
    <t>تسع مائة واثنتان وستون وواحدة</t>
  </si>
  <si>
    <t>تسع مائة واثنتان وستون واثنتان</t>
  </si>
  <si>
    <t>تسع مائة واثنتان وستون وثلاث</t>
  </si>
  <si>
    <t>تسع مائة واثنتان وستون وأربع</t>
  </si>
  <si>
    <t>تسع مائة واثنتان وستون ونصف</t>
  </si>
  <si>
    <t>تسع مائة واثنتان وستون وست</t>
  </si>
  <si>
    <t>تسع مائة واثنتان وستون وسبع</t>
  </si>
  <si>
    <t>تسع مائة واثنتان وستون وثمان</t>
  </si>
  <si>
    <t>تسع مائة واثنتان وستون وتسع</t>
  </si>
  <si>
    <t xml:space="preserve">تسع مائة وثلاث وستون </t>
  </si>
  <si>
    <t>تسع مائة وثلاث وستون وواحدة</t>
  </si>
  <si>
    <t>تسع مائة وثلاث وستون واثنتان</t>
  </si>
  <si>
    <t>تسع مائة وثلاث وستون وثلاث</t>
  </si>
  <si>
    <t>تسع مائة وثلاث وستون وأربع</t>
  </si>
  <si>
    <t>تسع مائة وثلاث وستون ونصف</t>
  </si>
  <si>
    <t>تسع مائة وثلاث وستون وست</t>
  </si>
  <si>
    <t>تسع مائة وثلاث وستون وسبع</t>
  </si>
  <si>
    <t>تسع مائة وثلاث وستون وثمان</t>
  </si>
  <si>
    <t>تسع مائة وثلاث وستون وتسع</t>
  </si>
  <si>
    <t xml:space="preserve">تسع مائة وأربع وستون </t>
  </si>
  <si>
    <t>تسع مائة وأربع وستون وواحدة</t>
  </si>
  <si>
    <t>تسع مائة وأربع وستون واثنتان</t>
  </si>
  <si>
    <t>سبعمائة وثمانون وسبع</t>
  </si>
  <si>
    <t>سبعمائة وثمانون وثمان</t>
  </si>
  <si>
    <t>سبعمائة وثمانون وتسع</t>
  </si>
  <si>
    <t>سبعمائة وواحدة وثمانون</t>
  </si>
  <si>
    <t>سبعمائة وواحدة وثمانون وواحدة</t>
  </si>
  <si>
    <t>سبعمائة وواحدة وثمانون واثنتان</t>
  </si>
  <si>
    <t>سبعمائة وواحدة وثمانون وثلاث</t>
  </si>
  <si>
    <t>سبعمائة وواحدة وثمانون وأربع</t>
  </si>
  <si>
    <t>سبعمائة وواحدة وثمانون ونصف</t>
  </si>
  <si>
    <t>سبعمائة وواحدة وثمانون وست</t>
  </si>
  <si>
    <t>سبعمائة وواحدة وثمانون وسبع</t>
  </si>
  <si>
    <t>سبعمائة وواحدة وثمانون وثمان</t>
  </si>
  <si>
    <t>سبعمائة وواحدة وثمانون وتسع</t>
  </si>
  <si>
    <t xml:space="preserve">سبعمائة واثنتان وثمانون </t>
  </si>
  <si>
    <t>سبعمائة واثنتان وثمانون وواحدة</t>
  </si>
  <si>
    <t>سبعمائة واثنتان وثمانون واثنتان</t>
  </si>
  <si>
    <t>سبعمائة واثنتان وثمانون وثلاث</t>
  </si>
  <si>
    <t>ثمــــــــــان مائة وسبعون وثلاث</t>
  </si>
  <si>
    <t>ثمــــــــــان مائة وسبعون وأربع</t>
  </si>
  <si>
    <t>ثمــــــــــان مائة وسبعون ونصف</t>
  </si>
  <si>
    <t>ثمــــــــــان مائة وسبعون وست</t>
  </si>
  <si>
    <t>ثمــــــــــان مائة وسبعون وسبع</t>
  </si>
  <si>
    <t>ثمــــــــــان مائة وسبعون وثمان</t>
  </si>
  <si>
    <t>ثمــــــــــان مائة وسبعون وتسع</t>
  </si>
  <si>
    <t xml:space="preserve">ثمــــــــــان مائة وواحدة وسبعون </t>
  </si>
  <si>
    <t>ثمــــــــــان مائة وواحدة سبعون وواحدة</t>
  </si>
  <si>
    <t>ثمــــــــــان مائة وواحدة سبعون واثنتان</t>
  </si>
  <si>
    <t>ثمــــــــــان مائة وواحدة سبعون وثلاث</t>
  </si>
  <si>
    <t>ثمــــــــــان مائة وواحدة سبعون وأربع</t>
  </si>
  <si>
    <t>ثمــــــــــان مائة وواحدة سبعون ونصف</t>
  </si>
  <si>
    <t>ثمــــــــــان مائة وواحدة سبعون وست</t>
  </si>
  <si>
    <t>ثمــــــــــان مائة وثمان وسبعون وواحدة</t>
  </si>
  <si>
    <t>ثمــــــــــان مائة وثمان وسبعون واثنتان</t>
  </si>
  <si>
    <t>ثمــــــــــان مائة وثمان وسبعون وثلاث</t>
  </si>
  <si>
    <t>ثمــــــــــان مائة وثمان وسبعون وأربع</t>
  </si>
  <si>
    <t>ثمــــــــــان مائة وثمان وسبعون ونصف</t>
  </si>
  <si>
    <t>ثمــــــــــان مائة وثمان وسبعون وست</t>
  </si>
  <si>
    <t>ثمــــــــــان مائة وثمان وسبعون وسبع</t>
  </si>
  <si>
    <t>ثمــــــــــان مائة وثمان وسبعون وثمان</t>
  </si>
  <si>
    <t>ثمــــــــــان مائة وثمان وسبعون وتسع</t>
  </si>
  <si>
    <t xml:space="preserve">ثمــــــــــان مائة وتسع وسبعون </t>
  </si>
  <si>
    <t>ثمــــــــــان مائة وتسع وسبعون وواحدة</t>
  </si>
  <si>
    <t>ثمــــــــــان مائة وتسع وسبعون واثنتان</t>
  </si>
  <si>
    <t>ثمــــــــــان مائة وتسع وسبعون وثلاث</t>
  </si>
  <si>
    <t>ثمــــــــــان مائة وتسع وسبعون وأربع</t>
  </si>
  <si>
    <t>ثمــــــــــان مائة وتسع وسبعون ونصف</t>
  </si>
  <si>
    <t>ثمــــــــــان مائة وتسع وسبعون وست</t>
  </si>
  <si>
    <t>ثمــــــــــان مائة وتسع وسبعون وسبع</t>
  </si>
  <si>
    <t>ثمــــــــــان مائة وتسع وسبعون وثمان</t>
  </si>
  <si>
    <t>ثمــــــــــان مائة وتسع وسبعون وتسع</t>
  </si>
  <si>
    <t>ثمــــــــــان مائة وثمانون</t>
  </si>
  <si>
    <t>ثمــــــــــان مائة وثمانون وواحدة</t>
  </si>
  <si>
    <t>ثمــــــــــان مائة وثمانون واثنتان</t>
  </si>
  <si>
    <t>ثمــــــــــان مائة وثمانون وثلاث</t>
  </si>
  <si>
    <t>ثمــــــــــان مائة وثمانون وأربع</t>
  </si>
  <si>
    <t>ثمــــــــــان مائة وثمانون ونصف</t>
  </si>
  <si>
    <t>ثمــــــــــان مائة وثمانون وست</t>
  </si>
  <si>
    <t>ثمــــــــــان مائة وثمانون وسبع</t>
  </si>
  <si>
    <t>ثمــــــــــان مائة وثمانون وثمان</t>
  </si>
  <si>
    <t>ثمــــــــــان مائة وثمانون وتسع</t>
  </si>
  <si>
    <t>ثمــــــــــان مائة وواحدة وثمانون</t>
  </si>
  <si>
    <t>ثمــــــــــان مائة وواحدة وثمانون وواحدة</t>
  </si>
  <si>
    <t>ثمــــــــــان مائة وواحدة وثمانون واثنتان</t>
  </si>
  <si>
    <t>ثمــــــــــان مائة وواحدة وثمانون وثلاث</t>
  </si>
  <si>
    <t>ثمــــــــــان مائة وواحدة وثمانون وأربع</t>
  </si>
  <si>
    <t>ثمــــــــــان مائة وواحدة وثمانون ونصف</t>
  </si>
  <si>
    <t>ثمــــــــــان مائة وواحدة وثمانون وست</t>
  </si>
  <si>
    <t>ثمــــــــــان مائة وواحدة وثمانون وسبع</t>
  </si>
  <si>
    <t>ثمــــــــــان مائة وواحدة وثمانون وثمان</t>
  </si>
  <si>
    <t>ثمــــــــــان مائة وواحدة وثمانون وتسع</t>
  </si>
  <si>
    <t xml:space="preserve">ثمــــــــــان مائة واثنتان وثمانون </t>
  </si>
  <si>
    <t>ثمــــــــــان مائة واثنتان وثمانون وواحدة</t>
  </si>
  <si>
    <t>ثمــــــــــان مائة واثنتان وثمانون واثنتان</t>
  </si>
  <si>
    <t>ثمــــــــــان مائة واثنتان وثمانون وثلاث</t>
  </si>
  <si>
    <t>ثمــــــــــان مائة واثنتان وثمانون وأربع</t>
  </si>
  <si>
    <t>ثمــــــــــان مائة واثنتان وثمانون ونصف</t>
  </si>
  <si>
    <t>ثمــــــــــان مائة واثنتان وثمانون وست</t>
  </si>
  <si>
    <t>ثمــــــــــان مائة واثنتان وثمانون وسبع</t>
  </si>
  <si>
    <t>ثمــــــــــان مائة واثنتان وثمانون وثمان</t>
  </si>
  <si>
    <t>ثمــــــــــان مائة واثنتان وثمانون وتسع</t>
  </si>
  <si>
    <t>ثمــــــــــان مائة وثلاث وثمانون</t>
  </si>
  <si>
    <t>ستمائة وتسعون وواحدة</t>
  </si>
  <si>
    <t>ستمائة وتسعون واثنتان</t>
  </si>
  <si>
    <t>أربعمائة وواحدة وستون واثنتان</t>
  </si>
  <si>
    <t>أربعمائة وواحدة وستون وثلاث</t>
  </si>
  <si>
    <t>أربعمائة وواحدة وستون وأربع</t>
  </si>
  <si>
    <t>أربعمائة وواحدة وستون ونصف</t>
  </si>
  <si>
    <t>تسع مائة وست وتسعون وثلاث</t>
  </si>
  <si>
    <t>تسع مائة وست وتسعون وأربع</t>
  </si>
  <si>
    <t>تسع مائة وست وتسعون ونصف</t>
  </si>
  <si>
    <t>تسع مائة وست وتسعون وست</t>
  </si>
  <si>
    <t>تسع مائة وست وتسعون وسبع</t>
  </si>
  <si>
    <t>تسع مائة وست وتسعون وثمان</t>
  </si>
  <si>
    <t>تسع مائة وست وتسعون وتسع</t>
  </si>
  <si>
    <t xml:space="preserve">تسع مائة وسبع وتسعون </t>
  </si>
  <si>
    <t>ثمــــــــــان مائة وثلاث وثمانون وواحدة</t>
  </si>
  <si>
    <t>ثمــــــــــان مائة وثلاث وثمانون واثنتان</t>
  </si>
  <si>
    <t>ثمــــــــــان مائة وثلاث وثمانون وثلاث</t>
  </si>
  <si>
    <t>ثمــــــــــان مائة وثلاث وثمانون وأربع</t>
  </si>
  <si>
    <t>ثمــــــــــان مائة وثلاث وثمانون ونصف</t>
  </si>
  <si>
    <t>ثمــــــــــان مائة وثلاث وثمانون وست</t>
  </si>
  <si>
    <t>ثمــــــــــان مائة وثلاث وثمانون وسبع</t>
  </si>
  <si>
    <t>ثمــــــــــان مائة وثلاث وثمانون وثمان</t>
  </si>
  <si>
    <t>ستمائة وتسعون وثلاث</t>
  </si>
  <si>
    <t>ستمائة وتسعون وأربع</t>
  </si>
  <si>
    <t>ستمائة وتسعون ونصف</t>
  </si>
  <si>
    <t>ثمــــــــــان مائة وست وعشرون وتسع</t>
  </si>
  <si>
    <t xml:space="preserve">ثمــــــــــان مائة وسبع وعشرون </t>
  </si>
  <si>
    <t>ثمــــــــــان مائة وسبع وعشرون  وواحدة</t>
  </si>
  <si>
    <t>تسع مائة وخمس وتسعون وواحدة</t>
  </si>
  <si>
    <t>تسع مائة وخمس وتسعون واثنتان</t>
  </si>
  <si>
    <t>تسع مائة وخمس وتسعون وثلاث</t>
  </si>
  <si>
    <t>تسع مائة وخمس وتسعون وأربع</t>
  </si>
  <si>
    <t>تسع مائة وخمس وتسعون ونصف</t>
  </si>
  <si>
    <t>تسع مائة وخمس وتسعون وست</t>
  </si>
  <si>
    <t>تسع مائة وخمس وتسعون وسبع</t>
  </si>
  <si>
    <t>تسع مائة وخمس وتسعون وثمان</t>
  </si>
  <si>
    <t>تسع مائة وخمس وتسعون وتسع</t>
  </si>
  <si>
    <t xml:space="preserve">تسع مائة وست وتسعون </t>
  </si>
  <si>
    <t>تسع مائة وست وتسعون وواحدة</t>
  </si>
  <si>
    <t>تسع مائة وست وتسعون واثنتان</t>
  </si>
  <si>
    <t>ثمــــــــــان مائة  وعشر وثمان</t>
  </si>
  <si>
    <t>ثمــــــــــان مائة  وعشر وتسع</t>
  </si>
  <si>
    <t>ستمائة وست وستون وثمان</t>
  </si>
  <si>
    <t>ستمائة وست وستون وتسع</t>
  </si>
  <si>
    <t xml:space="preserve">ستمائة وسبع وستون </t>
  </si>
  <si>
    <t>ستمائة وسبع وستون وواحدة</t>
  </si>
  <si>
    <t>ستمائة وسبع وستون واثنتان</t>
  </si>
  <si>
    <t>ستمائة وسبع وستون وثلاث</t>
  </si>
  <si>
    <t>ستمائة وسبع وستون وأربع</t>
  </si>
  <si>
    <t>ستمائة وسبع وستون ونصف</t>
  </si>
  <si>
    <t>ستمائة وسبع وستون وست</t>
  </si>
  <si>
    <t>ستمائة وسبع وستون وسبع</t>
  </si>
  <si>
    <t>ستمائة وسبع وستون وثمان</t>
  </si>
  <si>
    <t>ثمــــــــــان مائة  واحدى عشرة واثنتان</t>
  </si>
  <si>
    <t>ثمــــــــــان مائة  واحدى عشرة وثلاث</t>
  </si>
  <si>
    <t>ثمــــــــــان مائة  واحدى عشرة وأربع</t>
  </si>
  <si>
    <t>تسع مائة وثمانون وأربع</t>
  </si>
  <si>
    <t>النصفى</t>
  </si>
  <si>
    <t>Nama</t>
  </si>
  <si>
    <t>Rangking</t>
  </si>
  <si>
    <t>Merah %</t>
  </si>
  <si>
    <t>Jumlah Nilai</t>
  </si>
  <si>
    <t>Tahun Pelajaran</t>
  </si>
  <si>
    <t>A</t>
  </si>
  <si>
    <t>Nama Lembaga</t>
  </si>
  <si>
    <t>Status Akreditasi</t>
  </si>
  <si>
    <t>Nama Kepala</t>
  </si>
  <si>
    <t>NIP</t>
  </si>
  <si>
    <t>Alamat Sekolah</t>
  </si>
  <si>
    <t>Matematika</t>
  </si>
  <si>
    <t>Kota</t>
  </si>
  <si>
    <t>Fisika</t>
  </si>
  <si>
    <t>No. Telepon</t>
  </si>
  <si>
    <t>Kimia</t>
  </si>
  <si>
    <t xml:space="preserve">E-mail </t>
  </si>
  <si>
    <t>Biologi</t>
  </si>
  <si>
    <t>Website</t>
  </si>
  <si>
    <t>Sosiologi</t>
  </si>
  <si>
    <t>Geografi</t>
  </si>
  <si>
    <t>DATA  KELAS DAN TAHUN PELAJARAN</t>
  </si>
  <si>
    <t>Ekonomi</t>
  </si>
  <si>
    <t>Sejarah</t>
  </si>
  <si>
    <t>MA Daarul Uluum Lido</t>
  </si>
  <si>
    <t>Deden Priatna, M.Pd.I</t>
  </si>
  <si>
    <t>Jl. Mayjen HR Edi Sukma KM 22</t>
  </si>
  <si>
    <t>Kab. Bogor</t>
  </si>
  <si>
    <t>ArabLisan</t>
  </si>
  <si>
    <t>InggrisLisan</t>
  </si>
  <si>
    <t>FiqhLisan</t>
  </si>
  <si>
    <t>Arab</t>
  </si>
  <si>
    <t>Tarikh</t>
  </si>
  <si>
    <t>Sharaf</t>
  </si>
  <si>
    <t>Grammer</t>
  </si>
  <si>
    <t>Inggris</t>
  </si>
  <si>
    <t>UsulFiqh</t>
  </si>
  <si>
    <t>Mutholaah</t>
  </si>
  <si>
    <t>Nahwu</t>
  </si>
  <si>
    <t>Tarbiyah</t>
  </si>
  <si>
    <t>Balagoh</t>
  </si>
  <si>
    <t>Indonesia</t>
  </si>
  <si>
    <t>Pkn</t>
  </si>
  <si>
    <t>Ilmu Hadits</t>
  </si>
  <si>
    <t>Semester</t>
  </si>
  <si>
    <t>TABEL SEMESTER</t>
  </si>
  <si>
    <t>النقلي</t>
  </si>
  <si>
    <t>Genap</t>
  </si>
  <si>
    <t>Ganjil</t>
  </si>
  <si>
    <t>Faroid</t>
  </si>
  <si>
    <t>Tafsir</t>
  </si>
  <si>
    <t>AhlamKhoiriyah</t>
  </si>
  <si>
    <t>AisyahNurbaktiah</t>
  </si>
  <si>
    <t>Anna ZakiahDerajat</t>
  </si>
  <si>
    <t>ArifahNurNailurfar</t>
  </si>
  <si>
    <t>BellindaGadisAbida</t>
  </si>
  <si>
    <t>DwiNurzakiyah</t>
  </si>
  <si>
    <t>FauziahAbabil</t>
  </si>
  <si>
    <t>Fivty Octavia Astuti</t>
  </si>
  <si>
    <t>JihanFaziraHusaeni</t>
  </si>
  <si>
    <t>JosyNovitaPrasetya</t>
  </si>
  <si>
    <t>KhildaFatiyah</t>
  </si>
  <si>
    <t>KhoirunnisaAlawiyah</t>
  </si>
  <si>
    <t>Lu'luMuslihah</t>
  </si>
  <si>
    <t>MayherlisLauliaHidayat</t>
  </si>
  <si>
    <t>MeisinSeptiana Sari</t>
  </si>
  <si>
    <t>Nina NurAnggraeni</t>
  </si>
  <si>
    <t>NisaNuraida</t>
  </si>
  <si>
    <t>NurAzizah</t>
  </si>
  <si>
    <t>Rani DwiHandayani</t>
  </si>
  <si>
    <t>Rani Sofiati Fernanda</t>
  </si>
  <si>
    <t>RusdiantiCahyani</t>
  </si>
  <si>
    <t>SaviraWidiastuti</t>
  </si>
  <si>
    <t>ShofiMaulida</t>
  </si>
  <si>
    <t>SitaAmaliah</t>
  </si>
  <si>
    <t>SitiMasitoh</t>
  </si>
  <si>
    <t>SitiPatimah</t>
  </si>
  <si>
    <t>SopiahMardiah</t>
  </si>
  <si>
    <t>Sri Yuningsih</t>
  </si>
  <si>
    <t>Tiara Fitriany</t>
  </si>
  <si>
    <t>Tiara Safitri</t>
  </si>
  <si>
    <t>TsamaraAthaya Zahra</t>
  </si>
  <si>
    <t>Yeti Nurhasanah</t>
  </si>
  <si>
    <t>Yulia Rahman</t>
  </si>
  <si>
    <t>Yusgie Sevyahasna</t>
  </si>
  <si>
    <t>الخامس  B</t>
  </si>
  <si>
    <t>Iim Rohimawati, SE</t>
  </si>
  <si>
    <t>2014/2015</t>
  </si>
  <si>
    <t>1INT A</t>
  </si>
  <si>
    <t>1INT B</t>
  </si>
  <si>
    <t>1INT C</t>
  </si>
  <si>
    <t>3INT A</t>
  </si>
  <si>
    <t>3INT B</t>
  </si>
  <si>
    <t>3INT C</t>
  </si>
  <si>
    <t>4 B</t>
  </si>
  <si>
    <t>4 C</t>
  </si>
  <si>
    <t>4 D</t>
  </si>
  <si>
    <t>5 B</t>
  </si>
  <si>
    <t>5 C</t>
  </si>
  <si>
    <t>5 D</t>
  </si>
  <si>
    <t>5 E</t>
  </si>
  <si>
    <t>4 A</t>
  </si>
  <si>
    <t>الخامس  C</t>
  </si>
  <si>
    <t>الخامس  D</t>
  </si>
  <si>
    <t>الخامس  E</t>
  </si>
  <si>
    <t>الخامس  A</t>
  </si>
  <si>
    <t xml:space="preserve">No </t>
  </si>
  <si>
    <t>Pelajaran Latin</t>
  </si>
  <si>
    <t>Pelajaran Arab</t>
  </si>
  <si>
    <t>SKS</t>
  </si>
  <si>
    <t>Vika Adib Hasan &amp; Rifqoh</t>
  </si>
  <si>
    <t>Kamalludin &amp; Choirunnisya</t>
  </si>
  <si>
    <t>Sugifah Hilmiah, S.Pd.I</t>
  </si>
  <si>
    <t>AZHARI MUCHTAR, S. Ag</t>
  </si>
  <si>
    <t>ASMAWI, M.Pd.I</t>
  </si>
  <si>
    <t>Yusuf , S.Ag</t>
  </si>
  <si>
    <t>Mayang Puspasari, S.Pd.</t>
  </si>
  <si>
    <t>Rudi Hartono, M.S.Kom</t>
  </si>
  <si>
    <t>Upi Supriyati, S.Pd.I</t>
  </si>
  <si>
    <t>H. Yalet N, S.Ag</t>
  </si>
  <si>
    <t>Kasman Kurip, S.Pd</t>
  </si>
  <si>
    <t>Ahmad Yunani, S.Pd.I</t>
  </si>
  <si>
    <t>Syuhud, S.Pd.I</t>
  </si>
  <si>
    <t>Asep Sugandi  Muta'biah</t>
  </si>
  <si>
    <t>Kelas</t>
  </si>
  <si>
    <t>الأول المكثف C</t>
  </si>
  <si>
    <t>الأول المكثف B</t>
  </si>
  <si>
    <t>الأول المكثف A</t>
  </si>
  <si>
    <t>الثالث المكثف C</t>
  </si>
  <si>
    <t>الثالث المكثف A</t>
  </si>
  <si>
    <t>الثالث المكثف B</t>
  </si>
  <si>
    <t>الرابع B</t>
  </si>
  <si>
    <t>الرابع A</t>
  </si>
  <si>
    <t>الرابع C</t>
  </si>
  <si>
    <t>الرابع D</t>
  </si>
  <si>
    <t>JumlahNilai</t>
  </si>
  <si>
    <t>Rata Rata</t>
  </si>
  <si>
    <t>Merah</t>
  </si>
  <si>
    <t>No</t>
  </si>
  <si>
    <t>TABLE NILAI RATA</t>
  </si>
  <si>
    <t>PKN</t>
  </si>
  <si>
    <t>TABEL PELAJARAN / KELAS IPA / UMUM</t>
  </si>
  <si>
    <t>TABEL PELAJARAN / KELAS IPS</t>
  </si>
  <si>
    <t>Kelas Latin</t>
  </si>
  <si>
    <t>Jurusan</t>
  </si>
  <si>
    <t>Kelas Arab</t>
  </si>
  <si>
    <t>Wali Kelas</t>
  </si>
  <si>
    <t>IPA</t>
  </si>
  <si>
    <t>IPS</t>
  </si>
  <si>
    <t>BIOLOGI</t>
  </si>
  <si>
    <t>Nama Santri</t>
  </si>
  <si>
    <t>5 A</t>
  </si>
  <si>
    <t>Ust. Muhammad Yazid Dimyati, S.Th.I, Lc</t>
  </si>
  <si>
    <t>TABEL MASTER PELAJARAN</t>
  </si>
  <si>
    <t>TABLE MASTER KELAS</t>
  </si>
  <si>
    <t>Jml Santri</t>
  </si>
  <si>
    <t>Jml Pelajaran</t>
  </si>
  <si>
    <t>Tabel Sekolah dan Tahun Pelajaran</t>
  </si>
  <si>
    <t>dfdfghfdfg</t>
  </si>
  <si>
    <t>Harian</t>
  </si>
  <si>
    <t>UTS</t>
  </si>
  <si>
    <t>UAS</t>
  </si>
  <si>
    <t>Akhir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</si>
</sst>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164" formatCode="0.0"/>
    <numFmt numFmtId="165" formatCode="[$-1090000]d\ mmmm\ yyyy;@"/>
    <numFmt numFmtId="166" formatCode="[$-1060401]B2d\ mmmm\ yyyy;@"/>
    <numFmt numFmtId="167" formatCode="[$-10B0000]d\ mmmm\ yyyy;@"/>
    <numFmt numFmtId="168" formatCode="[Red][&lt;4.9]General;[Black][&gt;=4.9]General"/>
    <numFmt numFmtId="169" formatCode="_(* #,##0.0_);_(* \(#,##0.0\);_(* &quot;-&quot;_);_(@_)"/>
    <numFmt numFmtId="170" formatCode="[$-2060000]B2yyyy/mm/dd;@"/>
  </numFmts>
  <fonts count="82" x14ac:knownFonts="1">
    <font>
      <sz val="11"/>
      <color theme="1"/>
      <name val="Calibri"/>
      <family val="2"/>
    </font>
    <font>
      <b/>
      <sz val="12"/>
      <name val="Times New Roman"/>
      <family val="1"/>
    </font>
    <font>
      <b/>
      <sz val="14"/>
      <name val="Arial"/>
      <family val="2"/>
    </font>
    <font>
      <b/>
      <sz val="14"/>
      <name val="Times New Roman"/>
      <family val="1"/>
    </font>
    <font>
      <b/>
      <sz val="12"/>
      <name val="Arial"/>
      <family val="2"/>
    </font>
    <font>
      <b/>
      <sz val="12"/>
      <color indexed="8"/>
      <name val="Times New Roman"/>
      <family val="1"/>
    </font>
    <font>
      <sz val="12"/>
      <name val="Arial"/>
      <family val="2"/>
    </font>
    <font>
      <b/>
      <sz val="12"/>
      <name val="Arabic Transparent"/>
      <charset val="178"/>
    </font>
    <font>
      <b/>
      <sz val="16"/>
      <name val="Arial"/>
      <family val="2"/>
    </font>
    <font>
      <b/>
      <sz val="12"/>
      <color indexed="8"/>
      <name val="Arabic Transparent"/>
      <charset val="178"/>
    </font>
    <font>
      <sz val="10"/>
      <name val="Arial"/>
      <family val="2"/>
    </font>
    <font>
      <sz val="11"/>
      <color indexed="8"/>
      <name val="Calibri"/>
      <family val="2"/>
    </font>
    <font>
      <sz val="36"/>
      <name val="Arabic Typesetting"/>
      <family val="4"/>
    </font>
    <font>
      <sz val="18"/>
      <name val="Arabic Typesetting"/>
      <family val="4"/>
    </font>
    <font>
      <sz val="14"/>
      <name val="Arabic Typesetting"/>
      <family val="4"/>
    </font>
    <font>
      <sz val="16"/>
      <name val="Arabic Typesetting"/>
      <family val="4"/>
    </font>
    <font>
      <b/>
      <sz val="18"/>
      <name val="Arabic Typesetting"/>
      <family val="4"/>
    </font>
    <font>
      <sz val="12"/>
      <name val="Arabic Typesetting"/>
      <family val="4"/>
    </font>
    <font>
      <b/>
      <sz val="22"/>
      <color indexed="10"/>
      <name val="Arabic Typesetting"/>
      <family val="4"/>
    </font>
    <font>
      <sz val="28"/>
      <name val="Arabic Typesetting"/>
      <family val="4"/>
    </font>
    <font>
      <sz val="10"/>
      <name val="Arabic Typesetting"/>
      <family val="4"/>
    </font>
    <font>
      <b/>
      <sz val="11"/>
      <color indexed="8"/>
      <name val="Arabic Typesetting"/>
      <family val="4"/>
    </font>
    <font>
      <b/>
      <sz val="7.5"/>
      <name val="Arabic Typesetting"/>
      <family val="4"/>
    </font>
    <font>
      <sz val="7.5"/>
      <name val="Arabic Typesetting"/>
      <family val="4"/>
    </font>
    <font>
      <sz val="5"/>
      <name val="Arabic Typesetting"/>
      <family val="4"/>
    </font>
    <font>
      <b/>
      <sz val="12"/>
      <name val="Arabic Typesetting"/>
      <family val="4"/>
    </font>
    <font>
      <sz val="10"/>
      <color indexed="8"/>
      <name val="Arabic Typesetting"/>
      <family val="4"/>
    </font>
    <font>
      <sz val="20"/>
      <name val="Arabic Typesetting"/>
      <family val="4"/>
    </font>
    <font>
      <b/>
      <sz val="11"/>
      <name val="Arabic Typesetting"/>
      <family val="4"/>
    </font>
    <font>
      <u/>
      <sz val="9.8000000000000007"/>
      <color theme="10"/>
      <name val="Calibri"/>
      <family val="2"/>
    </font>
    <font>
      <b/>
      <sz val="22"/>
      <name val="Arabic Typesetting"/>
      <family val="4"/>
    </font>
    <font>
      <b/>
      <sz val="16"/>
      <name val="Arabic Typesetting"/>
      <family val="4"/>
    </font>
    <font>
      <b/>
      <sz val="24"/>
      <name val="Arabic Typesetting"/>
      <family val="4"/>
    </font>
    <font>
      <b/>
      <sz val="14"/>
      <name val="Arabic Typesetting"/>
      <family val="4"/>
    </font>
    <font>
      <b/>
      <sz val="26"/>
      <name val="Arabic Typesetting"/>
      <family val="4"/>
    </font>
    <font>
      <b/>
      <sz val="20"/>
      <name val="Arabic Typesetting"/>
      <family val="4"/>
    </font>
    <font>
      <b/>
      <sz val="13"/>
      <name val="Arabic Typesetting"/>
      <family val="4"/>
    </font>
    <font>
      <sz val="13"/>
      <name val="Arabic Typesetting"/>
      <family val="4"/>
    </font>
    <font>
      <sz val="15"/>
      <name val="Arabic Typesetting"/>
      <family val="4"/>
    </font>
    <font>
      <sz val="11"/>
      <name val="Arabic Typesetting"/>
      <family val="4"/>
    </font>
    <font>
      <sz val="8"/>
      <name val="Arabic Typesetting"/>
      <family val="4"/>
    </font>
    <font>
      <sz val="12"/>
      <color theme="0" tint="-0.34998626667073579"/>
      <name val="Arabic Typesetting"/>
      <family val="4"/>
    </font>
    <font>
      <sz val="12"/>
      <color indexed="9"/>
      <name val="Arabic Typesetting"/>
      <family val="4"/>
    </font>
    <font>
      <b/>
      <sz val="24"/>
      <color indexed="9"/>
      <name val="Arabic Typesetting"/>
      <family val="4"/>
    </font>
    <font>
      <b/>
      <sz val="9"/>
      <color theme="1"/>
      <name val="Cambria"/>
      <family val="1"/>
      <scheme val="major"/>
    </font>
    <font>
      <b/>
      <sz val="11"/>
      <color theme="1"/>
      <name val="Calibri"/>
      <family val="2"/>
    </font>
    <font>
      <b/>
      <sz val="12"/>
      <color theme="0" tint="-0.34998626667073579"/>
      <name val="Arabic Typesetting"/>
      <family val="4"/>
    </font>
    <font>
      <b/>
      <sz val="22"/>
      <color theme="0" tint="-0.34998626667073579"/>
      <name val="Arabic Typesetting"/>
      <family val="4"/>
    </font>
    <font>
      <b/>
      <sz val="24"/>
      <color theme="0" tint="-0.34998626667073579"/>
      <name val="Arabic Typesetting"/>
      <family val="4"/>
    </font>
    <font>
      <b/>
      <sz val="14"/>
      <color rgb="FFFF0000"/>
      <name val="Arabic Typesetting"/>
      <family val="4"/>
    </font>
    <font>
      <b/>
      <sz val="12"/>
      <color rgb="FFFF0000"/>
      <name val="Arabic Typesetting"/>
      <family val="4"/>
    </font>
    <font>
      <b/>
      <sz val="26"/>
      <color rgb="FFFF0000"/>
      <name val="Arabic Typesetting"/>
      <family val="4"/>
    </font>
    <font>
      <b/>
      <sz val="20"/>
      <color rgb="FFFF0000"/>
      <name val="Arabic Typesetting"/>
      <family val="4"/>
    </font>
    <font>
      <sz val="18"/>
      <color rgb="FFFF0000"/>
      <name val="Arabic Typesetting"/>
      <family val="4"/>
    </font>
    <font>
      <b/>
      <sz val="18"/>
      <color rgb="FFFF0000"/>
      <name val="Arabic Typesetting"/>
      <family val="4"/>
    </font>
    <font>
      <b/>
      <sz val="22"/>
      <color theme="1" tint="4.9989318521683403E-2"/>
      <name val="Arabic Typesetting"/>
      <family val="4"/>
    </font>
    <font>
      <b/>
      <sz val="14"/>
      <color theme="1" tint="4.9989318521683403E-2"/>
      <name val="Arabic Typesetting"/>
      <family val="4"/>
    </font>
    <font>
      <b/>
      <sz val="20"/>
      <color theme="1" tint="4.9989318521683403E-2"/>
      <name val="Arabic Typesetting"/>
      <family val="4"/>
    </font>
    <font>
      <sz val="18"/>
      <color theme="1" tint="4.9989318521683403E-2"/>
      <name val="Arabic Typesetting"/>
      <family val="4"/>
    </font>
    <font>
      <b/>
      <sz val="18"/>
      <color theme="1" tint="4.9989318521683403E-2"/>
      <name val="Arabic Typesetting"/>
      <family val="4"/>
    </font>
    <font>
      <sz val="16"/>
      <color theme="1" tint="4.9989318521683403E-2"/>
      <name val="Arabic Typesetting"/>
      <family val="4"/>
    </font>
    <font>
      <sz val="13"/>
      <color theme="1" tint="4.9989318521683403E-2"/>
      <name val="Arabic Typesetting"/>
      <family val="4"/>
    </font>
    <font>
      <sz val="11"/>
      <color theme="1" tint="4.9989318521683403E-2"/>
      <name val="Calibri"/>
      <family val="2"/>
    </font>
    <font>
      <sz val="12"/>
      <color theme="1" tint="4.9989318521683403E-2"/>
      <name val="Arabic Typesetting"/>
      <family val="4"/>
    </font>
    <font>
      <sz val="11"/>
      <color theme="1"/>
      <name val="Calibri"/>
      <family val="2"/>
    </font>
    <font>
      <sz val="10"/>
      <color theme="0" tint="-0.14999847407452621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</font>
    <font>
      <sz val="12"/>
      <color theme="1"/>
      <name val="Calibri"/>
      <family val="2"/>
    </font>
    <font>
      <b/>
      <sz val="12"/>
      <color theme="1"/>
      <name val="Adobe Caslon Pro"/>
      <family val="1"/>
    </font>
    <font>
      <sz val="16"/>
      <color theme="1"/>
      <name val="Arabic Typesetting"/>
      <family val="4"/>
    </font>
    <font>
      <sz val="11"/>
      <color rgb="FF000000"/>
      <name val="Calibri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u/>
      <sz val="11"/>
      <color theme="10"/>
      <name val="Calibri"/>
      <family val="2"/>
      <charset val="1"/>
    </font>
    <font>
      <b/>
      <sz val="11"/>
      <color indexed="12"/>
      <name val="Arial"/>
      <family val="2"/>
    </font>
    <font>
      <sz val="9"/>
      <name val="Arabic Typesetting"/>
      <family val="4"/>
    </font>
    <font>
      <sz val="14"/>
      <name val="Arial"/>
      <family val="2"/>
    </font>
    <font>
      <sz val="12"/>
      <color theme="0" tint="-0.14999847407452621"/>
      <name val="Arabic Typesetting"/>
      <family val="4"/>
    </font>
    <font>
      <sz val="9"/>
      <color indexed="8"/>
      <name val="Arabic Typesetting"/>
      <family val="4"/>
    </font>
    <font>
      <sz val="10"/>
      <color rgb="FFFF0000"/>
      <name val="Arabic Typesetting"/>
      <family val="4"/>
    </font>
  </fonts>
  <fills count="1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00"/>
        <bgColor indexed="64"/>
      </patternFill>
    </fill>
  </fills>
  <borders count="9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theme="3" tint="-0.24994659260841701"/>
      </left>
      <right/>
      <top style="medium">
        <color theme="3" tint="-0.24994659260841701"/>
      </top>
      <bottom style="medium">
        <color theme="3" tint="-0.24994659260841701"/>
      </bottom>
      <diagonal/>
    </border>
    <border>
      <left/>
      <right/>
      <top style="medium">
        <color theme="3" tint="-0.24994659260841701"/>
      </top>
      <bottom style="medium">
        <color theme="3" tint="-0.24994659260841701"/>
      </bottom>
      <diagonal/>
    </border>
    <border>
      <left/>
      <right style="medium">
        <color theme="3" tint="-0.24994659260841701"/>
      </right>
      <top style="medium">
        <color theme="3" tint="-0.24994659260841701"/>
      </top>
      <bottom style="medium">
        <color theme="3" tint="-0.2499465926084170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FF00"/>
      </left>
      <right style="thin">
        <color auto="1"/>
      </right>
      <top style="medium">
        <color rgb="FF00FF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rgb="FF00FF00"/>
      </top>
      <bottom style="thin">
        <color auto="1"/>
      </bottom>
      <diagonal/>
    </border>
    <border>
      <left/>
      <right/>
      <top style="medium">
        <color rgb="FF00FF00"/>
      </top>
      <bottom/>
      <diagonal/>
    </border>
    <border>
      <left style="thin">
        <color auto="1"/>
      </left>
      <right style="medium">
        <color rgb="FF00FF00"/>
      </right>
      <top style="medium">
        <color rgb="FF00FF00"/>
      </top>
      <bottom style="thin">
        <color auto="1"/>
      </bottom>
      <diagonal/>
    </border>
    <border>
      <left style="medium">
        <color rgb="FF00FF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rgb="FF00FF00"/>
      </right>
      <top style="thin">
        <color auto="1"/>
      </top>
      <bottom style="thin">
        <color auto="1"/>
      </bottom>
      <diagonal/>
    </border>
    <border>
      <left style="medium">
        <color rgb="FF00FF00"/>
      </left>
      <right style="thin">
        <color auto="1"/>
      </right>
      <top style="thin">
        <color auto="1"/>
      </top>
      <bottom style="medium">
        <color rgb="FF00FF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00FF00"/>
      </bottom>
      <diagonal/>
    </border>
    <border>
      <left/>
      <right/>
      <top/>
      <bottom style="medium">
        <color rgb="FF00FF00"/>
      </bottom>
      <diagonal/>
    </border>
    <border>
      <left style="thin">
        <color auto="1"/>
      </left>
      <right style="medium">
        <color rgb="FF00FF00"/>
      </right>
      <top style="thin">
        <color auto="1"/>
      </top>
      <bottom style="medium">
        <color rgb="FF00FF00"/>
      </bottom>
      <diagonal/>
    </border>
    <border>
      <left/>
      <right/>
      <top/>
      <bottom style="medium">
        <color theme="3" tint="-0.24994659260841701"/>
      </bottom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0">
    <xf numFmtId="0" fontId="0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10" fillId="0" borderId="0"/>
    <xf numFmtId="9" fontId="11" fillId="0" borderId="0" applyFont="0" applyFill="0" applyBorder="0" applyAlignment="0" applyProtection="0"/>
    <xf numFmtId="0" fontId="64" fillId="0" borderId="0"/>
    <xf numFmtId="0" fontId="64" fillId="0" borderId="0"/>
    <xf numFmtId="0" fontId="64" fillId="0" borderId="0"/>
    <xf numFmtId="0" fontId="64" fillId="0" borderId="0"/>
    <xf numFmtId="41" fontId="64" fillId="0" borderId="0" applyFont="0" applyFill="0" applyBorder="0" applyAlignment="0" applyProtection="0"/>
    <xf numFmtId="0" fontId="76" fillId="0" borderId="0">
      <alignment horizontal="left" vertical="center" indent="1"/>
    </xf>
  </cellStyleXfs>
  <cellXfs count="551">
    <xf numFmtId="0" fontId="0" fillId="0" borderId="0" xfId="0"/>
    <xf numFmtId="164" fontId="1" fillId="0" borderId="0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4" fontId="1" fillId="0" borderId="7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164" fontId="1" fillId="0" borderId="8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right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4" fillId="0" borderId="3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6" xfId="0" applyFont="1" applyBorder="1" applyAlignment="1">
      <alignment horizontal="right" vertical="center"/>
    </xf>
    <xf numFmtId="0" fontId="17" fillId="0" borderId="0" xfId="0" applyFont="1" applyFill="1" applyAlignment="1" applyProtection="1">
      <alignment vertical="center"/>
      <protection locked="0" hidden="1"/>
    </xf>
    <xf numFmtId="0" fontId="17" fillId="0" borderId="0" xfId="0" applyFont="1" applyFill="1" applyAlignment="1" applyProtection="1">
      <alignment horizontal="right" vertical="center"/>
      <protection locked="0" hidden="1"/>
    </xf>
    <xf numFmtId="0" fontId="18" fillId="0" borderId="0" xfId="1" applyFont="1" applyFill="1" applyAlignment="1" applyProtection="1">
      <alignment vertical="center"/>
      <protection locked="0" hidden="1"/>
    </xf>
    <xf numFmtId="164" fontId="17" fillId="0" borderId="0" xfId="0" applyNumberFormat="1" applyFont="1" applyFill="1" applyAlignment="1" applyProtection="1">
      <alignment vertical="center"/>
      <protection locked="0" hidden="1"/>
    </xf>
    <xf numFmtId="0" fontId="13" fillId="0" borderId="0" xfId="0" applyFont="1" applyFill="1" applyProtection="1">
      <protection locked="0" hidden="1"/>
    </xf>
    <xf numFmtId="164" fontId="19" fillId="0" borderId="0" xfId="0" applyNumberFormat="1" applyFont="1" applyFill="1" applyBorder="1" applyAlignment="1"/>
    <xf numFmtId="0" fontId="16" fillId="0" borderId="0" xfId="0" applyFont="1" applyFill="1" applyProtection="1">
      <protection locked="0" hidden="1"/>
    </xf>
    <xf numFmtId="164" fontId="14" fillId="0" borderId="0" xfId="0" applyNumberFormat="1" applyFont="1" applyFill="1" applyBorder="1" applyAlignment="1" applyProtection="1">
      <alignment horizontal="center"/>
      <protection locked="0" hidden="1"/>
    </xf>
    <xf numFmtId="164" fontId="14" fillId="0" borderId="0" xfId="0" applyNumberFormat="1" applyFont="1" applyFill="1" applyProtection="1">
      <protection locked="0" hidden="1"/>
    </xf>
    <xf numFmtId="164" fontId="14" fillId="0" borderId="0" xfId="0" applyNumberFormat="1" applyFont="1" applyFill="1" applyBorder="1" applyAlignment="1" applyProtection="1">
      <alignment horizontal="left"/>
      <protection locked="0" hidden="1"/>
    </xf>
    <xf numFmtId="164" fontId="13" fillId="0" borderId="0" xfId="0" applyNumberFormat="1" applyFont="1" applyFill="1" applyBorder="1" applyAlignment="1" applyProtection="1">
      <alignment horizontal="center"/>
      <protection locked="0" hidden="1"/>
    </xf>
    <xf numFmtId="1" fontId="14" fillId="0" borderId="0" xfId="0" applyNumberFormat="1" applyFont="1" applyFill="1" applyBorder="1" applyAlignment="1" applyProtection="1">
      <protection locked="0" hidden="1"/>
    </xf>
    <xf numFmtId="0" fontId="14" fillId="0" borderId="0" xfId="0" applyFont="1" applyFill="1" applyProtection="1">
      <protection locked="0" hidden="1"/>
    </xf>
    <xf numFmtId="1" fontId="14" fillId="0" borderId="0" xfId="0" applyNumberFormat="1" applyFont="1" applyFill="1" applyAlignment="1" applyProtection="1">
      <alignment horizontal="left"/>
      <protection locked="0" hidden="1"/>
    </xf>
    <xf numFmtId="0" fontId="16" fillId="0" borderId="0" xfId="0" applyFont="1" applyFill="1" applyAlignment="1" applyProtection="1">
      <alignment vertical="center"/>
      <protection locked="0" hidden="1"/>
    </xf>
    <xf numFmtId="0" fontId="20" fillId="0" borderId="0" xfId="0" applyFont="1" applyFill="1" applyProtection="1">
      <protection locked="0" hidden="1"/>
    </xf>
    <xf numFmtId="164" fontId="23" fillId="0" borderId="15" xfId="0" applyNumberFormat="1" applyFont="1" applyFill="1" applyBorder="1" applyProtection="1">
      <protection locked="0" hidden="1"/>
    </xf>
    <xf numFmtId="164" fontId="23" fillId="0" borderId="16" xfId="0" applyNumberFormat="1" applyFont="1" applyFill="1" applyBorder="1" applyProtection="1">
      <protection locked="0" hidden="1"/>
    </xf>
    <xf numFmtId="0" fontId="26" fillId="0" borderId="0" xfId="0" applyFont="1" applyFill="1" applyProtection="1">
      <protection locked="0" hidden="1"/>
    </xf>
    <xf numFmtId="164" fontId="26" fillId="0" borderId="0" xfId="0" applyNumberFormat="1" applyFont="1" applyFill="1" applyProtection="1">
      <protection locked="0" hidden="1"/>
    </xf>
    <xf numFmtId="0" fontId="26" fillId="0" borderId="0" xfId="0" applyFont="1" applyFill="1" applyAlignment="1" applyProtection="1">
      <alignment horizontal="left"/>
      <protection locked="0" hidden="1"/>
    </xf>
    <xf numFmtId="164" fontId="27" fillId="0" borderId="0" xfId="0" applyNumberFormat="1" applyFont="1" applyFill="1" applyBorder="1" applyAlignment="1" applyProtection="1">
      <alignment horizontal="center"/>
      <protection locked="0" hidden="1"/>
    </xf>
    <xf numFmtId="164" fontId="27" fillId="0" borderId="0" xfId="0" applyNumberFormat="1" applyFont="1" applyFill="1" applyProtection="1">
      <protection locked="0" hidden="1"/>
    </xf>
    <xf numFmtId="0" fontId="17" fillId="2" borderId="0" xfId="0" applyFont="1" applyFill="1" applyAlignment="1">
      <alignment vertical="center"/>
    </xf>
    <xf numFmtId="0" fontId="25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right" vertical="center"/>
    </xf>
    <xf numFmtId="0" fontId="30" fillId="2" borderId="0" xfId="1" applyFont="1" applyFill="1" applyAlignment="1" applyProtection="1">
      <alignment vertical="center"/>
    </xf>
    <xf numFmtId="0" fontId="31" fillId="0" borderId="5" xfId="0" applyFont="1" applyFill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64" fontId="32" fillId="3" borderId="32" xfId="0" applyNumberFormat="1" applyFont="1" applyFill="1" applyBorder="1" applyAlignment="1">
      <alignment vertical="center"/>
    </xf>
    <xf numFmtId="0" fontId="33" fillId="0" borderId="0" xfId="0" applyFont="1" applyAlignment="1" applyProtection="1">
      <alignment vertical="center"/>
      <protection locked="0" hidden="1"/>
    </xf>
    <xf numFmtId="0" fontId="33" fillId="0" borderId="0" xfId="0" applyFont="1" applyProtection="1">
      <protection locked="0" hidden="1"/>
    </xf>
    <xf numFmtId="0" fontId="25" fillId="0" borderId="13" xfId="2" applyFont="1" applyBorder="1" applyAlignment="1">
      <alignment horizontal="right" vertical="center"/>
    </xf>
    <xf numFmtId="0" fontId="36" fillId="0" borderId="0" xfId="0" applyFont="1" applyAlignment="1" applyProtection="1">
      <alignment vertical="center"/>
      <protection locked="0" hidden="1"/>
    </xf>
    <xf numFmtId="0" fontId="36" fillId="0" borderId="0" xfId="0" applyFont="1" applyAlignment="1" applyProtection="1">
      <protection locked="0" hidden="1"/>
    </xf>
    <xf numFmtId="0" fontId="33" fillId="0" borderId="0" xfId="0" applyFont="1" applyFill="1" applyBorder="1" applyAlignment="1" applyProtection="1">
      <alignment vertical="center"/>
      <protection locked="0" hidden="1"/>
    </xf>
    <xf numFmtId="0" fontId="14" fillId="0" borderId="0" xfId="0" applyFont="1" applyFill="1" applyBorder="1" applyAlignment="1" applyProtection="1">
      <alignment vertical="center"/>
      <protection locked="0" hidden="1"/>
    </xf>
    <xf numFmtId="164" fontId="14" fillId="0" borderId="0" xfId="0" applyNumberFormat="1" applyFont="1" applyFill="1" applyBorder="1" applyAlignment="1" applyProtection="1">
      <alignment horizontal="center" vertical="center"/>
      <protection locked="0" hidden="1"/>
    </xf>
    <xf numFmtId="0" fontId="33" fillId="0" borderId="0" xfId="0" applyFont="1" applyFill="1" applyBorder="1" applyProtection="1">
      <protection locked="0" hidden="1"/>
    </xf>
    <xf numFmtId="0" fontId="25" fillId="0" borderId="0" xfId="2" applyFont="1" applyFill="1" applyBorder="1" applyAlignment="1">
      <alignment horizontal="right" vertical="center"/>
    </xf>
    <xf numFmtId="0" fontId="33" fillId="0" borderId="0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33" fillId="0" borderId="0" xfId="0" applyFont="1" applyFill="1" applyBorder="1"/>
    <xf numFmtId="0" fontId="14" fillId="0" borderId="0" xfId="0" applyFont="1" applyFill="1" applyBorder="1" applyAlignment="1" applyProtection="1">
      <alignment horizontal="center" vertical="center"/>
      <protection locked="0" hidden="1"/>
    </xf>
    <xf numFmtId="164" fontId="17" fillId="0" borderId="0" xfId="0" applyNumberFormat="1" applyFont="1" applyFill="1" applyBorder="1" applyAlignment="1" applyProtection="1">
      <alignment horizontal="center" vertical="center"/>
      <protection locked="0" hidden="1"/>
    </xf>
    <xf numFmtId="0" fontId="17" fillId="0" borderId="0" xfId="0" applyFont="1" applyFill="1" applyBorder="1" applyAlignment="1" applyProtection="1">
      <alignment vertical="center"/>
      <protection locked="0" hidden="1"/>
    </xf>
    <xf numFmtId="0" fontId="17" fillId="0" borderId="0" xfId="0" applyFont="1" applyFill="1" applyBorder="1" applyAlignment="1" applyProtection="1">
      <alignment horizontal="center" vertical="center"/>
      <protection locked="0" hidden="1"/>
    </xf>
    <xf numFmtId="164" fontId="40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17" fillId="0" borderId="0" xfId="0" applyNumberFormat="1" applyFont="1" applyFill="1" applyBorder="1" applyAlignment="1" applyProtection="1">
      <alignment horizontal="left" vertical="center"/>
      <protection locked="0"/>
    </xf>
    <xf numFmtId="164" fontId="17" fillId="0" borderId="0" xfId="0" applyNumberFormat="1" applyFont="1" applyFill="1" applyBorder="1" applyAlignment="1" applyProtection="1">
      <alignment vertical="center"/>
      <protection locked="0"/>
    </xf>
    <xf numFmtId="164" fontId="17" fillId="0" borderId="0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Fill="1" applyBorder="1" applyAlignment="1" applyProtection="1">
      <alignment horizontal="right" vertical="center"/>
      <protection locked="0"/>
    </xf>
    <xf numFmtId="1" fontId="17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17" fillId="0" borderId="0" xfId="0" applyNumberFormat="1" applyFont="1" applyFill="1" applyBorder="1" applyAlignment="1" applyProtection="1">
      <alignment horizontal="right" vertical="center"/>
      <protection locked="0" hidden="1"/>
    </xf>
    <xf numFmtId="1" fontId="17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165" fontId="17" fillId="0" borderId="0" xfId="0" applyNumberFormat="1" applyFont="1" applyFill="1" applyBorder="1" applyAlignment="1" applyProtection="1">
      <alignment horizontal="left" vertical="center"/>
      <protection locked="0" hidden="1"/>
    </xf>
    <xf numFmtId="166" fontId="17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14" fillId="0" borderId="0" xfId="0" applyNumberFormat="1" applyFont="1" applyFill="1" applyBorder="1" applyAlignment="1" applyProtection="1">
      <alignment vertical="center"/>
      <protection locked="0" hidden="1"/>
    </xf>
    <xf numFmtId="0" fontId="17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horizontal="right" vertical="center"/>
    </xf>
    <xf numFmtId="0" fontId="30" fillId="0" borderId="0" xfId="1" applyFont="1" applyFill="1" applyBorder="1" applyAlignment="1" applyProtection="1">
      <alignment vertical="center"/>
    </xf>
    <xf numFmtId="164" fontId="32" fillId="0" borderId="0" xfId="0" applyNumberFormat="1" applyFont="1" applyFill="1" applyBorder="1" applyAlignment="1">
      <alignment vertical="center"/>
    </xf>
    <xf numFmtId="0" fontId="25" fillId="0" borderId="0" xfId="0" applyFont="1" applyFill="1" applyBorder="1" applyAlignment="1" applyProtection="1">
      <alignment horizontal="center" vertical="center"/>
      <protection locked="0" hidden="1"/>
    </xf>
    <xf numFmtId="0" fontId="33" fillId="0" borderId="0" xfId="0" applyFont="1" applyFill="1" applyBorder="1" applyAlignment="1" applyProtection="1">
      <alignment horizontal="center" vertical="center"/>
      <protection locked="0" hidden="1"/>
    </xf>
    <xf numFmtId="164" fontId="33" fillId="0" borderId="0" xfId="0" applyNumberFormat="1" applyFont="1" applyFill="1" applyBorder="1" applyProtection="1">
      <protection locked="0" hidden="1"/>
    </xf>
    <xf numFmtId="164" fontId="33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33" fillId="0" borderId="0" xfId="0" applyNumberFormat="1" applyFont="1" applyFill="1" applyBorder="1" applyAlignment="1" applyProtection="1">
      <alignment vertical="center"/>
      <protection locked="0" hidden="1"/>
    </xf>
    <xf numFmtId="1" fontId="33" fillId="0" borderId="0" xfId="0" applyNumberFormat="1" applyFont="1" applyFill="1" applyBorder="1" applyAlignment="1" applyProtection="1">
      <alignment vertical="center"/>
      <protection locked="0" hidden="1"/>
    </xf>
    <xf numFmtId="1" fontId="35" fillId="0" borderId="0" xfId="0" applyNumberFormat="1" applyFont="1" applyFill="1" applyBorder="1" applyAlignment="1" applyProtection="1">
      <alignment vertical="center"/>
      <protection locked="0" hidden="1"/>
    </xf>
    <xf numFmtId="1" fontId="35" fillId="0" borderId="0" xfId="0" applyNumberFormat="1" applyFont="1" applyFill="1" applyBorder="1" applyAlignment="1" applyProtection="1">
      <alignment horizontal="center" vertical="center"/>
      <protection locked="0" hidden="1"/>
    </xf>
    <xf numFmtId="0" fontId="36" fillId="0" borderId="0" xfId="0" applyFont="1" applyFill="1" applyBorder="1" applyAlignment="1" applyProtection="1">
      <alignment vertical="center"/>
      <protection locked="0" hidden="1"/>
    </xf>
    <xf numFmtId="0" fontId="37" fillId="0" borderId="0" xfId="0" applyFont="1" applyFill="1" applyBorder="1" applyAlignment="1" applyProtection="1">
      <alignment vertical="center"/>
      <protection locked="0"/>
    </xf>
    <xf numFmtId="0" fontId="36" fillId="0" borderId="0" xfId="0" applyFont="1" applyFill="1" applyBorder="1" applyAlignment="1" applyProtection="1">
      <protection locked="0" hidden="1"/>
    </xf>
    <xf numFmtId="164" fontId="37" fillId="0" borderId="0" xfId="0" applyNumberFormat="1" applyFont="1" applyFill="1" applyBorder="1" applyAlignment="1" applyProtection="1">
      <alignment vertical="center"/>
      <protection locked="0"/>
    </xf>
    <xf numFmtId="164" fontId="37" fillId="0" borderId="0" xfId="0" applyNumberFormat="1" applyFont="1" applyFill="1" applyBorder="1" applyAlignment="1" applyProtection="1">
      <alignment horizontal="right" vertical="center" readingOrder="2"/>
      <protection locked="0"/>
    </xf>
    <xf numFmtId="0" fontId="37" fillId="0" borderId="0" xfId="0" applyFont="1" applyFill="1" applyBorder="1" applyAlignment="1" applyProtection="1">
      <alignment horizontal="right" vertical="center"/>
      <protection locked="0"/>
    </xf>
    <xf numFmtId="1" fontId="37" fillId="0" borderId="0" xfId="0" applyNumberFormat="1" applyFont="1" applyFill="1" applyBorder="1" applyAlignment="1" applyProtection="1">
      <alignment vertical="center" wrapText="1" readingOrder="2"/>
      <protection locked="0"/>
    </xf>
    <xf numFmtId="0" fontId="25" fillId="0" borderId="0" xfId="0" applyFont="1" applyFill="1" applyBorder="1" applyAlignment="1" applyProtection="1">
      <alignment vertical="center"/>
      <protection locked="0" hidden="1"/>
    </xf>
    <xf numFmtId="0" fontId="38" fillId="0" borderId="0" xfId="0" applyFont="1" applyFill="1" applyBorder="1" applyAlignment="1" applyProtection="1">
      <alignment horizontal="center" vertical="center"/>
      <protection locked="0"/>
    </xf>
    <xf numFmtId="0" fontId="25" fillId="0" borderId="0" xfId="0" applyFont="1" applyFill="1" applyBorder="1" applyProtection="1">
      <protection locked="0" hidden="1"/>
    </xf>
    <xf numFmtId="164" fontId="17" fillId="0" borderId="0" xfId="0" applyNumberFormat="1" applyFont="1" applyFill="1" applyBorder="1" applyAlignment="1" applyProtection="1">
      <alignment horizontal="center" vertical="center" textRotation="90"/>
      <protection locked="0"/>
    </xf>
    <xf numFmtId="0" fontId="25" fillId="0" borderId="0" xfId="0" applyFont="1" applyFill="1" applyBorder="1" applyAlignment="1" applyProtection="1">
      <alignment horizontal="center"/>
      <protection locked="0" hidden="1"/>
    </xf>
    <xf numFmtId="164" fontId="39" fillId="0" borderId="0" xfId="0" applyNumberFormat="1" applyFont="1" applyFill="1" applyBorder="1" applyAlignment="1" applyProtection="1">
      <alignment horizontal="center" vertical="center"/>
      <protection locked="0"/>
    </xf>
    <xf numFmtId="168" fontId="39" fillId="0" borderId="0" xfId="0" applyNumberFormat="1" applyFont="1" applyFill="1" applyBorder="1" applyAlignment="1" applyProtection="1">
      <alignment horizontal="center" vertical="center"/>
      <protection locked="0"/>
    </xf>
    <xf numFmtId="1" fontId="39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horizontal="center" vertical="center"/>
      <protection locked="0"/>
    </xf>
    <xf numFmtId="1" fontId="17" fillId="0" borderId="0" xfId="0" applyNumberFormat="1" applyFont="1" applyFill="1" applyBorder="1" applyAlignment="1" applyProtection="1">
      <alignment horizontal="center" vertical="center" readingOrder="2"/>
      <protection locked="0"/>
    </xf>
    <xf numFmtId="0" fontId="39" fillId="0" borderId="0" xfId="0" applyNumberFormat="1" applyFont="1" applyFill="1" applyBorder="1" applyAlignment="1" applyProtection="1">
      <alignment horizontal="center" vertical="center"/>
      <protection locked="0"/>
    </xf>
    <xf numFmtId="164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0" xfId="0" applyFont="1" applyFill="1" applyBorder="1" applyAlignment="1" applyProtection="1">
      <alignment vertical="center"/>
      <protection locked="0"/>
    </xf>
    <xf numFmtId="1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Fill="1" applyBorder="1" applyAlignment="1" applyProtection="1">
      <alignment vertical="center"/>
      <protection locked="0"/>
    </xf>
    <xf numFmtId="0" fontId="17" fillId="0" borderId="0" xfId="0" applyFont="1" applyFill="1" applyBorder="1" applyAlignment="1" applyProtection="1">
      <alignment horizontal="left" vertical="center"/>
      <protection locked="0"/>
    </xf>
    <xf numFmtId="0" fontId="33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/>
    <xf numFmtId="0" fontId="31" fillId="0" borderId="0" xfId="0" applyFont="1" applyAlignment="1" applyProtection="1">
      <alignment vertical="center"/>
      <protection locked="0" hidden="1"/>
    </xf>
    <xf numFmtId="0" fontId="31" fillId="0" borderId="13" xfId="2" applyFont="1" applyBorder="1" applyAlignment="1">
      <alignment horizontal="right" vertical="center"/>
    </xf>
    <xf numFmtId="0" fontId="16" fillId="0" borderId="0" xfId="0" applyFont="1" applyAlignment="1" applyProtection="1">
      <alignment vertical="center"/>
      <protection locked="0" hidden="1"/>
    </xf>
    <xf numFmtId="0" fontId="16" fillId="0" borderId="0" xfId="0" applyFont="1" applyAlignment="1" applyProtection="1">
      <protection locked="0" hidden="1"/>
    </xf>
    <xf numFmtId="0" fontId="16" fillId="0" borderId="13" xfId="2" applyFont="1" applyBorder="1" applyAlignment="1">
      <alignment horizontal="right" vertical="center"/>
    </xf>
    <xf numFmtId="0" fontId="16" fillId="0" borderId="0" xfId="0" applyFont="1" applyProtection="1">
      <protection locked="0" hidden="1"/>
    </xf>
    <xf numFmtId="0" fontId="16" fillId="0" borderId="0" xfId="0" applyFont="1" applyAlignment="1" applyProtection="1">
      <alignment horizontal="center" vertical="center"/>
      <protection locked="0" hidden="1"/>
    </xf>
    <xf numFmtId="0" fontId="16" fillId="0" borderId="0" xfId="0" applyFont="1" applyAlignment="1" applyProtection="1">
      <alignment horizontal="center"/>
      <protection locked="0" hidden="1"/>
    </xf>
    <xf numFmtId="0" fontId="31" fillId="0" borderId="0" xfId="0" applyFont="1" applyProtection="1">
      <protection locked="0" hidden="1"/>
    </xf>
    <xf numFmtId="0" fontId="49" fillId="0" borderId="0" xfId="0" applyFont="1" applyAlignment="1" applyProtection="1">
      <alignment vertical="center"/>
      <protection locked="0" hidden="1"/>
    </xf>
    <xf numFmtId="0" fontId="50" fillId="0" borderId="0" xfId="0" applyFont="1" applyAlignment="1" applyProtection="1">
      <alignment horizontal="center" vertical="center"/>
      <protection locked="0" hidden="1"/>
    </xf>
    <xf numFmtId="164" fontId="49" fillId="0" borderId="0" xfId="0" applyNumberFormat="1" applyFont="1" applyAlignment="1" applyProtection="1">
      <alignment horizontal="center" vertical="center"/>
      <protection locked="0" hidden="1"/>
    </xf>
    <xf numFmtId="164" fontId="49" fillId="0" borderId="0" xfId="0" applyNumberFormat="1" applyFont="1" applyAlignment="1" applyProtection="1">
      <alignment vertical="center"/>
      <protection locked="0" hidden="1"/>
    </xf>
    <xf numFmtId="1" fontId="49" fillId="0" borderId="0" xfId="0" applyNumberFormat="1" applyFont="1" applyAlignment="1" applyProtection="1">
      <alignment vertical="center"/>
      <protection locked="0" hidden="1"/>
    </xf>
    <xf numFmtId="0" fontId="54" fillId="0" borderId="0" xfId="0" applyFont="1" applyAlignment="1" applyProtection="1">
      <alignment vertical="center"/>
      <protection locked="0" hidden="1"/>
    </xf>
    <xf numFmtId="0" fontId="53" fillId="0" borderId="0" xfId="0" applyFont="1" applyAlignment="1" applyProtection="1">
      <alignment vertical="center"/>
      <protection locked="0" hidden="1"/>
    </xf>
    <xf numFmtId="0" fontId="16" fillId="0" borderId="0" xfId="0" applyFont="1" applyAlignment="1" applyProtection="1">
      <alignment vertical="center" shrinkToFit="1"/>
      <protection locked="0" hidden="1"/>
    </xf>
    <xf numFmtId="0" fontId="16" fillId="0" borderId="0" xfId="0" applyFont="1" applyAlignment="1" applyProtection="1">
      <alignment shrinkToFit="1"/>
      <protection locked="0" hidden="1"/>
    </xf>
    <xf numFmtId="0" fontId="16" fillId="0" borderId="13" xfId="2" applyFont="1" applyBorder="1" applyAlignment="1">
      <alignment horizontal="right" vertical="center" shrinkToFit="1"/>
    </xf>
    <xf numFmtId="0" fontId="59" fillId="0" borderId="0" xfId="0" applyFont="1" applyAlignment="1" applyProtection="1">
      <alignment vertical="center"/>
      <protection locked="0" hidden="1"/>
    </xf>
    <xf numFmtId="0" fontId="61" fillId="0" borderId="0" xfId="0" applyFont="1" applyAlignment="1" applyProtection="1">
      <alignment vertical="center"/>
      <protection locked="0"/>
    </xf>
    <xf numFmtId="164" fontId="61" fillId="0" borderId="0" xfId="0" applyNumberFormat="1" applyFont="1" applyAlignment="1" applyProtection="1">
      <alignment vertical="center"/>
      <protection locked="0"/>
    </xf>
    <xf numFmtId="164" fontId="61" fillId="0" borderId="0" xfId="0" applyNumberFormat="1" applyFont="1" applyAlignment="1" applyProtection="1">
      <alignment horizontal="right" vertical="center" readingOrder="2"/>
      <protection locked="0"/>
    </xf>
    <xf numFmtId="0" fontId="61" fillId="0" borderId="0" xfId="0" applyFont="1" applyBorder="1" applyAlignment="1" applyProtection="1">
      <alignment horizontal="right" vertical="center"/>
      <protection locked="0"/>
    </xf>
    <xf numFmtId="164" fontId="61" fillId="0" borderId="0" xfId="0" applyNumberFormat="1" applyFont="1" applyBorder="1" applyAlignment="1" applyProtection="1">
      <alignment vertical="center"/>
      <protection locked="0"/>
    </xf>
    <xf numFmtId="0" fontId="58" fillId="0" borderId="28" xfId="0" applyFont="1" applyBorder="1" applyAlignment="1" applyProtection="1">
      <alignment horizontal="center" vertical="center" shrinkToFit="1"/>
      <protection locked="0"/>
    </xf>
    <xf numFmtId="164" fontId="58" fillId="0" borderId="27" xfId="0" applyNumberFormat="1" applyFont="1" applyBorder="1" applyAlignment="1" applyProtection="1">
      <alignment horizontal="center" vertical="center" textRotation="90" shrinkToFit="1"/>
      <protection locked="0"/>
    </xf>
    <xf numFmtId="164" fontId="58" fillId="0" borderId="17" xfId="0" applyNumberFormat="1" applyFont="1" applyBorder="1" applyAlignment="1" applyProtection="1">
      <alignment horizontal="center" vertical="center" textRotation="90" shrinkToFit="1"/>
      <protection locked="0"/>
    </xf>
    <xf numFmtId="0" fontId="58" fillId="0" borderId="0" xfId="0" applyFont="1" applyBorder="1" applyAlignment="1" applyProtection="1">
      <alignment horizontal="center" vertical="center" shrinkToFit="1"/>
      <protection locked="0"/>
    </xf>
    <xf numFmtId="0" fontId="60" fillId="0" borderId="0" xfId="0" applyFont="1" applyBorder="1" applyAlignment="1" applyProtection="1">
      <alignment horizontal="center" vertical="center"/>
      <protection locked="0"/>
    </xf>
    <xf numFmtId="164" fontId="60" fillId="0" borderId="18" xfId="0" applyNumberFormat="1" applyFont="1" applyBorder="1" applyAlignment="1" applyProtection="1">
      <alignment horizontal="center" vertical="center"/>
      <protection locked="0"/>
    </xf>
    <xf numFmtId="1" fontId="60" fillId="0" borderId="20" xfId="0" applyNumberFormat="1" applyFont="1" applyBorder="1" applyAlignment="1" applyProtection="1">
      <alignment horizontal="center" vertical="center" readingOrder="2"/>
      <protection locked="0"/>
    </xf>
    <xf numFmtId="1" fontId="60" fillId="0" borderId="21" xfId="0" applyNumberFormat="1" applyFont="1" applyBorder="1" applyAlignment="1" applyProtection="1">
      <alignment horizontal="center" vertical="center" readingOrder="2"/>
      <protection locked="0"/>
    </xf>
    <xf numFmtId="164" fontId="60" fillId="0" borderId="25" xfId="0" applyNumberFormat="1" applyFont="1" applyBorder="1" applyAlignment="1" applyProtection="1">
      <alignment horizontal="center" vertical="center"/>
      <protection locked="0"/>
    </xf>
    <xf numFmtId="164" fontId="60" fillId="0" borderId="26" xfId="0" applyNumberFormat="1" applyFont="1" applyBorder="1" applyAlignment="1" applyProtection="1">
      <alignment vertical="center"/>
      <protection locked="0"/>
    </xf>
    <xf numFmtId="0" fontId="60" fillId="0" borderId="29" xfId="0" applyFont="1" applyBorder="1" applyAlignment="1" applyProtection="1">
      <alignment vertical="center"/>
      <protection locked="0"/>
    </xf>
    <xf numFmtId="0" fontId="60" fillId="0" borderId="29" xfId="0" applyFont="1" applyBorder="1" applyAlignment="1" applyProtection="1">
      <alignment horizontal="center" vertical="center"/>
      <protection locked="0"/>
    </xf>
    <xf numFmtId="0" fontId="60" fillId="0" borderId="30" xfId="0" applyFont="1" applyBorder="1" applyAlignment="1" applyProtection="1">
      <alignment vertical="center"/>
      <protection locked="0"/>
    </xf>
    <xf numFmtId="164" fontId="60" fillId="0" borderId="31" xfId="0" applyNumberFormat="1" applyFont="1" applyBorder="1" applyAlignment="1" applyProtection="1">
      <alignment horizontal="center" vertical="center"/>
      <protection locked="0"/>
    </xf>
    <xf numFmtId="0" fontId="58" fillId="0" borderId="0" xfId="0" applyFont="1" applyAlignment="1" applyProtection="1">
      <alignment vertical="center" shrinkToFit="1"/>
      <protection locked="0"/>
    </xf>
    <xf numFmtId="0" fontId="58" fillId="0" borderId="0" xfId="0" applyFont="1" applyAlignment="1" applyProtection="1">
      <alignment horizontal="center" vertical="center" shrinkToFit="1"/>
      <protection locked="0"/>
    </xf>
    <xf numFmtId="164" fontId="58" fillId="0" borderId="0" xfId="0" applyNumberFormat="1" applyFont="1" applyBorder="1" applyAlignment="1" applyProtection="1">
      <alignment horizontal="left" vertical="center"/>
      <protection locked="0"/>
    </xf>
    <xf numFmtId="0" fontId="58" fillId="0" borderId="0" xfId="0" applyFont="1" applyAlignment="1" applyProtection="1">
      <alignment vertical="center"/>
      <protection locked="0" hidden="1"/>
    </xf>
    <xf numFmtId="0" fontId="58" fillId="0" borderId="0" xfId="0" applyFont="1" applyAlignment="1" applyProtection="1">
      <alignment horizontal="center" vertical="center"/>
      <protection locked="0" hidden="1"/>
    </xf>
    <xf numFmtId="1" fontId="58" fillId="0" borderId="0" xfId="0" applyNumberFormat="1" applyFont="1" applyBorder="1" applyAlignment="1" applyProtection="1">
      <alignment horizontal="center" vertical="center"/>
      <protection locked="0" hidden="1"/>
    </xf>
    <xf numFmtId="164" fontId="58" fillId="0" borderId="0" xfId="0" applyNumberFormat="1" applyFont="1" applyBorder="1" applyAlignment="1" applyProtection="1">
      <alignment horizontal="right" vertical="center"/>
      <protection locked="0" hidden="1"/>
    </xf>
    <xf numFmtId="0" fontId="58" fillId="0" borderId="0" xfId="0" applyFont="1" applyBorder="1" applyAlignment="1" applyProtection="1">
      <alignment vertical="center"/>
      <protection locked="0" hidden="1"/>
    </xf>
    <xf numFmtId="166" fontId="58" fillId="0" borderId="0" xfId="0" applyNumberFormat="1" applyFont="1" applyBorder="1" applyAlignment="1" applyProtection="1">
      <alignment horizontal="center" vertical="center"/>
      <protection locked="0" hidden="1"/>
    </xf>
    <xf numFmtId="164" fontId="58" fillId="0" borderId="0" xfId="0" applyNumberFormat="1" applyFont="1" applyBorder="1" applyAlignment="1" applyProtection="1">
      <alignment vertical="center"/>
      <protection locked="0" hidden="1"/>
    </xf>
    <xf numFmtId="0" fontId="58" fillId="0" borderId="0" xfId="0" applyFont="1" applyBorder="1" applyAlignment="1" applyProtection="1">
      <alignment horizontal="center" vertical="center"/>
      <protection locked="0" hidden="1"/>
    </xf>
    <xf numFmtId="164" fontId="58" fillId="0" borderId="0" xfId="0" applyNumberFormat="1" applyFont="1" applyBorder="1" applyAlignment="1" applyProtection="1">
      <alignment horizontal="right" vertical="center" shrinkToFit="1"/>
      <protection locked="0" hidden="1"/>
    </xf>
    <xf numFmtId="165" fontId="58" fillId="0" borderId="0" xfId="0" applyNumberFormat="1" applyFont="1" applyBorder="1" applyAlignment="1" applyProtection="1">
      <alignment horizontal="left" vertical="center" shrinkToFit="1"/>
      <protection locked="0" hidden="1"/>
    </xf>
    <xf numFmtId="0" fontId="58" fillId="0" borderId="0" xfId="0" applyFont="1" applyAlignment="1" applyProtection="1">
      <alignment horizontal="center" vertical="center" shrinkToFit="1"/>
      <protection locked="0" hidden="1"/>
    </xf>
    <xf numFmtId="0" fontId="58" fillId="0" borderId="0" xfId="0" applyFont="1" applyAlignment="1" applyProtection="1">
      <alignment vertical="center" shrinkToFit="1"/>
      <protection locked="0" hidden="1"/>
    </xf>
    <xf numFmtId="0" fontId="58" fillId="0" borderId="0" xfId="0" applyFont="1" applyBorder="1" applyAlignment="1" applyProtection="1">
      <alignment vertical="center" shrinkToFit="1"/>
      <protection locked="0" hidden="1"/>
    </xf>
    <xf numFmtId="164" fontId="58" fillId="0" borderId="0" xfId="0" applyNumberFormat="1" applyFont="1" applyBorder="1" applyAlignment="1" applyProtection="1">
      <alignment horizontal="center" vertical="center"/>
      <protection locked="0" hidden="1"/>
    </xf>
    <xf numFmtId="1" fontId="61" fillId="0" borderId="0" xfId="0" applyNumberFormat="1" applyFont="1" applyBorder="1" applyAlignment="1" applyProtection="1">
      <alignment vertical="center" readingOrder="2"/>
      <protection locked="0"/>
    </xf>
    <xf numFmtId="0" fontId="49" fillId="0" borderId="0" xfId="0" applyFont="1" applyAlignment="1" applyProtection="1">
      <alignment vertical="center" shrinkToFit="1"/>
      <protection locked="0" hidden="1"/>
    </xf>
    <xf numFmtId="0" fontId="50" fillId="0" borderId="0" xfId="0" applyFont="1" applyAlignment="1" applyProtection="1">
      <alignment horizontal="center" vertical="center" shrinkToFit="1"/>
      <protection locked="0" hidden="1"/>
    </xf>
    <xf numFmtId="164" fontId="49" fillId="0" borderId="0" xfId="0" applyNumberFormat="1" applyFont="1" applyAlignment="1" applyProtection="1">
      <alignment horizontal="center" vertical="center" shrinkToFit="1"/>
      <protection locked="0" hidden="1"/>
    </xf>
    <xf numFmtId="1" fontId="52" fillId="0" borderId="0" xfId="0" applyNumberFormat="1" applyFont="1" applyAlignment="1" applyProtection="1">
      <alignment vertical="center" shrinkToFit="1"/>
      <protection locked="0" hidden="1"/>
    </xf>
    <xf numFmtId="1" fontId="52" fillId="0" borderId="0" xfId="0" applyNumberFormat="1" applyFont="1" applyAlignment="1" applyProtection="1">
      <alignment horizontal="center" vertical="center" shrinkToFit="1"/>
      <protection locked="0" hidden="1"/>
    </xf>
    <xf numFmtId="0" fontId="56" fillId="0" borderId="0" xfId="0" applyFont="1" applyAlignment="1" applyProtection="1">
      <alignment vertical="center" shrinkToFit="1"/>
      <protection locked="0" hidden="1"/>
    </xf>
    <xf numFmtId="0" fontId="56" fillId="0" borderId="0" xfId="0" applyFont="1" applyBorder="1" applyAlignment="1" applyProtection="1">
      <alignment vertical="center" shrinkToFit="1"/>
      <protection locked="0" hidden="1"/>
    </xf>
    <xf numFmtId="164" fontId="56" fillId="0" borderId="0" xfId="0" applyNumberFormat="1" applyFont="1" applyAlignment="1" applyProtection="1">
      <alignment vertical="center" shrinkToFit="1"/>
      <protection locked="0" hidden="1"/>
    </xf>
    <xf numFmtId="1" fontId="56" fillId="0" borderId="0" xfId="0" applyNumberFormat="1" applyFont="1" applyAlignment="1" applyProtection="1">
      <alignment vertical="center" shrinkToFit="1"/>
      <protection locked="0" hidden="1"/>
    </xf>
    <xf numFmtId="1" fontId="57" fillId="0" borderId="0" xfId="0" applyNumberFormat="1" applyFont="1" applyAlignment="1" applyProtection="1">
      <alignment vertical="center" shrinkToFit="1"/>
      <protection locked="0" hidden="1"/>
    </xf>
    <xf numFmtId="1" fontId="57" fillId="0" borderId="0" xfId="0" applyNumberFormat="1" applyFont="1" applyAlignment="1" applyProtection="1">
      <alignment horizontal="center" vertical="center" shrinkToFit="1"/>
      <protection locked="0" hidden="1"/>
    </xf>
    <xf numFmtId="0" fontId="59" fillId="0" borderId="0" xfId="0" applyFont="1" applyAlignment="1" applyProtection="1">
      <alignment vertical="center" shrinkToFit="1"/>
      <protection locked="0" hidden="1"/>
    </xf>
    <xf numFmtId="164" fontId="58" fillId="0" borderId="0" xfId="0" applyNumberFormat="1" applyFont="1" applyBorder="1" applyAlignment="1" applyProtection="1">
      <alignment vertical="center" shrinkToFit="1"/>
      <protection locked="0"/>
    </xf>
    <xf numFmtId="0" fontId="58" fillId="0" borderId="0" xfId="0" applyFont="1" applyBorder="1" applyAlignment="1" applyProtection="1">
      <alignment horizontal="left" vertical="center" shrinkToFit="1"/>
      <protection locked="0"/>
    </xf>
    <xf numFmtId="164" fontId="58" fillId="0" borderId="0" xfId="0" applyNumberFormat="1" applyFont="1" applyBorder="1" applyAlignment="1" applyProtection="1">
      <alignment horizontal="left" vertical="center" shrinkToFit="1"/>
      <protection locked="0"/>
    </xf>
    <xf numFmtId="0" fontId="60" fillId="0" borderId="29" xfId="0" applyFont="1" applyBorder="1" applyAlignment="1" applyProtection="1">
      <alignment vertical="center" shrinkToFit="1"/>
      <protection locked="0"/>
    </xf>
    <xf numFmtId="0" fontId="0" fillId="0" borderId="0" xfId="0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0" fontId="69" fillId="0" borderId="14" xfId="0" applyFont="1" applyBorder="1" applyAlignment="1">
      <alignment horizontal="center" vertical="center"/>
    </xf>
    <xf numFmtId="168" fontId="70" fillId="0" borderId="19" xfId="0" applyNumberFormat="1" applyFont="1" applyBorder="1" applyAlignment="1" applyProtection="1">
      <alignment horizontal="center" vertical="center"/>
      <protection locked="0"/>
    </xf>
    <xf numFmtId="0" fontId="68" fillId="0" borderId="14" xfId="0" applyFont="1" applyBorder="1"/>
    <xf numFmtId="169" fontId="0" fillId="0" borderId="0" xfId="8" applyNumberFormat="1" applyFont="1" applyAlignment="1">
      <alignment horizontal="center" vertical="center"/>
    </xf>
    <xf numFmtId="169" fontId="69" fillId="0" borderId="14" xfId="8" applyNumberFormat="1" applyFont="1" applyBorder="1" applyAlignment="1">
      <alignment horizontal="center" vertical="center"/>
    </xf>
    <xf numFmtId="169" fontId="0" fillId="0" borderId="14" xfId="8" applyNumberFormat="1" applyFont="1" applyBorder="1" applyAlignment="1">
      <alignment horizontal="center" vertical="center"/>
    </xf>
    <xf numFmtId="0" fontId="72" fillId="6" borderId="53" xfId="0" applyFont="1" applyFill="1" applyBorder="1" applyProtection="1"/>
    <xf numFmtId="0" fontId="72" fillId="7" borderId="53" xfId="0" applyFont="1" applyFill="1" applyBorder="1" applyProtection="1"/>
    <xf numFmtId="0" fontId="73" fillId="5" borderId="0" xfId="0" applyFont="1" applyFill="1" applyAlignment="1" applyProtection="1"/>
    <xf numFmtId="0" fontId="72" fillId="8" borderId="56" xfId="0" applyFont="1" applyFill="1" applyBorder="1" applyProtection="1"/>
    <xf numFmtId="0" fontId="72" fillId="6" borderId="56" xfId="0" applyFont="1" applyFill="1" applyBorder="1" applyProtection="1"/>
    <xf numFmtId="0" fontId="72" fillId="5" borderId="56" xfId="0" applyFont="1" applyFill="1" applyBorder="1" applyProtection="1"/>
    <xf numFmtId="0" fontId="72" fillId="9" borderId="56" xfId="0" applyFont="1" applyFill="1" applyBorder="1" applyProtection="1"/>
    <xf numFmtId="0" fontId="4" fillId="0" borderId="14" xfId="0" applyFont="1" applyBorder="1" applyAlignment="1">
      <alignment vertical="center"/>
    </xf>
    <xf numFmtId="164" fontId="14" fillId="0" borderId="1" xfId="0" applyNumberFormat="1" applyFont="1" applyFill="1" applyBorder="1" applyAlignment="1" applyProtection="1">
      <alignment vertical="center"/>
      <protection locked="0" hidden="1"/>
    </xf>
    <xf numFmtId="0" fontId="14" fillId="0" borderId="1" xfId="0" applyFont="1" applyFill="1" applyBorder="1" applyAlignment="1" applyProtection="1">
      <alignment vertical="center"/>
      <protection locked="0" hidden="1"/>
    </xf>
    <xf numFmtId="1" fontId="14" fillId="0" borderId="12" xfId="0" applyNumberFormat="1" applyFont="1" applyFill="1" applyBorder="1" applyAlignment="1" applyProtection="1">
      <alignment horizontal="left" vertical="center"/>
      <protection locked="0" hidden="1"/>
    </xf>
    <xf numFmtId="9" fontId="23" fillId="0" borderId="13" xfId="3" applyFont="1" applyFill="1" applyBorder="1" applyAlignment="1" applyProtection="1">
      <alignment horizontal="left" vertical="center"/>
      <protection locked="0" hidden="1"/>
    </xf>
    <xf numFmtId="164" fontId="22" fillId="0" borderId="15" xfId="0" applyNumberFormat="1" applyFont="1" applyFill="1" applyBorder="1" applyAlignment="1" applyProtection="1">
      <alignment horizontal="center" vertical="center"/>
      <protection locked="0" hidden="1"/>
    </xf>
    <xf numFmtId="0" fontId="22" fillId="0" borderId="15" xfId="0" applyNumberFormat="1" applyFont="1" applyFill="1" applyBorder="1" applyAlignment="1" applyProtection="1">
      <alignment horizontal="center" vertical="center"/>
      <protection locked="0" hidden="1"/>
    </xf>
    <xf numFmtId="1" fontId="28" fillId="0" borderId="15" xfId="0" applyNumberFormat="1" applyFont="1" applyFill="1" applyBorder="1" applyAlignment="1" applyProtection="1">
      <alignment horizontal="center" vertical="center"/>
      <protection locked="0" hidden="1"/>
    </xf>
    <xf numFmtId="9" fontId="23" fillId="0" borderId="16" xfId="3" applyFont="1" applyFill="1" applyBorder="1" applyAlignment="1" applyProtection="1">
      <alignment horizontal="left" vertical="center"/>
      <protection locked="0" hidden="1"/>
    </xf>
    <xf numFmtId="0" fontId="4" fillId="0" borderId="58" xfId="0" applyNumberFormat="1" applyFont="1" applyBorder="1" applyAlignment="1">
      <alignment horizontal="center" vertical="center"/>
    </xf>
    <xf numFmtId="49" fontId="4" fillId="0" borderId="58" xfId="0" applyNumberFormat="1" applyFont="1" applyBorder="1" applyAlignment="1">
      <alignment horizontal="center" vertical="center"/>
    </xf>
    <xf numFmtId="0" fontId="41" fillId="10" borderId="0" xfId="0" applyFont="1" applyFill="1" applyAlignment="1">
      <alignment vertical="center"/>
    </xf>
    <xf numFmtId="0" fontId="17" fillId="10" borderId="0" xfId="0" applyFont="1" applyFill="1" applyAlignment="1">
      <alignment vertical="center"/>
    </xf>
    <xf numFmtId="0" fontId="25" fillId="10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left" vertical="center"/>
    </xf>
    <xf numFmtId="0" fontId="18" fillId="10" borderId="0" xfId="1" applyFont="1" applyFill="1" applyAlignment="1" applyProtection="1">
      <alignment vertical="center"/>
    </xf>
    <xf numFmtId="0" fontId="42" fillId="10" borderId="0" xfId="0" applyFont="1" applyFill="1" applyAlignment="1">
      <alignment vertical="center"/>
    </xf>
    <xf numFmtId="164" fontId="43" fillId="10" borderId="32" xfId="0" applyNumberFormat="1" applyFont="1" applyFill="1" applyBorder="1" applyAlignment="1">
      <alignment vertical="center"/>
    </xf>
    <xf numFmtId="0" fontId="10" fillId="10" borderId="0" xfId="2" applyFill="1"/>
    <xf numFmtId="0" fontId="65" fillId="10" borderId="0" xfId="2" applyFont="1" applyFill="1"/>
    <xf numFmtId="0" fontId="44" fillId="10" borderId="39" xfId="0" applyFont="1" applyFill="1" applyBorder="1" applyAlignment="1" applyProtection="1">
      <alignment horizontal="center" vertical="center"/>
    </xf>
    <xf numFmtId="164" fontId="43" fillId="10" borderId="0" xfId="0" applyNumberFormat="1" applyFont="1" applyFill="1" applyBorder="1" applyAlignment="1">
      <alignment vertical="center"/>
    </xf>
    <xf numFmtId="0" fontId="45" fillId="10" borderId="0" xfId="0" applyFont="1" applyFill="1" applyAlignment="1">
      <alignment horizontal="center"/>
    </xf>
    <xf numFmtId="0" fontId="44" fillId="10" borderId="0" xfId="0" applyFont="1" applyFill="1" applyBorder="1" applyAlignment="1" applyProtection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1" fillId="10" borderId="0" xfId="0" applyFont="1" applyFill="1" applyAlignment="1">
      <alignment horizontal="right" vertical="center"/>
    </xf>
    <xf numFmtId="0" fontId="47" fillId="10" borderId="0" xfId="1" applyFont="1" applyFill="1" applyAlignment="1" applyProtection="1">
      <alignment vertical="center"/>
    </xf>
    <xf numFmtId="164" fontId="48" fillId="10" borderId="32" xfId="0" applyNumberFormat="1" applyFont="1" applyFill="1" applyBorder="1" applyAlignment="1">
      <alignment vertical="center"/>
    </xf>
    <xf numFmtId="0" fontId="66" fillId="10" borderId="0" xfId="2" applyFont="1" applyFill="1" applyAlignment="1">
      <alignment horizontal="center"/>
    </xf>
    <xf numFmtId="164" fontId="60" fillId="0" borderId="17" xfId="0" applyNumberFormat="1" applyFont="1" applyBorder="1" applyAlignment="1" applyProtection="1">
      <alignment horizontal="center" vertical="center"/>
      <protection locked="0"/>
    </xf>
    <xf numFmtId="1" fontId="60" fillId="0" borderId="19" xfId="0" applyNumberFormat="1" applyFont="1" applyBorder="1" applyAlignment="1" applyProtection="1">
      <alignment horizontal="center" vertical="center"/>
      <protection locked="0"/>
    </xf>
    <xf numFmtId="164" fontId="60" fillId="0" borderId="19" xfId="0" applyNumberFormat="1" applyFont="1" applyBorder="1" applyAlignment="1" applyProtection="1">
      <alignment horizontal="center" vertical="center"/>
      <protection locked="0"/>
    </xf>
    <xf numFmtId="1" fontId="60" fillId="0" borderId="17" xfId="0" applyNumberFormat="1" applyFont="1" applyBorder="1" applyAlignment="1" applyProtection="1">
      <alignment horizontal="center" vertical="center"/>
      <protection locked="0"/>
    </xf>
    <xf numFmtId="1" fontId="20" fillId="0" borderId="60" xfId="0" applyNumberFormat="1" applyFont="1" applyFill="1" applyBorder="1" applyAlignment="1" applyProtection="1">
      <alignment horizontal="center" vertical="center"/>
      <protection locked="0" hidden="1"/>
    </xf>
    <xf numFmtId="1" fontId="20" fillId="0" borderId="61" xfId="0" applyNumberFormat="1" applyFont="1" applyFill="1" applyBorder="1" applyAlignment="1" applyProtection="1">
      <alignment horizontal="center" vertical="center"/>
      <protection locked="0" hidden="1"/>
    </xf>
    <xf numFmtId="0" fontId="28" fillId="0" borderId="1" xfId="0" applyNumberFormat="1" applyFont="1" applyFill="1" applyBorder="1" applyAlignment="1" applyProtection="1">
      <alignment horizontal="center" vertical="center"/>
      <protection locked="0" hidden="1"/>
    </xf>
    <xf numFmtId="164" fontId="28" fillId="0" borderId="1" xfId="0" applyNumberFormat="1" applyFont="1" applyFill="1" applyBorder="1" applyAlignment="1" applyProtection="1">
      <alignment horizontal="center" vertical="center"/>
      <protection locked="0" hidden="1"/>
    </xf>
    <xf numFmtId="1" fontId="28" fillId="0" borderId="1" xfId="0" applyNumberFormat="1" applyFont="1" applyFill="1" applyBorder="1" applyAlignment="1" applyProtection="1">
      <alignment horizontal="center" vertical="center"/>
      <protection locked="0" hidden="1"/>
    </xf>
    <xf numFmtId="1" fontId="23" fillId="0" borderId="1" xfId="3" applyNumberFormat="1" applyFont="1" applyFill="1" applyBorder="1" applyAlignment="1" applyProtection="1">
      <alignment horizontal="center" vertical="center"/>
      <protection locked="0" hidden="1"/>
    </xf>
    <xf numFmtId="9" fontId="23" fillId="0" borderId="12" xfId="3" applyFont="1" applyFill="1" applyBorder="1" applyAlignment="1" applyProtection="1">
      <alignment horizontal="left" vertical="center"/>
      <protection locked="0" hidden="1"/>
    </xf>
    <xf numFmtId="0" fontId="28" fillId="0" borderId="58" xfId="0" applyNumberFormat="1" applyFont="1" applyFill="1" applyBorder="1" applyAlignment="1" applyProtection="1">
      <alignment horizontal="center" vertical="center"/>
      <protection locked="0" hidden="1"/>
    </xf>
    <xf numFmtId="164" fontId="28" fillId="0" borderId="58" xfId="0" applyNumberFormat="1" applyFont="1" applyFill="1" applyBorder="1" applyAlignment="1" applyProtection="1">
      <alignment horizontal="center" vertical="center"/>
      <protection locked="0" hidden="1"/>
    </xf>
    <xf numFmtId="1" fontId="28" fillId="0" borderId="58" xfId="0" applyNumberFormat="1" applyFont="1" applyFill="1" applyBorder="1" applyAlignment="1" applyProtection="1">
      <alignment horizontal="center" vertical="center"/>
      <protection locked="0" hidden="1"/>
    </xf>
    <xf numFmtId="1" fontId="23" fillId="0" borderId="58" xfId="3" applyNumberFormat="1" applyFont="1" applyFill="1" applyBorder="1" applyAlignment="1" applyProtection="1">
      <alignment horizontal="center" vertical="center"/>
      <protection locked="0" hidden="1"/>
    </xf>
    <xf numFmtId="164" fontId="22" fillId="0" borderId="58" xfId="0" applyNumberFormat="1" applyFont="1" applyFill="1" applyBorder="1" applyAlignment="1" applyProtection="1">
      <alignment horizontal="center" vertical="center"/>
      <protection locked="0" hidden="1"/>
    </xf>
    <xf numFmtId="0" fontId="22" fillId="0" borderId="58" xfId="0" applyNumberFormat="1" applyFont="1" applyFill="1" applyBorder="1" applyAlignment="1" applyProtection="1">
      <alignment horizontal="center" vertical="center"/>
      <protection locked="0" hidden="1"/>
    </xf>
    <xf numFmtId="1" fontId="23" fillId="0" borderId="15" xfId="3" applyNumberFormat="1" applyFont="1" applyFill="1" applyBorder="1" applyAlignment="1" applyProtection="1">
      <alignment horizontal="center" vertical="center"/>
      <protection locked="0" hidden="1"/>
    </xf>
    <xf numFmtId="0" fontId="28" fillId="0" borderId="11" xfId="0" applyNumberFormat="1" applyFont="1" applyFill="1" applyBorder="1" applyAlignment="1" applyProtection="1">
      <alignment horizontal="center" vertical="center"/>
      <protection locked="0" hidden="1"/>
    </xf>
    <xf numFmtId="0" fontId="28" fillId="0" borderId="3" xfId="0" applyNumberFormat="1" applyFont="1" applyFill="1" applyBorder="1" applyAlignment="1" applyProtection="1">
      <alignment horizontal="center" vertical="center"/>
      <protection locked="0" hidden="1"/>
    </xf>
    <xf numFmtId="0" fontId="28" fillId="0" borderId="2" xfId="0" applyNumberFormat="1" applyFont="1" applyFill="1" applyBorder="1" applyAlignment="1" applyProtection="1">
      <alignment horizontal="center" vertical="center"/>
      <protection locked="0" hidden="1"/>
    </xf>
    <xf numFmtId="164" fontId="77" fillId="0" borderId="1" xfId="0" applyNumberFormat="1" applyFont="1" applyFill="1" applyBorder="1" applyProtection="1">
      <protection locked="0" hidden="1"/>
    </xf>
    <xf numFmtId="1" fontId="16" fillId="0" borderId="3" xfId="0" applyNumberFormat="1" applyFont="1" applyFill="1" applyBorder="1" applyAlignment="1" applyProtection="1">
      <alignment horizontal="center" vertical="center"/>
      <protection locked="0" hidden="1"/>
    </xf>
    <xf numFmtId="1" fontId="20" fillId="0" borderId="68" xfId="0" applyNumberFormat="1" applyFont="1" applyFill="1" applyBorder="1" applyAlignment="1" applyProtection="1">
      <alignment horizontal="center" vertical="center"/>
      <protection locked="0" hidden="1"/>
    </xf>
    <xf numFmtId="164" fontId="14" fillId="0" borderId="11" xfId="0" applyNumberFormat="1" applyFont="1" applyFill="1" applyBorder="1" applyAlignment="1" applyProtection="1">
      <alignment vertical="center"/>
      <protection locked="0" hidden="1"/>
    </xf>
    <xf numFmtId="0" fontId="17" fillId="0" borderId="15" xfId="0" applyFont="1" applyFill="1" applyBorder="1" applyAlignment="1" applyProtection="1">
      <alignment horizontal="center" vertical="center" textRotation="90" shrinkToFit="1"/>
      <protection locked="0" hidden="1"/>
    </xf>
    <xf numFmtId="164" fontId="24" fillId="0" borderId="1" xfId="0" applyNumberFormat="1" applyFont="1" applyFill="1" applyBorder="1" applyProtection="1">
      <protection locked="0" hidden="1"/>
    </xf>
    <xf numFmtId="164" fontId="24" fillId="0" borderId="12" xfId="0" applyNumberFormat="1" applyFont="1" applyFill="1" applyBorder="1" applyProtection="1">
      <protection locked="0" hidden="1"/>
    </xf>
    <xf numFmtId="164" fontId="13" fillId="0" borderId="68" xfId="0" applyNumberFormat="1" applyFont="1" applyFill="1" applyBorder="1" applyAlignment="1" applyProtection="1">
      <alignment horizontal="left" vertical="center"/>
      <protection locked="0" hidden="1"/>
    </xf>
    <xf numFmtId="164" fontId="21" fillId="0" borderId="11" xfId="0" applyNumberFormat="1" applyFont="1" applyFill="1" applyBorder="1" applyAlignment="1" applyProtection="1">
      <alignment horizontal="center" vertical="center" wrapText="1"/>
      <protection locked="0" hidden="1"/>
    </xf>
    <xf numFmtId="164" fontId="60" fillId="0" borderId="35" xfId="0" applyNumberFormat="1" applyFont="1" applyBorder="1" applyAlignment="1" applyProtection="1">
      <alignment horizontal="center" vertical="center"/>
      <protection locked="0"/>
    </xf>
    <xf numFmtId="0" fontId="60" fillId="0" borderId="20" xfId="0" applyFont="1" applyBorder="1" applyAlignment="1" applyProtection="1">
      <alignment horizontal="center" vertical="center"/>
      <protection locked="0"/>
    </xf>
    <xf numFmtId="168" fontId="70" fillId="0" borderId="58" xfId="0" applyNumberFormat="1" applyFont="1" applyBorder="1" applyAlignment="1" applyProtection="1">
      <alignment horizontal="center" vertical="center"/>
      <protection locked="0"/>
    </xf>
    <xf numFmtId="164" fontId="60" fillId="0" borderId="58" xfId="0" applyNumberFormat="1" applyFont="1" applyBorder="1" applyAlignment="1" applyProtection="1">
      <alignment horizontal="center" vertical="center"/>
      <protection locked="0"/>
    </xf>
    <xf numFmtId="1" fontId="60" fillId="0" borderId="58" xfId="0" applyNumberFormat="1" applyFont="1" applyBorder="1" applyAlignment="1" applyProtection="1">
      <alignment horizontal="center" vertical="center"/>
      <protection locked="0"/>
    </xf>
    <xf numFmtId="0" fontId="60" fillId="0" borderId="21" xfId="0" applyFont="1" applyBorder="1" applyAlignment="1" applyProtection="1">
      <alignment horizontal="center" vertical="center"/>
      <protection locked="0"/>
    </xf>
    <xf numFmtId="0" fontId="60" fillId="0" borderId="58" xfId="0" applyNumberFormat="1" applyFont="1" applyBorder="1" applyAlignment="1" applyProtection="1">
      <alignment horizontal="center" vertical="center"/>
      <protection locked="0"/>
    </xf>
    <xf numFmtId="164" fontId="60" fillId="0" borderId="27" xfId="0" applyNumberFormat="1" applyFont="1" applyBorder="1" applyAlignment="1" applyProtection="1">
      <alignment horizontal="center" vertical="center"/>
      <protection locked="0"/>
    </xf>
    <xf numFmtId="0" fontId="60" fillId="0" borderId="22" xfId="0" applyFont="1" applyBorder="1" applyAlignment="1" applyProtection="1">
      <alignment horizontal="center" vertical="center"/>
      <protection locked="0"/>
    </xf>
    <xf numFmtId="168" fontId="70" fillId="0" borderId="17" xfId="0" applyNumberFormat="1" applyFont="1" applyBorder="1" applyAlignment="1" applyProtection="1">
      <alignment horizontal="center" vertical="center"/>
      <protection locked="0"/>
    </xf>
    <xf numFmtId="1" fontId="60" fillId="0" borderId="22" xfId="0" applyNumberFormat="1" applyFont="1" applyBorder="1" applyAlignment="1" applyProtection="1">
      <alignment horizontal="center" vertical="center" readingOrder="2"/>
      <protection locked="0"/>
    </xf>
    <xf numFmtId="164" fontId="20" fillId="0" borderId="74" xfId="0" applyNumberFormat="1" applyFont="1" applyFill="1" applyBorder="1" applyProtection="1">
      <protection locked="0" hidden="1"/>
    </xf>
    <xf numFmtId="164" fontId="20" fillId="0" borderId="75" xfId="0" applyNumberFormat="1" applyFont="1" applyFill="1" applyBorder="1" applyProtection="1">
      <protection locked="0" hidden="1"/>
    </xf>
    <xf numFmtId="0" fontId="20" fillId="0" borderId="75" xfId="0" applyNumberFormat="1" applyFont="1" applyFill="1" applyBorder="1" applyProtection="1">
      <protection locked="0" hidden="1"/>
    </xf>
    <xf numFmtId="1" fontId="20" fillId="0" borderId="75" xfId="0" applyNumberFormat="1" applyFont="1" applyFill="1" applyBorder="1" applyProtection="1">
      <protection locked="0" hidden="1"/>
    </xf>
    <xf numFmtId="1" fontId="20" fillId="0" borderId="75" xfId="0" applyNumberFormat="1" applyFont="1" applyFill="1" applyBorder="1" applyAlignment="1" applyProtection="1">
      <alignment horizontal="left"/>
      <protection locked="0" hidden="1"/>
    </xf>
    <xf numFmtId="164" fontId="17" fillId="0" borderId="76" xfId="0" applyNumberFormat="1" applyFont="1" applyFill="1" applyBorder="1" applyProtection="1">
      <protection locked="0" hidden="1"/>
    </xf>
    <xf numFmtId="164" fontId="20" fillId="0" borderId="0" xfId="0" applyNumberFormat="1" applyFont="1" applyFill="1" applyBorder="1" applyProtection="1">
      <protection locked="0" hidden="1"/>
    </xf>
    <xf numFmtId="0" fontId="20" fillId="0" borderId="0" xfId="0" applyNumberFormat="1" applyFont="1" applyFill="1" applyBorder="1" applyProtection="1">
      <protection locked="0" hidden="1"/>
    </xf>
    <xf numFmtId="1" fontId="20" fillId="0" borderId="0" xfId="0" applyNumberFormat="1" applyFont="1" applyFill="1" applyBorder="1" applyProtection="1">
      <protection locked="0" hidden="1"/>
    </xf>
    <xf numFmtId="1" fontId="20" fillId="0" borderId="0" xfId="0" applyNumberFormat="1" applyFont="1" applyFill="1" applyBorder="1" applyAlignment="1" applyProtection="1">
      <alignment horizontal="left"/>
      <protection locked="0" hidden="1"/>
    </xf>
    <xf numFmtId="164" fontId="60" fillId="0" borderId="58" xfId="0" applyNumberFormat="1" applyFont="1" applyBorder="1" applyAlignment="1" applyProtection="1">
      <alignment horizontal="center" vertical="center"/>
      <protection locked="0"/>
    </xf>
    <xf numFmtId="164" fontId="60" fillId="0" borderId="17" xfId="0" applyNumberFormat="1" applyFont="1" applyBorder="1" applyAlignment="1" applyProtection="1">
      <alignment horizontal="center" vertical="center"/>
      <protection locked="0"/>
    </xf>
    <xf numFmtId="164" fontId="60" fillId="0" borderId="19" xfId="0" applyNumberFormat="1" applyFont="1" applyBorder="1" applyAlignment="1" applyProtection="1">
      <alignment horizontal="center" vertical="center"/>
      <protection locked="0"/>
    </xf>
    <xf numFmtId="1" fontId="60" fillId="0" borderId="19" xfId="0" applyNumberFormat="1" applyFont="1" applyBorder="1" applyAlignment="1" applyProtection="1">
      <alignment horizontal="center" vertical="center"/>
      <protection locked="0"/>
    </xf>
    <xf numFmtId="1" fontId="60" fillId="0" borderId="58" xfId="0" applyNumberFormat="1" applyFont="1" applyBorder="1" applyAlignment="1" applyProtection="1">
      <alignment horizontal="center" vertical="center"/>
      <protection locked="0"/>
    </xf>
    <xf numFmtId="1" fontId="60" fillId="0" borderId="17" xfId="0" applyNumberFormat="1" applyFont="1" applyBorder="1" applyAlignment="1" applyProtection="1">
      <alignment horizontal="center" vertical="center"/>
      <protection locked="0"/>
    </xf>
    <xf numFmtId="164" fontId="60" fillId="0" borderId="58" xfId="0" applyNumberFormat="1" applyFont="1" applyBorder="1" applyAlignment="1" applyProtection="1">
      <alignment horizontal="center" vertical="center"/>
      <protection locked="0"/>
    </xf>
    <xf numFmtId="1" fontId="60" fillId="0" borderId="58" xfId="0" applyNumberFormat="1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59" xfId="0" applyFont="1" applyBorder="1" applyAlignment="1">
      <alignment horizontal="center" vertical="center"/>
    </xf>
    <xf numFmtId="164" fontId="1" fillId="0" borderId="58" xfId="0" applyNumberFormat="1" applyFont="1" applyBorder="1" applyAlignment="1">
      <alignment horizontal="center" vertical="center"/>
    </xf>
    <xf numFmtId="164" fontId="5" fillId="0" borderId="58" xfId="0" applyNumberFormat="1" applyFont="1" applyBorder="1" applyAlignment="1">
      <alignment horizontal="center" vertical="center"/>
    </xf>
    <xf numFmtId="164" fontId="9" fillId="0" borderId="58" xfId="0" applyNumberFormat="1" applyFont="1" applyBorder="1" applyAlignment="1">
      <alignment horizontal="center" vertical="center"/>
    </xf>
    <xf numFmtId="164" fontId="7" fillId="0" borderId="58" xfId="0" applyNumberFormat="1" applyFont="1" applyBorder="1" applyAlignment="1">
      <alignment horizontal="center" vertical="center"/>
    </xf>
    <xf numFmtId="0" fontId="4" fillId="0" borderId="29" xfId="0" applyFont="1" applyBorder="1" applyAlignment="1">
      <alignment vertical="center"/>
    </xf>
    <xf numFmtId="0" fontId="2" fillId="0" borderId="58" xfId="0" applyFont="1" applyBorder="1" applyAlignment="1">
      <alignment horizontal="center" vertical="center"/>
    </xf>
    <xf numFmtId="164" fontId="3" fillId="0" borderId="58" xfId="0" applyNumberFormat="1" applyFont="1" applyBorder="1" applyAlignment="1">
      <alignment horizontal="center" vertical="center"/>
    </xf>
    <xf numFmtId="0" fontId="4" fillId="0" borderId="78" xfId="0" applyFont="1" applyBorder="1" applyAlignment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164" fontId="3" fillId="0" borderId="0" xfId="0" applyNumberFormat="1" applyFont="1" applyBorder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1" fontId="45" fillId="10" borderId="0" xfId="0" applyNumberFormat="1" applyFont="1" applyFill="1" applyAlignment="1">
      <alignment horizontal="center"/>
    </xf>
    <xf numFmtId="164" fontId="60" fillId="0" borderId="0" xfId="0" applyNumberFormat="1" applyFont="1" applyBorder="1" applyAlignment="1" applyProtection="1">
      <alignment horizontal="center" vertical="center"/>
      <protection locked="0" hidden="1"/>
    </xf>
    <xf numFmtId="0" fontId="79" fillId="0" borderId="0" xfId="0" applyFont="1" applyFill="1" applyAlignment="1" applyProtection="1">
      <alignment vertical="center"/>
      <protection locked="0" hidden="1"/>
    </xf>
    <xf numFmtId="0" fontId="79" fillId="0" borderId="0" xfId="0" applyFont="1" applyFill="1" applyAlignment="1" applyProtection="1">
      <alignment horizontal="left" vertical="center"/>
      <protection locked="0" hidden="1"/>
    </xf>
    <xf numFmtId="0" fontId="73" fillId="6" borderId="52" xfId="0" applyFont="1" applyFill="1" applyBorder="1" applyAlignment="1" applyProtection="1">
      <alignment horizontal="left"/>
    </xf>
    <xf numFmtId="0" fontId="73" fillId="6" borderId="53" xfId="0" applyFont="1" applyFill="1" applyBorder="1" applyAlignment="1" applyProtection="1">
      <alignment horizontal="left"/>
    </xf>
    <xf numFmtId="0" fontId="4" fillId="0" borderId="58" xfId="0" applyFont="1" applyBorder="1" applyAlignment="1">
      <alignment horizontal="center" vertical="center"/>
    </xf>
    <xf numFmtId="0" fontId="4" fillId="0" borderId="15" xfId="0" applyNumberFormat="1" applyFont="1" applyBorder="1" applyAlignment="1">
      <alignment horizontal="center" vertical="center"/>
    </xf>
    <xf numFmtId="0" fontId="4" fillId="0" borderId="81" xfId="0" applyFont="1" applyBorder="1" applyAlignment="1">
      <alignment horizontal="center" vertical="center"/>
    </xf>
    <xf numFmtId="0" fontId="4" fillId="0" borderId="83" xfId="0" applyNumberFormat="1" applyFont="1" applyBorder="1" applyAlignment="1">
      <alignment horizontal="center" vertical="center"/>
    </xf>
    <xf numFmtId="0" fontId="4" fillId="0" borderId="84" xfId="0" applyNumberFormat="1" applyFont="1" applyBorder="1" applyAlignment="1">
      <alignment horizontal="center" vertical="center"/>
    </xf>
    <xf numFmtId="0" fontId="4" fillId="0" borderId="85" xfId="0" applyNumberFormat="1" applyFont="1" applyBorder="1" applyAlignment="1">
      <alignment horizontal="center" vertical="center"/>
    </xf>
    <xf numFmtId="0" fontId="4" fillId="0" borderId="86" xfId="0" applyNumberFormat="1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88" xfId="0" applyNumberFormat="1" applyFont="1" applyBorder="1" applyAlignment="1">
      <alignment horizontal="center" vertical="center"/>
    </xf>
    <xf numFmtId="0" fontId="4" fillId="0" borderId="4" xfId="0" applyNumberFormat="1" applyFont="1" applyBorder="1" applyAlignment="1">
      <alignment horizontal="center" vertical="center"/>
    </xf>
    <xf numFmtId="0" fontId="72" fillId="6" borderId="89" xfId="0" applyFont="1" applyFill="1" applyBorder="1" applyProtection="1"/>
    <xf numFmtId="1" fontId="26" fillId="0" borderId="0" xfId="0" applyNumberFormat="1" applyFont="1" applyFill="1" applyProtection="1">
      <protection locked="0" hidden="1"/>
    </xf>
    <xf numFmtId="164" fontId="80" fillId="0" borderId="0" xfId="0" applyNumberFormat="1" applyFont="1" applyFill="1" applyProtection="1">
      <protection locked="0" hidden="1"/>
    </xf>
    <xf numFmtId="1" fontId="4" fillId="0" borderId="58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0" fillId="0" borderId="5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73" fillId="0" borderId="58" xfId="0" applyNumberFormat="1" applyFont="1" applyBorder="1" applyAlignment="1" applyProtection="1">
      <alignment horizontal="center" vertical="center" textRotation="90" wrapText="1"/>
    </xf>
    <xf numFmtId="1" fontId="72" fillId="0" borderId="58" xfId="0" applyNumberFormat="1" applyFont="1" applyBorder="1" applyAlignment="1" applyProtection="1">
      <alignment horizontal="center" vertical="center" textRotation="90" wrapText="1"/>
    </xf>
    <xf numFmtId="0" fontId="8" fillId="0" borderId="1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73" fillId="5" borderId="55" xfId="0" applyFont="1" applyFill="1" applyBorder="1" applyAlignment="1" applyProtection="1"/>
    <xf numFmtId="0" fontId="73" fillId="5" borderId="56" xfId="0" applyFont="1" applyFill="1" applyBorder="1" applyAlignment="1" applyProtection="1"/>
    <xf numFmtId="49" fontId="78" fillId="5" borderId="56" xfId="0" applyNumberFormat="1" applyFont="1" applyFill="1" applyBorder="1" applyAlignment="1" applyProtection="1">
      <alignment horizontal="left"/>
      <protection locked="0"/>
    </xf>
    <xf numFmtId="49" fontId="78" fillId="5" borderId="57" xfId="0" applyNumberFormat="1" applyFont="1" applyFill="1" applyBorder="1" applyAlignment="1" applyProtection="1">
      <alignment horizontal="left"/>
      <protection locked="0"/>
    </xf>
    <xf numFmtId="0" fontId="73" fillId="6" borderId="55" xfId="0" applyFont="1" applyFill="1" applyBorder="1" applyAlignment="1" applyProtection="1">
      <alignment horizontal="left" shrinkToFit="1"/>
    </xf>
    <xf numFmtId="0" fontId="73" fillId="6" borderId="56" xfId="0" applyFont="1" applyFill="1" applyBorder="1" applyAlignment="1" applyProtection="1">
      <alignment horizontal="left" shrinkToFit="1"/>
    </xf>
    <xf numFmtId="14" fontId="10" fillId="6" borderId="56" xfId="0" applyNumberFormat="1" applyFont="1" applyFill="1" applyBorder="1" applyAlignment="1" applyProtection="1">
      <alignment horizontal="left"/>
      <protection locked="0"/>
    </xf>
    <xf numFmtId="14" fontId="10" fillId="6" borderId="57" xfId="0" applyNumberFormat="1" applyFont="1" applyFill="1" applyBorder="1" applyAlignment="1" applyProtection="1">
      <alignment horizontal="left"/>
      <protection locked="0"/>
    </xf>
    <xf numFmtId="0" fontId="73" fillId="5" borderId="55" xfId="0" applyFont="1" applyFill="1" applyBorder="1" applyAlignment="1" applyProtection="1">
      <alignment horizontal="left" shrinkToFit="1"/>
    </xf>
    <xf numFmtId="0" fontId="73" fillId="5" borderId="56" xfId="0" applyFont="1" applyFill="1" applyBorder="1" applyAlignment="1" applyProtection="1">
      <alignment horizontal="left" shrinkToFit="1"/>
    </xf>
    <xf numFmtId="170" fontId="10" fillId="5" borderId="56" xfId="0" applyNumberFormat="1" applyFont="1" applyFill="1" applyBorder="1" applyAlignment="1" applyProtection="1">
      <alignment horizontal="left"/>
      <protection locked="0"/>
    </xf>
    <xf numFmtId="170" fontId="10" fillId="5" borderId="57" xfId="0" applyNumberFormat="1" applyFont="1" applyFill="1" applyBorder="1" applyAlignment="1" applyProtection="1">
      <alignment horizontal="left"/>
      <protection locked="0"/>
    </xf>
    <xf numFmtId="0" fontId="73" fillId="6" borderId="55" xfId="0" applyFont="1" applyFill="1" applyBorder="1" applyAlignment="1" applyProtection="1"/>
    <xf numFmtId="0" fontId="73" fillId="6" borderId="56" xfId="0" applyFont="1" applyFill="1" applyBorder="1" applyAlignment="1" applyProtection="1"/>
    <xf numFmtId="49" fontId="10" fillId="6" borderId="56" xfId="0" applyNumberFormat="1" applyFont="1" applyFill="1" applyBorder="1" applyAlignment="1" applyProtection="1">
      <alignment horizontal="left"/>
      <protection locked="0"/>
    </xf>
    <xf numFmtId="49" fontId="10" fillId="6" borderId="57" xfId="0" applyNumberFormat="1" applyFont="1" applyFill="1" applyBorder="1" applyAlignment="1" applyProtection="1">
      <alignment horizontal="left"/>
      <protection locked="0"/>
    </xf>
    <xf numFmtId="0" fontId="73" fillId="9" borderId="55" xfId="0" applyFont="1" applyFill="1" applyBorder="1" applyAlignment="1" applyProtection="1">
      <alignment horizontal="left" shrinkToFit="1"/>
    </xf>
    <xf numFmtId="0" fontId="73" fillId="9" borderId="56" xfId="0" applyFont="1" applyFill="1" applyBorder="1" applyAlignment="1" applyProtection="1">
      <alignment horizontal="left" shrinkToFit="1"/>
    </xf>
    <xf numFmtId="49" fontId="10" fillId="9" borderId="56" xfId="0" applyNumberFormat="1" applyFont="1" applyFill="1" applyBorder="1" applyAlignment="1" applyProtection="1">
      <alignment horizontal="left"/>
      <protection locked="0"/>
    </xf>
    <xf numFmtId="49" fontId="10" fillId="9" borderId="57" xfId="0" applyNumberFormat="1" applyFont="1" applyFill="1" applyBorder="1" applyAlignment="1" applyProtection="1">
      <alignment horizontal="left"/>
      <protection locked="0"/>
    </xf>
    <xf numFmtId="0" fontId="73" fillId="7" borderId="52" xfId="0" applyFont="1" applyFill="1" applyBorder="1" applyAlignment="1" applyProtection="1">
      <alignment horizontal="left"/>
    </xf>
    <xf numFmtId="0" fontId="73" fillId="7" borderId="53" xfId="0" applyFont="1" applyFill="1" applyBorder="1" applyAlignment="1" applyProtection="1">
      <alignment horizontal="left"/>
    </xf>
    <xf numFmtId="0" fontId="75" fillId="7" borderId="53" xfId="1" applyFont="1" applyFill="1" applyBorder="1" applyAlignment="1" applyProtection="1">
      <alignment horizontal="left"/>
    </xf>
    <xf numFmtId="0" fontId="0" fillId="7" borderId="53" xfId="0" applyFill="1" applyBorder="1" applyAlignment="1" applyProtection="1">
      <alignment horizontal="left"/>
    </xf>
    <xf numFmtId="0" fontId="0" fillId="7" borderId="54" xfId="0" applyFill="1" applyBorder="1" applyAlignment="1" applyProtection="1">
      <alignment horizontal="left"/>
    </xf>
    <xf numFmtId="0" fontId="74" fillId="4" borderId="55" xfId="0" applyFont="1" applyFill="1" applyBorder="1" applyAlignment="1" applyProtection="1">
      <alignment horizontal="center"/>
    </xf>
    <xf numFmtId="0" fontId="74" fillId="4" borderId="56" xfId="0" applyFont="1" applyFill="1" applyBorder="1" applyAlignment="1" applyProtection="1">
      <alignment horizontal="center"/>
    </xf>
    <xf numFmtId="0" fontId="74" fillId="4" borderId="57" xfId="0" applyFont="1" applyFill="1" applyBorder="1" applyAlignment="1" applyProtection="1">
      <alignment horizontal="center"/>
    </xf>
    <xf numFmtId="0" fontId="73" fillId="8" borderId="55" xfId="0" applyFont="1" applyFill="1" applyBorder="1" applyAlignment="1" applyProtection="1">
      <alignment horizontal="left"/>
    </xf>
    <xf numFmtId="0" fontId="73" fillId="8" borderId="56" xfId="0" applyFont="1" applyFill="1" applyBorder="1" applyAlignment="1" applyProtection="1">
      <alignment horizontal="left"/>
    </xf>
    <xf numFmtId="0" fontId="6" fillId="8" borderId="56" xfId="0" applyFont="1" applyFill="1" applyBorder="1" applyAlignment="1" applyProtection="1">
      <alignment horizontal="left"/>
      <protection locked="0"/>
    </xf>
    <xf numFmtId="0" fontId="10" fillId="8" borderId="56" xfId="0" applyFont="1" applyFill="1" applyBorder="1" applyAlignment="1" applyProtection="1">
      <alignment horizontal="left"/>
      <protection locked="0"/>
    </xf>
    <xf numFmtId="0" fontId="10" fillId="8" borderId="57" xfId="0" applyFont="1" applyFill="1" applyBorder="1" applyAlignment="1" applyProtection="1">
      <alignment horizontal="left"/>
      <protection locked="0"/>
    </xf>
    <xf numFmtId="49" fontId="10" fillId="6" borderId="53" xfId="0" applyNumberFormat="1" applyFont="1" applyFill="1" applyBorder="1" applyAlignment="1" applyProtection="1">
      <alignment horizontal="left"/>
    </xf>
    <xf numFmtId="49" fontId="0" fillId="6" borderId="53" xfId="0" applyNumberFormat="1" applyFill="1" applyBorder="1" applyAlignment="1" applyProtection="1">
      <alignment horizontal="left"/>
    </xf>
    <xf numFmtId="49" fontId="0" fillId="6" borderId="54" xfId="0" applyNumberFormat="1" applyFill="1" applyBorder="1" applyAlignment="1" applyProtection="1">
      <alignment horizontal="left"/>
    </xf>
    <xf numFmtId="49" fontId="10" fillId="7" borderId="53" xfId="0" applyNumberFormat="1" applyFont="1" applyFill="1" applyBorder="1" applyAlignment="1" applyProtection="1">
      <alignment horizontal="left"/>
    </xf>
    <xf numFmtId="49" fontId="0" fillId="7" borderId="53" xfId="0" applyNumberFormat="1" applyFill="1" applyBorder="1" applyAlignment="1" applyProtection="1">
      <alignment horizontal="left"/>
    </xf>
    <xf numFmtId="49" fontId="0" fillId="7" borderId="54" xfId="0" applyNumberFormat="1" applyFill="1" applyBorder="1" applyAlignment="1" applyProtection="1">
      <alignment horizontal="left"/>
    </xf>
    <xf numFmtId="0" fontId="73" fillId="6" borderId="52" xfId="0" applyFont="1" applyFill="1" applyBorder="1" applyAlignment="1" applyProtection="1">
      <alignment horizontal="left"/>
    </xf>
    <xf numFmtId="0" fontId="73" fillId="6" borderId="53" xfId="0" applyFont="1" applyFill="1" applyBorder="1" applyAlignment="1" applyProtection="1">
      <alignment horizontal="left"/>
    </xf>
    <xf numFmtId="0" fontId="29" fillId="6" borderId="53" xfId="1" applyFill="1" applyBorder="1" applyAlignment="1" applyProtection="1">
      <alignment horizontal="left"/>
    </xf>
    <xf numFmtId="0" fontId="0" fillId="6" borderId="53" xfId="0" applyFill="1" applyBorder="1" applyAlignment="1" applyProtection="1">
      <alignment horizontal="left"/>
    </xf>
    <xf numFmtId="0" fontId="0" fillId="6" borderId="54" xfId="0" applyFill="1" applyBorder="1" applyAlignment="1" applyProtection="1">
      <alignment horizontal="left"/>
    </xf>
    <xf numFmtId="0" fontId="4" fillId="0" borderId="33" xfId="0" applyFont="1" applyBorder="1" applyAlignment="1">
      <alignment horizontal="center" vertical="center"/>
    </xf>
    <xf numFmtId="0" fontId="8" fillId="0" borderId="58" xfId="0" applyFont="1" applyBorder="1" applyAlignment="1">
      <alignment horizontal="center" vertical="center"/>
    </xf>
    <xf numFmtId="0" fontId="4" fillId="0" borderId="80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79" xfId="0" applyFont="1" applyBorder="1" applyAlignment="1">
      <alignment horizontal="center" vertical="center"/>
    </xf>
    <xf numFmtId="0" fontId="73" fillId="6" borderId="90" xfId="0" applyFont="1" applyFill="1" applyBorder="1" applyAlignment="1" applyProtection="1">
      <alignment horizontal="left"/>
    </xf>
    <xf numFmtId="0" fontId="73" fillId="6" borderId="89" xfId="0" applyFont="1" applyFill="1" applyBorder="1" applyAlignment="1" applyProtection="1">
      <alignment horizontal="left"/>
    </xf>
    <xf numFmtId="0" fontId="10" fillId="6" borderId="89" xfId="0" applyFont="1" applyFill="1" applyBorder="1" applyAlignment="1" applyProtection="1">
      <alignment horizontal="left"/>
    </xf>
    <xf numFmtId="0" fontId="0" fillId="6" borderId="89" xfId="0" applyFill="1" applyBorder="1" applyAlignment="1" applyProtection="1">
      <alignment horizontal="left"/>
    </xf>
    <xf numFmtId="0" fontId="0" fillId="6" borderId="91" xfId="0" applyFill="1" applyBorder="1" applyAlignment="1" applyProtection="1">
      <alignment horizontal="left"/>
    </xf>
    <xf numFmtId="0" fontId="10" fillId="7" borderId="53" xfId="0" applyFont="1" applyFill="1" applyBorder="1" applyAlignment="1" applyProtection="1">
      <alignment horizontal="left"/>
    </xf>
    <xf numFmtId="0" fontId="10" fillId="6" borderId="53" xfId="0" applyFont="1" applyFill="1" applyBorder="1" applyAlignment="1" applyProtection="1">
      <alignment horizontal="left"/>
    </xf>
    <xf numFmtId="164" fontId="12" fillId="0" borderId="0" xfId="0" applyNumberFormat="1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 shrinkToFit="1"/>
      <protection locked="0" hidden="1"/>
    </xf>
    <xf numFmtId="0" fontId="14" fillId="0" borderId="1" xfId="0" applyFont="1" applyFill="1" applyBorder="1" applyAlignment="1" applyProtection="1">
      <alignment horizontal="center" vertical="center" shrinkToFit="1"/>
      <protection locked="0" hidden="1"/>
    </xf>
    <xf numFmtId="1" fontId="27" fillId="0" borderId="33" xfId="0" applyNumberFormat="1" applyFont="1" applyFill="1" applyBorder="1" applyAlignment="1" applyProtection="1">
      <alignment horizontal="center"/>
      <protection locked="0" hidden="1"/>
    </xf>
    <xf numFmtId="0" fontId="13" fillId="0" borderId="15" xfId="0" applyFont="1" applyFill="1" applyBorder="1" applyAlignment="1" applyProtection="1">
      <alignment horizontal="center" vertical="center" wrapText="1"/>
      <protection locked="0" hidden="1"/>
    </xf>
    <xf numFmtId="0" fontId="13" fillId="0" borderId="16" xfId="0" applyFont="1" applyFill="1" applyBorder="1" applyAlignment="1" applyProtection="1">
      <alignment horizontal="center" vertical="center" wrapText="1"/>
      <protection locked="0" hidden="1"/>
    </xf>
    <xf numFmtId="1" fontId="15" fillId="0" borderId="58" xfId="0" applyNumberFormat="1" applyFont="1" applyFill="1" applyBorder="1" applyAlignment="1" applyProtection="1">
      <alignment horizontal="center" vertical="center" textRotation="90"/>
      <protection locked="0" hidden="1"/>
    </xf>
    <xf numFmtId="1" fontId="15" fillId="0" borderId="15" xfId="0" applyNumberFormat="1" applyFont="1" applyFill="1" applyBorder="1" applyAlignment="1" applyProtection="1">
      <alignment horizontal="center" vertical="center" textRotation="90"/>
      <protection locked="0" hidden="1"/>
    </xf>
    <xf numFmtId="0" fontId="13" fillId="0" borderId="58" xfId="0" applyFont="1" applyFill="1" applyBorder="1" applyAlignment="1" applyProtection="1">
      <alignment horizontal="center" vertical="center" textRotation="90" wrapText="1"/>
      <protection locked="0" hidden="1"/>
    </xf>
    <xf numFmtId="0" fontId="13" fillId="0" borderId="13" xfId="0" applyFont="1" applyFill="1" applyBorder="1" applyAlignment="1" applyProtection="1">
      <alignment horizontal="center" vertical="center" textRotation="90" wrapText="1"/>
      <protection locked="0" hidden="1"/>
    </xf>
    <xf numFmtId="0" fontId="13" fillId="0" borderId="58" xfId="0" applyNumberFormat="1" applyFont="1" applyFill="1" applyBorder="1" applyAlignment="1" applyProtection="1">
      <alignment horizontal="center" vertical="center" textRotation="90"/>
      <protection locked="0" hidden="1"/>
    </xf>
    <xf numFmtId="0" fontId="13" fillId="0" borderId="15" xfId="0" applyNumberFormat="1" applyFont="1" applyFill="1" applyBorder="1" applyAlignment="1" applyProtection="1">
      <alignment horizontal="center" vertical="center" textRotation="90"/>
      <protection locked="0" hidden="1"/>
    </xf>
    <xf numFmtId="164" fontId="13" fillId="0" borderId="3" xfId="0" applyNumberFormat="1" applyFont="1" applyFill="1" applyBorder="1" applyAlignment="1" applyProtection="1">
      <alignment horizontal="center" vertical="center" textRotation="90" wrapText="1"/>
      <protection locked="0" hidden="1"/>
    </xf>
    <xf numFmtId="164" fontId="13" fillId="0" borderId="2" xfId="0" applyNumberFormat="1" applyFont="1" applyFill="1" applyBorder="1" applyAlignment="1" applyProtection="1">
      <alignment horizontal="center" vertical="center" textRotation="90" wrapText="1"/>
      <protection locked="0" hidden="1"/>
    </xf>
    <xf numFmtId="164" fontId="13" fillId="0" borderId="58" xfId="0" applyNumberFormat="1" applyFont="1" applyFill="1" applyBorder="1" applyAlignment="1" applyProtection="1">
      <alignment horizontal="center" vertical="center" textRotation="90"/>
      <protection locked="0" hidden="1"/>
    </xf>
    <xf numFmtId="164" fontId="13" fillId="0" borderId="15" xfId="0" applyNumberFormat="1" applyFont="1" applyFill="1" applyBorder="1" applyAlignment="1" applyProtection="1">
      <alignment horizontal="center" vertical="center" textRotation="90"/>
      <protection locked="0" hidden="1"/>
    </xf>
    <xf numFmtId="164" fontId="13" fillId="0" borderId="72" xfId="0" applyNumberFormat="1" applyFont="1" applyFill="1" applyBorder="1" applyAlignment="1" applyProtection="1">
      <alignment horizontal="center" vertical="center" textRotation="90"/>
      <protection locked="0" hidden="1"/>
    </xf>
    <xf numFmtId="164" fontId="13" fillId="0" borderId="69" xfId="0" applyNumberFormat="1" applyFont="1" applyFill="1" applyBorder="1" applyAlignment="1" applyProtection="1">
      <alignment horizontal="center" vertical="center" textRotation="90"/>
      <protection locked="0" hidden="1"/>
    </xf>
    <xf numFmtId="164" fontId="20" fillId="0" borderId="2" xfId="0" applyNumberFormat="1" applyFont="1" applyFill="1" applyBorder="1" applyAlignment="1" applyProtection="1">
      <alignment horizontal="center"/>
      <protection locked="0" hidden="1"/>
    </xf>
    <xf numFmtId="164" fontId="20" fillId="0" borderId="15" xfId="0" applyNumberFormat="1" applyFont="1" applyFill="1" applyBorder="1" applyAlignment="1" applyProtection="1">
      <alignment horizontal="center"/>
      <protection locked="0" hidden="1"/>
    </xf>
    <xf numFmtId="164" fontId="20" fillId="0" borderId="11" xfId="0" applyNumberFormat="1" applyFont="1" applyFill="1" applyBorder="1" applyAlignment="1" applyProtection="1">
      <alignment horizontal="center"/>
      <protection locked="0" hidden="1"/>
    </xf>
    <xf numFmtId="164" fontId="20" fillId="0" borderId="1" xfId="0" applyNumberFormat="1" applyFont="1" applyFill="1" applyBorder="1" applyAlignment="1" applyProtection="1">
      <alignment horizontal="center"/>
      <protection locked="0" hidden="1"/>
    </xf>
    <xf numFmtId="164" fontId="27" fillId="0" borderId="0" xfId="0" applyNumberFormat="1" applyFont="1" applyFill="1" applyBorder="1" applyAlignment="1" applyProtection="1">
      <alignment horizontal="center" shrinkToFit="1"/>
      <protection locked="0" hidden="1"/>
    </xf>
    <xf numFmtId="164" fontId="27" fillId="0" borderId="0" xfId="0" applyNumberFormat="1" applyFont="1" applyFill="1" applyAlignment="1" applyProtection="1">
      <alignment horizontal="right"/>
      <protection locked="0" hidden="1"/>
    </xf>
    <xf numFmtId="1" fontId="14" fillId="0" borderId="1" xfId="0" applyNumberFormat="1" applyFont="1" applyFill="1" applyBorder="1" applyAlignment="1" applyProtection="1">
      <alignment vertical="center"/>
      <protection locked="0"/>
    </xf>
    <xf numFmtId="1" fontId="14" fillId="0" borderId="1" xfId="0" applyNumberFormat="1" applyFont="1" applyFill="1" applyBorder="1" applyAlignment="1" applyProtection="1">
      <alignment horizontal="center" vertical="center"/>
      <protection locked="0" hidden="1"/>
    </xf>
    <xf numFmtId="164" fontId="12" fillId="0" borderId="0" xfId="0" applyNumberFormat="1" applyFont="1" applyFill="1" applyBorder="1" applyAlignment="1" applyProtection="1">
      <alignment horizontal="center"/>
      <protection locked="0" hidden="1"/>
    </xf>
    <xf numFmtId="164" fontId="12" fillId="0" borderId="63" xfId="0" applyNumberFormat="1" applyFont="1" applyFill="1" applyBorder="1" applyAlignment="1" applyProtection="1">
      <alignment horizontal="center" vertical="center"/>
      <protection locked="0" hidden="1"/>
    </xf>
    <xf numFmtId="164" fontId="12" fillId="0" borderId="64" xfId="0" applyNumberFormat="1" applyFont="1" applyFill="1" applyBorder="1" applyAlignment="1" applyProtection="1">
      <alignment horizontal="center" vertical="center"/>
      <protection locked="0" hidden="1"/>
    </xf>
    <xf numFmtId="164" fontId="12" fillId="0" borderId="65" xfId="0" applyNumberFormat="1" applyFont="1" applyFill="1" applyBorder="1" applyAlignment="1" applyProtection="1">
      <alignment horizontal="center" vertical="center"/>
      <protection locked="0" hidden="1"/>
    </xf>
    <xf numFmtId="1" fontId="13" fillId="0" borderId="66" xfId="0" applyNumberFormat="1" applyFont="1" applyFill="1" applyBorder="1" applyAlignment="1" applyProtection="1">
      <alignment horizontal="center" vertical="center" textRotation="90" shrinkToFit="1"/>
      <protection locked="0" hidden="1"/>
    </xf>
    <xf numFmtId="1" fontId="13" fillId="0" borderId="67" xfId="0" applyNumberFormat="1" applyFont="1" applyFill="1" applyBorder="1" applyAlignment="1" applyProtection="1">
      <alignment horizontal="center" vertical="center" textRotation="90" shrinkToFit="1"/>
      <protection locked="0" hidden="1"/>
    </xf>
    <xf numFmtId="1" fontId="13" fillId="0" borderId="69" xfId="0" applyNumberFormat="1" applyFont="1" applyFill="1" applyBorder="1" applyAlignment="1" applyProtection="1">
      <alignment horizontal="center" vertical="center" textRotation="90" shrinkToFit="1"/>
      <protection locked="0" hidden="1"/>
    </xf>
    <xf numFmtId="0" fontId="14" fillId="0" borderId="62" xfId="0" applyFont="1" applyFill="1" applyBorder="1" applyAlignment="1" applyProtection="1">
      <alignment horizontal="center" vertical="center" shrinkToFit="1"/>
      <protection locked="0" hidden="1"/>
    </xf>
    <xf numFmtId="0" fontId="14" fillId="0" borderId="70" xfId="0" applyFont="1" applyFill="1" applyBorder="1" applyAlignment="1" applyProtection="1">
      <alignment horizontal="center" vertical="center" shrinkToFit="1"/>
      <protection locked="0" hidden="1"/>
    </xf>
    <xf numFmtId="0" fontId="14" fillId="0" borderId="71" xfId="0" applyFont="1" applyFill="1" applyBorder="1" applyAlignment="1" applyProtection="1">
      <alignment horizontal="center" vertical="center" shrinkToFit="1"/>
      <protection locked="0" hidden="1"/>
    </xf>
    <xf numFmtId="164" fontId="60" fillId="0" borderId="0" xfId="0" applyNumberFormat="1" applyFont="1" applyBorder="1" applyAlignment="1" applyProtection="1">
      <alignment horizontal="center"/>
      <protection locked="0" hidden="1"/>
    </xf>
    <xf numFmtId="164" fontId="63" fillId="0" borderId="0" xfId="0" applyNumberFormat="1" applyFont="1" applyBorder="1" applyAlignment="1" applyProtection="1">
      <alignment horizontal="center" vertical="center"/>
      <protection locked="0" hidden="1"/>
    </xf>
    <xf numFmtId="0" fontId="17" fillId="10" borderId="0" xfId="0" applyFont="1" applyFill="1" applyAlignment="1">
      <alignment horizontal="center" vertical="center"/>
    </xf>
    <xf numFmtId="0" fontId="58" fillId="0" borderId="0" xfId="0" applyFont="1" applyBorder="1" applyAlignment="1" applyProtection="1">
      <alignment horizontal="center" vertical="center" shrinkToFit="1"/>
      <protection locked="0"/>
    </xf>
    <xf numFmtId="0" fontId="58" fillId="0" borderId="0" xfId="0" applyFont="1" applyBorder="1" applyAlignment="1" applyProtection="1">
      <alignment vertical="center" shrinkToFit="1"/>
      <protection locked="0"/>
    </xf>
    <xf numFmtId="164" fontId="58" fillId="0" borderId="0" xfId="0" applyNumberFormat="1" applyFont="1" applyBorder="1" applyAlignment="1" applyProtection="1">
      <alignment vertical="center"/>
      <protection locked="0"/>
    </xf>
    <xf numFmtId="0" fontId="67" fillId="10" borderId="0" xfId="0" applyFont="1" applyFill="1" applyAlignment="1">
      <alignment horizontal="center"/>
    </xf>
    <xf numFmtId="164" fontId="14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17" fillId="0" borderId="0" xfId="0" applyNumberFormat="1" applyFont="1" applyFill="1" applyBorder="1" applyAlignment="1" applyProtection="1">
      <alignment horizontal="center" vertical="center"/>
      <protection locked="0"/>
    </xf>
    <xf numFmtId="164" fontId="17" fillId="0" borderId="0" xfId="0" applyNumberFormat="1" applyFont="1" applyFill="1" applyBorder="1" applyAlignment="1" applyProtection="1">
      <alignment horizontal="right" vertical="center"/>
      <protection locked="0"/>
    </xf>
    <xf numFmtId="0" fontId="17" fillId="0" borderId="0" xfId="0" applyFont="1" applyFill="1" applyBorder="1" applyAlignment="1" applyProtection="1">
      <alignment horizontal="right" vertical="center"/>
      <protection locked="0"/>
    </xf>
    <xf numFmtId="1" fontId="17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17" fillId="0" borderId="0" xfId="0" applyNumberFormat="1" applyFont="1" applyFill="1" applyBorder="1" applyAlignment="1" applyProtection="1">
      <alignment horizontal="center" vertical="center"/>
      <protection locked="0"/>
    </xf>
    <xf numFmtId="0" fontId="40" fillId="0" borderId="0" xfId="0" applyFont="1" applyFill="1" applyBorder="1" applyAlignment="1" applyProtection="1">
      <alignment horizontal="right" vertical="center"/>
      <protection locked="0"/>
    </xf>
    <xf numFmtId="164" fontId="40" fillId="0" borderId="0" xfId="0" applyNumberFormat="1" applyFont="1" applyFill="1" applyBorder="1" applyAlignment="1" applyProtection="1">
      <alignment horizontal="right" vertical="center"/>
      <protection locked="0"/>
    </xf>
    <xf numFmtId="164" fontId="17" fillId="0" borderId="0" xfId="0" applyNumberFormat="1" applyFont="1" applyFill="1" applyBorder="1" applyAlignment="1" applyProtection="1">
      <alignment horizontal="left" vertical="center"/>
      <protection locked="0" hidden="1"/>
    </xf>
    <xf numFmtId="167" fontId="17" fillId="0" borderId="0" xfId="0" applyNumberFormat="1" applyFont="1" applyFill="1" applyBorder="1" applyAlignment="1" applyProtection="1">
      <alignment horizontal="center" vertical="center"/>
      <protection locked="0" hidden="1"/>
    </xf>
    <xf numFmtId="166" fontId="17" fillId="0" borderId="0" xfId="0" applyNumberFormat="1" applyFont="1" applyFill="1" applyBorder="1" applyAlignment="1" applyProtection="1">
      <alignment horizontal="center" vertical="center"/>
      <protection locked="0" hidden="1"/>
    </xf>
    <xf numFmtId="1" fontId="37" fillId="0" borderId="0" xfId="0" applyNumberFormat="1" applyFont="1" applyFill="1" applyBorder="1" applyAlignment="1" applyProtection="1">
      <alignment horizontal="center" vertical="center" textRotation="90" readingOrder="2"/>
      <protection locked="0"/>
    </xf>
    <xf numFmtId="164" fontId="38" fillId="0" borderId="0" xfId="0" applyNumberFormat="1" applyFont="1" applyFill="1" applyBorder="1" applyAlignment="1" applyProtection="1">
      <alignment horizontal="center" vertical="center"/>
      <protection locked="0"/>
    </xf>
    <xf numFmtId="164" fontId="38" fillId="0" borderId="0" xfId="0" applyNumberFormat="1" applyFont="1" applyFill="1" applyBorder="1" applyAlignment="1" applyProtection="1">
      <alignment horizontal="center" vertical="center" wrapText="1"/>
      <protection locked="0"/>
    </xf>
    <xf numFmtId="1" fontId="37" fillId="0" borderId="0" xfId="0" applyNumberFormat="1" applyFont="1" applyFill="1" applyBorder="1" applyAlignment="1" applyProtection="1">
      <alignment horizontal="center" vertical="center" textRotation="90"/>
      <protection locked="0"/>
    </xf>
    <xf numFmtId="164" fontId="37" fillId="0" borderId="0" xfId="0" applyNumberFormat="1" applyFont="1" applyFill="1" applyBorder="1" applyAlignment="1" applyProtection="1">
      <alignment horizontal="center" vertical="center"/>
      <protection locked="0"/>
    </xf>
    <xf numFmtId="1" fontId="35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0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 applyFill="1" applyBorder="1" applyAlignment="1" applyProtection="1">
      <alignment vertical="center"/>
      <protection locked="0"/>
    </xf>
    <xf numFmtId="164" fontId="34" fillId="0" borderId="0" xfId="0" applyNumberFormat="1" applyFont="1" applyFill="1" applyBorder="1" applyAlignment="1" applyProtection="1">
      <alignment horizontal="center" vertical="center"/>
      <protection locked="0" hidden="1"/>
    </xf>
    <xf numFmtId="164" fontId="37" fillId="0" borderId="0" xfId="0" applyNumberFormat="1" applyFont="1" applyFill="1" applyBorder="1" applyAlignment="1" applyProtection="1">
      <alignment horizontal="right" vertical="center" readingOrder="2"/>
      <protection locked="0"/>
    </xf>
    <xf numFmtId="0" fontId="37" fillId="0" borderId="0" xfId="0" applyFont="1" applyFill="1" applyBorder="1" applyAlignment="1" applyProtection="1">
      <alignment horizontal="right" vertical="center"/>
      <protection locked="0"/>
    </xf>
    <xf numFmtId="1" fontId="37" fillId="0" borderId="0" xfId="0" applyNumberFormat="1" applyFont="1" applyFill="1" applyBorder="1" applyAlignment="1" applyProtection="1">
      <alignment vertical="center" wrapText="1" readingOrder="2"/>
      <protection locked="0"/>
    </xf>
    <xf numFmtId="164" fontId="60" fillId="0" borderId="58" xfId="0" applyNumberFormat="1" applyFont="1" applyBorder="1" applyAlignment="1" applyProtection="1">
      <alignment horizontal="center" vertical="center"/>
      <protection locked="0"/>
    </xf>
    <xf numFmtId="164" fontId="60" fillId="0" borderId="58" xfId="0" applyNumberFormat="1" applyFont="1" applyBorder="1" applyAlignment="1" applyProtection="1">
      <alignment horizontal="right" vertical="center"/>
      <protection locked="0"/>
    </xf>
    <xf numFmtId="164" fontId="58" fillId="0" borderId="0" xfId="0" applyNumberFormat="1" applyFont="1" applyBorder="1" applyAlignment="1" applyProtection="1">
      <alignment horizontal="center" vertical="center"/>
      <protection locked="0" hidden="1"/>
    </xf>
    <xf numFmtId="164" fontId="58" fillId="0" borderId="0" xfId="0" applyNumberFormat="1" applyFont="1" applyBorder="1" applyAlignment="1" applyProtection="1">
      <alignment horizontal="center" vertical="center" shrinkToFit="1"/>
      <protection locked="0" hidden="1"/>
    </xf>
    <xf numFmtId="1" fontId="60" fillId="0" borderId="19" xfId="0" applyNumberFormat="1" applyFont="1" applyBorder="1" applyAlignment="1" applyProtection="1">
      <alignment horizontal="center" vertical="center"/>
      <protection locked="0"/>
    </xf>
    <xf numFmtId="1" fontId="60" fillId="0" borderId="20" xfId="0" applyNumberFormat="1" applyFont="1" applyBorder="1" applyAlignment="1" applyProtection="1">
      <alignment horizontal="center" vertical="center"/>
      <protection locked="0"/>
    </xf>
    <xf numFmtId="1" fontId="60" fillId="0" borderId="58" xfId="0" applyNumberFormat="1" applyFont="1" applyBorder="1" applyAlignment="1" applyProtection="1">
      <alignment horizontal="center" vertical="center"/>
      <protection locked="0"/>
    </xf>
    <xf numFmtId="1" fontId="60" fillId="0" borderId="21" xfId="0" applyNumberFormat="1" applyFont="1" applyBorder="1" applyAlignment="1" applyProtection="1">
      <alignment horizontal="center" vertical="center"/>
      <protection locked="0"/>
    </xf>
    <xf numFmtId="1" fontId="60" fillId="0" borderId="17" xfId="0" applyNumberFormat="1" applyFont="1" applyBorder="1" applyAlignment="1" applyProtection="1">
      <alignment horizontal="center" vertical="center"/>
      <protection locked="0"/>
    </xf>
    <xf numFmtId="1" fontId="60" fillId="0" borderId="22" xfId="0" applyNumberFormat="1" applyFont="1" applyBorder="1" applyAlignment="1" applyProtection="1">
      <alignment horizontal="center" vertical="center"/>
      <protection locked="0"/>
    </xf>
    <xf numFmtId="164" fontId="60" fillId="0" borderId="37" xfId="0" applyNumberFormat="1" applyFont="1" applyBorder="1" applyAlignment="1" applyProtection="1">
      <alignment horizontal="right" vertical="center"/>
      <protection locked="0"/>
    </xf>
    <xf numFmtId="164" fontId="60" fillId="0" borderId="19" xfId="0" applyNumberFormat="1" applyFont="1" applyBorder="1" applyAlignment="1" applyProtection="1">
      <alignment horizontal="right" vertical="center"/>
      <protection locked="0"/>
    </xf>
    <xf numFmtId="164" fontId="60" fillId="0" borderId="20" xfId="0" applyNumberFormat="1" applyFont="1" applyBorder="1" applyAlignment="1" applyProtection="1">
      <alignment horizontal="right" vertical="center"/>
      <protection locked="0"/>
    </xf>
    <xf numFmtId="164" fontId="58" fillId="0" borderId="0" xfId="0" applyNumberFormat="1" applyFont="1" applyBorder="1" applyAlignment="1" applyProtection="1">
      <alignment horizontal="center" shrinkToFit="1"/>
      <protection locked="0" hidden="1"/>
    </xf>
    <xf numFmtId="164" fontId="60" fillId="0" borderId="30" xfId="0" applyNumberFormat="1" applyFont="1" applyBorder="1" applyAlignment="1" applyProtection="1">
      <alignment horizontal="right" vertical="center"/>
      <protection locked="0"/>
    </xf>
    <xf numFmtId="164" fontId="60" fillId="0" borderId="23" xfId="0" applyNumberFormat="1" applyFont="1" applyBorder="1" applyAlignment="1" applyProtection="1">
      <alignment horizontal="right" vertical="center"/>
      <protection locked="0"/>
    </xf>
    <xf numFmtId="164" fontId="60" fillId="0" borderId="24" xfId="0" applyNumberFormat="1" applyFont="1" applyBorder="1" applyAlignment="1" applyProtection="1">
      <alignment horizontal="right" vertical="center"/>
      <protection locked="0"/>
    </xf>
    <xf numFmtId="170" fontId="58" fillId="0" borderId="38" xfId="0" applyNumberFormat="1" applyFont="1" applyBorder="1" applyAlignment="1" applyProtection="1">
      <alignment horizontal="center" vertical="center" shrinkToFit="1"/>
      <protection locked="0" hidden="1"/>
    </xf>
    <xf numFmtId="167" fontId="58" fillId="0" borderId="38" xfId="0" applyNumberFormat="1" applyFont="1" applyBorder="1" applyAlignment="1" applyProtection="1">
      <alignment horizontal="center" vertical="center" shrinkToFit="1"/>
      <protection locked="0" hidden="1"/>
    </xf>
    <xf numFmtId="164" fontId="60" fillId="0" borderId="35" xfId="0" applyNumberFormat="1" applyFont="1" applyBorder="1" applyAlignment="1" applyProtection="1">
      <alignment horizontal="right" vertical="center"/>
      <protection locked="0"/>
    </xf>
    <xf numFmtId="164" fontId="60" fillId="0" borderId="18" xfId="0" applyNumberFormat="1" applyFont="1" applyBorder="1" applyAlignment="1" applyProtection="1">
      <alignment horizontal="right" vertical="center"/>
      <protection locked="0"/>
    </xf>
    <xf numFmtId="164" fontId="63" fillId="0" borderId="0" xfId="0" applyNumberFormat="1" applyFont="1" applyBorder="1" applyAlignment="1" applyProtection="1">
      <alignment horizontal="right" vertical="center"/>
      <protection locked="0"/>
    </xf>
    <xf numFmtId="164" fontId="63" fillId="0" borderId="0" xfId="0" applyNumberFormat="1" applyFont="1" applyBorder="1" applyAlignment="1" applyProtection="1">
      <alignment horizontal="right" vertical="center" shrinkToFit="1"/>
      <protection locked="0"/>
    </xf>
    <xf numFmtId="164" fontId="58" fillId="0" borderId="0" xfId="0" applyNumberFormat="1" applyFont="1" applyBorder="1" applyAlignment="1" applyProtection="1">
      <alignment horizontal="left" vertical="center" shrinkToFit="1"/>
      <protection locked="0" hidden="1"/>
    </xf>
    <xf numFmtId="0" fontId="58" fillId="0" borderId="0" xfId="0" applyFont="1" applyBorder="1" applyAlignment="1" applyProtection="1">
      <alignment horizontal="right" vertical="center" shrinkToFit="1"/>
      <protection locked="0"/>
    </xf>
    <xf numFmtId="164" fontId="58" fillId="0" borderId="0" xfId="0" applyNumberFormat="1" applyFont="1" applyBorder="1" applyAlignment="1" applyProtection="1">
      <alignment horizontal="right" vertical="center" shrinkToFit="1"/>
      <protection locked="0"/>
    </xf>
    <xf numFmtId="0" fontId="63" fillId="0" borderId="0" xfId="0" applyFont="1" applyBorder="1" applyAlignment="1" applyProtection="1">
      <alignment horizontal="right" vertical="center" shrinkToFit="1"/>
      <protection locked="0"/>
    </xf>
    <xf numFmtId="164" fontId="51" fillId="0" borderId="0" xfId="0" applyNumberFormat="1" applyFont="1" applyAlignment="1" applyProtection="1">
      <alignment horizontal="center" vertical="center"/>
      <protection locked="0" hidden="1"/>
    </xf>
    <xf numFmtId="1" fontId="52" fillId="0" borderId="0" xfId="0" applyNumberFormat="1" applyFont="1" applyAlignment="1" applyProtection="1">
      <alignment horizontal="center" vertical="center"/>
      <protection locked="0" hidden="1"/>
    </xf>
    <xf numFmtId="164" fontId="58" fillId="0" borderId="0" xfId="0" applyNumberFormat="1" applyFont="1" applyBorder="1" applyAlignment="1" applyProtection="1">
      <alignment vertical="center" shrinkToFit="1"/>
      <protection locked="0"/>
    </xf>
    <xf numFmtId="0" fontId="60" fillId="0" borderId="0" xfId="0" applyFont="1" applyBorder="1" applyAlignment="1" applyProtection="1">
      <alignment vertical="center" shrinkToFit="1"/>
      <protection locked="0"/>
    </xf>
    <xf numFmtId="164" fontId="55" fillId="0" borderId="0" xfId="0" applyNumberFormat="1" applyFont="1" applyAlignment="1" applyProtection="1">
      <alignment horizontal="center" vertical="top" shrinkToFit="1"/>
      <protection locked="0" hidden="1"/>
    </xf>
    <xf numFmtId="164" fontId="58" fillId="0" borderId="0" xfId="0" applyNumberFormat="1" applyFont="1" applyAlignment="1" applyProtection="1">
      <alignment horizontal="right" vertical="center" shrinkToFit="1" readingOrder="2"/>
      <protection locked="0"/>
    </xf>
    <xf numFmtId="164" fontId="60" fillId="0" borderId="19" xfId="0" applyNumberFormat="1" applyFont="1" applyBorder="1" applyAlignment="1" applyProtection="1">
      <alignment horizontal="center" vertical="center"/>
      <protection locked="0"/>
    </xf>
    <xf numFmtId="164" fontId="58" fillId="0" borderId="0" xfId="0" applyNumberFormat="1" applyFont="1" applyAlignment="1" applyProtection="1">
      <alignment vertical="center" shrinkToFit="1"/>
      <protection locked="0"/>
    </xf>
    <xf numFmtId="0" fontId="58" fillId="0" borderId="0" xfId="0" applyFont="1" applyAlignment="1" applyProtection="1">
      <alignment vertical="center" shrinkToFit="1"/>
      <protection locked="0"/>
    </xf>
    <xf numFmtId="1" fontId="58" fillId="0" borderId="48" xfId="0" applyNumberFormat="1" applyFont="1" applyBorder="1" applyAlignment="1" applyProtection="1">
      <alignment horizontal="center" vertical="center" textRotation="90" shrinkToFit="1"/>
      <protection locked="0"/>
    </xf>
    <xf numFmtId="0" fontId="62" fillId="0" borderId="49" xfId="0" applyFont="1" applyBorder="1" applyAlignment="1">
      <alignment shrinkToFit="1"/>
    </xf>
    <xf numFmtId="164" fontId="60" fillId="0" borderId="77" xfId="0" applyNumberFormat="1" applyFont="1" applyBorder="1" applyAlignment="1" applyProtection="1">
      <alignment horizontal="center" vertical="center"/>
      <protection locked="0"/>
    </xf>
    <xf numFmtId="164" fontId="60" fillId="0" borderId="49" xfId="0" applyNumberFormat="1" applyFont="1" applyBorder="1" applyAlignment="1" applyProtection="1">
      <alignment horizontal="center" vertical="center"/>
      <protection locked="0"/>
    </xf>
    <xf numFmtId="164" fontId="60" fillId="0" borderId="51" xfId="0" applyNumberFormat="1" applyFont="1" applyBorder="1" applyAlignment="1" applyProtection="1">
      <alignment horizontal="center" vertical="center"/>
      <protection locked="0"/>
    </xf>
    <xf numFmtId="164" fontId="58" fillId="0" borderId="25" xfId="0" applyNumberFormat="1" applyFont="1" applyBorder="1" applyAlignment="1" applyProtection="1">
      <alignment horizontal="center" vertical="center" shrinkToFit="1"/>
      <protection locked="0"/>
    </xf>
    <xf numFmtId="0" fontId="62" fillId="0" borderId="28" xfId="0" applyFont="1" applyBorder="1" applyAlignment="1">
      <alignment shrinkToFit="1"/>
    </xf>
    <xf numFmtId="0" fontId="62" fillId="0" borderId="26" xfId="0" applyFont="1" applyBorder="1" applyAlignment="1">
      <alignment shrinkToFit="1"/>
    </xf>
    <xf numFmtId="0" fontId="62" fillId="0" borderId="45" xfId="0" applyFont="1" applyBorder="1" applyAlignment="1">
      <alignment shrinkToFit="1"/>
    </xf>
    <xf numFmtId="0" fontId="62" fillId="0" borderId="46" xfId="0" applyFont="1" applyBorder="1" applyAlignment="1">
      <alignment shrinkToFit="1"/>
    </xf>
    <xf numFmtId="0" fontId="62" fillId="0" borderId="47" xfId="0" applyFont="1" applyBorder="1" applyAlignment="1">
      <alignment shrinkToFit="1"/>
    </xf>
    <xf numFmtId="164" fontId="58" fillId="0" borderId="43" xfId="0" applyNumberFormat="1" applyFont="1" applyBorder="1" applyAlignment="1" applyProtection="1">
      <alignment horizontal="center" vertical="center" shrinkToFit="1"/>
      <protection locked="0"/>
    </xf>
    <xf numFmtId="0" fontId="62" fillId="0" borderId="44" xfId="0" applyFont="1" applyBorder="1" applyAlignment="1">
      <alignment shrinkToFit="1"/>
    </xf>
    <xf numFmtId="0" fontId="62" fillId="0" borderId="37" xfId="0" applyFont="1" applyBorder="1" applyAlignment="1">
      <alignment shrinkToFit="1"/>
    </xf>
    <xf numFmtId="164" fontId="58" fillId="0" borderId="40" xfId="0" applyNumberFormat="1" applyFont="1" applyBorder="1" applyAlignment="1" applyProtection="1">
      <alignment horizontal="center" vertical="center" shrinkToFit="1"/>
      <protection locked="0"/>
    </xf>
    <xf numFmtId="0" fontId="62" fillId="0" borderId="41" xfId="0" applyFont="1" applyBorder="1" applyAlignment="1">
      <alignment shrinkToFit="1"/>
    </xf>
    <xf numFmtId="0" fontId="62" fillId="0" borderId="42" xfId="0" applyFont="1" applyBorder="1" applyAlignment="1">
      <alignment shrinkToFit="1"/>
    </xf>
    <xf numFmtId="164" fontId="60" fillId="0" borderId="73" xfId="0" applyNumberFormat="1" applyFont="1" applyBorder="1" applyAlignment="1" applyProtection="1">
      <alignment horizontal="center" vertical="center"/>
      <protection locked="0"/>
    </xf>
    <xf numFmtId="164" fontId="60" fillId="0" borderId="48" xfId="0" applyNumberFormat="1" applyFont="1" applyBorder="1" applyAlignment="1" applyProtection="1">
      <alignment horizontal="center" vertical="center"/>
      <protection locked="0"/>
    </xf>
    <xf numFmtId="164" fontId="60" fillId="0" borderId="50" xfId="0" applyNumberFormat="1" applyFont="1" applyBorder="1" applyAlignment="1" applyProtection="1">
      <alignment horizontal="center" vertical="center"/>
      <protection locked="0"/>
    </xf>
    <xf numFmtId="1" fontId="58" fillId="0" borderId="0" xfId="0" applyNumberFormat="1" applyFont="1" applyBorder="1" applyAlignment="1" applyProtection="1">
      <alignment vertical="center" shrinkToFit="1" readingOrder="2"/>
      <protection locked="0"/>
    </xf>
    <xf numFmtId="1" fontId="58" fillId="0" borderId="50" xfId="0" applyNumberFormat="1" applyFont="1" applyBorder="1" applyAlignment="1" applyProtection="1">
      <alignment horizontal="center" vertical="center" textRotation="90" shrinkToFit="1" readingOrder="2"/>
      <protection locked="0"/>
    </xf>
    <xf numFmtId="0" fontId="62" fillId="0" borderId="51" xfId="0" applyFont="1" applyBorder="1" applyAlignment="1">
      <alignment shrinkToFit="1"/>
    </xf>
    <xf numFmtId="164" fontId="60" fillId="0" borderId="19" xfId="0" applyNumberFormat="1" applyFont="1" applyBorder="1" applyAlignment="1" applyProtection="1">
      <alignment horizontal="center" vertical="center" shrinkToFit="1"/>
      <protection locked="0"/>
    </xf>
    <xf numFmtId="164" fontId="60" fillId="0" borderId="17" xfId="0" applyNumberFormat="1" applyFont="1" applyBorder="1" applyAlignment="1" applyProtection="1">
      <alignment horizontal="right" vertical="center"/>
      <protection locked="0"/>
    </xf>
    <xf numFmtId="164" fontId="60" fillId="0" borderId="58" xfId="0" applyNumberFormat="1" applyFont="1" applyBorder="1" applyAlignment="1" applyProtection="1">
      <alignment horizontal="center" vertical="center" shrinkToFit="1"/>
      <protection locked="0"/>
    </xf>
    <xf numFmtId="164" fontId="60" fillId="0" borderId="17" xfId="0" applyNumberFormat="1" applyFont="1" applyBorder="1" applyAlignment="1" applyProtection="1">
      <alignment horizontal="center" vertical="center"/>
      <protection locked="0"/>
    </xf>
    <xf numFmtId="164" fontId="60" fillId="0" borderId="27" xfId="0" applyNumberFormat="1" applyFont="1" applyBorder="1" applyAlignment="1" applyProtection="1">
      <alignment horizontal="right" vertical="center"/>
      <protection locked="0"/>
    </xf>
    <xf numFmtId="164" fontId="60" fillId="0" borderId="36" xfId="0" applyNumberFormat="1" applyFont="1" applyBorder="1" applyAlignment="1" applyProtection="1">
      <alignment horizontal="right" vertical="center"/>
      <protection locked="0"/>
    </xf>
    <xf numFmtId="0" fontId="60" fillId="0" borderId="34" xfId="0" applyFont="1" applyBorder="1" applyAlignment="1" applyProtection="1">
      <alignment horizontal="right" vertical="center"/>
      <protection locked="0"/>
    </xf>
    <xf numFmtId="0" fontId="60" fillId="0" borderId="29" xfId="0" applyFont="1" applyBorder="1" applyAlignment="1" applyProtection="1">
      <alignment horizontal="right" vertical="center"/>
      <protection locked="0"/>
    </xf>
    <xf numFmtId="164" fontId="60" fillId="0" borderId="17" xfId="0" applyNumberFormat="1" applyFont="1" applyBorder="1" applyAlignment="1" applyProtection="1">
      <alignment horizontal="center" vertical="center" shrinkToFit="1"/>
      <protection locked="0"/>
    </xf>
    <xf numFmtId="164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0" borderId="0" xfId="0" applyNumberFormat="1" applyAlignment="1"/>
    <xf numFmtId="164" fontId="0" fillId="0" borderId="58" xfId="0" applyNumberFormat="1" applyBorder="1" applyAlignment="1">
      <alignment horizontal="center" vertical="center"/>
    </xf>
    <xf numFmtId="164" fontId="0" fillId="0" borderId="58" xfId="0" applyNumberFormat="1" applyBorder="1" applyAlignment="1">
      <alignment horizontal="center" vertical="center" textRotation="90"/>
    </xf>
    <xf numFmtId="164" fontId="0" fillId="0" borderId="92" xfId="0" applyNumberFormat="1" applyBorder="1" applyAlignment="1">
      <alignment horizontal="center" vertical="center"/>
    </xf>
    <xf numFmtId="164" fontId="0" fillId="0" borderId="93" xfId="0" applyNumberFormat="1" applyBorder="1" applyAlignment="1">
      <alignment horizontal="center" vertical="center"/>
    </xf>
    <xf numFmtId="164" fontId="0" fillId="0" borderId="59" xfId="0" applyNumberFormat="1" applyBorder="1" applyAlignment="1">
      <alignment horizontal="center" vertical="center"/>
    </xf>
    <xf numFmtId="164" fontId="0" fillId="0" borderId="58" xfId="0" applyNumberFormat="1" applyBorder="1"/>
    <xf numFmtId="164" fontId="0" fillId="0" borderId="58" xfId="0" applyNumberFormat="1" applyBorder="1" applyAlignment="1">
      <alignment horizontal="center"/>
    </xf>
    <xf numFmtId="164" fontId="0" fillId="0" borderId="0" xfId="0" applyNumberFormat="1" applyAlignment="1">
      <alignment horizontal="right"/>
    </xf>
    <xf numFmtId="1" fontId="0" fillId="0" borderId="58" xfId="0" applyNumberFormat="1" applyBorder="1" applyAlignment="1">
      <alignment horizontal="right" vertical="center"/>
    </xf>
    <xf numFmtId="164" fontId="0" fillId="0" borderId="58" xfId="0" applyNumberFormat="1" applyBorder="1" applyAlignment="1">
      <alignment horizontal="right"/>
    </xf>
    <xf numFmtId="164" fontId="0" fillId="0" borderId="58" xfId="0" applyNumberFormat="1" applyBorder="1" applyAlignment="1">
      <alignment horizontal="right" vertical="center"/>
    </xf>
    <xf numFmtId="0" fontId="81" fillId="0" borderId="0" xfId="0" applyFont="1" applyFill="1" applyProtection="1">
      <protection locked="0" hidden="1"/>
    </xf>
    <xf numFmtId="164" fontId="81" fillId="0" borderId="0" xfId="0" applyNumberFormat="1" applyFont="1" applyFill="1" applyProtection="1">
      <protection locked="0" hidden="1"/>
    </xf>
    <xf numFmtId="0" fontId="81" fillId="0" borderId="0" xfId="0" applyFont="1" applyFill="1" applyAlignment="1" applyProtection="1">
      <alignment horizontal="left"/>
      <protection locked="0" hidden="1"/>
    </xf>
    <xf numFmtId="164" fontId="0" fillId="0" borderId="59" xfId="0" applyNumberFormat="1" applyBorder="1" applyAlignment="1">
      <alignment horizontal="center" vertical="center"/>
    </xf>
  </cellXfs>
  <cellStyles count="10">
    <cellStyle name="Comma [0]" xfId="8" builtinId="6"/>
    <cellStyle name="ContentsHyperlink" xfId="9"/>
    <cellStyle name="Hyperlink" xfId="1" builtinId="8"/>
    <cellStyle name="Normal" xfId="0" builtinId="0"/>
    <cellStyle name="Normal 2" xfId="2"/>
    <cellStyle name="Normal 5" xfId="4"/>
    <cellStyle name="Normal 6" xfId="5"/>
    <cellStyle name="Normal 7" xfId="6"/>
    <cellStyle name="Normal 8" xfId="7"/>
    <cellStyle name="Percent" xfId="3" builtinId="5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</dxfs>
  <tableStyles count="0" defaultTableStyle="TableStyleMedium9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5" dropStyle="combo" dx="15" fmlaLink="$AT$1" fmlaRange="Pengaturan!$H$38:$H$52" sel="11" val="0"/>
</file>

<file path=xl/ctrlProps/ctrlProp4.xml><?xml version="1.0" encoding="utf-8"?>
<formControlPr xmlns="http://schemas.microsoft.com/office/spreadsheetml/2009/9/main" objectType="Drop" dropLines="10" dropStyle="combo" dx="15" fmlaLink="A1" fmlaRange="Pengaturan!$H$38:$H$52" sel="1" val="0"/>
</file>

<file path=xl/ctrlProps/ctrlProp5.xml><?xml version="1.0" encoding="utf-8"?>
<formControlPr xmlns="http://schemas.microsoft.com/office/spreadsheetml/2009/9/main" objectType="Drop" dropLines="15" dropStyle="combo" dx="16" fmlaLink="V1" fmlaRange="Legger!$D$9:$D$50" sel="4" val="0"/>
</file>

<file path=xl/ctrlProps/ctrlProp6.xml><?xml version="1.0" encoding="utf-8"?>
<formControlPr xmlns="http://schemas.microsoft.com/office/spreadsheetml/2009/9/main" objectType="Drop" dropLines="15" dropStyle="combo" dx="15" fmlaLink="Legger!$AT$1" fmlaRange="Pengaturan!$H$38:$H$52" sel="11" val="0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apot!A1"/><Relationship Id="rId2" Type="http://schemas.openxmlformats.org/officeDocument/2006/relationships/hyperlink" Target="#InputNilai!A1"/><Relationship Id="rId1" Type="http://schemas.openxmlformats.org/officeDocument/2006/relationships/hyperlink" Target="#Pengaturan!A1"/><Relationship Id="rId4" Type="http://schemas.openxmlformats.org/officeDocument/2006/relationships/hyperlink" Target="#Legger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Hom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47624</xdr:rowOff>
    </xdr:from>
    <xdr:to>
      <xdr:col>7</xdr:col>
      <xdr:colOff>381000</xdr:colOff>
      <xdr:row>26</xdr:row>
      <xdr:rowOff>156881</xdr:rowOff>
    </xdr:to>
    <xdr:sp macro="" textlink="">
      <xdr:nvSpPr>
        <xdr:cNvPr id="2" name="Rounded Rectangle 1"/>
        <xdr:cNvSpPr/>
      </xdr:nvSpPr>
      <xdr:spPr>
        <a:xfrm>
          <a:off x="0" y="47624"/>
          <a:ext cx="4616824" cy="491658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oneCellAnchor>
    <xdr:from>
      <xdr:col>0</xdr:col>
      <xdr:colOff>245464</xdr:colOff>
      <xdr:row>0</xdr:row>
      <xdr:rowOff>183650</xdr:rowOff>
    </xdr:from>
    <xdr:ext cx="4126511" cy="655885"/>
    <xdr:sp macro="" textlink="">
      <xdr:nvSpPr>
        <xdr:cNvPr id="3" name="Rectangle 2"/>
        <xdr:cNvSpPr/>
      </xdr:nvSpPr>
      <xdr:spPr>
        <a:xfrm>
          <a:off x="245464" y="183650"/>
          <a:ext cx="4126511" cy="6558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id-ID" sz="3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DIGITAL RAPOT v.4.1</a:t>
          </a:r>
        </a:p>
      </xdr:txBody>
    </xdr:sp>
    <xdr:clientData/>
  </xdr:oneCellAnchor>
  <xdr:twoCellAnchor>
    <xdr:from>
      <xdr:col>2</xdr:col>
      <xdr:colOff>289891</xdr:colOff>
      <xdr:row>5</xdr:row>
      <xdr:rowOff>178767</xdr:rowOff>
    </xdr:from>
    <xdr:to>
      <xdr:col>5</xdr:col>
      <xdr:colOff>281609</xdr:colOff>
      <xdr:row>8</xdr:row>
      <xdr:rowOff>57978</xdr:rowOff>
    </xdr:to>
    <xdr:sp macro="[0]!Bantuan" textlink="">
      <xdr:nvSpPr>
        <xdr:cNvPr id="4" name="Rounded Rectangle 3"/>
        <xdr:cNvSpPr/>
      </xdr:nvSpPr>
      <xdr:spPr>
        <a:xfrm>
          <a:off x="1515717" y="1131267"/>
          <a:ext cx="1830457" cy="450711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Readme</a:t>
          </a:r>
        </a:p>
      </xdr:txBody>
    </xdr:sp>
    <xdr:clientData/>
  </xdr:twoCellAnchor>
  <xdr:twoCellAnchor>
    <xdr:from>
      <xdr:col>2</xdr:col>
      <xdr:colOff>271380</xdr:colOff>
      <xdr:row>10</xdr:row>
      <xdr:rowOff>16422</xdr:rowOff>
    </xdr:from>
    <xdr:to>
      <xdr:col>5</xdr:col>
      <xdr:colOff>265536</xdr:colOff>
      <xdr:row>12</xdr:row>
      <xdr:rowOff>86134</xdr:rowOff>
    </xdr:to>
    <xdr:sp macro="" textlink="">
      <xdr:nvSpPr>
        <xdr:cNvPr id="9" name="Rounded Rectangle 8">
          <a:hlinkClick xmlns:r="http://schemas.openxmlformats.org/officeDocument/2006/relationships" r:id="rId1" tooltip="Pengaturan aplikasi"/>
        </xdr:cNvPr>
        <xdr:cNvSpPr/>
      </xdr:nvSpPr>
      <xdr:spPr>
        <a:xfrm>
          <a:off x="1497206" y="1921422"/>
          <a:ext cx="1832895" cy="450712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Pengatuaran</a:t>
          </a:r>
        </a:p>
      </xdr:txBody>
    </xdr:sp>
    <xdr:clientData/>
  </xdr:twoCellAnchor>
  <xdr:twoCellAnchor>
    <xdr:from>
      <xdr:col>2</xdr:col>
      <xdr:colOff>287948</xdr:colOff>
      <xdr:row>14</xdr:row>
      <xdr:rowOff>49547</xdr:rowOff>
    </xdr:from>
    <xdr:to>
      <xdr:col>5</xdr:col>
      <xdr:colOff>281608</xdr:colOff>
      <xdr:row>17</xdr:row>
      <xdr:rowOff>82816</xdr:rowOff>
    </xdr:to>
    <xdr:sp macro="" textlink="">
      <xdr:nvSpPr>
        <xdr:cNvPr id="10" name="Rounded Rectangle 9">
          <a:hlinkClick xmlns:r="http://schemas.openxmlformats.org/officeDocument/2006/relationships" r:id="rId2"/>
        </xdr:cNvPr>
        <xdr:cNvSpPr/>
      </xdr:nvSpPr>
      <xdr:spPr>
        <a:xfrm>
          <a:off x="1498183" y="2716547"/>
          <a:ext cx="1809013" cy="459093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Masukan</a:t>
          </a:r>
          <a:r>
            <a:rPr lang="id-ID" sz="20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Nilai</a:t>
          </a:r>
          <a:endParaRPr lang="id-ID" sz="20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</xdr:col>
      <xdr:colOff>255208</xdr:colOff>
      <xdr:row>23</xdr:row>
      <xdr:rowOff>42147</xdr:rowOff>
    </xdr:from>
    <xdr:to>
      <xdr:col>5</xdr:col>
      <xdr:colOff>253839</xdr:colOff>
      <xdr:row>25</xdr:row>
      <xdr:rowOff>146646</xdr:rowOff>
    </xdr:to>
    <xdr:sp macro="" textlink="">
      <xdr:nvSpPr>
        <xdr:cNvPr id="11" name="Rounded Rectangle 10">
          <a:hlinkClick xmlns:r="http://schemas.openxmlformats.org/officeDocument/2006/relationships" r:id="rId3"/>
        </xdr:cNvPr>
        <xdr:cNvSpPr/>
      </xdr:nvSpPr>
      <xdr:spPr>
        <a:xfrm>
          <a:off x="1465443" y="4277971"/>
          <a:ext cx="1813984" cy="48549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Rapot</a:t>
          </a:r>
        </a:p>
      </xdr:txBody>
    </xdr:sp>
    <xdr:clientData/>
  </xdr:twoCellAnchor>
  <xdr:twoCellAnchor>
    <xdr:from>
      <xdr:col>3</xdr:col>
      <xdr:colOff>596348</xdr:colOff>
      <xdr:row>8</xdr:row>
      <xdr:rowOff>124239</xdr:rowOff>
    </xdr:from>
    <xdr:to>
      <xdr:col>3</xdr:col>
      <xdr:colOff>596348</xdr:colOff>
      <xdr:row>9</xdr:row>
      <xdr:rowOff>157370</xdr:rowOff>
    </xdr:to>
    <xdr:cxnSp macro="">
      <xdr:nvCxnSpPr>
        <xdr:cNvPr id="13" name="Straight Arrow Connector 12"/>
        <xdr:cNvCxnSpPr/>
      </xdr:nvCxnSpPr>
      <xdr:spPr>
        <a:xfrm>
          <a:off x="2435087" y="1648239"/>
          <a:ext cx="0" cy="223631"/>
        </a:xfrm>
        <a:prstGeom prst="straightConnector1">
          <a:avLst/>
        </a:prstGeom>
        <a:ln>
          <a:tailEnd type="triangle"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47625</xdr:rowOff>
    </xdr:from>
    <xdr:to>
      <xdr:col>0</xdr:col>
      <xdr:colOff>0</xdr:colOff>
      <xdr:row>1</xdr:row>
      <xdr:rowOff>80756</xdr:rowOff>
    </xdr:to>
    <xdr:cxnSp macro="">
      <xdr:nvCxnSpPr>
        <xdr:cNvPr id="15" name="Straight Arrow Connector 14"/>
        <xdr:cNvCxnSpPr/>
      </xdr:nvCxnSpPr>
      <xdr:spPr>
        <a:xfrm>
          <a:off x="0" y="47625"/>
          <a:ext cx="0" cy="223631"/>
        </a:xfrm>
        <a:prstGeom prst="straightConnector1">
          <a:avLst/>
        </a:prstGeom>
        <a:ln>
          <a:tailEnd type="triangle"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588544</xdr:colOff>
      <xdr:row>12</xdr:row>
      <xdr:rowOff>144880</xdr:rowOff>
    </xdr:from>
    <xdr:to>
      <xdr:col>3</xdr:col>
      <xdr:colOff>588544</xdr:colOff>
      <xdr:row>13</xdr:row>
      <xdr:rowOff>178011</xdr:rowOff>
    </xdr:to>
    <xdr:cxnSp macro="">
      <xdr:nvCxnSpPr>
        <xdr:cNvPr id="16" name="Straight Arrow Connector 15"/>
        <xdr:cNvCxnSpPr/>
      </xdr:nvCxnSpPr>
      <xdr:spPr>
        <a:xfrm>
          <a:off x="2423360" y="2430880"/>
          <a:ext cx="0" cy="223631"/>
        </a:xfrm>
        <a:prstGeom prst="straightConnector1">
          <a:avLst/>
        </a:prstGeom>
        <a:ln>
          <a:tailEnd type="triangle"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595562</xdr:colOff>
      <xdr:row>17</xdr:row>
      <xdr:rowOff>146884</xdr:rowOff>
    </xdr:from>
    <xdr:to>
      <xdr:col>3</xdr:col>
      <xdr:colOff>595562</xdr:colOff>
      <xdr:row>18</xdr:row>
      <xdr:rowOff>180015</xdr:rowOff>
    </xdr:to>
    <xdr:cxnSp macro="">
      <xdr:nvCxnSpPr>
        <xdr:cNvPr id="17" name="Straight Arrow Connector 16"/>
        <xdr:cNvCxnSpPr/>
      </xdr:nvCxnSpPr>
      <xdr:spPr>
        <a:xfrm>
          <a:off x="2430378" y="3245016"/>
          <a:ext cx="0" cy="223631"/>
        </a:xfrm>
        <a:prstGeom prst="straightConnector1">
          <a:avLst/>
        </a:prstGeom>
        <a:ln>
          <a:tailEnd type="triangle"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249848</xdr:colOff>
      <xdr:row>19</xdr:row>
      <xdr:rowOff>22652</xdr:rowOff>
    </xdr:from>
    <xdr:to>
      <xdr:col>5</xdr:col>
      <xdr:colOff>243508</xdr:colOff>
      <xdr:row>21</xdr:row>
      <xdr:rowOff>100745</xdr:rowOff>
    </xdr:to>
    <xdr:sp macro="" textlink="">
      <xdr:nvSpPr>
        <xdr:cNvPr id="14" name="Rounded Rectangle 13">
          <a:hlinkClick xmlns:r="http://schemas.openxmlformats.org/officeDocument/2006/relationships" r:id="rId4"/>
        </xdr:cNvPr>
        <xdr:cNvSpPr/>
      </xdr:nvSpPr>
      <xdr:spPr>
        <a:xfrm>
          <a:off x="1460083" y="3496476"/>
          <a:ext cx="1809013" cy="459093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20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Legger</a:t>
          </a:r>
        </a:p>
      </xdr:txBody>
    </xdr:sp>
    <xdr:clientData/>
  </xdr:twoCellAnchor>
  <xdr:twoCellAnchor>
    <xdr:from>
      <xdr:col>3</xdr:col>
      <xdr:colOff>592613</xdr:colOff>
      <xdr:row>21</xdr:row>
      <xdr:rowOff>163398</xdr:rowOff>
    </xdr:from>
    <xdr:to>
      <xdr:col>3</xdr:col>
      <xdr:colOff>592613</xdr:colOff>
      <xdr:row>23</xdr:row>
      <xdr:rowOff>6029</xdr:rowOff>
    </xdr:to>
    <xdr:cxnSp macro="">
      <xdr:nvCxnSpPr>
        <xdr:cNvPr id="18" name="Straight Arrow Connector 17"/>
        <xdr:cNvCxnSpPr/>
      </xdr:nvCxnSpPr>
      <xdr:spPr>
        <a:xfrm>
          <a:off x="2407966" y="4018222"/>
          <a:ext cx="0" cy="223631"/>
        </a:xfrm>
        <a:prstGeom prst="straightConnector1">
          <a:avLst/>
        </a:prstGeom>
        <a:ln>
          <a:tailEnd type="triangle"/>
        </a:ln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0</xdr:row>
      <xdr:rowOff>161925</xdr:rowOff>
    </xdr:from>
    <xdr:to>
      <xdr:col>16</xdr:col>
      <xdr:colOff>219075</xdr:colOff>
      <xdr:row>10</xdr:row>
      <xdr:rowOff>180975</xdr:rowOff>
    </xdr:to>
    <xdr:sp macro="" textlink="">
      <xdr:nvSpPr>
        <xdr:cNvPr id="3" name="TextBox 2"/>
        <xdr:cNvSpPr txBox="1"/>
      </xdr:nvSpPr>
      <xdr:spPr>
        <a:xfrm>
          <a:off x="5619750" y="161925"/>
          <a:ext cx="4352925" cy="1924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d-ID" sz="1100"/>
            <a:t>Tampilan Menu</a:t>
          </a:r>
        </a:p>
        <a:p>
          <a:r>
            <a:rPr lang="id-ID" sz="1100"/>
            <a:t>1. Bantuan</a:t>
          </a:r>
          <a:r>
            <a:rPr lang="id-ID" sz="1100" baseline="0"/>
            <a:t> adalah halaman cara menggunakan aplikasi ini</a:t>
          </a:r>
        </a:p>
        <a:p>
          <a:r>
            <a:rPr lang="id-ID" sz="1100" baseline="0"/>
            <a:t>2. Pengaturan </a:t>
          </a:r>
          <a:endParaRPr lang="id-ID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394606</xdr:colOff>
      <xdr:row>0</xdr:row>
      <xdr:rowOff>0</xdr:rowOff>
    </xdr:from>
    <xdr:to>
      <xdr:col>12</xdr:col>
      <xdr:colOff>2163535</xdr:colOff>
      <xdr:row>34</xdr:row>
      <xdr:rowOff>621548</xdr:rowOff>
    </xdr:to>
    <xdr:sp macro="" textlink="">
      <xdr:nvSpPr>
        <xdr:cNvPr id="4" name="Rounded Rectangle 3"/>
        <xdr:cNvSpPr/>
      </xdr:nvSpPr>
      <xdr:spPr>
        <a:xfrm>
          <a:off x="394606" y="0"/>
          <a:ext cx="12845143" cy="621548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5</xdr:col>
      <xdr:colOff>246542</xdr:colOff>
      <xdr:row>34</xdr:row>
      <xdr:rowOff>67575</xdr:rowOff>
    </xdr:from>
    <xdr:to>
      <xdr:col>8</xdr:col>
      <xdr:colOff>258536</xdr:colOff>
      <xdr:row>35</xdr:row>
      <xdr:rowOff>13607</xdr:rowOff>
    </xdr:to>
    <xdr:sp macro="" textlink="">
      <xdr:nvSpPr>
        <xdr:cNvPr id="5" name="Left Arrow 4">
          <a:hlinkClick xmlns:r="http://schemas.openxmlformats.org/officeDocument/2006/relationships" r:id="rId1"/>
        </xdr:cNvPr>
        <xdr:cNvSpPr/>
      </xdr:nvSpPr>
      <xdr:spPr>
        <a:xfrm>
          <a:off x="4900185" y="67575"/>
          <a:ext cx="2148315" cy="708032"/>
        </a:xfrm>
        <a:prstGeom prst="leftArrow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6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390525</xdr:rowOff>
        </xdr:from>
        <xdr:to>
          <xdr:col>17</xdr:col>
          <xdr:colOff>266700</xdr:colOff>
          <xdr:row>0</xdr:row>
          <xdr:rowOff>657225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Rapihkan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0</xdr:row>
          <xdr:rowOff>85725</xdr:rowOff>
        </xdr:from>
        <xdr:to>
          <xdr:col>17</xdr:col>
          <xdr:colOff>266700</xdr:colOff>
          <xdr:row>0</xdr:row>
          <xdr:rowOff>352425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Top Rangking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0</xdr:row>
          <xdr:rowOff>95250</xdr:rowOff>
        </xdr:from>
        <xdr:to>
          <xdr:col>21</xdr:col>
          <xdr:colOff>247650</xdr:colOff>
          <xdr:row>0</xdr:row>
          <xdr:rowOff>628650</xdr:rowOff>
        </xdr:to>
        <xdr:sp macro="" textlink="">
          <xdr:nvSpPr>
            <xdr:cNvPr id="4100" name="Drop Dow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9525</xdr:colOff>
      <xdr:row>0</xdr:row>
      <xdr:rowOff>57150</xdr:rowOff>
    </xdr:from>
    <xdr:to>
      <xdr:col>12</xdr:col>
      <xdr:colOff>209550</xdr:colOff>
      <xdr:row>0</xdr:row>
      <xdr:rowOff>678698</xdr:rowOff>
    </xdr:to>
    <xdr:sp macro="" textlink="">
      <xdr:nvSpPr>
        <xdr:cNvPr id="11" name="Rounded Rectangle 10"/>
        <xdr:cNvSpPr/>
      </xdr:nvSpPr>
      <xdr:spPr>
        <a:xfrm>
          <a:off x="752475" y="57150"/>
          <a:ext cx="4781550" cy="621548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</xdr:col>
      <xdr:colOff>106389</xdr:colOff>
      <xdr:row>0</xdr:row>
      <xdr:rowOff>97511</xdr:rowOff>
    </xdr:from>
    <xdr:to>
      <xdr:col>3</xdr:col>
      <xdr:colOff>626389</xdr:colOff>
      <xdr:row>0</xdr:row>
      <xdr:rowOff>597977</xdr:rowOff>
    </xdr:to>
    <xdr:sp macro="" textlink="">
      <xdr:nvSpPr>
        <xdr:cNvPr id="12" name="Left Arrow 11">
          <a:hlinkClick xmlns:r="http://schemas.openxmlformats.org/officeDocument/2006/relationships" r:id="rId1"/>
        </xdr:cNvPr>
        <xdr:cNvSpPr/>
      </xdr:nvSpPr>
      <xdr:spPr>
        <a:xfrm>
          <a:off x="849339" y="97511"/>
          <a:ext cx="815275" cy="500466"/>
        </a:xfrm>
        <a:prstGeom prst="leftArrow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40360</xdr:colOff>
      <xdr:row>0</xdr:row>
      <xdr:rowOff>32287</xdr:rowOff>
    </xdr:from>
    <xdr:to>
      <xdr:col>2</xdr:col>
      <xdr:colOff>1436823</xdr:colOff>
      <xdr:row>2</xdr:row>
      <xdr:rowOff>669978</xdr:rowOff>
    </xdr:to>
    <xdr:sp macro="" textlink="">
      <xdr:nvSpPr>
        <xdr:cNvPr id="2" name="Rounded Rectangle 1"/>
        <xdr:cNvSpPr/>
      </xdr:nvSpPr>
      <xdr:spPr>
        <a:xfrm>
          <a:off x="40360" y="32287"/>
          <a:ext cx="2227882" cy="1025149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68773</xdr:colOff>
          <xdr:row>2</xdr:row>
          <xdr:rowOff>264762</xdr:rowOff>
        </xdr:from>
        <xdr:to>
          <xdr:col>2</xdr:col>
          <xdr:colOff>1186590</xdr:colOff>
          <xdr:row>2</xdr:row>
          <xdr:rowOff>548897</xdr:rowOff>
        </xdr:to>
        <xdr:sp macro="" textlink="">
          <xdr:nvSpPr>
            <xdr:cNvPr id="94210" name="Drop Down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137225</xdr:colOff>
      <xdr:row>0</xdr:row>
      <xdr:rowOff>72647</xdr:rowOff>
    </xdr:from>
    <xdr:to>
      <xdr:col>2</xdr:col>
      <xdr:colOff>16146</xdr:colOff>
      <xdr:row>2</xdr:row>
      <xdr:rowOff>217944</xdr:rowOff>
    </xdr:to>
    <xdr:sp macro="" textlink="">
      <xdr:nvSpPr>
        <xdr:cNvPr id="3" name="Left Arrow 2">
          <a:hlinkClick xmlns:r="http://schemas.openxmlformats.org/officeDocument/2006/relationships" r:id="rId1"/>
        </xdr:cNvPr>
        <xdr:cNvSpPr/>
      </xdr:nvSpPr>
      <xdr:spPr>
        <a:xfrm>
          <a:off x="137225" y="72647"/>
          <a:ext cx="710340" cy="532755"/>
        </a:xfrm>
        <a:prstGeom prst="leftArrow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MENU</a:t>
          </a:r>
        </a:p>
      </xdr:txBody>
    </xdr:sp>
    <xdr:clientData/>
  </xdr:twoCellAnchor>
  <xdr:oneCellAnchor>
    <xdr:from>
      <xdr:col>1</xdr:col>
      <xdr:colOff>573115</xdr:colOff>
      <xdr:row>1</xdr:row>
      <xdr:rowOff>31652</xdr:rowOff>
    </xdr:from>
    <xdr:ext cx="1493326" cy="342786"/>
    <xdr:sp macro="" textlink="">
      <xdr:nvSpPr>
        <xdr:cNvPr id="4" name="Rectangle 3"/>
        <xdr:cNvSpPr/>
      </xdr:nvSpPr>
      <xdr:spPr>
        <a:xfrm>
          <a:off x="791060" y="225381"/>
          <a:ext cx="1493326" cy="34278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id-ID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Pilih Rombel </a:t>
          </a:r>
          <a:r>
            <a:rPr lang="id-ID" sz="16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:</a:t>
          </a:r>
          <a:endParaRPr lang="en-US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85726</xdr:colOff>
      <xdr:row>1</xdr:row>
      <xdr:rowOff>2915</xdr:rowOff>
    </xdr:from>
    <xdr:to>
      <xdr:col>9</xdr:col>
      <xdr:colOff>101917</xdr:colOff>
      <xdr:row>3</xdr:row>
      <xdr:rowOff>12262</xdr:rowOff>
    </xdr:to>
    <xdr:pic macro="[0]!CetakRapotr">
      <xdr:nvPicPr>
        <xdr:cNvPr id="134" name="Picture 13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351440" y="1491196"/>
          <a:ext cx="679540" cy="460083"/>
        </a:xfrm>
        <a:prstGeom prst="rect">
          <a:avLst/>
        </a:prstGeom>
      </xdr:spPr>
    </xdr:pic>
    <xdr:clientData/>
  </xdr:twoCellAnchor>
  <xdr:twoCellAnchor>
    <xdr:from>
      <xdr:col>4</xdr:col>
      <xdr:colOff>2</xdr:colOff>
      <xdr:row>1</xdr:row>
      <xdr:rowOff>8555</xdr:rowOff>
    </xdr:from>
    <xdr:to>
      <xdr:col>5</xdr:col>
      <xdr:colOff>282641</xdr:colOff>
      <xdr:row>1</xdr:row>
      <xdr:rowOff>233097</xdr:rowOff>
    </xdr:to>
    <xdr:sp macro="" textlink="">
      <xdr:nvSpPr>
        <xdr:cNvPr id="135" name="Rectangle 134"/>
        <xdr:cNvSpPr/>
      </xdr:nvSpPr>
      <xdr:spPr>
        <a:xfrm>
          <a:off x="2219327" y="341930"/>
          <a:ext cx="530289" cy="22454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d-ID" sz="11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Dari</a:t>
          </a:r>
        </a:p>
      </xdr:txBody>
    </xdr:sp>
    <xdr:clientData/>
  </xdr:twoCellAnchor>
  <xdr:twoCellAnchor>
    <xdr:from>
      <xdr:col>4</xdr:col>
      <xdr:colOff>2723</xdr:colOff>
      <xdr:row>2</xdr:row>
      <xdr:rowOff>29744</xdr:rowOff>
    </xdr:from>
    <xdr:to>
      <xdr:col>5</xdr:col>
      <xdr:colOff>285362</xdr:colOff>
      <xdr:row>3</xdr:row>
      <xdr:rowOff>0</xdr:rowOff>
    </xdr:to>
    <xdr:sp macro="" textlink="">
      <xdr:nvSpPr>
        <xdr:cNvPr id="136" name="Rectangle 135"/>
        <xdr:cNvSpPr/>
      </xdr:nvSpPr>
      <xdr:spPr>
        <a:xfrm>
          <a:off x="2179866" y="1764655"/>
          <a:ext cx="546277" cy="174363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id-ID" sz="1100"/>
            <a:t>Ke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</xdr:row>
          <xdr:rowOff>38100</xdr:rowOff>
        </xdr:from>
        <xdr:to>
          <xdr:col>19</xdr:col>
          <xdr:colOff>171450</xdr:colOff>
          <xdr:row>2</xdr:row>
          <xdr:rowOff>161925</xdr:rowOff>
        </xdr:to>
        <xdr:sp macro="" textlink="">
          <xdr:nvSpPr>
            <xdr:cNvPr id="3969" name="Drop Down 897" hidden="1">
              <a:extLst>
                <a:ext uri="{63B3BB69-23CF-44E3-9099-C40C66FF867C}">
                  <a14:compatExt spid="_x0000_s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1</xdr:row>
          <xdr:rowOff>66675</xdr:rowOff>
        </xdr:from>
        <xdr:to>
          <xdr:col>3</xdr:col>
          <xdr:colOff>590550</xdr:colOff>
          <xdr:row>2</xdr:row>
          <xdr:rowOff>180975</xdr:rowOff>
        </xdr:to>
        <xdr:sp macro="" textlink="">
          <xdr:nvSpPr>
            <xdr:cNvPr id="3970" name="Drop Down 898" hidden="1">
              <a:extLst>
                <a:ext uri="{63B3BB69-23CF-44E3-9099-C40C66FF867C}">
                  <a14:compatExt spid="_x0000_s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0</xdr:row>
      <xdr:rowOff>99391</xdr:rowOff>
    </xdr:from>
    <xdr:to>
      <xdr:col>33</xdr:col>
      <xdr:colOff>57978</xdr:colOff>
      <xdr:row>0</xdr:row>
      <xdr:rowOff>720939</xdr:rowOff>
    </xdr:to>
    <xdr:sp macro="" textlink="">
      <xdr:nvSpPr>
        <xdr:cNvPr id="12" name="Rounded Rectangle 11"/>
        <xdr:cNvSpPr/>
      </xdr:nvSpPr>
      <xdr:spPr>
        <a:xfrm>
          <a:off x="1151283" y="99391"/>
          <a:ext cx="7296978" cy="621548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>
    <xdr:from>
      <xdr:col>2</xdr:col>
      <xdr:colOff>96864</xdr:colOff>
      <xdr:row>0</xdr:row>
      <xdr:rowOff>139752</xdr:rowOff>
    </xdr:from>
    <xdr:to>
      <xdr:col>3</xdr:col>
      <xdr:colOff>539422</xdr:colOff>
      <xdr:row>0</xdr:row>
      <xdr:rowOff>640218</xdr:rowOff>
    </xdr:to>
    <xdr:sp macro="" textlink="">
      <xdr:nvSpPr>
        <xdr:cNvPr id="13" name="Left Arrow 12">
          <a:hlinkClick xmlns:r="http://schemas.openxmlformats.org/officeDocument/2006/relationships" r:id="rId2"/>
        </xdr:cNvPr>
        <xdr:cNvSpPr/>
      </xdr:nvSpPr>
      <xdr:spPr>
        <a:xfrm>
          <a:off x="1248147" y="139752"/>
          <a:ext cx="815275" cy="500466"/>
        </a:xfrm>
        <a:prstGeom prst="leftArrow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id-ID" sz="1000" b="1" cap="none" spc="50">
              <a:ln w="0"/>
              <a:solidFill>
                <a:schemeClr val="bg1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10467</xdr:colOff>
      <xdr:row>0</xdr:row>
      <xdr:rowOff>944</xdr:rowOff>
    </xdr:from>
    <xdr:ext cx="7742883" cy="723900"/>
    <xdr:sp macro="" textlink="">
      <xdr:nvSpPr>
        <xdr:cNvPr id="3" name="Rounded Rectangle 2"/>
        <xdr:cNvSpPr/>
      </xdr:nvSpPr>
      <xdr:spPr>
        <a:xfrm>
          <a:off x="10467" y="944"/>
          <a:ext cx="7742883" cy="723900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lIns="900000" tIns="36000" bIns="36000" rtlCol="0" anchor="t" anchorCtr="0">
          <a:noAutofit/>
        </a:bodyPr>
        <a:lstStyle/>
        <a:p>
          <a:pPr algn="l"/>
          <a:r>
            <a:rPr lang="en-US" sz="1100" b="1"/>
            <a:t>KETERANGAN</a:t>
          </a:r>
          <a:r>
            <a:rPr lang="en-US" sz="1100" b="1" baseline="0"/>
            <a:t> :</a:t>
          </a:r>
        </a:p>
        <a:p>
          <a:pPr algn="l"/>
          <a:r>
            <a:rPr lang="en-US" sz="1100" baseline="0"/>
            <a:t>1. Masukkan data sekolah, data kelas,  KKM Mapel dengan benar</a:t>
          </a:r>
        </a:p>
        <a:p>
          <a:pPr algn="l"/>
          <a:r>
            <a:rPr lang="en-US" sz="1100" baseline="0"/>
            <a:t>2. Jika terjadi kesalahan pengisian data, silahkan di hapus</a:t>
          </a:r>
        </a:p>
        <a:p>
          <a:pPr algn="l"/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133350</xdr:rowOff>
        </xdr:from>
        <xdr:to>
          <xdr:col>5</xdr:col>
          <xdr:colOff>1047750</xdr:colOff>
          <xdr:row>0</xdr:row>
          <xdr:rowOff>609600</xdr:rowOff>
        </xdr:to>
        <xdr:sp macro="" textlink="">
          <xdr:nvSpPr>
            <xdr:cNvPr id="11314" name="Button 50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"/>
                </a:rPr>
                <a:t>Ambil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0</xdr:col>
      <xdr:colOff>837363</xdr:colOff>
      <xdr:row>0</xdr:row>
      <xdr:rowOff>681301</xdr:rowOff>
    </xdr:to>
    <xdr:grpSp>
      <xdr:nvGrpSpPr>
        <xdr:cNvPr id="4" name="Group 3">
          <a:hlinkClick xmlns:r="http://schemas.openxmlformats.org/officeDocument/2006/relationships" r:id="rId1"/>
        </xdr:cNvPr>
        <xdr:cNvGrpSpPr/>
      </xdr:nvGrpSpPr>
      <xdr:grpSpPr>
        <a:xfrm>
          <a:off x="0" y="0"/>
          <a:ext cx="837363" cy="681301"/>
          <a:chOff x="1525" y="38100"/>
          <a:chExt cx="808100" cy="658938"/>
        </a:xfrm>
      </xdr:grpSpPr>
      <xdr:pic>
        <xdr:nvPicPr>
          <xdr:cNvPr id="5" name="Picture 4" descr="icon bulat.png"/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62584" y="38100"/>
            <a:ext cx="651791" cy="658938"/>
          </a:xfrm>
          <a:prstGeom prst="rect">
            <a:avLst/>
          </a:prstGeom>
        </xdr:spPr>
      </xdr:pic>
      <xdr:sp macro="" textlink="">
        <xdr:nvSpPr>
          <xdr:cNvPr id="6" name="Rectangle 5"/>
          <xdr:cNvSpPr/>
        </xdr:nvSpPr>
        <xdr:spPr>
          <a:xfrm>
            <a:off x="1525" y="214853"/>
            <a:ext cx="808100" cy="309315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r>
              <a:rPr lang="en-US" sz="1200" b="1" cap="none" spc="50">
                <a:ln w="11430"/>
                <a:gradFill>
                  <a:gsLst>
                    <a:gs pos="25000">
                      <a:schemeClr val="accent2">
                        <a:satMod val="155000"/>
                      </a:schemeClr>
                    </a:gs>
                    <a:gs pos="100000">
                      <a:schemeClr val="accent2">
                        <a:shade val="45000"/>
                        <a:satMod val="165000"/>
                      </a:schemeClr>
                    </a:gs>
                  </a:gsLst>
                  <a:lin ang="5400000"/>
                </a:gra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  <a:latin typeface="Arial Black" pitchFamily="34" charset="0"/>
              </a:rPr>
              <a:t>HOME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7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7"/>
  <sheetViews>
    <sheetView tabSelected="1" view="pageBreakPreview" zoomScale="85" zoomScaleNormal="100" zoomScaleSheetLayoutView="85" workbookViewId="0"/>
  </sheetViews>
  <sheetFormatPr defaultRowHeight="15" x14ac:dyDescent="0.25"/>
  <cols>
    <col min="8" max="8" width="6.140625" customWidth="1"/>
  </cols>
  <sheetData>
    <row r="17" ht="3.75" customHeight="1" x14ac:dyDescent="0.25"/>
  </sheetData>
  <sheetProtection formatCells="0" formatColumns="0" formatRows="0" insertColumns="0" insertRows="0" insertHyperlinks="0" deleteColumns="0" deleteRows="0" sort="0" autoFilter="0" pivotTables="0"/>
  <customSheetViews>
    <customSheetView guid="{D6876842-41DE-4A2D-BA5A-3FB60505F493}" scale="85" showPageBreaks="1" printArea="1" view="pageBreakPreview">
      <pageMargins left="0.7" right="0.7" top="0.75" bottom="0.75" header="0.3" footer="0.3"/>
      <pageSetup paperSize="768" orientation="portrait" horizontalDpi="0" verticalDpi="0" r:id="rId1"/>
    </customSheetView>
  </customSheetViews>
  <pageMargins left="0.7" right="0.7" top="0.75" bottom="0.75" header="0.3" footer="0.3"/>
  <pageSetup paperSize="768" orientation="portrait" horizontalDpi="0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K20" sqref="K20"/>
    </sheetView>
  </sheetViews>
  <sheetFormatPr defaultRowHeight="15" x14ac:dyDescent="0.25"/>
  <sheetData/>
  <customSheetViews>
    <customSheetView guid="{D6876842-41DE-4A2D-BA5A-3FB60505F493}">
      <selection activeCell="K20" sqref="K20"/>
      <pageMargins left="0.7" right="0.7" top="0.75" bottom="0.75" header="0.3" footer="0.3"/>
    </customSheetView>
  </customSheetView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8573"/>
  <sheetViews>
    <sheetView topLeftCell="A35" zoomScale="70" zoomScaleNormal="70" workbookViewId="0"/>
  </sheetViews>
  <sheetFormatPr defaultColWidth="0" defaultRowHeight="15.75" zeroHeight="1" x14ac:dyDescent="0.25"/>
  <cols>
    <col min="1" max="1" width="6" style="3" customWidth="1"/>
    <col min="2" max="2" width="5.85546875" style="3" bestFit="1" customWidth="1"/>
    <col min="3" max="3" width="20.42578125" style="3" customWidth="1"/>
    <col min="4" max="4" width="31" style="3" customWidth="1"/>
    <col min="5" max="5" width="6.5703125" style="3" customWidth="1"/>
    <col min="6" max="6" width="8.42578125" style="3" bestFit="1" customWidth="1"/>
    <col min="7" max="7" width="5.42578125" style="3" bestFit="1" customWidth="1"/>
    <col min="8" max="8" width="18.140625" style="3" bestFit="1" customWidth="1"/>
    <col min="9" max="9" width="17.7109375" style="3" bestFit="1" customWidth="1"/>
    <col min="10" max="10" width="17.28515625" style="3" bestFit="1" customWidth="1"/>
    <col min="11" max="11" width="16.42578125" style="3" bestFit="1" customWidth="1"/>
    <col min="12" max="12" width="12.5703125" style="3" bestFit="1" customWidth="1"/>
    <col min="13" max="13" width="35.7109375" style="3" bestFit="1" customWidth="1"/>
    <col min="14" max="16" width="34.140625" style="3" hidden="1" customWidth="1"/>
    <col min="17" max="17" width="34.140625" style="5" hidden="1" customWidth="1"/>
    <col min="18" max="19" width="34.140625" style="3" hidden="1" customWidth="1"/>
    <col min="20" max="22" width="0" style="3" hidden="1" customWidth="1"/>
    <col min="23" max="16384" width="34.140625" style="3" hidden="1"/>
  </cols>
  <sheetData>
    <row r="1" spans="1:22" ht="34.5" hidden="1" customHeight="1" x14ac:dyDescent="0.25">
      <c r="A1" s="298"/>
      <c r="B1" s="298"/>
      <c r="C1" s="309"/>
      <c r="D1" s="298"/>
      <c r="E1" s="298"/>
      <c r="F1" s="298"/>
      <c r="P1" s="4"/>
    </row>
    <row r="2" spans="1:22" ht="36.75" hidden="1" customHeight="1" thickBot="1" x14ac:dyDescent="0.3">
      <c r="B2" s="299"/>
      <c r="C2" s="341" t="s">
        <v>1868</v>
      </c>
      <c r="D2" s="341"/>
      <c r="E2" s="308"/>
      <c r="F2" s="341" t="s">
        <v>1869</v>
      </c>
      <c r="G2" s="341"/>
      <c r="H2" s="341"/>
      <c r="I2" s="341"/>
      <c r="J2" s="341"/>
      <c r="K2" s="298"/>
      <c r="L2" s="298"/>
      <c r="N2" s="386" t="s">
        <v>8672</v>
      </c>
      <c r="O2" s="386"/>
      <c r="Q2" s="298" t="s">
        <v>8578</v>
      </c>
      <c r="R2" s="298"/>
      <c r="S2" s="298"/>
    </row>
    <row r="3" spans="1:22" ht="27" hidden="1" customHeight="1" thickBot="1" x14ac:dyDescent="0.3">
      <c r="B3" s="299"/>
      <c r="C3" s="301" t="s">
        <v>1871</v>
      </c>
      <c r="D3" s="301" t="s">
        <v>1872</v>
      </c>
      <c r="E3" s="298"/>
      <c r="F3" s="299" t="s">
        <v>1873</v>
      </c>
      <c r="G3" s="299" t="s">
        <v>2040</v>
      </c>
      <c r="H3" s="301" t="s">
        <v>1872</v>
      </c>
      <c r="I3" s="299" t="s">
        <v>1874</v>
      </c>
      <c r="J3" s="301" t="s">
        <v>1872</v>
      </c>
      <c r="K3" s="1"/>
      <c r="L3" s="1"/>
      <c r="M3" s="1"/>
      <c r="N3" s="9" t="s">
        <v>1871</v>
      </c>
      <c r="O3" s="11" t="s">
        <v>1872</v>
      </c>
      <c r="Q3" s="298"/>
      <c r="R3" s="298"/>
      <c r="S3" s="298"/>
    </row>
    <row r="4" spans="1:22" ht="14.25" hidden="1" customHeight="1" x14ac:dyDescent="0.25">
      <c r="B4" s="299"/>
      <c r="C4" s="301"/>
      <c r="D4" s="301" t="s">
        <v>1878</v>
      </c>
      <c r="E4" s="298"/>
      <c r="F4" s="299">
        <v>0</v>
      </c>
      <c r="G4" s="306">
        <v>0</v>
      </c>
      <c r="H4" s="307" t="s">
        <v>1878</v>
      </c>
      <c r="I4" s="306">
        <v>0</v>
      </c>
      <c r="J4" s="307" t="s">
        <v>1878</v>
      </c>
      <c r="K4" s="311"/>
      <c r="L4" s="311"/>
      <c r="N4" s="14">
        <v>0</v>
      </c>
      <c r="O4" s="15" t="s">
        <v>1878</v>
      </c>
      <c r="Q4" s="210" t="s">
        <v>8532</v>
      </c>
      <c r="R4" s="210" t="s">
        <v>8581</v>
      </c>
      <c r="S4" s="310" t="s">
        <v>8680</v>
      </c>
    </row>
    <row r="5" spans="1:22" hidden="1" x14ac:dyDescent="0.25">
      <c r="B5" s="299"/>
      <c r="C5" s="301">
        <v>0</v>
      </c>
      <c r="D5" s="301" t="s">
        <v>1878</v>
      </c>
      <c r="E5" s="298"/>
      <c r="F5" s="299">
        <v>1</v>
      </c>
      <c r="G5" s="299">
        <v>1</v>
      </c>
      <c r="H5" s="299" t="s">
        <v>604</v>
      </c>
      <c r="I5" s="299">
        <v>1</v>
      </c>
      <c r="J5" s="299" t="s">
        <v>604</v>
      </c>
      <c r="K5" s="298"/>
      <c r="L5" s="298"/>
      <c r="N5" s="17">
        <v>200.1</v>
      </c>
      <c r="O5" s="16" t="s">
        <v>606</v>
      </c>
      <c r="Q5" s="210" t="s">
        <v>8579</v>
      </c>
      <c r="R5" s="210" t="s">
        <v>8580</v>
      </c>
      <c r="S5" s="310" t="s">
        <v>8681</v>
      </c>
    </row>
    <row r="6" spans="1:22" hidden="1" x14ac:dyDescent="0.25">
      <c r="B6" s="299"/>
      <c r="C6" s="302">
        <v>3</v>
      </c>
      <c r="D6" s="303" t="s">
        <v>8206</v>
      </c>
      <c r="E6" s="298"/>
      <c r="F6" s="299">
        <v>2</v>
      </c>
      <c r="G6" s="299">
        <v>2</v>
      </c>
      <c r="H6" s="299" t="s">
        <v>608</v>
      </c>
      <c r="I6" s="299">
        <v>2</v>
      </c>
      <c r="J6" s="299" t="s">
        <v>608</v>
      </c>
      <c r="K6" s="298"/>
      <c r="L6" s="298"/>
      <c r="N6" s="17">
        <v>200.2</v>
      </c>
      <c r="O6" s="16" t="s">
        <v>610</v>
      </c>
      <c r="Q6" s="3"/>
    </row>
    <row r="7" spans="1:22" ht="16.5" hidden="1" thickBot="1" x14ac:dyDescent="0.3">
      <c r="B7" s="299"/>
      <c r="C7" s="302">
        <v>3.5</v>
      </c>
      <c r="D7" s="303" t="s">
        <v>8197</v>
      </c>
      <c r="E7" s="298"/>
      <c r="F7" s="299">
        <v>3</v>
      </c>
      <c r="G7" s="299">
        <v>3</v>
      </c>
      <c r="H7" s="299" t="s">
        <v>611</v>
      </c>
      <c r="I7" s="299">
        <v>3</v>
      </c>
      <c r="J7" s="299" t="s">
        <v>611</v>
      </c>
      <c r="K7" s="298"/>
      <c r="L7" s="298"/>
      <c r="N7" s="17">
        <v>200.3</v>
      </c>
      <c r="O7" s="16" t="s">
        <v>613</v>
      </c>
      <c r="Q7" s="3" t="s">
        <v>1870</v>
      </c>
    </row>
    <row r="8" spans="1:22" ht="16.5" hidden="1" thickBot="1" x14ac:dyDescent="0.3">
      <c r="B8" s="299"/>
      <c r="C8" s="302">
        <v>4</v>
      </c>
      <c r="D8" s="303" t="s">
        <v>8200</v>
      </c>
      <c r="E8" s="298"/>
      <c r="F8" s="299">
        <v>4</v>
      </c>
      <c r="G8" s="299">
        <v>4</v>
      </c>
      <c r="H8" s="299" t="s">
        <v>611</v>
      </c>
      <c r="I8" s="299">
        <v>4</v>
      </c>
      <c r="J8" s="299" t="s">
        <v>611</v>
      </c>
      <c r="K8" s="298"/>
      <c r="L8" s="298"/>
      <c r="N8" s="17">
        <v>200.4</v>
      </c>
      <c r="O8" s="16" t="s">
        <v>615</v>
      </c>
      <c r="Q8" s="7" t="s">
        <v>1875</v>
      </c>
      <c r="R8" s="10" t="s">
        <v>1872</v>
      </c>
      <c r="S8" s="10" t="s">
        <v>1876</v>
      </c>
      <c r="T8" s="10" t="s">
        <v>1872</v>
      </c>
      <c r="U8" s="10" t="s">
        <v>1877</v>
      </c>
      <c r="V8" s="8" t="s">
        <v>1872</v>
      </c>
    </row>
    <row r="9" spans="1:22" hidden="1" x14ac:dyDescent="0.25">
      <c r="B9" s="299"/>
      <c r="C9" s="301">
        <v>4.5</v>
      </c>
      <c r="D9" s="304" t="s">
        <v>8198</v>
      </c>
      <c r="E9" s="298"/>
      <c r="F9" s="299">
        <v>5</v>
      </c>
      <c r="G9" s="299">
        <v>5</v>
      </c>
      <c r="H9" s="299" t="s">
        <v>611</v>
      </c>
      <c r="I9" s="299">
        <v>5</v>
      </c>
      <c r="J9" s="299" t="s">
        <v>611</v>
      </c>
      <c r="K9" s="298"/>
      <c r="L9" s="298"/>
      <c r="N9" s="17">
        <v>200.5</v>
      </c>
      <c r="O9" s="16" t="s">
        <v>616</v>
      </c>
      <c r="Q9" s="12">
        <v>0</v>
      </c>
      <c r="R9" s="2" t="s">
        <v>1878</v>
      </c>
      <c r="S9" s="2">
        <v>0</v>
      </c>
      <c r="T9" s="2" t="s">
        <v>1878</v>
      </c>
      <c r="U9" s="2">
        <v>0</v>
      </c>
      <c r="V9" s="13" t="s">
        <v>1878</v>
      </c>
    </row>
    <row r="10" spans="1:22" hidden="1" x14ac:dyDescent="0.25">
      <c r="B10" s="299"/>
      <c r="C10" s="301">
        <v>5</v>
      </c>
      <c r="D10" s="304" t="s">
        <v>8201</v>
      </c>
      <c r="E10" s="298"/>
      <c r="F10" s="299">
        <v>6</v>
      </c>
      <c r="G10" s="299">
        <v>6</v>
      </c>
      <c r="H10" s="299" t="s">
        <v>611</v>
      </c>
      <c r="I10" s="299">
        <v>6</v>
      </c>
      <c r="J10" s="299" t="s">
        <v>611</v>
      </c>
      <c r="K10" s="298"/>
      <c r="L10" s="298"/>
      <c r="N10" s="17">
        <v>200.6</v>
      </c>
      <c r="O10" s="16" t="s">
        <v>617</v>
      </c>
      <c r="Q10" s="17">
        <v>5</v>
      </c>
      <c r="R10" s="299" t="s">
        <v>8203</v>
      </c>
      <c r="S10" s="299">
        <v>5</v>
      </c>
      <c r="T10" s="299" t="s">
        <v>605</v>
      </c>
      <c r="U10" s="299">
        <v>5</v>
      </c>
      <c r="V10" s="18" t="s">
        <v>605</v>
      </c>
    </row>
    <row r="11" spans="1:22" hidden="1" x14ac:dyDescent="0.25">
      <c r="B11" s="299"/>
      <c r="C11" s="301">
        <v>5.5</v>
      </c>
      <c r="D11" s="304" t="s">
        <v>8196</v>
      </c>
      <c r="E11" s="298"/>
      <c r="F11" s="299">
        <v>7</v>
      </c>
      <c r="G11" s="299">
        <v>7</v>
      </c>
      <c r="H11" s="299" t="s">
        <v>611</v>
      </c>
      <c r="I11" s="299">
        <v>7</v>
      </c>
      <c r="J11" s="299" t="s">
        <v>611</v>
      </c>
      <c r="K11" s="298"/>
      <c r="L11" s="298"/>
      <c r="N11" s="17">
        <v>200.7</v>
      </c>
      <c r="O11" s="16" t="s">
        <v>618</v>
      </c>
      <c r="Q11" s="17">
        <v>6</v>
      </c>
      <c r="R11" s="299" t="s">
        <v>8204</v>
      </c>
      <c r="S11" s="299">
        <v>6</v>
      </c>
      <c r="T11" s="299" t="s">
        <v>609</v>
      </c>
      <c r="U11" s="299">
        <v>6</v>
      </c>
      <c r="V11" s="18" t="s">
        <v>609</v>
      </c>
    </row>
    <row r="12" spans="1:22" hidden="1" x14ac:dyDescent="0.25">
      <c r="B12" s="299"/>
      <c r="C12" s="301">
        <v>6</v>
      </c>
      <c r="D12" s="304" t="s">
        <v>8202</v>
      </c>
      <c r="E12" s="298"/>
      <c r="F12" s="299">
        <v>8</v>
      </c>
      <c r="G12" s="299">
        <v>8</v>
      </c>
      <c r="H12" s="299" t="s">
        <v>611</v>
      </c>
      <c r="I12" s="299">
        <v>8</v>
      </c>
      <c r="J12" s="299" t="s">
        <v>611</v>
      </c>
      <c r="K12" s="298"/>
      <c r="L12" s="298"/>
      <c r="N12" s="17">
        <v>200.8</v>
      </c>
      <c r="O12" s="16" t="s">
        <v>619</v>
      </c>
      <c r="Q12" s="17">
        <v>7</v>
      </c>
      <c r="R12" s="299" t="s">
        <v>8210</v>
      </c>
      <c r="S12" s="299">
        <v>7</v>
      </c>
      <c r="T12" s="299" t="s">
        <v>612</v>
      </c>
      <c r="U12" s="299">
        <v>7</v>
      </c>
      <c r="V12" s="18" t="s">
        <v>612</v>
      </c>
    </row>
    <row r="13" spans="1:22" ht="15.75" hidden="1" customHeight="1" thickBot="1" x14ac:dyDescent="0.3">
      <c r="B13" s="299"/>
      <c r="C13" s="301">
        <v>6.1</v>
      </c>
      <c r="D13" s="299" t="s">
        <v>8185</v>
      </c>
      <c r="E13" s="298"/>
      <c r="F13" s="299">
        <v>9</v>
      </c>
      <c r="G13" s="299">
        <v>9</v>
      </c>
      <c r="H13" s="299" t="s">
        <v>611</v>
      </c>
      <c r="I13" s="299">
        <v>9</v>
      </c>
      <c r="J13" s="299" t="s">
        <v>611</v>
      </c>
      <c r="K13" s="298"/>
      <c r="L13" s="298"/>
      <c r="N13" s="17">
        <v>200.9</v>
      </c>
      <c r="O13" s="16" t="s">
        <v>620</v>
      </c>
      <c r="Q13" s="19">
        <v>8</v>
      </c>
      <c r="R13" s="20" t="s">
        <v>8205</v>
      </c>
      <c r="S13" s="20">
        <v>8</v>
      </c>
      <c r="T13" s="20" t="s">
        <v>614</v>
      </c>
      <c r="U13" s="20">
        <v>8</v>
      </c>
      <c r="V13" s="21" t="s">
        <v>614</v>
      </c>
    </row>
    <row r="14" spans="1:22" hidden="1" x14ac:dyDescent="0.25">
      <c r="B14" s="299"/>
      <c r="C14" s="301">
        <v>6.2</v>
      </c>
      <c r="D14" s="299" t="s">
        <v>8186</v>
      </c>
      <c r="E14" s="298"/>
      <c r="F14" s="299">
        <v>10</v>
      </c>
      <c r="G14" s="299">
        <v>10</v>
      </c>
      <c r="H14" s="299" t="s">
        <v>611</v>
      </c>
      <c r="I14" s="299">
        <v>10</v>
      </c>
      <c r="J14" s="299" t="s">
        <v>611</v>
      </c>
      <c r="K14" s="298"/>
      <c r="L14" s="298"/>
      <c r="N14" s="17">
        <v>201</v>
      </c>
      <c r="O14" s="16" t="s">
        <v>606</v>
      </c>
    </row>
    <row r="15" spans="1:22" hidden="1" x14ac:dyDescent="0.25">
      <c r="B15" s="299"/>
      <c r="C15" s="301">
        <v>6.3</v>
      </c>
      <c r="D15" s="299" t="s">
        <v>8187</v>
      </c>
      <c r="E15" s="298"/>
      <c r="F15" s="299">
        <v>11</v>
      </c>
      <c r="G15" s="299">
        <v>11</v>
      </c>
      <c r="H15" s="299" t="s">
        <v>621</v>
      </c>
      <c r="I15" s="299">
        <v>11</v>
      </c>
      <c r="J15" s="299" t="s">
        <v>621</v>
      </c>
      <c r="K15" s="298"/>
      <c r="L15" s="298"/>
      <c r="N15" s="17">
        <v>201.1</v>
      </c>
      <c r="O15" s="16" t="s">
        <v>622</v>
      </c>
    </row>
    <row r="16" spans="1:22" hidden="1" x14ac:dyDescent="0.25">
      <c r="B16" s="299"/>
      <c r="C16" s="301">
        <v>6.4</v>
      </c>
      <c r="D16" s="299" t="s">
        <v>8188</v>
      </c>
      <c r="E16" s="298"/>
      <c r="F16" s="299">
        <v>12</v>
      </c>
      <c r="G16" s="299">
        <v>12</v>
      </c>
      <c r="H16" s="299" t="s">
        <v>623</v>
      </c>
      <c r="I16" s="299">
        <v>12</v>
      </c>
      <c r="J16" s="299" t="s">
        <v>624</v>
      </c>
      <c r="K16" s="298"/>
      <c r="L16" s="298"/>
      <c r="N16" s="17">
        <v>201.2</v>
      </c>
      <c r="O16" s="16" t="s">
        <v>625</v>
      </c>
    </row>
    <row r="17" spans="2:15" hidden="1" x14ac:dyDescent="0.25">
      <c r="B17" s="299"/>
      <c r="C17" s="301">
        <v>6.5</v>
      </c>
      <c r="D17" s="304" t="s">
        <v>8199</v>
      </c>
      <c r="E17" s="298"/>
      <c r="F17" s="299">
        <v>13</v>
      </c>
      <c r="G17" s="299">
        <v>13</v>
      </c>
      <c r="H17" s="299" t="s">
        <v>626</v>
      </c>
      <c r="I17" s="299">
        <v>13</v>
      </c>
      <c r="J17" s="299" t="s">
        <v>626</v>
      </c>
      <c r="K17" s="298"/>
      <c r="L17" s="298"/>
      <c r="N17" s="17">
        <v>201.3</v>
      </c>
      <c r="O17" s="16" t="s">
        <v>627</v>
      </c>
    </row>
    <row r="18" spans="2:15" hidden="1" x14ac:dyDescent="0.25">
      <c r="B18" s="299"/>
      <c r="C18" s="301">
        <v>6.6</v>
      </c>
      <c r="D18" s="299" t="s">
        <v>8189</v>
      </c>
      <c r="E18" s="298"/>
      <c r="F18" s="299">
        <v>14</v>
      </c>
      <c r="G18" s="299">
        <v>14</v>
      </c>
      <c r="H18" s="299" t="s">
        <v>628</v>
      </c>
      <c r="I18" s="299">
        <v>14</v>
      </c>
      <c r="J18" s="299" t="s">
        <v>628</v>
      </c>
      <c r="K18" s="298"/>
      <c r="L18" s="298"/>
      <c r="N18" s="17">
        <v>201.4</v>
      </c>
      <c r="O18" s="16" t="s">
        <v>1667</v>
      </c>
    </row>
    <row r="19" spans="2:15" hidden="1" x14ac:dyDescent="0.25">
      <c r="B19" s="299"/>
      <c r="C19" s="301">
        <v>6.7</v>
      </c>
      <c r="D19" s="299" t="s">
        <v>8190</v>
      </c>
      <c r="E19" s="298"/>
      <c r="F19" s="299">
        <v>15</v>
      </c>
      <c r="G19" s="299">
        <v>15</v>
      </c>
      <c r="H19" s="299" t="s">
        <v>1668</v>
      </c>
      <c r="I19" s="299">
        <v>15</v>
      </c>
      <c r="J19" s="299" t="s">
        <v>1668</v>
      </c>
      <c r="K19" s="298"/>
      <c r="L19" s="298"/>
      <c r="N19" s="17">
        <v>201.5</v>
      </c>
      <c r="O19" s="16" t="s">
        <v>1669</v>
      </c>
    </row>
    <row r="20" spans="2:15" hidden="1" x14ac:dyDescent="0.25">
      <c r="B20" s="299"/>
      <c r="C20" s="301">
        <v>6.8</v>
      </c>
      <c r="D20" s="299" t="s">
        <v>8191</v>
      </c>
      <c r="E20" s="298"/>
      <c r="F20" s="299">
        <v>16</v>
      </c>
      <c r="G20" s="299">
        <v>16</v>
      </c>
      <c r="H20" s="299" t="s">
        <v>1670</v>
      </c>
      <c r="I20" s="299">
        <v>16</v>
      </c>
      <c r="J20" s="299" t="s">
        <v>1670</v>
      </c>
      <c r="K20" s="298"/>
      <c r="L20" s="298"/>
      <c r="N20" s="17">
        <v>201.6</v>
      </c>
      <c r="O20" s="16" t="s">
        <v>1671</v>
      </c>
    </row>
    <row r="21" spans="2:15" hidden="1" x14ac:dyDescent="0.25">
      <c r="B21" s="299"/>
      <c r="C21" s="301">
        <v>6.9</v>
      </c>
      <c r="D21" s="299" t="s">
        <v>8195</v>
      </c>
      <c r="E21" s="298"/>
      <c r="F21" s="299">
        <v>17</v>
      </c>
      <c r="G21" s="299">
        <v>17</v>
      </c>
      <c r="H21" s="299" t="s">
        <v>1672</v>
      </c>
      <c r="I21" s="299">
        <v>17</v>
      </c>
      <c r="J21" s="299" t="s">
        <v>1672</v>
      </c>
      <c r="K21" s="298"/>
      <c r="L21" s="298"/>
      <c r="N21" s="17">
        <v>201.7</v>
      </c>
      <c r="O21" s="16" t="s">
        <v>1673</v>
      </c>
    </row>
    <row r="22" spans="2:15" hidden="1" x14ac:dyDescent="0.25">
      <c r="B22" s="299"/>
      <c r="C22" s="301">
        <v>7</v>
      </c>
      <c r="D22" s="304" t="s">
        <v>8209</v>
      </c>
      <c r="E22" s="298"/>
      <c r="F22" s="299">
        <v>18</v>
      </c>
      <c r="G22" s="299">
        <v>18</v>
      </c>
      <c r="H22" s="299" t="s">
        <v>1674</v>
      </c>
      <c r="I22" s="299">
        <v>18</v>
      </c>
      <c r="J22" s="299" t="s">
        <v>1674</v>
      </c>
      <c r="K22" s="298"/>
      <c r="L22" s="298"/>
      <c r="N22" s="17">
        <v>201.8</v>
      </c>
      <c r="O22" s="16" t="s">
        <v>1675</v>
      </c>
    </row>
    <row r="23" spans="2:15" hidden="1" x14ac:dyDescent="0.25">
      <c r="B23" s="299"/>
      <c r="C23" s="301">
        <v>7.5</v>
      </c>
      <c r="D23" s="304" t="s">
        <v>8194</v>
      </c>
      <c r="E23" s="298"/>
      <c r="F23" s="299">
        <v>19</v>
      </c>
      <c r="G23" s="299">
        <v>19</v>
      </c>
      <c r="H23" s="299" t="s">
        <v>1676</v>
      </c>
      <c r="I23" s="299">
        <v>19</v>
      </c>
      <c r="J23" s="299" t="s">
        <v>1676</v>
      </c>
      <c r="K23" s="298"/>
      <c r="L23" s="298"/>
      <c r="N23" s="17">
        <v>201.9</v>
      </c>
      <c r="O23" s="16" t="s">
        <v>1677</v>
      </c>
    </row>
    <row r="24" spans="2:15" hidden="1" x14ac:dyDescent="0.25">
      <c r="B24" s="299"/>
      <c r="C24" s="301">
        <v>8</v>
      </c>
      <c r="D24" s="304" t="s">
        <v>6280</v>
      </c>
      <c r="E24" s="298"/>
      <c r="F24" s="299">
        <v>20</v>
      </c>
      <c r="G24" s="299">
        <v>20</v>
      </c>
      <c r="H24" s="299" t="s">
        <v>2958</v>
      </c>
      <c r="I24" s="299">
        <v>20</v>
      </c>
      <c r="J24" s="299" t="s">
        <v>2958</v>
      </c>
      <c r="K24" s="298"/>
      <c r="L24" s="298"/>
      <c r="N24" s="17">
        <v>202</v>
      </c>
      <c r="O24" s="16" t="s">
        <v>610</v>
      </c>
    </row>
    <row r="25" spans="2:15" hidden="1" x14ac:dyDescent="0.25">
      <c r="B25" s="299"/>
      <c r="C25" s="301">
        <v>8.5</v>
      </c>
      <c r="D25" s="304" t="s">
        <v>8193</v>
      </c>
      <c r="E25" s="298"/>
      <c r="F25" s="299">
        <v>21</v>
      </c>
      <c r="G25" s="299">
        <v>21</v>
      </c>
      <c r="H25" s="299" t="s">
        <v>1918</v>
      </c>
      <c r="I25" s="299">
        <v>21</v>
      </c>
      <c r="J25" s="299" t="s">
        <v>1918</v>
      </c>
      <c r="K25" s="298"/>
      <c r="L25" s="298"/>
      <c r="N25" s="17">
        <v>202.1</v>
      </c>
      <c r="O25" s="16" t="s">
        <v>1919</v>
      </c>
    </row>
    <row r="26" spans="2:15" hidden="1" x14ac:dyDescent="0.25">
      <c r="B26" s="299"/>
      <c r="C26" s="301">
        <v>9</v>
      </c>
      <c r="D26" s="304" t="s">
        <v>8321</v>
      </c>
      <c r="E26" s="298"/>
      <c r="F26" s="299">
        <v>22</v>
      </c>
      <c r="G26" s="299">
        <v>22</v>
      </c>
      <c r="H26" s="299" t="s">
        <v>1920</v>
      </c>
      <c r="I26" s="299">
        <v>22</v>
      </c>
      <c r="J26" s="299" t="s">
        <v>1920</v>
      </c>
      <c r="K26" s="298"/>
      <c r="L26" s="298"/>
      <c r="N26" s="17">
        <v>202.2</v>
      </c>
      <c r="O26" s="16" t="s">
        <v>4105</v>
      </c>
    </row>
    <row r="27" spans="2:15" hidden="1" x14ac:dyDescent="0.25">
      <c r="B27" s="299"/>
      <c r="C27" s="301">
        <v>9.5</v>
      </c>
      <c r="D27" s="304" t="s">
        <v>8192</v>
      </c>
      <c r="E27" s="298"/>
      <c r="F27" s="299">
        <v>23</v>
      </c>
      <c r="G27" s="299">
        <v>23</v>
      </c>
      <c r="H27" s="299" t="s">
        <v>4106</v>
      </c>
      <c r="I27" s="299">
        <v>23</v>
      </c>
      <c r="J27" s="299" t="s">
        <v>4106</v>
      </c>
      <c r="K27" s="298"/>
      <c r="L27" s="298"/>
      <c r="N27" s="17">
        <v>202.3</v>
      </c>
      <c r="O27" s="16" t="s">
        <v>4107</v>
      </c>
    </row>
    <row r="28" spans="2:15" hidden="1" x14ac:dyDescent="0.25">
      <c r="B28" s="299"/>
      <c r="C28" s="299"/>
      <c r="D28" s="299"/>
      <c r="E28" s="298"/>
      <c r="F28" s="299">
        <v>24</v>
      </c>
      <c r="G28" s="299">
        <v>24</v>
      </c>
      <c r="H28" s="299" t="s">
        <v>4108</v>
      </c>
      <c r="I28" s="299">
        <v>24</v>
      </c>
      <c r="J28" s="299" t="s">
        <v>4108</v>
      </c>
      <c r="K28" s="298"/>
      <c r="L28" s="298"/>
      <c r="N28" s="17">
        <v>202.4</v>
      </c>
      <c r="O28" s="16" t="s">
        <v>4109</v>
      </c>
    </row>
    <row r="29" spans="2:15" hidden="1" x14ac:dyDescent="0.25">
      <c r="B29" s="299"/>
      <c r="C29" s="299"/>
      <c r="D29" s="299"/>
      <c r="E29" s="298"/>
      <c r="F29" s="299">
        <v>25</v>
      </c>
      <c r="G29" s="299">
        <v>25</v>
      </c>
      <c r="H29" s="299" t="s">
        <v>4110</v>
      </c>
      <c r="I29" s="299">
        <v>25</v>
      </c>
      <c r="J29" s="299" t="s">
        <v>4110</v>
      </c>
      <c r="K29" s="298"/>
      <c r="L29" s="298"/>
      <c r="N29" s="17">
        <v>202.5</v>
      </c>
      <c r="O29" s="16" t="s">
        <v>4111</v>
      </c>
    </row>
    <row r="30" spans="2:15" hidden="1" x14ac:dyDescent="0.25">
      <c r="B30" s="299"/>
      <c r="C30" s="299"/>
      <c r="D30" s="299"/>
      <c r="E30" s="298"/>
      <c r="F30" s="299">
        <v>26</v>
      </c>
      <c r="G30" s="299">
        <v>26</v>
      </c>
      <c r="H30" s="299" t="s">
        <v>4112</v>
      </c>
      <c r="I30" s="299">
        <v>26</v>
      </c>
      <c r="J30" s="299" t="s">
        <v>4112</v>
      </c>
      <c r="K30" s="298"/>
      <c r="L30" s="298"/>
      <c r="N30" s="17">
        <v>202.6</v>
      </c>
      <c r="O30" s="16" t="s">
        <v>4113</v>
      </c>
    </row>
    <row r="31" spans="2:15" hidden="1" x14ac:dyDescent="0.25">
      <c r="B31" s="299"/>
      <c r="C31" s="299"/>
      <c r="D31" s="299"/>
      <c r="E31" s="298"/>
      <c r="F31" s="299">
        <v>27</v>
      </c>
      <c r="G31" s="299">
        <v>27</v>
      </c>
      <c r="H31" s="299" t="s">
        <v>4114</v>
      </c>
      <c r="I31" s="299">
        <v>27</v>
      </c>
      <c r="J31" s="299" t="s">
        <v>4114</v>
      </c>
      <c r="K31" s="298"/>
      <c r="L31" s="298"/>
      <c r="N31" s="17">
        <v>202.7</v>
      </c>
      <c r="O31" s="16" t="s">
        <v>4115</v>
      </c>
    </row>
    <row r="32" spans="2:15" hidden="1" x14ac:dyDescent="0.25">
      <c r="B32" s="299"/>
      <c r="C32" s="299"/>
      <c r="D32" s="299"/>
      <c r="E32" s="298"/>
      <c r="F32" s="299">
        <v>28</v>
      </c>
      <c r="G32" s="299">
        <v>28</v>
      </c>
      <c r="H32" s="299" t="s">
        <v>4116</v>
      </c>
      <c r="I32" s="299">
        <v>28</v>
      </c>
      <c r="J32" s="299" t="s">
        <v>4116</v>
      </c>
      <c r="K32" s="298"/>
      <c r="L32" s="298"/>
      <c r="N32" s="17">
        <v>202.8</v>
      </c>
      <c r="O32" s="16" t="s">
        <v>4117</v>
      </c>
    </row>
    <row r="33" spans="2:19" hidden="1" x14ac:dyDescent="0.25">
      <c r="B33" s="299"/>
      <c r="C33" s="299"/>
      <c r="D33" s="299"/>
      <c r="E33" s="298"/>
      <c r="F33" s="299">
        <v>29</v>
      </c>
      <c r="G33" s="299">
        <v>29</v>
      </c>
      <c r="H33" s="299" t="s">
        <v>4118</v>
      </c>
      <c r="I33" s="299">
        <v>29</v>
      </c>
      <c r="J33" s="299" t="s">
        <v>4118</v>
      </c>
      <c r="K33" s="298"/>
      <c r="L33" s="298"/>
      <c r="N33" s="17">
        <v>202.9</v>
      </c>
      <c r="O33" s="16" t="s">
        <v>4119</v>
      </c>
    </row>
    <row r="34" spans="2:19" hidden="1" x14ac:dyDescent="0.25">
      <c r="B34" s="299"/>
      <c r="C34" s="299"/>
      <c r="D34" s="299"/>
      <c r="E34" s="298"/>
      <c r="F34" s="299">
        <v>30</v>
      </c>
      <c r="G34" s="299">
        <v>30</v>
      </c>
      <c r="H34" s="299" t="s">
        <v>4120</v>
      </c>
      <c r="I34" s="299">
        <v>30</v>
      </c>
      <c r="J34" s="299" t="s">
        <v>4120</v>
      </c>
      <c r="K34" s="298"/>
      <c r="L34" s="298"/>
      <c r="N34" s="17">
        <v>203</v>
      </c>
      <c r="O34" s="16" t="s">
        <v>613</v>
      </c>
    </row>
    <row r="35" spans="2:19" ht="60" customHeight="1" thickBot="1" x14ac:dyDescent="0.3">
      <c r="C35" s="305"/>
      <c r="D35" s="305"/>
      <c r="N35" s="17">
        <v>203.1</v>
      </c>
      <c r="O35" s="16" t="s">
        <v>4121</v>
      </c>
      <c r="R35" s="6"/>
      <c r="S35" s="298"/>
    </row>
    <row r="36" spans="2:19" ht="32.25" customHeight="1" x14ac:dyDescent="0.25">
      <c r="B36" s="387" t="s">
        <v>8686</v>
      </c>
      <c r="C36" s="387"/>
      <c r="D36" s="387"/>
      <c r="E36" s="387"/>
      <c r="G36" s="338" t="s">
        <v>8687</v>
      </c>
      <c r="H36" s="339"/>
      <c r="I36" s="339"/>
      <c r="J36" s="339"/>
      <c r="K36" s="339"/>
      <c r="L36" s="339"/>
      <c r="M36" s="340"/>
      <c r="N36" s="300">
        <v>203.2</v>
      </c>
      <c r="O36" s="16" t="s">
        <v>4122</v>
      </c>
      <c r="P36" s="6"/>
      <c r="Q36" s="3"/>
    </row>
    <row r="37" spans="2:19" x14ac:dyDescent="0.25">
      <c r="B37" s="328" t="s">
        <v>8639</v>
      </c>
      <c r="C37" s="328" t="s">
        <v>8640</v>
      </c>
      <c r="D37" s="328" t="s">
        <v>8641</v>
      </c>
      <c r="E37" s="328" t="s">
        <v>8642</v>
      </c>
      <c r="G37" s="17" t="s">
        <v>8671</v>
      </c>
      <c r="H37" s="319" t="s">
        <v>8676</v>
      </c>
      <c r="I37" s="319" t="s">
        <v>8677</v>
      </c>
      <c r="J37" s="319" t="s">
        <v>8678</v>
      </c>
      <c r="K37" s="319" t="s">
        <v>8689</v>
      </c>
      <c r="L37" s="319" t="s">
        <v>8688</v>
      </c>
      <c r="M37" s="18" t="s">
        <v>8679</v>
      </c>
      <c r="N37" s="300">
        <v>203.3</v>
      </c>
      <c r="O37" s="16" t="s">
        <v>4123</v>
      </c>
      <c r="P37" s="6"/>
      <c r="Q37" s="3"/>
    </row>
    <row r="38" spans="2:19" x14ac:dyDescent="0.25">
      <c r="B38" s="219">
        <v>1</v>
      </c>
      <c r="C38" s="219" t="s">
        <v>8561</v>
      </c>
      <c r="D38" s="219" t="str">
        <f t="shared" ref="D38:D60" si="0">IF(C38="ArabLisan","اللغة العربية",IF(C38="Biologi","البيولوجيا",
IF(C38="Faroid","الفراعد",
IF(C38="InggrisLisan","اللغة الإنجليزية",
IF(C38="FiqhLisan","الفقه وتلاوة القرآن",
IF(C38="Arab","الدروس الغة العربية",
IF(C38="Tarikh","التاريخ الإسلامى",
IF(C38="Tauhid","التوحيد",
IF(C38="Tafsir","التفسير",
IF(C38="Sharaf","الصرف",
IF(C38="Imla","الاملاء",
IF(C38="Hadits","الحديث",
IF(C38="Fiqh","الفقه",
IF(C38="Grammer","Grammer",
IF(C38="Inggris","اللغة الإنجليزية",
IF(C38="Mahfudzot","المحفوظات",
IF(C38="Khot","الخط العربي",
IF(C38="UsulFiqh","أصول الفقه",
IF(C38="Mutholaah","المطالعة و الإنشاء",
IF(C38="Nahwu","النحو",
IF(C38="Tarbiyah","التربية",
IF(C38="Balagoh","البلاغة",
IF(C38="Matematika","الرياضيات",
IF(C38="Kimia","الكيمياء",
IF(C38="Fisika","الفيزياء",
IF(C38="Indonesia","اللغة الإندونيسية",
IF(C38="Sejarah","التاريخ العام",
IF(C38="Pkn","التربية الوطنية",
IF(C38="TIK","الكمبيوتر",
IF(C38="Sosiologi","الصوصيولوجيا",
IF(C38="Ekonomi","الاقتصادية",
IF(C38="Geografi","الجغرافيا",
IF(C38="Ilmu Hadits","مصطلح الحديث",
)))))))))))))))))))))))))))))))))</f>
        <v>اللغة العربية</v>
      </c>
      <c r="E38" s="219">
        <v>3</v>
      </c>
      <c r="G38" s="17">
        <v>1</v>
      </c>
      <c r="H38" s="219" t="s">
        <v>8621</v>
      </c>
      <c r="I38" s="319" t="s">
        <v>8660</v>
      </c>
      <c r="J38" s="319"/>
      <c r="K38" s="319">
        <f>IF(OR(J38=0,J38="IPA"),COUNTA($C$76:$C$110),IF(J38="IPS",COUNTA($H$76:$H$110),))</f>
        <v>23</v>
      </c>
      <c r="L38" s="332">
        <f>COUNTA(InputNilai!C8:C57)</f>
        <v>1</v>
      </c>
      <c r="M38" s="18" t="s">
        <v>8643</v>
      </c>
      <c r="N38" s="300">
        <v>203.4</v>
      </c>
      <c r="O38" s="16" t="s">
        <v>4124</v>
      </c>
      <c r="Q38" s="6"/>
    </row>
    <row r="39" spans="2:19" x14ac:dyDescent="0.25">
      <c r="B39" s="219">
        <v>2</v>
      </c>
      <c r="C39" s="219" t="s">
        <v>8550</v>
      </c>
      <c r="D39" s="219" t="str">
        <f t="shared" si="0"/>
        <v>البيولوجيا</v>
      </c>
      <c r="E39" s="219">
        <v>3</v>
      </c>
      <c r="G39" s="17">
        <v>2</v>
      </c>
      <c r="H39" s="219" t="s">
        <v>8622</v>
      </c>
      <c r="I39" s="319" t="s">
        <v>8659</v>
      </c>
      <c r="J39" s="319"/>
      <c r="K39" s="319">
        <f t="shared" ref="K39:K52" si="1">IF(OR(J39=0,J39="IPA"),COUNTA($C$76:$C$110),IF(J39="IPS",COUNTA($H$76:$H$110),))</f>
        <v>23</v>
      </c>
      <c r="L39" s="332">
        <f>COUNTA(InputNilai!C58:C107)</f>
        <v>0</v>
      </c>
      <c r="M39" s="18" t="s">
        <v>8656</v>
      </c>
      <c r="N39" s="300">
        <v>203.5</v>
      </c>
      <c r="O39" s="16" t="s">
        <v>4125</v>
      </c>
      <c r="Q39" s="6"/>
    </row>
    <row r="40" spans="2:19" x14ac:dyDescent="0.25">
      <c r="B40" s="219">
        <v>3</v>
      </c>
      <c r="C40" s="219" t="s">
        <v>8582</v>
      </c>
      <c r="D40" s="219" t="str">
        <f t="shared" si="0"/>
        <v>الفراعد</v>
      </c>
      <c r="E40" s="219">
        <v>3</v>
      </c>
      <c r="G40" s="17">
        <v>3</v>
      </c>
      <c r="H40" s="219" t="s">
        <v>8623</v>
      </c>
      <c r="I40" s="319" t="s">
        <v>8658</v>
      </c>
      <c r="J40" s="319"/>
      <c r="K40" s="319">
        <f t="shared" si="1"/>
        <v>23</v>
      </c>
      <c r="L40" s="332">
        <f>COUNTA(InputNilai!C108:C157)</f>
        <v>0</v>
      </c>
      <c r="M40" s="18" t="s">
        <v>8644</v>
      </c>
      <c r="N40" s="300">
        <v>203.6</v>
      </c>
      <c r="O40" s="16" t="s">
        <v>4126</v>
      </c>
      <c r="Q40" s="6"/>
    </row>
    <row r="41" spans="2:19" x14ac:dyDescent="0.25">
      <c r="B41" s="219">
        <v>4</v>
      </c>
      <c r="C41" s="219" t="s">
        <v>8562</v>
      </c>
      <c r="D41" s="219" t="str">
        <f t="shared" si="0"/>
        <v>اللغة الإنجليزية</v>
      </c>
      <c r="E41" s="219">
        <v>2</v>
      </c>
      <c r="G41" s="17">
        <v>4</v>
      </c>
      <c r="H41" s="219" t="s">
        <v>8624</v>
      </c>
      <c r="I41" s="319" t="s">
        <v>8662</v>
      </c>
      <c r="J41" s="219" t="s">
        <v>8680</v>
      </c>
      <c r="K41" s="319">
        <f t="shared" si="1"/>
        <v>23</v>
      </c>
      <c r="L41" s="332">
        <f>COUNTA(InputNilai!C158:C207)</f>
        <v>0</v>
      </c>
      <c r="M41" s="18" t="s">
        <v>8645</v>
      </c>
      <c r="N41" s="300">
        <v>203.7</v>
      </c>
      <c r="O41" s="16" t="s">
        <v>4127</v>
      </c>
      <c r="Q41" s="6"/>
    </row>
    <row r="42" spans="2:19" x14ac:dyDescent="0.25">
      <c r="B42" s="219">
        <v>5</v>
      </c>
      <c r="C42" s="219" t="s">
        <v>8563</v>
      </c>
      <c r="D42" s="219" t="str">
        <f t="shared" si="0"/>
        <v>الفقه وتلاوة القرآن</v>
      </c>
      <c r="E42" s="219">
        <v>2</v>
      </c>
      <c r="G42" s="17">
        <v>5</v>
      </c>
      <c r="H42" s="219" t="s">
        <v>8625</v>
      </c>
      <c r="I42" s="319" t="s">
        <v>8663</v>
      </c>
      <c r="J42" s="219" t="s">
        <v>8680</v>
      </c>
      <c r="K42" s="319">
        <f t="shared" si="1"/>
        <v>23</v>
      </c>
      <c r="L42" s="332">
        <f>COUNTA(InputNilai!C208:C257)</f>
        <v>0</v>
      </c>
      <c r="M42" s="18" t="s">
        <v>8646</v>
      </c>
      <c r="N42" s="300">
        <v>203.8</v>
      </c>
      <c r="O42" s="16" t="s">
        <v>4128</v>
      </c>
      <c r="P42" s="5"/>
      <c r="Q42" s="6"/>
    </row>
    <row r="43" spans="2:19" x14ac:dyDescent="0.25">
      <c r="B43" s="219">
        <v>6</v>
      </c>
      <c r="C43" s="219" t="s">
        <v>8564</v>
      </c>
      <c r="D43" s="219" t="str">
        <f t="shared" si="0"/>
        <v>الدروس الغة العربية</v>
      </c>
      <c r="E43" s="219">
        <v>4</v>
      </c>
      <c r="G43" s="17">
        <v>6</v>
      </c>
      <c r="H43" s="219" t="s">
        <v>8626</v>
      </c>
      <c r="I43" s="319" t="s">
        <v>8661</v>
      </c>
      <c r="J43" s="219" t="s">
        <v>8681</v>
      </c>
      <c r="K43" s="319">
        <f t="shared" si="1"/>
        <v>23</v>
      </c>
      <c r="L43" s="332">
        <f>COUNTA(InputNilai!C258:C307)</f>
        <v>0</v>
      </c>
      <c r="M43" s="18" t="s">
        <v>8647</v>
      </c>
      <c r="N43" s="300">
        <v>203.9</v>
      </c>
      <c r="O43" s="16" t="s">
        <v>4129</v>
      </c>
      <c r="P43" s="5"/>
      <c r="Q43" s="6"/>
    </row>
    <row r="44" spans="2:19" x14ac:dyDescent="0.25">
      <c r="B44" s="219">
        <v>7</v>
      </c>
      <c r="C44" s="219" t="s">
        <v>8565</v>
      </c>
      <c r="D44" s="219" t="str">
        <f t="shared" si="0"/>
        <v>التاريخ الإسلامى</v>
      </c>
      <c r="E44" s="219">
        <v>2</v>
      </c>
      <c r="G44" s="17">
        <v>7</v>
      </c>
      <c r="H44" s="220" t="s">
        <v>8634</v>
      </c>
      <c r="I44" s="319" t="s">
        <v>8665</v>
      </c>
      <c r="J44" s="220" t="s">
        <v>8680</v>
      </c>
      <c r="K44" s="319">
        <f t="shared" si="1"/>
        <v>23</v>
      </c>
      <c r="L44" s="332">
        <f>COUNTA(InputNilai!C308:C357)</f>
        <v>0</v>
      </c>
      <c r="M44" s="18" t="s">
        <v>8648</v>
      </c>
      <c r="N44" s="300">
        <v>204</v>
      </c>
      <c r="O44" s="16" t="s">
        <v>615</v>
      </c>
      <c r="P44" s="5"/>
      <c r="Q44" s="6"/>
    </row>
    <row r="45" spans="2:19" x14ac:dyDescent="0.25">
      <c r="B45" s="219">
        <v>8</v>
      </c>
      <c r="C45" s="219" t="s">
        <v>2802</v>
      </c>
      <c r="D45" s="219" t="str">
        <f t="shared" si="0"/>
        <v>التوحيد</v>
      </c>
      <c r="E45" s="219">
        <v>3</v>
      </c>
      <c r="G45" s="17">
        <v>8</v>
      </c>
      <c r="H45" s="219" t="s">
        <v>8627</v>
      </c>
      <c r="I45" s="319" t="s">
        <v>8664</v>
      </c>
      <c r="J45" s="219" t="s">
        <v>8680</v>
      </c>
      <c r="K45" s="319">
        <f t="shared" si="1"/>
        <v>23</v>
      </c>
      <c r="L45" s="332">
        <f>COUNTA(InputNilai!C358:C407)</f>
        <v>0</v>
      </c>
      <c r="M45" s="18" t="s">
        <v>8649</v>
      </c>
      <c r="N45" s="300">
        <v>204.1</v>
      </c>
      <c r="O45" s="16" t="s">
        <v>4130</v>
      </c>
      <c r="P45" s="5"/>
      <c r="Q45" s="6"/>
    </row>
    <row r="46" spans="2:19" x14ac:dyDescent="0.25">
      <c r="B46" s="219">
        <v>9</v>
      </c>
      <c r="C46" s="219" t="s">
        <v>8583</v>
      </c>
      <c r="D46" s="219" t="str">
        <f t="shared" si="0"/>
        <v>التفسير</v>
      </c>
      <c r="E46" s="219">
        <v>4</v>
      </c>
      <c r="G46" s="17">
        <v>9</v>
      </c>
      <c r="H46" s="219" t="s">
        <v>8628</v>
      </c>
      <c r="I46" s="319" t="s">
        <v>8666</v>
      </c>
      <c r="J46" s="219" t="s">
        <v>8681</v>
      </c>
      <c r="K46" s="319">
        <f t="shared" si="1"/>
        <v>23</v>
      </c>
      <c r="L46" s="332">
        <f>COUNTA(InputNilai!C408:C457)</f>
        <v>0</v>
      </c>
      <c r="M46" s="18" t="s">
        <v>8650</v>
      </c>
      <c r="N46" s="300">
        <v>204.2</v>
      </c>
      <c r="O46" s="16" t="s">
        <v>4131</v>
      </c>
      <c r="P46" s="5"/>
      <c r="Q46" s="6"/>
    </row>
    <row r="47" spans="2:19" x14ac:dyDescent="0.25">
      <c r="B47" s="219">
        <v>10</v>
      </c>
      <c r="C47" s="219" t="s">
        <v>8566</v>
      </c>
      <c r="D47" s="219" t="str">
        <f t="shared" si="0"/>
        <v>الصرف</v>
      </c>
      <c r="E47" s="219">
        <v>4</v>
      </c>
      <c r="G47" s="17">
        <v>10</v>
      </c>
      <c r="H47" s="219" t="s">
        <v>8629</v>
      </c>
      <c r="I47" s="319" t="s">
        <v>8667</v>
      </c>
      <c r="J47" s="219" t="s">
        <v>8681</v>
      </c>
      <c r="K47" s="319">
        <f t="shared" si="1"/>
        <v>23</v>
      </c>
      <c r="L47" s="332">
        <f>COUNTA(InputNilai!C458:C507)</f>
        <v>0</v>
      </c>
      <c r="M47" s="18" t="s">
        <v>8651</v>
      </c>
      <c r="N47" s="300">
        <v>204.3</v>
      </c>
      <c r="O47" s="16" t="s">
        <v>4133</v>
      </c>
      <c r="P47" s="5"/>
      <c r="Q47" s="6"/>
    </row>
    <row r="48" spans="2:19" x14ac:dyDescent="0.25">
      <c r="B48" s="219">
        <v>11</v>
      </c>
      <c r="C48" s="219" t="s">
        <v>3052</v>
      </c>
      <c r="D48" s="219" t="str">
        <f t="shared" si="0"/>
        <v>الاملاء</v>
      </c>
      <c r="E48" s="219">
        <v>4</v>
      </c>
      <c r="G48" s="17">
        <v>11</v>
      </c>
      <c r="H48" s="220" t="s">
        <v>8684</v>
      </c>
      <c r="I48" s="319" t="s">
        <v>8638</v>
      </c>
      <c r="J48" s="220" t="s">
        <v>8680</v>
      </c>
      <c r="K48" s="319">
        <f t="shared" si="1"/>
        <v>23</v>
      </c>
      <c r="L48" s="332">
        <f>COUNTA(InputNilai!C508:C557)</f>
        <v>34</v>
      </c>
      <c r="M48" s="18" t="s">
        <v>8652</v>
      </c>
      <c r="N48" s="300">
        <v>204.4</v>
      </c>
      <c r="O48" s="16" t="s">
        <v>1960</v>
      </c>
      <c r="P48" s="5"/>
      <c r="Q48" s="6"/>
    </row>
    <row r="49" spans="2:19" x14ac:dyDescent="0.25">
      <c r="B49" s="219">
        <v>12</v>
      </c>
      <c r="C49" s="219" t="s">
        <v>2035</v>
      </c>
      <c r="D49" s="219" t="str">
        <f t="shared" si="0"/>
        <v>الحديث</v>
      </c>
      <c r="E49" s="219">
        <v>2</v>
      </c>
      <c r="G49" s="17">
        <v>12</v>
      </c>
      <c r="H49" s="219" t="s">
        <v>8630</v>
      </c>
      <c r="I49" s="319" t="s">
        <v>8618</v>
      </c>
      <c r="J49" s="219" t="s">
        <v>8680</v>
      </c>
      <c r="K49" s="319">
        <f t="shared" si="1"/>
        <v>23</v>
      </c>
      <c r="L49" s="332">
        <f>COUNTA(InputNilai!C558:C607)</f>
        <v>0</v>
      </c>
      <c r="M49" s="18" t="s">
        <v>8619</v>
      </c>
      <c r="N49" s="300">
        <v>204.5</v>
      </c>
      <c r="O49" s="16" t="s">
        <v>1962</v>
      </c>
      <c r="P49" s="5"/>
      <c r="Q49" s="6"/>
    </row>
    <row r="50" spans="2:19" x14ac:dyDescent="0.25">
      <c r="B50" s="219">
        <v>13</v>
      </c>
      <c r="C50" s="219" t="s">
        <v>2036</v>
      </c>
      <c r="D50" s="219" t="str">
        <f t="shared" si="0"/>
        <v>الفقه</v>
      </c>
      <c r="E50" s="219">
        <v>2</v>
      </c>
      <c r="G50" s="17">
        <v>13</v>
      </c>
      <c r="H50" s="219" t="s">
        <v>8631</v>
      </c>
      <c r="I50" s="319" t="s">
        <v>8635</v>
      </c>
      <c r="J50" s="219" t="s">
        <v>8681</v>
      </c>
      <c r="K50" s="319">
        <f t="shared" si="1"/>
        <v>23</v>
      </c>
      <c r="L50" s="332">
        <f>COUNTA(InputNilai!C20:C69)</f>
        <v>0</v>
      </c>
      <c r="M50" s="18" t="s">
        <v>8653</v>
      </c>
      <c r="N50" s="300">
        <v>204.6</v>
      </c>
      <c r="O50" s="16" t="s">
        <v>1964</v>
      </c>
      <c r="P50" s="5"/>
      <c r="Q50" s="6"/>
    </row>
    <row r="51" spans="2:19" x14ac:dyDescent="0.25">
      <c r="B51" s="219">
        <v>14</v>
      </c>
      <c r="C51" s="219" t="s">
        <v>8567</v>
      </c>
      <c r="D51" s="219" t="str">
        <f t="shared" si="0"/>
        <v>Grammer</v>
      </c>
      <c r="E51" s="219">
        <v>2</v>
      </c>
      <c r="G51" s="17">
        <v>14</v>
      </c>
      <c r="H51" s="219" t="s">
        <v>8632</v>
      </c>
      <c r="I51" s="319" t="s">
        <v>8636</v>
      </c>
      <c r="J51" s="219" t="s">
        <v>8681</v>
      </c>
      <c r="K51" s="319">
        <f t="shared" si="1"/>
        <v>23</v>
      </c>
      <c r="L51" s="332">
        <f>COUNTA(InputNilai!C21:C70)</f>
        <v>0</v>
      </c>
      <c r="M51" s="18" t="s">
        <v>8654</v>
      </c>
      <c r="N51" s="300">
        <v>204.7</v>
      </c>
      <c r="O51" s="16" t="s">
        <v>1965</v>
      </c>
      <c r="P51" s="5"/>
      <c r="Q51" s="6"/>
    </row>
    <row r="52" spans="2:19" ht="16.5" thickBot="1" x14ac:dyDescent="0.3">
      <c r="B52" s="219">
        <v>15</v>
      </c>
      <c r="C52" s="219" t="s">
        <v>8568</v>
      </c>
      <c r="D52" s="219" t="str">
        <f t="shared" si="0"/>
        <v>اللغة الإنجليزية</v>
      </c>
      <c r="E52" s="219">
        <v>4</v>
      </c>
      <c r="G52" s="19">
        <v>15</v>
      </c>
      <c r="H52" s="320" t="s">
        <v>8633</v>
      </c>
      <c r="I52" s="20" t="s">
        <v>8637</v>
      </c>
      <c r="J52" s="320" t="s">
        <v>8681</v>
      </c>
      <c r="K52" s="20">
        <f t="shared" si="1"/>
        <v>23</v>
      </c>
      <c r="L52" s="333">
        <f>COUNTA(InputNilai!C22:C71)</f>
        <v>0</v>
      </c>
      <c r="M52" s="21" t="s">
        <v>8655</v>
      </c>
      <c r="N52" s="300">
        <v>204.8</v>
      </c>
      <c r="O52" s="16" t="s">
        <v>1929</v>
      </c>
      <c r="P52" s="5"/>
      <c r="Q52" s="6"/>
    </row>
    <row r="53" spans="2:19" x14ac:dyDescent="0.25">
      <c r="B53" s="219">
        <v>16</v>
      </c>
      <c r="C53" s="219" t="s">
        <v>2801</v>
      </c>
      <c r="D53" s="219" t="str">
        <f t="shared" si="0"/>
        <v>المحفوظات</v>
      </c>
      <c r="E53" s="219">
        <v>4</v>
      </c>
      <c r="N53" s="17">
        <v>204.9</v>
      </c>
      <c r="O53" s="16" t="s">
        <v>1931</v>
      </c>
      <c r="P53" s="5"/>
      <c r="Q53" s="6"/>
    </row>
    <row r="54" spans="2:19" x14ac:dyDescent="0.25">
      <c r="B54" s="219">
        <v>17</v>
      </c>
      <c r="C54" s="219" t="s">
        <v>2803</v>
      </c>
      <c r="D54" s="219" t="str">
        <f t="shared" si="0"/>
        <v>الخط العربي</v>
      </c>
      <c r="E54" s="219">
        <v>3</v>
      </c>
      <c r="G54" s="341" t="s">
        <v>8690</v>
      </c>
      <c r="H54" s="341"/>
      <c r="I54" s="341"/>
      <c r="J54" s="341"/>
      <c r="K54" s="341"/>
      <c r="L54" s="341"/>
      <c r="N54" s="17">
        <v>205</v>
      </c>
      <c r="O54" s="16" t="s">
        <v>1932</v>
      </c>
      <c r="P54" s="5"/>
      <c r="Q54" s="6"/>
    </row>
    <row r="55" spans="2:19" ht="16.5" thickBot="1" x14ac:dyDescent="0.3">
      <c r="B55" s="219">
        <v>18</v>
      </c>
      <c r="C55" s="219" t="s">
        <v>8569</v>
      </c>
      <c r="D55" s="219" t="str">
        <f t="shared" si="0"/>
        <v>أصول الفقه</v>
      </c>
      <c r="E55" s="219">
        <v>2</v>
      </c>
      <c r="G55" s="391" t="s">
        <v>8539</v>
      </c>
      <c r="H55" s="392"/>
      <c r="I55" s="329" t="s">
        <v>1866</v>
      </c>
      <c r="J55" s="393" t="s">
        <v>8557</v>
      </c>
      <c r="K55" s="394"/>
      <c r="L55" s="395"/>
      <c r="N55" s="17">
        <v>205.1</v>
      </c>
      <c r="O55" s="16" t="s">
        <v>1934</v>
      </c>
      <c r="P55" s="5"/>
      <c r="Q55" s="3"/>
      <c r="R55" s="6"/>
      <c r="S55" s="298"/>
    </row>
    <row r="56" spans="2:19" ht="16.5" thickBot="1" x14ac:dyDescent="0.3">
      <c r="B56" s="219">
        <v>19</v>
      </c>
      <c r="C56" s="219" t="s">
        <v>8570</v>
      </c>
      <c r="D56" s="219" t="str">
        <f t="shared" si="0"/>
        <v>المطالعة و الإنشاء</v>
      </c>
      <c r="E56" s="219">
        <v>2</v>
      </c>
      <c r="G56" s="362" t="s">
        <v>8540</v>
      </c>
      <c r="H56" s="363"/>
      <c r="I56" s="204" t="s">
        <v>1866</v>
      </c>
      <c r="J56" s="396" t="s">
        <v>8538</v>
      </c>
      <c r="K56" s="365"/>
      <c r="L56" s="366"/>
      <c r="N56" s="17">
        <v>205.2</v>
      </c>
      <c r="O56" s="16" t="s">
        <v>1935</v>
      </c>
      <c r="P56" s="5"/>
      <c r="Q56" s="3"/>
      <c r="R56" s="6"/>
      <c r="S56" s="298"/>
    </row>
    <row r="57" spans="2:19" ht="16.5" thickBot="1" x14ac:dyDescent="0.3">
      <c r="B57" s="219">
        <v>20</v>
      </c>
      <c r="C57" s="219" t="s">
        <v>8571</v>
      </c>
      <c r="D57" s="219" t="str">
        <f t="shared" si="0"/>
        <v>النحو</v>
      </c>
      <c r="E57" s="219">
        <v>2</v>
      </c>
      <c r="G57" s="381" t="s">
        <v>8541</v>
      </c>
      <c r="H57" s="382"/>
      <c r="I57" s="203" t="s">
        <v>1866</v>
      </c>
      <c r="J57" s="397" t="s">
        <v>8558</v>
      </c>
      <c r="K57" s="384"/>
      <c r="L57" s="385"/>
      <c r="N57" s="17">
        <v>205.3</v>
      </c>
      <c r="O57" s="16" t="s">
        <v>1936</v>
      </c>
      <c r="R57" s="6"/>
      <c r="S57" s="298"/>
    </row>
    <row r="58" spans="2:19" ht="16.5" thickBot="1" x14ac:dyDescent="0.3">
      <c r="B58" s="219">
        <v>21</v>
      </c>
      <c r="C58" s="219" t="s">
        <v>8572</v>
      </c>
      <c r="D58" s="219" t="str">
        <f t="shared" si="0"/>
        <v>التربية</v>
      </c>
      <c r="E58" s="219">
        <v>2</v>
      </c>
      <c r="G58" s="362" t="s">
        <v>8542</v>
      </c>
      <c r="H58" s="363"/>
      <c r="I58" s="204" t="s">
        <v>1866</v>
      </c>
      <c r="J58" s="396"/>
      <c r="K58" s="365"/>
      <c r="L58" s="366"/>
      <c r="N58" s="17">
        <v>205.4</v>
      </c>
      <c r="O58" s="16" t="s">
        <v>1937</v>
      </c>
      <c r="R58" s="6"/>
      <c r="S58" s="298"/>
    </row>
    <row r="59" spans="2:19" ht="16.5" thickBot="1" x14ac:dyDescent="0.3">
      <c r="B59" s="219">
        <v>22</v>
      </c>
      <c r="C59" s="219" t="s">
        <v>8573</v>
      </c>
      <c r="D59" s="219" t="str">
        <f t="shared" si="0"/>
        <v>البلاغة</v>
      </c>
      <c r="E59" s="219">
        <v>4</v>
      </c>
      <c r="G59" s="381" t="s">
        <v>8543</v>
      </c>
      <c r="H59" s="382"/>
      <c r="I59" s="203" t="s">
        <v>1866</v>
      </c>
      <c r="J59" s="397" t="s">
        <v>8559</v>
      </c>
      <c r="K59" s="384"/>
      <c r="L59" s="385"/>
      <c r="N59" s="17">
        <v>205.5</v>
      </c>
      <c r="O59" s="16" t="s">
        <v>1938</v>
      </c>
      <c r="R59" s="6"/>
      <c r="S59" s="298"/>
    </row>
    <row r="60" spans="2:19" ht="16.5" thickBot="1" x14ac:dyDescent="0.3">
      <c r="B60" s="219">
        <v>23</v>
      </c>
      <c r="C60" s="219" t="s">
        <v>8544</v>
      </c>
      <c r="D60" s="219" t="str">
        <f t="shared" si="0"/>
        <v>الرياضيات</v>
      </c>
      <c r="E60" s="219">
        <v>2</v>
      </c>
      <c r="G60" s="317" t="s">
        <v>8545</v>
      </c>
      <c r="H60" s="318"/>
      <c r="I60" s="203" t="s">
        <v>1866</v>
      </c>
      <c r="J60" s="375" t="s">
        <v>8560</v>
      </c>
      <c r="K60" s="376"/>
      <c r="L60" s="377"/>
      <c r="N60" s="17">
        <v>205.6</v>
      </c>
      <c r="O60" s="16" t="s">
        <v>1939</v>
      </c>
      <c r="Q60" s="3"/>
    </row>
    <row r="61" spans="2:19" ht="16.5" thickBot="1" x14ac:dyDescent="0.3">
      <c r="B61" s="219">
        <v>24</v>
      </c>
      <c r="C61" s="219" t="s">
        <v>8548</v>
      </c>
      <c r="D61" s="219" t="str">
        <f t="shared" ref="D61:D72" si="2">IF(C61="ArabLisan","اللغة العربية",IF(C61="Biologi","البيولوجيا",
IF(C61="Faroid","الفراعد",
IF(C61="InggrisLisan","اللغة الإنجليزية",
IF(C61="FiqhLisan","الفقه وتلاوة القرآن",
IF(C61="Arab","الدروس الغة العربية",
IF(C61="Tarikh","التاريخ الإسلامى",
IF(C61="Tauhid","التوحيد",
IF(C61="Tafsir","التفسير",
IF(C61="Sharaf","الصرف",
IF(C61="Imla","الاملاء",
IF(C61="Hadits","الحديث",
IF(C61="Fiqh","الفقه",
IF(C61="Grammer","Grammer",
IF(C61="Inggris","اللغة الإنجليزية",
IF(C61="Mahfudzot","المحفوظات",
IF(C61="Khot","الخط العربي",
IF(C61="UsulFiqh","أصول الفقه",
IF(C61="Mutholaah","المطالعة و الإنشاء",
IF(C61="Nahwu","النحو",
IF(C61="Tarbiyah","التربية",
IF(C61="Balagoh","البلاغة",
IF(C61="Matematika","الرياضيات",
IF(C61="Kimia","الكيمياء",
IF(C61="Fisika","الفيزياء",
IF(C61="Indonesia","اللغة الإندونيسية",
IF(C61="Sejarah","التاريخ العام",
IF(C61="Pkn","التربية الوطنية",
IF(C61="TIK","الكمبيوتر",
IF(C61="Sosiologi","الصوصيولوجيا",
IF(C61="Ekonomi","الاقتصادية",
IF(C61="Geografi","الجغرافيا",
IF(C61="Ilmu Hadits","مصطلح الحديث",
)))))))))))))))))))))))))))))))))</f>
        <v>الكيمياء</v>
      </c>
      <c r="E61" s="219"/>
      <c r="G61" s="362" t="s">
        <v>8547</v>
      </c>
      <c r="H61" s="363"/>
      <c r="I61" s="204" t="s">
        <v>1866</v>
      </c>
      <c r="J61" s="378"/>
      <c r="K61" s="379"/>
      <c r="L61" s="380"/>
      <c r="N61" s="17">
        <v>205.7</v>
      </c>
      <c r="O61" s="16" t="s">
        <v>1940</v>
      </c>
      <c r="Q61" s="3"/>
    </row>
    <row r="62" spans="2:19" ht="16.5" thickBot="1" x14ac:dyDescent="0.3">
      <c r="B62" s="219">
        <v>25</v>
      </c>
      <c r="C62" s="219" t="s">
        <v>8546</v>
      </c>
      <c r="D62" s="219" t="str">
        <f t="shared" si="2"/>
        <v>الفيزياء</v>
      </c>
      <c r="E62" s="219"/>
      <c r="G62" s="381" t="s">
        <v>8549</v>
      </c>
      <c r="H62" s="382"/>
      <c r="I62" s="203" t="s">
        <v>1866</v>
      </c>
      <c r="J62" s="383"/>
      <c r="K62" s="384"/>
      <c r="L62" s="385"/>
      <c r="N62" s="17">
        <v>205.8</v>
      </c>
      <c r="O62" s="16" t="s">
        <v>1941</v>
      </c>
      <c r="Q62" s="3"/>
    </row>
    <row r="63" spans="2:19" ht="16.5" thickBot="1" x14ac:dyDescent="0.3">
      <c r="B63" s="219">
        <v>26</v>
      </c>
      <c r="C63" s="219" t="s">
        <v>8574</v>
      </c>
      <c r="D63" s="219" t="str">
        <f t="shared" si="2"/>
        <v>اللغة الإندونيسية</v>
      </c>
      <c r="E63" s="219"/>
      <c r="G63" s="362" t="s">
        <v>8551</v>
      </c>
      <c r="H63" s="363"/>
      <c r="I63" s="204" t="s">
        <v>1866</v>
      </c>
      <c r="J63" s="364"/>
      <c r="K63" s="365"/>
      <c r="L63" s="366"/>
      <c r="N63" s="17">
        <v>205.9</v>
      </c>
      <c r="O63" s="16" t="s">
        <v>1942</v>
      </c>
      <c r="Q63" s="3"/>
    </row>
    <row r="64" spans="2:19" ht="16.5" thickBot="1" x14ac:dyDescent="0.3">
      <c r="B64" s="219">
        <v>27</v>
      </c>
      <c r="C64" s="219" t="s">
        <v>8556</v>
      </c>
      <c r="D64" s="219" t="str">
        <f t="shared" si="2"/>
        <v>التاريخ العام</v>
      </c>
      <c r="E64" s="219"/>
      <c r="G64" s="205"/>
      <c r="H64" s="205"/>
      <c r="I64" s="205"/>
      <c r="J64" s="205"/>
      <c r="K64" s="205"/>
      <c r="L64" s="205"/>
      <c r="N64" s="17">
        <v>206</v>
      </c>
      <c r="O64" s="16" t="s">
        <v>617</v>
      </c>
      <c r="Q64" s="3"/>
    </row>
    <row r="65" spans="2:19" ht="16.5" thickBot="1" x14ac:dyDescent="0.3">
      <c r="B65" s="219">
        <v>28</v>
      </c>
      <c r="C65" s="219" t="s">
        <v>8575</v>
      </c>
      <c r="D65" s="219" t="str">
        <f t="shared" si="2"/>
        <v>التربية الوطنية</v>
      </c>
      <c r="E65" s="219"/>
      <c r="G65" s="367" t="s">
        <v>8554</v>
      </c>
      <c r="H65" s="368"/>
      <c r="I65" s="368"/>
      <c r="J65" s="368"/>
      <c r="K65" s="368"/>
      <c r="L65" s="369"/>
      <c r="N65" s="17">
        <v>206.1</v>
      </c>
      <c r="O65" s="16" t="s">
        <v>1943</v>
      </c>
      <c r="R65" s="6"/>
      <c r="S65" s="298"/>
    </row>
    <row r="66" spans="2:19" ht="16.5" thickBot="1" x14ac:dyDescent="0.3">
      <c r="B66" s="219">
        <v>29</v>
      </c>
      <c r="C66" s="219" t="s">
        <v>3051</v>
      </c>
      <c r="D66" s="219" t="str">
        <f t="shared" si="2"/>
        <v>الكمبيوتر</v>
      </c>
      <c r="E66" s="219"/>
      <c r="G66" s="370"/>
      <c r="H66" s="371"/>
      <c r="I66" s="206"/>
      <c r="J66" s="372"/>
      <c r="K66" s="373"/>
      <c r="L66" s="374"/>
      <c r="N66" s="17">
        <v>206.2</v>
      </c>
      <c r="O66" s="16" t="s">
        <v>1944</v>
      </c>
      <c r="R66" s="6"/>
      <c r="S66" s="298"/>
    </row>
    <row r="67" spans="2:19" ht="16.5" thickBot="1" x14ac:dyDescent="0.3">
      <c r="B67" s="219">
        <v>30</v>
      </c>
      <c r="C67" s="219" t="s">
        <v>8552</v>
      </c>
      <c r="D67" s="219" t="str">
        <f t="shared" si="2"/>
        <v>الصوصيولوجيا</v>
      </c>
      <c r="E67" s="219"/>
      <c r="G67" s="354" t="s">
        <v>8537</v>
      </c>
      <c r="H67" s="355"/>
      <c r="I67" s="207" t="s">
        <v>1866</v>
      </c>
      <c r="J67" s="356" t="s">
        <v>8620</v>
      </c>
      <c r="K67" s="356"/>
      <c r="L67" s="357"/>
      <c r="N67" s="17">
        <v>206.3</v>
      </c>
      <c r="O67" s="16" t="s">
        <v>1945</v>
      </c>
      <c r="R67" s="6"/>
      <c r="S67" s="298"/>
    </row>
    <row r="68" spans="2:19" ht="16.5" thickBot="1" x14ac:dyDescent="0.3">
      <c r="B68" s="219">
        <v>31</v>
      </c>
      <c r="C68" s="219" t="s">
        <v>8555</v>
      </c>
      <c r="D68" s="219" t="str">
        <f t="shared" si="2"/>
        <v>الاقتصادية</v>
      </c>
      <c r="E68" s="219"/>
      <c r="G68" s="358" t="s">
        <v>3053</v>
      </c>
      <c r="H68" s="359"/>
      <c r="I68" s="209" t="s">
        <v>1866</v>
      </c>
      <c r="J68" s="360" t="s">
        <v>8620</v>
      </c>
      <c r="K68" s="360"/>
      <c r="L68" s="361"/>
      <c r="N68" s="17">
        <v>206.4</v>
      </c>
      <c r="O68" s="16" t="s">
        <v>1946</v>
      </c>
      <c r="R68" s="6"/>
      <c r="S68" s="298"/>
    </row>
    <row r="69" spans="2:19" ht="16.5" thickBot="1" x14ac:dyDescent="0.3">
      <c r="B69" s="219">
        <v>32</v>
      </c>
      <c r="C69" s="219" t="s">
        <v>8553</v>
      </c>
      <c r="D69" s="219" t="str">
        <f t="shared" si="2"/>
        <v>الجغرافيا</v>
      </c>
      <c r="E69" s="219"/>
      <c r="G69" s="354"/>
      <c r="H69" s="355"/>
      <c r="I69" s="207"/>
      <c r="J69" s="207"/>
      <c r="K69" s="207"/>
      <c r="L69" s="207"/>
      <c r="N69" s="17">
        <v>206.5</v>
      </c>
      <c r="O69" s="16" t="s">
        <v>1947</v>
      </c>
      <c r="R69" s="6"/>
      <c r="S69" s="298"/>
    </row>
    <row r="70" spans="2:19" ht="18.75" thickBot="1" x14ac:dyDescent="0.3">
      <c r="B70" s="219">
        <v>33</v>
      </c>
      <c r="C70" s="219" t="s">
        <v>8576</v>
      </c>
      <c r="D70" s="219" t="str">
        <f t="shared" si="2"/>
        <v>مصطلح الحديث</v>
      </c>
      <c r="E70" s="219"/>
      <c r="G70" s="342" t="s">
        <v>8577</v>
      </c>
      <c r="H70" s="343"/>
      <c r="I70" s="208" t="s">
        <v>1866</v>
      </c>
      <c r="J70" s="344" t="s">
        <v>8579</v>
      </c>
      <c r="K70" s="344"/>
      <c r="L70" s="345"/>
      <c r="N70" s="17">
        <v>206.6</v>
      </c>
      <c r="O70" s="16" t="s">
        <v>1948</v>
      </c>
      <c r="R70" s="6"/>
      <c r="S70" s="298"/>
    </row>
    <row r="71" spans="2:19" ht="16.5" thickBot="1" x14ac:dyDescent="0.3">
      <c r="B71" s="219">
        <v>34</v>
      </c>
      <c r="C71" s="219"/>
      <c r="D71" s="219">
        <f t="shared" si="2"/>
        <v>0</v>
      </c>
      <c r="E71" s="219"/>
      <c r="G71" s="346" t="s">
        <v>3054</v>
      </c>
      <c r="H71" s="347"/>
      <c r="I71" s="207" t="s">
        <v>1866</v>
      </c>
      <c r="J71" s="348">
        <v>42014</v>
      </c>
      <c r="K71" s="348"/>
      <c r="L71" s="349"/>
      <c r="N71" s="17">
        <v>206.7</v>
      </c>
      <c r="O71" s="16" t="s">
        <v>1949</v>
      </c>
      <c r="R71" s="6"/>
      <c r="S71" s="298"/>
    </row>
    <row r="72" spans="2:19" ht="16.5" thickBot="1" x14ac:dyDescent="0.3">
      <c r="B72" s="219">
        <v>35</v>
      </c>
      <c r="C72" s="219"/>
      <c r="D72" s="219">
        <f t="shared" si="2"/>
        <v>0</v>
      </c>
      <c r="E72" s="219"/>
      <c r="G72" s="350" t="s">
        <v>3055</v>
      </c>
      <c r="H72" s="351"/>
      <c r="I72" s="208" t="s">
        <v>1866</v>
      </c>
      <c r="J72" s="352">
        <v>42014</v>
      </c>
      <c r="K72" s="352"/>
      <c r="L72" s="353"/>
      <c r="N72" s="17">
        <v>206.8</v>
      </c>
      <c r="O72" s="16" t="s">
        <v>1950</v>
      </c>
      <c r="R72" s="6"/>
      <c r="S72" s="298"/>
    </row>
    <row r="73" spans="2:19" ht="16.5" thickBot="1" x14ac:dyDescent="0.3">
      <c r="N73" s="17">
        <v>206.9</v>
      </c>
      <c r="O73" s="16" t="s">
        <v>1951</v>
      </c>
      <c r="R73" s="6"/>
      <c r="S73" s="298"/>
    </row>
    <row r="74" spans="2:19" x14ac:dyDescent="0.25">
      <c r="B74" s="390" t="s">
        <v>8674</v>
      </c>
      <c r="C74" s="388"/>
      <c r="D74" s="388"/>
      <c r="E74" s="388"/>
      <c r="F74" s="321"/>
      <c r="G74" s="388" t="s">
        <v>8675</v>
      </c>
      <c r="H74" s="388"/>
      <c r="I74" s="388"/>
      <c r="J74" s="389"/>
      <c r="K74" s="298"/>
      <c r="L74" s="298"/>
      <c r="N74" s="17">
        <v>207</v>
      </c>
      <c r="O74" s="16" t="s">
        <v>618</v>
      </c>
      <c r="R74" s="6"/>
      <c r="S74" s="298"/>
    </row>
    <row r="75" spans="2:19" x14ac:dyDescent="0.25">
      <c r="B75" s="322" t="s">
        <v>8639</v>
      </c>
      <c r="C75" s="219" t="s">
        <v>8640</v>
      </c>
      <c r="D75" s="219" t="s">
        <v>8641</v>
      </c>
      <c r="E75" s="219" t="s">
        <v>8642</v>
      </c>
      <c r="F75" s="298"/>
      <c r="G75" s="219" t="s">
        <v>8639</v>
      </c>
      <c r="H75" s="219" t="s">
        <v>8640</v>
      </c>
      <c r="I75" s="219" t="s">
        <v>8641</v>
      </c>
      <c r="J75" s="323" t="s">
        <v>8642</v>
      </c>
      <c r="K75" s="312"/>
      <c r="L75" s="312"/>
      <c r="N75" s="17">
        <v>207.1</v>
      </c>
      <c r="O75" s="16" t="s">
        <v>1952</v>
      </c>
      <c r="R75" s="6"/>
      <c r="S75" s="298"/>
    </row>
    <row r="76" spans="2:19" x14ac:dyDescent="0.25">
      <c r="B76" s="322">
        <v>1</v>
      </c>
      <c r="C76" s="219" t="s">
        <v>8561</v>
      </c>
      <c r="D76" s="219" t="str">
        <f t="shared" ref="D76:D98" si="3">IF(C76="ArabLisan","اللغة العربية",IF(C76="Biologi","البيولوجيا",
IF(C76="Faroid","الفراعد",
IF(C76="InggrisLisan","اللغة الإنجليزية",
IF(C76="FiqhLisan","الفقه وتلاوة القرآن",
IF(C76="Arab","الدروس الغة العربية",
IF(C76="Tarikh","التاريخ الإسلامى",
IF(C76="Tauhid","التوحيد",
IF(C76="Tafsir","التفسير",
IF(C76="Sharaf","الصرف",
IF(C76="Imla","الاملاء",
IF(C76="Hadits","الحديث",
IF(C76="Fiqh","الفقه",
IF(C76="Grammer","Grammer",
IF(C76="Inggris","اللغة الإنجليزية",
IF(C76="Mahfudzot","المحفوظات",
IF(C76="Khot","الخط العربي",
IF(C76="UsulFiqh","أصول الفقه",
IF(C76="Mutholaah","المطالعة و الإنشاء",
IF(C76="Nahwu","النحو",
IF(C76="Tarbiyah","التربية",
IF(C76="Balagoh","البلاغة",
IF(C76="Matematika","الرياضيات",
IF(C76="Kimia","الكيمياء",
IF(C76="Fisika","الفيزياء",
IF(C76="Indonesia","اللغة الإندونيسية",
IF(C76="Sejarah","التاريخ العام",
IF(C76="Pkn","التربية الوطنية",
IF(C76="TIK","الكمبيوتر",
IF(C76="Sosiologi","الصوصيولوجيا",
IF(C76="Ekonomi","الاقتصادية",
IF(C76="Geografi","الجغرافيا",
IF(C76="Ilmu Hadits","مصطلح الحديث",
)))))))))))))))))))))))))))))))))</f>
        <v>اللغة العربية</v>
      </c>
      <c r="E76" s="219">
        <v>3</v>
      </c>
      <c r="F76" s="298"/>
      <c r="G76" s="219">
        <v>1</v>
      </c>
      <c r="H76" s="219" t="s">
        <v>8561</v>
      </c>
      <c r="I76" s="219" t="str">
        <f t="shared" ref="I76:I98" si="4">IF(H76="ArabLisan","اللغة العربية",IF(H76="Biologi","البيولوجيا",
IF(H76="Faroid","الفراعد",
IF(H76="InggrisLisan","اللغة الإنجليزية",
IF(H76="FiqhLisan","الفقه وتلاوة القرآن",
IF(H76="Arab","الدروس الغة العربية",
IF(H76="Tarikh","التاريخ الإسلامى",
IF(H76="Tauhid","التوحيد",
IF(H76="Tafsir","التفسير",
IF(H76="Sharaf","الصرف",
IF(H76="Imla","الاملاء",
IF(H76="Hadits","الحديث",
IF(H76="Fiqh","الفقه",
IF(H76="Grammer","Grammer",
IF(H76="Inggris","اللغة الإنجليزية",
IF(H76="Mahfudzot","المحفوظات",
IF(H76="Khot","الخط العربي",
IF(H76="UsulFiqh","أصول الفقه",
IF(H76="Mutholaah","المطالعة و الإنشاء",
IF(H76="Nahwu","النحو",
IF(H76="Tarbiyah","التربية",
IF(H76="Balagoh","البلاغة",
IF(H76="Matematika","الرياضيات",
IF(H76="Kimia","الكيمياء",
IF(H76="Fisika","الفيزياء",
IF(H76="Indonesia","اللغة الإندونيسية",
IF(H76="Sejarah","التاريخ العام",
IF(H76="Pkn","التربية الوطنية",
IF(H76="TIK","الكمبيوتر",
IF(H76="Sosiologi","الصوصيولوجيا",
IF(H76="Ekonomi","الاقتصادية",
IF(H76="Geografi","الجغرافيا",
IF(H76="Ilmu Hadits","مصطلح الحديث",
)))))))))))))))))))))))))))))))))</f>
        <v>اللغة العربية</v>
      </c>
      <c r="J76" s="323">
        <v>3</v>
      </c>
      <c r="K76" s="312"/>
      <c r="L76" s="312"/>
      <c r="N76" s="17">
        <v>207.2</v>
      </c>
      <c r="O76" s="16" t="s">
        <v>1953</v>
      </c>
      <c r="R76" s="6"/>
      <c r="S76" s="298"/>
    </row>
    <row r="77" spans="2:19" x14ac:dyDescent="0.25">
      <c r="B77" s="322">
        <v>2</v>
      </c>
      <c r="C77" s="219" t="s">
        <v>8562</v>
      </c>
      <c r="D77" s="219" t="str">
        <f t="shared" si="3"/>
        <v>اللغة الإنجليزية</v>
      </c>
      <c r="E77" s="219">
        <v>3</v>
      </c>
      <c r="F77" s="298"/>
      <c r="G77" s="219">
        <v>2</v>
      </c>
      <c r="H77" s="219" t="s">
        <v>8562</v>
      </c>
      <c r="I77" s="219" t="str">
        <f t="shared" si="4"/>
        <v>اللغة الإنجليزية</v>
      </c>
      <c r="J77" s="323">
        <v>3</v>
      </c>
      <c r="K77" s="312"/>
      <c r="L77" s="312"/>
      <c r="N77" s="17">
        <v>207.3</v>
      </c>
      <c r="O77" s="16" t="s">
        <v>1954</v>
      </c>
      <c r="R77" s="6"/>
      <c r="S77" s="298"/>
    </row>
    <row r="78" spans="2:19" x14ac:dyDescent="0.25">
      <c r="B78" s="322">
        <v>3</v>
      </c>
      <c r="C78" s="219" t="s">
        <v>8563</v>
      </c>
      <c r="D78" s="219" t="str">
        <f t="shared" si="3"/>
        <v>الفقه وتلاوة القرآن</v>
      </c>
      <c r="E78" s="219">
        <v>3</v>
      </c>
      <c r="F78" s="298"/>
      <c r="G78" s="219">
        <v>3</v>
      </c>
      <c r="H78" s="219" t="s">
        <v>8563</v>
      </c>
      <c r="I78" s="219" t="str">
        <f t="shared" si="4"/>
        <v>الفقه وتلاوة القرآن</v>
      </c>
      <c r="J78" s="323">
        <v>3</v>
      </c>
      <c r="K78" s="312"/>
      <c r="L78" s="312"/>
      <c r="N78" s="17">
        <v>207.4</v>
      </c>
      <c r="O78" s="16" t="s">
        <v>1955</v>
      </c>
      <c r="R78" s="6"/>
      <c r="S78" s="298"/>
    </row>
    <row r="79" spans="2:19" x14ac:dyDescent="0.25">
      <c r="B79" s="322">
        <v>4</v>
      </c>
      <c r="C79" s="219" t="s">
        <v>8569</v>
      </c>
      <c r="D79" s="219" t="str">
        <f t="shared" si="3"/>
        <v>أصول الفقه</v>
      </c>
      <c r="E79" s="219">
        <v>2</v>
      </c>
      <c r="F79" s="298"/>
      <c r="G79" s="219">
        <v>4</v>
      </c>
      <c r="H79" s="219" t="s">
        <v>8569</v>
      </c>
      <c r="I79" s="219" t="str">
        <f t="shared" si="4"/>
        <v>أصول الفقه</v>
      </c>
      <c r="J79" s="323">
        <v>2</v>
      </c>
      <c r="K79" s="312"/>
      <c r="L79" s="312"/>
      <c r="N79" s="17">
        <v>207.5</v>
      </c>
      <c r="O79" s="16" t="s">
        <v>1956</v>
      </c>
      <c r="R79" s="6"/>
      <c r="S79" s="298"/>
    </row>
    <row r="80" spans="2:19" x14ac:dyDescent="0.25">
      <c r="B80" s="322">
        <v>5</v>
      </c>
      <c r="C80" s="219" t="s">
        <v>8570</v>
      </c>
      <c r="D80" s="219" t="str">
        <f t="shared" si="3"/>
        <v>المطالعة و الإنشاء</v>
      </c>
      <c r="E80" s="219">
        <v>2</v>
      </c>
      <c r="F80" s="298"/>
      <c r="G80" s="219">
        <v>5</v>
      </c>
      <c r="H80" s="219" t="s">
        <v>8570</v>
      </c>
      <c r="I80" s="219" t="str">
        <f t="shared" si="4"/>
        <v>المطالعة و الإنشاء</v>
      </c>
      <c r="J80" s="323">
        <v>2</v>
      </c>
      <c r="K80" s="312"/>
      <c r="L80" s="312"/>
      <c r="N80" s="17">
        <v>207.6</v>
      </c>
      <c r="O80" s="16" t="s">
        <v>1957</v>
      </c>
      <c r="R80" s="6"/>
      <c r="S80" s="298"/>
    </row>
    <row r="81" spans="2:19" x14ac:dyDescent="0.25">
      <c r="B81" s="322">
        <v>6</v>
      </c>
      <c r="C81" s="219" t="s">
        <v>8571</v>
      </c>
      <c r="D81" s="219" t="str">
        <f t="shared" si="3"/>
        <v>النحو</v>
      </c>
      <c r="E81" s="219">
        <v>4</v>
      </c>
      <c r="F81" s="298"/>
      <c r="G81" s="219">
        <v>6</v>
      </c>
      <c r="H81" s="219" t="s">
        <v>8571</v>
      </c>
      <c r="I81" s="219" t="str">
        <f t="shared" si="4"/>
        <v>النحو</v>
      </c>
      <c r="J81" s="323">
        <v>4</v>
      </c>
      <c r="K81" s="312"/>
      <c r="L81" s="312"/>
      <c r="N81" s="17">
        <v>207.7</v>
      </c>
      <c r="O81" s="16" t="s">
        <v>1958</v>
      </c>
      <c r="R81" s="6"/>
      <c r="S81" s="298"/>
    </row>
    <row r="82" spans="2:19" x14ac:dyDescent="0.25">
      <c r="B82" s="322">
        <v>7</v>
      </c>
      <c r="C82" s="219" t="s">
        <v>8583</v>
      </c>
      <c r="D82" s="219" t="str">
        <f t="shared" si="3"/>
        <v>التفسير</v>
      </c>
      <c r="E82" s="219">
        <v>2</v>
      </c>
      <c r="F82" s="298"/>
      <c r="G82" s="219">
        <v>7</v>
      </c>
      <c r="H82" s="219" t="s">
        <v>8583</v>
      </c>
      <c r="I82" s="219" t="str">
        <f t="shared" si="4"/>
        <v>التفسير</v>
      </c>
      <c r="J82" s="323">
        <v>2</v>
      </c>
      <c r="K82" s="312"/>
      <c r="L82" s="312"/>
      <c r="N82" s="17">
        <v>207.8</v>
      </c>
      <c r="O82" s="16" t="s">
        <v>1959</v>
      </c>
      <c r="R82" s="6"/>
      <c r="S82" s="298"/>
    </row>
    <row r="83" spans="2:19" x14ac:dyDescent="0.25">
      <c r="B83" s="322">
        <v>8</v>
      </c>
      <c r="C83" s="219" t="s">
        <v>8572</v>
      </c>
      <c r="D83" s="219" t="str">
        <f t="shared" si="3"/>
        <v>التربية</v>
      </c>
      <c r="E83" s="219">
        <v>3</v>
      </c>
      <c r="F83" s="298"/>
      <c r="G83" s="219">
        <v>8</v>
      </c>
      <c r="H83" s="219" t="s">
        <v>8572</v>
      </c>
      <c r="I83" s="219" t="str">
        <f t="shared" si="4"/>
        <v>التربية</v>
      </c>
      <c r="J83" s="323">
        <v>3</v>
      </c>
      <c r="K83" s="312"/>
      <c r="L83" s="312"/>
      <c r="N83" s="17">
        <v>207.9</v>
      </c>
      <c r="O83" s="16" t="s">
        <v>694</v>
      </c>
      <c r="R83" s="6"/>
      <c r="S83" s="298"/>
    </row>
    <row r="84" spans="2:19" x14ac:dyDescent="0.25">
      <c r="B84" s="322">
        <v>9</v>
      </c>
      <c r="C84" s="219" t="s">
        <v>8573</v>
      </c>
      <c r="D84" s="219" t="str">
        <f t="shared" si="3"/>
        <v>البلاغة</v>
      </c>
      <c r="E84" s="219">
        <v>4</v>
      </c>
      <c r="F84" s="298"/>
      <c r="G84" s="219">
        <v>9</v>
      </c>
      <c r="H84" s="219" t="s">
        <v>8573</v>
      </c>
      <c r="I84" s="219" t="str">
        <f t="shared" si="4"/>
        <v>البلاغة</v>
      </c>
      <c r="J84" s="323">
        <v>4</v>
      </c>
      <c r="K84" s="312"/>
      <c r="L84" s="312"/>
      <c r="N84" s="17">
        <v>208</v>
      </c>
      <c r="O84" s="16" t="s">
        <v>619</v>
      </c>
      <c r="R84" s="6"/>
      <c r="S84" s="298"/>
    </row>
    <row r="85" spans="2:19" x14ac:dyDescent="0.25">
      <c r="B85" s="322">
        <v>10</v>
      </c>
      <c r="C85" s="219" t="s">
        <v>2035</v>
      </c>
      <c r="D85" s="219" t="str">
        <f t="shared" si="3"/>
        <v>الحديث</v>
      </c>
      <c r="E85" s="219">
        <v>4</v>
      </c>
      <c r="F85" s="298"/>
      <c r="G85" s="219">
        <v>10</v>
      </c>
      <c r="H85" s="219" t="s">
        <v>2035</v>
      </c>
      <c r="I85" s="219" t="str">
        <f t="shared" si="4"/>
        <v>الحديث</v>
      </c>
      <c r="J85" s="323">
        <v>4</v>
      </c>
      <c r="K85" s="312"/>
      <c r="L85" s="312"/>
      <c r="N85" s="17">
        <v>208.1</v>
      </c>
      <c r="O85" s="16" t="s">
        <v>695</v>
      </c>
      <c r="R85" s="6"/>
      <c r="S85" s="298"/>
    </row>
    <row r="86" spans="2:19" x14ac:dyDescent="0.25">
      <c r="B86" s="322">
        <v>11</v>
      </c>
      <c r="C86" s="219" t="s">
        <v>2036</v>
      </c>
      <c r="D86" s="219" t="str">
        <f t="shared" si="3"/>
        <v>الفقه</v>
      </c>
      <c r="E86" s="219">
        <v>4</v>
      </c>
      <c r="F86" s="298"/>
      <c r="G86" s="219">
        <v>11</v>
      </c>
      <c r="H86" s="219" t="s">
        <v>2036</v>
      </c>
      <c r="I86" s="219" t="str">
        <f t="shared" si="4"/>
        <v>الفقه</v>
      </c>
      <c r="J86" s="323">
        <v>4</v>
      </c>
      <c r="K86" s="312"/>
      <c r="L86" s="312"/>
      <c r="N86" s="17">
        <v>208.2</v>
      </c>
      <c r="O86" s="16" t="s">
        <v>696</v>
      </c>
      <c r="R86" s="6"/>
      <c r="S86" s="298"/>
    </row>
    <row r="87" spans="2:19" x14ac:dyDescent="0.25">
      <c r="B87" s="322">
        <v>12</v>
      </c>
      <c r="C87" s="219" t="s">
        <v>2803</v>
      </c>
      <c r="D87" s="219" t="str">
        <f t="shared" si="3"/>
        <v>الخط العربي</v>
      </c>
      <c r="E87" s="219">
        <v>2</v>
      </c>
      <c r="F87" s="298"/>
      <c r="G87" s="219">
        <v>12</v>
      </c>
      <c r="H87" s="219" t="s">
        <v>2803</v>
      </c>
      <c r="I87" s="219" t="str">
        <f t="shared" si="4"/>
        <v>الخط العربي</v>
      </c>
      <c r="J87" s="323">
        <v>2</v>
      </c>
      <c r="K87" s="312"/>
      <c r="L87" s="312"/>
      <c r="N87" s="17">
        <v>208.3</v>
      </c>
      <c r="O87" s="16" t="s">
        <v>697</v>
      </c>
      <c r="R87" s="6"/>
      <c r="S87" s="298"/>
    </row>
    <row r="88" spans="2:19" x14ac:dyDescent="0.25">
      <c r="B88" s="322">
        <v>13</v>
      </c>
      <c r="C88" s="219" t="s">
        <v>8582</v>
      </c>
      <c r="D88" s="219" t="str">
        <f t="shared" si="3"/>
        <v>الفراعد</v>
      </c>
      <c r="E88" s="219">
        <v>2</v>
      </c>
      <c r="F88" s="298"/>
      <c r="G88" s="219">
        <v>13</v>
      </c>
      <c r="H88" s="219" t="s">
        <v>8582</v>
      </c>
      <c r="I88" s="219" t="str">
        <f t="shared" si="4"/>
        <v>الفراعد</v>
      </c>
      <c r="J88" s="323">
        <v>2</v>
      </c>
      <c r="K88" s="312"/>
      <c r="L88" s="312"/>
      <c r="N88" s="17">
        <v>208.4</v>
      </c>
      <c r="O88" s="16" t="s">
        <v>698</v>
      </c>
      <c r="R88" s="6"/>
      <c r="S88" s="298"/>
    </row>
    <row r="89" spans="2:19" x14ac:dyDescent="0.25">
      <c r="B89" s="322">
        <v>14</v>
      </c>
      <c r="C89" s="219" t="s">
        <v>2801</v>
      </c>
      <c r="D89" s="219" t="str">
        <f t="shared" si="3"/>
        <v>المحفوظات</v>
      </c>
      <c r="E89" s="219">
        <v>2</v>
      </c>
      <c r="F89" s="298"/>
      <c r="G89" s="219">
        <v>14</v>
      </c>
      <c r="H89" s="219" t="s">
        <v>2801</v>
      </c>
      <c r="I89" s="219" t="str">
        <f t="shared" si="4"/>
        <v>المحفوظات</v>
      </c>
      <c r="J89" s="323">
        <v>2</v>
      </c>
      <c r="K89" s="312"/>
      <c r="L89" s="312"/>
      <c r="N89" s="17">
        <v>208.5</v>
      </c>
      <c r="O89" s="16" t="s">
        <v>699</v>
      </c>
      <c r="R89" s="6"/>
      <c r="S89" s="298"/>
    </row>
    <row r="90" spans="2:19" x14ac:dyDescent="0.25">
      <c r="B90" s="322">
        <v>15</v>
      </c>
      <c r="C90" s="219" t="s">
        <v>8568</v>
      </c>
      <c r="D90" s="219" t="str">
        <f t="shared" si="3"/>
        <v>اللغة الإنجليزية</v>
      </c>
      <c r="E90" s="219">
        <v>4</v>
      </c>
      <c r="F90" s="298"/>
      <c r="G90" s="219">
        <v>15</v>
      </c>
      <c r="H90" s="219" t="s">
        <v>8568</v>
      </c>
      <c r="I90" s="219" t="str">
        <f t="shared" si="4"/>
        <v>اللغة الإنجليزية</v>
      </c>
      <c r="J90" s="323">
        <v>4</v>
      </c>
      <c r="K90" s="312"/>
      <c r="L90" s="312"/>
      <c r="N90" s="17">
        <v>208.6</v>
      </c>
      <c r="O90" s="16" t="s">
        <v>700</v>
      </c>
      <c r="R90" s="6"/>
      <c r="S90" s="298"/>
    </row>
    <row r="91" spans="2:19" x14ac:dyDescent="0.25">
      <c r="B91" s="322">
        <v>16</v>
      </c>
      <c r="C91" s="219" t="s">
        <v>8544</v>
      </c>
      <c r="D91" s="219" t="str">
        <f t="shared" si="3"/>
        <v>الرياضيات</v>
      </c>
      <c r="E91" s="219">
        <v>4</v>
      </c>
      <c r="F91" s="298"/>
      <c r="G91" s="219">
        <v>16</v>
      </c>
      <c r="H91" s="219" t="s">
        <v>8544</v>
      </c>
      <c r="I91" s="219" t="str">
        <f t="shared" si="4"/>
        <v>الرياضيات</v>
      </c>
      <c r="J91" s="323">
        <v>4</v>
      </c>
      <c r="K91" s="312"/>
      <c r="L91" s="312"/>
      <c r="N91" s="17">
        <v>208.7</v>
      </c>
      <c r="O91" s="16" t="s">
        <v>701</v>
      </c>
      <c r="R91" s="6"/>
      <c r="S91" s="298"/>
    </row>
    <row r="92" spans="2:19" x14ac:dyDescent="0.25">
      <c r="B92" s="322">
        <v>17</v>
      </c>
      <c r="C92" s="219" t="s">
        <v>8574</v>
      </c>
      <c r="D92" s="219" t="str">
        <f t="shared" si="3"/>
        <v>اللغة الإندونيسية</v>
      </c>
      <c r="E92" s="219">
        <v>3</v>
      </c>
      <c r="F92" s="298"/>
      <c r="G92" s="219">
        <v>17</v>
      </c>
      <c r="H92" s="219" t="s">
        <v>8574</v>
      </c>
      <c r="I92" s="219" t="str">
        <f t="shared" si="4"/>
        <v>اللغة الإندونيسية</v>
      </c>
      <c r="J92" s="323">
        <v>3</v>
      </c>
      <c r="K92" s="312"/>
      <c r="L92" s="312"/>
      <c r="N92" s="17">
        <v>208.79999999999899</v>
      </c>
      <c r="O92" s="16" t="s">
        <v>702</v>
      </c>
      <c r="R92" s="6"/>
      <c r="S92" s="298"/>
    </row>
    <row r="93" spans="2:19" x14ac:dyDescent="0.25">
      <c r="B93" s="322">
        <v>18</v>
      </c>
      <c r="C93" s="219" t="s">
        <v>8556</v>
      </c>
      <c r="D93" s="219" t="str">
        <f t="shared" si="3"/>
        <v>التاريخ العام</v>
      </c>
      <c r="E93" s="219">
        <v>2</v>
      </c>
      <c r="F93" s="298"/>
      <c r="G93" s="219">
        <v>18</v>
      </c>
      <c r="H93" s="219" t="s">
        <v>8556</v>
      </c>
      <c r="I93" s="219" t="str">
        <f t="shared" si="4"/>
        <v>التاريخ العام</v>
      </c>
      <c r="J93" s="323">
        <v>2</v>
      </c>
      <c r="K93" s="312"/>
      <c r="L93" s="312"/>
      <c r="N93" s="17">
        <v>208.89999999999901</v>
      </c>
      <c r="O93" s="16" t="s">
        <v>703</v>
      </c>
      <c r="R93" s="6"/>
      <c r="S93" s="298"/>
    </row>
    <row r="94" spans="2:19" x14ac:dyDescent="0.25">
      <c r="B94" s="322">
        <v>19</v>
      </c>
      <c r="C94" s="219" t="s">
        <v>3051</v>
      </c>
      <c r="D94" s="219" t="str">
        <f t="shared" si="3"/>
        <v>الكمبيوتر</v>
      </c>
      <c r="E94" s="219">
        <v>2</v>
      </c>
      <c r="F94" s="298"/>
      <c r="G94" s="219">
        <v>19</v>
      </c>
      <c r="H94" s="219" t="s">
        <v>3051</v>
      </c>
      <c r="I94" s="219" t="str">
        <f t="shared" si="4"/>
        <v>الكمبيوتر</v>
      </c>
      <c r="J94" s="323">
        <v>2</v>
      </c>
      <c r="K94" s="312"/>
      <c r="L94" s="312"/>
      <c r="N94" s="17">
        <v>208.99999999999901</v>
      </c>
      <c r="O94" s="16" t="s">
        <v>704</v>
      </c>
      <c r="R94" s="6"/>
      <c r="S94" s="298"/>
    </row>
    <row r="95" spans="2:19" x14ac:dyDescent="0.25">
      <c r="B95" s="322">
        <v>20</v>
      </c>
      <c r="C95" s="219" t="s">
        <v>8673</v>
      </c>
      <c r="D95" s="219" t="str">
        <f t="shared" si="3"/>
        <v>التربية الوطنية</v>
      </c>
      <c r="E95" s="219">
        <v>2</v>
      </c>
      <c r="F95" s="298"/>
      <c r="G95" s="219">
        <v>20</v>
      </c>
      <c r="H95" s="219" t="s">
        <v>8673</v>
      </c>
      <c r="I95" s="219" t="str">
        <f t="shared" si="4"/>
        <v>التربية الوطنية</v>
      </c>
      <c r="J95" s="323">
        <v>2</v>
      </c>
      <c r="K95" s="312"/>
      <c r="L95" s="312"/>
      <c r="N95" s="17">
        <v>209.099999999999</v>
      </c>
      <c r="O95" s="16" t="s">
        <v>705</v>
      </c>
      <c r="R95" s="6"/>
      <c r="S95" s="298"/>
    </row>
    <row r="96" spans="2:19" x14ac:dyDescent="0.25">
      <c r="B96" s="322">
        <v>21</v>
      </c>
      <c r="C96" s="219" t="s">
        <v>8548</v>
      </c>
      <c r="D96" s="219" t="str">
        <f t="shared" si="3"/>
        <v>الكيمياء</v>
      </c>
      <c r="E96" s="219">
        <v>2</v>
      </c>
      <c r="F96" s="298"/>
      <c r="G96" s="219">
        <v>21</v>
      </c>
      <c r="H96" s="219" t="s">
        <v>8552</v>
      </c>
      <c r="I96" s="219" t="str">
        <f t="shared" si="4"/>
        <v>الصوصيولوجيا</v>
      </c>
      <c r="J96" s="323">
        <v>2</v>
      </c>
      <c r="K96" s="312"/>
      <c r="L96" s="312"/>
      <c r="N96" s="17">
        <v>209.19999999999899</v>
      </c>
      <c r="O96" s="16" t="s">
        <v>706</v>
      </c>
      <c r="R96" s="6"/>
      <c r="S96" s="298"/>
    </row>
    <row r="97" spans="2:19" x14ac:dyDescent="0.25">
      <c r="B97" s="322">
        <v>22</v>
      </c>
      <c r="C97" s="219" t="s">
        <v>8546</v>
      </c>
      <c r="D97" s="219" t="str">
        <f t="shared" si="3"/>
        <v>الفيزياء</v>
      </c>
      <c r="E97" s="219">
        <v>4</v>
      </c>
      <c r="F97" s="298"/>
      <c r="G97" s="219">
        <v>22</v>
      </c>
      <c r="H97" s="219" t="s">
        <v>8555</v>
      </c>
      <c r="I97" s="219" t="str">
        <f t="shared" si="4"/>
        <v>الاقتصادية</v>
      </c>
      <c r="J97" s="323">
        <v>4</v>
      </c>
      <c r="K97" s="312"/>
      <c r="L97" s="312"/>
      <c r="N97" s="17">
        <v>209.29999999999899</v>
      </c>
      <c r="O97" s="16" t="s">
        <v>707</v>
      </c>
      <c r="R97" s="6"/>
      <c r="S97" s="298"/>
    </row>
    <row r="98" spans="2:19" x14ac:dyDescent="0.25">
      <c r="B98" s="322">
        <v>23</v>
      </c>
      <c r="C98" s="219" t="s">
        <v>8682</v>
      </c>
      <c r="D98" s="219" t="str">
        <f t="shared" si="3"/>
        <v>البيولوجيا</v>
      </c>
      <c r="E98" s="219">
        <v>2</v>
      </c>
      <c r="F98" s="298"/>
      <c r="G98" s="219">
        <v>23</v>
      </c>
      <c r="H98" s="219" t="s">
        <v>8553</v>
      </c>
      <c r="I98" s="219" t="str">
        <f t="shared" si="4"/>
        <v>الجغرافيا</v>
      </c>
      <c r="J98" s="323">
        <v>2</v>
      </c>
      <c r="K98" s="312"/>
      <c r="L98" s="312"/>
      <c r="N98" s="17">
        <v>209.39999999999901</v>
      </c>
      <c r="O98" s="16" t="s">
        <v>708</v>
      </c>
      <c r="R98" s="6"/>
      <c r="S98" s="298"/>
    </row>
    <row r="99" spans="2:19" x14ac:dyDescent="0.25">
      <c r="B99" s="322">
        <v>24</v>
      </c>
      <c r="C99" s="219"/>
      <c r="D99" s="219">
        <f t="shared" ref="D99:D110" si="5">IF(C99="ArabLisan","اللغة العربية",IF(C99="Biologi","البيولوجيا",
IF(C99="Faroid","الفراعد",
IF(C99="InggrisLisan","اللغة الإنجليزية",
IF(C99="FiqhLisan","الفقه وتلاوة القرآن",
IF(C99="Arab","الدروس الغة العربية",
IF(C99="Tarikh","التاريخ الإسلامى",
IF(C99="Tauhid","التوحيد",
IF(C99="Tafsir","التفسير",
IF(C99="Sharaf","الصرف",
IF(C99="Imla","الاملاء",
IF(C99="Hadits","الحديث",
IF(C99="Fiqh","الفقه",
IF(C99="Grammer","Grammer",
IF(C99="Inggris","اللغة الإنجليزية",
IF(C99="Mahfudzot","المحفوظات",
IF(C99="Khot","الخط العربي",
IF(C99="UsulFiqh","أصول الفقه",
IF(C99="Mutholaah","المطالعة و الإنشاء",
IF(C99="Nahwu","النحو",
IF(C99="Tarbiyah","التربية",
IF(C99="Balagoh","البلاغة",
IF(C99="Matematika","الرياضيات",
IF(C99="Kimia","الكيمياء",
IF(C99="Fisika","الفيزياء",
IF(C99="Indonesia","اللغة الإندونيسية",
IF(C99="Sejarah","التاريخ العام",
IF(C99="Pkn","التربية الوطنية",
IF(C99="TIK","الكمبيوتر",
IF(C99="Sosiologi","الصوصيولوجيا",
IF(C99="Ekonomi","الاقتصادية",
IF(C99="Geografi","الجغرافيا",
IF(C99="Ilmu Hadits","مصطلح الحديث",
)))))))))))))))))))))))))))))))))</f>
        <v>0</v>
      </c>
      <c r="E99" s="219"/>
      <c r="F99" s="298"/>
      <c r="G99" s="219">
        <v>24</v>
      </c>
      <c r="H99" s="219"/>
      <c r="I99" s="219">
        <f t="shared" ref="I99:I110" si="6">IF(H99="ArabLisan","اللغة العربية",IF(H99="Biologi","البيولوجيا",
IF(H99="Faroid","الفراعد",
IF(H99="InggrisLisan","اللغة الإنجليزية",
IF(H99="FiqhLisan","الفقه وتلاوة القرآن",
IF(H99="Arab","الدروس الغة العربية",
IF(H99="Tarikh","التاريخ الإسلامى",
IF(H99="Tauhid","التوحيد",
IF(H99="Tafsir","التفسير",
IF(H99="Sharaf","الصرف",
IF(H99="Imla","الاملاء",
IF(H99="Hadits","الحديث",
IF(H99="Fiqh","الفقه",
IF(H99="Grammer","Grammer",
IF(H99="Inggris","اللغة الإنجليزية",
IF(H99="Mahfudzot","المحفوظات",
IF(H99="Khot","الخط العربي",
IF(H99="UsulFiqh","أصول الفقه",
IF(H99="Mutholaah","المطالعة و الإنشاء",
IF(H99="Nahwu","النحو",
IF(H99="Tarbiyah","التربية",
IF(H99="Balagoh","البلاغة",
IF(H99="Matematika","الرياضيات",
IF(H99="Kimia","الكيمياء",
IF(H99="Fisika","الفيزياء",
IF(H99="Indonesia","اللغة الإندونيسية",
IF(H99="Sejarah","التاريخ العام",
IF(H99="Pkn","التربية الوطنية",
IF(H99="TIK","الكمبيوتر",
IF(H99="Sosiologi","الصوصيولوجيا",
IF(H99="Ekonomi","الاقتصادية",
IF(H99="Geografi","الجغرافيا",
IF(H99="Ilmu Hadits","مصطلح الحديث",
)))))))))))))))))))))))))))))))))</f>
        <v>0</v>
      </c>
      <c r="J99" s="323"/>
      <c r="K99" s="312"/>
      <c r="L99" s="312"/>
      <c r="N99" s="17">
        <v>209.49999999999901</v>
      </c>
      <c r="O99" s="16" t="s">
        <v>709</v>
      </c>
      <c r="R99" s="6"/>
      <c r="S99" s="298"/>
    </row>
    <row r="100" spans="2:19" x14ac:dyDescent="0.25">
      <c r="B100" s="322">
        <v>25</v>
      </c>
      <c r="C100" s="219"/>
      <c r="D100" s="219">
        <f t="shared" si="5"/>
        <v>0</v>
      </c>
      <c r="E100" s="219"/>
      <c r="F100" s="298"/>
      <c r="G100" s="219">
        <v>25</v>
      </c>
      <c r="H100" s="219"/>
      <c r="I100" s="219">
        <f t="shared" si="6"/>
        <v>0</v>
      </c>
      <c r="J100" s="323"/>
      <c r="K100" s="312"/>
      <c r="L100" s="312"/>
      <c r="N100" s="17">
        <v>209.599999999999</v>
      </c>
      <c r="O100" s="16" t="s">
        <v>710</v>
      </c>
      <c r="R100" s="6"/>
      <c r="S100" s="298"/>
    </row>
    <row r="101" spans="2:19" x14ac:dyDescent="0.25">
      <c r="B101" s="322">
        <v>26</v>
      </c>
      <c r="C101" s="219"/>
      <c r="D101" s="219">
        <f t="shared" si="5"/>
        <v>0</v>
      </c>
      <c r="E101" s="219"/>
      <c r="F101" s="298"/>
      <c r="G101" s="219">
        <v>26</v>
      </c>
      <c r="H101" s="219"/>
      <c r="I101" s="219">
        <f t="shared" si="6"/>
        <v>0</v>
      </c>
      <c r="J101" s="323"/>
      <c r="K101" s="312"/>
      <c r="L101" s="312"/>
      <c r="N101" s="17">
        <v>209.69999999999899</v>
      </c>
      <c r="O101" s="16" t="s">
        <v>711</v>
      </c>
      <c r="R101" s="6"/>
      <c r="S101" s="298"/>
    </row>
    <row r="102" spans="2:19" x14ac:dyDescent="0.25">
      <c r="B102" s="322">
        <v>27</v>
      </c>
      <c r="C102" s="219"/>
      <c r="D102" s="219">
        <f t="shared" si="5"/>
        <v>0</v>
      </c>
      <c r="E102" s="219"/>
      <c r="F102" s="298"/>
      <c r="G102" s="219">
        <v>27</v>
      </c>
      <c r="H102" s="219"/>
      <c r="I102" s="219">
        <f t="shared" si="6"/>
        <v>0</v>
      </c>
      <c r="J102" s="323"/>
      <c r="K102" s="312"/>
      <c r="L102" s="312"/>
      <c r="N102" s="17">
        <v>209.79999999999899</v>
      </c>
      <c r="O102" s="16" t="s">
        <v>712</v>
      </c>
      <c r="R102" s="6"/>
      <c r="S102" s="298"/>
    </row>
    <row r="103" spans="2:19" x14ac:dyDescent="0.25">
      <c r="B103" s="322">
        <v>28</v>
      </c>
      <c r="C103" s="219"/>
      <c r="D103" s="219">
        <f t="shared" si="5"/>
        <v>0</v>
      </c>
      <c r="E103" s="219"/>
      <c r="F103" s="298"/>
      <c r="G103" s="219">
        <v>28</v>
      </c>
      <c r="H103" s="219"/>
      <c r="I103" s="219">
        <f t="shared" si="6"/>
        <v>0</v>
      </c>
      <c r="J103" s="323"/>
      <c r="K103" s="312"/>
      <c r="L103" s="312"/>
      <c r="N103" s="17">
        <v>209.89999999999901</v>
      </c>
      <c r="O103" s="16" t="s">
        <v>713</v>
      </c>
      <c r="R103" s="6"/>
      <c r="S103" s="298"/>
    </row>
    <row r="104" spans="2:19" x14ac:dyDescent="0.25">
      <c r="B104" s="322">
        <v>29</v>
      </c>
      <c r="C104" s="219"/>
      <c r="D104" s="219">
        <f t="shared" si="5"/>
        <v>0</v>
      </c>
      <c r="E104" s="219"/>
      <c r="F104" s="298"/>
      <c r="G104" s="219">
        <v>29</v>
      </c>
      <c r="H104" s="219"/>
      <c r="I104" s="219">
        <f t="shared" si="6"/>
        <v>0</v>
      </c>
      <c r="J104" s="323"/>
      <c r="K104" s="312"/>
      <c r="L104" s="312"/>
      <c r="N104" s="17">
        <v>209.99999999999901</v>
      </c>
      <c r="O104" s="16" t="s">
        <v>714</v>
      </c>
      <c r="R104" s="6"/>
      <c r="S104" s="298"/>
    </row>
    <row r="105" spans="2:19" x14ac:dyDescent="0.25">
      <c r="B105" s="322">
        <v>30</v>
      </c>
      <c r="C105" s="219"/>
      <c r="D105" s="219">
        <f t="shared" si="5"/>
        <v>0</v>
      </c>
      <c r="E105" s="219"/>
      <c r="F105" s="298"/>
      <c r="G105" s="219">
        <v>30</v>
      </c>
      <c r="H105" s="219"/>
      <c r="I105" s="219">
        <f t="shared" si="6"/>
        <v>0</v>
      </c>
      <c r="J105" s="323"/>
      <c r="K105" s="312"/>
      <c r="L105" s="312"/>
      <c r="N105" s="17">
        <v>210.099999999999</v>
      </c>
      <c r="O105" s="16" t="s">
        <v>715</v>
      </c>
      <c r="R105" s="6"/>
      <c r="S105" s="298"/>
    </row>
    <row r="106" spans="2:19" x14ac:dyDescent="0.25">
      <c r="B106" s="322">
        <v>31</v>
      </c>
      <c r="C106" s="219"/>
      <c r="D106" s="219">
        <f t="shared" si="5"/>
        <v>0</v>
      </c>
      <c r="E106" s="219"/>
      <c r="F106" s="298"/>
      <c r="G106" s="219">
        <v>31</v>
      </c>
      <c r="H106" s="219"/>
      <c r="I106" s="219">
        <f t="shared" si="6"/>
        <v>0</v>
      </c>
      <c r="J106" s="323"/>
      <c r="K106" s="312"/>
      <c r="L106" s="312"/>
      <c r="N106" s="17">
        <v>210.19999999999899</v>
      </c>
      <c r="O106" s="16" t="s">
        <v>716</v>
      </c>
      <c r="R106" s="6"/>
      <c r="S106" s="298"/>
    </row>
    <row r="107" spans="2:19" x14ac:dyDescent="0.25">
      <c r="B107" s="322">
        <v>32</v>
      </c>
      <c r="C107" s="219"/>
      <c r="D107" s="219">
        <f t="shared" si="5"/>
        <v>0</v>
      </c>
      <c r="E107" s="219"/>
      <c r="F107" s="298"/>
      <c r="G107" s="219">
        <v>32</v>
      </c>
      <c r="H107" s="219"/>
      <c r="I107" s="219">
        <f t="shared" si="6"/>
        <v>0</v>
      </c>
      <c r="J107" s="323"/>
      <c r="K107" s="312"/>
      <c r="L107" s="312"/>
      <c r="N107" s="17">
        <v>210.29999999999899</v>
      </c>
      <c r="O107" s="16" t="s">
        <v>717</v>
      </c>
      <c r="R107" s="6"/>
      <c r="S107" s="298"/>
    </row>
    <row r="108" spans="2:19" x14ac:dyDescent="0.25">
      <c r="B108" s="322">
        <v>33</v>
      </c>
      <c r="C108" s="219"/>
      <c r="D108" s="219">
        <f t="shared" si="5"/>
        <v>0</v>
      </c>
      <c r="E108" s="219"/>
      <c r="F108" s="298"/>
      <c r="G108" s="219">
        <v>33</v>
      </c>
      <c r="H108" s="219"/>
      <c r="I108" s="219">
        <f t="shared" si="6"/>
        <v>0</v>
      </c>
      <c r="J108" s="323"/>
      <c r="K108" s="312"/>
      <c r="L108" s="312"/>
      <c r="N108" s="17">
        <v>210.39999999999901</v>
      </c>
      <c r="O108" s="16" t="s">
        <v>718</v>
      </c>
      <c r="R108" s="6"/>
      <c r="S108" s="298"/>
    </row>
    <row r="109" spans="2:19" x14ac:dyDescent="0.25">
      <c r="B109" s="322">
        <v>34</v>
      </c>
      <c r="C109" s="219"/>
      <c r="D109" s="219">
        <f t="shared" si="5"/>
        <v>0</v>
      </c>
      <c r="E109" s="219"/>
      <c r="F109" s="298"/>
      <c r="G109" s="219">
        <v>34</v>
      </c>
      <c r="H109" s="219"/>
      <c r="I109" s="219">
        <f t="shared" si="6"/>
        <v>0</v>
      </c>
      <c r="J109" s="323"/>
      <c r="K109" s="312"/>
      <c r="L109" s="312"/>
      <c r="N109" s="17">
        <v>210.49999999999901</v>
      </c>
      <c r="O109" s="16" t="s">
        <v>719</v>
      </c>
      <c r="R109" s="6"/>
      <c r="S109" s="298"/>
    </row>
    <row r="110" spans="2:19" ht="16.5" thickBot="1" x14ac:dyDescent="0.3">
      <c r="B110" s="324">
        <v>35</v>
      </c>
      <c r="C110" s="325"/>
      <c r="D110" s="325">
        <f t="shared" si="5"/>
        <v>0</v>
      </c>
      <c r="E110" s="325"/>
      <c r="F110" s="326"/>
      <c r="G110" s="325">
        <v>35</v>
      </c>
      <c r="H110" s="325"/>
      <c r="I110" s="325">
        <f t="shared" si="6"/>
        <v>0</v>
      </c>
      <c r="J110" s="327"/>
      <c r="K110" s="312"/>
      <c r="L110" s="312"/>
      <c r="N110" s="17">
        <v>210.599999999999</v>
      </c>
      <c r="O110" s="16" t="s">
        <v>720</v>
      </c>
      <c r="R110" s="6"/>
      <c r="S110" s="298"/>
    </row>
    <row r="111" spans="2:19" hidden="1" x14ac:dyDescent="0.25">
      <c r="N111" s="17">
        <v>210.69999999999899</v>
      </c>
      <c r="O111" s="16" t="s">
        <v>721</v>
      </c>
      <c r="R111" s="6"/>
      <c r="S111" s="298"/>
    </row>
    <row r="112" spans="2:19" hidden="1" x14ac:dyDescent="0.25">
      <c r="N112" s="17">
        <v>210.79999999999899</v>
      </c>
      <c r="O112" s="16" t="s">
        <v>722</v>
      </c>
      <c r="R112" s="6"/>
      <c r="S112" s="298"/>
    </row>
    <row r="113" spans="14:19" hidden="1" x14ac:dyDescent="0.25">
      <c r="N113" s="17">
        <v>210.89999999999901</v>
      </c>
      <c r="O113" s="16" t="s">
        <v>723</v>
      </c>
      <c r="R113" s="6"/>
      <c r="S113" s="298"/>
    </row>
    <row r="114" spans="14:19" hidden="1" x14ac:dyDescent="0.25">
      <c r="N114" s="17">
        <v>210.99999999999901</v>
      </c>
      <c r="O114" s="16" t="s">
        <v>724</v>
      </c>
      <c r="R114" s="6"/>
      <c r="S114" s="298"/>
    </row>
    <row r="115" spans="14:19" hidden="1" x14ac:dyDescent="0.25">
      <c r="N115" s="17">
        <v>211.099999999999</v>
      </c>
      <c r="O115" s="16" t="s">
        <v>725</v>
      </c>
      <c r="R115" s="6"/>
      <c r="S115" s="298"/>
    </row>
    <row r="116" spans="14:19" hidden="1" x14ac:dyDescent="0.25">
      <c r="N116" s="17">
        <v>211.19999999999899</v>
      </c>
      <c r="O116" s="16" t="s">
        <v>726</v>
      </c>
      <c r="R116" s="6"/>
      <c r="S116" s="298"/>
    </row>
    <row r="117" spans="14:19" hidden="1" x14ac:dyDescent="0.25">
      <c r="N117" s="17">
        <v>211.29999999999899</v>
      </c>
      <c r="O117" s="16" t="s">
        <v>727</v>
      </c>
      <c r="R117" s="6"/>
      <c r="S117" s="298"/>
    </row>
    <row r="118" spans="14:19" hidden="1" x14ac:dyDescent="0.25">
      <c r="N118" s="17">
        <v>211.39999999999901</v>
      </c>
      <c r="O118" s="16" t="s">
        <v>728</v>
      </c>
      <c r="R118" s="6"/>
      <c r="S118" s="298"/>
    </row>
    <row r="119" spans="14:19" hidden="1" x14ac:dyDescent="0.25">
      <c r="N119" s="17">
        <v>211.49999999999901</v>
      </c>
      <c r="O119" s="16" t="s">
        <v>729</v>
      </c>
      <c r="R119" s="6"/>
      <c r="S119" s="298"/>
    </row>
    <row r="120" spans="14:19" hidden="1" x14ac:dyDescent="0.25">
      <c r="N120" s="17">
        <v>211.599999999999</v>
      </c>
      <c r="O120" s="16" t="s">
        <v>730</v>
      </c>
      <c r="R120" s="6"/>
      <c r="S120" s="298"/>
    </row>
    <row r="121" spans="14:19" hidden="1" x14ac:dyDescent="0.25">
      <c r="N121" s="17">
        <v>211.69999999999899</v>
      </c>
      <c r="O121" s="16" t="s">
        <v>731</v>
      </c>
      <c r="R121" s="6"/>
      <c r="S121" s="298"/>
    </row>
    <row r="122" spans="14:19" hidden="1" x14ac:dyDescent="0.25">
      <c r="N122" s="17">
        <v>211.79999999999899</v>
      </c>
      <c r="O122" s="16" t="s">
        <v>732</v>
      </c>
      <c r="R122" s="6"/>
      <c r="S122" s="298"/>
    </row>
    <row r="123" spans="14:19" hidden="1" x14ac:dyDescent="0.25">
      <c r="N123" s="17">
        <v>211.89999999999901</v>
      </c>
      <c r="O123" s="16" t="s">
        <v>733</v>
      </c>
      <c r="R123" s="6"/>
      <c r="S123" s="298"/>
    </row>
    <row r="124" spans="14:19" hidden="1" x14ac:dyDescent="0.25">
      <c r="N124" s="17">
        <v>211.99999999999901</v>
      </c>
      <c r="O124" s="16" t="s">
        <v>734</v>
      </c>
      <c r="R124" s="6"/>
      <c r="S124" s="298"/>
    </row>
    <row r="125" spans="14:19" hidden="1" x14ac:dyDescent="0.25">
      <c r="N125" s="17">
        <v>212.099999999999</v>
      </c>
      <c r="O125" s="16" t="s">
        <v>735</v>
      </c>
      <c r="R125" s="6"/>
      <c r="S125" s="298"/>
    </row>
    <row r="126" spans="14:19" hidden="1" x14ac:dyDescent="0.25">
      <c r="N126" s="17">
        <v>212.19999999999899</v>
      </c>
      <c r="O126" s="16" t="s">
        <v>736</v>
      </c>
      <c r="R126" s="6"/>
      <c r="S126" s="298"/>
    </row>
    <row r="127" spans="14:19" hidden="1" x14ac:dyDescent="0.25">
      <c r="N127" s="17">
        <v>212.29999999999899</v>
      </c>
      <c r="O127" s="16" t="s">
        <v>737</v>
      </c>
      <c r="R127" s="6"/>
      <c r="S127" s="298"/>
    </row>
    <row r="128" spans="14:19" hidden="1" x14ac:dyDescent="0.25">
      <c r="N128" s="17">
        <v>212.39999999999901</v>
      </c>
      <c r="O128" s="16" t="s">
        <v>738</v>
      </c>
      <c r="R128" s="6"/>
      <c r="S128" s="298"/>
    </row>
    <row r="129" spans="14:19" hidden="1" x14ac:dyDescent="0.25">
      <c r="N129" s="17">
        <v>212.49999999999901</v>
      </c>
      <c r="O129" s="16" t="s">
        <v>739</v>
      </c>
      <c r="R129" s="6"/>
      <c r="S129" s="298"/>
    </row>
    <row r="130" spans="14:19" hidden="1" x14ac:dyDescent="0.25">
      <c r="N130" s="17">
        <v>212.599999999999</v>
      </c>
      <c r="O130" s="16" t="s">
        <v>2004</v>
      </c>
      <c r="R130" s="6"/>
      <c r="S130" s="298"/>
    </row>
    <row r="131" spans="14:19" hidden="1" x14ac:dyDescent="0.25">
      <c r="N131" s="17">
        <v>212.69999999999899</v>
      </c>
      <c r="O131" s="16" t="s">
        <v>2005</v>
      </c>
      <c r="R131" s="6"/>
      <c r="S131" s="298"/>
    </row>
    <row r="132" spans="14:19" hidden="1" x14ac:dyDescent="0.25">
      <c r="N132" s="17">
        <v>212.79999999999899</v>
      </c>
      <c r="O132" s="16" t="s">
        <v>2006</v>
      </c>
      <c r="R132" s="6"/>
      <c r="S132" s="298"/>
    </row>
    <row r="133" spans="14:19" hidden="1" x14ac:dyDescent="0.25">
      <c r="N133" s="17">
        <v>212.89999999999901</v>
      </c>
      <c r="O133" s="16" t="s">
        <v>2007</v>
      </c>
      <c r="R133" s="6"/>
      <c r="S133" s="298"/>
    </row>
    <row r="134" spans="14:19" hidden="1" x14ac:dyDescent="0.25">
      <c r="N134" s="17">
        <v>212.99999999999901</v>
      </c>
      <c r="O134" s="16" t="s">
        <v>2008</v>
      </c>
      <c r="R134" s="6"/>
      <c r="S134" s="298"/>
    </row>
    <row r="135" spans="14:19" hidden="1" x14ac:dyDescent="0.25">
      <c r="N135" s="17">
        <v>213.099999999999</v>
      </c>
      <c r="O135" s="16" t="s">
        <v>2009</v>
      </c>
      <c r="R135" s="6"/>
      <c r="S135" s="298"/>
    </row>
    <row r="136" spans="14:19" hidden="1" x14ac:dyDescent="0.25">
      <c r="N136" s="17">
        <v>213.19999999999899</v>
      </c>
      <c r="O136" s="16" t="s">
        <v>2202</v>
      </c>
      <c r="R136" s="6"/>
      <c r="S136" s="298"/>
    </row>
    <row r="137" spans="14:19" hidden="1" x14ac:dyDescent="0.25">
      <c r="N137" s="17">
        <v>213.29999999999899</v>
      </c>
      <c r="O137" s="16" t="s">
        <v>2203</v>
      </c>
      <c r="R137" s="6"/>
      <c r="S137" s="298"/>
    </row>
    <row r="138" spans="14:19" hidden="1" x14ac:dyDescent="0.25">
      <c r="N138" s="17">
        <v>213.39999999999901</v>
      </c>
      <c r="O138" s="16" t="s">
        <v>2204</v>
      </c>
      <c r="R138" s="6"/>
      <c r="S138" s="298"/>
    </row>
    <row r="139" spans="14:19" hidden="1" x14ac:dyDescent="0.25">
      <c r="N139" s="17">
        <v>213.49999999999901</v>
      </c>
      <c r="O139" s="16" t="s">
        <v>2205</v>
      </c>
      <c r="R139" s="6"/>
      <c r="S139" s="298"/>
    </row>
    <row r="140" spans="14:19" hidden="1" x14ac:dyDescent="0.25">
      <c r="N140" s="17">
        <v>213.599999999999</v>
      </c>
      <c r="O140" s="16" t="s">
        <v>2206</v>
      </c>
      <c r="R140" s="6"/>
      <c r="S140" s="298"/>
    </row>
    <row r="141" spans="14:19" hidden="1" x14ac:dyDescent="0.25">
      <c r="N141" s="17">
        <v>213.69999999999899</v>
      </c>
      <c r="O141" s="16" t="s">
        <v>2207</v>
      </c>
      <c r="R141" s="6"/>
      <c r="S141" s="298"/>
    </row>
    <row r="142" spans="14:19" hidden="1" x14ac:dyDescent="0.25">
      <c r="N142" s="17">
        <v>213.79999999999899</v>
      </c>
      <c r="O142" s="16" t="s">
        <v>2225</v>
      </c>
      <c r="R142" s="6"/>
      <c r="S142" s="298"/>
    </row>
    <row r="143" spans="14:19" hidden="1" x14ac:dyDescent="0.25">
      <c r="N143" s="17">
        <v>213.89999999999901</v>
      </c>
      <c r="O143" s="16" t="s">
        <v>2226</v>
      </c>
      <c r="R143" s="6"/>
      <c r="S143" s="298"/>
    </row>
    <row r="144" spans="14:19" hidden="1" x14ac:dyDescent="0.25">
      <c r="N144" s="17">
        <v>213.99999999999901</v>
      </c>
      <c r="O144" s="16" t="s">
        <v>2227</v>
      </c>
      <c r="R144" s="6"/>
      <c r="S144" s="298"/>
    </row>
    <row r="145" spans="14:19" hidden="1" x14ac:dyDescent="0.25">
      <c r="N145" s="17">
        <v>214.099999999999</v>
      </c>
      <c r="O145" s="16" t="s">
        <v>2228</v>
      </c>
      <c r="R145" s="6"/>
      <c r="S145" s="298"/>
    </row>
    <row r="146" spans="14:19" hidden="1" x14ac:dyDescent="0.25">
      <c r="N146" s="17">
        <v>214.19999999999899</v>
      </c>
      <c r="O146" s="16" t="s">
        <v>2229</v>
      </c>
      <c r="R146" s="6"/>
      <c r="S146" s="298"/>
    </row>
    <row r="147" spans="14:19" hidden="1" x14ac:dyDescent="0.25">
      <c r="N147" s="17">
        <v>214.29999999999899</v>
      </c>
      <c r="O147" s="16" t="s">
        <v>2230</v>
      </c>
      <c r="R147" s="6"/>
      <c r="S147" s="298"/>
    </row>
    <row r="148" spans="14:19" hidden="1" x14ac:dyDescent="0.25">
      <c r="N148" s="17">
        <v>214.39999999999901</v>
      </c>
      <c r="O148" s="16" t="s">
        <v>2231</v>
      </c>
      <c r="R148" s="6"/>
      <c r="S148" s="298"/>
    </row>
    <row r="149" spans="14:19" hidden="1" x14ac:dyDescent="0.25">
      <c r="N149" s="17">
        <v>214.49999999999901</v>
      </c>
      <c r="O149" s="16" t="s">
        <v>2232</v>
      </c>
      <c r="R149" s="6"/>
      <c r="S149" s="298"/>
    </row>
    <row r="150" spans="14:19" hidden="1" x14ac:dyDescent="0.25">
      <c r="N150" s="17">
        <v>214.599999999999</v>
      </c>
      <c r="O150" s="16" t="s">
        <v>2233</v>
      </c>
      <c r="R150" s="6"/>
      <c r="S150" s="298"/>
    </row>
    <row r="151" spans="14:19" hidden="1" x14ac:dyDescent="0.25">
      <c r="N151" s="17">
        <v>214.69999999999899</v>
      </c>
      <c r="O151" s="16" t="s">
        <v>2234</v>
      </c>
      <c r="R151" s="6"/>
      <c r="S151" s="298"/>
    </row>
    <row r="152" spans="14:19" hidden="1" x14ac:dyDescent="0.25">
      <c r="N152" s="17">
        <v>214.79999999999899</v>
      </c>
      <c r="O152" s="16" t="s">
        <v>2235</v>
      </c>
      <c r="R152" s="6"/>
      <c r="S152" s="298"/>
    </row>
    <row r="153" spans="14:19" hidden="1" x14ac:dyDescent="0.25">
      <c r="N153" s="17">
        <v>214.89999999999901</v>
      </c>
      <c r="O153" s="16" t="s">
        <v>2236</v>
      </c>
      <c r="R153" s="6"/>
      <c r="S153" s="298"/>
    </row>
    <row r="154" spans="14:19" hidden="1" x14ac:dyDescent="0.25">
      <c r="N154" s="17">
        <v>214.99999999999901</v>
      </c>
      <c r="O154" s="16" t="s">
        <v>2237</v>
      </c>
      <c r="R154" s="6"/>
      <c r="S154" s="298"/>
    </row>
    <row r="155" spans="14:19" hidden="1" x14ac:dyDescent="0.25">
      <c r="N155" s="17">
        <v>215.099999999999</v>
      </c>
      <c r="O155" s="16" t="s">
        <v>2238</v>
      </c>
      <c r="R155" s="6"/>
      <c r="S155" s="298"/>
    </row>
    <row r="156" spans="14:19" hidden="1" x14ac:dyDescent="0.25">
      <c r="N156" s="17">
        <v>215.19999999999899</v>
      </c>
      <c r="O156" s="16" t="s">
        <v>2239</v>
      </c>
      <c r="R156" s="6"/>
      <c r="S156" s="298"/>
    </row>
    <row r="157" spans="14:19" hidden="1" x14ac:dyDescent="0.25">
      <c r="N157" s="17">
        <v>215.29999999999899</v>
      </c>
      <c r="O157" s="16" t="s">
        <v>2240</v>
      </c>
      <c r="R157" s="6"/>
      <c r="S157" s="298"/>
    </row>
    <row r="158" spans="14:19" hidden="1" x14ac:dyDescent="0.25">
      <c r="N158" s="17">
        <v>215.39999999999901</v>
      </c>
      <c r="O158" s="16" t="s">
        <v>4392</v>
      </c>
      <c r="R158" s="6"/>
      <c r="S158" s="298"/>
    </row>
    <row r="159" spans="14:19" hidden="1" x14ac:dyDescent="0.25">
      <c r="N159" s="17">
        <v>215.49999999999901</v>
      </c>
      <c r="O159" s="16" t="s">
        <v>4393</v>
      </c>
      <c r="R159" s="6"/>
      <c r="S159" s="298"/>
    </row>
    <row r="160" spans="14:19" hidden="1" x14ac:dyDescent="0.25">
      <c r="N160" s="17">
        <v>215.599999999999</v>
      </c>
      <c r="O160" s="16" t="s">
        <v>4394</v>
      </c>
      <c r="R160" s="6"/>
      <c r="S160" s="298"/>
    </row>
    <row r="161" spans="14:19" hidden="1" x14ac:dyDescent="0.25">
      <c r="N161" s="17">
        <v>215.69999999999899</v>
      </c>
      <c r="O161" s="16" t="s">
        <v>4395</v>
      </c>
      <c r="R161" s="6"/>
      <c r="S161" s="298"/>
    </row>
    <row r="162" spans="14:19" hidden="1" x14ac:dyDescent="0.25">
      <c r="N162" s="17">
        <v>215.79999999999899</v>
      </c>
      <c r="O162" s="16" t="s">
        <v>4396</v>
      </c>
      <c r="R162" s="6"/>
      <c r="S162" s="298"/>
    </row>
    <row r="163" spans="14:19" hidden="1" x14ac:dyDescent="0.25">
      <c r="N163" s="17">
        <v>215.89999999999901</v>
      </c>
      <c r="O163" s="16" t="s">
        <v>4397</v>
      </c>
      <c r="R163" s="6"/>
      <c r="S163" s="298"/>
    </row>
    <row r="164" spans="14:19" hidden="1" x14ac:dyDescent="0.25">
      <c r="N164" s="17">
        <v>215.99999999999901</v>
      </c>
      <c r="O164" s="16" t="s">
        <v>4398</v>
      </c>
      <c r="R164" s="6"/>
      <c r="S164" s="298"/>
    </row>
    <row r="165" spans="14:19" hidden="1" x14ac:dyDescent="0.25">
      <c r="N165" s="17">
        <v>216.099999999999</v>
      </c>
      <c r="O165" s="16" t="s">
        <v>4399</v>
      </c>
      <c r="R165" s="6"/>
      <c r="S165" s="298"/>
    </row>
    <row r="166" spans="14:19" hidden="1" x14ac:dyDescent="0.25">
      <c r="N166" s="17">
        <v>216.19999999999899</v>
      </c>
      <c r="O166" s="16" t="s">
        <v>4400</v>
      </c>
      <c r="R166" s="6"/>
      <c r="S166" s="298"/>
    </row>
    <row r="167" spans="14:19" hidden="1" x14ac:dyDescent="0.25">
      <c r="N167" s="17">
        <v>216.29999999999899</v>
      </c>
      <c r="O167" s="16" t="s">
        <v>4401</v>
      </c>
      <c r="R167" s="6"/>
      <c r="S167" s="298"/>
    </row>
    <row r="168" spans="14:19" hidden="1" x14ac:dyDescent="0.25">
      <c r="N168" s="17">
        <v>216.39999999999901</v>
      </c>
      <c r="O168" s="16" t="s">
        <v>4402</v>
      </c>
      <c r="R168" s="6"/>
      <c r="S168" s="298"/>
    </row>
    <row r="169" spans="14:19" hidden="1" x14ac:dyDescent="0.25">
      <c r="N169" s="17">
        <v>216.49999999999901</v>
      </c>
      <c r="O169" s="16" t="s">
        <v>4403</v>
      </c>
      <c r="R169" s="6"/>
      <c r="S169" s="298"/>
    </row>
    <row r="170" spans="14:19" hidden="1" x14ac:dyDescent="0.25">
      <c r="N170" s="17">
        <v>216.599999999999</v>
      </c>
      <c r="O170" s="16" t="s">
        <v>4404</v>
      </c>
      <c r="R170" s="6"/>
      <c r="S170" s="298"/>
    </row>
    <row r="171" spans="14:19" hidden="1" x14ac:dyDescent="0.25">
      <c r="N171" s="17">
        <v>216.69999999999899</v>
      </c>
      <c r="O171" s="16" t="s">
        <v>2245</v>
      </c>
      <c r="R171" s="6"/>
      <c r="S171" s="298"/>
    </row>
    <row r="172" spans="14:19" hidden="1" x14ac:dyDescent="0.25">
      <c r="N172" s="17">
        <v>216.79999999999899</v>
      </c>
      <c r="O172" s="16" t="s">
        <v>2246</v>
      </c>
      <c r="R172" s="6"/>
      <c r="S172" s="298"/>
    </row>
    <row r="173" spans="14:19" hidden="1" x14ac:dyDescent="0.25">
      <c r="N173" s="17">
        <v>216.89999999999901</v>
      </c>
      <c r="O173" s="16" t="s">
        <v>2247</v>
      </c>
      <c r="R173" s="6"/>
      <c r="S173" s="298"/>
    </row>
    <row r="174" spans="14:19" hidden="1" x14ac:dyDescent="0.25">
      <c r="N174" s="17">
        <v>216.99999999999901</v>
      </c>
      <c r="O174" s="16" t="s">
        <v>2248</v>
      </c>
      <c r="R174" s="6"/>
      <c r="S174" s="298"/>
    </row>
    <row r="175" spans="14:19" hidden="1" x14ac:dyDescent="0.25">
      <c r="N175" s="17">
        <v>217.099999999999</v>
      </c>
      <c r="O175" s="16" t="s">
        <v>2249</v>
      </c>
      <c r="R175" s="6"/>
      <c r="S175" s="298"/>
    </row>
    <row r="176" spans="14:19" hidden="1" x14ac:dyDescent="0.25">
      <c r="N176" s="17">
        <v>217.19999999999899</v>
      </c>
      <c r="O176" s="16" t="s">
        <v>2250</v>
      </c>
      <c r="R176" s="6"/>
      <c r="S176" s="298"/>
    </row>
    <row r="177" spans="14:19" hidden="1" x14ac:dyDescent="0.25">
      <c r="N177" s="17">
        <v>217.29999999999899</v>
      </c>
      <c r="O177" s="16" t="s">
        <v>2251</v>
      </c>
      <c r="R177" s="6"/>
      <c r="S177" s="298"/>
    </row>
    <row r="178" spans="14:19" hidden="1" x14ac:dyDescent="0.25">
      <c r="N178" s="17">
        <v>217.39999999999901</v>
      </c>
      <c r="O178" s="16" t="s">
        <v>2252</v>
      </c>
      <c r="R178" s="6"/>
      <c r="S178" s="298"/>
    </row>
    <row r="179" spans="14:19" hidden="1" x14ac:dyDescent="0.25">
      <c r="N179" s="17">
        <v>217.49999999999901</v>
      </c>
      <c r="O179" s="16" t="s">
        <v>2253</v>
      </c>
      <c r="R179" s="6"/>
      <c r="S179" s="298"/>
    </row>
    <row r="180" spans="14:19" hidden="1" x14ac:dyDescent="0.25">
      <c r="N180" s="17">
        <v>217.599999999999</v>
      </c>
      <c r="O180" s="16" t="s">
        <v>2254</v>
      </c>
      <c r="R180" s="6"/>
      <c r="S180" s="298"/>
    </row>
    <row r="181" spans="14:19" hidden="1" x14ac:dyDescent="0.25">
      <c r="N181" s="17">
        <v>217.69999999999899</v>
      </c>
      <c r="O181" s="16" t="s">
        <v>2255</v>
      </c>
      <c r="R181" s="6"/>
      <c r="S181" s="298"/>
    </row>
    <row r="182" spans="14:19" hidden="1" x14ac:dyDescent="0.25">
      <c r="N182" s="17">
        <v>217.79999999999899</v>
      </c>
      <c r="O182" s="16" t="s">
        <v>1008</v>
      </c>
      <c r="R182" s="6"/>
      <c r="S182" s="298"/>
    </row>
    <row r="183" spans="14:19" hidden="1" x14ac:dyDescent="0.25">
      <c r="N183" s="17">
        <v>217.89999999999901</v>
      </c>
      <c r="O183" s="16" t="s">
        <v>1009</v>
      </c>
      <c r="R183" s="6"/>
      <c r="S183" s="298"/>
    </row>
    <row r="184" spans="14:19" hidden="1" x14ac:dyDescent="0.25">
      <c r="N184" s="17">
        <v>217.99999999999901</v>
      </c>
      <c r="O184" s="16" t="s">
        <v>1010</v>
      </c>
      <c r="R184" s="6"/>
      <c r="S184" s="298"/>
    </row>
    <row r="185" spans="14:19" hidden="1" x14ac:dyDescent="0.25">
      <c r="N185" s="17">
        <v>218.099999999999</v>
      </c>
      <c r="O185" s="16" t="s">
        <v>1011</v>
      </c>
      <c r="R185" s="6"/>
      <c r="S185" s="298"/>
    </row>
    <row r="186" spans="14:19" hidden="1" x14ac:dyDescent="0.25">
      <c r="N186" s="17">
        <v>218.19999999999899</v>
      </c>
      <c r="O186" s="16" t="s">
        <v>1012</v>
      </c>
      <c r="R186" s="6"/>
      <c r="S186" s="298"/>
    </row>
    <row r="187" spans="14:19" hidden="1" x14ac:dyDescent="0.25">
      <c r="N187" s="17">
        <v>218.29999999999899</v>
      </c>
      <c r="O187" s="16" t="s">
        <v>1013</v>
      </c>
      <c r="R187" s="6"/>
      <c r="S187" s="298"/>
    </row>
    <row r="188" spans="14:19" hidden="1" x14ac:dyDescent="0.25">
      <c r="N188" s="17">
        <v>218.39999999999901</v>
      </c>
      <c r="O188" s="16" t="s">
        <v>1014</v>
      </c>
      <c r="R188" s="6"/>
      <c r="S188" s="298"/>
    </row>
    <row r="189" spans="14:19" hidden="1" x14ac:dyDescent="0.25">
      <c r="N189" s="17">
        <v>218.49999999999901</v>
      </c>
      <c r="O189" s="16" t="s">
        <v>1015</v>
      </c>
      <c r="R189" s="6"/>
      <c r="S189" s="298"/>
    </row>
    <row r="190" spans="14:19" hidden="1" x14ac:dyDescent="0.25">
      <c r="N190" s="17">
        <v>218.599999999999</v>
      </c>
      <c r="O190" s="16" t="s">
        <v>1016</v>
      </c>
      <c r="R190" s="6"/>
      <c r="S190" s="298"/>
    </row>
    <row r="191" spans="14:19" hidden="1" x14ac:dyDescent="0.25">
      <c r="N191" s="17">
        <v>218.69999999999899</v>
      </c>
      <c r="O191" s="16" t="s">
        <v>1017</v>
      </c>
      <c r="R191" s="6"/>
      <c r="S191" s="298"/>
    </row>
    <row r="192" spans="14:19" hidden="1" x14ac:dyDescent="0.25">
      <c r="N192" s="17">
        <v>218.79999999999899</v>
      </c>
      <c r="O192" s="16" t="s">
        <v>1018</v>
      </c>
      <c r="R192" s="6"/>
      <c r="S192" s="298"/>
    </row>
    <row r="193" spans="14:19" hidden="1" x14ac:dyDescent="0.25">
      <c r="N193" s="17">
        <v>218.89999999999901</v>
      </c>
      <c r="O193" s="16" t="s">
        <v>1019</v>
      </c>
      <c r="R193" s="6"/>
      <c r="S193" s="298"/>
    </row>
    <row r="194" spans="14:19" hidden="1" x14ac:dyDescent="0.25">
      <c r="N194" s="17">
        <v>218.99999999999901</v>
      </c>
      <c r="O194" s="16" t="s">
        <v>1020</v>
      </c>
      <c r="R194" s="6"/>
      <c r="S194" s="298"/>
    </row>
    <row r="195" spans="14:19" hidden="1" x14ac:dyDescent="0.25">
      <c r="N195" s="17">
        <v>219.099999999999</v>
      </c>
      <c r="O195" s="16" t="s">
        <v>1021</v>
      </c>
      <c r="R195" s="6"/>
      <c r="S195" s="298"/>
    </row>
    <row r="196" spans="14:19" hidden="1" x14ac:dyDescent="0.25">
      <c r="N196" s="17">
        <v>219.19999999999899</v>
      </c>
      <c r="O196" s="16" t="s">
        <v>1022</v>
      </c>
      <c r="R196" s="6"/>
      <c r="S196" s="298"/>
    </row>
    <row r="197" spans="14:19" hidden="1" x14ac:dyDescent="0.25">
      <c r="N197" s="17">
        <v>219.29999999999899</v>
      </c>
      <c r="O197" s="16" t="s">
        <v>1023</v>
      </c>
      <c r="R197" s="6"/>
      <c r="S197" s="298"/>
    </row>
    <row r="198" spans="14:19" hidden="1" x14ac:dyDescent="0.25">
      <c r="N198" s="17">
        <v>219.39999999999901</v>
      </c>
      <c r="O198" s="16" t="s">
        <v>1024</v>
      </c>
      <c r="R198" s="6"/>
      <c r="S198" s="298"/>
    </row>
    <row r="199" spans="14:19" hidden="1" x14ac:dyDescent="0.25">
      <c r="N199" s="17">
        <v>219.49999999999901</v>
      </c>
      <c r="O199" s="16" t="s">
        <v>1025</v>
      </c>
      <c r="R199" s="6"/>
      <c r="S199" s="298"/>
    </row>
    <row r="200" spans="14:19" hidden="1" x14ac:dyDescent="0.25">
      <c r="N200" s="17">
        <v>219.599999999999</v>
      </c>
      <c r="O200" s="16" t="s">
        <v>1026</v>
      </c>
      <c r="R200" s="6"/>
      <c r="S200" s="298"/>
    </row>
    <row r="201" spans="14:19" hidden="1" x14ac:dyDescent="0.25">
      <c r="N201" s="17">
        <v>219.69999999999899</v>
      </c>
      <c r="O201" s="16" t="s">
        <v>1027</v>
      </c>
      <c r="R201" s="6"/>
      <c r="S201" s="298"/>
    </row>
    <row r="202" spans="14:19" hidden="1" x14ac:dyDescent="0.25">
      <c r="N202" s="17">
        <v>219.79999999999899</v>
      </c>
      <c r="O202" s="16" t="s">
        <v>1028</v>
      </c>
      <c r="R202" s="6"/>
      <c r="S202" s="298"/>
    </row>
    <row r="203" spans="14:19" hidden="1" x14ac:dyDescent="0.25">
      <c r="N203" s="17">
        <v>219.89999999999901</v>
      </c>
      <c r="O203" s="16" t="s">
        <v>1029</v>
      </c>
      <c r="R203" s="6"/>
      <c r="S203" s="298"/>
    </row>
    <row r="204" spans="14:19" hidden="1" x14ac:dyDescent="0.25">
      <c r="N204" s="17">
        <v>219.99999999999901</v>
      </c>
      <c r="O204" s="16" t="s">
        <v>1030</v>
      </c>
      <c r="R204" s="6"/>
      <c r="S204" s="298"/>
    </row>
    <row r="205" spans="14:19" hidden="1" x14ac:dyDescent="0.25">
      <c r="N205" s="17">
        <v>220.099999999999</v>
      </c>
      <c r="O205" s="16" t="s">
        <v>1031</v>
      </c>
      <c r="R205" s="6"/>
      <c r="S205" s="298"/>
    </row>
    <row r="206" spans="14:19" hidden="1" x14ac:dyDescent="0.25">
      <c r="N206" s="17">
        <v>220.19999999999899</v>
      </c>
      <c r="O206" s="16" t="s">
        <v>1032</v>
      </c>
      <c r="R206" s="6"/>
      <c r="S206" s="298"/>
    </row>
    <row r="207" spans="14:19" hidden="1" x14ac:dyDescent="0.25">
      <c r="N207" s="17">
        <v>220.29999999999899</v>
      </c>
      <c r="O207" s="16" t="s">
        <v>1033</v>
      </c>
      <c r="R207" s="6"/>
      <c r="S207" s="298"/>
    </row>
    <row r="208" spans="14:19" hidden="1" x14ac:dyDescent="0.25">
      <c r="N208" s="17">
        <v>220.39999999999901</v>
      </c>
      <c r="O208" s="16" t="s">
        <v>1034</v>
      </c>
      <c r="R208" s="6"/>
      <c r="S208" s="298"/>
    </row>
    <row r="209" spans="14:19" hidden="1" x14ac:dyDescent="0.25">
      <c r="N209" s="17">
        <v>220.49999999999901</v>
      </c>
      <c r="O209" s="16" t="s">
        <v>1035</v>
      </c>
      <c r="R209" s="6"/>
      <c r="S209" s="298"/>
    </row>
    <row r="210" spans="14:19" hidden="1" x14ac:dyDescent="0.25">
      <c r="N210" s="17">
        <v>220.599999999999</v>
      </c>
      <c r="O210" s="16" t="s">
        <v>1036</v>
      </c>
      <c r="R210" s="6"/>
      <c r="S210" s="298"/>
    </row>
    <row r="211" spans="14:19" hidden="1" x14ac:dyDescent="0.25">
      <c r="N211" s="17">
        <v>220.69999999999899</v>
      </c>
      <c r="O211" s="16" t="s">
        <v>2066</v>
      </c>
      <c r="R211" s="6"/>
      <c r="S211" s="298"/>
    </row>
    <row r="212" spans="14:19" hidden="1" x14ac:dyDescent="0.25">
      <c r="N212" s="17">
        <v>220.79999999999899</v>
      </c>
      <c r="O212" s="16" t="s">
        <v>2067</v>
      </c>
      <c r="R212" s="6"/>
      <c r="S212" s="298"/>
    </row>
    <row r="213" spans="14:19" hidden="1" x14ac:dyDescent="0.25">
      <c r="N213" s="17">
        <v>220.89999999999901</v>
      </c>
      <c r="O213" s="16" t="s">
        <v>2068</v>
      </c>
      <c r="R213" s="6"/>
      <c r="S213" s="298"/>
    </row>
    <row r="214" spans="14:19" hidden="1" x14ac:dyDescent="0.25">
      <c r="N214" s="17">
        <v>220.99999999999901</v>
      </c>
      <c r="O214" s="16" t="s">
        <v>1031</v>
      </c>
      <c r="R214" s="6"/>
      <c r="S214" s="298"/>
    </row>
    <row r="215" spans="14:19" hidden="1" x14ac:dyDescent="0.25">
      <c r="N215" s="17">
        <v>221.099999999999</v>
      </c>
      <c r="O215" s="16" t="s">
        <v>2069</v>
      </c>
      <c r="R215" s="6"/>
      <c r="S215" s="298"/>
    </row>
    <row r="216" spans="14:19" hidden="1" x14ac:dyDescent="0.25">
      <c r="N216" s="17">
        <v>221.19999999999899</v>
      </c>
      <c r="O216" s="16" t="s">
        <v>2070</v>
      </c>
      <c r="R216" s="6"/>
      <c r="S216" s="298"/>
    </row>
    <row r="217" spans="14:19" hidden="1" x14ac:dyDescent="0.25">
      <c r="N217" s="17">
        <v>221.29999999999899</v>
      </c>
      <c r="O217" s="16" t="s">
        <v>2071</v>
      </c>
      <c r="R217" s="6"/>
      <c r="S217" s="298"/>
    </row>
    <row r="218" spans="14:19" hidden="1" x14ac:dyDescent="0.25">
      <c r="N218" s="17">
        <v>221.39999999999901</v>
      </c>
      <c r="O218" s="16" t="s">
        <v>2072</v>
      </c>
      <c r="R218" s="6"/>
      <c r="S218" s="298"/>
    </row>
    <row r="219" spans="14:19" hidden="1" x14ac:dyDescent="0.25">
      <c r="N219" s="17">
        <v>221.49999999999901</v>
      </c>
      <c r="O219" s="16" t="s">
        <v>2073</v>
      </c>
      <c r="R219" s="6"/>
      <c r="S219" s="298"/>
    </row>
    <row r="220" spans="14:19" hidden="1" x14ac:dyDescent="0.25">
      <c r="N220" s="17">
        <v>221.599999999999</v>
      </c>
      <c r="O220" s="16" t="s">
        <v>2074</v>
      </c>
      <c r="R220" s="6"/>
      <c r="S220" s="298"/>
    </row>
    <row r="221" spans="14:19" hidden="1" x14ac:dyDescent="0.25">
      <c r="N221" s="17">
        <v>221.69999999999899</v>
      </c>
      <c r="O221" s="16" t="s">
        <v>2075</v>
      </c>
      <c r="R221" s="6"/>
      <c r="S221" s="298"/>
    </row>
    <row r="222" spans="14:19" hidden="1" x14ac:dyDescent="0.25">
      <c r="N222" s="17">
        <v>221.79999999999899</v>
      </c>
      <c r="O222" s="16" t="s">
        <v>2076</v>
      </c>
      <c r="R222" s="6"/>
      <c r="S222" s="298"/>
    </row>
    <row r="223" spans="14:19" hidden="1" x14ac:dyDescent="0.25">
      <c r="N223" s="17">
        <v>221.89999999999901</v>
      </c>
      <c r="O223" s="16" t="s">
        <v>2077</v>
      </c>
      <c r="R223" s="6"/>
      <c r="S223" s="298"/>
    </row>
    <row r="224" spans="14:19" hidden="1" x14ac:dyDescent="0.25">
      <c r="N224" s="17">
        <v>221.99999999999901</v>
      </c>
      <c r="O224" s="16" t="s">
        <v>2078</v>
      </c>
      <c r="R224" s="6"/>
      <c r="S224" s="298"/>
    </row>
    <row r="225" spans="14:19" hidden="1" x14ac:dyDescent="0.25">
      <c r="N225" s="17">
        <v>222.099999999999</v>
      </c>
      <c r="O225" s="16" t="s">
        <v>2079</v>
      </c>
      <c r="R225" s="6"/>
      <c r="S225" s="298"/>
    </row>
    <row r="226" spans="14:19" hidden="1" x14ac:dyDescent="0.25">
      <c r="N226" s="17">
        <v>222.19999999999899</v>
      </c>
      <c r="O226" s="16" t="s">
        <v>2080</v>
      </c>
      <c r="R226" s="6"/>
      <c r="S226" s="298"/>
    </row>
    <row r="227" spans="14:19" hidden="1" x14ac:dyDescent="0.25">
      <c r="N227" s="17">
        <v>222.29999999999899</v>
      </c>
      <c r="O227" s="16" t="s">
        <v>2081</v>
      </c>
      <c r="R227" s="6"/>
      <c r="S227" s="298"/>
    </row>
    <row r="228" spans="14:19" hidden="1" x14ac:dyDescent="0.25">
      <c r="N228" s="17">
        <v>222.39999999999901</v>
      </c>
      <c r="O228" s="16" t="s">
        <v>2082</v>
      </c>
      <c r="R228" s="6"/>
      <c r="S228" s="298"/>
    </row>
    <row r="229" spans="14:19" hidden="1" x14ac:dyDescent="0.25">
      <c r="N229" s="17">
        <v>222.49999999999901</v>
      </c>
      <c r="O229" s="16" t="s">
        <v>2083</v>
      </c>
      <c r="R229" s="6"/>
      <c r="S229" s="298"/>
    </row>
    <row r="230" spans="14:19" hidden="1" x14ac:dyDescent="0.25">
      <c r="N230" s="17">
        <v>222.599999999999</v>
      </c>
      <c r="O230" s="16" t="s">
        <v>2084</v>
      </c>
      <c r="R230" s="6"/>
      <c r="S230" s="298"/>
    </row>
    <row r="231" spans="14:19" hidden="1" x14ac:dyDescent="0.25">
      <c r="N231" s="17">
        <v>222.69999999999899</v>
      </c>
      <c r="O231" s="16" t="s">
        <v>2085</v>
      </c>
      <c r="R231" s="6"/>
      <c r="S231" s="298"/>
    </row>
    <row r="232" spans="14:19" hidden="1" x14ac:dyDescent="0.25">
      <c r="N232" s="17">
        <v>222.79999999999899</v>
      </c>
      <c r="O232" s="16" t="s">
        <v>2086</v>
      </c>
      <c r="R232" s="6"/>
      <c r="S232" s="298"/>
    </row>
    <row r="233" spans="14:19" hidden="1" x14ac:dyDescent="0.25">
      <c r="N233" s="17">
        <v>222.89999999999901</v>
      </c>
      <c r="O233" s="16" t="s">
        <v>2087</v>
      </c>
      <c r="R233" s="6"/>
      <c r="S233" s="298"/>
    </row>
    <row r="234" spans="14:19" hidden="1" x14ac:dyDescent="0.25">
      <c r="N234" s="17">
        <v>222.99999999999901</v>
      </c>
      <c r="O234" s="16" t="s">
        <v>2088</v>
      </c>
      <c r="R234" s="6"/>
      <c r="S234" s="298"/>
    </row>
    <row r="235" spans="14:19" hidden="1" x14ac:dyDescent="0.25">
      <c r="N235" s="17">
        <v>223.099999999999</v>
      </c>
      <c r="O235" s="16" t="s">
        <v>2089</v>
      </c>
      <c r="R235" s="6"/>
      <c r="S235" s="298"/>
    </row>
    <row r="236" spans="14:19" hidden="1" x14ac:dyDescent="0.25">
      <c r="N236" s="17">
        <v>223.19999999999899</v>
      </c>
      <c r="O236" s="16" t="s">
        <v>2090</v>
      </c>
      <c r="R236" s="6"/>
      <c r="S236" s="298"/>
    </row>
    <row r="237" spans="14:19" hidden="1" x14ac:dyDescent="0.25">
      <c r="N237" s="17">
        <v>223.29999999999899</v>
      </c>
      <c r="O237" s="16" t="s">
        <v>2091</v>
      </c>
      <c r="R237" s="6"/>
      <c r="S237" s="298"/>
    </row>
    <row r="238" spans="14:19" hidden="1" x14ac:dyDescent="0.25">
      <c r="N238" s="17">
        <v>223.39999999999901</v>
      </c>
      <c r="O238" s="16" t="s">
        <v>2092</v>
      </c>
      <c r="R238" s="6"/>
      <c r="S238" s="298"/>
    </row>
    <row r="239" spans="14:19" hidden="1" x14ac:dyDescent="0.25">
      <c r="N239" s="17">
        <v>223.49999999999901</v>
      </c>
      <c r="O239" s="16" t="s">
        <v>2093</v>
      </c>
      <c r="R239" s="6"/>
      <c r="S239" s="298"/>
    </row>
    <row r="240" spans="14:19" hidden="1" x14ac:dyDescent="0.25">
      <c r="N240" s="17">
        <v>223.599999999999</v>
      </c>
      <c r="O240" s="16" t="s">
        <v>2094</v>
      </c>
      <c r="R240" s="6"/>
      <c r="S240" s="298"/>
    </row>
    <row r="241" spans="14:19" hidden="1" x14ac:dyDescent="0.25">
      <c r="N241" s="17">
        <v>223.69999999999899</v>
      </c>
      <c r="O241" s="16" t="s">
        <v>2095</v>
      </c>
      <c r="R241" s="6"/>
      <c r="S241" s="298"/>
    </row>
    <row r="242" spans="14:19" hidden="1" x14ac:dyDescent="0.25">
      <c r="N242" s="17">
        <v>223.79999999999899</v>
      </c>
      <c r="O242" s="16" t="s">
        <v>2096</v>
      </c>
      <c r="R242" s="6"/>
      <c r="S242" s="298"/>
    </row>
    <row r="243" spans="14:19" hidden="1" x14ac:dyDescent="0.25">
      <c r="N243" s="17">
        <v>223.89999999999901</v>
      </c>
      <c r="O243" s="16" t="s">
        <v>2097</v>
      </c>
      <c r="R243" s="6"/>
      <c r="S243" s="298"/>
    </row>
    <row r="244" spans="14:19" hidden="1" x14ac:dyDescent="0.25">
      <c r="N244" s="17">
        <v>223.99999999999901</v>
      </c>
      <c r="O244" s="16" t="s">
        <v>2098</v>
      </c>
      <c r="R244" s="6"/>
      <c r="S244" s="298"/>
    </row>
    <row r="245" spans="14:19" hidden="1" x14ac:dyDescent="0.25">
      <c r="N245" s="17">
        <v>224.099999999999</v>
      </c>
      <c r="O245" s="16" t="s">
        <v>2099</v>
      </c>
      <c r="R245" s="6"/>
      <c r="S245" s="298"/>
    </row>
    <row r="246" spans="14:19" hidden="1" x14ac:dyDescent="0.25">
      <c r="N246" s="17">
        <v>224.19999999999899</v>
      </c>
      <c r="O246" s="16" t="s">
        <v>2100</v>
      </c>
      <c r="R246" s="6"/>
      <c r="S246" s="298"/>
    </row>
    <row r="247" spans="14:19" hidden="1" x14ac:dyDescent="0.25">
      <c r="N247" s="17">
        <v>224.29999999999899</v>
      </c>
      <c r="O247" s="16" t="s">
        <v>2101</v>
      </c>
      <c r="R247" s="6"/>
      <c r="S247" s="298"/>
    </row>
    <row r="248" spans="14:19" hidden="1" x14ac:dyDescent="0.25">
      <c r="N248" s="17">
        <v>224.39999999999901</v>
      </c>
      <c r="O248" s="16" t="s">
        <v>855</v>
      </c>
      <c r="R248" s="6"/>
      <c r="S248" s="298"/>
    </row>
    <row r="249" spans="14:19" hidden="1" x14ac:dyDescent="0.25">
      <c r="N249" s="17">
        <v>224.49999999999901</v>
      </c>
      <c r="O249" s="16" t="s">
        <v>856</v>
      </c>
      <c r="R249" s="6"/>
      <c r="S249" s="298"/>
    </row>
    <row r="250" spans="14:19" hidden="1" x14ac:dyDescent="0.25">
      <c r="N250" s="17">
        <v>224.599999999999</v>
      </c>
      <c r="O250" s="16" t="s">
        <v>857</v>
      </c>
      <c r="R250" s="6"/>
      <c r="S250" s="298"/>
    </row>
    <row r="251" spans="14:19" hidden="1" x14ac:dyDescent="0.25">
      <c r="N251" s="17">
        <v>224.69999999999899</v>
      </c>
      <c r="O251" s="16" t="s">
        <v>858</v>
      </c>
      <c r="R251" s="6"/>
      <c r="S251" s="298"/>
    </row>
    <row r="252" spans="14:19" hidden="1" x14ac:dyDescent="0.25">
      <c r="N252" s="17">
        <v>224.79999999999899</v>
      </c>
      <c r="O252" s="16" t="s">
        <v>859</v>
      </c>
      <c r="R252" s="6"/>
      <c r="S252" s="298"/>
    </row>
    <row r="253" spans="14:19" hidden="1" x14ac:dyDescent="0.25">
      <c r="N253" s="17">
        <v>224.89999999999901</v>
      </c>
      <c r="O253" s="16" t="s">
        <v>860</v>
      </c>
      <c r="R253" s="6"/>
      <c r="S253" s="298"/>
    </row>
    <row r="254" spans="14:19" hidden="1" x14ac:dyDescent="0.25">
      <c r="N254" s="17">
        <v>224.99999999999901</v>
      </c>
      <c r="O254" s="16" t="s">
        <v>861</v>
      </c>
      <c r="R254" s="6"/>
      <c r="S254" s="298"/>
    </row>
    <row r="255" spans="14:19" hidden="1" x14ac:dyDescent="0.25">
      <c r="N255" s="17">
        <v>225.099999999999</v>
      </c>
      <c r="O255" s="16" t="s">
        <v>862</v>
      </c>
      <c r="R255" s="6"/>
      <c r="S255" s="298"/>
    </row>
    <row r="256" spans="14:19" hidden="1" x14ac:dyDescent="0.25">
      <c r="N256" s="17">
        <v>225.19999999999899</v>
      </c>
      <c r="O256" s="16" t="s">
        <v>863</v>
      </c>
      <c r="R256" s="6"/>
      <c r="S256" s="298"/>
    </row>
    <row r="257" spans="14:19" hidden="1" x14ac:dyDescent="0.25">
      <c r="N257" s="17">
        <v>225.29999999999899</v>
      </c>
      <c r="O257" s="16" t="s">
        <v>864</v>
      </c>
      <c r="R257" s="6"/>
      <c r="S257" s="298"/>
    </row>
    <row r="258" spans="14:19" hidden="1" x14ac:dyDescent="0.25">
      <c r="N258" s="17">
        <v>225.39999999999901</v>
      </c>
      <c r="O258" s="16" t="s">
        <v>669</v>
      </c>
      <c r="R258" s="6"/>
      <c r="S258" s="298"/>
    </row>
    <row r="259" spans="14:19" hidden="1" x14ac:dyDescent="0.25">
      <c r="N259" s="17">
        <v>225.49999999999901</v>
      </c>
      <c r="O259" s="16" t="s">
        <v>670</v>
      </c>
      <c r="R259" s="6"/>
      <c r="S259" s="298"/>
    </row>
    <row r="260" spans="14:19" hidden="1" x14ac:dyDescent="0.25">
      <c r="N260" s="17">
        <v>225.599999999999</v>
      </c>
      <c r="O260" s="16" t="s">
        <v>671</v>
      </c>
      <c r="R260" s="6"/>
      <c r="S260" s="298"/>
    </row>
    <row r="261" spans="14:19" hidden="1" x14ac:dyDescent="0.25">
      <c r="N261" s="17">
        <v>225.699999999998</v>
      </c>
      <c r="O261" s="16" t="s">
        <v>672</v>
      </c>
      <c r="R261" s="6"/>
      <c r="S261" s="298"/>
    </row>
    <row r="262" spans="14:19" hidden="1" x14ac:dyDescent="0.25">
      <c r="N262" s="17">
        <v>225.79999999999899</v>
      </c>
      <c r="O262" s="16" t="s">
        <v>673</v>
      </c>
      <c r="R262" s="6"/>
      <c r="S262" s="298"/>
    </row>
    <row r="263" spans="14:19" hidden="1" x14ac:dyDescent="0.25">
      <c r="N263" s="17">
        <v>225.89999999999799</v>
      </c>
      <c r="O263" s="16" t="s">
        <v>674</v>
      </c>
      <c r="R263" s="6"/>
      <c r="S263" s="298"/>
    </row>
    <row r="264" spans="14:19" hidden="1" x14ac:dyDescent="0.25">
      <c r="N264" s="17">
        <v>225.99999999999801</v>
      </c>
      <c r="O264" s="16" t="s">
        <v>675</v>
      </c>
      <c r="R264" s="6"/>
      <c r="S264" s="298"/>
    </row>
    <row r="265" spans="14:19" hidden="1" x14ac:dyDescent="0.25">
      <c r="N265" s="17">
        <v>226.099999999998</v>
      </c>
      <c r="O265" s="16" t="s">
        <v>676</v>
      </c>
      <c r="R265" s="6"/>
      <c r="S265" s="298"/>
    </row>
    <row r="266" spans="14:19" hidden="1" x14ac:dyDescent="0.25">
      <c r="N266" s="17">
        <v>226.199999999998</v>
      </c>
      <c r="O266" s="16" t="s">
        <v>677</v>
      </c>
      <c r="R266" s="6"/>
      <c r="S266" s="298"/>
    </row>
    <row r="267" spans="14:19" hidden="1" x14ac:dyDescent="0.25">
      <c r="N267" s="17">
        <v>226.29999999999899</v>
      </c>
      <c r="O267" s="16" t="s">
        <v>678</v>
      </c>
      <c r="R267" s="6"/>
      <c r="S267" s="298"/>
    </row>
    <row r="268" spans="14:19" hidden="1" x14ac:dyDescent="0.25">
      <c r="N268" s="17">
        <v>226.39999999999799</v>
      </c>
      <c r="O268" s="16" t="s">
        <v>679</v>
      </c>
      <c r="R268" s="6"/>
      <c r="S268" s="298"/>
    </row>
    <row r="269" spans="14:19" hidden="1" x14ac:dyDescent="0.25">
      <c r="N269" s="17">
        <v>226.49999999999801</v>
      </c>
      <c r="O269" s="16" t="s">
        <v>680</v>
      </c>
      <c r="R269" s="6"/>
      <c r="S269" s="298"/>
    </row>
    <row r="270" spans="14:19" hidden="1" x14ac:dyDescent="0.25">
      <c r="N270" s="17">
        <v>226.599999999998</v>
      </c>
      <c r="O270" s="16" t="s">
        <v>681</v>
      </c>
      <c r="R270" s="6"/>
      <c r="S270" s="298"/>
    </row>
    <row r="271" spans="14:19" hidden="1" x14ac:dyDescent="0.25">
      <c r="N271" s="17">
        <v>226.699999999998</v>
      </c>
      <c r="O271" s="16" t="s">
        <v>2121</v>
      </c>
      <c r="R271" s="6"/>
      <c r="S271" s="298"/>
    </row>
    <row r="272" spans="14:19" hidden="1" x14ac:dyDescent="0.25">
      <c r="N272" s="17">
        <v>226.79999999999899</v>
      </c>
      <c r="O272" s="16" t="s">
        <v>2122</v>
      </c>
      <c r="R272" s="6"/>
      <c r="S272" s="298"/>
    </row>
    <row r="273" spans="14:19" hidden="1" x14ac:dyDescent="0.25">
      <c r="N273" s="17">
        <v>226.89999999999799</v>
      </c>
      <c r="O273" s="16" t="s">
        <v>2123</v>
      </c>
      <c r="R273" s="6"/>
      <c r="S273" s="298"/>
    </row>
    <row r="274" spans="14:19" hidden="1" x14ac:dyDescent="0.25">
      <c r="N274" s="17">
        <v>226.99999999999801</v>
      </c>
      <c r="O274" s="16" t="s">
        <v>2124</v>
      </c>
      <c r="R274" s="6"/>
      <c r="S274" s="298"/>
    </row>
    <row r="275" spans="14:19" hidden="1" x14ac:dyDescent="0.25">
      <c r="N275" s="17">
        <v>227.099999999998</v>
      </c>
      <c r="O275" s="16" t="s">
        <v>2125</v>
      </c>
      <c r="R275" s="6"/>
      <c r="S275" s="298"/>
    </row>
    <row r="276" spans="14:19" hidden="1" x14ac:dyDescent="0.25">
      <c r="N276" s="17">
        <v>227.199999999998</v>
      </c>
      <c r="O276" s="16" t="s">
        <v>2126</v>
      </c>
      <c r="R276" s="6"/>
      <c r="S276" s="298"/>
    </row>
    <row r="277" spans="14:19" hidden="1" x14ac:dyDescent="0.25">
      <c r="N277" s="17">
        <v>227.29999999999899</v>
      </c>
      <c r="O277" s="16" t="s">
        <v>2127</v>
      </c>
      <c r="R277" s="6"/>
      <c r="S277" s="298"/>
    </row>
    <row r="278" spans="14:19" hidden="1" x14ac:dyDescent="0.25">
      <c r="N278" s="17">
        <v>227.39999999999799</v>
      </c>
      <c r="O278" s="16" t="s">
        <v>2128</v>
      </c>
      <c r="R278" s="6"/>
      <c r="S278" s="298"/>
    </row>
    <row r="279" spans="14:19" hidden="1" x14ac:dyDescent="0.25">
      <c r="N279" s="17">
        <v>227.49999999999801</v>
      </c>
      <c r="O279" s="16" t="s">
        <v>3355</v>
      </c>
      <c r="R279" s="6"/>
      <c r="S279" s="298"/>
    </row>
    <row r="280" spans="14:19" hidden="1" x14ac:dyDescent="0.25">
      <c r="N280" s="17">
        <v>227.599999999998</v>
      </c>
      <c r="O280" s="16" t="s">
        <v>3356</v>
      </c>
      <c r="R280" s="6"/>
      <c r="S280" s="298"/>
    </row>
    <row r="281" spans="14:19" hidden="1" x14ac:dyDescent="0.25">
      <c r="N281" s="17">
        <v>227.699999999998</v>
      </c>
      <c r="O281" s="16" t="s">
        <v>3357</v>
      </c>
      <c r="R281" s="6"/>
      <c r="S281" s="298"/>
    </row>
    <row r="282" spans="14:19" hidden="1" x14ac:dyDescent="0.25">
      <c r="N282" s="17">
        <v>227.79999999999799</v>
      </c>
      <c r="O282" s="16" t="s">
        <v>3358</v>
      </c>
      <c r="R282" s="6"/>
      <c r="S282" s="298"/>
    </row>
    <row r="283" spans="14:19" hidden="1" x14ac:dyDescent="0.25">
      <c r="N283" s="17">
        <v>227.89999999999799</v>
      </c>
      <c r="O283" s="16" t="s">
        <v>3359</v>
      </c>
      <c r="R283" s="6"/>
      <c r="S283" s="298"/>
    </row>
    <row r="284" spans="14:19" hidden="1" x14ac:dyDescent="0.25">
      <c r="N284" s="17">
        <v>227.99999999999801</v>
      </c>
      <c r="O284" s="16" t="s">
        <v>894</v>
      </c>
      <c r="R284" s="6"/>
      <c r="S284" s="298"/>
    </row>
    <row r="285" spans="14:19" hidden="1" x14ac:dyDescent="0.25">
      <c r="N285" s="17">
        <v>228.099999999998</v>
      </c>
      <c r="O285" s="16" t="s">
        <v>895</v>
      </c>
      <c r="R285" s="6"/>
      <c r="S285" s="298"/>
    </row>
    <row r="286" spans="14:19" hidden="1" x14ac:dyDescent="0.25">
      <c r="N286" s="17">
        <v>228.199999999998</v>
      </c>
      <c r="O286" s="16" t="s">
        <v>896</v>
      </c>
      <c r="R286" s="6"/>
      <c r="S286" s="298"/>
    </row>
    <row r="287" spans="14:19" hidden="1" x14ac:dyDescent="0.25">
      <c r="N287" s="17">
        <v>228.29999999999799</v>
      </c>
      <c r="O287" s="16" t="s">
        <v>897</v>
      </c>
      <c r="R287" s="6"/>
      <c r="S287" s="298"/>
    </row>
    <row r="288" spans="14:19" hidden="1" x14ac:dyDescent="0.25">
      <c r="N288" s="17">
        <v>228.39999999999799</v>
      </c>
      <c r="O288" s="16" t="s">
        <v>898</v>
      </c>
      <c r="R288" s="6"/>
      <c r="S288" s="298"/>
    </row>
    <row r="289" spans="14:19" hidden="1" x14ac:dyDescent="0.25">
      <c r="N289" s="17">
        <v>228.49999999999801</v>
      </c>
      <c r="O289" s="16" t="s">
        <v>2131</v>
      </c>
      <c r="R289" s="6"/>
      <c r="S289" s="298"/>
    </row>
    <row r="290" spans="14:19" hidden="1" x14ac:dyDescent="0.25">
      <c r="N290" s="17">
        <v>228.599999999998</v>
      </c>
      <c r="O290" s="16" t="s">
        <v>2132</v>
      </c>
      <c r="R290" s="6"/>
      <c r="S290" s="298"/>
    </row>
    <row r="291" spans="14:19" hidden="1" x14ac:dyDescent="0.25">
      <c r="N291" s="17">
        <v>228.699999999998</v>
      </c>
      <c r="O291" s="16" t="s">
        <v>2133</v>
      </c>
      <c r="R291" s="6"/>
      <c r="S291" s="298"/>
    </row>
    <row r="292" spans="14:19" hidden="1" x14ac:dyDescent="0.25">
      <c r="N292" s="17">
        <v>228.79999999999799</v>
      </c>
      <c r="O292" s="16" t="s">
        <v>2134</v>
      </c>
      <c r="R292" s="6"/>
      <c r="S292" s="298"/>
    </row>
    <row r="293" spans="14:19" hidden="1" x14ac:dyDescent="0.25">
      <c r="N293" s="17">
        <v>228.89999999999799</v>
      </c>
      <c r="O293" s="16" t="s">
        <v>2135</v>
      </c>
      <c r="R293" s="6"/>
      <c r="S293" s="298"/>
    </row>
    <row r="294" spans="14:19" hidden="1" x14ac:dyDescent="0.25">
      <c r="N294" s="17">
        <v>228.99999999999801</v>
      </c>
      <c r="O294" s="16" t="s">
        <v>2136</v>
      </c>
      <c r="R294" s="6"/>
      <c r="S294" s="298"/>
    </row>
    <row r="295" spans="14:19" hidden="1" x14ac:dyDescent="0.25">
      <c r="N295" s="17">
        <v>229.099999999998</v>
      </c>
      <c r="O295" s="16" t="s">
        <v>2137</v>
      </c>
      <c r="R295" s="6"/>
      <c r="S295" s="298"/>
    </row>
    <row r="296" spans="14:19" hidden="1" x14ac:dyDescent="0.25">
      <c r="N296" s="17">
        <v>229.199999999998</v>
      </c>
      <c r="O296" s="16" t="s">
        <v>2138</v>
      </c>
      <c r="R296" s="6"/>
      <c r="S296" s="298"/>
    </row>
    <row r="297" spans="14:19" hidden="1" x14ac:dyDescent="0.25">
      <c r="N297" s="17">
        <v>229.29999999999799</v>
      </c>
      <c r="O297" s="16" t="s">
        <v>2139</v>
      </c>
      <c r="R297" s="6"/>
      <c r="S297" s="298"/>
    </row>
    <row r="298" spans="14:19" hidden="1" x14ac:dyDescent="0.25">
      <c r="N298" s="17">
        <v>229.39999999999799</v>
      </c>
      <c r="O298" s="16" t="s">
        <v>2140</v>
      </c>
      <c r="R298" s="6"/>
      <c r="S298" s="298"/>
    </row>
    <row r="299" spans="14:19" hidden="1" x14ac:dyDescent="0.25">
      <c r="N299" s="17">
        <v>229.49999999999801</v>
      </c>
      <c r="O299" s="16" t="s">
        <v>2141</v>
      </c>
      <c r="R299" s="6"/>
      <c r="S299" s="298"/>
    </row>
    <row r="300" spans="14:19" hidden="1" x14ac:dyDescent="0.25">
      <c r="N300" s="17">
        <v>229.599999999998</v>
      </c>
      <c r="O300" s="16" t="s">
        <v>2142</v>
      </c>
      <c r="R300" s="6"/>
      <c r="S300" s="298"/>
    </row>
    <row r="301" spans="14:19" hidden="1" x14ac:dyDescent="0.25">
      <c r="N301" s="17">
        <v>229.699999999998</v>
      </c>
      <c r="O301" s="16" t="s">
        <v>2143</v>
      </c>
      <c r="R301" s="6"/>
      <c r="S301" s="298"/>
    </row>
    <row r="302" spans="14:19" hidden="1" x14ac:dyDescent="0.25">
      <c r="N302" s="17">
        <v>229.79999999999799</v>
      </c>
      <c r="O302" s="16" t="s">
        <v>2144</v>
      </c>
      <c r="R302" s="6"/>
      <c r="S302" s="298"/>
    </row>
    <row r="303" spans="14:19" hidden="1" x14ac:dyDescent="0.25">
      <c r="N303" s="17">
        <v>229.89999999999799</v>
      </c>
      <c r="O303" s="16" t="s">
        <v>2145</v>
      </c>
      <c r="R303" s="6"/>
      <c r="S303" s="298"/>
    </row>
    <row r="304" spans="14:19" hidden="1" x14ac:dyDescent="0.25">
      <c r="N304" s="17">
        <v>229.99999999999801</v>
      </c>
      <c r="O304" s="16" t="s">
        <v>2146</v>
      </c>
      <c r="R304" s="6"/>
      <c r="S304" s="298"/>
    </row>
    <row r="305" spans="14:19" hidden="1" x14ac:dyDescent="0.25">
      <c r="N305" s="17">
        <v>230.099999999998</v>
      </c>
      <c r="O305" s="16" t="s">
        <v>2147</v>
      </c>
      <c r="R305" s="6"/>
      <c r="S305" s="298"/>
    </row>
    <row r="306" spans="14:19" hidden="1" x14ac:dyDescent="0.25">
      <c r="N306" s="17">
        <v>230.199999999998</v>
      </c>
      <c r="O306" s="16" t="s">
        <v>2148</v>
      </c>
      <c r="R306" s="6"/>
      <c r="S306" s="298"/>
    </row>
    <row r="307" spans="14:19" hidden="1" x14ac:dyDescent="0.25">
      <c r="N307" s="17">
        <v>230.29999999999799</v>
      </c>
      <c r="O307" s="16" t="s">
        <v>2149</v>
      </c>
      <c r="R307" s="6"/>
      <c r="S307" s="298"/>
    </row>
    <row r="308" spans="14:19" hidden="1" x14ac:dyDescent="0.25">
      <c r="N308" s="17">
        <v>230.39999999999799</v>
      </c>
      <c r="O308" s="16" t="s">
        <v>2150</v>
      </c>
      <c r="R308" s="6"/>
      <c r="S308" s="298"/>
    </row>
    <row r="309" spans="14:19" hidden="1" x14ac:dyDescent="0.25">
      <c r="N309" s="17">
        <v>230.49999999999801</v>
      </c>
      <c r="O309" s="16" t="s">
        <v>2151</v>
      </c>
      <c r="R309" s="6"/>
      <c r="S309" s="298"/>
    </row>
    <row r="310" spans="14:19" hidden="1" x14ac:dyDescent="0.25">
      <c r="N310" s="17">
        <v>230.599999999998</v>
      </c>
      <c r="O310" s="16" t="s">
        <v>2152</v>
      </c>
      <c r="R310" s="6"/>
      <c r="S310" s="298"/>
    </row>
    <row r="311" spans="14:19" hidden="1" x14ac:dyDescent="0.25">
      <c r="N311" s="17">
        <v>230.699999999998</v>
      </c>
      <c r="O311" s="16" t="s">
        <v>2153</v>
      </c>
      <c r="R311" s="6"/>
      <c r="S311" s="298"/>
    </row>
    <row r="312" spans="14:19" hidden="1" x14ac:dyDescent="0.25">
      <c r="N312" s="17">
        <v>230.79999999999799</v>
      </c>
      <c r="O312" s="16" t="s">
        <v>2154</v>
      </c>
      <c r="R312" s="6"/>
      <c r="S312" s="298"/>
    </row>
    <row r="313" spans="14:19" hidden="1" x14ac:dyDescent="0.25">
      <c r="N313" s="17">
        <v>230.89999999999799</v>
      </c>
      <c r="O313" s="16" t="s">
        <v>2155</v>
      </c>
      <c r="R313" s="6"/>
      <c r="S313" s="298"/>
    </row>
    <row r="314" spans="14:19" hidden="1" x14ac:dyDescent="0.25">
      <c r="N314" s="17">
        <v>230.99999999999801</v>
      </c>
      <c r="O314" s="16" t="s">
        <v>2156</v>
      </c>
      <c r="R314" s="6"/>
      <c r="S314" s="298"/>
    </row>
    <row r="315" spans="14:19" hidden="1" x14ac:dyDescent="0.25">
      <c r="N315" s="17">
        <v>231.099999999998</v>
      </c>
      <c r="O315" s="16" t="s">
        <v>2157</v>
      </c>
      <c r="R315" s="6"/>
      <c r="S315" s="298"/>
    </row>
    <row r="316" spans="14:19" hidden="1" x14ac:dyDescent="0.25">
      <c r="N316" s="17">
        <v>231.199999999998</v>
      </c>
      <c r="O316" s="16" t="s">
        <v>2158</v>
      </c>
      <c r="R316" s="6"/>
      <c r="S316" s="298"/>
    </row>
    <row r="317" spans="14:19" hidden="1" x14ac:dyDescent="0.25">
      <c r="N317" s="17">
        <v>231.29999999999799</v>
      </c>
      <c r="O317" s="16" t="s">
        <v>2159</v>
      </c>
      <c r="R317" s="6"/>
      <c r="S317" s="298"/>
    </row>
    <row r="318" spans="14:19" hidden="1" x14ac:dyDescent="0.25">
      <c r="N318" s="17">
        <v>231.39999999999799</v>
      </c>
      <c r="O318" s="16" t="s">
        <v>2160</v>
      </c>
      <c r="R318" s="6"/>
      <c r="S318" s="298"/>
    </row>
    <row r="319" spans="14:19" hidden="1" x14ac:dyDescent="0.25">
      <c r="N319" s="17">
        <v>231.49999999999801</v>
      </c>
      <c r="O319" s="16" t="s">
        <v>2161</v>
      </c>
      <c r="R319" s="6"/>
      <c r="S319" s="298"/>
    </row>
    <row r="320" spans="14:19" hidden="1" x14ac:dyDescent="0.25">
      <c r="N320" s="17">
        <v>231.599999999998</v>
      </c>
      <c r="O320" s="16" t="s">
        <v>2162</v>
      </c>
      <c r="R320" s="6"/>
      <c r="S320" s="298"/>
    </row>
    <row r="321" spans="14:19" hidden="1" x14ac:dyDescent="0.25">
      <c r="N321" s="17">
        <v>231.699999999998</v>
      </c>
      <c r="O321" s="16" t="s">
        <v>2163</v>
      </c>
      <c r="R321" s="6"/>
      <c r="S321" s="298"/>
    </row>
    <row r="322" spans="14:19" hidden="1" x14ac:dyDescent="0.25">
      <c r="N322" s="17">
        <v>231.79999999999799</v>
      </c>
      <c r="O322" s="16" t="s">
        <v>2164</v>
      </c>
      <c r="R322" s="6"/>
      <c r="S322" s="298"/>
    </row>
    <row r="323" spans="14:19" hidden="1" x14ac:dyDescent="0.25">
      <c r="N323" s="17">
        <v>231.89999999999799</v>
      </c>
      <c r="O323" s="16" t="s">
        <v>2165</v>
      </c>
      <c r="R323" s="6"/>
      <c r="S323" s="298"/>
    </row>
    <row r="324" spans="14:19" hidden="1" x14ac:dyDescent="0.25">
      <c r="N324" s="17">
        <v>231.99999999999801</v>
      </c>
      <c r="O324" s="16" t="s">
        <v>2166</v>
      </c>
      <c r="R324" s="6"/>
      <c r="S324" s="298"/>
    </row>
    <row r="325" spans="14:19" hidden="1" x14ac:dyDescent="0.25">
      <c r="N325" s="17">
        <v>232.099999999998</v>
      </c>
      <c r="O325" s="16" t="s">
        <v>2167</v>
      </c>
      <c r="R325" s="6"/>
      <c r="S325" s="298"/>
    </row>
    <row r="326" spans="14:19" hidden="1" x14ac:dyDescent="0.25">
      <c r="N326" s="17">
        <v>232.199999999998</v>
      </c>
      <c r="O326" s="16" t="s">
        <v>2168</v>
      </c>
      <c r="R326" s="6"/>
      <c r="S326" s="298"/>
    </row>
    <row r="327" spans="14:19" hidden="1" x14ac:dyDescent="0.25">
      <c r="N327" s="17">
        <v>232.29999999999799</v>
      </c>
      <c r="O327" s="16" t="s">
        <v>2169</v>
      </c>
      <c r="R327" s="6"/>
      <c r="S327" s="298"/>
    </row>
    <row r="328" spans="14:19" hidden="1" x14ac:dyDescent="0.25">
      <c r="N328" s="17">
        <v>232.39999999999799</v>
      </c>
      <c r="O328" s="16" t="s">
        <v>2170</v>
      </c>
      <c r="R328" s="6"/>
      <c r="S328" s="298"/>
    </row>
    <row r="329" spans="14:19" hidden="1" x14ac:dyDescent="0.25">
      <c r="N329" s="17">
        <v>232.49999999999801</v>
      </c>
      <c r="O329" s="16" t="s">
        <v>2171</v>
      </c>
      <c r="R329" s="6"/>
      <c r="S329" s="298"/>
    </row>
    <row r="330" spans="14:19" hidden="1" x14ac:dyDescent="0.25">
      <c r="N330" s="17">
        <v>232.599999999998</v>
      </c>
      <c r="O330" s="16" t="s">
        <v>2172</v>
      </c>
      <c r="R330" s="6"/>
      <c r="S330" s="298"/>
    </row>
    <row r="331" spans="14:19" hidden="1" x14ac:dyDescent="0.25">
      <c r="N331" s="17">
        <v>232.699999999998</v>
      </c>
      <c r="O331" s="16" t="s">
        <v>2173</v>
      </c>
      <c r="R331" s="6"/>
      <c r="S331" s="298"/>
    </row>
    <row r="332" spans="14:19" hidden="1" x14ac:dyDescent="0.25">
      <c r="N332" s="17">
        <v>232.79999999999799</v>
      </c>
      <c r="O332" s="16" t="s">
        <v>2174</v>
      </c>
      <c r="R332" s="6"/>
      <c r="S332" s="298"/>
    </row>
    <row r="333" spans="14:19" hidden="1" x14ac:dyDescent="0.25">
      <c r="N333" s="17">
        <v>232.89999999999799</v>
      </c>
      <c r="O333" s="16" t="s">
        <v>2175</v>
      </c>
      <c r="R333" s="6"/>
      <c r="S333" s="298"/>
    </row>
    <row r="334" spans="14:19" hidden="1" x14ac:dyDescent="0.25">
      <c r="N334" s="17">
        <v>232.99999999999801</v>
      </c>
      <c r="O334" s="16" t="s">
        <v>2176</v>
      </c>
      <c r="R334" s="6"/>
      <c r="S334" s="298"/>
    </row>
    <row r="335" spans="14:19" hidden="1" x14ac:dyDescent="0.25">
      <c r="N335" s="17">
        <v>233.099999999998</v>
      </c>
      <c r="O335" s="16" t="s">
        <v>2167</v>
      </c>
      <c r="R335" s="6"/>
      <c r="S335" s="298"/>
    </row>
    <row r="336" spans="14:19" hidden="1" x14ac:dyDescent="0.25">
      <c r="N336" s="17">
        <v>233.199999999998</v>
      </c>
      <c r="O336" s="16" t="s">
        <v>2168</v>
      </c>
      <c r="R336" s="6"/>
      <c r="S336" s="298"/>
    </row>
    <row r="337" spans="14:19" hidden="1" x14ac:dyDescent="0.25">
      <c r="N337" s="17">
        <v>233.29999999999799</v>
      </c>
      <c r="O337" s="16" t="s">
        <v>2169</v>
      </c>
      <c r="R337" s="6"/>
      <c r="S337" s="298"/>
    </row>
    <row r="338" spans="14:19" hidden="1" x14ac:dyDescent="0.25">
      <c r="N338" s="17">
        <v>233.39999999999799</v>
      </c>
      <c r="O338" s="16" t="s">
        <v>2170</v>
      </c>
      <c r="R338" s="6"/>
      <c r="S338" s="298"/>
    </row>
    <row r="339" spans="14:19" hidden="1" x14ac:dyDescent="0.25">
      <c r="N339" s="17">
        <v>233.49999999999801</v>
      </c>
      <c r="O339" s="16" t="s">
        <v>2171</v>
      </c>
      <c r="R339" s="6"/>
      <c r="S339" s="298"/>
    </row>
    <row r="340" spans="14:19" hidden="1" x14ac:dyDescent="0.25">
      <c r="N340" s="17">
        <v>233.599999999998</v>
      </c>
      <c r="O340" s="16" t="s">
        <v>2172</v>
      </c>
      <c r="R340" s="6"/>
      <c r="S340" s="298"/>
    </row>
    <row r="341" spans="14:19" hidden="1" x14ac:dyDescent="0.25">
      <c r="N341" s="17">
        <v>233.699999999998</v>
      </c>
      <c r="O341" s="16" t="s">
        <v>2173</v>
      </c>
      <c r="R341" s="6"/>
      <c r="S341" s="298"/>
    </row>
    <row r="342" spans="14:19" hidden="1" x14ac:dyDescent="0.25">
      <c r="N342" s="17">
        <v>233.79999999999799</v>
      </c>
      <c r="O342" s="16" t="s">
        <v>2174</v>
      </c>
      <c r="R342" s="6"/>
      <c r="S342" s="298"/>
    </row>
    <row r="343" spans="14:19" hidden="1" x14ac:dyDescent="0.25">
      <c r="N343" s="17">
        <v>233.89999999999799</v>
      </c>
      <c r="O343" s="16" t="s">
        <v>2175</v>
      </c>
      <c r="R343" s="6"/>
      <c r="S343" s="298"/>
    </row>
    <row r="344" spans="14:19" hidden="1" x14ac:dyDescent="0.25">
      <c r="N344" s="17">
        <v>233.99999999999801</v>
      </c>
      <c r="O344" s="16" t="s">
        <v>2177</v>
      </c>
      <c r="R344" s="6"/>
      <c r="S344" s="298"/>
    </row>
    <row r="345" spans="14:19" hidden="1" x14ac:dyDescent="0.25">
      <c r="N345" s="17">
        <v>234.099999999998</v>
      </c>
      <c r="O345" s="16" t="s">
        <v>2178</v>
      </c>
      <c r="R345" s="6"/>
      <c r="S345" s="298"/>
    </row>
    <row r="346" spans="14:19" hidden="1" x14ac:dyDescent="0.25">
      <c r="N346" s="17">
        <v>234.199999999998</v>
      </c>
      <c r="O346" s="16" t="s">
        <v>925</v>
      </c>
      <c r="R346" s="6"/>
      <c r="S346" s="298"/>
    </row>
    <row r="347" spans="14:19" hidden="1" x14ac:dyDescent="0.25">
      <c r="N347" s="17">
        <v>234.29999999999799</v>
      </c>
      <c r="O347" s="16" t="s">
        <v>926</v>
      </c>
      <c r="R347" s="6"/>
      <c r="S347" s="298"/>
    </row>
    <row r="348" spans="14:19" hidden="1" x14ac:dyDescent="0.25">
      <c r="N348" s="17">
        <v>234.39999999999799</v>
      </c>
      <c r="O348" s="16" t="s">
        <v>927</v>
      </c>
      <c r="R348" s="6"/>
      <c r="S348" s="298"/>
    </row>
    <row r="349" spans="14:19" hidden="1" x14ac:dyDescent="0.25">
      <c r="N349" s="17">
        <v>234.49999999999801</v>
      </c>
      <c r="O349" s="16" t="s">
        <v>928</v>
      </c>
      <c r="R349" s="6"/>
      <c r="S349" s="298"/>
    </row>
    <row r="350" spans="14:19" hidden="1" x14ac:dyDescent="0.25">
      <c r="N350" s="17">
        <v>234.599999999998</v>
      </c>
      <c r="O350" s="16" t="s">
        <v>929</v>
      </c>
      <c r="R350" s="6"/>
      <c r="S350" s="298"/>
    </row>
    <row r="351" spans="14:19" hidden="1" x14ac:dyDescent="0.25">
      <c r="N351" s="17">
        <v>234.699999999998</v>
      </c>
      <c r="O351" s="16" t="s">
        <v>930</v>
      </c>
      <c r="R351" s="6"/>
      <c r="S351" s="298"/>
    </row>
    <row r="352" spans="14:19" hidden="1" x14ac:dyDescent="0.25">
      <c r="N352" s="17">
        <v>234.79999999999799</v>
      </c>
      <c r="O352" s="16" t="s">
        <v>931</v>
      </c>
      <c r="R352" s="6"/>
      <c r="S352" s="298"/>
    </row>
    <row r="353" spans="14:19" hidden="1" x14ac:dyDescent="0.25">
      <c r="N353" s="17">
        <v>234.89999999999799</v>
      </c>
      <c r="O353" s="16" t="s">
        <v>932</v>
      </c>
      <c r="R353" s="6"/>
      <c r="S353" s="298"/>
    </row>
    <row r="354" spans="14:19" hidden="1" x14ac:dyDescent="0.25">
      <c r="N354" s="17">
        <v>234.99999999999801</v>
      </c>
      <c r="O354" s="16" t="s">
        <v>933</v>
      </c>
      <c r="R354" s="6"/>
      <c r="S354" s="298"/>
    </row>
    <row r="355" spans="14:19" hidden="1" x14ac:dyDescent="0.25">
      <c r="N355" s="17">
        <v>235.099999999998</v>
      </c>
      <c r="O355" s="16" t="s">
        <v>934</v>
      </c>
      <c r="R355" s="6"/>
      <c r="S355" s="298"/>
    </row>
    <row r="356" spans="14:19" hidden="1" x14ac:dyDescent="0.25">
      <c r="N356" s="17">
        <v>235.199999999998</v>
      </c>
      <c r="O356" s="16" t="s">
        <v>935</v>
      </c>
      <c r="R356" s="6"/>
      <c r="S356" s="298"/>
    </row>
    <row r="357" spans="14:19" hidden="1" x14ac:dyDescent="0.25">
      <c r="N357" s="17">
        <v>235.29999999999799</v>
      </c>
      <c r="O357" s="16" t="s">
        <v>936</v>
      </c>
      <c r="R357" s="6"/>
      <c r="S357" s="298"/>
    </row>
    <row r="358" spans="14:19" hidden="1" x14ac:dyDescent="0.25">
      <c r="N358" s="17">
        <v>235.39999999999799</v>
      </c>
      <c r="O358" s="16" t="s">
        <v>937</v>
      </c>
      <c r="R358" s="6"/>
      <c r="S358" s="298"/>
    </row>
    <row r="359" spans="14:19" hidden="1" x14ac:dyDescent="0.25">
      <c r="N359" s="17">
        <v>235.49999999999801</v>
      </c>
      <c r="O359" s="16" t="s">
        <v>938</v>
      </c>
      <c r="R359" s="6"/>
      <c r="S359" s="298"/>
    </row>
    <row r="360" spans="14:19" hidden="1" x14ac:dyDescent="0.25">
      <c r="N360" s="17">
        <v>235.599999999998</v>
      </c>
      <c r="O360" s="16" t="s">
        <v>939</v>
      </c>
      <c r="R360" s="6"/>
      <c r="S360" s="298"/>
    </row>
    <row r="361" spans="14:19" hidden="1" x14ac:dyDescent="0.25">
      <c r="N361" s="17">
        <v>235.699999999998</v>
      </c>
      <c r="O361" s="16" t="s">
        <v>940</v>
      </c>
      <c r="R361" s="6"/>
      <c r="S361" s="298"/>
    </row>
    <row r="362" spans="14:19" hidden="1" x14ac:dyDescent="0.25">
      <c r="N362" s="17">
        <v>235.79999999999799</v>
      </c>
      <c r="O362" s="16" t="s">
        <v>941</v>
      </c>
      <c r="R362" s="6"/>
      <c r="S362" s="298"/>
    </row>
    <row r="363" spans="14:19" hidden="1" x14ac:dyDescent="0.25">
      <c r="N363" s="17">
        <v>235.89999999999799</v>
      </c>
      <c r="O363" s="16" t="s">
        <v>942</v>
      </c>
      <c r="R363" s="6"/>
      <c r="S363" s="298"/>
    </row>
    <row r="364" spans="14:19" hidden="1" x14ac:dyDescent="0.25">
      <c r="N364" s="17">
        <v>235.99999999999801</v>
      </c>
      <c r="O364" s="16" t="s">
        <v>943</v>
      </c>
      <c r="R364" s="6"/>
      <c r="S364" s="298"/>
    </row>
    <row r="365" spans="14:19" hidden="1" x14ac:dyDescent="0.25">
      <c r="N365" s="17">
        <v>236.099999999998</v>
      </c>
      <c r="O365" s="16" t="s">
        <v>944</v>
      </c>
      <c r="R365" s="6"/>
      <c r="S365" s="298"/>
    </row>
    <row r="366" spans="14:19" hidden="1" x14ac:dyDescent="0.25">
      <c r="N366" s="17">
        <v>236.199999999998</v>
      </c>
      <c r="O366" s="16" t="s">
        <v>945</v>
      </c>
      <c r="R366" s="6"/>
      <c r="S366" s="298"/>
    </row>
    <row r="367" spans="14:19" hidden="1" x14ac:dyDescent="0.25">
      <c r="N367" s="17">
        <v>236.29999999999799</v>
      </c>
      <c r="O367" s="16" t="s">
        <v>946</v>
      </c>
      <c r="R367" s="6"/>
      <c r="S367" s="298"/>
    </row>
    <row r="368" spans="14:19" hidden="1" x14ac:dyDescent="0.25">
      <c r="N368" s="17">
        <v>236.39999999999799</v>
      </c>
      <c r="O368" s="16" t="s">
        <v>947</v>
      </c>
      <c r="R368" s="6"/>
      <c r="S368" s="298"/>
    </row>
    <row r="369" spans="14:19" hidden="1" x14ac:dyDescent="0.25">
      <c r="N369" s="17">
        <v>236.49999999999801</v>
      </c>
      <c r="O369" s="16" t="s">
        <v>948</v>
      </c>
      <c r="R369" s="6"/>
      <c r="S369" s="298"/>
    </row>
    <row r="370" spans="14:19" hidden="1" x14ac:dyDescent="0.25">
      <c r="N370" s="17">
        <v>236.599999999998</v>
      </c>
      <c r="O370" s="16" t="s">
        <v>949</v>
      </c>
      <c r="R370" s="6"/>
      <c r="S370" s="298"/>
    </row>
    <row r="371" spans="14:19" hidden="1" x14ac:dyDescent="0.25">
      <c r="N371" s="17">
        <v>236.699999999998</v>
      </c>
      <c r="O371" s="16" t="s">
        <v>950</v>
      </c>
      <c r="R371" s="6"/>
      <c r="S371" s="298"/>
    </row>
    <row r="372" spans="14:19" hidden="1" x14ac:dyDescent="0.25">
      <c r="N372" s="17">
        <v>236.79999999999799</v>
      </c>
      <c r="O372" s="16" t="s">
        <v>951</v>
      </c>
      <c r="R372" s="6"/>
      <c r="S372" s="298"/>
    </row>
    <row r="373" spans="14:19" hidden="1" x14ac:dyDescent="0.25">
      <c r="N373" s="17">
        <v>236.89999999999799</v>
      </c>
      <c r="O373" s="16" t="s">
        <v>952</v>
      </c>
      <c r="R373" s="6"/>
      <c r="S373" s="298"/>
    </row>
    <row r="374" spans="14:19" hidden="1" x14ac:dyDescent="0.25">
      <c r="N374" s="17">
        <v>236.99999999999801</v>
      </c>
      <c r="O374" s="16" t="s">
        <v>953</v>
      </c>
      <c r="R374" s="6"/>
      <c r="S374" s="298"/>
    </row>
    <row r="375" spans="14:19" hidden="1" x14ac:dyDescent="0.25">
      <c r="N375" s="17">
        <v>237.099999999998</v>
      </c>
      <c r="O375" s="16" t="s">
        <v>954</v>
      </c>
      <c r="R375" s="6"/>
      <c r="S375" s="298"/>
    </row>
    <row r="376" spans="14:19" hidden="1" x14ac:dyDescent="0.25">
      <c r="N376" s="17">
        <v>237.199999999998</v>
      </c>
      <c r="O376" s="16" t="s">
        <v>955</v>
      </c>
      <c r="R376" s="6"/>
      <c r="S376" s="298"/>
    </row>
    <row r="377" spans="14:19" hidden="1" x14ac:dyDescent="0.25">
      <c r="N377" s="17">
        <v>237.29999999999799</v>
      </c>
      <c r="O377" s="16" t="s">
        <v>956</v>
      </c>
      <c r="R377" s="6"/>
      <c r="S377" s="298"/>
    </row>
    <row r="378" spans="14:19" hidden="1" x14ac:dyDescent="0.25">
      <c r="N378" s="17">
        <v>237.39999999999799</v>
      </c>
      <c r="O378" s="16" t="s">
        <v>957</v>
      </c>
      <c r="R378" s="6"/>
      <c r="S378" s="298"/>
    </row>
    <row r="379" spans="14:19" hidden="1" x14ac:dyDescent="0.25">
      <c r="N379" s="17">
        <v>237.49999999999801</v>
      </c>
      <c r="O379" s="16" t="s">
        <v>958</v>
      </c>
      <c r="R379" s="6"/>
      <c r="S379" s="298"/>
    </row>
    <row r="380" spans="14:19" hidden="1" x14ac:dyDescent="0.25">
      <c r="N380" s="17">
        <v>237.599999999998</v>
      </c>
      <c r="O380" s="16" t="s">
        <v>959</v>
      </c>
      <c r="R380" s="6"/>
      <c r="S380" s="298"/>
    </row>
    <row r="381" spans="14:19" hidden="1" x14ac:dyDescent="0.25">
      <c r="N381" s="17">
        <v>237.699999999998</v>
      </c>
      <c r="O381" s="16" t="s">
        <v>2216</v>
      </c>
      <c r="R381" s="6"/>
      <c r="S381" s="298"/>
    </row>
    <row r="382" spans="14:19" hidden="1" x14ac:dyDescent="0.25">
      <c r="N382" s="17">
        <v>237.79999999999799</v>
      </c>
      <c r="O382" s="16" t="s">
        <v>196</v>
      </c>
      <c r="R382" s="6"/>
      <c r="S382" s="298"/>
    </row>
    <row r="383" spans="14:19" hidden="1" x14ac:dyDescent="0.25">
      <c r="N383" s="17">
        <v>237.89999999999799</v>
      </c>
      <c r="O383" s="16" t="s">
        <v>197</v>
      </c>
      <c r="R383" s="6"/>
      <c r="S383" s="298"/>
    </row>
    <row r="384" spans="14:19" hidden="1" x14ac:dyDescent="0.25">
      <c r="N384" s="17">
        <v>237.99999999999801</v>
      </c>
      <c r="O384" s="16" t="s">
        <v>198</v>
      </c>
      <c r="R384" s="6"/>
      <c r="S384" s="298"/>
    </row>
    <row r="385" spans="14:19" hidden="1" x14ac:dyDescent="0.25">
      <c r="N385" s="17">
        <v>238.099999999998</v>
      </c>
      <c r="O385" s="16" t="s">
        <v>996</v>
      </c>
      <c r="R385" s="6"/>
      <c r="S385" s="298"/>
    </row>
    <row r="386" spans="14:19" hidden="1" x14ac:dyDescent="0.25">
      <c r="N386" s="17">
        <v>238.199999999998</v>
      </c>
      <c r="O386" s="16" t="s">
        <v>997</v>
      </c>
      <c r="R386" s="6"/>
      <c r="S386" s="298"/>
    </row>
    <row r="387" spans="14:19" hidden="1" x14ac:dyDescent="0.25">
      <c r="N387" s="17">
        <v>238.29999999999799</v>
      </c>
      <c r="O387" s="16" t="s">
        <v>998</v>
      </c>
      <c r="R387" s="6"/>
      <c r="S387" s="298"/>
    </row>
    <row r="388" spans="14:19" hidden="1" x14ac:dyDescent="0.25">
      <c r="N388" s="17">
        <v>238.39999999999799</v>
      </c>
      <c r="O388" s="16" t="s">
        <v>999</v>
      </c>
      <c r="R388" s="6"/>
      <c r="S388" s="298"/>
    </row>
    <row r="389" spans="14:19" hidden="1" x14ac:dyDescent="0.25">
      <c r="N389" s="17">
        <v>238.49999999999801</v>
      </c>
      <c r="O389" s="16" t="s">
        <v>1000</v>
      </c>
      <c r="R389" s="6"/>
      <c r="S389" s="298"/>
    </row>
    <row r="390" spans="14:19" hidden="1" x14ac:dyDescent="0.25">
      <c r="N390" s="17">
        <v>238.599999999998</v>
      </c>
      <c r="O390" s="16" t="s">
        <v>204</v>
      </c>
      <c r="R390" s="6"/>
      <c r="S390" s="298"/>
    </row>
    <row r="391" spans="14:19" hidden="1" x14ac:dyDescent="0.25">
      <c r="N391" s="17">
        <v>238.699999999998</v>
      </c>
      <c r="O391" s="16" t="s">
        <v>205</v>
      </c>
      <c r="R391" s="6"/>
      <c r="S391" s="298"/>
    </row>
    <row r="392" spans="14:19" hidden="1" x14ac:dyDescent="0.25">
      <c r="N392" s="17">
        <v>238.79999999999799</v>
      </c>
      <c r="O392" s="16" t="s">
        <v>206</v>
      </c>
      <c r="R392" s="6"/>
      <c r="S392" s="298"/>
    </row>
    <row r="393" spans="14:19" hidden="1" x14ac:dyDescent="0.25">
      <c r="N393" s="17">
        <v>238.89999999999799</v>
      </c>
      <c r="O393" s="16" t="s">
        <v>207</v>
      </c>
      <c r="R393" s="6"/>
      <c r="S393" s="298"/>
    </row>
    <row r="394" spans="14:19" hidden="1" x14ac:dyDescent="0.25">
      <c r="N394" s="17">
        <v>238.99999999999801</v>
      </c>
      <c r="O394" s="16" t="s">
        <v>208</v>
      </c>
      <c r="R394" s="6"/>
      <c r="S394" s="298"/>
    </row>
    <row r="395" spans="14:19" hidden="1" x14ac:dyDescent="0.25">
      <c r="N395" s="17">
        <v>239.099999999998</v>
      </c>
      <c r="O395" s="16" t="s">
        <v>209</v>
      </c>
      <c r="R395" s="6"/>
      <c r="S395" s="298"/>
    </row>
    <row r="396" spans="14:19" hidden="1" x14ac:dyDescent="0.25">
      <c r="N396" s="17">
        <v>239.199999999998</v>
      </c>
      <c r="O396" s="16" t="s">
        <v>210</v>
      </c>
      <c r="R396" s="6"/>
      <c r="S396" s="298"/>
    </row>
    <row r="397" spans="14:19" hidden="1" x14ac:dyDescent="0.25">
      <c r="N397" s="17">
        <v>239.29999999999799</v>
      </c>
      <c r="O397" s="16" t="s">
        <v>211</v>
      </c>
      <c r="R397" s="6"/>
      <c r="S397" s="298"/>
    </row>
    <row r="398" spans="14:19" hidden="1" x14ac:dyDescent="0.25">
      <c r="N398" s="17">
        <v>239.39999999999799</v>
      </c>
      <c r="O398" s="16" t="s">
        <v>212</v>
      </c>
      <c r="R398" s="6"/>
      <c r="S398" s="298"/>
    </row>
    <row r="399" spans="14:19" hidden="1" x14ac:dyDescent="0.25">
      <c r="N399" s="17">
        <v>239.49999999999801</v>
      </c>
      <c r="O399" s="16" t="s">
        <v>213</v>
      </c>
      <c r="R399" s="6"/>
      <c r="S399" s="298"/>
    </row>
    <row r="400" spans="14:19" hidden="1" x14ac:dyDescent="0.25">
      <c r="N400" s="17">
        <v>239.599999999998</v>
      </c>
      <c r="O400" s="16" t="s">
        <v>214</v>
      </c>
      <c r="R400" s="6"/>
      <c r="S400" s="298"/>
    </row>
    <row r="401" spans="14:19" hidden="1" x14ac:dyDescent="0.25">
      <c r="N401" s="17">
        <v>239.699999999998</v>
      </c>
      <c r="O401" s="16" t="s">
        <v>4610</v>
      </c>
      <c r="R401" s="6"/>
      <c r="S401" s="298"/>
    </row>
    <row r="402" spans="14:19" hidden="1" x14ac:dyDescent="0.25">
      <c r="N402" s="17">
        <v>239.79999999999799</v>
      </c>
      <c r="O402" s="16" t="s">
        <v>4611</v>
      </c>
      <c r="R402" s="6"/>
      <c r="S402" s="298"/>
    </row>
    <row r="403" spans="14:19" hidden="1" x14ac:dyDescent="0.25">
      <c r="N403" s="17">
        <v>239.89999999999799</v>
      </c>
      <c r="O403" s="16" t="s">
        <v>4612</v>
      </c>
      <c r="R403" s="6"/>
      <c r="S403" s="298"/>
    </row>
    <row r="404" spans="14:19" hidden="1" x14ac:dyDescent="0.25">
      <c r="N404" s="17">
        <v>239.99999999999801</v>
      </c>
      <c r="O404" s="16" t="s">
        <v>4613</v>
      </c>
      <c r="R404" s="6"/>
      <c r="S404" s="298"/>
    </row>
    <row r="405" spans="14:19" hidden="1" x14ac:dyDescent="0.25">
      <c r="N405" s="17">
        <v>240.099999999998</v>
      </c>
      <c r="O405" s="16" t="s">
        <v>4614</v>
      </c>
      <c r="R405" s="6"/>
      <c r="S405" s="298"/>
    </row>
    <row r="406" spans="14:19" hidden="1" x14ac:dyDescent="0.25">
      <c r="N406" s="17">
        <v>240.199999999998</v>
      </c>
      <c r="O406" s="16" t="s">
        <v>4615</v>
      </c>
      <c r="R406" s="6"/>
      <c r="S406" s="298"/>
    </row>
    <row r="407" spans="14:19" hidden="1" x14ac:dyDescent="0.25">
      <c r="N407" s="17">
        <v>240.29999999999799</v>
      </c>
      <c r="O407" s="16" t="s">
        <v>4616</v>
      </c>
      <c r="R407" s="6"/>
      <c r="S407" s="298"/>
    </row>
    <row r="408" spans="14:19" hidden="1" x14ac:dyDescent="0.25">
      <c r="N408" s="17">
        <v>240.39999999999799</v>
      </c>
      <c r="O408" s="16" t="s">
        <v>2457</v>
      </c>
      <c r="R408" s="6"/>
      <c r="S408" s="298"/>
    </row>
    <row r="409" spans="14:19" hidden="1" x14ac:dyDescent="0.25">
      <c r="N409" s="17">
        <v>240.49999999999801</v>
      </c>
      <c r="O409" s="16" t="s">
        <v>2458</v>
      </c>
      <c r="R409" s="6"/>
      <c r="S409" s="298"/>
    </row>
    <row r="410" spans="14:19" hidden="1" x14ac:dyDescent="0.25">
      <c r="N410" s="17">
        <v>240.599999999998</v>
      </c>
      <c r="O410" s="16" t="s">
        <v>230</v>
      </c>
      <c r="R410" s="6"/>
      <c r="S410" s="298"/>
    </row>
    <row r="411" spans="14:19" hidden="1" x14ac:dyDescent="0.25">
      <c r="N411" s="17">
        <v>240.699999999998</v>
      </c>
      <c r="O411" s="16" t="s">
        <v>231</v>
      </c>
      <c r="R411" s="6"/>
      <c r="S411" s="298"/>
    </row>
    <row r="412" spans="14:19" hidden="1" x14ac:dyDescent="0.25">
      <c r="N412" s="17">
        <v>240.79999999999799</v>
      </c>
      <c r="O412" s="16" t="s">
        <v>232</v>
      </c>
      <c r="R412" s="6"/>
      <c r="S412" s="298"/>
    </row>
    <row r="413" spans="14:19" hidden="1" x14ac:dyDescent="0.25">
      <c r="N413" s="17">
        <v>240.89999999999799</v>
      </c>
      <c r="O413" s="16" t="s">
        <v>2455</v>
      </c>
      <c r="R413" s="6"/>
      <c r="S413" s="298"/>
    </row>
    <row r="414" spans="14:19" hidden="1" x14ac:dyDescent="0.25">
      <c r="N414" s="17">
        <v>240.99999999999801</v>
      </c>
      <c r="O414" s="16" t="s">
        <v>2456</v>
      </c>
      <c r="R414" s="6"/>
      <c r="S414" s="298"/>
    </row>
    <row r="415" spans="14:19" hidden="1" x14ac:dyDescent="0.25">
      <c r="N415" s="17">
        <v>241.099999999998</v>
      </c>
      <c r="O415" s="16" t="s">
        <v>20</v>
      </c>
      <c r="R415" s="6"/>
      <c r="S415" s="298"/>
    </row>
    <row r="416" spans="14:19" hidden="1" x14ac:dyDescent="0.25">
      <c r="N416" s="17">
        <v>241.199999999998</v>
      </c>
      <c r="O416" s="16" t="s">
        <v>21</v>
      </c>
      <c r="R416" s="6"/>
      <c r="S416" s="298"/>
    </row>
    <row r="417" spans="14:19" hidden="1" x14ac:dyDescent="0.25">
      <c r="N417" s="17">
        <v>241.29999999999799</v>
      </c>
      <c r="O417" s="16" t="s">
        <v>22</v>
      </c>
      <c r="R417" s="6"/>
      <c r="S417" s="298"/>
    </row>
    <row r="418" spans="14:19" hidden="1" x14ac:dyDescent="0.25">
      <c r="N418" s="17">
        <v>241.39999999999799</v>
      </c>
      <c r="O418" s="16" t="s">
        <v>23</v>
      </c>
      <c r="R418" s="6"/>
      <c r="S418" s="298"/>
    </row>
    <row r="419" spans="14:19" hidden="1" x14ac:dyDescent="0.25">
      <c r="N419" s="17">
        <v>241.49999999999801</v>
      </c>
      <c r="O419" s="16" t="s">
        <v>24</v>
      </c>
      <c r="R419" s="6"/>
      <c r="S419" s="298"/>
    </row>
    <row r="420" spans="14:19" hidden="1" x14ac:dyDescent="0.25">
      <c r="N420" s="17">
        <v>241.599999999998</v>
      </c>
      <c r="O420" s="16" t="s">
        <v>25</v>
      </c>
      <c r="R420" s="6"/>
      <c r="S420" s="298"/>
    </row>
    <row r="421" spans="14:19" hidden="1" x14ac:dyDescent="0.25">
      <c r="N421" s="17">
        <v>241.699999999998</v>
      </c>
      <c r="O421" s="16" t="s">
        <v>26</v>
      </c>
      <c r="R421" s="6"/>
      <c r="S421" s="298"/>
    </row>
    <row r="422" spans="14:19" hidden="1" x14ac:dyDescent="0.25">
      <c r="N422" s="17">
        <v>241.79999999999799</v>
      </c>
      <c r="O422" s="16" t="s">
        <v>27</v>
      </c>
      <c r="R422" s="6"/>
      <c r="S422" s="298"/>
    </row>
    <row r="423" spans="14:19" hidden="1" x14ac:dyDescent="0.25">
      <c r="N423" s="17">
        <v>241.89999999999799</v>
      </c>
      <c r="O423" s="16" t="s">
        <v>28</v>
      </c>
      <c r="R423" s="6"/>
      <c r="S423" s="298"/>
    </row>
    <row r="424" spans="14:19" hidden="1" x14ac:dyDescent="0.25">
      <c r="N424" s="17">
        <v>241.99999999999801</v>
      </c>
      <c r="O424" s="16" t="s">
        <v>29</v>
      </c>
      <c r="R424" s="6"/>
      <c r="S424" s="298"/>
    </row>
    <row r="425" spans="14:19" hidden="1" x14ac:dyDescent="0.25">
      <c r="N425" s="17">
        <v>242.099999999998</v>
      </c>
      <c r="O425" s="16" t="s">
        <v>30</v>
      </c>
      <c r="R425" s="6"/>
      <c r="S425" s="298"/>
    </row>
    <row r="426" spans="14:19" hidden="1" x14ac:dyDescent="0.25">
      <c r="N426" s="17">
        <v>242.199999999998</v>
      </c>
      <c r="O426" s="16" t="s">
        <v>31</v>
      </c>
      <c r="R426" s="6"/>
      <c r="S426" s="298"/>
    </row>
    <row r="427" spans="14:19" hidden="1" x14ac:dyDescent="0.25">
      <c r="N427" s="17">
        <v>242.29999999999799</v>
      </c>
      <c r="O427" s="16" t="s">
        <v>32</v>
      </c>
      <c r="R427" s="6"/>
      <c r="S427" s="298"/>
    </row>
    <row r="428" spans="14:19" hidden="1" x14ac:dyDescent="0.25">
      <c r="N428" s="17">
        <v>242.39999999999799</v>
      </c>
      <c r="O428" s="16" t="s">
        <v>33</v>
      </c>
      <c r="R428" s="6"/>
      <c r="S428" s="298"/>
    </row>
    <row r="429" spans="14:19" hidden="1" x14ac:dyDescent="0.25">
      <c r="N429" s="17">
        <v>242.49999999999801</v>
      </c>
      <c r="O429" s="16" t="s">
        <v>34</v>
      </c>
      <c r="R429" s="6"/>
      <c r="S429" s="298"/>
    </row>
    <row r="430" spans="14:19" hidden="1" x14ac:dyDescent="0.25">
      <c r="N430" s="17">
        <v>242.599999999998</v>
      </c>
      <c r="O430" s="16" t="s">
        <v>35</v>
      </c>
      <c r="R430" s="6"/>
      <c r="S430" s="298"/>
    </row>
    <row r="431" spans="14:19" hidden="1" x14ac:dyDescent="0.25">
      <c r="N431" s="17">
        <v>242.699999999998</v>
      </c>
      <c r="O431" s="16" t="s">
        <v>36</v>
      </c>
      <c r="R431" s="6"/>
      <c r="S431" s="298"/>
    </row>
    <row r="432" spans="14:19" hidden="1" x14ac:dyDescent="0.25">
      <c r="N432" s="17">
        <v>242.79999999999799</v>
      </c>
      <c r="O432" s="16" t="s">
        <v>37</v>
      </c>
      <c r="R432" s="6"/>
      <c r="S432" s="298"/>
    </row>
    <row r="433" spans="14:19" hidden="1" x14ac:dyDescent="0.25">
      <c r="N433" s="17">
        <v>242.89999999999799</v>
      </c>
      <c r="O433" s="16" t="s">
        <v>38</v>
      </c>
      <c r="R433" s="6"/>
      <c r="S433" s="298"/>
    </row>
    <row r="434" spans="14:19" hidden="1" x14ac:dyDescent="0.25">
      <c r="N434" s="17">
        <v>242.99999999999801</v>
      </c>
      <c r="O434" s="16" t="s">
        <v>39</v>
      </c>
      <c r="R434" s="6"/>
      <c r="S434" s="298"/>
    </row>
    <row r="435" spans="14:19" hidden="1" x14ac:dyDescent="0.25">
      <c r="N435" s="17">
        <v>243.099999999998</v>
      </c>
      <c r="O435" s="16" t="s">
        <v>40</v>
      </c>
      <c r="R435" s="6"/>
      <c r="S435" s="298"/>
    </row>
    <row r="436" spans="14:19" hidden="1" x14ac:dyDescent="0.25">
      <c r="N436" s="17">
        <v>243.199999999998</v>
      </c>
      <c r="O436" s="16" t="s">
        <v>41</v>
      </c>
      <c r="R436" s="6"/>
      <c r="S436" s="298"/>
    </row>
    <row r="437" spans="14:19" hidden="1" x14ac:dyDescent="0.25">
      <c r="N437" s="17">
        <v>243.29999999999799</v>
      </c>
      <c r="O437" s="16" t="s">
        <v>42</v>
      </c>
      <c r="R437" s="6"/>
      <c r="S437" s="298"/>
    </row>
    <row r="438" spans="14:19" hidden="1" x14ac:dyDescent="0.25">
      <c r="N438" s="17">
        <v>243.39999999999799</v>
      </c>
      <c r="O438" s="16" t="s">
        <v>43</v>
      </c>
      <c r="R438" s="6"/>
      <c r="S438" s="298"/>
    </row>
    <row r="439" spans="14:19" hidden="1" x14ac:dyDescent="0.25">
      <c r="N439" s="17">
        <v>243.49999999999699</v>
      </c>
      <c r="O439" s="16" t="s">
        <v>44</v>
      </c>
      <c r="R439" s="6"/>
      <c r="S439" s="298"/>
    </row>
    <row r="440" spans="14:19" hidden="1" x14ac:dyDescent="0.25">
      <c r="N440" s="17">
        <v>243.59999999999701</v>
      </c>
      <c r="O440" s="16" t="s">
        <v>45</v>
      </c>
      <c r="R440" s="6"/>
      <c r="S440" s="298"/>
    </row>
    <row r="441" spans="14:19" hidden="1" x14ac:dyDescent="0.25">
      <c r="N441" s="17">
        <v>243.699999999997</v>
      </c>
      <c r="O441" s="16" t="s">
        <v>46</v>
      </c>
      <c r="R441" s="6"/>
      <c r="S441" s="298"/>
    </row>
    <row r="442" spans="14:19" hidden="1" x14ac:dyDescent="0.25">
      <c r="N442" s="17">
        <v>243.79999999999799</v>
      </c>
      <c r="O442" s="16" t="s">
        <v>47</v>
      </c>
      <c r="R442" s="6"/>
      <c r="S442" s="298"/>
    </row>
    <row r="443" spans="14:19" hidden="1" x14ac:dyDescent="0.25">
      <c r="N443" s="17">
        <v>243.89999999999799</v>
      </c>
      <c r="O443" s="16" t="s">
        <v>48</v>
      </c>
      <c r="R443" s="6"/>
      <c r="S443" s="298"/>
    </row>
    <row r="444" spans="14:19" hidden="1" x14ac:dyDescent="0.25">
      <c r="N444" s="17">
        <v>243.99999999999699</v>
      </c>
      <c r="O444" s="16" t="s">
        <v>49</v>
      </c>
      <c r="R444" s="6"/>
      <c r="S444" s="298"/>
    </row>
    <row r="445" spans="14:19" hidden="1" x14ac:dyDescent="0.25">
      <c r="N445" s="17">
        <v>244.09999999999701</v>
      </c>
      <c r="O445" s="16" t="s">
        <v>50</v>
      </c>
      <c r="R445" s="6"/>
      <c r="S445" s="298"/>
    </row>
    <row r="446" spans="14:19" hidden="1" x14ac:dyDescent="0.25">
      <c r="N446" s="17">
        <v>244.199999999997</v>
      </c>
      <c r="O446" s="16" t="s">
        <v>51</v>
      </c>
      <c r="R446" s="6"/>
      <c r="S446" s="298"/>
    </row>
    <row r="447" spans="14:19" hidden="1" x14ac:dyDescent="0.25">
      <c r="N447" s="17">
        <v>244.29999999999799</v>
      </c>
      <c r="O447" s="16" t="s">
        <v>52</v>
      </c>
      <c r="R447" s="6"/>
      <c r="S447" s="298"/>
    </row>
    <row r="448" spans="14:19" hidden="1" x14ac:dyDescent="0.25">
      <c r="N448" s="17">
        <v>244.39999999999799</v>
      </c>
      <c r="O448" s="16" t="s">
        <v>53</v>
      </c>
      <c r="R448" s="6"/>
      <c r="S448" s="298"/>
    </row>
    <row r="449" spans="14:19" hidden="1" x14ac:dyDescent="0.25">
      <c r="N449" s="17">
        <v>244.49999999999699</v>
      </c>
      <c r="O449" s="16" t="s">
        <v>54</v>
      </c>
      <c r="R449" s="6"/>
      <c r="S449" s="298"/>
    </row>
    <row r="450" spans="14:19" hidden="1" x14ac:dyDescent="0.25">
      <c r="N450" s="17">
        <v>244.59999999999701</v>
      </c>
      <c r="O450" s="16" t="s">
        <v>55</v>
      </c>
      <c r="R450" s="6"/>
      <c r="S450" s="298"/>
    </row>
    <row r="451" spans="14:19" hidden="1" x14ac:dyDescent="0.25">
      <c r="N451" s="17">
        <v>244.699999999997</v>
      </c>
      <c r="O451" s="16" t="s">
        <v>56</v>
      </c>
      <c r="R451" s="6"/>
      <c r="S451" s="298"/>
    </row>
    <row r="452" spans="14:19" hidden="1" x14ac:dyDescent="0.25">
      <c r="N452" s="17">
        <v>244.79999999999799</v>
      </c>
      <c r="O452" s="16" t="s">
        <v>57</v>
      </c>
      <c r="R452" s="6"/>
      <c r="S452" s="298"/>
    </row>
    <row r="453" spans="14:19" hidden="1" x14ac:dyDescent="0.25">
      <c r="N453" s="17">
        <v>244.89999999999799</v>
      </c>
      <c r="O453" s="16" t="s">
        <v>49</v>
      </c>
      <c r="R453" s="6"/>
      <c r="S453" s="298"/>
    </row>
    <row r="454" spans="14:19" hidden="1" x14ac:dyDescent="0.25">
      <c r="N454" s="17">
        <v>244.99999999999699</v>
      </c>
      <c r="O454" s="16" t="s">
        <v>58</v>
      </c>
      <c r="R454" s="6"/>
      <c r="S454" s="298"/>
    </row>
    <row r="455" spans="14:19" hidden="1" x14ac:dyDescent="0.25">
      <c r="N455" s="17">
        <v>245.09999999999701</v>
      </c>
      <c r="O455" s="16" t="s">
        <v>59</v>
      </c>
      <c r="R455" s="6"/>
      <c r="S455" s="298"/>
    </row>
    <row r="456" spans="14:19" hidden="1" x14ac:dyDescent="0.25">
      <c r="N456" s="17">
        <v>245.199999999997</v>
      </c>
      <c r="O456" s="16" t="s">
        <v>60</v>
      </c>
      <c r="R456" s="6"/>
      <c r="S456" s="298"/>
    </row>
    <row r="457" spans="14:19" hidden="1" x14ac:dyDescent="0.25">
      <c r="N457" s="17">
        <v>245.299999999997</v>
      </c>
      <c r="O457" s="16" t="s">
        <v>61</v>
      </c>
      <c r="R457" s="6"/>
      <c r="S457" s="298"/>
    </row>
    <row r="458" spans="14:19" hidden="1" x14ac:dyDescent="0.25">
      <c r="N458" s="17">
        <v>245.39999999999699</v>
      </c>
      <c r="O458" s="16" t="s">
        <v>62</v>
      </c>
      <c r="R458" s="6"/>
      <c r="S458" s="298"/>
    </row>
    <row r="459" spans="14:19" hidden="1" x14ac:dyDescent="0.25">
      <c r="N459" s="17">
        <v>245.49999999999699</v>
      </c>
      <c r="O459" s="16" t="s">
        <v>63</v>
      </c>
      <c r="R459" s="6"/>
      <c r="S459" s="298"/>
    </row>
    <row r="460" spans="14:19" hidden="1" x14ac:dyDescent="0.25">
      <c r="N460" s="17">
        <v>245.59999999999701</v>
      </c>
      <c r="O460" s="16" t="s">
        <v>64</v>
      </c>
      <c r="R460" s="6"/>
      <c r="S460" s="298"/>
    </row>
    <row r="461" spans="14:19" hidden="1" x14ac:dyDescent="0.25">
      <c r="N461" s="17">
        <v>245.699999999997</v>
      </c>
      <c r="O461" s="16" t="s">
        <v>65</v>
      </c>
      <c r="R461" s="6"/>
      <c r="S461" s="298"/>
    </row>
    <row r="462" spans="14:19" hidden="1" x14ac:dyDescent="0.25">
      <c r="N462" s="17">
        <v>245.799999999997</v>
      </c>
      <c r="O462" s="16" t="s">
        <v>66</v>
      </c>
      <c r="R462" s="6"/>
      <c r="S462" s="298"/>
    </row>
    <row r="463" spans="14:19" hidden="1" x14ac:dyDescent="0.25">
      <c r="N463" s="17">
        <v>245.89999999999699</v>
      </c>
      <c r="O463" s="16" t="s">
        <v>67</v>
      </c>
      <c r="R463" s="6"/>
      <c r="S463" s="298"/>
    </row>
    <row r="464" spans="14:19" hidden="1" x14ac:dyDescent="0.25">
      <c r="N464" s="17">
        <v>245.99999999999699</v>
      </c>
      <c r="O464" s="16" t="s">
        <v>68</v>
      </c>
      <c r="R464" s="6"/>
      <c r="S464" s="298"/>
    </row>
    <row r="465" spans="14:19" hidden="1" x14ac:dyDescent="0.25">
      <c r="N465" s="17">
        <v>246.09999999999701</v>
      </c>
      <c r="O465" s="16" t="s">
        <v>69</v>
      </c>
      <c r="R465" s="6"/>
      <c r="S465" s="298"/>
    </row>
    <row r="466" spans="14:19" hidden="1" x14ac:dyDescent="0.25">
      <c r="N466" s="17">
        <v>246.199999999997</v>
      </c>
      <c r="O466" s="16" t="s">
        <v>70</v>
      </c>
      <c r="R466" s="6"/>
      <c r="S466" s="298"/>
    </row>
    <row r="467" spans="14:19" hidden="1" x14ac:dyDescent="0.25">
      <c r="N467" s="17">
        <v>246.299999999997</v>
      </c>
      <c r="O467" s="16" t="s">
        <v>71</v>
      </c>
      <c r="R467" s="6"/>
      <c r="S467" s="298"/>
    </row>
    <row r="468" spans="14:19" hidden="1" x14ac:dyDescent="0.25">
      <c r="N468" s="17">
        <v>246.39999999999699</v>
      </c>
      <c r="O468" s="16" t="s">
        <v>1260</v>
      </c>
      <c r="R468" s="6"/>
      <c r="S468" s="298"/>
    </row>
    <row r="469" spans="14:19" hidden="1" x14ac:dyDescent="0.25">
      <c r="N469" s="17">
        <v>246.49999999999699</v>
      </c>
      <c r="O469" s="16" t="s">
        <v>1261</v>
      </c>
      <c r="R469" s="6"/>
      <c r="S469" s="298"/>
    </row>
    <row r="470" spans="14:19" hidden="1" x14ac:dyDescent="0.25">
      <c r="N470" s="17">
        <v>246.59999999999701</v>
      </c>
      <c r="O470" s="16" t="s">
        <v>1262</v>
      </c>
      <c r="R470" s="6"/>
      <c r="S470" s="298"/>
    </row>
    <row r="471" spans="14:19" hidden="1" x14ac:dyDescent="0.25">
      <c r="N471" s="17">
        <v>246.699999999997</v>
      </c>
      <c r="O471" s="16" t="s">
        <v>1263</v>
      </c>
      <c r="R471" s="6"/>
      <c r="S471" s="298"/>
    </row>
    <row r="472" spans="14:19" hidden="1" x14ac:dyDescent="0.25">
      <c r="N472" s="17">
        <v>246.799999999997</v>
      </c>
      <c r="O472" s="16" t="s">
        <v>1264</v>
      </c>
      <c r="R472" s="6"/>
      <c r="S472" s="298"/>
    </row>
    <row r="473" spans="14:19" hidden="1" x14ac:dyDescent="0.25">
      <c r="N473" s="17">
        <v>246.89999999999699</v>
      </c>
      <c r="O473" s="16" t="s">
        <v>1265</v>
      </c>
      <c r="R473" s="6"/>
      <c r="S473" s="298"/>
    </row>
    <row r="474" spans="14:19" hidden="1" x14ac:dyDescent="0.25">
      <c r="N474" s="17">
        <v>246.99999999999699</v>
      </c>
      <c r="O474" s="16" t="s">
        <v>1266</v>
      </c>
      <c r="R474" s="6"/>
      <c r="S474" s="298"/>
    </row>
    <row r="475" spans="14:19" hidden="1" x14ac:dyDescent="0.25">
      <c r="N475" s="17">
        <v>247.09999999999701</v>
      </c>
      <c r="O475" s="16" t="s">
        <v>1267</v>
      </c>
      <c r="R475" s="6"/>
      <c r="S475" s="298"/>
    </row>
    <row r="476" spans="14:19" hidden="1" x14ac:dyDescent="0.25">
      <c r="N476" s="17">
        <v>247.199999999997</v>
      </c>
      <c r="O476" s="16" t="s">
        <v>1268</v>
      </c>
      <c r="R476" s="6"/>
      <c r="S476" s="298"/>
    </row>
    <row r="477" spans="14:19" hidden="1" x14ac:dyDescent="0.25">
      <c r="N477" s="17">
        <v>247.299999999997</v>
      </c>
      <c r="O477" s="16" t="s">
        <v>1269</v>
      </c>
      <c r="R477" s="6"/>
      <c r="S477" s="298"/>
    </row>
    <row r="478" spans="14:19" hidden="1" x14ac:dyDescent="0.25">
      <c r="N478" s="17">
        <v>247.39999999999699</v>
      </c>
      <c r="O478" s="16" t="s">
        <v>1270</v>
      </c>
      <c r="R478" s="6"/>
      <c r="S478" s="298"/>
    </row>
    <row r="479" spans="14:19" hidden="1" x14ac:dyDescent="0.25">
      <c r="N479" s="17">
        <v>247.49999999999699</v>
      </c>
      <c r="O479" s="16" t="s">
        <v>1271</v>
      </c>
      <c r="R479" s="6"/>
      <c r="S479" s="298"/>
    </row>
    <row r="480" spans="14:19" hidden="1" x14ac:dyDescent="0.25">
      <c r="N480" s="17">
        <v>247.59999999999701</v>
      </c>
      <c r="O480" s="16" t="s">
        <v>1272</v>
      </c>
      <c r="R480" s="6"/>
      <c r="S480" s="298"/>
    </row>
    <row r="481" spans="14:19" hidden="1" x14ac:dyDescent="0.25">
      <c r="N481" s="17">
        <v>247.699999999997</v>
      </c>
      <c r="O481" s="16" t="s">
        <v>1273</v>
      </c>
      <c r="R481" s="6"/>
      <c r="S481" s="298"/>
    </row>
    <row r="482" spans="14:19" hidden="1" x14ac:dyDescent="0.25">
      <c r="N482" s="17">
        <v>247.799999999997</v>
      </c>
      <c r="O482" s="16" t="s">
        <v>3334</v>
      </c>
      <c r="R482" s="6"/>
      <c r="S482" s="298"/>
    </row>
    <row r="483" spans="14:19" hidden="1" x14ac:dyDescent="0.25">
      <c r="N483" s="17">
        <v>247.89999999999699</v>
      </c>
      <c r="O483" s="16" t="s">
        <v>3335</v>
      </c>
      <c r="R483" s="6"/>
      <c r="S483" s="298"/>
    </row>
    <row r="484" spans="14:19" hidden="1" x14ac:dyDescent="0.25">
      <c r="N484" s="17">
        <v>247.99999999999699</v>
      </c>
      <c r="O484" s="16" t="s">
        <v>880</v>
      </c>
      <c r="R484" s="6"/>
      <c r="S484" s="298"/>
    </row>
    <row r="485" spans="14:19" hidden="1" x14ac:dyDescent="0.25">
      <c r="N485" s="17">
        <v>248.09999999999701</v>
      </c>
      <c r="O485" s="16" t="s">
        <v>881</v>
      </c>
      <c r="R485" s="6"/>
      <c r="S485" s="298"/>
    </row>
    <row r="486" spans="14:19" hidden="1" x14ac:dyDescent="0.25">
      <c r="N486" s="17">
        <v>248.199999999997</v>
      </c>
      <c r="O486" s="16" t="s">
        <v>882</v>
      </c>
      <c r="R486" s="6"/>
      <c r="S486" s="298"/>
    </row>
    <row r="487" spans="14:19" hidden="1" x14ac:dyDescent="0.25">
      <c r="N487" s="17">
        <v>248.299999999997</v>
      </c>
      <c r="O487" s="16" t="s">
        <v>883</v>
      </c>
      <c r="R487" s="6"/>
      <c r="S487" s="298"/>
    </row>
    <row r="488" spans="14:19" hidden="1" x14ac:dyDescent="0.25">
      <c r="N488" s="17">
        <v>248.39999999999699</v>
      </c>
      <c r="O488" s="16" t="s">
        <v>884</v>
      </c>
      <c r="R488" s="6"/>
      <c r="S488" s="298"/>
    </row>
    <row r="489" spans="14:19" hidden="1" x14ac:dyDescent="0.25">
      <c r="N489" s="17">
        <v>248.49999999999699</v>
      </c>
      <c r="O489" s="16" t="s">
        <v>885</v>
      </c>
      <c r="R489" s="6"/>
      <c r="S489" s="298"/>
    </row>
    <row r="490" spans="14:19" hidden="1" x14ac:dyDescent="0.25">
      <c r="N490" s="17">
        <v>248.59999999999701</v>
      </c>
      <c r="O490" s="16" t="s">
        <v>84</v>
      </c>
      <c r="R490" s="6"/>
      <c r="S490" s="298"/>
    </row>
    <row r="491" spans="14:19" hidden="1" x14ac:dyDescent="0.25">
      <c r="N491" s="17">
        <v>248.699999999997</v>
      </c>
      <c r="O491" s="16" t="s">
        <v>162</v>
      </c>
      <c r="R491" s="6"/>
      <c r="S491" s="298"/>
    </row>
    <row r="492" spans="14:19" hidden="1" x14ac:dyDescent="0.25">
      <c r="N492" s="17">
        <v>248.799999999997</v>
      </c>
      <c r="O492" s="16" t="s">
        <v>3566</v>
      </c>
      <c r="R492" s="6"/>
      <c r="S492" s="298"/>
    </row>
    <row r="493" spans="14:19" hidden="1" x14ac:dyDescent="0.25">
      <c r="N493" s="17">
        <v>248.89999999999699</v>
      </c>
      <c r="O493" s="16" t="s">
        <v>3567</v>
      </c>
      <c r="R493" s="6"/>
      <c r="S493" s="298"/>
    </row>
    <row r="494" spans="14:19" hidden="1" x14ac:dyDescent="0.25">
      <c r="N494" s="17">
        <v>248.99999999999699</v>
      </c>
      <c r="O494" s="16" t="s">
        <v>3568</v>
      </c>
      <c r="R494" s="6"/>
      <c r="S494" s="298"/>
    </row>
    <row r="495" spans="14:19" hidden="1" x14ac:dyDescent="0.25">
      <c r="N495" s="17">
        <v>249.09999999999701</v>
      </c>
      <c r="O495" s="16" t="s">
        <v>3569</v>
      </c>
      <c r="R495" s="6"/>
      <c r="S495" s="298"/>
    </row>
    <row r="496" spans="14:19" hidden="1" x14ac:dyDescent="0.25">
      <c r="N496" s="17">
        <v>249.199999999997</v>
      </c>
      <c r="O496" s="16" t="s">
        <v>3570</v>
      </c>
      <c r="R496" s="6"/>
      <c r="S496" s="298"/>
    </row>
    <row r="497" spans="14:19" hidden="1" x14ac:dyDescent="0.25">
      <c r="N497" s="17">
        <v>249.299999999997</v>
      </c>
      <c r="O497" s="16" t="s">
        <v>3571</v>
      </c>
      <c r="R497" s="6"/>
      <c r="S497" s="298"/>
    </row>
    <row r="498" spans="14:19" hidden="1" x14ac:dyDescent="0.25">
      <c r="N498" s="17">
        <v>249.39999999999699</v>
      </c>
      <c r="O498" s="16" t="s">
        <v>3572</v>
      </c>
      <c r="R498" s="6"/>
      <c r="S498" s="298"/>
    </row>
    <row r="499" spans="14:19" hidden="1" x14ac:dyDescent="0.25">
      <c r="N499" s="17">
        <v>249.49999999999699</v>
      </c>
      <c r="O499" s="16" t="s">
        <v>3573</v>
      </c>
      <c r="R499" s="6"/>
      <c r="S499" s="298"/>
    </row>
    <row r="500" spans="14:19" hidden="1" x14ac:dyDescent="0.25">
      <c r="N500" s="17">
        <v>249.59999999999701</v>
      </c>
      <c r="O500" s="16" t="s">
        <v>103</v>
      </c>
      <c r="R500" s="6"/>
      <c r="S500" s="298"/>
    </row>
    <row r="501" spans="14:19" hidden="1" x14ac:dyDescent="0.25">
      <c r="N501" s="17">
        <v>249.699999999997</v>
      </c>
      <c r="O501" s="16" t="s">
        <v>104</v>
      </c>
      <c r="R501" s="6"/>
      <c r="S501" s="298"/>
    </row>
    <row r="502" spans="14:19" hidden="1" x14ac:dyDescent="0.25">
      <c r="N502" s="17">
        <v>249.799999999997</v>
      </c>
      <c r="O502" s="16" t="s">
        <v>105</v>
      </c>
      <c r="R502" s="6"/>
      <c r="S502" s="298"/>
    </row>
    <row r="503" spans="14:19" hidden="1" x14ac:dyDescent="0.25">
      <c r="N503" s="17">
        <v>249.89999999999699</v>
      </c>
      <c r="O503" s="16" t="s">
        <v>106</v>
      </c>
      <c r="R503" s="6"/>
      <c r="S503" s="298"/>
    </row>
    <row r="504" spans="14:19" hidden="1" x14ac:dyDescent="0.25">
      <c r="N504" s="17">
        <v>249.99999999999699</v>
      </c>
      <c r="O504" s="16" t="s">
        <v>107</v>
      </c>
      <c r="R504" s="6"/>
      <c r="S504" s="298"/>
    </row>
    <row r="505" spans="14:19" hidden="1" x14ac:dyDescent="0.25">
      <c r="N505" s="17">
        <v>250.09999999999701</v>
      </c>
      <c r="O505" s="16" t="s">
        <v>108</v>
      </c>
      <c r="R505" s="6"/>
      <c r="S505" s="298"/>
    </row>
    <row r="506" spans="14:19" hidden="1" x14ac:dyDescent="0.25">
      <c r="N506" s="17">
        <v>250.199999999997</v>
      </c>
      <c r="O506" s="16" t="s">
        <v>109</v>
      </c>
      <c r="R506" s="6"/>
      <c r="S506" s="298"/>
    </row>
    <row r="507" spans="14:19" hidden="1" x14ac:dyDescent="0.25">
      <c r="N507" s="17">
        <v>250.299999999997</v>
      </c>
      <c r="O507" s="16" t="s">
        <v>110</v>
      </c>
      <c r="R507" s="6"/>
      <c r="S507" s="298"/>
    </row>
    <row r="508" spans="14:19" hidden="1" x14ac:dyDescent="0.25">
      <c r="N508" s="17">
        <v>250.39999999999699</v>
      </c>
      <c r="O508" s="16" t="s">
        <v>111</v>
      </c>
      <c r="R508" s="6"/>
      <c r="S508" s="298"/>
    </row>
    <row r="509" spans="14:19" hidden="1" x14ac:dyDescent="0.25">
      <c r="N509" s="17">
        <v>250.49999999999699</v>
      </c>
      <c r="O509" s="16" t="s">
        <v>112</v>
      </c>
      <c r="R509" s="6"/>
      <c r="S509" s="298"/>
    </row>
    <row r="510" spans="14:19" hidden="1" x14ac:dyDescent="0.25">
      <c r="N510" s="17">
        <v>250.59999999999701</v>
      </c>
      <c r="O510" s="16" t="s">
        <v>113</v>
      </c>
      <c r="R510" s="6"/>
      <c r="S510" s="298"/>
    </row>
    <row r="511" spans="14:19" hidden="1" x14ac:dyDescent="0.25">
      <c r="N511" s="17">
        <v>250.699999999997</v>
      </c>
      <c r="O511" s="16" t="s">
        <v>114</v>
      </c>
      <c r="R511" s="6"/>
      <c r="S511" s="298"/>
    </row>
    <row r="512" spans="14:19" hidden="1" x14ac:dyDescent="0.25">
      <c r="N512" s="17">
        <v>250.799999999997</v>
      </c>
      <c r="O512" s="16" t="s">
        <v>115</v>
      </c>
      <c r="R512" s="6"/>
      <c r="S512" s="298"/>
    </row>
    <row r="513" spans="14:19" hidden="1" x14ac:dyDescent="0.25">
      <c r="N513" s="17">
        <v>250.89999999999699</v>
      </c>
      <c r="O513" s="16" t="s">
        <v>116</v>
      </c>
      <c r="R513" s="6"/>
      <c r="S513" s="298"/>
    </row>
    <row r="514" spans="14:19" hidden="1" x14ac:dyDescent="0.25">
      <c r="N514" s="17">
        <v>250.99999999999699</v>
      </c>
      <c r="O514" s="16" t="s">
        <v>117</v>
      </c>
      <c r="R514" s="6"/>
      <c r="S514" s="298"/>
    </row>
    <row r="515" spans="14:19" hidden="1" x14ac:dyDescent="0.25">
      <c r="N515" s="17">
        <v>251.09999999999701</v>
      </c>
      <c r="O515" s="16" t="s">
        <v>118</v>
      </c>
      <c r="R515" s="6"/>
      <c r="S515" s="298"/>
    </row>
    <row r="516" spans="14:19" hidden="1" x14ac:dyDescent="0.25">
      <c r="N516" s="17">
        <v>251.199999999997</v>
      </c>
      <c r="O516" s="16" t="s">
        <v>119</v>
      </c>
      <c r="R516" s="6"/>
      <c r="S516" s="298"/>
    </row>
    <row r="517" spans="14:19" hidden="1" x14ac:dyDescent="0.25">
      <c r="N517" s="17">
        <v>251.299999999997</v>
      </c>
      <c r="O517" s="16" t="s">
        <v>120</v>
      </c>
      <c r="R517" s="6"/>
      <c r="S517" s="298"/>
    </row>
    <row r="518" spans="14:19" hidden="1" x14ac:dyDescent="0.25">
      <c r="N518" s="17">
        <v>251.39999999999699</v>
      </c>
      <c r="O518" s="16" t="s">
        <v>121</v>
      </c>
      <c r="R518" s="6"/>
      <c r="S518" s="298"/>
    </row>
    <row r="519" spans="14:19" hidden="1" x14ac:dyDescent="0.25">
      <c r="N519" s="17">
        <v>251.49999999999699</v>
      </c>
      <c r="O519" s="16" t="s">
        <v>122</v>
      </c>
      <c r="R519" s="6"/>
      <c r="S519" s="298"/>
    </row>
    <row r="520" spans="14:19" hidden="1" x14ac:dyDescent="0.25">
      <c r="N520" s="17">
        <v>251.59999999999701</v>
      </c>
      <c r="O520" s="16" t="s">
        <v>123</v>
      </c>
      <c r="R520" s="6"/>
      <c r="S520" s="298"/>
    </row>
    <row r="521" spans="14:19" hidden="1" x14ac:dyDescent="0.25">
      <c r="N521" s="17">
        <v>251.699999999997</v>
      </c>
      <c r="O521" s="16" t="s">
        <v>124</v>
      </c>
      <c r="R521" s="6"/>
      <c r="S521" s="298"/>
    </row>
    <row r="522" spans="14:19" hidden="1" x14ac:dyDescent="0.25">
      <c r="N522" s="17">
        <v>251.799999999997</v>
      </c>
      <c r="O522" s="16" t="s">
        <v>125</v>
      </c>
      <c r="R522" s="6"/>
      <c r="S522" s="298"/>
    </row>
    <row r="523" spans="14:19" hidden="1" x14ac:dyDescent="0.25">
      <c r="N523" s="17">
        <v>251.89999999999699</v>
      </c>
      <c r="O523" s="16" t="s">
        <v>126</v>
      </c>
      <c r="R523" s="6"/>
      <c r="S523" s="298"/>
    </row>
    <row r="524" spans="14:19" hidden="1" x14ac:dyDescent="0.25">
      <c r="N524" s="17">
        <v>251.99999999999699</v>
      </c>
      <c r="O524" s="16" t="s">
        <v>127</v>
      </c>
      <c r="R524" s="6"/>
      <c r="S524" s="298"/>
    </row>
    <row r="525" spans="14:19" hidden="1" x14ac:dyDescent="0.25">
      <c r="N525" s="17">
        <v>252.09999999999701</v>
      </c>
      <c r="O525" s="16" t="s">
        <v>128</v>
      </c>
      <c r="R525" s="6"/>
      <c r="S525" s="298"/>
    </row>
    <row r="526" spans="14:19" hidden="1" x14ac:dyDescent="0.25">
      <c r="N526" s="17">
        <v>252.199999999997</v>
      </c>
      <c r="O526" s="16" t="s">
        <v>129</v>
      </c>
      <c r="R526" s="6"/>
      <c r="S526" s="298"/>
    </row>
    <row r="527" spans="14:19" hidden="1" x14ac:dyDescent="0.25">
      <c r="N527" s="17">
        <v>252.299999999997</v>
      </c>
      <c r="O527" s="16" t="s">
        <v>130</v>
      </c>
      <c r="R527" s="6"/>
      <c r="S527" s="298"/>
    </row>
    <row r="528" spans="14:19" hidden="1" x14ac:dyDescent="0.25">
      <c r="N528" s="17">
        <v>252.39999999999699</v>
      </c>
      <c r="O528" s="16" t="s">
        <v>131</v>
      </c>
      <c r="R528" s="6"/>
      <c r="S528" s="298"/>
    </row>
    <row r="529" spans="14:19" hidden="1" x14ac:dyDescent="0.25">
      <c r="N529" s="17">
        <v>252.49999999999699</v>
      </c>
      <c r="O529" s="16" t="s">
        <v>132</v>
      </c>
      <c r="R529" s="6"/>
      <c r="S529" s="298"/>
    </row>
    <row r="530" spans="14:19" hidden="1" x14ac:dyDescent="0.25">
      <c r="N530" s="17">
        <v>252.59999999999701</v>
      </c>
      <c r="O530" s="16" t="s">
        <v>133</v>
      </c>
      <c r="R530" s="6"/>
      <c r="S530" s="298"/>
    </row>
    <row r="531" spans="14:19" hidden="1" x14ac:dyDescent="0.25">
      <c r="N531" s="17">
        <v>252.699999999997</v>
      </c>
      <c r="O531" s="16" t="s">
        <v>134</v>
      </c>
      <c r="R531" s="6"/>
      <c r="S531" s="298"/>
    </row>
    <row r="532" spans="14:19" hidden="1" x14ac:dyDescent="0.25">
      <c r="N532" s="17">
        <v>252.799999999997</v>
      </c>
      <c r="O532" s="16" t="s">
        <v>135</v>
      </c>
      <c r="R532" s="6"/>
      <c r="S532" s="298"/>
    </row>
    <row r="533" spans="14:19" hidden="1" x14ac:dyDescent="0.25">
      <c r="N533" s="17">
        <v>252.89999999999699</v>
      </c>
      <c r="O533" s="16" t="s">
        <v>136</v>
      </c>
      <c r="R533" s="6"/>
      <c r="S533" s="298"/>
    </row>
    <row r="534" spans="14:19" hidden="1" x14ac:dyDescent="0.25">
      <c r="N534" s="17">
        <v>252.99999999999699</v>
      </c>
      <c r="O534" s="16" t="s">
        <v>137</v>
      </c>
      <c r="R534" s="6"/>
      <c r="S534" s="298"/>
    </row>
    <row r="535" spans="14:19" hidden="1" x14ac:dyDescent="0.25">
      <c r="N535" s="17">
        <v>253.09999999999701</v>
      </c>
      <c r="O535" s="16" t="s">
        <v>138</v>
      </c>
      <c r="R535" s="6"/>
      <c r="S535" s="298"/>
    </row>
    <row r="536" spans="14:19" hidden="1" x14ac:dyDescent="0.25">
      <c r="N536" s="17">
        <v>253.199999999997</v>
      </c>
      <c r="O536" s="16" t="s">
        <v>139</v>
      </c>
      <c r="R536" s="6"/>
      <c r="S536" s="298"/>
    </row>
    <row r="537" spans="14:19" hidden="1" x14ac:dyDescent="0.25">
      <c r="N537" s="17">
        <v>253.299999999997</v>
      </c>
      <c r="O537" s="16" t="s">
        <v>140</v>
      </c>
      <c r="R537" s="6"/>
      <c r="S537" s="298"/>
    </row>
    <row r="538" spans="14:19" hidden="1" x14ac:dyDescent="0.25">
      <c r="N538" s="17">
        <v>253.39999999999699</v>
      </c>
      <c r="O538" s="16" t="s">
        <v>141</v>
      </c>
      <c r="R538" s="6"/>
      <c r="S538" s="298"/>
    </row>
    <row r="539" spans="14:19" hidden="1" x14ac:dyDescent="0.25">
      <c r="N539" s="17">
        <v>253.49999999999699</v>
      </c>
      <c r="O539" s="16" t="s">
        <v>142</v>
      </c>
      <c r="R539" s="6"/>
      <c r="S539" s="298"/>
    </row>
    <row r="540" spans="14:19" hidden="1" x14ac:dyDescent="0.25">
      <c r="N540" s="17">
        <v>253.59999999999701</v>
      </c>
      <c r="O540" s="16" t="s">
        <v>143</v>
      </c>
      <c r="R540" s="6"/>
      <c r="S540" s="298"/>
    </row>
    <row r="541" spans="14:19" hidden="1" x14ac:dyDescent="0.25">
      <c r="N541" s="17">
        <v>253.699999999997</v>
      </c>
      <c r="O541" s="16" t="s">
        <v>144</v>
      </c>
      <c r="R541" s="6"/>
      <c r="S541" s="298"/>
    </row>
    <row r="542" spans="14:19" hidden="1" x14ac:dyDescent="0.25">
      <c r="N542" s="17">
        <v>253.799999999997</v>
      </c>
      <c r="O542" s="16" t="s">
        <v>145</v>
      </c>
      <c r="R542" s="6"/>
      <c r="S542" s="298"/>
    </row>
    <row r="543" spans="14:19" hidden="1" x14ac:dyDescent="0.25">
      <c r="N543" s="17">
        <v>253.89999999999699</v>
      </c>
      <c r="O543" s="16" t="s">
        <v>146</v>
      </c>
      <c r="R543" s="6"/>
      <c r="S543" s="298"/>
    </row>
    <row r="544" spans="14:19" hidden="1" x14ac:dyDescent="0.25">
      <c r="N544" s="17">
        <v>253.99999999999699</v>
      </c>
      <c r="O544" s="16" t="s">
        <v>147</v>
      </c>
      <c r="R544" s="6"/>
      <c r="S544" s="298"/>
    </row>
    <row r="545" spans="14:19" hidden="1" x14ac:dyDescent="0.25">
      <c r="N545" s="17">
        <v>254.09999999999701</v>
      </c>
      <c r="O545" s="16" t="s">
        <v>148</v>
      </c>
      <c r="R545" s="6"/>
      <c r="S545" s="298"/>
    </row>
    <row r="546" spans="14:19" hidden="1" x14ac:dyDescent="0.25">
      <c r="N546" s="17">
        <v>254.199999999997</v>
      </c>
      <c r="O546" s="16" t="s">
        <v>2387</v>
      </c>
      <c r="R546" s="6"/>
      <c r="S546" s="298"/>
    </row>
    <row r="547" spans="14:19" hidden="1" x14ac:dyDescent="0.25">
      <c r="N547" s="17">
        <v>254.299999999997</v>
      </c>
      <c r="O547" s="16" t="s">
        <v>2388</v>
      </c>
      <c r="R547" s="6"/>
      <c r="S547" s="298"/>
    </row>
    <row r="548" spans="14:19" hidden="1" x14ac:dyDescent="0.25">
      <c r="N548" s="17">
        <v>254.39999999999699</v>
      </c>
      <c r="O548" s="16" t="s">
        <v>2389</v>
      </c>
      <c r="R548" s="6"/>
      <c r="S548" s="298"/>
    </row>
    <row r="549" spans="14:19" hidden="1" x14ac:dyDescent="0.25">
      <c r="N549" s="17">
        <v>254.49999999999699</v>
      </c>
      <c r="O549" s="16" t="s">
        <v>2390</v>
      </c>
      <c r="R549" s="6"/>
      <c r="S549" s="298"/>
    </row>
    <row r="550" spans="14:19" hidden="1" x14ac:dyDescent="0.25">
      <c r="N550" s="17">
        <v>254.59999999999701</v>
      </c>
      <c r="O550" s="16" t="s">
        <v>2391</v>
      </c>
      <c r="R550" s="6"/>
      <c r="S550" s="298"/>
    </row>
    <row r="551" spans="14:19" hidden="1" x14ac:dyDescent="0.25">
      <c r="N551" s="17">
        <v>254.699999999997</v>
      </c>
      <c r="O551" s="16" t="s">
        <v>2392</v>
      </c>
      <c r="R551" s="6"/>
      <c r="S551" s="298"/>
    </row>
    <row r="552" spans="14:19" hidden="1" x14ac:dyDescent="0.25">
      <c r="N552" s="17">
        <v>254.799999999997</v>
      </c>
      <c r="O552" s="16" t="s">
        <v>2393</v>
      </c>
      <c r="R552" s="6"/>
      <c r="S552" s="298"/>
    </row>
    <row r="553" spans="14:19" hidden="1" x14ac:dyDescent="0.25">
      <c r="N553" s="17">
        <v>254.89999999999699</v>
      </c>
      <c r="O553" s="16" t="s">
        <v>2394</v>
      </c>
      <c r="R553" s="6"/>
      <c r="S553" s="298"/>
    </row>
    <row r="554" spans="14:19" hidden="1" x14ac:dyDescent="0.25">
      <c r="N554" s="17">
        <v>254.99999999999699</v>
      </c>
      <c r="O554" s="16" t="s">
        <v>2395</v>
      </c>
      <c r="R554" s="6"/>
      <c r="S554" s="298"/>
    </row>
    <row r="555" spans="14:19" hidden="1" x14ac:dyDescent="0.25">
      <c r="N555" s="17">
        <v>255.09999999999701</v>
      </c>
      <c r="O555" s="16" t="s">
        <v>2396</v>
      </c>
      <c r="R555" s="6"/>
      <c r="S555" s="298"/>
    </row>
    <row r="556" spans="14:19" hidden="1" x14ac:dyDescent="0.25">
      <c r="N556" s="17">
        <v>255.199999999997</v>
      </c>
      <c r="O556" s="16" t="s">
        <v>2397</v>
      </c>
      <c r="R556" s="6"/>
      <c r="S556" s="298"/>
    </row>
    <row r="557" spans="14:19" hidden="1" x14ac:dyDescent="0.25">
      <c r="N557" s="17">
        <v>255.299999999997</v>
      </c>
      <c r="O557" s="16" t="s">
        <v>2398</v>
      </c>
      <c r="R557" s="6"/>
      <c r="S557" s="298"/>
    </row>
    <row r="558" spans="14:19" hidden="1" x14ac:dyDescent="0.25">
      <c r="N558" s="17">
        <v>255.39999999999699</v>
      </c>
      <c r="O558" s="16" t="s">
        <v>2399</v>
      </c>
      <c r="R558" s="6"/>
      <c r="S558" s="298"/>
    </row>
    <row r="559" spans="14:19" hidden="1" x14ac:dyDescent="0.25">
      <c r="N559" s="17">
        <v>255.49999999999699</v>
      </c>
      <c r="O559" s="16" t="s">
        <v>2400</v>
      </c>
      <c r="R559" s="6"/>
      <c r="S559" s="298"/>
    </row>
    <row r="560" spans="14:19" hidden="1" x14ac:dyDescent="0.25">
      <c r="N560" s="17">
        <v>255.59999999999701</v>
      </c>
      <c r="O560" s="16" t="s">
        <v>2401</v>
      </c>
      <c r="R560" s="6"/>
      <c r="S560" s="298"/>
    </row>
    <row r="561" spans="14:19" hidden="1" x14ac:dyDescent="0.25">
      <c r="N561" s="17">
        <v>255.699999999997</v>
      </c>
      <c r="O561" s="16" t="s">
        <v>2402</v>
      </c>
      <c r="R561" s="6"/>
      <c r="S561" s="298"/>
    </row>
    <row r="562" spans="14:19" hidden="1" x14ac:dyDescent="0.25">
      <c r="N562" s="17">
        <v>255.799999999997</v>
      </c>
      <c r="O562" s="16" t="s">
        <v>2403</v>
      </c>
      <c r="R562" s="6"/>
      <c r="S562" s="298"/>
    </row>
    <row r="563" spans="14:19" hidden="1" x14ac:dyDescent="0.25">
      <c r="N563" s="17">
        <v>255.89999999999699</v>
      </c>
      <c r="O563" s="16" t="s">
        <v>2404</v>
      </c>
      <c r="R563" s="6"/>
      <c r="S563" s="298"/>
    </row>
    <row r="564" spans="14:19" hidden="1" x14ac:dyDescent="0.25">
      <c r="N564" s="17">
        <v>255.99999999999699</v>
      </c>
      <c r="O564" s="16" t="s">
        <v>2405</v>
      </c>
      <c r="R564" s="6"/>
      <c r="S564" s="298"/>
    </row>
    <row r="565" spans="14:19" hidden="1" x14ac:dyDescent="0.25">
      <c r="N565" s="17">
        <v>256.09999999999701</v>
      </c>
      <c r="O565" s="16" t="s">
        <v>2406</v>
      </c>
      <c r="R565" s="6"/>
      <c r="S565" s="298"/>
    </row>
    <row r="566" spans="14:19" hidden="1" x14ac:dyDescent="0.25">
      <c r="N566" s="17">
        <v>256.19999999999698</v>
      </c>
      <c r="O566" s="16" t="s">
        <v>2407</v>
      </c>
      <c r="R566" s="6"/>
      <c r="S566" s="298"/>
    </row>
    <row r="567" spans="14:19" hidden="1" x14ac:dyDescent="0.25">
      <c r="N567" s="17">
        <v>256.299999999997</v>
      </c>
      <c r="O567" s="16" t="s">
        <v>2408</v>
      </c>
      <c r="R567" s="6"/>
      <c r="S567" s="298"/>
    </row>
    <row r="568" spans="14:19" hidden="1" x14ac:dyDescent="0.25">
      <c r="N568" s="17">
        <v>256.39999999999702</v>
      </c>
      <c r="O568" s="16" t="s">
        <v>2409</v>
      </c>
      <c r="R568" s="6"/>
      <c r="S568" s="298"/>
    </row>
    <row r="569" spans="14:19" hidden="1" x14ac:dyDescent="0.25">
      <c r="N569" s="17">
        <v>256.49999999999699</v>
      </c>
      <c r="O569" s="16" t="s">
        <v>2410</v>
      </c>
      <c r="R569" s="6"/>
      <c r="S569" s="298"/>
    </row>
    <row r="570" spans="14:19" hidden="1" x14ac:dyDescent="0.25">
      <c r="N570" s="17">
        <v>256.59999999999701</v>
      </c>
      <c r="O570" s="16" t="s">
        <v>2411</v>
      </c>
      <c r="R570" s="6"/>
      <c r="S570" s="298"/>
    </row>
    <row r="571" spans="14:19" hidden="1" x14ac:dyDescent="0.25">
      <c r="N571" s="17">
        <v>256.69999999999698</v>
      </c>
      <c r="O571" s="16" t="s">
        <v>2412</v>
      </c>
      <c r="R571" s="6"/>
      <c r="S571" s="298"/>
    </row>
    <row r="572" spans="14:19" hidden="1" x14ac:dyDescent="0.25">
      <c r="N572" s="17">
        <v>256.799999999997</v>
      </c>
      <c r="O572" s="16" t="s">
        <v>191</v>
      </c>
      <c r="R572" s="6"/>
      <c r="S572" s="298"/>
    </row>
    <row r="573" spans="14:19" hidden="1" x14ac:dyDescent="0.25">
      <c r="N573" s="17">
        <v>256.89999999999702</v>
      </c>
      <c r="O573" s="16" t="s">
        <v>1165</v>
      </c>
      <c r="R573" s="6"/>
      <c r="S573" s="298"/>
    </row>
    <row r="574" spans="14:19" hidden="1" x14ac:dyDescent="0.25">
      <c r="N574" s="17">
        <v>256.99999999999699</v>
      </c>
      <c r="O574" s="16" t="s">
        <v>1166</v>
      </c>
      <c r="R574" s="6"/>
      <c r="S574" s="298"/>
    </row>
    <row r="575" spans="14:19" hidden="1" x14ac:dyDescent="0.25">
      <c r="N575" s="17">
        <v>257.09999999999701</v>
      </c>
      <c r="O575" s="16" t="s">
        <v>1167</v>
      </c>
      <c r="R575" s="6"/>
      <c r="S575" s="298"/>
    </row>
    <row r="576" spans="14:19" hidden="1" x14ac:dyDescent="0.25">
      <c r="N576" s="17">
        <v>257.19999999999698</v>
      </c>
      <c r="O576" s="16" t="s">
        <v>1168</v>
      </c>
      <c r="R576" s="6"/>
      <c r="S576" s="298"/>
    </row>
    <row r="577" spans="14:19" hidden="1" x14ac:dyDescent="0.25">
      <c r="N577" s="17">
        <v>257.299999999997</v>
      </c>
      <c r="O577" s="16" t="s">
        <v>1169</v>
      </c>
      <c r="R577" s="6"/>
      <c r="S577" s="298"/>
    </row>
    <row r="578" spans="14:19" hidden="1" x14ac:dyDescent="0.25">
      <c r="N578" s="17">
        <v>257.39999999999702</v>
      </c>
      <c r="O578" s="16" t="s">
        <v>1170</v>
      </c>
      <c r="R578" s="6"/>
      <c r="S578" s="298"/>
    </row>
    <row r="579" spans="14:19" hidden="1" x14ac:dyDescent="0.25">
      <c r="N579" s="17">
        <v>257.49999999999699</v>
      </c>
      <c r="O579" s="16" t="s">
        <v>1171</v>
      </c>
      <c r="R579" s="6"/>
      <c r="S579" s="298"/>
    </row>
    <row r="580" spans="14:19" hidden="1" x14ac:dyDescent="0.25">
      <c r="N580" s="17">
        <v>257.59999999999701</v>
      </c>
      <c r="O580" s="16" t="s">
        <v>1172</v>
      </c>
      <c r="R580" s="6"/>
      <c r="S580" s="298"/>
    </row>
    <row r="581" spans="14:19" hidden="1" x14ac:dyDescent="0.25">
      <c r="N581" s="17">
        <v>257.69999999999698</v>
      </c>
      <c r="O581" s="16" t="s">
        <v>1173</v>
      </c>
      <c r="R581" s="6"/>
      <c r="S581" s="298"/>
    </row>
    <row r="582" spans="14:19" hidden="1" x14ac:dyDescent="0.25">
      <c r="N582" s="17">
        <v>257.799999999997</v>
      </c>
      <c r="O582" s="16" t="s">
        <v>1174</v>
      </c>
      <c r="R582" s="6"/>
      <c r="S582" s="298"/>
    </row>
    <row r="583" spans="14:19" hidden="1" x14ac:dyDescent="0.25">
      <c r="N583" s="17">
        <v>257.89999999999702</v>
      </c>
      <c r="O583" s="16" t="s">
        <v>1175</v>
      </c>
      <c r="R583" s="6"/>
      <c r="S583" s="298"/>
    </row>
    <row r="584" spans="14:19" hidden="1" x14ac:dyDescent="0.25">
      <c r="N584" s="17">
        <v>257.99999999999699</v>
      </c>
      <c r="O584" s="16" t="s">
        <v>1176</v>
      </c>
      <c r="R584" s="6"/>
      <c r="S584" s="298"/>
    </row>
    <row r="585" spans="14:19" hidden="1" x14ac:dyDescent="0.25">
      <c r="N585" s="17">
        <v>258.09999999999701</v>
      </c>
      <c r="O585" s="16" t="s">
        <v>1177</v>
      </c>
      <c r="R585" s="6"/>
      <c r="S585" s="298"/>
    </row>
    <row r="586" spans="14:19" hidden="1" x14ac:dyDescent="0.25">
      <c r="N586" s="17">
        <v>258.19999999999698</v>
      </c>
      <c r="O586" s="16" t="s">
        <v>1178</v>
      </c>
      <c r="R586" s="6"/>
      <c r="S586" s="298"/>
    </row>
    <row r="587" spans="14:19" hidden="1" x14ac:dyDescent="0.25">
      <c r="N587" s="17">
        <v>258.299999999997</v>
      </c>
      <c r="O587" s="16" t="s">
        <v>1179</v>
      </c>
      <c r="R587" s="6"/>
      <c r="S587" s="298"/>
    </row>
    <row r="588" spans="14:19" hidden="1" x14ac:dyDescent="0.25">
      <c r="N588" s="17">
        <v>258.39999999999702</v>
      </c>
      <c r="O588" s="16" t="s">
        <v>1180</v>
      </c>
      <c r="R588" s="6"/>
      <c r="S588" s="298"/>
    </row>
    <row r="589" spans="14:19" hidden="1" x14ac:dyDescent="0.25">
      <c r="N589" s="17">
        <v>258.49999999999699</v>
      </c>
      <c r="O589" s="16" t="s">
        <v>1181</v>
      </c>
      <c r="R589" s="6"/>
      <c r="S589" s="298"/>
    </row>
    <row r="590" spans="14:19" hidden="1" x14ac:dyDescent="0.25">
      <c r="N590" s="17">
        <v>258.59999999999701</v>
      </c>
      <c r="O590" s="16" t="s">
        <v>217</v>
      </c>
      <c r="R590" s="6"/>
      <c r="S590" s="298"/>
    </row>
    <row r="591" spans="14:19" hidden="1" x14ac:dyDescent="0.25">
      <c r="N591" s="17">
        <v>258.69999999999698</v>
      </c>
      <c r="O591" s="16" t="s">
        <v>218</v>
      </c>
      <c r="R591" s="6"/>
      <c r="S591" s="298"/>
    </row>
    <row r="592" spans="14:19" hidden="1" x14ac:dyDescent="0.25">
      <c r="N592" s="17">
        <v>258.799999999997</v>
      </c>
      <c r="O592" s="16" t="s">
        <v>219</v>
      </c>
      <c r="R592" s="6"/>
      <c r="S592" s="298"/>
    </row>
    <row r="593" spans="14:19" hidden="1" x14ac:dyDescent="0.25">
      <c r="N593" s="17">
        <v>258.89999999999702</v>
      </c>
      <c r="O593" s="16" t="s">
        <v>220</v>
      </c>
      <c r="R593" s="6"/>
      <c r="S593" s="298"/>
    </row>
    <row r="594" spans="14:19" hidden="1" x14ac:dyDescent="0.25">
      <c r="N594" s="17">
        <v>258.99999999999699</v>
      </c>
      <c r="O594" s="16" t="s">
        <v>221</v>
      </c>
      <c r="R594" s="6"/>
      <c r="S594" s="298"/>
    </row>
    <row r="595" spans="14:19" hidden="1" x14ac:dyDescent="0.25">
      <c r="N595" s="17">
        <v>259.09999999999701</v>
      </c>
      <c r="O595" s="16" t="s">
        <v>222</v>
      </c>
      <c r="R595" s="6"/>
      <c r="S595" s="298"/>
    </row>
    <row r="596" spans="14:19" hidden="1" x14ac:dyDescent="0.25">
      <c r="N596" s="17">
        <v>259.19999999999698</v>
      </c>
      <c r="O596" s="16" t="s">
        <v>223</v>
      </c>
      <c r="R596" s="6"/>
      <c r="S596" s="298"/>
    </row>
    <row r="597" spans="14:19" hidden="1" x14ac:dyDescent="0.25">
      <c r="N597" s="17">
        <v>259.299999999997</v>
      </c>
      <c r="O597" s="16" t="s">
        <v>224</v>
      </c>
      <c r="R597" s="6"/>
      <c r="S597" s="298"/>
    </row>
    <row r="598" spans="14:19" hidden="1" x14ac:dyDescent="0.25">
      <c r="N598" s="17">
        <v>259.39999999999702</v>
      </c>
      <c r="O598" s="16" t="s">
        <v>225</v>
      </c>
      <c r="R598" s="6"/>
      <c r="S598" s="298"/>
    </row>
    <row r="599" spans="14:19" hidden="1" x14ac:dyDescent="0.25">
      <c r="N599" s="17">
        <v>259.49999999999699</v>
      </c>
      <c r="O599" s="16" t="s">
        <v>226</v>
      </c>
      <c r="R599" s="6"/>
      <c r="S599" s="298"/>
    </row>
    <row r="600" spans="14:19" hidden="1" x14ac:dyDescent="0.25">
      <c r="N600" s="17">
        <v>259.59999999999701</v>
      </c>
      <c r="O600" s="16" t="s">
        <v>438</v>
      </c>
      <c r="R600" s="6"/>
      <c r="S600" s="298"/>
    </row>
    <row r="601" spans="14:19" hidden="1" x14ac:dyDescent="0.25">
      <c r="N601" s="17">
        <v>259.69999999999698</v>
      </c>
      <c r="O601" s="16" t="s">
        <v>439</v>
      </c>
      <c r="R601" s="6"/>
      <c r="S601" s="298"/>
    </row>
    <row r="602" spans="14:19" hidden="1" x14ac:dyDescent="0.25">
      <c r="N602" s="17">
        <v>259.799999999997</v>
      </c>
      <c r="O602" s="16" t="s">
        <v>219</v>
      </c>
      <c r="R602" s="6"/>
      <c r="S602" s="298"/>
    </row>
    <row r="603" spans="14:19" hidden="1" x14ac:dyDescent="0.25">
      <c r="N603" s="17">
        <v>259.89999999999702</v>
      </c>
      <c r="O603" s="16" t="s">
        <v>220</v>
      </c>
      <c r="R603" s="6"/>
      <c r="S603" s="298"/>
    </row>
    <row r="604" spans="14:19" hidden="1" x14ac:dyDescent="0.25">
      <c r="N604" s="17">
        <v>259.99999999999699</v>
      </c>
      <c r="O604" s="16" t="s">
        <v>440</v>
      </c>
      <c r="R604" s="6"/>
      <c r="S604" s="298"/>
    </row>
    <row r="605" spans="14:19" hidden="1" x14ac:dyDescent="0.25">
      <c r="N605" s="17">
        <v>260.09999999999701</v>
      </c>
      <c r="O605" s="16" t="s">
        <v>441</v>
      </c>
      <c r="R605" s="6"/>
      <c r="S605" s="298"/>
    </row>
    <row r="606" spans="14:19" hidden="1" x14ac:dyDescent="0.25">
      <c r="N606" s="17">
        <v>260.19999999999698</v>
      </c>
      <c r="O606" s="16" t="s">
        <v>442</v>
      </c>
      <c r="R606" s="6"/>
      <c r="S606" s="298"/>
    </row>
    <row r="607" spans="14:19" hidden="1" x14ac:dyDescent="0.25">
      <c r="N607" s="17">
        <v>260.299999999997</v>
      </c>
      <c r="O607" s="16" t="s">
        <v>443</v>
      </c>
      <c r="R607" s="6"/>
      <c r="S607" s="298"/>
    </row>
    <row r="608" spans="14:19" hidden="1" x14ac:dyDescent="0.25">
      <c r="N608" s="17">
        <v>260.39999999999702</v>
      </c>
      <c r="O608" s="16" t="s">
        <v>444</v>
      </c>
      <c r="R608" s="6"/>
      <c r="S608" s="298"/>
    </row>
    <row r="609" spans="14:19" hidden="1" x14ac:dyDescent="0.25">
      <c r="N609" s="17">
        <v>260.49999999999699</v>
      </c>
      <c r="O609" s="16" t="s">
        <v>445</v>
      </c>
      <c r="R609" s="6"/>
      <c r="S609" s="298"/>
    </row>
    <row r="610" spans="14:19" hidden="1" x14ac:dyDescent="0.25">
      <c r="N610" s="17">
        <v>260.59999999999701</v>
      </c>
      <c r="O610" s="16" t="s">
        <v>446</v>
      </c>
      <c r="R610" s="6"/>
      <c r="S610" s="298"/>
    </row>
    <row r="611" spans="14:19" hidden="1" x14ac:dyDescent="0.25">
      <c r="N611" s="17">
        <v>260.69999999999698</v>
      </c>
      <c r="O611" s="16" t="s">
        <v>447</v>
      </c>
      <c r="R611" s="6"/>
      <c r="S611" s="298"/>
    </row>
    <row r="612" spans="14:19" hidden="1" x14ac:dyDescent="0.25">
      <c r="N612" s="17">
        <v>260.79999999999598</v>
      </c>
      <c r="O612" s="16" t="s">
        <v>448</v>
      </c>
      <c r="R612" s="6"/>
      <c r="S612" s="298"/>
    </row>
    <row r="613" spans="14:19" hidden="1" x14ac:dyDescent="0.25">
      <c r="N613" s="17">
        <v>260.89999999999702</v>
      </c>
      <c r="O613" s="16" t="s">
        <v>449</v>
      </c>
      <c r="R613" s="6"/>
      <c r="S613" s="298"/>
    </row>
    <row r="614" spans="14:19" hidden="1" x14ac:dyDescent="0.25">
      <c r="N614" s="17">
        <v>260.99999999999602</v>
      </c>
      <c r="O614" s="16" t="s">
        <v>450</v>
      </c>
      <c r="R614" s="6"/>
      <c r="S614" s="298"/>
    </row>
    <row r="615" spans="14:19" hidden="1" x14ac:dyDescent="0.25">
      <c r="N615" s="17">
        <v>261.09999999999599</v>
      </c>
      <c r="O615" s="16" t="s">
        <v>451</v>
      </c>
      <c r="R615" s="6"/>
      <c r="S615" s="298"/>
    </row>
    <row r="616" spans="14:19" hidden="1" x14ac:dyDescent="0.25">
      <c r="N616" s="17">
        <v>261.19999999999698</v>
      </c>
      <c r="O616" s="16" t="s">
        <v>452</v>
      </c>
      <c r="R616" s="6"/>
      <c r="S616" s="298"/>
    </row>
    <row r="617" spans="14:19" hidden="1" x14ac:dyDescent="0.25">
      <c r="N617" s="17">
        <v>261.29999999999598</v>
      </c>
      <c r="O617" s="16" t="s">
        <v>453</v>
      </c>
      <c r="R617" s="6"/>
      <c r="S617" s="298"/>
    </row>
    <row r="618" spans="14:19" hidden="1" x14ac:dyDescent="0.25">
      <c r="N618" s="17">
        <v>261.39999999999702</v>
      </c>
      <c r="O618" s="16" t="s">
        <v>454</v>
      </c>
      <c r="R618" s="6"/>
      <c r="S618" s="298"/>
    </row>
    <row r="619" spans="14:19" hidden="1" x14ac:dyDescent="0.25">
      <c r="N619" s="17">
        <v>261.49999999999602</v>
      </c>
      <c r="O619" s="16" t="s">
        <v>455</v>
      </c>
      <c r="R619" s="6"/>
      <c r="S619" s="298"/>
    </row>
    <row r="620" spans="14:19" hidden="1" x14ac:dyDescent="0.25">
      <c r="N620" s="17">
        <v>261.59999999999599</v>
      </c>
      <c r="O620" s="16" t="s">
        <v>456</v>
      </c>
      <c r="R620" s="6"/>
      <c r="S620" s="298"/>
    </row>
    <row r="621" spans="14:19" hidden="1" x14ac:dyDescent="0.25">
      <c r="N621" s="17">
        <v>261.69999999999698</v>
      </c>
      <c r="O621" s="16" t="s">
        <v>457</v>
      </c>
      <c r="R621" s="6"/>
      <c r="S621" s="298"/>
    </row>
    <row r="622" spans="14:19" hidden="1" x14ac:dyDescent="0.25">
      <c r="N622" s="17">
        <v>261.79999999999598</v>
      </c>
      <c r="O622" s="16" t="s">
        <v>458</v>
      </c>
      <c r="R622" s="6"/>
      <c r="S622" s="298"/>
    </row>
    <row r="623" spans="14:19" hidden="1" x14ac:dyDescent="0.25">
      <c r="N623" s="17">
        <v>261.89999999999702</v>
      </c>
      <c r="O623" s="16" t="s">
        <v>459</v>
      </c>
      <c r="R623" s="6"/>
      <c r="S623" s="298"/>
    </row>
    <row r="624" spans="14:19" hidden="1" x14ac:dyDescent="0.25">
      <c r="N624" s="17">
        <v>261.99999999999602</v>
      </c>
      <c r="O624" s="16" t="s">
        <v>2665</v>
      </c>
      <c r="R624" s="6"/>
      <c r="S624" s="298"/>
    </row>
    <row r="625" spans="14:19" hidden="1" x14ac:dyDescent="0.25">
      <c r="N625" s="17">
        <v>262.09999999999599</v>
      </c>
      <c r="O625" s="16" t="s">
        <v>2666</v>
      </c>
      <c r="R625" s="6"/>
      <c r="S625" s="298"/>
    </row>
    <row r="626" spans="14:19" hidden="1" x14ac:dyDescent="0.25">
      <c r="N626" s="17">
        <v>262.19999999999698</v>
      </c>
      <c r="O626" s="16" t="s">
        <v>2667</v>
      </c>
      <c r="R626" s="6"/>
      <c r="S626" s="298"/>
    </row>
    <row r="627" spans="14:19" hidden="1" x14ac:dyDescent="0.25">
      <c r="N627" s="17">
        <v>262.29999999999598</v>
      </c>
      <c r="O627" s="16" t="s">
        <v>2668</v>
      </c>
      <c r="R627" s="6"/>
      <c r="S627" s="298"/>
    </row>
    <row r="628" spans="14:19" hidden="1" x14ac:dyDescent="0.25">
      <c r="N628" s="17">
        <v>262.39999999999702</v>
      </c>
      <c r="O628" s="16" t="s">
        <v>2669</v>
      </c>
      <c r="R628" s="6"/>
      <c r="S628" s="298"/>
    </row>
    <row r="629" spans="14:19" hidden="1" x14ac:dyDescent="0.25">
      <c r="N629" s="17">
        <v>262.49999999999602</v>
      </c>
      <c r="O629" s="16" t="s">
        <v>2670</v>
      </c>
      <c r="R629" s="6"/>
      <c r="S629" s="298"/>
    </row>
    <row r="630" spans="14:19" hidden="1" x14ac:dyDescent="0.25">
      <c r="N630" s="17">
        <v>262.59999999999599</v>
      </c>
      <c r="O630" s="16" t="s">
        <v>2671</v>
      </c>
      <c r="R630" s="6"/>
      <c r="S630" s="298"/>
    </row>
    <row r="631" spans="14:19" hidden="1" x14ac:dyDescent="0.25">
      <c r="N631" s="17">
        <v>262.69999999999601</v>
      </c>
      <c r="O631" s="16" t="s">
        <v>2694</v>
      </c>
      <c r="R631" s="6"/>
      <c r="S631" s="298"/>
    </row>
    <row r="632" spans="14:19" hidden="1" x14ac:dyDescent="0.25">
      <c r="N632" s="17">
        <v>262.79999999999598</v>
      </c>
      <c r="O632" s="16" t="s">
        <v>2695</v>
      </c>
      <c r="R632" s="6"/>
      <c r="S632" s="298"/>
    </row>
    <row r="633" spans="14:19" hidden="1" x14ac:dyDescent="0.25">
      <c r="N633" s="17">
        <v>262.899999999996</v>
      </c>
      <c r="O633" s="16" t="s">
        <v>2696</v>
      </c>
      <c r="R633" s="6"/>
      <c r="S633" s="298"/>
    </row>
    <row r="634" spans="14:19" hidden="1" x14ac:dyDescent="0.25">
      <c r="N634" s="17">
        <v>262.99999999999602</v>
      </c>
      <c r="O634" s="16" t="s">
        <v>2697</v>
      </c>
      <c r="R634" s="6"/>
      <c r="S634" s="298"/>
    </row>
    <row r="635" spans="14:19" hidden="1" x14ac:dyDescent="0.25">
      <c r="N635" s="17">
        <v>263.09999999999599</v>
      </c>
      <c r="O635" s="16" t="s">
        <v>2698</v>
      </c>
      <c r="R635" s="6"/>
      <c r="S635" s="298"/>
    </row>
    <row r="636" spans="14:19" hidden="1" x14ac:dyDescent="0.25">
      <c r="N636" s="17">
        <v>263.19999999999601</v>
      </c>
      <c r="O636" s="16" t="s">
        <v>2699</v>
      </c>
      <c r="R636" s="6"/>
      <c r="S636" s="298"/>
    </row>
    <row r="637" spans="14:19" hidden="1" x14ac:dyDescent="0.25">
      <c r="N637" s="17">
        <v>263.29999999999598</v>
      </c>
      <c r="O637" s="16" t="s">
        <v>2700</v>
      </c>
      <c r="R637" s="6"/>
      <c r="S637" s="298"/>
    </row>
    <row r="638" spans="14:19" hidden="1" x14ac:dyDescent="0.25">
      <c r="N638" s="17">
        <v>263.399999999996</v>
      </c>
      <c r="O638" s="16" t="s">
        <v>284</v>
      </c>
      <c r="R638" s="6"/>
      <c r="S638" s="298"/>
    </row>
    <row r="639" spans="14:19" hidden="1" x14ac:dyDescent="0.25">
      <c r="N639" s="17">
        <v>263.49999999999602</v>
      </c>
      <c r="O639" s="16" t="s">
        <v>285</v>
      </c>
      <c r="R639" s="6"/>
      <c r="S639" s="298"/>
    </row>
    <row r="640" spans="14:19" hidden="1" x14ac:dyDescent="0.25">
      <c r="N640" s="17">
        <v>263.59999999999599</v>
      </c>
      <c r="O640" s="16" t="s">
        <v>286</v>
      </c>
      <c r="R640" s="6"/>
      <c r="S640" s="298"/>
    </row>
    <row r="641" spans="14:19" hidden="1" x14ac:dyDescent="0.25">
      <c r="N641" s="17">
        <v>263.69999999999601</v>
      </c>
      <c r="O641" s="16" t="s">
        <v>287</v>
      </c>
      <c r="R641" s="6"/>
      <c r="S641" s="298"/>
    </row>
    <row r="642" spans="14:19" hidden="1" x14ac:dyDescent="0.25">
      <c r="N642" s="17">
        <v>263.79999999999598</v>
      </c>
      <c r="O642" s="16" t="s">
        <v>288</v>
      </c>
      <c r="R642" s="6"/>
      <c r="S642" s="298"/>
    </row>
    <row r="643" spans="14:19" hidden="1" x14ac:dyDescent="0.25">
      <c r="N643" s="17">
        <v>263.899999999996</v>
      </c>
      <c r="O643" s="16" t="s">
        <v>289</v>
      </c>
      <c r="R643" s="6"/>
      <c r="S643" s="298"/>
    </row>
    <row r="644" spans="14:19" hidden="1" x14ac:dyDescent="0.25">
      <c r="N644" s="17">
        <v>263.99999999999602</v>
      </c>
      <c r="O644" s="16" t="s">
        <v>290</v>
      </c>
      <c r="R644" s="6"/>
      <c r="S644" s="298"/>
    </row>
    <row r="645" spans="14:19" hidden="1" x14ac:dyDescent="0.25">
      <c r="N645" s="17">
        <v>264.09999999999599</v>
      </c>
      <c r="O645" s="16" t="s">
        <v>291</v>
      </c>
      <c r="R645" s="6"/>
      <c r="S645" s="298"/>
    </row>
    <row r="646" spans="14:19" hidden="1" x14ac:dyDescent="0.25">
      <c r="N646" s="17">
        <v>264.19999999999601</v>
      </c>
      <c r="O646" s="16" t="s">
        <v>1430</v>
      </c>
      <c r="R646" s="6"/>
      <c r="S646" s="298"/>
    </row>
    <row r="647" spans="14:19" hidden="1" x14ac:dyDescent="0.25">
      <c r="N647" s="17">
        <v>264.29999999999598</v>
      </c>
      <c r="O647" s="16" t="s">
        <v>1431</v>
      </c>
      <c r="R647" s="6"/>
      <c r="S647" s="298"/>
    </row>
    <row r="648" spans="14:19" hidden="1" x14ac:dyDescent="0.25">
      <c r="N648" s="17">
        <v>264.399999999996</v>
      </c>
      <c r="O648" s="16" t="s">
        <v>1432</v>
      </c>
      <c r="R648" s="6"/>
      <c r="S648" s="298"/>
    </row>
    <row r="649" spans="14:19" hidden="1" x14ac:dyDescent="0.25">
      <c r="N649" s="17">
        <v>264.49999999999602</v>
      </c>
      <c r="O649" s="16" t="s">
        <v>1433</v>
      </c>
      <c r="R649" s="6"/>
      <c r="S649" s="298"/>
    </row>
    <row r="650" spans="14:19" hidden="1" x14ac:dyDescent="0.25">
      <c r="N650" s="17">
        <v>264.59999999999599</v>
      </c>
      <c r="O650" s="16" t="s">
        <v>1434</v>
      </c>
      <c r="R650" s="6"/>
      <c r="S650" s="298"/>
    </row>
    <row r="651" spans="14:19" hidden="1" x14ac:dyDescent="0.25">
      <c r="N651" s="17">
        <v>264.69999999999601</v>
      </c>
      <c r="O651" s="16" t="s">
        <v>1435</v>
      </c>
      <c r="R651" s="6"/>
      <c r="S651" s="298"/>
    </row>
    <row r="652" spans="14:19" hidden="1" x14ac:dyDescent="0.25">
      <c r="N652" s="17">
        <v>264.79999999999598</v>
      </c>
      <c r="O652" s="16" t="s">
        <v>1436</v>
      </c>
      <c r="R652" s="6"/>
      <c r="S652" s="298"/>
    </row>
    <row r="653" spans="14:19" hidden="1" x14ac:dyDescent="0.25">
      <c r="N653" s="17">
        <v>264.899999999996</v>
      </c>
      <c r="O653" s="16" t="s">
        <v>1437</v>
      </c>
      <c r="R653" s="6"/>
      <c r="S653" s="298"/>
    </row>
    <row r="654" spans="14:19" hidden="1" x14ac:dyDescent="0.25">
      <c r="N654" s="17">
        <v>264.99999999999602</v>
      </c>
      <c r="O654" s="16" t="s">
        <v>1438</v>
      </c>
      <c r="R654" s="6"/>
      <c r="S654" s="298"/>
    </row>
    <row r="655" spans="14:19" hidden="1" x14ac:dyDescent="0.25">
      <c r="N655" s="17">
        <v>265.09999999999599</v>
      </c>
      <c r="O655" s="16" t="s">
        <v>1439</v>
      </c>
      <c r="R655" s="6"/>
      <c r="S655" s="298"/>
    </row>
    <row r="656" spans="14:19" hidden="1" x14ac:dyDescent="0.25">
      <c r="N656" s="17">
        <v>265.19999999999601</v>
      </c>
      <c r="O656" s="16" t="s">
        <v>1440</v>
      </c>
      <c r="R656" s="6"/>
      <c r="S656" s="298"/>
    </row>
    <row r="657" spans="14:19" hidden="1" x14ac:dyDescent="0.25">
      <c r="N657" s="17">
        <v>265.29999999999598</v>
      </c>
      <c r="O657" s="16" t="s">
        <v>1441</v>
      </c>
      <c r="R657" s="6"/>
      <c r="S657" s="298"/>
    </row>
    <row r="658" spans="14:19" hidden="1" x14ac:dyDescent="0.25">
      <c r="N658" s="17">
        <v>265.399999999996</v>
      </c>
      <c r="O658" s="16" t="s">
        <v>1442</v>
      </c>
      <c r="R658" s="6"/>
      <c r="S658" s="298"/>
    </row>
    <row r="659" spans="14:19" hidden="1" x14ac:dyDescent="0.25">
      <c r="N659" s="17">
        <v>265.49999999999602</v>
      </c>
      <c r="O659" s="16" t="s">
        <v>1443</v>
      </c>
      <c r="R659" s="6"/>
      <c r="S659" s="298"/>
    </row>
    <row r="660" spans="14:19" hidden="1" x14ac:dyDescent="0.25">
      <c r="N660" s="17">
        <v>265.59999999999599</v>
      </c>
      <c r="O660" s="16" t="s">
        <v>1444</v>
      </c>
      <c r="R660" s="6"/>
      <c r="S660" s="298"/>
    </row>
    <row r="661" spans="14:19" hidden="1" x14ac:dyDescent="0.25">
      <c r="N661" s="17">
        <v>265.69999999999601</v>
      </c>
      <c r="O661" s="16" t="s">
        <v>1445</v>
      </c>
      <c r="R661" s="6"/>
      <c r="S661" s="298"/>
    </row>
    <row r="662" spans="14:19" hidden="1" x14ac:dyDescent="0.25">
      <c r="N662" s="17">
        <v>265.79999999999598</v>
      </c>
      <c r="O662" s="16" t="s">
        <v>1446</v>
      </c>
      <c r="R662" s="6"/>
      <c r="S662" s="298"/>
    </row>
    <row r="663" spans="14:19" hidden="1" x14ac:dyDescent="0.25">
      <c r="N663" s="17">
        <v>265.899999999996</v>
      </c>
      <c r="O663" s="16" t="s">
        <v>1447</v>
      </c>
      <c r="R663" s="6"/>
      <c r="S663" s="298"/>
    </row>
    <row r="664" spans="14:19" hidden="1" x14ac:dyDescent="0.25">
      <c r="N664" s="17">
        <v>265.99999999999602</v>
      </c>
      <c r="O664" s="16" t="s">
        <v>1448</v>
      </c>
      <c r="R664" s="6"/>
      <c r="S664" s="298"/>
    </row>
    <row r="665" spans="14:19" hidden="1" x14ac:dyDescent="0.25">
      <c r="N665" s="17">
        <v>266.09999999999599</v>
      </c>
      <c r="O665" s="16" t="s">
        <v>1449</v>
      </c>
      <c r="R665" s="6"/>
      <c r="S665" s="298"/>
    </row>
    <row r="666" spans="14:19" hidden="1" x14ac:dyDescent="0.25">
      <c r="N666" s="17">
        <v>266.19999999999601</v>
      </c>
      <c r="O666" s="16" t="s">
        <v>1450</v>
      </c>
      <c r="R666" s="6"/>
      <c r="S666" s="298"/>
    </row>
    <row r="667" spans="14:19" hidden="1" x14ac:dyDescent="0.25">
      <c r="N667" s="17">
        <v>266.29999999999598</v>
      </c>
      <c r="O667" s="16" t="s">
        <v>1451</v>
      </c>
      <c r="R667" s="6"/>
      <c r="S667" s="298"/>
    </row>
    <row r="668" spans="14:19" hidden="1" x14ac:dyDescent="0.25">
      <c r="N668" s="17">
        <v>266.399999999996</v>
      </c>
      <c r="O668" s="16" t="s">
        <v>1452</v>
      </c>
      <c r="R668" s="6"/>
      <c r="S668" s="298"/>
    </row>
    <row r="669" spans="14:19" hidden="1" x14ac:dyDescent="0.25">
      <c r="N669" s="17">
        <v>266.49999999999602</v>
      </c>
      <c r="O669" s="16" t="s">
        <v>1453</v>
      </c>
      <c r="R669" s="6"/>
      <c r="S669" s="298"/>
    </row>
    <row r="670" spans="14:19" hidden="1" x14ac:dyDescent="0.25">
      <c r="N670" s="17">
        <v>266.59999999999599</v>
      </c>
      <c r="O670" s="16" t="s">
        <v>1454</v>
      </c>
      <c r="R670" s="6"/>
      <c r="S670" s="298"/>
    </row>
    <row r="671" spans="14:19" hidden="1" x14ac:dyDescent="0.25">
      <c r="N671" s="17">
        <v>266.69999999999601</v>
      </c>
      <c r="O671" s="16" t="s">
        <v>1455</v>
      </c>
      <c r="R671" s="6"/>
      <c r="S671" s="298"/>
    </row>
    <row r="672" spans="14:19" hidden="1" x14ac:dyDescent="0.25">
      <c r="N672" s="17">
        <v>266.79999999999598</v>
      </c>
      <c r="O672" s="16" t="s">
        <v>1456</v>
      </c>
      <c r="R672" s="6"/>
      <c r="S672" s="298"/>
    </row>
    <row r="673" spans="14:19" hidden="1" x14ac:dyDescent="0.25">
      <c r="N673" s="17">
        <v>266.899999999996</v>
      </c>
      <c r="O673" s="16" t="s">
        <v>1457</v>
      </c>
      <c r="R673" s="6"/>
      <c r="S673" s="298"/>
    </row>
    <row r="674" spans="14:19" hidden="1" x14ac:dyDescent="0.25">
      <c r="N674" s="17">
        <v>266.99999999999602</v>
      </c>
      <c r="O674" s="16" t="s">
        <v>1458</v>
      </c>
      <c r="R674" s="6"/>
      <c r="S674" s="298"/>
    </row>
    <row r="675" spans="14:19" hidden="1" x14ac:dyDescent="0.25">
      <c r="N675" s="17">
        <v>267.09999999999599</v>
      </c>
      <c r="O675" s="16" t="s">
        <v>1459</v>
      </c>
      <c r="R675" s="6"/>
      <c r="S675" s="298"/>
    </row>
    <row r="676" spans="14:19" hidden="1" x14ac:dyDescent="0.25">
      <c r="N676" s="17">
        <v>267.19999999999601</v>
      </c>
      <c r="O676" s="16" t="s">
        <v>1460</v>
      </c>
      <c r="R676" s="6"/>
      <c r="S676" s="298"/>
    </row>
    <row r="677" spans="14:19" hidden="1" x14ac:dyDescent="0.25">
      <c r="N677" s="17">
        <v>267.29999999999598</v>
      </c>
      <c r="O677" s="16" t="s">
        <v>1461</v>
      </c>
      <c r="R677" s="6"/>
      <c r="S677" s="298"/>
    </row>
    <row r="678" spans="14:19" hidden="1" x14ac:dyDescent="0.25">
      <c r="N678" s="17">
        <v>267.399999999996</v>
      </c>
      <c r="O678" s="16" t="s">
        <v>1462</v>
      </c>
      <c r="R678" s="6"/>
      <c r="S678" s="298"/>
    </row>
    <row r="679" spans="14:19" hidden="1" x14ac:dyDescent="0.25">
      <c r="N679" s="17">
        <v>267.49999999999602</v>
      </c>
      <c r="O679" s="16" t="s">
        <v>1463</v>
      </c>
      <c r="R679" s="6"/>
      <c r="S679" s="298"/>
    </row>
    <row r="680" spans="14:19" hidden="1" x14ac:dyDescent="0.25">
      <c r="N680" s="17">
        <v>267.59999999999599</v>
      </c>
      <c r="O680" s="16" t="s">
        <v>1464</v>
      </c>
      <c r="R680" s="6"/>
      <c r="S680" s="298"/>
    </row>
    <row r="681" spans="14:19" hidden="1" x14ac:dyDescent="0.25">
      <c r="N681" s="17">
        <v>267.69999999999601</v>
      </c>
      <c r="O681" s="16" t="s">
        <v>1465</v>
      </c>
      <c r="R681" s="6"/>
      <c r="S681" s="298"/>
    </row>
    <row r="682" spans="14:19" hidden="1" x14ac:dyDescent="0.25">
      <c r="N682" s="17">
        <v>267.79999999999598</v>
      </c>
      <c r="O682" s="16" t="s">
        <v>1466</v>
      </c>
      <c r="R682" s="6"/>
      <c r="S682" s="298"/>
    </row>
    <row r="683" spans="14:19" hidden="1" x14ac:dyDescent="0.25">
      <c r="N683" s="17">
        <v>267.899999999996</v>
      </c>
      <c r="O683" s="16" t="s">
        <v>1467</v>
      </c>
      <c r="R683" s="6"/>
      <c r="S683" s="298"/>
    </row>
    <row r="684" spans="14:19" hidden="1" x14ac:dyDescent="0.25">
      <c r="N684" s="17">
        <v>267.99999999999602</v>
      </c>
      <c r="O684" s="16" t="s">
        <v>1468</v>
      </c>
      <c r="R684" s="6"/>
      <c r="S684" s="298"/>
    </row>
    <row r="685" spans="14:19" hidden="1" x14ac:dyDescent="0.25">
      <c r="N685" s="17">
        <v>268.09999999999599</v>
      </c>
      <c r="O685" s="16" t="s">
        <v>1469</v>
      </c>
      <c r="R685" s="6"/>
      <c r="S685" s="298"/>
    </row>
    <row r="686" spans="14:19" hidden="1" x14ac:dyDescent="0.25">
      <c r="N686" s="17">
        <v>268.19999999999601</v>
      </c>
      <c r="O686" s="16" t="s">
        <v>1470</v>
      </c>
      <c r="R686" s="6"/>
      <c r="S686" s="298"/>
    </row>
    <row r="687" spans="14:19" hidden="1" x14ac:dyDescent="0.25">
      <c r="N687" s="17">
        <v>268.29999999999598</v>
      </c>
      <c r="O687" s="16" t="s">
        <v>1471</v>
      </c>
      <c r="R687" s="6"/>
      <c r="S687" s="298"/>
    </row>
    <row r="688" spans="14:19" hidden="1" x14ac:dyDescent="0.25">
      <c r="N688" s="17">
        <v>268.399999999996</v>
      </c>
      <c r="O688" s="16" t="s">
        <v>1472</v>
      </c>
      <c r="R688" s="6"/>
      <c r="S688" s="298"/>
    </row>
    <row r="689" spans="14:19" hidden="1" x14ac:dyDescent="0.25">
      <c r="N689" s="17">
        <v>268.49999999999602</v>
      </c>
      <c r="O689" s="16" t="s">
        <v>1473</v>
      </c>
      <c r="R689" s="6"/>
      <c r="S689" s="298"/>
    </row>
    <row r="690" spans="14:19" hidden="1" x14ac:dyDescent="0.25">
      <c r="N690" s="17">
        <v>268.59999999999599</v>
      </c>
      <c r="O690" s="16" t="s">
        <v>1474</v>
      </c>
      <c r="R690" s="6"/>
      <c r="S690" s="298"/>
    </row>
    <row r="691" spans="14:19" hidden="1" x14ac:dyDescent="0.25">
      <c r="N691" s="17">
        <v>268.69999999999601</v>
      </c>
      <c r="O691" s="16" t="s">
        <v>1475</v>
      </c>
      <c r="R691" s="6"/>
      <c r="S691" s="298"/>
    </row>
    <row r="692" spans="14:19" hidden="1" x14ac:dyDescent="0.25">
      <c r="N692" s="17">
        <v>268.79999999999598</v>
      </c>
      <c r="O692" s="16" t="s">
        <v>1476</v>
      </c>
      <c r="R692" s="6"/>
      <c r="S692" s="298"/>
    </row>
    <row r="693" spans="14:19" hidden="1" x14ac:dyDescent="0.25">
      <c r="N693" s="17">
        <v>268.899999999996</v>
      </c>
      <c r="O693" s="16" t="s">
        <v>535</v>
      </c>
      <c r="R693" s="6"/>
      <c r="S693" s="298"/>
    </row>
    <row r="694" spans="14:19" hidden="1" x14ac:dyDescent="0.25">
      <c r="N694" s="17">
        <v>268.99999999999602</v>
      </c>
      <c r="O694" s="16" t="s">
        <v>536</v>
      </c>
      <c r="R694" s="6"/>
      <c r="S694" s="298"/>
    </row>
    <row r="695" spans="14:19" hidden="1" x14ac:dyDescent="0.25">
      <c r="N695" s="17">
        <v>269.09999999999599</v>
      </c>
      <c r="O695" s="16" t="s">
        <v>537</v>
      </c>
      <c r="R695" s="6"/>
      <c r="S695" s="298"/>
    </row>
    <row r="696" spans="14:19" hidden="1" x14ac:dyDescent="0.25">
      <c r="N696" s="17">
        <v>269.19999999999601</v>
      </c>
      <c r="O696" s="16" t="s">
        <v>538</v>
      </c>
      <c r="R696" s="6"/>
      <c r="S696" s="298"/>
    </row>
    <row r="697" spans="14:19" hidden="1" x14ac:dyDescent="0.25">
      <c r="N697" s="17">
        <v>269.29999999999598</v>
      </c>
      <c r="O697" s="16" t="s">
        <v>539</v>
      </c>
      <c r="R697" s="6"/>
      <c r="S697" s="298"/>
    </row>
    <row r="698" spans="14:19" hidden="1" x14ac:dyDescent="0.25">
      <c r="N698" s="17">
        <v>269.399999999996</v>
      </c>
      <c r="O698" s="16" t="s">
        <v>540</v>
      </c>
      <c r="R698" s="6"/>
      <c r="S698" s="298"/>
    </row>
    <row r="699" spans="14:19" hidden="1" x14ac:dyDescent="0.25">
      <c r="N699" s="17">
        <v>269.49999999999602</v>
      </c>
      <c r="O699" s="16" t="s">
        <v>541</v>
      </c>
      <c r="R699" s="6"/>
      <c r="S699" s="298"/>
    </row>
    <row r="700" spans="14:19" hidden="1" x14ac:dyDescent="0.25">
      <c r="N700" s="17">
        <v>269.59999999999599</v>
      </c>
      <c r="O700" s="16" t="s">
        <v>542</v>
      </c>
      <c r="R700" s="6"/>
      <c r="S700" s="298"/>
    </row>
    <row r="701" spans="14:19" hidden="1" x14ac:dyDescent="0.25">
      <c r="N701" s="17">
        <v>269.69999999999601</v>
      </c>
      <c r="O701" s="16" t="s">
        <v>543</v>
      </c>
      <c r="R701" s="6"/>
      <c r="S701" s="298"/>
    </row>
    <row r="702" spans="14:19" hidden="1" x14ac:dyDescent="0.25">
      <c r="N702" s="17">
        <v>269.79999999999598</v>
      </c>
      <c r="O702" s="16" t="s">
        <v>544</v>
      </c>
      <c r="R702" s="6"/>
      <c r="S702" s="298"/>
    </row>
    <row r="703" spans="14:19" hidden="1" x14ac:dyDescent="0.25">
      <c r="N703" s="17">
        <v>269.899999999996</v>
      </c>
      <c r="O703" s="16" t="s">
        <v>545</v>
      </c>
      <c r="R703" s="6"/>
      <c r="S703" s="298"/>
    </row>
    <row r="704" spans="14:19" hidden="1" x14ac:dyDescent="0.25">
      <c r="N704" s="17">
        <v>269.99999999999602</v>
      </c>
      <c r="O704" s="16" t="s">
        <v>546</v>
      </c>
      <c r="R704" s="6"/>
      <c r="S704" s="298"/>
    </row>
    <row r="705" spans="14:19" hidden="1" x14ac:dyDescent="0.25">
      <c r="N705" s="17">
        <v>270.09999999999599</v>
      </c>
      <c r="O705" s="16" t="s">
        <v>547</v>
      </c>
      <c r="R705" s="6"/>
      <c r="S705" s="298"/>
    </row>
    <row r="706" spans="14:19" hidden="1" x14ac:dyDescent="0.25">
      <c r="N706" s="17">
        <v>270.19999999999601</v>
      </c>
      <c r="O706" s="16" t="s">
        <v>548</v>
      </c>
      <c r="R706" s="6"/>
      <c r="S706" s="298"/>
    </row>
    <row r="707" spans="14:19" hidden="1" x14ac:dyDescent="0.25">
      <c r="N707" s="17">
        <v>270.29999999999598</v>
      </c>
      <c r="O707" s="16" t="s">
        <v>549</v>
      </c>
      <c r="R707" s="6"/>
      <c r="S707" s="298"/>
    </row>
    <row r="708" spans="14:19" hidden="1" x14ac:dyDescent="0.25">
      <c r="N708" s="17">
        <v>270.399999999996</v>
      </c>
      <c r="O708" s="16" t="s">
        <v>550</v>
      </c>
      <c r="R708" s="6"/>
      <c r="S708" s="298"/>
    </row>
    <row r="709" spans="14:19" hidden="1" x14ac:dyDescent="0.25">
      <c r="N709" s="17">
        <v>270.49999999999602</v>
      </c>
      <c r="O709" s="16" t="s">
        <v>151</v>
      </c>
      <c r="R709" s="6"/>
      <c r="S709" s="298"/>
    </row>
    <row r="710" spans="14:19" hidden="1" x14ac:dyDescent="0.25">
      <c r="N710" s="17">
        <v>270.59999999999599</v>
      </c>
      <c r="O710" s="16" t="s">
        <v>152</v>
      </c>
      <c r="R710" s="6"/>
      <c r="S710" s="298"/>
    </row>
    <row r="711" spans="14:19" hidden="1" x14ac:dyDescent="0.25">
      <c r="N711" s="17">
        <v>270.69999999999601</v>
      </c>
      <c r="O711" s="16" t="s">
        <v>153</v>
      </c>
      <c r="R711" s="6"/>
      <c r="S711" s="298"/>
    </row>
    <row r="712" spans="14:19" hidden="1" x14ac:dyDescent="0.25">
      <c r="N712" s="17">
        <v>270.79999999999598</v>
      </c>
      <c r="O712" s="16" t="s">
        <v>154</v>
      </c>
      <c r="R712" s="6"/>
      <c r="S712" s="298"/>
    </row>
    <row r="713" spans="14:19" hidden="1" x14ac:dyDescent="0.25">
      <c r="N713" s="17">
        <v>270.899999999996</v>
      </c>
      <c r="O713" s="16" t="s">
        <v>155</v>
      </c>
      <c r="R713" s="6"/>
      <c r="S713" s="298"/>
    </row>
    <row r="714" spans="14:19" hidden="1" x14ac:dyDescent="0.25">
      <c r="N714" s="17">
        <v>270.99999999999602</v>
      </c>
      <c r="O714" s="16" t="s">
        <v>2295</v>
      </c>
      <c r="R714" s="6"/>
      <c r="S714" s="298"/>
    </row>
    <row r="715" spans="14:19" hidden="1" x14ac:dyDescent="0.25">
      <c r="N715" s="17">
        <v>271.09999999999599</v>
      </c>
      <c r="O715" s="16" t="s">
        <v>2296</v>
      </c>
      <c r="R715" s="6"/>
      <c r="S715" s="298"/>
    </row>
    <row r="716" spans="14:19" hidden="1" x14ac:dyDescent="0.25">
      <c r="N716" s="17">
        <v>271.19999999999601</v>
      </c>
      <c r="O716" s="16" t="s">
        <v>2297</v>
      </c>
      <c r="R716" s="6"/>
      <c r="S716" s="298"/>
    </row>
    <row r="717" spans="14:19" hidden="1" x14ac:dyDescent="0.25">
      <c r="N717" s="17">
        <v>271.29999999999598</v>
      </c>
      <c r="O717" s="16" t="s">
        <v>2298</v>
      </c>
      <c r="R717" s="6"/>
      <c r="S717" s="298"/>
    </row>
    <row r="718" spans="14:19" hidden="1" x14ac:dyDescent="0.25">
      <c r="N718" s="17">
        <v>271.399999999996</v>
      </c>
      <c r="O718" s="16" t="s">
        <v>2299</v>
      </c>
      <c r="R718" s="6"/>
      <c r="S718" s="298"/>
    </row>
    <row r="719" spans="14:19" hidden="1" x14ac:dyDescent="0.25">
      <c r="N719" s="17">
        <v>271.49999999999602</v>
      </c>
      <c r="O719" s="16" t="s">
        <v>2300</v>
      </c>
      <c r="R719" s="6"/>
      <c r="S719" s="298"/>
    </row>
    <row r="720" spans="14:19" hidden="1" x14ac:dyDescent="0.25">
      <c r="N720" s="17">
        <v>271.59999999999599</v>
      </c>
      <c r="O720" s="16" t="s">
        <v>2301</v>
      </c>
      <c r="R720" s="6"/>
      <c r="S720" s="298"/>
    </row>
    <row r="721" spans="14:19" hidden="1" x14ac:dyDescent="0.25">
      <c r="N721" s="17">
        <v>271.69999999999601</v>
      </c>
      <c r="O721" s="16" t="s">
        <v>2302</v>
      </c>
      <c r="R721" s="6"/>
      <c r="S721" s="298"/>
    </row>
    <row r="722" spans="14:19" hidden="1" x14ac:dyDescent="0.25">
      <c r="N722" s="17">
        <v>271.79999999999598</v>
      </c>
      <c r="O722" s="16" t="s">
        <v>2303</v>
      </c>
      <c r="R722" s="6"/>
      <c r="S722" s="298"/>
    </row>
    <row r="723" spans="14:19" hidden="1" x14ac:dyDescent="0.25">
      <c r="N723" s="17">
        <v>271.899999999996</v>
      </c>
      <c r="O723" s="16" t="s">
        <v>384</v>
      </c>
      <c r="R723" s="6"/>
      <c r="S723" s="298"/>
    </row>
    <row r="724" spans="14:19" hidden="1" x14ac:dyDescent="0.25">
      <c r="N724" s="17">
        <v>271.99999999999602</v>
      </c>
      <c r="O724" s="16" t="s">
        <v>385</v>
      </c>
      <c r="R724" s="6"/>
      <c r="S724" s="298"/>
    </row>
    <row r="725" spans="14:19" hidden="1" x14ac:dyDescent="0.25">
      <c r="N725" s="17">
        <v>272.09999999999599</v>
      </c>
      <c r="O725" s="16" t="s">
        <v>386</v>
      </c>
      <c r="R725" s="6"/>
      <c r="S725" s="298"/>
    </row>
    <row r="726" spans="14:19" hidden="1" x14ac:dyDescent="0.25">
      <c r="N726" s="17">
        <v>272.19999999999601</v>
      </c>
      <c r="O726" s="16" t="s">
        <v>387</v>
      </c>
      <c r="R726" s="6"/>
      <c r="S726" s="298"/>
    </row>
    <row r="727" spans="14:19" hidden="1" x14ac:dyDescent="0.25">
      <c r="N727" s="17">
        <v>272.29999999999598</v>
      </c>
      <c r="O727" s="16" t="s">
        <v>388</v>
      </c>
      <c r="R727" s="6"/>
      <c r="S727" s="298"/>
    </row>
    <row r="728" spans="14:19" hidden="1" x14ac:dyDescent="0.25">
      <c r="N728" s="17">
        <v>272.399999999996</v>
      </c>
      <c r="O728" s="16" t="s">
        <v>389</v>
      </c>
      <c r="R728" s="6"/>
      <c r="S728" s="298"/>
    </row>
    <row r="729" spans="14:19" hidden="1" x14ac:dyDescent="0.25">
      <c r="N729" s="17">
        <v>272.49999999999602</v>
      </c>
      <c r="O729" s="16" t="s">
        <v>390</v>
      </c>
      <c r="R729" s="6"/>
      <c r="S729" s="298"/>
    </row>
    <row r="730" spans="14:19" hidden="1" x14ac:dyDescent="0.25">
      <c r="N730" s="17">
        <v>272.59999999999599</v>
      </c>
      <c r="O730" s="16" t="s">
        <v>391</v>
      </c>
      <c r="R730" s="6"/>
      <c r="S730" s="298"/>
    </row>
    <row r="731" spans="14:19" hidden="1" x14ac:dyDescent="0.25">
      <c r="N731" s="17">
        <v>272.69999999999601</v>
      </c>
      <c r="O731" s="16" t="s">
        <v>392</v>
      </c>
      <c r="R731" s="6"/>
      <c r="S731" s="298"/>
    </row>
    <row r="732" spans="14:19" hidden="1" x14ac:dyDescent="0.25">
      <c r="N732" s="17">
        <v>272.79999999999598</v>
      </c>
      <c r="O732" s="16" t="s">
        <v>393</v>
      </c>
      <c r="R732" s="6"/>
      <c r="S732" s="298"/>
    </row>
    <row r="733" spans="14:19" hidden="1" x14ac:dyDescent="0.25">
      <c r="N733" s="17">
        <v>272.899999999996</v>
      </c>
      <c r="O733" s="16" t="s">
        <v>394</v>
      </c>
      <c r="R733" s="6"/>
      <c r="S733" s="298"/>
    </row>
    <row r="734" spans="14:19" hidden="1" x14ac:dyDescent="0.25">
      <c r="N734" s="17">
        <v>272.99999999999602</v>
      </c>
      <c r="O734" s="16" t="s">
        <v>395</v>
      </c>
      <c r="R734" s="6"/>
      <c r="S734" s="298"/>
    </row>
    <row r="735" spans="14:19" hidden="1" x14ac:dyDescent="0.25">
      <c r="N735" s="17">
        <v>273.09999999999599</v>
      </c>
      <c r="O735" s="16" t="s">
        <v>396</v>
      </c>
      <c r="R735" s="6"/>
      <c r="S735" s="298"/>
    </row>
    <row r="736" spans="14:19" hidden="1" x14ac:dyDescent="0.25">
      <c r="N736" s="17">
        <v>273.19999999999601</v>
      </c>
      <c r="O736" s="16" t="s">
        <v>397</v>
      </c>
      <c r="R736" s="6"/>
      <c r="S736" s="298"/>
    </row>
    <row r="737" spans="14:19" hidden="1" x14ac:dyDescent="0.25">
      <c r="N737" s="17">
        <v>273.29999999999598</v>
      </c>
      <c r="O737" s="16" t="s">
        <v>1072</v>
      </c>
      <c r="R737" s="6"/>
      <c r="S737" s="298"/>
    </row>
    <row r="738" spans="14:19" hidden="1" x14ac:dyDescent="0.25">
      <c r="N738" s="17">
        <v>273.399999999996</v>
      </c>
      <c r="O738" s="16" t="s">
        <v>1073</v>
      </c>
      <c r="R738" s="6"/>
      <c r="S738" s="298"/>
    </row>
    <row r="739" spans="14:19" hidden="1" x14ac:dyDescent="0.25">
      <c r="N739" s="17">
        <v>273.49999999999602</v>
      </c>
      <c r="O739" s="16" t="s">
        <v>1074</v>
      </c>
      <c r="R739" s="6"/>
      <c r="S739" s="298"/>
    </row>
    <row r="740" spans="14:19" hidden="1" x14ac:dyDescent="0.25">
      <c r="N740" s="17">
        <v>273.59999999999599</v>
      </c>
      <c r="O740" s="16" t="s">
        <v>1075</v>
      </c>
      <c r="R740" s="6"/>
      <c r="S740" s="298"/>
    </row>
    <row r="741" spans="14:19" hidden="1" x14ac:dyDescent="0.25">
      <c r="N741" s="17">
        <v>273.69999999999601</v>
      </c>
      <c r="O741" s="16" t="s">
        <v>1076</v>
      </c>
      <c r="R741" s="6"/>
      <c r="S741" s="298"/>
    </row>
    <row r="742" spans="14:19" hidden="1" x14ac:dyDescent="0.25">
      <c r="N742" s="17">
        <v>273.79999999999598</v>
      </c>
      <c r="O742" s="16" t="s">
        <v>2563</v>
      </c>
      <c r="R742" s="6"/>
      <c r="S742" s="298"/>
    </row>
    <row r="743" spans="14:19" hidden="1" x14ac:dyDescent="0.25">
      <c r="N743" s="17">
        <v>273.899999999996</v>
      </c>
      <c r="O743" s="16" t="s">
        <v>2564</v>
      </c>
      <c r="R743" s="6"/>
      <c r="S743" s="298"/>
    </row>
    <row r="744" spans="14:19" hidden="1" x14ac:dyDescent="0.25">
      <c r="N744" s="17">
        <v>273.99999999999602</v>
      </c>
      <c r="O744" s="16" t="s">
        <v>2565</v>
      </c>
      <c r="R744" s="6"/>
      <c r="S744" s="298"/>
    </row>
    <row r="745" spans="14:19" hidden="1" x14ac:dyDescent="0.25">
      <c r="N745" s="17">
        <v>274.09999999999599</v>
      </c>
      <c r="O745" s="16" t="s">
        <v>2566</v>
      </c>
      <c r="R745" s="6"/>
      <c r="S745" s="298"/>
    </row>
    <row r="746" spans="14:19" hidden="1" x14ac:dyDescent="0.25">
      <c r="N746" s="17">
        <v>274.19999999999601</v>
      </c>
      <c r="O746" s="16" t="s">
        <v>2567</v>
      </c>
      <c r="R746" s="6"/>
      <c r="S746" s="298"/>
    </row>
    <row r="747" spans="14:19" hidden="1" x14ac:dyDescent="0.25">
      <c r="N747" s="17">
        <v>274.29999999999598</v>
      </c>
      <c r="O747" s="16" t="s">
        <v>2568</v>
      </c>
      <c r="R747" s="6"/>
      <c r="S747" s="298"/>
    </row>
    <row r="748" spans="14:19" hidden="1" x14ac:dyDescent="0.25">
      <c r="N748" s="17">
        <v>274.399999999996</v>
      </c>
      <c r="O748" s="16" t="s">
        <v>2569</v>
      </c>
      <c r="R748" s="6"/>
      <c r="S748" s="298"/>
    </row>
    <row r="749" spans="14:19" hidden="1" x14ac:dyDescent="0.25">
      <c r="N749" s="17">
        <v>274.49999999999602</v>
      </c>
      <c r="O749" s="16" t="s">
        <v>2570</v>
      </c>
      <c r="R749" s="6"/>
      <c r="S749" s="298"/>
    </row>
    <row r="750" spans="14:19" hidden="1" x14ac:dyDescent="0.25">
      <c r="N750" s="17">
        <v>274.59999999999599</v>
      </c>
      <c r="O750" s="16" t="s">
        <v>2571</v>
      </c>
      <c r="R750" s="6"/>
      <c r="S750" s="298"/>
    </row>
    <row r="751" spans="14:19" hidden="1" x14ac:dyDescent="0.25">
      <c r="N751" s="17">
        <v>274.69999999999601</v>
      </c>
      <c r="O751" s="16" t="s">
        <v>2572</v>
      </c>
      <c r="R751" s="6"/>
      <c r="S751" s="298"/>
    </row>
    <row r="752" spans="14:19" hidden="1" x14ac:dyDescent="0.25">
      <c r="N752" s="17">
        <v>274.79999999999598</v>
      </c>
      <c r="O752" s="16" t="s">
        <v>2573</v>
      </c>
      <c r="R752" s="6"/>
      <c r="S752" s="298"/>
    </row>
    <row r="753" spans="14:19" hidden="1" x14ac:dyDescent="0.25">
      <c r="N753" s="17">
        <v>274.899999999996</v>
      </c>
      <c r="O753" s="16" t="s">
        <v>2574</v>
      </c>
      <c r="R753" s="6"/>
      <c r="S753" s="298"/>
    </row>
    <row r="754" spans="14:19" hidden="1" x14ac:dyDescent="0.25">
      <c r="N754" s="17">
        <v>274.99999999999602</v>
      </c>
      <c r="O754" s="16" t="s">
        <v>2575</v>
      </c>
      <c r="R754" s="6"/>
      <c r="S754" s="298"/>
    </row>
    <row r="755" spans="14:19" hidden="1" x14ac:dyDescent="0.25">
      <c r="N755" s="17">
        <v>275.09999999999599</v>
      </c>
      <c r="O755" s="16" t="s">
        <v>2576</v>
      </c>
      <c r="R755" s="6"/>
      <c r="S755" s="298"/>
    </row>
    <row r="756" spans="14:19" hidden="1" x14ac:dyDescent="0.25">
      <c r="N756" s="17">
        <v>275.19999999999601</v>
      </c>
      <c r="O756" s="16" t="s">
        <v>2577</v>
      </c>
      <c r="R756" s="6"/>
      <c r="S756" s="298"/>
    </row>
    <row r="757" spans="14:19" hidden="1" x14ac:dyDescent="0.25">
      <c r="N757" s="17">
        <v>275.29999999999598</v>
      </c>
      <c r="O757" s="16" t="s">
        <v>2578</v>
      </c>
      <c r="R757" s="6"/>
      <c r="S757" s="298"/>
    </row>
    <row r="758" spans="14:19" hidden="1" x14ac:dyDescent="0.25">
      <c r="N758" s="17">
        <v>275.399999999996</v>
      </c>
      <c r="O758" s="16" t="s">
        <v>2579</v>
      </c>
      <c r="R758" s="6"/>
      <c r="S758" s="298"/>
    </row>
    <row r="759" spans="14:19" hidden="1" x14ac:dyDescent="0.25">
      <c r="N759" s="17">
        <v>275.49999999999602</v>
      </c>
      <c r="O759" s="16" t="s">
        <v>2580</v>
      </c>
      <c r="R759" s="6"/>
      <c r="S759" s="298"/>
    </row>
    <row r="760" spans="14:19" hidden="1" x14ac:dyDescent="0.25">
      <c r="N760" s="17">
        <v>275.59999999999599</v>
      </c>
      <c r="O760" s="16" t="s">
        <v>2581</v>
      </c>
      <c r="R760" s="6"/>
      <c r="S760" s="298"/>
    </row>
    <row r="761" spans="14:19" hidden="1" x14ac:dyDescent="0.25">
      <c r="N761" s="17">
        <v>275.69999999999601</v>
      </c>
      <c r="O761" s="16" t="s">
        <v>2582</v>
      </c>
      <c r="R761" s="6"/>
      <c r="S761" s="298"/>
    </row>
    <row r="762" spans="14:19" hidden="1" x14ac:dyDescent="0.25">
      <c r="N762" s="17">
        <v>275.79999999999598</v>
      </c>
      <c r="O762" s="16" t="s">
        <v>2583</v>
      </c>
      <c r="R762" s="6"/>
      <c r="S762" s="298"/>
    </row>
    <row r="763" spans="14:19" hidden="1" x14ac:dyDescent="0.25">
      <c r="N763" s="17">
        <v>275.899999999996</v>
      </c>
      <c r="O763" s="16" t="s">
        <v>2584</v>
      </c>
      <c r="R763" s="6"/>
      <c r="S763" s="298"/>
    </row>
    <row r="764" spans="14:19" hidden="1" x14ac:dyDescent="0.25">
      <c r="N764" s="17">
        <v>275.99999999999602</v>
      </c>
      <c r="O764" s="16" t="s">
        <v>2585</v>
      </c>
      <c r="R764" s="6"/>
      <c r="S764" s="298"/>
    </row>
    <row r="765" spans="14:19" hidden="1" x14ac:dyDescent="0.25">
      <c r="N765" s="17">
        <v>276.09999999999599</v>
      </c>
      <c r="O765" s="16" t="s">
        <v>2586</v>
      </c>
      <c r="R765" s="6"/>
      <c r="S765" s="298"/>
    </row>
    <row r="766" spans="14:19" hidden="1" x14ac:dyDescent="0.25">
      <c r="N766" s="17">
        <v>276.19999999999601</v>
      </c>
      <c r="O766" s="16" t="s">
        <v>2587</v>
      </c>
      <c r="R766" s="6"/>
      <c r="S766" s="298"/>
    </row>
    <row r="767" spans="14:19" hidden="1" x14ac:dyDescent="0.25">
      <c r="N767" s="17">
        <v>276.29999999999598</v>
      </c>
      <c r="O767" s="16" t="s">
        <v>2588</v>
      </c>
      <c r="R767" s="6"/>
      <c r="S767" s="298"/>
    </row>
    <row r="768" spans="14:19" hidden="1" x14ac:dyDescent="0.25">
      <c r="N768" s="17">
        <v>276.399999999996</v>
      </c>
      <c r="O768" s="16" t="s">
        <v>2589</v>
      </c>
      <c r="R768" s="6"/>
      <c r="S768" s="298"/>
    </row>
    <row r="769" spans="14:19" hidden="1" x14ac:dyDescent="0.25">
      <c r="N769" s="17">
        <v>276.49999999999602</v>
      </c>
      <c r="O769" s="16" t="s">
        <v>2590</v>
      </c>
      <c r="R769" s="6"/>
      <c r="S769" s="298"/>
    </row>
    <row r="770" spans="14:19" hidden="1" x14ac:dyDescent="0.25">
      <c r="N770" s="17">
        <v>276.59999999999599</v>
      </c>
      <c r="O770" s="16" t="s">
        <v>2591</v>
      </c>
      <c r="R770" s="6"/>
      <c r="S770" s="298"/>
    </row>
    <row r="771" spans="14:19" hidden="1" x14ac:dyDescent="0.25">
      <c r="N771" s="17">
        <v>276.69999999999601</v>
      </c>
      <c r="O771" s="16" t="s">
        <v>2592</v>
      </c>
      <c r="R771" s="6"/>
      <c r="S771" s="298"/>
    </row>
    <row r="772" spans="14:19" hidden="1" x14ac:dyDescent="0.25">
      <c r="N772" s="17">
        <v>276.79999999999598</v>
      </c>
      <c r="O772" s="16" t="s">
        <v>2593</v>
      </c>
      <c r="R772" s="6"/>
      <c r="S772" s="298"/>
    </row>
    <row r="773" spans="14:19" hidden="1" x14ac:dyDescent="0.25">
      <c r="N773" s="17">
        <v>276.899999999996</v>
      </c>
      <c r="O773" s="16" t="s">
        <v>2594</v>
      </c>
      <c r="R773" s="6"/>
      <c r="S773" s="298"/>
    </row>
    <row r="774" spans="14:19" hidden="1" x14ac:dyDescent="0.25">
      <c r="N774" s="17">
        <v>276.99999999999602</v>
      </c>
      <c r="O774" s="16" t="s">
        <v>2595</v>
      </c>
      <c r="R774" s="6"/>
      <c r="S774" s="298"/>
    </row>
    <row r="775" spans="14:19" hidden="1" x14ac:dyDescent="0.25">
      <c r="N775" s="17">
        <v>277.09999999999599</v>
      </c>
      <c r="O775" s="16" t="s">
        <v>2596</v>
      </c>
      <c r="R775" s="6"/>
      <c r="S775" s="298"/>
    </row>
    <row r="776" spans="14:19" hidden="1" x14ac:dyDescent="0.25">
      <c r="N776" s="17">
        <v>277.19999999999601</v>
      </c>
      <c r="O776" s="16" t="s">
        <v>2597</v>
      </c>
      <c r="R776" s="6"/>
      <c r="S776" s="298"/>
    </row>
    <row r="777" spans="14:19" hidden="1" x14ac:dyDescent="0.25">
      <c r="N777" s="17">
        <v>277.29999999999598</v>
      </c>
      <c r="O777" s="16" t="s">
        <v>2598</v>
      </c>
      <c r="R777" s="6"/>
      <c r="S777" s="298"/>
    </row>
    <row r="778" spans="14:19" hidden="1" x14ac:dyDescent="0.25">
      <c r="N778" s="17">
        <v>277.399999999996</v>
      </c>
      <c r="O778" s="16" t="s">
        <v>2599</v>
      </c>
      <c r="R778" s="6"/>
      <c r="S778" s="298"/>
    </row>
    <row r="779" spans="14:19" hidden="1" x14ac:dyDescent="0.25">
      <c r="N779" s="17">
        <v>277.49999999999602</v>
      </c>
      <c r="O779" s="16" t="s">
        <v>2600</v>
      </c>
      <c r="R779" s="6"/>
      <c r="S779" s="298"/>
    </row>
    <row r="780" spans="14:19" hidden="1" x14ac:dyDescent="0.25">
      <c r="N780" s="17">
        <v>277.59999999999599</v>
      </c>
      <c r="O780" s="16" t="s">
        <v>2601</v>
      </c>
      <c r="R780" s="6"/>
      <c r="S780" s="298"/>
    </row>
    <row r="781" spans="14:19" hidden="1" x14ac:dyDescent="0.25">
      <c r="N781" s="17">
        <v>277.69999999999601</v>
      </c>
      <c r="O781" s="16" t="s">
        <v>2602</v>
      </c>
      <c r="R781" s="6"/>
      <c r="S781" s="298"/>
    </row>
    <row r="782" spans="14:19" hidden="1" x14ac:dyDescent="0.25">
      <c r="N782" s="17">
        <v>277.79999999999598</v>
      </c>
      <c r="O782" s="16" t="s">
        <v>2603</v>
      </c>
      <c r="R782" s="6"/>
      <c r="S782" s="298"/>
    </row>
    <row r="783" spans="14:19" hidden="1" x14ac:dyDescent="0.25">
      <c r="N783" s="17">
        <v>277.899999999996</v>
      </c>
      <c r="O783" s="16" t="s">
        <v>2604</v>
      </c>
      <c r="R783" s="6"/>
      <c r="S783" s="298"/>
    </row>
    <row r="784" spans="14:19" hidden="1" x14ac:dyDescent="0.25">
      <c r="N784" s="17">
        <v>277.99999999999602</v>
      </c>
      <c r="O784" s="16" t="s">
        <v>2605</v>
      </c>
      <c r="R784" s="6"/>
      <c r="S784" s="298"/>
    </row>
    <row r="785" spans="14:19" hidden="1" x14ac:dyDescent="0.25">
      <c r="N785" s="17">
        <v>278.09999999999599</v>
      </c>
      <c r="O785" s="16" t="s">
        <v>2606</v>
      </c>
      <c r="R785" s="6"/>
      <c r="S785" s="298"/>
    </row>
    <row r="786" spans="14:19" hidden="1" x14ac:dyDescent="0.25">
      <c r="N786" s="17">
        <v>278.19999999999601</v>
      </c>
      <c r="O786" s="16" t="s">
        <v>2607</v>
      </c>
      <c r="R786" s="6"/>
      <c r="S786" s="298"/>
    </row>
    <row r="787" spans="14:19" hidden="1" x14ac:dyDescent="0.25">
      <c r="N787" s="17">
        <v>278.29999999999598</v>
      </c>
      <c r="O787" s="16" t="s">
        <v>2608</v>
      </c>
      <c r="R787" s="6"/>
      <c r="S787" s="298"/>
    </row>
    <row r="788" spans="14:19" hidden="1" x14ac:dyDescent="0.25">
      <c r="N788" s="17">
        <v>278.39999999999498</v>
      </c>
      <c r="O788" s="16" t="s">
        <v>2609</v>
      </c>
      <c r="R788" s="6"/>
      <c r="S788" s="298"/>
    </row>
    <row r="789" spans="14:19" hidden="1" x14ac:dyDescent="0.25">
      <c r="N789" s="17">
        <v>278.49999999999602</v>
      </c>
      <c r="O789" s="16" t="s">
        <v>2610</v>
      </c>
      <c r="R789" s="6"/>
      <c r="S789" s="298"/>
    </row>
    <row r="790" spans="14:19" hidden="1" x14ac:dyDescent="0.25">
      <c r="N790" s="17">
        <v>278.59999999999502</v>
      </c>
      <c r="O790" s="16" t="s">
        <v>2611</v>
      </c>
      <c r="R790" s="6"/>
      <c r="S790" s="298"/>
    </row>
    <row r="791" spans="14:19" hidden="1" x14ac:dyDescent="0.25">
      <c r="N791" s="17">
        <v>278.69999999999499</v>
      </c>
      <c r="O791" s="16" t="s">
        <v>2612</v>
      </c>
      <c r="R791" s="6"/>
      <c r="S791" s="298"/>
    </row>
    <row r="792" spans="14:19" hidden="1" x14ac:dyDescent="0.25">
      <c r="N792" s="17">
        <v>278.79999999999598</v>
      </c>
      <c r="O792" s="16" t="s">
        <v>2613</v>
      </c>
      <c r="R792" s="6"/>
      <c r="S792" s="298"/>
    </row>
    <row r="793" spans="14:19" hidden="1" x14ac:dyDescent="0.25">
      <c r="N793" s="17">
        <v>278.89999999999498</v>
      </c>
      <c r="O793" s="16" t="s">
        <v>401</v>
      </c>
      <c r="R793" s="6"/>
      <c r="S793" s="298"/>
    </row>
    <row r="794" spans="14:19" hidden="1" x14ac:dyDescent="0.25">
      <c r="N794" s="17">
        <v>278.99999999999602</v>
      </c>
      <c r="O794" s="16" t="s">
        <v>402</v>
      </c>
      <c r="R794" s="6"/>
      <c r="S794" s="298"/>
    </row>
    <row r="795" spans="14:19" hidden="1" x14ac:dyDescent="0.25">
      <c r="N795" s="17">
        <v>279.09999999999502</v>
      </c>
      <c r="O795" s="16" t="s">
        <v>403</v>
      </c>
      <c r="R795" s="6"/>
      <c r="S795" s="298"/>
    </row>
    <row r="796" spans="14:19" hidden="1" x14ac:dyDescent="0.25">
      <c r="N796" s="17">
        <v>279.19999999999499</v>
      </c>
      <c r="O796" s="16" t="s">
        <v>404</v>
      </c>
      <c r="R796" s="6"/>
      <c r="S796" s="298"/>
    </row>
    <row r="797" spans="14:19" hidden="1" x14ac:dyDescent="0.25">
      <c r="N797" s="17">
        <v>279.29999999999598</v>
      </c>
      <c r="O797" s="16" t="s">
        <v>405</v>
      </c>
      <c r="R797" s="6"/>
      <c r="S797" s="298"/>
    </row>
    <row r="798" spans="14:19" hidden="1" x14ac:dyDescent="0.25">
      <c r="N798" s="17">
        <v>279.39999999999498</v>
      </c>
      <c r="O798" s="16" t="s">
        <v>406</v>
      </c>
      <c r="R798" s="6"/>
      <c r="S798" s="298"/>
    </row>
    <row r="799" spans="14:19" hidden="1" x14ac:dyDescent="0.25">
      <c r="N799" s="17">
        <v>279.49999999999602</v>
      </c>
      <c r="O799" s="16" t="s">
        <v>407</v>
      </c>
      <c r="R799" s="6"/>
      <c r="S799" s="298"/>
    </row>
    <row r="800" spans="14:19" hidden="1" x14ac:dyDescent="0.25">
      <c r="N800" s="17">
        <v>279.59999999999502</v>
      </c>
      <c r="O800" s="16" t="s">
        <v>408</v>
      </c>
      <c r="R800" s="6"/>
      <c r="S800" s="298"/>
    </row>
    <row r="801" spans="14:19" hidden="1" x14ac:dyDescent="0.25">
      <c r="N801" s="17">
        <v>279.69999999999499</v>
      </c>
      <c r="O801" s="16" t="s">
        <v>409</v>
      </c>
      <c r="R801" s="6"/>
      <c r="S801" s="298"/>
    </row>
    <row r="802" spans="14:19" hidden="1" x14ac:dyDescent="0.25">
      <c r="N802" s="17">
        <v>279.79999999999598</v>
      </c>
      <c r="O802" s="16" t="s">
        <v>410</v>
      </c>
      <c r="R802" s="6"/>
      <c r="S802" s="298"/>
    </row>
    <row r="803" spans="14:19" hidden="1" x14ac:dyDescent="0.25">
      <c r="N803" s="17">
        <v>279.89999999999498</v>
      </c>
      <c r="O803" s="16" t="s">
        <v>411</v>
      </c>
      <c r="R803" s="6"/>
      <c r="S803" s="298"/>
    </row>
    <row r="804" spans="14:19" hidden="1" x14ac:dyDescent="0.25">
      <c r="N804" s="17">
        <v>279.99999999999602</v>
      </c>
      <c r="O804" s="16" t="s">
        <v>412</v>
      </c>
      <c r="R804" s="6"/>
      <c r="S804" s="298"/>
    </row>
    <row r="805" spans="14:19" hidden="1" x14ac:dyDescent="0.25">
      <c r="N805" s="17">
        <v>280.09999999999502</v>
      </c>
      <c r="O805" s="16" t="s">
        <v>413</v>
      </c>
      <c r="R805" s="6"/>
      <c r="S805" s="298"/>
    </row>
    <row r="806" spans="14:19" hidden="1" x14ac:dyDescent="0.25">
      <c r="N806" s="17">
        <v>280.19999999999499</v>
      </c>
      <c r="O806" s="16" t="s">
        <v>255</v>
      </c>
      <c r="R806" s="6"/>
      <c r="S806" s="298"/>
    </row>
    <row r="807" spans="14:19" hidden="1" x14ac:dyDescent="0.25">
      <c r="N807" s="17">
        <v>280.29999999999501</v>
      </c>
      <c r="O807" s="16" t="s">
        <v>1366</v>
      </c>
      <c r="R807" s="6"/>
      <c r="S807" s="298"/>
    </row>
    <row r="808" spans="14:19" hidden="1" x14ac:dyDescent="0.25">
      <c r="N808" s="17">
        <v>280.39999999999498</v>
      </c>
      <c r="O808" s="16" t="s">
        <v>1367</v>
      </c>
      <c r="R808" s="6"/>
      <c r="S808" s="298"/>
    </row>
    <row r="809" spans="14:19" hidden="1" x14ac:dyDescent="0.25">
      <c r="N809" s="17">
        <v>280.499999999995</v>
      </c>
      <c r="O809" s="16" t="s">
        <v>1368</v>
      </c>
      <c r="R809" s="6"/>
      <c r="S809" s="298"/>
    </row>
    <row r="810" spans="14:19" hidden="1" x14ac:dyDescent="0.25">
      <c r="N810" s="17">
        <v>280.59999999999502</v>
      </c>
      <c r="O810" s="16" t="s">
        <v>1369</v>
      </c>
      <c r="R810" s="6"/>
      <c r="S810" s="298"/>
    </row>
    <row r="811" spans="14:19" hidden="1" x14ac:dyDescent="0.25">
      <c r="N811" s="17">
        <v>280.69999999999499</v>
      </c>
      <c r="O811" s="16" t="s">
        <v>1370</v>
      </c>
      <c r="R811" s="6"/>
      <c r="S811" s="298"/>
    </row>
    <row r="812" spans="14:19" hidden="1" x14ac:dyDescent="0.25">
      <c r="N812" s="17">
        <v>280.79999999999501</v>
      </c>
      <c r="O812" s="16" t="s">
        <v>1371</v>
      </c>
      <c r="R812" s="6"/>
      <c r="S812" s="298"/>
    </row>
    <row r="813" spans="14:19" hidden="1" x14ac:dyDescent="0.25">
      <c r="N813" s="17">
        <v>280.89999999999498</v>
      </c>
      <c r="O813" s="16" t="s">
        <v>1372</v>
      </c>
      <c r="R813" s="6"/>
      <c r="S813" s="298"/>
    </row>
    <row r="814" spans="14:19" hidden="1" x14ac:dyDescent="0.25">
      <c r="N814" s="17">
        <v>280.999999999995</v>
      </c>
      <c r="O814" s="16" t="s">
        <v>1373</v>
      </c>
      <c r="R814" s="6"/>
      <c r="S814" s="298"/>
    </row>
    <row r="815" spans="14:19" hidden="1" x14ac:dyDescent="0.25">
      <c r="N815" s="17">
        <v>281.09999999999502</v>
      </c>
      <c r="O815" s="16" t="s">
        <v>1374</v>
      </c>
      <c r="R815" s="6"/>
      <c r="S815" s="298"/>
    </row>
    <row r="816" spans="14:19" hidden="1" x14ac:dyDescent="0.25">
      <c r="N816" s="17">
        <v>281.19999999999499</v>
      </c>
      <c r="O816" s="16" t="s">
        <v>1375</v>
      </c>
      <c r="R816" s="6"/>
      <c r="S816" s="298"/>
    </row>
    <row r="817" spans="14:19" hidden="1" x14ac:dyDescent="0.25">
      <c r="N817" s="17">
        <v>281.29999999999501</v>
      </c>
      <c r="O817" s="16" t="s">
        <v>1376</v>
      </c>
      <c r="R817" s="6"/>
      <c r="S817" s="298"/>
    </row>
    <row r="818" spans="14:19" hidden="1" x14ac:dyDescent="0.25">
      <c r="N818" s="17">
        <v>281.39999999999498</v>
      </c>
      <c r="O818" s="16" t="s">
        <v>1377</v>
      </c>
      <c r="R818" s="6"/>
      <c r="S818" s="298"/>
    </row>
    <row r="819" spans="14:19" hidden="1" x14ac:dyDescent="0.25">
      <c r="N819" s="17">
        <v>281.499999999995</v>
      </c>
      <c r="O819" s="16" t="s">
        <v>233</v>
      </c>
      <c r="R819" s="6"/>
      <c r="S819" s="298"/>
    </row>
    <row r="820" spans="14:19" hidden="1" x14ac:dyDescent="0.25">
      <c r="N820" s="17">
        <v>281.59999999999502</v>
      </c>
      <c r="O820" s="16" t="s">
        <v>234</v>
      </c>
      <c r="R820" s="6"/>
      <c r="S820" s="298"/>
    </row>
    <row r="821" spans="14:19" hidden="1" x14ac:dyDescent="0.25">
      <c r="N821" s="17">
        <v>281.69999999999499</v>
      </c>
      <c r="O821" s="16" t="s">
        <v>235</v>
      </c>
      <c r="R821" s="6"/>
      <c r="S821" s="298"/>
    </row>
    <row r="822" spans="14:19" hidden="1" x14ac:dyDescent="0.25">
      <c r="N822" s="17">
        <v>281.79999999999501</v>
      </c>
      <c r="O822" s="16" t="s">
        <v>2685</v>
      </c>
      <c r="R822" s="6"/>
      <c r="S822" s="298"/>
    </row>
    <row r="823" spans="14:19" hidden="1" x14ac:dyDescent="0.25">
      <c r="N823" s="17">
        <v>281.89999999999498</v>
      </c>
      <c r="O823" s="16" t="s">
        <v>2686</v>
      </c>
      <c r="R823" s="6"/>
      <c r="S823" s="298"/>
    </row>
    <row r="824" spans="14:19" hidden="1" x14ac:dyDescent="0.25">
      <c r="N824" s="17">
        <v>281.999999999995</v>
      </c>
      <c r="O824" s="16" t="s">
        <v>2687</v>
      </c>
      <c r="R824" s="6"/>
      <c r="S824" s="298"/>
    </row>
    <row r="825" spans="14:19" hidden="1" x14ac:dyDescent="0.25">
      <c r="N825" s="17">
        <v>282.09999999999502</v>
      </c>
      <c r="O825" s="16" t="s">
        <v>2688</v>
      </c>
      <c r="R825" s="6"/>
      <c r="S825" s="298"/>
    </row>
    <row r="826" spans="14:19" hidden="1" x14ac:dyDescent="0.25">
      <c r="N826" s="17">
        <v>282.19999999999499</v>
      </c>
      <c r="O826" s="16" t="s">
        <v>2910</v>
      </c>
      <c r="R826" s="6"/>
      <c r="S826" s="298"/>
    </row>
    <row r="827" spans="14:19" hidden="1" x14ac:dyDescent="0.25">
      <c r="N827" s="17">
        <v>282.29999999999501</v>
      </c>
      <c r="O827" s="16" t="s">
        <v>2911</v>
      </c>
      <c r="R827" s="6"/>
      <c r="S827" s="298"/>
    </row>
    <row r="828" spans="14:19" hidden="1" x14ac:dyDescent="0.25">
      <c r="N828" s="17">
        <v>282.39999999999498</v>
      </c>
      <c r="O828" s="16" t="s">
        <v>2912</v>
      </c>
      <c r="R828" s="6"/>
      <c r="S828" s="298"/>
    </row>
    <row r="829" spans="14:19" hidden="1" x14ac:dyDescent="0.25">
      <c r="N829" s="17">
        <v>282.499999999995</v>
      </c>
      <c r="O829" s="16" t="s">
        <v>2913</v>
      </c>
      <c r="R829" s="6"/>
      <c r="S829" s="298"/>
    </row>
    <row r="830" spans="14:19" hidden="1" x14ac:dyDescent="0.25">
      <c r="N830" s="17">
        <v>282.59999999999502</v>
      </c>
      <c r="O830" s="16" t="s">
        <v>2914</v>
      </c>
      <c r="R830" s="6"/>
      <c r="S830" s="298"/>
    </row>
    <row r="831" spans="14:19" hidden="1" x14ac:dyDescent="0.25">
      <c r="N831" s="17">
        <v>282.69999999999499</v>
      </c>
      <c r="O831" s="16" t="s">
        <v>2915</v>
      </c>
      <c r="R831" s="6"/>
      <c r="S831" s="298"/>
    </row>
    <row r="832" spans="14:19" hidden="1" x14ac:dyDescent="0.25">
      <c r="N832" s="17">
        <v>282.79999999999501</v>
      </c>
      <c r="O832" s="16" t="s">
        <v>2916</v>
      </c>
      <c r="R832" s="6"/>
      <c r="S832" s="298"/>
    </row>
    <row r="833" spans="14:19" hidden="1" x14ac:dyDescent="0.25">
      <c r="N833" s="17">
        <v>282.89999999999498</v>
      </c>
      <c r="O833" s="16" t="s">
        <v>2917</v>
      </c>
      <c r="R833" s="6"/>
      <c r="S833" s="298"/>
    </row>
    <row r="834" spans="14:19" hidden="1" x14ac:dyDescent="0.25">
      <c r="N834" s="17">
        <v>282.999999999995</v>
      </c>
      <c r="O834" s="16" t="s">
        <v>2918</v>
      </c>
      <c r="R834" s="6"/>
      <c r="S834" s="298"/>
    </row>
    <row r="835" spans="14:19" hidden="1" x14ac:dyDescent="0.25">
      <c r="N835" s="17">
        <v>283.09999999999502</v>
      </c>
      <c r="O835" s="16" t="s">
        <v>2919</v>
      </c>
      <c r="R835" s="6"/>
      <c r="S835" s="298"/>
    </row>
    <row r="836" spans="14:19" hidden="1" x14ac:dyDescent="0.25">
      <c r="N836" s="17">
        <v>283.19999999999499</v>
      </c>
      <c r="O836" s="16" t="s">
        <v>2920</v>
      </c>
      <c r="R836" s="6"/>
      <c r="S836" s="298"/>
    </row>
    <row r="837" spans="14:19" hidden="1" x14ac:dyDescent="0.25">
      <c r="N837" s="17">
        <v>283.29999999999501</v>
      </c>
      <c r="O837" s="16" t="s">
        <v>2921</v>
      </c>
      <c r="R837" s="6"/>
      <c r="S837" s="298"/>
    </row>
    <row r="838" spans="14:19" hidden="1" x14ac:dyDescent="0.25">
      <c r="N838" s="17">
        <v>283.39999999999498</v>
      </c>
      <c r="O838" s="16" t="s">
        <v>2922</v>
      </c>
      <c r="R838" s="6"/>
      <c r="S838" s="298"/>
    </row>
    <row r="839" spans="14:19" hidden="1" x14ac:dyDescent="0.25">
      <c r="N839" s="17">
        <v>283.499999999995</v>
      </c>
      <c r="O839" s="16" t="s">
        <v>2923</v>
      </c>
      <c r="R839" s="6"/>
      <c r="S839" s="298"/>
    </row>
    <row r="840" spans="14:19" hidden="1" x14ac:dyDescent="0.25">
      <c r="N840" s="17">
        <v>283.59999999999502</v>
      </c>
      <c r="O840" s="16" t="s">
        <v>2924</v>
      </c>
      <c r="R840" s="6"/>
      <c r="S840" s="298"/>
    </row>
    <row r="841" spans="14:19" hidden="1" x14ac:dyDescent="0.25">
      <c r="N841" s="17">
        <v>283.69999999999499</v>
      </c>
      <c r="O841" s="16" t="s">
        <v>2925</v>
      </c>
      <c r="R841" s="6"/>
      <c r="S841" s="298"/>
    </row>
    <row r="842" spans="14:19" hidden="1" x14ac:dyDescent="0.25">
      <c r="N842" s="17">
        <v>283.79999999999501</v>
      </c>
      <c r="O842" s="16" t="s">
        <v>2926</v>
      </c>
      <c r="R842" s="6"/>
      <c r="S842" s="298"/>
    </row>
    <row r="843" spans="14:19" hidden="1" x14ac:dyDescent="0.25">
      <c r="N843" s="17">
        <v>283.89999999999498</v>
      </c>
      <c r="O843" s="16" t="s">
        <v>2927</v>
      </c>
      <c r="R843" s="6"/>
      <c r="S843" s="298"/>
    </row>
    <row r="844" spans="14:19" hidden="1" x14ac:dyDescent="0.25">
      <c r="N844" s="17">
        <v>283.999999999995</v>
      </c>
      <c r="O844" s="16" t="s">
        <v>2928</v>
      </c>
      <c r="R844" s="6"/>
      <c r="S844" s="298"/>
    </row>
    <row r="845" spans="14:19" hidden="1" x14ac:dyDescent="0.25">
      <c r="N845" s="17">
        <v>284.09999999999502</v>
      </c>
      <c r="O845" s="16" t="s">
        <v>2929</v>
      </c>
      <c r="R845" s="6"/>
      <c r="S845" s="298"/>
    </row>
    <row r="846" spans="14:19" hidden="1" x14ac:dyDescent="0.25">
      <c r="N846" s="17">
        <v>284.19999999999499</v>
      </c>
      <c r="O846" s="16" t="s">
        <v>2930</v>
      </c>
      <c r="R846" s="6"/>
      <c r="S846" s="298"/>
    </row>
    <row r="847" spans="14:19" hidden="1" x14ac:dyDescent="0.25">
      <c r="N847" s="17">
        <v>284.29999999999501</v>
      </c>
      <c r="O847" s="16" t="s">
        <v>2931</v>
      </c>
      <c r="R847" s="6"/>
      <c r="S847" s="298"/>
    </row>
    <row r="848" spans="14:19" hidden="1" x14ac:dyDescent="0.25">
      <c r="N848" s="17">
        <v>284.39999999999498</v>
      </c>
      <c r="O848" s="16" t="s">
        <v>2932</v>
      </c>
      <c r="R848" s="6"/>
      <c r="S848" s="298"/>
    </row>
    <row r="849" spans="14:19" hidden="1" x14ac:dyDescent="0.25">
      <c r="N849" s="17">
        <v>284.499999999995</v>
      </c>
      <c r="O849" s="16" t="s">
        <v>2933</v>
      </c>
      <c r="R849" s="6"/>
      <c r="S849" s="298"/>
    </row>
    <row r="850" spans="14:19" hidden="1" x14ac:dyDescent="0.25">
      <c r="N850" s="17">
        <v>284.59999999999502</v>
      </c>
      <c r="O850" s="16" t="s">
        <v>2934</v>
      </c>
      <c r="R850" s="6"/>
      <c r="S850" s="298"/>
    </row>
    <row r="851" spans="14:19" hidden="1" x14ac:dyDescent="0.25">
      <c r="N851" s="17">
        <v>284.69999999999499</v>
      </c>
      <c r="O851" s="16" t="s">
        <v>2935</v>
      </c>
      <c r="R851" s="6"/>
      <c r="S851" s="298"/>
    </row>
    <row r="852" spans="14:19" hidden="1" x14ac:dyDescent="0.25">
      <c r="N852" s="17">
        <v>284.79999999999501</v>
      </c>
      <c r="O852" s="16" t="s">
        <v>2936</v>
      </c>
      <c r="R852" s="6"/>
      <c r="S852" s="298"/>
    </row>
    <row r="853" spans="14:19" hidden="1" x14ac:dyDescent="0.25">
      <c r="N853" s="17">
        <v>284.89999999999498</v>
      </c>
      <c r="O853" s="16" t="s">
        <v>2937</v>
      </c>
      <c r="R853" s="6"/>
      <c r="S853" s="298"/>
    </row>
    <row r="854" spans="14:19" hidden="1" x14ac:dyDescent="0.25">
      <c r="N854" s="17">
        <v>284.999999999995</v>
      </c>
      <c r="O854" s="16" t="s">
        <v>2938</v>
      </c>
      <c r="R854" s="6"/>
      <c r="S854" s="298"/>
    </row>
    <row r="855" spans="14:19" hidden="1" x14ac:dyDescent="0.25">
      <c r="N855" s="17">
        <v>285.09999999999502</v>
      </c>
      <c r="O855" s="16" t="s">
        <v>2939</v>
      </c>
      <c r="R855" s="6"/>
      <c r="S855" s="298"/>
    </row>
    <row r="856" spans="14:19" hidden="1" x14ac:dyDescent="0.25">
      <c r="N856" s="17">
        <v>285.19999999999499</v>
      </c>
      <c r="O856" s="16" t="s">
        <v>2940</v>
      </c>
      <c r="R856" s="6"/>
      <c r="S856" s="298"/>
    </row>
    <row r="857" spans="14:19" hidden="1" x14ac:dyDescent="0.25">
      <c r="N857" s="17">
        <v>285.29999999999501</v>
      </c>
      <c r="O857" s="16" t="s">
        <v>2941</v>
      </c>
      <c r="R857" s="6"/>
      <c r="S857" s="298"/>
    </row>
    <row r="858" spans="14:19" hidden="1" x14ac:dyDescent="0.25">
      <c r="N858" s="17">
        <v>285.39999999999498</v>
      </c>
      <c r="O858" s="16" t="s">
        <v>2962</v>
      </c>
      <c r="R858" s="6"/>
      <c r="S858" s="298"/>
    </row>
    <row r="859" spans="14:19" hidden="1" x14ac:dyDescent="0.25">
      <c r="N859" s="17">
        <v>285.499999999995</v>
      </c>
      <c r="O859" s="16" t="s">
        <v>2963</v>
      </c>
      <c r="R859" s="6"/>
      <c r="S859" s="298"/>
    </row>
    <row r="860" spans="14:19" hidden="1" x14ac:dyDescent="0.25">
      <c r="N860" s="17">
        <v>285.59999999999502</v>
      </c>
      <c r="O860" s="16" t="s">
        <v>2964</v>
      </c>
      <c r="R860" s="6"/>
      <c r="S860" s="298"/>
    </row>
    <row r="861" spans="14:19" hidden="1" x14ac:dyDescent="0.25">
      <c r="N861" s="17">
        <v>285.69999999999499</v>
      </c>
      <c r="O861" s="16" t="s">
        <v>2965</v>
      </c>
      <c r="R861" s="6"/>
      <c r="S861" s="298"/>
    </row>
    <row r="862" spans="14:19" hidden="1" x14ac:dyDescent="0.25">
      <c r="N862" s="17">
        <v>285.79999999999501</v>
      </c>
      <c r="O862" s="16" t="s">
        <v>2966</v>
      </c>
      <c r="R862" s="6"/>
      <c r="S862" s="298"/>
    </row>
    <row r="863" spans="14:19" hidden="1" x14ac:dyDescent="0.25">
      <c r="N863" s="17">
        <v>285.89999999999498</v>
      </c>
      <c r="O863" s="16" t="s">
        <v>2967</v>
      </c>
      <c r="R863" s="6"/>
      <c r="S863" s="298"/>
    </row>
    <row r="864" spans="14:19" hidden="1" x14ac:dyDescent="0.25">
      <c r="N864" s="17">
        <v>285.999999999995</v>
      </c>
      <c r="O864" s="16" t="s">
        <v>2968</v>
      </c>
      <c r="R864" s="6"/>
      <c r="S864" s="298"/>
    </row>
    <row r="865" spans="14:19" hidden="1" x14ac:dyDescent="0.25">
      <c r="N865" s="17">
        <v>286.09999999999502</v>
      </c>
      <c r="O865" s="16" t="s">
        <v>2939</v>
      </c>
      <c r="R865" s="6"/>
      <c r="S865" s="298"/>
    </row>
    <row r="866" spans="14:19" hidden="1" x14ac:dyDescent="0.25">
      <c r="N866" s="17">
        <v>286.19999999999499</v>
      </c>
      <c r="O866" s="16" t="s">
        <v>2940</v>
      </c>
      <c r="R866" s="6"/>
      <c r="S866" s="298"/>
    </row>
    <row r="867" spans="14:19" hidden="1" x14ac:dyDescent="0.25">
      <c r="N867" s="17">
        <v>286.29999999999501</v>
      </c>
      <c r="O867" s="16" t="s">
        <v>2941</v>
      </c>
      <c r="R867" s="6"/>
      <c r="S867" s="298"/>
    </row>
    <row r="868" spans="14:19" hidden="1" x14ac:dyDescent="0.25">
      <c r="N868" s="17">
        <v>286.39999999999498</v>
      </c>
      <c r="O868" s="16" t="s">
        <v>2962</v>
      </c>
      <c r="R868" s="6"/>
      <c r="S868" s="298"/>
    </row>
    <row r="869" spans="14:19" hidden="1" x14ac:dyDescent="0.25">
      <c r="N869" s="17">
        <v>286.499999999995</v>
      </c>
      <c r="O869" s="16" t="s">
        <v>2963</v>
      </c>
      <c r="R869" s="6"/>
      <c r="S869" s="298"/>
    </row>
    <row r="870" spans="14:19" hidden="1" x14ac:dyDescent="0.25">
      <c r="N870" s="17">
        <v>286.59999999999502</v>
      </c>
      <c r="O870" s="16" t="s">
        <v>2964</v>
      </c>
      <c r="R870" s="6"/>
      <c r="S870" s="298"/>
    </row>
    <row r="871" spans="14:19" hidden="1" x14ac:dyDescent="0.25">
      <c r="N871" s="17">
        <v>286.69999999999499</v>
      </c>
      <c r="O871" s="16" t="s">
        <v>2965</v>
      </c>
      <c r="R871" s="6"/>
      <c r="S871" s="298"/>
    </row>
    <row r="872" spans="14:19" hidden="1" x14ac:dyDescent="0.25">
      <c r="N872" s="17">
        <v>286.79999999999501</v>
      </c>
      <c r="O872" s="16" t="s">
        <v>2966</v>
      </c>
      <c r="R872" s="6"/>
      <c r="S872" s="298"/>
    </row>
    <row r="873" spans="14:19" hidden="1" x14ac:dyDescent="0.25">
      <c r="N873" s="17">
        <v>286.89999999999498</v>
      </c>
      <c r="O873" s="16" t="s">
        <v>2967</v>
      </c>
      <c r="R873" s="6"/>
      <c r="S873" s="298"/>
    </row>
    <row r="874" spans="14:19" hidden="1" x14ac:dyDescent="0.25">
      <c r="N874" s="17">
        <v>286.999999999995</v>
      </c>
      <c r="O874" s="16" t="s">
        <v>2969</v>
      </c>
      <c r="R874" s="6"/>
      <c r="S874" s="298"/>
    </row>
    <row r="875" spans="14:19" hidden="1" x14ac:dyDescent="0.25">
      <c r="N875" s="17">
        <v>287.09999999999502</v>
      </c>
      <c r="O875" s="16" t="s">
        <v>2959</v>
      </c>
      <c r="R875" s="6"/>
      <c r="S875" s="298"/>
    </row>
    <row r="876" spans="14:19" hidden="1" x14ac:dyDescent="0.25">
      <c r="N876" s="17">
        <v>287.19999999999499</v>
      </c>
      <c r="O876" s="16" t="s">
        <v>2960</v>
      </c>
      <c r="R876" s="6"/>
      <c r="S876" s="298"/>
    </row>
    <row r="877" spans="14:19" hidden="1" x14ac:dyDescent="0.25">
      <c r="N877" s="17">
        <v>287.29999999999501</v>
      </c>
      <c r="O877" s="16" t="s">
        <v>2961</v>
      </c>
      <c r="R877" s="6"/>
      <c r="S877" s="298"/>
    </row>
    <row r="878" spans="14:19" hidden="1" x14ac:dyDescent="0.25">
      <c r="N878" s="17">
        <v>287.39999999999498</v>
      </c>
      <c r="O878" s="16" t="s">
        <v>3881</v>
      </c>
      <c r="R878" s="6"/>
      <c r="S878" s="298"/>
    </row>
    <row r="879" spans="14:19" hidden="1" x14ac:dyDescent="0.25">
      <c r="N879" s="17">
        <v>287.499999999995</v>
      </c>
      <c r="O879" s="16" t="s">
        <v>3882</v>
      </c>
      <c r="R879" s="6"/>
      <c r="S879" s="298"/>
    </row>
    <row r="880" spans="14:19" hidden="1" x14ac:dyDescent="0.25">
      <c r="N880" s="17">
        <v>287.59999999999502</v>
      </c>
      <c r="O880" s="16" t="s">
        <v>3883</v>
      </c>
      <c r="R880" s="6"/>
      <c r="S880" s="298"/>
    </row>
    <row r="881" spans="14:19" hidden="1" x14ac:dyDescent="0.25">
      <c r="N881" s="17">
        <v>287.69999999999499</v>
      </c>
      <c r="O881" s="16" t="s">
        <v>3884</v>
      </c>
      <c r="R881" s="6"/>
      <c r="S881" s="298"/>
    </row>
    <row r="882" spans="14:19" hidden="1" x14ac:dyDescent="0.25">
      <c r="N882" s="17">
        <v>287.79999999999501</v>
      </c>
      <c r="O882" s="16" t="s">
        <v>3885</v>
      </c>
      <c r="R882" s="6"/>
      <c r="S882" s="298"/>
    </row>
    <row r="883" spans="14:19" hidden="1" x14ac:dyDescent="0.25">
      <c r="N883" s="17">
        <v>287.89999999999498</v>
      </c>
      <c r="O883" s="16" t="s">
        <v>3886</v>
      </c>
      <c r="R883" s="6"/>
      <c r="S883" s="298"/>
    </row>
    <row r="884" spans="14:19" hidden="1" x14ac:dyDescent="0.25">
      <c r="N884" s="17">
        <v>287.999999999995</v>
      </c>
      <c r="O884" s="16" t="s">
        <v>3887</v>
      </c>
      <c r="R884" s="6"/>
      <c r="S884" s="298"/>
    </row>
    <row r="885" spans="14:19" hidden="1" x14ac:dyDescent="0.25">
      <c r="N885" s="17">
        <v>288.09999999999502</v>
      </c>
      <c r="O885" s="16" t="s">
        <v>3888</v>
      </c>
      <c r="R885" s="6"/>
      <c r="S885" s="298"/>
    </row>
    <row r="886" spans="14:19" hidden="1" x14ac:dyDescent="0.25">
      <c r="N886" s="17">
        <v>288.19999999999499</v>
      </c>
      <c r="O886" s="16" t="s">
        <v>3889</v>
      </c>
      <c r="R886" s="6"/>
      <c r="S886" s="298"/>
    </row>
    <row r="887" spans="14:19" hidden="1" x14ac:dyDescent="0.25">
      <c r="N887" s="17">
        <v>288.29999999999501</v>
      </c>
      <c r="O887" s="16" t="s">
        <v>3890</v>
      </c>
      <c r="R887" s="6"/>
      <c r="S887" s="298"/>
    </row>
    <row r="888" spans="14:19" hidden="1" x14ac:dyDescent="0.25">
      <c r="N888" s="17">
        <v>288.39999999999498</v>
      </c>
      <c r="O888" s="16" t="s">
        <v>3891</v>
      </c>
      <c r="R888" s="6"/>
      <c r="S888" s="298"/>
    </row>
    <row r="889" spans="14:19" hidden="1" x14ac:dyDescent="0.25">
      <c r="N889" s="17">
        <v>288.499999999995</v>
      </c>
      <c r="O889" s="16" t="s">
        <v>3892</v>
      </c>
      <c r="R889" s="6"/>
      <c r="S889" s="298"/>
    </row>
    <row r="890" spans="14:19" hidden="1" x14ac:dyDescent="0.25">
      <c r="N890" s="17">
        <v>288.59999999999502</v>
      </c>
      <c r="O890" s="16" t="s">
        <v>3893</v>
      </c>
      <c r="R890" s="6"/>
      <c r="S890" s="298"/>
    </row>
    <row r="891" spans="14:19" hidden="1" x14ac:dyDescent="0.25">
      <c r="N891" s="17">
        <v>288.69999999999499</v>
      </c>
      <c r="O891" s="16" t="s">
        <v>3894</v>
      </c>
      <c r="R891" s="6"/>
      <c r="S891" s="298"/>
    </row>
    <row r="892" spans="14:19" hidden="1" x14ac:dyDescent="0.25">
      <c r="N892" s="17">
        <v>288.79999999999501</v>
      </c>
      <c r="O892" s="16" t="s">
        <v>3895</v>
      </c>
      <c r="R892" s="6"/>
      <c r="S892" s="298"/>
    </row>
    <row r="893" spans="14:19" hidden="1" x14ac:dyDescent="0.25">
      <c r="N893" s="17">
        <v>288.89999999999498</v>
      </c>
      <c r="O893" s="16" t="s">
        <v>3896</v>
      </c>
      <c r="R893" s="6"/>
      <c r="S893" s="298"/>
    </row>
    <row r="894" spans="14:19" hidden="1" x14ac:dyDescent="0.25">
      <c r="N894" s="17">
        <v>288.999999999995</v>
      </c>
      <c r="O894" s="16" t="s">
        <v>3897</v>
      </c>
      <c r="R894" s="6"/>
      <c r="S894" s="298"/>
    </row>
    <row r="895" spans="14:19" hidden="1" x14ac:dyDescent="0.25">
      <c r="N895" s="17">
        <v>289.09999999999502</v>
      </c>
      <c r="O895" s="16" t="s">
        <v>3898</v>
      </c>
      <c r="R895" s="6"/>
      <c r="S895" s="298"/>
    </row>
    <row r="896" spans="14:19" hidden="1" x14ac:dyDescent="0.25">
      <c r="N896" s="17">
        <v>289.19999999999499</v>
      </c>
      <c r="O896" s="16" t="s">
        <v>1709</v>
      </c>
      <c r="R896" s="6"/>
      <c r="S896" s="298"/>
    </row>
    <row r="897" spans="14:19" hidden="1" x14ac:dyDescent="0.25">
      <c r="N897" s="17">
        <v>289.29999999999501</v>
      </c>
      <c r="O897" s="16" t="s">
        <v>1710</v>
      </c>
      <c r="R897" s="6"/>
      <c r="S897" s="298"/>
    </row>
    <row r="898" spans="14:19" hidden="1" x14ac:dyDescent="0.25">
      <c r="N898" s="17">
        <v>289.39999999999498</v>
      </c>
      <c r="O898" s="16" t="s">
        <v>1711</v>
      </c>
      <c r="R898" s="6"/>
      <c r="S898" s="298"/>
    </row>
    <row r="899" spans="14:19" hidden="1" x14ac:dyDescent="0.25">
      <c r="N899" s="17">
        <v>289.499999999995</v>
      </c>
      <c r="O899" s="16" t="s">
        <v>1712</v>
      </c>
      <c r="R899" s="6"/>
      <c r="S899" s="298"/>
    </row>
    <row r="900" spans="14:19" hidden="1" x14ac:dyDescent="0.25">
      <c r="N900" s="17">
        <v>289.59999999999502</v>
      </c>
      <c r="O900" s="16" t="s">
        <v>1713</v>
      </c>
      <c r="R900" s="6"/>
      <c r="S900" s="298"/>
    </row>
    <row r="901" spans="14:19" hidden="1" x14ac:dyDescent="0.25">
      <c r="N901" s="17">
        <v>289.69999999999499</v>
      </c>
      <c r="O901" s="16" t="s">
        <v>1714</v>
      </c>
      <c r="R901" s="6"/>
      <c r="S901" s="298"/>
    </row>
    <row r="902" spans="14:19" hidden="1" x14ac:dyDescent="0.25">
      <c r="N902" s="17">
        <v>289.79999999999501</v>
      </c>
      <c r="O902" s="16" t="s">
        <v>1678</v>
      </c>
      <c r="R902" s="6"/>
      <c r="S902" s="298"/>
    </row>
    <row r="903" spans="14:19" hidden="1" x14ac:dyDescent="0.25">
      <c r="N903" s="17">
        <v>289.89999999999498</v>
      </c>
      <c r="O903" s="16" t="s">
        <v>1679</v>
      </c>
      <c r="R903" s="6"/>
      <c r="S903" s="298"/>
    </row>
    <row r="904" spans="14:19" hidden="1" x14ac:dyDescent="0.25">
      <c r="N904" s="17">
        <v>289.999999999995</v>
      </c>
      <c r="O904" s="16" t="s">
        <v>1680</v>
      </c>
      <c r="R904" s="6"/>
      <c r="S904" s="298"/>
    </row>
    <row r="905" spans="14:19" hidden="1" x14ac:dyDescent="0.25">
      <c r="N905" s="17">
        <v>290.09999999999502</v>
      </c>
      <c r="O905" s="16" t="s">
        <v>1681</v>
      </c>
      <c r="R905" s="6"/>
      <c r="S905" s="298"/>
    </row>
    <row r="906" spans="14:19" hidden="1" x14ac:dyDescent="0.25">
      <c r="N906" s="17">
        <v>290.19999999999499</v>
      </c>
      <c r="O906" s="16" t="s">
        <v>1682</v>
      </c>
      <c r="R906" s="6"/>
      <c r="S906" s="298"/>
    </row>
    <row r="907" spans="14:19" hidden="1" x14ac:dyDescent="0.25">
      <c r="N907" s="17">
        <v>290.29999999999501</v>
      </c>
      <c r="O907" s="16" t="s">
        <v>1683</v>
      </c>
      <c r="R907" s="6"/>
      <c r="S907" s="298"/>
    </row>
    <row r="908" spans="14:19" hidden="1" x14ac:dyDescent="0.25">
      <c r="N908" s="17">
        <v>290.39999999999498</v>
      </c>
      <c r="O908" s="16" t="s">
        <v>1684</v>
      </c>
      <c r="R908" s="6"/>
      <c r="S908" s="298"/>
    </row>
    <row r="909" spans="14:19" hidden="1" x14ac:dyDescent="0.25">
      <c r="N909" s="17">
        <v>290.499999999995</v>
      </c>
      <c r="O909" s="16" t="s">
        <v>1685</v>
      </c>
      <c r="R909" s="6"/>
      <c r="S909" s="298"/>
    </row>
    <row r="910" spans="14:19" hidden="1" x14ac:dyDescent="0.25">
      <c r="N910" s="17">
        <v>290.59999999999502</v>
      </c>
      <c r="O910" s="16" t="s">
        <v>1686</v>
      </c>
      <c r="R910" s="6"/>
      <c r="S910" s="298"/>
    </row>
    <row r="911" spans="14:19" hidden="1" x14ac:dyDescent="0.25">
      <c r="N911" s="17">
        <v>290.69999999999499</v>
      </c>
      <c r="O911" s="16" t="s">
        <v>1687</v>
      </c>
      <c r="R911" s="6"/>
      <c r="S911" s="298"/>
    </row>
    <row r="912" spans="14:19" hidden="1" x14ac:dyDescent="0.25">
      <c r="N912" s="17">
        <v>290.79999999999501</v>
      </c>
      <c r="O912" s="16" t="s">
        <v>1688</v>
      </c>
      <c r="R912" s="6"/>
      <c r="S912" s="298"/>
    </row>
    <row r="913" spans="14:19" hidden="1" x14ac:dyDescent="0.25">
      <c r="N913" s="17">
        <v>290.89999999999498</v>
      </c>
      <c r="O913" s="16" t="s">
        <v>1689</v>
      </c>
      <c r="R913" s="6"/>
      <c r="S913" s="298"/>
    </row>
    <row r="914" spans="14:19" hidden="1" x14ac:dyDescent="0.25">
      <c r="N914" s="17">
        <v>290.999999999995</v>
      </c>
      <c r="O914" s="16" t="s">
        <v>2985</v>
      </c>
      <c r="R914" s="6"/>
      <c r="S914" s="298"/>
    </row>
    <row r="915" spans="14:19" hidden="1" x14ac:dyDescent="0.25">
      <c r="N915" s="17">
        <v>291.09999999999502</v>
      </c>
      <c r="O915" s="16" t="s">
        <v>2986</v>
      </c>
      <c r="R915" s="6"/>
      <c r="S915" s="298"/>
    </row>
    <row r="916" spans="14:19" hidden="1" x14ac:dyDescent="0.25">
      <c r="N916" s="17">
        <v>291.19999999999499</v>
      </c>
      <c r="O916" s="16" t="s">
        <v>2987</v>
      </c>
      <c r="R916" s="6"/>
      <c r="S916" s="298"/>
    </row>
    <row r="917" spans="14:19" hidden="1" x14ac:dyDescent="0.25">
      <c r="N917" s="17">
        <v>291.29999999999501</v>
      </c>
      <c r="O917" s="16" t="s">
        <v>2988</v>
      </c>
      <c r="R917" s="6"/>
      <c r="S917" s="298"/>
    </row>
    <row r="918" spans="14:19" hidden="1" x14ac:dyDescent="0.25">
      <c r="N918" s="17">
        <v>291.39999999999498</v>
      </c>
      <c r="O918" s="16" t="s">
        <v>2989</v>
      </c>
      <c r="R918" s="6"/>
      <c r="S918" s="298"/>
    </row>
    <row r="919" spans="14:19" hidden="1" x14ac:dyDescent="0.25">
      <c r="N919" s="17">
        <v>291.499999999995</v>
      </c>
      <c r="O919" s="16" t="s">
        <v>2990</v>
      </c>
      <c r="R919" s="6"/>
      <c r="S919" s="298"/>
    </row>
    <row r="920" spans="14:19" hidden="1" x14ac:dyDescent="0.25">
      <c r="N920" s="17">
        <v>291.59999999999502</v>
      </c>
      <c r="O920" s="16" t="s">
        <v>2991</v>
      </c>
      <c r="R920" s="6"/>
      <c r="S920" s="298"/>
    </row>
    <row r="921" spans="14:19" hidden="1" x14ac:dyDescent="0.25">
      <c r="N921" s="17">
        <v>291.69999999999499</v>
      </c>
      <c r="O921" s="16" t="s">
        <v>2992</v>
      </c>
      <c r="R921" s="6"/>
      <c r="S921" s="298"/>
    </row>
    <row r="922" spans="14:19" hidden="1" x14ac:dyDescent="0.25">
      <c r="N922" s="17">
        <v>291.79999999999501</v>
      </c>
      <c r="O922" s="16" t="s">
        <v>2993</v>
      </c>
      <c r="R922" s="6"/>
      <c r="S922" s="298"/>
    </row>
    <row r="923" spans="14:19" hidden="1" x14ac:dyDescent="0.25">
      <c r="N923" s="17">
        <v>291.89999999999498</v>
      </c>
      <c r="O923" s="16" t="s">
        <v>2994</v>
      </c>
      <c r="R923" s="6"/>
      <c r="S923" s="298"/>
    </row>
    <row r="924" spans="14:19" hidden="1" x14ac:dyDescent="0.25">
      <c r="N924" s="17">
        <v>291.999999999995</v>
      </c>
      <c r="O924" s="16" t="s">
        <v>2995</v>
      </c>
      <c r="R924" s="6"/>
      <c r="S924" s="298"/>
    </row>
    <row r="925" spans="14:19" hidden="1" x14ac:dyDescent="0.25">
      <c r="N925" s="17">
        <v>292.09999999999502</v>
      </c>
      <c r="O925" s="16" t="s">
        <v>2996</v>
      </c>
      <c r="R925" s="6"/>
      <c r="S925" s="298"/>
    </row>
    <row r="926" spans="14:19" hidden="1" x14ac:dyDescent="0.25">
      <c r="N926" s="17">
        <v>292.19999999999499</v>
      </c>
      <c r="O926" s="16" t="s">
        <v>2997</v>
      </c>
      <c r="R926" s="6"/>
      <c r="S926" s="298"/>
    </row>
    <row r="927" spans="14:19" hidden="1" x14ac:dyDescent="0.25">
      <c r="N927" s="17">
        <v>292.29999999999501</v>
      </c>
      <c r="O927" s="16" t="s">
        <v>2998</v>
      </c>
      <c r="R927" s="6"/>
      <c r="S927" s="298"/>
    </row>
    <row r="928" spans="14:19" hidden="1" x14ac:dyDescent="0.25">
      <c r="N928" s="17">
        <v>292.39999999999498</v>
      </c>
      <c r="O928" s="16" t="s">
        <v>2999</v>
      </c>
      <c r="R928" s="6"/>
      <c r="S928" s="298"/>
    </row>
    <row r="929" spans="14:19" hidden="1" x14ac:dyDescent="0.25">
      <c r="N929" s="17">
        <v>292.499999999995</v>
      </c>
      <c r="O929" s="16" t="s">
        <v>740</v>
      </c>
      <c r="R929" s="6"/>
      <c r="S929" s="298"/>
    </row>
    <row r="930" spans="14:19" hidden="1" x14ac:dyDescent="0.25">
      <c r="N930" s="17">
        <v>292.59999999999502</v>
      </c>
      <c r="O930" s="16" t="s">
        <v>741</v>
      </c>
      <c r="R930" s="6"/>
      <c r="S930" s="298"/>
    </row>
    <row r="931" spans="14:19" hidden="1" x14ac:dyDescent="0.25">
      <c r="N931" s="17">
        <v>292.69999999999499</v>
      </c>
      <c r="O931" s="16" t="s">
        <v>742</v>
      </c>
      <c r="R931" s="6"/>
      <c r="S931" s="298"/>
    </row>
    <row r="932" spans="14:19" hidden="1" x14ac:dyDescent="0.25">
      <c r="N932" s="17">
        <v>292.79999999999501</v>
      </c>
      <c r="O932" s="16" t="s">
        <v>743</v>
      </c>
      <c r="R932" s="6"/>
      <c r="S932" s="298"/>
    </row>
    <row r="933" spans="14:19" hidden="1" x14ac:dyDescent="0.25">
      <c r="N933" s="17">
        <v>292.89999999999498</v>
      </c>
      <c r="O933" s="16" t="s">
        <v>744</v>
      </c>
      <c r="R933" s="6"/>
      <c r="S933" s="298"/>
    </row>
    <row r="934" spans="14:19" hidden="1" x14ac:dyDescent="0.25">
      <c r="N934" s="17">
        <v>292.999999999995</v>
      </c>
      <c r="O934" s="16" t="s">
        <v>745</v>
      </c>
      <c r="R934" s="6"/>
      <c r="S934" s="298"/>
    </row>
    <row r="935" spans="14:19" hidden="1" x14ac:dyDescent="0.25">
      <c r="N935" s="17">
        <v>293.09999999999502</v>
      </c>
      <c r="O935" s="16" t="s">
        <v>746</v>
      </c>
      <c r="R935" s="6"/>
      <c r="S935" s="298"/>
    </row>
    <row r="936" spans="14:19" hidden="1" x14ac:dyDescent="0.25">
      <c r="N936" s="17">
        <v>293.19999999999499</v>
      </c>
      <c r="O936" s="16" t="s">
        <v>747</v>
      </c>
      <c r="R936" s="6"/>
      <c r="S936" s="298"/>
    </row>
    <row r="937" spans="14:19" hidden="1" x14ac:dyDescent="0.25">
      <c r="N937" s="17">
        <v>293.29999999999501</v>
      </c>
      <c r="O937" s="16" t="s">
        <v>748</v>
      </c>
      <c r="R937" s="6"/>
      <c r="S937" s="298"/>
    </row>
    <row r="938" spans="14:19" hidden="1" x14ac:dyDescent="0.25">
      <c r="N938" s="17">
        <v>293.39999999999498</v>
      </c>
      <c r="O938" s="16" t="s">
        <v>749</v>
      </c>
      <c r="R938" s="6"/>
      <c r="S938" s="298"/>
    </row>
    <row r="939" spans="14:19" hidden="1" x14ac:dyDescent="0.25">
      <c r="N939" s="17">
        <v>293.499999999995</v>
      </c>
      <c r="O939" s="16" t="s">
        <v>750</v>
      </c>
      <c r="R939" s="6"/>
      <c r="S939" s="298"/>
    </row>
    <row r="940" spans="14:19" hidden="1" x14ac:dyDescent="0.25">
      <c r="N940" s="17">
        <v>293.59999999999502</v>
      </c>
      <c r="O940" s="16" t="s">
        <v>751</v>
      </c>
      <c r="R940" s="6"/>
      <c r="S940" s="298"/>
    </row>
    <row r="941" spans="14:19" hidden="1" x14ac:dyDescent="0.25">
      <c r="N941" s="17">
        <v>293.69999999999499</v>
      </c>
      <c r="O941" s="16" t="s">
        <v>752</v>
      </c>
      <c r="R941" s="6"/>
      <c r="S941" s="298"/>
    </row>
    <row r="942" spans="14:19" hidden="1" x14ac:dyDescent="0.25">
      <c r="N942" s="17">
        <v>293.79999999999501</v>
      </c>
      <c r="O942" s="16" t="s">
        <v>753</v>
      </c>
      <c r="R942" s="6"/>
      <c r="S942" s="298"/>
    </row>
    <row r="943" spans="14:19" hidden="1" x14ac:dyDescent="0.25">
      <c r="N943" s="17">
        <v>293.89999999999498</v>
      </c>
      <c r="O943" s="16" t="s">
        <v>754</v>
      </c>
      <c r="R943" s="6"/>
      <c r="S943" s="298"/>
    </row>
    <row r="944" spans="14:19" hidden="1" x14ac:dyDescent="0.25">
      <c r="N944" s="17">
        <v>293.999999999995</v>
      </c>
      <c r="O944" s="16" t="s">
        <v>1776</v>
      </c>
      <c r="R944" s="6"/>
      <c r="S944" s="298"/>
    </row>
    <row r="945" spans="14:19" hidden="1" x14ac:dyDescent="0.25">
      <c r="N945" s="17">
        <v>294.09999999999502</v>
      </c>
      <c r="O945" s="16" t="s">
        <v>1777</v>
      </c>
      <c r="R945" s="6"/>
      <c r="S945" s="298"/>
    </row>
    <row r="946" spans="14:19" hidden="1" x14ac:dyDescent="0.25">
      <c r="N946" s="17">
        <v>294.19999999999499</v>
      </c>
      <c r="O946" s="16" t="s">
        <v>1778</v>
      </c>
      <c r="R946" s="6"/>
      <c r="S946" s="298"/>
    </row>
    <row r="947" spans="14:19" hidden="1" x14ac:dyDescent="0.25">
      <c r="N947" s="17">
        <v>294.29999999999501</v>
      </c>
      <c r="O947" s="16" t="s">
        <v>336</v>
      </c>
      <c r="R947" s="6"/>
      <c r="S947" s="298"/>
    </row>
    <row r="948" spans="14:19" hidden="1" x14ac:dyDescent="0.25">
      <c r="N948" s="17">
        <v>294.39999999999498</v>
      </c>
      <c r="O948" s="16" t="s">
        <v>337</v>
      </c>
      <c r="R948" s="6"/>
      <c r="S948" s="298"/>
    </row>
    <row r="949" spans="14:19" hidden="1" x14ac:dyDescent="0.25">
      <c r="N949" s="17">
        <v>294.499999999995</v>
      </c>
      <c r="O949" s="16" t="s">
        <v>338</v>
      </c>
      <c r="R949" s="6"/>
      <c r="S949" s="298"/>
    </row>
    <row r="950" spans="14:19" hidden="1" x14ac:dyDescent="0.25">
      <c r="N950" s="17">
        <v>294.59999999999502</v>
      </c>
      <c r="O950" s="16" t="s">
        <v>339</v>
      </c>
      <c r="R950" s="6"/>
      <c r="S950" s="298"/>
    </row>
    <row r="951" spans="14:19" hidden="1" x14ac:dyDescent="0.25">
      <c r="N951" s="17">
        <v>294.69999999999499</v>
      </c>
      <c r="O951" s="16" t="s">
        <v>340</v>
      </c>
      <c r="R951" s="6"/>
      <c r="S951" s="298"/>
    </row>
    <row r="952" spans="14:19" hidden="1" x14ac:dyDescent="0.25">
      <c r="N952" s="17">
        <v>294.79999999999501</v>
      </c>
      <c r="O952" s="16" t="s">
        <v>341</v>
      </c>
      <c r="R952" s="6"/>
      <c r="S952" s="298"/>
    </row>
    <row r="953" spans="14:19" hidden="1" x14ac:dyDescent="0.25">
      <c r="N953" s="17">
        <v>294.89999999999498</v>
      </c>
      <c r="O953" s="16" t="s">
        <v>1808</v>
      </c>
      <c r="R953" s="6"/>
      <c r="S953" s="298"/>
    </row>
    <row r="954" spans="14:19" hidden="1" x14ac:dyDescent="0.25">
      <c r="N954" s="17">
        <v>294.999999999995</v>
      </c>
      <c r="O954" s="16" t="s">
        <v>1809</v>
      </c>
      <c r="R954" s="6"/>
      <c r="S954" s="298"/>
    </row>
    <row r="955" spans="14:19" hidden="1" x14ac:dyDescent="0.25">
      <c r="N955" s="17">
        <v>295.09999999999502</v>
      </c>
      <c r="O955" s="16" t="s">
        <v>1810</v>
      </c>
      <c r="R955" s="6"/>
      <c r="S955" s="298"/>
    </row>
    <row r="956" spans="14:19" hidden="1" x14ac:dyDescent="0.25">
      <c r="N956" s="17">
        <v>295.19999999999499</v>
      </c>
      <c r="O956" s="16" t="s">
        <v>1811</v>
      </c>
      <c r="R956" s="6"/>
      <c r="S956" s="298"/>
    </row>
    <row r="957" spans="14:19" hidden="1" x14ac:dyDescent="0.25">
      <c r="N957" s="17">
        <v>295.29999999999501</v>
      </c>
      <c r="O957" s="16" t="s">
        <v>1812</v>
      </c>
      <c r="R957" s="6"/>
      <c r="S957" s="298"/>
    </row>
    <row r="958" spans="14:19" hidden="1" x14ac:dyDescent="0.25">
      <c r="N958" s="17">
        <v>295.39999999999498</v>
      </c>
      <c r="O958" s="16" t="s">
        <v>1813</v>
      </c>
      <c r="R958" s="6"/>
      <c r="S958" s="298"/>
    </row>
    <row r="959" spans="14:19" hidden="1" x14ac:dyDescent="0.25">
      <c r="N959" s="17">
        <v>295.499999999995</v>
      </c>
      <c r="O959" s="16" t="s">
        <v>1814</v>
      </c>
      <c r="R959" s="6"/>
      <c r="S959" s="298"/>
    </row>
    <row r="960" spans="14:19" hidden="1" x14ac:dyDescent="0.25">
      <c r="N960" s="17">
        <v>295.59999999999502</v>
      </c>
      <c r="O960" s="16" t="s">
        <v>1815</v>
      </c>
      <c r="R960" s="6"/>
      <c r="S960" s="298"/>
    </row>
    <row r="961" spans="14:19" hidden="1" x14ac:dyDescent="0.25">
      <c r="N961" s="17">
        <v>295.69999999999499</v>
      </c>
      <c r="O961" s="16" t="s">
        <v>1816</v>
      </c>
      <c r="R961" s="6"/>
      <c r="S961" s="298"/>
    </row>
    <row r="962" spans="14:19" hidden="1" x14ac:dyDescent="0.25">
      <c r="N962" s="17">
        <v>295.79999999999501</v>
      </c>
      <c r="O962" s="16" t="s">
        <v>1817</v>
      </c>
      <c r="R962" s="6"/>
      <c r="S962" s="298"/>
    </row>
    <row r="963" spans="14:19" hidden="1" x14ac:dyDescent="0.25">
      <c r="N963" s="17">
        <v>295.89999999999498</v>
      </c>
      <c r="O963" s="16" t="s">
        <v>1818</v>
      </c>
      <c r="R963" s="6"/>
      <c r="S963" s="298"/>
    </row>
    <row r="964" spans="14:19" hidden="1" x14ac:dyDescent="0.25">
      <c r="N964" s="17">
        <v>295.99999999999397</v>
      </c>
      <c r="O964" s="16" t="s">
        <v>1819</v>
      </c>
      <c r="R964" s="6"/>
      <c r="S964" s="298"/>
    </row>
    <row r="965" spans="14:19" hidden="1" x14ac:dyDescent="0.25">
      <c r="N965" s="17">
        <v>296.09999999999502</v>
      </c>
      <c r="O965" s="16" t="s">
        <v>1820</v>
      </c>
      <c r="R965" s="6"/>
      <c r="S965" s="298"/>
    </row>
    <row r="966" spans="14:19" hidden="1" x14ac:dyDescent="0.25">
      <c r="N966" s="17">
        <v>296.19999999999402</v>
      </c>
      <c r="O966" s="16" t="s">
        <v>1821</v>
      </c>
      <c r="R966" s="6"/>
      <c r="S966" s="298"/>
    </row>
    <row r="967" spans="14:19" hidden="1" x14ac:dyDescent="0.25">
      <c r="N967" s="17">
        <v>296.29999999999399</v>
      </c>
      <c r="O967" s="16" t="s">
        <v>1822</v>
      </c>
      <c r="R967" s="6"/>
      <c r="S967" s="298"/>
    </row>
    <row r="968" spans="14:19" hidden="1" x14ac:dyDescent="0.25">
      <c r="N968" s="17">
        <v>296.39999999999498</v>
      </c>
      <c r="O968" s="16" t="s">
        <v>1823</v>
      </c>
      <c r="R968" s="6"/>
      <c r="S968" s="298"/>
    </row>
    <row r="969" spans="14:19" hidden="1" x14ac:dyDescent="0.25">
      <c r="N969" s="17">
        <v>296.49999999999397</v>
      </c>
      <c r="O969" s="16" t="s">
        <v>1824</v>
      </c>
      <c r="R969" s="6"/>
      <c r="S969" s="298"/>
    </row>
    <row r="970" spans="14:19" hidden="1" x14ac:dyDescent="0.25">
      <c r="N970" s="17">
        <v>296.59999999999502</v>
      </c>
      <c r="O970" s="16" t="s">
        <v>1825</v>
      </c>
      <c r="R970" s="6"/>
      <c r="S970" s="298"/>
    </row>
    <row r="971" spans="14:19" hidden="1" x14ac:dyDescent="0.25">
      <c r="N971" s="17">
        <v>296.69999999999402</v>
      </c>
      <c r="O971" s="16" t="s">
        <v>1826</v>
      </c>
      <c r="R971" s="6"/>
      <c r="S971" s="298"/>
    </row>
    <row r="972" spans="14:19" hidden="1" x14ac:dyDescent="0.25">
      <c r="N972" s="17">
        <v>296.79999999999399</v>
      </c>
      <c r="O972" s="16" t="s">
        <v>1827</v>
      </c>
      <c r="R972" s="6"/>
      <c r="S972" s="298"/>
    </row>
    <row r="973" spans="14:19" hidden="1" x14ac:dyDescent="0.25">
      <c r="N973" s="17">
        <v>296.89999999999498</v>
      </c>
      <c r="O973" s="16" t="s">
        <v>1828</v>
      </c>
      <c r="R973" s="6"/>
      <c r="S973" s="298"/>
    </row>
    <row r="974" spans="14:19" hidden="1" x14ac:dyDescent="0.25">
      <c r="N974" s="17">
        <v>296.99999999999397</v>
      </c>
      <c r="O974" s="16" t="s">
        <v>1829</v>
      </c>
      <c r="R974" s="6"/>
      <c r="S974" s="298"/>
    </row>
    <row r="975" spans="14:19" hidden="1" x14ac:dyDescent="0.25">
      <c r="N975" s="17">
        <v>297.09999999999502</v>
      </c>
      <c r="O975" s="16" t="s">
        <v>1830</v>
      </c>
      <c r="R975" s="6"/>
      <c r="S975" s="298"/>
    </row>
    <row r="976" spans="14:19" hidden="1" x14ac:dyDescent="0.25">
      <c r="N976" s="17">
        <v>297.19999999999402</v>
      </c>
      <c r="O976" s="16" t="s">
        <v>181</v>
      </c>
      <c r="R976" s="6"/>
      <c r="S976" s="298"/>
    </row>
    <row r="977" spans="14:19" hidden="1" x14ac:dyDescent="0.25">
      <c r="N977" s="17">
        <v>297.29999999999399</v>
      </c>
      <c r="O977" s="16" t="s">
        <v>182</v>
      </c>
      <c r="R977" s="6"/>
      <c r="S977" s="298"/>
    </row>
    <row r="978" spans="14:19" hidden="1" x14ac:dyDescent="0.25">
      <c r="N978" s="17">
        <v>297.39999999999498</v>
      </c>
      <c r="O978" s="16" t="s">
        <v>183</v>
      </c>
      <c r="R978" s="6"/>
      <c r="S978" s="298"/>
    </row>
    <row r="979" spans="14:19" hidden="1" x14ac:dyDescent="0.25">
      <c r="N979" s="17">
        <v>297.49999999999397</v>
      </c>
      <c r="O979" s="16" t="s">
        <v>184</v>
      </c>
      <c r="R979" s="6"/>
      <c r="S979" s="298"/>
    </row>
    <row r="980" spans="14:19" hidden="1" x14ac:dyDescent="0.25">
      <c r="N980" s="17">
        <v>297.59999999999502</v>
      </c>
      <c r="O980" s="16" t="s">
        <v>185</v>
      </c>
      <c r="R980" s="6"/>
      <c r="S980" s="298"/>
    </row>
    <row r="981" spans="14:19" hidden="1" x14ac:dyDescent="0.25">
      <c r="N981" s="17">
        <v>297.69999999999402</v>
      </c>
      <c r="O981" s="16" t="s">
        <v>186</v>
      </c>
      <c r="R981" s="6"/>
      <c r="S981" s="298"/>
    </row>
    <row r="982" spans="14:19" hidden="1" x14ac:dyDescent="0.25">
      <c r="N982" s="17">
        <v>297.79999999999399</v>
      </c>
      <c r="O982" s="16" t="s">
        <v>187</v>
      </c>
      <c r="R982" s="6"/>
      <c r="S982" s="298"/>
    </row>
    <row r="983" spans="14:19" hidden="1" x14ac:dyDescent="0.25">
      <c r="N983" s="17">
        <v>297.89999999999401</v>
      </c>
      <c r="O983" s="16" t="s">
        <v>4946</v>
      </c>
      <c r="R983" s="6"/>
      <c r="S983" s="298"/>
    </row>
    <row r="984" spans="14:19" hidden="1" x14ac:dyDescent="0.25">
      <c r="N984" s="17">
        <v>297.99999999999397</v>
      </c>
      <c r="O984" s="16" t="s">
        <v>4947</v>
      </c>
      <c r="R984" s="6"/>
      <c r="S984" s="298"/>
    </row>
    <row r="985" spans="14:19" hidden="1" x14ac:dyDescent="0.25">
      <c r="N985" s="17">
        <v>298.099999999994</v>
      </c>
      <c r="O985" s="16" t="s">
        <v>4948</v>
      </c>
      <c r="R985" s="6"/>
      <c r="S985" s="298"/>
    </row>
    <row r="986" spans="14:19" hidden="1" x14ac:dyDescent="0.25">
      <c r="N986" s="17">
        <v>298.19999999999402</v>
      </c>
      <c r="O986" s="16" t="s">
        <v>4949</v>
      </c>
      <c r="R986" s="6"/>
      <c r="S986" s="298"/>
    </row>
    <row r="987" spans="14:19" hidden="1" x14ac:dyDescent="0.25">
      <c r="N987" s="17">
        <v>298.29999999999399</v>
      </c>
      <c r="O987" s="16" t="s">
        <v>4950</v>
      </c>
      <c r="R987" s="6"/>
      <c r="S987" s="298"/>
    </row>
    <row r="988" spans="14:19" hidden="1" x14ac:dyDescent="0.25">
      <c r="N988" s="17">
        <v>298.39999999999401</v>
      </c>
      <c r="O988" s="16" t="s">
        <v>4951</v>
      </c>
      <c r="R988" s="6"/>
      <c r="S988" s="298"/>
    </row>
    <row r="989" spans="14:19" hidden="1" x14ac:dyDescent="0.25">
      <c r="N989" s="17">
        <v>298.49999999999397</v>
      </c>
      <c r="O989" s="16" t="s">
        <v>4952</v>
      </c>
      <c r="R989" s="6"/>
      <c r="S989" s="298"/>
    </row>
    <row r="990" spans="14:19" hidden="1" x14ac:dyDescent="0.25">
      <c r="N990" s="17">
        <v>298.599999999994</v>
      </c>
      <c r="O990" s="16" t="s">
        <v>4953</v>
      </c>
      <c r="R990" s="6"/>
      <c r="S990" s="298"/>
    </row>
    <row r="991" spans="14:19" hidden="1" x14ac:dyDescent="0.25">
      <c r="N991" s="17">
        <v>298.69999999999402</v>
      </c>
      <c r="O991" s="16" t="s">
        <v>4954</v>
      </c>
      <c r="R991" s="6"/>
      <c r="S991" s="298"/>
    </row>
    <row r="992" spans="14:19" hidden="1" x14ac:dyDescent="0.25">
      <c r="N992" s="17">
        <v>298.79999999999399</v>
      </c>
      <c r="O992" s="16" t="s">
        <v>4955</v>
      </c>
      <c r="R992" s="6"/>
      <c r="S992" s="298"/>
    </row>
    <row r="993" spans="14:19" hidden="1" x14ac:dyDescent="0.25">
      <c r="N993" s="17">
        <v>298.89999999999401</v>
      </c>
      <c r="O993" s="16" t="s">
        <v>4956</v>
      </c>
      <c r="R993" s="6"/>
      <c r="S993" s="298"/>
    </row>
    <row r="994" spans="14:19" hidden="1" x14ac:dyDescent="0.25">
      <c r="N994" s="17">
        <v>298.99999999999397</v>
      </c>
      <c r="O994" s="16" t="s">
        <v>4957</v>
      </c>
      <c r="R994" s="6"/>
      <c r="S994" s="298"/>
    </row>
    <row r="995" spans="14:19" hidden="1" x14ac:dyDescent="0.25">
      <c r="N995" s="17">
        <v>299.099999999994</v>
      </c>
      <c r="O995" s="16" t="s">
        <v>2830</v>
      </c>
      <c r="R995" s="6"/>
      <c r="S995" s="298"/>
    </row>
    <row r="996" spans="14:19" hidden="1" x14ac:dyDescent="0.25">
      <c r="N996" s="17">
        <v>299.19999999999402</v>
      </c>
      <c r="O996" s="16" t="s">
        <v>2831</v>
      </c>
      <c r="R996" s="6"/>
      <c r="S996" s="298"/>
    </row>
    <row r="997" spans="14:19" hidden="1" x14ac:dyDescent="0.25">
      <c r="N997" s="17">
        <v>299.29999999999399</v>
      </c>
      <c r="O997" s="16" t="s">
        <v>2832</v>
      </c>
      <c r="R997" s="6"/>
      <c r="S997" s="298"/>
    </row>
    <row r="998" spans="14:19" hidden="1" x14ac:dyDescent="0.25">
      <c r="N998" s="17">
        <v>299.39999999999401</v>
      </c>
      <c r="O998" s="16" t="s">
        <v>2833</v>
      </c>
      <c r="R998" s="6"/>
      <c r="S998" s="298"/>
    </row>
    <row r="999" spans="14:19" hidden="1" x14ac:dyDescent="0.25">
      <c r="N999" s="17">
        <v>299.49999999999397</v>
      </c>
      <c r="O999" s="16" t="s">
        <v>2834</v>
      </c>
      <c r="R999" s="6"/>
      <c r="S999" s="298"/>
    </row>
    <row r="1000" spans="14:19" hidden="1" x14ac:dyDescent="0.25">
      <c r="N1000" s="17">
        <v>299.599999999994</v>
      </c>
      <c r="O1000" s="16" t="s">
        <v>2835</v>
      </c>
      <c r="R1000" s="6"/>
      <c r="S1000" s="298"/>
    </row>
    <row r="1001" spans="14:19" hidden="1" x14ac:dyDescent="0.25">
      <c r="N1001" s="17">
        <v>299.69999999999402</v>
      </c>
      <c r="O1001" s="16" t="s">
        <v>2836</v>
      </c>
      <c r="R1001" s="6"/>
      <c r="S1001" s="298"/>
    </row>
    <row r="1002" spans="14:19" hidden="1" x14ac:dyDescent="0.25">
      <c r="N1002" s="17">
        <v>299.79999999999399</v>
      </c>
      <c r="O1002" s="16" t="s">
        <v>2805</v>
      </c>
      <c r="R1002" s="6"/>
      <c r="S1002" s="298"/>
    </row>
    <row r="1003" spans="14:19" hidden="1" x14ac:dyDescent="0.25">
      <c r="N1003" s="17">
        <v>299.89999999999401</v>
      </c>
      <c r="O1003" s="16" t="s">
        <v>2806</v>
      </c>
      <c r="R1003" s="6"/>
      <c r="S1003" s="298"/>
    </row>
    <row r="1004" spans="14:19" hidden="1" x14ac:dyDescent="0.25">
      <c r="N1004" s="17">
        <v>299.99999999999397</v>
      </c>
      <c r="O1004" s="16" t="s">
        <v>2807</v>
      </c>
    </row>
    <row r="1005" spans="14:19" hidden="1" x14ac:dyDescent="0.25">
      <c r="N1005" s="17">
        <v>300.10000000000002</v>
      </c>
      <c r="O1005" s="16" t="s">
        <v>2808</v>
      </c>
      <c r="R1005" s="6"/>
      <c r="S1005" s="298"/>
    </row>
    <row r="1006" spans="14:19" hidden="1" x14ac:dyDescent="0.25">
      <c r="N1006" s="17">
        <v>300.2</v>
      </c>
      <c r="O1006" s="16" t="s">
        <v>2809</v>
      </c>
      <c r="R1006" s="6"/>
      <c r="S1006" s="298"/>
    </row>
    <row r="1007" spans="14:19" hidden="1" x14ac:dyDescent="0.25">
      <c r="N1007" s="17">
        <v>300.3</v>
      </c>
      <c r="O1007" s="16" t="s">
        <v>2810</v>
      </c>
      <c r="R1007" s="6"/>
      <c r="S1007" s="298"/>
    </row>
    <row r="1008" spans="14:19" hidden="1" x14ac:dyDescent="0.25">
      <c r="N1008" s="17">
        <v>300.39999999999998</v>
      </c>
      <c r="O1008" s="16" t="s">
        <v>2811</v>
      </c>
      <c r="R1008" s="6"/>
      <c r="S1008" s="298"/>
    </row>
    <row r="1009" spans="14:19" hidden="1" x14ac:dyDescent="0.25">
      <c r="N1009" s="17">
        <v>300.5</v>
      </c>
      <c r="O1009" s="16" t="s">
        <v>2812</v>
      </c>
      <c r="R1009" s="6"/>
      <c r="S1009" s="298"/>
    </row>
    <row r="1010" spans="14:19" hidden="1" x14ac:dyDescent="0.25">
      <c r="N1010" s="17">
        <v>300.60000000000002</v>
      </c>
      <c r="O1010" s="16" t="s">
        <v>2813</v>
      </c>
      <c r="R1010" s="6"/>
      <c r="S1010" s="298"/>
    </row>
    <row r="1011" spans="14:19" hidden="1" x14ac:dyDescent="0.25">
      <c r="N1011" s="17">
        <v>300.7</v>
      </c>
      <c r="O1011" s="16" t="s">
        <v>2814</v>
      </c>
      <c r="R1011" s="6"/>
      <c r="S1011" s="298"/>
    </row>
    <row r="1012" spans="14:19" hidden="1" x14ac:dyDescent="0.25">
      <c r="N1012" s="17">
        <v>300.8</v>
      </c>
      <c r="O1012" s="16" t="s">
        <v>2815</v>
      </c>
      <c r="R1012" s="6"/>
      <c r="S1012" s="298"/>
    </row>
    <row r="1013" spans="14:19" hidden="1" x14ac:dyDescent="0.25">
      <c r="N1013" s="17">
        <v>300.89999999999998</v>
      </c>
      <c r="O1013" s="16" t="s">
        <v>2816</v>
      </c>
      <c r="R1013" s="6"/>
      <c r="S1013" s="298"/>
    </row>
    <row r="1014" spans="14:19" hidden="1" x14ac:dyDescent="0.25">
      <c r="N1014" s="17">
        <v>301</v>
      </c>
      <c r="O1014" s="16" t="s">
        <v>2808</v>
      </c>
    </row>
    <row r="1015" spans="14:19" hidden="1" x14ac:dyDescent="0.25">
      <c r="N1015" s="17">
        <v>301.10000000000002</v>
      </c>
      <c r="O1015" s="16" t="s">
        <v>2817</v>
      </c>
      <c r="R1015" s="6"/>
      <c r="S1015" s="298"/>
    </row>
    <row r="1016" spans="14:19" hidden="1" x14ac:dyDescent="0.25">
      <c r="N1016" s="17">
        <v>301.2</v>
      </c>
      <c r="O1016" s="16" t="s">
        <v>2818</v>
      </c>
      <c r="R1016" s="6"/>
      <c r="S1016" s="298"/>
    </row>
    <row r="1017" spans="14:19" hidden="1" x14ac:dyDescent="0.25">
      <c r="N1017" s="17">
        <v>301.3</v>
      </c>
      <c r="O1017" s="16" t="s">
        <v>2819</v>
      </c>
      <c r="R1017" s="6"/>
      <c r="S1017" s="298"/>
    </row>
    <row r="1018" spans="14:19" hidden="1" x14ac:dyDescent="0.25">
      <c r="N1018" s="17">
        <v>301.39999999999998</v>
      </c>
      <c r="O1018" s="16" t="s">
        <v>2820</v>
      </c>
      <c r="R1018" s="6"/>
      <c r="S1018" s="298"/>
    </row>
    <row r="1019" spans="14:19" hidden="1" x14ac:dyDescent="0.25">
      <c r="N1019" s="17">
        <v>301.5</v>
      </c>
      <c r="O1019" s="16" t="s">
        <v>2821</v>
      </c>
      <c r="R1019" s="6"/>
      <c r="S1019" s="298"/>
    </row>
    <row r="1020" spans="14:19" hidden="1" x14ac:dyDescent="0.25">
      <c r="N1020" s="17">
        <v>301.60000000000002</v>
      </c>
      <c r="O1020" s="16" t="s">
        <v>2822</v>
      </c>
      <c r="R1020" s="6"/>
      <c r="S1020" s="298"/>
    </row>
    <row r="1021" spans="14:19" hidden="1" x14ac:dyDescent="0.25">
      <c r="N1021" s="17">
        <v>301.69999999999902</v>
      </c>
      <c r="O1021" s="16" t="s">
        <v>2823</v>
      </c>
      <c r="R1021" s="6"/>
      <c r="S1021" s="298"/>
    </row>
    <row r="1022" spans="14:19" hidden="1" x14ac:dyDescent="0.25">
      <c r="N1022" s="17">
        <v>301.79999999999899</v>
      </c>
      <c r="O1022" s="16" t="s">
        <v>2824</v>
      </c>
      <c r="R1022" s="6"/>
      <c r="S1022" s="298"/>
    </row>
    <row r="1023" spans="14:19" hidden="1" x14ac:dyDescent="0.25">
      <c r="N1023" s="17">
        <v>301.89999999999901</v>
      </c>
      <c r="O1023" s="16" t="s">
        <v>2825</v>
      </c>
      <c r="R1023" s="6"/>
      <c r="S1023" s="298"/>
    </row>
    <row r="1024" spans="14:19" hidden="1" x14ac:dyDescent="0.25">
      <c r="N1024" s="17">
        <v>301.99999999999898</v>
      </c>
      <c r="O1024" s="16" t="s">
        <v>2809</v>
      </c>
      <c r="R1024" s="6"/>
      <c r="S1024" s="298"/>
    </row>
    <row r="1025" spans="14:19" hidden="1" x14ac:dyDescent="0.25">
      <c r="N1025" s="17">
        <v>302.099999999999</v>
      </c>
      <c r="O1025" s="16" t="s">
        <v>2826</v>
      </c>
      <c r="R1025" s="6"/>
      <c r="S1025" s="298"/>
    </row>
    <row r="1026" spans="14:19" hidden="1" x14ac:dyDescent="0.25">
      <c r="N1026" s="17">
        <v>302.19999999999902</v>
      </c>
      <c r="O1026" s="16" t="s">
        <v>2827</v>
      </c>
      <c r="R1026" s="6"/>
      <c r="S1026" s="298"/>
    </row>
    <row r="1027" spans="14:19" hidden="1" x14ac:dyDescent="0.25">
      <c r="N1027" s="17">
        <v>302.29999999999899</v>
      </c>
      <c r="O1027" s="16" t="s">
        <v>2828</v>
      </c>
      <c r="R1027" s="6"/>
      <c r="S1027" s="298"/>
    </row>
    <row r="1028" spans="14:19" hidden="1" x14ac:dyDescent="0.25">
      <c r="N1028" s="17">
        <v>302.39999999999901</v>
      </c>
      <c r="O1028" s="16" t="s">
        <v>2829</v>
      </c>
      <c r="R1028" s="6"/>
      <c r="S1028" s="298"/>
    </row>
    <row r="1029" spans="14:19" hidden="1" x14ac:dyDescent="0.25">
      <c r="N1029" s="17">
        <v>302.49999999999898</v>
      </c>
      <c r="O1029" s="16" t="s">
        <v>581</v>
      </c>
      <c r="R1029" s="6"/>
      <c r="S1029" s="298"/>
    </row>
    <row r="1030" spans="14:19" hidden="1" x14ac:dyDescent="0.25">
      <c r="N1030" s="17">
        <v>302.599999999999</v>
      </c>
      <c r="O1030" s="16" t="s">
        <v>582</v>
      </c>
      <c r="R1030" s="6"/>
      <c r="S1030" s="298"/>
    </row>
    <row r="1031" spans="14:19" hidden="1" x14ac:dyDescent="0.25">
      <c r="N1031" s="17">
        <v>302.69999999999902</v>
      </c>
      <c r="O1031" s="16" t="s">
        <v>583</v>
      </c>
      <c r="R1031" s="6"/>
      <c r="S1031" s="298"/>
    </row>
    <row r="1032" spans="14:19" hidden="1" x14ac:dyDescent="0.25">
      <c r="N1032" s="17">
        <v>302.79999999999899</v>
      </c>
      <c r="O1032" s="16" t="s">
        <v>584</v>
      </c>
      <c r="R1032" s="6"/>
      <c r="S1032" s="298"/>
    </row>
    <row r="1033" spans="14:19" hidden="1" x14ac:dyDescent="0.25">
      <c r="N1033" s="17">
        <v>302.89999999999901</v>
      </c>
      <c r="O1033" s="16" t="s">
        <v>585</v>
      </c>
      <c r="R1033" s="6"/>
      <c r="S1033" s="298"/>
    </row>
    <row r="1034" spans="14:19" hidden="1" x14ac:dyDescent="0.25">
      <c r="N1034" s="17">
        <v>302.99999999999898</v>
      </c>
      <c r="O1034" s="16" t="s">
        <v>2810</v>
      </c>
    </row>
    <row r="1035" spans="14:19" hidden="1" x14ac:dyDescent="0.25">
      <c r="N1035" s="17">
        <v>303.099999999999</v>
      </c>
      <c r="O1035" s="16" t="s">
        <v>1560</v>
      </c>
      <c r="R1035" s="6"/>
      <c r="S1035" s="298"/>
    </row>
    <row r="1036" spans="14:19" hidden="1" x14ac:dyDescent="0.25">
      <c r="N1036" s="17">
        <v>303.19999999999902</v>
      </c>
      <c r="O1036" s="16" t="s">
        <v>1561</v>
      </c>
      <c r="R1036" s="6"/>
      <c r="S1036" s="298"/>
    </row>
    <row r="1037" spans="14:19" hidden="1" x14ac:dyDescent="0.25">
      <c r="N1037" s="17">
        <v>303.29999999999899</v>
      </c>
      <c r="O1037" s="16" t="s">
        <v>1562</v>
      </c>
      <c r="R1037" s="6"/>
      <c r="S1037" s="298"/>
    </row>
    <row r="1038" spans="14:19" hidden="1" x14ac:dyDescent="0.25">
      <c r="N1038" s="17">
        <v>303.39999999999901</v>
      </c>
      <c r="O1038" s="16" t="s">
        <v>1563</v>
      </c>
      <c r="R1038" s="6"/>
      <c r="S1038" s="298"/>
    </row>
    <row r="1039" spans="14:19" hidden="1" x14ac:dyDescent="0.25">
      <c r="N1039" s="17">
        <v>303.49999999999898</v>
      </c>
      <c r="O1039" s="16" t="s">
        <v>1564</v>
      </c>
      <c r="R1039" s="6"/>
      <c r="S1039" s="298"/>
    </row>
    <row r="1040" spans="14:19" hidden="1" x14ac:dyDescent="0.25">
      <c r="N1040" s="17">
        <v>303.599999999999</v>
      </c>
      <c r="O1040" s="16" t="s">
        <v>1565</v>
      </c>
      <c r="R1040" s="6"/>
      <c r="S1040" s="298"/>
    </row>
    <row r="1041" spans="14:19" hidden="1" x14ac:dyDescent="0.25">
      <c r="N1041" s="17">
        <v>303.69999999999902</v>
      </c>
      <c r="O1041" s="16" t="s">
        <v>1566</v>
      </c>
      <c r="R1041" s="6"/>
      <c r="S1041" s="298"/>
    </row>
    <row r="1042" spans="14:19" hidden="1" x14ac:dyDescent="0.25">
      <c r="N1042" s="17">
        <v>303.79999999999899</v>
      </c>
      <c r="O1042" s="16" t="s">
        <v>1567</v>
      </c>
      <c r="R1042" s="6"/>
      <c r="S1042" s="298"/>
    </row>
    <row r="1043" spans="14:19" hidden="1" x14ac:dyDescent="0.25">
      <c r="N1043" s="17">
        <v>303.89999999999901</v>
      </c>
      <c r="O1043" s="16" t="s">
        <v>1568</v>
      </c>
      <c r="R1043" s="6"/>
      <c r="S1043" s="298"/>
    </row>
    <row r="1044" spans="14:19" hidden="1" x14ac:dyDescent="0.25">
      <c r="N1044" s="17">
        <v>303.99999999999898</v>
      </c>
      <c r="O1044" s="16" t="s">
        <v>2811</v>
      </c>
      <c r="R1044" s="6"/>
      <c r="S1044" s="298"/>
    </row>
    <row r="1045" spans="14:19" hidden="1" x14ac:dyDescent="0.25">
      <c r="N1045" s="17">
        <v>304.099999999999</v>
      </c>
      <c r="O1045" s="16" t="s">
        <v>1569</v>
      </c>
      <c r="R1045" s="6"/>
      <c r="S1045" s="298"/>
    </row>
    <row r="1046" spans="14:19" hidden="1" x14ac:dyDescent="0.25">
      <c r="N1046" s="17">
        <v>304.19999999999902</v>
      </c>
      <c r="O1046" s="16" t="s">
        <v>1570</v>
      </c>
      <c r="R1046" s="6"/>
      <c r="S1046" s="298"/>
    </row>
    <row r="1047" spans="14:19" hidden="1" x14ac:dyDescent="0.25">
      <c r="N1047" s="17">
        <v>304.29999999999899</v>
      </c>
      <c r="O1047" s="16" t="s">
        <v>1571</v>
      </c>
      <c r="R1047" s="6"/>
      <c r="S1047" s="298"/>
    </row>
    <row r="1048" spans="14:19" hidden="1" x14ac:dyDescent="0.25">
      <c r="N1048" s="17">
        <v>304.39999999999901</v>
      </c>
      <c r="O1048" s="16" t="s">
        <v>1572</v>
      </c>
      <c r="R1048" s="6"/>
      <c r="S1048" s="298"/>
    </row>
    <row r="1049" spans="14:19" hidden="1" x14ac:dyDescent="0.25">
      <c r="N1049" s="17">
        <v>304.49999999999898</v>
      </c>
      <c r="O1049" s="16" t="s">
        <v>1573</v>
      </c>
      <c r="R1049" s="6"/>
      <c r="S1049" s="298"/>
    </row>
    <row r="1050" spans="14:19" hidden="1" x14ac:dyDescent="0.25">
      <c r="N1050" s="17">
        <v>304.59999999999798</v>
      </c>
      <c r="O1050" s="16" t="s">
        <v>1574</v>
      </c>
      <c r="R1050" s="6"/>
      <c r="S1050" s="298"/>
    </row>
    <row r="1051" spans="14:19" hidden="1" x14ac:dyDescent="0.25">
      <c r="N1051" s="17">
        <v>304.699999999998</v>
      </c>
      <c r="O1051" s="16" t="s">
        <v>1575</v>
      </c>
      <c r="R1051" s="6"/>
      <c r="S1051" s="298"/>
    </row>
    <row r="1052" spans="14:19" hidden="1" x14ac:dyDescent="0.25">
      <c r="N1052" s="17">
        <v>304.79999999999802</v>
      </c>
      <c r="O1052" s="16" t="s">
        <v>1576</v>
      </c>
      <c r="R1052" s="6"/>
      <c r="S1052" s="298"/>
    </row>
    <row r="1053" spans="14:19" hidden="1" x14ac:dyDescent="0.25">
      <c r="N1053" s="17">
        <v>304.89999999999799</v>
      </c>
      <c r="O1053" s="16" t="s">
        <v>1577</v>
      </c>
      <c r="R1053" s="6"/>
      <c r="S1053" s="298"/>
    </row>
    <row r="1054" spans="14:19" hidden="1" x14ac:dyDescent="0.25">
      <c r="N1054" s="17">
        <v>304.99999999999801</v>
      </c>
      <c r="O1054" s="16" t="s">
        <v>1578</v>
      </c>
      <c r="R1054" s="6"/>
      <c r="S1054" s="298"/>
    </row>
    <row r="1055" spans="14:19" hidden="1" x14ac:dyDescent="0.25">
      <c r="N1055" s="17">
        <v>305.09999999999798</v>
      </c>
      <c r="O1055" s="16" t="s">
        <v>1579</v>
      </c>
      <c r="R1055" s="6"/>
      <c r="S1055" s="298"/>
    </row>
    <row r="1056" spans="14:19" hidden="1" x14ac:dyDescent="0.25">
      <c r="N1056" s="17">
        <v>305.199999999998</v>
      </c>
      <c r="O1056" s="16" t="s">
        <v>1580</v>
      </c>
      <c r="R1056" s="6"/>
      <c r="S1056" s="298"/>
    </row>
    <row r="1057" spans="14:19" hidden="1" x14ac:dyDescent="0.25">
      <c r="N1057" s="17">
        <v>305.29999999999802</v>
      </c>
      <c r="O1057" s="16" t="s">
        <v>1581</v>
      </c>
      <c r="R1057" s="6"/>
      <c r="S1057" s="298"/>
    </row>
    <row r="1058" spans="14:19" hidden="1" x14ac:dyDescent="0.25">
      <c r="N1058" s="17">
        <v>305.39999999999799</v>
      </c>
      <c r="O1058" s="16" t="s">
        <v>1582</v>
      </c>
      <c r="R1058" s="6"/>
      <c r="S1058" s="298"/>
    </row>
    <row r="1059" spans="14:19" hidden="1" x14ac:dyDescent="0.25">
      <c r="N1059" s="17">
        <v>305.49999999999801</v>
      </c>
      <c r="O1059" s="16" t="s">
        <v>1583</v>
      </c>
      <c r="R1059" s="6"/>
      <c r="S1059" s="298"/>
    </row>
    <row r="1060" spans="14:19" hidden="1" x14ac:dyDescent="0.25">
      <c r="N1060" s="17">
        <v>305.59999999999798</v>
      </c>
      <c r="O1060" s="16" t="s">
        <v>1584</v>
      </c>
      <c r="R1060" s="6"/>
      <c r="S1060" s="298"/>
    </row>
    <row r="1061" spans="14:19" hidden="1" x14ac:dyDescent="0.25">
      <c r="N1061" s="17">
        <v>305.699999999998</v>
      </c>
      <c r="O1061" s="16" t="s">
        <v>1585</v>
      </c>
      <c r="R1061" s="6"/>
      <c r="S1061" s="298"/>
    </row>
    <row r="1062" spans="14:19" hidden="1" x14ac:dyDescent="0.25">
      <c r="N1062" s="17">
        <v>305.79999999999802</v>
      </c>
      <c r="O1062" s="16" t="s">
        <v>1586</v>
      </c>
      <c r="R1062" s="6"/>
      <c r="S1062" s="298"/>
    </row>
    <row r="1063" spans="14:19" hidden="1" x14ac:dyDescent="0.25">
      <c r="N1063" s="17">
        <v>305.89999999999799</v>
      </c>
      <c r="O1063" s="16" t="s">
        <v>1587</v>
      </c>
      <c r="R1063" s="6"/>
      <c r="S1063" s="298"/>
    </row>
    <row r="1064" spans="14:19" hidden="1" x14ac:dyDescent="0.25">
      <c r="N1064" s="17">
        <v>305.99999999999801</v>
      </c>
      <c r="O1064" s="16" t="s">
        <v>2813</v>
      </c>
      <c r="R1064" s="6"/>
      <c r="S1064" s="298"/>
    </row>
    <row r="1065" spans="14:19" hidden="1" x14ac:dyDescent="0.25">
      <c r="N1065" s="17">
        <v>306.09999999999798</v>
      </c>
      <c r="O1065" s="16" t="s">
        <v>1588</v>
      </c>
      <c r="R1065" s="6"/>
      <c r="S1065" s="298"/>
    </row>
    <row r="1066" spans="14:19" hidden="1" x14ac:dyDescent="0.25">
      <c r="N1066" s="17">
        <v>306.199999999998</v>
      </c>
      <c r="O1066" s="16" t="s">
        <v>1589</v>
      </c>
      <c r="R1066" s="6"/>
      <c r="S1066" s="298"/>
    </row>
    <row r="1067" spans="14:19" hidden="1" x14ac:dyDescent="0.25">
      <c r="N1067" s="17">
        <v>306.29999999999802</v>
      </c>
      <c r="O1067" s="16" t="s">
        <v>1590</v>
      </c>
      <c r="R1067" s="6"/>
      <c r="S1067" s="298"/>
    </row>
    <row r="1068" spans="14:19" hidden="1" x14ac:dyDescent="0.25">
      <c r="N1068" s="17">
        <v>306.39999999999799</v>
      </c>
      <c r="O1068" s="16" t="s">
        <v>1591</v>
      </c>
      <c r="R1068" s="6"/>
      <c r="S1068" s="298"/>
    </row>
    <row r="1069" spans="14:19" hidden="1" x14ac:dyDescent="0.25">
      <c r="N1069" s="17">
        <v>306.49999999999801</v>
      </c>
      <c r="O1069" s="16" t="s">
        <v>1592</v>
      </c>
      <c r="R1069" s="6"/>
      <c r="S1069" s="298"/>
    </row>
    <row r="1070" spans="14:19" hidden="1" x14ac:dyDescent="0.25">
      <c r="N1070" s="17">
        <v>306.59999999999798</v>
      </c>
      <c r="O1070" s="16" t="s">
        <v>460</v>
      </c>
      <c r="R1070" s="6"/>
      <c r="S1070" s="298"/>
    </row>
    <row r="1071" spans="14:19" hidden="1" x14ac:dyDescent="0.25">
      <c r="N1071" s="17">
        <v>306.699999999998</v>
      </c>
      <c r="O1071" s="16" t="s">
        <v>461</v>
      </c>
      <c r="R1071" s="6"/>
      <c r="S1071" s="298"/>
    </row>
    <row r="1072" spans="14:19" hidden="1" x14ac:dyDescent="0.25">
      <c r="N1072" s="17">
        <v>306.79999999999802</v>
      </c>
      <c r="O1072" s="16" t="s">
        <v>462</v>
      </c>
      <c r="R1072" s="6"/>
      <c r="S1072" s="298"/>
    </row>
    <row r="1073" spans="14:19" hidden="1" x14ac:dyDescent="0.25">
      <c r="N1073" s="17">
        <v>306.89999999999799</v>
      </c>
      <c r="O1073" s="16" t="s">
        <v>463</v>
      </c>
      <c r="R1073" s="6"/>
      <c r="S1073" s="298"/>
    </row>
    <row r="1074" spans="14:19" hidden="1" x14ac:dyDescent="0.25">
      <c r="N1074" s="17">
        <v>306.99999999999801</v>
      </c>
      <c r="O1074" s="16" t="s">
        <v>2814</v>
      </c>
      <c r="R1074" s="6"/>
      <c r="S1074" s="298"/>
    </row>
    <row r="1075" spans="14:19" hidden="1" x14ac:dyDescent="0.25">
      <c r="N1075" s="17">
        <v>307.09999999999798</v>
      </c>
      <c r="O1075" s="16" t="s">
        <v>464</v>
      </c>
      <c r="R1075" s="6"/>
      <c r="S1075" s="298"/>
    </row>
    <row r="1076" spans="14:19" hidden="1" x14ac:dyDescent="0.25">
      <c r="N1076" s="17">
        <v>307.199999999998</v>
      </c>
      <c r="O1076" s="16" t="s">
        <v>465</v>
      </c>
      <c r="R1076" s="6"/>
      <c r="S1076" s="298"/>
    </row>
    <row r="1077" spans="14:19" hidden="1" x14ac:dyDescent="0.25">
      <c r="N1077" s="17">
        <v>307.29999999999802</v>
      </c>
      <c r="O1077" s="16" t="s">
        <v>466</v>
      </c>
      <c r="R1077" s="6"/>
      <c r="S1077" s="298"/>
    </row>
    <row r="1078" spans="14:19" hidden="1" x14ac:dyDescent="0.25">
      <c r="N1078" s="17">
        <v>307.39999999999799</v>
      </c>
      <c r="O1078" s="16" t="s">
        <v>467</v>
      </c>
      <c r="R1078" s="6"/>
      <c r="S1078" s="298"/>
    </row>
    <row r="1079" spans="14:19" hidden="1" x14ac:dyDescent="0.25">
      <c r="N1079" s="17">
        <v>307.49999999999699</v>
      </c>
      <c r="O1079" s="16" t="s">
        <v>468</v>
      </c>
      <c r="R1079" s="6"/>
      <c r="S1079" s="298"/>
    </row>
    <row r="1080" spans="14:19" hidden="1" x14ac:dyDescent="0.25">
      <c r="N1080" s="17">
        <v>307.59999999999701</v>
      </c>
      <c r="O1080" s="16" t="s">
        <v>469</v>
      </c>
      <c r="R1080" s="6"/>
      <c r="S1080" s="298"/>
    </row>
    <row r="1081" spans="14:19" hidden="1" x14ac:dyDescent="0.25">
      <c r="N1081" s="17">
        <v>307.69999999999698</v>
      </c>
      <c r="O1081" s="16" t="s">
        <v>470</v>
      </c>
      <c r="R1081" s="6"/>
      <c r="S1081" s="298"/>
    </row>
    <row r="1082" spans="14:19" hidden="1" x14ac:dyDescent="0.25">
      <c r="N1082" s="17">
        <v>307.799999999997</v>
      </c>
      <c r="O1082" s="16" t="s">
        <v>471</v>
      </c>
      <c r="R1082" s="6"/>
      <c r="S1082" s="298"/>
    </row>
    <row r="1083" spans="14:19" hidden="1" x14ac:dyDescent="0.25">
      <c r="N1083" s="17">
        <v>307.89999999999702</v>
      </c>
      <c r="O1083" s="16" t="s">
        <v>3119</v>
      </c>
      <c r="R1083" s="6"/>
      <c r="S1083" s="298"/>
    </row>
    <row r="1084" spans="14:19" hidden="1" x14ac:dyDescent="0.25">
      <c r="N1084" s="17">
        <v>307.99999999999699</v>
      </c>
      <c r="O1084" s="16" t="s">
        <v>2815</v>
      </c>
    </row>
    <row r="1085" spans="14:19" hidden="1" x14ac:dyDescent="0.25">
      <c r="N1085" s="17">
        <v>308.09999999999701</v>
      </c>
      <c r="O1085" s="16" t="s">
        <v>3120</v>
      </c>
    </row>
    <row r="1086" spans="14:19" hidden="1" x14ac:dyDescent="0.25">
      <c r="N1086" s="17">
        <v>308.19999999999698</v>
      </c>
      <c r="O1086" s="16" t="s">
        <v>3121</v>
      </c>
    </row>
    <row r="1087" spans="14:19" hidden="1" x14ac:dyDescent="0.25">
      <c r="N1087" s="17">
        <v>308.299999999997</v>
      </c>
      <c r="O1087" s="16" t="s">
        <v>3122</v>
      </c>
    </row>
    <row r="1088" spans="14:19" hidden="1" x14ac:dyDescent="0.25">
      <c r="N1088" s="17">
        <v>308.39999999999702</v>
      </c>
      <c r="O1088" s="16" t="s">
        <v>3123</v>
      </c>
    </row>
    <row r="1089" spans="14:19" hidden="1" x14ac:dyDescent="0.25">
      <c r="N1089" s="17">
        <v>308.49999999999699</v>
      </c>
      <c r="O1089" s="16" t="s">
        <v>3124</v>
      </c>
    </row>
    <row r="1090" spans="14:19" hidden="1" x14ac:dyDescent="0.25">
      <c r="N1090" s="17">
        <v>308.59999999999701</v>
      </c>
      <c r="O1090" s="16" t="s">
        <v>3125</v>
      </c>
    </row>
    <row r="1091" spans="14:19" hidden="1" x14ac:dyDescent="0.25">
      <c r="N1091" s="17">
        <v>308.69999999999698</v>
      </c>
      <c r="O1091" s="16" t="s">
        <v>3126</v>
      </c>
    </row>
    <row r="1092" spans="14:19" hidden="1" x14ac:dyDescent="0.25">
      <c r="N1092" s="17">
        <v>308.799999999997</v>
      </c>
      <c r="O1092" s="16" t="s">
        <v>3127</v>
      </c>
    </row>
    <row r="1093" spans="14:19" hidden="1" x14ac:dyDescent="0.25">
      <c r="N1093" s="17">
        <v>308.89999999999702</v>
      </c>
      <c r="O1093" s="16" t="s">
        <v>3128</v>
      </c>
    </row>
    <row r="1094" spans="14:19" hidden="1" x14ac:dyDescent="0.25">
      <c r="N1094" s="17">
        <v>308.99999999999699</v>
      </c>
      <c r="O1094" s="16" t="s">
        <v>3129</v>
      </c>
      <c r="R1094" s="6"/>
      <c r="S1094" s="298"/>
    </row>
    <row r="1095" spans="14:19" hidden="1" x14ac:dyDescent="0.25">
      <c r="N1095" s="17">
        <v>309.09999999999701</v>
      </c>
      <c r="O1095" s="16" t="s">
        <v>3130</v>
      </c>
      <c r="R1095" s="6"/>
      <c r="S1095" s="298"/>
    </row>
    <row r="1096" spans="14:19" hidden="1" x14ac:dyDescent="0.25">
      <c r="N1096" s="17">
        <v>309.19999999999698</v>
      </c>
      <c r="O1096" s="16" t="s">
        <v>3131</v>
      </c>
      <c r="R1096" s="6"/>
      <c r="S1096" s="298"/>
    </row>
    <row r="1097" spans="14:19" hidden="1" x14ac:dyDescent="0.25">
      <c r="N1097" s="17">
        <v>309.299999999997</v>
      </c>
      <c r="O1097" s="16" t="s">
        <v>3132</v>
      </c>
      <c r="R1097" s="6"/>
      <c r="S1097" s="298"/>
    </row>
    <row r="1098" spans="14:19" hidden="1" x14ac:dyDescent="0.25">
      <c r="N1098" s="17">
        <v>309.39999999999702</v>
      </c>
      <c r="O1098" s="16" t="s">
        <v>3133</v>
      </c>
      <c r="R1098" s="6"/>
      <c r="S1098" s="298"/>
    </row>
    <row r="1099" spans="14:19" hidden="1" x14ac:dyDescent="0.25">
      <c r="N1099" s="17">
        <v>309.49999999999699</v>
      </c>
      <c r="O1099" s="16" t="s">
        <v>3134</v>
      </c>
      <c r="R1099" s="6"/>
      <c r="S1099" s="298"/>
    </row>
    <row r="1100" spans="14:19" hidden="1" x14ac:dyDescent="0.25">
      <c r="N1100" s="17">
        <v>309.59999999999701</v>
      </c>
      <c r="O1100" s="16" t="s">
        <v>3135</v>
      </c>
      <c r="R1100" s="6"/>
      <c r="S1100" s="298"/>
    </row>
    <row r="1101" spans="14:19" hidden="1" x14ac:dyDescent="0.25">
      <c r="N1101" s="17">
        <v>309.69999999999698</v>
      </c>
      <c r="O1101" s="16" t="s">
        <v>3136</v>
      </c>
      <c r="R1101" s="6"/>
      <c r="S1101" s="298"/>
    </row>
    <row r="1102" spans="14:19" hidden="1" x14ac:dyDescent="0.25">
      <c r="N1102" s="17">
        <v>309.799999999997</v>
      </c>
      <c r="O1102" s="16" t="s">
        <v>3137</v>
      </c>
      <c r="R1102" s="6"/>
      <c r="S1102" s="298"/>
    </row>
    <row r="1103" spans="14:19" hidden="1" x14ac:dyDescent="0.25">
      <c r="N1103" s="17">
        <v>309.89999999999702</v>
      </c>
      <c r="O1103" s="16" t="s">
        <v>3138</v>
      </c>
      <c r="R1103" s="6"/>
      <c r="S1103" s="298"/>
    </row>
    <row r="1104" spans="14:19" hidden="1" x14ac:dyDescent="0.25">
      <c r="N1104" s="17">
        <v>309.99999999999699</v>
      </c>
      <c r="O1104" s="16" t="s">
        <v>3139</v>
      </c>
      <c r="R1104" s="6"/>
      <c r="S1104" s="298"/>
    </row>
    <row r="1105" spans="14:19" hidden="1" x14ac:dyDescent="0.25">
      <c r="N1105" s="17">
        <v>310.09999999999701</v>
      </c>
      <c r="O1105" s="16" t="s">
        <v>3140</v>
      </c>
      <c r="R1105" s="6"/>
      <c r="S1105" s="298"/>
    </row>
    <row r="1106" spans="14:19" hidden="1" x14ac:dyDescent="0.25">
      <c r="N1106" s="17">
        <v>310.19999999999698</v>
      </c>
      <c r="O1106" s="16" t="s">
        <v>3141</v>
      </c>
      <c r="R1106" s="6"/>
      <c r="S1106" s="298"/>
    </row>
    <row r="1107" spans="14:19" hidden="1" x14ac:dyDescent="0.25">
      <c r="N1107" s="17">
        <v>310.299999999997</v>
      </c>
      <c r="O1107" s="16" t="s">
        <v>3142</v>
      </c>
      <c r="R1107" s="6"/>
      <c r="S1107" s="298"/>
    </row>
    <row r="1108" spans="14:19" hidden="1" x14ac:dyDescent="0.25">
      <c r="N1108" s="17">
        <v>310.39999999999702</v>
      </c>
      <c r="O1108" s="16" t="s">
        <v>3143</v>
      </c>
      <c r="R1108" s="6"/>
      <c r="S1108" s="298"/>
    </row>
    <row r="1109" spans="14:19" hidden="1" x14ac:dyDescent="0.25">
      <c r="N1109" s="17">
        <v>310.49999999999699</v>
      </c>
      <c r="O1109" s="16" t="s">
        <v>3144</v>
      </c>
      <c r="R1109" s="6"/>
      <c r="S1109" s="298"/>
    </row>
    <row r="1110" spans="14:19" hidden="1" x14ac:dyDescent="0.25">
      <c r="N1110" s="17">
        <v>310.59999999999599</v>
      </c>
      <c r="O1110" s="16" t="s">
        <v>3145</v>
      </c>
      <c r="R1110" s="6"/>
      <c r="S1110" s="298"/>
    </row>
    <row r="1111" spans="14:19" hidden="1" x14ac:dyDescent="0.25">
      <c r="N1111" s="17">
        <v>310.69999999999601</v>
      </c>
      <c r="O1111" s="16" t="s">
        <v>3146</v>
      </c>
      <c r="R1111" s="6"/>
      <c r="S1111" s="298"/>
    </row>
    <row r="1112" spans="14:19" hidden="1" x14ac:dyDescent="0.25">
      <c r="N1112" s="17">
        <v>310.79999999999598</v>
      </c>
      <c r="O1112" s="16" t="s">
        <v>3147</v>
      </c>
      <c r="R1112" s="6"/>
      <c r="S1112" s="298"/>
    </row>
    <row r="1113" spans="14:19" hidden="1" x14ac:dyDescent="0.25">
      <c r="N1113" s="17">
        <v>310.899999999996</v>
      </c>
      <c r="O1113" s="16" t="s">
        <v>3148</v>
      </c>
      <c r="R1113" s="6"/>
      <c r="S1113" s="298"/>
    </row>
    <row r="1114" spans="14:19" hidden="1" x14ac:dyDescent="0.25">
      <c r="N1114" s="17">
        <v>310.99999999999602</v>
      </c>
      <c r="O1114" s="16" t="s">
        <v>3149</v>
      </c>
      <c r="R1114" s="6"/>
      <c r="S1114" s="298"/>
    </row>
    <row r="1115" spans="14:19" hidden="1" x14ac:dyDescent="0.25">
      <c r="N1115" s="17">
        <v>311.09999999999599</v>
      </c>
      <c r="O1115" s="16" t="s">
        <v>3150</v>
      </c>
      <c r="R1115" s="6"/>
      <c r="S1115" s="298"/>
    </row>
    <row r="1116" spans="14:19" hidden="1" x14ac:dyDescent="0.25">
      <c r="N1116" s="17">
        <v>311.19999999999601</v>
      </c>
      <c r="O1116" s="16" t="s">
        <v>3151</v>
      </c>
      <c r="R1116" s="6"/>
      <c r="S1116" s="298"/>
    </row>
    <row r="1117" spans="14:19" hidden="1" x14ac:dyDescent="0.25">
      <c r="N1117" s="17">
        <v>311.29999999999598</v>
      </c>
      <c r="O1117" s="16" t="s">
        <v>3152</v>
      </c>
      <c r="R1117" s="6"/>
      <c r="S1117" s="298"/>
    </row>
    <row r="1118" spans="14:19" hidden="1" x14ac:dyDescent="0.25">
      <c r="N1118" s="17">
        <v>311.399999999996</v>
      </c>
      <c r="O1118" s="16" t="s">
        <v>3153</v>
      </c>
      <c r="R1118" s="6"/>
      <c r="S1118" s="298"/>
    </row>
    <row r="1119" spans="14:19" hidden="1" x14ac:dyDescent="0.25">
      <c r="N1119" s="17">
        <v>311.49999999999602</v>
      </c>
      <c r="O1119" s="16" t="s">
        <v>3154</v>
      </c>
      <c r="R1119" s="6"/>
      <c r="S1119" s="298"/>
    </row>
    <row r="1120" spans="14:19" hidden="1" x14ac:dyDescent="0.25">
      <c r="N1120" s="17">
        <v>311.59999999999599</v>
      </c>
      <c r="O1120" s="16" t="s">
        <v>3155</v>
      </c>
      <c r="R1120" s="6"/>
      <c r="S1120" s="298"/>
    </row>
    <row r="1121" spans="14:19" hidden="1" x14ac:dyDescent="0.25">
      <c r="N1121" s="17">
        <v>311.69999999999601</v>
      </c>
      <c r="O1121" s="16" t="s">
        <v>3156</v>
      </c>
      <c r="R1121" s="6"/>
      <c r="S1121" s="298"/>
    </row>
    <row r="1122" spans="14:19" hidden="1" x14ac:dyDescent="0.25">
      <c r="N1122" s="17">
        <v>311.79999999999598</v>
      </c>
      <c r="O1122" s="16" t="s">
        <v>3157</v>
      </c>
      <c r="R1122" s="6"/>
      <c r="S1122" s="298"/>
    </row>
    <row r="1123" spans="14:19" hidden="1" x14ac:dyDescent="0.25">
      <c r="N1123" s="17">
        <v>311.899999999996</v>
      </c>
      <c r="O1123" s="16" t="s">
        <v>3158</v>
      </c>
      <c r="R1123" s="6"/>
      <c r="S1123" s="298"/>
    </row>
    <row r="1124" spans="14:19" hidden="1" x14ac:dyDescent="0.25">
      <c r="N1124" s="17">
        <v>311.99999999999602</v>
      </c>
      <c r="O1124" s="16" t="s">
        <v>682</v>
      </c>
      <c r="R1124" s="6"/>
      <c r="S1124" s="298"/>
    </row>
    <row r="1125" spans="14:19" hidden="1" x14ac:dyDescent="0.25">
      <c r="N1125" s="17">
        <v>312.09999999999599</v>
      </c>
      <c r="O1125" s="16" t="s">
        <v>683</v>
      </c>
      <c r="R1125" s="6"/>
      <c r="S1125" s="298"/>
    </row>
    <row r="1126" spans="14:19" hidden="1" x14ac:dyDescent="0.25">
      <c r="N1126" s="17">
        <v>312.19999999999601</v>
      </c>
      <c r="O1126" s="16" t="s">
        <v>684</v>
      </c>
      <c r="R1126" s="6"/>
      <c r="S1126" s="298"/>
    </row>
    <row r="1127" spans="14:19" hidden="1" x14ac:dyDescent="0.25">
      <c r="N1127" s="17">
        <v>312.29999999999598</v>
      </c>
      <c r="O1127" s="16" t="s">
        <v>685</v>
      </c>
      <c r="R1127" s="6"/>
      <c r="S1127" s="298"/>
    </row>
    <row r="1128" spans="14:19" hidden="1" x14ac:dyDescent="0.25">
      <c r="N1128" s="17">
        <v>312.399999999996</v>
      </c>
      <c r="O1128" s="16" t="s">
        <v>686</v>
      </c>
      <c r="R1128" s="6"/>
      <c r="S1128" s="298"/>
    </row>
    <row r="1129" spans="14:19" hidden="1" x14ac:dyDescent="0.25">
      <c r="N1129" s="17">
        <v>312.49999999999602</v>
      </c>
      <c r="O1129" s="16" t="s">
        <v>687</v>
      </c>
      <c r="R1129" s="6"/>
      <c r="S1129" s="298"/>
    </row>
    <row r="1130" spans="14:19" hidden="1" x14ac:dyDescent="0.25">
      <c r="N1130" s="17">
        <v>312.59999999999599</v>
      </c>
      <c r="O1130" s="16" t="s">
        <v>1921</v>
      </c>
      <c r="R1130" s="6"/>
      <c r="S1130" s="298"/>
    </row>
    <row r="1131" spans="14:19" hidden="1" x14ac:dyDescent="0.25">
      <c r="N1131" s="17">
        <v>312.69999999999601</v>
      </c>
      <c r="O1131" s="16" t="s">
        <v>1922</v>
      </c>
      <c r="R1131" s="6"/>
      <c r="S1131" s="298"/>
    </row>
    <row r="1132" spans="14:19" hidden="1" x14ac:dyDescent="0.25">
      <c r="N1132" s="17">
        <v>312.79999999999598</v>
      </c>
      <c r="O1132" s="16" t="s">
        <v>1923</v>
      </c>
      <c r="R1132" s="6"/>
      <c r="S1132" s="298"/>
    </row>
    <row r="1133" spans="14:19" hidden="1" x14ac:dyDescent="0.25">
      <c r="N1133" s="17">
        <v>312.899999999996</v>
      </c>
      <c r="O1133" s="16" t="s">
        <v>1924</v>
      </c>
      <c r="R1133" s="6"/>
      <c r="S1133" s="298"/>
    </row>
    <row r="1134" spans="14:19" hidden="1" x14ac:dyDescent="0.25">
      <c r="N1134" s="17">
        <v>312.99999999999602</v>
      </c>
      <c r="O1134" s="16" t="s">
        <v>1925</v>
      </c>
      <c r="R1134" s="6"/>
      <c r="S1134" s="298"/>
    </row>
    <row r="1135" spans="14:19" hidden="1" x14ac:dyDescent="0.25">
      <c r="N1135" s="17">
        <v>313.09999999999599</v>
      </c>
      <c r="O1135" s="16" t="s">
        <v>1926</v>
      </c>
      <c r="R1135" s="6"/>
      <c r="S1135" s="298"/>
    </row>
    <row r="1136" spans="14:19" hidden="1" x14ac:dyDescent="0.25">
      <c r="N1136" s="17">
        <v>313.19999999999499</v>
      </c>
      <c r="O1136" s="16" t="s">
        <v>1927</v>
      </c>
      <c r="R1136" s="6"/>
      <c r="S1136" s="298"/>
    </row>
    <row r="1137" spans="14:19" hidden="1" x14ac:dyDescent="0.25">
      <c r="N1137" s="17">
        <v>313.29999999999598</v>
      </c>
      <c r="O1137" s="16" t="s">
        <v>1928</v>
      </c>
      <c r="R1137" s="6"/>
      <c r="S1137" s="298"/>
    </row>
    <row r="1138" spans="14:19" hidden="1" x14ac:dyDescent="0.25">
      <c r="N1138" s="17">
        <v>313.399999999996</v>
      </c>
      <c r="O1138" s="16" t="s">
        <v>5284</v>
      </c>
      <c r="R1138" s="6"/>
      <c r="S1138" s="298"/>
    </row>
    <row r="1139" spans="14:19" hidden="1" x14ac:dyDescent="0.25">
      <c r="N1139" s="17">
        <v>313.499999999995</v>
      </c>
      <c r="O1139" s="16" t="s">
        <v>3159</v>
      </c>
      <c r="R1139" s="6"/>
      <c r="S1139" s="298"/>
    </row>
    <row r="1140" spans="14:19" hidden="1" x14ac:dyDescent="0.25">
      <c r="N1140" s="17">
        <v>313.59999999999502</v>
      </c>
      <c r="O1140" s="16" t="s">
        <v>3160</v>
      </c>
      <c r="R1140" s="6"/>
      <c r="S1140" s="298"/>
    </row>
    <row r="1141" spans="14:19" hidden="1" x14ac:dyDescent="0.25">
      <c r="N1141" s="17">
        <v>313.69999999999499</v>
      </c>
      <c r="O1141" s="16" t="s">
        <v>3161</v>
      </c>
      <c r="R1141" s="6"/>
      <c r="S1141" s="298"/>
    </row>
    <row r="1142" spans="14:19" hidden="1" x14ac:dyDescent="0.25">
      <c r="N1142" s="17">
        <v>313.79999999999501</v>
      </c>
      <c r="O1142" s="16" t="s">
        <v>3162</v>
      </c>
      <c r="R1142" s="6"/>
      <c r="S1142" s="298"/>
    </row>
    <row r="1143" spans="14:19" hidden="1" x14ac:dyDescent="0.25">
      <c r="N1143" s="17">
        <v>313.89999999999498</v>
      </c>
      <c r="O1143" s="16" t="s">
        <v>3163</v>
      </c>
      <c r="R1143" s="6"/>
      <c r="S1143" s="298"/>
    </row>
    <row r="1144" spans="14:19" hidden="1" x14ac:dyDescent="0.25">
      <c r="N1144" s="17">
        <v>313.999999999995</v>
      </c>
      <c r="O1144" s="16" t="s">
        <v>688</v>
      </c>
      <c r="R1144" s="6"/>
      <c r="S1144" s="298"/>
    </row>
    <row r="1145" spans="14:19" hidden="1" x14ac:dyDescent="0.25">
      <c r="N1145" s="17">
        <v>314.09999999999502</v>
      </c>
      <c r="O1145" s="16" t="s">
        <v>689</v>
      </c>
      <c r="R1145" s="6"/>
      <c r="S1145" s="298"/>
    </row>
    <row r="1146" spans="14:19" hidden="1" x14ac:dyDescent="0.25">
      <c r="N1146" s="17">
        <v>314.19999999999499</v>
      </c>
      <c r="O1146" s="16" t="s">
        <v>690</v>
      </c>
      <c r="R1146" s="6"/>
      <c r="S1146" s="298"/>
    </row>
    <row r="1147" spans="14:19" hidden="1" x14ac:dyDescent="0.25">
      <c r="N1147" s="17">
        <v>314.29999999999501</v>
      </c>
      <c r="O1147" s="16" t="s">
        <v>691</v>
      </c>
      <c r="R1147" s="6"/>
      <c r="S1147" s="298"/>
    </row>
    <row r="1148" spans="14:19" hidden="1" x14ac:dyDescent="0.25">
      <c r="N1148" s="17">
        <v>314.39999999999498</v>
      </c>
      <c r="O1148" s="16" t="s">
        <v>692</v>
      </c>
      <c r="R1148" s="6"/>
      <c r="S1148" s="298"/>
    </row>
    <row r="1149" spans="14:19" hidden="1" x14ac:dyDescent="0.25">
      <c r="N1149" s="17">
        <v>314.499999999995</v>
      </c>
      <c r="O1149" s="16" t="s">
        <v>693</v>
      </c>
      <c r="R1149" s="6"/>
      <c r="S1149" s="298"/>
    </row>
    <row r="1150" spans="14:19" hidden="1" x14ac:dyDescent="0.25">
      <c r="N1150" s="17">
        <v>314.59999999999502</v>
      </c>
      <c r="O1150" s="16" t="s">
        <v>3183</v>
      </c>
      <c r="R1150" s="6"/>
      <c r="S1150" s="298"/>
    </row>
    <row r="1151" spans="14:19" hidden="1" x14ac:dyDescent="0.25">
      <c r="N1151" s="17">
        <v>314.69999999999499</v>
      </c>
      <c r="O1151" s="16" t="s">
        <v>3184</v>
      </c>
      <c r="R1151" s="6"/>
      <c r="S1151" s="298"/>
    </row>
    <row r="1152" spans="14:19" hidden="1" x14ac:dyDescent="0.25">
      <c r="N1152" s="17">
        <v>314.79999999999501</v>
      </c>
      <c r="O1152" s="16" t="s">
        <v>3185</v>
      </c>
      <c r="R1152" s="6"/>
      <c r="S1152" s="298"/>
    </row>
    <row r="1153" spans="14:19" hidden="1" x14ac:dyDescent="0.25">
      <c r="N1153" s="17">
        <v>314.89999999999498</v>
      </c>
      <c r="O1153" s="16" t="s">
        <v>3186</v>
      </c>
      <c r="R1153" s="6"/>
      <c r="S1153" s="298"/>
    </row>
    <row r="1154" spans="14:19" hidden="1" x14ac:dyDescent="0.25">
      <c r="N1154" s="17">
        <v>314.999999999995</v>
      </c>
      <c r="O1154" s="16" t="s">
        <v>3187</v>
      </c>
      <c r="R1154" s="6"/>
      <c r="S1154" s="298"/>
    </row>
    <row r="1155" spans="14:19" hidden="1" x14ac:dyDescent="0.25">
      <c r="N1155" s="17">
        <v>315.09999999999502</v>
      </c>
      <c r="O1155" s="16" t="s">
        <v>3188</v>
      </c>
      <c r="R1155" s="6"/>
      <c r="S1155" s="298"/>
    </row>
    <row r="1156" spans="14:19" hidden="1" x14ac:dyDescent="0.25">
      <c r="N1156" s="17">
        <v>315.19999999999499</v>
      </c>
      <c r="O1156" s="16" t="s">
        <v>3189</v>
      </c>
      <c r="R1156" s="6"/>
      <c r="S1156" s="298"/>
    </row>
    <row r="1157" spans="14:19" hidden="1" x14ac:dyDescent="0.25">
      <c r="N1157" s="17">
        <v>315.29999999999501</v>
      </c>
      <c r="O1157" s="16" t="s">
        <v>3190</v>
      </c>
      <c r="R1157" s="6"/>
      <c r="S1157" s="298"/>
    </row>
    <row r="1158" spans="14:19" hidden="1" x14ac:dyDescent="0.25">
      <c r="N1158" s="17">
        <v>315.39999999999498</v>
      </c>
      <c r="O1158" s="16" t="s">
        <v>3191</v>
      </c>
      <c r="R1158" s="6"/>
      <c r="S1158" s="298"/>
    </row>
    <row r="1159" spans="14:19" hidden="1" x14ac:dyDescent="0.25">
      <c r="N1159" s="17">
        <v>315.499999999995</v>
      </c>
      <c r="O1159" s="16" t="s">
        <v>3192</v>
      </c>
      <c r="R1159" s="6"/>
      <c r="S1159" s="298"/>
    </row>
    <row r="1160" spans="14:19" hidden="1" x14ac:dyDescent="0.25">
      <c r="N1160" s="17">
        <v>315.59999999999502</v>
      </c>
      <c r="O1160" s="16" t="s">
        <v>3193</v>
      </c>
      <c r="R1160" s="6"/>
      <c r="S1160" s="298"/>
    </row>
    <row r="1161" spans="14:19" hidden="1" x14ac:dyDescent="0.25">
      <c r="N1161" s="17">
        <v>315.69999999999499</v>
      </c>
      <c r="O1161" s="16" t="s">
        <v>3194</v>
      </c>
      <c r="R1161" s="6"/>
      <c r="S1161" s="298"/>
    </row>
    <row r="1162" spans="14:19" hidden="1" x14ac:dyDescent="0.25">
      <c r="N1162" s="17">
        <v>315.79999999999501</v>
      </c>
      <c r="O1162" s="16" t="s">
        <v>3195</v>
      </c>
      <c r="R1162" s="6"/>
      <c r="S1162" s="298"/>
    </row>
    <row r="1163" spans="14:19" hidden="1" x14ac:dyDescent="0.25">
      <c r="N1163" s="17">
        <v>315.89999999999498</v>
      </c>
      <c r="O1163" s="16" t="s">
        <v>3196</v>
      </c>
      <c r="R1163" s="6"/>
      <c r="S1163" s="298"/>
    </row>
    <row r="1164" spans="14:19" hidden="1" x14ac:dyDescent="0.25">
      <c r="N1164" s="17">
        <v>315.999999999995</v>
      </c>
      <c r="O1164" s="16" t="s">
        <v>3197</v>
      </c>
      <c r="R1164" s="6"/>
      <c r="S1164" s="298"/>
    </row>
    <row r="1165" spans="14:19" hidden="1" x14ac:dyDescent="0.25">
      <c r="N1165" s="17">
        <v>316.09999999999502</v>
      </c>
      <c r="O1165" s="16" t="s">
        <v>3198</v>
      </c>
      <c r="R1165" s="6"/>
      <c r="S1165" s="298"/>
    </row>
    <row r="1166" spans="14:19" hidden="1" x14ac:dyDescent="0.25">
      <c r="N1166" s="17">
        <v>316.19999999999499</v>
      </c>
      <c r="O1166" s="16" t="s">
        <v>3199</v>
      </c>
      <c r="R1166" s="6"/>
      <c r="S1166" s="298"/>
    </row>
    <row r="1167" spans="14:19" hidden="1" x14ac:dyDescent="0.25">
      <c r="N1167" s="17">
        <v>316.29999999999399</v>
      </c>
      <c r="O1167" s="16" t="s">
        <v>3200</v>
      </c>
      <c r="R1167" s="6"/>
      <c r="S1167" s="298"/>
    </row>
    <row r="1168" spans="14:19" hidden="1" x14ac:dyDescent="0.25">
      <c r="N1168" s="17">
        <v>316.39999999999401</v>
      </c>
      <c r="O1168" s="16" t="s">
        <v>3201</v>
      </c>
      <c r="R1168" s="6"/>
      <c r="S1168" s="298"/>
    </row>
    <row r="1169" spans="14:19" hidden="1" x14ac:dyDescent="0.25">
      <c r="N1169" s="17">
        <v>316.49999999999397</v>
      </c>
      <c r="O1169" s="16" t="s">
        <v>3202</v>
      </c>
      <c r="R1169" s="6"/>
      <c r="S1169" s="298"/>
    </row>
    <row r="1170" spans="14:19" hidden="1" x14ac:dyDescent="0.25">
      <c r="N1170" s="17">
        <v>316.599999999994</v>
      </c>
      <c r="O1170" s="16" t="s">
        <v>3203</v>
      </c>
      <c r="R1170" s="6"/>
      <c r="S1170" s="298"/>
    </row>
    <row r="1171" spans="14:19" hidden="1" x14ac:dyDescent="0.25">
      <c r="N1171" s="17">
        <v>316.69999999999402</v>
      </c>
      <c r="O1171" s="16" t="s">
        <v>3204</v>
      </c>
      <c r="R1171" s="6"/>
      <c r="S1171" s="298"/>
    </row>
    <row r="1172" spans="14:19" hidden="1" x14ac:dyDescent="0.25">
      <c r="N1172" s="17">
        <v>316.79999999999399</v>
      </c>
      <c r="O1172" s="16" t="s">
        <v>3205</v>
      </c>
      <c r="R1172" s="6"/>
      <c r="S1172" s="298"/>
    </row>
    <row r="1173" spans="14:19" hidden="1" x14ac:dyDescent="0.25">
      <c r="N1173" s="17">
        <v>316.89999999999401</v>
      </c>
      <c r="O1173" s="16" t="s">
        <v>3206</v>
      </c>
      <c r="R1173" s="6"/>
      <c r="S1173" s="298"/>
    </row>
    <row r="1174" spans="14:19" hidden="1" x14ac:dyDescent="0.25">
      <c r="N1174" s="17">
        <v>316.99999999999397</v>
      </c>
      <c r="O1174" s="16" t="s">
        <v>3207</v>
      </c>
      <c r="R1174" s="6"/>
      <c r="S1174" s="298"/>
    </row>
    <row r="1175" spans="14:19" hidden="1" x14ac:dyDescent="0.25">
      <c r="N1175" s="17">
        <v>317.099999999994</v>
      </c>
      <c r="O1175" s="16" t="s">
        <v>3208</v>
      </c>
      <c r="R1175" s="6"/>
      <c r="S1175" s="298"/>
    </row>
    <row r="1176" spans="14:19" hidden="1" x14ac:dyDescent="0.25">
      <c r="N1176" s="17">
        <v>317.19999999999402</v>
      </c>
      <c r="O1176" s="16" t="s">
        <v>3209</v>
      </c>
      <c r="R1176" s="6"/>
      <c r="S1176" s="298"/>
    </row>
    <row r="1177" spans="14:19" hidden="1" x14ac:dyDescent="0.25">
      <c r="N1177" s="17">
        <v>317.29999999999399</v>
      </c>
      <c r="O1177" s="16" t="s">
        <v>3210</v>
      </c>
      <c r="R1177" s="6"/>
      <c r="S1177" s="298"/>
    </row>
    <row r="1178" spans="14:19" hidden="1" x14ac:dyDescent="0.25">
      <c r="N1178" s="17">
        <v>317.39999999999401</v>
      </c>
      <c r="O1178" s="16" t="s">
        <v>3211</v>
      </c>
      <c r="R1178" s="6"/>
      <c r="S1178" s="298"/>
    </row>
    <row r="1179" spans="14:19" hidden="1" x14ac:dyDescent="0.25">
      <c r="N1179" s="17">
        <v>317.49999999999397</v>
      </c>
      <c r="O1179" s="16" t="s">
        <v>3212</v>
      </c>
      <c r="R1179" s="6"/>
      <c r="S1179" s="298"/>
    </row>
    <row r="1180" spans="14:19" hidden="1" x14ac:dyDescent="0.25">
      <c r="N1180" s="17">
        <v>317.599999999994</v>
      </c>
      <c r="O1180" s="16" t="s">
        <v>3213</v>
      </c>
      <c r="R1180" s="6"/>
      <c r="S1180" s="298"/>
    </row>
    <row r="1181" spans="14:19" hidden="1" x14ac:dyDescent="0.25">
      <c r="N1181" s="17">
        <v>317.69999999999402</v>
      </c>
      <c r="O1181" s="16" t="s">
        <v>3214</v>
      </c>
      <c r="R1181" s="6"/>
      <c r="S1181" s="298"/>
    </row>
    <row r="1182" spans="14:19" hidden="1" x14ac:dyDescent="0.25">
      <c r="N1182" s="17">
        <v>317.79999999999399</v>
      </c>
      <c r="O1182" s="16" t="s">
        <v>3215</v>
      </c>
      <c r="R1182" s="6"/>
      <c r="S1182" s="298"/>
    </row>
    <row r="1183" spans="14:19" hidden="1" x14ac:dyDescent="0.25">
      <c r="N1183" s="17">
        <v>317.89999999999401</v>
      </c>
      <c r="O1183" s="16" t="s">
        <v>3216</v>
      </c>
      <c r="R1183" s="6"/>
      <c r="S1183" s="298"/>
    </row>
    <row r="1184" spans="14:19" hidden="1" x14ac:dyDescent="0.25">
      <c r="N1184" s="17">
        <v>317.99999999999397</v>
      </c>
      <c r="O1184" s="16" t="s">
        <v>3217</v>
      </c>
      <c r="R1184" s="6"/>
      <c r="S1184" s="298"/>
    </row>
    <row r="1185" spans="14:19" hidden="1" x14ac:dyDescent="0.25">
      <c r="N1185" s="17">
        <v>318.099999999994</v>
      </c>
      <c r="O1185" s="16" t="s">
        <v>3218</v>
      </c>
      <c r="R1185" s="6"/>
      <c r="S1185" s="298"/>
    </row>
    <row r="1186" spans="14:19" hidden="1" x14ac:dyDescent="0.25">
      <c r="N1186" s="17">
        <v>318.19999999999402</v>
      </c>
      <c r="O1186" s="16" t="s">
        <v>3219</v>
      </c>
      <c r="R1186" s="6"/>
      <c r="S1186" s="298"/>
    </row>
    <row r="1187" spans="14:19" hidden="1" x14ac:dyDescent="0.25">
      <c r="N1187" s="17">
        <v>318.29999999999399</v>
      </c>
      <c r="O1187" s="16" t="s">
        <v>3220</v>
      </c>
      <c r="R1187" s="6"/>
      <c r="S1187" s="298"/>
    </row>
    <row r="1188" spans="14:19" hidden="1" x14ac:dyDescent="0.25">
      <c r="N1188" s="17">
        <v>318.39999999999401</v>
      </c>
      <c r="O1188" s="16" t="s">
        <v>3221</v>
      </c>
      <c r="R1188" s="6"/>
      <c r="S1188" s="298"/>
    </row>
    <row r="1189" spans="14:19" hidden="1" x14ac:dyDescent="0.25">
      <c r="N1189" s="17">
        <v>318.49999999999397</v>
      </c>
      <c r="O1189" s="16" t="s">
        <v>3222</v>
      </c>
      <c r="R1189" s="6"/>
      <c r="S1189" s="298"/>
    </row>
    <row r="1190" spans="14:19" hidden="1" x14ac:dyDescent="0.25">
      <c r="N1190" s="17">
        <v>318.599999999994</v>
      </c>
      <c r="O1190" s="16" t="s">
        <v>3223</v>
      </c>
      <c r="R1190" s="6"/>
      <c r="S1190" s="298"/>
    </row>
    <row r="1191" spans="14:19" hidden="1" x14ac:dyDescent="0.25">
      <c r="N1191" s="17">
        <v>318.69999999999402</v>
      </c>
      <c r="O1191" s="16" t="s">
        <v>3224</v>
      </c>
      <c r="R1191" s="6"/>
      <c r="S1191" s="298"/>
    </row>
    <row r="1192" spans="14:19" hidden="1" x14ac:dyDescent="0.25">
      <c r="N1192" s="17">
        <v>318.79999999999399</v>
      </c>
      <c r="O1192" s="16" t="s">
        <v>3225</v>
      </c>
      <c r="R1192" s="6"/>
      <c r="S1192" s="298"/>
    </row>
    <row r="1193" spans="14:19" hidden="1" x14ac:dyDescent="0.25">
      <c r="N1193" s="17">
        <v>318.89999999999401</v>
      </c>
      <c r="O1193" s="16" t="s">
        <v>3226</v>
      </c>
      <c r="R1193" s="6"/>
      <c r="S1193" s="298"/>
    </row>
    <row r="1194" spans="14:19" hidden="1" x14ac:dyDescent="0.25">
      <c r="N1194" s="17">
        <v>318.99999999999397</v>
      </c>
      <c r="O1194" s="16" t="s">
        <v>3227</v>
      </c>
      <c r="R1194" s="6"/>
      <c r="S1194" s="298"/>
    </row>
    <row r="1195" spans="14:19" hidden="1" x14ac:dyDescent="0.25">
      <c r="N1195" s="17">
        <v>319.099999999994</v>
      </c>
      <c r="O1195" s="16" t="s">
        <v>960</v>
      </c>
      <c r="R1195" s="6"/>
      <c r="S1195" s="298"/>
    </row>
    <row r="1196" spans="14:19" hidden="1" x14ac:dyDescent="0.25">
      <c r="N1196" s="17">
        <v>319.19999999999402</v>
      </c>
      <c r="O1196" s="16" t="s">
        <v>961</v>
      </c>
      <c r="R1196" s="6"/>
      <c r="S1196" s="298"/>
    </row>
    <row r="1197" spans="14:19" hidden="1" x14ac:dyDescent="0.25">
      <c r="N1197" s="17">
        <v>319.29999999999399</v>
      </c>
      <c r="O1197" s="16" t="s">
        <v>962</v>
      </c>
      <c r="R1197" s="6"/>
      <c r="S1197" s="298"/>
    </row>
    <row r="1198" spans="14:19" hidden="1" x14ac:dyDescent="0.25">
      <c r="N1198" s="17">
        <v>319.39999999999299</v>
      </c>
      <c r="O1198" s="16" t="s">
        <v>963</v>
      </c>
      <c r="R1198" s="6"/>
      <c r="S1198" s="298"/>
    </row>
    <row r="1199" spans="14:19" hidden="1" x14ac:dyDescent="0.25">
      <c r="N1199" s="17">
        <v>319.49999999999301</v>
      </c>
      <c r="O1199" s="16" t="s">
        <v>964</v>
      </c>
      <c r="R1199" s="6"/>
      <c r="S1199" s="298"/>
    </row>
    <row r="1200" spans="14:19" hidden="1" x14ac:dyDescent="0.25">
      <c r="N1200" s="17">
        <v>319.59999999999297</v>
      </c>
      <c r="O1200" s="16" t="s">
        <v>965</v>
      </c>
      <c r="R1200" s="6"/>
      <c r="S1200" s="298"/>
    </row>
    <row r="1201" spans="14:19" hidden="1" x14ac:dyDescent="0.25">
      <c r="N1201" s="17">
        <v>319.699999999993</v>
      </c>
      <c r="O1201" s="16" t="s">
        <v>966</v>
      </c>
      <c r="R1201" s="6"/>
      <c r="S1201" s="298"/>
    </row>
    <row r="1202" spans="14:19" hidden="1" x14ac:dyDescent="0.25">
      <c r="N1202" s="17">
        <v>319.79999999999302</v>
      </c>
      <c r="O1202" s="16" t="s">
        <v>967</v>
      </c>
      <c r="R1202" s="6"/>
      <c r="S1202" s="298"/>
    </row>
    <row r="1203" spans="14:19" hidden="1" x14ac:dyDescent="0.25">
      <c r="N1203" s="17">
        <v>319.89999999999299</v>
      </c>
      <c r="O1203" s="16" t="s">
        <v>2010</v>
      </c>
      <c r="R1203" s="6"/>
      <c r="S1203" s="298"/>
    </row>
    <row r="1204" spans="14:19" hidden="1" x14ac:dyDescent="0.25">
      <c r="N1204" s="17">
        <v>319.99999999999301</v>
      </c>
      <c r="O1204" s="16" t="s">
        <v>2011</v>
      </c>
      <c r="R1204" s="6"/>
      <c r="S1204" s="298"/>
    </row>
    <row r="1205" spans="14:19" hidden="1" x14ac:dyDescent="0.25">
      <c r="N1205" s="17">
        <v>320.09999999999297</v>
      </c>
      <c r="O1205" s="16" t="s">
        <v>2012</v>
      </c>
      <c r="R1205" s="6"/>
      <c r="S1205" s="298"/>
    </row>
    <row r="1206" spans="14:19" hidden="1" x14ac:dyDescent="0.25">
      <c r="N1206" s="17">
        <v>320.199999999993</v>
      </c>
      <c r="O1206" s="16" t="s">
        <v>2013</v>
      </c>
      <c r="R1206" s="6"/>
      <c r="S1206" s="298"/>
    </row>
    <row r="1207" spans="14:19" hidden="1" x14ac:dyDescent="0.25">
      <c r="N1207" s="17">
        <v>320.29999999999302</v>
      </c>
      <c r="O1207" s="16" t="s">
        <v>2014</v>
      </c>
      <c r="R1207" s="6"/>
      <c r="S1207" s="298"/>
    </row>
    <row r="1208" spans="14:19" hidden="1" x14ac:dyDescent="0.25">
      <c r="N1208" s="17">
        <v>320.39999999999299</v>
      </c>
      <c r="O1208" s="16" t="s">
        <v>2015</v>
      </c>
      <c r="R1208" s="6"/>
      <c r="S1208" s="298"/>
    </row>
    <row r="1209" spans="14:19" hidden="1" x14ac:dyDescent="0.25">
      <c r="N1209" s="17">
        <v>320.49999999999301</v>
      </c>
      <c r="O1209" s="16" t="s">
        <v>2016</v>
      </c>
      <c r="R1209" s="6"/>
      <c r="S1209" s="298"/>
    </row>
    <row r="1210" spans="14:19" hidden="1" x14ac:dyDescent="0.25">
      <c r="N1210" s="17">
        <v>320.59999999999297</v>
      </c>
      <c r="O1210" s="16" t="s">
        <v>2017</v>
      </c>
      <c r="R1210" s="6"/>
      <c r="S1210" s="298"/>
    </row>
    <row r="1211" spans="14:19" hidden="1" x14ac:dyDescent="0.25">
      <c r="N1211" s="17">
        <v>320.699999999993</v>
      </c>
      <c r="O1211" s="16" t="s">
        <v>2018</v>
      </c>
      <c r="R1211" s="6"/>
      <c r="S1211" s="298"/>
    </row>
    <row r="1212" spans="14:19" hidden="1" x14ac:dyDescent="0.25">
      <c r="N1212" s="17">
        <v>320.79999999999302</v>
      </c>
      <c r="O1212" s="16" t="s">
        <v>2019</v>
      </c>
      <c r="R1212" s="6"/>
      <c r="S1212" s="298"/>
    </row>
    <row r="1213" spans="14:19" hidden="1" x14ac:dyDescent="0.25">
      <c r="N1213" s="17">
        <v>320.89999999999299</v>
      </c>
      <c r="O1213" s="16" t="s">
        <v>2020</v>
      </c>
      <c r="R1213" s="6"/>
      <c r="S1213" s="298"/>
    </row>
    <row r="1214" spans="14:19" hidden="1" x14ac:dyDescent="0.25">
      <c r="N1214" s="17">
        <v>320.99999999999301</v>
      </c>
      <c r="O1214" s="16" t="s">
        <v>2012</v>
      </c>
      <c r="R1214" s="6"/>
      <c r="S1214" s="298"/>
    </row>
    <row r="1215" spans="14:19" hidden="1" x14ac:dyDescent="0.25">
      <c r="N1215" s="17">
        <v>321.09999999999297</v>
      </c>
      <c r="O1215" s="16" t="s">
        <v>2021</v>
      </c>
      <c r="R1215" s="6"/>
      <c r="S1215" s="298"/>
    </row>
    <row r="1216" spans="14:19" hidden="1" x14ac:dyDescent="0.25">
      <c r="N1216" s="17">
        <v>321.199999999993</v>
      </c>
      <c r="O1216" s="16" t="s">
        <v>2022</v>
      </c>
      <c r="R1216" s="6"/>
      <c r="S1216" s="298"/>
    </row>
    <row r="1217" spans="14:19" hidden="1" x14ac:dyDescent="0.25">
      <c r="N1217" s="17">
        <v>321.29999999999302</v>
      </c>
      <c r="O1217" s="16" t="s">
        <v>2023</v>
      </c>
      <c r="R1217" s="6"/>
      <c r="S1217" s="298"/>
    </row>
    <row r="1218" spans="14:19" hidden="1" x14ac:dyDescent="0.25">
      <c r="N1218" s="17">
        <v>321.39999999999299</v>
      </c>
      <c r="O1218" s="16" t="s">
        <v>2024</v>
      </c>
      <c r="R1218" s="6"/>
      <c r="S1218" s="298"/>
    </row>
    <row r="1219" spans="14:19" hidden="1" x14ac:dyDescent="0.25">
      <c r="N1219" s="17">
        <v>321.49999999999301</v>
      </c>
      <c r="O1219" s="16" t="s">
        <v>783</v>
      </c>
      <c r="R1219" s="6"/>
      <c r="S1219" s="298"/>
    </row>
    <row r="1220" spans="14:19" hidden="1" x14ac:dyDescent="0.25">
      <c r="N1220" s="17">
        <v>321.59999999999297</v>
      </c>
      <c r="O1220" s="16" t="s">
        <v>784</v>
      </c>
      <c r="R1220" s="6"/>
      <c r="S1220" s="298"/>
    </row>
    <row r="1221" spans="14:19" hidden="1" x14ac:dyDescent="0.25">
      <c r="N1221" s="17">
        <v>321.699999999993</v>
      </c>
      <c r="O1221" s="16" t="s">
        <v>785</v>
      </c>
      <c r="R1221" s="6"/>
      <c r="S1221" s="298"/>
    </row>
    <row r="1222" spans="14:19" hidden="1" x14ac:dyDescent="0.25">
      <c r="N1222" s="17">
        <v>321.79999999999302</v>
      </c>
      <c r="O1222" s="16" t="s">
        <v>786</v>
      </c>
      <c r="R1222" s="6"/>
      <c r="S1222" s="298"/>
    </row>
    <row r="1223" spans="14:19" hidden="1" x14ac:dyDescent="0.25">
      <c r="N1223" s="17">
        <v>321.89999999999299</v>
      </c>
      <c r="O1223" s="16" t="s">
        <v>787</v>
      </c>
      <c r="R1223" s="6"/>
      <c r="S1223" s="298"/>
    </row>
    <row r="1224" spans="14:19" hidden="1" x14ac:dyDescent="0.25">
      <c r="N1224" s="17">
        <v>321.99999999999199</v>
      </c>
      <c r="O1224" s="16" t="s">
        <v>788</v>
      </c>
      <c r="R1224" s="6"/>
      <c r="S1224" s="298"/>
    </row>
    <row r="1225" spans="14:19" hidden="1" x14ac:dyDescent="0.25">
      <c r="N1225" s="17">
        <v>322.09999999999297</v>
      </c>
      <c r="O1225" s="16" t="s">
        <v>789</v>
      </c>
      <c r="R1225" s="6"/>
      <c r="S1225" s="298"/>
    </row>
    <row r="1226" spans="14:19" hidden="1" x14ac:dyDescent="0.25">
      <c r="N1226" s="17">
        <v>322.199999999993</v>
      </c>
      <c r="O1226" s="16" t="s">
        <v>790</v>
      </c>
      <c r="R1226" s="6"/>
      <c r="S1226" s="298"/>
    </row>
    <row r="1227" spans="14:19" hidden="1" x14ac:dyDescent="0.25">
      <c r="N1227" s="17">
        <v>322.299999999992</v>
      </c>
      <c r="O1227" s="16" t="s">
        <v>791</v>
      </c>
      <c r="R1227" s="6"/>
      <c r="S1227" s="298"/>
    </row>
    <row r="1228" spans="14:19" hidden="1" x14ac:dyDescent="0.25">
      <c r="N1228" s="17">
        <v>322.39999999999202</v>
      </c>
      <c r="O1228" s="16" t="s">
        <v>792</v>
      </c>
      <c r="R1228" s="6"/>
      <c r="S1228" s="298"/>
    </row>
    <row r="1229" spans="14:19" hidden="1" x14ac:dyDescent="0.25">
      <c r="N1229" s="17">
        <v>322.49999999999199</v>
      </c>
      <c r="O1229" s="16" t="s">
        <v>793</v>
      </c>
      <c r="R1229" s="6"/>
      <c r="S1229" s="298"/>
    </row>
    <row r="1230" spans="14:19" hidden="1" x14ac:dyDescent="0.25">
      <c r="N1230" s="17">
        <v>322.59999999999201</v>
      </c>
      <c r="O1230" s="16" t="s">
        <v>3255</v>
      </c>
      <c r="R1230" s="6"/>
      <c r="S1230" s="298"/>
    </row>
    <row r="1231" spans="14:19" hidden="1" x14ac:dyDescent="0.25">
      <c r="N1231" s="17">
        <v>322.69999999999197</v>
      </c>
      <c r="O1231" s="16" t="s">
        <v>3256</v>
      </c>
      <c r="R1231" s="6"/>
      <c r="S1231" s="298"/>
    </row>
    <row r="1232" spans="14:19" hidden="1" x14ac:dyDescent="0.25">
      <c r="N1232" s="17">
        <v>322.799999999992</v>
      </c>
      <c r="O1232" s="16" t="s">
        <v>3056</v>
      </c>
      <c r="R1232" s="6"/>
      <c r="S1232" s="298"/>
    </row>
    <row r="1233" spans="14:19" hidden="1" x14ac:dyDescent="0.25">
      <c r="N1233" s="17">
        <v>322.89999999999202</v>
      </c>
      <c r="O1233" s="16" t="s">
        <v>3057</v>
      </c>
      <c r="R1233" s="6"/>
      <c r="S1233" s="298"/>
    </row>
    <row r="1234" spans="14:19" hidden="1" x14ac:dyDescent="0.25">
      <c r="N1234" s="17">
        <v>322.99999999999199</v>
      </c>
      <c r="O1234" s="16" t="s">
        <v>3058</v>
      </c>
      <c r="R1234" s="6"/>
      <c r="S1234" s="298"/>
    </row>
    <row r="1235" spans="14:19" hidden="1" x14ac:dyDescent="0.25">
      <c r="N1235" s="17">
        <v>323.09999999999201</v>
      </c>
      <c r="O1235" s="16" t="s">
        <v>3059</v>
      </c>
      <c r="R1235" s="6"/>
      <c r="S1235" s="298"/>
    </row>
    <row r="1236" spans="14:19" hidden="1" x14ac:dyDescent="0.25">
      <c r="N1236" s="17">
        <v>323.19999999999197</v>
      </c>
      <c r="O1236" s="16" t="s">
        <v>3060</v>
      </c>
      <c r="R1236" s="6"/>
      <c r="S1236" s="298"/>
    </row>
    <row r="1237" spans="14:19" hidden="1" x14ac:dyDescent="0.25">
      <c r="N1237" s="17">
        <v>323.299999999992</v>
      </c>
      <c r="O1237" s="16" t="s">
        <v>3061</v>
      </c>
      <c r="R1237" s="6"/>
      <c r="S1237" s="298"/>
    </row>
    <row r="1238" spans="14:19" hidden="1" x14ac:dyDescent="0.25">
      <c r="N1238" s="17">
        <v>323.39999999999202</v>
      </c>
      <c r="O1238" s="16" t="s">
        <v>3062</v>
      </c>
      <c r="R1238" s="6"/>
      <c r="S1238" s="298"/>
    </row>
    <row r="1239" spans="14:19" hidden="1" x14ac:dyDescent="0.25">
      <c r="N1239" s="17">
        <v>323.49999999999199</v>
      </c>
      <c r="O1239" s="16" t="s">
        <v>3063</v>
      </c>
      <c r="R1239" s="6"/>
      <c r="S1239" s="298"/>
    </row>
    <row r="1240" spans="14:19" hidden="1" x14ac:dyDescent="0.25">
      <c r="N1240" s="17">
        <v>323.59999999999201</v>
      </c>
      <c r="O1240" s="16" t="s">
        <v>813</v>
      </c>
      <c r="R1240" s="6"/>
      <c r="S1240" s="298"/>
    </row>
    <row r="1241" spans="14:19" hidden="1" x14ac:dyDescent="0.25">
      <c r="N1241" s="17">
        <v>323.69999999999197</v>
      </c>
      <c r="O1241" s="16" t="s">
        <v>814</v>
      </c>
      <c r="R1241" s="6"/>
      <c r="S1241" s="298"/>
    </row>
    <row r="1242" spans="14:19" hidden="1" x14ac:dyDescent="0.25">
      <c r="N1242" s="17">
        <v>323.799999999992</v>
      </c>
      <c r="O1242" s="16" t="s">
        <v>815</v>
      </c>
      <c r="R1242" s="6"/>
      <c r="S1242" s="298"/>
    </row>
    <row r="1243" spans="14:19" hidden="1" x14ac:dyDescent="0.25">
      <c r="N1243" s="17">
        <v>323.89999999999202</v>
      </c>
      <c r="O1243" s="16" t="s">
        <v>816</v>
      </c>
      <c r="R1243" s="6"/>
      <c r="S1243" s="298"/>
    </row>
    <row r="1244" spans="14:19" hidden="1" x14ac:dyDescent="0.25">
      <c r="N1244" s="17">
        <v>323.99999999999199</v>
      </c>
      <c r="O1244" s="16" t="s">
        <v>817</v>
      </c>
      <c r="R1244" s="6"/>
      <c r="S1244" s="298"/>
    </row>
    <row r="1245" spans="14:19" hidden="1" x14ac:dyDescent="0.25">
      <c r="N1245" s="17">
        <v>324.09999999999201</v>
      </c>
      <c r="O1245" s="16" t="s">
        <v>818</v>
      </c>
      <c r="R1245" s="6"/>
      <c r="S1245" s="298"/>
    </row>
    <row r="1246" spans="14:19" hidden="1" x14ac:dyDescent="0.25">
      <c r="N1246" s="17">
        <v>324.19999999999197</v>
      </c>
      <c r="O1246" s="16" t="s">
        <v>819</v>
      </c>
      <c r="R1246" s="6"/>
      <c r="S1246" s="298"/>
    </row>
    <row r="1247" spans="14:19" hidden="1" x14ac:dyDescent="0.25">
      <c r="N1247" s="17">
        <v>324.299999999992</v>
      </c>
      <c r="O1247" s="16" t="s">
        <v>820</v>
      </c>
      <c r="R1247" s="6"/>
      <c r="S1247" s="298"/>
    </row>
    <row r="1248" spans="14:19" hidden="1" x14ac:dyDescent="0.25">
      <c r="N1248" s="17">
        <v>324.39999999999202</v>
      </c>
      <c r="O1248" s="16" t="s">
        <v>821</v>
      </c>
      <c r="R1248" s="6"/>
      <c r="S1248" s="298"/>
    </row>
    <row r="1249" spans="14:19" hidden="1" x14ac:dyDescent="0.25">
      <c r="N1249" s="17">
        <v>324.49999999999199</v>
      </c>
      <c r="O1249" s="16" t="s">
        <v>822</v>
      </c>
      <c r="R1249" s="6"/>
      <c r="S1249" s="298"/>
    </row>
    <row r="1250" spans="14:19" hidden="1" x14ac:dyDescent="0.25">
      <c r="N1250" s="17">
        <v>324.59999999999201</v>
      </c>
      <c r="O1250" s="16" t="s">
        <v>823</v>
      </c>
      <c r="R1250" s="6"/>
      <c r="S1250" s="298"/>
    </row>
    <row r="1251" spans="14:19" hidden="1" x14ac:dyDescent="0.25">
      <c r="N1251" s="17">
        <v>324.69999999999197</v>
      </c>
      <c r="O1251" s="16" t="s">
        <v>824</v>
      </c>
      <c r="R1251" s="6"/>
      <c r="S1251" s="298"/>
    </row>
    <row r="1252" spans="14:19" hidden="1" x14ac:dyDescent="0.25">
      <c r="N1252" s="17">
        <v>324.799999999992</v>
      </c>
      <c r="O1252" s="16" t="s">
        <v>825</v>
      </c>
      <c r="R1252" s="6"/>
      <c r="S1252" s="298"/>
    </row>
    <row r="1253" spans="14:19" hidden="1" x14ac:dyDescent="0.25">
      <c r="N1253" s="17">
        <v>324.89999999999202</v>
      </c>
      <c r="O1253" s="16" t="s">
        <v>826</v>
      </c>
      <c r="R1253" s="6"/>
      <c r="S1253" s="298"/>
    </row>
    <row r="1254" spans="14:19" hidden="1" x14ac:dyDescent="0.25">
      <c r="N1254" s="17">
        <v>324.99999999999199</v>
      </c>
      <c r="O1254" s="16" t="s">
        <v>827</v>
      </c>
      <c r="R1254" s="6"/>
      <c r="S1254" s="298"/>
    </row>
    <row r="1255" spans="14:19" hidden="1" x14ac:dyDescent="0.25">
      <c r="N1255" s="17">
        <v>325.09999999999098</v>
      </c>
      <c r="O1255" s="16" t="s">
        <v>828</v>
      </c>
      <c r="R1255" s="6"/>
      <c r="S1255" s="298"/>
    </row>
    <row r="1256" spans="14:19" hidden="1" x14ac:dyDescent="0.25">
      <c r="N1256" s="17">
        <v>325.19999999999101</v>
      </c>
      <c r="O1256" s="16" t="s">
        <v>829</v>
      </c>
      <c r="R1256" s="6"/>
      <c r="S1256" s="298"/>
    </row>
    <row r="1257" spans="14:19" hidden="1" x14ac:dyDescent="0.25">
      <c r="N1257" s="17">
        <v>325.29999999999097</v>
      </c>
      <c r="O1257" s="16" t="s">
        <v>830</v>
      </c>
      <c r="R1257" s="6"/>
      <c r="S1257" s="298"/>
    </row>
    <row r="1258" spans="14:19" hidden="1" x14ac:dyDescent="0.25">
      <c r="N1258" s="17">
        <v>325.399999999991</v>
      </c>
      <c r="O1258" s="16" t="s">
        <v>831</v>
      </c>
      <c r="R1258" s="6"/>
      <c r="S1258" s="298"/>
    </row>
    <row r="1259" spans="14:19" hidden="1" x14ac:dyDescent="0.25">
      <c r="N1259" s="17">
        <v>325.49999999999102</v>
      </c>
      <c r="O1259" s="16" t="s">
        <v>832</v>
      </c>
      <c r="R1259" s="6"/>
      <c r="S1259" s="298"/>
    </row>
    <row r="1260" spans="14:19" hidden="1" x14ac:dyDescent="0.25">
      <c r="N1260" s="17">
        <v>325.59999999999098</v>
      </c>
      <c r="O1260" s="16" t="s">
        <v>833</v>
      </c>
      <c r="R1260" s="6"/>
      <c r="S1260" s="298"/>
    </row>
    <row r="1261" spans="14:19" hidden="1" x14ac:dyDescent="0.25">
      <c r="N1261" s="17">
        <v>325.69999999999101</v>
      </c>
      <c r="O1261" s="16" t="s">
        <v>834</v>
      </c>
      <c r="R1261" s="6"/>
      <c r="S1261" s="298"/>
    </row>
    <row r="1262" spans="14:19" hidden="1" x14ac:dyDescent="0.25">
      <c r="N1262" s="17">
        <v>325.79999999999097</v>
      </c>
      <c r="O1262" s="16" t="s">
        <v>835</v>
      </c>
      <c r="R1262" s="6"/>
      <c r="S1262" s="298"/>
    </row>
    <row r="1263" spans="14:19" hidden="1" x14ac:dyDescent="0.25">
      <c r="N1263" s="17">
        <v>325.899999999991</v>
      </c>
      <c r="O1263" s="16" t="s">
        <v>836</v>
      </c>
      <c r="R1263" s="6"/>
      <c r="S1263" s="298"/>
    </row>
    <row r="1264" spans="14:19" hidden="1" x14ac:dyDescent="0.25">
      <c r="N1264" s="17">
        <v>325.99999999999102</v>
      </c>
      <c r="O1264" s="16" t="s">
        <v>837</v>
      </c>
      <c r="R1264" s="6"/>
      <c r="S1264" s="298"/>
    </row>
    <row r="1265" spans="14:19" hidden="1" x14ac:dyDescent="0.25">
      <c r="N1265" s="17">
        <v>326.09999999999098</v>
      </c>
      <c r="O1265" s="16" t="s">
        <v>838</v>
      </c>
      <c r="R1265" s="6"/>
      <c r="S1265" s="298"/>
    </row>
    <row r="1266" spans="14:19" hidden="1" x14ac:dyDescent="0.25">
      <c r="N1266" s="17">
        <v>326.19999999999101</v>
      </c>
      <c r="O1266" s="16" t="s">
        <v>839</v>
      </c>
      <c r="R1266" s="6"/>
      <c r="S1266" s="298"/>
    </row>
    <row r="1267" spans="14:19" hidden="1" x14ac:dyDescent="0.25">
      <c r="N1267" s="17">
        <v>326.29999999999097</v>
      </c>
      <c r="O1267" s="16" t="s">
        <v>840</v>
      </c>
      <c r="R1267" s="6"/>
      <c r="S1267" s="298"/>
    </row>
    <row r="1268" spans="14:19" hidden="1" x14ac:dyDescent="0.25">
      <c r="N1268" s="17">
        <v>326.399999999991</v>
      </c>
      <c r="O1268" s="16" t="s">
        <v>841</v>
      </c>
      <c r="R1268" s="6"/>
      <c r="S1268" s="298"/>
    </row>
    <row r="1269" spans="14:19" hidden="1" x14ac:dyDescent="0.25">
      <c r="N1269" s="17">
        <v>326.49999999999102</v>
      </c>
      <c r="O1269" s="16" t="s">
        <v>842</v>
      </c>
      <c r="R1269" s="6"/>
      <c r="S1269" s="298"/>
    </row>
    <row r="1270" spans="14:19" hidden="1" x14ac:dyDescent="0.25">
      <c r="N1270" s="17">
        <v>326.59999999999098</v>
      </c>
      <c r="O1270" s="16" t="s">
        <v>843</v>
      </c>
      <c r="R1270" s="6"/>
      <c r="S1270" s="298"/>
    </row>
    <row r="1271" spans="14:19" hidden="1" x14ac:dyDescent="0.25">
      <c r="N1271" s="17">
        <v>326.69999999999101</v>
      </c>
      <c r="O1271" s="16" t="s">
        <v>844</v>
      </c>
      <c r="R1271" s="6"/>
      <c r="S1271" s="298"/>
    </row>
    <row r="1272" spans="14:19" hidden="1" x14ac:dyDescent="0.25">
      <c r="N1272" s="17">
        <v>326.79999999999097</v>
      </c>
      <c r="O1272" s="16" t="s">
        <v>845</v>
      </c>
      <c r="R1272" s="6"/>
      <c r="S1272" s="298"/>
    </row>
    <row r="1273" spans="14:19" hidden="1" x14ac:dyDescent="0.25">
      <c r="N1273" s="17">
        <v>326.899999999991</v>
      </c>
      <c r="O1273" s="16" t="s">
        <v>846</v>
      </c>
      <c r="R1273" s="6"/>
      <c r="S1273" s="298"/>
    </row>
    <row r="1274" spans="14:19" hidden="1" x14ac:dyDescent="0.25">
      <c r="N1274" s="17">
        <v>326.99999999999102</v>
      </c>
      <c r="O1274" s="16" t="s">
        <v>847</v>
      </c>
      <c r="R1274" s="6"/>
      <c r="S1274" s="298"/>
    </row>
    <row r="1275" spans="14:19" hidden="1" x14ac:dyDescent="0.25">
      <c r="N1275" s="17">
        <v>327.09999999999098</v>
      </c>
      <c r="O1275" s="16" t="s">
        <v>848</v>
      </c>
      <c r="R1275" s="6"/>
      <c r="S1275" s="298"/>
    </row>
    <row r="1276" spans="14:19" hidden="1" x14ac:dyDescent="0.25">
      <c r="N1276" s="17">
        <v>327.19999999999101</v>
      </c>
      <c r="O1276" s="16" t="s">
        <v>849</v>
      </c>
      <c r="R1276" s="6"/>
      <c r="S1276" s="298"/>
    </row>
    <row r="1277" spans="14:19" hidden="1" x14ac:dyDescent="0.25">
      <c r="N1277" s="17">
        <v>327.29999999999097</v>
      </c>
      <c r="O1277" s="16" t="s">
        <v>850</v>
      </c>
      <c r="R1277" s="6"/>
      <c r="S1277" s="298"/>
    </row>
    <row r="1278" spans="14:19" hidden="1" x14ac:dyDescent="0.25">
      <c r="N1278" s="17">
        <v>327.399999999991</v>
      </c>
      <c r="O1278" s="16" t="s">
        <v>851</v>
      </c>
      <c r="R1278" s="6"/>
      <c r="S1278" s="298"/>
    </row>
    <row r="1279" spans="14:19" hidden="1" x14ac:dyDescent="0.25">
      <c r="N1279" s="17">
        <v>327.49999999999102</v>
      </c>
      <c r="O1279" s="16" t="s">
        <v>852</v>
      </c>
      <c r="R1279" s="6"/>
      <c r="S1279" s="298"/>
    </row>
    <row r="1280" spans="14:19" hidden="1" x14ac:dyDescent="0.25">
      <c r="N1280" s="17">
        <v>327.59999999999098</v>
      </c>
      <c r="O1280" s="16" t="s">
        <v>853</v>
      </c>
      <c r="R1280" s="6"/>
      <c r="S1280" s="298"/>
    </row>
    <row r="1281" spans="14:19" hidden="1" x14ac:dyDescent="0.25">
      <c r="N1281" s="17">
        <v>327.69999999999101</v>
      </c>
      <c r="O1281" s="16" t="s">
        <v>854</v>
      </c>
      <c r="R1281" s="6"/>
      <c r="S1281" s="298"/>
    </row>
    <row r="1282" spans="14:19" hidden="1" x14ac:dyDescent="0.25">
      <c r="N1282" s="17">
        <v>327.79999999999097</v>
      </c>
      <c r="O1282" s="16" t="s">
        <v>3106</v>
      </c>
      <c r="R1282" s="6"/>
      <c r="S1282" s="298"/>
    </row>
    <row r="1283" spans="14:19" hidden="1" x14ac:dyDescent="0.25">
      <c r="N1283" s="17">
        <v>327.899999999991</v>
      </c>
      <c r="O1283" s="16" t="s">
        <v>3107</v>
      </c>
      <c r="R1283" s="6"/>
      <c r="S1283" s="298"/>
    </row>
    <row r="1284" spans="14:19" hidden="1" x14ac:dyDescent="0.25">
      <c r="N1284" s="17">
        <v>327.99999999999102</v>
      </c>
      <c r="O1284" s="16" t="s">
        <v>3108</v>
      </c>
      <c r="R1284" s="6"/>
      <c r="S1284" s="298"/>
    </row>
    <row r="1285" spans="14:19" hidden="1" x14ac:dyDescent="0.25">
      <c r="N1285" s="17">
        <v>328.09999999999098</v>
      </c>
      <c r="O1285" s="16" t="s">
        <v>3109</v>
      </c>
      <c r="R1285" s="6"/>
      <c r="S1285" s="298"/>
    </row>
    <row r="1286" spans="14:19" hidden="1" x14ac:dyDescent="0.25">
      <c r="N1286" s="17">
        <v>328.19999999998998</v>
      </c>
      <c r="O1286" s="16" t="s">
        <v>3110</v>
      </c>
      <c r="R1286" s="6"/>
      <c r="S1286" s="298"/>
    </row>
    <row r="1287" spans="14:19" hidden="1" x14ac:dyDescent="0.25">
      <c r="N1287" s="17">
        <v>328.29999999999001</v>
      </c>
      <c r="O1287" s="16" t="s">
        <v>3111</v>
      </c>
      <c r="R1287" s="6"/>
      <c r="S1287" s="298"/>
    </row>
    <row r="1288" spans="14:19" hidden="1" x14ac:dyDescent="0.25">
      <c r="N1288" s="17">
        <v>328.39999999998997</v>
      </c>
      <c r="O1288" s="16" t="s">
        <v>3112</v>
      </c>
      <c r="R1288" s="6"/>
      <c r="S1288" s="298"/>
    </row>
    <row r="1289" spans="14:19" hidden="1" x14ac:dyDescent="0.25">
      <c r="N1289" s="17">
        <v>328.49999999999</v>
      </c>
      <c r="O1289" s="16" t="s">
        <v>3113</v>
      </c>
      <c r="R1289" s="6"/>
      <c r="S1289" s="298"/>
    </row>
    <row r="1290" spans="14:19" hidden="1" x14ac:dyDescent="0.25">
      <c r="N1290" s="17">
        <v>328.59999999999002</v>
      </c>
      <c r="O1290" s="16" t="s">
        <v>3114</v>
      </c>
      <c r="R1290" s="6"/>
      <c r="S1290" s="298"/>
    </row>
    <row r="1291" spans="14:19" hidden="1" x14ac:dyDescent="0.25">
      <c r="N1291" s="17">
        <v>328.69999999998998</v>
      </c>
      <c r="O1291" s="16" t="s">
        <v>3115</v>
      </c>
      <c r="R1291" s="6"/>
      <c r="S1291" s="298"/>
    </row>
    <row r="1292" spans="14:19" hidden="1" x14ac:dyDescent="0.25">
      <c r="N1292" s="17">
        <v>328.79999999999001</v>
      </c>
      <c r="O1292" s="16" t="s">
        <v>3116</v>
      </c>
      <c r="R1292" s="6"/>
      <c r="S1292" s="298"/>
    </row>
    <row r="1293" spans="14:19" hidden="1" x14ac:dyDescent="0.25">
      <c r="N1293" s="17">
        <v>328.89999999998997</v>
      </c>
      <c r="O1293" s="16" t="s">
        <v>3117</v>
      </c>
      <c r="R1293" s="6"/>
      <c r="S1293" s="298"/>
    </row>
    <row r="1294" spans="14:19" hidden="1" x14ac:dyDescent="0.25">
      <c r="N1294" s="17">
        <v>328.99999999999</v>
      </c>
      <c r="O1294" s="16" t="s">
        <v>3118</v>
      </c>
      <c r="R1294" s="6"/>
      <c r="S1294" s="298"/>
    </row>
    <row r="1295" spans="14:19" hidden="1" x14ac:dyDescent="0.25">
      <c r="N1295" s="17">
        <v>329.09999999999002</v>
      </c>
      <c r="O1295" s="16" t="s">
        <v>659</v>
      </c>
      <c r="R1295" s="6"/>
      <c r="S1295" s="298"/>
    </row>
    <row r="1296" spans="14:19" hidden="1" x14ac:dyDescent="0.25">
      <c r="N1296" s="17">
        <v>329.19999999998998</v>
      </c>
      <c r="O1296" s="16" t="s">
        <v>660</v>
      </c>
      <c r="R1296" s="6"/>
      <c r="S1296" s="298"/>
    </row>
    <row r="1297" spans="14:19" hidden="1" x14ac:dyDescent="0.25">
      <c r="N1297" s="17">
        <v>329.29999999999001</v>
      </c>
      <c r="O1297" s="16" t="s">
        <v>661</v>
      </c>
      <c r="R1297" s="6"/>
      <c r="S1297" s="298"/>
    </row>
    <row r="1298" spans="14:19" hidden="1" x14ac:dyDescent="0.25">
      <c r="N1298" s="17">
        <v>329.39999999998997</v>
      </c>
      <c r="O1298" s="16" t="s">
        <v>662</v>
      </c>
      <c r="R1298" s="6"/>
      <c r="S1298" s="298"/>
    </row>
    <row r="1299" spans="14:19" hidden="1" x14ac:dyDescent="0.25">
      <c r="N1299" s="17">
        <v>329.49999999999</v>
      </c>
      <c r="O1299" s="16" t="s">
        <v>663</v>
      </c>
      <c r="R1299" s="6"/>
      <c r="S1299" s="298"/>
    </row>
    <row r="1300" spans="14:19" hidden="1" x14ac:dyDescent="0.25">
      <c r="N1300" s="17">
        <v>329.59999999999002</v>
      </c>
      <c r="O1300" s="16" t="s">
        <v>664</v>
      </c>
      <c r="R1300" s="6"/>
      <c r="S1300" s="298"/>
    </row>
    <row r="1301" spans="14:19" hidden="1" x14ac:dyDescent="0.25">
      <c r="N1301" s="17">
        <v>329.69999999998998</v>
      </c>
      <c r="O1301" s="16" t="s">
        <v>665</v>
      </c>
      <c r="R1301" s="6"/>
      <c r="S1301" s="298"/>
    </row>
    <row r="1302" spans="14:19" hidden="1" x14ac:dyDescent="0.25">
      <c r="N1302" s="17">
        <v>329.79999999999001</v>
      </c>
      <c r="O1302" s="16" t="s">
        <v>666</v>
      </c>
      <c r="R1302" s="6"/>
      <c r="S1302" s="298"/>
    </row>
    <row r="1303" spans="14:19" hidden="1" x14ac:dyDescent="0.25">
      <c r="N1303" s="17">
        <v>329.89999999998997</v>
      </c>
      <c r="O1303" s="16" t="s">
        <v>667</v>
      </c>
      <c r="R1303" s="6"/>
      <c r="S1303" s="298"/>
    </row>
    <row r="1304" spans="14:19" hidden="1" x14ac:dyDescent="0.25">
      <c r="N1304" s="17">
        <v>329.99999999999</v>
      </c>
      <c r="O1304" s="16" t="s">
        <v>668</v>
      </c>
      <c r="R1304" s="6"/>
      <c r="S1304" s="298"/>
    </row>
    <row r="1305" spans="14:19" hidden="1" x14ac:dyDescent="0.25">
      <c r="N1305" s="17">
        <v>330.09999999999002</v>
      </c>
      <c r="O1305" s="16" t="s">
        <v>3328</v>
      </c>
      <c r="R1305" s="6"/>
      <c r="S1305" s="298"/>
    </row>
    <row r="1306" spans="14:19" hidden="1" x14ac:dyDescent="0.25">
      <c r="N1306" s="17">
        <v>330.19999999998998</v>
      </c>
      <c r="O1306" s="16" t="s">
        <v>3329</v>
      </c>
      <c r="R1306" s="6"/>
      <c r="S1306" s="298"/>
    </row>
    <row r="1307" spans="14:19" hidden="1" x14ac:dyDescent="0.25">
      <c r="N1307" s="17">
        <v>330.29999999999001</v>
      </c>
      <c r="O1307" s="16" t="s">
        <v>3330</v>
      </c>
      <c r="R1307" s="6"/>
      <c r="S1307" s="298"/>
    </row>
    <row r="1308" spans="14:19" hidden="1" x14ac:dyDescent="0.25">
      <c r="N1308" s="17">
        <v>330.39999999998997</v>
      </c>
      <c r="O1308" s="16" t="s">
        <v>3331</v>
      </c>
      <c r="R1308" s="6"/>
      <c r="S1308" s="298"/>
    </row>
    <row r="1309" spans="14:19" hidden="1" x14ac:dyDescent="0.25">
      <c r="N1309" s="17">
        <v>330.49999999999</v>
      </c>
      <c r="O1309" s="16" t="s">
        <v>3332</v>
      </c>
      <c r="R1309" s="6"/>
      <c r="S1309" s="298"/>
    </row>
    <row r="1310" spans="14:19" hidden="1" x14ac:dyDescent="0.25">
      <c r="N1310" s="17">
        <v>330.59999999999002</v>
      </c>
      <c r="O1310" s="16" t="s">
        <v>3333</v>
      </c>
      <c r="R1310" s="6"/>
      <c r="S1310" s="298"/>
    </row>
    <row r="1311" spans="14:19" hidden="1" x14ac:dyDescent="0.25">
      <c r="N1311" s="17">
        <v>330.69999999998998</v>
      </c>
      <c r="O1311" s="16" t="s">
        <v>3336</v>
      </c>
      <c r="R1311" s="6"/>
      <c r="S1311" s="298"/>
    </row>
    <row r="1312" spans="14:19" hidden="1" x14ac:dyDescent="0.25">
      <c r="N1312" s="17">
        <v>330.79999999998898</v>
      </c>
      <c r="O1312" s="16" t="s">
        <v>3337</v>
      </c>
      <c r="R1312" s="6"/>
      <c r="S1312" s="298"/>
    </row>
    <row r="1313" spans="14:19" hidden="1" x14ac:dyDescent="0.25">
      <c r="N1313" s="17">
        <v>330.89999999998997</v>
      </c>
      <c r="O1313" s="16" t="s">
        <v>3338</v>
      </c>
      <c r="R1313" s="6"/>
      <c r="S1313" s="298"/>
    </row>
    <row r="1314" spans="14:19" hidden="1" x14ac:dyDescent="0.25">
      <c r="N1314" s="17">
        <v>330.99999999999</v>
      </c>
      <c r="O1314" s="16" t="s">
        <v>3339</v>
      </c>
      <c r="R1314" s="6"/>
      <c r="S1314" s="298"/>
    </row>
    <row r="1315" spans="14:19" hidden="1" x14ac:dyDescent="0.25">
      <c r="N1315" s="17">
        <v>331.099999999989</v>
      </c>
      <c r="O1315" s="16" t="s">
        <v>3340</v>
      </c>
      <c r="R1315" s="6"/>
      <c r="S1315" s="298"/>
    </row>
    <row r="1316" spans="14:19" hidden="1" x14ac:dyDescent="0.25">
      <c r="N1316" s="17">
        <v>331.19999999998902</v>
      </c>
      <c r="O1316" s="16" t="s">
        <v>3341</v>
      </c>
      <c r="R1316" s="6"/>
      <c r="S1316" s="298"/>
    </row>
    <row r="1317" spans="14:19" hidden="1" x14ac:dyDescent="0.25">
      <c r="N1317" s="17">
        <v>331.29999999998898</v>
      </c>
      <c r="O1317" s="16" t="s">
        <v>3342</v>
      </c>
      <c r="R1317" s="6"/>
      <c r="S1317" s="298"/>
    </row>
    <row r="1318" spans="14:19" hidden="1" x14ac:dyDescent="0.25">
      <c r="N1318" s="17">
        <v>331.39999999998901</v>
      </c>
      <c r="O1318" s="16" t="s">
        <v>3343</v>
      </c>
      <c r="R1318" s="6"/>
      <c r="S1318" s="298"/>
    </row>
    <row r="1319" spans="14:19" hidden="1" x14ac:dyDescent="0.25">
      <c r="N1319" s="17">
        <v>331.49999999998897</v>
      </c>
      <c r="O1319" s="16" t="s">
        <v>3344</v>
      </c>
      <c r="R1319" s="6"/>
      <c r="S1319" s="298"/>
    </row>
    <row r="1320" spans="14:19" hidden="1" x14ac:dyDescent="0.25">
      <c r="N1320" s="17">
        <v>331.599999999989</v>
      </c>
      <c r="O1320" s="16" t="s">
        <v>3345</v>
      </c>
      <c r="R1320" s="6"/>
      <c r="S1320" s="298"/>
    </row>
    <row r="1321" spans="14:19" hidden="1" x14ac:dyDescent="0.25">
      <c r="N1321" s="17">
        <v>331.69999999998902</v>
      </c>
      <c r="O1321" s="16" t="s">
        <v>3346</v>
      </c>
      <c r="R1321" s="6"/>
      <c r="S1321" s="298"/>
    </row>
    <row r="1322" spans="14:19" hidden="1" x14ac:dyDescent="0.25">
      <c r="N1322" s="17">
        <v>331.79999999998898</v>
      </c>
      <c r="O1322" s="16" t="s">
        <v>3347</v>
      </c>
      <c r="R1322" s="6"/>
      <c r="S1322" s="298"/>
    </row>
    <row r="1323" spans="14:19" hidden="1" x14ac:dyDescent="0.25">
      <c r="N1323" s="17">
        <v>331.89999999998901</v>
      </c>
      <c r="O1323" s="16" t="s">
        <v>3348</v>
      </c>
      <c r="R1323" s="6"/>
      <c r="S1323" s="298"/>
    </row>
    <row r="1324" spans="14:19" hidden="1" x14ac:dyDescent="0.25">
      <c r="N1324" s="17">
        <v>331.99999999998897</v>
      </c>
      <c r="O1324" s="16" t="s">
        <v>3349</v>
      </c>
      <c r="R1324" s="6"/>
      <c r="S1324" s="298"/>
    </row>
    <row r="1325" spans="14:19" hidden="1" x14ac:dyDescent="0.25">
      <c r="N1325" s="17">
        <v>332.099999999989</v>
      </c>
      <c r="O1325" s="16" t="s">
        <v>3350</v>
      </c>
      <c r="R1325" s="6"/>
      <c r="S1325" s="298"/>
    </row>
    <row r="1326" spans="14:19" hidden="1" x14ac:dyDescent="0.25">
      <c r="N1326" s="17">
        <v>332.19999999998902</v>
      </c>
      <c r="O1326" s="16" t="s">
        <v>3351</v>
      </c>
      <c r="R1326" s="6"/>
      <c r="S1326" s="298"/>
    </row>
    <row r="1327" spans="14:19" hidden="1" x14ac:dyDescent="0.25">
      <c r="N1327" s="17">
        <v>332.29999999998898</v>
      </c>
      <c r="O1327" s="16" t="s">
        <v>3352</v>
      </c>
      <c r="R1327" s="6"/>
      <c r="S1327" s="298"/>
    </row>
    <row r="1328" spans="14:19" hidden="1" x14ac:dyDescent="0.25">
      <c r="N1328" s="17">
        <v>332.39999999998901</v>
      </c>
      <c r="O1328" s="16" t="s">
        <v>3353</v>
      </c>
      <c r="R1328" s="6"/>
      <c r="S1328" s="298"/>
    </row>
    <row r="1329" spans="14:19" hidden="1" x14ac:dyDescent="0.25">
      <c r="N1329" s="17">
        <v>332.49999999998897</v>
      </c>
      <c r="O1329" s="16" t="s">
        <v>3354</v>
      </c>
      <c r="R1329" s="6"/>
      <c r="S1329" s="298"/>
    </row>
    <row r="1330" spans="14:19" hidden="1" x14ac:dyDescent="0.25">
      <c r="N1330" s="17">
        <v>332.599999999989</v>
      </c>
      <c r="O1330" s="16" t="s">
        <v>5470</v>
      </c>
      <c r="R1330" s="6"/>
      <c r="S1330" s="298"/>
    </row>
    <row r="1331" spans="14:19" hidden="1" x14ac:dyDescent="0.25">
      <c r="N1331" s="17">
        <v>332.69999999998902</v>
      </c>
      <c r="O1331" s="16" t="s">
        <v>5471</v>
      </c>
      <c r="R1331" s="6"/>
      <c r="S1331" s="298"/>
    </row>
    <row r="1332" spans="14:19" hidden="1" x14ac:dyDescent="0.25">
      <c r="N1332" s="17">
        <v>332.79999999998898</v>
      </c>
      <c r="O1332" s="16" t="s">
        <v>5472</v>
      </c>
      <c r="R1332" s="6"/>
      <c r="S1332" s="298"/>
    </row>
    <row r="1333" spans="14:19" hidden="1" x14ac:dyDescent="0.25">
      <c r="N1333" s="17">
        <v>332.89999999998901</v>
      </c>
      <c r="O1333" s="16" t="s">
        <v>5473</v>
      </c>
      <c r="R1333" s="6"/>
      <c r="S1333" s="298"/>
    </row>
    <row r="1334" spans="14:19" hidden="1" x14ac:dyDescent="0.25">
      <c r="N1334" s="17">
        <v>332.99999999998897</v>
      </c>
      <c r="O1334" s="16" t="s">
        <v>5474</v>
      </c>
      <c r="R1334" s="6"/>
      <c r="S1334" s="298"/>
    </row>
    <row r="1335" spans="14:19" hidden="1" x14ac:dyDescent="0.25">
      <c r="N1335" s="17">
        <v>333.099999999989</v>
      </c>
      <c r="O1335" s="16" t="s">
        <v>5475</v>
      </c>
      <c r="R1335" s="6"/>
      <c r="S1335" s="298"/>
    </row>
    <row r="1336" spans="14:19" hidden="1" x14ac:dyDescent="0.25">
      <c r="N1336" s="17">
        <v>333.19999999998902</v>
      </c>
      <c r="O1336" s="16" t="s">
        <v>5476</v>
      </c>
      <c r="R1336" s="6"/>
      <c r="S1336" s="298"/>
    </row>
    <row r="1337" spans="14:19" hidden="1" x14ac:dyDescent="0.25">
      <c r="N1337" s="17">
        <v>333.29999999998898</v>
      </c>
      <c r="O1337" s="16" t="s">
        <v>5477</v>
      </c>
      <c r="R1337" s="6"/>
      <c r="S1337" s="298"/>
    </row>
    <row r="1338" spans="14:19" hidden="1" x14ac:dyDescent="0.25">
      <c r="N1338" s="17">
        <v>333.39999999998901</v>
      </c>
      <c r="O1338" s="16" t="s">
        <v>5478</v>
      </c>
      <c r="R1338" s="6"/>
      <c r="S1338" s="298"/>
    </row>
    <row r="1339" spans="14:19" hidden="1" x14ac:dyDescent="0.25">
      <c r="N1339" s="17">
        <v>333.49999999998897</v>
      </c>
      <c r="O1339" s="16" t="s">
        <v>5479</v>
      </c>
      <c r="R1339" s="6"/>
      <c r="S1339" s="298"/>
    </row>
    <row r="1340" spans="14:19" hidden="1" x14ac:dyDescent="0.25">
      <c r="N1340" s="17">
        <v>333.599999999989</v>
      </c>
      <c r="O1340" s="16" t="s">
        <v>3360</v>
      </c>
      <c r="R1340" s="6"/>
      <c r="S1340" s="298"/>
    </row>
    <row r="1341" spans="14:19" hidden="1" x14ac:dyDescent="0.25">
      <c r="N1341" s="17">
        <v>333.69999999998902</v>
      </c>
      <c r="O1341" s="16" t="s">
        <v>3361</v>
      </c>
      <c r="R1341" s="6"/>
      <c r="S1341" s="298"/>
    </row>
    <row r="1342" spans="14:19" hidden="1" x14ac:dyDescent="0.25">
      <c r="N1342" s="17">
        <v>333.79999999998898</v>
      </c>
      <c r="O1342" s="16" t="s">
        <v>3362</v>
      </c>
      <c r="R1342" s="6"/>
      <c r="S1342" s="298"/>
    </row>
    <row r="1343" spans="14:19" hidden="1" x14ac:dyDescent="0.25">
      <c r="N1343" s="17">
        <v>333.89999999998798</v>
      </c>
      <c r="O1343" s="16" t="s">
        <v>3363</v>
      </c>
      <c r="R1343" s="6"/>
      <c r="S1343" s="298"/>
    </row>
    <row r="1344" spans="14:19" hidden="1" x14ac:dyDescent="0.25">
      <c r="N1344" s="17">
        <v>333.99999999998801</v>
      </c>
      <c r="O1344" s="16" t="s">
        <v>3364</v>
      </c>
      <c r="R1344" s="6"/>
      <c r="S1344" s="298"/>
    </row>
    <row r="1345" spans="14:19" hidden="1" x14ac:dyDescent="0.25">
      <c r="N1345" s="17">
        <v>334.09999999998797</v>
      </c>
      <c r="O1345" s="16" t="s">
        <v>3365</v>
      </c>
      <c r="R1345" s="6"/>
      <c r="S1345" s="298"/>
    </row>
    <row r="1346" spans="14:19" hidden="1" x14ac:dyDescent="0.25">
      <c r="N1346" s="17">
        <v>334.19999999998799</v>
      </c>
      <c r="O1346" s="16" t="s">
        <v>3366</v>
      </c>
      <c r="R1346" s="6"/>
      <c r="S1346" s="298"/>
    </row>
    <row r="1347" spans="14:19" hidden="1" x14ac:dyDescent="0.25">
      <c r="N1347" s="17">
        <v>334.29999999998802</v>
      </c>
      <c r="O1347" s="16" t="s">
        <v>899</v>
      </c>
      <c r="R1347" s="6"/>
      <c r="S1347" s="298"/>
    </row>
    <row r="1348" spans="14:19" hidden="1" x14ac:dyDescent="0.25">
      <c r="N1348" s="17">
        <v>334.39999999998798</v>
      </c>
      <c r="O1348" s="16" t="s">
        <v>900</v>
      </c>
      <c r="R1348" s="6"/>
      <c r="S1348" s="298"/>
    </row>
    <row r="1349" spans="14:19" hidden="1" x14ac:dyDescent="0.25">
      <c r="N1349" s="17">
        <v>334.49999999998801</v>
      </c>
      <c r="O1349" s="16" t="s">
        <v>901</v>
      </c>
      <c r="R1349" s="6"/>
      <c r="S1349" s="298"/>
    </row>
    <row r="1350" spans="14:19" hidden="1" x14ac:dyDescent="0.25">
      <c r="N1350" s="17">
        <v>334.59999999998797</v>
      </c>
      <c r="O1350" s="16" t="s">
        <v>902</v>
      </c>
      <c r="R1350" s="6"/>
      <c r="S1350" s="298"/>
    </row>
    <row r="1351" spans="14:19" hidden="1" x14ac:dyDescent="0.25">
      <c r="N1351" s="17">
        <v>334.69999999998799</v>
      </c>
      <c r="O1351" s="16" t="s">
        <v>903</v>
      </c>
      <c r="R1351" s="6"/>
      <c r="S1351" s="298"/>
    </row>
    <row r="1352" spans="14:19" hidden="1" x14ac:dyDescent="0.25">
      <c r="N1352" s="17">
        <v>334.79999999998802</v>
      </c>
      <c r="O1352" s="16" t="s">
        <v>904</v>
      </c>
      <c r="R1352" s="6"/>
      <c r="S1352" s="298"/>
    </row>
    <row r="1353" spans="14:19" hidden="1" x14ac:dyDescent="0.25">
      <c r="N1353" s="17">
        <v>334.89999999998798</v>
      </c>
      <c r="O1353" s="16" t="s">
        <v>905</v>
      </c>
      <c r="R1353" s="6"/>
      <c r="S1353" s="298"/>
    </row>
    <row r="1354" spans="14:19" hidden="1" x14ac:dyDescent="0.25">
      <c r="N1354" s="17">
        <v>334.99999999998801</v>
      </c>
      <c r="O1354" s="16" t="s">
        <v>906</v>
      </c>
      <c r="R1354" s="6"/>
      <c r="S1354" s="298"/>
    </row>
    <row r="1355" spans="14:19" hidden="1" x14ac:dyDescent="0.25">
      <c r="N1355" s="17">
        <v>335.09999999998797</v>
      </c>
      <c r="O1355" s="16" t="s">
        <v>907</v>
      </c>
      <c r="R1355" s="6"/>
      <c r="S1355" s="298"/>
    </row>
    <row r="1356" spans="14:19" hidden="1" x14ac:dyDescent="0.25">
      <c r="N1356" s="17">
        <v>335.19999999998799</v>
      </c>
      <c r="O1356" s="16" t="s">
        <v>908</v>
      </c>
      <c r="R1356" s="6"/>
      <c r="S1356" s="298"/>
    </row>
    <row r="1357" spans="14:19" hidden="1" x14ac:dyDescent="0.25">
      <c r="N1357" s="17">
        <v>335.29999999998802</v>
      </c>
      <c r="O1357" s="16" t="s">
        <v>909</v>
      </c>
      <c r="R1357" s="6"/>
      <c r="S1357" s="298"/>
    </row>
    <row r="1358" spans="14:19" hidden="1" x14ac:dyDescent="0.25">
      <c r="N1358" s="17">
        <v>335.39999999998798</v>
      </c>
      <c r="O1358" s="16" t="s">
        <v>910</v>
      </c>
      <c r="R1358" s="6"/>
      <c r="S1358" s="298"/>
    </row>
    <row r="1359" spans="14:19" hidden="1" x14ac:dyDescent="0.25">
      <c r="N1359" s="17">
        <v>335.49999999998801</v>
      </c>
      <c r="O1359" s="16" t="s">
        <v>911</v>
      </c>
      <c r="R1359" s="6"/>
      <c r="S1359" s="298"/>
    </row>
    <row r="1360" spans="14:19" hidden="1" x14ac:dyDescent="0.25">
      <c r="N1360" s="17">
        <v>335.59999999998797</v>
      </c>
      <c r="O1360" s="16" t="s">
        <v>912</v>
      </c>
      <c r="R1360" s="6"/>
      <c r="S1360" s="298"/>
    </row>
    <row r="1361" spans="14:19" hidden="1" x14ac:dyDescent="0.25">
      <c r="N1361" s="17">
        <v>335.69999999998799</v>
      </c>
      <c r="O1361" s="16" t="s">
        <v>913</v>
      </c>
      <c r="R1361" s="6"/>
      <c r="S1361" s="298"/>
    </row>
    <row r="1362" spans="14:19" hidden="1" x14ac:dyDescent="0.25">
      <c r="N1362" s="17">
        <v>335.79999999998802</v>
      </c>
      <c r="O1362" s="16" t="s">
        <v>914</v>
      </c>
      <c r="R1362" s="6"/>
      <c r="S1362" s="298"/>
    </row>
    <row r="1363" spans="14:19" hidden="1" x14ac:dyDescent="0.25">
      <c r="N1363" s="17">
        <v>335.89999999998798</v>
      </c>
      <c r="O1363" s="16" t="s">
        <v>915</v>
      </c>
      <c r="R1363" s="6"/>
      <c r="S1363" s="298"/>
    </row>
    <row r="1364" spans="14:19" hidden="1" x14ac:dyDescent="0.25">
      <c r="N1364" s="17">
        <v>335.99999999998801</v>
      </c>
      <c r="O1364" s="16" t="s">
        <v>916</v>
      </c>
      <c r="R1364" s="6"/>
      <c r="S1364" s="298"/>
    </row>
    <row r="1365" spans="14:19" hidden="1" x14ac:dyDescent="0.25">
      <c r="N1365" s="17">
        <v>336.09999999998797</v>
      </c>
      <c r="O1365" s="16" t="s">
        <v>917</v>
      </c>
      <c r="R1365" s="6"/>
      <c r="S1365" s="298"/>
    </row>
    <row r="1366" spans="14:19" hidden="1" x14ac:dyDescent="0.25">
      <c r="N1366" s="17">
        <v>336.19999999998799</v>
      </c>
      <c r="O1366" s="16" t="s">
        <v>918</v>
      </c>
      <c r="R1366" s="6"/>
      <c r="S1366" s="298"/>
    </row>
    <row r="1367" spans="14:19" hidden="1" x14ac:dyDescent="0.25">
      <c r="N1367" s="17">
        <v>336.29999999998802</v>
      </c>
      <c r="O1367" s="16" t="s">
        <v>919</v>
      </c>
      <c r="R1367" s="6"/>
      <c r="S1367" s="298"/>
    </row>
    <row r="1368" spans="14:19" hidden="1" x14ac:dyDescent="0.25">
      <c r="N1368" s="17">
        <v>336.39999999998798</v>
      </c>
      <c r="O1368" s="16" t="s">
        <v>920</v>
      </c>
      <c r="R1368" s="6"/>
      <c r="S1368" s="298"/>
    </row>
    <row r="1369" spans="14:19" hidden="1" x14ac:dyDescent="0.25">
      <c r="N1369" s="17">
        <v>336.49999999998801</v>
      </c>
      <c r="O1369" s="16" t="s">
        <v>921</v>
      </c>
      <c r="R1369" s="6"/>
      <c r="S1369" s="298"/>
    </row>
    <row r="1370" spans="14:19" hidden="1" x14ac:dyDescent="0.25">
      <c r="N1370" s="17">
        <v>336.59999999998797</v>
      </c>
      <c r="O1370" s="16" t="s">
        <v>922</v>
      </c>
      <c r="R1370" s="6"/>
      <c r="S1370" s="298"/>
    </row>
    <row r="1371" spans="14:19" hidden="1" x14ac:dyDescent="0.25">
      <c r="N1371" s="17">
        <v>336.69999999998799</v>
      </c>
      <c r="O1371" s="16" t="s">
        <v>923</v>
      </c>
      <c r="R1371" s="6"/>
      <c r="S1371" s="298"/>
    </row>
    <row r="1372" spans="14:19" hidden="1" x14ac:dyDescent="0.25">
      <c r="N1372" s="17">
        <v>336.79999999998802</v>
      </c>
      <c r="O1372" s="16" t="s">
        <v>924</v>
      </c>
      <c r="R1372" s="6"/>
      <c r="S1372" s="298"/>
    </row>
    <row r="1373" spans="14:19" hidden="1" x14ac:dyDescent="0.25">
      <c r="N1373" s="17">
        <v>336.89999999998702</v>
      </c>
      <c r="O1373" s="16" t="s">
        <v>1189</v>
      </c>
      <c r="R1373" s="6"/>
      <c r="S1373" s="298"/>
    </row>
    <row r="1374" spans="14:19" hidden="1" x14ac:dyDescent="0.25">
      <c r="N1374" s="17">
        <v>336.99999999998698</v>
      </c>
      <c r="O1374" s="16" t="s">
        <v>1190</v>
      </c>
      <c r="R1374" s="6"/>
      <c r="S1374" s="298"/>
    </row>
    <row r="1375" spans="14:19" hidden="1" x14ac:dyDescent="0.25">
      <c r="N1375" s="17">
        <v>337.09999999998701</v>
      </c>
      <c r="O1375" s="16" t="s">
        <v>1191</v>
      </c>
      <c r="R1375" s="6"/>
      <c r="S1375" s="298"/>
    </row>
    <row r="1376" spans="14:19" hidden="1" x14ac:dyDescent="0.25">
      <c r="N1376" s="17">
        <v>337.19999999998703</v>
      </c>
      <c r="O1376" s="16" t="s">
        <v>1192</v>
      </c>
      <c r="R1376" s="6"/>
      <c r="S1376" s="298"/>
    </row>
    <row r="1377" spans="14:19" hidden="1" x14ac:dyDescent="0.25">
      <c r="N1377" s="17">
        <v>337.29999999998699</v>
      </c>
      <c r="O1377" s="16" t="s">
        <v>1193</v>
      </c>
      <c r="R1377" s="6"/>
      <c r="S1377" s="298"/>
    </row>
    <row r="1378" spans="14:19" hidden="1" x14ac:dyDescent="0.25">
      <c r="N1378" s="17">
        <v>337.39999999998702</v>
      </c>
      <c r="O1378" s="16" t="s">
        <v>1194</v>
      </c>
      <c r="R1378" s="6"/>
      <c r="S1378" s="298"/>
    </row>
    <row r="1379" spans="14:19" hidden="1" x14ac:dyDescent="0.25">
      <c r="N1379" s="17">
        <v>337.49999999998698</v>
      </c>
      <c r="O1379" s="16" t="s">
        <v>1195</v>
      </c>
      <c r="R1379" s="6"/>
      <c r="S1379" s="298"/>
    </row>
    <row r="1380" spans="14:19" hidden="1" x14ac:dyDescent="0.25">
      <c r="N1380" s="17">
        <v>337.59999999998701</v>
      </c>
      <c r="O1380" s="16" t="s">
        <v>1196</v>
      </c>
      <c r="R1380" s="6"/>
      <c r="S1380" s="298"/>
    </row>
    <row r="1381" spans="14:19" hidden="1" x14ac:dyDescent="0.25">
      <c r="N1381" s="17">
        <v>337.69999999998703</v>
      </c>
      <c r="O1381" s="16" t="s">
        <v>1197</v>
      </c>
      <c r="R1381" s="6"/>
      <c r="S1381" s="298"/>
    </row>
    <row r="1382" spans="14:19" hidden="1" x14ac:dyDescent="0.25">
      <c r="N1382" s="17">
        <v>337.79999999998699</v>
      </c>
      <c r="O1382" s="16" t="s">
        <v>1198</v>
      </c>
      <c r="R1382" s="6"/>
      <c r="S1382" s="298"/>
    </row>
    <row r="1383" spans="14:19" hidden="1" x14ac:dyDescent="0.25">
      <c r="N1383" s="17">
        <v>337.89999999998702</v>
      </c>
      <c r="O1383" s="16" t="s">
        <v>1199</v>
      </c>
      <c r="R1383" s="6"/>
      <c r="S1383" s="298"/>
    </row>
    <row r="1384" spans="14:19" hidden="1" x14ac:dyDescent="0.25">
      <c r="N1384" s="17">
        <v>337.99999999998698</v>
      </c>
      <c r="O1384" s="16" t="s">
        <v>1200</v>
      </c>
      <c r="R1384" s="6"/>
      <c r="S1384" s="298"/>
    </row>
    <row r="1385" spans="14:19" hidden="1" x14ac:dyDescent="0.25">
      <c r="N1385" s="17">
        <v>338.09999999998701</v>
      </c>
      <c r="O1385" s="16" t="s">
        <v>1201</v>
      </c>
      <c r="R1385" s="6"/>
      <c r="S1385" s="298"/>
    </row>
    <row r="1386" spans="14:19" hidden="1" x14ac:dyDescent="0.25">
      <c r="N1386" s="17">
        <v>338.19999999998703</v>
      </c>
      <c r="O1386" s="16" t="s">
        <v>1202</v>
      </c>
      <c r="R1386" s="6"/>
      <c r="S1386" s="298"/>
    </row>
    <row r="1387" spans="14:19" hidden="1" x14ac:dyDescent="0.25">
      <c r="N1387" s="17">
        <v>338.29999999998699</v>
      </c>
      <c r="O1387" s="16" t="s">
        <v>1203</v>
      </c>
      <c r="R1387" s="6"/>
      <c r="S1387" s="298"/>
    </row>
    <row r="1388" spans="14:19" hidden="1" x14ac:dyDescent="0.25">
      <c r="N1388" s="17">
        <v>338.39999999998702</v>
      </c>
      <c r="O1388" s="16" t="s">
        <v>1204</v>
      </c>
      <c r="R1388" s="6"/>
      <c r="S1388" s="298"/>
    </row>
    <row r="1389" spans="14:19" hidden="1" x14ac:dyDescent="0.25">
      <c r="N1389" s="17">
        <v>338.49999999998698</v>
      </c>
      <c r="O1389" s="16" t="s">
        <v>1205</v>
      </c>
      <c r="R1389" s="6"/>
      <c r="S1389" s="298"/>
    </row>
    <row r="1390" spans="14:19" hidden="1" x14ac:dyDescent="0.25">
      <c r="N1390" s="17">
        <v>338.59999999998701</v>
      </c>
      <c r="O1390" s="16" t="s">
        <v>1206</v>
      </c>
      <c r="R1390" s="6"/>
      <c r="S1390" s="298"/>
    </row>
    <row r="1391" spans="14:19" hidden="1" x14ac:dyDescent="0.25">
      <c r="N1391" s="17">
        <v>338.69999999998703</v>
      </c>
      <c r="O1391" s="16" t="s">
        <v>1207</v>
      </c>
      <c r="R1391" s="6"/>
      <c r="S1391" s="298"/>
    </row>
    <row r="1392" spans="14:19" hidden="1" x14ac:dyDescent="0.25">
      <c r="N1392" s="17">
        <v>338.79999999998699</v>
      </c>
      <c r="O1392" s="16" t="s">
        <v>1208</v>
      </c>
      <c r="R1392" s="6"/>
      <c r="S1392" s="298"/>
    </row>
    <row r="1393" spans="14:19" hidden="1" x14ac:dyDescent="0.25">
      <c r="N1393" s="17">
        <v>338.89999999998702</v>
      </c>
      <c r="O1393" s="16" t="s">
        <v>1209</v>
      </c>
      <c r="R1393" s="6"/>
      <c r="S1393" s="298"/>
    </row>
    <row r="1394" spans="14:19" hidden="1" x14ac:dyDescent="0.25">
      <c r="N1394" s="17">
        <v>338.99999999998698</v>
      </c>
      <c r="O1394" s="16" t="s">
        <v>1210</v>
      </c>
      <c r="R1394" s="6"/>
      <c r="S1394" s="298"/>
    </row>
    <row r="1395" spans="14:19" hidden="1" x14ac:dyDescent="0.25">
      <c r="N1395" s="17">
        <v>339.09999999998701</v>
      </c>
      <c r="O1395" s="16" t="s">
        <v>1211</v>
      </c>
      <c r="R1395" s="6"/>
      <c r="S1395" s="298"/>
    </row>
    <row r="1396" spans="14:19" hidden="1" x14ac:dyDescent="0.25">
      <c r="N1396" s="17">
        <v>339.19999999998703</v>
      </c>
      <c r="O1396" s="16" t="s">
        <v>1212</v>
      </c>
      <c r="R1396" s="6"/>
      <c r="S1396" s="298"/>
    </row>
    <row r="1397" spans="14:19" hidden="1" x14ac:dyDescent="0.25">
      <c r="N1397" s="17">
        <v>339.29999999998699</v>
      </c>
      <c r="O1397" s="16" t="s">
        <v>1213</v>
      </c>
      <c r="R1397" s="6"/>
      <c r="S1397" s="298"/>
    </row>
    <row r="1398" spans="14:19" hidden="1" x14ac:dyDescent="0.25">
      <c r="N1398" s="17">
        <v>339.39999999998702</v>
      </c>
      <c r="O1398" s="16" t="s">
        <v>1214</v>
      </c>
      <c r="R1398" s="6"/>
      <c r="S1398" s="298"/>
    </row>
    <row r="1399" spans="14:19" hidden="1" x14ac:dyDescent="0.25">
      <c r="N1399" s="17">
        <v>339.49999999998698</v>
      </c>
      <c r="O1399" s="16" t="s">
        <v>1215</v>
      </c>
      <c r="R1399" s="6"/>
      <c r="S1399" s="298"/>
    </row>
    <row r="1400" spans="14:19" hidden="1" x14ac:dyDescent="0.25">
      <c r="N1400" s="17">
        <v>339.59999999998598</v>
      </c>
      <c r="O1400" s="16" t="s">
        <v>1216</v>
      </c>
      <c r="R1400" s="6"/>
      <c r="S1400" s="298"/>
    </row>
    <row r="1401" spans="14:19" hidden="1" x14ac:dyDescent="0.25">
      <c r="N1401" s="17">
        <v>339.69999999998703</v>
      </c>
      <c r="O1401" s="16" t="s">
        <v>1217</v>
      </c>
      <c r="R1401" s="6"/>
      <c r="S1401" s="298"/>
    </row>
    <row r="1402" spans="14:19" hidden="1" x14ac:dyDescent="0.25">
      <c r="N1402" s="17">
        <v>339.79999999998699</v>
      </c>
      <c r="O1402" s="16" t="s">
        <v>1218</v>
      </c>
      <c r="R1402" s="6"/>
      <c r="S1402" s="298"/>
    </row>
    <row r="1403" spans="14:19" hidden="1" x14ac:dyDescent="0.25">
      <c r="N1403" s="17">
        <v>339.89999999998599</v>
      </c>
      <c r="O1403" s="16" t="s">
        <v>1219</v>
      </c>
      <c r="R1403" s="6"/>
      <c r="S1403" s="298"/>
    </row>
    <row r="1404" spans="14:19" hidden="1" x14ac:dyDescent="0.25">
      <c r="N1404" s="17">
        <v>339.99999999998602</v>
      </c>
      <c r="O1404" s="16" t="s">
        <v>1220</v>
      </c>
      <c r="R1404" s="6"/>
      <c r="S1404" s="298"/>
    </row>
    <row r="1405" spans="14:19" hidden="1" x14ac:dyDescent="0.25">
      <c r="N1405" s="17">
        <v>340.09999999998598</v>
      </c>
      <c r="O1405" s="16" t="s">
        <v>1</v>
      </c>
      <c r="R1405" s="6"/>
      <c r="S1405" s="298"/>
    </row>
    <row r="1406" spans="14:19" hidden="1" x14ac:dyDescent="0.25">
      <c r="N1406" s="17">
        <v>340.19999999998601</v>
      </c>
      <c r="O1406" s="16" t="s">
        <v>2</v>
      </c>
      <c r="R1406" s="6"/>
      <c r="S1406" s="298"/>
    </row>
    <row r="1407" spans="14:19" hidden="1" x14ac:dyDescent="0.25">
      <c r="N1407" s="17">
        <v>340.29999999998603</v>
      </c>
      <c r="O1407" s="16" t="s">
        <v>3</v>
      </c>
      <c r="R1407" s="6"/>
      <c r="S1407" s="298"/>
    </row>
    <row r="1408" spans="14:19" hidden="1" x14ac:dyDescent="0.25">
      <c r="N1408" s="17">
        <v>340.39999999998599</v>
      </c>
      <c r="O1408" s="16" t="s">
        <v>4</v>
      </c>
      <c r="R1408" s="6"/>
      <c r="S1408" s="298"/>
    </row>
    <row r="1409" spans="14:19" hidden="1" x14ac:dyDescent="0.25">
      <c r="N1409" s="17">
        <v>340.49999999998602</v>
      </c>
      <c r="O1409" s="16" t="s">
        <v>5</v>
      </c>
      <c r="R1409" s="6"/>
      <c r="S1409" s="298"/>
    </row>
    <row r="1410" spans="14:19" hidden="1" x14ac:dyDescent="0.25">
      <c r="N1410" s="17">
        <v>340.59999999998598</v>
      </c>
      <c r="O1410" s="16" t="s">
        <v>2217</v>
      </c>
      <c r="R1410" s="6"/>
      <c r="S1410" s="298"/>
    </row>
    <row r="1411" spans="14:19" hidden="1" x14ac:dyDescent="0.25">
      <c r="N1411" s="17">
        <v>340.69999999998601</v>
      </c>
      <c r="O1411" s="16" t="s">
        <v>2218</v>
      </c>
      <c r="R1411" s="6"/>
      <c r="S1411" s="298"/>
    </row>
    <row r="1412" spans="14:19" hidden="1" x14ac:dyDescent="0.25">
      <c r="N1412" s="17">
        <v>340.79999999998603</v>
      </c>
      <c r="O1412" s="16" t="s">
        <v>2219</v>
      </c>
      <c r="R1412" s="6"/>
      <c r="S1412" s="298"/>
    </row>
    <row r="1413" spans="14:19" hidden="1" x14ac:dyDescent="0.25">
      <c r="N1413" s="17">
        <v>340.89999999998599</v>
      </c>
      <c r="O1413" s="16" t="s">
        <v>2220</v>
      </c>
      <c r="R1413" s="6"/>
      <c r="S1413" s="298"/>
    </row>
    <row r="1414" spans="14:19" hidden="1" x14ac:dyDescent="0.25">
      <c r="N1414" s="17">
        <v>340.99999999998602</v>
      </c>
      <c r="O1414" s="16" t="s">
        <v>2221</v>
      </c>
      <c r="R1414" s="6"/>
      <c r="S1414" s="298"/>
    </row>
    <row r="1415" spans="14:19" hidden="1" x14ac:dyDescent="0.25">
      <c r="N1415" s="17">
        <v>341.09999999998598</v>
      </c>
      <c r="O1415" s="16" t="s">
        <v>2222</v>
      </c>
      <c r="R1415" s="6"/>
      <c r="S1415" s="298"/>
    </row>
    <row r="1416" spans="14:19" hidden="1" x14ac:dyDescent="0.25">
      <c r="N1416" s="17">
        <v>341.19999999998601</v>
      </c>
      <c r="O1416" s="16" t="s">
        <v>2223</v>
      </c>
      <c r="R1416" s="6"/>
      <c r="S1416" s="298"/>
    </row>
    <row r="1417" spans="14:19" hidden="1" x14ac:dyDescent="0.25">
      <c r="N1417" s="17">
        <v>341.29999999998603</v>
      </c>
      <c r="O1417" s="16" t="s">
        <v>2224</v>
      </c>
      <c r="R1417" s="6"/>
      <c r="S1417" s="298"/>
    </row>
    <row r="1418" spans="14:19" hidden="1" x14ac:dyDescent="0.25">
      <c r="N1418" s="17">
        <v>341.39999999998599</v>
      </c>
      <c r="O1418" s="16" t="s">
        <v>993</v>
      </c>
      <c r="R1418" s="6"/>
      <c r="S1418" s="298"/>
    </row>
    <row r="1419" spans="14:19" hidden="1" x14ac:dyDescent="0.25">
      <c r="N1419" s="17">
        <v>341.49999999998602</v>
      </c>
      <c r="O1419" s="16" t="s">
        <v>994</v>
      </c>
      <c r="R1419" s="6"/>
      <c r="S1419" s="298"/>
    </row>
    <row r="1420" spans="14:19" hidden="1" x14ac:dyDescent="0.25">
      <c r="N1420" s="17">
        <v>341.59999999998598</v>
      </c>
      <c r="O1420" s="16" t="s">
        <v>995</v>
      </c>
      <c r="R1420" s="6"/>
      <c r="S1420" s="298"/>
    </row>
    <row r="1421" spans="14:19" hidden="1" x14ac:dyDescent="0.25">
      <c r="N1421" s="17">
        <v>341.69999999998601</v>
      </c>
      <c r="O1421" s="16" t="s">
        <v>1227</v>
      </c>
      <c r="R1421" s="6"/>
      <c r="S1421" s="298"/>
    </row>
    <row r="1422" spans="14:19" hidden="1" x14ac:dyDescent="0.25">
      <c r="N1422" s="17">
        <v>341.79999999998603</v>
      </c>
      <c r="O1422" s="16" t="s">
        <v>2241</v>
      </c>
      <c r="R1422" s="6"/>
      <c r="S1422" s="298"/>
    </row>
    <row r="1423" spans="14:19" hidden="1" x14ac:dyDescent="0.25">
      <c r="N1423" s="17">
        <v>341.89999999998599</v>
      </c>
      <c r="O1423" s="16" t="s">
        <v>2242</v>
      </c>
      <c r="R1423" s="6"/>
      <c r="S1423" s="298"/>
    </row>
    <row r="1424" spans="14:19" hidden="1" x14ac:dyDescent="0.25">
      <c r="N1424" s="17">
        <v>341.99999999998602</v>
      </c>
      <c r="O1424" s="16" t="s">
        <v>2243</v>
      </c>
      <c r="R1424" s="6"/>
      <c r="S1424" s="298"/>
    </row>
    <row r="1425" spans="14:19" hidden="1" x14ac:dyDescent="0.25">
      <c r="N1425" s="17">
        <v>342.09999999998598</v>
      </c>
      <c r="O1425" s="16" t="s">
        <v>2244</v>
      </c>
      <c r="R1425" s="6"/>
      <c r="S1425" s="298"/>
    </row>
    <row r="1426" spans="14:19" hidden="1" x14ac:dyDescent="0.25">
      <c r="N1426" s="17">
        <v>342.19999999998601</v>
      </c>
      <c r="O1426" s="16" t="s">
        <v>794</v>
      </c>
      <c r="R1426" s="6"/>
      <c r="S1426" s="298"/>
    </row>
    <row r="1427" spans="14:19" hidden="1" x14ac:dyDescent="0.25">
      <c r="N1427" s="17">
        <v>342.29999999998603</v>
      </c>
      <c r="O1427" s="16" t="s">
        <v>795</v>
      </c>
      <c r="R1427" s="6"/>
      <c r="S1427" s="298"/>
    </row>
    <row r="1428" spans="14:19" hidden="1" x14ac:dyDescent="0.25">
      <c r="N1428" s="17">
        <v>342.39999999998599</v>
      </c>
      <c r="O1428" s="16" t="s">
        <v>796</v>
      </c>
      <c r="R1428" s="6"/>
      <c r="S1428" s="298"/>
    </row>
    <row r="1429" spans="14:19" hidden="1" x14ac:dyDescent="0.25">
      <c r="N1429" s="17">
        <v>342.49999999998602</v>
      </c>
      <c r="O1429" s="16" t="s">
        <v>797</v>
      </c>
      <c r="R1429" s="6"/>
      <c r="S1429" s="298"/>
    </row>
    <row r="1430" spans="14:19" hidden="1" x14ac:dyDescent="0.25">
      <c r="N1430" s="17">
        <v>342.59999999998598</v>
      </c>
      <c r="O1430" s="16" t="s">
        <v>798</v>
      </c>
      <c r="R1430" s="6"/>
      <c r="S1430" s="298"/>
    </row>
    <row r="1431" spans="14:19" hidden="1" x14ac:dyDescent="0.25">
      <c r="N1431" s="17">
        <v>342.69999999998498</v>
      </c>
      <c r="O1431" s="16" t="s">
        <v>799</v>
      </c>
      <c r="R1431" s="6"/>
      <c r="S1431" s="298"/>
    </row>
    <row r="1432" spans="14:19" hidden="1" x14ac:dyDescent="0.25">
      <c r="N1432" s="17">
        <v>342.799999999985</v>
      </c>
      <c r="O1432" s="16" t="s">
        <v>800</v>
      </c>
      <c r="R1432" s="6"/>
      <c r="S1432" s="298"/>
    </row>
    <row r="1433" spans="14:19" hidden="1" x14ac:dyDescent="0.25">
      <c r="N1433" s="17">
        <v>342.89999999998503</v>
      </c>
      <c r="O1433" s="16" t="s">
        <v>3262</v>
      </c>
      <c r="R1433" s="6"/>
      <c r="S1433" s="298"/>
    </row>
    <row r="1434" spans="14:19" hidden="1" x14ac:dyDescent="0.25">
      <c r="N1434" s="17">
        <v>342.99999999998499</v>
      </c>
      <c r="O1434" s="16" t="s">
        <v>3263</v>
      </c>
      <c r="R1434" s="6"/>
      <c r="S1434" s="298"/>
    </row>
    <row r="1435" spans="14:19" hidden="1" x14ac:dyDescent="0.25">
      <c r="N1435" s="17">
        <v>343.09999999998502</v>
      </c>
      <c r="O1435" s="16" t="s">
        <v>3264</v>
      </c>
      <c r="R1435" s="6"/>
      <c r="S1435" s="298"/>
    </row>
    <row r="1436" spans="14:19" hidden="1" x14ac:dyDescent="0.25">
      <c r="N1436" s="17">
        <v>343.19999999998498</v>
      </c>
      <c r="O1436" s="16" t="s">
        <v>3265</v>
      </c>
      <c r="R1436" s="6"/>
      <c r="S1436" s="298"/>
    </row>
    <row r="1437" spans="14:19" hidden="1" x14ac:dyDescent="0.25">
      <c r="N1437" s="17">
        <v>343.299999999985</v>
      </c>
      <c r="O1437" s="16" t="s">
        <v>3266</v>
      </c>
      <c r="R1437" s="6"/>
      <c r="S1437" s="298"/>
    </row>
    <row r="1438" spans="14:19" hidden="1" x14ac:dyDescent="0.25">
      <c r="N1438" s="17">
        <v>343.39999999998503</v>
      </c>
      <c r="O1438" s="16" t="s">
        <v>3267</v>
      </c>
      <c r="R1438" s="6"/>
      <c r="S1438" s="298"/>
    </row>
    <row r="1439" spans="14:19" hidden="1" x14ac:dyDescent="0.25">
      <c r="N1439" s="17">
        <v>343.49999999998499</v>
      </c>
      <c r="O1439" s="16" t="s">
        <v>3268</v>
      </c>
      <c r="R1439" s="6"/>
      <c r="S1439" s="298"/>
    </row>
    <row r="1440" spans="14:19" hidden="1" x14ac:dyDescent="0.25">
      <c r="N1440" s="17">
        <v>343.59999999998502</v>
      </c>
      <c r="O1440" s="16" t="s">
        <v>3269</v>
      </c>
      <c r="R1440" s="6"/>
      <c r="S1440" s="298"/>
    </row>
    <row r="1441" spans="14:19" hidden="1" x14ac:dyDescent="0.25">
      <c r="N1441" s="17">
        <v>343.69999999998498</v>
      </c>
      <c r="O1441" s="16" t="s">
        <v>3270</v>
      </c>
      <c r="R1441" s="6"/>
      <c r="S1441" s="298"/>
    </row>
    <row r="1442" spans="14:19" hidden="1" x14ac:dyDescent="0.25">
      <c r="N1442" s="17">
        <v>343.799999999985</v>
      </c>
      <c r="O1442" s="16" t="s">
        <v>3271</v>
      </c>
      <c r="R1442" s="6"/>
      <c r="S1442" s="298"/>
    </row>
    <row r="1443" spans="14:19" hidden="1" x14ac:dyDescent="0.25">
      <c r="N1443" s="17">
        <v>343.89999999998503</v>
      </c>
      <c r="O1443" s="16" t="s">
        <v>3272</v>
      </c>
      <c r="R1443" s="6"/>
      <c r="S1443" s="298"/>
    </row>
    <row r="1444" spans="14:19" hidden="1" x14ac:dyDescent="0.25">
      <c r="N1444" s="17">
        <v>343.99999999998499</v>
      </c>
      <c r="O1444" s="16" t="s">
        <v>3273</v>
      </c>
      <c r="R1444" s="6"/>
      <c r="S1444" s="298"/>
    </row>
    <row r="1445" spans="14:19" hidden="1" x14ac:dyDescent="0.25">
      <c r="N1445" s="17">
        <v>344.09999999998502</v>
      </c>
      <c r="O1445" s="16" t="s">
        <v>3274</v>
      </c>
      <c r="R1445" s="6"/>
      <c r="S1445" s="298"/>
    </row>
    <row r="1446" spans="14:19" hidden="1" x14ac:dyDescent="0.25">
      <c r="N1446" s="17">
        <v>344.19999999998498</v>
      </c>
      <c r="O1446" s="16" t="s">
        <v>3275</v>
      </c>
      <c r="R1446" s="6"/>
      <c r="S1446" s="298"/>
    </row>
    <row r="1447" spans="14:19" hidden="1" x14ac:dyDescent="0.25">
      <c r="N1447" s="17">
        <v>344.299999999985</v>
      </c>
      <c r="O1447" s="16" t="s">
        <v>3276</v>
      </c>
      <c r="R1447" s="6"/>
      <c r="S1447" s="298"/>
    </row>
    <row r="1448" spans="14:19" hidden="1" x14ac:dyDescent="0.25">
      <c r="N1448" s="17">
        <v>344.39999999998503</v>
      </c>
      <c r="O1448" s="16" t="s">
        <v>3277</v>
      </c>
      <c r="R1448" s="6"/>
      <c r="S1448" s="298"/>
    </row>
    <row r="1449" spans="14:19" hidden="1" x14ac:dyDescent="0.25">
      <c r="N1449" s="17">
        <v>344.49999999998499</v>
      </c>
      <c r="O1449" s="16" t="s">
        <v>3278</v>
      </c>
      <c r="R1449" s="6"/>
      <c r="S1449" s="298"/>
    </row>
    <row r="1450" spans="14:19" hidden="1" x14ac:dyDescent="0.25">
      <c r="N1450" s="17">
        <v>344.59999999998502</v>
      </c>
      <c r="O1450" s="16" t="s">
        <v>3279</v>
      </c>
      <c r="R1450" s="6"/>
      <c r="S1450" s="298"/>
    </row>
    <row r="1451" spans="14:19" hidden="1" x14ac:dyDescent="0.25">
      <c r="N1451" s="17">
        <v>344.69999999998498</v>
      </c>
      <c r="O1451" s="16" t="s">
        <v>3280</v>
      </c>
      <c r="R1451" s="6"/>
      <c r="S1451" s="298"/>
    </row>
    <row r="1452" spans="14:19" hidden="1" x14ac:dyDescent="0.25">
      <c r="N1452" s="17">
        <v>344.799999999985</v>
      </c>
      <c r="O1452" s="16" t="s">
        <v>3281</v>
      </c>
      <c r="R1452" s="6"/>
      <c r="S1452" s="298"/>
    </row>
    <row r="1453" spans="14:19" hidden="1" x14ac:dyDescent="0.25">
      <c r="N1453" s="17">
        <v>344.89999999998503</v>
      </c>
      <c r="O1453" s="16" t="s">
        <v>3273</v>
      </c>
      <c r="R1453" s="6"/>
      <c r="S1453" s="298"/>
    </row>
    <row r="1454" spans="14:19" hidden="1" x14ac:dyDescent="0.25">
      <c r="N1454" s="17">
        <v>344.99999999998499</v>
      </c>
      <c r="O1454" s="16" t="s">
        <v>3282</v>
      </c>
      <c r="R1454" s="6"/>
      <c r="S1454" s="298"/>
    </row>
    <row r="1455" spans="14:19" hidden="1" x14ac:dyDescent="0.25">
      <c r="N1455" s="17">
        <v>345.09999999998502</v>
      </c>
      <c r="O1455" s="16" t="s">
        <v>3283</v>
      </c>
      <c r="R1455" s="6"/>
      <c r="S1455" s="298"/>
    </row>
    <row r="1456" spans="14:19" hidden="1" x14ac:dyDescent="0.25">
      <c r="N1456" s="17">
        <v>345.19999999998498</v>
      </c>
      <c r="O1456" s="16" t="s">
        <v>3284</v>
      </c>
      <c r="R1456" s="6"/>
      <c r="S1456" s="298"/>
    </row>
    <row r="1457" spans="14:19" hidden="1" x14ac:dyDescent="0.25">
      <c r="N1457" s="17">
        <v>345.299999999985</v>
      </c>
      <c r="O1457" s="16" t="s">
        <v>3285</v>
      </c>
      <c r="R1457" s="6"/>
      <c r="S1457" s="298"/>
    </row>
    <row r="1458" spans="14:19" hidden="1" x14ac:dyDescent="0.25">
      <c r="N1458" s="17">
        <v>345.39999999998503</v>
      </c>
      <c r="O1458" s="16" t="s">
        <v>3286</v>
      </c>
      <c r="R1458" s="6"/>
      <c r="S1458" s="298"/>
    </row>
    <row r="1459" spans="14:19" hidden="1" x14ac:dyDescent="0.25">
      <c r="N1459" s="17">
        <v>345.49999999998499</v>
      </c>
      <c r="O1459" s="16" t="s">
        <v>3287</v>
      </c>
      <c r="R1459" s="6"/>
      <c r="S1459" s="298"/>
    </row>
    <row r="1460" spans="14:19" hidden="1" x14ac:dyDescent="0.25">
      <c r="N1460" s="17">
        <v>345.59999999998502</v>
      </c>
      <c r="O1460" s="16" t="s">
        <v>3288</v>
      </c>
      <c r="R1460" s="6"/>
      <c r="S1460" s="298"/>
    </row>
    <row r="1461" spans="14:19" hidden="1" x14ac:dyDescent="0.25">
      <c r="N1461" s="17">
        <v>345.69999999998402</v>
      </c>
      <c r="O1461" s="16" t="s">
        <v>3289</v>
      </c>
      <c r="R1461" s="6"/>
      <c r="S1461" s="298"/>
    </row>
    <row r="1462" spans="14:19" hidden="1" x14ac:dyDescent="0.25">
      <c r="N1462" s="17">
        <v>345.79999999998398</v>
      </c>
      <c r="O1462" s="16" t="s">
        <v>3290</v>
      </c>
      <c r="R1462" s="6"/>
      <c r="S1462" s="298"/>
    </row>
    <row r="1463" spans="14:19" hidden="1" x14ac:dyDescent="0.25">
      <c r="N1463" s="17">
        <v>345.899999999984</v>
      </c>
      <c r="O1463" s="16" t="s">
        <v>3291</v>
      </c>
      <c r="R1463" s="6"/>
      <c r="S1463" s="298"/>
    </row>
    <row r="1464" spans="14:19" hidden="1" x14ac:dyDescent="0.25">
      <c r="N1464" s="17">
        <v>345.99999999998403</v>
      </c>
      <c r="O1464" s="16" t="s">
        <v>3292</v>
      </c>
      <c r="R1464" s="6"/>
      <c r="S1464" s="298"/>
    </row>
    <row r="1465" spans="14:19" hidden="1" x14ac:dyDescent="0.25">
      <c r="N1465" s="17">
        <v>346.09999999998399</v>
      </c>
      <c r="O1465" s="16" t="s">
        <v>3293</v>
      </c>
      <c r="R1465" s="6"/>
      <c r="S1465" s="298"/>
    </row>
    <row r="1466" spans="14:19" hidden="1" x14ac:dyDescent="0.25">
      <c r="N1466" s="17">
        <v>346.19999999998402</v>
      </c>
      <c r="O1466" s="16" t="s">
        <v>3294</v>
      </c>
      <c r="R1466" s="6"/>
      <c r="S1466" s="298"/>
    </row>
    <row r="1467" spans="14:19" hidden="1" x14ac:dyDescent="0.25">
      <c r="N1467" s="17">
        <v>346.29999999998398</v>
      </c>
      <c r="O1467" s="16" t="s">
        <v>3295</v>
      </c>
      <c r="R1467" s="6"/>
      <c r="S1467" s="298"/>
    </row>
    <row r="1468" spans="14:19" hidden="1" x14ac:dyDescent="0.25">
      <c r="N1468" s="17">
        <v>346.399999999984</v>
      </c>
      <c r="O1468" s="16" t="s">
        <v>3296</v>
      </c>
      <c r="R1468" s="6"/>
      <c r="S1468" s="298"/>
    </row>
    <row r="1469" spans="14:19" hidden="1" x14ac:dyDescent="0.25">
      <c r="N1469" s="17">
        <v>346.49999999998403</v>
      </c>
      <c r="O1469" s="16" t="s">
        <v>3297</v>
      </c>
      <c r="R1469" s="6"/>
      <c r="S1469" s="298"/>
    </row>
    <row r="1470" spans="14:19" hidden="1" x14ac:dyDescent="0.25">
      <c r="N1470" s="17">
        <v>346.59999999998399</v>
      </c>
      <c r="O1470" s="16" t="s">
        <v>3298</v>
      </c>
      <c r="R1470" s="6"/>
      <c r="S1470" s="298"/>
    </row>
    <row r="1471" spans="14:19" hidden="1" x14ac:dyDescent="0.25">
      <c r="N1471" s="17">
        <v>346.69999999998402</v>
      </c>
      <c r="O1471" s="16" t="s">
        <v>3299</v>
      </c>
      <c r="R1471" s="6"/>
      <c r="S1471" s="298"/>
    </row>
    <row r="1472" spans="14:19" hidden="1" x14ac:dyDescent="0.25">
      <c r="N1472" s="17">
        <v>346.79999999998398</v>
      </c>
      <c r="O1472" s="16" t="s">
        <v>3300</v>
      </c>
      <c r="R1472" s="6"/>
      <c r="S1472" s="298"/>
    </row>
    <row r="1473" spans="14:19" hidden="1" x14ac:dyDescent="0.25">
      <c r="N1473" s="17">
        <v>346.899999999984</v>
      </c>
      <c r="O1473" s="16" t="s">
        <v>3301</v>
      </c>
      <c r="R1473" s="6"/>
      <c r="S1473" s="298"/>
    </row>
    <row r="1474" spans="14:19" hidden="1" x14ac:dyDescent="0.25">
      <c r="N1474" s="17">
        <v>346.99999999998403</v>
      </c>
      <c r="O1474" s="16" t="s">
        <v>3302</v>
      </c>
      <c r="R1474" s="6"/>
      <c r="S1474" s="298"/>
    </row>
    <row r="1475" spans="14:19" hidden="1" x14ac:dyDescent="0.25">
      <c r="N1475" s="17">
        <v>347.09999999998399</v>
      </c>
      <c r="O1475" s="16" t="s">
        <v>1037</v>
      </c>
      <c r="R1475" s="6"/>
      <c r="S1475" s="298"/>
    </row>
    <row r="1476" spans="14:19" hidden="1" x14ac:dyDescent="0.25">
      <c r="N1476" s="17">
        <v>347.19999999998402</v>
      </c>
      <c r="O1476" s="16" t="s">
        <v>1038</v>
      </c>
      <c r="R1476" s="6"/>
      <c r="S1476" s="298"/>
    </row>
    <row r="1477" spans="14:19" hidden="1" x14ac:dyDescent="0.25">
      <c r="N1477" s="17">
        <v>347.29999999998398</v>
      </c>
      <c r="O1477" s="16" t="s">
        <v>1039</v>
      </c>
      <c r="R1477" s="6"/>
      <c r="S1477" s="298"/>
    </row>
    <row r="1478" spans="14:19" hidden="1" x14ac:dyDescent="0.25">
      <c r="N1478" s="17">
        <v>347.399999999984</v>
      </c>
      <c r="O1478" s="16" t="s">
        <v>1040</v>
      </c>
      <c r="R1478" s="6"/>
      <c r="S1478" s="298"/>
    </row>
    <row r="1479" spans="14:19" hidden="1" x14ac:dyDescent="0.25">
      <c r="N1479" s="17">
        <v>347.49999999998403</v>
      </c>
      <c r="O1479" s="16" t="s">
        <v>1041</v>
      </c>
      <c r="R1479" s="6"/>
      <c r="S1479" s="298"/>
    </row>
    <row r="1480" spans="14:19" hidden="1" x14ac:dyDescent="0.25">
      <c r="N1480" s="17">
        <v>347.59999999998399</v>
      </c>
      <c r="O1480" s="16" t="s">
        <v>1042</v>
      </c>
      <c r="R1480" s="6"/>
      <c r="S1480" s="298"/>
    </row>
    <row r="1481" spans="14:19" hidden="1" x14ac:dyDescent="0.25">
      <c r="N1481" s="17">
        <v>347.69999999998402</v>
      </c>
      <c r="O1481" s="16" t="s">
        <v>1043</v>
      </c>
      <c r="R1481" s="6"/>
      <c r="S1481" s="298"/>
    </row>
    <row r="1482" spans="14:19" hidden="1" x14ac:dyDescent="0.25">
      <c r="N1482" s="17">
        <v>347.79999999998398</v>
      </c>
      <c r="O1482" s="16" t="s">
        <v>1044</v>
      </c>
      <c r="R1482" s="6"/>
      <c r="S1482" s="298"/>
    </row>
    <row r="1483" spans="14:19" hidden="1" x14ac:dyDescent="0.25">
      <c r="N1483" s="17">
        <v>347.899999999984</v>
      </c>
      <c r="O1483" s="16" t="s">
        <v>1045</v>
      </c>
      <c r="R1483" s="6"/>
      <c r="S1483" s="298"/>
    </row>
    <row r="1484" spans="14:19" hidden="1" x14ac:dyDescent="0.25">
      <c r="N1484" s="17">
        <v>347.99999999998403</v>
      </c>
      <c r="O1484" s="16" t="s">
        <v>1046</v>
      </c>
      <c r="R1484" s="6"/>
      <c r="S1484" s="298"/>
    </row>
    <row r="1485" spans="14:19" hidden="1" x14ac:dyDescent="0.25">
      <c r="N1485" s="17">
        <v>348.09999999998399</v>
      </c>
      <c r="O1485" s="16" t="s">
        <v>1047</v>
      </c>
      <c r="R1485" s="6"/>
      <c r="S1485" s="298"/>
    </row>
    <row r="1486" spans="14:19" hidden="1" x14ac:dyDescent="0.25">
      <c r="N1486" s="17">
        <v>348.19999999998402</v>
      </c>
      <c r="O1486" s="16" t="s">
        <v>1048</v>
      </c>
      <c r="R1486" s="6"/>
      <c r="S1486" s="298"/>
    </row>
    <row r="1487" spans="14:19" hidden="1" x14ac:dyDescent="0.25">
      <c r="N1487" s="17">
        <v>348.29999999998398</v>
      </c>
      <c r="O1487" s="16" t="s">
        <v>1049</v>
      </c>
      <c r="R1487" s="6"/>
      <c r="S1487" s="298"/>
    </row>
    <row r="1488" spans="14:19" hidden="1" x14ac:dyDescent="0.25">
      <c r="N1488" s="17">
        <v>348.39999999998298</v>
      </c>
      <c r="O1488" s="16" t="s">
        <v>1050</v>
      </c>
      <c r="R1488" s="6"/>
      <c r="S1488" s="298"/>
    </row>
    <row r="1489" spans="14:19" hidden="1" x14ac:dyDescent="0.25">
      <c r="N1489" s="17">
        <v>348.49999999998403</v>
      </c>
      <c r="O1489" s="16" t="s">
        <v>1051</v>
      </c>
      <c r="R1489" s="6"/>
      <c r="S1489" s="298"/>
    </row>
    <row r="1490" spans="14:19" hidden="1" x14ac:dyDescent="0.25">
      <c r="N1490" s="17">
        <v>348.59999999998399</v>
      </c>
      <c r="O1490" s="16" t="s">
        <v>1052</v>
      </c>
      <c r="R1490" s="6"/>
      <c r="S1490" s="298"/>
    </row>
    <row r="1491" spans="14:19" hidden="1" x14ac:dyDescent="0.25">
      <c r="N1491" s="17">
        <v>348.69999999998299</v>
      </c>
      <c r="O1491" s="16" t="s">
        <v>1053</v>
      </c>
      <c r="R1491" s="6"/>
      <c r="S1491" s="298"/>
    </row>
    <row r="1492" spans="14:19" hidden="1" x14ac:dyDescent="0.25">
      <c r="N1492" s="17">
        <v>348.79999999998302</v>
      </c>
      <c r="O1492" s="16" t="s">
        <v>1054</v>
      </c>
      <c r="R1492" s="6"/>
      <c r="S1492" s="298"/>
    </row>
    <row r="1493" spans="14:19" hidden="1" x14ac:dyDescent="0.25">
      <c r="N1493" s="17">
        <v>348.89999999998298</v>
      </c>
      <c r="O1493" s="16" t="s">
        <v>1055</v>
      </c>
      <c r="R1493" s="6"/>
      <c r="S1493" s="298"/>
    </row>
    <row r="1494" spans="14:19" hidden="1" x14ac:dyDescent="0.25">
      <c r="N1494" s="17">
        <v>348.999999999983</v>
      </c>
      <c r="O1494" s="16" t="s">
        <v>1056</v>
      </c>
      <c r="R1494" s="6"/>
      <c r="S1494" s="298"/>
    </row>
    <row r="1495" spans="14:19" hidden="1" x14ac:dyDescent="0.25">
      <c r="N1495" s="17">
        <v>349.09999999998303</v>
      </c>
      <c r="O1495" s="16" t="s">
        <v>1057</v>
      </c>
      <c r="R1495" s="6"/>
      <c r="S1495" s="298"/>
    </row>
    <row r="1496" spans="14:19" hidden="1" x14ac:dyDescent="0.25">
      <c r="N1496" s="17">
        <v>349.19999999998299</v>
      </c>
      <c r="O1496" s="16" t="s">
        <v>1058</v>
      </c>
      <c r="R1496" s="6"/>
      <c r="S1496" s="298"/>
    </row>
    <row r="1497" spans="14:19" hidden="1" x14ac:dyDescent="0.25">
      <c r="N1497" s="17">
        <v>349.29999999998302</v>
      </c>
      <c r="O1497" s="16" t="s">
        <v>1059</v>
      </c>
      <c r="R1497" s="6"/>
      <c r="S1497" s="298"/>
    </row>
    <row r="1498" spans="14:19" hidden="1" x14ac:dyDescent="0.25">
      <c r="N1498" s="17">
        <v>349.39999999998298</v>
      </c>
      <c r="O1498" s="16" t="s">
        <v>1060</v>
      </c>
      <c r="R1498" s="6"/>
      <c r="S1498" s="298"/>
    </row>
    <row r="1499" spans="14:19" hidden="1" x14ac:dyDescent="0.25">
      <c r="N1499" s="17">
        <v>349.499999999983</v>
      </c>
      <c r="O1499" s="16" t="s">
        <v>1061</v>
      </c>
      <c r="R1499" s="6"/>
      <c r="S1499" s="298"/>
    </row>
    <row r="1500" spans="14:19" hidden="1" x14ac:dyDescent="0.25">
      <c r="N1500" s="17">
        <v>349.59999999998303</v>
      </c>
      <c r="O1500" s="16" t="s">
        <v>1062</v>
      </c>
      <c r="R1500" s="6"/>
      <c r="S1500" s="298"/>
    </row>
    <row r="1501" spans="14:19" hidden="1" x14ac:dyDescent="0.25">
      <c r="N1501" s="17">
        <v>349.69999999998299</v>
      </c>
      <c r="O1501" s="16" t="s">
        <v>1063</v>
      </c>
      <c r="R1501" s="6"/>
      <c r="S1501" s="298"/>
    </row>
    <row r="1502" spans="14:19" hidden="1" x14ac:dyDescent="0.25">
      <c r="N1502" s="17">
        <v>349.79999999998302</v>
      </c>
      <c r="O1502" s="16" t="s">
        <v>1064</v>
      </c>
      <c r="R1502" s="6"/>
      <c r="S1502" s="298"/>
    </row>
    <row r="1503" spans="14:19" hidden="1" x14ac:dyDescent="0.25">
      <c r="N1503" s="17">
        <v>349.89999999998298</v>
      </c>
      <c r="O1503" s="16" t="s">
        <v>1065</v>
      </c>
      <c r="R1503" s="6"/>
      <c r="S1503" s="298"/>
    </row>
    <row r="1504" spans="14:19" hidden="1" x14ac:dyDescent="0.25">
      <c r="N1504" s="17">
        <v>349.999999999983</v>
      </c>
      <c r="O1504" s="16" t="s">
        <v>1066</v>
      </c>
      <c r="R1504" s="6"/>
      <c r="S1504" s="298"/>
    </row>
    <row r="1505" spans="14:19" hidden="1" x14ac:dyDescent="0.25">
      <c r="N1505" s="17">
        <v>350.09999999998303</v>
      </c>
      <c r="O1505" s="16" t="s">
        <v>1067</v>
      </c>
      <c r="R1505" s="6"/>
      <c r="S1505" s="298"/>
    </row>
    <row r="1506" spans="14:19" hidden="1" x14ac:dyDescent="0.25">
      <c r="N1506" s="17">
        <v>350.19999999998299</v>
      </c>
      <c r="O1506" s="16" t="s">
        <v>1068</v>
      </c>
      <c r="R1506" s="6"/>
      <c r="S1506" s="298"/>
    </row>
    <row r="1507" spans="14:19" hidden="1" x14ac:dyDescent="0.25">
      <c r="N1507" s="17">
        <v>350.29999999998302</v>
      </c>
      <c r="O1507" s="16" t="s">
        <v>1069</v>
      </c>
      <c r="R1507" s="6"/>
      <c r="S1507" s="298"/>
    </row>
    <row r="1508" spans="14:19" hidden="1" x14ac:dyDescent="0.25">
      <c r="N1508" s="17">
        <v>350.39999999998298</v>
      </c>
      <c r="O1508" s="16" t="s">
        <v>1070</v>
      </c>
      <c r="R1508" s="6"/>
      <c r="S1508" s="298"/>
    </row>
    <row r="1509" spans="14:19" hidden="1" x14ac:dyDescent="0.25">
      <c r="N1509" s="17">
        <v>350.499999999983</v>
      </c>
      <c r="O1509" s="16" t="s">
        <v>1071</v>
      </c>
      <c r="R1509" s="6"/>
      <c r="S1509" s="298"/>
    </row>
    <row r="1510" spans="14:19" hidden="1" x14ac:dyDescent="0.25">
      <c r="N1510" s="17">
        <v>350.59999999998303</v>
      </c>
      <c r="O1510" s="16" t="s">
        <v>3561</v>
      </c>
      <c r="R1510" s="6"/>
      <c r="S1510" s="298"/>
    </row>
    <row r="1511" spans="14:19" hidden="1" x14ac:dyDescent="0.25">
      <c r="N1511" s="17">
        <v>350.69999999998299</v>
      </c>
      <c r="O1511" s="16" t="s">
        <v>3562</v>
      </c>
      <c r="R1511" s="6"/>
      <c r="S1511" s="298"/>
    </row>
    <row r="1512" spans="14:19" hidden="1" x14ac:dyDescent="0.25">
      <c r="N1512" s="17">
        <v>350.79999999998302</v>
      </c>
      <c r="O1512" s="16" t="s">
        <v>3563</v>
      </c>
      <c r="R1512" s="6"/>
      <c r="S1512" s="298"/>
    </row>
    <row r="1513" spans="14:19" hidden="1" x14ac:dyDescent="0.25">
      <c r="N1513" s="17">
        <v>350.89999999998298</v>
      </c>
      <c r="O1513" s="16" t="s">
        <v>3564</v>
      </c>
      <c r="R1513" s="6"/>
      <c r="S1513" s="298"/>
    </row>
    <row r="1514" spans="14:19" hidden="1" x14ac:dyDescent="0.25">
      <c r="N1514" s="17">
        <v>350.999999999983</v>
      </c>
      <c r="O1514" s="16" t="s">
        <v>3565</v>
      </c>
      <c r="R1514" s="6"/>
      <c r="S1514" s="298"/>
    </row>
    <row r="1515" spans="14:19" hidden="1" x14ac:dyDescent="0.25">
      <c r="N1515" s="17">
        <v>351.09999999998303</v>
      </c>
      <c r="O1515" s="16" t="s">
        <v>5685</v>
      </c>
      <c r="R1515" s="6"/>
      <c r="S1515" s="298"/>
    </row>
    <row r="1516" spans="14:19" hidden="1" x14ac:dyDescent="0.25">
      <c r="N1516" s="17">
        <v>351.19999999998299</v>
      </c>
      <c r="O1516" s="16" t="s">
        <v>156</v>
      </c>
      <c r="R1516" s="6"/>
      <c r="S1516" s="298"/>
    </row>
    <row r="1517" spans="14:19" hidden="1" x14ac:dyDescent="0.25">
      <c r="N1517" s="17">
        <v>351.29999999998302</v>
      </c>
      <c r="O1517" s="16" t="s">
        <v>157</v>
      </c>
      <c r="R1517" s="6"/>
      <c r="S1517" s="298"/>
    </row>
    <row r="1518" spans="14:19" hidden="1" x14ac:dyDescent="0.25">
      <c r="N1518" s="17">
        <v>351.39999999998298</v>
      </c>
      <c r="O1518" s="16" t="s">
        <v>158</v>
      </c>
      <c r="R1518" s="6"/>
      <c r="S1518" s="298"/>
    </row>
    <row r="1519" spans="14:19" hidden="1" x14ac:dyDescent="0.25">
      <c r="N1519" s="17">
        <v>351.49999999998198</v>
      </c>
      <c r="O1519" s="16" t="s">
        <v>159</v>
      </c>
      <c r="R1519" s="6"/>
      <c r="S1519" s="298"/>
    </row>
    <row r="1520" spans="14:19" hidden="1" x14ac:dyDescent="0.25">
      <c r="N1520" s="17">
        <v>351.599999999982</v>
      </c>
      <c r="O1520" s="16" t="s">
        <v>160</v>
      </c>
      <c r="R1520" s="6"/>
      <c r="S1520" s="298"/>
    </row>
    <row r="1521" spans="14:19" hidden="1" x14ac:dyDescent="0.25">
      <c r="N1521" s="17">
        <v>351.69999999998203</v>
      </c>
      <c r="O1521" s="16" t="s">
        <v>161</v>
      </c>
      <c r="R1521" s="6"/>
      <c r="S1521" s="298"/>
    </row>
    <row r="1522" spans="14:19" hidden="1" x14ac:dyDescent="0.25">
      <c r="N1522" s="17">
        <v>351.79999999998199</v>
      </c>
      <c r="O1522" s="16" t="s">
        <v>5688</v>
      </c>
      <c r="R1522" s="6"/>
      <c r="S1522" s="298"/>
    </row>
    <row r="1523" spans="14:19" hidden="1" x14ac:dyDescent="0.25">
      <c r="N1523" s="17">
        <v>351.89999999998201</v>
      </c>
      <c r="O1523" s="16" t="s">
        <v>5689</v>
      </c>
      <c r="R1523" s="6"/>
      <c r="S1523" s="298"/>
    </row>
    <row r="1524" spans="14:19" hidden="1" x14ac:dyDescent="0.25">
      <c r="N1524" s="17">
        <v>351.99999999998198</v>
      </c>
      <c r="O1524" s="16" t="s">
        <v>5690</v>
      </c>
      <c r="R1524" s="6"/>
      <c r="S1524" s="298"/>
    </row>
    <row r="1525" spans="14:19" hidden="1" x14ac:dyDescent="0.25">
      <c r="N1525" s="17">
        <v>352.099999999982</v>
      </c>
      <c r="O1525" s="16" t="s">
        <v>5691</v>
      </c>
      <c r="R1525" s="6"/>
      <c r="S1525" s="298"/>
    </row>
    <row r="1526" spans="14:19" hidden="1" x14ac:dyDescent="0.25">
      <c r="N1526" s="17">
        <v>352.19999999998203</v>
      </c>
      <c r="O1526" s="16" t="s">
        <v>5692</v>
      </c>
      <c r="R1526" s="6"/>
      <c r="S1526" s="298"/>
    </row>
    <row r="1527" spans="14:19" hidden="1" x14ac:dyDescent="0.25">
      <c r="N1527" s="17">
        <v>352.29999999998199</v>
      </c>
      <c r="O1527" s="16" t="s">
        <v>5693</v>
      </c>
      <c r="R1527" s="6"/>
      <c r="S1527" s="298"/>
    </row>
    <row r="1528" spans="14:19" hidden="1" x14ac:dyDescent="0.25">
      <c r="N1528" s="17">
        <v>352.39999999998201</v>
      </c>
      <c r="O1528" s="16" t="s">
        <v>5694</v>
      </c>
      <c r="R1528" s="6"/>
      <c r="S1528" s="298"/>
    </row>
    <row r="1529" spans="14:19" hidden="1" x14ac:dyDescent="0.25">
      <c r="N1529" s="17">
        <v>352.49999999998198</v>
      </c>
      <c r="O1529" s="16" t="s">
        <v>5695</v>
      </c>
      <c r="R1529" s="6"/>
      <c r="S1529" s="298"/>
    </row>
    <row r="1530" spans="14:19" hidden="1" x14ac:dyDescent="0.25">
      <c r="N1530" s="17">
        <v>352.599999999982</v>
      </c>
      <c r="O1530" s="16" t="s">
        <v>5696</v>
      </c>
      <c r="R1530" s="6"/>
      <c r="S1530" s="298"/>
    </row>
    <row r="1531" spans="14:19" hidden="1" x14ac:dyDescent="0.25">
      <c r="N1531" s="17">
        <v>352.69999999998203</v>
      </c>
      <c r="O1531" s="16" t="s">
        <v>5697</v>
      </c>
      <c r="R1531" s="6"/>
      <c r="S1531" s="298"/>
    </row>
    <row r="1532" spans="14:19" hidden="1" x14ac:dyDescent="0.25">
      <c r="N1532" s="17">
        <v>352.79999999998199</v>
      </c>
      <c r="O1532" s="16" t="s">
        <v>5698</v>
      </c>
      <c r="R1532" s="6"/>
      <c r="S1532" s="298"/>
    </row>
    <row r="1533" spans="14:19" hidden="1" x14ac:dyDescent="0.25">
      <c r="N1533" s="17">
        <v>352.89999999998201</v>
      </c>
      <c r="O1533" s="16" t="s">
        <v>5699</v>
      </c>
      <c r="R1533" s="6"/>
      <c r="S1533" s="298"/>
    </row>
    <row r="1534" spans="14:19" hidden="1" x14ac:dyDescent="0.25">
      <c r="N1534" s="17">
        <v>352.99999999998198</v>
      </c>
      <c r="O1534" s="16" t="s">
        <v>3578</v>
      </c>
      <c r="R1534" s="6"/>
      <c r="S1534" s="298"/>
    </row>
    <row r="1535" spans="14:19" hidden="1" x14ac:dyDescent="0.25">
      <c r="N1535" s="17">
        <v>353.099999999982</v>
      </c>
      <c r="O1535" s="16" t="s">
        <v>3579</v>
      </c>
      <c r="R1535" s="6"/>
      <c r="S1535" s="298"/>
    </row>
    <row r="1536" spans="14:19" hidden="1" x14ac:dyDescent="0.25">
      <c r="N1536" s="17">
        <v>353.19999999998203</v>
      </c>
      <c r="O1536" s="16" t="s">
        <v>3580</v>
      </c>
      <c r="R1536" s="6"/>
      <c r="S1536" s="298"/>
    </row>
    <row r="1537" spans="14:19" hidden="1" x14ac:dyDescent="0.25">
      <c r="N1537" s="17">
        <v>353.29999999998199</v>
      </c>
      <c r="O1537" s="16" t="s">
        <v>3581</v>
      </c>
      <c r="R1537" s="6"/>
      <c r="S1537" s="298"/>
    </row>
    <row r="1538" spans="14:19" hidden="1" x14ac:dyDescent="0.25">
      <c r="N1538" s="17">
        <v>353.39999999998201</v>
      </c>
      <c r="O1538" s="16" t="s">
        <v>3582</v>
      </c>
      <c r="R1538" s="6"/>
      <c r="S1538" s="298"/>
    </row>
    <row r="1539" spans="14:19" hidden="1" x14ac:dyDescent="0.25">
      <c r="N1539" s="17">
        <v>353.49999999998198</v>
      </c>
      <c r="O1539" s="16" t="s">
        <v>3583</v>
      </c>
      <c r="R1539" s="6"/>
      <c r="S1539" s="298"/>
    </row>
    <row r="1540" spans="14:19" hidden="1" x14ac:dyDescent="0.25">
      <c r="N1540" s="17">
        <v>353.599999999982</v>
      </c>
      <c r="O1540" s="16" t="s">
        <v>3584</v>
      </c>
      <c r="R1540" s="6"/>
      <c r="S1540" s="298"/>
    </row>
    <row r="1541" spans="14:19" hidden="1" x14ac:dyDescent="0.25">
      <c r="N1541" s="17">
        <v>353.69999999998203</v>
      </c>
      <c r="O1541" s="16" t="s">
        <v>3585</v>
      </c>
      <c r="R1541" s="6"/>
      <c r="S1541" s="298"/>
    </row>
    <row r="1542" spans="14:19" hidden="1" x14ac:dyDescent="0.25">
      <c r="N1542" s="17">
        <v>353.79999999998199</v>
      </c>
      <c r="O1542" s="16" t="s">
        <v>3586</v>
      </c>
      <c r="R1542" s="6"/>
      <c r="S1542" s="298"/>
    </row>
    <row r="1543" spans="14:19" hidden="1" x14ac:dyDescent="0.25">
      <c r="N1543" s="17">
        <v>353.89999999998201</v>
      </c>
      <c r="O1543" s="16" t="s">
        <v>3574</v>
      </c>
      <c r="R1543" s="6"/>
      <c r="S1543" s="298"/>
    </row>
    <row r="1544" spans="14:19" hidden="1" x14ac:dyDescent="0.25">
      <c r="N1544" s="17">
        <v>353.99999999998198</v>
      </c>
      <c r="O1544" s="16" t="s">
        <v>3575</v>
      </c>
      <c r="R1544" s="6"/>
      <c r="S1544" s="298"/>
    </row>
    <row r="1545" spans="14:19" hidden="1" x14ac:dyDescent="0.25">
      <c r="N1545" s="17">
        <v>354.099999999982</v>
      </c>
      <c r="O1545" s="16" t="s">
        <v>3576</v>
      </c>
      <c r="R1545" s="6"/>
      <c r="S1545" s="298"/>
    </row>
    <row r="1546" spans="14:19" hidden="1" x14ac:dyDescent="0.25">
      <c r="N1546" s="17">
        <v>354.19999999998203</v>
      </c>
      <c r="O1546" s="16" t="s">
        <v>3577</v>
      </c>
      <c r="R1546" s="6"/>
      <c r="S1546" s="298"/>
    </row>
    <row r="1547" spans="14:19" hidden="1" x14ac:dyDescent="0.25">
      <c r="N1547" s="17">
        <v>354.29999999998199</v>
      </c>
      <c r="O1547" s="16" t="s">
        <v>1077</v>
      </c>
      <c r="R1547" s="6"/>
      <c r="S1547" s="298"/>
    </row>
    <row r="1548" spans="14:19" hidden="1" x14ac:dyDescent="0.25">
      <c r="N1548" s="17">
        <v>354.39999999998201</v>
      </c>
      <c r="O1548" s="16" t="s">
        <v>1078</v>
      </c>
      <c r="R1548" s="6"/>
      <c r="S1548" s="298"/>
    </row>
    <row r="1549" spans="14:19" hidden="1" x14ac:dyDescent="0.25">
      <c r="N1549" s="17">
        <v>354.49999999998101</v>
      </c>
      <c r="O1549" s="16" t="s">
        <v>1079</v>
      </c>
      <c r="R1549" s="6"/>
      <c r="S1549" s="298"/>
    </row>
    <row r="1550" spans="14:19" hidden="1" x14ac:dyDescent="0.25">
      <c r="N1550" s="17">
        <v>354.59999999998098</v>
      </c>
      <c r="O1550" s="16" t="s">
        <v>1080</v>
      </c>
      <c r="R1550" s="6"/>
      <c r="S1550" s="298"/>
    </row>
    <row r="1551" spans="14:19" hidden="1" x14ac:dyDescent="0.25">
      <c r="N1551" s="17">
        <v>354.699999999981</v>
      </c>
      <c r="O1551" s="16" t="s">
        <v>1081</v>
      </c>
      <c r="R1551" s="6"/>
      <c r="S1551" s="298"/>
    </row>
    <row r="1552" spans="14:19" hidden="1" x14ac:dyDescent="0.25">
      <c r="N1552" s="17">
        <v>354.79999999998103</v>
      </c>
      <c r="O1552" s="16" t="s">
        <v>1082</v>
      </c>
      <c r="R1552" s="6"/>
      <c r="S1552" s="298"/>
    </row>
    <row r="1553" spans="14:19" hidden="1" x14ac:dyDescent="0.25">
      <c r="N1553" s="17">
        <v>354.89999999998099</v>
      </c>
      <c r="O1553" s="16" t="s">
        <v>1083</v>
      </c>
      <c r="R1553" s="6"/>
      <c r="S1553" s="298"/>
    </row>
    <row r="1554" spans="14:19" hidden="1" x14ac:dyDescent="0.25">
      <c r="N1554" s="17">
        <v>354.99999999998101</v>
      </c>
      <c r="O1554" s="16" t="s">
        <v>1084</v>
      </c>
      <c r="R1554" s="6"/>
      <c r="S1554" s="298"/>
    </row>
    <row r="1555" spans="14:19" hidden="1" x14ac:dyDescent="0.25">
      <c r="N1555" s="17">
        <v>355.09999999998098</v>
      </c>
      <c r="O1555" s="16" t="s">
        <v>1085</v>
      </c>
      <c r="R1555" s="6"/>
      <c r="S1555" s="298"/>
    </row>
    <row r="1556" spans="14:19" hidden="1" x14ac:dyDescent="0.25">
      <c r="N1556" s="17">
        <v>355.199999999981</v>
      </c>
      <c r="O1556" s="16" t="s">
        <v>1086</v>
      </c>
      <c r="R1556" s="6"/>
      <c r="S1556" s="298"/>
    </row>
    <row r="1557" spans="14:19" hidden="1" x14ac:dyDescent="0.25">
      <c r="N1557" s="17">
        <v>355.29999999998103</v>
      </c>
      <c r="O1557" s="16" t="s">
        <v>1087</v>
      </c>
      <c r="R1557" s="6"/>
      <c r="S1557" s="298"/>
    </row>
    <row r="1558" spans="14:19" hidden="1" x14ac:dyDescent="0.25">
      <c r="N1558" s="17">
        <v>355.39999999998099</v>
      </c>
      <c r="O1558" s="16" t="s">
        <v>1088</v>
      </c>
      <c r="R1558" s="6"/>
      <c r="S1558" s="298"/>
    </row>
    <row r="1559" spans="14:19" hidden="1" x14ac:dyDescent="0.25">
      <c r="N1559" s="17">
        <v>355.49999999998101</v>
      </c>
      <c r="O1559" s="16" t="s">
        <v>1089</v>
      </c>
      <c r="R1559" s="6"/>
      <c r="S1559" s="298"/>
    </row>
    <row r="1560" spans="14:19" hidden="1" x14ac:dyDescent="0.25">
      <c r="N1560" s="17">
        <v>355.59999999998098</v>
      </c>
      <c r="O1560" s="16" t="s">
        <v>1090</v>
      </c>
      <c r="R1560" s="6"/>
      <c r="S1560" s="298"/>
    </row>
    <row r="1561" spans="14:19" hidden="1" x14ac:dyDescent="0.25">
      <c r="N1561" s="17">
        <v>355.699999999981</v>
      </c>
      <c r="O1561" s="16" t="s">
        <v>1091</v>
      </c>
      <c r="R1561" s="6"/>
      <c r="S1561" s="298"/>
    </row>
    <row r="1562" spans="14:19" hidden="1" x14ac:dyDescent="0.25">
      <c r="N1562" s="17">
        <v>355.79999999998103</v>
      </c>
      <c r="O1562" s="16" t="s">
        <v>1092</v>
      </c>
      <c r="R1562" s="6"/>
      <c r="S1562" s="298"/>
    </row>
    <row r="1563" spans="14:19" hidden="1" x14ac:dyDescent="0.25">
      <c r="N1563" s="17">
        <v>355.89999999998099</v>
      </c>
      <c r="O1563" s="16" t="s">
        <v>1093</v>
      </c>
      <c r="R1563" s="6"/>
      <c r="S1563" s="298"/>
    </row>
    <row r="1564" spans="14:19" hidden="1" x14ac:dyDescent="0.25">
      <c r="N1564" s="17">
        <v>355.99999999998101</v>
      </c>
      <c r="O1564" s="16" t="s">
        <v>1094</v>
      </c>
      <c r="R1564" s="6"/>
      <c r="S1564" s="298"/>
    </row>
    <row r="1565" spans="14:19" hidden="1" x14ac:dyDescent="0.25">
      <c r="N1565" s="17">
        <v>356.09999999998098</v>
      </c>
      <c r="O1565" s="16" t="s">
        <v>1095</v>
      </c>
      <c r="R1565" s="6"/>
      <c r="S1565" s="298"/>
    </row>
    <row r="1566" spans="14:19" hidden="1" x14ac:dyDescent="0.25">
      <c r="N1566" s="17">
        <v>356.199999999981</v>
      </c>
      <c r="O1566" s="16" t="s">
        <v>1096</v>
      </c>
      <c r="R1566" s="6"/>
      <c r="S1566" s="298"/>
    </row>
    <row r="1567" spans="14:19" hidden="1" x14ac:dyDescent="0.25">
      <c r="N1567" s="17">
        <v>356.29999999998103</v>
      </c>
      <c r="O1567" s="16" t="s">
        <v>1097</v>
      </c>
      <c r="R1567" s="6"/>
      <c r="S1567" s="298"/>
    </row>
    <row r="1568" spans="14:19" hidden="1" x14ac:dyDescent="0.25">
      <c r="N1568" s="17">
        <v>356.39999999998099</v>
      </c>
      <c r="O1568" s="16" t="s">
        <v>1098</v>
      </c>
      <c r="R1568" s="6"/>
      <c r="S1568" s="298"/>
    </row>
    <row r="1569" spans="14:19" hidden="1" x14ac:dyDescent="0.25">
      <c r="N1569" s="17">
        <v>356.49999999998101</v>
      </c>
      <c r="O1569" s="16" t="s">
        <v>1099</v>
      </c>
      <c r="R1569" s="6"/>
      <c r="S1569" s="298"/>
    </row>
    <row r="1570" spans="14:19" hidden="1" x14ac:dyDescent="0.25">
      <c r="N1570" s="17">
        <v>356.59999999998098</v>
      </c>
      <c r="O1570" s="16" t="s">
        <v>1100</v>
      </c>
      <c r="R1570" s="6"/>
      <c r="S1570" s="298"/>
    </row>
    <row r="1571" spans="14:19" hidden="1" x14ac:dyDescent="0.25">
      <c r="N1571" s="17">
        <v>356.699999999981</v>
      </c>
      <c r="O1571" s="16" t="s">
        <v>1101</v>
      </c>
      <c r="R1571" s="6"/>
      <c r="S1571" s="298"/>
    </row>
    <row r="1572" spans="14:19" hidden="1" x14ac:dyDescent="0.25">
      <c r="N1572" s="17">
        <v>356.79999999998103</v>
      </c>
      <c r="O1572" s="16" t="s">
        <v>1102</v>
      </c>
      <c r="R1572" s="6"/>
      <c r="S1572" s="298"/>
    </row>
    <row r="1573" spans="14:19" hidden="1" x14ac:dyDescent="0.25">
      <c r="N1573" s="17">
        <v>356.89999999998099</v>
      </c>
      <c r="O1573" s="16" t="s">
        <v>1103</v>
      </c>
      <c r="R1573" s="6"/>
      <c r="S1573" s="298"/>
    </row>
    <row r="1574" spans="14:19" hidden="1" x14ac:dyDescent="0.25">
      <c r="N1574" s="17">
        <v>356.99999999998101</v>
      </c>
      <c r="O1574" s="16" t="s">
        <v>1104</v>
      </c>
      <c r="R1574" s="6"/>
      <c r="S1574" s="298"/>
    </row>
    <row r="1575" spans="14:19" hidden="1" x14ac:dyDescent="0.25">
      <c r="N1575" s="17">
        <v>357.09999999998098</v>
      </c>
      <c r="O1575" s="16" t="s">
        <v>1105</v>
      </c>
      <c r="R1575" s="6"/>
      <c r="S1575" s="298"/>
    </row>
    <row r="1576" spans="14:19" hidden="1" x14ac:dyDescent="0.25">
      <c r="N1576" s="17">
        <v>357.19999999997998</v>
      </c>
      <c r="O1576" s="16" t="s">
        <v>1106</v>
      </c>
      <c r="R1576" s="6"/>
      <c r="S1576" s="298"/>
    </row>
    <row r="1577" spans="14:19" hidden="1" x14ac:dyDescent="0.25">
      <c r="N1577" s="17">
        <v>357.29999999998103</v>
      </c>
      <c r="O1577" s="16" t="s">
        <v>1107</v>
      </c>
      <c r="R1577" s="6"/>
      <c r="S1577" s="298"/>
    </row>
    <row r="1578" spans="14:19" hidden="1" x14ac:dyDescent="0.25">
      <c r="N1578" s="17">
        <v>357.39999999998099</v>
      </c>
      <c r="O1578" s="16" t="s">
        <v>1108</v>
      </c>
      <c r="R1578" s="6"/>
      <c r="S1578" s="298"/>
    </row>
    <row r="1579" spans="14:19" hidden="1" x14ac:dyDescent="0.25">
      <c r="N1579" s="17">
        <v>357.49999999997999</v>
      </c>
      <c r="O1579" s="16" t="s">
        <v>1109</v>
      </c>
      <c r="R1579" s="6"/>
      <c r="S1579" s="298"/>
    </row>
    <row r="1580" spans="14:19" hidden="1" x14ac:dyDescent="0.25">
      <c r="N1580" s="17">
        <v>357.59999999998001</v>
      </c>
      <c r="O1580" s="16" t="s">
        <v>1110</v>
      </c>
      <c r="R1580" s="6"/>
      <c r="S1580" s="298"/>
    </row>
    <row r="1581" spans="14:19" hidden="1" x14ac:dyDescent="0.25">
      <c r="N1581" s="17">
        <v>357.69999999997998</v>
      </c>
      <c r="O1581" s="16" t="s">
        <v>1111</v>
      </c>
      <c r="R1581" s="6"/>
      <c r="S1581" s="298"/>
    </row>
    <row r="1582" spans="14:19" hidden="1" x14ac:dyDescent="0.25">
      <c r="N1582" s="17">
        <v>357.79999999998</v>
      </c>
      <c r="O1582" s="16" t="s">
        <v>1112</v>
      </c>
      <c r="R1582" s="6"/>
      <c r="S1582" s="298"/>
    </row>
    <row r="1583" spans="14:19" hidden="1" x14ac:dyDescent="0.25">
      <c r="N1583" s="17">
        <v>357.89999999998003</v>
      </c>
      <c r="O1583" s="16" t="s">
        <v>1113</v>
      </c>
      <c r="R1583" s="6"/>
      <c r="S1583" s="298"/>
    </row>
    <row r="1584" spans="14:19" hidden="1" x14ac:dyDescent="0.25">
      <c r="N1584" s="17">
        <v>357.99999999997999</v>
      </c>
      <c r="O1584" s="16" t="s">
        <v>1114</v>
      </c>
      <c r="R1584" s="6"/>
      <c r="S1584" s="298"/>
    </row>
    <row r="1585" spans="14:19" hidden="1" x14ac:dyDescent="0.25">
      <c r="N1585" s="17">
        <v>358.09999999998001</v>
      </c>
      <c r="O1585" s="16" t="s">
        <v>1115</v>
      </c>
      <c r="R1585" s="6"/>
      <c r="S1585" s="298"/>
    </row>
    <row r="1586" spans="14:19" hidden="1" x14ac:dyDescent="0.25">
      <c r="N1586" s="17">
        <v>358.19999999997998</v>
      </c>
      <c r="O1586" s="16" t="s">
        <v>1116</v>
      </c>
      <c r="R1586" s="6"/>
      <c r="S1586" s="298"/>
    </row>
    <row r="1587" spans="14:19" hidden="1" x14ac:dyDescent="0.25">
      <c r="N1587" s="17">
        <v>358.29999999998</v>
      </c>
      <c r="O1587" s="16" t="s">
        <v>1117</v>
      </c>
      <c r="R1587" s="6"/>
      <c r="S1587" s="298"/>
    </row>
    <row r="1588" spans="14:19" hidden="1" x14ac:dyDescent="0.25">
      <c r="N1588" s="17">
        <v>358.39999999998003</v>
      </c>
      <c r="O1588" s="16" t="s">
        <v>1118</v>
      </c>
      <c r="R1588" s="6"/>
      <c r="S1588" s="298"/>
    </row>
    <row r="1589" spans="14:19" hidden="1" x14ac:dyDescent="0.25">
      <c r="N1589" s="17">
        <v>358.49999999997999</v>
      </c>
      <c r="O1589" s="16" t="s">
        <v>1119</v>
      </c>
      <c r="R1589" s="6"/>
      <c r="S1589" s="298"/>
    </row>
    <row r="1590" spans="14:19" hidden="1" x14ac:dyDescent="0.25">
      <c r="N1590" s="17">
        <v>358.59999999998001</v>
      </c>
      <c r="O1590" s="16" t="s">
        <v>1120</v>
      </c>
      <c r="R1590" s="6"/>
      <c r="S1590" s="298"/>
    </row>
    <row r="1591" spans="14:19" hidden="1" x14ac:dyDescent="0.25">
      <c r="N1591" s="17">
        <v>358.69999999997998</v>
      </c>
      <c r="O1591" s="16" t="s">
        <v>1121</v>
      </c>
      <c r="R1591" s="6"/>
      <c r="S1591" s="298"/>
    </row>
    <row r="1592" spans="14:19" hidden="1" x14ac:dyDescent="0.25">
      <c r="N1592" s="17">
        <v>358.79999999998</v>
      </c>
      <c r="O1592" s="16" t="s">
        <v>1122</v>
      </c>
      <c r="R1592" s="6"/>
      <c r="S1592" s="298"/>
    </row>
    <row r="1593" spans="14:19" hidden="1" x14ac:dyDescent="0.25">
      <c r="N1593" s="17">
        <v>358.89999999998003</v>
      </c>
      <c r="O1593" s="16" t="s">
        <v>1123</v>
      </c>
      <c r="R1593" s="6"/>
      <c r="S1593" s="298"/>
    </row>
    <row r="1594" spans="14:19" hidden="1" x14ac:dyDescent="0.25">
      <c r="N1594" s="17">
        <v>358.99999999997999</v>
      </c>
      <c r="O1594" s="16" t="s">
        <v>1124</v>
      </c>
      <c r="R1594" s="6"/>
      <c r="S1594" s="298"/>
    </row>
    <row r="1595" spans="14:19" hidden="1" x14ac:dyDescent="0.25">
      <c r="N1595" s="17">
        <v>359.09999999998001</v>
      </c>
      <c r="O1595" s="16" t="s">
        <v>1125</v>
      </c>
      <c r="R1595" s="6"/>
      <c r="S1595" s="298"/>
    </row>
    <row r="1596" spans="14:19" hidden="1" x14ac:dyDescent="0.25">
      <c r="N1596" s="17">
        <v>359.19999999997998</v>
      </c>
      <c r="O1596" s="16" t="s">
        <v>1126</v>
      </c>
      <c r="R1596" s="6"/>
      <c r="S1596" s="298"/>
    </row>
    <row r="1597" spans="14:19" hidden="1" x14ac:dyDescent="0.25">
      <c r="N1597" s="17">
        <v>359.29999999998</v>
      </c>
      <c r="O1597" s="16" t="s">
        <v>1127</v>
      </c>
      <c r="R1597" s="6"/>
      <c r="S1597" s="298"/>
    </row>
    <row r="1598" spans="14:19" hidden="1" x14ac:dyDescent="0.25">
      <c r="N1598" s="17">
        <v>359.39999999998003</v>
      </c>
      <c r="O1598" s="16" t="s">
        <v>1128</v>
      </c>
      <c r="R1598" s="6"/>
      <c r="S1598" s="298"/>
    </row>
    <row r="1599" spans="14:19" hidden="1" x14ac:dyDescent="0.25">
      <c r="N1599" s="17">
        <v>359.49999999997999</v>
      </c>
      <c r="O1599" s="16" t="s">
        <v>1129</v>
      </c>
      <c r="R1599" s="6"/>
      <c r="S1599" s="298"/>
    </row>
    <row r="1600" spans="14:19" hidden="1" x14ac:dyDescent="0.25">
      <c r="N1600" s="17">
        <v>359.59999999998001</v>
      </c>
      <c r="O1600" s="16" t="s">
        <v>1130</v>
      </c>
      <c r="R1600" s="6"/>
      <c r="S1600" s="298"/>
    </row>
    <row r="1601" spans="14:19" hidden="1" x14ac:dyDescent="0.25">
      <c r="N1601" s="17">
        <v>359.69999999997998</v>
      </c>
      <c r="O1601" s="16" t="s">
        <v>1131</v>
      </c>
      <c r="R1601" s="6"/>
      <c r="S1601" s="298"/>
    </row>
    <row r="1602" spans="14:19" hidden="1" x14ac:dyDescent="0.25">
      <c r="N1602" s="17">
        <v>359.79999999998</v>
      </c>
      <c r="O1602" s="16" t="s">
        <v>1122</v>
      </c>
      <c r="R1602" s="6"/>
      <c r="S1602" s="298"/>
    </row>
    <row r="1603" spans="14:19" hidden="1" x14ac:dyDescent="0.25">
      <c r="N1603" s="17">
        <v>359.89999999998003</v>
      </c>
      <c r="O1603" s="16" t="s">
        <v>1123</v>
      </c>
      <c r="R1603" s="6"/>
      <c r="S1603" s="298"/>
    </row>
    <row r="1604" spans="14:19" hidden="1" x14ac:dyDescent="0.25">
      <c r="N1604" s="17">
        <v>359.99999999997999</v>
      </c>
      <c r="O1604" s="16" t="s">
        <v>1132</v>
      </c>
      <c r="R1604" s="6"/>
      <c r="S1604" s="298"/>
    </row>
    <row r="1605" spans="14:19" hidden="1" x14ac:dyDescent="0.25">
      <c r="N1605" s="17">
        <v>360.09999999998001</v>
      </c>
      <c r="O1605" s="16" t="s">
        <v>1133</v>
      </c>
      <c r="R1605" s="6"/>
      <c r="S1605" s="298"/>
    </row>
    <row r="1606" spans="14:19" hidden="1" x14ac:dyDescent="0.25">
      <c r="N1606" s="17">
        <v>360.19999999997998</v>
      </c>
      <c r="O1606" s="16" t="s">
        <v>1134</v>
      </c>
      <c r="R1606" s="6"/>
      <c r="S1606" s="298"/>
    </row>
    <row r="1607" spans="14:19" hidden="1" x14ac:dyDescent="0.25">
      <c r="N1607" s="17">
        <v>360.29999999997898</v>
      </c>
      <c r="O1607" s="16" t="s">
        <v>1135</v>
      </c>
      <c r="R1607" s="6"/>
      <c r="S1607" s="298"/>
    </row>
    <row r="1608" spans="14:19" hidden="1" x14ac:dyDescent="0.25">
      <c r="N1608" s="17">
        <v>360.399999999979</v>
      </c>
      <c r="O1608" s="16" t="s">
        <v>1136</v>
      </c>
      <c r="R1608" s="6"/>
      <c r="S1608" s="298"/>
    </row>
    <row r="1609" spans="14:19" hidden="1" x14ac:dyDescent="0.25">
      <c r="N1609" s="17">
        <v>360.49999999997902</v>
      </c>
      <c r="O1609" s="16" t="s">
        <v>1137</v>
      </c>
      <c r="R1609" s="6"/>
      <c r="S1609" s="298"/>
    </row>
    <row r="1610" spans="14:19" hidden="1" x14ac:dyDescent="0.25">
      <c r="N1610" s="17">
        <v>360.59999999997899</v>
      </c>
      <c r="O1610" s="16" t="s">
        <v>1138</v>
      </c>
      <c r="R1610" s="6"/>
      <c r="S1610" s="298"/>
    </row>
    <row r="1611" spans="14:19" hidden="1" x14ac:dyDescent="0.25">
      <c r="N1611" s="17">
        <v>360.69999999997901</v>
      </c>
      <c r="O1611" s="16" t="s">
        <v>1139</v>
      </c>
      <c r="R1611" s="6"/>
      <c r="S1611" s="298"/>
    </row>
    <row r="1612" spans="14:19" hidden="1" x14ac:dyDescent="0.25">
      <c r="N1612" s="17">
        <v>360.79999999997898</v>
      </c>
      <c r="O1612" s="16" t="s">
        <v>1140</v>
      </c>
      <c r="R1612" s="6"/>
      <c r="S1612" s="298"/>
    </row>
    <row r="1613" spans="14:19" hidden="1" x14ac:dyDescent="0.25">
      <c r="N1613" s="17">
        <v>360.899999999979</v>
      </c>
      <c r="O1613" s="16" t="s">
        <v>1141</v>
      </c>
      <c r="R1613" s="6"/>
      <c r="S1613" s="298"/>
    </row>
    <row r="1614" spans="14:19" hidden="1" x14ac:dyDescent="0.25">
      <c r="N1614" s="17">
        <v>360.99999999997902</v>
      </c>
      <c r="O1614" s="16" t="s">
        <v>1142</v>
      </c>
      <c r="R1614" s="6"/>
      <c r="S1614" s="298"/>
    </row>
    <row r="1615" spans="14:19" hidden="1" x14ac:dyDescent="0.25">
      <c r="N1615" s="17">
        <v>361.09999999997899</v>
      </c>
      <c r="O1615" s="16" t="s">
        <v>1149</v>
      </c>
      <c r="R1615" s="6"/>
      <c r="S1615" s="298"/>
    </row>
    <row r="1616" spans="14:19" hidden="1" x14ac:dyDescent="0.25">
      <c r="N1616" s="17">
        <v>361.19999999997901</v>
      </c>
      <c r="O1616" s="16" t="s">
        <v>1150</v>
      </c>
      <c r="R1616" s="6"/>
      <c r="S1616" s="298"/>
    </row>
    <row r="1617" spans="14:19" hidden="1" x14ac:dyDescent="0.25">
      <c r="N1617" s="17">
        <v>361.29999999997898</v>
      </c>
      <c r="O1617" s="16" t="s">
        <v>1151</v>
      </c>
      <c r="R1617" s="6"/>
      <c r="S1617" s="298"/>
    </row>
    <row r="1618" spans="14:19" hidden="1" x14ac:dyDescent="0.25">
      <c r="N1618" s="17">
        <v>361.399999999979</v>
      </c>
      <c r="O1618" s="16" t="s">
        <v>1152</v>
      </c>
      <c r="R1618" s="6"/>
      <c r="S1618" s="298"/>
    </row>
    <row r="1619" spans="14:19" hidden="1" x14ac:dyDescent="0.25">
      <c r="N1619" s="17">
        <v>361.49999999997902</v>
      </c>
      <c r="O1619" s="16" t="s">
        <v>1153</v>
      </c>
      <c r="R1619" s="6"/>
      <c r="S1619" s="298"/>
    </row>
    <row r="1620" spans="14:19" hidden="1" x14ac:dyDescent="0.25">
      <c r="N1620" s="17">
        <v>361.59999999997899</v>
      </c>
      <c r="O1620" s="16" t="s">
        <v>1154</v>
      </c>
      <c r="R1620" s="6"/>
      <c r="S1620" s="298"/>
    </row>
    <row r="1621" spans="14:19" hidden="1" x14ac:dyDescent="0.25">
      <c r="N1621" s="17">
        <v>361.69999999997901</v>
      </c>
      <c r="O1621" s="16" t="s">
        <v>1155</v>
      </c>
      <c r="R1621" s="6"/>
      <c r="S1621" s="298"/>
    </row>
    <row r="1622" spans="14:19" hidden="1" x14ac:dyDescent="0.25">
      <c r="N1622" s="17">
        <v>361.79999999997898</v>
      </c>
      <c r="O1622" s="16" t="s">
        <v>1156</v>
      </c>
      <c r="R1622" s="6"/>
      <c r="S1622" s="298"/>
    </row>
    <row r="1623" spans="14:19" hidden="1" x14ac:dyDescent="0.25">
      <c r="N1623" s="17">
        <v>361.899999999979</v>
      </c>
      <c r="O1623" s="16" t="s">
        <v>1157</v>
      </c>
      <c r="R1623" s="6"/>
      <c r="S1623" s="298"/>
    </row>
    <row r="1624" spans="14:19" hidden="1" x14ac:dyDescent="0.25">
      <c r="N1624" s="17">
        <v>361.99999999997902</v>
      </c>
      <c r="O1624" s="16" t="s">
        <v>1158</v>
      </c>
      <c r="R1624" s="6"/>
      <c r="S1624" s="298"/>
    </row>
    <row r="1625" spans="14:19" hidden="1" x14ac:dyDescent="0.25">
      <c r="N1625" s="17">
        <v>362.09999999997899</v>
      </c>
      <c r="O1625" s="16" t="s">
        <v>1001</v>
      </c>
      <c r="R1625" s="6"/>
      <c r="S1625" s="298"/>
    </row>
    <row r="1626" spans="14:19" hidden="1" x14ac:dyDescent="0.25">
      <c r="N1626" s="17">
        <v>362.19999999997901</v>
      </c>
      <c r="O1626" s="16" t="s">
        <v>1002</v>
      </c>
      <c r="R1626" s="6"/>
      <c r="S1626" s="298"/>
    </row>
    <row r="1627" spans="14:19" hidden="1" x14ac:dyDescent="0.25">
      <c r="N1627" s="17">
        <v>362.29999999997898</v>
      </c>
      <c r="O1627" s="16" t="s">
        <v>1003</v>
      </c>
      <c r="R1627" s="6"/>
      <c r="S1627" s="298"/>
    </row>
    <row r="1628" spans="14:19" hidden="1" x14ac:dyDescent="0.25">
      <c r="N1628" s="17">
        <v>362.399999999979</v>
      </c>
      <c r="O1628" s="16" t="s">
        <v>1004</v>
      </c>
      <c r="R1628" s="6"/>
      <c r="S1628" s="298"/>
    </row>
    <row r="1629" spans="14:19" hidden="1" x14ac:dyDescent="0.25">
      <c r="N1629" s="17">
        <v>362.49999999997902</v>
      </c>
      <c r="O1629" s="16" t="s">
        <v>1005</v>
      </c>
      <c r="R1629" s="6"/>
      <c r="S1629" s="298"/>
    </row>
    <row r="1630" spans="14:19" hidden="1" x14ac:dyDescent="0.25">
      <c r="N1630" s="17">
        <v>362.59999999997899</v>
      </c>
      <c r="O1630" s="16" t="s">
        <v>1006</v>
      </c>
      <c r="R1630" s="6"/>
      <c r="S1630" s="298"/>
    </row>
    <row r="1631" spans="14:19" hidden="1" x14ac:dyDescent="0.25">
      <c r="N1631" s="17">
        <v>362.69999999997901</v>
      </c>
      <c r="O1631" s="16" t="s">
        <v>1007</v>
      </c>
      <c r="R1631" s="6"/>
      <c r="S1631" s="298"/>
    </row>
    <row r="1632" spans="14:19" hidden="1" x14ac:dyDescent="0.25">
      <c r="N1632" s="17">
        <v>362.79999999997898</v>
      </c>
      <c r="O1632" s="16" t="s">
        <v>1246</v>
      </c>
      <c r="R1632" s="6"/>
      <c r="S1632" s="298"/>
    </row>
    <row r="1633" spans="14:19" hidden="1" x14ac:dyDescent="0.25">
      <c r="N1633" s="17">
        <v>362.899999999979</v>
      </c>
      <c r="O1633" s="16" t="s">
        <v>1247</v>
      </c>
      <c r="R1633" s="6"/>
      <c r="S1633" s="298"/>
    </row>
    <row r="1634" spans="14:19" hidden="1" x14ac:dyDescent="0.25">
      <c r="N1634" s="17">
        <v>362.99999999997902</v>
      </c>
      <c r="O1634" s="16" t="s">
        <v>1248</v>
      </c>
      <c r="R1634" s="6"/>
      <c r="S1634" s="298"/>
    </row>
    <row r="1635" spans="14:19" hidden="1" x14ac:dyDescent="0.25">
      <c r="N1635" s="17">
        <v>363.09999999997899</v>
      </c>
      <c r="O1635" s="16" t="s">
        <v>1249</v>
      </c>
      <c r="R1635" s="6"/>
      <c r="S1635" s="298"/>
    </row>
    <row r="1636" spans="14:19" hidden="1" x14ac:dyDescent="0.25">
      <c r="N1636" s="17">
        <v>363.19999999997901</v>
      </c>
      <c r="O1636" s="16" t="s">
        <v>1250</v>
      </c>
      <c r="R1636" s="6"/>
      <c r="S1636" s="298"/>
    </row>
    <row r="1637" spans="14:19" hidden="1" x14ac:dyDescent="0.25">
      <c r="N1637" s="17">
        <v>363.29999999997801</v>
      </c>
      <c r="O1637" s="16" t="s">
        <v>1251</v>
      </c>
      <c r="R1637" s="6"/>
      <c r="S1637" s="298"/>
    </row>
    <row r="1638" spans="14:19" hidden="1" x14ac:dyDescent="0.25">
      <c r="N1638" s="17">
        <v>363.39999999997798</v>
      </c>
      <c r="O1638" s="16" t="s">
        <v>1252</v>
      </c>
      <c r="R1638" s="6"/>
      <c r="S1638" s="298"/>
    </row>
    <row r="1639" spans="14:19" hidden="1" x14ac:dyDescent="0.25">
      <c r="N1639" s="17">
        <v>363.499999999978</v>
      </c>
      <c r="O1639" s="16" t="s">
        <v>1253</v>
      </c>
      <c r="R1639" s="6"/>
      <c r="S1639" s="298"/>
    </row>
    <row r="1640" spans="14:19" hidden="1" x14ac:dyDescent="0.25">
      <c r="N1640" s="17">
        <v>363.59999999997802</v>
      </c>
      <c r="O1640" s="16" t="s">
        <v>1254</v>
      </c>
      <c r="R1640" s="6"/>
      <c r="S1640" s="298"/>
    </row>
    <row r="1641" spans="14:19" hidden="1" x14ac:dyDescent="0.25">
      <c r="N1641" s="17">
        <v>363.69999999997799</v>
      </c>
      <c r="O1641" s="16" t="s">
        <v>1255</v>
      </c>
      <c r="R1641" s="6"/>
      <c r="S1641" s="298"/>
    </row>
    <row r="1642" spans="14:19" hidden="1" x14ac:dyDescent="0.25">
      <c r="N1642" s="17">
        <v>363.79999999997801</v>
      </c>
      <c r="O1642" s="16" t="s">
        <v>1256</v>
      </c>
      <c r="R1642" s="6"/>
      <c r="S1642" s="298"/>
    </row>
    <row r="1643" spans="14:19" hidden="1" x14ac:dyDescent="0.25">
      <c r="N1643" s="17">
        <v>363.89999999997798</v>
      </c>
      <c r="O1643" s="16" t="s">
        <v>1257</v>
      </c>
      <c r="R1643" s="6"/>
      <c r="S1643" s="298"/>
    </row>
    <row r="1644" spans="14:19" hidden="1" x14ac:dyDescent="0.25">
      <c r="N1644" s="17">
        <v>363.999999999978</v>
      </c>
      <c r="O1644" s="16" t="s">
        <v>1258</v>
      </c>
      <c r="R1644" s="6"/>
      <c r="S1644" s="298"/>
    </row>
    <row r="1645" spans="14:19" hidden="1" x14ac:dyDescent="0.25">
      <c r="N1645" s="17">
        <v>364.09999999997802</v>
      </c>
      <c r="O1645" s="16" t="s">
        <v>1259</v>
      </c>
      <c r="R1645" s="6"/>
      <c r="S1645" s="298"/>
    </row>
    <row r="1646" spans="14:19" hidden="1" x14ac:dyDescent="0.25">
      <c r="N1646" s="17">
        <v>364.19999999997799</v>
      </c>
      <c r="O1646" s="16" t="s">
        <v>3486</v>
      </c>
      <c r="R1646" s="6"/>
      <c r="S1646" s="298"/>
    </row>
    <row r="1647" spans="14:19" hidden="1" x14ac:dyDescent="0.25">
      <c r="N1647" s="17">
        <v>364.29999999997801</v>
      </c>
      <c r="O1647" s="16" t="s">
        <v>3487</v>
      </c>
      <c r="R1647" s="6"/>
      <c r="S1647" s="298"/>
    </row>
    <row r="1648" spans="14:19" hidden="1" x14ac:dyDescent="0.25">
      <c r="N1648" s="17">
        <v>364.39999999997798</v>
      </c>
      <c r="O1648" s="16" t="s">
        <v>3488</v>
      </c>
      <c r="R1648" s="6"/>
      <c r="S1648" s="298"/>
    </row>
    <row r="1649" spans="14:19" hidden="1" x14ac:dyDescent="0.25">
      <c r="N1649" s="17">
        <v>364.499999999978</v>
      </c>
      <c r="O1649" s="16" t="s">
        <v>3489</v>
      </c>
      <c r="R1649" s="6"/>
      <c r="S1649" s="298"/>
    </row>
    <row r="1650" spans="14:19" hidden="1" x14ac:dyDescent="0.25">
      <c r="N1650" s="17">
        <v>364.59999999997802</v>
      </c>
      <c r="O1650" s="16" t="s">
        <v>3490</v>
      </c>
      <c r="R1650" s="6"/>
      <c r="S1650" s="298"/>
    </row>
    <row r="1651" spans="14:19" hidden="1" x14ac:dyDescent="0.25">
      <c r="N1651" s="17">
        <v>364.69999999997799</v>
      </c>
      <c r="O1651" s="16" t="s">
        <v>3491</v>
      </c>
      <c r="R1651" s="6"/>
      <c r="S1651" s="298"/>
    </row>
    <row r="1652" spans="14:19" hidden="1" x14ac:dyDescent="0.25">
      <c r="N1652" s="17">
        <v>364.79999999997801</v>
      </c>
      <c r="O1652" s="16" t="s">
        <v>3492</v>
      </c>
      <c r="R1652" s="6"/>
      <c r="S1652" s="298"/>
    </row>
    <row r="1653" spans="14:19" hidden="1" x14ac:dyDescent="0.25">
      <c r="N1653" s="17">
        <v>364.89999999997798</v>
      </c>
      <c r="O1653" s="16" t="s">
        <v>3493</v>
      </c>
      <c r="R1653" s="6"/>
      <c r="S1653" s="298"/>
    </row>
    <row r="1654" spans="14:19" hidden="1" x14ac:dyDescent="0.25">
      <c r="N1654" s="17">
        <v>364.999999999978</v>
      </c>
      <c r="O1654" s="16" t="s">
        <v>3494</v>
      </c>
      <c r="R1654" s="6"/>
      <c r="S1654" s="298"/>
    </row>
    <row r="1655" spans="14:19" hidden="1" x14ac:dyDescent="0.25">
      <c r="N1655" s="17">
        <v>365.09999999997802</v>
      </c>
      <c r="O1655" s="16" t="s">
        <v>3495</v>
      </c>
      <c r="R1655" s="6"/>
      <c r="S1655" s="298"/>
    </row>
    <row r="1656" spans="14:19" hidden="1" x14ac:dyDescent="0.25">
      <c r="N1656" s="17">
        <v>365.19999999997799</v>
      </c>
      <c r="O1656" s="16" t="s">
        <v>3496</v>
      </c>
      <c r="R1656" s="6"/>
      <c r="S1656" s="298"/>
    </row>
    <row r="1657" spans="14:19" hidden="1" x14ac:dyDescent="0.25">
      <c r="N1657" s="17">
        <v>365.29999999997801</v>
      </c>
      <c r="O1657" s="16" t="s">
        <v>3497</v>
      </c>
      <c r="R1657" s="6"/>
      <c r="S1657" s="298"/>
    </row>
    <row r="1658" spans="14:19" hidden="1" x14ac:dyDescent="0.25">
      <c r="N1658" s="17">
        <v>365.39999999997798</v>
      </c>
      <c r="O1658" s="16" t="s">
        <v>3498</v>
      </c>
      <c r="R1658" s="6"/>
      <c r="S1658" s="298"/>
    </row>
    <row r="1659" spans="14:19" hidden="1" x14ac:dyDescent="0.25">
      <c r="N1659" s="17">
        <v>365.499999999978</v>
      </c>
      <c r="O1659" s="16" t="s">
        <v>3499</v>
      </c>
      <c r="R1659" s="6"/>
      <c r="S1659" s="298"/>
    </row>
    <row r="1660" spans="14:19" hidden="1" x14ac:dyDescent="0.25">
      <c r="N1660" s="17">
        <v>365.59999999997802</v>
      </c>
      <c r="O1660" s="16" t="s">
        <v>3500</v>
      </c>
      <c r="R1660" s="6"/>
      <c r="S1660" s="298"/>
    </row>
    <row r="1661" spans="14:19" hidden="1" x14ac:dyDescent="0.25">
      <c r="N1661" s="17">
        <v>365.69999999997799</v>
      </c>
      <c r="O1661" s="16" t="s">
        <v>3501</v>
      </c>
      <c r="R1661" s="6"/>
      <c r="S1661" s="298"/>
    </row>
    <row r="1662" spans="14:19" hidden="1" x14ac:dyDescent="0.25">
      <c r="N1662" s="17">
        <v>365.79999999997801</v>
      </c>
      <c r="O1662" s="16" t="s">
        <v>3502</v>
      </c>
      <c r="R1662" s="6"/>
      <c r="S1662" s="298"/>
    </row>
    <row r="1663" spans="14:19" hidden="1" x14ac:dyDescent="0.25">
      <c r="N1663" s="17">
        <v>365.89999999997798</v>
      </c>
      <c r="O1663" s="16" t="s">
        <v>3503</v>
      </c>
      <c r="R1663" s="6"/>
      <c r="S1663" s="298"/>
    </row>
    <row r="1664" spans="14:19" hidden="1" x14ac:dyDescent="0.25">
      <c r="N1664" s="17">
        <v>365.99999999997698</v>
      </c>
      <c r="O1664" s="16" t="s">
        <v>3504</v>
      </c>
      <c r="R1664" s="6"/>
      <c r="S1664" s="298"/>
    </row>
    <row r="1665" spans="14:19" hidden="1" x14ac:dyDescent="0.25">
      <c r="N1665" s="17">
        <v>366.09999999997802</v>
      </c>
      <c r="O1665" s="16" t="s">
        <v>3505</v>
      </c>
      <c r="R1665" s="6"/>
      <c r="S1665" s="298"/>
    </row>
    <row r="1666" spans="14:19" hidden="1" x14ac:dyDescent="0.25">
      <c r="N1666" s="17">
        <v>366.19999999997799</v>
      </c>
      <c r="O1666" s="16" t="s">
        <v>3506</v>
      </c>
      <c r="R1666" s="6"/>
      <c r="S1666" s="298"/>
    </row>
    <row r="1667" spans="14:19" hidden="1" x14ac:dyDescent="0.25">
      <c r="N1667" s="17">
        <v>366.29999999997699</v>
      </c>
      <c r="O1667" s="16" t="s">
        <v>3507</v>
      </c>
      <c r="R1667" s="6"/>
      <c r="S1667" s="298"/>
    </row>
    <row r="1668" spans="14:19" hidden="1" x14ac:dyDescent="0.25">
      <c r="N1668" s="17">
        <v>366.39999999997701</v>
      </c>
      <c r="O1668" s="16" t="s">
        <v>3508</v>
      </c>
      <c r="R1668" s="6"/>
      <c r="S1668" s="298"/>
    </row>
    <row r="1669" spans="14:19" hidden="1" x14ac:dyDescent="0.25">
      <c r="N1669" s="17">
        <v>366.49999999997698</v>
      </c>
      <c r="O1669" s="16" t="s">
        <v>3509</v>
      </c>
      <c r="R1669" s="6"/>
      <c r="S1669" s="298"/>
    </row>
    <row r="1670" spans="14:19" hidden="1" x14ac:dyDescent="0.25">
      <c r="N1670" s="17">
        <v>366.599999999977</v>
      </c>
      <c r="O1670" s="16" t="s">
        <v>3510</v>
      </c>
      <c r="R1670" s="6"/>
      <c r="S1670" s="298"/>
    </row>
    <row r="1671" spans="14:19" hidden="1" x14ac:dyDescent="0.25">
      <c r="N1671" s="17">
        <v>366.69999999997702</v>
      </c>
      <c r="O1671" s="16" t="s">
        <v>1285</v>
      </c>
      <c r="R1671" s="6"/>
      <c r="S1671" s="298"/>
    </row>
    <row r="1672" spans="14:19" hidden="1" x14ac:dyDescent="0.25">
      <c r="N1672" s="17">
        <v>366.79999999997699</v>
      </c>
      <c r="O1672" s="16" t="s">
        <v>1286</v>
      </c>
      <c r="R1672" s="6"/>
      <c r="S1672" s="298"/>
    </row>
    <row r="1673" spans="14:19" hidden="1" x14ac:dyDescent="0.25">
      <c r="N1673" s="17">
        <v>366.89999999997701</v>
      </c>
      <c r="O1673" s="16" t="s">
        <v>1287</v>
      </c>
      <c r="R1673" s="6"/>
      <c r="S1673" s="298"/>
    </row>
    <row r="1674" spans="14:19" hidden="1" x14ac:dyDescent="0.25">
      <c r="N1674" s="17">
        <v>366.99999999997698</v>
      </c>
      <c r="O1674" s="16" t="s">
        <v>1288</v>
      </c>
      <c r="R1674" s="6"/>
      <c r="S1674" s="298"/>
    </row>
    <row r="1675" spans="14:19" hidden="1" x14ac:dyDescent="0.25">
      <c r="N1675" s="17">
        <v>367.099999999977</v>
      </c>
      <c r="O1675" s="16" t="s">
        <v>1289</v>
      </c>
      <c r="R1675" s="6"/>
      <c r="S1675" s="298"/>
    </row>
    <row r="1676" spans="14:19" hidden="1" x14ac:dyDescent="0.25">
      <c r="N1676" s="17">
        <v>367.19999999997702</v>
      </c>
      <c r="O1676" s="16" t="s">
        <v>1290</v>
      </c>
      <c r="R1676" s="6"/>
      <c r="S1676" s="298"/>
    </row>
    <row r="1677" spans="14:19" hidden="1" x14ac:dyDescent="0.25">
      <c r="N1677" s="17">
        <v>367.29999999997699</v>
      </c>
      <c r="O1677" s="16" t="s">
        <v>1291</v>
      </c>
      <c r="R1677" s="6"/>
      <c r="S1677" s="298"/>
    </row>
    <row r="1678" spans="14:19" hidden="1" x14ac:dyDescent="0.25">
      <c r="N1678" s="17">
        <v>367.39999999997701</v>
      </c>
      <c r="O1678" s="16" t="s">
        <v>1292</v>
      </c>
      <c r="R1678" s="6"/>
      <c r="S1678" s="298"/>
    </row>
    <row r="1679" spans="14:19" hidden="1" x14ac:dyDescent="0.25">
      <c r="N1679" s="17">
        <v>367.49999999997698</v>
      </c>
      <c r="O1679" s="16" t="s">
        <v>1293</v>
      </c>
      <c r="R1679" s="6"/>
      <c r="S1679" s="298"/>
    </row>
    <row r="1680" spans="14:19" hidden="1" x14ac:dyDescent="0.25">
      <c r="N1680" s="17">
        <v>367.599999999977</v>
      </c>
      <c r="O1680" s="16" t="s">
        <v>1294</v>
      </c>
      <c r="R1680" s="6"/>
      <c r="S1680" s="298"/>
    </row>
    <row r="1681" spans="14:19" hidden="1" x14ac:dyDescent="0.25">
      <c r="N1681" s="17">
        <v>367.69999999997702</v>
      </c>
      <c r="O1681" s="16" t="s">
        <v>1295</v>
      </c>
      <c r="R1681" s="6"/>
      <c r="S1681" s="298"/>
    </row>
    <row r="1682" spans="14:19" hidden="1" x14ac:dyDescent="0.25">
      <c r="N1682" s="17">
        <v>367.79999999997699</v>
      </c>
      <c r="O1682" s="16" t="s">
        <v>1296</v>
      </c>
      <c r="R1682" s="6"/>
      <c r="S1682" s="298"/>
    </row>
    <row r="1683" spans="14:19" hidden="1" x14ac:dyDescent="0.25">
      <c r="N1683" s="17">
        <v>367.89999999997701</v>
      </c>
      <c r="O1683" s="16" t="s">
        <v>1297</v>
      </c>
      <c r="R1683" s="6"/>
      <c r="S1683" s="298"/>
    </row>
    <row r="1684" spans="14:19" hidden="1" x14ac:dyDescent="0.25">
      <c r="N1684" s="17">
        <v>367.99999999997698</v>
      </c>
      <c r="O1684" s="16" t="s">
        <v>1298</v>
      </c>
      <c r="R1684" s="6"/>
      <c r="S1684" s="298"/>
    </row>
    <row r="1685" spans="14:19" hidden="1" x14ac:dyDescent="0.25">
      <c r="N1685" s="17">
        <v>368.099999999977</v>
      </c>
      <c r="O1685" s="16" t="s">
        <v>1299</v>
      </c>
      <c r="R1685" s="6"/>
      <c r="S1685" s="298"/>
    </row>
    <row r="1686" spans="14:19" hidden="1" x14ac:dyDescent="0.25">
      <c r="N1686" s="17">
        <v>368.19999999997702</v>
      </c>
      <c r="O1686" s="16" t="s">
        <v>1300</v>
      </c>
      <c r="R1686" s="6"/>
      <c r="S1686" s="298"/>
    </row>
    <row r="1687" spans="14:19" hidden="1" x14ac:dyDescent="0.25">
      <c r="N1687" s="17">
        <v>368.29999999997699</v>
      </c>
      <c r="O1687" s="16" t="s">
        <v>1301</v>
      </c>
      <c r="R1687" s="6"/>
      <c r="S1687" s="298"/>
    </row>
    <row r="1688" spans="14:19" hidden="1" x14ac:dyDescent="0.25">
      <c r="N1688" s="17">
        <v>368.39999999997701</v>
      </c>
      <c r="O1688" s="16" t="s">
        <v>1302</v>
      </c>
      <c r="R1688" s="6"/>
      <c r="S1688" s="298"/>
    </row>
    <row r="1689" spans="14:19" hidden="1" x14ac:dyDescent="0.25">
      <c r="N1689" s="17">
        <v>368.49999999997698</v>
      </c>
      <c r="O1689" s="16" t="s">
        <v>1303</v>
      </c>
      <c r="R1689" s="6"/>
      <c r="S1689" s="298"/>
    </row>
    <row r="1690" spans="14:19" hidden="1" x14ac:dyDescent="0.25">
      <c r="N1690" s="17">
        <v>368.599999999977</v>
      </c>
      <c r="O1690" s="16" t="s">
        <v>1304</v>
      </c>
      <c r="R1690" s="6"/>
      <c r="S1690" s="298"/>
    </row>
    <row r="1691" spans="14:19" hidden="1" x14ac:dyDescent="0.25">
      <c r="N1691" s="17">
        <v>368.69999999997702</v>
      </c>
      <c r="O1691" s="16" t="s">
        <v>1305</v>
      </c>
      <c r="R1691" s="6"/>
      <c r="S1691" s="298"/>
    </row>
    <row r="1692" spans="14:19" hidden="1" x14ac:dyDescent="0.25">
      <c r="N1692" s="17">
        <v>368.79999999997699</v>
      </c>
      <c r="O1692" s="16" t="s">
        <v>1306</v>
      </c>
      <c r="R1692" s="6"/>
      <c r="S1692" s="298"/>
    </row>
    <row r="1693" spans="14:19" hidden="1" x14ac:dyDescent="0.25">
      <c r="N1693" s="17">
        <v>368.89999999997701</v>
      </c>
      <c r="O1693" s="16" t="s">
        <v>1307</v>
      </c>
      <c r="R1693" s="6"/>
      <c r="S1693" s="298"/>
    </row>
    <row r="1694" spans="14:19" hidden="1" x14ac:dyDescent="0.25">
      <c r="N1694" s="17">
        <v>368.99999999997698</v>
      </c>
      <c r="O1694" s="16" t="s">
        <v>1308</v>
      </c>
      <c r="R1694" s="6"/>
      <c r="S1694" s="298"/>
    </row>
    <row r="1695" spans="14:19" hidden="1" x14ac:dyDescent="0.25">
      <c r="N1695" s="17">
        <v>369.09999999997598</v>
      </c>
      <c r="O1695" s="16" t="s">
        <v>1309</v>
      </c>
      <c r="R1695" s="6"/>
      <c r="S1695" s="298"/>
    </row>
    <row r="1696" spans="14:19" hidden="1" x14ac:dyDescent="0.25">
      <c r="N1696" s="17">
        <v>369.199999999976</v>
      </c>
      <c r="O1696" s="16" t="s">
        <v>1310</v>
      </c>
      <c r="R1696" s="6"/>
      <c r="S1696" s="298"/>
    </row>
    <row r="1697" spans="14:19" hidden="1" x14ac:dyDescent="0.25">
      <c r="N1697" s="17">
        <v>369.29999999997602</v>
      </c>
      <c r="O1697" s="16" t="s">
        <v>1311</v>
      </c>
      <c r="R1697" s="6"/>
      <c r="S1697" s="298"/>
    </row>
    <row r="1698" spans="14:19" hidden="1" x14ac:dyDescent="0.25">
      <c r="N1698" s="17">
        <v>369.39999999997599</v>
      </c>
      <c r="O1698" s="16" t="s">
        <v>1312</v>
      </c>
      <c r="R1698" s="6"/>
      <c r="S1698" s="298"/>
    </row>
    <row r="1699" spans="14:19" hidden="1" x14ac:dyDescent="0.25">
      <c r="N1699" s="17">
        <v>369.49999999997601</v>
      </c>
      <c r="O1699" s="16" t="s">
        <v>1313</v>
      </c>
      <c r="R1699" s="6"/>
      <c r="S1699" s="298"/>
    </row>
    <row r="1700" spans="14:19" hidden="1" x14ac:dyDescent="0.25">
      <c r="N1700" s="17">
        <v>369.59999999997598</v>
      </c>
      <c r="O1700" s="16" t="s">
        <v>1314</v>
      </c>
      <c r="R1700" s="6"/>
      <c r="S1700" s="298"/>
    </row>
    <row r="1701" spans="14:19" hidden="1" x14ac:dyDescent="0.25">
      <c r="N1701" s="17">
        <v>369.699999999976</v>
      </c>
      <c r="O1701" s="16" t="s">
        <v>1315</v>
      </c>
      <c r="R1701" s="6"/>
      <c r="S1701" s="298"/>
    </row>
    <row r="1702" spans="14:19" hidden="1" x14ac:dyDescent="0.25">
      <c r="N1702" s="17">
        <v>369.79999999997602</v>
      </c>
      <c r="O1702" s="16" t="s">
        <v>1316</v>
      </c>
      <c r="R1702" s="6"/>
      <c r="S1702" s="298"/>
    </row>
    <row r="1703" spans="14:19" hidden="1" x14ac:dyDescent="0.25">
      <c r="N1703" s="17">
        <v>369.89999999997599</v>
      </c>
      <c r="O1703" s="16" t="s">
        <v>1317</v>
      </c>
      <c r="R1703" s="6"/>
      <c r="S1703" s="298"/>
    </row>
    <row r="1704" spans="14:19" hidden="1" x14ac:dyDescent="0.25">
      <c r="N1704" s="17">
        <v>369.99999999997601</v>
      </c>
      <c r="O1704" s="16" t="s">
        <v>1318</v>
      </c>
      <c r="R1704" s="6"/>
      <c r="S1704" s="298"/>
    </row>
    <row r="1705" spans="14:19" hidden="1" x14ac:dyDescent="0.25">
      <c r="N1705" s="17">
        <v>370.09999999997598</v>
      </c>
      <c r="O1705" s="16" t="s">
        <v>1319</v>
      </c>
      <c r="R1705" s="6"/>
      <c r="S1705" s="298"/>
    </row>
    <row r="1706" spans="14:19" hidden="1" x14ac:dyDescent="0.25">
      <c r="N1706" s="17">
        <v>370.199999999976</v>
      </c>
      <c r="O1706" s="16" t="s">
        <v>1320</v>
      </c>
      <c r="R1706" s="6"/>
      <c r="S1706" s="298"/>
    </row>
    <row r="1707" spans="14:19" hidden="1" x14ac:dyDescent="0.25">
      <c r="N1707" s="17">
        <v>370.29999999997602</v>
      </c>
      <c r="O1707" s="16" t="s">
        <v>1275</v>
      </c>
      <c r="R1707" s="6"/>
      <c r="S1707" s="298"/>
    </row>
    <row r="1708" spans="14:19" hidden="1" x14ac:dyDescent="0.25">
      <c r="N1708" s="17">
        <v>370.39999999997599</v>
      </c>
      <c r="O1708" s="16" t="s">
        <v>1276</v>
      </c>
      <c r="R1708" s="6"/>
      <c r="S1708" s="298"/>
    </row>
    <row r="1709" spans="14:19" hidden="1" x14ac:dyDescent="0.25">
      <c r="N1709" s="17">
        <v>370.49999999997601</v>
      </c>
      <c r="O1709" s="16" t="s">
        <v>1277</v>
      </c>
      <c r="R1709" s="6"/>
      <c r="S1709" s="298"/>
    </row>
    <row r="1710" spans="14:19" hidden="1" x14ac:dyDescent="0.25">
      <c r="N1710" s="17">
        <v>370.59999999997598</v>
      </c>
      <c r="O1710" s="16" t="s">
        <v>1278</v>
      </c>
      <c r="R1710" s="6"/>
      <c r="S1710" s="298"/>
    </row>
    <row r="1711" spans="14:19" hidden="1" x14ac:dyDescent="0.25">
      <c r="N1711" s="17">
        <v>370.699999999976</v>
      </c>
      <c r="O1711" s="16" t="s">
        <v>1279</v>
      </c>
      <c r="R1711" s="6"/>
      <c r="S1711" s="298"/>
    </row>
    <row r="1712" spans="14:19" hidden="1" x14ac:dyDescent="0.25">
      <c r="N1712" s="17">
        <v>370.79999999997602</v>
      </c>
      <c r="O1712" s="16" t="s">
        <v>1280</v>
      </c>
      <c r="R1712" s="6"/>
      <c r="S1712" s="298"/>
    </row>
    <row r="1713" spans="14:19" hidden="1" x14ac:dyDescent="0.25">
      <c r="N1713" s="17">
        <v>370.89999999997599</v>
      </c>
      <c r="O1713" s="16" t="s">
        <v>1281</v>
      </c>
      <c r="R1713" s="6"/>
      <c r="S1713" s="298"/>
    </row>
    <row r="1714" spans="14:19" hidden="1" x14ac:dyDescent="0.25">
      <c r="N1714" s="17">
        <v>370.99999999997601</v>
      </c>
      <c r="O1714" s="16" t="s">
        <v>1282</v>
      </c>
      <c r="R1714" s="6"/>
      <c r="S1714" s="298"/>
    </row>
    <row r="1715" spans="14:19" hidden="1" x14ac:dyDescent="0.25">
      <c r="N1715" s="17">
        <v>371.09999999997598</v>
      </c>
      <c r="O1715" s="16" t="s">
        <v>1283</v>
      </c>
      <c r="R1715" s="6"/>
      <c r="S1715" s="298"/>
    </row>
    <row r="1716" spans="14:19" hidden="1" x14ac:dyDescent="0.25">
      <c r="N1716" s="17">
        <v>371.199999999976</v>
      </c>
      <c r="O1716" s="16" t="s">
        <v>1284</v>
      </c>
      <c r="R1716" s="6"/>
      <c r="S1716" s="298"/>
    </row>
    <row r="1717" spans="14:19" hidden="1" x14ac:dyDescent="0.25">
      <c r="N1717" s="17">
        <v>371.29999999997602</v>
      </c>
      <c r="O1717" s="16" t="s">
        <v>149</v>
      </c>
      <c r="R1717" s="6"/>
      <c r="S1717" s="298"/>
    </row>
    <row r="1718" spans="14:19" hidden="1" x14ac:dyDescent="0.25">
      <c r="N1718" s="17">
        <v>371.39999999997599</v>
      </c>
      <c r="O1718" s="16" t="s">
        <v>150</v>
      </c>
      <c r="R1718" s="6"/>
      <c r="S1718" s="298"/>
    </row>
    <row r="1719" spans="14:19" hidden="1" x14ac:dyDescent="0.25">
      <c r="N1719" s="17">
        <v>371.49999999997601</v>
      </c>
      <c r="O1719" s="16" t="s">
        <v>376</v>
      </c>
      <c r="R1719" s="6"/>
      <c r="S1719" s="298"/>
    </row>
    <row r="1720" spans="14:19" hidden="1" x14ac:dyDescent="0.25">
      <c r="N1720" s="17">
        <v>371.59999999997598</v>
      </c>
      <c r="O1720" s="16" t="s">
        <v>377</v>
      </c>
      <c r="R1720" s="6"/>
      <c r="S1720" s="298"/>
    </row>
    <row r="1721" spans="14:19" hidden="1" x14ac:dyDescent="0.25">
      <c r="N1721" s="17">
        <v>371.699999999976</v>
      </c>
      <c r="O1721" s="16" t="s">
        <v>378</v>
      </c>
      <c r="R1721" s="6"/>
      <c r="S1721" s="298"/>
    </row>
    <row r="1722" spans="14:19" hidden="1" x14ac:dyDescent="0.25">
      <c r="N1722" s="17">
        <v>371.79999999997602</v>
      </c>
      <c r="O1722" s="16" t="s">
        <v>379</v>
      </c>
      <c r="R1722" s="6"/>
      <c r="S1722" s="298"/>
    </row>
    <row r="1723" spans="14:19" hidden="1" x14ac:dyDescent="0.25">
      <c r="N1723" s="17">
        <v>371.89999999997599</v>
      </c>
      <c r="O1723" s="16" t="s">
        <v>380</v>
      </c>
      <c r="R1723" s="6"/>
      <c r="S1723" s="298"/>
    </row>
    <row r="1724" spans="14:19" hidden="1" x14ac:dyDescent="0.25">
      <c r="N1724" s="17">
        <v>371.99999999997601</v>
      </c>
      <c r="O1724" s="16" t="s">
        <v>381</v>
      </c>
      <c r="R1724" s="6"/>
      <c r="S1724" s="298"/>
    </row>
    <row r="1725" spans="14:19" hidden="1" x14ac:dyDescent="0.25">
      <c r="N1725" s="17">
        <v>372.09999999997501</v>
      </c>
      <c r="O1725" s="16" t="s">
        <v>382</v>
      </c>
      <c r="R1725" s="6"/>
      <c r="S1725" s="298"/>
    </row>
    <row r="1726" spans="14:19" hidden="1" x14ac:dyDescent="0.25">
      <c r="N1726" s="17">
        <v>372.19999999997498</v>
      </c>
      <c r="O1726" s="16" t="s">
        <v>383</v>
      </c>
      <c r="R1726" s="6"/>
      <c r="S1726" s="298"/>
    </row>
    <row r="1727" spans="14:19" hidden="1" x14ac:dyDescent="0.25">
      <c r="N1727" s="17">
        <v>372.299999999975</v>
      </c>
      <c r="O1727" s="16" t="s">
        <v>3766</v>
      </c>
      <c r="R1727" s="6"/>
      <c r="S1727" s="298"/>
    </row>
    <row r="1728" spans="14:19" hidden="1" x14ac:dyDescent="0.25">
      <c r="N1728" s="17">
        <v>372.39999999997502</v>
      </c>
      <c r="O1728" s="16" t="s">
        <v>3767</v>
      </c>
      <c r="R1728" s="6"/>
      <c r="S1728" s="298"/>
    </row>
    <row r="1729" spans="14:19" hidden="1" x14ac:dyDescent="0.25">
      <c r="N1729" s="17">
        <v>372.49999999997499</v>
      </c>
      <c r="O1729" s="16" t="s">
        <v>3768</v>
      </c>
      <c r="R1729" s="6"/>
      <c r="S1729" s="298"/>
    </row>
    <row r="1730" spans="14:19" hidden="1" x14ac:dyDescent="0.25">
      <c r="N1730" s="17">
        <v>372.59999999997501</v>
      </c>
      <c r="O1730" s="16" t="s">
        <v>3769</v>
      </c>
      <c r="R1730" s="6"/>
      <c r="S1730" s="298"/>
    </row>
    <row r="1731" spans="14:19" hidden="1" x14ac:dyDescent="0.25">
      <c r="N1731" s="17">
        <v>372.69999999997498</v>
      </c>
      <c r="O1731" s="16" t="s">
        <v>3770</v>
      </c>
      <c r="R1731" s="6"/>
      <c r="S1731" s="298"/>
    </row>
    <row r="1732" spans="14:19" hidden="1" x14ac:dyDescent="0.25">
      <c r="N1732" s="17">
        <v>372.799999999975</v>
      </c>
      <c r="O1732" s="16" t="s">
        <v>3771</v>
      </c>
      <c r="R1732" s="6"/>
      <c r="S1732" s="298"/>
    </row>
    <row r="1733" spans="14:19" hidden="1" x14ac:dyDescent="0.25">
      <c r="N1733" s="17">
        <v>372.89999999997502</v>
      </c>
      <c r="O1733" s="16" t="s">
        <v>3772</v>
      </c>
      <c r="R1733" s="6"/>
      <c r="S1733" s="298"/>
    </row>
    <row r="1734" spans="14:19" hidden="1" x14ac:dyDescent="0.25">
      <c r="N1734" s="17">
        <v>372.99999999997499</v>
      </c>
      <c r="O1734" s="16" t="s">
        <v>3773</v>
      </c>
      <c r="R1734" s="6"/>
      <c r="S1734" s="298"/>
    </row>
    <row r="1735" spans="14:19" hidden="1" x14ac:dyDescent="0.25">
      <c r="N1735" s="17">
        <v>373.09999999997501</v>
      </c>
      <c r="O1735" s="16" t="s">
        <v>3774</v>
      </c>
      <c r="R1735" s="6"/>
      <c r="S1735" s="298"/>
    </row>
    <row r="1736" spans="14:19" hidden="1" x14ac:dyDescent="0.25">
      <c r="N1736" s="17">
        <v>373.19999999997498</v>
      </c>
      <c r="O1736" s="16" t="s">
        <v>3775</v>
      </c>
      <c r="R1736" s="6"/>
      <c r="S1736" s="298"/>
    </row>
    <row r="1737" spans="14:19" hidden="1" x14ac:dyDescent="0.25">
      <c r="N1737" s="17">
        <v>373.299999999975</v>
      </c>
      <c r="O1737" s="16" t="s">
        <v>3776</v>
      </c>
      <c r="R1737" s="6"/>
      <c r="S1737" s="298"/>
    </row>
    <row r="1738" spans="14:19" hidden="1" x14ac:dyDescent="0.25">
      <c r="N1738" s="17">
        <v>373.39999999997502</v>
      </c>
      <c r="O1738" s="16" t="s">
        <v>5906</v>
      </c>
      <c r="R1738" s="6"/>
      <c r="S1738" s="298"/>
    </row>
    <row r="1739" spans="14:19" hidden="1" x14ac:dyDescent="0.25">
      <c r="N1739" s="17">
        <v>373.49999999997499</v>
      </c>
      <c r="O1739" s="16" t="s">
        <v>5907</v>
      </c>
      <c r="R1739" s="6"/>
      <c r="S1739" s="298"/>
    </row>
    <row r="1740" spans="14:19" hidden="1" x14ac:dyDescent="0.25">
      <c r="N1740" s="17">
        <v>373.59999999997501</v>
      </c>
      <c r="O1740" s="16" t="s">
        <v>5908</v>
      </c>
      <c r="R1740" s="6"/>
      <c r="S1740" s="298"/>
    </row>
    <row r="1741" spans="14:19" hidden="1" x14ac:dyDescent="0.25">
      <c r="N1741" s="17">
        <v>373.69999999997498</v>
      </c>
      <c r="O1741" s="16" t="s">
        <v>5909</v>
      </c>
      <c r="R1741" s="6"/>
      <c r="S1741" s="298"/>
    </row>
    <row r="1742" spans="14:19" hidden="1" x14ac:dyDescent="0.25">
      <c r="N1742" s="17">
        <v>373.799999999975</v>
      </c>
      <c r="O1742" s="16" t="s">
        <v>5910</v>
      </c>
      <c r="R1742" s="6"/>
      <c r="S1742" s="298"/>
    </row>
    <row r="1743" spans="14:19" hidden="1" x14ac:dyDescent="0.25">
      <c r="N1743" s="17">
        <v>373.89999999997502</v>
      </c>
      <c r="O1743" s="16" t="s">
        <v>5911</v>
      </c>
      <c r="R1743" s="6"/>
      <c r="S1743" s="298"/>
    </row>
    <row r="1744" spans="14:19" hidden="1" x14ac:dyDescent="0.25">
      <c r="N1744" s="17">
        <v>373.99999999997499</v>
      </c>
      <c r="O1744" s="16" t="s">
        <v>5912</v>
      </c>
      <c r="R1744" s="6"/>
      <c r="S1744" s="298"/>
    </row>
    <row r="1745" spans="14:19" hidden="1" x14ac:dyDescent="0.25">
      <c r="N1745" s="17">
        <v>374.09999999997501</v>
      </c>
      <c r="O1745" s="16" t="s">
        <v>3779</v>
      </c>
      <c r="R1745" s="6"/>
      <c r="S1745" s="298"/>
    </row>
    <row r="1746" spans="14:19" hidden="1" x14ac:dyDescent="0.25">
      <c r="N1746" s="17">
        <v>374.19999999997498</v>
      </c>
      <c r="O1746" s="16" t="s">
        <v>3780</v>
      </c>
      <c r="R1746" s="6"/>
      <c r="S1746" s="298"/>
    </row>
    <row r="1747" spans="14:19" hidden="1" x14ac:dyDescent="0.25">
      <c r="N1747" s="17">
        <v>374.299999999975</v>
      </c>
      <c r="O1747" s="16" t="s">
        <v>3781</v>
      </c>
      <c r="R1747" s="6"/>
      <c r="S1747" s="298"/>
    </row>
    <row r="1748" spans="14:19" hidden="1" x14ac:dyDescent="0.25">
      <c r="N1748" s="17">
        <v>374.39999999997502</v>
      </c>
      <c r="O1748" s="16" t="s">
        <v>3782</v>
      </c>
      <c r="R1748" s="6"/>
      <c r="S1748" s="298"/>
    </row>
    <row r="1749" spans="14:19" hidden="1" x14ac:dyDescent="0.25">
      <c r="N1749" s="17">
        <v>374.49999999997499</v>
      </c>
      <c r="O1749" s="16" t="s">
        <v>3783</v>
      </c>
      <c r="R1749" s="6"/>
      <c r="S1749" s="298"/>
    </row>
    <row r="1750" spans="14:19" hidden="1" x14ac:dyDescent="0.25">
      <c r="N1750" s="17">
        <v>374.59999999997501</v>
      </c>
      <c r="O1750" s="16" t="s">
        <v>3784</v>
      </c>
      <c r="R1750" s="6"/>
      <c r="S1750" s="298"/>
    </row>
    <row r="1751" spans="14:19" hidden="1" x14ac:dyDescent="0.25">
      <c r="N1751" s="17">
        <v>374.69999999997498</v>
      </c>
      <c r="O1751" s="16" t="s">
        <v>3785</v>
      </c>
      <c r="R1751" s="6"/>
      <c r="S1751" s="298"/>
    </row>
    <row r="1752" spans="14:19" hidden="1" x14ac:dyDescent="0.25">
      <c r="N1752" s="17">
        <v>374.79999999997398</v>
      </c>
      <c r="O1752" s="16" t="s">
        <v>3786</v>
      </c>
      <c r="R1752" s="6"/>
      <c r="S1752" s="298"/>
    </row>
    <row r="1753" spans="14:19" hidden="1" x14ac:dyDescent="0.25">
      <c r="N1753" s="17">
        <v>374.89999999997502</v>
      </c>
      <c r="O1753" s="16" t="s">
        <v>3787</v>
      </c>
      <c r="R1753" s="6"/>
      <c r="S1753" s="298"/>
    </row>
    <row r="1754" spans="14:19" hidden="1" x14ac:dyDescent="0.25">
      <c r="N1754" s="17">
        <v>374.99999999997499</v>
      </c>
      <c r="O1754" s="16" t="s">
        <v>3788</v>
      </c>
      <c r="R1754" s="6"/>
      <c r="S1754" s="298"/>
    </row>
    <row r="1755" spans="14:19" hidden="1" x14ac:dyDescent="0.25">
      <c r="N1755" s="17">
        <v>375.09999999997399</v>
      </c>
      <c r="O1755" s="16" t="s">
        <v>398</v>
      </c>
      <c r="R1755" s="6"/>
      <c r="S1755" s="298"/>
    </row>
    <row r="1756" spans="14:19" hidden="1" x14ac:dyDescent="0.25">
      <c r="N1756" s="17">
        <v>375.19999999997401</v>
      </c>
      <c r="O1756" s="16" t="s">
        <v>399</v>
      </c>
      <c r="R1756" s="6"/>
      <c r="S1756" s="298"/>
    </row>
    <row r="1757" spans="14:19" hidden="1" x14ac:dyDescent="0.25">
      <c r="N1757" s="17">
        <v>375.29999999997398</v>
      </c>
      <c r="O1757" s="16" t="s">
        <v>400</v>
      </c>
      <c r="R1757" s="6"/>
      <c r="S1757" s="298"/>
    </row>
    <row r="1758" spans="14:19" hidden="1" x14ac:dyDescent="0.25">
      <c r="N1758" s="17">
        <v>375.399999999974</v>
      </c>
      <c r="O1758" s="16" t="s">
        <v>3777</v>
      </c>
      <c r="R1758" s="6"/>
      <c r="S1758" s="298"/>
    </row>
    <row r="1759" spans="14:19" hidden="1" x14ac:dyDescent="0.25">
      <c r="N1759" s="17">
        <v>375.49999999997402</v>
      </c>
      <c r="O1759" s="16" t="s">
        <v>3778</v>
      </c>
      <c r="R1759" s="6"/>
      <c r="S1759" s="298"/>
    </row>
    <row r="1760" spans="14:19" hidden="1" x14ac:dyDescent="0.25">
      <c r="N1760" s="17">
        <v>375.59999999997399</v>
      </c>
      <c r="O1760" s="16" t="s">
        <v>188</v>
      </c>
      <c r="R1760" s="6"/>
      <c r="S1760" s="298"/>
    </row>
    <row r="1761" spans="14:19" hidden="1" x14ac:dyDescent="0.25">
      <c r="N1761" s="17">
        <v>375.69999999997401</v>
      </c>
      <c r="O1761" s="16" t="s">
        <v>189</v>
      </c>
      <c r="R1761" s="6"/>
      <c r="S1761" s="298"/>
    </row>
    <row r="1762" spans="14:19" hidden="1" x14ac:dyDescent="0.25">
      <c r="N1762" s="17">
        <v>375.79999999997398</v>
      </c>
      <c r="O1762" s="16" t="s">
        <v>190</v>
      </c>
      <c r="R1762" s="6"/>
      <c r="S1762" s="298"/>
    </row>
    <row r="1763" spans="14:19" hidden="1" x14ac:dyDescent="0.25">
      <c r="N1763" s="17">
        <v>375.899999999974</v>
      </c>
      <c r="O1763" s="16" t="s">
        <v>1327</v>
      </c>
      <c r="R1763" s="6"/>
      <c r="S1763" s="298"/>
    </row>
    <row r="1764" spans="14:19" hidden="1" x14ac:dyDescent="0.25">
      <c r="N1764" s="17">
        <v>375.99999999997402</v>
      </c>
      <c r="O1764" s="16" t="s">
        <v>1328</v>
      </c>
      <c r="R1764" s="6"/>
      <c r="S1764" s="298"/>
    </row>
    <row r="1765" spans="14:19" hidden="1" x14ac:dyDescent="0.25">
      <c r="N1765" s="17">
        <v>376.09999999997399</v>
      </c>
      <c r="O1765" s="16" t="s">
        <v>1329</v>
      </c>
      <c r="R1765" s="6"/>
      <c r="S1765" s="298"/>
    </row>
    <row r="1766" spans="14:19" hidden="1" x14ac:dyDescent="0.25">
      <c r="N1766" s="17">
        <v>376.19999999997401</v>
      </c>
      <c r="O1766" s="16" t="s">
        <v>1330</v>
      </c>
      <c r="R1766" s="6"/>
      <c r="S1766" s="298"/>
    </row>
    <row r="1767" spans="14:19" hidden="1" x14ac:dyDescent="0.25">
      <c r="N1767" s="17">
        <v>376.29999999997398</v>
      </c>
      <c r="O1767" s="16" t="s">
        <v>1331</v>
      </c>
      <c r="R1767" s="6"/>
      <c r="S1767" s="298"/>
    </row>
    <row r="1768" spans="14:19" hidden="1" x14ac:dyDescent="0.25">
      <c r="N1768" s="17">
        <v>376.399999999974</v>
      </c>
      <c r="O1768" s="16" t="s">
        <v>1332</v>
      </c>
      <c r="R1768" s="6"/>
      <c r="S1768" s="298"/>
    </row>
    <row r="1769" spans="14:19" hidden="1" x14ac:dyDescent="0.25">
      <c r="N1769" s="17">
        <v>376.49999999997402</v>
      </c>
      <c r="O1769" s="16" t="s">
        <v>1333</v>
      </c>
      <c r="R1769" s="6"/>
      <c r="S1769" s="298"/>
    </row>
    <row r="1770" spans="14:19" hidden="1" x14ac:dyDescent="0.25">
      <c r="N1770" s="17">
        <v>376.59999999997399</v>
      </c>
      <c r="O1770" s="16" t="s">
        <v>1334</v>
      </c>
      <c r="R1770" s="6"/>
      <c r="S1770" s="298"/>
    </row>
    <row r="1771" spans="14:19" hidden="1" x14ac:dyDescent="0.25">
      <c r="N1771" s="17">
        <v>376.69999999997401</v>
      </c>
      <c r="O1771" s="16" t="s">
        <v>1335</v>
      </c>
      <c r="R1771" s="6"/>
      <c r="S1771" s="298"/>
    </row>
    <row r="1772" spans="14:19" hidden="1" x14ac:dyDescent="0.25">
      <c r="N1772" s="17">
        <v>376.79999999997398</v>
      </c>
      <c r="O1772" s="16" t="s">
        <v>1336</v>
      </c>
      <c r="R1772" s="6"/>
      <c r="S1772" s="298"/>
    </row>
    <row r="1773" spans="14:19" hidden="1" x14ac:dyDescent="0.25">
      <c r="N1773" s="17">
        <v>376.899999999974</v>
      </c>
      <c r="O1773" s="16" t="s">
        <v>1337</v>
      </c>
      <c r="R1773" s="6"/>
      <c r="S1773" s="298"/>
    </row>
    <row r="1774" spans="14:19" hidden="1" x14ac:dyDescent="0.25">
      <c r="N1774" s="17">
        <v>376.99999999997402</v>
      </c>
      <c r="O1774" s="16" t="s">
        <v>1338</v>
      </c>
      <c r="R1774" s="6"/>
      <c r="S1774" s="298"/>
    </row>
    <row r="1775" spans="14:19" hidden="1" x14ac:dyDescent="0.25">
      <c r="N1775" s="17">
        <v>377.09999999997399</v>
      </c>
      <c r="O1775" s="16" t="s">
        <v>1339</v>
      </c>
      <c r="R1775" s="6"/>
      <c r="S1775" s="298"/>
    </row>
    <row r="1776" spans="14:19" hidden="1" x14ac:dyDescent="0.25">
      <c r="N1776" s="17">
        <v>377.19999999997401</v>
      </c>
      <c r="O1776" s="16" t="s">
        <v>1340</v>
      </c>
      <c r="R1776" s="6"/>
      <c r="S1776" s="298"/>
    </row>
    <row r="1777" spans="14:19" hidden="1" x14ac:dyDescent="0.25">
      <c r="N1777" s="17">
        <v>377.29999999997398</v>
      </c>
      <c r="O1777" s="16" t="s">
        <v>1341</v>
      </c>
      <c r="R1777" s="6"/>
      <c r="S1777" s="298"/>
    </row>
    <row r="1778" spans="14:19" hidden="1" x14ac:dyDescent="0.25">
      <c r="N1778" s="17">
        <v>377.399999999974</v>
      </c>
      <c r="O1778" s="16" t="s">
        <v>1342</v>
      </c>
      <c r="R1778" s="6"/>
      <c r="S1778" s="298"/>
    </row>
    <row r="1779" spans="14:19" hidden="1" x14ac:dyDescent="0.25">
      <c r="N1779" s="17">
        <v>377.49999999997402</v>
      </c>
      <c r="O1779" s="16" t="s">
        <v>1343</v>
      </c>
      <c r="R1779" s="6"/>
      <c r="S1779" s="298"/>
    </row>
    <row r="1780" spans="14:19" hidden="1" x14ac:dyDescent="0.25">
      <c r="N1780" s="17">
        <v>377.59999999997399</v>
      </c>
      <c r="O1780" s="16" t="s">
        <v>1344</v>
      </c>
      <c r="R1780" s="6"/>
      <c r="S1780" s="298"/>
    </row>
    <row r="1781" spans="14:19" hidden="1" x14ac:dyDescent="0.25">
      <c r="N1781" s="17">
        <v>377.69999999997401</v>
      </c>
      <c r="O1781" s="16" t="s">
        <v>1345</v>
      </c>
      <c r="R1781" s="6"/>
      <c r="S1781" s="298"/>
    </row>
    <row r="1782" spans="14:19" hidden="1" x14ac:dyDescent="0.25">
      <c r="N1782" s="17">
        <v>377.79999999997398</v>
      </c>
      <c r="O1782" s="16" t="s">
        <v>1346</v>
      </c>
      <c r="R1782" s="6"/>
      <c r="S1782" s="298"/>
    </row>
    <row r="1783" spans="14:19" hidden="1" x14ac:dyDescent="0.25">
      <c r="N1783" s="17">
        <v>377.89999999997298</v>
      </c>
      <c r="O1783" s="16" t="s">
        <v>1347</v>
      </c>
      <c r="R1783" s="6"/>
      <c r="S1783" s="298"/>
    </row>
    <row r="1784" spans="14:19" hidden="1" x14ac:dyDescent="0.25">
      <c r="N1784" s="17">
        <v>377.999999999973</v>
      </c>
      <c r="O1784" s="16" t="s">
        <v>1348</v>
      </c>
      <c r="R1784" s="6"/>
      <c r="S1784" s="298"/>
    </row>
    <row r="1785" spans="14:19" hidden="1" x14ac:dyDescent="0.25">
      <c r="N1785" s="17">
        <v>378.09999999997302</v>
      </c>
      <c r="O1785" s="16" t="s">
        <v>1349</v>
      </c>
      <c r="R1785" s="6"/>
      <c r="S1785" s="298"/>
    </row>
    <row r="1786" spans="14:19" hidden="1" x14ac:dyDescent="0.25">
      <c r="N1786" s="17">
        <v>378.19999999997299</v>
      </c>
      <c r="O1786" s="16" t="s">
        <v>1350</v>
      </c>
      <c r="R1786" s="6"/>
      <c r="S1786" s="298"/>
    </row>
    <row r="1787" spans="14:19" hidden="1" x14ac:dyDescent="0.25">
      <c r="N1787" s="17">
        <v>378.29999999997301</v>
      </c>
      <c r="O1787" s="16" t="s">
        <v>1351</v>
      </c>
      <c r="R1787" s="6"/>
      <c r="S1787" s="298"/>
    </row>
    <row r="1788" spans="14:19" hidden="1" x14ac:dyDescent="0.25">
      <c r="N1788" s="17">
        <v>378.39999999997298</v>
      </c>
      <c r="O1788" s="16" t="s">
        <v>1352</v>
      </c>
      <c r="R1788" s="6"/>
      <c r="S1788" s="298"/>
    </row>
    <row r="1789" spans="14:19" hidden="1" x14ac:dyDescent="0.25">
      <c r="N1789" s="17">
        <v>378.499999999973</v>
      </c>
      <c r="O1789" s="16" t="s">
        <v>1353</v>
      </c>
      <c r="R1789" s="6"/>
      <c r="S1789" s="298"/>
    </row>
    <row r="1790" spans="14:19" hidden="1" x14ac:dyDescent="0.25">
      <c r="N1790" s="17">
        <v>378.59999999997302</v>
      </c>
      <c r="O1790" s="16" t="s">
        <v>1354</v>
      </c>
      <c r="R1790" s="6"/>
      <c r="S1790" s="298"/>
    </row>
    <row r="1791" spans="14:19" hidden="1" x14ac:dyDescent="0.25">
      <c r="N1791" s="17">
        <v>378.69999999997299</v>
      </c>
      <c r="O1791" s="16" t="s">
        <v>1355</v>
      </c>
      <c r="R1791" s="6"/>
      <c r="S1791" s="298"/>
    </row>
    <row r="1792" spans="14:19" hidden="1" x14ac:dyDescent="0.25">
      <c r="N1792" s="17">
        <v>378.79999999997301</v>
      </c>
      <c r="O1792" s="16" t="s">
        <v>1356</v>
      </c>
      <c r="R1792" s="6"/>
      <c r="S1792" s="298"/>
    </row>
    <row r="1793" spans="14:19" hidden="1" x14ac:dyDescent="0.25">
      <c r="N1793" s="17">
        <v>378.89999999997298</v>
      </c>
      <c r="O1793" s="16" t="s">
        <v>1357</v>
      </c>
      <c r="R1793" s="6"/>
      <c r="S1793" s="298"/>
    </row>
    <row r="1794" spans="14:19" hidden="1" x14ac:dyDescent="0.25">
      <c r="N1794" s="17">
        <v>378.999999999973</v>
      </c>
      <c r="O1794" s="16" t="s">
        <v>1358</v>
      </c>
      <c r="R1794" s="6"/>
      <c r="S1794" s="298"/>
    </row>
    <row r="1795" spans="14:19" hidden="1" x14ac:dyDescent="0.25">
      <c r="N1795" s="17">
        <v>379.09999999997302</v>
      </c>
      <c r="O1795" s="16" t="s">
        <v>1359</v>
      </c>
      <c r="R1795" s="6"/>
      <c r="S1795" s="298"/>
    </row>
    <row r="1796" spans="14:19" hidden="1" x14ac:dyDescent="0.25">
      <c r="N1796" s="17">
        <v>379.19999999997299</v>
      </c>
      <c r="O1796" s="16" t="s">
        <v>1360</v>
      </c>
      <c r="R1796" s="6"/>
      <c r="S1796" s="298"/>
    </row>
    <row r="1797" spans="14:19" hidden="1" x14ac:dyDescent="0.25">
      <c r="N1797" s="17">
        <v>379.29999999997301</v>
      </c>
      <c r="O1797" s="16" t="s">
        <v>1361</v>
      </c>
      <c r="R1797" s="6"/>
      <c r="S1797" s="298"/>
    </row>
    <row r="1798" spans="14:19" hidden="1" x14ac:dyDescent="0.25">
      <c r="N1798" s="17">
        <v>379.39999999997298</v>
      </c>
      <c r="O1798" s="16" t="s">
        <v>1362</v>
      </c>
      <c r="R1798" s="6"/>
      <c r="S1798" s="298"/>
    </row>
    <row r="1799" spans="14:19" hidden="1" x14ac:dyDescent="0.25">
      <c r="N1799" s="17">
        <v>379.499999999973</v>
      </c>
      <c r="O1799" s="16" t="s">
        <v>1363</v>
      </c>
      <c r="R1799" s="6"/>
      <c r="S1799" s="298"/>
    </row>
    <row r="1800" spans="14:19" hidden="1" x14ac:dyDescent="0.25">
      <c r="N1800" s="17">
        <v>379.59999999997302</v>
      </c>
      <c r="O1800" s="16" t="s">
        <v>1364</v>
      </c>
      <c r="R1800" s="6"/>
      <c r="S1800" s="298"/>
    </row>
    <row r="1801" spans="14:19" hidden="1" x14ac:dyDescent="0.25">
      <c r="N1801" s="17">
        <v>379.69999999997299</v>
      </c>
      <c r="O1801" s="16" t="s">
        <v>1365</v>
      </c>
      <c r="R1801" s="6"/>
      <c r="S1801" s="298"/>
    </row>
    <row r="1802" spans="14:19" hidden="1" x14ac:dyDescent="0.25">
      <c r="N1802" s="17">
        <v>379.79999999997301</v>
      </c>
      <c r="O1802" s="16" t="s">
        <v>1637</v>
      </c>
      <c r="R1802" s="6"/>
      <c r="S1802" s="298"/>
    </row>
    <row r="1803" spans="14:19" hidden="1" x14ac:dyDescent="0.25">
      <c r="N1803" s="17">
        <v>379.89999999997298</v>
      </c>
      <c r="O1803" s="16" t="s">
        <v>1638</v>
      </c>
      <c r="R1803" s="6"/>
      <c r="S1803" s="298"/>
    </row>
    <row r="1804" spans="14:19" hidden="1" x14ac:dyDescent="0.25">
      <c r="N1804" s="17">
        <v>379.999999999973</v>
      </c>
      <c r="O1804" s="16" t="s">
        <v>1639</v>
      </c>
      <c r="R1804" s="6"/>
      <c r="S1804" s="298"/>
    </row>
    <row r="1805" spans="14:19" hidden="1" x14ac:dyDescent="0.25">
      <c r="N1805" s="17">
        <v>380.09999999997302</v>
      </c>
      <c r="O1805" s="16" t="s">
        <v>1640</v>
      </c>
      <c r="R1805" s="6"/>
      <c r="S1805" s="298"/>
    </row>
    <row r="1806" spans="14:19" hidden="1" x14ac:dyDescent="0.25">
      <c r="N1806" s="17">
        <v>380.19999999997299</v>
      </c>
      <c r="O1806" s="16" t="s">
        <v>1641</v>
      </c>
      <c r="R1806" s="6"/>
      <c r="S1806" s="298"/>
    </row>
    <row r="1807" spans="14:19" hidden="1" x14ac:dyDescent="0.25">
      <c r="N1807" s="17">
        <v>380.29999999997301</v>
      </c>
      <c r="O1807" s="16" t="s">
        <v>1642</v>
      </c>
      <c r="R1807" s="6"/>
      <c r="S1807" s="298"/>
    </row>
    <row r="1808" spans="14:19" hidden="1" x14ac:dyDescent="0.25">
      <c r="N1808" s="17">
        <v>380.39999999997298</v>
      </c>
      <c r="O1808" s="16" t="s">
        <v>1643</v>
      </c>
      <c r="R1808" s="6"/>
      <c r="S1808" s="298"/>
    </row>
    <row r="1809" spans="14:19" hidden="1" x14ac:dyDescent="0.25">
      <c r="N1809" s="17">
        <v>380.499999999973</v>
      </c>
      <c r="O1809" s="16" t="s">
        <v>1644</v>
      </c>
      <c r="R1809" s="6"/>
      <c r="S1809" s="298"/>
    </row>
    <row r="1810" spans="14:19" hidden="1" x14ac:dyDescent="0.25">
      <c r="N1810" s="17">
        <v>380.59999999997302</v>
      </c>
      <c r="O1810" s="16" t="s">
        <v>1645</v>
      </c>
      <c r="R1810" s="6"/>
      <c r="S1810" s="298"/>
    </row>
    <row r="1811" spans="14:19" hidden="1" x14ac:dyDescent="0.25">
      <c r="N1811" s="17">
        <v>380.69999999997299</v>
      </c>
      <c r="O1811" s="16" t="s">
        <v>1646</v>
      </c>
      <c r="R1811" s="6"/>
      <c r="S1811" s="298"/>
    </row>
    <row r="1812" spans="14:19" hidden="1" x14ac:dyDescent="0.25">
      <c r="N1812" s="17">
        <v>380.79999999997301</v>
      </c>
      <c r="O1812" s="16" t="s">
        <v>1647</v>
      </c>
      <c r="R1812" s="6"/>
      <c r="S1812" s="298"/>
    </row>
    <row r="1813" spans="14:19" hidden="1" x14ac:dyDescent="0.25">
      <c r="N1813" s="17">
        <v>380.89999999997201</v>
      </c>
      <c r="O1813" s="16" t="s">
        <v>1648</v>
      </c>
      <c r="R1813" s="6"/>
      <c r="S1813" s="298"/>
    </row>
    <row r="1814" spans="14:19" hidden="1" x14ac:dyDescent="0.25">
      <c r="N1814" s="17">
        <v>380.99999999997198</v>
      </c>
      <c r="O1814" s="16" t="s">
        <v>1649</v>
      </c>
      <c r="R1814" s="6"/>
      <c r="S1814" s="298"/>
    </row>
    <row r="1815" spans="14:19" hidden="1" x14ac:dyDescent="0.25">
      <c r="N1815" s="17">
        <v>381.099999999972</v>
      </c>
      <c r="O1815" s="16" t="s">
        <v>1650</v>
      </c>
      <c r="R1815" s="6"/>
      <c r="S1815" s="298"/>
    </row>
    <row r="1816" spans="14:19" hidden="1" x14ac:dyDescent="0.25">
      <c r="N1816" s="17">
        <v>381.19999999997202</v>
      </c>
      <c r="O1816" s="16" t="s">
        <v>1651</v>
      </c>
      <c r="R1816" s="6"/>
      <c r="S1816" s="298"/>
    </row>
    <row r="1817" spans="14:19" hidden="1" x14ac:dyDescent="0.25">
      <c r="N1817" s="17">
        <v>381.29999999997199</v>
      </c>
      <c r="O1817" s="16" t="s">
        <v>1652</v>
      </c>
      <c r="R1817" s="6"/>
      <c r="S1817" s="298"/>
    </row>
    <row r="1818" spans="14:19" hidden="1" x14ac:dyDescent="0.25">
      <c r="N1818" s="17">
        <v>381.39999999997201</v>
      </c>
      <c r="O1818" s="16" t="s">
        <v>1653</v>
      </c>
      <c r="R1818" s="6"/>
      <c r="S1818" s="298"/>
    </row>
    <row r="1819" spans="14:19" hidden="1" x14ac:dyDescent="0.25">
      <c r="N1819" s="17">
        <v>381.49999999997198</v>
      </c>
      <c r="O1819" s="16" t="s">
        <v>1654</v>
      </c>
      <c r="R1819" s="6"/>
      <c r="S1819" s="298"/>
    </row>
    <row r="1820" spans="14:19" hidden="1" x14ac:dyDescent="0.25">
      <c r="N1820" s="17">
        <v>381.599999999972</v>
      </c>
      <c r="O1820" s="16" t="s">
        <v>3841</v>
      </c>
      <c r="R1820" s="6"/>
      <c r="S1820" s="298"/>
    </row>
    <row r="1821" spans="14:19" hidden="1" x14ac:dyDescent="0.25">
      <c r="N1821" s="17">
        <v>381.69999999997202</v>
      </c>
      <c r="O1821" s="16" t="s">
        <v>236</v>
      </c>
      <c r="R1821" s="6"/>
      <c r="S1821" s="298"/>
    </row>
    <row r="1822" spans="14:19" hidden="1" x14ac:dyDescent="0.25">
      <c r="N1822" s="17">
        <v>381.79999999997199</v>
      </c>
      <c r="O1822" s="16" t="s">
        <v>237</v>
      </c>
      <c r="R1822" s="6"/>
      <c r="S1822" s="298"/>
    </row>
    <row r="1823" spans="14:19" hidden="1" x14ac:dyDescent="0.25">
      <c r="N1823" s="17">
        <v>381.89999999997201</v>
      </c>
      <c r="O1823" s="16" t="s">
        <v>238</v>
      </c>
      <c r="R1823" s="6"/>
      <c r="S1823" s="298"/>
    </row>
    <row r="1824" spans="14:19" hidden="1" x14ac:dyDescent="0.25">
      <c r="N1824" s="17">
        <v>381.99999999997198</v>
      </c>
      <c r="O1824" s="16" t="s">
        <v>239</v>
      </c>
      <c r="R1824" s="6"/>
      <c r="S1824" s="298"/>
    </row>
    <row r="1825" spans="14:19" hidden="1" x14ac:dyDescent="0.25">
      <c r="N1825" s="17">
        <v>382.099999999972</v>
      </c>
      <c r="O1825" s="16" t="s">
        <v>240</v>
      </c>
      <c r="R1825" s="6"/>
      <c r="S1825" s="298"/>
    </row>
    <row r="1826" spans="14:19" hidden="1" x14ac:dyDescent="0.25">
      <c r="N1826" s="17">
        <v>382.19999999997202</v>
      </c>
      <c r="O1826" s="16" t="s">
        <v>241</v>
      </c>
      <c r="R1826" s="6"/>
      <c r="S1826" s="298"/>
    </row>
    <row r="1827" spans="14:19" hidden="1" x14ac:dyDescent="0.25">
      <c r="N1827" s="17">
        <v>382.29999999997199</v>
      </c>
      <c r="O1827" s="16" t="s">
        <v>242</v>
      </c>
      <c r="R1827" s="6"/>
      <c r="S1827" s="298"/>
    </row>
    <row r="1828" spans="14:19" hidden="1" x14ac:dyDescent="0.25">
      <c r="N1828" s="17">
        <v>382.39999999997201</v>
      </c>
      <c r="O1828" s="16" t="s">
        <v>243</v>
      </c>
      <c r="R1828" s="6"/>
      <c r="S1828" s="298"/>
    </row>
    <row r="1829" spans="14:19" hidden="1" x14ac:dyDescent="0.25">
      <c r="N1829" s="17">
        <v>382.49999999997198</v>
      </c>
      <c r="O1829" s="16" t="s">
        <v>244</v>
      </c>
      <c r="R1829" s="6"/>
      <c r="S1829" s="298"/>
    </row>
    <row r="1830" spans="14:19" hidden="1" x14ac:dyDescent="0.25">
      <c r="N1830" s="17">
        <v>382.599999999972</v>
      </c>
      <c r="O1830" s="16" t="s">
        <v>227</v>
      </c>
      <c r="R1830" s="6"/>
      <c r="S1830" s="298"/>
    </row>
    <row r="1831" spans="14:19" hidden="1" x14ac:dyDescent="0.25">
      <c r="N1831" s="17">
        <v>382.69999999997202</v>
      </c>
      <c r="O1831" s="16" t="s">
        <v>228</v>
      </c>
      <c r="R1831" s="6"/>
      <c r="S1831" s="298"/>
    </row>
    <row r="1832" spans="14:19" hidden="1" x14ac:dyDescent="0.25">
      <c r="N1832" s="17">
        <v>382.79999999997199</v>
      </c>
      <c r="O1832" s="16" t="s">
        <v>229</v>
      </c>
      <c r="R1832" s="6"/>
      <c r="S1832" s="298"/>
    </row>
    <row r="1833" spans="14:19" hidden="1" x14ac:dyDescent="0.25">
      <c r="N1833" s="17">
        <v>382.89999999997201</v>
      </c>
      <c r="O1833" s="16" t="s">
        <v>281</v>
      </c>
      <c r="R1833" s="6"/>
      <c r="S1833" s="298"/>
    </row>
    <row r="1834" spans="14:19" hidden="1" x14ac:dyDescent="0.25">
      <c r="N1834" s="17">
        <v>382.99999999997198</v>
      </c>
      <c r="O1834" s="16" t="s">
        <v>282</v>
      </c>
      <c r="R1834" s="6"/>
      <c r="S1834" s="298"/>
    </row>
    <row r="1835" spans="14:19" hidden="1" x14ac:dyDescent="0.25">
      <c r="N1835" s="17">
        <v>383.099999999972</v>
      </c>
      <c r="O1835" s="16" t="s">
        <v>283</v>
      </c>
      <c r="R1835" s="6"/>
      <c r="S1835" s="298"/>
    </row>
    <row r="1836" spans="14:19" hidden="1" x14ac:dyDescent="0.25">
      <c r="N1836" s="17">
        <v>383.19999999997202</v>
      </c>
      <c r="O1836" s="16" t="s">
        <v>3681</v>
      </c>
      <c r="R1836" s="6"/>
      <c r="S1836" s="298"/>
    </row>
    <row r="1837" spans="14:19" hidden="1" x14ac:dyDescent="0.25">
      <c r="N1837" s="17">
        <v>383.29999999997199</v>
      </c>
      <c r="O1837" s="16" t="s">
        <v>3682</v>
      </c>
      <c r="R1837" s="6"/>
      <c r="S1837" s="298"/>
    </row>
    <row r="1838" spans="14:19" hidden="1" x14ac:dyDescent="0.25">
      <c r="N1838" s="17">
        <v>383.39999999997201</v>
      </c>
      <c r="O1838" s="16" t="s">
        <v>3683</v>
      </c>
      <c r="R1838" s="6"/>
      <c r="S1838" s="298"/>
    </row>
    <row r="1839" spans="14:19" hidden="1" x14ac:dyDescent="0.25">
      <c r="N1839" s="17">
        <v>383.49999999997198</v>
      </c>
      <c r="O1839" s="16" t="s">
        <v>3684</v>
      </c>
      <c r="R1839" s="6"/>
      <c r="S1839" s="298"/>
    </row>
    <row r="1840" spans="14:19" hidden="1" x14ac:dyDescent="0.25">
      <c r="N1840" s="17">
        <v>383.59999999997098</v>
      </c>
      <c r="O1840" s="16" t="s">
        <v>3685</v>
      </c>
      <c r="R1840" s="6"/>
      <c r="S1840" s="298"/>
    </row>
    <row r="1841" spans="14:19" hidden="1" x14ac:dyDescent="0.25">
      <c r="N1841" s="17">
        <v>383.69999999997202</v>
      </c>
      <c r="O1841" s="16" t="s">
        <v>3686</v>
      </c>
      <c r="R1841" s="6"/>
      <c r="S1841" s="298"/>
    </row>
    <row r="1842" spans="14:19" hidden="1" x14ac:dyDescent="0.25">
      <c r="N1842" s="17">
        <v>383.79999999997199</v>
      </c>
      <c r="O1842" s="16" t="s">
        <v>3687</v>
      </c>
      <c r="R1842" s="6"/>
      <c r="S1842" s="298"/>
    </row>
    <row r="1843" spans="14:19" hidden="1" x14ac:dyDescent="0.25">
      <c r="N1843" s="17">
        <v>383.89999999997099</v>
      </c>
      <c r="O1843" s="16" t="s">
        <v>3688</v>
      </c>
      <c r="R1843" s="6"/>
      <c r="S1843" s="298"/>
    </row>
    <row r="1844" spans="14:19" hidden="1" x14ac:dyDescent="0.25">
      <c r="N1844" s="17">
        <v>383.99999999997101</v>
      </c>
      <c r="O1844" s="16" t="s">
        <v>3689</v>
      </c>
      <c r="R1844" s="6"/>
      <c r="S1844" s="298"/>
    </row>
    <row r="1845" spans="14:19" hidden="1" x14ac:dyDescent="0.25">
      <c r="N1845" s="17">
        <v>384.09999999997098</v>
      </c>
      <c r="O1845" s="16" t="s">
        <v>3690</v>
      </c>
      <c r="R1845" s="6"/>
      <c r="S1845" s="298"/>
    </row>
    <row r="1846" spans="14:19" hidden="1" x14ac:dyDescent="0.25">
      <c r="N1846" s="17">
        <v>384.199999999971</v>
      </c>
      <c r="O1846" s="16" t="s">
        <v>3691</v>
      </c>
      <c r="R1846" s="6"/>
      <c r="S1846" s="298"/>
    </row>
    <row r="1847" spans="14:19" hidden="1" x14ac:dyDescent="0.25">
      <c r="N1847" s="17">
        <v>384.29999999997102</v>
      </c>
      <c r="O1847" s="16" t="s">
        <v>3692</v>
      </c>
      <c r="R1847" s="6"/>
      <c r="S1847" s="298"/>
    </row>
    <row r="1848" spans="14:19" hidden="1" x14ac:dyDescent="0.25">
      <c r="N1848" s="17">
        <v>384.39999999997099</v>
      </c>
      <c r="O1848" s="16" t="s">
        <v>3693</v>
      </c>
      <c r="R1848" s="6"/>
      <c r="S1848" s="298"/>
    </row>
    <row r="1849" spans="14:19" hidden="1" x14ac:dyDescent="0.25">
      <c r="N1849" s="17">
        <v>384.49999999997101</v>
      </c>
      <c r="O1849" s="16" t="s">
        <v>3694</v>
      </c>
      <c r="R1849" s="6"/>
      <c r="S1849" s="298"/>
    </row>
    <row r="1850" spans="14:19" hidden="1" x14ac:dyDescent="0.25">
      <c r="N1850" s="17">
        <v>384.59999999997098</v>
      </c>
      <c r="O1850" s="16" t="s">
        <v>3695</v>
      </c>
      <c r="R1850" s="6"/>
      <c r="S1850" s="298"/>
    </row>
    <row r="1851" spans="14:19" hidden="1" x14ac:dyDescent="0.25">
      <c r="N1851" s="17">
        <v>384.699999999971</v>
      </c>
      <c r="O1851" s="16" t="s">
        <v>1486</v>
      </c>
      <c r="R1851" s="6"/>
      <c r="S1851" s="298"/>
    </row>
    <row r="1852" spans="14:19" hidden="1" x14ac:dyDescent="0.25">
      <c r="N1852" s="17">
        <v>384.79999999997102</v>
      </c>
      <c r="O1852" s="16" t="s">
        <v>1487</v>
      </c>
      <c r="R1852" s="6"/>
      <c r="S1852" s="298"/>
    </row>
    <row r="1853" spans="14:19" hidden="1" x14ac:dyDescent="0.25">
      <c r="N1853" s="17">
        <v>384.89999999997099</v>
      </c>
      <c r="O1853" s="16" t="s">
        <v>1488</v>
      </c>
      <c r="R1853" s="6"/>
      <c r="S1853" s="298"/>
    </row>
    <row r="1854" spans="14:19" hidden="1" x14ac:dyDescent="0.25">
      <c r="N1854" s="17">
        <v>384.99999999997101</v>
      </c>
      <c r="O1854" s="16" t="s">
        <v>1489</v>
      </c>
      <c r="R1854" s="6"/>
      <c r="S1854" s="298"/>
    </row>
    <row r="1855" spans="14:19" hidden="1" x14ac:dyDescent="0.25">
      <c r="N1855" s="17">
        <v>385.09999999997098</v>
      </c>
      <c r="O1855" s="16" t="s">
        <v>1490</v>
      </c>
      <c r="R1855" s="6"/>
      <c r="S1855" s="298"/>
    </row>
    <row r="1856" spans="14:19" hidden="1" x14ac:dyDescent="0.25">
      <c r="N1856" s="17">
        <v>385.199999999971</v>
      </c>
      <c r="O1856" s="16" t="s">
        <v>1491</v>
      </c>
      <c r="R1856" s="6"/>
      <c r="S1856" s="298"/>
    </row>
    <row r="1857" spans="14:19" hidden="1" x14ac:dyDescent="0.25">
      <c r="N1857" s="17">
        <v>385.29999999997102</v>
      </c>
      <c r="O1857" s="16" t="s">
        <v>1492</v>
      </c>
      <c r="R1857" s="6"/>
      <c r="S1857" s="298"/>
    </row>
    <row r="1858" spans="14:19" hidden="1" x14ac:dyDescent="0.25">
      <c r="N1858" s="17">
        <v>385.39999999997099</v>
      </c>
      <c r="O1858" s="16" t="s">
        <v>1493</v>
      </c>
      <c r="R1858" s="6"/>
      <c r="S1858" s="298"/>
    </row>
    <row r="1859" spans="14:19" hidden="1" x14ac:dyDescent="0.25">
      <c r="N1859" s="17">
        <v>385.49999999997101</v>
      </c>
      <c r="O1859" s="16" t="s">
        <v>1494</v>
      </c>
      <c r="R1859" s="6"/>
      <c r="S1859" s="298"/>
    </row>
    <row r="1860" spans="14:19" hidden="1" x14ac:dyDescent="0.25">
      <c r="N1860" s="17">
        <v>385.59999999997098</v>
      </c>
      <c r="O1860" s="16" t="s">
        <v>1495</v>
      </c>
      <c r="R1860" s="6"/>
      <c r="S1860" s="298"/>
    </row>
    <row r="1861" spans="14:19" hidden="1" x14ac:dyDescent="0.25">
      <c r="N1861" s="17">
        <v>385.699999999971</v>
      </c>
      <c r="O1861" s="16" t="s">
        <v>1496</v>
      </c>
      <c r="R1861" s="6"/>
      <c r="S1861" s="298"/>
    </row>
    <row r="1862" spans="14:19" hidden="1" x14ac:dyDescent="0.25">
      <c r="N1862" s="17">
        <v>385.79999999997102</v>
      </c>
      <c r="O1862" s="16" t="s">
        <v>1497</v>
      </c>
      <c r="R1862" s="6"/>
      <c r="S1862" s="298"/>
    </row>
    <row r="1863" spans="14:19" hidden="1" x14ac:dyDescent="0.25">
      <c r="N1863" s="17">
        <v>385.89999999997099</v>
      </c>
      <c r="O1863" s="16" t="s">
        <v>1498</v>
      </c>
      <c r="R1863" s="6"/>
      <c r="S1863" s="298"/>
    </row>
    <row r="1864" spans="14:19" hidden="1" x14ac:dyDescent="0.25">
      <c r="N1864" s="17">
        <v>385.99999999997101</v>
      </c>
      <c r="O1864" s="16" t="s">
        <v>1499</v>
      </c>
      <c r="R1864" s="6"/>
      <c r="S1864" s="298"/>
    </row>
    <row r="1865" spans="14:19" hidden="1" x14ac:dyDescent="0.25">
      <c r="N1865" s="17">
        <v>386.09999999997098</v>
      </c>
      <c r="O1865" s="16" t="s">
        <v>1490</v>
      </c>
      <c r="R1865" s="6"/>
      <c r="S1865" s="298"/>
    </row>
    <row r="1866" spans="14:19" hidden="1" x14ac:dyDescent="0.25">
      <c r="N1866" s="17">
        <v>386.199999999971</v>
      </c>
      <c r="O1866" s="16" t="s">
        <v>1491</v>
      </c>
      <c r="R1866" s="6"/>
      <c r="S1866" s="298"/>
    </row>
    <row r="1867" spans="14:19" hidden="1" x14ac:dyDescent="0.25">
      <c r="N1867" s="17">
        <v>386.29999999997102</v>
      </c>
      <c r="O1867" s="16" t="s">
        <v>1492</v>
      </c>
      <c r="R1867" s="6"/>
      <c r="S1867" s="298"/>
    </row>
    <row r="1868" spans="14:19" hidden="1" x14ac:dyDescent="0.25">
      <c r="N1868" s="17">
        <v>386.39999999997099</v>
      </c>
      <c r="O1868" s="16" t="s">
        <v>1493</v>
      </c>
      <c r="R1868" s="6"/>
      <c r="S1868" s="298"/>
    </row>
    <row r="1869" spans="14:19" hidden="1" x14ac:dyDescent="0.25">
      <c r="N1869" s="17">
        <v>386.49999999997101</v>
      </c>
      <c r="O1869" s="16" t="s">
        <v>1494</v>
      </c>
      <c r="R1869" s="6"/>
      <c r="S1869" s="298"/>
    </row>
    <row r="1870" spans="14:19" hidden="1" x14ac:dyDescent="0.25">
      <c r="N1870" s="17">
        <v>386.59999999997098</v>
      </c>
      <c r="O1870" s="16" t="s">
        <v>1495</v>
      </c>
      <c r="R1870" s="6"/>
      <c r="S1870" s="298"/>
    </row>
    <row r="1871" spans="14:19" hidden="1" x14ac:dyDescent="0.25">
      <c r="N1871" s="17">
        <v>386.699999999971</v>
      </c>
      <c r="O1871" s="16" t="s">
        <v>1496</v>
      </c>
      <c r="R1871" s="6"/>
      <c r="S1871" s="298"/>
    </row>
    <row r="1872" spans="14:19" hidden="1" x14ac:dyDescent="0.25">
      <c r="N1872" s="17">
        <v>386.79999999997</v>
      </c>
      <c r="O1872" s="16" t="s">
        <v>1497</v>
      </c>
      <c r="R1872" s="6"/>
      <c r="S1872" s="298"/>
    </row>
    <row r="1873" spans="14:19" hidden="1" x14ac:dyDescent="0.25">
      <c r="N1873" s="17">
        <v>386.89999999997002</v>
      </c>
      <c r="O1873" s="16" t="s">
        <v>1498</v>
      </c>
      <c r="R1873" s="6"/>
      <c r="S1873" s="298"/>
    </row>
    <row r="1874" spans="14:19" hidden="1" x14ac:dyDescent="0.25">
      <c r="N1874" s="17">
        <v>386.99999999996999</v>
      </c>
      <c r="O1874" s="16" t="s">
        <v>1500</v>
      </c>
      <c r="R1874" s="6"/>
      <c r="S1874" s="298"/>
    </row>
    <row r="1875" spans="14:19" hidden="1" x14ac:dyDescent="0.25">
      <c r="N1875" s="17">
        <v>387.09999999997001</v>
      </c>
      <c r="O1875" s="16" t="s">
        <v>1501</v>
      </c>
      <c r="R1875" s="6"/>
      <c r="S1875" s="298"/>
    </row>
    <row r="1876" spans="14:19" hidden="1" x14ac:dyDescent="0.25">
      <c r="N1876" s="17">
        <v>387.19999999996998</v>
      </c>
      <c r="O1876" s="16" t="s">
        <v>1502</v>
      </c>
      <c r="R1876" s="6"/>
      <c r="S1876" s="298"/>
    </row>
    <row r="1877" spans="14:19" hidden="1" x14ac:dyDescent="0.25">
      <c r="N1877" s="17">
        <v>387.29999999997</v>
      </c>
      <c r="O1877" s="16" t="s">
        <v>1503</v>
      </c>
      <c r="R1877" s="6"/>
      <c r="S1877" s="298"/>
    </row>
    <row r="1878" spans="14:19" hidden="1" x14ac:dyDescent="0.25">
      <c r="N1878" s="17">
        <v>387.39999999997002</v>
      </c>
      <c r="O1878" s="16" t="s">
        <v>1504</v>
      </c>
      <c r="R1878" s="6"/>
      <c r="S1878" s="298"/>
    </row>
    <row r="1879" spans="14:19" hidden="1" x14ac:dyDescent="0.25">
      <c r="N1879" s="17">
        <v>387.49999999996999</v>
      </c>
      <c r="O1879" s="16" t="s">
        <v>1505</v>
      </c>
      <c r="R1879" s="6"/>
      <c r="S1879" s="298"/>
    </row>
    <row r="1880" spans="14:19" hidden="1" x14ac:dyDescent="0.25">
      <c r="N1880" s="17">
        <v>387.59999999997001</v>
      </c>
      <c r="O1880" s="16" t="s">
        <v>1506</v>
      </c>
      <c r="R1880" s="6"/>
      <c r="S1880" s="298"/>
    </row>
    <row r="1881" spans="14:19" hidden="1" x14ac:dyDescent="0.25">
      <c r="N1881" s="17">
        <v>387.69999999996998</v>
      </c>
      <c r="O1881" s="16" t="s">
        <v>1507</v>
      </c>
      <c r="R1881" s="6"/>
      <c r="S1881" s="298"/>
    </row>
    <row r="1882" spans="14:19" hidden="1" x14ac:dyDescent="0.25">
      <c r="N1882" s="17">
        <v>387.79999999997</v>
      </c>
      <c r="O1882" s="16" t="s">
        <v>1508</v>
      </c>
      <c r="R1882" s="6"/>
      <c r="S1882" s="298"/>
    </row>
    <row r="1883" spans="14:19" hidden="1" x14ac:dyDescent="0.25">
      <c r="N1883" s="17">
        <v>387.89999999997002</v>
      </c>
      <c r="O1883" s="16" t="s">
        <v>1509</v>
      </c>
      <c r="R1883" s="6"/>
      <c r="S1883" s="298"/>
    </row>
    <row r="1884" spans="14:19" hidden="1" x14ac:dyDescent="0.25">
      <c r="N1884" s="17">
        <v>387.99999999996999</v>
      </c>
      <c r="O1884" s="16" t="s">
        <v>1510</v>
      </c>
      <c r="R1884" s="6"/>
      <c r="S1884" s="298"/>
    </row>
    <row r="1885" spans="14:19" hidden="1" x14ac:dyDescent="0.25">
      <c r="N1885" s="17">
        <v>388.09999999997001</v>
      </c>
      <c r="O1885" s="16" t="s">
        <v>1511</v>
      </c>
      <c r="R1885" s="6"/>
      <c r="S1885" s="298"/>
    </row>
    <row r="1886" spans="14:19" hidden="1" x14ac:dyDescent="0.25">
      <c r="N1886" s="17">
        <v>388.19999999996998</v>
      </c>
      <c r="O1886" s="16" t="s">
        <v>1512</v>
      </c>
      <c r="R1886" s="6"/>
      <c r="S1886" s="298"/>
    </row>
    <row r="1887" spans="14:19" hidden="1" x14ac:dyDescent="0.25">
      <c r="N1887" s="17">
        <v>388.29999999997</v>
      </c>
      <c r="O1887" s="16" t="s">
        <v>1513</v>
      </c>
      <c r="R1887" s="6"/>
      <c r="S1887" s="298"/>
    </row>
    <row r="1888" spans="14:19" hidden="1" x14ac:dyDescent="0.25">
      <c r="N1888" s="17">
        <v>388.39999999997002</v>
      </c>
      <c r="O1888" s="16" t="s">
        <v>1514</v>
      </c>
      <c r="R1888" s="6"/>
      <c r="S1888" s="298"/>
    </row>
    <row r="1889" spans="14:19" hidden="1" x14ac:dyDescent="0.25">
      <c r="N1889" s="17">
        <v>388.49999999996999</v>
      </c>
      <c r="O1889" s="16" t="s">
        <v>1515</v>
      </c>
      <c r="R1889" s="6"/>
      <c r="S1889" s="298"/>
    </row>
    <row r="1890" spans="14:19" hidden="1" x14ac:dyDescent="0.25">
      <c r="N1890" s="17">
        <v>388.59999999997001</v>
      </c>
      <c r="O1890" s="16" t="s">
        <v>1516</v>
      </c>
      <c r="R1890" s="6"/>
      <c r="S1890" s="298"/>
    </row>
    <row r="1891" spans="14:19" hidden="1" x14ac:dyDescent="0.25">
      <c r="N1891" s="17">
        <v>388.69999999996998</v>
      </c>
      <c r="O1891" s="16" t="s">
        <v>1517</v>
      </c>
      <c r="R1891" s="6"/>
      <c r="S1891" s="298"/>
    </row>
    <row r="1892" spans="14:19" hidden="1" x14ac:dyDescent="0.25">
      <c r="N1892" s="17">
        <v>388.79999999997</v>
      </c>
      <c r="O1892" s="16" t="s">
        <v>1518</v>
      </c>
      <c r="R1892" s="6"/>
      <c r="S1892" s="298"/>
    </row>
    <row r="1893" spans="14:19" hidden="1" x14ac:dyDescent="0.25">
      <c r="N1893" s="17">
        <v>388.89999999997002</v>
      </c>
      <c r="O1893" s="16" t="s">
        <v>1519</v>
      </c>
      <c r="R1893" s="6"/>
      <c r="S1893" s="298"/>
    </row>
    <row r="1894" spans="14:19" hidden="1" x14ac:dyDescent="0.25">
      <c r="N1894" s="17">
        <v>388.99999999996999</v>
      </c>
      <c r="O1894" s="16" t="s">
        <v>1520</v>
      </c>
      <c r="R1894" s="6"/>
      <c r="S1894" s="298"/>
    </row>
    <row r="1895" spans="14:19" hidden="1" x14ac:dyDescent="0.25">
      <c r="N1895" s="17">
        <v>389.09999999997001</v>
      </c>
      <c r="O1895" s="16" t="s">
        <v>1521</v>
      </c>
      <c r="R1895" s="6"/>
      <c r="S1895" s="298"/>
    </row>
    <row r="1896" spans="14:19" hidden="1" x14ac:dyDescent="0.25">
      <c r="N1896" s="17">
        <v>389.19999999996998</v>
      </c>
      <c r="O1896" s="16" t="s">
        <v>1522</v>
      </c>
      <c r="R1896" s="6"/>
      <c r="S1896" s="298"/>
    </row>
    <row r="1897" spans="14:19" hidden="1" x14ac:dyDescent="0.25">
      <c r="N1897" s="17">
        <v>389.29999999997</v>
      </c>
      <c r="O1897" s="16" t="s">
        <v>1523</v>
      </c>
      <c r="R1897" s="6"/>
      <c r="S1897" s="298"/>
    </row>
    <row r="1898" spans="14:19" hidden="1" x14ac:dyDescent="0.25">
      <c r="N1898" s="17">
        <v>389.39999999997002</v>
      </c>
      <c r="O1898" s="16" t="s">
        <v>352</v>
      </c>
      <c r="R1898" s="6"/>
      <c r="S1898" s="298"/>
    </row>
    <row r="1899" spans="14:19" hidden="1" x14ac:dyDescent="0.25">
      <c r="N1899" s="17">
        <v>389.49999999996999</v>
      </c>
      <c r="O1899" s="16" t="s">
        <v>353</v>
      </c>
      <c r="R1899" s="6"/>
      <c r="S1899" s="298"/>
    </row>
    <row r="1900" spans="14:19" hidden="1" x14ac:dyDescent="0.25">
      <c r="N1900" s="17">
        <v>389.59999999997001</v>
      </c>
      <c r="O1900" s="16" t="s">
        <v>354</v>
      </c>
      <c r="R1900" s="6"/>
      <c r="S1900" s="298"/>
    </row>
    <row r="1901" spans="14:19" hidden="1" x14ac:dyDescent="0.25">
      <c r="N1901" s="17">
        <v>389.69999999996901</v>
      </c>
      <c r="O1901" s="16" t="s">
        <v>355</v>
      </c>
      <c r="R1901" s="6"/>
      <c r="S1901" s="298"/>
    </row>
    <row r="1902" spans="14:19" hidden="1" x14ac:dyDescent="0.25">
      <c r="N1902" s="17">
        <v>389.79999999996897</v>
      </c>
      <c r="O1902" s="16" t="s">
        <v>356</v>
      </c>
      <c r="R1902" s="6"/>
      <c r="S1902" s="298"/>
    </row>
    <row r="1903" spans="14:19" hidden="1" x14ac:dyDescent="0.25">
      <c r="N1903" s="17">
        <v>389.899999999969</v>
      </c>
      <c r="O1903" s="16" t="s">
        <v>357</v>
      </c>
      <c r="R1903" s="6"/>
      <c r="S1903" s="298"/>
    </row>
    <row r="1904" spans="14:19" hidden="1" x14ac:dyDescent="0.25">
      <c r="N1904" s="17">
        <v>389.99999999996902</v>
      </c>
      <c r="O1904" s="16" t="s">
        <v>358</v>
      </c>
      <c r="R1904" s="6"/>
      <c r="S1904" s="298"/>
    </row>
    <row r="1905" spans="14:19" hidden="1" x14ac:dyDescent="0.25">
      <c r="N1905" s="17">
        <v>390.09999999996899</v>
      </c>
      <c r="O1905" s="16" t="s">
        <v>359</v>
      </c>
      <c r="R1905" s="6"/>
      <c r="S1905" s="298"/>
    </row>
    <row r="1906" spans="14:19" hidden="1" x14ac:dyDescent="0.25">
      <c r="N1906" s="17">
        <v>390.19999999996901</v>
      </c>
      <c r="O1906" s="16" t="s">
        <v>360</v>
      </c>
      <c r="R1906" s="6"/>
      <c r="S1906" s="298"/>
    </row>
    <row r="1907" spans="14:19" hidden="1" x14ac:dyDescent="0.25">
      <c r="N1907" s="17">
        <v>390.29999999996897</v>
      </c>
      <c r="O1907" s="16" t="s">
        <v>361</v>
      </c>
      <c r="R1907" s="6"/>
      <c r="S1907" s="298"/>
    </row>
    <row r="1908" spans="14:19" hidden="1" x14ac:dyDescent="0.25">
      <c r="N1908" s="17">
        <v>390.399999999969</v>
      </c>
      <c r="O1908" s="16" t="s">
        <v>362</v>
      </c>
      <c r="R1908" s="6"/>
      <c r="S1908" s="298"/>
    </row>
    <row r="1909" spans="14:19" hidden="1" x14ac:dyDescent="0.25">
      <c r="N1909" s="17">
        <v>390.49999999996902</v>
      </c>
      <c r="O1909" s="16" t="s">
        <v>363</v>
      </c>
      <c r="R1909" s="6"/>
      <c r="S1909" s="298"/>
    </row>
    <row r="1910" spans="14:19" hidden="1" x14ac:dyDescent="0.25">
      <c r="N1910" s="17">
        <v>390.59999999996899</v>
      </c>
      <c r="O1910" s="16" t="s">
        <v>364</v>
      </c>
      <c r="R1910" s="6"/>
      <c r="S1910" s="298"/>
    </row>
    <row r="1911" spans="14:19" hidden="1" x14ac:dyDescent="0.25">
      <c r="N1911" s="17">
        <v>390.69999999996901</v>
      </c>
      <c r="O1911" s="16" t="s">
        <v>365</v>
      </c>
      <c r="R1911" s="6"/>
      <c r="S1911" s="298"/>
    </row>
    <row r="1912" spans="14:19" hidden="1" x14ac:dyDescent="0.25">
      <c r="N1912" s="17">
        <v>390.79999999996897</v>
      </c>
      <c r="O1912" s="16" t="s">
        <v>366</v>
      </c>
      <c r="R1912" s="6"/>
      <c r="S1912" s="298"/>
    </row>
    <row r="1913" spans="14:19" hidden="1" x14ac:dyDescent="0.25">
      <c r="N1913" s="17">
        <v>390.899999999969</v>
      </c>
      <c r="O1913" s="16" t="s">
        <v>367</v>
      </c>
      <c r="R1913" s="6"/>
      <c r="S1913" s="298"/>
    </row>
    <row r="1914" spans="14:19" hidden="1" x14ac:dyDescent="0.25">
      <c r="N1914" s="17">
        <v>390.99999999996902</v>
      </c>
      <c r="O1914" s="16" t="s">
        <v>368</v>
      </c>
      <c r="R1914" s="6"/>
      <c r="S1914" s="298"/>
    </row>
    <row r="1915" spans="14:19" hidden="1" x14ac:dyDescent="0.25">
      <c r="N1915" s="17">
        <v>391.09999999996899</v>
      </c>
      <c r="O1915" s="16" t="s">
        <v>1477</v>
      </c>
      <c r="R1915" s="6"/>
      <c r="S1915" s="298"/>
    </row>
    <row r="1916" spans="14:19" hidden="1" x14ac:dyDescent="0.25">
      <c r="N1916" s="17">
        <v>391.19999999996901</v>
      </c>
      <c r="O1916" s="16" t="s">
        <v>1478</v>
      </c>
      <c r="R1916" s="6"/>
      <c r="S1916" s="298"/>
    </row>
    <row r="1917" spans="14:19" hidden="1" x14ac:dyDescent="0.25">
      <c r="N1917" s="17">
        <v>391.29999999996897</v>
      </c>
      <c r="O1917" s="16" t="s">
        <v>1479</v>
      </c>
      <c r="R1917" s="6"/>
      <c r="S1917" s="298"/>
    </row>
    <row r="1918" spans="14:19" hidden="1" x14ac:dyDescent="0.25">
      <c r="N1918" s="17">
        <v>391.399999999969</v>
      </c>
      <c r="O1918" s="16" t="s">
        <v>1480</v>
      </c>
      <c r="R1918" s="6"/>
      <c r="S1918" s="298"/>
    </row>
    <row r="1919" spans="14:19" hidden="1" x14ac:dyDescent="0.25">
      <c r="N1919" s="17">
        <v>391.49999999996902</v>
      </c>
      <c r="O1919" s="16" t="s">
        <v>1481</v>
      </c>
      <c r="R1919" s="6"/>
      <c r="S1919" s="298"/>
    </row>
    <row r="1920" spans="14:19" hidden="1" x14ac:dyDescent="0.25">
      <c r="N1920" s="17">
        <v>391.59999999996899</v>
      </c>
      <c r="O1920" s="16" t="s">
        <v>1482</v>
      </c>
      <c r="R1920" s="6"/>
      <c r="S1920" s="298"/>
    </row>
    <row r="1921" spans="14:19" hidden="1" x14ac:dyDescent="0.25">
      <c r="N1921" s="17">
        <v>391.69999999996901</v>
      </c>
      <c r="O1921" s="16" t="s">
        <v>1483</v>
      </c>
      <c r="R1921" s="6"/>
      <c r="S1921" s="298"/>
    </row>
    <row r="1922" spans="14:19" hidden="1" x14ac:dyDescent="0.25">
      <c r="N1922" s="17">
        <v>391.79999999996897</v>
      </c>
      <c r="O1922" s="16" t="s">
        <v>1484</v>
      </c>
      <c r="R1922" s="6"/>
      <c r="S1922" s="298"/>
    </row>
    <row r="1923" spans="14:19" hidden="1" x14ac:dyDescent="0.25">
      <c r="N1923" s="17">
        <v>391.899999999969</v>
      </c>
      <c r="O1923" s="16" t="s">
        <v>1485</v>
      </c>
      <c r="R1923" s="6"/>
      <c r="S1923" s="298"/>
    </row>
    <row r="1924" spans="14:19" hidden="1" x14ac:dyDescent="0.25">
      <c r="N1924" s="17">
        <v>391.99999999996902</v>
      </c>
      <c r="O1924" s="16" t="s">
        <v>348</v>
      </c>
      <c r="R1924" s="6"/>
      <c r="S1924" s="298"/>
    </row>
    <row r="1925" spans="14:19" hidden="1" x14ac:dyDescent="0.25">
      <c r="N1925" s="17">
        <v>392.09999999996899</v>
      </c>
      <c r="O1925" s="16" t="s">
        <v>349</v>
      </c>
      <c r="R1925" s="6"/>
      <c r="S1925" s="298"/>
    </row>
    <row r="1926" spans="14:19" hidden="1" x14ac:dyDescent="0.25">
      <c r="N1926" s="17">
        <v>392.19999999996901</v>
      </c>
      <c r="O1926" s="16" t="s">
        <v>350</v>
      </c>
      <c r="R1926" s="6"/>
      <c r="S1926" s="298"/>
    </row>
    <row r="1927" spans="14:19" hidden="1" x14ac:dyDescent="0.25">
      <c r="N1927" s="17">
        <v>392.29999999996897</v>
      </c>
      <c r="O1927" s="16" t="s">
        <v>351</v>
      </c>
      <c r="R1927" s="6"/>
      <c r="S1927" s="298"/>
    </row>
    <row r="1928" spans="14:19" hidden="1" x14ac:dyDescent="0.25">
      <c r="N1928" s="17">
        <v>392.399999999969</v>
      </c>
      <c r="O1928" s="16" t="s">
        <v>330</v>
      </c>
      <c r="R1928" s="6"/>
      <c r="S1928" s="298"/>
    </row>
    <row r="1929" spans="14:19" hidden="1" x14ac:dyDescent="0.25">
      <c r="N1929" s="17">
        <v>392.49999999996902</v>
      </c>
      <c r="O1929" s="16" t="s">
        <v>331</v>
      </c>
      <c r="R1929" s="6"/>
      <c r="S1929" s="298"/>
    </row>
    <row r="1930" spans="14:19" hidden="1" x14ac:dyDescent="0.25">
      <c r="N1930" s="17">
        <v>392.59999999996899</v>
      </c>
      <c r="O1930" s="16" t="s">
        <v>332</v>
      </c>
      <c r="R1930" s="6"/>
      <c r="S1930" s="298"/>
    </row>
    <row r="1931" spans="14:19" hidden="1" x14ac:dyDescent="0.25">
      <c r="N1931" s="17">
        <v>392.69999999996799</v>
      </c>
      <c r="O1931" s="16" t="s">
        <v>333</v>
      </c>
      <c r="R1931" s="6"/>
      <c r="S1931" s="298"/>
    </row>
    <row r="1932" spans="14:19" hidden="1" x14ac:dyDescent="0.25">
      <c r="N1932" s="17">
        <v>392.79999999996801</v>
      </c>
      <c r="O1932" s="16" t="s">
        <v>334</v>
      </c>
      <c r="R1932" s="6"/>
      <c r="S1932" s="298"/>
    </row>
    <row r="1933" spans="14:19" hidden="1" x14ac:dyDescent="0.25">
      <c r="N1933" s="17">
        <v>392.89999999996797</v>
      </c>
      <c r="O1933" s="16" t="s">
        <v>335</v>
      </c>
      <c r="R1933" s="6"/>
      <c r="S1933" s="298"/>
    </row>
    <row r="1934" spans="14:19" hidden="1" x14ac:dyDescent="0.25">
      <c r="N1934" s="17">
        <v>392.999999999968</v>
      </c>
      <c r="O1934" s="16" t="s">
        <v>1806</v>
      </c>
      <c r="R1934" s="6"/>
      <c r="S1934" s="298"/>
    </row>
    <row r="1935" spans="14:19" hidden="1" x14ac:dyDescent="0.25">
      <c r="N1935" s="17">
        <v>393.09999999996802</v>
      </c>
      <c r="O1935" s="16" t="s">
        <v>1807</v>
      </c>
      <c r="R1935" s="6"/>
      <c r="S1935" s="298"/>
    </row>
    <row r="1936" spans="14:19" hidden="1" x14ac:dyDescent="0.25">
      <c r="N1936" s="17">
        <v>393.19999999996799</v>
      </c>
      <c r="O1936" s="16" t="s">
        <v>3982</v>
      </c>
      <c r="R1936" s="6"/>
      <c r="S1936" s="298"/>
    </row>
    <row r="1937" spans="14:19" hidden="1" x14ac:dyDescent="0.25">
      <c r="N1937" s="17">
        <v>393.29999999996801</v>
      </c>
      <c r="O1937" s="16" t="s">
        <v>3983</v>
      </c>
      <c r="R1937" s="6"/>
      <c r="S1937" s="298"/>
    </row>
    <row r="1938" spans="14:19" hidden="1" x14ac:dyDescent="0.25">
      <c r="N1938" s="17">
        <v>393.39999999996797</v>
      </c>
      <c r="O1938" s="16" t="s">
        <v>3984</v>
      </c>
      <c r="R1938" s="6"/>
      <c r="S1938" s="298"/>
    </row>
    <row r="1939" spans="14:19" hidden="1" x14ac:dyDescent="0.25">
      <c r="N1939" s="17">
        <v>393.499999999968</v>
      </c>
      <c r="O1939" s="16" t="s">
        <v>3985</v>
      </c>
      <c r="R1939" s="6"/>
      <c r="S1939" s="298"/>
    </row>
    <row r="1940" spans="14:19" hidden="1" x14ac:dyDescent="0.25">
      <c r="N1940" s="17">
        <v>393.59999999996802</v>
      </c>
      <c r="O1940" s="16" t="s">
        <v>3986</v>
      </c>
      <c r="R1940" s="6"/>
      <c r="S1940" s="298"/>
    </row>
    <row r="1941" spans="14:19" hidden="1" x14ac:dyDescent="0.25">
      <c r="N1941" s="17">
        <v>393.69999999996799</v>
      </c>
      <c r="O1941" s="16" t="s">
        <v>3987</v>
      </c>
      <c r="R1941" s="6"/>
      <c r="S1941" s="298"/>
    </row>
    <row r="1942" spans="14:19" hidden="1" x14ac:dyDescent="0.25">
      <c r="N1942" s="17">
        <v>393.79999999996801</v>
      </c>
      <c r="O1942" s="16" t="s">
        <v>3988</v>
      </c>
      <c r="R1942" s="6"/>
      <c r="S1942" s="298"/>
    </row>
    <row r="1943" spans="14:19" hidden="1" x14ac:dyDescent="0.25">
      <c r="N1943" s="17">
        <v>393.89999999996797</v>
      </c>
      <c r="O1943" s="16" t="s">
        <v>3989</v>
      </c>
      <c r="R1943" s="6"/>
      <c r="S1943" s="298"/>
    </row>
    <row r="1944" spans="14:19" hidden="1" x14ac:dyDescent="0.25">
      <c r="N1944" s="17">
        <v>393.999999999968</v>
      </c>
      <c r="O1944" s="16" t="s">
        <v>3990</v>
      </c>
      <c r="R1944" s="6"/>
      <c r="S1944" s="298"/>
    </row>
    <row r="1945" spans="14:19" hidden="1" x14ac:dyDescent="0.25">
      <c r="N1945" s="17">
        <v>394.09999999996802</v>
      </c>
      <c r="O1945" s="16" t="s">
        <v>3991</v>
      </c>
      <c r="R1945" s="6"/>
      <c r="S1945" s="298"/>
    </row>
    <row r="1946" spans="14:19" hidden="1" x14ac:dyDescent="0.25">
      <c r="N1946" s="17">
        <v>394.19999999996799</v>
      </c>
      <c r="O1946" s="16" t="s">
        <v>3992</v>
      </c>
      <c r="R1946" s="6"/>
      <c r="S1946" s="298"/>
    </row>
    <row r="1947" spans="14:19" hidden="1" x14ac:dyDescent="0.25">
      <c r="N1947" s="17">
        <v>394.29999999996801</v>
      </c>
      <c r="O1947" s="16" t="s">
        <v>3993</v>
      </c>
      <c r="R1947" s="6"/>
      <c r="S1947" s="298"/>
    </row>
    <row r="1948" spans="14:19" hidden="1" x14ac:dyDescent="0.25">
      <c r="N1948" s="17">
        <v>394.39999999996797</v>
      </c>
      <c r="O1948" s="16" t="s">
        <v>3994</v>
      </c>
      <c r="R1948" s="6"/>
      <c r="S1948" s="298"/>
    </row>
    <row r="1949" spans="14:19" hidden="1" x14ac:dyDescent="0.25">
      <c r="N1949" s="17">
        <v>394.499999999968</v>
      </c>
      <c r="O1949" s="16" t="s">
        <v>3995</v>
      </c>
      <c r="R1949" s="6"/>
      <c r="S1949" s="298"/>
    </row>
    <row r="1950" spans="14:19" hidden="1" x14ac:dyDescent="0.25">
      <c r="N1950" s="17">
        <v>394.59999999996802</v>
      </c>
      <c r="O1950" s="16" t="s">
        <v>3996</v>
      </c>
      <c r="R1950" s="6"/>
      <c r="S1950" s="298"/>
    </row>
    <row r="1951" spans="14:19" hidden="1" x14ac:dyDescent="0.25">
      <c r="N1951" s="17">
        <v>394.69999999996799</v>
      </c>
      <c r="O1951" s="16" t="s">
        <v>3997</v>
      </c>
      <c r="R1951" s="6"/>
      <c r="S1951" s="298"/>
    </row>
    <row r="1952" spans="14:19" hidden="1" x14ac:dyDescent="0.25">
      <c r="N1952" s="17">
        <v>394.79999999996801</v>
      </c>
      <c r="O1952" s="16" t="s">
        <v>3998</v>
      </c>
      <c r="R1952" s="6"/>
      <c r="S1952" s="298"/>
    </row>
    <row r="1953" spans="14:19" hidden="1" x14ac:dyDescent="0.25">
      <c r="N1953" s="17">
        <v>394.89999999996797</v>
      </c>
      <c r="O1953" s="16" t="s">
        <v>3999</v>
      </c>
      <c r="R1953" s="6"/>
      <c r="S1953" s="298"/>
    </row>
    <row r="1954" spans="14:19" hidden="1" x14ac:dyDescent="0.25">
      <c r="N1954" s="17">
        <v>394.999999999968</v>
      </c>
      <c r="O1954" s="16" t="s">
        <v>4000</v>
      </c>
      <c r="R1954" s="6"/>
      <c r="S1954" s="298"/>
    </row>
    <row r="1955" spans="14:19" hidden="1" x14ac:dyDescent="0.25">
      <c r="N1955" s="17">
        <v>395.09999999996802</v>
      </c>
      <c r="O1955" s="16" t="s">
        <v>4001</v>
      </c>
      <c r="R1955" s="6"/>
      <c r="S1955" s="298"/>
    </row>
    <row r="1956" spans="14:19" hidden="1" x14ac:dyDescent="0.25">
      <c r="N1956" s="17">
        <v>395.19999999996799</v>
      </c>
      <c r="O1956" s="16" t="s">
        <v>4002</v>
      </c>
      <c r="R1956" s="6"/>
      <c r="S1956" s="298"/>
    </row>
    <row r="1957" spans="14:19" hidden="1" x14ac:dyDescent="0.25">
      <c r="N1957" s="17">
        <v>395.29999999996801</v>
      </c>
      <c r="O1957" s="16" t="s">
        <v>4003</v>
      </c>
      <c r="R1957" s="6"/>
      <c r="S1957" s="298"/>
    </row>
    <row r="1958" spans="14:19" hidden="1" x14ac:dyDescent="0.25">
      <c r="N1958" s="17">
        <v>395.39999999996797</v>
      </c>
      <c r="O1958" s="16" t="s">
        <v>4004</v>
      </c>
      <c r="R1958" s="6"/>
      <c r="S1958" s="298"/>
    </row>
    <row r="1959" spans="14:19" hidden="1" x14ac:dyDescent="0.25">
      <c r="N1959" s="17">
        <v>395.499999999968</v>
      </c>
      <c r="O1959" s="16" t="s">
        <v>4005</v>
      </c>
      <c r="R1959" s="6"/>
      <c r="S1959" s="298"/>
    </row>
    <row r="1960" spans="14:19" hidden="1" x14ac:dyDescent="0.25">
      <c r="N1960" s="17">
        <v>395.599999999967</v>
      </c>
      <c r="O1960" s="16" t="s">
        <v>4006</v>
      </c>
      <c r="R1960" s="6"/>
      <c r="S1960" s="298"/>
    </row>
    <row r="1961" spans="14:19" hidden="1" x14ac:dyDescent="0.25">
      <c r="N1961" s="17">
        <v>395.69999999996702</v>
      </c>
      <c r="O1961" s="16" t="s">
        <v>4007</v>
      </c>
      <c r="R1961" s="6"/>
      <c r="S1961" s="298"/>
    </row>
    <row r="1962" spans="14:19" hidden="1" x14ac:dyDescent="0.25">
      <c r="N1962" s="17">
        <v>395.79999999996699</v>
      </c>
      <c r="O1962" s="16" t="s">
        <v>4008</v>
      </c>
      <c r="R1962" s="6"/>
      <c r="S1962" s="298"/>
    </row>
    <row r="1963" spans="14:19" hidden="1" x14ac:dyDescent="0.25">
      <c r="N1963" s="17">
        <v>395.89999999996701</v>
      </c>
      <c r="O1963" s="16" t="s">
        <v>4009</v>
      </c>
      <c r="R1963" s="6"/>
      <c r="S1963" s="298"/>
    </row>
    <row r="1964" spans="14:19" hidden="1" x14ac:dyDescent="0.25">
      <c r="N1964" s="17">
        <v>395.99999999996697</v>
      </c>
      <c r="O1964" s="16" t="s">
        <v>1831</v>
      </c>
      <c r="R1964" s="6"/>
      <c r="S1964" s="298"/>
    </row>
    <row r="1965" spans="14:19" hidden="1" x14ac:dyDescent="0.25">
      <c r="N1965" s="17">
        <v>396.099999999967</v>
      </c>
      <c r="O1965" s="16" t="s">
        <v>1832</v>
      </c>
      <c r="R1965" s="6"/>
      <c r="S1965" s="298"/>
    </row>
    <row r="1966" spans="14:19" hidden="1" x14ac:dyDescent="0.25">
      <c r="N1966" s="17">
        <v>396.19999999996702</v>
      </c>
      <c r="O1966" s="16" t="s">
        <v>1833</v>
      </c>
      <c r="R1966" s="6"/>
      <c r="S1966" s="298"/>
    </row>
    <row r="1967" spans="14:19" hidden="1" x14ac:dyDescent="0.25">
      <c r="N1967" s="17">
        <v>396.29999999996699</v>
      </c>
      <c r="O1967" s="16" t="s">
        <v>1834</v>
      </c>
      <c r="R1967" s="6"/>
      <c r="S1967" s="298"/>
    </row>
    <row r="1968" spans="14:19" hidden="1" x14ac:dyDescent="0.25">
      <c r="N1968" s="17">
        <v>396.39999999996701</v>
      </c>
      <c r="O1968" s="16" t="s">
        <v>1835</v>
      </c>
      <c r="R1968" s="6"/>
      <c r="S1968" s="298"/>
    </row>
    <row r="1969" spans="14:19" hidden="1" x14ac:dyDescent="0.25">
      <c r="N1969" s="17">
        <v>396.49999999996697</v>
      </c>
      <c r="O1969" s="16" t="s">
        <v>1836</v>
      </c>
      <c r="R1969" s="6"/>
      <c r="S1969" s="298"/>
    </row>
    <row r="1970" spans="14:19" hidden="1" x14ac:dyDescent="0.25">
      <c r="N1970" s="17">
        <v>396.599999999967</v>
      </c>
      <c r="O1970" s="16" t="s">
        <v>1837</v>
      </c>
      <c r="R1970" s="6"/>
      <c r="S1970" s="298"/>
    </row>
    <row r="1971" spans="14:19" hidden="1" x14ac:dyDescent="0.25">
      <c r="N1971" s="17">
        <v>396.69999999996702</v>
      </c>
      <c r="O1971" s="16" t="s">
        <v>1838</v>
      </c>
      <c r="R1971" s="6"/>
      <c r="S1971" s="298"/>
    </row>
    <row r="1972" spans="14:19" hidden="1" x14ac:dyDescent="0.25">
      <c r="N1972" s="17">
        <v>396.79999999996699</v>
      </c>
      <c r="O1972" s="16" t="s">
        <v>1839</v>
      </c>
      <c r="R1972" s="6"/>
      <c r="S1972" s="298"/>
    </row>
    <row r="1973" spans="14:19" hidden="1" x14ac:dyDescent="0.25">
      <c r="N1973" s="17">
        <v>396.89999999996701</v>
      </c>
      <c r="O1973" s="16" t="s">
        <v>1840</v>
      </c>
      <c r="R1973" s="6"/>
      <c r="S1973" s="298"/>
    </row>
    <row r="1974" spans="14:19" hidden="1" x14ac:dyDescent="0.25">
      <c r="N1974" s="17">
        <v>396.99999999996697</v>
      </c>
      <c r="O1974" s="16" t="s">
        <v>1841</v>
      </c>
      <c r="R1974" s="6"/>
      <c r="S1974" s="298"/>
    </row>
    <row r="1975" spans="14:19" hidden="1" x14ac:dyDescent="0.25">
      <c r="N1975" s="17">
        <v>397.099999999967</v>
      </c>
      <c r="O1975" s="16" t="s">
        <v>1842</v>
      </c>
      <c r="R1975" s="6"/>
      <c r="S1975" s="298"/>
    </row>
    <row r="1976" spans="14:19" hidden="1" x14ac:dyDescent="0.25">
      <c r="N1976" s="17">
        <v>397.19999999996702</v>
      </c>
      <c r="O1976" s="16" t="s">
        <v>1843</v>
      </c>
      <c r="R1976" s="6"/>
      <c r="S1976" s="298"/>
    </row>
    <row r="1977" spans="14:19" hidden="1" x14ac:dyDescent="0.25">
      <c r="N1977" s="17">
        <v>397.29999999996699</v>
      </c>
      <c r="O1977" s="16" t="s">
        <v>1844</v>
      </c>
      <c r="R1977" s="6"/>
      <c r="S1977" s="298"/>
    </row>
    <row r="1978" spans="14:19" hidden="1" x14ac:dyDescent="0.25">
      <c r="N1978" s="17">
        <v>397.39999999996701</v>
      </c>
      <c r="O1978" s="16" t="s">
        <v>1845</v>
      </c>
      <c r="R1978" s="6"/>
      <c r="S1978" s="298"/>
    </row>
    <row r="1979" spans="14:19" hidden="1" x14ac:dyDescent="0.25">
      <c r="N1979" s="17">
        <v>397.49999999996697</v>
      </c>
      <c r="O1979" s="16" t="s">
        <v>1846</v>
      </c>
      <c r="R1979" s="6"/>
      <c r="S1979" s="298"/>
    </row>
    <row r="1980" spans="14:19" hidden="1" x14ac:dyDescent="0.25">
      <c r="N1980" s="17">
        <v>397.599999999967</v>
      </c>
      <c r="O1980" s="16" t="s">
        <v>1847</v>
      </c>
      <c r="R1980" s="6"/>
      <c r="S1980" s="298"/>
    </row>
    <row r="1981" spans="14:19" hidden="1" x14ac:dyDescent="0.25">
      <c r="N1981" s="17">
        <v>397.69999999996702</v>
      </c>
      <c r="O1981" s="16" t="s">
        <v>1848</v>
      </c>
      <c r="R1981" s="6"/>
      <c r="S1981" s="298"/>
    </row>
    <row r="1982" spans="14:19" hidden="1" x14ac:dyDescent="0.25">
      <c r="N1982" s="17">
        <v>397.79999999996699</v>
      </c>
      <c r="O1982" s="16" t="s">
        <v>1536</v>
      </c>
      <c r="R1982" s="6"/>
      <c r="S1982" s="298"/>
    </row>
    <row r="1983" spans="14:19" hidden="1" x14ac:dyDescent="0.25">
      <c r="N1983" s="17">
        <v>397.89999999996701</v>
      </c>
      <c r="O1983" s="16" t="s">
        <v>1537</v>
      </c>
      <c r="R1983" s="6"/>
      <c r="S1983" s="298"/>
    </row>
    <row r="1984" spans="14:19" hidden="1" x14ac:dyDescent="0.25">
      <c r="N1984" s="17">
        <v>397.99999999996697</v>
      </c>
      <c r="O1984" s="16" t="s">
        <v>1538</v>
      </c>
      <c r="R1984" s="6"/>
      <c r="S1984" s="298"/>
    </row>
    <row r="1985" spans="14:19" hidden="1" x14ac:dyDescent="0.25">
      <c r="N1985" s="17">
        <v>398.099999999967</v>
      </c>
      <c r="O1985" s="16" t="s">
        <v>1539</v>
      </c>
      <c r="R1985" s="6"/>
      <c r="S1985" s="298"/>
    </row>
    <row r="1986" spans="14:19" hidden="1" x14ac:dyDescent="0.25">
      <c r="N1986" s="17">
        <v>398.19999999996702</v>
      </c>
      <c r="O1986" s="16" t="s">
        <v>1540</v>
      </c>
      <c r="R1986" s="6"/>
      <c r="S1986" s="298"/>
    </row>
    <row r="1987" spans="14:19" hidden="1" x14ac:dyDescent="0.25">
      <c r="N1987" s="17">
        <v>398.29999999996699</v>
      </c>
      <c r="O1987" s="16" t="s">
        <v>1541</v>
      </c>
      <c r="R1987" s="6"/>
      <c r="S1987" s="298"/>
    </row>
    <row r="1988" spans="14:19" hidden="1" x14ac:dyDescent="0.25">
      <c r="N1988" s="17">
        <v>398.39999999996701</v>
      </c>
      <c r="O1988" s="16" t="s">
        <v>1542</v>
      </c>
      <c r="R1988" s="6"/>
      <c r="S1988" s="298"/>
    </row>
    <row r="1989" spans="14:19" hidden="1" x14ac:dyDescent="0.25">
      <c r="N1989" s="17">
        <v>398.49999999996601</v>
      </c>
      <c r="O1989" s="16" t="s">
        <v>1543</v>
      </c>
      <c r="R1989" s="6"/>
      <c r="S1989" s="298"/>
    </row>
    <row r="1990" spans="14:19" hidden="1" x14ac:dyDescent="0.25">
      <c r="N1990" s="17">
        <v>398.59999999996597</v>
      </c>
      <c r="O1990" s="16" t="s">
        <v>1544</v>
      </c>
      <c r="R1990" s="6"/>
      <c r="S1990" s="298"/>
    </row>
    <row r="1991" spans="14:19" hidden="1" x14ac:dyDescent="0.25">
      <c r="N1991" s="17">
        <v>398.699999999966</v>
      </c>
      <c r="O1991" s="16" t="s">
        <v>1545</v>
      </c>
      <c r="R1991" s="6"/>
      <c r="S1991" s="298"/>
    </row>
    <row r="1992" spans="14:19" hidden="1" x14ac:dyDescent="0.25">
      <c r="N1992" s="17">
        <v>398.79999999996602</v>
      </c>
      <c r="O1992" s="16" t="s">
        <v>1546</v>
      </c>
      <c r="R1992" s="6"/>
      <c r="S1992" s="298"/>
    </row>
    <row r="1993" spans="14:19" hidden="1" x14ac:dyDescent="0.25">
      <c r="N1993" s="17">
        <v>398.89999999996598</v>
      </c>
      <c r="O1993" s="16" t="s">
        <v>1547</v>
      </c>
      <c r="R1993" s="6"/>
      <c r="S1993" s="298"/>
    </row>
    <row r="1994" spans="14:19" hidden="1" x14ac:dyDescent="0.25">
      <c r="N1994" s="17">
        <v>398.99999999996601</v>
      </c>
      <c r="O1994" s="16" t="s">
        <v>1548</v>
      </c>
      <c r="R1994" s="6"/>
      <c r="S1994" s="298"/>
    </row>
    <row r="1995" spans="14:19" hidden="1" x14ac:dyDescent="0.25">
      <c r="N1995" s="17">
        <v>399.09999999996597</v>
      </c>
      <c r="O1995" s="16" t="s">
        <v>1549</v>
      </c>
      <c r="R1995" s="6"/>
      <c r="S1995" s="298"/>
    </row>
    <row r="1996" spans="14:19" hidden="1" x14ac:dyDescent="0.25">
      <c r="N1996" s="17">
        <v>399.199999999966</v>
      </c>
      <c r="O1996" s="16" t="s">
        <v>1550</v>
      </c>
      <c r="R1996" s="6"/>
      <c r="S1996" s="298"/>
    </row>
    <row r="1997" spans="14:19" hidden="1" x14ac:dyDescent="0.25">
      <c r="N1997" s="17">
        <v>399.29999999996602</v>
      </c>
      <c r="O1997" s="16" t="s">
        <v>1551</v>
      </c>
      <c r="R1997" s="6"/>
      <c r="S1997" s="298"/>
    </row>
    <row r="1998" spans="14:19" hidden="1" x14ac:dyDescent="0.25">
      <c r="N1998" s="17">
        <v>399.39999999996598</v>
      </c>
      <c r="O1998" s="16" t="s">
        <v>1552</v>
      </c>
      <c r="R1998" s="6"/>
      <c r="S1998" s="298"/>
    </row>
    <row r="1999" spans="14:19" hidden="1" x14ac:dyDescent="0.25">
      <c r="N1999" s="17">
        <v>399.49999999996601</v>
      </c>
      <c r="O1999" s="16" t="s">
        <v>1553</v>
      </c>
      <c r="R1999" s="6"/>
      <c r="S1999" s="298"/>
    </row>
    <row r="2000" spans="14:19" hidden="1" x14ac:dyDescent="0.25">
      <c r="N2000" s="17">
        <v>399.59999999996597</v>
      </c>
      <c r="O2000" s="16" t="s">
        <v>1554</v>
      </c>
      <c r="R2000" s="6"/>
      <c r="S2000" s="298"/>
    </row>
    <row r="2001" spans="14:19" hidden="1" x14ac:dyDescent="0.25">
      <c r="N2001" s="17">
        <v>399.699999999966</v>
      </c>
      <c r="O2001" s="16" t="s">
        <v>1555</v>
      </c>
      <c r="R2001" s="6"/>
      <c r="S2001" s="298"/>
    </row>
    <row r="2002" spans="14:19" hidden="1" x14ac:dyDescent="0.25">
      <c r="N2002" s="17">
        <v>399.79999999996602</v>
      </c>
      <c r="O2002" s="16" t="s">
        <v>1556</v>
      </c>
      <c r="R2002" s="6"/>
      <c r="S2002" s="298"/>
    </row>
    <row r="2003" spans="14:19" hidden="1" x14ac:dyDescent="0.25">
      <c r="N2003" s="17">
        <v>399.89999999996598</v>
      </c>
      <c r="O2003" s="16" t="s">
        <v>1557</v>
      </c>
      <c r="R2003" s="6"/>
      <c r="S2003" s="298"/>
    </row>
    <row r="2004" spans="14:19" hidden="1" x14ac:dyDescent="0.25">
      <c r="N2004" s="17">
        <v>399.99999999996601</v>
      </c>
      <c r="O2004" s="16" t="s">
        <v>1558</v>
      </c>
    </row>
    <row r="2005" spans="14:19" hidden="1" x14ac:dyDescent="0.25">
      <c r="N2005" s="17">
        <v>400.1</v>
      </c>
      <c r="O2005" s="16" t="s">
        <v>1559</v>
      </c>
      <c r="R2005" s="6"/>
      <c r="S2005" s="298"/>
    </row>
    <row r="2006" spans="14:19" hidden="1" x14ac:dyDescent="0.25">
      <c r="N2006" s="17">
        <v>400.2</v>
      </c>
      <c r="O2006" s="16" t="s">
        <v>4036</v>
      </c>
      <c r="R2006" s="6"/>
      <c r="S2006" s="298"/>
    </row>
    <row r="2007" spans="14:19" hidden="1" x14ac:dyDescent="0.25">
      <c r="N2007" s="17">
        <v>400.3</v>
      </c>
      <c r="O2007" s="16" t="s">
        <v>4037</v>
      </c>
      <c r="R2007" s="6"/>
      <c r="S2007" s="298"/>
    </row>
    <row r="2008" spans="14:19" hidden="1" x14ac:dyDescent="0.25">
      <c r="N2008" s="17">
        <v>400.4</v>
      </c>
      <c r="O2008" s="16" t="s">
        <v>4038</v>
      </c>
      <c r="R2008" s="6"/>
      <c r="S2008" s="298"/>
    </row>
    <row r="2009" spans="14:19" hidden="1" x14ac:dyDescent="0.25">
      <c r="N2009" s="17">
        <v>400.5</v>
      </c>
      <c r="O2009" s="16" t="s">
        <v>4039</v>
      </c>
      <c r="R2009" s="6"/>
      <c r="S2009" s="298"/>
    </row>
    <row r="2010" spans="14:19" hidden="1" x14ac:dyDescent="0.25">
      <c r="N2010" s="17">
        <v>400.6</v>
      </c>
      <c r="O2010" s="16" t="s">
        <v>4040</v>
      </c>
      <c r="R2010" s="6"/>
      <c r="S2010" s="298"/>
    </row>
    <row r="2011" spans="14:19" hidden="1" x14ac:dyDescent="0.25">
      <c r="N2011" s="17">
        <v>400.7</v>
      </c>
      <c r="O2011" s="16" t="s">
        <v>4041</v>
      </c>
      <c r="R2011" s="6"/>
      <c r="S2011" s="298"/>
    </row>
    <row r="2012" spans="14:19" hidden="1" x14ac:dyDescent="0.25">
      <c r="N2012" s="17">
        <v>400.8</v>
      </c>
      <c r="O2012" s="16" t="s">
        <v>4042</v>
      </c>
      <c r="R2012" s="6"/>
      <c r="S2012" s="298"/>
    </row>
    <row r="2013" spans="14:19" hidden="1" x14ac:dyDescent="0.25">
      <c r="N2013" s="17">
        <v>400.9</v>
      </c>
      <c r="O2013" s="16" t="s">
        <v>4043</v>
      </c>
      <c r="R2013" s="6"/>
      <c r="S2013" s="298"/>
    </row>
    <row r="2014" spans="14:19" hidden="1" x14ac:dyDescent="0.25">
      <c r="N2014" s="17">
        <v>401</v>
      </c>
      <c r="O2014" s="16" t="s">
        <v>1559</v>
      </c>
    </row>
    <row r="2015" spans="14:19" hidden="1" x14ac:dyDescent="0.25">
      <c r="N2015" s="17">
        <v>401.1</v>
      </c>
      <c r="O2015" s="16" t="s">
        <v>4044</v>
      </c>
      <c r="R2015" s="6"/>
      <c r="S2015" s="298"/>
    </row>
    <row r="2016" spans="14:19" hidden="1" x14ac:dyDescent="0.25">
      <c r="N2016" s="17">
        <v>401.2</v>
      </c>
      <c r="O2016" s="16" t="s">
        <v>4045</v>
      </c>
      <c r="R2016" s="6"/>
      <c r="S2016" s="298"/>
    </row>
    <row r="2017" spans="14:19" hidden="1" x14ac:dyDescent="0.25">
      <c r="N2017" s="17">
        <v>401.3</v>
      </c>
      <c r="O2017" s="16" t="s">
        <v>4046</v>
      </c>
      <c r="R2017" s="6"/>
      <c r="S2017" s="298"/>
    </row>
    <row r="2018" spans="14:19" hidden="1" x14ac:dyDescent="0.25">
      <c r="N2018" s="17">
        <v>401.4</v>
      </c>
      <c r="O2018" s="16" t="s">
        <v>4047</v>
      </c>
      <c r="R2018" s="6"/>
      <c r="S2018" s="298"/>
    </row>
    <row r="2019" spans="14:19" hidden="1" x14ac:dyDescent="0.25">
      <c r="N2019" s="17">
        <v>401.5</v>
      </c>
      <c r="O2019" s="16" t="s">
        <v>4048</v>
      </c>
      <c r="R2019" s="6"/>
      <c r="S2019" s="298"/>
    </row>
    <row r="2020" spans="14:19" hidden="1" x14ac:dyDescent="0.25">
      <c r="N2020" s="17">
        <v>401.6</v>
      </c>
      <c r="O2020" s="16" t="s">
        <v>4049</v>
      </c>
      <c r="R2020" s="6"/>
      <c r="S2020" s="298"/>
    </row>
    <row r="2021" spans="14:19" hidden="1" x14ac:dyDescent="0.25">
      <c r="N2021" s="17">
        <v>401.69999999999902</v>
      </c>
      <c r="O2021" s="16" t="s">
        <v>4050</v>
      </c>
      <c r="R2021" s="6"/>
      <c r="S2021" s="298"/>
    </row>
    <row r="2022" spans="14:19" hidden="1" x14ac:dyDescent="0.25">
      <c r="N2022" s="17">
        <v>401.79999999999899</v>
      </c>
      <c r="O2022" s="16" t="s">
        <v>4051</v>
      </c>
      <c r="R2022" s="6"/>
      <c r="S2022" s="298"/>
    </row>
    <row r="2023" spans="14:19" hidden="1" x14ac:dyDescent="0.25">
      <c r="N2023" s="17">
        <v>401.89999999999901</v>
      </c>
      <c r="O2023" s="16" t="s">
        <v>4052</v>
      </c>
      <c r="R2023" s="6"/>
      <c r="S2023" s="298"/>
    </row>
    <row r="2024" spans="14:19" hidden="1" x14ac:dyDescent="0.25">
      <c r="N2024" s="17">
        <v>401.99999999999898</v>
      </c>
      <c r="O2024" s="16" t="s">
        <v>4036</v>
      </c>
      <c r="R2024" s="6"/>
      <c r="S2024" s="298"/>
    </row>
    <row r="2025" spans="14:19" hidden="1" x14ac:dyDescent="0.25">
      <c r="N2025" s="17">
        <v>402.099999999999</v>
      </c>
      <c r="O2025" s="16" t="s">
        <v>4053</v>
      </c>
      <c r="R2025" s="6"/>
      <c r="S2025" s="298"/>
    </row>
    <row r="2026" spans="14:19" hidden="1" x14ac:dyDescent="0.25">
      <c r="N2026" s="17">
        <v>402.19999999999902</v>
      </c>
      <c r="O2026" s="16" t="s">
        <v>4054</v>
      </c>
      <c r="R2026" s="6"/>
      <c r="S2026" s="298"/>
    </row>
    <row r="2027" spans="14:19" hidden="1" x14ac:dyDescent="0.25">
      <c r="N2027" s="17">
        <v>402.29999999999899</v>
      </c>
      <c r="O2027" s="16" t="s">
        <v>4055</v>
      </c>
      <c r="R2027" s="6"/>
      <c r="S2027" s="298"/>
    </row>
    <row r="2028" spans="14:19" hidden="1" x14ac:dyDescent="0.25">
      <c r="N2028" s="17">
        <v>402.39999999999901</v>
      </c>
      <c r="O2028" s="16" t="s">
        <v>4056</v>
      </c>
      <c r="R2028" s="6"/>
      <c r="S2028" s="298"/>
    </row>
    <row r="2029" spans="14:19" hidden="1" x14ac:dyDescent="0.25">
      <c r="N2029" s="17">
        <v>402.49999999999898</v>
      </c>
      <c r="O2029" s="16" t="s">
        <v>4057</v>
      </c>
      <c r="R2029" s="6"/>
      <c r="S2029" s="298"/>
    </row>
    <row r="2030" spans="14:19" hidden="1" x14ac:dyDescent="0.25">
      <c r="N2030" s="17">
        <v>402.599999999999</v>
      </c>
      <c r="O2030" s="16" t="s">
        <v>4058</v>
      </c>
      <c r="R2030" s="6"/>
      <c r="S2030" s="298"/>
    </row>
    <row r="2031" spans="14:19" hidden="1" x14ac:dyDescent="0.25">
      <c r="N2031" s="17">
        <v>402.69999999999902</v>
      </c>
      <c r="O2031" s="16" t="s">
        <v>4059</v>
      </c>
      <c r="R2031" s="6"/>
      <c r="S2031" s="298"/>
    </row>
    <row r="2032" spans="14:19" hidden="1" x14ac:dyDescent="0.25">
      <c r="N2032" s="17">
        <v>402.79999999999899</v>
      </c>
      <c r="O2032" s="16" t="s">
        <v>4060</v>
      </c>
      <c r="R2032" s="6"/>
      <c r="S2032" s="298"/>
    </row>
    <row r="2033" spans="14:19" hidden="1" x14ac:dyDescent="0.25">
      <c r="N2033" s="17">
        <v>402.89999999999901</v>
      </c>
      <c r="O2033" s="16" t="s">
        <v>4061</v>
      </c>
      <c r="R2033" s="6"/>
      <c r="S2033" s="298"/>
    </row>
    <row r="2034" spans="14:19" hidden="1" x14ac:dyDescent="0.25">
      <c r="N2034" s="17">
        <v>402.99999999999898</v>
      </c>
      <c r="O2034" s="16" t="s">
        <v>4037</v>
      </c>
    </row>
    <row r="2035" spans="14:19" hidden="1" x14ac:dyDescent="0.25">
      <c r="N2035" s="17">
        <v>403.099999999999</v>
      </c>
      <c r="O2035" s="16" t="s">
        <v>4062</v>
      </c>
      <c r="R2035" s="6"/>
      <c r="S2035" s="298"/>
    </row>
    <row r="2036" spans="14:19" hidden="1" x14ac:dyDescent="0.25">
      <c r="N2036" s="17">
        <v>403.19999999999902</v>
      </c>
      <c r="O2036" s="16" t="s">
        <v>4063</v>
      </c>
      <c r="R2036" s="6"/>
      <c r="S2036" s="298"/>
    </row>
    <row r="2037" spans="14:19" hidden="1" x14ac:dyDescent="0.25">
      <c r="N2037" s="17">
        <v>403.29999999999899</v>
      </c>
      <c r="O2037" s="16" t="s">
        <v>4064</v>
      </c>
      <c r="R2037" s="6"/>
      <c r="S2037" s="298"/>
    </row>
    <row r="2038" spans="14:19" hidden="1" x14ac:dyDescent="0.25">
      <c r="N2038" s="17">
        <v>403.39999999999901</v>
      </c>
      <c r="O2038" s="16" t="s">
        <v>4065</v>
      </c>
      <c r="R2038" s="6"/>
      <c r="S2038" s="298"/>
    </row>
    <row r="2039" spans="14:19" hidden="1" x14ac:dyDescent="0.25">
      <c r="N2039" s="17">
        <v>403.49999999999898</v>
      </c>
      <c r="O2039" s="16" t="s">
        <v>4066</v>
      </c>
      <c r="R2039" s="6"/>
      <c r="S2039" s="298"/>
    </row>
    <row r="2040" spans="14:19" hidden="1" x14ac:dyDescent="0.25">
      <c r="N2040" s="17">
        <v>403.599999999999</v>
      </c>
      <c r="O2040" s="16" t="s">
        <v>4067</v>
      </c>
      <c r="R2040" s="6"/>
      <c r="S2040" s="298"/>
    </row>
    <row r="2041" spans="14:19" hidden="1" x14ac:dyDescent="0.25">
      <c r="N2041" s="17">
        <v>403.69999999999902</v>
      </c>
      <c r="O2041" s="16" t="s">
        <v>4068</v>
      </c>
      <c r="R2041" s="6"/>
      <c r="S2041" s="298"/>
    </row>
    <row r="2042" spans="14:19" hidden="1" x14ac:dyDescent="0.25">
      <c r="N2042" s="17">
        <v>403.79999999999899</v>
      </c>
      <c r="O2042" s="16" t="s">
        <v>4069</v>
      </c>
      <c r="R2042" s="6"/>
      <c r="S2042" s="298"/>
    </row>
    <row r="2043" spans="14:19" hidden="1" x14ac:dyDescent="0.25">
      <c r="N2043" s="17">
        <v>403.89999999999901</v>
      </c>
      <c r="O2043" s="16" t="s">
        <v>4070</v>
      </c>
      <c r="R2043" s="6"/>
      <c r="S2043" s="298"/>
    </row>
    <row r="2044" spans="14:19" hidden="1" x14ac:dyDescent="0.25">
      <c r="N2044" s="17">
        <v>403.99999999999898</v>
      </c>
      <c r="O2044" s="16" t="s">
        <v>4038</v>
      </c>
      <c r="R2044" s="6"/>
      <c r="S2044" s="298"/>
    </row>
    <row r="2045" spans="14:19" hidden="1" x14ac:dyDescent="0.25">
      <c r="N2045" s="17">
        <v>404.099999999999</v>
      </c>
      <c r="O2045" s="16" t="s">
        <v>1879</v>
      </c>
      <c r="R2045" s="6"/>
      <c r="S2045" s="298"/>
    </row>
    <row r="2046" spans="14:19" hidden="1" x14ac:dyDescent="0.25">
      <c r="N2046" s="17">
        <v>404.19999999999902</v>
      </c>
      <c r="O2046" s="16" t="s">
        <v>1880</v>
      </c>
      <c r="R2046" s="6"/>
      <c r="S2046" s="298"/>
    </row>
    <row r="2047" spans="14:19" hidden="1" x14ac:dyDescent="0.25">
      <c r="N2047" s="17">
        <v>404.29999999999899</v>
      </c>
      <c r="O2047" s="16" t="s">
        <v>1881</v>
      </c>
      <c r="R2047" s="6"/>
      <c r="S2047" s="298"/>
    </row>
    <row r="2048" spans="14:19" hidden="1" x14ac:dyDescent="0.25">
      <c r="N2048" s="17">
        <v>404.39999999999901</v>
      </c>
      <c r="O2048" s="16" t="s">
        <v>1882</v>
      </c>
      <c r="R2048" s="6"/>
      <c r="S2048" s="298"/>
    </row>
    <row r="2049" spans="14:19" hidden="1" x14ac:dyDescent="0.25">
      <c r="N2049" s="17">
        <v>404.49999999999898</v>
      </c>
      <c r="O2049" s="16" t="s">
        <v>1883</v>
      </c>
      <c r="R2049" s="6"/>
      <c r="S2049" s="298"/>
    </row>
    <row r="2050" spans="14:19" hidden="1" x14ac:dyDescent="0.25">
      <c r="N2050" s="17">
        <v>404.59999999999798</v>
      </c>
      <c r="O2050" s="16" t="s">
        <v>1884</v>
      </c>
      <c r="R2050" s="6"/>
      <c r="S2050" s="298"/>
    </row>
    <row r="2051" spans="14:19" hidden="1" x14ac:dyDescent="0.25">
      <c r="N2051" s="17">
        <v>404.699999999998</v>
      </c>
      <c r="O2051" s="16" t="s">
        <v>1885</v>
      </c>
      <c r="R2051" s="6"/>
      <c r="S2051" s="298"/>
    </row>
    <row r="2052" spans="14:19" hidden="1" x14ac:dyDescent="0.25">
      <c r="N2052" s="17">
        <v>404.79999999999802</v>
      </c>
      <c r="O2052" s="16" t="s">
        <v>1886</v>
      </c>
      <c r="R2052" s="6"/>
      <c r="S2052" s="298"/>
    </row>
    <row r="2053" spans="14:19" hidden="1" x14ac:dyDescent="0.25">
      <c r="N2053" s="17">
        <v>404.89999999999799</v>
      </c>
      <c r="O2053" s="16" t="s">
        <v>1887</v>
      </c>
      <c r="R2053" s="6"/>
      <c r="S2053" s="298"/>
    </row>
    <row r="2054" spans="14:19" hidden="1" x14ac:dyDescent="0.25">
      <c r="N2054" s="17">
        <v>404.99999999999801</v>
      </c>
      <c r="O2054" s="16" t="s">
        <v>473</v>
      </c>
      <c r="R2054" s="6"/>
      <c r="S2054" s="298"/>
    </row>
    <row r="2055" spans="14:19" hidden="1" x14ac:dyDescent="0.25">
      <c r="N2055" s="17">
        <v>405.09999999999798</v>
      </c>
      <c r="O2055" s="16" t="s">
        <v>474</v>
      </c>
      <c r="R2055" s="6"/>
      <c r="S2055" s="298"/>
    </row>
    <row r="2056" spans="14:19" hidden="1" x14ac:dyDescent="0.25">
      <c r="N2056" s="17">
        <v>405.199999999998</v>
      </c>
      <c r="O2056" s="16" t="s">
        <v>475</v>
      </c>
      <c r="R2056" s="6"/>
      <c r="S2056" s="298"/>
    </row>
    <row r="2057" spans="14:19" hidden="1" x14ac:dyDescent="0.25">
      <c r="N2057" s="17">
        <v>405.29999999999802</v>
      </c>
      <c r="O2057" s="16" t="s">
        <v>476</v>
      </c>
      <c r="R2057" s="6"/>
      <c r="S2057" s="298"/>
    </row>
    <row r="2058" spans="14:19" hidden="1" x14ac:dyDescent="0.25">
      <c r="N2058" s="17">
        <v>405.39999999999799</v>
      </c>
      <c r="O2058" s="16" t="s">
        <v>477</v>
      </c>
      <c r="R2058" s="6"/>
      <c r="S2058" s="298"/>
    </row>
    <row r="2059" spans="14:19" hidden="1" x14ac:dyDescent="0.25">
      <c r="N2059" s="17">
        <v>405.49999999999801</v>
      </c>
      <c r="O2059" s="16" t="s">
        <v>478</v>
      </c>
      <c r="R2059" s="6"/>
      <c r="S2059" s="298"/>
    </row>
    <row r="2060" spans="14:19" hidden="1" x14ac:dyDescent="0.25">
      <c r="N2060" s="17">
        <v>405.59999999999798</v>
      </c>
      <c r="O2060" s="16" t="s">
        <v>479</v>
      </c>
      <c r="R2060" s="6"/>
      <c r="S2060" s="298"/>
    </row>
    <row r="2061" spans="14:19" hidden="1" x14ac:dyDescent="0.25">
      <c r="N2061" s="17">
        <v>405.699999999998</v>
      </c>
      <c r="O2061" s="16" t="s">
        <v>2689</v>
      </c>
      <c r="R2061" s="6"/>
      <c r="S2061" s="298"/>
    </row>
    <row r="2062" spans="14:19" hidden="1" x14ac:dyDescent="0.25">
      <c r="N2062" s="17">
        <v>405.79999999999802</v>
      </c>
      <c r="O2062" s="16" t="s">
        <v>2690</v>
      </c>
      <c r="R2062" s="6"/>
      <c r="S2062" s="298"/>
    </row>
    <row r="2063" spans="14:19" hidden="1" x14ac:dyDescent="0.25">
      <c r="N2063" s="17">
        <v>405.89999999999799</v>
      </c>
      <c r="O2063" s="16" t="s">
        <v>2691</v>
      </c>
      <c r="R2063" s="6"/>
      <c r="S2063" s="298"/>
    </row>
    <row r="2064" spans="14:19" hidden="1" x14ac:dyDescent="0.25">
      <c r="N2064" s="17">
        <v>405.99999999999801</v>
      </c>
      <c r="O2064" s="16" t="s">
        <v>4040</v>
      </c>
      <c r="R2064" s="6"/>
      <c r="S2064" s="298"/>
    </row>
    <row r="2065" spans="14:19" hidden="1" x14ac:dyDescent="0.25">
      <c r="N2065" s="17">
        <v>406.09999999999798</v>
      </c>
      <c r="O2065" s="16" t="s">
        <v>2692</v>
      </c>
      <c r="R2065" s="6"/>
      <c r="S2065" s="298"/>
    </row>
    <row r="2066" spans="14:19" hidden="1" x14ac:dyDescent="0.25">
      <c r="N2066" s="17">
        <v>406.199999999998</v>
      </c>
      <c r="O2066" s="16" t="s">
        <v>2693</v>
      </c>
      <c r="R2066" s="6"/>
      <c r="S2066" s="298"/>
    </row>
    <row r="2067" spans="14:19" hidden="1" x14ac:dyDescent="0.25">
      <c r="N2067" s="17">
        <v>406.29999999999802</v>
      </c>
      <c r="O2067" s="16" t="s">
        <v>3877</v>
      </c>
      <c r="R2067" s="6"/>
      <c r="S2067" s="298"/>
    </row>
    <row r="2068" spans="14:19" hidden="1" x14ac:dyDescent="0.25">
      <c r="N2068" s="17">
        <v>406.39999999999799</v>
      </c>
      <c r="O2068" s="16" t="s">
        <v>3878</v>
      </c>
      <c r="R2068" s="6"/>
      <c r="S2068" s="298"/>
    </row>
    <row r="2069" spans="14:19" hidden="1" x14ac:dyDescent="0.25">
      <c r="N2069" s="17">
        <v>406.49999999999801</v>
      </c>
      <c r="O2069" s="16" t="s">
        <v>3879</v>
      </c>
      <c r="R2069" s="6"/>
      <c r="S2069" s="298"/>
    </row>
    <row r="2070" spans="14:19" hidden="1" x14ac:dyDescent="0.25">
      <c r="N2070" s="17">
        <v>406.59999999999798</v>
      </c>
      <c r="O2070" s="16" t="s">
        <v>3880</v>
      </c>
      <c r="R2070" s="6"/>
      <c r="S2070" s="298"/>
    </row>
    <row r="2071" spans="14:19" hidden="1" x14ac:dyDescent="0.25">
      <c r="N2071" s="17">
        <v>406.699999999998</v>
      </c>
      <c r="O2071" s="16" t="s">
        <v>5999</v>
      </c>
      <c r="R2071" s="6"/>
      <c r="S2071" s="298"/>
    </row>
    <row r="2072" spans="14:19" hidden="1" x14ac:dyDescent="0.25">
      <c r="N2072" s="17">
        <v>406.79999999999802</v>
      </c>
      <c r="O2072" s="16" t="s">
        <v>6000</v>
      </c>
      <c r="R2072" s="6"/>
      <c r="S2072" s="298"/>
    </row>
    <row r="2073" spans="14:19" hidden="1" x14ac:dyDescent="0.25">
      <c r="N2073" s="17">
        <v>406.89999999999799</v>
      </c>
      <c r="O2073" s="16" t="s">
        <v>6001</v>
      </c>
      <c r="R2073" s="6"/>
      <c r="S2073" s="298"/>
    </row>
    <row r="2074" spans="14:19" hidden="1" x14ac:dyDescent="0.25">
      <c r="N2074" s="17">
        <v>406.99999999999801</v>
      </c>
      <c r="O2074" s="16" t="s">
        <v>4041</v>
      </c>
      <c r="R2074" s="6"/>
      <c r="S2074" s="298"/>
    </row>
    <row r="2075" spans="14:19" hidden="1" x14ac:dyDescent="0.25">
      <c r="N2075" s="17">
        <v>407.09999999999798</v>
      </c>
      <c r="O2075" s="16" t="s">
        <v>6002</v>
      </c>
      <c r="R2075" s="6"/>
      <c r="S2075" s="298"/>
    </row>
    <row r="2076" spans="14:19" hidden="1" x14ac:dyDescent="0.25">
      <c r="N2076" s="17">
        <v>407.199999999998</v>
      </c>
      <c r="O2076" s="16" t="s">
        <v>6003</v>
      </c>
      <c r="R2076" s="6"/>
      <c r="S2076" s="298"/>
    </row>
    <row r="2077" spans="14:19" hidden="1" x14ac:dyDescent="0.25">
      <c r="N2077" s="17">
        <v>407.29999999999802</v>
      </c>
      <c r="O2077" s="16" t="s">
        <v>6004</v>
      </c>
      <c r="R2077" s="6"/>
      <c r="S2077" s="298"/>
    </row>
    <row r="2078" spans="14:19" hidden="1" x14ac:dyDescent="0.25">
      <c r="N2078" s="17">
        <v>407.39999999999799</v>
      </c>
      <c r="O2078" s="16" t="s">
        <v>6005</v>
      </c>
      <c r="R2078" s="6"/>
      <c r="S2078" s="298"/>
    </row>
    <row r="2079" spans="14:19" hidden="1" x14ac:dyDescent="0.25">
      <c r="N2079" s="17">
        <v>407.49999999999699</v>
      </c>
      <c r="O2079" s="16" t="s">
        <v>6006</v>
      </c>
      <c r="R2079" s="6"/>
      <c r="S2079" s="298"/>
    </row>
    <row r="2080" spans="14:19" hidden="1" x14ac:dyDescent="0.25">
      <c r="N2080" s="17">
        <v>407.59999999999701</v>
      </c>
      <c r="O2080" s="16" t="s">
        <v>6007</v>
      </c>
      <c r="R2080" s="6"/>
      <c r="S2080" s="298"/>
    </row>
    <row r="2081" spans="14:19" hidden="1" x14ac:dyDescent="0.25">
      <c r="N2081" s="17">
        <v>407.69999999999698</v>
      </c>
      <c r="O2081" s="16" t="s">
        <v>6008</v>
      </c>
      <c r="R2081" s="6"/>
      <c r="S2081" s="298"/>
    </row>
    <row r="2082" spans="14:19" hidden="1" x14ac:dyDescent="0.25">
      <c r="N2082" s="17">
        <v>407.799999999997</v>
      </c>
      <c r="O2082" s="16" t="s">
        <v>3899</v>
      </c>
      <c r="R2082" s="6"/>
      <c r="S2082" s="298"/>
    </row>
    <row r="2083" spans="14:19" hidden="1" x14ac:dyDescent="0.25">
      <c r="N2083" s="17">
        <v>407.89999999999702</v>
      </c>
      <c r="O2083" s="16" t="s">
        <v>3900</v>
      </c>
      <c r="R2083" s="6"/>
      <c r="S2083" s="298"/>
    </row>
    <row r="2084" spans="14:19" hidden="1" x14ac:dyDescent="0.25">
      <c r="N2084" s="17">
        <v>407.99999999999699</v>
      </c>
      <c r="O2084" s="16" t="s">
        <v>4042</v>
      </c>
    </row>
    <row r="2085" spans="14:19" hidden="1" x14ac:dyDescent="0.25">
      <c r="N2085" s="17">
        <v>408.09999999999701</v>
      </c>
      <c r="O2085" s="16" t="s">
        <v>3901</v>
      </c>
    </row>
    <row r="2086" spans="14:19" hidden="1" x14ac:dyDescent="0.25">
      <c r="N2086" s="17">
        <v>408.19999999999698</v>
      </c>
      <c r="O2086" s="16" t="s">
        <v>3902</v>
      </c>
    </row>
    <row r="2087" spans="14:19" hidden="1" x14ac:dyDescent="0.25">
      <c r="N2087" s="17">
        <v>408.299999999997</v>
      </c>
      <c r="O2087" s="16" t="s">
        <v>3903</v>
      </c>
    </row>
    <row r="2088" spans="14:19" hidden="1" x14ac:dyDescent="0.25">
      <c r="N2088" s="17">
        <v>408.39999999999702</v>
      </c>
      <c r="O2088" s="16" t="s">
        <v>3904</v>
      </c>
    </row>
    <row r="2089" spans="14:19" hidden="1" x14ac:dyDescent="0.25">
      <c r="N2089" s="17">
        <v>408.49999999999699</v>
      </c>
      <c r="O2089" s="16" t="s">
        <v>3905</v>
      </c>
    </row>
    <row r="2090" spans="14:19" hidden="1" x14ac:dyDescent="0.25">
      <c r="N2090" s="17">
        <v>408.59999999999701</v>
      </c>
      <c r="O2090" s="16" t="s">
        <v>3906</v>
      </c>
    </row>
    <row r="2091" spans="14:19" hidden="1" x14ac:dyDescent="0.25">
      <c r="N2091" s="17">
        <v>408.69999999999698</v>
      </c>
      <c r="O2091" s="16" t="s">
        <v>3907</v>
      </c>
    </row>
    <row r="2092" spans="14:19" hidden="1" x14ac:dyDescent="0.25">
      <c r="N2092" s="17">
        <v>408.799999999997</v>
      </c>
      <c r="O2092" s="16" t="s">
        <v>3908</v>
      </c>
    </row>
    <row r="2093" spans="14:19" hidden="1" x14ac:dyDescent="0.25">
      <c r="N2093" s="17">
        <v>408.89999999999702</v>
      </c>
      <c r="O2093" s="16" t="s">
        <v>1715</v>
      </c>
    </row>
    <row r="2094" spans="14:19" hidden="1" x14ac:dyDescent="0.25">
      <c r="N2094" s="17">
        <v>408.99999999999699</v>
      </c>
      <c r="O2094" s="16" t="s">
        <v>1716</v>
      </c>
      <c r="R2094" s="6"/>
      <c r="S2094" s="298"/>
    </row>
    <row r="2095" spans="14:19" hidden="1" x14ac:dyDescent="0.25">
      <c r="N2095" s="17">
        <v>409.09999999999701</v>
      </c>
      <c r="O2095" s="16" t="s">
        <v>1717</v>
      </c>
      <c r="R2095" s="6"/>
      <c r="S2095" s="298"/>
    </row>
    <row r="2096" spans="14:19" hidden="1" x14ac:dyDescent="0.25">
      <c r="N2096" s="17">
        <v>409.19999999999698</v>
      </c>
      <c r="O2096" s="16" t="s">
        <v>1718</v>
      </c>
      <c r="R2096" s="6"/>
      <c r="S2096" s="298"/>
    </row>
    <row r="2097" spans="14:19" hidden="1" x14ac:dyDescent="0.25">
      <c r="N2097" s="17">
        <v>409.299999999997</v>
      </c>
      <c r="O2097" s="16" t="s">
        <v>1719</v>
      </c>
      <c r="R2097" s="6"/>
      <c r="S2097" s="298"/>
    </row>
    <row r="2098" spans="14:19" hidden="1" x14ac:dyDescent="0.25">
      <c r="N2098" s="17">
        <v>409.39999999999702</v>
      </c>
      <c r="O2098" s="16" t="s">
        <v>1720</v>
      </c>
      <c r="R2098" s="6"/>
      <c r="S2098" s="298"/>
    </row>
    <row r="2099" spans="14:19" hidden="1" x14ac:dyDescent="0.25">
      <c r="N2099" s="17">
        <v>409.49999999999699</v>
      </c>
      <c r="O2099" s="16" t="s">
        <v>1721</v>
      </c>
      <c r="R2099" s="6"/>
      <c r="S2099" s="298"/>
    </row>
    <row r="2100" spans="14:19" hidden="1" x14ac:dyDescent="0.25">
      <c r="N2100" s="17">
        <v>409.59999999999701</v>
      </c>
      <c r="O2100" s="16" t="s">
        <v>1722</v>
      </c>
      <c r="R2100" s="6"/>
      <c r="S2100" s="298"/>
    </row>
    <row r="2101" spans="14:19" hidden="1" x14ac:dyDescent="0.25">
      <c r="N2101" s="17">
        <v>409.69999999999698</v>
      </c>
      <c r="O2101" s="16" t="s">
        <v>1723</v>
      </c>
      <c r="R2101" s="6"/>
      <c r="S2101" s="298"/>
    </row>
    <row r="2102" spans="14:19" hidden="1" x14ac:dyDescent="0.25">
      <c r="N2102" s="17">
        <v>409.799999999997</v>
      </c>
      <c r="O2102" s="16" t="s">
        <v>1724</v>
      </c>
      <c r="R2102" s="6"/>
      <c r="S2102" s="298"/>
    </row>
    <row r="2103" spans="14:19" hidden="1" x14ac:dyDescent="0.25">
      <c r="N2103" s="17">
        <v>409.89999999999702</v>
      </c>
      <c r="O2103" s="16" t="s">
        <v>1725</v>
      </c>
      <c r="R2103" s="6"/>
      <c r="S2103" s="298"/>
    </row>
    <row r="2104" spans="14:19" hidden="1" x14ac:dyDescent="0.25">
      <c r="N2104" s="17">
        <v>409.99999999999699</v>
      </c>
      <c r="O2104" s="16" t="s">
        <v>1726</v>
      </c>
      <c r="R2104" s="6"/>
      <c r="S2104" s="298"/>
    </row>
    <row r="2105" spans="14:19" hidden="1" x14ac:dyDescent="0.25">
      <c r="N2105" s="17">
        <v>410.09999999999701</v>
      </c>
      <c r="O2105" s="16" t="s">
        <v>1727</v>
      </c>
      <c r="R2105" s="6"/>
      <c r="S2105" s="298"/>
    </row>
    <row r="2106" spans="14:19" hidden="1" x14ac:dyDescent="0.25">
      <c r="N2106" s="17">
        <v>410.19999999999698</v>
      </c>
      <c r="O2106" s="16" t="s">
        <v>1728</v>
      </c>
      <c r="R2106" s="6"/>
      <c r="S2106" s="298"/>
    </row>
    <row r="2107" spans="14:19" hidden="1" x14ac:dyDescent="0.25">
      <c r="N2107" s="17">
        <v>410.299999999997</v>
      </c>
      <c r="O2107" s="16" t="s">
        <v>1729</v>
      </c>
      <c r="R2107" s="6"/>
      <c r="S2107" s="298"/>
    </row>
    <row r="2108" spans="14:19" hidden="1" x14ac:dyDescent="0.25">
      <c r="N2108" s="17">
        <v>410.39999999999702</v>
      </c>
      <c r="O2108" s="16" t="s">
        <v>1730</v>
      </c>
      <c r="R2108" s="6"/>
      <c r="S2108" s="298"/>
    </row>
    <row r="2109" spans="14:19" hidden="1" x14ac:dyDescent="0.25">
      <c r="N2109" s="17">
        <v>410.49999999999699</v>
      </c>
      <c r="O2109" s="16" t="s">
        <v>1731</v>
      </c>
      <c r="R2109" s="6"/>
      <c r="S2109" s="298"/>
    </row>
    <row r="2110" spans="14:19" hidden="1" x14ac:dyDescent="0.25">
      <c r="N2110" s="17">
        <v>410.59999999999599</v>
      </c>
      <c r="O2110" s="16" t="s">
        <v>1732</v>
      </c>
      <c r="R2110" s="6"/>
      <c r="S2110" s="298"/>
    </row>
    <row r="2111" spans="14:19" hidden="1" x14ac:dyDescent="0.25">
      <c r="N2111" s="17">
        <v>410.69999999999601</v>
      </c>
      <c r="O2111" s="16" t="s">
        <v>1733</v>
      </c>
      <c r="R2111" s="6"/>
      <c r="S2111" s="298"/>
    </row>
    <row r="2112" spans="14:19" hidden="1" x14ac:dyDescent="0.25">
      <c r="N2112" s="17">
        <v>410.79999999999598</v>
      </c>
      <c r="O2112" s="16" t="s">
        <v>1734</v>
      </c>
      <c r="R2112" s="6"/>
      <c r="S2112" s="298"/>
    </row>
    <row r="2113" spans="14:19" hidden="1" x14ac:dyDescent="0.25">
      <c r="N2113" s="17">
        <v>410.899999999996</v>
      </c>
      <c r="O2113" s="16" t="s">
        <v>1735</v>
      </c>
      <c r="R2113" s="6"/>
      <c r="S2113" s="298"/>
    </row>
    <row r="2114" spans="14:19" hidden="1" x14ac:dyDescent="0.25">
      <c r="N2114" s="17">
        <v>410.99999999999602</v>
      </c>
      <c r="O2114" s="16" t="s">
        <v>1736</v>
      </c>
      <c r="R2114" s="6"/>
      <c r="S2114" s="298"/>
    </row>
    <row r="2115" spans="14:19" hidden="1" x14ac:dyDescent="0.25">
      <c r="N2115" s="17">
        <v>411.09999999999599</v>
      </c>
      <c r="O2115" s="16" t="s">
        <v>1737</v>
      </c>
      <c r="R2115" s="6"/>
      <c r="S2115" s="298"/>
    </row>
    <row r="2116" spans="14:19" hidden="1" x14ac:dyDescent="0.25">
      <c r="N2116" s="17">
        <v>411.19999999999601</v>
      </c>
      <c r="O2116" s="16" t="s">
        <v>1738</v>
      </c>
      <c r="R2116" s="6"/>
      <c r="S2116" s="298"/>
    </row>
    <row r="2117" spans="14:19" hidden="1" x14ac:dyDescent="0.25">
      <c r="N2117" s="17">
        <v>411.29999999999598</v>
      </c>
      <c r="O2117" s="16" t="s">
        <v>1739</v>
      </c>
      <c r="R2117" s="6"/>
      <c r="S2117" s="298"/>
    </row>
    <row r="2118" spans="14:19" hidden="1" x14ac:dyDescent="0.25">
      <c r="N2118" s="17">
        <v>411.399999999996</v>
      </c>
      <c r="O2118" s="16" t="s">
        <v>1740</v>
      </c>
      <c r="R2118" s="6"/>
      <c r="S2118" s="298"/>
    </row>
    <row r="2119" spans="14:19" hidden="1" x14ac:dyDescent="0.25">
      <c r="N2119" s="17">
        <v>411.49999999999602</v>
      </c>
      <c r="O2119" s="16" t="s">
        <v>1741</v>
      </c>
      <c r="R2119" s="6"/>
      <c r="S2119" s="298"/>
    </row>
    <row r="2120" spans="14:19" hidden="1" x14ac:dyDescent="0.25">
      <c r="N2120" s="17">
        <v>411.59999999999599</v>
      </c>
      <c r="O2120" s="16" t="s">
        <v>1742</v>
      </c>
      <c r="R2120" s="6"/>
      <c r="S2120" s="298"/>
    </row>
    <row r="2121" spans="14:19" hidden="1" x14ac:dyDescent="0.25">
      <c r="N2121" s="17">
        <v>411.69999999999601</v>
      </c>
      <c r="O2121" s="16" t="s">
        <v>1743</v>
      </c>
      <c r="R2121" s="6"/>
      <c r="S2121" s="298"/>
    </row>
    <row r="2122" spans="14:19" hidden="1" x14ac:dyDescent="0.25">
      <c r="N2122" s="17">
        <v>411.79999999999598</v>
      </c>
      <c r="O2122" s="16" t="s">
        <v>1744</v>
      </c>
      <c r="R2122" s="6"/>
      <c r="S2122" s="298"/>
    </row>
    <row r="2123" spans="14:19" hidden="1" x14ac:dyDescent="0.25">
      <c r="N2123" s="17">
        <v>411.899999999996</v>
      </c>
      <c r="O2123" s="16" t="s">
        <v>1745</v>
      </c>
      <c r="R2123" s="6"/>
      <c r="S2123" s="298"/>
    </row>
    <row r="2124" spans="14:19" hidden="1" x14ac:dyDescent="0.25">
      <c r="N2124" s="17">
        <v>411.99999999999602</v>
      </c>
      <c r="O2124" s="16" t="s">
        <v>1746</v>
      </c>
      <c r="R2124" s="6"/>
      <c r="S2124" s="298"/>
    </row>
    <row r="2125" spans="14:19" hidden="1" x14ac:dyDescent="0.25">
      <c r="N2125" s="17">
        <v>412.09999999999599</v>
      </c>
      <c r="O2125" s="16" t="s">
        <v>1747</v>
      </c>
      <c r="R2125" s="6"/>
      <c r="S2125" s="298"/>
    </row>
    <row r="2126" spans="14:19" hidden="1" x14ac:dyDescent="0.25">
      <c r="N2126" s="17">
        <v>412.19999999999601</v>
      </c>
      <c r="O2126" s="16" t="s">
        <v>1748</v>
      </c>
      <c r="R2126" s="6"/>
      <c r="S2126" s="298"/>
    </row>
    <row r="2127" spans="14:19" hidden="1" x14ac:dyDescent="0.25">
      <c r="N2127" s="17">
        <v>412.29999999999598</v>
      </c>
      <c r="O2127" s="16" t="s">
        <v>1749</v>
      </c>
      <c r="R2127" s="6"/>
      <c r="S2127" s="298"/>
    </row>
    <row r="2128" spans="14:19" hidden="1" x14ac:dyDescent="0.25">
      <c r="N2128" s="17">
        <v>412.399999999996</v>
      </c>
      <c r="O2128" s="16" t="s">
        <v>1750</v>
      </c>
      <c r="R2128" s="6"/>
      <c r="S2128" s="298"/>
    </row>
    <row r="2129" spans="14:19" hidden="1" x14ac:dyDescent="0.25">
      <c r="N2129" s="17">
        <v>412.49999999999602</v>
      </c>
      <c r="O2129" s="16" t="s">
        <v>1751</v>
      </c>
      <c r="R2129" s="6"/>
      <c r="S2129" s="298"/>
    </row>
    <row r="2130" spans="14:19" hidden="1" x14ac:dyDescent="0.25">
      <c r="N2130" s="17">
        <v>412.59999999999599</v>
      </c>
      <c r="O2130" s="16" t="s">
        <v>1752</v>
      </c>
      <c r="R2130" s="6"/>
      <c r="S2130" s="298"/>
    </row>
    <row r="2131" spans="14:19" hidden="1" x14ac:dyDescent="0.25">
      <c r="N2131" s="17">
        <v>412.69999999999601</v>
      </c>
      <c r="O2131" s="16" t="s">
        <v>1753</v>
      </c>
      <c r="R2131" s="6"/>
      <c r="S2131" s="298"/>
    </row>
    <row r="2132" spans="14:19" hidden="1" x14ac:dyDescent="0.25">
      <c r="N2132" s="17">
        <v>412.79999999999598</v>
      </c>
      <c r="O2132" s="16" t="s">
        <v>1754</v>
      </c>
      <c r="R2132" s="6"/>
      <c r="S2132" s="298"/>
    </row>
    <row r="2133" spans="14:19" hidden="1" x14ac:dyDescent="0.25">
      <c r="N2133" s="17">
        <v>412.899999999996</v>
      </c>
      <c r="O2133" s="16" t="s">
        <v>1755</v>
      </c>
      <c r="R2133" s="6"/>
      <c r="S2133" s="298"/>
    </row>
    <row r="2134" spans="14:19" hidden="1" x14ac:dyDescent="0.25">
      <c r="N2134" s="17">
        <v>412.99999999999602</v>
      </c>
      <c r="O2134" s="16" t="s">
        <v>1756</v>
      </c>
      <c r="R2134" s="6"/>
      <c r="S2134" s="298"/>
    </row>
    <row r="2135" spans="14:19" hidden="1" x14ac:dyDescent="0.25">
      <c r="N2135" s="17">
        <v>413.09999999999599</v>
      </c>
      <c r="O2135" s="16" t="s">
        <v>1757</v>
      </c>
      <c r="R2135" s="6"/>
      <c r="S2135" s="298"/>
    </row>
    <row r="2136" spans="14:19" hidden="1" x14ac:dyDescent="0.25">
      <c r="N2136" s="17">
        <v>413.19999999999499</v>
      </c>
      <c r="O2136" s="16" t="s">
        <v>1758</v>
      </c>
      <c r="R2136" s="6"/>
      <c r="S2136" s="298"/>
    </row>
    <row r="2137" spans="14:19" hidden="1" x14ac:dyDescent="0.25">
      <c r="N2137" s="17">
        <v>413.29999999999598</v>
      </c>
      <c r="O2137" s="16" t="s">
        <v>1759</v>
      </c>
      <c r="R2137" s="6"/>
      <c r="S2137" s="298"/>
    </row>
    <row r="2138" spans="14:19" hidden="1" x14ac:dyDescent="0.25">
      <c r="N2138" s="17">
        <v>413.399999999996</v>
      </c>
      <c r="O2138" s="16" t="s">
        <v>1760</v>
      </c>
      <c r="R2138" s="6"/>
      <c r="S2138" s="298"/>
    </row>
    <row r="2139" spans="14:19" hidden="1" x14ac:dyDescent="0.25">
      <c r="N2139" s="17">
        <v>413.499999999995</v>
      </c>
      <c r="O2139" s="16" t="s">
        <v>1761</v>
      </c>
      <c r="R2139" s="6"/>
      <c r="S2139" s="298"/>
    </row>
    <row r="2140" spans="14:19" hidden="1" x14ac:dyDescent="0.25">
      <c r="N2140" s="17">
        <v>413.59999999999502</v>
      </c>
      <c r="O2140" s="16" t="s">
        <v>3954</v>
      </c>
      <c r="R2140" s="6"/>
      <c r="S2140" s="298"/>
    </row>
    <row r="2141" spans="14:19" hidden="1" x14ac:dyDescent="0.25">
      <c r="N2141" s="17">
        <v>413.69999999999499</v>
      </c>
      <c r="O2141" s="16" t="s">
        <v>1690</v>
      </c>
      <c r="R2141" s="6"/>
      <c r="S2141" s="298"/>
    </row>
    <row r="2142" spans="14:19" hidden="1" x14ac:dyDescent="0.25">
      <c r="N2142" s="17">
        <v>413.79999999999501</v>
      </c>
      <c r="O2142" s="16" t="s">
        <v>1691</v>
      </c>
      <c r="R2142" s="6"/>
      <c r="S2142" s="298"/>
    </row>
    <row r="2143" spans="14:19" hidden="1" x14ac:dyDescent="0.25">
      <c r="N2143" s="17">
        <v>413.89999999999498</v>
      </c>
      <c r="O2143" s="16" t="s">
        <v>1692</v>
      </c>
      <c r="R2143" s="6"/>
      <c r="S2143" s="298"/>
    </row>
    <row r="2144" spans="14:19" hidden="1" x14ac:dyDescent="0.25">
      <c r="N2144" s="17">
        <v>413.999999999995</v>
      </c>
      <c r="O2144" s="16" t="s">
        <v>1693</v>
      </c>
      <c r="R2144" s="6"/>
      <c r="S2144" s="298"/>
    </row>
    <row r="2145" spans="14:19" hidden="1" x14ac:dyDescent="0.25">
      <c r="N2145" s="17">
        <v>414.09999999999502</v>
      </c>
      <c r="O2145" s="16" t="s">
        <v>1694</v>
      </c>
      <c r="R2145" s="6"/>
      <c r="S2145" s="298"/>
    </row>
    <row r="2146" spans="14:19" hidden="1" x14ac:dyDescent="0.25">
      <c r="N2146" s="17">
        <v>414.19999999999499</v>
      </c>
      <c r="O2146" s="16" t="s">
        <v>1695</v>
      </c>
      <c r="R2146" s="6"/>
      <c r="S2146" s="298"/>
    </row>
    <row r="2147" spans="14:19" hidden="1" x14ac:dyDescent="0.25">
      <c r="N2147" s="17">
        <v>414.29999999999501</v>
      </c>
      <c r="O2147" s="16" t="s">
        <v>1696</v>
      </c>
      <c r="R2147" s="6"/>
      <c r="S2147" s="298"/>
    </row>
    <row r="2148" spans="14:19" hidden="1" x14ac:dyDescent="0.25">
      <c r="N2148" s="17">
        <v>414.39999999999498</v>
      </c>
      <c r="O2148" s="16" t="s">
        <v>1697</v>
      </c>
      <c r="R2148" s="6"/>
      <c r="S2148" s="298"/>
    </row>
    <row r="2149" spans="14:19" hidden="1" x14ac:dyDescent="0.25">
      <c r="N2149" s="17">
        <v>414.499999999995</v>
      </c>
      <c r="O2149" s="16" t="s">
        <v>1698</v>
      </c>
      <c r="R2149" s="6"/>
      <c r="S2149" s="298"/>
    </row>
    <row r="2150" spans="14:19" hidden="1" x14ac:dyDescent="0.25">
      <c r="N2150" s="17">
        <v>414.59999999999502</v>
      </c>
      <c r="O2150" s="16" t="s">
        <v>1699</v>
      </c>
      <c r="R2150" s="6"/>
      <c r="S2150" s="298"/>
    </row>
    <row r="2151" spans="14:19" hidden="1" x14ac:dyDescent="0.25">
      <c r="N2151" s="17">
        <v>414.69999999999499</v>
      </c>
      <c r="O2151" s="16" t="s">
        <v>1700</v>
      </c>
      <c r="R2151" s="6"/>
      <c r="S2151" s="298"/>
    </row>
    <row r="2152" spans="14:19" hidden="1" x14ac:dyDescent="0.25">
      <c r="N2152" s="17">
        <v>414.79999999999501</v>
      </c>
      <c r="O2152" s="16" t="s">
        <v>1701</v>
      </c>
      <c r="R2152" s="6"/>
      <c r="S2152" s="298"/>
    </row>
    <row r="2153" spans="14:19" hidden="1" x14ac:dyDescent="0.25">
      <c r="N2153" s="17">
        <v>414.89999999999498</v>
      </c>
      <c r="O2153" s="16" t="s">
        <v>1702</v>
      </c>
      <c r="R2153" s="6"/>
      <c r="S2153" s="298"/>
    </row>
    <row r="2154" spans="14:19" hidden="1" x14ac:dyDescent="0.25">
      <c r="N2154" s="17">
        <v>414.999999999995</v>
      </c>
      <c r="O2154" s="16" t="s">
        <v>1703</v>
      </c>
      <c r="R2154" s="6"/>
      <c r="S2154" s="298"/>
    </row>
    <row r="2155" spans="14:19" hidden="1" x14ac:dyDescent="0.25">
      <c r="N2155" s="17">
        <v>415.09999999999502</v>
      </c>
      <c r="O2155" s="16" t="s">
        <v>1704</v>
      </c>
      <c r="R2155" s="6"/>
      <c r="S2155" s="298"/>
    </row>
    <row r="2156" spans="14:19" hidden="1" x14ac:dyDescent="0.25">
      <c r="N2156" s="17">
        <v>415.19999999999499</v>
      </c>
      <c r="O2156" s="16" t="s">
        <v>1705</v>
      </c>
      <c r="R2156" s="6"/>
      <c r="S2156" s="298"/>
    </row>
    <row r="2157" spans="14:19" hidden="1" x14ac:dyDescent="0.25">
      <c r="N2157" s="17">
        <v>415.29999999999501</v>
      </c>
      <c r="O2157" s="16" t="s">
        <v>1706</v>
      </c>
      <c r="R2157" s="6"/>
      <c r="S2157" s="298"/>
    </row>
    <row r="2158" spans="14:19" hidden="1" x14ac:dyDescent="0.25">
      <c r="N2158" s="17">
        <v>415.39999999999498</v>
      </c>
      <c r="O2158" s="16" t="s">
        <v>1707</v>
      </c>
      <c r="R2158" s="6"/>
      <c r="S2158" s="298"/>
    </row>
    <row r="2159" spans="14:19" hidden="1" x14ac:dyDescent="0.25">
      <c r="N2159" s="17">
        <v>415.499999999995</v>
      </c>
      <c r="O2159" s="16" t="s">
        <v>1708</v>
      </c>
      <c r="R2159" s="6"/>
      <c r="S2159" s="298"/>
    </row>
    <row r="2160" spans="14:19" hidden="1" x14ac:dyDescent="0.25">
      <c r="N2160" s="17">
        <v>415.59999999999502</v>
      </c>
      <c r="O2160" s="16" t="s">
        <v>562</v>
      </c>
      <c r="R2160" s="6"/>
      <c r="S2160" s="298"/>
    </row>
    <row r="2161" spans="14:19" hidden="1" x14ac:dyDescent="0.25">
      <c r="N2161" s="17">
        <v>415.69999999999499</v>
      </c>
      <c r="O2161" s="16" t="s">
        <v>563</v>
      </c>
      <c r="R2161" s="6"/>
      <c r="S2161" s="298"/>
    </row>
    <row r="2162" spans="14:19" hidden="1" x14ac:dyDescent="0.25">
      <c r="N2162" s="17">
        <v>415.79999999999501</v>
      </c>
      <c r="O2162" s="16" t="s">
        <v>564</v>
      </c>
      <c r="R2162" s="6"/>
      <c r="S2162" s="298"/>
    </row>
    <row r="2163" spans="14:19" hidden="1" x14ac:dyDescent="0.25">
      <c r="N2163" s="17">
        <v>415.89999999999498</v>
      </c>
      <c r="O2163" s="16" t="s">
        <v>565</v>
      </c>
      <c r="R2163" s="6"/>
      <c r="S2163" s="298"/>
    </row>
    <row r="2164" spans="14:19" hidden="1" x14ac:dyDescent="0.25">
      <c r="N2164" s="17">
        <v>415.999999999995</v>
      </c>
      <c r="O2164" s="16" t="s">
        <v>566</v>
      </c>
      <c r="R2164" s="6"/>
      <c r="S2164" s="298"/>
    </row>
    <row r="2165" spans="14:19" hidden="1" x14ac:dyDescent="0.25">
      <c r="N2165" s="17">
        <v>416.09999999999502</v>
      </c>
      <c r="O2165" s="16" t="s">
        <v>567</v>
      </c>
      <c r="R2165" s="6"/>
      <c r="S2165" s="298"/>
    </row>
    <row r="2166" spans="14:19" hidden="1" x14ac:dyDescent="0.25">
      <c r="N2166" s="17">
        <v>416.19999999999499</v>
      </c>
      <c r="O2166" s="16" t="s">
        <v>568</v>
      </c>
      <c r="R2166" s="6"/>
      <c r="S2166" s="298"/>
    </row>
    <row r="2167" spans="14:19" hidden="1" x14ac:dyDescent="0.25">
      <c r="N2167" s="17">
        <v>416.29999999999399</v>
      </c>
      <c r="O2167" s="16" t="s">
        <v>569</v>
      </c>
      <c r="R2167" s="6"/>
      <c r="S2167" s="298"/>
    </row>
    <row r="2168" spans="14:19" hidden="1" x14ac:dyDescent="0.25">
      <c r="N2168" s="17">
        <v>416.39999999999401</v>
      </c>
      <c r="O2168" s="16" t="s">
        <v>570</v>
      </c>
      <c r="R2168" s="6"/>
      <c r="S2168" s="298"/>
    </row>
    <row r="2169" spans="14:19" hidden="1" x14ac:dyDescent="0.25">
      <c r="N2169" s="17">
        <v>416.49999999999397</v>
      </c>
      <c r="O2169" s="16" t="s">
        <v>571</v>
      </c>
      <c r="R2169" s="6"/>
      <c r="S2169" s="298"/>
    </row>
    <row r="2170" spans="14:19" hidden="1" x14ac:dyDescent="0.25">
      <c r="N2170" s="17">
        <v>416.599999999994</v>
      </c>
      <c r="O2170" s="16" t="s">
        <v>572</v>
      </c>
      <c r="R2170" s="6"/>
      <c r="S2170" s="298"/>
    </row>
    <row r="2171" spans="14:19" hidden="1" x14ac:dyDescent="0.25">
      <c r="N2171" s="17">
        <v>416.69999999999402</v>
      </c>
      <c r="O2171" s="16" t="s">
        <v>1762</v>
      </c>
      <c r="R2171" s="6"/>
      <c r="S2171" s="298"/>
    </row>
    <row r="2172" spans="14:19" hidden="1" x14ac:dyDescent="0.25">
      <c r="N2172" s="17">
        <v>416.79999999999399</v>
      </c>
      <c r="O2172" s="16" t="s">
        <v>1763</v>
      </c>
      <c r="R2172" s="6"/>
      <c r="S2172" s="298"/>
    </row>
    <row r="2173" spans="14:19" hidden="1" x14ac:dyDescent="0.25">
      <c r="N2173" s="17">
        <v>416.89999999999401</v>
      </c>
      <c r="O2173" s="16" t="s">
        <v>1764</v>
      </c>
      <c r="R2173" s="6"/>
      <c r="S2173" s="298"/>
    </row>
    <row r="2174" spans="14:19" hidden="1" x14ac:dyDescent="0.25">
      <c r="N2174" s="17">
        <v>416.99999999999397</v>
      </c>
      <c r="O2174" s="16" t="s">
        <v>1765</v>
      </c>
      <c r="R2174" s="6"/>
      <c r="S2174" s="298"/>
    </row>
    <row r="2175" spans="14:19" hidden="1" x14ac:dyDescent="0.25">
      <c r="N2175" s="17">
        <v>417.099999999994</v>
      </c>
      <c r="O2175" s="16" t="s">
        <v>1766</v>
      </c>
      <c r="R2175" s="6"/>
      <c r="S2175" s="298"/>
    </row>
    <row r="2176" spans="14:19" hidden="1" x14ac:dyDescent="0.25">
      <c r="N2176" s="17">
        <v>417.19999999999402</v>
      </c>
      <c r="O2176" s="16" t="s">
        <v>1767</v>
      </c>
      <c r="R2176" s="6"/>
      <c r="S2176" s="298"/>
    </row>
    <row r="2177" spans="14:19" hidden="1" x14ac:dyDescent="0.25">
      <c r="N2177" s="17">
        <v>417.29999999999399</v>
      </c>
      <c r="O2177" s="16" t="s">
        <v>1768</v>
      </c>
      <c r="R2177" s="6"/>
      <c r="S2177" s="298"/>
    </row>
    <row r="2178" spans="14:19" hidden="1" x14ac:dyDescent="0.25">
      <c r="N2178" s="17">
        <v>417.39999999999401</v>
      </c>
      <c r="O2178" s="16" t="s">
        <v>1769</v>
      </c>
      <c r="R2178" s="6"/>
      <c r="S2178" s="298"/>
    </row>
    <row r="2179" spans="14:19" hidden="1" x14ac:dyDescent="0.25">
      <c r="N2179" s="17">
        <v>417.49999999999397</v>
      </c>
      <c r="O2179" s="16" t="s">
        <v>1770</v>
      </c>
      <c r="R2179" s="6"/>
      <c r="S2179" s="298"/>
    </row>
    <row r="2180" spans="14:19" hidden="1" x14ac:dyDescent="0.25">
      <c r="N2180" s="17">
        <v>417.599999999994</v>
      </c>
      <c r="O2180" s="16" t="s">
        <v>1771</v>
      </c>
      <c r="R2180" s="6"/>
      <c r="S2180" s="298"/>
    </row>
    <row r="2181" spans="14:19" hidden="1" x14ac:dyDescent="0.25">
      <c r="N2181" s="17">
        <v>417.69999999999402</v>
      </c>
      <c r="O2181" s="16" t="s">
        <v>1772</v>
      </c>
      <c r="R2181" s="6"/>
      <c r="S2181" s="298"/>
    </row>
    <row r="2182" spans="14:19" hidden="1" x14ac:dyDescent="0.25">
      <c r="N2182" s="17">
        <v>417.79999999999399</v>
      </c>
      <c r="O2182" s="16" t="s">
        <v>1773</v>
      </c>
      <c r="R2182" s="6"/>
      <c r="S2182" s="298"/>
    </row>
    <row r="2183" spans="14:19" hidden="1" x14ac:dyDescent="0.25">
      <c r="N2183" s="17">
        <v>417.89999999999401</v>
      </c>
      <c r="O2183" s="16" t="s">
        <v>1774</v>
      </c>
      <c r="R2183" s="6"/>
      <c r="S2183" s="298"/>
    </row>
    <row r="2184" spans="14:19" hidden="1" x14ac:dyDescent="0.25">
      <c r="N2184" s="17">
        <v>417.99999999999397</v>
      </c>
      <c r="O2184" s="16" t="s">
        <v>1775</v>
      </c>
      <c r="R2184" s="6"/>
      <c r="S2184" s="298"/>
    </row>
    <row r="2185" spans="14:19" hidden="1" x14ac:dyDescent="0.25">
      <c r="N2185" s="17">
        <v>418.099999999994</v>
      </c>
      <c r="O2185" s="16" t="s">
        <v>2033</v>
      </c>
      <c r="R2185" s="6"/>
      <c r="S2185" s="298"/>
    </row>
    <row r="2186" spans="14:19" hidden="1" x14ac:dyDescent="0.25">
      <c r="N2186" s="17">
        <v>418.19999999999402</v>
      </c>
      <c r="O2186" s="16" t="s">
        <v>2034</v>
      </c>
      <c r="R2186" s="6"/>
      <c r="S2186" s="298"/>
    </row>
    <row r="2187" spans="14:19" hidden="1" x14ac:dyDescent="0.25">
      <c r="N2187" s="17">
        <v>418.29999999999399</v>
      </c>
      <c r="O2187" s="16" t="s">
        <v>2032</v>
      </c>
      <c r="R2187" s="6"/>
      <c r="S2187" s="298"/>
    </row>
    <row r="2188" spans="14:19" hidden="1" x14ac:dyDescent="0.25">
      <c r="N2188" s="17">
        <v>418.39999999999401</v>
      </c>
      <c r="O2188" s="16" t="s">
        <v>6289</v>
      </c>
      <c r="R2188" s="6"/>
      <c r="S2188" s="298"/>
    </row>
    <row r="2189" spans="14:19" hidden="1" x14ac:dyDescent="0.25">
      <c r="N2189" s="17">
        <v>418.49999999999397</v>
      </c>
      <c r="O2189" s="16" t="s">
        <v>4172</v>
      </c>
      <c r="R2189" s="6"/>
      <c r="S2189" s="298"/>
    </row>
    <row r="2190" spans="14:19" hidden="1" x14ac:dyDescent="0.25">
      <c r="N2190" s="17">
        <v>418.599999999994</v>
      </c>
      <c r="O2190" s="16" t="s">
        <v>4173</v>
      </c>
      <c r="R2190" s="6"/>
      <c r="S2190" s="298"/>
    </row>
    <row r="2191" spans="14:19" hidden="1" x14ac:dyDescent="0.25">
      <c r="N2191" s="17">
        <v>418.69999999999402</v>
      </c>
      <c r="O2191" s="16" t="s">
        <v>4174</v>
      </c>
      <c r="R2191" s="6"/>
      <c r="S2191" s="298"/>
    </row>
    <row r="2192" spans="14:19" hidden="1" x14ac:dyDescent="0.25">
      <c r="N2192" s="17">
        <v>418.79999999999399</v>
      </c>
      <c r="O2192" s="16" t="s">
        <v>4175</v>
      </c>
      <c r="R2192" s="6"/>
      <c r="S2192" s="298"/>
    </row>
    <row r="2193" spans="14:19" hidden="1" x14ac:dyDescent="0.25">
      <c r="N2193" s="17">
        <v>418.89999999999401</v>
      </c>
      <c r="O2193" s="16" t="s">
        <v>4176</v>
      </c>
      <c r="R2193" s="6"/>
      <c r="S2193" s="298"/>
    </row>
    <row r="2194" spans="14:19" hidden="1" x14ac:dyDescent="0.25">
      <c r="N2194" s="17">
        <v>418.99999999999397</v>
      </c>
      <c r="O2194" s="16" t="s">
        <v>4177</v>
      </c>
      <c r="R2194" s="6"/>
      <c r="S2194" s="298"/>
    </row>
    <row r="2195" spans="14:19" hidden="1" x14ac:dyDescent="0.25">
      <c r="N2195" s="17">
        <v>419.099999999994</v>
      </c>
      <c r="O2195" s="16" t="s">
        <v>4178</v>
      </c>
      <c r="R2195" s="6"/>
      <c r="S2195" s="298"/>
    </row>
    <row r="2196" spans="14:19" hidden="1" x14ac:dyDescent="0.25">
      <c r="N2196" s="17">
        <v>419.19999999999402</v>
      </c>
      <c r="O2196" s="16" t="s">
        <v>4179</v>
      </c>
      <c r="R2196" s="6"/>
      <c r="S2196" s="298"/>
    </row>
    <row r="2197" spans="14:19" hidden="1" x14ac:dyDescent="0.25">
      <c r="N2197" s="17">
        <v>419.29999999999399</v>
      </c>
      <c r="O2197" s="16" t="s">
        <v>4180</v>
      </c>
      <c r="R2197" s="6"/>
      <c r="S2197" s="298"/>
    </row>
    <row r="2198" spans="14:19" hidden="1" x14ac:dyDescent="0.25">
      <c r="N2198" s="17">
        <v>419.39999999999299</v>
      </c>
      <c r="O2198" s="16" t="s">
        <v>4181</v>
      </c>
      <c r="R2198" s="6"/>
      <c r="S2198" s="298"/>
    </row>
    <row r="2199" spans="14:19" hidden="1" x14ac:dyDescent="0.25">
      <c r="N2199" s="17">
        <v>419.49999999999301</v>
      </c>
      <c r="O2199" s="16" t="s">
        <v>4182</v>
      </c>
      <c r="R2199" s="6"/>
      <c r="S2199" s="298"/>
    </row>
    <row r="2200" spans="14:19" hidden="1" x14ac:dyDescent="0.25">
      <c r="N2200" s="17">
        <v>419.59999999999297</v>
      </c>
      <c r="O2200" s="16" t="s">
        <v>4183</v>
      </c>
      <c r="R2200" s="6"/>
      <c r="S2200" s="298"/>
    </row>
    <row r="2201" spans="14:19" hidden="1" x14ac:dyDescent="0.25">
      <c r="N2201" s="17">
        <v>419.699999999993</v>
      </c>
      <c r="O2201" s="16" t="s">
        <v>4184</v>
      </c>
      <c r="R2201" s="6"/>
      <c r="S2201" s="298"/>
    </row>
    <row r="2202" spans="14:19" hidden="1" x14ac:dyDescent="0.25">
      <c r="N2202" s="17">
        <v>419.79999999999302</v>
      </c>
      <c r="O2202" s="16" t="s">
        <v>4185</v>
      </c>
      <c r="R2202" s="6"/>
      <c r="S2202" s="298"/>
    </row>
    <row r="2203" spans="14:19" hidden="1" x14ac:dyDescent="0.25">
      <c r="N2203" s="17">
        <v>419.89999999999299</v>
      </c>
      <c r="O2203" s="16" t="s">
        <v>4186</v>
      </c>
      <c r="R2203" s="6"/>
      <c r="S2203" s="298"/>
    </row>
    <row r="2204" spans="14:19" hidden="1" x14ac:dyDescent="0.25">
      <c r="N2204" s="17">
        <v>419.99999999999301</v>
      </c>
      <c r="O2204" s="16" t="s">
        <v>4187</v>
      </c>
      <c r="R2204" s="6"/>
      <c r="S2204" s="298"/>
    </row>
    <row r="2205" spans="14:19" hidden="1" x14ac:dyDescent="0.25">
      <c r="N2205" s="17">
        <v>420.09999999999297</v>
      </c>
      <c r="O2205" s="16" t="s">
        <v>4188</v>
      </c>
      <c r="R2205" s="6"/>
      <c r="S2205" s="298"/>
    </row>
    <row r="2206" spans="14:19" hidden="1" x14ac:dyDescent="0.25">
      <c r="N2206" s="17">
        <v>420.199999999993</v>
      </c>
      <c r="O2206" s="16" t="s">
        <v>4189</v>
      </c>
      <c r="R2206" s="6"/>
      <c r="S2206" s="298"/>
    </row>
    <row r="2207" spans="14:19" hidden="1" x14ac:dyDescent="0.25">
      <c r="N2207" s="17">
        <v>420.29999999999302</v>
      </c>
      <c r="O2207" s="16" t="s">
        <v>4190</v>
      </c>
      <c r="R2207" s="6"/>
      <c r="S2207" s="298"/>
    </row>
    <row r="2208" spans="14:19" hidden="1" x14ac:dyDescent="0.25">
      <c r="N2208" s="17">
        <v>420.39999999999299</v>
      </c>
      <c r="O2208" s="16" t="s">
        <v>4191</v>
      </c>
      <c r="R2208" s="6"/>
      <c r="S2208" s="298"/>
    </row>
    <row r="2209" spans="14:19" hidden="1" x14ac:dyDescent="0.25">
      <c r="N2209" s="17">
        <v>420.49999999999301</v>
      </c>
      <c r="O2209" s="16" t="s">
        <v>4192</v>
      </c>
      <c r="R2209" s="6"/>
      <c r="S2209" s="298"/>
    </row>
    <row r="2210" spans="14:19" hidden="1" x14ac:dyDescent="0.25">
      <c r="N2210" s="17">
        <v>420.59999999999297</v>
      </c>
      <c r="O2210" s="16" t="s">
        <v>4193</v>
      </c>
      <c r="R2210" s="6"/>
      <c r="S2210" s="298"/>
    </row>
    <row r="2211" spans="14:19" hidden="1" x14ac:dyDescent="0.25">
      <c r="N2211" s="17">
        <v>420.699999999993</v>
      </c>
      <c r="O2211" s="16" t="s">
        <v>4194</v>
      </c>
      <c r="R2211" s="6"/>
      <c r="S2211" s="298"/>
    </row>
    <row r="2212" spans="14:19" hidden="1" x14ac:dyDescent="0.25">
      <c r="N2212" s="17">
        <v>420.79999999999302</v>
      </c>
      <c r="O2212" s="16" t="s">
        <v>4195</v>
      </c>
      <c r="R2212" s="6"/>
      <c r="S2212" s="298"/>
    </row>
    <row r="2213" spans="14:19" hidden="1" x14ac:dyDescent="0.25">
      <c r="N2213" s="17">
        <v>420.89999999999299</v>
      </c>
      <c r="O2213" s="16" t="s">
        <v>4196</v>
      </c>
      <c r="R2213" s="6"/>
      <c r="S2213" s="298"/>
    </row>
    <row r="2214" spans="14:19" hidden="1" x14ac:dyDescent="0.25">
      <c r="N2214" s="17">
        <v>420.99999999999301</v>
      </c>
      <c r="O2214" s="16" t="s">
        <v>4188</v>
      </c>
      <c r="R2214" s="6"/>
      <c r="S2214" s="298"/>
    </row>
    <row r="2215" spans="14:19" hidden="1" x14ac:dyDescent="0.25">
      <c r="N2215" s="17">
        <v>421.09999999999297</v>
      </c>
      <c r="O2215" s="16" t="s">
        <v>4197</v>
      </c>
      <c r="R2215" s="6"/>
      <c r="S2215" s="298"/>
    </row>
    <row r="2216" spans="14:19" hidden="1" x14ac:dyDescent="0.25">
      <c r="N2216" s="17">
        <v>421.199999999993</v>
      </c>
      <c r="O2216" s="16" t="s">
        <v>4198</v>
      </c>
      <c r="R2216" s="6"/>
      <c r="S2216" s="298"/>
    </row>
    <row r="2217" spans="14:19" hidden="1" x14ac:dyDescent="0.25">
      <c r="N2217" s="17">
        <v>421.29999999999302</v>
      </c>
      <c r="O2217" s="16" t="s">
        <v>4199</v>
      </c>
      <c r="R2217" s="6"/>
      <c r="S2217" s="298"/>
    </row>
    <row r="2218" spans="14:19" hidden="1" x14ac:dyDescent="0.25">
      <c r="N2218" s="17">
        <v>421.39999999999299</v>
      </c>
      <c r="O2218" s="16" t="s">
        <v>4200</v>
      </c>
      <c r="R2218" s="6"/>
      <c r="S2218" s="298"/>
    </row>
    <row r="2219" spans="14:19" hidden="1" x14ac:dyDescent="0.25">
      <c r="N2219" s="17">
        <v>421.49999999999301</v>
      </c>
      <c r="O2219" s="16" t="s">
        <v>4201</v>
      </c>
      <c r="R2219" s="6"/>
      <c r="S2219" s="298"/>
    </row>
    <row r="2220" spans="14:19" hidden="1" x14ac:dyDescent="0.25">
      <c r="N2220" s="17">
        <v>421.59999999999297</v>
      </c>
      <c r="O2220" s="16" t="s">
        <v>4202</v>
      </c>
      <c r="R2220" s="6"/>
      <c r="S2220" s="298"/>
    </row>
    <row r="2221" spans="14:19" hidden="1" x14ac:dyDescent="0.25">
      <c r="N2221" s="17">
        <v>421.699999999993</v>
      </c>
      <c r="O2221" s="16" t="s">
        <v>4203</v>
      </c>
      <c r="R2221" s="6"/>
      <c r="S2221" s="298"/>
    </row>
    <row r="2222" spans="14:19" hidden="1" x14ac:dyDescent="0.25">
      <c r="N2222" s="17">
        <v>421.79999999999302</v>
      </c>
      <c r="O2222" s="16" t="s">
        <v>4204</v>
      </c>
      <c r="R2222" s="6"/>
      <c r="S2222" s="298"/>
    </row>
    <row r="2223" spans="14:19" hidden="1" x14ac:dyDescent="0.25">
      <c r="N2223" s="17">
        <v>421.89999999999299</v>
      </c>
      <c r="O2223" s="16" t="s">
        <v>4205</v>
      </c>
      <c r="R2223" s="6"/>
      <c r="S2223" s="298"/>
    </row>
    <row r="2224" spans="14:19" hidden="1" x14ac:dyDescent="0.25">
      <c r="N2224" s="17">
        <v>421.99999999999199</v>
      </c>
      <c r="O2224" s="16" t="s">
        <v>4206</v>
      </c>
      <c r="R2224" s="6"/>
      <c r="S2224" s="298"/>
    </row>
    <row r="2225" spans="14:19" hidden="1" x14ac:dyDescent="0.25">
      <c r="N2225" s="17">
        <v>422.09999999999297</v>
      </c>
      <c r="O2225" s="16" t="s">
        <v>4207</v>
      </c>
      <c r="R2225" s="6"/>
      <c r="S2225" s="298"/>
    </row>
    <row r="2226" spans="14:19" hidden="1" x14ac:dyDescent="0.25">
      <c r="N2226" s="17">
        <v>422.199999999993</v>
      </c>
      <c r="O2226" s="16" t="s">
        <v>4208</v>
      </c>
      <c r="R2226" s="6"/>
      <c r="S2226" s="298"/>
    </row>
    <row r="2227" spans="14:19" hidden="1" x14ac:dyDescent="0.25">
      <c r="N2227" s="17">
        <v>422.299999999992</v>
      </c>
      <c r="O2227" s="16" t="s">
        <v>4209</v>
      </c>
      <c r="R2227" s="6"/>
      <c r="S2227" s="298"/>
    </row>
    <row r="2228" spans="14:19" hidden="1" x14ac:dyDescent="0.25">
      <c r="N2228" s="17">
        <v>422.39999999999202</v>
      </c>
      <c r="O2228" s="16" t="s">
        <v>4210</v>
      </c>
      <c r="R2228" s="6"/>
      <c r="S2228" s="298"/>
    </row>
    <row r="2229" spans="14:19" hidden="1" x14ac:dyDescent="0.25">
      <c r="N2229" s="17">
        <v>422.49999999999199</v>
      </c>
      <c r="O2229" s="16" t="s">
        <v>4211</v>
      </c>
      <c r="R2229" s="6"/>
      <c r="S2229" s="298"/>
    </row>
    <row r="2230" spans="14:19" hidden="1" x14ac:dyDescent="0.25">
      <c r="N2230" s="17">
        <v>422.59999999999201</v>
      </c>
      <c r="O2230" s="16" t="s">
        <v>2037</v>
      </c>
      <c r="R2230" s="6"/>
      <c r="S2230" s="298"/>
    </row>
    <row r="2231" spans="14:19" hidden="1" x14ac:dyDescent="0.25">
      <c r="N2231" s="17">
        <v>422.69999999999197</v>
      </c>
      <c r="O2231" s="16" t="s">
        <v>2038</v>
      </c>
      <c r="R2231" s="6"/>
      <c r="S2231" s="298"/>
    </row>
    <row r="2232" spans="14:19" hidden="1" x14ac:dyDescent="0.25">
      <c r="N2232" s="17">
        <v>422.799999999992</v>
      </c>
      <c r="O2232" s="16" t="s">
        <v>2039</v>
      </c>
      <c r="R2232" s="6"/>
      <c r="S2232" s="298"/>
    </row>
    <row r="2233" spans="14:19" hidden="1" x14ac:dyDescent="0.25">
      <c r="N2233" s="17">
        <v>422.89999999999202</v>
      </c>
      <c r="O2233" s="16" t="s">
        <v>6316</v>
      </c>
      <c r="R2233" s="6"/>
      <c r="S2233" s="298"/>
    </row>
    <row r="2234" spans="14:19" hidden="1" x14ac:dyDescent="0.25">
      <c r="N2234" s="17">
        <v>422.99999999999199</v>
      </c>
      <c r="O2234" s="16" t="s">
        <v>6317</v>
      </c>
      <c r="R2234" s="6"/>
      <c r="S2234" s="298"/>
    </row>
    <row r="2235" spans="14:19" hidden="1" x14ac:dyDescent="0.25">
      <c r="N2235" s="17">
        <v>423.09999999999201</v>
      </c>
      <c r="O2235" s="16" t="s">
        <v>4212</v>
      </c>
      <c r="R2235" s="6"/>
      <c r="S2235" s="298"/>
    </row>
    <row r="2236" spans="14:19" hidden="1" x14ac:dyDescent="0.25">
      <c r="N2236" s="17">
        <v>423.19999999999197</v>
      </c>
      <c r="O2236" s="16" t="s">
        <v>2042</v>
      </c>
      <c r="R2236" s="6"/>
      <c r="S2236" s="298"/>
    </row>
    <row r="2237" spans="14:19" hidden="1" x14ac:dyDescent="0.25">
      <c r="N2237" s="17">
        <v>423.299999999992</v>
      </c>
      <c r="O2237" s="16" t="s">
        <v>2043</v>
      </c>
      <c r="R2237" s="6"/>
      <c r="S2237" s="298"/>
    </row>
    <row r="2238" spans="14:19" hidden="1" x14ac:dyDescent="0.25">
      <c r="N2238" s="17">
        <v>423.39999999999202</v>
      </c>
      <c r="O2238" s="16" t="s">
        <v>2044</v>
      </c>
      <c r="R2238" s="6"/>
      <c r="S2238" s="298"/>
    </row>
    <row r="2239" spans="14:19" hidden="1" x14ac:dyDescent="0.25">
      <c r="N2239" s="17">
        <v>423.49999999999199</v>
      </c>
      <c r="O2239" s="16" t="s">
        <v>2045</v>
      </c>
      <c r="R2239" s="6"/>
      <c r="S2239" s="298"/>
    </row>
    <row r="2240" spans="14:19" hidden="1" x14ac:dyDescent="0.25">
      <c r="N2240" s="17">
        <v>423.59999999999201</v>
      </c>
      <c r="O2240" s="16" t="s">
        <v>2046</v>
      </c>
      <c r="R2240" s="6"/>
      <c r="S2240" s="298"/>
    </row>
    <row r="2241" spans="14:19" hidden="1" x14ac:dyDescent="0.25">
      <c r="N2241" s="17">
        <v>423.69999999999197</v>
      </c>
      <c r="O2241" s="16" t="s">
        <v>2047</v>
      </c>
      <c r="R2241" s="6"/>
      <c r="S2241" s="298"/>
    </row>
    <row r="2242" spans="14:19" hidden="1" x14ac:dyDescent="0.25">
      <c r="N2242" s="17">
        <v>423.799999999992</v>
      </c>
      <c r="O2242" s="16" t="s">
        <v>2048</v>
      </c>
      <c r="R2242" s="6"/>
      <c r="S2242" s="298"/>
    </row>
    <row r="2243" spans="14:19" hidden="1" x14ac:dyDescent="0.25">
      <c r="N2243" s="17">
        <v>423.89999999999202</v>
      </c>
      <c r="O2243" s="16" t="s">
        <v>2049</v>
      </c>
      <c r="R2243" s="6"/>
      <c r="S2243" s="298"/>
    </row>
    <row r="2244" spans="14:19" hidden="1" x14ac:dyDescent="0.25">
      <c r="N2244" s="17">
        <v>423.99999999999199</v>
      </c>
      <c r="O2244" s="16" t="s">
        <v>2050</v>
      </c>
      <c r="R2244" s="6"/>
      <c r="S2244" s="298"/>
    </row>
    <row r="2245" spans="14:19" hidden="1" x14ac:dyDescent="0.25">
      <c r="N2245" s="17">
        <v>424.09999999999201</v>
      </c>
      <c r="O2245" s="16" t="s">
        <v>2051</v>
      </c>
      <c r="R2245" s="6"/>
      <c r="S2245" s="298"/>
    </row>
    <row r="2246" spans="14:19" hidden="1" x14ac:dyDescent="0.25">
      <c r="N2246" s="17">
        <v>424.19999999999197</v>
      </c>
      <c r="O2246" s="16" t="s">
        <v>2052</v>
      </c>
      <c r="R2246" s="6"/>
      <c r="S2246" s="298"/>
    </row>
    <row r="2247" spans="14:19" hidden="1" x14ac:dyDescent="0.25">
      <c r="N2247" s="17">
        <v>424.299999999992</v>
      </c>
      <c r="O2247" s="16" t="s">
        <v>2053</v>
      </c>
      <c r="R2247" s="6"/>
      <c r="S2247" s="298"/>
    </row>
    <row r="2248" spans="14:19" hidden="1" x14ac:dyDescent="0.25">
      <c r="N2248" s="17">
        <v>424.39999999999202</v>
      </c>
      <c r="O2248" s="16" t="s">
        <v>2054</v>
      </c>
      <c r="R2248" s="6"/>
      <c r="S2248" s="298"/>
    </row>
    <row r="2249" spans="14:19" hidden="1" x14ac:dyDescent="0.25">
      <c r="N2249" s="17">
        <v>424.49999999999199</v>
      </c>
      <c r="O2249" s="16" t="s">
        <v>2055</v>
      </c>
      <c r="R2249" s="6"/>
      <c r="S2249" s="298"/>
    </row>
    <row r="2250" spans="14:19" hidden="1" x14ac:dyDescent="0.25">
      <c r="N2250" s="17">
        <v>424.59999999999201</v>
      </c>
      <c r="O2250" s="16" t="s">
        <v>2056</v>
      </c>
      <c r="R2250" s="6"/>
      <c r="S2250" s="298"/>
    </row>
    <row r="2251" spans="14:19" hidden="1" x14ac:dyDescent="0.25">
      <c r="N2251" s="17">
        <v>424.69999999999197</v>
      </c>
      <c r="O2251" s="16" t="s">
        <v>2057</v>
      </c>
      <c r="R2251" s="6"/>
      <c r="S2251" s="298"/>
    </row>
    <row r="2252" spans="14:19" hidden="1" x14ac:dyDescent="0.25">
      <c r="N2252" s="17">
        <v>424.799999999992</v>
      </c>
      <c r="O2252" s="16" t="s">
        <v>2058</v>
      </c>
      <c r="R2252" s="6"/>
      <c r="S2252" s="298"/>
    </row>
    <row r="2253" spans="14:19" hidden="1" x14ac:dyDescent="0.25">
      <c r="N2253" s="17">
        <v>424.89999999999202</v>
      </c>
      <c r="O2253" s="16" t="s">
        <v>2059</v>
      </c>
      <c r="R2253" s="6"/>
      <c r="S2253" s="298"/>
    </row>
    <row r="2254" spans="14:19" hidden="1" x14ac:dyDescent="0.25">
      <c r="N2254" s="17">
        <v>424.99999999999199</v>
      </c>
      <c r="O2254" s="16" t="s">
        <v>2060</v>
      </c>
      <c r="R2254" s="6"/>
      <c r="S2254" s="298"/>
    </row>
    <row r="2255" spans="14:19" hidden="1" x14ac:dyDescent="0.25">
      <c r="N2255" s="17">
        <v>425.09999999999098</v>
      </c>
      <c r="O2255" s="16" t="s">
        <v>2061</v>
      </c>
      <c r="R2255" s="6"/>
      <c r="S2255" s="298"/>
    </row>
    <row r="2256" spans="14:19" hidden="1" x14ac:dyDescent="0.25">
      <c r="N2256" s="17">
        <v>425.19999999999101</v>
      </c>
      <c r="O2256" s="16" t="s">
        <v>2062</v>
      </c>
      <c r="R2256" s="6"/>
      <c r="S2256" s="298"/>
    </row>
    <row r="2257" spans="14:19" hidden="1" x14ac:dyDescent="0.25">
      <c r="N2257" s="17">
        <v>425.29999999999097</v>
      </c>
      <c r="O2257" s="16" t="s">
        <v>2063</v>
      </c>
      <c r="R2257" s="6"/>
      <c r="S2257" s="298"/>
    </row>
    <row r="2258" spans="14:19" hidden="1" x14ac:dyDescent="0.25">
      <c r="N2258" s="17">
        <v>425.399999999991</v>
      </c>
      <c r="O2258" s="16" t="s">
        <v>2064</v>
      </c>
      <c r="R2258" s="6"/>
      <c r="S2258" s="298"/>
    </row>
    <row r="2259" spans="14:19" hidden="1" x14ac:dyDescent="0.25">
      <c r="N2259" s="17">
        <v>425.49999999999102</v>
      </c>
      <c r="O2259" s="16" t="s">
        <v>2065</v>
      </c>
      <c r="R2259" s="6"/>
      <c r="S2259" s="298"/>
    </row>
    <row r="2260" spans="14:19" hidden="1" x14ac:dyDescent="0.25">
      <c r="N2260" s="17">
        <v>425.59999999999098</v>
      </c>
      <c r="O2260" s="16" t="s">
        <v>4238</v>
      </c>
      <c r="R2260" s="6"/>
      <c r="S2260" s="298"/>
    </row>
    <row r="2261" spans="14:19" hidden="1" x14ac:dyDescent="0.25">
      <c r="N2261" s="17">
        <v>425.69999999999101</v>
      </c>
      <c r="O2261" s="16" t="s">
        <v>4239</v>
      </c>
      <c r="R2261" s="6"/>
      <c r="S2261" s="298"/>
    </row>
    <row r="2262" spans="14:19" hidden="1" x14ac:dyDescent="0.25">
      <c r="N2262" s="17">
        <v>425.79999999999097</v>
      </c>
      <c r="O2262" s="16" t="s">
        <v>4240</v>
      </c>
      <c r="R2262" s="6"/>
      <c r="S2262" s="298"/>
    </row>
    <row r="2263" spans="14:19" hidden="1" x14ac:dyDescent="0.25">
      <c r="N2263" s="17">
        <v>425.899999999991</v>
      </c>
      <c r="O2263" s="16" t="s">
        <v>4241</v>
      </c>
      <c r="R2263" s="6"/>
      <c r="S2263" s="298"/>
    </row>
    <row r="2264" spans="14:19" hidden="1" x14ac:dyDescent="0.25">
      <c r="N2264" s="17">
        <v>425.99999999999102</v>
      </c>
      <c r="O2264" s="16" t="s">
        <v>4242</v>
      </c>
      <c r="R2264" s="6"/>
      <c r="S2264" s="298"/>
    </row>
    <row r="2265" spans="14:19" hidden="1" x14ac:dyDescent="0.25">
      <c r="N2265" s="17">
        <v>426.09999999999098</v>
      </c>
      <c r="O2265" s="16" t="s">
        <v>4243</v>
      </c>
      <c r="R2265" s="6"/>
      <c r="S2265" s="298"/>
    </row>
    <row r="2266" spans="14:19" hidden="1" x14ac:dyDescent="0.25">
      <c r="N2266" s="17">
        <v>426.19999999999101</v>
      </c>
      <c r="O2266" s="16" t="s">
        <v>4244</v>
      </c>
      <c r="R2266" s="6"/>
      <c r="S2266" s="298"/>
    </row>
    <row r="2267" spans="14:19" hidden="1" x14ac:dyDescent="0.25">
      <c r="N2267" s="17">
        <v>426.29999999999097</v>
      </c>
      <c r="O2267" s="16" t="s">
        <v>4245</v>
      </c>
      <c r="R2267" s="6"/>
      <c r="S2267" s="298"/>
    </row>
    <row r="2268" spans="14:19" hidden="1" x14ac:dyDescent="0.25">
      <c r="N2268" s="17">
        <v>426.399999999991</v>
      </c>
      <c r="O2268" s="16" t="s">
        <v>4246</v>
      </c>
      <c r="R2268" s="6"/>
      <c r="S2268" s="298"/>
    </row>
    <row r="2269" spans="14:19" hidden="1" x14ac:dyDescent="0.25">
      <c r="N2269" s="17">
        <v>426.49999999999102</v>
      </c>
      <c r="O2269" s="16" t="s">
        <v>4247</v>
      </c>
      <c r="R2269" s="6"/>
      <c r="S2269" s="298"/>
    </row>
    <row r="2270" spans="14:19" hidden="1" x14ac:dyDescent="0.25">
      <c r="N2270" s="17">
        <v>426.59999999999098</v>
      </c>
      <c r="O2270" s="16" t="s">
        <v>4248</v>
      </c>
      <c r="R2270" s="6"/>
      <c r="S2270" s="298"/>
    </row>
    <row r="2271" spans="14:19" hidden="1" x14ac:dyDescent="0.25">
      <c r="N2271" s="17">
        <v>426.69999999999101</v>
      </c>
      <c r="O2271" s="16" t="s">
        <v>4249</v>
      </c>
      <c r="R2271" s="6"/>
      <c r="S2271" s="298"/>
    </row>
    <row r="2272" spans="14:19" hidden="1" x14ac:dyDescent="0.25">
      <c r="N2272" s="17">
        <v>426.79999999999097</v>
      </c>
      <c r="O2272" s="16" t="s">
        <v>4250</v>
      </c>
      <c r="R2272" s="6"/>
      <c r="S2272" s="298"/>
    </row>
    <row r="2273" spans="14:19" hidden="1" x14ac:dyDescent="0.25">
      <c r="N2273" s="17">
        <v>426.899999999991</v>
      </c>
      <c r="O2273" s="16" t="s">
        <v>4251</v>
      </c>
      <c r="R2273" s="6"/>
      <c r="S2273" s="298"/>
    </row>
    <row r="2274" spans="14:19" hidden="1" x14ac:dyDescent="0.25">
      <c r="N2274" s="17">
        <v>426.99999999999102</v>
      </c>
      <c r="O2274" s="16" t="s">
        <v>4252</v>
      </c>
      <c r="R2274" s="6"/>
      <c r="S2274" s="298"/>
    </row>
    <row r="2275" spans="14:19" hidden="1" x14ac:dyDescent="0.25">
      <c r="N2275" s="17">
        <v>427.09999999999098</v>
      </c>
      <c r="O2275" s="16" t="s">
        <v>4253</v>
      </c>
      <c r="R2275" s="6"/>
      <c r="S2275" s="298"/>
    </row>
    <row r="2276" spans="14:19" hidden="1" x14ac:dyDescent="0.25">
      <c r="N2276" s="17">
        <v>427.19999999999101</v>
      </c>
      <c r="O2276" s="16" t="s">
        <v>4254</v>
      </c>
      <c r="R2276" s="6"/>
      <c r="S2276" s="298"/>
    </row>
    <row r="2277" spans="14:19" hidden="1" x14ac:dyDescent="0.25">
      <c r="N2277" s="17">
        <v>427.29999999999097</v>
      </c>
      <c r="O2277" s="16" t="s">
        <v>4255</v>
      </c>
      <c r="R2277" s="6"/>
      <c r="S2277" s="298"/>
    </row>
    <row r="2278" spans="14:19" hidden="1" x14ac:dyDescent="0.25">
      <c r="N2278" s="17">
        <v>427.399999999991</v>
      </c>
      <c r="O2278" s="16" t="s">
        <v>4256</v>
      </c>
      <c r="R2278" s="6"/>
      <c r="S2278" s="298"/>
    </row>
    <row r="2279" spans="14:19" hidden="1" x14ac:dyDescent="0.25">
      <c r="N2279" s="17">
        <v>427.49999999999102</v>
      </c>
      <c r="O2279" s="16" t="s">
        <v>4257</v>
      </c>
      <c r="R2279" s="6"/>
      <c r="S2279" s="298"/>
    </row>
    <row r="2280" spans="14:19" hidden="1" x14ac:dyDescent="0.25">
      <c r="N2280" s="17">
        <v>427.59999999999098</v>
      </c>
      <c r="O2280" s="16" t="s">
        <v>4258</v>
      </c>
      <c r="R2280" s="6"/>
      <c r="S2280" s="298"/>
    </row>
    <row r="2281" spans="14:19" hidden="1" x14ac:dyDescent="0.25">
      <c r="N2281" s="17">
        <v>427.69999999999101</v>
      </c>
      <c r="O2281" s="16" t="s">
        <v>4259</v>
      </c>
      <c r="R2281" s="6"/>
      <c r="S2281" s="298"/>
    </row>
    <row r="2282" spans="14:19" hidden="1" x14ac:dyDescent="0.25">
      <c r="N2282" s="17">
        <v>427.79999999999097</v>
      </c>
      <c r="O2282" s="16" t="s">
        <v>4260</v>
      </c>
      <c r="R2282" s="6"/>
      <c r="S2282" s="298"/>
    </row>
    <row r="2283" spans="14:19" hidden="1" x14ac:dyDescent="0.25">
      <c r="N2283" s="17">
        <v>427.899999999991</v>
      </c>
      <c r="O2283" s="16" t="s">
        <v>4261</v>
      </c>
      <c r="R2283" s="6"/>
      <c r="S2283" s="298"/>
    </row>
    <row r="2284" spans="14:19" hidden="1" x14ac:dyDescent="0.25">
      <c r="N2284" s="17">
        <v>427.99999999999102</v>
      </c>
      <c r="O2284" s="16" t="s">
        <v>4262</v>
      </c>
      <c r="R2284" s="6"/>
      <c r="S2284" s="298"/>
    </row>
    <row r="2285" spans="14:19" hidden="1" x14ac:dyDescent="0.25">
      <c r="N2285" s="17">
        <v>428.09999999999098</v>
      </c>
      <c r="O2285" s="16" t="s">
        <v>4263</v>
      </c>
      <c r="R2285" s="6"/>
      <c r="S2285" s="298"/>
    </row>
    <row r="2286" spans="14:19" hidden="1" x14ac:dyDescent="0.25">
      <c r="N2286" s="17">
        <v>428.19999999998998</v>
      </c>
      <c r="O2286" s="16" t="s">
        <v>4264</v>
      </c>
      <c r="R2286" s="6"/>
      <c r="S2286" s="298"/>
    </row>
    <row r="2287" spans="14:19" hidden="1" x14ac:dyDescent="0.25">
      <c r="N2287" s="17">
        <v>428.29999999999001</v>
      </c>
      <c r="O2287" s="16" t="s">
        <v>4265</v>
      </c>
      <c r="R2287" s="6"/>
      <c r="S2287" s="298"/>
    </row>
    <row r="2288" spans="14:19" hidden="1" x14ac:dyDescent="0.25">
      <c r="N2288" s="17">
        <v>428.39999999998997</v>
      </c>
      <c r="O2288" s="16" t="s">
        <v>4266</v>
      </c>
      <c r="R2288" s="6"/>
      <c r="S2288" s="298"/>
    </row>
    <row r="2289" spans="14:19" hidden="1" x14ac:dyDescent="0.25">
      <c r="N2289" s="17">
        <v>428.49999999999</v>
      </c>
      <c r="O2289" s="16" t="s">
        <v>4267</v>
      </c>
      <c r="R2289" s="6"/>
      <c r="S2289" s="298"/>
    </row>
    <row r="2290" spans="14:19" hidden="1" x14ac:dyDescent="0.25">
      <c r="N2290" s="17">
        <v>428.59999999999002</v>
      </c>
      <c r="O2290" s="16" t="s">
        <v>4268</v>
      </c>
      <c r="R2290" s="6"/>
      <c r="S2290" s="298"/>
    </row>
    <row r="2291" spans="14:19" hidden="1" x14ac:dyDescent="0.25">
      <c r="N2291" s="17">
        <v>428.69999999998998</v>
      </c>
      <c r="O2291" s="16" t="s">
        <v>4269</v>
      </c>
      <c r="R2291" s="6"/>
      <c r="S2291" s="298"/>
    </row>
    <row r="2292" spans="14:19" hidden="1" x14ac:dyDescent="0.25">
      <c r="N2292" s="17">
        <v>428.79999999999001</v>
      </c>
      <c r="O2292" s="16" t="s">
        <v>4270</v>
      </c>
      <c r="R2292" s="6"/>
      <c r="S2292" s="298"/>
    </row>
    <row r="2293" spans="14:19" hidden="1" x14ac:dyDescent="0.25">
      <c r="N2293" s="17">
        <v>428.89999999998997</v>
      </c>
      <c r="O2293" s="16" t="s">
        <v>4271</v>
      </c>
      <c r="R2293" s="6"/>
      <c r="S2293" s="298"/>
    </row>
    <row r="2294" spans="14:19" hidden="1" x14ac:dyDescent="0.25">
      <c r="N2294" s="17">
        <v>428.99999999999</v>
      </c>
      <c r="O2294" s="16" t="s">
        <v>629</v>
      </c>
      <c r="R2294" s="6"/>
      <c r="S2294" s="298"/>
    </row>
    <row r="2295" spans="14:19" hidden="1" x14ac:dyDescent="0.25">
      <c r="N2295" s="17">
        <v>429.09999999999002</v>
      </c>
      <c r="O2295" s="16" t="s">
        <v>630</v>
      </c>
      <c r="R2295" s="6"/>
      <c r="S2295" s="298"/>
    </row>
    <row r="2296" spans="14:19" hidden="1" x14ac:dyDescent="0.25">
      <c r="N2296" s="17">
        <v>429.19999999998998</v>
      </c>
      <c r="O2296" s="16" t="s">
        <v>631</v>
      </c>
      <c r="R2296" s="6"/>
      <c r="S2296" s="298"/>
    </row>
    <row r="2297" spans="14:19" hidden="1" x14ac:dyDescent="0.25">
      <c r="N2297" s="17">
        <v>429.29999999999001</v>
      </c>
      <c r="O2297" s="16" t="s">
        <v>632</v>
      </c>
      <c r="R2297" s="6"/>
      <c r="S2297" s="298"/>
    </row>
    <row r="2298" spans="14:19" hidden="1" x14ac:dyDescent="0.25">
      <c r="N2298" s="17">
        <v>429.39999999998997</v>
      </c>
      <c r="O2298" s="16" t="s">
        <v>633</v>
      </c>
      <c r="R2298" s="6"/>
      <c r="S2298" s="298"/>
    </row>
    <row r="2299" spans="14:19" hidden="1" x14ac:dyDescent="0.25">
      <c r="N2299" s="17">
        <v>429.49999999999</v>
      </c>
      <c r="O2299" s="16" t="s">
        <v>634</v>
      </c>
      <c r="R2299" s="6"/>
      <c r="S2299" s="298"/>
    </row>
    <row r="2300" spans="14:19" hidden="1" x14ac:dyDescent="0.25">
      <c r="N2300" s="17">
        <v>429.59999999999002</v>
      </c>
      <c r="O2300" s="16" t="s">
        <v>635</v>
      </c>
      <c r="R2300" s="6"/>
      <c r="S2300" s="298"/>
    </row>
    <row r="2301" spans="14:19" hidden="1" x14ac:dyDescent="0.25">
      <c r="N2301" s="17">
        <v>429.69999999998998</v>
      </c>
      <c r="O2301" s="16" t="s">
        <v>636</v>
      </c>
      <c r="R2301" s="6"/>
      <c r="S2301" s="298"/>
    </row>
    <row r="2302" spans="14:19" hidden="1" x14ac:dyDescent="0.25">
      <c r="N2302" s="17">
        <v>429.79999999999001</v>
      </c>
      <c r="O2302" s="16" t="s">
        <v>637</v>
      </c>
      <c r="R2302" s="6"/>
      <c r="S2302" s="298"/>
    </row>
    <row r="2303" spans="14:19" hidden="1" x14ac:dyDescent="0.25">
      <c r="N2303" s="17">
        <v>429.89999999998997</v>
      </c>
      <c r="O2303" s="16" t="s">
        <v>638</v>
      </c>
      <c r="R2303" s="6"/>
      <c r="S2303" s="298"/>
    </row>
    <row r="2304" spans="14:19" hidden="1" x14ac:dyDescent="0.25">
      <c r="N2304" s="17">
        <v>429.99999999999</v>
      </c>
      <c r="O2304" s="16" t="s">
        <v>639</v>
      </c>
      <c r="R2304" s="6"/>
      <c r="S2304" s="298"/>
    </row>
    <row r="2305" spans="14:19" hidden="1" x14ac:dyDescent="0.25">
      <c r="N2305" s="17">
        <v>430.09999999999002</v>
      </c>
      <c r="O2305" s="16" t="s">
        <v>640</v>
      </c>
      <c r="R2305" s="6"/>
      <c r="S2305" s="298"/>
    </row>
    <row r="2306" spans="14:19" hidden="1" x14ac:dyDescent="0.25">
      <c r="N2306" s="17">
        <v>430.19999999998998</v>
      </c>
      <c r="O2306" s="16" t="s">
        <v>641</v>
      </c>
      <c r="R2306" s="6"/>
      <c r="S2306" s="298"/>
    </row>
    <row r="2307" spans="14:19" hidden="1" x14ac:dyDescent="0.25">
      <c r="N2307" s="17">
        <v>430.29999999999001</v>
      </c>
      <c r="O2307" s="16" t="s">
        <v>642</v>
      </c>
      <c r="R2307" s="6"/>
      <c r="S2307" s="298"/>
    </row>
    <row r="2308" spans="14:19" hidden="1" x14ac:dyDescent="0.25">
      <c r="N2308" s="17">
        <v>430.39999999998997</v>
      </c>
      <c r="O2308" s="16" t="s">
        <v>643</v>
      </c>
      <c r="R2308" s="6"/>
      <c r="S2308" s="298"/>
    </row>
    <row r="2309" spans="14:19" hidden="1" x14ac:dyDescent="0.25">
      <c r="N2309" s="17">
        <v>430.49999999999</v>
      </c>
      <c r="O2309" s="16" t="s">
        <v>644</v>
      </c>
      <c r="R2309" s="6"/>
      <c r="S2309" s="298"/>
    </row>
    <row r="2310" spans="14:19" hidden="1" x14ac:dyDescent="0.25">
      <c r="N2310" s="17">
        <v>430.59999999999002</v>
      </c>
      <c r="O2310" s="16" t="s">
        <v>645</v>
      </c>
      <c r="R2310" s="6"/>
      <c r="S2310" s="298"/>
    </row>
    <row r="2311" spans="14:19" hidden="1" x14ac:dyDescent="0.25">
      <c r="N2311" s="17">
        <v>430.69999999998998</v>
      </c>
      <c r="O2311" s="16" t="s">
        <v>646</v>
      </c>
      <c r="R2311" s="6"/>
      <c r="S2311" s="298"/>
    </row>
    <row r="2312" spans="14:19" hidden="1" x14ac:dyDescent="0.25">
      <c r="N2312" s="17">
        <v>430.79999999998898</v>
      </c>
      <c r="O2312" s="16" t="s">
        <v>647</v>
      </c>
      <c r="R2312" s="6"/>
      <c r="S2312" s="298"/>
    </row>
    <row r="2313" spans="14:19" hidden="1" x14ac:dyDescent="0.25">
      <c r="N2313" s="17">
        <v>430.89999999998997</v>
      </c>
      <c r="O2313" s="16" t="s">
        <v>648</v>
      </c>
      <c r="R2313" s="6"/>
      <c r="S2313" s="298"/>
    </row>
    <row r="2314" spans="14:19" hidden="1" x14ac:dyDescent="0.25">
      <c r="N2314" s="17">
        <v>430.99999999999</v>
      </c>
      <c r="O2314" s="16" t="s">
        <v>649</v>
      </c>
      <c r="R2314" s="6"/>
      <c r="S2314" s="298"/>
    </row>
    <row r="2315" spans="14:19" hidden="1" x14ac:dyDescent="0.25">
      <c r="N2315" s="17">
        <v>431.099999999989</v>
      </c>
      <c r="O2315" s="16" t="s">
        <v>650</v>
      </c>
      <c r="R2315" s="6"/>
      <c r="S2315" s="298"/>
    </row>
    <row r="2316" spans="14:19" hidden="1" x14ac:dyDescent="0.25">
      <c r="N2316" s="17">
        <v>431.19999999998902</v>
      </c>
      <c r="O2316" s="16" t="s">
        <v>651</v>
      </c>
      <c r="R2316" s="6"/>
      <c r="S2316" s="298"/>
    </row>
    <row r="2317" spans="14:19" hidden="1" x14ac:dyDescent="0.25">
      <c r="N2317" s="17">
        <v>431.29999999998898</v>
      </c>
      <c r="O2317" s="16" t="s">
        <v>652</v>
      </c>
      <c r="R2317" s="6"/>
      <c r="S2317" s="298"/>
    </row>
    <row r="2318" spans="14:19" hidden="1" x14ac:dyDescent="0.25">
      <c r="N2318" s="17">
        <v>431.39999999998901</v>
      </c>
      <c r="O2318" s="16" t="s">
        <v>653</v>
      </c>
      <c r="R2318" s="6"/>
      <c r="S2318" s="298"/>
    </row>
    <row r="2319" spans="14:19" hidden="1" x14ac:dyDescent="0.25">
      <c r="N2319" s="17">
        <v>431.49999999998897</v>
      </c>
      <c r="O2319" s="16" t="s">
        <v>654</v>
      </c>
      <c r="R2319" s="6"/>
      <c r="S2319" s="298"/>
    </row>
    <row r="2320" spans="14:19" hidden="1" x14ac:dyDescent="0.25">
      <c r="N2320" s="17">
        <v>431.599999999989</v>
      </c>
      <c r="O2320" s="16" t="s">
        <v>655</v>
      </c>
      <c r="R2320" s="6"/>
      <c r="S2320" s="298"/>
    </row>
    <row r="2321" spans="14:19" hidden="1" x14ac:dyDescent="0.25">
      <c r="N2321" s="17">
        <v>431.69999999998902</v>
      </c>
      <c r="O2321" s="16" t="s">
        <v>656</v>
      </c>
      <c r="R2321" s="6"/>
      <c r="S2321" s="298"/>
    </row>
    <row r="2322" spans="14:19" hidden="1" x14ac:dyDescent="0.25">
      <c r="N2322" s="17">
        <v>431.79999999998898</v>
      </c>
      <c r="O2322" s="16" t="s">
        <v>657</v>
      </c>
      <c r="R2322" s="6"/>
      <c r="S2322" s="298"/>
    </row>
    <row r="2323" spans="14:19" hidden="1" x14ac:dyDescent="0.25">
      <c r="N2323" s="17">
        <v>431.89999999998901</v>
      </c>
      <c r="O2323" s="16" t="s">
        <v>658</v>
      </c>
      <c r="R2323" s="6"/>
      <c r="S2323" s="298"/>
    </row>
    <row r="2324" spans="14:19" hidden="1" x14ac:dyDescent="0.25">
      <c r="N2324" s="17">
        <v>431.99999999998897</v>
      </c>
      <c r="O2324" s="16" t="s">
        <v>2112</v>
      </c>
      <c r="R2324" s="6"/>
      <c r="S2324" s="298"/>
    </row>
    <row r="2325" spans="14:19" hidden="1" x14ac:dyDescent="0.25">
      <c r="N2325" s="17">
        <v>432.099999999989</v>
      </c>
      <c r="O2325" s="16" t="s">
        <v>2129</v>
      </c>
      <c r="R2325" s="6"/>
      <c r="S2325" s="298"/>
    </row>
    <row r="2326" spans="14:19" hidden="1" x14ac:dyDescent="0.25">
      <c r="N2326" s="17">
        <v>432.19999999998902</v>
      </c>
      <c r="O2326" s="16" t="s">
        <v>2130</v>
      </c>
      <c r="R2326" s="6"/>
      <c r="S2326" s="298"/>
    </row>
    <row r="2327" spans="14:19" hidden="1" x14ac:dyDescent="0.25">
      <c r="N2327" s="17">
        <v>432.29999999998898</v>
      </c>
      <c r="O2327" s="16" t="s">
        <v>4312</v>
      </c>
      <c r="R2327" s="6"/>
      <c r="S2327" s="298"/>
    </row>
    <row r="2328" spans="14:19" hidden="1" x14ac:dyDescent="0.25">
      <c r="N2328" s="17">
        <v>432.39999999998901</v>
      </c>
      <c r="O2328" s="16" t="s">
        <v>4313</v>
      </c>
      <c r="R2328" s="6"/>
      <c r="S2328" s="298"/>
    </row>
    <row r="2329" spans="14:19" hidden="1" x14ac:dyDescent="0.25">
      <c r="N2329" s="17">
        <v>432.49999999998897</v>
      </c>
      <c r="O2329" s="16" t="s">
        <v>4314</v>
      </c>
      <c r="R2329" s="6"/>
      <c r="S2329" s="298"/>
    </row>
    <row r="2330" spans="14:19" hidden="1" x14ac:dyDescent="0.25">
      <c r="N2330" s="17">
        <v>432.599999999989</v>
      </c>
      <c r="O2330" s="16" t="s">
        <v>4315</v>
      </c>
      <c r="R2330" s="6"/>
      <c r="S2330" s="298"/>
    </row>
    <row r="2331" spans="14:19" hidden="1" x14ac:dyDescent="0.25">
      <c r="N2331" s="17">
        <v>432.69999999998902</v>
      </c>
      <c r="O2331" s="16" t="s">
        <v>4316</v>
      </c>
      <c r="R2331" s="6"/>
      <c r="S2331" s="298"/>
    </row>
    <row r="2332" spans="14:19" hidden="1" x14ac:dyDescent="0.25">
      <c r="N2332" s="17">
        <v>432.79999999998898</v>
      </c>
      <c r="O2332" s="16" t="s">
        <v>4317</v>
      </c>
      <c r="R2332" s="6"/>
      <c r="S2332" s="298"/>
    </row>
    <row r="2333" spans="14:19" hidden="1" x14ac:dyDescent="0.25">
      <c r="N2333" s="17">
        <v>432.89999999998901</v>
      </c>
      <c r="O2333" s="16" t="s">
        <v>4318</v>
      </c>
      <c r="R2333" s="6"/>
      <c r="S2333" s="298"/>
    </row>
    <row r="2334" spans="14:19" hidden="1" x14ac:dyDescent="0.25">
      <c r="N2334" s="17">
        <v>432.99999999998897</v>
      </c>
      <c r="O2334" s="16" t="s">
        <v>4319</v>
      </c>
      <c r="R2334" s="6"/>
      <c r="S2334" s="298"/>
    </row>
    <row r="2335" spans="14:19" hidden="1" x14ac:dyDescent="0.25">
      <c r="N2335" s="17">
        <v>433.099999999989</v>
      </c>
      <c r="O2335" s="16" t="s">
        <v>4320</v>
      </c>
      <c r="R2335" s="6"/>
      <c r="S2335" s="298"/>
    </row>
    <row r="2336" spans="14:19" hidden="1" x14ac:dyDescent="0.25">
      <c r="N2336" s="17">
        <v>433.19999999998902</v>
      </c>
      <c r="O2336" s="16" t="s">
        <v>4321</v>
      </c>
      <c r="R2336" s="6"/>
      <c r="S2336" s="298"/>
    </row>
    <row r="2337" spans="14:19" hidden="1" x14ac:dyDescent="0.25">
      <c r="N2337" s="17">
        <v>433.29999999998898</v>
      </c>
      <c r="O2337" s="16" t="s">
        <v>4322</v>
      </c>
      <c r="R2337" s="6"/>
      <c r="S2337" s="298"/>
    </row>
    <row r="2338" spans="14:19" hidden="1" x14ac:dyDescent="0.25">
      <c r="N2338" s="17">
        <v>433.39999999998901</v>
      </c>
      <c r="O2338" s="16" t="s">
        <v>4323</v>
      </c>
      <c r="R2338" s="6"/>
      <c r="S2338" s="298"/>
    </row>
    <row r="2339" spans="14:19" hidden="1" x14ac:dyDescent="0.25">
      <c r="N2339" s="17">
        <v>433.49999999998897</v>
      </c>
      <c r="O2339" s="16" t="s">
        <v>4324</v>
      </c>
      <c r="R2339" s="6"/>
      <c r="S2339" s="298"/>
    </row>
    <row r="2340" spans="14:19" hidden="1" x14ac:dyDescent="0.25">
      <c r="N2340" s="17">
        <v>433.599999999989</v>
      </c>
      <c r="O2340" s="16" t="s">
        <v>4325</v>
      </c>
      <c r="R2340" s="6"/>
      <c r="S2340" s="298"/>
    </row>
    <row r="2341" spans="14:19" hidden="1" x14ac:dyDescent="0.25">
      <c r="N2341" s="17">
        <v>433.69999999998902</v>
      </c>
      <c r="O2341" s="16" t="s">
        <v>4326</v>
      </c>
      <c r="R2341" s="6"/>
      <c r="S2341" s="298"/>
    </row>
    <row r="2342" spans="14:19" hidden="1" x14ac:dyDescent="0.25">
      <c r="N2342" s="17">
        <v>433.79999999998898</v>
      </c>
      <c r="O2342" s="16" t="s">
        <v>4327</v>
      </c>
      <c r="R2342" s="6"/>
      <c r="S2342" s="298"/>
    </row>
    <row r="2343" spans="14:19" hidden="1" x14ac:dyDescent="0.25">
      <c r="N2343" s="17">
        <v>433.89999999998798</v>
      </c>
      <c r="O2343" s="16" t="s">
        <v>4328</v>
      </c>
      <c r="R2343" s="6"/>
      <c r="S2343" s="298"/>
    </row>
    <row r="2344" spans="14:19" hidden="1" x14ac:dyDescent="0.25">
      <c r="N2344" s="17">
        <v>433.99999999998801</v>
      </c>
      <c r="O2344" s="16" t="s">
        <v>4329</v>
      </c>
      <c r="R2344" s="6"/>
      <c r="S2344" s="298"/>
    </row>
    <row r="2345" spans="14:19" hidden="1" x14ac:dyDescent="0.25">
      <c r="N2345" s="17">
        <v>434.09999999998797</v>
      </c>
      <c r="O2345" s="16" t="s">
        <v>4330</v>
      </c>
      <c r="R2345" s="6"/>
      <c r="S2345" s="298"/>
    </row>
    <row r="2346" spans="14:19" hidden="1" x14ac:dyDescent="0.25">
      <c r="N2346" s="17">
        <v>434.19999999998799</v>
      </c>
      <c r="O2346" s="16" t="s">
        <v>4331</v>
      </c>
      <c r="R2346" s="6"/>
      <c r="S2346" s="298"/>
    </row>
    <row r="2347" spans="14:19" hidden="1" x14ac:dyDescent="0.25">
      <c r="N2347" s="17">
        <v>434.29999999998802</v>
      </c>
      <c r="O2347" s="16" t="s">
        <v>4332</v>
      </c>
      <c r="R2347" s="6"/>
      <c r="S2347" s="298"/>
    </row>
    <row r="2348" spans="14:19" hidden="1" x14ac:dyDescent="0.25">
      <c r="N2348" s="17">
        <v>434.39999999998798</v>
      </c>
      <c r="O2348" s="16" t="s">
        <v>4333</v>
      </c>
      <c r="R2348" s="6"/>
      <c r="S2348" s="298"/>
    </row>
    <row r="2349" spans="14:19" hidden="1" x14ac:dyDescent="0.25">
      <c r="N2349" s="17">
        <v>434.49999999998801</v>
      </c>
      <c r="O2349" s="16" t="s">
        <v>4334</v>
      </c>
      <c r="R2349" s="6"/>
      <c r="S2349" s="298"/>
    </row>
    <row r="2350" spans="14:19" hidden="1" x14ac:dyDescent="0.25">
      <c r="N2350" s="17">
        <v>434.59999999998797</v>
      </c>
      <c r="O2350" s="16" t="s">
        <v>4335</v>
      </c>
      <c r="R2350" s="6"/>
      <c r="S2350" s="298"/>
    </row>
    <row r="2351" spans="14:19" hidden="1" x14ac:dyDescent="0.25">
      <c r="N2351" s="17">
        <v>434.69999999998799</v>
      </c>
      <c r="O2351" s="16" t="s">
        <v>4336</v>
      </c>
      <c r="R2351" s="6"/>
      <c r="S2351" s="298"/>
    </row>
    <row r="2352" spans="14:19" hidden="1" x14ac:dyDescent="0.25">
      <c r="N2352" s="17">
        <v>434.79999999998802</v>
      </c>
      <c r="O2352" s="16" t="s">
        <v>4337</v>
      </c>
      <c r="R2352" s="6"/>
      <c r="S2352" s="298"/>
    </row>
    <row r="2353" spans="14:19" hidden="1" x14ac:dyDescent="0.25">
      <c r="N2353" s="17">
        <v>434.89999999998798</v>
      </c>
      <c r="O2353" s="16" t="s">
        <v>4338</v>
      </c>
      <c r="R2353" s="6"/>
      <c r="S2353" s="298"/>
    </row>
    <row r="2354" spans="14:19" hidden="1" x14ac:dyDescent="0.25">
      <c r="N2354" s="17">
        <v>434.99999999998801</v>
      </c>
      <c r="O2354" s="16" t="s">
        <v>4339</v>
      </c>
      <c r="R2354" s="6"/>
      <c r="S2354" s="298"/>
    </row>
    <row r="2355" spans="14:19" hidden="1" x14ac:dyDescent="0.25">
      <c r="N2355" s="17">
        <v>435.09999999998797</v>
      </c>
      <c r="O2355" s="16" t="s">
        <v>4340</v>
      </c>
      <c r="R2355" s="6"/>
      <c r="S2355" s="298"/>
    </row>
    <row r="2356" spans="14:19" hidden="1" x14ac:dyDescent="0.25">
      <c r="N2356" s="17">
        <v>435.19999999998799</v>
      </c>
      <c r="O2356" s="16" t="s">
        <v>4341</v>
      </c>
      <c r="R2356" s="6"/>
      <c r="S2356" s="298"/>
    </row>
    <row r="2357" spans="14:19" hidden="1" x14ac:dyDescent="0.25">
      <c r="N2357" s="17">
        <v>435.29999999998802</v>
      </c>
      <c r="O2357" s="16" t="s">
        <v>4342</v>
      </c>
      <c r="R2357" s="6"/>
      <c r="S2357" s="298"/>
    </row>
    <row r="2358" spans="14:19" hidden="1" x14ac:dyDescent="0.25">
      <c r="N2358" s="17">
        <v>435.39999999998798</v>
      </c>
      <c r="O2358" s="16" t="s">
        <v>4343</v>
      </c>
      <c r="R2358" s="6"/>
      <c r="S2358" s="298"/>
    </row>
    <row r="2359" spans="14:19" hidden="1" x14ac:dyDescent="0.25">
      <c r="N2359" s="17">
        <v>435.49999999998801</v>
      </c>
      <c r="O2359" s="16" t="s">
        <v>4344</v>
      </c>
      <c r="R2359" s="6"/>
      <c r="S2359" s="298"/>
    </row>
    <row r="2360" spans="14:19" hidden="1" x14ac:dyDescent="0.25">
      <c r="N2360" s="17">
        <v>435.59999999998797</v>
      </c>
      <c r="O2360" s="16" t="s">
        <v>4345</v>
      </c>
      <c r="R2360" s="6"/>
      <c r="S2360" s="298"/>
    </row>
    <row r="2361" spans="14:19" hidden="1" x14ac:dyDescent="0.25">
      <c r="N2361" s="17">
        <v>435.69999999998799</v>
      </c>
      <c r="O2361" s="16" t="s">
        <v>4346</v>
      </c>
      <c r="R2361" s="6"/>
      <c r="S2361" s="298"/>
    </row>
    <row r="2362" spans="14:19" hidden="1" x14ac:dyDescent="0.25">
      <c r="N2362" s="17">
        <v>435.79999999998802</v>
      </c>
      <c r="O2362" s="16" t="s">
        <v>4347</v>
      </c>
      <c r="R2362" s="6"/>
      <c r="S2362" s="298"/>
    </row>
    <row r="2363" spans="14:19" hidden="1" x14ac:dyDescent="0.25">
      <c r="N2363" s="17">
        <v>435.89999999998798</v>
      </c>
      <c r="O2363" s="16" t="s">
        <v>4348</v>
      </c>
      <c r="R2363" s="6"/>
      <c r="S2363" s="298"/>
    </row>
    <row r="2364" spans="14:19" hidden="1" x14ac:dyDescent="0.25">
      <c r="N2364" s="17">
        <v>435.99999999998801</v>
      </c>
      <c r="O2364" s="16" t="s">
        <v>4349</v>
      </c>
      <c r="R2364" s="6"/>
      <c r="S2364" s="298"/>
    </row>
    <row r="2365" spans="14:19" hidden="1" x14ac:dyDescent="0.25">
      <c r="N2365" s="17">
        <v>436.09999999998797</v>
      </c>
      <c r="O2365" s="16" t="s">
        <v>4350</v>
      </c>
      <c r="R2365" s="6"/>
      <c r="S2365" s="298"/>
    </row>
    <row r="2366" spans="14:19" hidden="1" x14ac:dyDescent="0.25">
      <c r="N2366" s="17">
        <v>436.19999999998799</v>
      </c>
      <c r="O2366" s="16" t="s">
        <v>4351</v>
      </c>
      <c r="R2366" s="6"/>
      <c r="S2366" s="298"/>
    </row>
    <row r="2367" spans="14:19" hidden="1" x14ac:dyDescent="0.25">
      <c r="N2367" s="17">
        <v>436.29999999998802</v>
      </c>
      <c r="O2367" s="16" t="s">
        <v>4352</v>
      </c>
      <c r="R2367" s="6"/>
      <c r="S2367" s="298"/>
    </row>
    <row r="2368" spans="14:19" hidden="1" x14ac:dyDescent="0.25">
      <c r="N2368" s="17">
        <v>436.39999999998798</v>
      </c>
      <c r="O2368" s="16" t="s">
        <v>4353</v>
      </c>
      <c r="R2368" s="6"/>
      <c r="S2368" s="298"/>
    </row>
    <row r="2369" spans="14:19" hidden="1" x14ac:dyDescent="0.25">
      <c r="N2369" s="17">
        <v>436.49999999998801</v>
      </c>
      <c r="O2369" s="16" t="s">
        <v>2179</v>
      </c>
      <c r="R2369" s="6"/>
      <c r="S2369" s="298"/>
    </row>
    <row r="2370" spans="14:19" hidden="1" x14ac:dyDescent="0.25">
      <c r="N2370" s="17">
        <v>436.59999999998797</v>
      </c>
      <c r="O2370" s="16" t="s">
        <v>2180</v>
      </c>
      <c r="R2370" s="6"/>
      <c r="S2370" s="298"/>
    </row>
    <row r="2371" spans="14:19" hidden="1" x14ac:dyDescent="0.25">
      <c r="N2371" s="17">
        <v>436.69999999998799</v>
      </c>
      <c r="O2371" s="16" t="s">
        <v>2181</v>
      </c>
      <c r="R2371" s="6"/>
      <c r="S2371" s="298"/>
    </row>
    <row r="2372" spans="14:19" hidden="1" x14ac:dyDescent="0.25">
      <c r="N2372" s="17">
        <v>436.79999999998802</v>
      </c>
      <c r="O2372" s="16" t="s">
        <v>2182</v>
      </c>
      <c r="R2372" s="6"/>
      <c r="S2372" s="298"/>
    </row>
    <row r="2373" spans="14:19" hidden="1" x14ac:dyDescent="0.25">
      <c r="N2373" s="17">
        <v>436.89999999998702</v>
      </c>
      <c r="O2373" s="16" t="s">
        <v>2183</v>
      </c>
      <c r="R2373" s="6"/>
      <c r="S2373" s="298"/>
    </row>
    <row r="2374" spans="14:19" hidden="1" x14ac:dyDescent="0.25">
      <c r="N2374" s="17">
        <v>436.99999999998698</v>
      </c>
      <c r="O2374" s="16" t="s">
        <v>2184</v>
      </c>
      <c r="R2374" s="6"/>
      <c r="S2374" s="298"/>
    </row>
    <row r="2375" spans="14:19" hidden="1" x14ac:dyDescent="0.25">
      <c r="N2375" s="17">
        <v>437.09999999998701</v>
      </c>
      <c r="O2375" s="16" t="s">
        <v>2185</v>
      </c>
      <c r="R2375" s="6"/>
      <c r="S2375" s="298"/>
    </row>
    <row r="2376" spans="14:19" hidden="1" x14ac:dyDescent="0.25">
      <c r="N2376" s="17">
        <v>437.19999999998703</v>
      </c>
      <c r="O2376" s="16" t="s">
        <v>2186</v>
      </c>
      <c r="R2376" s="6"/>
      <c r="S2376" s="298"/>
    </row>
    <row r="2377" spans="14:19" hidden="1" x14ac:dyDescent="0.25">
      <c r="N2377" s="17">
        <v>437.29999999998699</v>
      </c>
      <c r="O2377" s="16" t="s">
        <v>2187</v>
      </c>
      <c r="R2377" s="6"/>
      <c r="S2377" s="298"/>
    </row>
    <row r="2378" spans="14:19" hidden="1" x14ac:dyDescent="0.25">
      <c r="N2378" s="17">
        <v>437.39999999998702</v>
      </c>
      <c r="O2378" s="16" t="s">
        <v>2188</v>
      </c>
      <c r="R2378" s="6"/>
      <c r="S2378" s="298"/>
    </row>
    <row r="2379" spans="14:19" hidden="1" x14ac:dyDescent="0.25">
      <c r="N2379" s="17">
        <v>437.49999999998698</v>
      </c>
      <c r="O2379" s="16" t="s">
        <v>2189</v>
      </c>
      <c r="R2379" s="6"/>
      <c r="S2379" s="298"/>
    </row>
    <row r="2380" spans="14:19" hidden="1" x14ac:dyDescent="0.25">
      <c r="N2380" s="17">
        <v>437.59999999998701</v>
      </c>
      <c r="O2380" s="16" t="s">
        <v>2190</v>
      </c>
      <c r="R2380" s="6"/>
      <c r="S2380" s="298"/>
    </row>
    <row r="2381" spans="14:19" hidden="1" x14ac:dyDescent="0.25">
      <c r="N2381" s="17">
        <v>437.69999999998703</v>
      </c>
      <c r="O2381" s="16" t="s">
        <v>2191</v>
      </c>
      <c r="R2381" s="6"/>
      <c r="S2381" s="298"/>
    </row>
    <row r="2382" spans="14:19" hidden="1" x14ac:dyDescent="0.25">
      <c r="N2382" s="17">
        <v>437.79999999998699</v>
      </c>
      <c r="O2382" s="16" t="s">
        <v>2192</v>
      </c>
      <c r="R2382" s="6"/>
      <c r="S2382" s="298"/>
    </row>
    <row r="2383" spans="14:19" hidden="1" x14ac:dyDescent="0.25">
      <c r="N2383" s="17">
        <v>437.89999999998702</v>
      </c>
      <c r="O2383" s="16" t="s">
        <v>2193</v>
      </c>
      <c r="R2383" s="6"/>
      <c r="S2383" s="298"/>
    </row>
    <row r="2384" spans="14:19" hidden="1" x14ac:dyDescent="0.25">
      <c r="N2384" s="17">
        <v>437.99999999998698</v>
      </c>
      <c r="O2384" s="16" t="s">
        <v>2194</v>
      </c>
      <c r="R2384" s="6"/>
      <c r="S2384" s="298"/>
    </row>
    <row r="2385" spans="14:19" hidden="1" x14ac:dyDescent="0.25">
      <c r="N2385" s="17">
        <v>438.09999999998701</v>
      </c>
      <c r="O2385" s="16" t="s">
        <v>2195</v>
      </c>
      <c r="R2385" s="6"/>
      <c r="S2385" s="298"/>
    </row>
    <row r="2386" spans="14:19" hidden="1" x14ac:dyDescent="0.25">
      <c r="N2386" s="17">
        <v>438.19999999998703</v>
      </c>
      <c r="O2386" s="16" t="s">
        <v>2196</v>
      </c>
      <c r="R2386" s="6"/>
      <c r="S2386" s="298"/>
    </row>
    <row r="2387" spans="14:19" hidden="1" x14ac:dyDescent="0.25">
      <c r="N2387" s="17">
        <v>438.29999999998699</v>
      </c>
      <c r="O2387" s="16" t="s">
        <v>2197</v>
      </c>
      <c r="R2387" s="6"/>
      <c r="S2387" s="298"/>
    </row>
    <row r="2388" spans="14:19" hidden="1" x14ac:dyDescent="0.25">
      <c r="N2388" s="17">
        <v>438.39999999998702</v>
      </c>
      <c r="O2388" s="16" t="s">
        <v>2198</v>
      </c>
      <c r="R2388" s="6"/>
      <c r="S2388" s="298"/>
    </row>
    <row r="2389" spans="14:19" hidden="1" x14ac:dyDescent="0.25">
      <c r="N2389" s="17">
        <v>438.49999999998698</v>
      </c>
      <c r="O2389" s="16" t="s">
        <v>2199</v>
      </c>
      <c r="R2389" s="6"/>
      <c r="S2389" s="298"/>
    </row>
    <row r="2390" spans="14:19" hidden="1" x14ac:dyDescent="0.25">
      <c r="N2390" s="17">
        <v>438.59999999998701</v>
      </c>
      <c r="O2390" s="16" t="s">
        <v>2200</v>
      </c>
      <c r="R2390" s="6"/>
      <c r="S2390" s="298"/>
    </row>
    <row r="2391" spans="14:19" hidden="1" x14ac:dyDescent="0.25">
      <c r="N2391" s="17">
        <v>438.69999999998703</v>
      </c>
      <c r="O2391" s="16" t="s">
        <v>2201</v>
      </c>
      <c r="R2391" s="6"/>
      <c r="S2391" s="298"/>
    </row>
    <row r="2392" spans="14:19" hidden="1" x14ac:dyDescent="0.25">
      <c r="N2392" s="17">
        <v>438.79999999998699</v>
      </c>
      <c r="O2392" s="16" t="s">
        <v>4379</v>
      </c>
      <c r="R2392" s="6"/>
      <c r="S2392" s="298"/>
    </row>
    <row r="2393" spans="14:19" hidden="1" x14ac:dyDescent="0.25">
      <c r="N2393" s="17">
        <v>438.89999999998702</v>
      </c>
      <c r="O2393" s="16" t="s">
        <v>4380</v>
      </c>
      <c r="R2393" s="6"/>
      <c r="S2393" s="298"/>
    </row>
    <row r="2394" spans="14:19" hidden="1" x14ac:dyDescent="0.25">
      <c r="N2394" s="17">
        <v>438.99999999998698</v>
      </c>
      <c r="O2394" s="16" t="s">
        <v>4381</v>
      </c>
      <c r="R2394" s="6"/>
      <c r="S2394" s="298"/>
    </row>
    <row r="2395" spans="14:19" hidden="1" x14ac:dyDescent="0.25">
      <c r="N2395" s="17">
        <v>439.09999999998701</v>
      </c>
      <c r="O2395" s="16" t="s">
        <v>4382</v>
      </c>
      <c r="R2395" s="6"/>
      <c r="S2395" s="298"/>
    </row>
    <row r="2396" spans="14:19" hidden="1" x14ac:dyDescent="0.25">
      <c r="N2396" s="17">
        <v>439.19999999998703</v>
      </c>
      <c r="O2396" s="16" t="s">
        <v>4383</v>
      </c>
      <c r="R2396" s="6"/>
      <c r="S2396" s="298"/>
    </row>
    <row r="2397" spans="14:19" hidden="1" x14ac:dyDescent="0.25">
      <c r="N2397" s="17">
        <v>439.29999999998699</v>
      </c>
      <c r="O2397" s="16" t="s">
        <v>6488</v>
      </c>
      <c r="R2397" s="6"/>
      <c r="S2397" s="298"/>
    </row>
    <row r="2398" spans="14:19" hidden="1" x14ac:dyDescent="0.25">
      <c r="N2398" s="17">
        <v>439.39999999998702</v>
      </c>
      <c r="O2398" s="16" t="s">
        <v>6489</v>
      </c>
      <c r="R2398" s="6"/>
      <c r="S2398" s="298"/>
    </row>
    <row r="2399" spans="14:19" hidden="1" x14ac:dyDescent="0.25">
      <c r="N2399" s="17">
        <v>439.49999999998698</v>
      </c>
      <c r="O2399" s="16" t="s">
        <v>6490</v>
      </c>
      <c r="R2399" s="6"/>
      <c r="S2399" s="298"/>
    </row>
    <row r="2400" spans="14:19" hidden="1" x14ac:dyDescent="0.25">
      <c r="N2400" s="17">
        <v>439.59999999998598</v>
      </c>
      <c r="O2400" s="16" t="s">
        <v>6491</v>
      </c>
      <c r="R2400" s="6"/>
      <c r="S2400" s="298"/>
    </row>
    <row r="2401" spans="14:19" hidden="1" x14ac:dyDescent="0.25">
      <c r="N2401" s="17">
        <v>439.69999999998703</v>
      </c>
      <c r="O2401" s="16" t="s">
        <v>2208</v>
      </c>
      <c r="R2401" s="6"/>
      <c r="S2401" s="298"/>
    </row>
    <row r="2402" spans="14:19" hidden="1" x14ac:dyDescent="0.25">
      <c r="N2402" s="17">
        <v>439.79999999998699</v>
      </c>
      <c r="O2402" s="16" t="s">
        <v>2209</v>
      </c>
      <c r="R2402" s="6"/>
      <c r="S2402" s="298"/>
    </row>
    <row r="2403" spans="14:19" hidden="1" x14ac:dyDescent="0.25">
      <c r="N2403" s="17">
        <v>439.89999999998599</v>
      </c>
      <c r="O2403" s="16" t="s">
        <v>2210</v>
      </c>
      <c r="R2403" s="6"/>
      <c r="S2403" s="298"/>
    </row>
    <row r="2404" spans="14:19" hidden="1" x14ac:dyDescent="0.25">
      <c r="N2404" s="17">
        <v>439.99999999998602</v>
      </c>
      <c r="O2404" s="16" t="s">
        <v>2211</v>
      </c>
      <c r="R2404" s="6"/>
      <c r="S2404" s="298"/>
    </row>
    <row r="2405" spans="14:19" hidden="1" x14ac:dyDescent="0.25">
      <c r="N2405" s="17">
        <v>440.09999999998598</v>
      </c>
      <c r="O2405" s="16" t="s">
        <v>2212</v>
      </c>
      <c r="R2405" s="6"/>
      <c r="S2405" s="298"/>
    </row>
    <row r="2406" spans="14:19" hidden="1" x14ac:dyDescent="0.25">
      <c r="N2406" s="17">
        <v>440.19999999998601</v>
      </c>
      <c r="O2406" s="16" t="s">
        <v>2213</v>
      </c>
      <c r="R2406" s="6"/>
      <c r="S2406" s="298"/>
    </row>
    <row r="2407" spans="14:19" hidden="1" x14ac:dyDescent="0.25">
      <c r="N2407" s="17">
        <v>440.29999999998603</v>
      </c>
      <c r="O2407" s="16" t="s">
        <v>2214</v>
      </c>
      <c r="R2407" s="6"/>
      <c r="S2407" s="298"/>
    </row>
    <row r="2408" spans="14:19" hidden="1" x14ac:dyDescent="0.25">
      <c r="N2408" s="17">
        <v>440.39999999998599</v>
      </c>
      <c r="O2408" s="16" t="s">
        <v>2215</v>
      </c>
      <c r="R2408" s="6"/>
      <c r="S2408" s="298"/>
    </row>
    <row r="2409" spans="14:19" hidden="1" x14ac:dyDescent="0.25">
      <c r="N2409" s="17">
        <v>440.49999999998602</v>
      </c>
      <c r="O2409" s="16" t="s">
        <v>4384</v>
      </c>
      <c r="R2409" s="6"/>
      <c r="S2409" s="298"/>
    </row>
    <row r="2410" spans="14:19" hidden="1" x14ac:dyDescent="0.25">
      <c r="N2410" s="17">
        <v>440.59999999998598</v>
      </c>
      <c r="O2410" s="16" t="s">
        <v>4385</v>
      </c>
      <c r="R2410" s="6"/>
      <c r="S2410" s="298"/>
    </row>
    <row r="2411" spans="14:19" hidden="1" x14ac:dyDescent="0.25">
      <c r="N2411" s="17">
        <v>440.69999999998601</v>
      </c>
      <c r="O2411" s="16" t="s">
        <v>4386</v>
      </c>
      <c r="R2411" s="6"/>
      <c r="S2411" s="298"/>
    </row>
    <row r="2412" spans="14:19" hidden="1" x14ac:dyDescent="0.25">
      <c r="N2412" s="17">
        <v>440.79999999998603</v>
      </c>
      <c r="O2412" s="16" t="s">
        <v>4387</v>
      </c>
      <c r="R2412" s="6"/>
      <c r="S2412" s="298"/>
    </row>
    <row r="2413" spans="14:19" hidden="1" x14ac:dyDescent="0.25">
      <c r="N2413" s="17">
        <v>440.89999999998599</v>
      </c>
      <c r="O2413" s="16" t="s">
        <v>4388</v>
      </c>
      <c r="R2413" s="6"/>
      <c r="S2413" s="298"/>
    </row>
    <row r="2414" spans="14:19" hidden="1" x14ac:dyDescent="0.25">
      <c r="N2414" s="17">
        <v>440.99999999998602</v>
      </c>
      <c r="O2414" s="16" t="s">
        <v>4389</v>
      </c>
      <c r="R2414" s="6"/>
      <c r="S2414" s="298"/>
    </row>
    <row r="2415" spans="14:19" hidden="1" x14ac:dyDescent="0.25">
      <c r="N2415" s="17">
        <v>441.09999999998598</v>
      </c>
      <c r="O2415" s="16" t="s">
        <v>4390</v>
      </c>
      <c r="R2415" s="6"/>
      <c r="S2415" s="298"/>
    </row>
    <row r="2416" spans="14:19" hidden="1" x14ac:dyDescent="0.25">
      <c r="N2416" s="17">
        <v>441.19999999998601</v>
      </c>
      <c r="O2416" s="16" t="s">
        <v>4391</v>
      </c>
      <c r="R2416" s="6"/>
      <c r="S2416" s="298"/>
    </row>
    <row r="2417" spans="14:19" hidden="1" x14ac:dyDescent="0.25">
      <c r="N2417" s="17">
        <v>441.29999999998603</v>
      </c>
      <c r="O2417" s="16" t="s">
        <v>6493</v>
      </c>
      <c r="R2417" s="6"/>
      <c r="S2417" s="298"/>
    </row>
    <row r="2418" spans="14:19" hidden="1" x14ac:dyDescent="0.25">
      <c r="N2418" s="17">
        <v>441.39999999998599</v>
      </c>
      <c r="O2418" s="16" t="s">
        <v>6494</v>
      </c>
      <c r="R2418" s="6"/>
      <c r="S2418" s="298"/>
    </row>
    <row r="2419" spans="14:19" hidden="1" x14ac:dyDescent="0.25">
      <c r="N2419" s="17">
        <v>441.49999999998602</v>
      </c>
      <c r="O2419" s="16" t="s">
        <v>6495</v>
      </c>
      <c r="R2419" s="6"/>
      <c r="S2419" s="298"/>
    </row>
    <row r="2420" spans="14:19" hidden="1" x14ac:dyDescent="0.25">
      <c r="N2420" s="17">
        <v>441.59999999998598</v>
      </c>
      <c r="O2420" s="16" t="s">
        <v>6496</v>
      </c>
      <c r="R2420" s="6"/>
      <c r="S2420" s="298"/>
    </row>
    <row r="2421" spans="14:19" hidden="1" x14ac:dyDescent="0.25">
      <c r="N2421" s="17">
        <v>441.69999999998601</v>
      </c>
      <c r="O2421" s="16" t="s">
        <v>6497</v>
      </c>
      <c r="R2421" s="6"/>
      <c r="S2421" s="298"/>
    </row>
    <row r="2422" spans="14:19" hidden="1" x14ac:dyDescent="0.25">
      <c r="N2422" s="17">
        <v>441.79999999998603</v>
      </c>
      <c r="O2422" s="16" t="s">
        <v>6498</v>
      </c>
      <c r="R2422" s="6"/>
      <c r="S2422" s="298"/>
    </row>
    <row r="2423" spans="14:19" hidden="1" x14ac:dyDescent="0.25">
      <c r="N2423" s="17">
        <v>441.89999999998599</v>
      </c>
      <c r="O2423" s="16" t="s">
        <v>6499</v>
      </c>
      <c r="R2423" s="6"/>
      <c r="S2423" s="298"/>
    </row>
    <row r="2424" spans="14:19" hidden="1" x14ac:dyDescent="0.25">
      <c r="N2424" s="17">
        <v>441.99999999998602</v>
      </c>
      <c r="O2424" s="16" t="s">
        <v>6500</v>
      </c>
      <c r="R2424" s="6"/>
      <c r="S2424" s="298"/>
    </row>
    <row r="2425" spans="14:19" hidden="1" x14ac:dyDescent="0.25">
      <c r="N2425" s="17">
        <v>442.09999999998598</v>
      </c>
      <c r="O2425" s="16" t="s">
        <v>6501</v>
      </c>
      <c r="R2425" s="6"/>
      <c r="S2425" s="298"/>
    </row>
    <row r="2426" spans="14:19" hidden="1" x14ac:dyDescent="0.25">
      <c r="N2426" s="17">
        <v>442.19999999998601</v>
      </c>
      <c r="O2426" s="16" t="s">
        <v>6502</v>
      </c>
      <c r="R2426" s="6"/>
      <c r="S2426" s="298"/>
    </row>
    <row r="2427" spans="14:19" hidden="1" x14ac:dyDescent="0.25">
      <c r="N2427" s="17">
        <v>442.29999999998603</v>
      </c>
      <c r="O2427" s="16" t="s">
        <v>6503</v>
      </c>
      <c r="R2427" s="6"/>
      <c r="S2427" s="298"/>
    </row>
    <row r="2428" spans="14:19" hidden="1" x14ac:dyDescent="0.25">
      <c r="N2428" s="17">
        <v>442.39999999998599</v>
      </c>
      <c r="O2428" s="16" t="s">
        <v>6504</v>
      </c>
      <c r="R2428" s="6"/>
      <c r="S2428" s="298"/>
    </row>
    <row r="2429" spans="14:19" hidden="1" x14ac:dyDescent="0.25">
      <c r="N2429" s="17">
        <v>442.49999999998602</v>
      </c>
      <c r="O2429" s="16" t="s">
        <v>6505</v>
      </c>
      <c r="R2429" s="6"/>
      <c r="S2429" s="298"/>
    </row>
    <row r="2430" spans="14:19" hidden="1" x14ac:dyDescent="0.25">
      <c r="N2430" s="17">
        <v>442.59999999998598</v>
      </c>
      <c r="O2430" s="16" t="s">
        <v>4405</v>
      </c>
      <c r="R2430" s="6"/>
      <c r="S2430" s="298"/>
    </row>
    <row r="2431" spans="14:19" hidden="1" x14ac:dyDescent="0.25">
      <c r="N2431" s="17">
        <v>442.69999999998498</v>
      </c>
      <c r="O2431" s="16" t="s">
        <v>4406</v>
      </c>
      <c r="R2431" s="6"/>
      <c r="S2431" s="298"/>
    </row>
    <row r="2432" spans="14:19" hidden="1" x14ac:dyDescent="0.25">
      <c r="N2432" s="17">
        <v>442.799999999985</v>
      </c>
      <c r="O2432" s="16" t="s">
        <v>4407</v>
      </c>
      <c r="R2432" s="6"/>
      <c r="S2432" s="298"/>
    </row>
    <row r="2433" spans="14:19" hidden="1" x14ac:dyDescent="0.25">
      <c r="N2433" s="17">
        <v>442.89999999998503</v>
      </c>
      <c r="O2433" s="16" t="s">
        <v>4408</v>
      </c>
      <c r="R2433" s="6"/>
      <c r="S2433" s="298"/>
    </row>
    <row r="2434" spans="14:19" hidden="1" x14ac:dyDescent="0.25">
      <c r="N2434" s="17">
        <v>442.99999999998499</v>
      </c>
      <c r="O2434" s="16" t="s">
        <v>4409</v>
      </c>
      <c r="R2434" s="6"/>
      <c r="S2434" s="298"/>
    </row>
    <row r="2435" spans="14:19" hidden="1" x14ac:dyDescent="0.25">
      <c r="N2435" s="17">
        <v>443.09999999998502</v>
      </c>
      <c r="O2435" s="16" t="s">
        <v>4410</v>
      </c>
      <c r="R2435" s="6"/>
      <c r="S2435" s="298"/>
    </row>
    <row r="2436" spans="14:19" hidden="1" x14ac:dyDescent="0.25">
      <c r="N2436" s="17">
        <v>443.19999999998498</v>
      </c>
      <c r="O2436" s="16" t="s">
        <v>4411</v>
      </c>
      <c r="R2436" s="6"/>
      <c r="S2436" s="298"/>
    </row>
    <row r="2437" spans="14:19" hidden="1" x14ac:dyDescent="0.25">
      <c r="N2437" s="17">
        <v>443.299999999985</v>
      </c>
      <c r="O2437" s="16" t="s">
        <v>4412</v>
      </c>
      <c r="R2437" s="6"/>
      <c r="S2437" s="298"/>
    </row>
    <row r="2438" spans="14:19" hidden="1" x14ac:dyDescent="0.25">
      <c r="N2438" s="17">
        <v>443.39999999998503</v>
      </c>
      <c r="O2438" s="16" t="s">
        <v>2256</v>
      </c>
      <c r="R2438" s="6"/>
      <c r="S2438" s="298"/>
    </row>
    <row r="2439" spans="14:19" hidden="1" x14ac:dyDescent="0.25">
      <c r="N2439" s="17">
        <v>443.49999999998499</v>
      </c>
      <c r="O2439" s="16" t="s">
        <v>2257</v>
      </c>
      <c r="R2439" s="6"/>
      <c r="S2439" s="298"/>
    </row>
    <row r="2440" spans="14:19" hidden="1" x14ac:dyDescent="0.25">
      <c r="N2440" s="17">
        <v>443.59999999998502</v>
      </c>
      <c r="O2440" s="16" t="s">
        <v>2258</v>
      </c>
      <c r="R2440" s="6"/>
      <c r="S2440" s="298"/>
    </row>
    <row r="2441" spans="14:19" hidden="1" x14ac:dyDescent="0.25">
      <c r="N2441" s="17">
        <v>443.69999999998498</v>
      </c>
      <c r="O2441" s="16" t="s">
        <v>2259</v>
      </c>
      <c r="R2441" s="6"/>
      <c r="S2441" s="298"/>
    </row>
    <row r="2442" spans="14:19" hidden="1" x14ac:dyDescent="0.25">
      <c r="N2442" s="17">
        <v>443.799999999985</v>
      </c>
      <c r="O2442" s="16" t="s">
        <v>2260</v>
      </c>
      <c r="R2442" s="6"/>
      <c r="S2442" s="298"/>
    </row>
    <row r="2443" spans="14:19" hidden="1" x14ac:dyDescent="0.25">
      <c r="N2443" s="17">
        <v>443.89999999998503</v>
      </c>
      <c r="O2443" s="16" t="s">
        <v>2261</v>
      </c>
      <c r="R2443" s="6"/>
      <c r="S2443" s="298"/>
    </row>
    <row r="2444" spans="14:19" hidden="1" x14ac:dyDescent="0.25">
      <c r="N2444" s="17">
        <v>443.99999999998499</v>
      </c>
      <c r="O2444" s="16" t="s">
        <v>2262</v>
      </c>
      <c r="R2444" s="6"/>
      <c r="S2444" s="298"/>
    </row>
    <row r="2445" spans="14:19" hidden="1" x14ac:dyDescent="0.25">
      <c r="N2445" s="17">
        <v>444.09999999998502</v>
      </c>
      <c r="O2445" s="16" t="s">
        <v>2263</v>
      </c>
      <c r="R2445" s="6"/>
      <c r="S2445" s="298"/>
    </row>
    <row r="2446" spans="14:19" hidden="1" x14ac:dyDescent="0.25">
      <c r="N2446" s="17">
        <v>444.19999999998498</v>
      </c>
      <c r="O2446" s="16" t="s">
        <v>2264</v>
      </c>
      <c r="R2446" s="6"/>
      <c r="S2446" s="298"/>
    </row>
    <row r="2447" spans="14:19" hidden="1" x14ac:dyDescent="0.25">
      <c r="N2447" s="17">
        <v>444.299999999985</v>
      </c>
      <c r="O2447" s="16" t="s">
        <v>2265</v>
      </c>
      <c r="R2447" s="6"/>
      <c r="S2447" s="298"/>
    </row>
    <row r="2448" spans="14:19" hidden="1" x14ac:dyDescent="0.25">
      <c r="N2448" s="17">
        <v>444.39999999998503</v>
      </c>
      <c r="O2448" s="16" t="s">
        <v>2266</v>
      </c>
      <c r="R2448" s="6"/>
      <c r="S2448" s="298"/>
    </row>
    <row r="2449" spans="14:19" hidden="1" x14ac:dyDescent="0.25">
      <c r="N2449" s="17">
        <v>444.49999999998499</v>
      </c>
      <c r="O2449" s="16" t="s">
        <v>2267</v>
      </c>
      <c r="R2449" s="6"/>
      <c r="S2449" s="298"/>
    </row>
    <row r="2450" spans="14:19" hidden="1" x14ac:dyDescent="0.25">
      <c r="N2450" s="17">
        <v>444.59999999998502</v>
      </c>
      <c r="O2450" s="16" t="s">
        <v>2268</v>
      </c>
      <c r="R2450" s="6"/>
      <c r="S2450" s="298"/>
    </row>
    <row r="2451" spans="14:19" hidden="1" x14ac:dyDescent="0.25">
      <c r="N2451" s="17">
        <v>444.69999999998498</v>
      </c>
      <c r="O2451" s="16" t="s">
        <v>2269</v>
      </c>
      <c r="R2451" s="6"/>
      <c r="S2451" s="298"/>
    </row>
    <row r="2452" spans="14:19" hidden="1" x14ac:dyDescent="0.25">
      <c r="N2452" s="17">
        <v>444.799999999985</v>
      </c>
      <c r="O2452" s="16" t="s">
        <v>2270</v>
      </c>
      <c r="R2452" s="6"/>
      <c r="S2452" s="298"/>
    </row>
    <row r="2453" spans="14:19" hidden="1" x14ac:dyDescent="0.25">
      <c r="N2453" s="17">
        <v>444.89999999998503</v>
      </c>
      <c r="O2453" s="16" t="s">
        <v>2262</v>
      </c>
      <c r="R2453" s="6"/>
      <c r="S2453" s="298"/>
    </row>
    <row r="2454" spans="14:19" hidden="1" x14ac:dyDescent="0.25">
      <c r="N2454" s="17">
        <v>444.99999999998499</v>
      </c>
      <c r="O2454" s="16" t="s">
        <v>2271</v>
      </c>
      <c r="R2454" s="6"/>
      <c r="S2454" s="298"/>
    </row>
    <row r="2455" spans="14:19" hidden="1" x14ac:dyDescent="0.25">
      <c r="N2455" s="17">
        <v>445.09999999998502</v>
      </c>
      <c r="O2455" s="16" t="s">
        <v>2272</v>
      </c>
      <c r="R2455" s="6"/>
      <c r="S2455" s="298"/>
    </row>
    <row r="2456" spans="14:19" hidden="1" x14ac:dyDescent="0.25">
      <c r="N2456" s="17">
        <v>445.19999999998498</v>
      </c>
      <c r="O2456" s="16" t="s">
        <v>2273</v>
      </c>
      <c r="R2456" s="6"/>
      <c r="S2456" s="298"/>
    </row>
    <row r="2457" spans="14:19" hidden="1" x14ac:dyDescent="0.25">
      <c r="N2457" s="17">
        <v>445.299999999985</v>
      </c>
      <c r="O2457" s="16" t="s">
        <v>2274</v>
      </c>
      <c r="R2457" s="6"/>
      <c r="S2457" s="298"/>
    </row>
    <row r="2458" spans="14:19" hidden="1" x14ac:dyDescent="0.25">
      <c r="N2458" s="17">
        <v>445.39999999998503</v>
      </c>
      <c r="O2458" s="16" t="s">
        <v>2275</v>
      </c>
      <c r="R2458" s="6"/>
      <c r="S2458" s="298"/>
    </row>
    <row r="2459" spans="14:19" hidden="1" x14ac:dyDescent="0.25">
      <c r="N2459" s="17">
        <v>445.49999999998499</v>
      </c>
      <c r="O2459" s="16" t="s">
        <v>2276</v>
      </c>
      <c r="R2459" s="6"/>
      <c r="S2459" s="298"/>
    </row>
    <row r="2460" spans="14:19" hidden="1" x14ac:dyDescent="0.25">
      <c r="N2460" s="17">
        <v>445.59999999998502</v>
      </c>
      <c r="O2460" s="16" t="s">
        <v>2277</v>
      </c>
      <c r="R2460" s="6"/>
      <c r="S2460" s="298"/>
    </row>
    <row r="2461" spans="14:19" hidden="1" x14ac:dyDescent="0.25">
      <c r="N2461" s="17">
        <v>445.69999999998402</v>
      </c>
      <c r="O2461" s="16" t="s">
        <v>2278</v>
      </c>
      <c r="R2461" s="6"/>
      <c r="S2461" s="298"/>
    </row>
    <row r="2462" spans="14:19" hidden="1" x14ac:dyDescent="0.25">
      <c r="N2462" s="17">
        <v>445.79999999998398</v>
      </c>
      <c r="O2462" s="16" t="s">
        <v>2279</v>
      </c>
      <c r="R2462" s="6"/>
      <c r="S2462" s="298"/>
    </row>
    <row r="2463" spans="14:19" hidden="1" x14ac:dyDescent="0.25">
      <c r="N2463" s="17">
        <v>445.899999999984</v>
      </c>
      <c r="O2463" s="16" t="s">
        <v>2280</v>
      </c>
      <c r="R2463" s="6"/>
      <c r="S2463" s="298"/>
    </row>
    <row r="2464" spans="14:19" hidden="1" x14ac:dyDescent="0.25">
      <c r="N2464" s="17">
        <v>445.99999999998403</v>
      </c>
      <c r="O2464" s="16" t="s">
        <v>2281</v>
      </c>
      <c r="R2464" s="6"/>
      <c r="S2464" s="298"/>
    </row>
    <row r="2465" spans="14:19" hidden="1" x14ac:dyDescent="0.25">
      <c r="N2465" s="17">
        <v>446.09999999998399</v>
      </c>
      <c r="O2465" s="16" t="s">
        <v>2282</v>
      </c>
      <c r="R2465" s="6"/>
      <c r="S2465" s="298"/>
    </row>
    <row r="2466" spans="14:19" hidden="1" x14ac:dyDescent="0.25">
      <c r="N2466" s="17">
        <v>446.19999999998402</v>
      </c>
      <c r="O2466" s="16" t="s">
        <v>2283</v>
      </c>
      <c r="R2466" s="6"/>
      <c r="S2466" s="298"/>
    </row>
    <row r="2467" spans="14:19" hidden="1" x14ac:dyDescent="0.25">
      <c r="N2467" s="17">
        <v>446.29999999998398</v>
      </c>
      <c r="O2467" s="16" t="s">
        <v>2284</v>
      </c>
      <c r="R2467" s="6"/>
      <c r="S2467" s="298"/>
    </row>
    <row r="2468" spans="14:19" hidden="1" x14ac:dyDescent="0.25">
      <c r="N2468" s="17">
        <v>446.399999999984</v>
      </c>
      <c r="O2468" s="16" t="s">
        <v>2285</v>
      </c>
      <c r="R2468" s="6"/>
      <c r="S2468" s="298"/>
    </row>
    <row r="2469" spans="14:19" hidden="1" x14ac:dyDescent="0.25">
      <c r="N2469" s="17">
        <v>446.49999999998403</v>
      </c>
      <c r="O2469" s="16" t="s">
        <v>2286</v>
      </c>
      <c r="R2469" s="6"/>
      <c r="S2469" s="298"/>
    </row>
    <row r="2470" spans="14:19" hidden="1" x14ac:dyDescent="0.25">
      <c r="N2470" s="17">
        <v>446.59999999998399</v>
      </c>
      <c r="O2470" s="16" t="s">
        <v>2287</v>
      </c>
      <c r="R2470" s="6"/>
      <c r="S2470" s="298"/>
    </row>
    <row r="2471" spans="14:19" hidden="1" x14ac:dyDescent="0.25">
      <c r="N2471" s="17">
        <v>446.69999999998402</v>
      </c>
      <c r="O2471" s="16" t="s">
        <v>2288</v>
      </c>
      <c r="R2471" s="6"/>
      <c r="S2471" s="298"/>
    </row>
    <row r="2472" spans="14:19" hidden="1" x14ac:dyDescent="0.25">
      <c r="N2472" s="17">
        <v>446.79999999998398</v>
      </c>
      <c r="O2472" s="16" t="s">
        <v>2289</v>
      </c>
      <c r="R2472" s="6"/>
      <c r="S2472" s="298"/>
    </row>
    <row r="2473" spans="14:19" hidden="1" x14ac:dyDescent="0.25">
      <c r="N2473" s="17">
        <v>446.899999999984</v>
      </c>
      <c r="O2473" s="16" t="s">
        <v>2290</v>
      </c>
      <c r="R2473" s="6"/>
      <c r="S2473" s="298"/>
    </row>
    <row r="2474" spans="14:19" hidden="1" x14ac:dyDescent="0.25">
      <c r="N2474" s="17">
        <v>446.99999999998403</v>
      </c>
      <c r="O2474" s="16" t="s">
        <v>2291</v>
      </c>
      <c r="R2474" s="6"/>
      <c r="S2474" s="298"/>
    </row>
    <row r="2475" spans="14:19" hidden="1" x14ac:dyDescent="0.25">
      <c r="N2475" s="17">
        <v>447.09999999998399</v>
      </c>
      <c r="O2475" s="16" t="s">
        <v>2292</v>
      </c>
      <c r="R2475" s="6"/>
      <c r="S2475" s="298"/>
    </row>
    <row r="2476" spans="14:19" hidden="1" x14ac:dyDescent="0.25">
      <c r="N2476" s="17">
        <v>447.19999999998402</v>
      </c>
      <c r="O2476" s="16" t="s">
        <v>2293</v>
      </c>
      <c r="R2476" s="6"/>
      <c r="S2476" s="298"/>
    </row>
    <row r="2477" spans="14:19" hidden="1" x14ac:dyDescent="0.25">
      <c r="N2477" s="17">
        <v>447.29999999998398</v>
      </c>
      <c r="O2477" s="16" t="s">
        <v>2323</v>
      </c>
      <c r="R2477" s="6"/>
      <c r="S2477" s="298"/>
    </row>
    <row r="2478" spans="14:19" hidden="1" x14ac:dyDescent="0.25">
      <c r="N2478" s="17">
        <v>447.399999999984</v>
      </c>
      <c r="O2478" s="16" t="s">
        <v>2324</v>
      </c>
      <c r="R2478" s="6"/>
      <c r="S2478" s="298"/>
    </row>
    <row r="2479" spans="14:19" hidden="1" x14ac:dyDescent="0.25">
      <c r="N2479" s="17">
        <v>447.49999999998403</v>
      </c>
      <c r="O2479" s="16" t="s">
        <v>2325</v>
      </c>
      <c r="R2479" s="6"/>
      <c r="S2479" s="298"/>
    </row>
    <row r="2480" spans="14:19" hidden="1" x14ac:dyDescent="0.25">
      <c r="N2480" s="17">
        <v>447.59999999998399</v>
      </c>
      <c r="O2480" s="16" t="s">
        <v>2326</v>
      </c>
      <c r="R2480" s="6"/>
      <c r="S2480" s="298"/>
    </row>
    <row r="2481" spans="14:19" hidden="1" x14ac:dyDescent="0.25">
      <c r="N2481" s="17">
        <v>447.69999999998402</v>
      </c>
      <c r="O2481" s="16" t="s">
        <v>2327</v>
      </c>
      <c r="R2481" s="6"/>
      <c r="S2481" s="298"/>
    </row>
    <row r="2482" spans="14:19" hidden="1" x14ac:dyDescent="0.25">
      <c r="N2482" s="17">
        <v>447.79999999998398</v>
      </c>
      <c r="O2482" s="16" t="s">
        <v>2328</v>
      </c>
      <c r="R2482" s="6"/>
      <c r="S2482" s="298"/>
    </row>
    <row r="2483" spans="14:19" hidden="1" x14ac:dyDescent="0.25">
      <c r="N2483" s="17">
        <v>447.899999999984</v>
      </c>
      <c r="O2483" s="16" t="s">
        <v>2329</v>
      </c>
      <c r="R2483" s="6"/>
      <c r="S2483" s="298"/>
    </row>
    <row r="2484" spans="14:19" hidden="1" x14ac:dyDescent="0.25">
      <c r="N2484" s="17">
        <v>447.99999999998403</v>
      </c>
      <c r="O2484" s="16" t="s">
        <v>2330</v>
      </c>
      <c r="R2484" s="6"/>
      <c r="S2484" s="298"/>
    </row>
    <row r="2485" spans="14:19" hidden="1" x14ac:dyDescent="0.25">
      <c r="N2485" s="17">
        <v>448.09999999998399</v>
      </c>
      <c r="O2485" s="16" t="s">
        <v>2331</v>
      </c>
      <c r="R2485" s="6"/>
      <c r="S2485" s="298"/>
    </row>
    <row r="2486" spans="14:19" hidden="1" x14ac:dyDescent="0.25">
      <c r="N2486" s="17">
        <v>448.19999999998402</v>
      </c>
      <c r="O2486" s="16" t="s">
        <v>2332</v>
      </c>
      <c r="R2486" s="6"/>
      <c r="S2486" s="298"/>
    </row>
    <row r="2487" spans="14:19" hidden="1" x14ac:dyDescent="0.25">
      <c r="N2487" s="17">
        <v>448.29999999998398</v>
      </c>
      <c r="O2487" s="16" t="s">
        <v>2333</v>
      </c>
      <c r="R2487" s="6"/>
      <c r="S2487" s="298"/>
    </row>
    <row r="2488" spans="14:19" hidden="1" x14ac:dyDescent="0.25">
      <c r="N2488" s="17">
        <v>448.39999999998298</v>
      </c>
      <c r="O2488" s="16" t="s">
        <v>2334</v>
      </c>
      <c r="R2488" s="6"/>
      <c r="S2488" s="298"/>
    </row>
    <row r="2489" spans="14:19" hidden="1" x14ac:dyDescent="0.25">
      <c r="N2489" s="17">
        <v>448.49999999998403</v>
      </c>
      <c r="O2489" s="16" t="s">
        <v>2335</v>
      </c>
      <c r="R2489" s="6"/>
      <c r="S2489" s="298"/>
    </row>
    <row r="2490" spans="14:19" hidden="1" x14ac:dyDescent="0.25">
      <c r="N2490" s="17">
        <v>448.59999999998399</v>
      </c>
      <c r="O2490" s="16" t="s">
        <v>2336</v>
      </c>
      <c r="R2490" s="6"/>
      <c r="S2490" s="298"/>
    </row>
    <row r="2491" spans="14:19" hidden="1" x14ac:dyDescent="0.25">
      <c r="N2491" s="17">
        <v>448.69999999998299</v>
      </c>
      <c r="O2491" s="16" t="s">
        <v>2337</v>
      </c>
      <c r="R2491" s="6"/>
      <c r="S2491" s="298"/>
    </row>
    <row r="2492" spans="14:19" hidden="1" x14ac:dyDescent="0.25">
      <c r="N2492" s="17">
        <v>448.79999999998302</v>
      </c>
      <c r="O2492" s="16" t="s">
        <v>2338</v>
      </c>
      <c r="R2492" s="6"/>
      <c r="S2492" s="298"/>
    </row>
    <row r="2493" spans="14:19" hidden="1" x14ac:dyDescent="0.25">
      <c r="N2493" s="17">
        <v>448.89999999998298</v>
      </c>
      <c r="O2493" s="16" t="s">
        <v>2339</v>
      </c>
      <c r="R2493" s="6"/>
      <c r="S2493" s="298"/>
    </row>
    <row r="2494" spans="14:19" hidden="1" x14ac:dyDescent="0.25">
      <c r="N2494" s="17">
        <v>448.999999999983</v>
      </c>
      <c r="O2494" s="16" t="s">
        <v>2340</v>
      </c>
      <c r="R2494" s="6"/>
      <c r="S2494" s="298"/>
    </row>
    <row r="2495" spans="14:19" hidden="1" x14ac:dyDescent="0.25">
      <c r="N2495" s="17">
        <v>449.09999999998303</v>
      </c>
      <c r="O2495" s="16" t="s">
        <v>2341</v>
      </c>
      <c r="R2495" s="6"/>
      <c r="S2495" s="298"/>
    </row>
    <row r="2496" spans="14:19" hidden="1" x14ac:dyDescent="0.25">
      <c r="N2496" s="17">
        <v>449.19999999998299</v>
      </c>
      <c r="O2496" s="16" t="s">
        <v>865</v>
      </c>
      <c r="R2496" s="6"/>
      <c r="S2496" s="298"/>
    </row>
    <row r="2497" spans="14:19" hidden="1" x14ac:dyDescent="0.25">
      <c r="N2497" s="17">
        <v>449.29999999998302</v>
      </c>
      <c r="O2497" s="16" t="s">
        <v>866</v>
      </c>
      <c r="R2497" s="6"/>
      <c r="S2497" s="298"/>
    </row>
    <row r="2498" spans="14:19" hidden="1" x14ac:dyDescent="0.25">
      <c r="N2498" s="17">
        <v>449.39999999998298</v>
      </c>
      <c r="O2498" s="16" t="s">
        <v>867</v>
      </c>
      <c r="R2498" s="6"/>
      <c r="S2498" s="298"/>
    </row>
    <row r="2499" spans="14:19" hidden="1" x14ac:dyDescent="0.25">
      <c r="N2499" s="17">
        <v>449.499999999983</v>
      </c>
      <c r="O2499" s="16" t="s">
        <v>868</v>
      </c>
      <c r="R2499" s="6"/>
      <c r="S2499" s="298"/>
    </row>
    <row r="2500" spans="14:19" hidden="1" x14ac:dyDescent="0.25">
      <c r="N2500" s="17">
        <v>449.59999999998303</v>
      </c>
      <c r="O2500" s="16" t="s">
        <v>869</v>
      </c>
      <c r="R2500" s="6"/>
      <c r="S2500" s="298"/>
    </row>
    <row r="2501" spans="14:19" hidden="1" x14ac:dyDescent="0.25">
      <c r="N2501" s="17">
        <v>449.69999999998299</v>
      </c>
      <c r="O2501" s="16" t="s">
        <v>870</v>
      </c>
      <c r="R2501" s="6"/>
      <c r="S2501" s="298"/>
    </row>
    <row r="2502" spans="14:19" hidden="1" x14ac:dyDescent="0.25">
      <c r="N2502" s="17">
        <v>449.79999999998302</v>
      </c>
      <c r="O2502" s="16" t="s">
        <v>871</v>
      </c>
      <c r="R2502" s="6"/>
      <c r="S2502" s="298"/>
    </row>
    <row r="2503" spans="14:19" hidden="1" x14ac:dyDescent="0.25">
      <c r="N2503" s="17">
        <v>449.89999999998298</v>
      </c>
      <c r="O2503" s="16" t="s">
        <v>872</v>
      </c>
      <c r="R2503" s="6"/>
      <c r="S2503" s="298"/>
    </row>
    <row r="2504" spans="14:19" hidden="1" x14ac:dyDescent="0.25">
      <c r="N2504" s="17">
        <v>449.999999999983</v>
      </c>
      <c r="O2504" s="16" t="s">
        <v>873</v>
      </c>
      <c r="R2504" s="6"/>
      <c r="S2504" s="298"/>
    </row>
    <row r="2505" spans="14:19" hidden="1" x14ac:dyDescent="0.25">
      <c r="N2505" s="17">
        <v>450.09999999998303</v>
      </c>
      <c r="O2505" s="16" t="s">
        <v>874</v>
      </c>
      <c r="R2505" s="6"/>
      <c r="S2505" s="298"/>
    </row>
    <row r="2506" spans="14:19" hidden="1" x14ac:dyDescent="0.25">
      <c r="N2506" s="17">
        <v>450.19999999998299</v>
      </c>
      <c r="O2506" s="16" t="s">
        <v>875</v>
      </c>
      <c r="R2506" s="6"/>
      <c r="S2506" s="298"/>
    </row>
    <row r="2507" spans="14:19" hidden="1" x14ac:dyDescent="0.25">
      <c r="N2507" s="17">
        <v>450.29999999998302</v>
      </c>
      <c r="O2507" s="16" t="s">
        <v>876</v>
      </c>
      <c r="R2507" s="6"/>
      <c r="S2507" s="298"/>
    </row>
    <row r="2508" spans="14:19" hidden="1" x14ac:dyDescent="0.25">
      <c r="N2508" s="17">
        <v>450.39999999998298</v>
      </c>
      <c r="O2508" s="16" t="s">
        <v>877</v>
      </c>
      <c r="R2508" s="6"/>
      <c r="S2508" s="298"/>
    </row>
    <row r="2509" spans="14:19" hidden="1" x14ac:dyDescent="0.25">
      <c r="N2509" s="17">
        <v>450.499999999983</v>
      </c>
      <c r="O2509" s="16" t="s">
        <v>878</v>
      </c>
      <c r="R2509" s="6"/>
      <c r="S2509" s="298"/>
    </row>
    <row r="2510" spans="14:19" hidden="1" x14ac:dyDescent="0.25">
      <c r="N2510" s="17">
        <v>450.59999999998303</v>
      </c>
      <c r="O2510" s="16" t="s">
        <v>85</v>
      </c>
      <c r="R2510" s="6"/>
      <c r="S2510" s="298"/>
    </row>
    <row r="2511" spans="14:19" hidden="1" x14ac:dyDescent="0.25">
      <c r="N2511" s="17">
        <v>450.69999999998299</v>
      </c>
      <c r="O2511" s="16" t="s">
        <v>86</v>
      </c>
      <c r="R2511" s="6"/>
      <c r="S2511" s="298"/>
    </row>
    <row r="2512" spans="14:19" hidden="1" x14ac:dyDescent="0.25">
      <c r="N2512" s="17">
        <v>450.79999999998302</v>
      </c>
      <c r="O2512" s="16" t="s">
        <v>87</v>
      </c>
      <c r="R2512" s="6"/>
      <c r="S2512" s="298"/>
    </row>
    <row r="2513" spans="14:19" hidden="1" x14ac:dyDescent="0.25">
      <c r="N2513" s="17">
        <v>450.89999999998298</v>
      </c>
      <c r="O2513" s="16" t="s">
        <v>88</v>
      </c>
      <c r="R2513" s="6"/>
      <c r="S2513" s="298"/>
    </row>
    <row r="2514" spans="14:19" hidden="1" x14ac:dyDescent="0.25">
      <c r="N2514" s="17">
        <v>450.999999999983</v>
      </c>
      <c r="O2514" s="16" t="s">
        <v>89</v>
      </c>
      <c r="R2514" s="6"/>
      <c r="S2514" s="298"/>
    </row>
    <row r="2515" spans="14:19" hidden="1" x14ac:dyDescent="0.25">
      <c r="N2515" s="17">
        <v>451.09999999998303</v>
      </c>
      <c r="O2515" s="16" t="s">
        <v>90</v>
      </c>
      <c r="R2515" s="6"/>
      <c r="S2515" s="298"/>
    </row>
    <row r="2516" spans="14:19" hidden="1" x14ac:dyDescent="0.25">
      <c r="N2516" s="17">
        <v>451.19999999998299</v>
      </c>
      <c r="O2516" s="16" t="s">
        <v>91</v>
      </c>
      <c r="R2516" s="6"/>
      <c r="S2516" s="298"/>
    </row>
    <row r="2517" spans="14:19" hidden="1" x14ac:dyDescent="0.25">
      <c r="N2517" s="17">
        <v>451.29999999998302</v>
      </c>
      <c r="O2517" s="16" t="s">
        <v>92</v>
      </c>
      <c r="R2517" s="6"/>
      <c r="S2517" s="298"/>
    </row>
    <row r="2518" spans="14:19" hidden="1" x14ac:dyDescent="0.25">
      <c r="N2518" s="17">
        <v>451.39999999998298</v>
      </c>
      <c r="O2518" s="16" t="s">
        <v>93</v>
      </c>
      <c r="R2518" s="6"/>
      <c r="S2518" s="298"/>
    </row>
    <row r="2519" spans="14:19" hidden="1" x14ac:dyDescent="0.25">
      <c r="N2519" s="17">
        <v>451.49999999998198</v>
      </c>
      <c r="O2519" s="16" t="s">
        <v>94</v>
      </c>
      <c r="R2519" s="6"/>
      <c r="S2519" s="298"/>
    </row>
    <row r="2520" spans="14:19" hidden="1" x14ac:dyDescent="0.25">
      <c r="N2520" s="17">
        <v>451.599999999982</v>
      </c>
      <c r="O2520" s="16" t="s">
        <v>95</v>
      </c>
      <c r="R2520" s="6"/>
      <c r="S2520" s="298"/>
    </row>
    <row r="2521" spans="14:19" hidden="1" x14ac:dyDescent="0.25">
      <c r="N2521" s="17">
        <v>451.69999999998203</v>
      </c>
      <c r="O2521" s="16" t="s">
        <v>96</v>
      </c>
      <c r="R2521" s="6"/>
      <c r="S2521" s="298"/>
    </row>
    <row r="2522" spans="14:19" hidden="1" x14ac:dyDescent="0.25">
      <c r="N2522" s="17">
        <v>451.79999999998199</v>
      </c>
      <c r="O2522" s="16" t="s">
        <v>97</v>
      </c>
      <c r="R2522" s="6"/>
      <c r="S2522" s="298"/>
    </row>
    <row r="2523" spans="14:19" hidden="1" x14ac:dyDescent="0.25">
      <c r="N2523" s="17">
        <v>451.89999999998201</v>
      </c>
      <c r="O2523" s="16" t="s">
        <v>98</v>
      </c>
      <c r="R2523" s="6"/>
      <c r="S2523" s="298"/>
    </row>
    <row r="2524" spans="14:19" hidden="1" x14ac:dyDescent="0.25">
      <c r="N2524" s="17">
        <v>451.99999999998198</v>
      </c>
      <c r="O2524" s="16" t="s">
        <v>99</v>
      </c>
      <c r="R2524" s="6"/>
      <c r="S2524" s="298"/>
    </row>
    <row r="2525" spans="14:19" hidden="1" x14ac:dyDescent="0.25">
      <c r="N2525" s="17">
        <v>452.099999999982</v>
      </c>
      <c r="O2525" s="16" t="s">
        <v>100</v>
      </c>
      <c r="R2525" s="6"/>
      <c r="S2525" s="298"/>
    </row>
    <row r="2526" spans="14:19" hidden="1" x14ac:dyDescent="0.25">
      <c r="N2526" s="17">
        <v>452.19999999998203</v>
      </c>
      <c r="O2526" s="16" t="s">
        <v>101</v>
      </c>
      <c r="R2526" s="6"/>
      <c r="S2526" s="298"/>
    </row>
    <row r="2527" spans="14:19" hidden="1" x14ac:dyDescent="0.25">
      <c r="N2527" s="17">
        <v>452.29999999998199</v>
      </c>
      <c r="O2527" s="16" t="s">
        <v>102</v>
      </c>
      <c r="R2527" s="6"/>
      <c r="S2527" s="298"/>
    </row>
    <row r="2528" spans="14:19" hidden="1" x14ac:dyDescent="0.25">
      <c r="N2528" s="17">
        <v>452.39999999998201</v>
      </c>
      <c r="O2528" s="16" t="s">
        <v>2381</v>
      </c>
      <c r="R2528" s="6"/>
      <c r="S2528" s="298"/>
    </row>
    <row r="2529" spans="14:19" hidden="1" x14ac:dyDescent="0.25">
      <c r="N2529" s="17">
        <v>452.49999999998198</v>
      </c>
      <c r="O2529" s="16" t="s">
        <v>2382</v>
      </c>
      <c r="R2529" s="6"/>
      <c r="S2529" s="298"/>
    </row>
    <row r="2530" spans="14:19" hidden="1" x14ac:dyDescent="0.25">
      <c r="N2530" s="17">
        <v>452.599999999982</v>
      </c>
      <c r="O2530" s="16" t="s">
        <v>2383</v>
      </c>
      <c r="R2530" s="6"/>
      <c r="S2530" s="298"/>
    </row>
    <row r="2531" spans="14:19" hidden="1" x14ac:dyDescent="0.25">
      <c r="N2531" s="17">
        <v>452.69999999998203</v>
      </c>
      <c r="O2531" s="16" t="s">
        <v>2384</v>
      </c>
      <c r="R2531" s="6"/>
      <c r="S2531" s="298"/>
    </row>
    <row r="2532" spans="14:19" hidden="1" x14ac:dyDescent="0.25">
      <c r="N2532" s="17">
        <v>452.79999999998199</v>
      </c>
      <c r="O2532" s="16" t="s">
        <v>2385</v>
      </c>
      <c r="R2532" s="6"/>
      <c r="S2532" s="298"/>
    </row>
    <row r="2533" spans="14:19" hidden="1" x14ac:dyDescent="0.25">
      <c r="N2533" s="17">
        <v>452.89999999998201</v>
      </c>
      <c r="O2533" s="16" t="s">
        <v>2386</v>
      </c>
      <c r="R2533" s="6"/>
      <c r="S2533" s="298"/>
    </row>
    <row r="2534" spans="14:19" hidden="1" x14ac:dyDescent="0.25">
      <c r="N2534" s="17">
        <v>452.99999999998198</v>
      </c>
      <c r="O2534" s="16" t="s">
        <v>4527</v>
      </c>
      <c r="R2534" s="6"/>
      <c r="S2534" s="298"/>
    </row>
    <row r="2535" spans="14:19" hidden="1" x14ac:dyDescent="0.25">
      <c r="N2535" s="17">
        <v>453.099999999982</v>
      </c>
      <c r="O2535" s="16" t="s">
        <v>4528</v>
      </c>
      <c r="R2535" s="6"/>
      <c r="S2535" s="298"/>
    </row>
    <row r="2536" spans="14:19" hidden="1" x14ac:dyDescent="0.25">
      <c r="N2536" s="17">
        <v>453.19999999998203</v>
      </c>
      <c r="O2536" s="16" t="s">
        <v>4529</v>
      </c>
      <c r="R2536" s="6"/>
      <c r="S2536" s="298"/>
    </row>
    <row r="2537" spans="14:19" hidden="1" x14ac:dyDescent="0.25">
      <c r="N2537" s="17">
        <v>453.29999999998199</v>
      </c>
      <c r="O2537" s="16" t="s">
        <v>4530</v>
      </c>
      <c r="R2537" s="6"/>
      <c r="S2537" s="298"/>
    </row>
    <row r="2538" spans="14:19" hidden="1" x14ac:dyDescent="0.25">
      <c r="N2538" s="17">
        <v>453.39999999998201</v>
      </c>
      <c r="O2538" s="16" t="s">
        <v>4531</v>
      </c>
      <c r="R2538" s="6"/>
      <c r="S2538" s="298"/>
    </row>
    <row r="2539" spans="14:19" hidden="1" x14ac:dyDescent="0.25">
      <c r="N2539" s="17">
        <v>453.49999999998198</v>
      </c>
      <c r="O2539" s="16" t="s">
        <v>4532</v>
      </c>
      <c r="R2539" s="6"/>
      <c r="S2539" s="298"/>
    </row>
    <row r="2540" spans="14:19" hidden="1" x14ac:dyDescent="0.25">
      <c r="N2540" s="17">
        <v>453.599999999982</v>
      </c>
      <c r="O2540" s="16" t="s">
        <v>4533</v>
      </c>
      <c r="R2540" s="6"/>
      <c r="S2540" s="298"/>
    </row>
    <row r="2541" spans="14:19" hidden="1" x14ac:dyDescent="0.25">
      <c r="N2541" s="17">
        <v>453.69999999998203</v>
      </c>
      <c r="O2541" s="16" t="s">
        <v>4534</v>
      </c>
      <c r="R2541" s="6"/>
      <c r="S2541" s="298"/>
    </row>
    <row r="2542" spans="14:19" hidden="1" x14ac:dyDescent="0.25">
      <c r="N2542" s="17">
        <v>453.79999999998199</v>
      </c>
      <c r="O2542" s="16" t="s">
        <v>4535</v>
      </c>
      <c r="R2542" s="6"/>
      <c r="S2542" s="298"/>
    </row>
    <row r="2543" spans="14:19" hidden="1" x14ac:dyDescent="0.25">
      <c r="N2543" s="17">
        <v>453.89999999998201</v>
      </c>
      <c r="O2543" s="16" t="s">
        <v>4536</v>
      </c>
      <c r="R2543" s="6"/>
      <c r="S2543" s="298"/>
    </row>
    <row r="2544" spans="14:19" hidden="1" x14ac:dyDescent="0.25">
      <c r="N2544" s="17">
        <v>453.99999999998198</v>
      </c>
      <c r="O2544" s="16" t="s">
        <v>4537</v>
      </c>
      <c r="R2544" s="6"/>
      <c r="S2544" s="298"/>
    </row>
    <row r="2545" spans="14:19" hidden="1" x14ac:dyDescent="0.25">
      <c r="N2545" s="17">
        <v>454.099999999982</v>
      </c>
      <c r="O2545" s="16" t="s">
        <v>4538</v>
      </c>
      <c r="R2545" s="6"/>
      <c r="S2545" s="298"/>
    </row>
    <row r="2546" spans="14:19" hidden="1" x14ac:dyDescent="0.25">
      <c r="N2546" s="17">
        <v>454.19999999998203</v>
      </c>
      <c r="O2546" s="16" t="s">
        <v>4539</v>
      </c>
      <c r="R2546" s="6"/>
      <c r="S2546" s="298"/>
    </row>
    <row r="2547" spans="14:19" hidden="1" x14ac:dyDescent="0.25">
      <c r="N2547" s="17">
        <v>454.29999999998199</v>
      </c>
      <c r="O2547" s="16" t="s">
        <v>4540</v>
      </c>
      <c r="R2547" s="6"/>
      <c r="S2547" s="298"/>
    </row>
    <row r="2548" spans="14:19" hidden="1" x14ac:dyDescent="0.25">
      <c r="N2548" s="17">
        <v>454.39999999998201</v>
      </c>
      <c r="O2548" s="16" t="s">
        <v>4541</v>
      </c>
      <c r="R2548" s="6"/>
      <c r="S2548" s="298"/>
    </row>
    <row r="2549" spans="14:19" hidden="1" x14ac:dyDescent="0.25">
      <c r="N2549" s="17">
        <v>454.49999999998101</v>
      </c>
      <c r="O2549" s="16" t="s">
        <v>4542</v>
      </c>
      <c r="R2549" s="6"/>
      <c r="S2549" s="298"/>
    </row>
    <row r="2550" spans="14:19" hidden="1" x14ac:dyDescent="0.25">
      <c r="N2550" s="17">
        <v>454.59999999998098</v>
      </c>
      <c r="O2550" s="16" t="s">
        <v>4543</v>
      </c>
      <c r="R2550" s="6"/>
      <c r="S2550" s="298"/>
    </row>
    <row r="2551" spans="14:19" hidden="1" x14ac:dyDescent="0.25">
      <c r="N2551" s="17">
        <v>454.699999999981</v>
      </c>
      <c r="O2551" s="16" t="s">
        <v>4544</v>
      </c>
      <c r="R2551" s="6"/>
      <c r="S2551" s="298"/>
    </row>
    <row r="2552" spans="14:19" hidden="1" x14ac:dyDescent="0.25">
      <c r="N2552" s="17">
        <v>454.79999999998103</v>
      </c>
      <c r="O2552" s="16" t="s">
        <v>4545</v>
      </c>
      <c r="R2552" s="6"/>
      <c r="S2552" s="298"/>
    </row>
    <row r="2553" spans="14:19" hidden="1" x14ac:dyDescent="0.25">
      <c r="N2553" s="17">
        <v>454.89999999998099</v>
      </c>
      <c r="O2553" s="16" t="s">
        <v>4546</v>
      </c>
      <c r="R2553" s="6"/>
      <c r="S2553" s="298"/>
    </row>
    <row r="2554" spans="14:19" hidden="1" x14ac:dyDescent="0.25">
      <c r="N2554" s="17">
        <v>454.99999999998101</v>
      </c>
      <c r="O2554" s="16" t="s">
        <v>4547</v>
      </c>
      <c r="R2554" s="6"/>
      <c r="S2554" s="298"/>
    </row>
    <row r="2555" spans="14:19" hidden="1" x14ac:dyDescent="0.25">
      <c r="N2555" s="17">
        <v>455.09999999998098</v>
      </c>
      <c r="O2555" s="16" t="s">
        <v>4548</v>
      </c>
      <c r="R2555" s="6"/>
      <c r="S2555" s="298"/>
    </row>
    <row r="2556" spans="14:19" hidden="1" x14ac:dyDescent="0.25">
      <c r="N2556" s="17">
        <v>455.199999999981</v>
      </c>
      <c r="O2556" s="16" t="s">
        <v>4549</v>
      </c>
      <c r="R2556" s="6"/>
      <c r="S2556" s="298"/>
    </row>
    <row r="2557" spans="14:19" hidden="1" x14ac:dyDescent="0.25">
      <c r="N2557" s="17">
        <v>455.29999999998103</v>
      </c>
      <c r="O2557" s="16" t="s">
        <v>4550</v>
      </c>
      <c r="R2557" s="6"/>
      <c r="S2557" s="298"/>
    </row>
    <row r="2558" spans="14:19" hidden="1" x14ac:dyDescent="0.25">
      <c r="N2558" s="17">
        <v>455.39999999998099</v>
      </c>
      <c r="O2558" s="16" t="s">
        <v>2413</v>
      </c>
      <c r="R2558" s="6"/>
      <c r="S2558" s="298"/>
    </row>
    <row r="2559" spans="14:19" hidden="1" x14ac:dyDescent="0.25">
      <c r="N2559" s="17">
        <v>455.49999999998101</v>
      </c>
      <c r="O2559" s="16" t="s">
        <v>2414</v>
      </c>
      <c r="R2559" s="6"/>
      <c r="S2559" s="298"/>
    </row>
    <row r="2560" spans="14:19" hidden="1" x14ac:dyDescent="0.25">
      <c r="N2560" s="17">
        <v>455.59999999998098</v>
      </c>
      <c r="O2560" s="16" t="s">
        <v>2415</v>
      </c>
      <c r="R2560" s="6"/>
      <c r="S2560" s="298"/>
    </row>
    <row r="2561" spans="14:19" hidden="1" x14ac:dyDescent="0.25">
      <c r="N2561" s="17">
        <v>455.699999999981</v>
      </c>
      <c r="O2561" s="16" t="s">
        <v>2416</v>
      </c>
      <c r="R2561" s="6"/>
      <c r="S2561" s="298"/>
    </row>
    <row r="2562" spans="14:19" hidden="1" x14ac:dyDescent="0.25">
      <c r="N2562" s="17">
        <v>455.79999999998103</v>
      </c>
      <c r="O2562" s="16" t="s">
        <v>2417</v>
      </c>
      <c r="R2562" s="6"/>
      <c r="S2562" s="298"/>
    </row>
    <row r="2563" spans="14:19" hidden="1" x14ac:dyDescent="0.25">
      <c r="N2563" s="17">
        <v>455.89999999998099</v>
      </c>
      <c r="O2563" s="16" t="s">
        <v>2418</v>
      </c>
      <c r="R2563" s="6"/>
      <c r="S2563" s="298"/>
    </row>
    <row r="2564" spans="14:19" hidden="1" x14ac:dyDescent="0.25">
      <c r="N2564" s="17">
        <v>455.99999999998101</v>
      </c>
      <c r="O2564" s="16" t="s">
        <v>2419</v>
      </c>
      <c r="R2564" s="6"/>
      <c r="S2564" s="298"/>
    </row>
    <row r="2565" spans="14:19" hidden="1" x14ac:dyDescent="0.25">
      <c r="N2565" s="17">
        <v>456.09999999998098</v>
      </c>
      <c r="O2565" s="16" t="s">
        <v>2420</v>
      </c>
      <c r="R2565" s="6"/>
      <c r="S2565" s="298"/>
    </row>
    <row r="2566" spans="14:19" hidden="1" x14ac:dyDescent="0.25">
      <c r="N2566" s="17">
        <v>456.199999999981</v>
      </c>
      <c r="O2566" s="16" t="s">
        <v>2421</v>
      </c>
      <c r="R2566" s="6"/>
      <c r="S2566" s="298"/>
    </row>
    <row r="2567" spans="14:19" hidden="1" x14ac:dyDescent="0.25">
      <c r="N2567" s="17">
        <v>456.29999999998103</v>
      </c>
      <c r="O2567" s="16" t="s">
        <v>2422</v>
      </c>
      <c r="R2567" s="6"/>
      <c r="S2567" s="298"/>
    </row>
    <row r="2568" spans="14:19" hidden="1" x14ac:dyDescent="0.25">
      <c r="N2568" s="17">
        <v>456.39999999998099</v>
      </c>
      <c r="O2568" s="16" t="s">
        <v>2423</v>
      </c>
      <c r="R2568" s="6"/>
      <c r="S2568" s="298"/>
    </row>
    <row r="2569" spans="14:19" hidden="1" x14ac:dyDescent="0.25">
      <c r="N2569" s="17">
        <v>456.49999999998101</v>
      </c>
      <c r="O2569" s="16" t="s">
        <v>2424</v>
      </c>
      <c r="R2569" s="6"/>
      <c r="S2569" s="298"/>
    </row>
    <row r="2570" spans="14:19" hidden="1" x14ac:dyDescent="0.25">
      <c r="N2570" s="17">
        <v>456.59999999998098</v>
      </c>
      <c r="O2570" s="16" t="s">
        <v>2425</v>
      </c>
      <c r="R2570" s="6"/>
      <c r="S2570" s="298"/>
    </row>
    <row r="2571" spans="14:19" hidden="1" x14ac:dyDescent="0.25">
      <c r="N2571" s="17">
        <v>456.699999999981</v>
      </c>
      <c r="O2571" s="16" t="s">
        <v>2426</v>
      </c>
      <c r="R2571" s="6"/>
      <c r="S2571" s="298"/>
    </row>
    <row r="2572" spans="14:19" hidden="1" x14ac:dyDescent="0.25">
      <c r="N2572" s="17">
        <v>456.79999999998103</v>
      </c>
      <c r="O2572" s="16" t="s">
        <v>2427</v>
      </c>
      <c r="R2572" s="6"/>
      <c r="S2572" s="298"/>
    </row>
    <row r="2573" spans="14:19" hidden="1" x14ac:dyDescent="0.25">
      <c r="N2573" s="17">
        <v>456.89999999998099</v>
      </c>
      <c r="O2573" s="16" t="s">
        <v>2428</v>
      </c>
      <c r="R2573" s="6"/>
      <c r="S2573" s="298"/>
    </row>
    <row r="2574" spans="14:19" hidden="1" x14ac:dyDescent="0.25">
      <c r="N2574" s="17">
        <v>456.99999999998101</v>
      </c>
      <c r="O2574" s="16" t="s">
        <v>2429</v>
      </c>
      <c r="R2574" s="6"/>
      <c r="S2574" s="298"/>
    </row>
    <row r="2575" spans="14:19" hidden="1" x14ac:dyDescent="0.25">
      <c r="N2575" s="17">
        <v>457.09999999998098</v>
      </c>
      <c r="O2575" s="16" t="s">
        <v>2430</v>
      </c>
      <c r="R2575" s="6"/>
      <c r="S2575" s="298"/>
    </row>
    <row r="2576" spans="14:19" hidden="1" x14ac:dyDescent="0.25">
      <c r="N2576" s="17">
        <v>457.19999999997998</v>
      </c>
      <c r="O2576" s="16" t="s">
        <v>2431</v>
      </c>
      <c r="R2576" s="6"/>
      <c r="S2576" s="298"/>
    </row>
    <row r="2577" spans="14:19" hidden="1" x14ac:dyDescent="0.25">
      <c r="N2577" s="17">
        <v>457.29999999998103</v>
      </c>
      <c r="O2577" s="16" t="s">
        <v>2432</v>
      </c>
      <c r="R2577" s="6"/>
      <c r="S2577" s="298"/>
    </row>
    <row r="2578" spans="14:19" hidden="1" x14ac:dyDescent="0.25">
      <c r="N2578" s="17">
        <v>457.39999999998099</v>
      </c>
      <c r="O2578" s="16" t="s">
        <v>2433</v>
      </c>
      <c r="R2578" s="6"/>
      <c r="S2578" s="298"/>
    </row>
    <row r="2579" spans="14:19" hidden="1" x14ac:dyDescent="0.25">
      <c r="N2579" s="17">
        <v>457.49999999997999</v>
      </c>
      <c r="O2579" s="16" t="s">
        <v>2434</v>
      </c>
      <c r="R2579" s="6"/>
      <c r="S2579" s="298"/>
    </row>
    <row r="2580" spans="14:19" hidden="1" x14ac:dyDescent="0.25">
      <c r="N2580" s="17">
        <v>457.59999999998001</v>
      </c>
      <c r="O2580" s="16" t="s">
        <v>2435</v>
      </c>
      <c r="R2580" s="6"/>
      <c r="S2580" s="298"/>
    </row>
    <row r="2581" spans="14:19" hidden="1" x14ac:dyDescent="0.25">
      <c r="N2581" s="17">
        <v>457.69999999997998</v>
      </c>
      <c r="O2581" s="16" t="s">
        <v>2436</v>
      </c>
      <c r="R2581" s="6"/>
      <c r="S2581" s="298"/>
    </row>
    <row r="2582" spans="14:19" hidden="1" x14ac:dyDescent="0.25">
      <c r="N2582" s="17">
        <v>457.79999999998</v>
      </c>
      <c r="O2582" s="16" t="s">
        <v>2437</v>
      </c>
      <c r="R2582" s="6"/>
      <c r="S2582" s="298"/>
    </row>
    <row r="2583" spans="14:19" hidden="1" x14ac:dyDescent="0.25">
      <c r="N2583" s="17">
        <v>457.89999999998003</v>
      </c>
      <c r="O2583" s="16" t="s">
        <v>2438</v>
      </c>
      <c r="R2583" s="6"/>
      <c r="S2583" s="298"/>
    </row>
    <row r="2584" spans="14:19" hidden="1" x14ac:dyDescent="0.25">
      <c r="N2584" s="17">
        <v>457.99999999997999</v>
      </c>
      <c r="O2584" s="16" t="s">
        <v>2439</v>
      </c>
      <c r="R2584" s="6"/>
      <c r="S2584" s="298"/>
    </row>
    <row r="2585" spans="14:19" hidden="1" x14ac:dyDescent="0.25">
      <c r="N2585" s="17">
        <v>458.09999999998001</v>
      </c>
      <c r="O2585" s="16" t="s">
        <v>2440</v>
      </c>
      <c r="R2585" s="6"/>
      <c r="S2585" s="298"/>
    </row>
    <row r="2586" spans="14:19" hidden="1" x14ac:dyDescent="0.25">
      <c r="N2586" s="17">
        <v>458.19999999997998</v>
      </c>
      <c r="O2586" s="16" t="s">
        <v>2441</v>
      </c>
      <c r="R2586" s="6"/>
      <c r="S2586" s="298"/>
    </row>
    <row r="2587" spans="14:19" hidden="1" x14ac:dyDescent="0.25">
      <c r="N2587" s="17">
        <v>458.29999999998</v>
      </c>
      <c r="O2587" s="16" t="s">
        <v>2442</v>
      </c>
      <c r="R2587" s="6"/>
      <c r="S2587" s="298"/>
    </row>
    <row r="2588" spans="14:19" hidden="1" x14ac:dyDescent="0.25">
      <c r="N2588" s="17">
        <v>458.39999999998003</v>
      </c>
      <c r="O2588" s="16" t="s">
        <v>2443</v>
      </c>
      <c r="R2588" s="6"/>
      <c r="S2588" s="298"/>
    </row>
    <row r="2589" spans="14:19" hidden="1" x14ac:dyDescent="0.25">
      <c r="N2589" s="17">
        <v>458.49999999997999</v>
      </c>
      <c r="O2589" s="16" t="s">
        <v>2444</v>
      </c>
      <c r="R2589" s="6"/>
      <c r="S2589" s="298"/>
    </row>
    <row r="2590" spans="14:19" hidden="1" x14ac:dyDescent="0.25">
      <c r="N2590" s="17">
        <v>458.59999999998001</v>
      </c>
      <c r="O2590" s="16" t="s">
        <v>2445</v>
      </c>
      <c r="R2590" s="6"/>
      <c r="S2590" s="298"/>
    </row>
    <row r="2591" spans="14:19" hidden="1" x14ac:dyDescent="0.25">
      <c r="N2591" s="17">
        <v>458.69999999997998</v>
      </c>
      <c r="O2591" s="16" t="s">
        <v>2446</v>
      </c>
      <c r="R2591" s="6"/>
      <c r="S2591" s="298"/>
    </row>
    <row r="2592" spans="14:19" hidden="1" x14ac:dyDescent="0.25">
      <c r="N2592" s="17">
        <v>458.79999999998</v>
      </c>
      <c r="O2592" s="16" t="s">
        <v>2447</v>
      </c>
      <c r="R2592" s="6"/>
      <c r="S2592" s="298"/>
    </row>
    <row r="2593" spans="14:19" hidden="1" x14ac:dyDescent="0.25">
      <c r="N2593" s="17">
        <v>458.89999999998003</v>
      </c>
      <c r="O2593" s="16" t="s">
        <v>2448</v>
      </c>
      <c r="R2593" s="6"/>
      <c r="S2593" s="298"/>
    </row>
    <row r="2594" spans="14:19" hidden="1" x14ac:dyDescent="0.25">
      <c r="N2594" s="17">
        <v>458.99999999997999</v>
      </c>
      <c r="O2594" s="16" t="s">
        <v>2449</v>
      </c>
      <c r="R2594" s="6"/>
      <c r="S2594" s="298"/>
    </row>
    <row r="2595" spans="14:19" hidden="1" x14ac:dyDescent="0.25">
      <c r="N2595" s="17">
        <v>459.09999999998001</v>
      </c>
      <c r="O2595" s="16" t="s">
        <v>2450</v>
      </c>
      <c r="R2595" s="6"/>
      <c r="S2595" s="298"/>
    </row>
    <row r="2596" spans="14:19" hidden="1" x14ac:dyDescent="0.25">
      <c r="N2596" s="17">
        <v>459.19999999997998</v>
      </c>
      <c r="O2596" s="16" t="s">
        <v>2451</v>
      </c>
      <c r="R2596" s="6"/>
      <c r="S2596" s="298"/>
    </row>
    <row r="2597" spans="14:19" hidden="1" x14ac:dyDescent="0.25">
      <c r="N2597" s="17">
        <v>459.29999999998</v>
      </c>
      <c r="O2597" s="16" t="s">
        <v>2452</v>
      </c>
      <c r="R2597" s="6"/>
      <c r="S2597" s="298"/>
    </row>
    <row r="2598" spans="14:19" hidden="1" x14ac:dyDescent="0.25">
      <c r="N2598" s="17">
        <v>459.39999999998003</v>
      </c>
      <c r="O2598" s="16" t="s">
        <v>2453</v>
      </c>
      <c r="R2598" s="6"/>
      <c r="S2598" s="298"/>
    </row>
    <row r="2599" spans="14:19" hidden="1" x14ac:dyDescent="0.25">
      <c r="N2599" s="17">
        <v>459.49999999997999</v>
      </c>
      <c r="O2599" s="16" t="s">
        <v>2454</v>
      </c>
      <c r="R2599" s="6"/>
      <c r="S2599" s="298"/>
    </row>
    <row r="2600" spans="14:19" hidden="1" x14ac:dyDescent="0.25">
      <c r="N2600" s="17">
        <v>459.59999999998001</v>
      </c>
      <c r="O2600" s="16" t="s">
        <v>4598</v>
      </c>
      <c r="R2600" s="6"/>
      <c r="S2600" s="298"/>
    </row>
    <row r="2601" spans="14:19" hidden="1" x14ac:dyDescent="0.25">
      <c r="N2601" s="17">
        <v>459.69999999997998</v>
      </c>
      <c r="O2601" s="16" t="s">
        <v>192</v>
      </c>
      <c r="R2601" s="6"/>
      <c r="S2601" s="298"/>
    </row>
    <row r="2602" spans="14:19" hidden="1" x14ac:dyDescent="0.25">
      <c r="N2602" s="17">
        <v>459.79999999998</v>
      </c>
      <c r="O2602" s="16" t="s">
        <v>2447</v>
      </c>
      <c r="R2602" s="6"/>
      <c r="S2602" s="298"/>
    </row>
    <row r="2603" spans="14:19" hidden="1" x14ac:dyDescent="0.25">
      <c r="N2603" s="17">
        <v>459.89999999998003</v>
      </c>
      <c r="O2603" s="16" t="s">
        <v>2448</v>
      </c>
      <c r="R2603" s="6"/>
      <c r="S2603" s="298"/>
    </row>
    <row r="2604" spans="14:19" hidden="1" x14ac:dyDescent="0.25">
      <c r="N2604" s="17">
        <v>459.99999999997999</v>
      </c>
      <c r="O2604" s="16" t="s">
        <v>193</v>
      </c>
      <c r="R2604" s="6"/>
      <c r="S2604" s="298"/>
    </row>
    <row r="2605" spans="14:19" hidden="1" x14ac:dyDescent="0.25">
      <c r="N2605" s="17">
        <v>460.09999999998001</v>
      </c>
      <c r="O2605" s="16" t="s">
        <v>194</v>
      </c>
      <c r="R2605" s="6"/>
      <c r="S2605" s="298"/>
    </row>
    <row r="2606" spans="14:19" hidden="1" x14ac:dyDescent="0.25">
      <c r="N2606" s="17">
        <v>460.19999999997998</v>
      </c>
      <c r="O2606" s="16" t="s">
        <v>195</v>
      </c>
      <c r="R2606" s="6"/>
      <c r="S2606" s="298"/>
    </row>
    <row r="2607" spans="14:19" hidden="1" x14ac:dyDescent="0.25">
      <c r="N2607" s="17">
        <v>460.29999999997898</v>
      </c>
      <c r="O2607" s="16" t="s">
        <v>6688</v>
      </c>
      <c r="R2607" s="6"/>
      <c r="S2607" s="298"/>
    </row>
    <row r="2608" spans="14:19" hidden="1" x14ac:dyDescent="0.25">
      <c r="N2608" s="17">
        <v>460.399999999979</v>
      </c>
      <c r="O2608" s="16" t="s">
        <v>6689</v>
      </c>
      <c r="R2608" s="6"/>
      <c r="S2608" s="298"/>
    </row>
    <row r="2609" spans="14:19" hidden="1" x14ac:dyDescent="0.25">
      <c r="N2609" s="17">
        <v>460.49999999997902</v>
      </c>
      <c r="O2609" s="16" t="s">
        <v>6690</v>
      </c>
      <c r="R2609" s="6"/>
      <c r="S2609" s="298"/>
    </row>
    <row r="2610" spans="14:19" hidden="1" x14ac:dyDescent="0.25">
      <c r="N2610" s="17">
        <v>460.59999999997899</v>
      </c>
      <c r="O2610" s="16" t="s">
        <v>6691</v>
      </c>
      <c r="R2610" s="6"/>
      <c r="S2610" s="298"/>
    </row>
    <row r="2611" spans="14:19" hidden="1" x14ac:dyDescent="0.25">
      <c r="N2611" s="17">
        <v>460.69999999997901</v>
      </c>
      <c r="O2611" s="16" t="s">
        <v>199</v>
      </c>
      <c r="R2611" s="6"/>
      <c r="S2611" s="298"/>
    </row>
    <row r="2612" spans="14:19" hidden="1" x14ac:dyDescent="0.25">
      <c r="N2612" s="17">
        <v>460.79999999997898</v>
      </c>
      <c r="O2612" s="16" t="s">
        <v>200</v>
      </c>
      <c r="R2612" s="6"/>
      <c r="S2612" s="298"/>
    </row>
    <row r="2613" spans="14:19" hidden="1" x14ac:dyDescent="0.25">
      <c r="N2613" s="17">
        <v>460.899999999979</v>
      </c>
      <c r="O2613" s="16" t="s">
        <v>201</v>
      </c>
      <c r="R2613" s="6"/>
      <c r="S2613" s="298"/>
    </row>
    <row r="2614" spans="14:19" hidden="1" x14ac:dyDescent="0.25">
      <c r="N2614" s="17">
        <v>460.99999999997902</v>
      </c>
      <c r="O2614" s="16" t="s">
        <v>202</v>
      </c>
      <c r="R2614" s="6"/>
      <c r="S2614" s="298"/>
    </row>
    <row r="2615" spans="14:19" hidden="1" x14ac:dyDescent="0.25">
      <c r="N2615" s="17">
        <v>461.09999999997899</v>
      </c>
      <c r="O2615" s="16" t="s">
        <v>203</v>
      </c>
      <c r="R2615" s="6"/>
      <c r="S2615" s="298"/>
    </row>
    <row r="2616" spans="14:19" hidden="1" x14ac:dyDescent="0.25">
      <c r="N2616" s="17">
        <v>461.19999999997901</v>
      </c>
      <c r="O2616" s="16" t="s">
        <v>8477</v>
      </c>
      <c r="R2616" s="6"/>
      <c r="S2616" s="298"/>
    </row>
    <row r="2617" spans="14:19" hidden="1" x14ac:dyDescent="0.25">
      <c r="N2617" s="17">
        <v>461.29999999997898</v>
      </c>
      <c r="O2617" s="16" t="s">
        <v>8478</v>
      </c>
      <c r="R2617" s="6"/>
      <c r="S2617" s="298"/>
    </row>
    <row r="2618" spans="14:19" hidden="1" x14ac:dyDescent="0.25">
      <c r="N2618" s="17">
        <v>461.399999999979</v>
      </c>
      <c r="O2618" s="16" t="s">
        <v>8479</v>
      </c>
      <c r="R2618" s="6"/>
      <c r="S2618" s="298"/>
    </row>
    <row r="2619" spans="14:19" hidden="1" x14ac:dyDescent="0.25">
      <c r="N2619" s="17">
        <v>461.49999999997902</v>
      </c>
      <c r="O2619" s="16" t="s">
        <v>8480</v>
      </c>
      <c r="R2619" s="6"/>
      <c r="S2619" s="298"/>
    </row>
    <row r="2620" spans="14:19" hidden="1" x14ac:dyDescent="0.25">
      <c r="N2620" s="17">
        <v>461.59999999997899</v>
      </c>
      <c r="O2620" s="16" t="s">
        <v>6692</v>
      </c>
      <c r="R2620" s="6"/>
      <c r="S2620" s="298"/>
    </row>
    <row r="2621" spans="14:19" hidden="1" x14ac:dyDescent="0.25">
      <c r="N2621" s="17">
        <v>461.69999999997901</v>
      </c>
      <c r="O2621" s="16" t="s">
        <v>6693</v>
      </c>
      <c r="R2621" s="6"/>
      <c r="S2621" s="298"/>
    </row>
    <row r="2622" spans="14:19" hidden="1" x14ac:dyDescent="0.25">
      <c r="N2622" s="17">
        <v>461.79999999997898</v>
      </c>
      <c r="O2622" s="16" t="s">
        <v>6694</v>
      </c>
      <c r="R2622" s="6"/>
      <c r="S2622" s="298"/>
    </row>
    <row r="2623" spans="14:19" hidden="1" x14ac:dyDescent="0.25">
      <c r="N2623" s="17">
        <v>461.899999999979</v>
      </c>
      <c r="O2623" s="16" t="s">
        <v>6695</v>
      </c>
      <c r="R2623" s="6"/>
      <c r="S2623" s="298"/>
    </row>
    <row r="2624" spans="14:19" hidden="1" x14ac:dyDescent="0.25">
      <c r="N2624" s="17">
        <v>461.99999999997902</v>
      </c>
      <c r="O2624" s="16" t="s">
        <v>6696</v>
      </c>
      <c r="R2624" s="6"/>
      <c r="S2624" s="298"/>
    </row>
    <row r="2625" spans="14:19" hidden="1" x14ac:dyDescent="0.25">
      <c r="N2625" s="17">
        <v>462.09999999997899</v>
      </c>
      <c r="O2625" s="16" t="s">
        <v>6697</v>
      </c>
      <c r="R2625" s="6"/>
      <c r="S2625" s="298"/>
    </row>
    <row r="2626" spans="14:19" hidden="1" x14ac:dyDescent="0.25">
      <c r="N2626" s="17">
        <v>462.19999999997901</v>
      </c>
      <c r="O2626" s="16" t="s">
        <v>6698</v>
      </c>
      <c r="R2626" s="6"/>
      <c r="S2626" s="298"/>
    </row>
    <row r="2627" spans="14:19" hidden="1" x14ac:dyDescent="0.25">
      <c r="N2627" s="17">
        <v>462.29999999997898</v>
      </c>
      <c r="O2627" s="16" t="s">
        <v>6699</v>
      </c>
      <c r="R2627" s="6"/>
      <c r="S2627" s="298"/>
    </row>
    <row r="2628" spans="14:19" hidden="1" x14ac:dyDescent="0.25">
      <c r="N2628" s="17">
        <v>462.399999999979</v>
      </c>
      <c r="O2628" s="16" t="s">
        <v>6700</v>
      </c>
      <c r="R2628" s="6"/>
      <c r="S2628" s="298"/>
    </row>
    <row r="2629" spans="14:19" hidden="1" x14ac:dyDescent="0.25">
      <c r="N2629" s="17">
        <v>462.49999999997902</v>
      </c>
      <c r="O2629" s="16" t="s">
        <v>6701</v>
      </c>
      <c r="R2629" s="6"/>
      <c r="S2629" s="298"/>
    </row>
    <row r="2630" spans="14:19" hidden="1" x14ac:dyDescent="0.25">
      <c r="N2630" s="17">
        <v>462.59999999997899</v>
      </c>
      <c r="O2630" s="16" t="s">
        <v>6702</v>
      </c>
      <c r="R2630" s="6"/>
      <c r="S2630" s="298"/>
    </row>
    <row r="2631" spans="14:19" hidden="1" x14ac:dyDescent="0.25">
      <c r="N2631" s="17">
        <v>462.69999999997901</v>
      </c>
      <c r="O2631" s="16" t="s">
        <v>6703</v>
      </c>
      <c r="R2631" s="6"/>
      <c r="S2631" s="298"/>
    </row>
    <row r="2632" spans="14:19" hidden="1" x14ac:dyDescent="0.25">
      <c r="N2632" s="17">
        <v>462.79999999997898</v>
      </c>
      <c r="O2632" s="16" t="s">
        <v>6704</v>
      </c>
      <c r="R2632" s="6"/>
      <c r="S2632" s="298"/>
    </row>
    <row r="2633" spans="14:19" hidden="1" x14ac:dyDescent="0.25">
      <c r="N2633" s="17">
        <v>462.899999999979</v>
      </c>
      <c r="O2633" s="16" t="s">
        <v>6705</v>
      </c>
      <c r="R2633" s="6"/>
      <c r="S2633" s="298"/>
    </row>
    <row r="2634" spans="14:19" hidden="1" x14ac:dyDescent="0.25">
      <c r="N2634" s="17">
        <v>462.99999999997902</v>
      </c>
      <c r="O2634" s="16" t="s">
        <v>6706</v>
      </c>
      <c r="R2634" s="6"/>
      <c r="S2634" s="298"/>
    </row>
    <row r="2635" spans="14:19" hidden="1" x14ac:dyDescent="0.25">
      <c r="N2635" s="17">
        <v>463.09999999997899</v>
      </c>
      <c r="O2635" s="16" t="s">
        <v>6707</v>
      </c>
      <c r="R2635" s="6"/>
      <c r="S2635" s="298"/>
    </row>
    <row r="2636" spans="14:19" hidden="1" x14ac:dyDescent="0.25">
      <c r="N2636" s="17">
        <v>463.19999999997901</v>
      </c>
      <c r="O2636" s="16" t="s">
        <v>6708</v>
      </c>
      <c r="R2636" s="6"/>
      <c r="S2636" s="298"/>
    </row>
    <row r="2637" spans="14:19" hidden="1" x14ac:dyDescent="0.25">
      <c r="N2637" s="17">
        <v>463.29999999997801</v>
      </c>
      <c r="O2637" s="16" t="s">
        <v>4617</v>
      </c>
      <c r="R2637" s="6"/>
      <c r="S2637" s="298"/>
    </row>
    <row r="2638" spans="14:19" hidden="1" x14ac:dyDescent="0.25">
      <c r="N2638" s="17">
        <v>463.39999999997798</v>
      </c>
      <c r="O2638" s="16" t="s">
        <v>4618</v>
      </c>
      <c r="R2638" s="6"/>
      <c r="S2638" s="298"/>
    </row>
    <row r="2639" spans="14:19" hidden="1" x14ac:dyDescent="0.25">
      <c r="N2639" s="17">
        <v>463.499999999978</v>
      </c>
      <c r="O2639" s="16" t="s">
        <v>4619</v>
      </c>
      <c r="R2639" s="6"/>
      <c r="S2639" s="298"/>
    </row>
    <row r="2640" spans="14:19" hidden="1" x14ac:dyDescent="0.25">
      <c r="N2640" s="17">
        <v>463.59999999997802</v>
      </c>
      <c r="O2640" s="16" t="s">
        <v>4620</v>
      </c>
      <c r="R2640" s="6"/>
      <c r="S2640" s="298"/>
    </row>
    <row r="2641" spans="14:19" hidden="1" x14ac:dyDescent="0.25">
      <c r="N2641" s="17">
        <v>463.69999999997799</v>
      </c>
      <c r="O2641" s="16" t="s">
        <v>4621</v>
      </c>
      <c r="R2641" s="6"/>
      <c r="S2641" s="298"/>
    </row>
    <row r="2642" spans="14:19" hidden="1" x14ac:dyDescent="0.25">
      <c r="N2642" s="17">
        <v>463.79999999997801</v>
      </c>
      <c r="O2642" s="16" t="s">
        <v>4622</v>
      </c>
      <c r="R2642" s="6"/>
      <c r="S2642" s="298"/>
    </row>
    <row r="2643" spans="14:19" hidden="1" x14ac:dyDescent="0.25">
      <c r="N2643" s="17">
        <v>463.89999999997798</v>
      </c>
      <c r="O2643" s="16" t="s">
        <v>4623</v>
      </c>
      <c r="R2643" s="6"/>
      <c r="S2643" s="298"/>
    </row>
    <row r="2644" spans="14:19" hidden="1" x14ac:dyDescent="0.25">
      <c r="N2644" s="17">
        <v>463.999999999978</v>
      </c>
      <c r="O2644" s="16" t="s">
        <v>4624</v>
      </c>
      <c r="R2644" s="6"/>
      <c r="S2644" s="298"/>
    </row>
    <row r="2645" spans="14:19" hidden="1" x14ac:dyDescent="0.25">
      <c r="N2645" s="17">
        <v>464.09999999997802</v>
      </c>
      <c r="O2645" s="16" t="s">
        <v>4625</v>
      </c>
      <c r="R2645" s="6"/>
      <c r="S2645" s="298"/>
    </row>
    <row r="2646" spans="14:19" hidden="1" x14ac:dyDescent="0.25">
      <c r="N2646" s="17">
        <v>464.19999999997799</v>
      </c>
      <c r="O2646" s="16" t="s">
        <v>4626</v>
      </c>
      <c r="R2646" s="6"/>
      <c r="S2646" s="298"/>
    </row>
    <row r="2647" spans="14:19" hidden="1" x14ac:dyDescent="0.25">
      <c r="N2647" s="17">
        <v>464.29999999997801</v>
      </c>
      <c r="O2647" s="16" t="s">
        <v>2459</v>
      </c>
      <c r="R2647" s="6"/>
      <c r="S2647" s="298"/>
    </row>
    <row r="2648" spans="14:19" hidden="1" x14ac:dyDescent="0.25">
      <c r="N2648" s="17">
        <v>464.39999999997798</v>
      </c>
      <c r="O2648" s="16" t="s">
        <v>2460</v>
      </c>
      <c r="R2648" s="6"/>
      <c r="S2648" s="298"/>
    </row>
    <row r="2649" spans="14:19" hidden="1" x14ac:dyDescent="0.25">
      <c r="N2649" s="17">
        <v>464.499999999978</v>
      </c>
      <c r="O2649" s="16" t="s">
        <v>2461</v>
      </c>
      <c r="R2649" s="6"/>
      <c r="S2649" s="298"/>
    </row>
    <row r="2650" spans="14:19" hidden="1" x14ac:dyDescent="0.25">
      <c r="N2650" s="17">
        <v>464.59999999997802</v>
      </c>
      <c r="O2650" s="16" t="s">
        <v>2462</v>
      </c>
      <c r="R2650" s="6"/>
      <c r="S2650" s="298"/>
    </row>
    <row r="2651" spans="14:19" hidden="1" x14ac:dyDescent="0.25">
      <c r="N2651" s="17">
        <v>464.69999999997799</v>
      </c>
      <c r="O2651" s="16" t="s">
        <v>2463</v>
      </c>
      <c r="R2651" s="6"/>
      <c r="S2651" s="298"/>
    </row>
    <row r="2652" spans="14:19" hidden="1" x14ac:dyDescent="0.25">
      <c r="N2652" s="17">
        <v>464.79999999997801</v>
      </c>
      <c r="O2652" s="16" t="s">
        <v>2464</v>
      </c>
      <c r="R2652" s="6"/>
      <c r="S2652" s="298"/>
    </row>
    <row r="2653" spans="14:19" hidden="1" x14ac:dyDescent="0.25">
      <c r="N2653" s="17">
        <v>464.89999999997798</v>
      </c>
      <c r="O2653" s="16" t="s">
        <v>2465</v>
      </c>
      <c r="R2653" s="6"/>
      <c r="S2653" s="298"/>
    </row>
    <row r="2654" spans="14:19" hidden="1" x14ac:dyDescent="0.25">
      <c r="N2654" s="17">
        <v>464.999999999978</v>
      </c>
      <c r="O2654" s="16" t="s">
        <v>2466</v>
      </c>
      <c r="R2654" s="6"/>
      <c r="S2654" s="298"/>
    </row>
    <row r="2655" spans="14:19" hidden="1" x14ac:dyDescent="0.25">
      <c r="N2655" s="17">
        <v>465.09999999997802</v>
      </c>
      <c r="O2655" s="16" t="s">
        <v>2467</v>
      </c>
      <c r="R2655" s="6"/>
      <c r="S2655" s="298"/>
    </row>
    <row r="2656" spans="14:19" hidden="1" x14ac:dyDescent="0.25">
      <c r="N2656" s="17">
        <v>465.19999999997799</v>
      </c>
      <c r="O2656" s="16" t="s">
        <v>2468</v>
      </c>
      <c r="R2656" s="6"/>
      <c r="S2656" s="298"/>
    </row>
    <row r="2657" spans="14:19" hidden="1" x14ac:dyDescent="0.25">
      <c r="N2657" s="17">
        <v>465.29999999997801</v>
      </c>
      <c r="O2657" s="16" t="s">
        <v>2469</v>
      </c>
      <c r="R2657" s="6"/>
      <c r="S2657" s="298"/>
    </row>
    <row r="2658" spans="14:19" hidden="1" x14ac:dyDescent="0.25">
      <c r="N2658" s="17">
        <v>465.39999999997798</v>
      </c>
      <c r="O2658" s="16" t="s">
        <v>2470</v>
      </c>
      <c r="R2658" s="6"/>
      <c r="S2658" s="298"/>
    </row>
    <row r="2659" spans="14:19" hidden="1" x14ac:dyDescent="0.25">
      <c r="N2659" s="17">
        <v>465.499999999978</v>
      </c>
      <c r="O2659" s="16" t="s">
        <v>2471</v>
      </c>
      <c r="R2659" s="6"/>
      <c r="S2659" s="298"/>
    </row>
    <row r="2660" spans="14:19" hidden="1" x14ac:dyDescent="0.25">
      <c r="N2660" s="17">
        <v>465.59999999997802</v>
      </c>
      <c r="O2660" s="16" t="s">
        <v>2472</v>
      </c>
      <c r="R2660" s="6"/>
      <c r="S2660" s="298"/>
    </row>
    <row r="2661" spans="14:19" hidden="1" x14ac:dyDescent="0.25">
      <c r="N2661" s="17">
        <v>465.69999999997799</v>
      </c>
      <c r="O2661" s="16" t="s">
        <v>2473</v>
      </c>
      <c r="R2661" s="6"/>
      <c r="S2661" s="298"/>
    </row>
    <row r="2662" spans="14:19" hidden="1" x14ac:dyDescent="0.25">
      <c r="N2662" s="17">
        <v>465.79999999997801</v>
      </c>
      <c r="O2662" s="16" t="s">
        <v>2474</v>
      </c>
      <c r="R2662" s="6"/>
      <c r="S2662" s="298"/>
    </row>
    <row r="2663" spans="14:19" hidden="1" x14ac:dyDescent="0.25">
      <c r="N2663" s="17">
        <v>465.89999999997798</v>
      </c>
      <c r="O2663" s="16" t="s">
        <v>2475</v>
      </c>
      <c r="R2663" s="6"/>
      <c r="S2663" s="298"/>
    </row>
    <row r="2664" spans="14:19" hidden="1" x14ac:dyDescent="0.25">
      <c r="N2664" s="17">
        <v>465.99999999997698</v>
      </c>
      <c r="O2664" s="16" t="s">
        <v>2476</v>
      </c>
      <c r="R2664" s="6"/>
      <c r="S2664" s="298"/>
    </row>
    <row r="2665" spans="14:19" hidden="1" x14ac:dyDescent="0.25">
      <c r="N2665" s="17">
        <v>466.09999999997802</v>
      </c>
      <c r="O2665" s="16" t="s">
        <v>2477</v>
      </c>
      <c r="R2665" s="6"/>
      <c r="S2665" s="298"/>
    </row>
    <row r="2666" spans="14:19" hidden="1" x14ac:dyDescent="0.25">
      <c r="N2666" s="17">
        <v>466.19999999997799</v>
      </c>
      <c r="O2666" s="16" t="s">
        <v>2478</v>
      </c>
      <c r="R2666" s="6"/>
      <c r="S2666" s="298"/>
    </row>
    <row r="2667" spans="14:19" hidden="1" x14ac:dyDescent="0.25">
      <c r="N2667" s="17">
        <v>466.29999999997699</v>
      </c>
      <c r="O2667" s="16" t="s">
        <v>2479</v>
      </c>
      <c r="R2667" s="6"/>
      <c r="S2667" s="298"/>
    </row>
    <row r="2668" spans="14:19" hidden="1" x14ac:dyDescent="0.25">
      <c r="N2668" s="17">
        <v>466.39999999997701</v>
      </c>
      <c r="O2668" s="16" t="s">
        <v>2480</v>
      </c>
      <c r="R2668" s="6"/>
      <c r="S2668" s="298"/>
    </row>
    <row r="2669" spans="14:19" hidden="1" x14ac:dyDescent="0.25">
      <c r="N2669" s="17">
        <v>466.49999999997698</v>
      </c>
      <c r="O2669" s="16" t="s">
        <v>2481</v>
      </c>
      <c r="R2669" s="6"/>
      <c r="S2669" s="298"/>
    </row>
    <row r="2670" spans="14:19" hidden="1" x14ac:dyDescent="0.25">
      <c r="N2670" s="17">
        <v>466.599999999977</v>
      </c>
      <c r="O2670" s="16" t="s">
        <v>2482</v>
      </c>
      <c r="R2670" s="6"/>
      <c r="S2670" s="298"/>
    </row>
    <row r="2671" spans="14:19" hidden="1" x14ac:dyDescent="0.25">
      <c r="N2671" s="17">
        <v>466.69999999997702</v>
      </c>
      <c r="O2671" s="16" t="s">
        <v>2483</v>
      </c>
      <c r="R2671" s="6"/>
      <c r="S2671" s="298"/>
    </row>
    <row r="2672" spans="14:19" hidden="1" x14ac:dyDescent="0.25">
      <c r="N2672" s="17">
        <v>466.79999999997699</v>
      </c>
      <c r="O2672" s="16" t="s">
        <v>2484</v>
      </c>
      <c r="R2672" s="6"/>
      <c r="S2672" s="298"/>
    </row>
    <row r="2673" spans="14:19" hidden="1" x14ac:dyDescent="0.25">
      <c r="N2673" s="17">
        <v>466.89999999997701</v>
      </c>
      <c r="O2673" s="16" t="s">
        <v>2485</v>
      </c>
      <c r="R2673" s="6"/>
      <c r="S2673" s="298"/>
    </row>
    <row r="2674" spans="14:19" hidden="1" x14ac:dyDescent="0.25">
      <c r="N2674" s="17">
        <v>466.99999999997698</v>
      </c>
      <c r="O2674" s="16" t="s">
        <v>2486</v>
      </c>
      <c r="R2674" s="6"/>
      <c r="S2674" s="298"/>
    </row>
    <row r="2675" spans="14:19" hidden="1" x14ac:dyDescent="0.25">
      <c r="N2675" s="17">
        <v>467.099999999977</v>
      </c>
      <c r="O2675" s="16" t="s">
        <v>2487</v>
      </c>
      <c r="R2675" s="6"/>
      <c r="S2675" s="298"/>
    </row>
    <row r="2676" spans="14:19" hidden="1" x14ac:dyDescent="0.25">
      <c r="N2676" s="17">
        <v>467.19999999997702</v>
      </c>
      <c r="O2676" s="16" t="s">
        <v>2488</v>
      </c>
      <c r="R2676" s="6"/>
      <c r="S2676" s="298"/>
    </row>
    <row r="2677" spans="14:19" hidden="1" x14ac:dyDescent="0.25">
      <c r="N2677" s="17">
        <v>467.29999999997699</v>
      </c>
      <c r="O2677" s="16" t="s">
        <v>2489</v>
      </c>
      <c r="R2677" s="6"/>
      <c r="S2677" s="298"/>
    </row>
    <row r="2678" spans="14:19" hidden="1" x14ac:dyDescent="0.25">
      <c r="N2678" s="17">
        <v>467.39999999997701</v>
      </c>
      <c r="O2678" s="16" t="s">
        <v>2490</v>
      </c>
      <c r="R2678" s="6"/>
      <c r="S2678" s="298"/>
    </row>
    <row r="2679" spans="14:19" hidden="1" x14ac:dyDescent="0.25">
      <c r="N2679" s="17">
        <v>467.49999999997698</v>
      </c>
      <c r="O2679" s="16" t="s">
        <v>2491</v>
      </c>
      <c r="R2679" s="6"/>
      <c r="S2679" s="298"/>
    </row>
    <row r="2680" spans="14:19" hidden="1" x14ac:dyDescent="0.25">
      <c r="N2680" s="17">
        <v>467.599999999977</v>
      </c>
      <c r="O2680" s="16" t="s">
        <v>2492</v>
      </c>
      <c r="R2680" s="6"/>
      <c r="S2680" s="298"/>
    </row>
    <row r="2681" spans="14:19" hidden="1" x14ac:dyDescent="0.25">
      <c r="N2681" s="17">
        <v>467.69999999997702</v>
      </c>
      <c r="O2681" s="16" t="s">
        <v>2493</v>
      </c>
      <c r="R2681" s="6"/>
      <c r="S2681" s="298"/>
    </row>
    <row r="2682" spans="14:19" hidden="1" x14ac:dyDescent="0.25">
      <c r="N2682" s="17">
        <v>467.79999999997699</v>
      </c>
      <c r="O2682" s="16" t="s">
        <v>2494</v>
      </c>
      <c r="R2682" s="6"/>
      <c r="S2682" s="298"/>
    </row>
    <row r="2683" spans="14:19" hidden="1" x14ac:dyDescent="0.25">
      <c r="N2683" s="17">
        <v>467.89999999997701</v>
      </c>
      <c r="O2683" s="16" t="s">
        <v>2495</v>
      </c>
      <c r="R2683" s="6"/>
      <c r="S2683" s="298"/>
    </row>
    <row r="2684" spans="14:19" hidden="1" x14ac:dyDescent="0.25">
      <c r="N2684" s="17">
        <v>467.99999999997698</v>
      </c>
      <c r="O2684" s="16" t="s">
        <v>2496</v>
      </c>
      <c r="R2684" s="6"/>
      <c r="S2684" s="298"/>
    </row>
    <row r="2685" spans="14:19" hidden="1" x14ac:dyDescent="0.25">
      <c r="N2685" s="17">
        <v>468.099999999977</v>
      </c>
      <c r="O2685" s="16" t="s">
        <v>2497</v>
      </c>
      <c r="R2685" s="6"/>
      <c r="S2685" s="298"/>
    </row>
    <row r="2686" spans="14:19" hidden="1" x14ac:dyDescent="0.25">
      <c r="N2686" s="17">
        <v>468.19999999997702</v>
      </c>
      <c r="O2686" s="16" t="s">
        <v>2498</v>
      </c>
      <c r="R2686" s="6"/>
      <c r="S2686" s="298"/>
    </row>
    <row r="2687" spans="14:19" hidden="1" x14ac:dyDescent="0.25">
      <c r="N2687" s="17">
        <v>468.29999999997699</v>
      </c>
      <c r="O2687" s="16" t="s">
        <v>2499</v>
      </c>
      <c r="R2687" s="6"/>
      <c r="S2687" s="298"/>
    </row>
    <row r="2688" spans="14:19" hidden="1" x14ac:dyDescent="0.25">
      <c r="N2688" s="17">
        <v>468.39999999997701</v>
      </c>
      <c r="O2688" s="16" t="s">
        <v>2500</v>
      </c>
      <c r="R2688" s="6"/>
      <c r="S2688" s="298"/>
    </row>
    <row r="2689" spans="14:19" hidden="1" x14ac:dyDescent="0.25">
      <c r="N2689" s="17">
        <v>468.49999999997698</v>
      </c>
      <c r="O2689" s="16" t="s">
        <v>2501</v>
      </c>
      <c r="R2689" s="6"/>
      <c r="S2689" s="298"/>
    </row>
    <row r="2690" spans="14:19" hidden="1" x14ac:dyDescent="0.25">
      <c r="N2690" s="17">
        <v>468.599999999977</v>
      </c>
      <c r="O2690" s="16" t="s">
        <v>2502</v>
      </c>
      <c r="R2690" s="6"/>
      <c r="S2690" s="298"/>
    </row>
    <row r="2691" spans="14:19" hidden="1" x14ac:dyDescent="0.25">
      <c r="N2691" s="17">
        <v>468.69999999997702</v>
      </c>
      <c r="O2691" s="16" t="s">
        <v>2503</v>
      </c>
      <c r="R2691" s="6"/>
      <c r="S2691" s="298"/>
    </row>
    <row r="2692" spans="14:19" hidden="1" x14ac:dyDescent="0.25">
      <c r="N2692" s="17">
        <v>468.79999999997699</v>
      </c>
      <c r="O2692" s="16" t="s">
        <v>2504</v>
      </c>
      <c r="R2692" s="6"/>
      <c r="S2692" s="298"/>
    </row>
    <row r="2693" spans="14:19" hidden="1" x14ac:dyDescent="0.25">
      <c r="N2693" s="17">
        <v>468.89999999997701</v>
      </c>
      <c r="O2693" s="16" t="s">
        <v>2505</v>
      </c>
      <c r="R2693" s="6"/>
      <c r="S2693" s="298"/>
    </row>
    <row r="2694" spans="14:19" hidden="1" x14ac:dyDescent="0.25">
      <c r="N2694" s="17">
        <v>468.99999999997698</v>
      </c>
      <c r="O2694" s="16" t="s">
        <v>2506</v>
      </c>
      <c r="R2694" s="6"/>
      <c r="S2694" s="298"/>
    </row>
    <row r="2695" spans="14:19" hidden="1" x14ac:dyDescent="0.25">
      <c r="N2695" s="17">
        <v>469.09999999997598</v>
      </c>
      <c r="O2695" s="16" t="s">
        <v>292</v>
      </c>
      <c r="R2695" s="6"/>
      <c r="S2695" s="298"/>
    </row>
    <row r="2696" spans="14:19" hidden="1" x14ac:dyDescent="0.25">
      <c r="N2696" s="17">
        <v>469.199999999976</v>
      </c>
      <c r="O2696" s="16" t="s">
        <v>293</v>
      </c>
      <c r="R2696" s="6"/>
      <c r="S2696" s="298"/>
    </row>
    <row r="2697" spans="14:19" hidden="1" x14ac:dyDescent="0.25">
      <c r="N2697" s="17">
        <v>469.29999999997602</v>
      </c>
      <c r="O2697" s="16" t="s">
        <v>294</v>
      </c>
      <c r="R2697" s="6"/>
      <c r="S2697" s="298"/>
    </row>
    <row r="2698" spans="14:19" hidden="1" x14ac:dyDescent="0.25">
      <c r="N2698" s="17">
        <v>469.39999999997599</v>
      </c>
      <c r="O2698" s="16" t="s">
        <v>295</v>
      </c>
      <c r="R2698" s="6"/>
      <c r="S2698" s="298"/>
    </row>
    <row r="2699" spans="14:19" hidden="1" x14ac:dyDescent="0.25">
      <c r="N2699" s="17">
        <v>469.49999999997601</v>
      </c>
      <c r="O2699" s="16" t="s">
        <v>296</v>
      </c>
      <c r="R2699" s="6"/>
      <c r="S2699" s="298"/>
    </row>
    <row r="2700" spans="14:19" hidden="1" x14ac:dyDescent="0.25">
      <c r="N2700" s="17">
        <v>469.59999999997598</v>
      </c>
      <c r="O2700" s="16" t="s">
        <v>297</v>
      </c>
      <c r="R2700" s="6"/>
      <c r="S2700" s="298"/>
    </row>
    <row r="2701" spans="14:19" hidden="1" x14ac:dyDescent="0.25">
      <c r="N2701" s="17">
        <v>469.699999999976</v>
      </c>
      <c r="O2701" s="16" t="s">
        <v>298</v>
      </c>
      <c r="R2701" s="6"/>
      <c r="S2701" s="298"/>
    </row>
    <row r="2702" spans="14:19" hidden="1" x14ac:dyDescent="0.25">
      <c r="N2702" s="17">
        <v>469.79999999997602</v>
      </c>
      <c r="O2702" s="16" t="s">
        <v>299</v>
      </c>
      <c r="R2702" s="6"/>
      <c r="S2702" s="298"/>
    </row>
    <row r="2703" spans="14:19" hidden="1" x14ac:dyDescent="0.25">
      <c r="N2703" s="17">
        <v>469.89999999997599</v>
      </c>
      <c r="O2703" s="16" t="s">
        <v>300</v>
      </c>
      <c r="R2703" s="6"/>
      <c r="S2703" s="298"/>
    </row>
    <row r="2704" spans="14:19" hidden="1" x14ac:dyDescent="0.25">
      <c r="N2704" s="17">
        <v>469.99999999997601</v>
      </c>
      <c r="O2704" s="16" t="s">
        <v>301</v>
      </c>
      <c r="R2704" s="6"/>
      <c r="S2704" s="298"/>
    </row>
    <row r="2705" spans="14:19" hidden="1" x14ac:dyDescent="0.25">
      <c r="N2705" s="17">
        <v>470.09999999997598</v>
      </c>
      <c r="O2705" s="16" t="s">
        <v>302</v>
      </c>
      <c r="R2705" s="6"/>
      <c r="S2705" s="298"/>
    </row>
    <row r="2706" spans="14:19" hidden="1" x14ac:dyDescent="0.25">
      <c r="N2706" s="17">
        <v>470.199999999976</v>
      </c>
      <c r="O2706" s="16" t="s">
        <v>303</v>
      </c>
      <c r="R2706" s="6"/>
      <c r="S2706" s="298"/>
    </row>
    <row r="2707" spans="14:19" hidden="1" x14ac:dyDescent="0.25">
      <c r="N2707" s="17">
        <v>470.29999999997602</v>
      </c>
      <c r="O2707" s="16" t="s">
        <v>304</v>
      </c>
      <c r="R2707" s="6"/>
      <c r="S2707" s="298"/>
    </row>
    <row r="2708" spans="14:19" hidden="1" x14ac:dyDescent="0.25">
      <c r="N2708" s="17">
        <v>470.39999999997599</v>
      </c>
      <c r="O2708" s="16" t="s">
        <v>305</v>
      </c>
      <c r="R2708" s="6"/>
      <c r="S2708" s="298"/>
    </row>
    <row r="2709" spans="14:19" hidden="1" x14ac:dyDescent="0.25">
      <c r="N2709" s="17">
        <v>470.49999999997601</v>
      </c>
      <c r="O2709" s="16" t="s">
        <v>306</v>
      </c>
      <c r="R2709" s="6"/>
      <c r="S2709" s="298"/>
    </row>
    <row r="2710" spans="14:19" hidden="1" x14ac:dyDescent="0.25">
      <c r="N2710" s="17">
        <v>470.59999999997598</v>
      </c>
      <c r="O2710" s="16" t="s">
        <v>307</v>
      </c>
      <c r="R2710" s="6"/>
      <c r="S2710" s="298"/>
    </row>
    <row r="2711" spans="14:19" hidden="1" x14ac:dyDescent="0.25">
      <c r="N2711" s="17">
        <v>470.699999999976</v>
      </c>
      <c r="O2711" s="16" t="s">
        <v>308</v>
      </c>
      <c r="R2711" s="6"/>
      <c r="S2711" s="298"/>
    </row>
    <row r="2712" spans="14:19" hidden="1" x14ac:dyDescent="0.25">
      <c r="N2712" s="17">
        <v>470.79999999997602</v>
      </c>
      <c r="O2712" s="16" t="s">
        <v>1274</v>
      </c>
      <c r="R2712" s="6"/>
      <c r="S2712" s="298"/>
    </row>
    <row r="2713" spans="14:19" hidden="1" x14ac:dyDescent="0.25">
      <c r="N2713" s="17">
        <v>470.89999999997599</v>
      </c>
      <c r="O2713" s="16" t="s">
        <v>2294</v>
      </c>
      <c r="R2713" s="6"/>
      <c r="S2713" s="298"/>
    </row>
    <row r="2714" spans="14:19" hidden="1" x14ac:dyDescent="0.25">
      <c r="N2714" s="17">
        <v>470.99999999997601</v>
      </c>
      <c r="O2714" s="16" t="s">
        <v>319</v>
      </c>
      <c r="R2714" s="6"/>
      <c r="S2714" s="298"/>
    </row>
    <row r="2715" spans="14:19" hidden="1" x14ac:dyDescent="0.25">
      <c r="N2715" s="17">
        <v>471.09999999997598</v>
      </c>
      <c r="O2715" s="16" t="s">
        <v>320</v>
      </c>
      <c r="R2715" s="6"/>
      <c r="S2715" s="298"/>
    </row>
    <row r="2716" spans="14:19" hidden="1" x14ac:dyDescent="0.25">
      <c r="N2716" s="17">
        <v>471.199999999976</v>
      </c>
      <c r="O2716" s="16" t="s">
        <v>321</v>
      </c>
      <c r="R2716" s="6"/>
      <c r="S2716" s="298"/>
    </row>
    <row r="2717" spans="14:19" hidden="1" x14ac:dyDescent="0.25">
      <c r="N2717" s="17">
        <v>471.29999999997602</v>
      </c>
      <c r="O2717" s="16" t="s">
        <v>322</v>
      </c>
      <c r="R2717" s="6"/>
      <c r="S2717" s="298"/>
    </row>
    <row r="2718" spans="14:19" hidden="1" x14ac:dyDescent="0.25">
      <c r="N2718" s="17">
        <v>471.39999999997599</v>
      </c>
      <c r="O2718" s="16" t="s">
        <v>323</v>
      </c>
      <c r="R2718" s="6"/>
      <c r="S2718" s="298"/>
    </row>
    <row r="2719" spans="14:19" hidden="1" x14ac:dyDescent="0.25">
      <c r="N2719" s="17">
        <v>471.49999999997601</v>
      </c>
      <c r="O2719" s="16" t="s">
        <v>2304</v>
      </c>
      <c r="R2719" s="6"/>
      <c r="S2719" s="298"/>
    </row>
    <row r="2720" spans="14:19" hidden="1" x14ac:dyDescent="0.25">
      <c r="N2720" s="17">
        <v>471.59999999997598</v>
      </c>
      <c r="O2720" s="16" t="s">
        <v>2305</v>
      </c>
      <c r="R2720" s="6"/>
      <c r="S2720" s="298"/>
    </row>
    <row r="2721" spans="14:19" hidden="1" x14ac:dyDescent="0.25">
      <c r="N2721" s="17">
        <v>471.699999999976</v>
      </c>
      <c r="O2721" s="16" t="s">
        <v>2306</v>
      </c>
      <c r="R2721" s="6"/>
      <c r="S2721" s="298"/>
    </row>
    <row r="2722" spans="14:19" hidden="1" x14ac:dyDescent="0.25">
      <c r="N2722" s="17">
        <v>471.79999999997602</v>
      </c>
      <c r="O2722" s="16" t="s">
        <v>2307</v>
      </c>
      <c r="R2722" s="6"/>
      <c r="S2722" s="298"/>
    </row>
    <row r="2723" spans="14:19" hidden="1" x14ac:dyDescent="0.25">
      <c r="N2723" s="17">
        <v>471.89999999997599</v>
      </c>
      <c r="O2723" s="16" t="s">
        <v>2308</v>
      </c>
      <c r="R2723" s="6"/>
      <c r="S2723" s="298"/>
    </row>
    <row r="2724" spans="14:19" hidden="1" x14ac:dyDescent="0.25">
      <c r="N2724" s="17">
        <v>471.99999999997601</v>
      </c>
      <c r="O2724" s="16" t="s">
        <v>2309</v>
      </c>
      <c r="R2724" s="6"/>
      <c r="S2724" s="298"/>
    </row>
    <row r="2725" spans="14:19" hidden="1" x14ac:dyDescent="0.25">
      <c r="N2725" s="17">
        <v>472.09999999997501</v>
      </c>
      <c r="O2725" s="16" t="s">
        <v>2310</v>
      </c>
      <c r="R2725" s="6"/>
      <c r="S2725" s="298"/>
    </row>
    <row r="2726" spans="14:19" hidden="1" x14ac:dyDescent="0.25">
      <c r="N2726" s="17">
        <v>472.19999999997498</v>
      </c>
      <c r="O2726" s="16" t="s">
        <v>2311</v>
      </c>
      <c r="R2726" s="6"/>
      <c r="S2726" s="298"/>
    </row>
    <row r="2727" spans="14:19" hidden="1" x14ac:dyDescent="0.25">
      <c r="N2727" s="17">
        <v>472.299999999975</v>
      </c>
      <c r="O2727" s="16" t="s">
        <v>2312</v>
      </c>
      <c r="R2727" s="6"/>
      <c r="S2727" s="298"/>
    </row>
    <row r="2728" spans="14:19" hidden="1" x14ac:dyDescent="0.25">
      <c r="N2728" s="17">
        <v>472.39999999997502</v>
      </c>
      <c r="O2728" s="16" t="s">
        <v>2313</v>
      </c>
      <c r="R2728" s="6"/>
      <c r="S2728" s="298"/>
    </row>
    <row r="2729" spans="14:19" hidden="1" x14ac:dyDescent="0.25">
      <c r="N2729" s="17">
        <v>472.49999999997499</v>
      </c>
      <c r="O2729" s="16" t="s">
        <v>72</v>
      </c>
      <c r="R2729" s="6"/>
      <c r="S2729" s="298"/>
    </row>
    <row r="2730" spans="14:19" hidden="1" x14ac:dyDescent="0.25">
      <c r="N2730" s="17">
        <v>472.59999999997501</v>
      </c>
      <c r="O2730" s="16" t="s">
        <v>73</v>
      </c>
      <c r="R2730" s="6"/>
      <c r="S2730" s="298"/>
    </row>
    <row r="2731" spans="14:19" hidden="1" x14ac:dyDescent="0.25">
      <c r="N2731" s="17">
        <v>472.69999999997498</v>
      </c>
      <c r="O2731" s="16" t="s">
        <v>74</v>
      </c>
      <c r="R2731" s="6"/>
      <c r="S2731" s="298"/>
    </row>
    <row r="2732" spans="14:19" hidden="1" x14ac:dyDescent="0.25">
      <c r="N2732" s="17">
        <v>472.799999999975</v>
      </c>
      <c r="O2732" s="16" t="s">
        <v>75</v>
      </c>
      <c r="R2732" s="6"/>
      <c r="S2732" s="298"/>
    </row>
    <row r="2733" spans="14:19" hidden="1" x14ac:dyDescent="0.25">
      <c r="N2733" s="17">
        <v>472.89999999997502</v>
      </c>
      <c r="O2733" s="16" t="s">
        <v>76</v>
      </c>
      <c r="R2733" s="6"/>
      <c r="S2733" s="298"/>
    </row>
    <row r="2734" spans="14:19" hidden="1" x14ac:dyDescent="0.25">
      <c r="N2734" s="17">
        <v>472.99999999997499</v>
      </c>
      <c r="O2734" s="16" t="s">
        <v>77</v>
      </c>
      <c r="R2734" s="6"/>
      <c r="S2734" s="298"/>
    </row>
    <row r="2735" spans="14:19" hidden="1" x14ac:dyDescent="0.25">
      <c r="N2735" s="17">
        <v>473.09999999997501</v>
      </c>
      <c r="O2735" s="16" t="s">
        <v>78</v>
      </c>
      <c r="R2735" s="6"/>
      <c r="S2735" s="298"/>
    </row>
    <row r="2736" spans="14:19" hidden="1" x14ac:dyDescent="0.25">
      <c r="N2736" s="17">
        <v>473.19999999997498</v>
      </c>
      <c r="O2736" s="16" t="s">
        <v>79</v>
      </c>
      <c r="R2736" s="6"/>
      <c r="S2736" s="298"/>
    </row>
    <row r="2737" spans="14:19" hidden="1" x14ac:dyDescent="0.25">
      <c r="N2737" s="17">
        <v>473.299999999975</v>
      </c>
      <c r="O2737" s="16" t="s">
        <v>80</v>
      </c>
      <c r="R2737" s="6"/>
      <c r="S2737" s="298"/>
    </row>
    <row r="2738" spans="14:19" hidden="1" x14ac:dyDescent="0.25">
      <c r="N2738" s="17">
        <v>473.39999999997502</v>
      </c>
      <c r="O2738" s="16" t="s">
        <v>81</v>
      </c>
      <c r="R2738" s="6"/>
      <c r="S2738" s="298"/>
    </row>
    <row r="2739" spans="14:19" hidden="1" x14ac:dyDescent="0.25">
      <c r="N2739" s="17">
        <v>473.49999999997499</v>
      </c>
      <c r="O2739" s="16" t="s">
        <v>4738</v>
      </c>
      <c r="R2739" s="6"/>
      <c r="S2739" s="298"/>
    </row>
    <row r="2740" spans="14:19" hidden="1" x14ac:dyDescent="0.25">
      <c r="N2740" s="17">
        <v>473.59999999997501</v>
      </c>
      <c r="O2740" s="16" t="s">
        <v>4739</v>
      </c>
      <c r="R2740" s="6"/>
      <c r="S2740" s="298"/>
    </row>
    <row r="2741" spans="14:19" hidden="1" x14ac:dyDescent="0.25">
      <c r="N2741" s="17">
        <v>473.69999999997498</v>
      </c>
      <c r="O2741" s="16" t="s">
        <v>4740</v>
      </c>
      <c r="R2741" s="6"/>
      <c r="S2741" s="298"/>
    </row>
    <row r="2742" spans="14:19" hidden="1" x14ac:dyDescent="0.25">
      <c r="N2742" s="17">
        <v>473.799999999975</v>
      </c>
      <c r="O2742" s="16" t="s">
        <v>4741</v>
      </c>
      <c r="R2742" s="6"/>
      <c r="S2742" s="298"/>
    </row>
    <row r="2743" spans="14:19" hidden="1" x14ac:dyDescent="0.25">
      <c r="N2743" s="17">
        <v>473.89999999997502</v>
      </c>
      <c r="O2743" s="16" t="s">
        <v>4742</v>
      </c>
      <c r="R2743" s="6"/>
      <c r="S2743" s="298"/>
    </row>
    <row r="2744" spans="14:19" hidden="1" x14ac:dyDescent="0.25">
      <c r="N2744" s="17">
        <v>473.99999999997499</v>
      </c>
      <c r="O2744" s="16" t="s">
        <v>4743</v>
      </c>
      <c r="R2744" s="6"/>
      <c r="S2744" s="298"/>
    </row>
    <row r="2745" spans="14:19" hidden="1" x14ac:dyDescent="0.25">
      <c r="N2745" s="17">
        <v>474.09999999997501</v>
      </c>
      <c r="O2745" s="16" t="s">
        <v>4744</v>
      </c>
      <c r="R2745" s="6"/>
      <c r="S2745" s="298"/>
    </row>
    <row r="2746" spans="14:19" hidden="1" x14ac:dyDescent="0.25">
      <c r="N2746" s="17">
        <v>474.19999999997498</v>
      </c>
      <c r="O2746" s="16" t="s">
        <v>4745</v>
      </c>
      <c r="R2746" s="6"/>
      <c r="S2746" s="298"/>
    </row>
    <row r="2747" spans="14:19" hidden="1" x14ac:dyDescent="0.25">
      <c r="N2747" s="17">
        <v>474.299999999975</v>
      </c>
      <c r="O2747" s="16" t="s">
        <v>4746</v>
      </c>
      <c r="R2747" s="6"/>
      <c r="S2747" s="298"/>
    </row>
    <row r="2748" spans="14:19" hidden="1" x14ac:dyDescent="0.25">
      <c r="N2748" s="17">
        <v>474.39999999997502</v>
      </c>
      <c r="O2748" s="16" t="s">
        <v>4747</v>
      </c>
      <c r="R2748" s="6"/>
      <c r="S2748" s="298"/>
    </row>
    <row r="2749" spans="14:19" hidden="1" x14ac:dyDescent="0.25">
      <c r="N2749" s="17">
        <v>474.49999999997499</v>
      </c>
      <c r="O2749" s="16" t="s">
        <v>4748</v>
      </c>
      <c r="R2749" s="6"/>
      <c r="S2749" s="298"/>
    </row>
    <row r="2750" spans="14:19" hidden="1" x14ac:dyDescent="0.25">
      <c r="N2750" s="17">
        <v>474.59999999997501</v>
      </c>
      <c r="O2750" s="16" t="s">
        <v>4749</v>
      </c>
      <c r="R2750" s="6"/>
      <c r="S2750" s="298"/>
    </row>
    <row r="2751" spans="14:19" hidden="1" x14ac:dyDescent="0.25">
      <c r="N2751" s="17">
        <v>474.69999999997498</v>
      </c>
      <c r="O2751" s="16" t="s">
        <v>4750</v>
      </c>
      <c r="R2751" s="6"/>
      <c r="S2751" s="298"/>
    </row>
    <row r="2752" spans="14:19" hidden="1" x14ac:dyDescent="0.25">
      <c r="N2752" s="17">
        <v>474.79999999997398</v>
      </c>
      <c r="O2752" s="16" t="s">
        <v>2614</v>
      </c>
      <c r="R2752" s="6"/>
      <c r="S2752" s="298"/>
    </row>
    <row r="2753" spans="14:19" hidden="1" x14ac:dyDescent="0.25">
      <c r="N2753" s="17">
        <v>474.89999999997502</v>
      </c>
      <c r="O2753" s="16" t="s">
        <v>2615</v>
      </c>
      <c r="R2753" s="6"/>
      <c r="S2753" s="298"/>
    </row>
    <row r="2754" spans="14:19" hidden="1" x14ac:dyDescent="0.25">
      <c r="N2754" s="17">
        <v>474.99999999997499</v>
      </c>
      <c r="O2754" s="16" t="s">
        <v>2616</v>
      </c>
      <c r="R2754" s="6"/>
      <c r="S2754" s="298"/>
    </row>
    <row r="2755" spans="14:19" hidden="1" x14ac:dyDescent="0.25">
      <c r="N2755" s="17">
        <v>475.09999999997399</v>
      </c>
      <c r="O2755" s="16" t="s">
        <v>2617</v>
      </c>
      <c r="R2755" s="6"/>
      <c r="S2755" s="298"/>
    </row>
    <row r="2756" spans="14:19" hidden="1" x14ac:dyDescent="0.25">
      <c r="N2756" s="17">
        <v>475.19999999997401</v>
      </c>
      <c r="O2756" s="16" t="s">
        <v>2618</v>
      </c>
      <c r="R2756" s="6"/>
      <c r="S2756" s="298"/>
    </row>
    <row r="2757" spans="14:19" hidden="1" x14ac:dyDescent="0.25">
      <c r="N2757" s="17">
        <v>475.29999999997398</v>
      </c>
      <c r="O2757" s="16" t="s">
        <v>2619</v>
      </c>
      <c r="R2757" s="6"/>
      <c r="S2757" s="298"/>
    </row>
    <row r="2758" spans="14:19" hidden="1" x14ac:dyDescent="0.25">
      <c r="N2758" s="17">
        <v>475.399999999974</v>
      </c>
      <c r="O2758" s="16" t="s">
        <v>2620</v>
      </c>
      <c r="R2758" s="6"/>
      <c r="S2758" s="298"/>
    </row>
    <row r="2759" spans="14:19" hidden="1" x14ac:dyDescent="0.25">
      <c r="N2759" s="17">
        <v>475.49999999997402</v>
      </c>
      <c r="O2759" s="16" t="s">
        <v>2621</v>
      </c>
      <c r="R2759" s="6"/>
      <c r="S2759" s="298"/>
    </row>
    <row r="2760" spans="14:19" hidden="1" x14ac:dyDescent="0.25">
      <c r="N2760" s="17">
        <v>475.59999999997399</v>
      </c>
      <c r="O2760" s="16" t="s">
        <v>2622</v>
      </c>
      <c r="R2760" s="6"/>
      <c r="S2760" s="298"/>
    </row>
    <row r="2761" spans="14:19" hidden="1" x14ac:dyDescent="0.25">
      <c r="N2761" s="17">
        <v>475.69999999997401</v>
      </c>
      <c r="O2761" s="16" t="s">
        <v>2623</v>
      </c>
      <c r="R2761" s="6"/>
      <c r="S2761" s="298"/>
    </row>
    <row r="2762" spans="14:19" hidden="1" x14ac:dyDescent="0.25">
      <c r="N2762" s="17">
        <v>475.79999999997398</v>
      </c>
      <c r="O2762" s="16" t="s">
        <v>2624</v>
      </c>
      <c r="R2762" s="6"/>
      <c r="S2762" s="298"/>
    </row>
    <row r="2763" spans="14:19" hidden="1" x14ac:dyDescent="0.25">
      <c r="N2763" s="17">
        <v>475.899999999974</v>
      </c>
      <c r="O2763" s="16" t="s">
        <v>2625</v>
      </c>
      <c r="R2763" s="6"/>
      <c r="S2763" s="298"/>
    </row>
    <row r="2764" spans="14:19" hidden="1" x14ac:dyDescent="0.25">
      <c r="N2764" s="17">
        <v>475.99999999997402</v>
      </c>
      <c r="O2764" s="16" t="s">
        <v>2626</v>
      </c>
      <c r="R2764" s="6"/>
      <c r="S2764" s="298"/>
    </row>
    <row r="2765" spans="14:19" hidden="1" x14ac:dyDescent="0.25">
      <c r="N2765" s="17">
        <v>476.09999999997399</v>
      </c>
      <c r="O2765" s="16" t="s">
        <v>2627</v>
      </c>
      <c r="R2765" s="6"/>
      <c r="S2765" s="298"/>
    </row>
    <row r="2766" spans="14:19" hidden="1" x14ac:dyDescent="0.25">
      <c r="N2766" s="17">
        <v>476.19999999997401</v>
      </c>
      <c r="O2766" s="16" t="s">
        <v>2628</v>
      </c>
      <c r="R2766" s="6"/>
      <c r="S2766" s="298"/>
    </row>
    <row r="2767" spans="14:19" hidden="1" x14ac:dyDescent="0.25">
      <c r="N2767" s="17">
        <v>476.29999999997398</v>
      </c>
      <c r="O2767" s="16" t="s">
        <v>2629</v>
      </c>
      <c r="R2767" s="6"/>
      <c r="S2767" s="298"/>
    </row>
    <row r="2768" spans="14:19" hidden="1" x14ac:dyDescent="0.25">
      <c r="N2768" s="17">
        <v>476.399999999974</v>
      </c>
      <c r="O2768" s="16" t="s">
        <v>2630</v>
      </c>
      <c r="R2768" s="6"/>
      <c r="S2768" s="298"/>
    </row>
    <row r="2769" spans="14:19" hidden="1" x14ac:dyDescent="0.25">
      <c r="N2769" s="17">
        <v>476.49999999997402</v>
      </c>
      <c r="O2769" s="16" t="s">
        <v>2631</v>
      </c>
      <c r="R2769" s="6"/>
      <c r="S2769" s="298"/>
    </row>
    <row r="2770" spans="14:19" hidden="1" x14ac:dyDescent="0.25">
      <c r="N2770" s="17">
        <v>476.59999999997399</v>
      </c>
      <c r="O2770" s="16" t="s">
        <v>2632</v>
      </c>
      <c r="R2770" s="6"/>
      <c r="S2770" s="298"/>
    </row>
    <row r="2771" spans="14:19" hidden="1" x14ac:dyDescent="0.25">
      <c r="N2771" s="17">
        <v>476.69999999997401</v>
      </c>
      <c r="O2771" s="16" t="s">
        <v>2633</v>
      </c>
      <c r="R2771" s="6"/>
      <c r="S2771" s="298"/>
    </row>
    <row r="2772" spans="14:19" hidden="1" x14ac:dyDescent="0.25">
      <c r="N2772" s="17">
        <v>476.79999999997398</v>
      </c>
      <c r="O2772" s="16" t="s">
        <v>2634</v>
      </c>
      <c r="R2772" s="6"/>
      <c r="S2772" s="298"/>
    </row>
    <row r="2773" spans="14:19" hidden="1" x14ac:dyDescent="0.25">
      <c r="N2773" s="17">
        <v>476.899999999974</v>
      </c>
      <c r="O2773" s="16" t="s">
        <v>2635</v>
      </c>
      <c r="R2773" s="6"/>
      <c r="S2773" s="298"/>
    </row>
    <row r="2774" spans="14:19" hidden="1" x14ac:dyDescent="0.25">
      <c r="N2774" s="17">
        <v>476.99999999997402</v>
      </c>
      <c r="O2774" s="16" t="s">
        <v>2636</v>
      </c>
      <c r="R2774" s="6"/>
      <c r="S2774" s="298"/>
    </row>
    <row r="2775" spans="14:19" hidden="1" x14ac:dyDescent="0.25">
      <c r="N2775" s="17">
        <v>477.09999999997399</v>
      </c>
      <c r="O2775" s="16" t="s">
        <v>2637</v>
      </c>
      <c r="R2775" s="6"/>
      <c r="S2775" s="298"/>
    </row>
    <row r="2776" spans="14:19" hidden="1" x14ac:dyDescent="0.25">
      <c r="N2776" s="17">
        <v>477.19999999997401</v>
      </c>
      <c r="O2776" s="16" t="s">
        <v>2638</v>
      </c>
      <c r="R2776" s="6"/>
      <c r="S2776" s="298"/>
    </row>
    <row r="2777" spans="14:19" hidden="1" x14ac:dyDescent="0.25">
      <c r="N2777" s="17">
        <v>477.29999999997398</v>
      </c>
      <c r="O2777" s="16" t="s">
        <v>2639</v>
      </c>
      <c r="R2777" s="6"/>
      <c r="S2777" s="298"/>
    </row>
    <row r="2778" spans="14:19" hidden="1" x14ac:dyDescent="0.25">
      <c r="N2778" s="17">
        <v>477.399999999974</v>
      </c>
      <c r="O2778" s="16" t="s">
        <v>2640</v>
      </c>
      <c r="R2778" s="6"/>
      <c r="S2778" s="298"/>
    </row>
    <row r="2779" spans="14:19" hidden="1" x14ac:dyDescent="0.25">
      <c r="N2779" s="17">
        <v>477.49999999997402</v>
      </c>
      <c r="O2779" s="16" t="s">
        <v>2641</v>
      </c>
      <c r="R2779" s="6"/>
      <c r="S2779" s="298"/>
    </row>
    <row r="2780" spans="14:19" hidden="1" x14ac:dyDescent="0.25">
      <c r="N2780" s="17">
        <v>477.59999999997399</v>
      </c>
      <c r="O2780" s="16" t="s">
        <v>2642</v>
      </c>
      <c r="R2780" s="6"/>
      <c r="S2780" s="298"/>
    </row>
    <row r="2781" spans="14:19" hidden="1" x14ac:dyDescent="0.25">
      <c r="N2781" s="17">
        <v>477.69999999997401</v>
      </c>
      <c r="O2781" s="16" t="s">
        <v>2643</v>
      </c>
      <c r="R2781" s="6"/>
      <c r="S2781" s="298"/>
    </row>
    <row r="2782" spans="14:19" hidden="1" x14ac:dyDescent="0.25">
      <c r="N2782" s="17">
        <v>477.79999999997398</v>
      </c>
      <c r="O2782" s="16" t="s">
        <v>2644</v>
      </c>
      <c r="R2782" s="6"/>
      <c r="S2782" s="298"/>
    </row>
    <row r="2783" spans="14:19" hidden="1" x14ac:dyDescent="0.25">
      <c r="N2783" s="17">
        <v>477.89999999997298</v>
      </c>
      <c r="O2783" s="16" t="s">
        <v>2645</v>
      </c>
      <c r="R2783" s="6"/>
      <c r="S2783" s="298"/>
    </row>
    <row r="2784" spans="14:19" hidden="1" x14ac:dyDescent="0.25">
      <c r="N2784" s="17">
        <v>477.999999999973</v>
      </c>
      <c r="O2784" s="16" t="s">
        <v>2646</v>
      </c>
      <c r="R2784" s="6"/>
      <c r="S2784" s="298"/>
    </row>
    <row r="2785" spans="14:19" hidden="1" x14ac:dyDescent="0.25">
      <c r="N2785" s="17">
        <v>478.09999999997302</v>
      </c>
      <c r="O2785" s="16" t="s">
        <v>2647</v>
      </c>
      <c r="R2785" s="6"/>
      <c r="S2785" s="298"/>
    </row>
    <row r="2786" spans="14:19" hidden="1" x14ac:dyDescent="0.25">
      <c r="N2786" s="17">
        <v>478.19999999997299</v>
      </c>
      <c r="O2786" s="16" t="s">
        <v>2648</v>
      </c>
      <c r="R2786" s="6"/>
      <c r="S2786" s="298"/>
    </row>
    <row r="2787" spans="14:19" hidden="1" x14ac:dyDescent="0.25">
      <c r="N2787" s="17">
        <v>478.29999999997301</v>
      </c>
      <c r="O2787" s="16" t="s">
        <v>2649</v>
      </c>
      <c r="R2787" s="6"/>
      <c r="S2787" s="298"/>
    </row>
    <row r="2788" spans="14:19" hidden="1" x14ac:dyDescent="0.25">
      <c r="N2788" s="17">
        <v>478.39999999997298</v>
      </c>
      <c r="O2788" s="16" t="s">
        <v>2650</v>
      </c>
      <c r="R2788" s="6"/>
      <c r="S2788" s="298"/>
    </row>
    <row r="2789" spans="14:19" hidden="1" x14ac:dyDescent="0.25">
      <c r="N2789" s="17">
        <v>478.499999999973</v>
      </c>
      <c r="O2789" s="16" t="s">
        <v>2651</v>
      </c>
      <c r="R2789" s="6"/>
      <c r="S2789" s="298"/>
    </row>
    <row r="2790" spans="14:19" hidden="1" x14ac:dyDescent="0.25">
      <c r="N2790" s="17">
        <v>478.59999999997302</v>
      </c>
      <c r="O2790" s="16" t="s">
        <v>2652</v>
      </c>
      <c r="R2790" s="6"/>
      <c r="S2790" s="298"/>
    </row>
    <row r="2791" spans="14:19" hidden="1" x14ac:dyDescent="0.25">
      <c r="N2791" s="17">
        <v>478.69999999997299</v>
      </c>
      <c r="O2791" s="16" t="s">
        <v>2653</v>
      </c>
      <c r="R2791" s="6"/>
      <c r="S2791" s="298"/>
    </row>
    <row r="2792" spans="14:19" hidden="1" x14ac:dyDescent="0.25">
      <c r="N2792" s="17">
        <v>478.79999999997301</v>
      </c>
      <c r="O2792" s="16" t="s">
        <v>2654</v>
      </c>
      <c r="R2792" s="6"/>
      <c r="S2792" s="298"/>
    </row>
    <row r="2793" spans="14:19" hidden="1" x14ac:dyDescent="0.25">
      <c r="N2793" s="17">
        <v>478.89999999997298</v>
      </c>
      <c r="O2793" s="16" t="s">
        <v>2655</v>
      </c>
      <c r="R2793" s="6"/>
      <c r="S2793" s="298"/>
    </row>
    <row r="2794" spans="14:19" hidden="1" x14ac:dyDescent="0.25">
      <c r="N2794" s="17">
        <v>478.999999999973</v>
      </c>
      <c r="O2794" s="16" t="s">
        <v>414</v>
      </c>
      <c r="R2794" s="6"/>
      <c r="S2794" s="298"/>
    </row>
    <row r="2795" spans="14:19" hidden="1" x14ac:dyDescent="0.25">
      <c r="N2795" s="17">
        <v>479.09999999997302</v>
      </c>
      <c r="O2795" s="16" t="s">
        <v>415</v>
      </c>
      <c r="R2795" s="6"/>
      <c r="S2795" s="298"/>
    </row>
    <row r="2796" spans="14:19" hidden="1" x14ac:dyDescent="0.25">
      <c r="N2796" s="17">
        <v>479.19999999997299</v>
      </c>
      <c r="O2796" s="16" t="s">
        <v>416</v>
      </c>
      <c r="R2796" s="6"/>
      <c r="S2796" s="298"/>
    </row>
    <row r="2797" spans="14:19" hidden="1" x14ac:dyDescent="0.25">
      <c r="N2797" s="17">
        <v>479.29999999997301</v>
      </c>
      <c r="O2797" s="16" t="s">
        <v>417</v>
      </c>
      <c r="R2797" s="6"/>
      <c r="S2797" s="298"/>
    </row>
    <row r="2798" spans="14:19" hidden="1" x14ac:dyDescent="0.25">
      <c r="N2798" s="17">
        <v>479.39999999997298</v>
      </c>
      <c r="O2798" s="16" t="s">
        <v>418</v>
      </c>
      <c r="R2798" s="6"/>
      <c r="S2798" s="298"/>
    </row>
    <row r="2799" spans="14:19" hidden="1" x14ac:dyDescent="0.25">
      <c r="N2799" s="17">
        <v>479.499999999973</v>
      </c>
      <c r="O2799" s="16" t="s">
        <v>419</v>
      </c>
      <c r="R2799" s="6"/>
      <c r="S2799" s="298"/>
    </row>
    <row r="2800" spans="14:19" hidden="1" x14ac:dyDescent="0.25">
      <c r="N2800" s="17">
        <v>479.59999999997302</v>
      </c>
      <c r="O2800" s="16" t="s">
        <v>420</v>
      </c>
      <c r="R2800" s="6"/>
      <c r="S2800" s="298"/>
    </row>
    <row r="2801" spans="14:19" hidden="1" x14ac:dyDescent="0.25">
      <c r="N2801" s="17">
        <v>479.69999999997299</v>
      </c>
      <c r="O2801" s="16" t="s">
        <v>421</v>
      </c>
      <c r="R2801" s="6"/>
      <c r="S2801" s="298"/>
    </row>
    <row r="2802" spans="14:19" hidden="1" x14ac:dyDescent="0.25">
      <c r="N2802" s="17">
        <v>479.79999999997301</v>
      </c>
      <c r="O2802" s="16" t="s">
        <v>422</v>
      </c>
      <c r="R2802" s="6"/>
      <c r="S2802" s="298"/>
    </row>
    <row r="2803" spans="14:19" hidden="1" x14ac:dyDescent="0.25">
      <c r="N2803" s="17">
        <v>479.89999999997298</v>
      </c>
      <c r="O2803" s="16" t="s">
        <v>423</v>
      </c>
      <c r="R2803" s="6"/>
      <c r="S2803" s="298"/>
    </row>
    <row r="2804" spans="14:19" hidden="1" x14ac:dyDescent="0.25">
      <c r="N2804" s="17">
        <v>479.999999999973</v>
      </c>
      <c r="O2804" s="16" t="s">
        <v>424</v>
      </c>
      <c r="R2804" s="6"/>
      <c r="S2804" s="298"/>
    </row>
    <row r="2805" spans="14:19" hidden="1" x14ac:dyDescent="0.25">
      <c r="N2805" s="17">
        <v>480.09999999997302</v>
      </c>
      <c r="O2805" s="16" t="s">
        <v>1182</v>
      </c>
      <c r="R2805" s="6"/>
      <c r="S2805" s="298"/>
    </row>
    <row r="2806" spans="14:19" hidden="1" x14ac:dyDescent="0.25">
      <c r="N2806" s="17">
        <v>480.19999999997299</v>
      </c>
      <c r="O2806" s="16" t="s">
        <v>1183</v>
      </c>
      <c r="R2806" s="6"/>
      <c r="S2806" s="298"/>
    </row>
    <row r="2807" spans="14:19" hidden="1" x14ac:dyDescent="0.25">
      <c r="N2807" s="17">
        <v>480.29999999997301</v>
      </c>
      <c r="O2807" s="16" t="s">
        <v>1184</v>
      </c>
      <c r="R2807" s="6"/>
      <c r="S2807" s="298"/>
    </row>
    <row r="2808" spans="14:19" hidden="1" x14ac:dyDescent="0.25">
      <c r="N2808" s="17">
        <v>480.39999999997298</v>
      </c>
      <c r="O2808" s="16" t="s">
        <v>1185</v>
      </c>
      <c r="R2808" s="6"/>
      <c r="S2808" s="298"/>
    </row>
    <row r="2809" spans="14:19" hidden="1" x14ac:dyDescent="0.25">
      <c r="N2809" s="17">
        <v>480.499999999973</v>
      </c>
      <c r="O2809" s="16" t="s">
        <v>0</v>
      </c>
      <c r="R2809" s="6"/>
      <c r="S2809" s="298"/>
    </row>
    <row r="2810" spans="14:19" hidden="1" x14ac:dyDescent="0.25">
      <c r="N2810" s="17">
        <v>480.59999999997302</v>
      </c>
      <c r="O2810" s="16" t="s">
        <v>215</v>
      </c>
      <c r="R2810" s="6"/>
      <c r="S2810" s="298"/>
    </row>
    <row r="2811" spans="14:19" hidden="1" x14ac:dyDescent="0.25">
      <c r="N2811" s="17">
        <v>480.69999999997299</v>
      </c>
      <c r="O2811" s="16" t="s">
        <v>216</v>
      </c>
      <c r="R2811" s="6"/>
      <c r="S2811" s="298"/>
    </row>
    <row r="2812" spans="14:19" hidden="1" x14ac:dyDescent="0.25">
      <c r="N2812" s="17">
        <v>480.79999999997301</v>
      </c>
      <c r="O2812" s="16" t="s">
        <v>431</v>
      </c>
      <c r="R2812" s="6"/>
      <c r="S2812" s="298"/>
    </row>
    <row r="2813" spans="14:19" hidden="1" x14ac:dyDescent="0.25">
      <c r="N2813" s="17">
        <v>480.89999999997201</v>
      </c>
      <c r="O2813" s="16" t="s">
        <v>432</v>
      </c>
      <c r="R2813" s="6"/>
      <c r="S2813" s="298"/>
    </row>
    <row r="2814" spans="14:19" hidden="1" x14ac:dyDescent="0.25">
      <c r="N2814" s="17">
        <v>480.99999999997198</v>
      </c>
      <c r="O2814" s="16" t="s">
        <v>433</v>
      </c>
      <c r="R2814" s="6"/>
      <c r="S2814" s="298"/>
    </row>
    <row r="2815" spans="14:19" hidden="1" x14ac:dyDescent="0.25">
      <c r="N2815" s="17">
        <v>481.099999999972</v>
      </c>
      <c r="O2815" s="16" t="s">
        <v>434</v>
      </c>
      <c r="R2815" s="6"/>
      <c r="S2815" s="298"/>
    </row>
    <row r="2816" spans="14:19" hidden="1" x14ac:dyDescent="0.25">
      <c r="N2816" s="17">
        <v>481.19999999997202</v>
      </c>
      <c r="O2816" s="16" t="s">
        <v>435</v>
      </c>
      <c r="R2816" s="6"/>
      <c r="S2816" s="298"/>
    </row>
    <row r="2817" spans="14:19" hidden="1" x14ac:dyDescent="0.25">
      <c r="N2817" s="17">
        <v>481.29999999997199</v>
      </c>
      <c r="O2817" s="16" t="s">
        <v>436</v>
      </c>
      <c r="R2817" s="6"/>
      <c r="S2817" s="298"/>
    </row>
    <row r="2818" spans="14:19" hidden="1" x14ac:dyDescent="0.25">
      <c r="N2818" s="17">
        <v>481.39999999997201</v>
      </c>
      <c r="O2818" s="16" t="s">
        <v>437</v>
      </c>
      <c r="R2818" s="6"/>
      <c r="S2818" s="298"/>
    </row>
    <row r="2819" spans="14:19" hidden="1" x14ac:dyDescent="0.25">
      <c r="N2819" s="17">
        <v>481.49999999997198</v>
      </c>
      <c r="O2819" s="16" t="s">
        <v>4824</v>
      </c>
      <c r="R2819" s="6"/>
      <c r="S2819" s="298"/>
    </row>
    <row r="2820" spans="14:19" hidden="1" x14ac:dyDescent="0.25">
      <c r="N2820" s="17">
        <v>481.599999999972</v>
      </c>
      <c r="O2820" s="16" t="s">
        <v>4825</v>
      </c>
      <c r="R2820" s="6"/>
      <c r="S2820" s="298"/>
    </row>
    <row r="2821" spans="14:19" hidden="1" x14ac:dyDescent="0.25">
      <c r="N2821" s="17">
        <v>481.69999999997202</v>
      </c>
      <c r="O2821" s="16" t="s">
        <v>4826</v>
      </c>
      <c r="R2821" s="6"/>
      <c r="S2821" s="298"/>
    </row>
    <row r="2822" spans="14:19" hidden="1" x14ac:dyDescent="0.25">
      <c r="N2822" s="17">
        <v>481.79999999997199</v>
      </c>
      <c r="O2822" s="16" t="s">
        <v>4827</v>
      </c>
      <c r="R2822" s="6"/>
      <c r="S2822" s="298"/>
    </row>
    <row r="2823" spans="14:19" hidden="1" x14ac:dyDescent="0.25">
      <c r="N2823" s="17">
        <v>481.89999999997201</v>
      </c>
      <c r="O2823" s="16" t="s">
        <v>4828</v>
      </c>
      <c r="R2823" s="6"/>
      <c r="S2823" s="298"/>
    </row>
    <row r="2824" spans="14:19" hidden="1" x14ac:dyDescent="0.25">
      <c r="N2824" s="17">
        <v>481.99999999997198</v>
      </c>
      <c r="O2824" s="16" t="s">
        <v>4829</v>
      </c>
      <c r="R2824" s="6"/>
      <c r="S2824" s="298"/>
    </row>
    <row r="2825" spans="14:19" hidden="1" x14ac:dyDescent="0.25">
      <c r="N2825" s="17">
        <v>482.099999999972</v>
      </c>
      <c r="O2825" s="16" t="s">
        <v>4830</v>
      </c>
      <c r="R2825" s="6"/>
      <c r="S2825" s="298"/>
    </row>
    <row r="2826" spans="14:19" hidden="1" x14ac:dyDescent="0.25">
      <c r="N2826" s="17">
        <v>482.19999999997202</v>
      </c>
      <c r="O2826" s="16" t="s">
        <v>4831</v>
      </c>
      <c r="R2826" s="6"/>
      <c r="S2826" s="298"/>
    </row>
    <row r="2827" spans="14:19" hidden="1" x14ac:dyDescent="0.25">
      <c r="N2827" s="17">
        <v>482.29999999997199</v>
      </c>
      <c r="O2827" s="16" t="s">
        <v>4832</v>
      </c>
      <c r="R2827" s="6"/>
      <c r="S2827" s="298"/>
    </row>
    <row r="2828" spans="14:19" hidden="1" x14ac:dyDescent="0.25">
      <c r="N2828" s="17">
        <v>482.39999999997201</v>
      </c>
      <c r="O2828" s="16" t="s">
        <v>4833</v>
      </c>
      <c r="R2828" s="6"/>
      <c r="S2828" s="298"/>
    </row>
    <row r="2829" spans="14:19" hidden="1" x14ac:dyDescent="0.25">
      <c r="N2829" s="17">
        <v>482.49999999997198</v>
      </c>
      <c r="O2829" s="16" t="s">
        <v>4834</v>
      </c>
      <c r="R2829" s="6"/>
      <c r="S2829" s="298"/>
    </row>
    <row r="2830" spans="14:19" hidden="1" x14ac:dyDescent="0.25">
      <c r="N2830" s="17">
        <v>482.599999999972</v>
      </c>
      <c r="O2830" s="16" t="s">
        <v>4835</v>
      </c>
      <c r="R2830" s="6"/>
      <c r="S2830" s="298"/>
    </row>
    <row r="2831" spans="14:19" hidden="1" x14ac:dyDescent="0.25">
      <c r="N2831" s="17">
        <v>482.69999999997202</v>
      </c>
      <c r="O2831" s="16" t="s">
        <v>4836</v>
      </c>
      <c r="R2831" s="6"/>
      <c r="S2831" s="298"/>
    </row>
    <row r="2832" spans="14:19" hidden="1" x14ac:dyDescent="0.25">
      <c r="N2832" s="17">
        <v>482.79999999997199</v>
      </c>
      <c r="O2832" s="16" t="s">
        <v>4837</v>
      </c>
      <c r="R2832" s="6"/>
      <c r="S2832" s="298"/>
    </row>
    <row r="2833" spans="14:19" hidden="1" x14ac:dyDescent="0.25">
      <c r="N2833" s="17">
        <v>482.89999999997201</v>
      </c>
      <c r="O2833" s="16" t="s">
        <v>4838</v>
      </c>
      <c r="R2833" s="6"/>
      <c r="S2833" s="298"/>
    </row>
    <row r="2834" spans="14:19" hidden="1" x14ac:dyDescent="0.25">
      <c r="N2834" s="17">
        <v>482.99999999997198</v>
      </c>
      <c r="O2834" s="16" t="s">
        <v>4839</v>
      </c>
      <c r="R2834" s="6"/>
      <c r="S2834" s="298"/>
    </row>
    <row r="2835" spans="14:19" hidden="1" x14ac:dyDescent="0.25">
      <c r="N2835" s="17">
        <v>483.099999999972</v>
      </c>
      <c r="O2835" s="16" t="s">
        <v>4840</v>
      </c>
      <c r="R2835" s="6"/>
      <c r="S2835" s="298"/>
    </row>
    <row r="2836" spans="14:19" hidden="1" x14ac:dyDescent="0.25">
      <c r="N2836" s="17">
        <v>483.19999999997202</v>
      </c>
      <c r="O2836" s="16" t="s">
        <v>4841</v>
      </c>
      <c r="R2836" s="6"/>
      <c r="S2836" s="298"/>
    </row>
    <row r="2837" spans="14:19" hidden="1" x14ac:dyDescent="0.25">
      <c r="N2837" s="17">
        <v>483.29999999997199</v>
      </c>
      <c r="O2837" s="16" t="s">
        <v>4842</v>
      </c>
      <c r="R2837" s="6"/>
      <c r="S2837" s="298"/>
    </row>
    <row r="2838" spans="14:19" hidden="1" x14ac:dyDescent="0.25">
      <c r="N2838" s="17">
        <v>483.39999999997201</v>
      </c>
      <c r="O2838" s="16" t="s">
        <v>4843</v>
      </c>
      <c r="R2838" s="6"/>
      <c r="S2838" s="298"/>
    </row>
    <row r="2839" spans="14:19" hidden="1" x14ac:dyDescent="0.25">
      <c r="N2839" s="17">
        <v>483.49999999997198</v>
      </c>
      <c r="O2839" s="16" t="s">
        <v>4844</v>
      </c>
      <c r="R2839" s="6"/>
      <c r="S2839" s="298"/>
    </row>
    <row r="2840" spans="14:19" hidden="1" x14ac:dyDescent="0.25">
      <c r="N2840" s="17">
        <v>483.59999999997098</v>
      </c>
      <c r="O2840" s="16" t="s">
        <v>4845</v>
      </c>
      <c r="R2840" s="6"/>
      <c r="S2840" s="298"/>
    </row>
    <row r="2841" spans="14:19" hidden="1" x14ac:dyDescent="0.25">
      <c r="N2841" s="17">
        <v>483.69999999997202</v>
      </c>
      <c r="O2841" s="16" t="s">
        <v>4846</v>
      </c>
      <c r="R2841" s="6"/>
      <c r="S2841" s="298"/>
    </row>
    <row r="2842" spans="14:19" hidden="1" x14ac:dyDescent="0.25">
      <c r="N2842" s="17">
        <v>483.79999999997199</v>
      </c>
      <c r="O2842" s="16" t="s">
        <v>6933</v>
      </c>
      <c r="R2842" s="6"/>
      <c r="S2842" s="298"/>
    </row>
    <row r="2843" spans="14:19" hidden="1" x14ac:dyDescent="0.25">
      <c r="N2843" s="17">
        <v>483.89999999997099</v>
      </c>
      <c r="O2843" s="16" t="s">
        <v>6934</v>
      </c>
      <c r="R2843" s="6"/>
      <c r="S2843" s="298"/>
    </row>
    <row r="2844" spans="14:19" hidden="1" x14ac:dyDescent="0.25">
      <c r="N2844" s="17">
        <v>483.99999999997101</v>
      </c>
      <c r="O2844" s="16" t="s">
        <v>6935</v>
      </c>
      <c r="R2844" s="6"/>
      <c r="S2844" s="298"/>
    </row>
    <row r="2845" spans="14:19" hidden="1" x14ac:dyDescent="0.25">
      <c r="N2845" s="17">
        <v>484.09999999997098</v>
      </c>
      <c r="O2845" s="16" t="s">
        <v>6936</v>
      </c>
      <c r="R2845" s="6"/>
      <c r="S2845" s="298"/>
    </row>
    <row r="2846" spans="14:19" hidden="1" x14ac:dyDescent="0.25">
      <c r="N2846" s="17">
        <v>484.199999999971</v>
      </c>
      <c r="O2846" s="16" t="s">
        <v>6937</v>
      </c>
      <c r="R2846" s="6"/>
      <c r="S2846" s="298"/>
    </row>
    <row r="2847" spans="14:19" hidden="1" x14ac:dyDescent="0.25">
      <c r="N2847" s="17">
        <v>484.29999999997102</v>
      </c>
      <c r="O2847" s="16" t="s">
        <v>4847</v>
      </c>
      <c r="R2847" s="6"/>
      <c r="S2847" s="298"/>
    </row>
    <row r="2848" spans="14:19" hidden="1" x14ac:dyDescent="0.25">
      <c r="N2848" s="17">
        <v>484.39999999997099</v>
      </c>
      <c r="O2848" s="16" t="s">
        <v>4848</v>
      </c>
      <c r="R2848" s="6"/>
      <c r="S2848" s="298"/>
    </row>
    <row r="2849" spans="14:19" hidden="1" x14ac:dyDescent="0.25">
      <c r="N2849" s="17">
        <v>484.49999999997101</v>
      </c>
      <c r="O2849" s="16" t="s">
        <v>4849</v>
      </c>
      <c r="R2849" s="6"/>
      <c r="S2849" s="298"/>
    </row>
    <row r="2850" spans="14:19" hidden="1" x14ac:dyDescent="0.25">
      <c r="N2850" s="17">
        <v>484.59999999997098</v>
      </c>
      <c r="O2850" s="16" t="s">
        <v>4850</v>
      </c>
      <c r="R2850" s="6"/>
      <c r="S2850" s="298"/>
    </row>
    <row r="2851" spans="14:19" hidden="1" x14ac:dyDescent="0.25">
      <c r="N2851" s="17">
        <v>484.699999999971</v>
      </c>
      <c r="O2851" s="16" t="s">
        <v>4851</v>
      </c>
      <c r="R2851" s="6"/>
      <c r="S2851" s="298"/>
    </row>
    <row r="2852" spans="14:19" hidden="1" x14ac:dyDescent="0.25">
      <c r="N2852" s="17">
        <v>484.79999999997102</v>
      </c>
      <c r="O2852" s="16" t="s">
        <v>4852</v>
      </c>
      <c r="R2852" s="6"/>
      <c r="S2852" s="298"/>
    </row>
    <row r="2853" spans="14:19" hidden="1" x14ac:dyDescent="0.25">
      <c r="N2853" s="17">
        <v>484.89999999997099</v>
      </c>
      <c r="O2853" s="16" t="s">
        <v>4853</v>
      </c>
      <c r="R2853" s="6"/>
      <c r="S2853" s="298"/>
    </row>
    <row r="2854" spans="14:19" hidden="1" x14ac:dyDescent="0.25">
      <c r="N2854" s="17">
        <v>484.99999999997101</v>
      </c>
      <c r="O2854" s="16" t="s">
        <v>4854</v>
      </c>
      <c r="R2854" s="6"/>
      <c r="S2854" s="298"/>
    </row>
    <row r="2855" spans="14:19" hidden="1" x14ac:dyDescent="0.25">
      <c r="N2855" s="17">
        <v>485.09999999997098</v>
      </c>
      <c r="O2855" s="16" t="s">
        <v>4855</v>
      </c>
      <c r="R2855" s="6"/>
      <c r="S2855" s="298"/>
    </row>
    <row r="2856" spans="14:19" hidden="1" x14ac:dyDescent="0.25">
      <c r="N2856" s="17">
        <v>485.199999999971</v>
      </c>
      <c r="O2856" s="16" t="s">
        <v>4856</v>
      </c>
      <c r="R2856" s="6"/>
      <c r="S2856" s="298"/>
    </row>
    <row r="2857" spans="14:19" hidden="1" x14ac:dyDescent="0.25">
      <c r="N2857" s="17">
        <v>485.29999999997102</v>
      </c>
      <c r="O2857" s="16" t="s">
        <v>2718</v>
      </c>
      <c r="R2857" s="6"/>
      <c r="S2857" s="298"/>
    </row>
    <row r="2858" spans="14:19" hidden="1" x14ac:dyDescent="0.25">
      <c r="N2858" s="17">
        <v>485.39999999997099</v>
      </c>
      <c r="O2858" s="16" t="s">
        <v>2719</v>
      </c>
      <c r="R2858" s="6"/>
      <c r="S2858" s="298"/>
    </row>
    <row r="2859" spans="14:19" hidden="1" x14ac:dyDescent="0.25">
      <c r="N2859" s="17">
        <v>485.49999999997101</v>
      </c>
      <c r="O2859" s="16" t="s">
        <v>2720</v>
      </c>
      <c r="R2859" s="6"/>
      <c r="S2859" s="298"/>
    </row>
    <row r="2860" spans="14:19" hidden="1" x14ac:dyDescent="0.25">
      <c r="N2860" s="17">
        <v>485.59999999997098</v>
      </c>
      <c r="O2860" s="16" t="s">
        <v>2701</v>
      </c>
      <c r="R2860" s="6"/>
      <c r="S2860" s="298"/>
    </row>
    <row r="2861" spans="14:19" hidden="1" x14ac:dyDescent="0.25">
      <c r="N2861" s="17">
        <v>485.699999999971</v>
      </c>
      <c r="O2861" s="16" t="s">
        <v>2702</v>
      </c>
      <c r="R2861" s="6"/>
      <c r="S2861" s="298"/>
    </row>
    <row r="2862" spans="14:19" hidden="1" x14ac:dyDescent="0.25">
      <c r="N2862" s="17">
        <v>485.79999999997102</v>
      </c>
      <c r="O2862" s="16" t="s">
        <v>2703</v>
      </c>
      <c r="R2862" s="6"/>
      <c r="S2862" s="298"/>
    </row>
    <row r="2863" spans="14:19" hidden="1" x14ac:dyDescent="0.25">
      <c r="N2863" s="17">
        <v>485.89999999997099</v>
      </c>
      <c r="O2863" s="16" t="s">
        <v>2704</v>
      </c>
      <c r="R2863" s="6"/>
      <c r="S2863" s="298"/>
    </row>
    <row r="2864" spans="14:19" hidden="1" x14ac:dyDescent="0.25">
      <c r="N2864" s="17">
        <v>485.99999999997101</v>
      </c>
      <c r="O2864" s="16" t="s">
        <v>2705</v>
      </c>
      <c r="R2864" s="6"/>
      <c r="S2864" s="298"/>
    </row>
    <row r="2865" spans="14:19" hidden="1" x14ac:dyDescent="0.25">
      <c r="N2865" s="17">
        <v>486.09999999997098</v>
      </c>
      <c r="O2865" s="16" t="s">
        <v>4855</v>
      </c>
      <c r="R2865" s="6"/>
      <c r="S2865" s="298"/>
    </row>
    <row r="2866" spans="14:19" hidden="1" x14ac:dyDescent="0.25">
      <c r="N2866" s="17">
        <v>486.199999999971</v>
      </c>
      <c r="O2866" s="16" t="s">
        <v>4856</v>
      </c>
      <c r="R2866" s="6"/>
      <c r="S2866" s="298"/>
    </row>
    <row r="2867" spans="14:19" hidden="1" x14ac:dyDescent="0.25">
      <c r="N2867" s="17">
        <v>486.29999999997102</v>
      </c>
      <c r="O2867" s="16" t="s">
        <v>2718</v>
      </c>
      <c r="R2867" s="6"/>
      <c r="S2867" s="298"/>
    </row>
    <row r="2868" spans="14:19" hidden="1" x14ac:dyDescent="0.25">
      <c r="N2868" s="17">
        <v>486.39999999997099</v>
      </c>
      <c r="O2868" s="16" t="s">
        <v>2719</v>
      </c>
      <c r="R2868" s="6"/>
      <c r="S2868" s="298"/>
    </row>
    <row r="2869" spans="14:19" hidden="1" x14ac:dyDescent="0.25">
      <c r="N2869" s="17">
        <v>486.49999999997101</v>
      </c>
      <c r="O2869" s="16" t="s">
        <v>2720</v>
      </c>
      <c r="R2869" s="6"/>
      <c r="S2869" s="298"/>
    </row>
    <row r="2870" spans="14:19" hidden="1" x14ac:dyDescent="0.25">
      <c r="N2870" s="17">
        <v>486.59999999997098</v>
      </c>
      <c r="O2870" s="16" t="s">
        <v>2701</v>
      </c>
      <c r="R2870" s="6"/>
      <c r="S2870" s="298"/>
    </row>
    <row r="2871" spans="14:19" hidden="1" x14ac:dyDescent="0.25">
      <c r="N2871" s="17">
        <v>486.699999999971</v>
      </c>
      <c r="O2871" s="16" t="s">
        <v>2702</v>
      </c>
      <c r="R2871" s="6"/>
      <c r="S2871" s="298"/>
    </row>
    <row r="2872" spans="14:19" hidden="1" x14ac:dyDescent="0.25">
      <c r="N2872" s="17">
        <v>486.79999999997</v>
      </c>
      <c r="O2872" s="16" t="s">
        <v>2703</v>
      </c>
      <c r="R2872" s="6"/>
      <c r="S2872" s="298"/>
    </row>
    <row r="2873" spans="14:19" hidden="1" x14ac:dyDescent="0.25">
      <c r="N2873" s="17">
        <v>486.89999999997002</v>
      </c>
      <c r="O2873" s="16" t="s">
        <v>2704</v>
      </c>
      <c r="R2873" s="6"/>
      <c r="S2873" s="298"/>
    </row>
    <row r="2874" spans="14:19" hidden="1" x14ac:dyDescent="0.25">
      <c r="N2874" s="17">
        <v>486.99999999996999</v>
      </c>
      <c r="O2874" s="16" t="s">
        <v>2706</v>
      </c>
      <c r="R2874" s="6"/>
      <c r="S2874" s="298"/>
    </row>
    <row r="2875" spans="14:19" hidden="1" x14ac:dyDescent="0.25">
      <c r="N2875" s="17">
        <v>487.09999999997001</v>
      </c>
      <c r="O2875" s="16" t="s">
        <v>2707</v>
      </c>
      <c r="R2875" s="6"/>
      <c r="S2875" s="298"/>
    </row>
    <row r="2876" spans="14:19" hidden="1" x14ac:dyDescent="0.25">
      <c r="N2876" s="17">
        <v>487.19999999996998</v>
      </c>
      <c r="O2876" s="16" t="s">
        <v>2708</v>
      </c>
      <c r="R2876" s="6"/>
      <c r="S2876" s="298"/>
    </row>
    <row r="2877" spans="14:19" hidden="1" x14ac:dyDescent="0.25">
      <c r="N2877" s="17">
        <v>487.29999999997</v>
      </c>
      <c r="O2877" s="16" t="s">
        <v>2709</v>
      </c>
      <c r="R2877" s="6"/>
      <c r="S2877" s="298"/>
    </row>
    <row r="2878" spans="14:19" hidden="1" x14ac:dyDescent="0.25">
      <c r="N2878" s="17">
        <v>487.39999999997002</v>
      </c>
      <c r="O2878" s="16" t="s">
        <v>2710</v>
      </c>
      <c r="R2878" s="6"/>
      <c r="S2878" s="298"/>
    </row>
    <row r="2879" spans="14:19" hidden="1" x14ac:dyDescent="0.25">
      <c r="N2879" s="17">
        <v>487.49999999996999</v>
      </c>
      <c r="O2879" s="16" t="s">
        <v>2711</v>
      </c>
      <c r="R2879" s="6"/>
      <c r="S2879" s="298"/>
    </row>
    <row r="2880" spans="14:19" hidden="1" x14ac:dyDescent="0.25">
      <c r="N2880" s="17">
        <v>487.59999999997001</v>
      </c>
      <c r="O2880" s="16" t="s">
        <v>2712</v>
      </c>
      <c r="R2880" s="6"/>
      <c r="S2880" s="298"/>
    </row>
    <row r="2881" spans="14:19" hidden="1" x14ac:dyDescent="0.25">
      <c r="N2881" s="17">
        <v>487.69999999996998</v>
      </c>
      <c r="O2881" s="16" t="s">
        <v>2713</v>
      </c>
      <c r="R2881" s="6"/>
      <c r="S2881" s="298"/>
    </row>
    <row r="2882" spans="14:19" hidden="1" x14ac:dyDescent="0.25">
      <c r="N2882" s="17">
        <v>487.79999999997</v>
      </c>
      <c r="O2882" s="16" t="s">
        <v>2714</v>
      </c>
      <c r="R2882" s="6"/>
      <c r="S2882" s="298"/>
    </row>
    <row r="2883" spans="14:19" hidden="1" x14ac:dyDescent="0.25">
      <c r="N2883" s="17">
        <v>487.89999999997002</v>
      </c>
      <c r="O2883" s="16" t="s">
        <v>2715</v>
      </c>
      <c r="R2883" s="6"/>
      <c r="S2883" s="298"/>
    </row>
    <row r="2884" spans="14:19" hidden="1" x14ac:dyDescent="0.25">
      <c r="N2884" s="17">
        <v>487.99999999996999</v>
      </c>
      <c r="O2884" s="16" t="s">
        <v>2716</v>
      </c>
      <c r="R2884" s="6"/>
      <c r="S2884" s="298"/>
    </row>
    <row r="2885" spans="14:19" hidden="1" x14ac:dyDescent="0.25">
      <c r="N2885" s="17">
        <v>488.09999999997001</v>
      </c>
      <c r="O2885" s="16" t="s">
        <v>2717</v>
      </c>
      <c r="R2885" s="6"/>
      <c r="S2885" s="298"/>
    </row>
    <row r="2886" spans="14:19" hidden="1" x14ac:dyDescent="0.25">
      <c r="N2886" s="17">
        <v>488.19999999996998</v>
      </c>
      <c r="O2886" s="16" t="s">
        <v>513</v>
      </c>
      <c r="R2886" s="6"/>
      <c r="S2886" s="298"/>
    </row>
    <row r="2887" spans="14:19" hidden="1" x14ac:dyDescent="0.25">
      <c r="N2887" s="17">
        <v>488.29999999997</v>
      </c>
      <c r="O2887" s="16" t="s">
        <v>514</v>
      </c>
      <c r="R2887" s="6"/>
      <c r="S2887" s="298"/>
    </row>
    <row r="2888" spans="14:19" hidden="1" x14ac:dyDescent="0.25">
      <c r="N2888" s="17">
        <v>488.39999999997002</v>
      </c>
      <c r="O2888" s="16" t="s">
        <v>515</v>
      </c>
      <c r="R2888" s="6"/>
      <c r="S2888" s="298"/>
    </row>
    <row r="2889" spans="14:19" hidden="1" x14ac:dyDescent="0.25">
      <c r="N2889" s="17">
        <v>488.49999999996999</v>
      </c>
      <c r="O2889" s="16" t="s">
        <v>516</v>
      </c>
      <c r="R2889" s="6"/>
      <c r="S2889" s="298"/>
    </row>
    <row r="2890" spans="14:19" hidden="1" x14ac:dyDescent="0.25">
      <c r="N2890" s="17">
        <v>488.59999999997001</v>
      </c>
      <c r="O2890" s="16" t="s">
        <v>517</v>
      </c>
      <c r="R2890" s="6"/>
      <c r="S2890" s="298"/>
    </row>
    <row r="2891" spans="14:19" hidden="1" x14ac:dyDescent="0.25">
      <c r="N2891" s="17">
        <v>488.69999999996998</v>
      </c>
      <c r="O2891" s="16" t="s">
        <v>518</v>
      </c>
      <c r="R2891" s="6"/>
      <c r="S2891" s="298"/>
    </row>
    <row r="2892" spans="14:19" hidden="1" x14ac:dyDescent="0.25">
      <c r="N2892" s="17">
        <v>488.79999999997</v>
      </c>
      <c r="O2892" s="16" t="s">
        <v>519</v>
      </c>
      <c r="R2892" s="6"/>
      <c r="S2892" s="298"/>
    </row>
    <row r="2893" spans="14:19" hidden="1" x14ac:dyDescent="0.25">
      <c r="N2893" s="17">
        <v>488.89999999997002</v>
      </c>
      <c r="O2893" s="16" t="s">
        <v>520</v>
      </c>
      <c r="R2893" s="6"/>
      <c r="S2893" s="298"/>
    </row>
    <row r="2894" spans="14:19" hidden="1" x14ac:dyDescent="0.25">
      <c r="N2894" s="17">
        <v>488.99999999996999</v>
      </c>
      <c r="O2894" s="16" t="s">
        <v>521</v>
      </c>
      <c r="R2894" s="6"/>
      <c r="S2894" s="298"/>
    </row>
    <row r="2895" spans="14:19" hidden="1" x14ac:dyDescent="0.25">
      <c r="N2895" s="17">
        <v>489.09999999997001</v>
      </c>
      <c r="O2895" s="16" t="s">
        <v>522</v>
      </c>
      <c r="R2895" s="6"/>
      <c r="S2895" s="298"/>
    </row>
    <row r="2896" spans="14:19" hidden="1" x14ac:dyDescent="0.25">
      <c r="N2896" s="17">
        <v>489.19999999996998</v>
      </c>
      <c r="O2896" s="16" t="s">
        <v>523</v>
      </c>
      <c r="R2896" s="6"/>
      <c r="S2896" s="298"/>
    </row>
    <row r="2897" spans="14:19" hidden="1" x14ac:dyDescent="0.25">
      <c r="N2897" s="17">
        <v>489.29999999997</v>
      </c>
      <c r="O2897" s="16" t="s">
        <v>524</v>
      </c>
      <c r="R2897" s="6"/>
      <c r="S2897" s="298"/>
    </row>
    <row r="2898" spans="14:19" hidden="1" x14ac:dyDescent="0.25">
      <c r="N2898" s="17">
        <v>489.39999999997002</v>
      </c>
      <c r="O2898" s="16" t="s">
        <v>525</v>
      </c>
      <c r="R2898" s="6"/>
      <c r="S2898" s="298"/>
    </row>
    <row r="2899" spans="14:19" hidden="1" x14ac:dyDescent="0.25">
      <c r="N2899" s="17">
        <v>489.49999999996999</v>
      </c>
      <c r="O2899" s="16" t="s">
        <v>526</v>
      </c>
      <c r="R2899" s="6"/>
      <c r="S2899" s="298"/>
    </row>
    <row r="2900" spans="14:19" hidden="1" x14ac:dyDescent="0.25">
      <c r="N2900" s="17">
        <v>489.59999999997001</v>
      </c>
      <c r="O2900" s="16" t="s">
        <v>527</v>
      </c>
      <c r="R2900" s="6"/>
      <c r="S2900" s="298"/>
    </row>
    <row r="2901" spans="14:19" hidden="1" x14ac:dyDescent="0.25">
      <c r="N2901" s="17">
        <v>489.69999999996901</v>
      </c>
      <c r="O2901" s="16" t="s">
        <v>528</v>
      </c>
      <c r="R2901" s="6"/>
      <c r="S2901" s="298"/>
    </row>
    <row r="2902" spans="14:19" hidden="1" x14ac:dyDescent="0.25">
      <c r="N2902" s="17">
        <v>489.79999999996897</v>
      </c>
      <c r="O2902" s="16" t="s">
        <v>529</v>
      </c>
      <c r="R2902" s="6"/>
      <c r="S2902" s="298"/>
    </row>
    <row r="2903" spans="14:19" hidden="1" x14ac:dyDescent="0.25">
      <c r="N2903" s="17">
        <v>489.899999999969</v>
      </c>
      <c r="O2903" s="16" t="s">
        <v>530</v>
      </c>
      <c r="R2903" s="6"/>
      <c r="S2903" s="298"/>
    </row>
    <row r="2904" spans="14:19" hidden="1" x14ac:dyDescent="0.25">
      <c r="N2904" s="17">
        <v>489.99999999996902</v>
      </c>
      <c r="O2904" s="16" t="s">
        <v>531</v>
      </c>
      <c r="R2904" s="6"/>
      <c r="S2904" s="298"/>
    </row>
    <row r="2905" spans="14:19" hidden="1" x14ac:dyDescent="0.25">
      <c r="N2905" s="17">
        <v>490.09999999996899</v>
      </c>
      <c r="O2905" s="16" t="s">
        <v>532</v>
      </c>
      <c r="R2905" s="6"/>
      <c r="S2905" s="298"/>
    </row>
    <row r="2906" spans="14:19" hidden="1" x14ac:dyDescent="0.25">
      <c r="N2906" s="17">
        <v>490.19999999996901</v>
      </c>
      <c r="O2906" s="16" t="s">
        <v>533</v>
      </c>
      <c r="R2906" s="6"/>
      <c r="S2906" s="298"/>
    </row>
    <row r="2907" spans="14:19" hidden="1" x14ac:dyDescent="0.25">
      <c r="N2907" s="17">
        <v>490.29999999996897</v>
      </c>
      <c r="O2907" s="16" t="s">
        <v>534</v>
      </c>
      <c r="R2907" s="6"/>
      <c r="S2907" s="298"/>
    </row>
    <row r="2908" spans="14:19" hidden="1" x14ac:dyDescent="0.25">
      <c r="N2908" s="17">
        <v>490.399999999969</v>
      </c>
      <c r="O2908" s="16" t="s">
        <v>2760</v>
      </c>
      <c r="R2908" s="6"/>
      <c r="S2908" s="298"/>
    </row>
    <row r="2909" spans="14:19" hidden="1" x14ac:dyDescent="0.25">
      <c r="N2909" s="17">
        <v>490.49999999996902</v>
      </c>
      <c r="O2909" s="16" t="s">
        <v>2761</v>
      </c>
      <c r="R2909" s="6"/>
      <c r="S2909" s="298"/>
    </row>
    <row r="2910" spans="14:19" hidden="1" x14ac:dyDescent="0.25">
      <c r="N2910" s="17">
        <v>490.59999999996899</v>
      </c>
      <c r="O2910" s="16" t="s">
        <v>2762</v>
      </c>
      <c r="R2910" s="6"/>
      <c r="S2910" s="298"/>
    </row>
    <row r="2911" spans="14:19" hidden="1" x14ac:dyDescent="0.25">
      <c r="N2911" s="17">
        <v>490.69999999996901</v>
      </c>
      <c r="O2911" s="16" t="s">
        <v>2763</v>
      </c>
      <c r="R2911" s="6"/>
      <c r="S2911" s="298"/>
    </row>
    <row r="2912" spans="14:19" hidden="1" x14ac:dyDescent="0.25">
      <c r="N2912" s="17">
        <v>490.79999999996897</v>
      </c>
      <c r="O2912" s="16" t="s">
        <v>2764</v>
      </c>
      <c r="R2912" s="6"/>
      <c r="S2912" s="298"/>
    </row>
    <row r="2913" spans="14:19" hidden="1" x14ac:dyDescent="0.25">
      <c r="N2913" s="17">
        <v>490.899999999969</v>
      </c>
      <c r="O2913" s="16" t="s">
        <v>2765</v>
      </c>
      <c r="R2913" s="6"/>
      <c r="S2913" s="298"/>
    </row>
    <row r="2914" spans="14:19" hidden="1" x14ac:dyDescent="0.25">
      <c r="N2914" s="17">
        <v>490.99999999996902</v>
      </c>
      <c r="O2914" s="16" t="s">
        <v>2766</v>
      </c>
      <c r="R2914" s="6"/>
      <c r="S2914" s="298"/>
    </row>
    <row r="2915" spans="14:19" hidden="1" x14ac:dyDescent="0.25">
      <c r="N2915" s="17">
        <v>491.09999999996899</v>
      </c>
      <c r="O2915" s="16" t="s">
        <v>2767</v>
      </c>
      <c r="R2915" s="6"/>
      <c r="S2915" s="298"/>
    </row>
    <row r="2916" spans="14:19" hidden="1" x14ac:dyDescent="0.25">
      <c r="N2916" s="17">
        <v>491.19999999996901</v>
      </c>
      <c r="O2916" s="16" t="s">
        <v>2768</v>
      </c>
      <c r="R2916" s="6"/>
      <c r="S2916" s="298"/>
    </row>
    <row r="2917" spans="14:19" hidden="1" x14ac:dyDescent="0.25">
      <c r="N2917" s="17">
        <v>491.29999999996897</v>
      </c>
      <c r="O2917" s="16" t="s">
        <v>2769</v>
      </c>
      <c r="R2917" s="6"/>
      <c r="S2917" s="298"/>
    </row>
    <row r="2918" spans="14:19" hidden="1" x14ac:dyDescent="0.25">
      <c r="N2918" s="17">
        <v>491.399999999969</v>
      </c>
      <c r="O2918" s="16" t="s">
        <v>2770</v>
      </c>
      <c r="R2918" s="6"/>
      <c r="S2918" s="298"/>
    </row>
    <row r="2919" spans="14:19" hidden="1" x14ac:dyDescent="0.25">
      <c r="N2919" s="17">
        <v>491.49999999996902</v>
      </c>
      <c r="O2919" s="16" t="s">
        <v>6991</v>
      </c>
      <c r="R2919" s="6"/>
      <c r="S2919" s="298"/>
    </row>
    <row r="2920" spans="14:19" hidden="1" x14ac:dyDescent="0.25">
      <c r="N2920" s="17">
        <v>491.59999999996899</v>
      </c>
      <c r="O2920" s="16" t="s">
        <v>6992</v>
      </c>
      <c r="R2920" s="6"/>
      <c r="S2920" s="298"/>
    </row>
    <row r="2921" spans="14:19" hidden="1" x14ac:dyDescent="0.25">
      <c r="N2921" s="17">
        <v>491.69999999996901</v>
      </c>
      <c r="O2921" s="16" t="s">
        <v>6993</v>
      </c>
      <c r="R2921" s="6"/>
      <c r="S2921" s="298"/>
    </row>
    <row r="2922" spans="14:19" hidden="1" x14ac:dyDescent="0.25">
      <c r="N2922" s="17">
        <v>491.79999999996897</v>
      </c>
      <c r="O2922" s="16" t="s">
        <v>6994</v>
      </c>
      <c r="R2922" s="6"/>
      <c r="S2922" s="298"/>
    </row>
    <row r="2923" spans="14:19" hidden="1" x14ac:dyDescent="0.25">
      <c r="N2923" s="17">
        <v>491.899999999969</v>
      </c>
      <c r="O2923" s="16" t="s">
        <v>551</v>
      </c>
      <c r="R2923" s="6"/>
      <c r="S2923" s="298"/>
    </row>
    <row r="2924" spans="14:19" hidden="1" x14ac:dyDescent="0.25">
      <c r="N2924" s="17">
        <v>491.99999999996902</v>
      </c>
      <c r="O2924" s="16" t="s">
        <v>552</v>
      </c>
      <c r="R2924" s="6"/>
      <c r="S2924" s="298"/>
    </row>
    <row r="2925" spans="14:19" hidden="1" x14ac:dyDescent="0.25">
      <c r="N2925" s="17">
        <v>492.09999999996899</v>
      </c>
      <c r="O2925" s="16" t="s">
        <v>553</v>
      </c>
      <c r="R2925" s="6"/>
      <c r="S2925" s="298"/>
    </row>
    <row r="2926" spans="14:19" hidden="1" x14ac:dyDescent="0.25">
      <c r="N2926" s="17">
        <v>492.19999999996901</v>
      </c>
      <c r="O2926" s="16" t="s">
        <v>554</v>
      </c>
      <c r="R2926" s="6"/>
      <c r="S2926" s="298"/>
    </row>
    <row r="2927" spans="14:19" hidden="1" x14ac:dyDescent="0.25">
      <c r="N2927" s="17">
        <v>492.29999999996897</v>
      </c>
      <c r="O2927" s="16" t="s">
        <v>555</v>
      </c>
      <c r="R2927" s="6"/>
      <c r="S2927" s="298"/>
    </row>
    <row r="2928" spans="14:19" hidden="1" x14ac:dyDescent="0.25">
      <c r="N2928" s="17">
        <v>492.399999999969</v>
      </c>
      <c r="O2928" s="16" t="s">
        <v>556</v>
      </c>
      <c r="R2928" s="6"/>
      <c r="S2928" s="298"/>
    </row>
    <row r="2929" spans="14:19" hidden="1" x14ac:dyDescent="0.25">
      <c r="N2929" s="17">
        <v>492.49999999996902</v>
      </c>
      <c r="O2929" s="16" t="s">
        <v>342</v>
      </c>
      <c r="R2929" s="6"/>
      <c r="S2929" s="298"/>
    </row>
    <row r="2930" spans="14:19" hidden="1" x14ac:dyDescent="0.25">
      <c r="N2930" s="17">
        <v>492.59999999996899</v>
      </c>
      <c r="O2930" s="16" t="s">
        <v>163</v>
      </c>
      <c r="R2930" s="6"/>
      <c r="S2930" s="298"/>
    </row>
    <row r="2931" spans="14:19" hidden="1" x14ac:dyDescent="0.25">
      <c r="N2931" s="17">
        <v>492.69999999996799</v>
      </c>
      <c r="O2931" s="16" t="s">
        <v>164</v>
      </c>
      <c r="R2931" s="6"/>
      <c r="S2931" s="298"/>
    </row>
    <row r="2932" spans="14:19" hidden="1" x14ac:dyDescent="0.25">
      <c r="N2932" s="17">
        <v>492.79999999996801</v>
      </c>
      <c r="O2932" s="16" t="s">
        <v>165</v>
      </c>
      <c r="R2932" s="6"/>
      <c r="S2932" s="298"/>
    </row>
    <row r="2933" spans="14:19" hidden="1" x14ac:dyDescent="0.25">
      <c r="N2933" s="17">
        <v>492.89999999996797</v>
      </c>
      <c r="O2933" s="16" t="s">
        <v>166</v>
      </c>
      <c r="R2933" s="6"/>
      <c r="S2933" s="298"/>
    </row>
    <row r="2934" spans="14:19" hidden="1" x14ac:dyDescent="0.25">
      <c r="N2934" s="17">
        <v>492.999999999968</v>
      </c>
      <c r="O2934" s="16" t="s">
        <v>167</v>
      </c>
      <c r="R2934" s="6"/>
      <c r="S2934" s="298"/>
    </row>
    <row r="2935" spans="14:19" hidden="1" x14ac:dyDescent="0.25">
      <c r="N2935" s="17">
        <v>493.09999999996802</v>
      </c>
      <c r="O2935" s="16" t="s">
        <v>168</v>
      </c>
      <c r="R2935" s="6"/>
      <c r="S2935" s="298"/>
    </row>
    <row r="2936" spans="14:19" hidden="1" x14ac:dyDescent="0.25">
      <c r="N2936" s="17">
        <v>493.19999999996799</v>
      </c>
      <c r="O2936" s="16" t="s">
        <v>169</v>
      </c>
      <c r="R2936" s="6"/>
      <c r="S2936" s="298"/>
    </row>
    <row r="2937" spans="14:19" hidden="1" x14ac:dyDescent="0.25">
      <c r="N2937" s="17">
        <v>493.29999999996801</v>
      </c>
      <c r="O2937" s="16" t="s">
        <v>170</v>
      </c>
      <c r="R2937" s="6"/>
      <c r="S2937" s="298"/>
    </row>
    <row r="2938" spans="14:19" hidden="1" x14ac:dyDescent="0.25">
      <c r="N2938" s="17">
        <v>493.39999999996797</v>
      </c>
      <c r="O2938" s="16" t="s">
        <v>171</v>
      </c>
      <c r="R2938" s="6"/>
      <c r="S2938" s="298"/>
    </row>
    <row r="2939" spans="14:19" hidden="1" x14ac:dyDescent="0.25">
      <c r="N2939" s="17">
        <v>493.499999999968</v>
      </c>
      <c r="O2939" s="16" t="s">
        <v>172</v>
      </c>
      <c r="R2939" s="6"/>
      <c r="S2939" s="298"/>
    </row>
    <row r="2940" spans="14:19" hidden="1" x14ac:dyDescent="0.25">
      <c r="N2940" s="17">
        <v>493.59999999996802</v>
      </c>
      <c r="O2940" s="16" t="s">
        <v>173</v>
      </c>
      <c r="R2940" s="6"/>
      <c r="S2940" s="298"/>
    </row>
    <row r="2941" spans="14:19" hidden="1" x14ac:dyDescent="0.25">
      <c r="N2941" s="17">
        <v>493.69999999996799</v>
      </c>
      <c r="O2941" s="16" t="s">
        <v>174</v>
      </c>
      <c r="R2941" s="6"/>
      <c r="S2941" s="298"/>
    </row>
    <row r="2942" spans="14:19" hidden="1" x14ac:dyDescent="0.25">
      <c r="N2942" s="17">
        <v>493.79999999996801</v>
      </c>
      <c r="O2942" s="16" t="s">
        <v>175</v>
      </c>
      <c r="R2942" s="6"/>
      <c r="S2942" s="298"/>
    </row>
    <row r="2943" spans="14:19" hidden="1" x14ac:dyDescent="0.25">
      <c r="N2943" s="17">
        <v>493.89999999996797</v>
      </c>
      <c r="O2943" s="16" t="s">
        <v>176</v>
      </c>
      <c r="R2943" s="6"/>
      <c r="S2943" s="298"/>
    </row>
    <row r="2944" spans="14:19" hidden="1" x14ac:dyDescent="0.25">
      <c r="N2944" s="17">
        <v>493.999999999968</v>
      </c>
      <c r="O2944" s="16" t="s">
        <v>177</v>
      </c>
      <c r="R2944" s="6"/>
      <c r="S2944" s="298"/>
    </row>
    <row r="2945" spans="14:19" hidden="1" x14ac:dyDescent="0.25">
      <c r="N2945" s="17">
        <v>494.09999999996802</v>
      </c>
      <c r="O2945" s="16" t="s">
        <v>178</v>
      </c>
      <c r="R2945" s="6"/>
      <c r="S2945" s="298"/>
    </row>
    <row r="2946" spans="14:19" hidden="1" x14ac:dyDescent="0.25">
      <c r="N2946" s="17">
        <v>494.19999999996799</v>
      </c>
      <c r="O2946" s="16" t="s">
        <v>179</v>
      </c>
      <c r="R2946" s="6"/>
      <c r="S2946" s="298"/>
    </row>
    <row r="2947" spans="14:19" hidden="1" x14ac:dyDescent="0.25">
      <c r="N2947" s="17">
        <v>494.29999999996801</v>
      </c>
      <c r="O2947" s="16" t="s">
        <v>180</v>
      </c>
      <c r="R2947" s="6"/>
      <c r="S2947" s="298"/>
    </row>
    <row r="2948" spans="14:19" hidden="1" x14ac:dyDescent="0.25">
      <c r="N2948" s="17">
        <v>494.39999999996797</v>
      </c>
      <c r="O2948" s="16" t="s">
        <v>4964</v>
      </c>
      <c r="R2948" s="6"/>
      <c r="S2948" s="298"/>
    </row>
    <row r="2949" spans="14:19" hidden="1" x14ac:dyDescent="0.25">
      <c r="N2949" s="17">
        <v>494.499999999968</v>
      </c>
      <c r="O2949" s="16" t="s">
        <v>4965</v>
      </c>
      <c r="R2949" s="6"/>
      <c r="S2949" s="298"/>
    </row>
    <row r="2950" spans="14:19" hidden="1" x14ac:dyDescent="0.25">
      <c r="N2950" s="17">
        <v>494.59999999996802</v>
      </c>
      <c r="O2950" s="16" t="s">
        <v>4966</v>
      </c>
      <c r="R2950" s="6"/>
      <c r="S2950" s="298"/>
    </row>
    <row r="2951" spans="14:19" hidden="1" x14ac:dyDescent="0.25">
      <c r="N2951" s="17">
        <v>494.69999999996799</v>
      </c>
      <c r="O2951" s="16" t="s">
        <v>4967</v>
      </c>
      <c r="R2951" s="6"/>
      <c r="S2951" s="298"/>
    </row>
    <row r="2952" spans="14:19" hidden="1" x14ac:dyDescent="0.25">
      <c r="N2952" s="17">
        <v>494.79999999996801</v>
      </c>
      <c r="O2952" s="16" t="s">
        <v>2837</v>
      </c>
      <c r="R2952" s="6"/>
      <c r="S2952" s="298"/>
    </row>
    <row r="2953" spans="14:19" hidden="1" x14ac:dyDescent="0.25">
      <c r="N2953" s="17">
        <v>494.89999999996797</v>
      </c>
      <c r="O2953" s="16" t="s">
        <v>2838</v>
      </c>
      <c r="R2953" s="6"/>
      <c r="S2953" s="298"/>
    </row>
    <row r="2954" spans="14:19" hidden="1" x14ac:dyDescent="0.25">
      <c r="N2954" s="17">
        <v>494.999999999968</v>
      </c>
      <c r="O2954" s="16" t="s">
        <v>2839</v>
      </c>
      <c r="R2954" s="6"/>
      <c r="S2954" s="298"/>
    </row>
    <row r="2955" spans="14:19" hidden="1" x14ac:dyDescent="0.25">
      <c r="N2955" s="17">
        <v>495.09999999996802</v>
      </c>
      <c r="O2955" s="16" t="s">
        <v>2840</v>
      </c>
      <c r="R2955" s="6"/>
      <c r="S2955" s="298"/>
    </row>
    <row r="2956" spans="14:19" hidden="1" x14ac:dyDescent="0.25">
      <c r="N2956" s="17">
        <v>495.19999999996799</v>
      </c>
      <c r="O2956" s="16" t="s">
        <v>2841</v>
      </c>
      <c r="R2956" s="6"/>
      <c r="S2956" s="298"/>
    </row>
    <row r="2957" spans="14:19" hidden="1" x14ac:dyDescent="0.25">
      <c r="N2957" s="17">
        <v>495.29999999996801</v>
      </c>
      <c r="O2957" s="16" t="s">
        <v>2842</v>
      </c>
      <c r="R2957" s="6"/>
      <c r="S2957" s="298"/>
    </row>
    <row r="2958" spans="14:19" hidden="1" x14ac:dyDescent="0.25">
      <c r="N2958" s="17">
        <v>495.39999999996797</v>
      </c>
      <c r="O2958" s="16" t="s">
        <v>2843</v>
      </c>
      <c r="R2958" s="6"/>
      <c r="S2958" s="298"/>
    </row>
    <row r="2959" spans="14:19" hidden="1" x14ac:dyDescent="0.25">
      <c r="N2959" s="17">
        <v>495.499999999968</v>
      </c>
      <c r="O2959" s="16" t="s">
        <v>2844</v>
      </c>
      <c r="R2959" s="6"/>
      <c r="S2959" s="298"/>
    </row>
    <row r="2960" spans="14:19" hidden="1" x14ac:dyDescent="0.25">
      <c r="N2960" s="17">
        <v>495.599999999967</v>
      </c>
      <c r="O2960" s="16" t="s">
        <v>2845</v>
      </c>
      <c r="R2960" s="6"/>
      <c r="S2960" s="298"/>
    </row>
    <row r="2961" spans="14:19" hidden="1" x14ac:dyDescent="0.25">
      <c r="N2961" s="17">
        <v>495.69999999996702</v>
      </c>
      <c r="O2961" s="16" t="s">
        <v>2846</v>
      </c>
      <c r="R2961" s="6"/>
      <c r="S2961" s="298"/>
    </row>
    <row r="2962" spans="14:19" hidden="1" x14ac:dyDescent="0.25">
      <c r="N2962" s="17">
        <v>495.79999999996699</v>
      </c>
      <c r="O2962" s="16" t="s">
        <v>2847</v>
      </c>
      <c r="R2962" s="6"/>
      <c r="S2962" s="298"/>
    </row>
    <row r="2963" spans="14:19" hidden="1" x14ac:dyDescent="0.25">
      <c r="N2963" s="17">
        <v>495.89999999996701</v>
      </c>
      <c r="O2963" s="16" t="s">
        <v>2848</v>
      </c>
      <c r="R2963" s="6"/>
      <c r="S2963" s="298"/>
    </row>
    <row r="2964" spans="14:19" hidden="1" x14ac:dyDescent="0.25">
      <c r="N2964" s="17">
        <v>495.99999999996697</v>
      </c>
      <c r="O2964" s="16" t="s">
        <v>2849</v>
      </c>
      <c r="R2964" s="6"/>
      <c r="S2964" s="298"/>
    </row>
    <row r="2965" spans="14:19" hidden="1" x14ac:dyDescent="0.25">
      <c r="N2965" s="17">
        <v>496.099999999967</v>
      </c>
      <c r="O2965" s="16" t="s">
        <v>2850</v>
      </c>
      <c r="R2965" s="6"/>
      <c r="S2965" s="298"/>
    </row>
    <row r="2966" spans="14:19" hidden="1" x14ac:dyDescent="0.25">
      <c r="N2966" s="17">
        <v>496.19999999996702</v>
      </c>
      <c r="O2966" s="16" t="s">
        <v>2851</v>
      </c>
      <c r="R2966" s="6"/>
      <c r="S2966" s="298"/>
    </row>
    <row r="2967" spans="14:19" hidden="1" x14ac:dyDescent="0.25">
      <c r="N2967" s="17">
        <v>496.29999999996699</v>
      </c>
      <c r="O2967" s="16" t="s">
        <v>2852</v>
      </c>
      <c r="R2967" s="6"/>
      <c r="S2967" s="298"/>
    </row>
    <row r="2968" spans="14:19" hidden="1" x14ac:dyDescent="0.25">
      <c r="N2968" s="17">
        <v>496.39999999996701</v>
      </c>
      <c r="O2968" s="16" t="s">
        <v>2853</v>
      </c>
      <c r="R2968" s="6"/>
      <c r="S2968" s="298"/>
    </row>
    <row r="2969" spans="14:19" hidden="1" x14ac:dyDescent="0.25">
      <c r="N2969" s="17">
        <v>496.49999999996697</v>
      </c>
      <c r="O2969" s="16" t="s">
        <v>2854</v>
      </c>
      <c r="R2969" s="6"/>
      <c r="S2969" s="298"/>
    </row>
    <row r="2970" spans="14:19" hidden="1" x14ac:dyDescent="0.25">
      <c r="N2970" s="17">
        <v>496.599999999967</v>
      </c>
      <c r="O2970" s="16" t="s">
        <v>2855</v>
      </c>
      <c r="R2970" s="6"/>
      <c r="S2970" s="298"/>
    </row>
    <row r="2971" spans="14:19" hidden="1" x14ac:dyDescent="0.25">
      <c r="N2971" s="17">
        <v>496.69999999996702</v>
      </c>
      <c r="O2971" s="16" t="s">
        <v>2856</v>
      </c>
      <c r="R2971" s="6"/>
      <c r="S2971" s="298"/>
    </row>
    <row r="2972" spans="14:19" hidden="1" x14ac:dyDescent="0.25">
      <c r="N2972" s="17">
        <v>496.79999999996699</v>
      </c>
      <c r="O2972" s="16" t="s">
        <v>2857</v>
      </c>
      <c r="R2972" s="6"/>
      <c r="S2972" s="298"/>
    </row>
    <row r="2973" spans="14:19" hidden="1" x14ac:dyDescent="0.25">
      <c r="N2973" s="17">
        <v>496.89999999996701</v>
      </c>
      <c r="O2973" s="16" t="s">
        <v>2858</v>
      </c>
      <c r="R2973" s="6"/>
      <c r="S2973" s="298"/>
    </row>
    <row r="2974" spans="14:19" hidden="1" x14ac:dyDescent="0.25">
      <c r="N2974" s="17">
        <v>496.99999999996697</v>
      </c>
      <c r="O2974" s="16" t="s">
        <v>2859</v>
      </c>
      <c r="R2974" s="6"/>
      <c r="S2974" s="298"/>
    </row>
    <row r="2975" spans="14:19" hidden="1" x14ac:dyDescent="0.25">
      <c r="N2975" s="17">
        <v>497.099999999967</v>
      </c>
      <c r="O2975" s="16" t="s">
        <v>2860</v>
      </c>
      <c r="R2975" s="6"/>
      <c r="S2975" s="298"/>
    </row>
    <row r="2976" spans="14:19" hidden="1" x14ac:dyDescent="0.25">
      <c r="N2976" s="17">
        <v>497.19999999996702</v>
      </c>
      <c r="O2976" s="16" t="s">
        <v>2861</v>
      </c>
      <c r="R2976" s="6"/>
      <c r="S2976" s="298"/>
    </row>
    <row r="2977" spans="14:19" hidden="1" x14ac:dyDescent="0.25">
      <c r="N2977" s="17">
        <v>497.29999999996699</v>
      </c>
      <c r="O2977" s="16" t="s">
        <v>2862</v>
      </c>
      <c r="R2977" s="6"/>
      <c r="S2977" s="298"/>
    </row>
    <row r="2978" spans="14:19" hidden="1" x14ac:dyDescent="0.25">
      <c r="N2978" s="17">
        <v>497.39999999996701</v>
      </c>
      <c r="O2978" s="16" t="s">
        <v>2863</v>
      </c>
      <c r="R2978" s="6"/>
      <c r="S2978" s="298"/>
    </row>
    <row r="2979" spans="14:19" hidden="1" x14ac:dyDescent="0.25">
      <c r="N2979" s="17">
        <v>497.49999999996697</v>
      </c>
      <c r="O2979" s="16" t="s">
        <v>2864</v>
      </c>
      <c r="R2979" s="6"/>
      <c r="S2979" s="298"/>
    </row>
    <row r="2980" spans="14:19" hidden="1" x14ac:dyDescent="0.25">
      <c r="N2980" s="17">
        <v>497.599999999967</v>
      </c>
      <c r="O2980" s="16" t="s">
        <v>2865</v>
      </c>
      <c r="R2980" s="6"/>
      <c r="S2980" s="298"/>
    </row>
    <row r="2981" spans="14:19" hidden="1" x14ac:dyDescent="0.25">
      <c r="N2981" s="17">
        <v>497.69999999996702</v>
      </c>
      <c r="O2981" s="16" t="s">
        <v>2866</v>
      </c>
      <c r="R2981" s="6"/>
      <c r="S2981" s="298"/>
    </row>
    <row r="2982" spans="14:19" hidden="1" x14ac:dyDescent="0.25">
      <c r="N2982" s="17">
        <v>497.79999999996699</v>
      </c>
      <c r="O2982" s="16" t="s">
        <v>2867</v>
      </c>
      <c r="R2982" s="6"/>
      <c r="S2982" s="298"/>
    </row>
    <row r="2983" spans="14:19" hidden="1" x14ac:dyDescent="0.25">
      <c r="N2983" s="17">
        <v>497.89999999996701</v>
      </c>
      <c r="O2983" s="16" t="s">
        <v>2868</v>
      </c>
      <c r="R2983" s="6"/>
      <c r="S2983" s="298"/>
    </row>
    <row r="2984" spans="14:19" hidden="1" x14ac:dyDescent="0.25">
      <c r="N2984" s="17">
        <v>497.99999999996697</v>
      </c>
      <c r="O2984" s="16" t="s">
        <v>2869</v>
      </c>
      <c r="R2984" s="6"/>
      <c r="S2984" s="298"/>
    </row>
    <row r="2985" spans="14:19" hidden="1" x14ac:dyDescent="0.25">
      <c r="N2985" s="17">
        <v>498.099999999967</v>
      </c>
      <c r="O2985" s="16" t="s">
        <v>2870</v>
      </c>
      <c r="R2985" s="6"/>
      <c r="S2985" s="298"/>
    </row>
    <row r="2986" spans="14:19" hidden="1" x14ac:dyDescent="0.25">
      <c r="N2986" s="17">
        <v>498.19999999996702</v>
      </c>
      <c r="O2986" s="16" t="s">
        <v>2871</v>
      </c>
      <c r="R2986" s="6"/>
      <c r="S2986" s="298"/>
    </row>
    <row r="2987" spans="14:19" hidden="1" x14ac:dyDescent="0.25">
      <c r="N2987" s="17">
        <v>498.29999999996699</v>
      </c>
      <c r="O2987" s="16" t="s">
        <v>2872</v>
      </c>
      <c r="R2987" s="6"/>
      <c r="S2987" s="298"/>
    </row>
    <row r="2988" spans="14:19" hidden="1" x14ac:dyDescent="0.25">
      <c r="N2988" s="17">
        <v>498.39999999996701</v>
      </c>
      <c r="O2988" s="16" t="s">
        <v>2873</v>
      </c>
      <c r="R2988" s="6"/>
      <c r="S2988" s="298"/>
    </row>
    <row r="2989" spans="14:19" hidden="1" x14ac:dyDescent="0.25">
      <c r="N2989" s="17">
        <v>498.49999999996601</v>
      </c>
      <c r="O2989" s="16" t="s">
        <v>2874</v>
      </c>
      <c r="R2989" s="6"/>
      <c r="S2989" s="298"/>
    </row>
    <row r="2990" spans="14:19" hidden="1" x14ac:dyDescent="0.25">
      <c r="N2990" s="17">
        <v>498.59999999996597</v>
      </c>
      <c r="O2990" s="16" t="s">
        <v>2875</v>
      </c>
      <c r="R2990" s="6"/>
      <c r="S2990" s="298"/>
    </row>
    <row r="2991" spans="14:19" hidden="1" x14ac:dyDescent="0.25">
      <c r="N2991" s="17">
        <v>498.699999999966</v>
      </c>
      <c r="O2991" s="16" t="s">
        <v>2876</v>
      </c>
      <c r="R2991" s="6"/>
      <c r="S2991" s="298"/>
    </row>
    <row r="2992" spans="14:19" hidden="1" x14ac:dyDescent="0.25">
      <c r="N2992" s="17">
        <v>498.79999999996602</v>
      </c>
      <c r="O2992" s="16" t="s">
        <v>2877</v>
      </c>
      <c r="R2992" s="6"/>
      <c r="S2992" s="298"/>
    </row>
    <row r="2993" spans="14:19" hidden="1" x14ac:dyDescent="0.25">
      <c r="N2993" s="17">
        <v>498.89999999996598</v>
      </c>
      <c r="O2993" s="16" t="s">
        <v>2878</v>
      </c>
      <c r="R2993" s="6"/>
      <c r="S2993" s="298"/>
    </row>
    <row r="2994" spans="14:19" hidden="1" x14ac:dyDescent="0.25">
      <c r="N2994" s="17">
        <v>498.99999999996601</v>
      </c>
      <c r="O2994" s="16" t="s">
        <v>5007</v>
      </c>
      <c r="R2994" s="6"/>
      <c r="S2994" s="298"/>
    </row>
    <row r="2995" spans="14:19" hidden="1" x14ac:dyDescent="0.25">
      <c r="N2995" s="17">
        <v>499.09999999996597</v>
      </c>
      <c r="O2995" s="16" t="s">
        <v>5008</v>
      </c>
      <c r="R2995" s="6"/>
      <c r="S2995" s="298"/>
    </row>
    <row r="2996" spans="14:19" hidden="1" x14ac:dyDescent="0.25">
      <c r="N2996" s="17">
        <v>499.199999999966</v>
      </c>
      <c r="O2996" s="16" t="s">
        <v>5009</v>
      </c>
      <c r="R2996" s="6"/>
      <c r="S2996" s="298"/>
    </row>
    <row r="2997" spans="14:19" hidden="1" x14ac:dyDescent="0.25">
      <c r="N2997" s="17">
        <v>499.29999999996602</v>
      </c>
      <c r="O2997" s="16" t="s">
        <v>5010</v>
      </c>
      <c r="R2997" s="6"/>
      <c r="S2997" s="298"/>
    </row>
    <row r="2998" spans="14:19" hidden="1" x14ac:dyDescent="0.25">
      <c r="N2998" s="17">
        <v>499.39999999996598</v>
      </c>
      <c r="O2998" s="16" t="s">
        <v>5011</v>
      </c>
      <c r="R2998" s="6"/>
      <c r="S2998" s="298"/>
    </row>
    <row r="2999" spans="14:19" hidden="1" x14ac:dyDescent="0.25">
      <c r="N2999" s="17">
        <v>499.49999999996601</v>
      </c>
      <c r="O2999" s="16" t="s">
        <v>256</v>
      </c>
      <c r="R2999" s="6"/>
      <c r="S2999" s="298"/>
    </row>
    <row r="3000" spans="14:19" hidden="1" x14ac:dyDescent="0.25">
      <c r="N3000" s="17">
        <v>499.59999999996597</v>
      </c>
      <c r="O3000" s="16" t="s">
        <v>257</v>
      </c>
      <c r="R3000" s="6"/>
      <c r="S3000" s="298"/>
    </row>
    <row r="3001" spans="14:19" hidden="1" x14ac:dyDescent="0.25">
      <c r="N3001" s="17">
        <v>499.699999999966</v>
      </c>
      <c r="O3001" s="16" t="s">
        <v>258</v>
      </c>
      <c r="R3001" s="6"/>
      <c r="S3001" s="298"/>
    </row>
    <row r="3002" spans="14:19" hidden="1" x14ac:dyDescent="0.25">
      <c r="N3002" s="17">
        <v>499.79999999996602</v>
      </c>
      <c r="O3002" s="16" t="s">
        <v>259</v>
      </c>
      <c r="R3002" s="6"/>
      <c r="S3002" s="298"/>
    </row>
    <row r="3003" spans="14:19" hidden="1" x14ac:dyDescent="0.25">
      <c r="N3003" s="17">
        <v>499.89999999996598</v>
      </c>
      <c r="O3003" s="16" t="s">
        <v>260</v>
      </c>
      <c r="R3003" s="6"/>
      <c r="S3003" s="298"/>
    </row>
    <row r="3004" spans="14:19" hidden="1" x14ac:dyDescent="0.25">
      <c r="N3004" s="17">
        <v>499.99999999996601</v>
      </c>
      <c r="O3004" s="16" t="s">
        <v>261</v>
      </c>
    </row>
    <row r="3005" spans="14:19" hidden="1" x14ac:dyDescent="0.25">
      <c r="N3005" s="17">
        <v>500.1</v>
      </c>
      <c r="O3005" s="16" t="s">
        <v>262</v>
      </c>
      <c r="R3005" s="6"/>
      <c r="S3005" s="298"/>
    </row>
    <row r="3006" spans="14:19" hidden="1" x14ac:dyDescent="0.25">
      <c r="N3006" s="17">
        <v>500.2</v>
      </c>
      <c r="O3006" s="16" t="s">
        <v>263</v>
      </c>
      <c r="R3006" s="6"/>
      <c r="S3006" s="298"/>
    </row>
    <row r="3007" spans="14:19" hidden="1" x14ac:dyDescent="0.25">
      <c r="N3007" s="17">
        <v>500.3</v>
      </c>
      <c r="O3007" s="16" t="s">
        <v>264</v>
      </c>
      <c r="R3007" s="6"/>
      <c r="S3007" s="298"/>
    </row>
    <row r="3008" spans="14:19" hidden="1" x14ac:dyDescent="0.25">
      <c r="N3008" s="17">
        <v>500.4</v>
      </c>
      <c r="O3008" s="16" t="s">
        <v>265</v>
      </c>
      <c r="R3008" s="6"/>
      <c r="S3008" s="298"/>
    </row>
    <row r="3009" spans="14:19" hidden="1" x14ac:dyDescent="0.25">
      <c r="N3009" s="17">
        <v>500.5</v>
      </c>
      <c r="O3009" s="16" t="s">
        <v>266</v>
      </c>
      <c r="R3009" s="6"/>
      <c r="S3009" s="298"/>
    </row>
    <row r="3010" spans="14:19" hidden="1" x14ac:dyDescent="0.25">
      <c r="N3010" s="17">
        <v>500.6</v>
      </c>
      <c r="O3010" s="16" t="s">
        <v>267</v>
      </c>
      <c r="R3010" s="6"/>
      <c r="S3010" s="298"/>
    </row>
    <row r="3011" spans="14:19" hidden="1" x14ac:dyDescent="0.25">
      <c r="N3011" s="17">
        <v>500.7</v>
      </c>
      <c r="O3011" s="16" t="s">
        <v>268</v>
      </c>
      <c r="R3011" s="6"/>
      <c r="S3011" s="298"/>
    </row>
    <row r="3012" spans="14:19" hidden="1" x14ac:dyDescent="0.25">
      <c r="N3012" s="17">
        <v>500.8</v>
      </c>
      <c r="O3012" s="16" t="s">
        <v>269</v>
      </c>
      <c r="R3012" s="6"/>
      <c r="S3012" s="298"/>
    </row>
    <row r="3013" spans="14:19" hidden="1" x14ac:dyDescent="0.25">
      <c r="N3013" s="17">
        <v>500.9</v>
      </c>
      <c r="O3013" s="16" t="s">
        <v>270</v>
      </c>
      <c r="R3013" s="6"/>
      <c r="S3013" s="298"/>
    </row>
    <row r="3014" spans="14:19" hidden="1" x14ac:dyDescent="0.25">
      <c r="N3014" s="17">
        <v>501</v>
      </c>
      <c r="O3014" s="16" t="s">
        <v>262</v>
      </c>
    </row>
    <row r="3015" spans="14:19" hidden="1" x14ac:dyDescent="0.25">
      <c r="N3015" s="17">
        <v>501.1</v>
      </c>
      <c r="O3015" s="16" t="s">
        <v>271</v>
      </c>
      <c r="R3015" s="6"/>
      <c r="S3015" s="298"/>
    </row>
    <row r="3016" spans="14:19" hidden="1" x14ac:dyDescent="0.25">
      <c r="N3016" s="17">
        <v>501.2</v>
      </c>
      <c r="O3016" s="16" t="s">
        <v>272</v>
      </c>
      <c r="R3016" s="6"/>
      <c r="S3016" s="298"/>
    </row>
    <row r="3017" spans="14:19" hidden="1" x14ac:dyDescent="0.25">
      <c r="N3017" s="17">
        <v>501.3</v>
      </c>
      <c r="O3017" s="16" t="s">
        <v>273</v>
      </c>
      <c r="R3017" s="6"/>
      <c r="S3017" s="298"/>
    </row>
    <row r="3018" spans="14:19" hidden="1" x14ac:dyDescent="0.25">
      <c r="N3018" s="17">
        <v>501.4</v>
      </c>
      <c r="O3018" s="16" t="s">
        <v>274</v>
      </c>
      <c r="R3018" s="6"/>
      <c r="S3018" s="298"/>
    </row>
    <row r="3019" spans="14:19" hidden="1" x14ac:dyDescent="0.25">
      <c r="N3019" s="17">
        <v>501.5</v>
      </c>
      <c r="O3019" s="16" t="s">
        <v>275</v>
      </c>
      <c r="R3019" s="6"/>
      <c r="S3019" s="298"/>
    </row>
    <row r="3020" spans="14:19" hidden="1" x14ac:dyDescent="0.25">
      <c r="N3020" s="17">
        <v>501.6</v>
      </c>
      <c r="O3020" s="16" t="s">
        <v>276</v>
      </c>
      <c r="R3020" s="6"/>
      <c r="S3020" s="298"/>
    </row>
    <row r="3021" spans="14:19" hidden="1" x14ac:dyDescent="0.25">
      <c r="N3021" s="17">
        <v>501.69999999999902</v>
      </c>
      <c r="O3021" s="16" t="s">
        <v>277</v>
      </c>
      <c r="R3021" s="6"/>
      <c r="S3021" s="298"/>
    </row>
    <row r="3022" spans="14:19" hidden="1" x14ac:dyDescent="0.25">
      <c r="N3022" s="17">
        <v>501.79999999999899</v>
      </c>
      <c r="O3022" s="16" t="s">
        <v>278</v>
      </c>
      <c r="R3022" s="6"/>
      <c r="S3022" s="298"/>
    </row>
    <row r="3023" spans="14:19" hidden="1" x14ac:dyDescent="0.25">
      <c r="N3023" s="17">
        <v>501.89999999999901</v>
      </c>
      <c r="O3023" s="16" t="s">
        <v>279</v>
      </c>
      <c r="R3023" s="6"/>
      <c r="S3023" s="298"/>
    </row>
    <row r="3024" spans="14:19" hidden="1" x14ac:dyDescent="0.25">
      <c r="N3024" s="17">
        <v>501.99999999999898</v>
      </c>
      <c r="O3024" s="16" t="s">
        <v>263</v>
      </c>
      <c r="R3024" s="6"/>
      <c r="S3024" s="298"/>
    </row>
    <row r="3025" spans="14:19" hidden="1" x14ac:dyDescent="0.25">
      <c r="N3025" s="17">
        <v>502.099999999999</v>
      </c>
      <c r="O3025" s="16" t="s">
        <v>2672</v>
      </c>
      <c r="R3025" s="6"/>
      <c r="S3025" s="298"/>
    </row>
    <row r="3026" spans="14:19" hidden="1" x14ac:dyDescent="0.25">
      <c r="N3026" s="17">
        <v>502.19999999999902</v>
      </c>
      <c r="O3026" s="16" t="s">
        <v>2673</v>
      </c>
      <c r="R3026" s="6"/>
      <c r="S3026" s="298"/>
    </row>
    <row r="3027" spans="14:19" hidden="1" x14ac:dyDescent="0.25">
      <c r="N3027" s="17">
        <v>502.29999999999899</v>
      </c>
      <c r="O3027" s="16" t="s">
        <v>2674</v>
      </c>
      <c r="R3027" s="6"/>
      <c r="S3027" s="298"/>
    </row>
    <row r="3028" spans="14:19" hidden="1" x14ac:dyDescent="0.25">
      <c r="N3028" s="17">
        <v>502.39999999999901</v>
      </c>
      <c r="O3028" s="16" t="s">
        <v>2675</v>
      </c>
      <c r="R3028" s="6"/>
      <c r="S3028" s="298"/>
    </row>
    <row r="3029" spans="14:19" hidden="1" x14ac:dyDescent="0.25">
      <c r="N3029" s="17">
        <v>502.49999999999898</v>
      </c>
      <c r="O3029" s="16" t="s">
        <v>2676</v>
      </c>
      <c r="R3029" s="6"/>
      <c r="S3029" s="298"/>
    </row>
    <row r="3030" spans="14:19" hidden="1" x14ac:dyDescent="0.25">
      <c r="N3030" s="17">
        <v>502.599999999999</v>
      </c>
      <c r="O3030" s="16" t="s">
        <v>2677</v>
      </c>
      <c r="R3030" s="6"/>
      <c r="S3030" s="298"/>
    </row>
    <row r="3031" spans="14:19" hidden="1" x14ac:dyDescent="0.25">
      <c r="N3031" s="17">
        <v>502.69999999999902</v>
      </c>
      <c r="O3031" s="16" t="s">
        <v>2678</v>
      </c>
      <c r="R3031" s="6"/>
      <c r="S3031" s="298"/>
    </row>
    <row r="3032" spans="14:19" hidden="1" x14ac:dyDescent="0.25">
      <c r="N3032" s="17">
        <v>502.79999999999899</v>
      </c>
      <c r="O3032" s="16" t="s">
        <v>2679</v>
      </c>
      <c r="R3032" s="6"/>
      <c r="S3032" s="298"/>
    </row>
    <row r="3033" spans="14:19" hidden="1" x14ac:dyDescent="0.25">
      <c r="N3033" s="17">
        <v>502.89999999999901</v>
      </c>
      <c r="O3033" s="16" t="s">
        <v>2680</v>
      </c>
      <c r="R3033" s="6"/>
      <c r="S3033" s="298"/>
    </row>
    <row r="3034" spans="14:19" hidden="1" x14ac:dyDescent="0.25">
      <c r="N3034" s="17">
        <v>502.99999999999898</v>
      </c>
      <c r="O3034" s="16" t="s">
        <v>264</v>
      </c>
    </row>
    <row r="3035" spans="14:19" hidden="1" x14ac:dyDescent="0.25">
      <c r="N3035" s="17">
        <v>503.099999999999</v>
      </c>
      <c r="O3035" s="16" t="s">
        <v>2681</v>
      </c>
      <c r="R3035" s="6"/>
      <c r="S3035" s="298"/>
    </row>
    <row r="3036" spans="14:19" hidden="1" x14ac:dyDescent="0.25">
      <c r="N3036" s="17">
        <v>503.19999999999902</v>
      </c>
      <c r="O3036" s="16" t="s">
        <v>2682</v>
      </c>
      <c r="R3036" s="6"/>
      <c r="S3036" s="298"/>
    </row>
    <row r="3037" spans="14:19" hidden="1" x14ac:dyDescent="0.25">
      <c r="N3037" s="17">
        <v>503.29999999999899</v>
      </c>
      <c r="O3037" s="16" t="s">
        <v>2683</v>
      </c>
      <c r="R3037" s="6"/>
      <c r="S3037" s="298"/>
    </row>
    <row r="3038" spans="14:19" hidden="1" x14ac:dyDescent="0.25">
      <c r="N3038" s="17">
        <v>503.39999999999901</v>
      </c>
      <c r="O3038" s="16" t="s">
        <v>2684</v>
      </c>
      <c r="R3038" s="6"/>
      <c r="S3038" s="298"/>
    </row>
    <row r="3039" spans="14:19" hidden="1" x14ac:dyDescent="0.25">
      <c r="N3039" s="17">
        <v>503.49999999999898</v>
      </c>
      <c r="O3039" s="16" t="s">
        <v>5030</v>
      </c>
      <c r="R3039" s="6"/>
      <c r="S3039" s="298"/>
    </row>
    <row r="3040" spans="14:19" hidden="1" x14ac:dyDescent="0.25">
      <c r="N3040" s="17">
        <v>503.599999999999</v>
      </c>
      <c r="O3040" s="16" t="s">
        <v>5031</v>
      </c>
      <c r="R3040" s="6"/>
      <c r="S3040" s="298"/>
    </row>
    <row r="3041" spans="14:19" hidden="1" x14ac:dyDescent="0.25">
      <c r="N3041" s="17">
        <v>503.69999999999902</v>
      </c>
      <c r="O3041" s="16" t="s">
        <v>5032</v>
      </c>
      <c r="R3041" s="6"/>
      <c r="S3041" s="298"/>
    </row>
    <row r="3042" spans="14:19" hidden="1" x14ac:dyDescent="0.25">
      <c r="N3042" s="17">
        <v>503.79999999999899</v>
      </c>
      <c r="O3042" s="16" t="s">
        <v>5033</v>
      </c>
      <c r="R3042" s="6"/>
      <c r="S3042" s="298"/>
    </row>
    <row r="3043" spans="14:19" hidden="1" x14ac:dyDescent="0.25">
      <c r="N3043" s="17">
        <v>503.89999999999901</v>
      </c>
      <c r="O3043" s="16" t="s">
        <v>5034</v>
      </c>
      <c r="R3043" s="6"/>
      <c r="S3043" s="298"/>
    </row>
    <row r="3044" spans="14:19" hidden="1" x14ac:dyDescent="0.25">
      <c r="N3044" s="17">
        <v>503.99999999999898</v>
      </c>
      <c r="O3044" s="16" t="s">
        <v>265</v>
      </c>
      <c r="R3044" s="6"/>
      <c r="S3044" s="298"/>
    </row>
    <row r="3045" spans="14:19" hidden="1" x14ac:dyDescent="0.25">
      <c r="N3045" s="17">
        <v>504.099999999999</v>
      </c>
      <c r="O3045" s="16" t="s">
        <v>5035</v>
      </c>
      <c r="R3045" s="6"/>
      <c r="S3045" s="298"/>
    </row>
    <row r="3046" spans="14:19" hidden="1" x14ac:dyDescent="0.25">
      <c r="N3046" s="17">
        <v>504.19999999999902</v>
      </c>
      <c r="O3046" s="16" t="s">
        <v>5036</v>
      </c>
      <c r="R3046" s="6"/>
      <c r="S3046" s="298"/>
    </row>
    <row r="3047" spans="14:19" hidden="1" x14ac:dyDescent="0.25">
      <c r="N3047" s="17">
        <v>504.29999999999899</v>
      </c>
      <c r="O3047" s="16" t="s">
        <v>5037</v>
      </c>
      <c r="R3047" s="6"/>
      <c r="S3047" s="298"/>
    </row>
    <row r="3048" spans="14:19" hidden="1" x14ac:dyDescent="0.25">
      <c r="N3048" s="17">
        <v>504.39999999999901</v>
      </c>
      <c r="O3048" s="16" t="s">
        <v>5038</v>
      </c>
      <c r="R3048" s="6"/>
      <c r="S3048" s="298"/>
    </row>
    <row r="3049" spans="14:19" hidden="1" x14ac:dyDescent="0.25">
      <c r="N3049" s="17">
        <v>504.49999999999898</v>
      </c>
      <c r="O3049" s="16" t="s">
        <v>5039</v>
      </c>
      <c r="R3049" s="6"/>
      <c r="S3049" s="298"/>
    </row>
    <row r="3050" spans="14:19" hidden="1" x14ac:dyDescent="0.25">
      <c r="N3050" s="17">
        <v>504.59999999999798</v>
      </c>
      <c r="O3050" s="16" t="s">
        <v>5040</v>
      </c>
      <c r="R3050" s="6"/>
      <c r="S3050" s="298"/>
    </row>
    <row r="3051" spans="14:19" hidden="1" x14ac:dyDescent="0.25">
      <c r="N3051" s="17">
        <v>504.699999999998</v>
      </c>
      <c r="O3051" s="16" t="s">
        <v>5041</v>
      </c>
      <c r="R3051" s="6"/>
      <c r="S3051" s="298"/>
    </row>
    <row r="3052" spans="14:19" hidden="1" x14ac:dyDescent="0.25">
      <c r="N3052" s="17">
        <v>504.79999999999802</v>
      </c>
      <c r="O3052" s="16" t="s">
        <v>5042</v>
      </c>
      <c r="R3052" s="6"/>
      <c r="S3052" s="298"/>
    </row>
    <row r="3053" spans="14:19" hidden="1" x14ac:dyDescent="0.25">
      <c r="N3053" s="17">
        <v>504.89999999999799</v>
      </c>
      <c r="O3053" s="16" t="s">
        <v>5043</v>
      </c>
      <c r="R3053" s="6"/>
      <c r="S3053" s="298"/>
    </row>
    <row r="3054" spans="14:19" hidden="1" x14ac:dyDescent="0.25">
      <c r="N3054" s="17">
        <v>504.99999999999801</v>
      </c>
      <c r="O3054" s="16" t="s">
        <v>5044</v>
      </c>
      <c r="R3054" s="6"/>
      <c r="S3054" s="298"/>
    </row>
    <row r="3055" spans="14:19" hidden="1" x14ac:dyDescent="0.25">
      <c r="N3055" s="17">
        <v>505.09999999999798</v>
      </c>
      <c r="O3055" s="16" t="s">
        <v>5045</v>
      </c>
      <c r="R3055" s="6"/>
      <c r="S3055" s="298"/>
    </row>
    <row r="3056" spans="14:19" hidden="1" x14ac:dyDescent="0.25">
      <c r="N3056" s="17">
        <v>505.199999999998</v>
      </c>
      <c r="O3056" s="16" t="s">
        <v>5046</v>
      </c>
      <c r="R3056" s="6"/>
      <c r="S3056" s="298"/>
    </row>
    <row r="3057" spans="14:19" hidden="1" x14ac:dyDescent="0.25">
      <c r="N3057" s="17">
        <v>505.29999999999802</v>
      </c>
      <c r="O3057" s="16" t="s">
        <v>5047</v>
      </c>
      <c r="R3057" s="6"/>
      <c r="S3057" s="298"/>
    </row>
    <row r="3058" spans="14:19" hidden="1" x14ac:dyDescent="0.25">
      <c r="N3058" s="17">
        <v>505.39999999999799</v>
      </c>
      <c r="O3058" s="16" t="s">
        <v>5048</v>
      </c>
      <c r="R3058" s="6"/>
      <c r="S3058" s="298"/>
    </row>
    <row r="3059" spans="14:19" hidden="1" x14ac:dyDescent="0.25">
      <c r="N3059" s="17">
        <v>505.49999999999801</v>
      </c>
      <c r="O3059" s="16" t="s">
        <v>5049</v>
      </c>
      <c r="R3059" s="6"/>
      <c r="S3059" s="298"/>
    </row>
    <row r="3060" spans="14:19" hidden="1" x14ac:dyDescent="0.25">
      <c r="N3060" s="17">
        <v>505.59999999999798</v>
      </c>
      <c r="O3060" s="16" t="s">
        <v>5050</v>
      </c>
      <c r="R3060" s="6"/>
      <c r="S3060" s="298"/>
    </row>
    <row r="3061" spans="14:19" hidden="1" x14ac:dyDescent="0.25">
      <c r="N3061" s="17">
        <v>505.699999999998</v>
      </c>
      <c r="O3061" s="16" t="s">
        <v>5051</v>
      </c>
      <c r="R3061" s="6"/>
      <c r="S3061" s="298"/>
    </row>
    <row r="3062" spans="14:19" hidden="1" x14ac:dyDescent="0.25">
      <c r="N3062" s="17">
        <v>505.79999999999802</v>
      </c>
      <c r="O3062" s="16" t="s">
        <v>5052</v>
      </c>
      <c r="R3062" s="6"/>
      <c r="S3062" s="298"/>
    </row>
    <row r="3063" spans="14:19" hidden="1" x14ac:dyDescent="0.25">
      <c r="N3063" s="17">
        <v>505.89999999999799</v>
      </c>
      <c r="O3063" s="16" t="s">
        <v>5053</v>
      </c>
      <c r="R3063" s="6"/>
      <c r="S3063" s="298"/>
    </row>
    <row r="3064" spans="14:19" hidden="1" x14ac:dyDescent="0.25">
      <c r="N3064" s="17">
        <v>505.99999999999801</v>
      </c>
      <c r="O3064" s="16" t="s">
        <v>267</v>
      </c>
      <c r="R3064" s="6"/>
      <c r="S3064" s="298"/>
    </row>
    <row r="3065" spans="14:19" hidden="1" x14ac:dyDescent="0.25">
      <c r="N3065" s="17">
        <v>506.09999999999798</v>
      </c>
      <c r="O3065" s="16" t="s">
        <v>5054</v>
      </c>
      <c r="R3065" s="6"/>
      <c r="S3065" s="298"/>
    </row>
    <row r="3066" spans="14:19" hidden="1" x14ac:dyDescent="0.25">
      <c r="N3066" s="17">
        <v>506.199999999998</v>
      </c>
      <c r="O3066" s="16" t="s">
        <v>5055</v>
      </c>
      <c r="R3066" s="6"/>
      <c r="S3066" s="298"/>
    </row>
    <row r="3067" spans="14:19" hidden="1" x14ac:dyDescent="0.25">
      <c r="N3067" s="17">
        <v>506.29999999999802</v>
      </c>
      <c r="O3067" s="16" t="s">
        <v>5056</v>
      </c>
      <c r="R3067" s="6"/>
      <c r="S3067" s="298"/>
    </row>
    <row r="3068" spans="14:19" hidden="1" x14ac:dyDescent="0.25">
      <c r="N3068" s="17">
        <v>506.39999999999799</v>
      </c>
      <c r="O3068" s="16" t="s">
        <v>5057</v>
      </c>
      <c r="R3068" s="6"/>
      <c r="S3068" s="298"/>
    </row>
    <row r="3069" spans="14:19" hidden="1" x14ac:dyDescent="0.25">
      <c r="N3069" s="17">
        <v>506.49999999999801</v>
      </c>
      <c r="O3069" s="16" t="s">
        <v>5058</v>
      </c>
      <c r="R3069" s="6"/>
      <c r="S3069" s="298"/>
    </row>
    <row r="3070" spans="14:19" hidden="1" x14ac:dyDescent="0.25">
      <c r="N3070" s="17">
        <v>506.59999999999798</v>
      </c>
      <c r="O3070" s="16" t="s">
        <v>5059</v>
      </c>
      <c r="R3070" s="6"/>
      <c r="S3070" s="298"/>
    </row>
    <row r="3071" spans="14:19" hidden="1" x14ac:dyDescent="0.25">
      <c r="N3071" s="17">
        <v>506.699999999998</v>
      </c>
      <c r="O3071" s="16" t="s">
        <v>5060</v>
      </c>
      <c r="R3071" s="6"/>
      <c r="S3071" s="298"/>
    </row>
    <row r="3072" spans="14:19" hidden="1" x14ac:dyDescent="0.25">
      <c r="N3072" s="17">
        <v>506.79999999999802</v>
      </c>
      <c r="O3072" s="16" t="s">
        <v>5061</v>
      </c>
      <c r="R3072" s="6"/>
      <c r="S3072" s="298"/>
    </row>
    <row r="3073" spans="14:19" hidden="1" x14ac:dyDescent="0.25">
      <c r="N3073" s="17">
        <v>506.89999999999799</v>
      </c>
      <c r="O3073" s="16" t="s">
        <v>5062</v>
      </c>
      <c r="R3073" s="6"/>
      <c r="S3073" s="298"/>
    </row>
    <row r="3074" spans="14:19" hidden="1" x14ac:dyDescent="0.25">
      <c r="N3074" s="17">
        <v>506.99999999999801</v>
      </c>
      <c r="O3074" s="16" t="s">
        <v>268</v>
      </c>
      <c r="R3074" s="6"/>
      <c r="S3074" s="298"/>
    </row>
    <row r="3075" spans="14:19" hidden="1" x14ac:dyDescent="0.25">
      <c r="N3075" s="17">
        <v>507.09999999999798</v>
      </c>
      <c r="O3075" s="16" t="s">
        <v>5063</v>
      </c>
      <c r="R3075" s="6"/>
      <c r="S3075" s="298"/>
    </row>
    <row r="3076" spans="14:19" hidden="1" x14ac:dyDescent="0.25">
      <c r="N3076" s="17">
        <v>507.199999999998</v>
      </c>
      <c r="O3076" s="16" t="s">
        <v>5064</v>
      </c>
      <c r="R3076" s="6"/>
      <c r="S3076" s="298"/>
    </row>
    <row r="3077" spans="14:19" hidden="1" x14ac:dyDescent="0.25">
      <c r="N3077" s="17">
        <v>507.29999999999802</v>
      </c>
      <c r="O3077" s="16" t="s">
        <v>5065</v>
      </c>
      <c r="R3077" s="6"/>
      <c r="S3077" s="298"/>
    </row>
    <row r="3078" spans="14:19" hidden="1" x14ac:dyDescent="0.25">
      <c r="N3078" s="17">
        <v>507.39999999999799</v>
      </c>
      <c r="O3078" s="16" t="s">
        <v>5066</v>
      </c>
      <c r="R3078" s="6"/>
      <c r="S3078" s="298"/>
    </row>
    <row r="3079" spans="14:19" hidden="1" x14ac:dyDescent="0.25">
      <c r="N3079" s="17">
        <v>507.49999999999699</v>
      </c>
      <c r="O3079" s="16" t="s">
        <v>5067</v>
      </c>
      <c r="R3079" s="6"/>
      <c r="S3079" s="298"/>
    </row>
    <row r="3080" spans="14:19" hidden="1" x14ac:dyDescent="0.25">
      <c r="N3080" s="17">
        <v>507.59999999999701</v>
      </c>
      <c r="O3080" s="16" t="s">
        <v>5068</v>
      </c>
      <c r="R3080" s="6"/>
      <c r="S3080" s="298"/>
    </row>
    <row r="3081" spans="14:19" hidden="1" x14ac:dyDescent="0.25">
      <c r="N3081" s="17">
        <v>507.69999999999698</v>
      </c>
      <c r="O3081" s="16" t="s">
        <v>5069</v>
      </c>
      <c r="R3081" s="6"/>
      <c r="S3081" s="298"/>
    </row>
    <row r="3082" spans="14:19" hidden="1" x14ac:dyDescent="0.25">
      <c r="N3082" s="17">
        <v>507.799999999997</v>
      </c>
      <c r="O3082" s="16" t="s">
        <v>5070</v>
      </c>
      <c r="R3082" s="6"/>
      <c r="S3082" s="298"/>
    </row>
    <row r="3083" spans="14:19" hidden="1" x14ac:dyDescent="0.25">
      <c r="N3083" s="17">
        <v>507.89999999999702</v>
      </c>
      <c r="O3083" s="16" t="s">
        <v>5071</v>
      </c>
      <c r="R3083" s="6"/>
      <c r="S3083" s="298"/>
    </row>
    <row r="3084" spans="14:19" hidden="1" x14ac:dyDescent="0.25">
      <c r="N3084" s="17">
        <v>507.99999999999699</v>
      </c>
      <c r="O3084" s="16" t="s">
        <v>269</v>
      </c>
      <c r="R3084" s="6"/>
      <c r="S3084" s="298"/>
    </row>
    <row r="3085" spans="14:19" hidden="1" x14ac:dyDescent="0.25">
      <c r="N3085" s="17">
        <v>508.09999999999701</v>
      </c>
      <c r="O3085" s="16" t="s">
        <v>5072</v>
      </c>
      <c r="R3085" s="6"/>
      <c r="S3085" s="298"/>
    </row>
    <row r="3086" spans="14:19" hidden="1" x14ac:dyDescent="0.25">
      <c r="N3086" s="17">
        <v>508.19999999999698</v>
      </c>
      <c r="O3086" s="16" t="s">
        <v>5073</v>
      </c>
      <c r="R3086" s="6"/>
      <c r="S3086" s="298"/>
    </row>
    <row r="3087" spans="14:19" hidden="1" x14ac:dyDescent="0.25">
      <c r="N3087" s="17">
        <v>508.299999999997</v>
      </c>
      <c r="O3087" s="16" t="s">
        <v>5074</v>
      </c>
      <c r="R3087" s="6"/>
      <c r="S3087" s="298"/>
    </row>
    <row r="3088" spans="14:19" hidden="1" x14ac:dyDescent="0.25">
      <c r="N3088" s="17">
        <v>508.39999999999702</v>
      </c>
      <c r="O3088" s="16" t="s">
        <v>5075</v>
      </c>
      <c r="R3088" s="6"/>
      <c r="S3088" s="298"/>
    </row>
    <row r="3089" spans="14:19" hidden="1" x14ac:dyDescent="0.25">
      <c r="N3089" s="17">
        <v>508.49999999999699</v>
      </c>
      <c r="O3089" s="16" t="s">
        <v>5076</v>
      </c>
      <c r="R3089" s="6"/>
      <c r="S3089" s="298"/>
    </row>
    <row r="3090" spans="14:19" hidden="1" x14ac:dyDescent="0.25">
      <c r="N3090" s="17">
        <v>508.59999999999701</v>
      </c>
      <c r="O3090" s="16" t="s">
        <v>5077</v>
      </c>
      <c r="R3090" s="6"/>
      <c r="S3090" s="298"/>
    </row>
    <row r="3091" spans="14:19" hidden="1" x14ac:dyDescent="0.25">
      <c r="N3091" s="17">
        <v>508.69999999999698</v>
      </c>
      <c r="O3091" s="16" t="s">
        <v>5078</v>
      </c>
      <c r="R3091" s="6"/>
      <c r="S3091" s="298"/>
    </row>
    <row r="3092" spans="14:19" hidden="1" x14ac:dyDescent="0.25">
      <c r="N3092" s="17">
        <v>508.799999999997</v>
      </c>
      <c r="O3092" s="16" t="s">
        <v>2942</v>
      </c>
      <c r="R3092" s="6"/>
      <c r="S3092" s="298"/>
    </row>
    <row r="3093" spans="14:19" hidden="1" x14ac:dyDescent="0.25">
      <c r="N3093" s="17">
        <v>508.89999999999702</v>
      </c>
      <c r="O3093" s="16" t="s">
        <v>2943</v>
      </c>
      <c r="R3093" s="6"/>
      <c r="S3093" s="298"/>
    </row>
    <row r="3094" spans="14:19" hidden="1" x14ac:dyDescent="0.25">
      <c r="N3094" s="17">
        <v>508.99999999999699</v>
      </c>
      <c r="O3094" s="16" t="s">
        <v>2944</v>
      </c>
      <c r="R3094" s="6"/>
      <c r="S3094" s="298"/>
    </row>
    <row r="3095" spans="14:19" hidden="1" x14ac:dyDescent="0.25">
      <c r="N3095" s="17">
        <v>509.09999999999701</v>
      </c>
      <c r="O3095" s="16" t="s">
        <v>2945</v>
      </c>
      <c r="R3095" s="6"/>
      <c r="S3095" s="298"/>
    </row>
    <row r="3096" spans="14:19" hidden="1" x14ac:dyDescent="0.25">
      <c r="N3096" s="17">
        <v>509.19999999999698</v>
      </c>
      <c r="O3096" s="16" t="s">
        <v>2946</v>
      </c>
      <c r="R3096" s="6"/>
      <c r="S3096" s="298"/>
    </row>
    <row r="3097" spans="14:19" hidden="1" x14ac:dyDescent="0.25">
      <c r="N3097" s="17">
        <v>509.299999999997</v>
      </c>
      <c r="O3097" s="16" t="s">
        <v>2947</v>
      </c>
      <c r="R3097" s="6"/>
      <c r="S3097" s="298"/>
    </row>
    <row r="3098" spans="14:19" hidden="1" x14ac:dyDescent="0.25">
      <c r="N3098" s="17">
        <v>509.39999999999702</v>
      </c>
      <c r="O3098" s="16" t="s">
        <v>2948</v>
      </c>
      <c r="R3098" s="6"/>
      <c r="S3098" s="298"/>
    </row>
    <row r="3099" spans="14:19" hidden="1" x14ac:dyDescent="0.25">
      <c r="N3099" s="17">
        <v>509.49999999999699</v>
      </c>
      <c r="O3099" s="16" t="s">
        <v>2949</v>
      </c>
      <c r="R3099" s="6"/>
      <c r="S3099" s="298"/>
    </row>
    <row r="3100" spans="14:19" hidden="1" x14ac:dyDescent="0.25">
      <c r="N3100" s="17">
        <v>509.59999999999701</v>
      </c>
      <c r="O3100" s="16" t="s">
        <v>2950</v>
      </c>
      <c r="R3100" s="6"/>
      <c r="S3100" s="298"/>
    </row>
    <row r="3101" spans="14:19" hidden="1" x14ac:dyDescent="0.25">
      <c r="N3101" s="17">
        <v>509.69999999999698</v>
      </c>
      <c r="O3101" s="16" t="s">
        <v>2951</v>
      </c>
      <c r="R3101" s="6"/>
      <c r="S3101" s="298"/>
    </row>
    <row r="3102" spans="14:19" hidden="1" x14ac:dyDescent="0.25">
      <c r="N3102" s="17">
        <v>509.799999999997</v>
      </c>
      <c r="O3102" s="16" t="s">
        <v>2952</v>
      </c>
      <c r="R3102" s="6"/>
      <c r="S3102" s="298"/>
    </row>
    <row r="3103" spans="14:19" hidden="1" x14ac:dyDescent="0.25">
      <c r="N3103" s="17">
        <v>509.89999999999702</v>
      </c>
      <c r="O3103" s="16" t="s">
        <v>2953</v>
      </c>
      <c r="R3103" s="6"/>
      <c r="S3103" s="298"/>
    </row>
    <row r="3104" spans="14:19" hidden="1" x14ac:dyDescent="0.25">
      <c r="N3104" s="17">
        <v>509.99999999999699</v>
      </c>
      <c r="O3104" s="16" t="s">
        <v>2954</v>
      </c>
      <c r="R3104" s="6"/>
      <c r="S3104" s="298"/>
    </row>
    <row r="3105" spans="14:19" hidden="1" x14ac:dyDescent="0.25">
      <c r="N3105" s="17">
        <v>510.09999999999701</v>
      </c>
      <c r="O3105" s="16" t="s">
        <v>2955</v>
      </c>
      <c r="R3105" s="6"/>
      <c r="S3105" s="298"/>
    </row>
    <row r="3106" spans="14:19" hidden="1" x14ac:dyDescent="0.25">
      <c r="N3106" s="17">
        <v>510.19999999999698</v>
      </c>
      <c r="O3106" s="16" t="s">
        <v>2956</v>
      </c>
      <c r="R3106" s="6"/>
      <c r="S3106" s="298"/>
    </row>
    <row r="3107" spans="14:19" hidden="1" x14ac:dyDescent="0.25">
      <c r="N3107" s="17">
        <v>510.299999999997</v>
      </c>
      <c r="O3107" s="16" t="s">
        <v>2957</v>
      </c>
      <c r="R3107" s="6"/>
      <c r="S3107" s="298"/>
    </row>
    <row r="3108" spans="14:19" hidden="1" x14ac:dyDescent="0.25">
      <c r="N3108" s="17">
        <v>510.39999999999702</v>
      </c>
      <c r="O3108" s="16" t="s">
        <v>5094</v>
      </c>
      <c r="R3108" s="6"/>
      <c r="S3108" s="298"/>
    </row>
    <row r="3109" spans="14:19" hidden="1" x14ac:dyDescent="0.25">
      <c r="N3109" s="17">
        <v>510.49999999999699</v>
      </c>
      <c r="O3109" s="16" t="s">
        <v>5095</v>
      </c>
      <c r="R3109" s="6"/>
      <c r="S3109" s="298"/>
    </row>
    <row r="3110" spans="14:19" hidden="1" x14ac:dyDescent="0.25">
      <c r="N3110" s="17">
        <v>510.59999999999599</v>
      </c>
      <c r="O3110" s="16" t="s">
        <v>5096</v>
      </c>
      <c r="R3110" s="6"/>
      <c r="S3110" s="298"/>
    </row>
    <row r="3111" spans="14:19" hidden="1" x14ac:dyDescent="0.25">
      <c r="N3111" s="17">
        <v>510.69999999999601</v>
      </c>
      <c r="O3111" s="16" t="s">
        <v>5097</v>
      </c>
      <c r="R3111" s="6"/>
      <c r="S3111" s="298"/>
    </row>
    <row r="3112" spans="14:19" hidden="1" x14ac:dyDescent="0.25">
      <c r="N3112" s="17">
        <v>510.79999999999598</v>
      </c>
      <c r="O3112" s="16" t="s">
        <v>5098</v>
      </c>
      <c r="R3112" s="6"/>
      <c r="S3112" s="298"/>
    </row>
    <row r="3113" spans="14:19" hidden="1" x14ac:dyDescent="0.25">
      <c r="N3113" s="17">
        <v>510.899999999996</v>
      </c>
      <c r="O3113" s="16" t="s">
        <v>5099</v>
      </c>
      <c r="R3113" s="6"/>
      <c r="S3113" s="298"/>
    </row>
    <row r="3114" spans="14:19" hidden="1" x14ac:dyDescent="0.25">
      <c r="N3114" s="17">
        <v>510.99999999999602</v>
      </c>
      <c r="O3114" s="16" t="s">
        <v>2970</v>
      </c>
      <c r="R3114" s="6"/>
      <c r="S3114" s="298"/>
    </row>
    <row r="3115" spans="14:19" hidden="1" x14ac:dyDescent="0.25">
      <c r="N3115" s="17">
        <v>511.09999999999599</v>
      </c>
      <c r="O3115" s="16" t="s">
        <v>2971</v>
      </c>
      <c r="R3115" s="6"/>
      <c r="S3115" s="298"/>
    </row>
    <row r="3116" spans="14:19" hidden="1" x14ac:dyDescent="0.25">
      <c r="N3116" s="17">
        <v>511.19999999999601</v>
      </c>
      <c r="O3116" s="16" t="s">
        <v>2972</v>
      </c>
      <c r="R3116" s="6"/>
      <c r="S3116" s="298"/>
    </row>
    <row r="3117" spans="14:19" hidden="1" x14ac:dyDescent="0.25">
      <c r="N3117" s="17">
        <v>511.29999999999598</v>
      </c>
      <c r="O3117" s="16" t="s">
        <v>2973</v>
      </c>
      <c r="R3117" s="6"/>
      <c r="S3117" s="298"/>
    </row>
    <row r="3118" spans="14:19" hidden="1" x14ac:dyDescent="0.25">
      <c r="N3118" s="17">
        <v>511.399999999996</v>
      </c>
      <c r="O3118" s="16" t="s">
        <v>2974</v>
      </c>
      <c r="R3118" s="6"/>
      <c r="S3118" s="298"/>
    </row>
    <row r="3119" spans="14:19" hidden="1" x14ac:dyDescent="0.25">
      <c r="N3119" s="17">
        <v>511.49999999999602</v>
      </c>
      <c r="O3119" s="16" t="s">
        <v>2975</v>
      </c>
      <c r="R3119" s="6"/>
      <c r="S3119" s="298"/>
    </row>
    <row r="3120" spans="14:19" hidden="1" x14ac:dyDescent="0.25">
      <c r="N3120" s="17">
        <v>511.59999999999599</v>
      </c>
      <c r="O3120" s="16" t="s">
        <v>2976</v>
      </c>
      <c r="R3120" s="6"/>
      <c r="S3120" s="298"/>
    </row>
    <row r="3121" spans="14:19" hidden="1" x14ac:dyDescent="0.25">
      <c r="N3121" s="17">
        <v>511.69999999999601</v>
      </c>
      <c r="O3121" s="16" t="s">
        <v>2977</v>
      </c>
      <c r="R3121" s="6"/>
      <c r="S3121" s="298"/>
    </row>
    <row r="3122" spans="14:19" hidden="1" x14ac:dyDescent="0.25">
      <c r="N3122" s="17">
        <v>511.79999999999598</v>
      </c>
      <c r="O3122" s="16" t="s">
        <v>2978</v>
      </c>
      <c r="R3122" s="6"/>
      <c r="S3122" s="298"/>
    </row>
    <row r="3123" spans="14:19" hidden="1" x14ac:dyDescent="0.25">
      <c r="N3123" s="17">
        <v>511.899999999996</v>
      </c>
      <c r="O3123" s="16" t="s">
        <v>2979</v>
      </c>
      <c r="R3123" s="6"/>
      <c r="S3123" s="298"/>
    </row>
    <row r="3124" spans="14:19" hidden="1" x14ac:dyDescent="0.25">
      <c r="N3124" s="17">
        <v>511.99999999999602</v>
      </c>
      <c r="O3124" s="16" t="s">
        <v>2980</v>
      </c>
      <c r="R3124" s="6"/>
      <c r="S3124" s="298"/>
    </row>
    <row r="3125" spans="14:19" hidden="1" x14ac:dyDescent="0.25">
      <c r="N3125" s="17">
        <v>512.09999999999604</v>
      </c>
      <c r="O3125" s="16" t="s">
        <v>2981</v>
      </c>
      <c r="R3125" s="6"/>
      <c r="S3125" s="298"/>
    </row>
    <row r="3126" spans="14:19" hidden="1" x14ac:dyDescent="0.25">
      <c r="N3126" s="17">
        <v>512.19999999999595</v>
      </c>
      <c r="O3126" s="16" t="s">
        <v>2982</v>
      </c>
      <c r="R3126" s="6"/>
      <c r="S3126" s="298"/>
    </row>
    <row r="3127" spans="14:19" hidden="1" x14ac:dyDescent="0.25">
      <c r="N3127" s="17">
        <v>512.29999999999598</v>
      </c>
      <c r="O3127" s="16" t="s">
        <v>2983</v>
      </c>
      <c r="R3127" s="6"/>
      <c r="S3127" s="298"/>
    </row>
    <row r="3128" spans="14:19" hidden="1" x14ac:dyDescent="0.25">
      <c r="N3128" s="17">
        <v>512.399999999996</v>
      </c>
      <c r="O3128" s="16" t="s">
        <v>2984</v>
      </c>
      <c r="R3128" s="6"/>
      <c r="S3128" s="298"/>
    </row>
    <row r="3129" spans="14:19" hidden="1" x14ac:dyDescent="0.25">
      <c r="N3129" s="17">
        <v>512.49999999999602</v>
      </c>
      <c r="O3129" s="16" t="s">
        <v>5113</v>
      </c>
      <c r="R3129" s="6"/>
      <c r="S3129" s="298"/>
    </row>
    <row r="3130" spans="14:19" hidden="1" x14ac:dyDescent="0.25">
      <c r="N3130" s="17">
        <v>512.59999999999604</v>
      </c>
      <c r="O3130" s="16" t="s">
        <v>5114</v>
      </c>
      <c r="R3130" s="6"/>
      <c r="S3130" s="298"/>
    </row>
    <row r="3131" spans="14:19" hidden="1" x14ac:dyDescent="0.25">
      <c r="N3131" s="17">
        <v>512.69999999999595</v>
      </c>
      <c r="O3131" s="16" t="s">
        <v>5115</v>
      </c>
      <c r="R3131" s="6"/>
      <c r="S3131" s="298"/>
    </row>
    <row r="3132" spans="14:19" hidden="1" x14ac:dyDescent="0.25">
      <c r="N3132" s="17">
        <v>512.79999999999598</v>
      </c>
      <c r="O3132" s="16" t="s">
        <v>5116</v>
      </c>
      <c r="R3132" s="6"/>
      <c r="S3132" s="298"/>
    </row>
    <row r="3133" spans="14:19" hidden="1" x14ac:dyDescent="0.25">
      <c r="N3133" s="17">
        <v>512.899999999996</v>
      </c>
      <c r="O3133" s="16" t="s">
        <v>5117</v>
      </c>
      <c r="R3133" s="6"/>
      <c r="S3133" s="298"/>
    </row>
    <row r="3134" spans="14:19" hidden="1" x14ac:dyDescent="0.25">
      <c r="N3134" s="17">
        <v>512.99999999999602</v>
      </c>
      <c r="O3134" s="16" t="s">
        <v>5118</v>
      </c>
      <c r="R3134" s="6"/>
      <c r="S3134" s="298"/>
    </row>
    <row r="3135" spans="14:19" hidden="1" x14ac:dyDescent="0.25">
      <c r="N3135" s="17">
        <v>513.09999999999604</v>
      </c>
      <c r="O3135" s="16" t="s">
        <v>5119</v>
      </c>
      <c r="R3135" s="6"/>
      <c r="S3135" s="298"/>
    </row>
    <row r="3136" spans="14:19" hidden="1" x14ac:dyDescent="0.25">
      <c r="N3136" s="17">
        <v>513.19999999999504</v>
      </c>
      <c r="O3136" s="16" t="s">
        <v>5120</v>
      </c>
      <c r="R3136" s="6"/>
      <c r="S3136" s="298"/>
    </row>
    <row r="3137" spans="14:19" hidden="1" x14ac:dyDescent="0.25">
      <c r="N3137" s="17">
        <v>513.29999999999598</v>
      </c>
      <c r="O3137" s="16" t="s">
        <v>5121</v>
      </c>
      <c r="R3137" s="6"/>
      <c r="S3137" s="298"/>
    </row>
    <row r="3138" spans="14:19" hidden="1" x14ac:dyDescent="0.25">
      <c r="N3138" s="17">
        <v>513.399999999996</v>
      </c>
      <c r="O3138" s="16" t="s">
        <v>5122</v>
      </c>
      <c r="R3138" s="6"/>
      <c r="S3138" s="298"/>
    </row>
    <row r="3139" spans="14:19" hidden="1" x14ac:dyDescent="0.25">
      <c r="N3139" s="17">
        <v>513.499999999995</v>
      </c>
      <c r="O3139" s="16" t="s">
        <v>5123</v>
      </c>
      <c r="R3139" s="6"/>
      <c r="S3139" s="298"/>
    </row>
    <row r="3140" spans="14:19" hidden="1" x14ac:dyDescent="0.25">
      <c r="N3140" s="17">
        <v>513.59999999999502</v>
      </c>
      <c r="O3140" s="16" t="s">
        <v>5124</v>
      </c>
      <c r="R3140" s="6"/>
      <c r="S3140" s="298"/>
    </row>
    <row r="3141" spans="14:19" hidden="1" x14ac:dyDescent="0.25">
      <c r="N3141" s="17">
        <v>513.69999999999504</v>
      </c>
      <c r="O3141" s="16" t="s">
        <v>5125</v>
      </c>
      <c r="R3141" s="6"/>
      <c r="S3141" s="298"/>
    </row>
    <row r="3142" spans="14:19" hidden="1" x14ac:dyDescent="0.25">
      <c r="N3142" s="17">
        <v>513.79999999999495</v>
      </c>
      <c r="O3142" s="16" t="s">
        <v>5126</v>
      </c>
      <c r="R3142" s="6"/>
      <c r="S3142" s="298"/>
    </row>
    <row r="3143" spans="14:19" hidden="1" x14ac:dyDescent="0.25">
      <c r="N3143" s="17">
        <v>513.89999999999498</v>
      </c>
      <c r="O3143" s="16" t="s">
        <v>5127</v>
      </c>
      <c r="R3143" s="6"/>
      <c r="S3143" s="298"/>
    </row>
    <row r="3144" spans="14:19" hidden="1" x14ac:dyDescent="0.25">
      <c r="N3144" s="17">
        <v>513.999999999995</v>
      </c>
      <c r="O3144" s="16" t="s">
        <v>5128</v>
      </c>
      <c r="R3144" s="6"/>
      <c r="S3144" s="298"/>
    </row>
    <row r="3145" spans="14:19" hidden="1" x14ac:dyDescent="0.25">
      <c r="N3145" s="17">
        <v>514.09999999999502</v>
      </c>
      <c r="O3145" s="16" t="s">
        <v>5129</v>
      </c>
      <c r="R3145" s="6"/>
      <c r="S3145" s="298"/>
    </row>
    <row r="3146" spans="14:19" hidden="1" x14ac:dyDescent="0.25">
      <c r="N3146" s="17">
        <v>514.19999999999504</v>
      </c>
      <c r="O3146" s="16" t="s">
        <v>5130</v>
      </c>
      <c r="R3146" s="6"/>
      <c r="S3146" s="298"/>
    </row>
    <row r="3147" spans="14:19" hidden="1" x14ac:dyDescent="0.25">
      <c r="N3147" s="17">
        <v>514.29999999999495</v>
      </c>
      <c r="O3147" s="16" t="s">
        <v>5131</v>
      </c>
      <c r="R3147" s="6"/>
      <c r="S3147" s="298"/>
    </row>
    <row r="3148" spans="14:19" hidden="1" x14ac:dyDescent="0.25">
      <c r="N3148" s="17">
        <v>514.39999999999498</v>
      </c>
      <c r="O3148" s="16" t="s">
        <v>5132</v>
      </c>
      <c r="R3148" s="6"/>
      <c r="S3148" s="298"/>
    </row>
    <row r="3149" spans="14:19" hidden="1" x14ac:dyDescent="0.25">
      <c r="N3149" s="17">
        <v>514.499999999995</v>
      </c>
      <c r="O3149" s="16" t="s">
        <v>5133</v>
      </c>
      <c r="R3149" s="6"/>
      <c r="S3149" s="298"/>
    </row>
    <row r="3150" spans="14:19" hidden="1" x14ac:dyDescent="0.25">
      <c r="N3150" s="17">
        <v>514.59999999999502</v>
      </c>
      <c r="O3150" s="16" t="s">
        <v>5134</v>
      </c>
      <c r="R3150" s="6"/>
      <c r="S3150" s="298"/>
    </row>
    <row r="3151" spans="14:19" hidden="1" x14ac:dyDescent="0.25">
      <c r="N3151" s="17">
        <v>514.69999999999504</v>
      </c>
      <c r="O3151" s="16" t="s">
        <v>5135</v>
      </c>
      <c r="R3151" s="6"/>
      <c r="S3151" s="298"/>
    </row>
    <row r="3152" spans="14:19" hidden="1" x14ac:dyDescent="0.25">
      <c r="N3152" s="17">
        <v>514.79999999999495</v>
      </c>
      <c r="O3152" s="16" t="s">
        <v>5136</v>
      </c>
      <c r="R3152" s="6"/>
      <c r="S3152" s="298"/>
    </row>
    <row r="3153" spans="14:19" hidden="1" x14ac:dyDescent="0.25">
      <c r="N3153" s="17">
        <v>514.89999999999498</v>
      </c>
      <c r="O3153" s="16" t="s">
        <v>3000</v>
      </c>
      <c r="R3153" s="6"/>
      <c r="S3153" s="298"/>
    </row>
    <row r="3154" spans="14:19" hidden="1" x14ac:dyDescent="0.25">
      <c r="N3154" s="17">
        <v>514.999999999995</v>
      </c>
      <c r="O3154" s="16" t="s">
        <v>3001</v>
      </c>
      <c r="R3154" s="6"/>
      <c r="S3154" s="298"/>
    </row>
    <row r="3155" spans="14:19" hidden="1" x14ac:dyDescent="0.25">
      <c r="N3155" s="17">
        <v>515.09999999999502</v>
      </c>
      <c r="O3155" s="16" t="s">
        <v>3002</v>
      </c>
      <c r="R3155" s="6"/>
      <c r="S3155" s="298"/>
    </row>
    <row r="3156" spans="14:19" hidden="1" x14ac:dyDescent="0.25">
      <c r="N3156" s="17">
        <v>515.19999999999504</v>
      </c>
      <c r="O3156" s="16" t="s">
        <v>3003</v>
      </c>
      <c r="R3156" s="6"/>
      <c r="S3156" s="298"/>
    </row>
    <row r="3157" spans="14:19" hidden="1" x14ac:dyDescent="0.25">
      <c r="N3157" s="17">
        <v>515.29999999999495</v>
      </c>
      <c r="O3157" s="16" t="s">
        <v>3004</v>
      </c>
      <c r="R3157" s="6"/>
      <c r="S3157" s="298"/>
    </row>
    <row r="3158" spans="14:19" hidden="1" x14ac:dyDescent="0.25">
      <c r="N3158" s="17">
        <v>515.39999999999498</v>
      </c>
      <c r="O3158" s="16" t="s">
        <v>3005</v>
      </c>
      <c r="R3158" s="6"/>
      <c r="S3158" s="298"/>
    </row>
    <row r="3159" spans="14:19" hidden="1" x14ac:dyDescent="0.25">
      <c r="N3159" s="17">
        <v>515.499999999995</v>
      </c>
      <c r="O3159" s="16" t="s">
        <v>3006</v>
      </c>
      <c r="R3159" s="6"/>
      <c r="S3159" s="298"/>
    </row>
    <row r="3160" spans="14:19" hidden="1" x14ac:dyDescent="0.25">
      <c r="N3160" s="17">
        <v>515.59999999999502</v>
      </c>
      <c r="O3160" s="16" t="s">
        <v>3007</v>
      </c>
      <c r="R3160" s="6"/>
      <c r="S3160" s="298"/>
    </row>
    <row r="3161" spans="14:19" hidden="1" x14ac:dyDescent="0.25">
      <c r="N3161" s="17">
        <v>515.69999999999504</v>
      </c>
      <c r="O3161" s="16" t="s">
        <v>3008</v>
      </c>
      <c r="R3161" s="6"/>
      <c r="S3161" s="298"/>
    </row>
    <row r="3162" spans="14:19" hidden="1" x14ac:dyDescent="0.25">
      <c r="N3162" s="17">
        <v>515.79999999999495</v>
      </c>
      <c r="O3162" s="16" t="s">
        <v>3009</v>
      </c>
      <c r="R3162" s="6"/>
      <c r="S3162" s="298"/>
    </row>
    <row r="3163" spans="14:19" hidden="1" x14ac:dyDescent="0.25">
      <c r="N3163" s="17">
        <v>515.89999999999498</v>
      </c>
      <c r="O3163" s="16" t="s">
        <v>3010</v>
      </c>
      <c r="R3163" s="6"/>
      <c r="S3163" s="298"/>
    </row>
    <row r="3164" spans="14:19" hidden="1" x14ac:dyDescent="0.25">
      <c r="N3164" s="17">
        <v>515.999999999995</v>
      </c>
      <c r="O3164" s="16" t="s">
        <v>3011</v>
      </c>
      <c r="R3164" s="6"/>
      <c r="S3164" s="298"/>
    </row>
    <row r="3165" spans="14:19" hidden="1" x14ac:dyDescent="0.25">
      <c r="N3165" s="17">
        <v>516.09999999999502</v>
      </c>
      <c r="O3165" s="16" t="s">
        <v>3012</v>
      </c>
      <c r="R3165" s="6"/>
      <c r="S3165" s="298"/>
    </row>
    <row r="3166" spans="14:19" hidden="1" x14ac:dyDescent="0.25">
      <c r="N3166" s="17">
        <v>516.19999999999402</v>
      </c>
      <c r="O3166" s="16" t="s">
        <v>3013</v>
      </c>
      <c r="R3166" s="6"/>
      <c r="S3166" s="298"/>
    </row>
    <row r="3167" spans="14:19" hidden="1" x14ac:dyDescent="0.25">
      <c r="N3167" s="17">
        <v>516.29999999999404</v>
      </c>
      <c r="O3167" s="16" t="s">
        <v>3014</v>
      </c>
      <c r="R3167" s="6"/>
      <c r="S3167" s="298"/>
    </row>
    <row r="3168" spans="14:19" hidden="1" x14ac:dyDescent="0.25">
      <c r="N3168" s="17">
        <v>516.39999999999395</v>
      </c>
      <c r="O3168" s="16" t="s">
        <v>3015</v>
      </c>
      <c r="R3168" s="6"/>
      <c r="S3168" s="298"/>
    </row>
    <row r="3169" spans="14:19" hidden="1" x14ac:dyDescent="0.25">
      <c r="N3169" s="17">
        <v>516.49999999999397</v>
      </c>
      <c r="O3169" s="16" t="s">
        <v>3016</v>
      </c>
      <c r="R3169" s="6"/>
      <c r="S3169" s="298"/>
    </row>
    <row r="3170" spans="14:19" hidden="1" x14ac:dyDescent="0.25">
      <c r="N3170" s="17">
        <v>516.599999999994</v>
      </c>
      <c r="O3170" s="16" t="s">
        <v>3017</v>
      </c>
      <c r="R3170" s="6"/>
      <c r="S3170" s="298"/>
    </row>
    <row r="3171" spans="14:19" hidden="1" x14ac:dyDescent="0.25">
      <c r="N3171" s="17">
        <v>516.69999999999402</v>
      </c>
      <c r="O3171" s="16" t="s">
        <v>755</v>
      </c>
      <c r="R3171" s="6"/>
      <c r="S3171" s="298"/>
    </row>
    <row r="3172" spans="14:19" hidden="1" x14ac:dyDescent="0.25">
      <c r="N3172" s="17">
        <v>516.79999999999404</v>
      </c>
      <c r="O3172" s="16" t="s">
        <v>756</v>
      </c>
      <c r="R3172" s="6"/>
      <c r="S3172" s="298"/>
    </row>
    <row r="3173" spans="14:19" hidden="1" x14ac:dyDescent="0.25">
      <c r="N3173" s="17">
        <v>516.89999999999395</v>
      </c>
      <c r="O3173" s="16" t="s">
        <v>757</v>
      </c>
      <c r="R3173" s="6"/>
      <c r="S3173" s="298"/>
    </row>
    <row r="3174" spans="14:19" hidden="1" x14ac:dyDescent="0.25">
      <c r="N3174" s="17">
        <v>516.99999999999397</v>
      </c>
      <c r="O3174" s="16" t="s">
        <v>758</v>
      </c>
      <c r="R3174" s="6"/>
      <c r="S3174" s="298"/>
    </row>
    <row r="3175" spans="14:19" hidden="1" x14ac:dyDescent="0.25">
      <c r="N3175" s="17">
        <v>517.099999999994</v>
      </c>
      <c r="O3175" s="16" t="s">
        <v>759</v>
      </c>
      <c r="R3175" s="6"/>
      <c r="S3175" s="298"/>
    </row>
    <row r="3176" spans="14:19" hidden="1" x14ac:dyDescent="0.25">
      <c r="N3176" s="17">
        <v>517.19999999999402</v>
      </c>
      <c r="O3176" s="16" t="s">
        <v>760</v>
      </c>
      <c r="R3176" s="6"/>
      <c r="S3176" s="298"/>
    </row>
    <row r="3177" spans="14:19" hidden="1" x14ac:dyDescent="0.25">
      <c r="N3177" s="17">
        <v>517.29999999999404</v>
      </c>
      <c r="O3177" s="16" t="s">
        <v>761</v>
      </c>
      <c r="R3177" s="6"/>
      <c r="S3177" s="298"/>
    </row>
    <row r="3178" spans="14:19" hidden="1" x14ac:dyDescent="0.25">
      <c r="N3178" s="17">
        <v>517.39999999999395</v>
      </c>
      <c r="O3178" s="16" t="s">
        <v>1779</v>
      </c>
      <c r="R3178" s="6"/>
      <c r="S3178" s="298"/>
    </row>
    <row r="3179" spans="14:19" hidden="1" x14ac:dyDescent="0.25">
      <c r="N3179" s="17">
        <v>517.49999999999397</v>
      </c>
      <c r="O3179" s="16" t="s">
        <v>1780</v>
      </c>
      <c r="R3179" s="6"/>
      <c r="S3179" s="298"/>
    </row>
    <row r="3180" spans="14:19" hidden="1" x14ac:dyDescent="0.25">
      <c r="N3180" s="17">
        <v>517.599999999994</v>
      </c>
      <c r="O3180" s="16" t="s">
        <v>1781</v>
      </c>
      <c r="R3180" s="6"/>
      <c r="S3180" s="298"/>
    </row>
    <row r="3181" spans="14:19" hidden="1" x14ac:dyDescent="0.25">
      <c r="N3181" s="17">
        <v>517.69999999999402</v>
      </c>
      <c r="O3181" s="16" t="s">
        <v>1782</v>
      </c>
      <c r="R3181" s="6"/>
      <c r="S3181" s="298"/>
    </row>
    <row r="3182" spans="14:19" hidden="1" x14ac:dyDescent="0.25">
      <c r="N3182" s="17">
        <v>517.79999999999404</v>
      </c>
      <c r="O3182" s="16" t="s">
        <v>1783</v>
      </c>
      <c r="R3182" s="6"/>
      <c r="S3182" s="298"/>
    </row>
    <row r="3183" spans="14:19" hidden="1" x14ac:dyDescent="0.25">
      <c r="N3183" s="17">
        <v>517.89999999999395</v>
      </c>
      <c r="O3183" s="16" t="s">
        <v>1784</v>
      </c>
      <c r="R3183" s="6"/>
      <c r="S3183" s="298"/>
    </row>
    <row r="3184" spans="14:19" hidden="1" x14ac:dyDescent="0.25">
      <c r="N3184" s="17">
        <v>517.99999999999397</v>
      </c>
      <c r="O3184" s="16" t="s">
        <v>2773</v>
      </c>
      <c r="R3184" s="6"/>
      <c r="S3184" s="298"/>
    </row>
    <row r="3185" spans="14:19" hidden="1" x14ac:dyDescent="0.25">
      <c r="N3185" s="17">
        <v>518.099999999994</v>
      </c>
      <c r="O3185" s="16" t="s">
        <v>2774</v>
      </c>
      <c r="R3185" s="6"/>
      <c r="S3185" s="298"/>
    </row>
    <row r="3186" spans="14:19" hidden="1" x14ac:dyDescent="0.25">
      <c r="N3186" s="17">
        <v>518.19999999999402</v>
      </c>
      <c r="O3186" s="16" t="s">
        <v>2775</v>
      </c>
      <c r="R3186" s="6"/>
      <c r="S3186" s="298"/>
    </row>
    <row r="3187" spans="14:19" hidden="1" x14ac:dyDescent="0.25">
      <c r="N3187" s="17">
        <v>518.29999999999404</v>
      </c>
      <c r="O3187" s="16" t="s">
        <v>2776</v>
      </c>
      <c r="R3187" s="6"/>
      <c r="S3187" s="298"/>
    </row>
    <row r="3188" spans="14:19" hidden="1" x14ac:dyDescent="0.25">
      <c r="N3188" s="17">
        <v>518.39999999999395</v>
      </c>
      <c r="O3188" s="16" t="s">
        <v>2777</v>
      </c>
      <c r="R3188" s="6"/>
      <c r="S3188" s="298"/>
    </row>
    <row r="3189" spans="14:19" hidden="1" x14ac:dyDescent="0.25">
      <c r="N3189" s="17">
        <v>518.49999999999397</v>
      </c>
      <c r="O3189" s="16" t="s">
        <v>2778</v>
      </c>
      <c r="R3189" s="6"/>
      <c r="S3189" s="298"/>
    </row>
    <row r="3190" spans="14:19" hidden="1" x14ac:dyDescent="0.25">
      <c r="N3190" s="17">
        <v>518.599999999994</v>
      </c>
      <c r="O3190" s="16" t="s">
        <v>2779</v>
      </c>
      <c r="R3190" s="6"/>
      <c r="S3190" s="298"/>
    </row>
    <row r="3191" spans="14:19" hidden="1" x14ac:dyDescent="0.25">
      <c r="N3191" s="17">
        <v>518.69999999999402</v>
      </c>
      <c r="O3191" s="16" t="s">
        <v>2780</v>
      </c>
      <c r="R3191" s="6"/>
      <c r="S3191" s="298"/>
    </row>
    <row r="3192" spans="14:19" hidden="1" x14ac:dyDescent="0.25">
      <c r="N3192" s="17">
        <v>518.79999999999404</v>
      </c>
      <c r="O3192" s="16" t="s">
        <v>2781</v>
      </c>
      <c r="R3192" s="6"/>
      <c r="S3192" s="298"/>
    </row>
    <row r="3193" spans="14:19" hidden="1" x14ac:dyDescent="0.25">
      <c r="N3193" s="17">
        <v>518.89999999999395</v>
      </c>
      <c r="O3193" s="16" t="s">
        <v>2782</v>
      </c>
      <c r="R3193" s="6"/>
      <c r="S3193" s="298"/>
    </row>
    <row r="3194" spans="14:19" hidden="1" x14ac:dyDescent="0.25">
      <c r="N3194" s="17">
        <v>518.99999999999397</v>
      </c>
      <c r="O3194" s="16" t="s">
        <v>2783</v>
      </c>
      <c r="R3194" s="6"/>
      <c r="S3194" s="298"/>
    </row>
    <row r="3195" spans="14:19" hidden="1" x14ac:dyDescent="0.25">
      <c r="N3195" s="17">
        <v>519.099999999994</v>
      </c>
      <c r="O3195" s="16" t="s">
        <v>2784</v>
      </c>
      <c r="R3195" s="6"/>
      <c r="S3195" s="298"/>
    </row>
    <row r="3196" spans="14:19" hidden="1" x14ac:dyDescent="0.25">
      <c r="N3196" s="17">
        <v>519.19999999999402</v>
      </c>
      <c r="O3196" s="16" t="s">
        <v>2785</v>
      </c>
      <c r="R3196" s="6"/>
      <c r="S3196" s="298"/>
    </row>
    <row r="3197" spans="14:19" hidden="1" x14ac:dyDescent="0.25">
      <c r="N3197" s="17">
        <v>519.29999999999302</v>
      </c>
      <c r="O3197" s="16" t="s">
        <v>2786</v>
      </c>
      <c r="R3197" s="6"/>
      <c r="S3197" s="298"/>
    </row>
    <row r="3198" spans="14:19" hidden="1" x14ac:dyDescent="0.25">
      <c r="N3198" s="17">
        <v>519.39999999999304</v>
      </c>
      <c r="O3198" s="16" t="s">
        <v>2787</v>
      </c>
      <c r="R3198" s="6"/>
      <c r="S3198" s="298"/>
    </row>
    <row r="3199" spans="14:19" hidden="1" x14ac:dyDescent="0.25">
      <c r="N3199" s="17">
        <v>519.49999999999295</v>
      </c>
      <c r="O3199" s="16" t="s">
        <v>2788</v>
      </c>
      <c r="R3199" s="6"/>
      <c r="S3199" s="298"/>
    </row>
    <row r="3200" spans="14:19" hidden="1" x14ac:dyDescent="0.25">
      <c r="N3200" s="17">
        <v>519.59999999999297</v>
      </c>
      <c r="O3200" s="16" t="s">
        <v>2789</v>
      </c>
      <c r="R3200" s="6"/>
      <c r="S3200" s="298"/>
    </row>
    <row r="3201" spans="14:19" hidden="1" x14ac:dyDescent="0.25">
      <c r="N3201" s="17">
        <v>519.699999999993</v>
      </c>
      <c r="O3201" s="16" t="s">
        <v>2790</v>
      </c>
      <c r="R3201" s="6"/>
      <c r="S3201" s="298"/>
    </row>
    <row r="3202" spans="14:19" hidden="1" x14ac:dyDescent="0.25">
      <c r="N3202" s="17">
        <v>519.79999999999302</v>
      </c>
      <c r="O3202" s="16" t="s">
        <v>2791</v>
      </c>
      <c r="R3202" s="6"/>
      <c r="S3202" s="298"/>
    </row>
    <row r="3203" spans="14:19" hidden="1" x14ac:dyDescent="0.25">
      <c r="N3203" s="17">
        <v>519.89999999999304</v>
      </c>
      <c r="O3203" s="16" t="s">
        <v>2792</v>
      </c>
      <c r="R3203" s="6"/>
      <c r="S3203" s="298"/>
    </row>
    <row r="3204" spans="14:19" hidden="1" x14ac:dyDescent="0.25">
      <c r="N3204" s="17">
        <v>519.99999999999295</v>
      </c>
      <c r="O3204" s="16" t="s">
        <v>2793</v>
      </c>
      <c r="R3204" s="6"/>
      <c r="S3204" s="298"/>
    </row>
    <row r="3205" spans="14:19" hidden="1" x14ac:dyDescent="0.25">
      <c r="N3205" s="17">
        <v>520.09999999999297</v>
      </c>
      <c r="O3205" s="16" t="s">
        <v>2794</v>
      </c>
      <c r="R3205" s="6"/>
      <c r="S3205" s="298"/>
    </row>
    <row r="3206" spans="14:19" hidden="1" x14ac:dyDescent="0.25">
      <c r="N3206" s="17">
        <v>520.199999999993</v>
      </c>
      <c r="O3206" s="16" t="s">
        <v>2795</v>
      </c>
      <c r="R3206" s="6"/>
      <c r="S3206" s="298"/>
    </row>
    <row r="3207" spans="14:19" hidden="1" x14ac:dyDescent="0.25">
      <c r="N3207" s="17">
        <v>520.29999999999302</v>
      </c>
      <c r="O3207" s="16" t="s">
        <v>2796</v>
      </c>
      <c r="R3207" s="6"/>
      <c r="S3207" s="298"/>
    </row>
    <row r="3208" spans="14:19" hidden="1" x14ac:dyDescent="0.25">
      <c r="N3208" s="17">
        <v>520.39999999999304</v>
      </c>
      <c r="O3208" s="16" t="s">
        <v>2797</v>
      </c>
      <c r="R3208" s="6"/>
      <c r="S3208" s="298"/>
    </row>
    <row r="3209" spans="14:19" hidden="1" x14ac:dyDescent="0.25">
      <c r="N3209" s="17">
        <v>520.49999999999295</v>
      </c>
      <c r="O3209" s="16" t="s">
        <v>2798</v>
      </c>
      <c r="R3209" s="6"/>
      <c r="S3209" s="298"/>
    </row>
    <row r="3210" spans="14:19" hidden="1" x14ac:dyDescent="0.25">
      <c r="N3210" s="17">
        <v>520.59999999999297</v>
      </c>
      <c r="O3210" s="16" t="s">
        <v>2799</v>
      </c>
      <c r="R3210" s="6"/>
      <c r="S3210" s="298"/>
    </row>
    <row r="3211" spans="14:19" hidden="1" x14ac:dyDescent="0.25">
      <c r="N3211" s="17">
        <v>520.699999999993</v>
      </c>
      <c r="O3211" s="16" t="s">
        <v>2800</v>
      </c>
      <c r="R3211" s="6"/>
      <c r="S3211" s="298"/>
    </row>
    <row r="3212" spans="14:19" hidden="1" x14ac:dyDescent="0.25">
      <c r="N3212" s="17">
        <v>520.79999999999302</v>
      </c>
      <c r="O3212" s="16" t="s">
        <v>5192</v>
      </c>
      <c r="R3212" s="6"/>
      <c r="S3212" s="298"/>
    </row>
    <row r="3213" spans="14:19" hidden="1" x14ac:dyDescent="0.25">
      <c r="N3213" s="17">
        <v>520.89999999999304</v>
      </c>
      <c r="O3213" s="16" t="s">
        <v>5193</v>
      </c>
      <c r="R3213" s="6"/>
      <c r="S3213" s="298"/>
    </row>
    <row r="3214" spans="14:19" hidden="1" x14ac:dyDescent="0.25">
      <c r="N3214" s="17">
        <v>520.99999999999295</v>
      </c>
      <c r="O3214" s="16" t="s">
        <v>2794</v>
      </c>
      <c r="R3214" s="6"/>
      <c r="S3214" s="298"/>
    </row>
    <row r="3215" spans="14:19" hidden="1" x14ac:dyDescent="0.25">
      <c r="N3215" s="17">
        <v>521.09999999999297</v>
      </c>
      <c r="O3215" s="16" t="s">
        <v>5194</v>
      </c>
      <c r="R3215" s="6"/>
      <c r="S3215" s="298"/>
    </row>
    <row r="3216" spans="14:19" hidden="1" x14ac:dyDescent="0.25">
      <c r="N3216" s="17">
        <v>521.199999999993</v>
      </c>
      <c r="O3216" s="16" t="s">
        <v>5195</v>
      </c>
      <c r="R3216" s="6"/>
      <c r="S3216" s="298"/>
    </row>
    <row r="3217" spans="14:19" hidden="1" x14ac:dyDescent="0.25">
      <c r="N3217" s="17">
        <v>521.29999999999302</v>
      </c>
      <c r="O3217" s="16" t="s">
        <v>5196</v>
      </c>
      <c r="R3217" s="6"/>
      <c r="S3217" s="298"/>
    </row>
    <row r="3218" spans="14:19" hidden="1" x14ac:dyDescent="0.25">
      <c r="N3218" s="17">
        <v>521.39999999999304</v>
      </c>
      <c r="O3218" s="16" t="s">
        <v>5197</v>
      </c>
      <c r="R3218" s="6"/>
      <c r="S3218" s="298"/>
    </row>
    <row r="3219" spans="14:19" hidden="1" x14ac:dyDescent="0.25">
      <c r="N3219" s="17">
        <v>521.49999999999295</v>
      </c>
      <c r="O3219" s="16" t="s">
        <v>5198</v>
      </c>
      <c r="R3219" s="6"/>
      <c r="S3219" s="298"/>
    </row>
    <row r="3220" spans="14:19" hidden="1" x14ac:dyDescent="0.25">
      <c r="N3220" s="17">
        <v>521.59999999999297</v>
      </c>
      <c r="O3220" s="16" t="s">
        <v>5199</v>
      </c>
      <c r="R3220" s="6"/>
      <c r="S3220" s="298"/>
    </row>
    <row r="3221" spans="14:19" hidden="1" x14ac:dyDescent="0.25">
      <c r="N3221" s="17">
        <v>521.699999999993</v>
      </c>
      <c r="O3221" s="16" t="s">
        <v>5200</v>
      </c>
      <c r="R3221" s="6"/>
      <c r="S3221" s="298"/>
    </row>
    <row r="3222" spans="14:19" hidden="1" x14ac:dyDescent="0.25">
      <c r="N3222" s="17">
        <v>521.79999999999302</v>
      </c>
      <c r="O3222" s="16" t="s">
        <v>5201</v>
      </c>
      <c r="R3222" s="6"/>
      <c r="S3222" s="298"/>
    </row>
    <row r="3223" spans="14:19" hidden="1" x14ac:dyDescent="0.25">
      <c r="N3223" s="17">
        <v>521.89999999999304</v>
      </c>
      <c r="O3223" s="16" t="s">
        <v>5202</v>
      </c>
      <c r="R3223" s="6"/>
      <c r="S3223" s="298"/>
    </row>
    <row r="3224" spans="14:19" hidden="1" x14ac:dyDescent="0.25">
      <c r="N3224" s="17">
        <v>521.99999999999204</v>
      </c>
      <c r="O3224" s="16" t="s">
        <v>5203</v>
      </c>
      <c r="R3224" s="6"/>
      <c r="S3224" s="298"/>
    </row>
    <row r="3225" spans="14:19" hidden="1" x14ac:dyDescent="0.25">
      <c r="N3225" s="17">
        <v>522.09999999999297</v>
      </c>
      <c r="O3225" s="16" t="s">
        <v>5204</v>
      </c>
      <c r="R3225" s="6"/>
      <c r="S3225" s="298"/>
    </row>
    <row r="3226" spans="14:19" hidden="1" x14ac:dyDescent="0.25">
      <c r="N3226" s="17">
        <v>522.199999999993</v>
      </c>
      <c r="O3226" s="16" t="s">
        <v>5205</v>
      </c>
      <c r="R3226" s="6"/>
      <c r="S3226" s="298"/>
    </row>
    <row r="3227" spans="14:19" hidden="1" x14ac:dyDescent="0.25">
      <c r="N3227" s="17">
        <v>522.299999999992</v>
      </c>
      <c r="O3227" s="16" t="s">
        <v>5206</v>
      </c>
      <c r="R3227" s="6"/>
      <c r="S3227" s="298"/>
    </row>
    <row r="3228" spans="14:19" hidden="1" x14ac:dyDescent="0.25">
      <c r="N3228" s="17">
        <v>522.39999999999202</v>
      </c>
      <c r="O3228" s="16" t="s">
        <v>5207</v>
      </c>
      <c r="R3228" s="6"/>
      <c r="S3228" s="298"/>
    </row>
    <row r="3229" spans="14:19" hidden="1" x14ac:dyDescent="0.25">
      <c r="N3229" s="17">
        <v>522.49999999999204</v>
      </c>
      <c r="O3229" s="16" t="s">
        <v>3064</v>
      </c>
      <c r="R3229" s="6"/>
      <c r="S3229" s="298"/>
    </row>
    <row r="3230" spans="14:19" hidden="1" x14ac:dyDescent="0.25">
      <c r="N3230" s="17">
        <v>522.59999999999195</v>
      </c>
      <c r="O3230" s="16" t="s">
        <v>3065</v>
      </c>
      <c r="R3230" s="6"/>
      <c r="S3230" s="298"/>
    </row>
    <row r="3231" spans="14:19" hidden="1" x14ac:dyDescent="0.25">
      <c r="N3231" s="17">
        <v>522.69999999999197</v>
      </c>
      <c r="O3231" s="16" t="s">
        <v>3066</v>
      </c>
      <c r="R3231" s="6"/>
      <c r="S3231" s="298"/>
    </row>
    <row r="3232" spans="14:19" hidden="1" x14ac:dyDescent="0.25">
      <c r="N3232" s="17">
        <v>522.799999999992</v>
      </c>
      <c r="O3232" s="16" t="s">
        <v>3067</v>
      </c>
      <c r="R3232" s="6"/>
      <c r="S3232" s="298"/>
    </row>
    <row r="3233" spans="14:19" hidden="1" x14ac:dyDescent="0.25">
      <c r="N3233" s="17">
        <v>522.89999999999202</v>
      </c>
      <c r="O3233" s="16" t="s">
        <v>3068</v>
      </c>
      <c r="R3233" s="6"/>
      <c r="S3233" s="298"/>
    </row>
    <row r="3234" spans="14:19" hidden="1" x14ac:dyDescent="0.25">
      <c r="N3234" s="17">
        <v>522.99999999999204</v>
      </c>
      <c r="O3234" s="16" t="s">
        <v>586</v>
      </c>
      <c r="R3234" s="6"/>
      <c r="S3234" s="298"/>
    </row>
    <row r="3235" spans="14:19" hidden="1" x14ac:dyDescent="0.25">
      <c r="N3235" s="17">
        <v>523.09999999999195</v>
      </c>
      <c r="O3235" s="16" t="s">
        <v>587</v>
      </c>
      <c r="R3235" s="6"/>
      <c r="S3235" s="298"/>
    </row>
    <row r="3236" spans="14:19" hidden="1" x14ac:dyDescent="0.25">
      <c r="N3236" s="17">
        <v>523.19999999999197</v>
      </c>
      <c r="O3236" s="16" t="s">
        <v>588</v>
      </c>
      <c r="R3236" s="6"/>
      <c r="S3236" s="298"/>
    </row>
    <row r="3237" spans="14:19" hidden="1" x14ac:dyDescent="0.25">
      <c r="N3237" s="17">
        <v>523.299999999992</v>
      </c>
      <c r="O3237" s="16" t="s">
        <v>589</v>
      </c>
      <c r="R3237" s="6"/>
      <c r="S3237" s="298"/>
    </row>
    <row r="3238" spans="14:19" hidden="1" x14ac:dyDescent="0.25">
      <c r="N3238" s="17">
        <v>523.39999999999202</v>
      </c>
      <c r="O3238" s="16" t="s">
        <v>590</v>
      </c>
      <c r="R3238" s="6"/>
      <c r="S3238" s="298"/>
    </row>
    <row r="3239" spans="14:19" hidden="1" x14ac:dyDescent="0.25">
      <c r="N3239" s="17">
        <v>523.49999999999204</v>
      </c>
      <c r="O3239" s="16" t="s">
        <v>591</v>
      </c>
      <c r="R3239" s="6"/>
      <c r="S3239" s="298"/>
    </row>
    <row r="3240" spans="14:19" hidden="1" x14ac:dyDescent="0.25">
      <c r="N3240" s="17">
        <v>523.59999999999195</v>
      </c>
      <c r="O3240" s="16" t="s">
        <v>592</v>
      </c>
      <c r="R3240" s="6"/>
      <c r="S3240" s="298"/>
    </row>
    <row r="3241" spans="14:19" hidden="1" x14ac:dyDescent="0.25">
      <c r="N3241" s="17">
        <v>523.69999999999197</v>
      </c>
      <c r="O3241" s="16" t="s">
        <v>593</v>
      </c>
      <c r="R3241" s="6"/>
      <c r="S3241" s="298"/>
    </row>
    <row r="3242" spans="14:19" hidden="1" x14ac:dyDescent="0.25">
      <c r="N3242" s="17">
        <v>523.799999999992</v>
      </c>
      <c r="O3242" s="16" t="s">
        <v>594</v>
      </c>
      <c r="R3242" s="6"/>
      <c r="S3242" s="298"/>
    </row>
    <row r="3243" spans="14:19" hidden="1" x14ac:dyDescent="0.25">
      <c r="N3243" s="17">
        <v>523.89999999999202</v>
      </c>
      <c r="O3243" s="16" t="s">
        <v>595</v>
      </c>
      <c r="R3243" s="6"/>
      <c r="S3243" s="298"/>
    </row>
    <row r="3244" spans="14:19" hidden="1" x14ac:dyDescent="0.25">
      <c r="N3244" s="17">
        <v>523.99999999999204</v>
      </c>
      <c r="O3244" s="16" t="s">
        <v>596</v>
      </c>
      <c r="R3244" s="6"/>
      <c r="S3244" s="298"/>
    </row>
    <row r="3245" spans="14:19" hidden="1" x14ac:dyDescent="0.25">
      <c r="N3245" s="17">
        <v>524.09999999999195</v>
      </c>
      <c r="O3245" s="16" t="s">
        <v>597</v>
      </c>
      <c r="R3245" s="6"/>
      <c r="S3245" s="298"/>
    </row>
    <row r="3246" spans="14:19" hidden="1" x14ac:dyDescent="0.25">
      <c r="N3246" s="17">
        <v>524.19999999999197</v>
      </c>
      <c r="O3246" s="16" t="s">
        <v>598</v>
      </c>
      <c r="R3246" s="6"/>
      <c r="S3246" s="298"/>
    </row>
    <row r="3247" spans="14:19" hidden="1" x14ac:dyDescent="0.25">
      <c r="N3247" s="17">
        <v>524.299999999992</v>
      </c>
      <c r="O3247" s="16" t="s">
        <v>599</v>
      </c>
      <c r="R3247" s="6"/>
      <c r="S3247" s="298"/>
    </row>
    <row r="3248" spans="14:19" hidden="1" x14ac:dyDescent="0.25">
      <c r="N3248" s="17">
        <v>524.39999999999202</v>
      </c>
      <c r="O3248" s="16" t="s">
        <v>600</v>
      </c>
      <c r="R3248" s="6"/>
      <c r="S3248" s="298"/>
    </row>
    <row r="3249" spans="14:19" hidden="1" x14ac:dyDescent="0.25">
      <c r="N3249" s="17">
        <v>524.49999999999204</v>
      </c>
      <c r="O3249" s="16" t="s">
        <v>601</v>
      </c>
      <c r="R3249" s="6"/>
      <c r="S3249" s="298"/>
    </row>
    <row r="3250" spans="14:19" hidden="1" x14ac:dyDescent="0.25">
      <c r="N3250" s="17">
        <v>524.59999999999195</v>
      </c>
      <c r="O3250" s="16" t="s">
        <v>602</v>
      </c>
      <c r="R3250" s="6"/>
      <c r="S3250" s="298"/>
    </row>
    <row r="3251" spans="14:19" hidden="1" x14ac:dyDescent="0.25">
      <c r="N3251" s="17">
        <v>524.69999999999197</v>
      </c>
      <c r="O3251" s="16" t="s">
        <v>603</v>
      </c>
      <c r="R3251" s="6"/>
      <c r="S3251" s="298"/>
    </row>
    <row r="3252" spans="14:19" hidden="1" x14ac:dyDescent="0.25">
      <c r="N3252" s="17">
        <v>524.799999999992</v>
      </c>
      <c r="O3252" s="16" t="s">
        <v>2879</v>
      </c>
      <c r="R3252" s="6"/>
      <c r="S3252" s="298"/>
    </row>
    <row r="3253" spans="14:19" hidden="1" x14ac:dyDescent="0.25">
      <c r="N3253" s="17">
        <v>524.89999999999202</v>
      </c>
      <c r="O3253" s="16" t="s">
        <v>2880</v>
      </c>
      <c r="R3253" s="6"/>
      <c r="S3253" s="298"/>
    </row>
    <row r="3254" spans="14:19" hidden="1" x14ac:dyDescent="0.25">
      <c r="N3254" s="17">
        <v>524.99999999999102</v>
      </c>
      <c r="O3254" s="16" t="s">
        <v>2881</v>
      </c>
      <c r="R3254" s="6"/>
      <c r="S3254" s="298"/>
    </row>
    <row r="3255" spans="14:19" hidden="1" x14ac:dyDescent="0.25">
      <c r="N3255" s="17">
        <v>525.09999999999104</v>
      </c>
      <c r="O3255" s="16" t="s">
        <v>2882</v>
      </c>
      <c r="R3255" s="6"/>
      <c r="S3255" s="298"/>
    </row>
    <row r="3256" spans="14:19" hidden="1" x14ac:dyDescent="0.25">
      <c r="N3256" s="17">
        <v>525.19999999999095</v>
      </c>
      <c r="O3256" s="16" t="s">
        <v>2883</v>
      </c>
      <c r="R3256" s="6"/>
      <c r="S3256" s="298"/>
    </row>
    <row r="3257" spans="14:19" hidden="1" x14ac:dyDescent="0.25">
      <c r="N3257" s="17">
        <v>525.29999999999097</v>
      </c>
      <c r="O3257" s="16" t="s">
        <v>2884</v>
      </c>
      <c r="R3257" s="6"/>
      <c r="S3257" s="298"/>
    </row>
    <row r="3258" spans="14:19" hidden="1" x14ac:dyDescent="0.25">
      <c r="N3258" s="17">
        <v>525.399999999991</v>
      </c>
      <c r="O3258" s="16" t="s">
        <v>2885</v>
      </c>
      <c r="R3258" s="6"/>
      <c r="S3258" s="298"/>
    </row>
    <row r="3259" spans="14:19" hidden="1" x14ac:dyDescent="0.25">
      <c r="N3259" s="17">
        <v>525.49999999999102</v>
      </c>
      <c r="O3259" s="16" t="s">
        <v>2886</v>
      </c>
      <c r="R3259" s="6"/>
      <c r="S3259" s="298"/>
    </row>
    <row r="3260" spans="14:19" hidden="1" x14ac:dyDescent="0.25">
      <c r="N3260" s="17">
        <v>525.59999999999104</v>
      </c>
      <c r="O3260" s="16" t="s">
        <v>2887</v>
      </c>
      <c r="R3260" s="6"/>
      <c r="S3260" s="298"/>
    </row>
    <row r="3261" spans="14:19" hidden="1" x14ac:dyDescent="0.25">
      <c r="N3261" s="17">
        <v>525.69999999999095</v>
      </c>
      <c r="O3261" s="16" t="s">
        <v>2888</v>
      </c>
      <c r="R3261" s="6"/>
      <c r="S3261" s="298"/>
    </row>
    <row r="3262" spans="14:19" hidden="1" x14ac:dyDescent="0.25">
      <c r="N3262" s="17">
        <v>525.79999999999097</v>
      </c>
      <c r="O3262" s="16" t="s">
        <v>2889</v>
      </c>
      <c r="R3262" s="6"/>
      <c r="S3262" s="298"/>
    </row>
    <row r="3263" spans="14:19" hidden="1" x14ac:dyDescent="0.25">
      <c r="N3263" s="17">
        <v>525.899999999991</v>
      </c>
      <c r="O3263" s="16" t="s">
        <v>2890</v>
      </c>
      <c r="R3263" s="6"/>
      <c r="S3263" s="298"/>
    </row>
    <row r="3264" spans="14:19" hidden="1" x14ac:dyDescent="0.25">
      <c r="N3264" s="17">
        <v>525.99999999999102</v>
      </c>
      <c r="O3264" s="16" t="s">
        <v>2891</v>
      </c>
      <c r="R3264" s="6"/>
      <c r="S3264" s="298"/>
    </row>
    <row r="3265" spans="14:19" hidden="1" x14ac:dyDescent="0.25">
      <c r="N3265" s="17">
        <v>526.09999999999104</v>
      </c>
      <c r="O3265" s="16" t="s">
        <v>2892</v>
      </c>
      <c r="R3265" s="6"/>
      <c r="S3265" s="298"/>
    </row>
    <row r="3266" spans="14:19" hidden="1" x14ac:dyDescent="0.25">
      <c r="N3266" s="17">
        <v>526.19999999999095</v>
      </c>
      <c r="O3266" s="16" t="s">
        <v>2893</v>
      </c>
      <c r="R3266" s="6"/>
      <c r="S3266" s="298"/>
    </row>
    <row r="3267" spans="14:19" hidden="1" x14ac:dyDescent="0.25">
      <c r="N3267" s="17">
        <v>526.29999999999097</v>
      </c>
      <c r="O3267" s="16" t="s">
        <v>500</v>
      </c>
      <c r="R3267" s="6"/>
      <c r="S3267" s="298"/>
    </row>
    <row r="3268" spans="14:19" hidden="1" x14ac:dyDescent="0.25">
      <c r="N3268" s="17">
        <v>526.399999999991</v>
      </c>
      <c r="O3268" s="16" t="s">
        <v>501</v>
      </c>
      <c r="R3268" s="6"/>
      <c r="S3268" s="298"/>
    </row>
    <row r="3269" spans="14:19" hidden="1" x14ac:dyDescent="0.25">
      <c r="N3269" s="17">
        <v>526.49999999999102</v>
      </c>
      <c r="O3269" s="16" t="s">
        <v>502</v>
      </c>
      <c r="R3269" s="6"/>
      <c r="S3269" s="298"/>
    </row>
    <row r="3270" spans="14:19" hidden="1" x14ac:dyDescent="0.25">
      <c r="N3270" s="17">
        <v>526.59999999999104</v>
      </c>
      <c r="O3270" s="16" t="s">
        <v>503</v>
      </c>
      <c r="R3270" s="6"/>
      <c r="S3270" s="298"/>
    </row>
    <row r="3271" spans="14:19" hidden="1" x14ac:dyDescent="0.25">
      <c r="N3271" s="17">
        <v>526.69999999999095</v>
      </c>
      <c r="O3271" s="16" t="s">
        <v>504</v>
      </c>
      <c r="R3271" s="6"/>
      <c r="S3271" s="298"/>
    </row>
    <row r="3272" spans="14:19" hidden="1" x14ac:dyDescent="0.25">
      <c r="N3272" s="17">
        <v>526.79999999999097</v>
      </c>
      <c r="O3272" s="16" t="s">
        <v>505</v>
      </c>
      <c r="R3272" s="6"/>
      <c r="S3272" s="298"/>
    </row>
    <row r="3273" spans="14:19" hidden="1" x14ac:dyDescent="0.25">
      <c r="N3273" s="17">
        <v>526.899999999991</v>
      </c>
      <c r="O3273" s="16" t="s">
        <v>506</v>
      </c>
      <c r="R3273" s="6"/>
      <c r="S3273" s="298"/>
    </row>
    <row r="3274" spans="14:19" hidden="1" x14ac:dyDescent="0.25">
      <c r="N3274" s="17">
        <v>526.99999999999102</v>
      </c>
      <c r="O3274" s="16" t="s">
        <v>507</v>
      </c>
      <c r="R3274" s="6"/>
      <c r="S3274" s="298"/>
    </row>
    <row r="3275" spans="14:19" hidden="1" x14ac:dyDescent="0.25">
      <c r="N3275" s="17">
        <v>527.09999999999104</v>
      </c>
      <c r="O3275" s="16" t="s">
        <v>508</v>
      </c>
      <c r="R3275" s="6"/>
      <c r="S3275" s="298"/>
    </row>
    <row r="3276" spans="14:19" hidden="1" x14ac:dyDescent="0.25">
      <c r="N3276" s="17">
        <v>527.19999999999095</v>
      </c>
      <c r="O3276" s="16" t="s">
        <v>509</v>
      </c>
      <c r="R3276" s="6"/>
      <c r="S3276" s="298"/>
    </row>
    <row r="3277" spans="14:19" hidden="1" x14ac:dyDescent="0.25">
      <c r="N3277" s="17">
        <v>527.29999999999097</v>
      </c>
      <c r="O3277" s="16" t="s">
        <v>510</v>
      </c>
      <c r="R3277" s="6"/>
      <c r="S3277" s="298"/>
    </row>
    <row r="3278" spans="14:19" hidden="1" x14ac:dyDescent="0.25">
      <c r="N3278" s="17">
        <v>527.399999999991</v>
      </c>
      <c r="O3278" s="16" t="s">
        <v>511</v>
      </c>
      <c r="R3278" s="6"/>
      <c r="S3278" s="298"/>
    </row>
    <row r="3279" spans="14:19" hidden="1" x14ac:dyDescent="0.25">
      <c r="N3279" s="17">
        <v>527.49999999999102</v>
      </c>
      <c r="O3279" s="16" t="s">
        <v>512</v>
      </c>
      <c r="R3279" s="6"/>
      <c r="S3279" s="298"/>
    </row>
    <row r="3280" spans="14:19" hidden="1" x14ac:dyDescent="0.25">
      <c r="N3280" s="17">
        <v>527.59999999999104</v>
      </c>
      <c r="O3280" s="16" t="s">
        <v>1656</v>
      </c>
      <c r="R3280" s="6"/>
      <c r="S3280" s="298"/>
    </row>
    <row r="3281" spans="14:19" hidden="1" x14ac:dyDescent="0.25">
      <c r="N3281" s="17">
        <v>527.69999999999095</v>
      </c>
      <c r="O3281" s="16" t="s">
        <v>1657</v>
      </c>
      <c r="R3281" s="6"/>
      <c r="S3281" s="298"/>
    </row>
    <row r="3282" spans="14:19" hidden="1" x14ac:dyDescent="0.25">
      <c r="N3282" s="17">
        <v>527.79999999999097</v>
      </c>
      <c r="O3282" s="16" t="s">
        <v>1658</v>
      </c>
      <c r="R3282" s="6"/>
      <c r="S3282" s="298"/>
    </row>
    <row r="3283" spans="14:19" hidden="1" x14ac:dyDescent="0.25">
      <c r="N3283" s="17">
        <v>527.899999999991</v>
      </c>
      <c r="O3283" s="16" t="s">
        <v>1659</v>
      </c>
      <c r="R3283" s="6"/>
      <c r="S3283" s="298"/>
    </row>
    <row r="3284" spans="14:19" hidden="1" x14ac:dyDescent="0.25">
      <c r="N3284" s="17">
        <v>527.99999999999102</v>
      </c>
      <c r="O3284" s="16" t="s">
        <v>1660</v>
      </c>
      <c r="R3284" s="6"/>
      <c r="S3284" s="298"/>
    </row>
    <row r="3285" spans="14:19" hidden="1" x14ac:dyDescent="0.25">
      <c r="N3285" s="17">
        <v>528.09999999999002</v>
      </c>
      <c r="O3285" s="16" t="s">
        <v>1661</v>
      </c>
      <c r="R3285" s="6"/>
      <c r="S3285" s="298"/>
    </row>
    <row r="3286" spans="14:19" hidden="1" x14ac:dyDescent="0.25">
      <c r="N3286" s="17">
        <v>528.19999999999004</v>
      </c>
      <c r="O3286" s="16" t="s">
        <v>1662</v>
      </c>
      <c r="R3286" s="6"/>
      <c r="S3286" s="298"/>
    </row>
    <row r="3287" spans="14:19" hidden="1" x14ac:dyDescent="0.25">
      <c r="N3287" s="17">
        <v>528.29999999998995</v>
      </c>
      <c r="O3287" s="16" t="s">
        <v>1663</v>
      </c>
      <c r="R3287" s="6"/>
      <c r="S3287" s="298"/>
    </row>
    <row r="3288" spans="14:19" hidden="1" x14ac:dyDescent="0.25">
      <c r="N3288" s="17">
        <v>528.39999999998997</v>
      </c>
      <c r="O3288" s="16" t="s">
        <v>1664</v>
      </c>
      <c r="R3288" s="6"/>
      <c r="S3288" s="298"/>
    </row>
    <row r="3289" spans="14:19" hidden="1" x14ac:dyDescent="0.25">
      <c r="N3289" s="17">
        <v>528.49999999999</v>
      </c>
      <c r="O3289" s="16" t="s">
        <v>1665</v>
      </c>
      <c r="R3289" s="6"/>
      <c r="S3289" s="298"/>
    </row>
    <row r="3290" spans="14:19" hidden="1" x14ac:dyDescent="0.25">
      <c r="N3290" s="17">
        <v>528.59999999999002</v>
      </c>
      <c r="O3290" s="16" t="s">
        <v>1666</v>
      </c>
      <c r="R3290" s="6"/>
      <c r="S3290" s="298"/>
    </row>
    <row r="3291" spans="14:19" hidden="1" x14ac:dyDescent="0.25">
      <c r="N3291" s="17">
        <v>528.69999999999004</v>
      </c>
      <c r="O3291" s="16" t="s">
        <v>7310</v>
      </c>
      <c r="R3291" s="6"/>
      <c r="S3291" s="298"/>
    </row>
    <row r="3292" spans="14:19" hidden="1" x14ac:dyDescent="0.25">
      <c r="N3292" s="17">
        <v>528.79999999998995</v>
      </c>
      <c r="O3292" s="16" t="s">
        <v>7311</v>
      </c>
      <c r="R3292" s="6"/>
      <c r="S3292" s="298"/>
    </row>
    <row r="3293" spans="14:19" hidden="1" x14ac:dyDescent="0.25">
      <c r="N3293" s="17">
        <v>528.89999999998997</v>
      </c>
      <c r="O3293" s="16" t="s">
        <v>7312</v>
      </c>
      <c r="R3293" s="6"/>
      <c r="S3293" s="298"/>
    </row>
    <row r="3294" spans="14:19" hidden="1" x14ac:dyDescent="0.25">
      <c r="N3294" s="17">
        <v>528.99999999999</v>
      </c>
      <c r="O3294" s="16" t="s">
        <v>7313</v>
      </c>
      <c r="R3294" s="6"/>
      <c r="S3294" s="298"/>
    </row>
    <row r="3295" spans="14:19" hidden="1" x14ac:dyDescent="0.25">
      <c r="N3295" s="17">
        <v>529.09999999999002</v>
      </c>
      <c r="O3295" s="16" t="s">
        <v>7314</v>
      </c>
      <c r="R3295" s="6"/>
      <c r="S3295" s="298"/>
    </row>
    <row r="3296" spans="14:19" hidden="1" x14ac:dyDescent="0.25">
      <c r="N3296" s="17">
        <v>529.19999999999004</v>
      </c>
      <c r="O3296" s="16" t="s">
        <v>7315</v>
      </c>
      <c r="R3296" s="6"/>
      <c r="S3296" s="298"/>
    </row>
    <row r="3297" spans="14:19" hidden="1" x14ac:dyDescent="0.25">
      <c r="N3297" s="17">
        <v>529.29999999998995</v>
      </c>
      <c r="O3297" s="16" t="s">
        <v>7316</v>
      </c>
      <c r="R3297" s="6"/>
      <c r="S3297" s="298"/>
    </row>
    <row r="3298" spans="14:19" hidden="1" x14ac:dyDescent="0.25">
      <c r="N3298" s="17">
        <v>529.39999999998997</v>
      </c>
      <c r="O3298" s="16" t="s">
        <v>7317</v>
      </c>
      <c r="R3298" s="6"/>
      <c r="S3298" s="298"/>
    </row>
    <row r="3299" spans="14:19" hidden="1" x14ac:dyDescent="0.25">
      <c r="N3299" s="17">
        <v>529.49999999999</v>
      </c>
      <c r="O3299" s="16" t="s">
        <v>5252</v>
      </c>
      <c r="R3299" s="6"/>
      <c r="S3299" s="298"/>
    </row>
    <row r="3300" spans="14:19" hidden="1" x14ac:dyDescent="0.25">
      <c r="N3300" s="17">
        <v>529.59999999999002</v>
      </c>
      <c r="O3300" s="16" t="s">
        <v>5253</v>
      </c>
      <c r="R3300" s="6"/>
      <c r="S3300" s="298"/>
    </row>
    <row r="3301" spans="14:19" hidden="1" x14ac:dyDescent="0.25">
      <c r="N3301" s="17">
        <v>529.69999999999004</v>
      </c>
      <c r="O3301" s="16" t="s">
        <v>5254</v>
      </c>
      <c r="R3301" s="6"/>
      <c r="S3301" s="298"/>
    </row>
    <row r="3302" spans="14:19" hidden="1" x14ac:dyDescent="0.25">
      <c r="N3302" s="17">
        <v>529.79999999998995</v>
      </c>
      <c r="O3302" s="16" t="s">
        <v>5255</v>
      </c>
      <c r="R3302" s="6"/>
      <c r="S3302" s="298"/>
    </row>
    <row r="3303" spans="14:19" hidden="1" x14ac:dyDescent="0.25">
      <c r="N3303" s="17">
        <v>529.89999999998997</v>
      </c>
      <c r="O3303" s="16" t="s">
        <v>5256</v>
      </c>
      <c r="R3303" s="6"/>
      <c r="S3303" s="298"/>
    </row>
    <row r="3304" spans="14:19" hidden="1" x14ac:dyDescent="0.25">
      <c r="N3304" s="17">
        <v>529.99999999999</v>
      </c>
      <c r="O3304" s="16" t="s">
        <v>5257</v>
      </c>
      <c r="R3304" s="6"/>
      <c r="S3304" s="298"/>
    </row>
    <row r="3305" spans="14:19" hidden="1" x14ac:dyDescent="0.25">
      <c r="N3305" s="17">
        <v>530.09999999999002</v>
      </c>
      <c r="O3305" s="16" t="s">
        <v>5258</v>
      </c>
      <c r="R3305" s="6"/>
      <c r="S3305" s="298"/>
    </row>
    <row r="3306" spans="14:19" hidden="1" x14ac:dyDescent="0.25">
      <c r="N3306" s="17">
        <v>530.19999999999004</v>
      </c>
      <c r="O3306" s="16" t="s">
        <v>5259</v>
      </c>
      <c r="R3306" s="6"/>
      <c r="S3306" s="298"/>
    </row>
    <row r="3307" spans="14:19" hidden="1" x14ac:dyDescent="0.25">
      <c r="N3307" s="17">
        <v>530.29999999998995</v>
      </c>
      <c r="O3307" s="16" t="s">
        <v>5260</v>
      </c>
      <c r="R3307" s="6"/>
      <c r="S3307" s="298"/>
    </row>
    <row r="3308" spans="14:19" hidden="1" x14ac:dyDescent="0.25">
      <c r="N3308" s="17">
        <v>530.39999999998997</v>
      </c>
      <c r="O3308" s="16" t="s">
        <v>5261</v>
      </c>
      <c r="R3308" s="6"/>
      <c r="S3308" s="298"/>
    </row>
    <row r="3309" spans="14:19" hidden="1" x14ac:dyDescent="0.25">
      <c r="N3309" s="17">
        <v>530.49999999999</v>
      </c>
      <c r="O3309" s="16" t="s">
        <v>5262</v>
      </c>
      <c r="R3309" s="6"/>
      <c r="S3309" s="298"/>
    </row>
    <row r="3310" spans="14:19" hidden="1" x14ac:dyDescent="0.25">
      <c r="N3310" s="17">
        <v>530.59999999999002</v>
      </c>
      <c r="O3310" s="16" t="s">
        <v>5263</v>
      </c>
      <c r="R3310" s="6"/>
      <c r="S3310" s="298"/>
    </row>
    <row r="3311" spans="14:19" hidden="1" x14ac:dyDescent="0.25">
      <c r="N3311" s="17">
        <v>530.69999999999004</v>
      </c>
      <c r="O3311" s="16" t="s">
        <v>5264</v>
      </c>
      <c r="R3311" s="6"/>
      <c r="S3311" s="298"/>
    </row>
    <row r="3312" spans="14:19" hidden="1" x14ac:dyDescent="0.25">
      <c r="N3312" s="17">
        <v>530.79999999998904</v>
      </c>
      <c r="O3312" s="16" t="s">
        <v>5265</v>
      </c>
      <c r="R3312" s="6"/>
      <c r="S3312" s="298"/>
    </row>
    <row r="3313" spans="14:19" hidden="1" x14ac:dyDescent="0.25">
      <c r="N3313" s="17">
        <v>530.89999999998997</v>
      </c>
      <c r="O3313" s="16" t="s">
        <v>5266</v>
      </c>
      <c r="R3313" s="6"/>
      <c r="S3313" s="298"/>
    </row>
    <row r="3314" spans="14:19" hidden="1" x14ac:dyDescent="0.25">
      <c r="N3314" s="17">
        <v>530.99999999999</v>
      </c>
      <c r="O3314" s="16" t="s">
        <v>5267</v>
      </c>
      <c r="R3314" s="6"/>
      <c r="S3314" s="298"/>
    </row>
    <row r="3315" spans="14:19" hidden="1" x14ac:dyDescent="0.25">
      <c r="N3315" s="17">
        <v>531.099999999989</v>
      </c>
      <c r="O3315" s="16" t="s">
        <v>5268</v>
      </c>
      <c r="R3315" s="6"/>
      <c r="S3315" s="298"/>
    </row>
    <row r="3316" spans="14:19" hidden="1" x14ac:dyDescent="0.25">
      <c r="N3316" s="17">
        <v>531.19999999998902</v>
      </c>
      <c r="O3316" s="16" t="s">
        <v>5269</v>
      </c>
      <c r="R3316" s="6"/>
      <c r="S3316" s="298"/>
    </row>
    <row r="3317" spans="14:19" hidden="1" x14ac:dyDescent="0.25">
      <c r="N3317" s="17">
        <v>531.29999999998904</v>
      </c>
      <c r="O3317" s="16" t="s">
        <v>5270</v>
      </c>
      <c r="R3317" s="6"/>
      <c r="S3317" s="298"/>
    </row>
    <row r="3318" spans="14:19" hidden="1" x14ac:dyDescent="0.25">
      <c r="N3318" s="17">
        <v>531.39999999998895</v>
      </c>
      <c r="O3318" s="16" t="s">
        <v>5271</v>
      </c>
      <c r="R3318" s="6"/>
      <c r="S3318" s="298"/>
    </row>
    <row r="3319" spans="14:19" hidden="1" x14ac:dyDescent="0.25">
      <c r="N3319" s="17">
        <v>531.49999999998897</v>
      </c>
      <c r="O3319" s="16" t="s">
        <v>5272</v>
      </c>
      <c r="R3319" s="6"/>
      <c r="S3319" s="298"/>
    </row>
    <row r="3320" spans="14:19" hidden="1" x14ac:dyDescent="0.25">
      <c r="N3320" s="17">
        <v>531.599999999989</v>
      </c>
      <c r="O3320" s="16" t="s">
        <v>5273</v>
      </c>
      <c r="R3320" s="6"/>
      <c r="S3320" s="298"/>
    </row>
    <row r="3321" spans="14:19" hidden="1" x14ac:dyDescent="0.25">
      <c r="N3321" s="17">
        <v>531.69999999998902</v>
      </c>
      <c r="O3321" s="16" t="s">
        <v>5274</v>
      </c>
      <c r="R3321" s="6"/>
      <c r="S3321" s="298"/>
    </row>
    <row r="3322" spans="14:19" hidden="1" x14ac:dyDescent="0.25">
      <c r="N3322" s="17">
        <v>531.79999999998904</v>
      </c>
      <c r="O3322" s="16" t="s">
        <v>5275</v>
      </c>
      <c r="R3322" s="6"/>
      <c r="S3322" s="298"/>
    </row>
    <row r="3323" spans="14:19" hidden="1" x14ac:dyDescent="0.25">
      <c r="N3323" s="17">
        <v>531.89999999998895</v>
      </c>
      <c r="O3323" s="16" t="s">
        <v>5276</v>
      </c>
      <c r="R3323" s="6"/>
      <c r="S3323" s="298"/>
    </row>
    <row r="3324" spans="14:19" hidden="1" x14ac:dyDescent="0.25">
      <c r="N3324" s="17">
        <v>531.99999999998897</v>
      </c>
      <c r="O3324" s="16" t="s">
        <v>5277</v>
      </c>
      <c r="R3324" s="6"/>
      <c r="S3324" s="298"/>
    </row>
    <row r="3325" spans="14:19" hidden="1" x14ac:dyDescent="0.25">
      <c r="N3325" s="17">
        <v>532.099999999989</v>
      </c>
      <c r="O3325" s="16" t="s">
        <v>5278</v>
      </c>
      <c r="R3325" s="6"/>
      <c r="S3325" s="298"/>
    </row>
    <row r="3326" spans="14:19" hidden="1" x14ac:dyDescent="0.25">
      <c r="N3326" s="17">
        <v>532.19999999998902</v>
      </c>
      <c r="O3326" s="16" t="s">
        <v>5279</v>
      </c>
      <c r="R3326" s="6"/>
      <c r="S3326" s="298"/>
    </row>
    <row r="3327" spans="14:19" hidden="1" x14ac:dyDescent="0.25">
      <c r="N3327" s="17">
        <v>532.29999999998904</v>
      </c>
      <c r="O3327" s="16" t="s">
        <v>5280</v>
      </c>
      <c r="R3327" s="6"/>
      <c r="S3327" s="298"/>
    </row>
    <row r="3328" spans="14:19" hidden="1" x14ac:dyDescent="0.25">
      <c r="N3328" s="17">
        <v>532.39999999998895</v>
      </c>
      <c r="O3328" s="16" t="s">
        <v>5281</v>
      </c>
      <c r="R3328" s="6"/>
      <c r="S3328" s="298"/>
    </row>
    <row r="3329" spans="14:19" hidden="1" x14ac:dyDescent="0.25">
      <c r="N3329" s="17">
        <v>532.49999999998897</v>
      </c>
      <c r="O3329" s="16" t="s">
        <v>5282</v>
      </c>
      <c r="R3329" s="6"/>
      <c r="S3329" s="298"/>
    </row>
    <row r="3330" spans="14:19" hidden="1" x14ac:dyDescent="0.25">
      <c r="N3330" s="17">
        <v>532.599999999989</v>
      </c>
      <c r="O3330" s="16" t="s">
        <v>5283</v>
      </c>
      <c r="R3330" s="6"/>
      <c r="S3330" s="298"/>
    </row>
    <row r="3331" spans="14:19" hidden="1" x14ac:dyDescent="0.25">
      <c r="N3331" s="17">
        <v>532.69999999998902</v>
      </c>
      <c r="O3331" s="16" t="s">
        <v>3164</v>
      </c>
      <c r="R3331" s="6"/>
      <c r="S3331" s="298"/>
    </row>
    <row r="3332" spans="14:19" hidden="1" x14ac:dyDescent="0.25">
      <c r="N3332" s="17">
        <v>532.79999999998904</v>
      </c>
      <c r="O3332" s="16" t="s">
        <v>3165</v>
      </c>
      <c r="R3332" s="6"/>
      <c r="S3332" s="298"/>
    </row>
    <row r="3333" spans="14:19" hidden="1" x14ac:dyDescent="0.25">
      <c r="N3333" s="17">
        <v>532.89999999998895</v>
      </c>
      <c r="O3333" s="16" t="s">
        <v>3166</v>
      </c>
      <c r="R3333" s="6"/>
      <c r="S3333" s="298"/>
    </row>
    <row r="3334" spans="14:19" hidden="1" x14ac:dyDescent="0.25">
      <c r="N3334" s="17">
        <v>532.99999999998897</v>
      </c>
      <c r="O3334" s="16" t="s">
        <v>3167</v>
      </c>
      <c r="R3334" s="6"/>
      <c r="S3334" s="298"/>
    </row>
    <row r="3335" spans="14:19" hidden="1" x14ac:dyDescent="0.25">
      <c r="N3335" s="17">
        <v>533.099999999989</v>
      </c>
      <c r="O3335" s="16" t="s">
        <v>5278</v>
      </c>
      <c r="R3335" s="6"/>
      <c r="S3335" s="298"/>
    </row>
    <row r="3336" spans="14:19" hidden="1" x14ac:dyDescent="0.25">
      <c r="N3336" s="17">
        <v>533.19999999998902</v>
      </c>
      <c r="O3336" s="16" t="s">
        <v>5279</v>
      </c>
      <c r="R3336" s="6"/>
      <c r="S3336" s="298"/>
    </row>
    <row r="3337" spans="14:19" hidden="1" x14ac:dyDescent="0.25">
      <c r="N3337" s="17">
        <v>533.29999999998904</v>
      </c>
      <c r="O3337" s="16" t="s">
        <v>5280</v>
      </c>
      <c r="R3337" s="6"/>
      <c r="S3337" s="298"/>
    </row>
    <row r="3338" spans="14:19" hidden="1" x14ac:dyDescent="0.25">
      <c r="N3338" s="17">
        <v>533.39999999998895</v>
      </c>
      <c r="O3338" s="16" t="s">
        <v>5281</v>
      </c>
      <c r="R3338" s="6"/>
      <c r="S3338" s="298"/>
    </row>
    <row r="3339" spans="14:19" hidden="1" x14ac:dyDescent="0.25">
      <c r="N3339" s="17">
        <v>533.49999999998897</v>
      </c>
      <c r="O3339" s="16" t="s">
        <v>5282</v>
      </c>
      <c r="R3339" s="6"/>
      <c r="S3339" s="298"/>
    </row>
    <row r="3340" spans="14:19" hidden="1" x14ac:dyDescent="0.25">
      <c r="N3340" s="17">
        <v>533.599999999989</v>
      </c>
      <c r="O3340" s="16" t="s">
        <v>5283</v>
      </c>
      <c r="R3340" s="6"/>
      <c r="S3340" s="298"/>
    </row>
    <row r="3341" spans="14:19" hidden="1" x14ac:dyDescent="0.25">
      <c r="N3341" s="17">
        <v>533.69999999998902</v>
      </c>
      <c r="O3341" s="16" t="s">
        <v>3164</v>
      </c>
      <c r="R3341" s="6"/>
      <c r="S3341" s="298"/>
    </row>
    <row r="3342" spans="14:19" hidden="1" x14ac:dyDescent="0.25">
      <c r="N3342" s="17">
        <v>533.79999999998802</v>
      </c>
      <c r="O3342" s="16" t="s">
        <v>3165</v>
      </c>
      <c r="R3342" s="6"/>
      <c r="S3342" s="298"/>
    </row>
    <row r="3343" spans="14:19" hidden="1" x14ac:dyDescent="0.25">
      <c r="N3343" s="17">
        <v>533.89999999998804</v>
      </c>
      <c r="O3343" s="16" t="s">
        <v>3166</v>
      </c>
      <c r="R3343" s="6"/>
      <c r="S3343" s="298"/>
    </row>
    <row r="3344" spans="14:19" hidden="1" x14ac:dyDescent="0.25">
      <c r="N3344" s="17">
        <v>533.99999999998795</v>
      </c>
      <c r="O3344" s="16" t="s">
        <v>3168</v>
      </c>
      <c r="R3344" s="6"/>
      <c r="S3344" s="298"/>
    </row>
    <row r="3345" spans="14:19" hidden="1" x14ac:dyDescent="0.25">
      <c r="N3345" s="17">
        <v>534.09999999998797</v>
      </c>
      <c r="O3345" s="16" t="s">
        <v>3169</v>
      </c>
      <c r="R3345" s="6"/>
      <c r="S3345" s="298"/>
    </row>
    <row r="3346" spans="14:19" hidden="1" x14ac:dyDescent="0.25">
      <c r="N3346" s="17">
        <v>534.19999999998799</v>
      </c>
      <c r="O3346" s="16" t="s">
        <v>3170</v>
      </c>
      <c r="R3346" s="6"/>
      <c r="S3346" s="298"/>
    </row>
    <row r="3347" spans="14:19" hidden="1" x14ac:dyDescent="0.25">
      <c r="N3347" s="17">
        <v>534.29999999998802</v>
      </c>
      <c r="O3347" s="16" t="s">
        <v>3171</v>
      </c>
      <c r="R3347" s="6"/>
      <c r="S3347" s="298"/>
    </row>
    <row r="3348" spans="14:19" hidden="1" x14ac:dyDescent="0.25">
      <c r="N3348" s="17">
        <v>534.39999999998804</v>
      </c>
      <c r="O3348" s="16" t="s">
        <v>3172</v>
      </c>
      <c r="R3348" s="6"/>
      <c r="S3348" s="298"/>
    </row>
    <row r="3349" spans="14:19" hidden="1" x14ac:dyDescent="0.25">
      <c r="N3349" s="17">
        <v>534.49999999998795</v>
      </c>
      <c r="O3349" s="16" t="s">
        <v>3173</v>
      </c>
      <c r="R3349" s="6"/>
      <c r="S3349" s="298"/>
    </row>
    <row r="3350" spans="14:19" hidden="1" x14ac:dyDescent="0.25">
      <c r="N3350" s="17">
        <v>534.59999999998797</v>
      </c>
      <c r="O3350" s="16" t="s">
        <v>3174</v>
      </c>
      <c r="R3350" s="6"/>
      <c r="S3350" s="298"/>
    </row>
    <row r="3351" spans="14:19" hidden="1" x14ac:dyDescent="0.25">
      <c r="N3351" s="17">
        <v>534.69999999998799</v>
      </c>
      <c r="O3351" s="16" t="s">
        <v>3175</v>
      </c>
      <c r="R3351" s="6"/>
      <c r="S3351" s="298"/>
    </row>
    <row r="3352" spans="14:19" hidden="1" x14ac:dyDescent="0.25">
      <c r="N3352" s="17">
        <v>534.79999999998802</v>
      </c>
      <c r="O3352" s="16" t="s">
        <v>3176</v>
      </c>
      <c r="R3352" s="6"/>
      <c r="S3352" s="298"/>
    </row>
    <row r="3353" spans="14:19" hidden="1" x14ac:dyDescent="0.25">
      <c r="N3353" s="17">
        <v>534.89999999998804</v>
      </c>
      <c r="O3353" s="16" t="s">
        <v>3177</v>
      </c>
      <c r="R3353" s="6"/>
      <c r="S3353" s="298"/>
    </row>
    <row r="3354" spans="14:19" hidden="1" x14ac:dyDescent="0.25">
      <c r="N3354" s="17">
        <v>534.99999999998795</v>
      </c>
      <c r="O3354" s="16" t="s">
        <v>3178</v>
      </c>
      <c r="R3354" s="6"/>
      <c r="S3354" s="298"/>
    </row>
    <row r="3355" spans="14:19" hidden="1" x14ac:dyDescent="0.25">
      <c r="N3355" s="17">
        <v>535.09999999998797</v>
      </c>
      <c r="O3355" s="16" t="s">
        <v>3179</v>
      </c>
      <c r="R3355" s="6"/>
      <c r="S3355" s="298"/>
    </row>
    <row r="3356" spans="14:19" hidden="1" x14ac:dyDescent="0.25">
      <c r="N3356" s="17">
        <v>535.19999999998799</v>
      </c>
      <c r="O3356" s="16" t="s">
        <v>3180</v>
      </c>
      <c r="R3356" s="6"/>
      <c r="S3356" s="298"/>
    </row>
    <row r="3357" spans="14:19" hidden="1" x14ac:dyDescent="0.25">
      <c r="N3357" s="17">
        <v>535.29999999998802</v>
      </c>
      <c r="O3357" s="16" t="s">
        <v>3181</v>
      </c>
      <c r="R3357" s="6"/>
      <c r="S3357" s="298"/>
    </row>
    <row r="3358" spans="14:19" hidden="1" x14ac:dyDescent="0.25">
      <c r="N3358" s="17">
        <v>535.39999999998804</v>
      </c>
      <c r="O3358" s="16" t="s">
        <v>3182</v>
      </c>
      <c r="R3358" s="6"/>
      <c r="S3358" s="298"/>
    </row>
    <row r="3359" spans="14:19" hidden="1" x14ac:dyDescent="0.25">
      <c r="N3359" s="17">
        <v>535.49999999998795</v>
      </c>
      <c r="O3359" s="16" t="s">
        <v>5313</v>
      </c>
      <c r="R3359" s="6"/>
      <c r="S3359" s="298"/>
    </row>
    <row r="3360" spans="14:19" hidden="1" x14ac:dyDescent="0.25">
      <c r="N3360" s="17">
        <v>535.59999999998797</v>
      </c>
      <c r="O3360" s="16" t="s">
        <v>5314</v>
      </c>
      <c r="R3360" s="6"/>
      <c r="S3360" s="298"/>
    </row>
    <row r="3361" spans="14:19" hidden="1" x14ac:dyDescent="0.25">
      <c r="N3361" s="17">
        <v>535.69999999998799</v>
      </c>
      <c r="O3361" s="16" t="s">
        <v>5315</v>
      </c>
      <c r="R3361" s="6"/>
      <c r="S3361" s="298"/>
    </row>
    <row r="3362" spans="14:19" hidden="1" x14ac:dyDescent="0.25">
      <c r="N3362" s="17">
        <v>535.79999999998802</v>
      </c>
      <c r="O3362" s="16" t="s">
        <v>5316</v>
      </c>
      <c r="R3362" s="6"/>
      <c r="S3362" s="298"/>
    </row>
    <row r="3363" spans="14:19" hidden="1" x14ac:dyDescent="0.25">
      <c r="N3363" s="17">
        <v>535.89999999998804</v>
      </c>
      <c r="O3363" s="16" t="s">
        <v>5317</v>
      </c>
      <c r="R3363" s="6"/>
      <c r="S3363" s="298"/>
    </row>
    <row r="3364" spans="14:19" hidden="1" x14ac:dyDescent="0.25">
      <c r="N3364" s="17">
        <v>535.99999999998795</v>
      </c>
      <c r="O3364" s="16" t="s">
        <v>5318</v>
      </c>
      <c r="R3364" s="6"/>
      <c r="S3364" s="298"/>
    </row>
    <row r="3365" spans="14:19" hidden="1" x14ac:dyDescent="0.25">
      <c r="N3365" s="17">
        <v>536.09999999998797</v>
      </c>
      <c r="O3365" s="16" t="s">
        <v>5319</v>
      </c>
      <c r="R3365" s="6"/>
      <c r="S3365" s="298"/>
    </row>
    <row r="3366" spans="14:19" hidden="1" x14ac:dyDescent="0.25">
      <c r="N3366" s="17">
        <v>536.19999999998799</v>
      </c>
      <c r="O3366" s="16" t="s">
        <v>5320</v>
      </c>
      <c r="R3366" s="6"/>
      <c r="S3366" s="298"/>
    </row>
    <row r="3367" spans="14:19" hidden="1" x14ac:dyDescent="0.25">
      <c r="N3367" s="17">
        <v>536.29999999998802</v>
      </c>
      <c r="O3367" s="16" t="s">
        <v>5321</v>
      </c>
      <c r="R3367" s="6"/>
      <c r="S3367" s="298"/>
    </row>
    <row r="3368" spans="14:19" hidden="1" x14ac:dyDescent="0.25">
      <c r="N3368" s="17">
        <v>536.39999999998804</v>
      </c>
      <c r="O3368" s="16" t="s">
        <v>5322</v>
      </c>
      <c r="R3368" s="6"/>
      <c r="S3368" s="298"/>
    </row>
    <row r="3369" spans="14:19" hidden="1" x14ac:dyDescent="0.25">
      <c r="N3369" s="17">
        <v>536.49999999998795</v>
      </c>
      <c r="O3369" s="16" t="s">
        <v>5323</v>
      </c>
      <c r="R3369" s="6"/>
      <c r="S3369" s="298"/>
    </row>
    <row r="3370" spans="14:19" hidden="1" x14ac:dyDescent="0.25">
      <c r="N3370" s="17">
        <v>536.59999999998797</v>
      </c>
      <c r="O3370" s="16" t="s">
        <v>5324</v>
      </c>
      <c r="R3370" s="6"/>
      <c r="S3370" s="298"/>
    </row>
    <row r="3371" spans="14:19" hidden="1" x14ac:dyDescent="0.25">
      <c r="N3371" s="17">
        <v>536.69999999998799</v>
      </c>
      <c r="O3371" s="16" t="s">
        <v>5325</v>
      </c>
      <c r="R3371" s="6"/>
      <c r="S3371" s="298"/>
    </row>
    <row r="3372" spans="14:19" hidden="1" x14ac:dyDescent="0.25">
      <c r="N3372" s="17">
        <v>536.79999999998802</v>
      </c>
      <c r="O3372" s="16" t="s">
        <v>5326</v>
      </c>
      <c r="R3372" s="6"/>
      <c r="S3372" s="298"/>
    </row>
    <row r="3373" spans="14:19" hidden="1" x14ac:dyDescent="0.25">
      <c r="N3373" s="17">
        <v>536.89999999998702</v>
      </c>
      <c r="O3373" s="16" t="s">
        <v>5327</v>
      </c>
      <c r="R3373" s="6"/>
      <c r="S3373" s="298"/>
    </row>
    <row r="3374" spans="14:19" hidden="1" x14ac:dyDescent="0.25">
      <c r="N3374" s="17">
        <v>536.99999999998704</v>
      </c>
      <c r="O3374" s="16" t="s">
        <v>5328</v>
      </c>
      <c r="R3374" s="6"/>
      <c r="S3374" s="298"/>
    </row>
    <row r="3375" spans="14:19" hidden="1" x14ac:dyDescent="0.25">
      <c r="N3375" s="17">
        <v>537.09999999998695</v>
      </c>
      <c r="O3375" s="16" t="s">
        <v>5329</v>
      </c>
      <c r="R3375" s="6"/>
      <c r="S3375" s="298"/>
    </row>
    <row r="3376" spans="14:19" hidden="1" x14ac:dyDescent="0.25">
      <c r="N3376" s="17">
        <v>537.19999999998697</v>
      </c>
      <c r="O3376" s="16" t="s">
        <v>5330</v>
      </c>
      <c r="R3376" s="6"/>
      <c r="S3376" s="298"/>
    </row>
    <row r="3377" spans="14:19" hidden="1" x14ac:dyDescent="0.25">
      <c r="N3377" s="17">
        <v>537.29999999998699</v>
      </c>
      <c r="O3377" s="16" t="s">
        <v>5331</v>
      </c>
      <c r="R3377" s="6"/>
      <c r="S3377" s="298"/>
    </row>
    <row r="3378" spans="14:19" hidden="1" x14ac:dyDescent="0.25">
      <c r="N3378" s="17">
        <v>537.39999999998702</v>
      </c>
      <c r="O3378" s="16" t="s">
        <v>5332</v>
      </c>
      <c r="R3378" s="6"/>
      <c r="S3378" s="298"/>
    </row>
    <row r="3379" spans="14:19" hidden="1" x14ac:dyDescent="0.25">
      <c r="N3379" s="17">
        <v>537.49999999998704</v>
      </c>
      <c r="O3379" s="16" t="s">
        <v>5333</v>
      </c>
      <c r="R3379" s="6"/>
      <c r="S3379" s="298"/>
    </row>
    <row r="3380" spans="14:19" hidden="1" x14ac:dyDescent="0.25">
      <c r="N3380" s="17">
        <v>537.59999999998695</v>
      </c>
      <c r="O3380" s="16" t="s">
        <v>5334</v>
      </c>
      <c r="R3380" s="6"/>
      <c r="S3380" s="298"/>
    </row>
    <row r="3381" spans="14:19" hidden="1" x14ac:dyDescent="0.25">
      <c r="N3381" s="17">
        <v>537.69999999998697</v>
      </c>
      <c r="O3381" s="16" t="s">
        <v>5335</v>
      </c>
      <c r="R3381" s="6"/>
      <c r="S3381" s="298"/>
    </row>
    <row r="3382" spans="14:19" hidden="1" x14ac:dyDescent="0.25">
      <c r="N3382" s="17">
        <v>537.79999999998699</v>
      </c>
      <c r="O3382" s="16" t="s">
        <v>5336</v>
      </c>
      <c r="R3382" s="6"/>
      <c r="S3382" s="298"/>
    </row>
    <row r="3383" spans="14:19" hidden="1" x14ac:dyDescent="0.25">
      <c r="N3383" s="17">
        <v>537.89999999998702</v>
      </c>
      <c r="O3383" s="16" t="s">
        <v>5337</v>
      </c>
      <c r="R3383" s="6"/>
      <c r="S3383" s="298"/>
    </row>
    <row r="3384" spans="14:19" hidden="1" x14ac:dyDescent="0.25">
      <c r="N3384" s="17">
        <v>537.99999999998704</v>
      </c>
      <c r="O3384" s="16" t="s">
        <v>5338</v>
      </c>
      <c r="R3384" s="6"/>
      <c r="S3384" s="298"/>
    </row>
    <row r="3385" spans="14:19" hidden="1" x14ac:dyDescent="0.25">
      <c r="N3385" s="17">
        <v>538.09999999998695</v>
      </c>
      <c r="O3385" s="16" t="s">
        <v>5339</v>
      </c>
      <c r="R3385" s="6"/>
      <c r="S3385" s="298"/>
    </row>
    <row r="3386" spans="14:19" hidden="1" x14ac:dyDescent="0.25">
      <c r="N3386" s="17">
        <v>538.19999999998697</v>
      </c>
      <c r="O3386" s="16" t="s">
        <v>5340</v>
      </c>
      <c r="R3386" s="6"/>
      <c r="S3386" s="298"/>
    </row>
    <row r="3387" spans="14:19" hidden="1" x14ac:dyDescent="0.25">
      <c r="N3387" s="17">
        <v>538.29999999998699</v>
      </c>
      <c r="O3387" s="16" t="s">
        <v>5341</v>
      </c>
      <c r="R3387" s="6"/>
      <c r="S3387" s="298"/>
    </row>
    <row r="3388" spans="14:19" hidden="1" x14ac:dyDescent="0.25">
      <c r="N3388" s="17">
        <v>538.39999999998702</v>
      </c>
      <c r="O3388" s="16" t="s">
        <v>5342</v>
      </c>
      <c r="R3388" s="6"/>
      <c r="S3388" s="298"/>
    </row>
    <row r="3389" spans="14:19" hidden="1" x14ac:dyDescent="0.25">
      <c r="N3389" s="17">
        <v>538.49999999998704</v>
      </c>
      <c r="O3389" s="16" t="s">
        <v>5343</v>
      </c>
      <c r="R3389" s="6"/>
      <c r="S3389" s="298"/>
    </row>
    <row r="3390" spans="14:19" hidden="1" x14ac:dyDescent="0.25">
      <c r="N3390" s="17">
        <v>538.59999999998695</v>
      </c>
      <c r="O3390" s="16" t="s">
        <v>5344</v>
      </c>
      <c r="R3390" s="6"/>
      <c r="S3390" s="298"/>
    </row>
    <row r="3391" spans="14:19" hidden="1" x14ac:dyDescent="0.25">
      <c r="N3391" s="17">
        <v>538.69999999998697</v>
      </c>
      <c r="O3391" s="16" t="s">
        <v>5345</v>
      </c>
      <c r="R3391" s="6"/>
      <c r="S3391" s="298"/>
    </row>
    <row r="3392" spans="14:19" hidden="1" x14ac:dyDescent="0.25">
      <c r="N3392" s="17">
        <v>538.79999999998699</v>
      </c>
      <c r="O3392" s="16" t="s">
        <v>5346</v>
      </c>
      <c r="R3392" s="6"/>
      <c r="S3392" s="298"/>
    </row>
    <row r="3393" spans="14:19" hidden="1" x14ac:dyDescent="0.25">
      <c r="N3393" s="17">
        <v>538.89999999998702</v>
      </c>
      <c r="O3393" s="16" t="s">
        <v>5347</v>
      </c>
      <c r="R3393" s="6"/>
      <c r="S3393" s="298"/>
    </row>
    <row r="3394" spans="14:19" hidden="1" x14ac:dyDescent="0.25">
      <c r="N3394" s="17">
        <v>538.99999999998704</v>
      </c>
      <c r="O3394" s="16" t="s">
        <v>3228</v>
      </c>
      <c r="R3394" s="6"/>
      <c r="S3394" s="298"/>
    </row>
    <row r="3395" spans="14:19" hidden="1" x14ac:dyDescent="0.25">
      <c r="N3395" s="17">
        <v>539.09999999998695</v>
      </c>
      <c r="O3395" s="16" t="s">
        <v>3229</v>
      </c>
      <c r="R3395" s="6"/>
      <c r="S3395" s="298"/>
    </row>
    <row r="3396" spans="14:19" hidden="1" x14ac:dyDescent="0.25">
      <c r="N3396" s="17">
        <v>539.19999999998697</v>
      </c>
      <c r="O3396" s="16" t="s">
        <v>3230</v>
      </c>
      <c r="R3396" s="6"/>
      <c r="S3396" s="298"/>
    </row>
    <row r="3397" spans="14:19" hidden="1" x14ac:dyDescent="0.25">
      <c r="N3397" s="17">
        <v>539.29999999998699</v>
      </c>
      <c r="O3397" s="16" t="s">
        <v>3231</v>
      </c>
      <c r="R3397" s="6"/>
      <c r="S3397" s="298"/>
    </row>
    <row r="3398" spans="14:19" hidden="1" x14ac:dyDescent="0.25">
      <c r="N3398" s="17">
        <v>539.39999999998702</v>
      </c>
      <c r="O3398" s="16" t="s">
        <v>3232</v>
      </c>
      <c r="R3398" s="6"/>
      <c r="S3398" s="298"/>
    </row>
    <row r="3399" spans="14:19" hidden="1" x14ac:dyDescent="0.25">
      <c r="N3399" s="17">
        <v>539.49999999998704</v>
      </c>
      <c r="O3399" s="16" t="s">
        <v>3233</v>
      </c>
      <c r="R3399" s="6"/>
      <c r="S3399" s="298"/>
    </row>
    <row r="3400" spans="14:19" hidden="1" x14ac:dyDescent="0.25">
      <c r="N3400" s="17">
        <v>539.59999999998604</v>
      </c>
      <c r="O3400" s="16" t="s">
        <v>3234</v>
      </c>
      <c r="R3400" s="6"/>
      <c r="S3400" s="298"/>
    </row>
    <row r="3401" spans="14:19" hidden="1" x14ac:dyDescent="0.25">
      <c r="N3401" s="17">
        <v>539.69999999998697</v>
      </c>
      <c r="O3401" s="16" t="s">
        <v>3235</v>
      </c>
      <c r="R3401" s="6"/>
      <c r="S3401" s="298"/>
    </row>
    <row r="3402" spans="14:19" hidden="1" x14ac:dyDescent="0.25">
      <c r="N3402" s="17">
        <v>539.79999999998699</v>
      </c>
      <c r="O3402" s="16" t="s">
        <v>968</v>
      </c>
      <c r="R3402" s="6"/>
      <c r="S3402" s="298"/>
    </row>
    <row r="3403" spans="14:19" hidden="1" x14ac:dyDescent="0.25">
      <c r="N3403" s="17">
        <v>539.89999999998599</v>
      </c>
      <c r="O3403" s="16" t="s">
        <v>969</v>
      </c>
      <c r="R3403" s="6"/>
      <c r="S3403" s="298"/>
    </row>
    <row r="3404" spans="14:19" hidden="1" x14ac:dyDescent="0.25">
      <c r="N3404" s="17">
        <v>539.99999999998602</v>
      </c>
      <c r="O3404" s="16" t="s">
        <v>970</v>
      </c>
      <c r="R3404" s="6"/>
      <c r="S3404" s="298"/>
    </row>
    <row r="3405" spans="14:19" hidden="1" x14ac:dyDescent="0.25">
      <c r="N3405" s="17">
        <v>540.09999999998604</v>
      </c>
      <c r="O3405" s="16" t="s">
        <v>971</v>
      </c>
      <c r="R3405" s="6"/>
      <c r="S3405" s="298"/>
    </row>
    <row r="3406" spans="14:19" hidden="1" x14ac:dyDescent="0.25">
      <c r="N3406" s="17">
        <v>540.19999999998595</v>
      </c>
      <c r="O3406" s="16" t="s">
        <v>972</v>
      </c>
      <c r="R3406" s="6"/>
      <c r="S3406" s="298"/>
    </row>
    <row r="3407" spans="14:19" hidden="1" x14ac:dyDescent="0.25">
      <c r="N3407" s="17">
        <v>540.29999999998597</v>
      </c>
      <c r="O3407" s="16" t="s">
        <v>973</v>
      </c>
      <c r="R3407" s="6"/>
      <c r="S3407" s="298"/>
    </row>
    <row r="3408" spans="14:19" hidden="1" x14ac:dyDescent="0.25">
      <c r="N3408" s="17">
        <v>540.39999999998599</v>
      </c>
      <c r="O3408" s="16" t="s">
        <v>974</v>
      </c>
      <c r="R3408" s="6"/>
      <c r="S3408" s="298"/>
    </row>
    <row r="3409" spans="14:19" hidden="1" x14ac:dyDescent="0.25">
      <c r="N3409" s="17">
        <v>540.49999999998602</v>
      </c>
      <c r="O3409" s="16" t="s">
        <v>975</v>
      </c>
      <c r="R3409" s="6"/>
      <c r="S3409" s="298"/>
    </row>
    <row r="3410" spans="14:19" hidden="1" x14ac:dyDescent="0.25">
      <c r="N3410" s="17">
        <v>540.59999999998604</v>
      </c>
      <c r="O3410" s="16" t="s">
        <v>976</v>
      </c>
      <c r="R3410" s="6"/>
      <c r="S3410" s="298"/>
    </row>
    <row r="3411" spans="14:19" hidden="1" x14ac:dyDescent="0.25">
      <c r="N3411" s="17">
        <v>540.69999999998595</v>
      </c>
      <c r="O3411" s="16" t="s">
        <v>977</v>
      </c>
      <c r="R3411" s="6"/>
      <c r="S3411" s="298"/>
    </row>
    <row r="3412" spans="14:19" hidden="1" x14ac:dyDescent="0.25">
      <c r="N3412" s="17">
        <v>540.79999999998597</v>
      </c>
      <c r="O3412" s="16" t="s">
        <v>978</v>
      </c>
      <c r="R3412" s="6"/>
      <c r="S3412" s="298"/>
    </row>
    <row r="3413" spans="14:19" hidden="1" x14ac:dyDescent="0.25">
      <c r="N3413" s="17">
        <v>540.89999999998599</v>
      </c>
      <c r="O3413" s="16" t="s">
        <v>979</v>
      </c>
      <c r="R3413" s="6"/>
      <c r="S3413" s="298"/>
    </row>
    <row r="3414" spans="14:19" hidden="1" x14ac:dyDescent="0.25">
      <c r="N3414" s="17">
        <v>540.99999999998602</v>
      </c>
      <c r="O3414" s="16" t="s">
        <v>980</v>
      </c>
      <c r="R3414" s="6"/>
      <c r="S3414" s="298"/>
    </row>
    <row r="3415" spans="14:19" hidden="1" x14ac:dyDescent="0.25">
      <c r="N3415" s="17">
        <v>541.09999999998604</v>
      </c>
      <c r="O3415" s="16" t="s">
        <v>981</v>
      </c>
      <c r="R3415" s="6"/>
      <c r="S3415" s="298"/>
    </row>
    <row r="3416" spans="14:19" hidden="1" x14ac:dyDescent="0.25">
      <c r="N3416" s="17">
        <v>541.19999999998595</v>
      </c>
      <c r="O3416" s="16" t="s">
        <v>982</v>
      </c>
      <c r="R3416" s="6"/>
      <c r="S3416" s="298"/>
    </row>
    <row r="3417" spans="14:19" hidden="1" x14ac:dyDescent="0.25">
      <c r="N3417" s="17">
        <v>541.29999999998597</v>
      </c>
      <c r="O3417" s="16" t="s">
        <v>983</v>
      </c>
      <c r="R3417" s="6"/>
      <c r="S3417" s="298"/>
    </row>
    <row r="3418" spans="14:19" hidden="1" x14ac:dyDescent="0.25">
      <c r="N3418" s="17">
        <v>541.39999999998599</v>
      </c>
      <c r="O3418" s="16" t="s">
        <v>984</v>
      </c>
      <c r="R3418" s="6"/>
      <c r="S3418" s="298"/>
    </row>
    <row r="3419" spans="14:19" hidden="1" x14ac:dyDescent="0.25">
      <c r="N3419" s="17">
        <v>541.49999999998602</v>
      </c>
      <c r="O3419" s="16" t="s">
        <v>985</v>
      </c>
      <c r="R3419" s="6"/>
      <c r="S3419" s="298"/>
    </row>
    <row r="3420" spans="14:19" hidden="1" x14ac:dyDescent="0.25">
      <c r="N3420" s="17">
        <v>541.59999999998604</v>
      </c>
      <c r="O3420" s="16" t="s">
        <v>986</v>
      </c>
      <c r="R3420" s="6"/>
      <c r="S3420" s="298"/>
    </row>
    <row r="3421" spans="14:19" hidden="1" x14ac:dyDescent="0.25">
      <c r="N3421" s="17">
        <v>541.69999999998595</v>
      </c>
      <c r="O3421" s="16" t="s">
        <v>987</v>
      </c>
      <c r="R3421" s="6"/>
      <c r="S3421" s="298"/>
    </row>
    <row r="3422" spans="14:19" hidden="1" x14ac:dyDescent="0.25">
      <c r="N3422" s="17">
        <v>541.79999999998597</v>
      </c>
      <c r="O3422" s="16" t="s">
        <v>988</v>
      </c>
      <c r="R3422" s="6"/>
      <c r="S3422" s="298"/>
    </row>
    <row r="3423" spans="14:19" hidden="1" x14ac:dyDescent="0.25">
      <c r="N3423" s="17">
        <v>541.89999999998599</v>
      </c>
      <c r="O3423" s="16" t="s">
        <v>989</v>
      </c>
      <c r="R3423" s="6"/>
      <c r="S3423" s="298"/>
    </row>
    <row r="3424" spans="14:19" hidden="1" x14ac:dyDescent="0.25">
      <c r="N3424" s="17">
        <v>541.99999999998602</v>
      </c>
      <c r="O3424" s="16" t="s">
        <v>990</v>
      </c>
      <c r="R3424" s="6"/>
      <c r="S3424" s="298"/>
    </row>
    <row r="3425" spans="14:19" hidden="1" x14ac:dyDescent="0.25">
      <c r="N3425" s="17">
        <v>542.09999999998604</v>
      </c>
      <c r="O3425" s="16" t="s">
        <v>991</v>
      </c>
      <c r="R3425" s="6"/>
      <c r="S3425" s="298"/>
    </row>
    <row r="3426" spans="14:19" hidden="1" x14ac:dyDescent="0.25">
      <c r="N3426" s="17">
        <v>542.19999999998595</v>
      </c>
      <c r="O3426" s="16" t="s">
        <v>992</v>
      </c>
      <c r="R3426" s="6"/>
      <c r="S3426" s="298"/>
    </row>
    <row r="3427" spans="14:19" hidden="1" x14ac:dyDescent="0.25">
      <c r="N3427" s="17">
        <v>542.29999999998597</v>
      </c>
      <c r="O3427" s="16" t="s">
        <v>3240</v>
      </c>
      <c r="R3427" s="6"/>
      <c r="S3427" s="298"/>
    </row>
    <row r="3428" spans="14:19" hidden="1" x14ac:dyDescent="0.25">
      <c r="N3428" s="17">
        <v>542.39999999998599</v>
      </c>
      <c r="O3428" s="16" t="s">
        <v>3241</v>
      </c>
      <c r="R3428" s="6"/>
      <c r="S3428" s="298"/>
    </row>
    <row r="3429" spans="14:19" hidden="1" x14ac:dyDescent="0.25">
      <c r="N3429" s="17">
        <v>542.49999999998602</v>
      </c>
      <c r="O3429" s="16" t="s">
        <v>3242</v>
      </c>
      <c r="R3429" s="6"/>
      <c r="S3429" s="298"/>
    </row>
    <row r="3430" spans="14:19" hidden="1" x14ac:dyDescent="0.25">
      <c r="N3430" s="17">
        <v>542.59999999998502</v>
      </c>
      <c r="O3430" s="16" t="s">
        <v>3243</v>
      </c>
      <c r="R3430" s="6"/>
      <c r="S3430" s="298"/>
    </row>
    <row r="3431" spans="14:19" hidden="1" x14ac:dyDescent="0.25">
      <c r="N3431" s="17">
        <v>542.69999999998504</v>
      </c>
      <c r="O3431" s="16" t="s">
        <v>3244</v>
      </c>
      <c r="R3431" s="6"/>
      <c r="S3431" s="298"/>
    </row>
    <row r="3432" spans="14:19" hidden="1" x14ac:dyDescent="0.25">
      <c r="N3432" s="17">
        <v>542.79999999998495</v>
      </c>
      <c r="O3432" s="16" t="s">
        <v>3245</v>
      </c>
      <c r="R3432" s="6"/>
      <c r="S3432" s="298"/>
    </row>
    <row r="3433" spans="14:19" hidden="1" x14ac:dyDescent="0.25">
      <c r="N3433" s="17">
        <v>542.89999999998497</v>
      </c>
      <c r="O3433" s="16" t="s">
        <v>3257</v>
      </c>
      <c r="R3433" s="6"/>
      <c r="S3433" s="298"/>
    </row>
    <row r="3434" spans="14:19" hidden="1" x14ac:dyDescent="0.25">
      <c r="N3434" s="17">
        <v>542.99999999998499</v>
      </c>
      <c r="O3434" s="16" t="s">
        <v>3258</v>
      </c>
      <c r="R3434" s="6"/>
      <c r="S3434" s="298"/>
    </row>
    <row r="3435" spans="14:19" hidden="1" x14ac:dyDescent="0.25">
      <c r="N3435" s="17">
        <v>543.09999999998502</v>
      </c>
      <c r="O3435" s="16" t="s">
        <v>3259</v>
      </c>
      <c r="R3435" s="6"/>
      <c r="S3435" s="298"/>
    </row>
    <row r="3436" spans="14:19" hidden="1" x14ac:dyDescent="0.25">
      <c r="N3436" s="17">
        <v>543.19999999998504</v>
      </c>
      <c r="O3436" s="16" t="s">
        <v>3260</v>
      </c>
      <c r="R3436" s="6"/>
      <c r="S3436" s="298"/>
    </row>
    <row r="3437" spans="14:19" hidden="1" x14ac:dyDescent="0.25">
      <c r="N3437" s="17">
        <v>543.29999999998495</v>
      </c>
      <c r="O3437" s="16" t="s">
        <v>3261</v>
      </c>
      <c r="R3437" s="6"/>
      <c r="S3437" s="298"/>
    </row>
    <row r="3438" spans="14:19" hidden="1" x14ac:dyDescent="0.25">
      <c r="N3438" s="17">
        <v>543.39999999998497</v>
      </c>
      <c r="O3438" s="16" t="s">
        <v>5399</v>
      </c>
      <c r="R3438" s="6"/>
      <c r="S3438" s="298"/>
    </row>
    <row r="3439" spans="14:19" hidden="1" x14ac:dyDescent="0.25">
      <c r="N3439" s="17">
        <v>543.49999999998499</v>
      </c>
      <c r="O3439" s="16" t="s">
        <v>5400</v>
      </c>
      <c r="R3439" s="6"/>
      <c r="S3439" s="298"/>
    </row>
    <row r="3440" spans="14:19" hidden="1" x14ac:dyDescent="0.25">
      <c r="N3440" s="17">
        <v>543.59999999998502</v>
      </c>
      <c r="O3440" s="16" t="s">
        <v>5401</v>
      </c>
      <c r="R3440" s="6"/>
      <c r="S3440" s="298"/>
    </row>
    <row r="3441" spans="14:19" hidden="1" x14ac:dyDescent="0.25">
      <c r="N3441" s="17">
        <v>543.69999999998504</v>
      </c>
      <c r="O3441" s="16" t="s">
        <v>5402</v>
      </c>
      <c r="R3441" s="6"/>
      <c r="S3441" s="298"/>
    </row>
    <row r="3442" spans="14:19" hidden="1" x14ac:dyDescent="0.25">
      <c r="N3442" s="17">
        <v>543.79999999998495</v>
      </c>
      <c r="O3442" s="16" t="s">
        <v>5403</v>
      </c>
      <c r="R3442" s="6"/>
      <c r="S3442" s="298"/>
    </row>
    <row r="3443" spans="14:19" hidden="1" x14ac:dyDescent="0.25">
      <c r="N3443" s="17">
        <v>543.89999999998497</v>
      </c>
      <c r="O3443" s="16" t="s">
        <v>5404</v>
      </c>
      <c r="R3443" s="6"/>
      <c r="S3443" s="298"/>
    </row>
    <row r="3444" spans="14:19" hidden="1" x14ac:dyDescent="0.25">
      <c r="N3444" s="17">
        <v>543.99999999998499</v>
      </c>
      <c r="O3444" s="16" t="s">
        <v>5405</v>
      </c>
      <c r="R3444" s="6"/>
      <c r="S3444" s="298"/>
    </row>
    <row r="3445" spans="14:19" hidden="1" x14ac:dyDescent="0.25">
      <c r="N3445" s="17">
        <v>544.09999999998502</v>
      </c>
      <c r="O3445" s="16" t="s">
        <v>5406</v>
      </c>
      <c r="R3445" s="6"/>
      <c r="S3445" s="298"/>
    </row>
    <row r="3446" spans="14:19" hidden="1" x14ac:dyDescent="0.25">
      <c r="N3446" s="17">
        <v>544.19999999998504</v>
      </c>
      <c r="O3446" s="16" t="s">
        <v>5407</v>
      </c>
      <c r="R3446" s="6"/>
      <c r="S3446" s="298"/>
    </row>
    <row r="3447" spans="14:19" hidden="1" x14ac:dyDescent="0.25">
      <c r="N3447" s="17">
        <v>544.29999999998495</v>
      </c>
      <c r="O3447" s="16" t="s">
        <v>5408</v>
      </c>
      <c r="R3447" s="6"/>
      <c r="S3447" s="298"/>
    </row>
    <row r="3448" spans="14:19" hidden="1" x14ac:dyDescent="0.25">
      <c r="N3448" s="17">
        <v>544.39999999998497</v>
      </c>
      <c r="O3448" s="16" t="s">
        <v>5409</v>
      </c>
      <c r="R3448" s="6"/>
      <c r="S3448" s="298"/>
    </row>
    <row r="3449" spans="14:19" hidden="1" x14ac:dyDescent="0.25">
      <c r="N3449" s="17">
        <v>544.49999999998499</v>
      </c>
      <c r="O3449" s="16" t="s">
        <v>5410</v>
      </c>
      <c r="R3449" s="6"/>
      <c r="S3449" s="298"/>
    </row>
    <row r="3450" spans="14:19" hidden="1" x14ac:dyDescent="0.25">
      <c r="N3450" s="17">
        <v>544.59999999998502</v>
      </c>
      <c r="O3450" s="16" t="s">
        <v>5411</v>
      </c>
      <c r="R3450" s="6"/>
      <c r="S3450" s="298"/>
    </row>
    <row r="3451" spans="14:19" hidden="1" x14ac:dyDescent="0.25">
      <c r="N3451" s="17">
        <v>544.69999999998504</v>
      </c>
      <c r="O3451" s="16" t="s">
        <v>5412</v>
      </c>
      <c r="R3451" s="6"/>
      <c r="S3451" s="298"/>
    </row>
    <row r="3452" spans="14:19" hidden="1" x14ac:dyDescent="0.25">
      <c r="N3452" s="17">
        <v>544.79999999998495</v>
      </c>
      <c r="O3452" s="16" t="s">
        <v>5413</v>
      </c>
      <c r="R3452" s="6"/>
      <c r="S3452" s="298"/>
    </row>
    <row r="3453" spans="14:19" hidden="1" x14ac:dyDescent="0.25">
      <c r="N3453" s="17">
        <v>544.89999999998497</v>
      </c>
      <c r="O3453" s="16" t="s">
        <v>5405</v>
      </c>
      <c r="R3453" s="6"/>
      <c r="S3453" s="298"/>
    </row>
    <row r="3454" spans="14:19" hidden="1" x14ac:dyDescent="0.25">
      <c r="N3454" s="17">
        <v>544.99999999998499</v>
      </c>
      <c r="O3454" s="16" t="s">
        <v>5414</v>
      </c>
      <c r="R3454" s="6"/>
      <c r="S3454" s="298"/>
    </row>
    <row r="3455" spans="14:19" hidden="1" x14ac:dyDescent="0.25">
      <c r="N3455" s="17">
        <v>545.09999999998502</v>
      </c>
      <c r="O3455" s="16" t="s">
        <v>5415</v>
      </c>
      <c r="R3455" s="6"/>
      <c r="S3455" s="298"/>
    </row>
    <row r="3456" spans="14:19" hidden="1" x14ac:dyDescent="0.25">
      <c r="N3456" s="17">
        <v>545.19999999998504</v>
      </c>
      <c r="O3456" s="16" t="s">
        <v>5416</v>
      </c>
      <c r="R3456" s="6"/>
      <c r="S3456" s="298"/>
    </row>
    <row r="3457" spans="14:19" hidden="1" x14ac:dyDescent="0.25">
      <c r="N3457" s="17">
        <v>545.29999999998495</v>
      </c>
      <c r="O3457" s="16" t="s">
        <v>5417</v>
      </c>
      <c r="R3457" s="6"/>
      <c r="S3457" s="298"/>
    </row>
    <row r="3458" spans="14:19" hidden="1" x14ac:dyDescent="0.25">
      <c r="N3458" s="17">
        <v>545.39999999998497</v>
      </c>
      <c r="O3458" s="16" t="s">
        <v>5418</v>
      </c>
      <c r="R3458" s="6"/>
      <c r="S3458" s="298"/>
    </row>
    <row r="3459" spans="14:19" hidden="1" x14ac:dyDescent="0.25">
      <c r="N3459" s="17">
        <v>545.49999999998499</v>
      </c>
      <c r="O3459" s="16" t="s">
        <v>5419</v>
      </c>
      <c r="R3459" s="6"/>
      <c r="S3459" s="298"/>
    </row>
    <row r="3460" spans="14:19" hidden="1" x14ac:dyDescent="0.25">
      <c r="N3460" s="17">
        <v>545.59999999998502</v>
      </c>
      <c r="O3460" s="16" t="s">
        <v>5420</v>
      </c>
      <c r="R3460" s="6"/>
      <c r="S3460" s="298"/>
    </row>
    <row r="3461" spans="14:19" hidden="1" x14ac:dyDescent="0.25">
      <c r="N3461" s="17">
        <v>545.69999999998402</v>
      </c>
      <c r="O3461" s="16" t="s">
        <v>5421</v>
      </c>
      <c r="R3461" s="6"/>
      <c r="S3461" s="298"/>
    </row>
    <row r="3462" spans="14:19" hidden="1" x14ac:dyDescent="0.25">
      <c r="N3462" s="17">
        <v>545.79999999998404</v>
      </c>
      <c r="O3462" s="16" t="s">
        <v>5422</v>
      </c>
      <c r="R3462" s="6"/>
      <c r="S3462" s="298"/>
    </row>
    <row r="3463" spans="14:19" hidden="1" x14ac:dyDescent="0.25">
      <c r="N3463" s="17">
        <v>545.89999999998395</v>
      </c>
      <c r="O3463" s="16" t="s">
        <v>5423</v>
      </c>
      <c r="R3463" s="6"/>
      <c r="S3463" s="298"/>
    </row>
    <row r="3464" spans="14:19" hidden="1" x14ac:dyDescent="0.25">
      <c r="N3464" s="17">
        <v>545.99999999998397</v>
      </c>
      <c r="O3464" s="16" t="s">
        <v>5424</v>
      </c>
      <c r="R3464" s="6"/>
      <c r="S3464" s="298"/>
    </row>
    <row r="3465" spans="14:19" hidden="1" x14ac:dyDescent="0.25">
      <c r="N3465" s="17">
        <v>546.09999999998399</v>
      </c>
      <c r="O3465" s="16" t="s">
        <v>5425</v>
      </c>
      <c r="R3465" s="6"/>
      <c r="S3465" s="298"/>
    </row>
    <row r="3466" spans="14:19" hidden="1" x14ac:dyDescent="0.25">
      <c r="N3466" s="17">
        <v>546.19999999998402</v>
      </c>
      <c r="O3466" s="16" t="s">
        <v>5426</v>
      </c>
      <c r="R3466" s="6"/>
      <c r="S3466" s="298"/>
    </row>
    <row r="3467" spans="14:19" hidden="1" x14ac:dyDescent="0.25">
      <c r="N3467" s="17">
        <v>546.29999999998404</v>
      </c>
      <c r="O3467" s="16" t="s">
        <v>5427</v>
      </c>
      <c r="R3467" s="6"/>
      <c r="S3467" s="298"/>
    </row>
    <row r="3468" spans="14:19" hidden="1" x14ac:dyDescent="0.25">
      <c r="N3468" s="17">
        <v>546.39999999998395</v>
      </c>
      <c r="O3468" s="16" t="s">
        <v>5428</v>
      </c>
      <c r="R3468" s="6"/>
      <c r="S3468" s="298"/>
    </row>
    <row r="3469" spans="14:19" hidden="1" x14ac:dyDescent="0.25">
      <c r="N3469" s="17">
        <v>546.49999999998397</v>
      </c>
      <c r="O3469" s="16" t="s">
        <v>5429</v>
      </c>
      <c r="R3469" s="6"/>
      <c r="S3469" s="298"/>
    </row>
    <row r="3470" spans="14:19" hidden="1" x14ac:dyDescent="0.25">
      <c r="N3470" s="17">
        <v>546.59999999998399</v>
      </c>
      <c r="O3470" s="16" t="s">
        <v>5430</v>
      </c>
      <c r="R3470" s="6"/>
      <c r="S3470" s="298"/>
    </row>
    <row r="3471" spans="14:19" hidden="1" x14ac:dyDescent="0.25">
      <c r="N3471" s="17">
        <v>546.69999999998402</v>
      </c>
      <c r="O3471" s="16" t="s">
        <v>5431</v>
      </c>
      <c r="R3471" s="6"/>
      <c r="S3471" s="298"/>
    </row>
    <row r="3472" spans="14:19" hidden="1" x14ac:dyDescent="0.25">
      <c r="N3472" s="17">
        <v>546.79999999998404</v>
      </c>
      <c r="O3472" s="16" t="s">
        <v>5432</v>
      </c>
      <c r="R3472" s="6"/>
      <c r="S3472" s="298"/>
    </row>
    <row r="3473" spans="14:19" hidden="1" x14ac:dyDescent="0.25">
      <c r="N3473" s="17">
        <v>546.89999999998395</v>
      </c>
      <c r="O3473" s="16" t="s">
        <v>5433</v>
      </c>
      <c r="R3473" s="6"/>
      <c r="S3473" s="298"/>
    </row>
    <row r="3474" spans="14:19" hidden="1" x14ac:dyDescent="0.25">
      <c r="N3474" s="17">
        <v>546.99999999998397</v>
      </c>
      <c r="O3474" s="16" t="s">
        <v>3303</v>
      </c>
      <c r="R3474" s="6"/>
      <c r="S3474" s="298"/>
    </row>
    <row r="3475" spans="14:19" hidden="1" x14ac:dyDescent="0.25">
      <c r="N3475" s="17">
        <v>547.09999999998399</v>
      </c>
      <c r="O3475" s="16" t="s">
        <v>3304</v>
      </c>
      <c r="R3475" s="6"/>
      <c r="S3475" s="298"/>
    </row>
    <row r="3476" spans="14:19" hidden="1" x14ac:dyDescent="0.25">
      <c r="N3476" s="17">
        <v>547.19999999998402</v>
      </c>
      <c r="O3476" s="16" t="s">
        <v>3305</v>
      </c>
      <c r="R3476" s="6"/>
      <c r="S3476" s="298"/>
    </row>
    <row r="3477" spans="14:19" hidden="1" x14ac:dyDescent="0.25">
      <c r="N3477" s="17">
        <v>547.29999999998404</v>
      </c>
      <c r="O3477" s="16" t="s">
        <v>3306</v>
      </c>
      <c r="R3477" s="6"/>
      <c r="S3477" s="298"/>
    </row>
    <row r="3478" spans="14:19" hidden="1" x14ac:dyDescent="0.25">
      <c r="N3478" s="17">
        <v>547.39999999998395</v>
      </c>
      <c r="O3478" s="16" t="s">
        <v>3307</v>
      </c>
      <c r="R3478" s="6"/>
      <c r="S3478" s="298"/>
    </row>
    <row r="3479" spans="14:19" hidden="1" x14ac:dyDescent="0.25">
      <c r="N3479" s="17">
        <v>547.49999999998397</v>
      </c>
      <c r="O3479" s="16" t="s">
        <v>3308</v>
      </c>
      <c r="R3479" s="6"/>
      <c r="S3479" s="298"/>
    </row>
    <row r="3480" spans="14:19" hidden="1" x14ac:dyDescent="0.25">
      <c r="N3480" s="17">
        <v>547.59999999998399</v>
      </c>
      <c r="O3480" s="16" t="s">
        <v>3309</v>
      </c>
      <c r="R3480" s="6"/>
      <c r="S3480" s="298"/>
    </row>
    <row r="3481" spans="14:19" hidden="1" x14ac:dyDescent="0.25">
      <c r="N3481" s="17">
        <v>547.69999999998402</v>
      </c>
      <c r="O3481" s="16" t="s">
        <v>3310</v>
      </c>
      <c r="R3481" s="6"/>
      <c r="S3481" s="298"/>
    </row>
    <row r="3482" spans="14:19" hidden="1" x14ac:dyDescent="0.25">
      <c r="N3482" s="17">
        <v>547.79999999998404</v>
      </c>
      <c r="O3482" s="16" t="s">
        <v>3311</v>
      </c>
      <c r="R3482" s="6"/>
      <c r="S3482" s="298"/>
    </row>
    <row r="3483" spans="14:19" hidden="1" x14ac:dyDescent="0.25">
      <c r="N3483" s="17">
        <v>547.89999999998395</v>
      </c>
      <c r="O3483" s="16" t="s">
        <v>3312</v>
      </c>
      <c r="R3483" s="6"/>
      <c r="S3483" s="298"/>
    </row>
    <row r="3484" spans="14:19" hidden="1" x14ac:dyDescent="0.25">
      <c r="N3484" s="17">
        <v>547.99999999998397</v>
      </c>
      <c r="O3484" s="16" t="s">
        <v>3313</v>
      </c>
      <c r="R3484" s="6"/>
      <c r="S3484" s="298"/>
    </row>
    <row r="3485" spans="14:19" hidden="1" x14ac:dyDescent="0.25">
      <c r="N3485" s="17">
        <v>548.09999999998399</v>
      </c>
      <c r="O3485" s="16" t="s">
        <v>3314</v>
      </c>
      <c r="R3485" s="6"/>
      <c r="S3485" s="298"/>
    </row>
    <row r="3486" spans="14:19" hidden="1" x14ac:dyDescent="0.25">
      <c r="N3486" s="17">
        <v>548.19999999998402</v>
      </c>
      <c r="O3486" s="16" t="s">
        <v>3315</v>
      </c>
      <c r="R3486" s="6"/>
      <c r="S3486" s="298"/>
    </row>
    <row r="3487" spans="14:19" hidden="1" x14ac:dyDescent="0.25">
      <c r="N3487" s="17">
        <v>548.29999999998404</v>
      </c>
      <c r="O3487" s="16" t="s">
        <v>3316</v>
      </c>
      <c r="R3487" s="6"/>
      <c r="S3487" s="298"/>
    </row>
    <row r="3488" spans="14:19" hidden="1" x14ac:dyDescent="0.25">
      <c r="N3488" s="17">
        <v>548.39999999998304</v>
      </c>
      <c r="O3488" s="16" t="s">
        <v>3317</v>
      </c>
      <c r="R3488" s="6"/>
      <c r="S3488" s="298"/>
    </row>
    <row r="3489" spans="14:19" hidden="1" x14ac:dyDescent="0.25">
      <c r="N3489" s="17">
        <v>548.49999999998397</v>
      </c>
      <c r="O3489" s="16" t="s">
        <v>3318</v>
      </c>
      <c r="R3489" s="6"/>
      <c r="S3489" s="298"/>
    </row>
    <row r="3490" spans="14:19" hidden="1" x14ac:dyDescent="0.25">
      <c r="N3490" s="17">
        <v>548.59999999998399</v>
      </c>
      <c r="O3490" s="16" t="s">
        <v>3319</v>
      </c>
      <c r="R3490" s="6"/>
      <c r="S3490" s="298"/>
    </row>
    <row r="3491" spans="14:19" hidden="1" x14ac:dyDescent="0.25">
      <c r="N3491" s="17">
        <v>548.69999999998299</v>
      </c>
      <c r="O3491" s="16" t="s">
        <v>3320</v>
      </c>
      <c r="R3491" s="6"/>
      <c r="S3491" s="298"/>
    </row>
    <row r="3492" spans="14:19" hidden="1" x14ac:dyDescent="0.25">
      <c r="N3492" s="17">
        <v>548.79999999998302</v>
      </c>
      <c r="O3492" s="16" t="s">
        <v>3321</v>
      </c>
      <c r="R3492" s="6"/>
      <c r="S3492" s="298"/>
    </row>
    <row r="3493" spans="14:19" hidden="1" x14ac:dyDescent="0.25">
      <c r="N3493" s="17">
        <v>548.89999999998304</v>
      </c>
      <c r="O3493" s="16" t="s">
        <v>3322</v>
      </c>
      <c r="R3493" s="6"/>
      <c r="S3493" s="298"/>
    </row>
    <row r="3494" spans="14:19" hidden="1" x14ac:dyDescent="0.25">
      <c r="N3494" s="17">
        <v>548.99999999998295</v>
      </c>
      <c r="O3494" s="16" t="s">
        <v>3323</v>
      </c>
      <c r="R3494" s="6"/>
      <c r="S3494" s="298"/>
    </row>
    <row r="3495" spans="14:19" hidden="1" x14ac:dyDescent="0.25">
      <c r="N3495" s="17">
        <v>549.09999999998297</v>
      </c>
      <c r="O3495" s="16" t="s">
        <v>3324</v>
      </c>
      <c r="R3495" s="6"/>
      <c r="S3495" s="298"/>
    </row>
    <row r="3496" spans="14:19" hidden="1" x14ac:dyDescent="0.25">
      <c r="N3496" s="17">
        <v>549.19999999998299</v>
      </c>
      <c r="O3496" s="16" t="s">
        <v>3325</v>
      </c>
      <c r="R3496" s="6"/>
      <c r="S3496" s="298"/>
    </row>
    <row r="3497" spans="14:19" hidden="1" x14ac:dyDescent="0.25">
      <c r="N3497" s="17">
        <v>549.29999999998302</v>
      </c>
      <c r="O3497" s="16" t="s">
        <v>3326</v>
      </c>
      <c r="R3497" s="6"/>
      <c r="S3497" s="298"/>
    </row>
    <row r="3498" spans="14:19" hidden="1" x14ac:dyDescent="0.25">
      <c r="N3498" s="17">
        <v>549.39999999998304</v>
      </c>
      <c r="O3498" s="16" t="s">
        <v>3327</v>
      </c>
      <c r="R3498" s="6"/>
      <c r="S3498" s="298"/>
    </row>
    <row r="3499" spans="14:19" hidden="1" x14ac:dyDescent="0.25">
      <c r="N3499" s="17">
        <v>549.49999999998295</v>
      </c>
      <c r="O3499" s="16" t="s">
        <v>5451</v>
      </c>
      <c r="R3499" s="6"/>
      <c r="S3499" s="298"/>
    </row>
    <row r="3500" spans="14:19" hidden="1" x14ac:dyDescent="0.25">
      <c r="N3500" s="17">
        <v>549.59999999998297</v>
      </c>
      <c r="O3500" s="16" t="s">
        <v>5452</v>
      </c>
      <c r="R3500" s="6"/>
      <c r="S3500" s="298"/>
    </row>
    <row r="3501" spans="14:19" hidden="1" x14ac:dyDescent="0.25">
      <c r="N3501" s="17">
        <v>549.69999999998299</v>
      </c>
      <c r="O3501" s="16" t="s">
        <v>5453</v>
      </c>
      <c r="R3501" s="6"/>
      <c r="S3501" s="298"/>
    </row>
    <row r="3502" spans="14:19" hidden="1" x14ac:dyDescent="0.25">
      <c r="N3502" s="17">
        <v>549.79999999998302</v>
      </c>
      <c r="O3502" s="16" t="s">
        <v>5454</v>
      </c>
      <c r="R3502" s="6"/>
      <c r="S3502" s="298"/>
    </row>
    <row r="3503" spans="14:19" hidden="1" x14ac:dyDescent="0.25">
      <c r="N3503" s="17">
        <v>549.89999999998304</v>
      </c>
      <c r="O3503" s="16" t="s">
        <v>5455</v>
      </c>
      <c r="R3503" s="6"/>
      <c r="S3503" s="298"/>
    </row>
    <row r="3504" spans="14:19" hidden="1" x14ac:dyDescent="0.25">
      <c r="N3504" s="17">
        <v>549.99999999998295</v>
      </c>
      <c r="O3504" s="16" t="s">
        <v>5456</v>
      </c>
      <c r="R3504" s="6"/>
      <c r="S3504" s="298"/>
    </row>
    <row r="3505" spans="14:19" hidden="1" x14ac:dyDescent="0.25">
      <c r="N3505" s="17">
        <v>550.09999999998297</v>
      </c>
      <c r="O3505" s="16" t="s">
        <v>5457</v>
      </c>
      <c r="R3505" s="6"/>
      <c r="S3505" s="298"/>
    </row>
    <row r="3506" spans="14:19" hidden="1" x14ac:dyDescent="0.25">
      <c r="N3506" s="17">
        <v>550.19999999998299</v>
      </c>
      <c r="O3506" s="16" t="s">
        <v>5458</v>
      </c>
      <c r="R3506" s="6"/>
      <c r="S3506" s="298"/>
    </row>
    <row r="3507" spans="14:19" hidden="1" x14ac:dyDescent="0.25">
      <c r="N3507" s="17">
        <v>550.29999999998302</v>
      </c>
      <c r="O3507" s="16" t="s">
        <v>5459</v>
      </c>
      <c r="R3507" s="6"/>
      <c r="S3507" s="298"/>
    </row>
    <row r="3508" spans="14:19" hidden="1" x14ac:dyDescent="0.25">
      <c r="N3508" s="17">
        <v>550.39999999998304</v>
      </c>
      <c r="O3508" s="16" t="s">
        <v>5460</v>
      </c>
      <c r="R3508" s="6"/>
      <c r="S3508" s="298"/>
    </row>
    <row r="3509" spans="14:19" hidden="1" x14ac:dyDescent="0.25">
      <c r="N3509" s="17">
        <v>550.49999999998295</v>
      </c>
      <c r="O3509" s="16" t="s">
        <v>7532</v>
      </c>
      <c r="R3509" s="6"/>
      <c r="S3509" s="298"/>
    </row>
    <row r="3510" spans="14:19" hidden="1" x14ac:dyDescent="0.25">
      <c r="N3510" s="17">
        <v>550.59999999998297</v>
      </c>
      <c r="O3510" s="16" t="s">
        <v>7533</v>
      </c>
      <c r="R3510" s="6"/>
      <c r="S3510" s="298"/>
    </row>
    <row r="3511" spans="14:19" hidden="1" x14ac:dyDescent="0.25">
      <c r="N3511" s="17">
        <v>550.69999999998299</v>
      </c>
      <c r="O3511" s="16" t="s">
        <v>7534</v>
      </c>
      <c r="R3511" s="6"/>
      <c r="S3511" s="298"/>
    </row>
    <row r="3512" spans="14:19" hidden="1" x14ac:dyDescent="0.25">
      <c r="N3512" s="17">
        <v>550.79999999998302</v>
      </c>
      <c r="O3512" s="16" t="s">
        <v>7535</v>
      </c>
      <c r="R3512" s="6"/>
      <c r="S3512" s="298"/>
    </row>
    <row r="3513" spans="14:19" hidden="1" x14ac:dyDescent="0.25">
      <c r="N3513" s="17">
        <v>550.89999999998304</v>
      </c>
      <c r="O3513" s="16" t="s">
        <v>5461</v>
      </c>
      <c r="R3513" s="6"/>
      <c r="S3513" s="298"/>
    </row>
    <row r="3514" spans="14:19" hidden="1" x14ac:dyDescent="0.25">
      <c r="N3514" s="17">
        <v>550.99999999998295</v>
      </c>
      <c r="O3514" s="16" t="s">
        <v>5462</v>
      </c>
      <c r="R3514" s="6"/>
      <c r="S3514" s="298"/>
    </row>
    <row r="3515" spans="14:19" hidden="1" x14ac:dyDescent="0.25">
      <c r="N3515" s="17">
        <v>551.09999999998297</v>
      </c>
      <c r="O3515" s="16" t="s">
        <v>5463</v>
      </c>
      <c r="R3515" s="6"/>
      <c r="S3515" s="298"/>
    </row>
    <row r="3516" spans="14:19" hidden="1" x14ac:dyDescent="0.25">
      <c r="N3516" s="17">
        <v>551.19999999998299</v>
      </c>
      <c r="O3516" s="16" t="s">
        <v>5464</v>
      </c>
      <c r="R3516" s="6"/>
      <c r="S3516" s="298"/>
    </row>
    <row r="3517" spans="14:19" hidden="1" x14ac:dyDescent="0.25">
      <c r="N3517" s="17">
        <v>551.29999999998302</v>
      </c>
      <c r="O3517" s="16" t="s">
        <v>5465</v>
      </c>
      <c r="R3517" s="6"/>
      <c r="S3517" s="298"/>
    </row>
    <row r="3518" spans="14:19" hidden="1" x14ac:dyDescent="0.25">
      <c r="N3518" s="17">
        <v>551.39999999998201</v>
      </c>
      <c r="O3518" s="16" t="s">
        <v>5466</v>
      </c>
      <c r="R3518" s="6"/>
      <c r="S3518" s="298"/>
    </row>
    <row r="3519" spans="14:19" hidden="1" x14ac:dyDescent="0.25">
      <c r="N3519" s="17">
        <v>551.49999999998204</v>
      </c>
      <c r="O3519" s="16" t="s">
        <v>5467</v>
      </c>
      <c r="R3519" s="6"/>
      <c r="S3519" s="298"/>
    </row>
    <row r="3520" spans="14:19" hidden="1" x14ac:dyDescent="0.25">
      <c r="N3520" s="17">
        <v>551.59999999998195</v>
      </c>
      <c r="O3520" s="16" t="s">
        <v>5468</v>
      </c>
      <c r="R3520" s="6"/>
      <c r="S3520" s="298"/>
    </row>
    <row r="3521" spans="14:19" hidden="1" x14ac:dyDescent="0.25">
      <c r="N3521" s="17">
        <v>551.69999999998197</v>
      </c>
      <c r="O3521" s="16" t="s">
        <v>5469</v>
      </c>
      <c r="R3521" s="6"/>
      <c r="S3521" s="298"/>
    </row>
    <row r="3522" spans="14:19" hidden="1" x14ac:dyDescent="0.25">
      <c r="N3522" s="17">
        <v>551.79999999998199</v>
      </c>
      <c r="O3522" s="16" t="s">
        <v>7288</v>
      </c>
      <c r="R3522" s="6"/>
      <c r="S3522" s="298"/>
    </row>
    <row r="3523" spans="14:19" hidden="1" x14ac:dyDescent="0.25">
      <c r="N3523" s="17">
        <v>551.89999999998201</v>
      </c>
      <c r="O3523" s="16" t="s">
        <v>7289</v>
      </c>
      <c r="R3523" s="6"/>
      <c r="S3523" s="298"/>
    </row>
    <row r="3524" spans="14:19" hidden="1" x14ac:dyDescent="0.25">
      <c r="N3524" s="17">
        <v>551.99999999998204</v>
      </c>
      <c r="O3524" s="16" t="s">
        <v>7290</v>
      </c>
      <c r="R3524" s="6"/>
      <c r="S3524" s="298"/>
    </row>
    <row r="3525" spans="14:19" hidden="1" x14ac:dyDescent="0.25">
      <c r="N3525" s="17">
        <v>552.09999999998195</v>
      </c>
      <c r="O3525" s="16" t="s">
        <v>7291</v>
      </c>
      <c r="R3525" s="6"/>
      <c r="S3525" s="298"/>
    </row>
    <row r="3526" spans="14:19" hidden="1" x14ac:dyDescent="0.25">
      <c r="N3526" s="17">
        <v>552.19999999998197</v>
      </c>
      <c r="O3526" s="16" t="s">
        <v>7292</v>
      </c>
      <c r="R3526" s="6"/>
      <c r="S3526" s="298"/>
    </row>
    <row r="3527" spans="14:19" hidden="1" x14ac:dyDescent="0.25">
      <c r="N3527" s="17">
        <v>552.29999999998199</v>
      </c>
      <c r="O3527" s="16" t="s">
        <v>7293</v>
      </c>
      <c r="R3527" s="6"/>
      <c r="S3527" s="298"/>
    </row>
    <row r="3528" spans="14:19" hidden="1" x14ac:dyDescent="0.25">
      <c r="N3528" s="17">
        <v>552.39999999998201</v>
      </c>
      <c r="O3528" s="16" t="s">
        <v>7294</v>
      </c>
      <c r="R3528" s="6"/>
      <c r="S3528" s="298"/>
    </row>
    <row r="3529" spans="14:19" hidden="1" x14ac:dyDescent="0.25">
      <c r="N3529" s="17">
        <v>552.49999999998204</v>
      </c>
      <c r="O3529" s="16" t="s">
        <v>7295</v>
      </c>
      <c r="R3529" s="6"/>
      <c r="S3529" s="298"/>
    </row>
    <row r="3530" spans="14:19" hidden="1" x14ac:dyDescent="0.25">
      <c r="N3530" s="17">
        <v>552.59999999998195</v>
      </c>
      <c r="O3530" s="16" t="s">
        <v>7296</v>
      </c>
      <c r="R3530" s="6"/>
      <c r="S3530" s="298"/>
    </row>
    <row r="3531" spans="14:19" hidden="1" x14ac:dyDescent="0.25">
      <c r="N3531" s="17">
        <v>552.69999999998197</v>
      </c>
      <c r="O3531" s="16" t="s">
        <v>7297</v>
      </c>
      <c r="R3531" s="6"/>
      <c r="S3531" s="298"/>
    </row>
    <row r="3532" spans="14:19" hidden="1" x14ac:dyDescent="0.25">
      <c r="N3532" s="17">
        <v>552.79999999998199</v>
      </c>
      <c r="O3532" s="16" t="s">
        <v>7298</v>
      </c>
      <c r="R3532" s="6"/>
      <c r="S3532" s="298"/>
    </row>
    <row r="3533" spans="14:19" hidden="1" x14ac:dyDescent="0.25">
      <c r="N3533" s="17">
        <v>552.89999999998201</v>
      </c>
      <c r="O3533" s="16" t="s">
        <v>7299</v>
      </c>
      <c r="R3533" s="6"/>
      <c r="S3533" s="298"/>
    </row>
    <row r="3534" spans="14:19" hidden="1" x14ac:dyDescent="0.25">
      <c r="N3534" s="17">
        <v>552.99999999998204</v>
      </c>
      <c r="O3534" s="16" t="s">
        <v>7300</v>
      </c>
      <c r="R3534" s="6"/>
      <c r="S3534" s="298"/>
    </row>
    <row r="3535" spans="14:19" hidden="1" x14ac:dyDescent="0.25">
      <c r="N3535" s="17">
        <v>553.09999999998195</v>
      </c>
      <c r="O3535" s="16" t="s">
        <v>5480</v>
      </c>
      <c r="R3535" s="6"/>
      <c r="S3535" s="298"/>
    </row>
    <row r="3536" spans="14:19" hidden="1" x14ac:dyDescent="0.25">
      <c r="N3536" s="17">
        <v>553.19999999998197</v>
      </c>
      <c r="O3536" s="16" t="s">
        <v>5481</v>
      </c>
      <c r="R3536" s="6"/>
      <c r="S3536" s="298"/>
    </row>
    <row r="3537" spans="14:19" hidden="1" x14ac:dyDescent="0.25">
      <c r="N3537" s="17">
        <v>553.29999999998199</v>
      </c>
      <c r="O3537" s="16" t="s">
        <v>5482</v>
      </c>
      <c r="R3537" s="6"/>
      <c r="S3537" s="298"/>
    </row>
    <row r="3538" spans="14:19" hidden="1" x14ac:dyDescent="0.25">
      <c r="N3538" s="17">
        <v>553.39999999998201</v>
      </c>
      <c r="O3538" s="16" t="s">
        <v>5483</v>
      </c>
      <c r="R3538" s="6"/>
      <c r="S3538" s="298"/>
    </row>
    <row r="3539" spans="14:19" hidden="1" x14ac:dyDescent="0.25">
      <c r="N3539" s="17">
        <v>553.49999999998204</v>
      </c>
      <c r="O3539" s="16" t="s">
        <v>5484</v>
      </c>
      <c r="R3539" s="6"/>
      <c r="S3539" s="298"/>
    </row>
    <row r="3540" spans="14:19" hidden="1" x14ac:dyDescent="0.25">
      <c r="N3540" s="17">
        <v>553.59999999998195</v>
      </c>
      <c r="O3540" s="16" t="s">
        <v>5485</v>
      </c>
      <c r="R3540" s="6"/>
      <c r="S3540" s="298"/>
    </row>
    <row r="3541" spans="14:19" hidden="1" x14ac:dyDescent="0.25">
      <c r="N3541" s="17">
        <v>553.69999999998197</v>
      </c>
      <c r="O3541" s="16" t="s">
        <v>5486</v>
      </c>
      <c r="R3541" s="6"/>
      <c r="S3541" s="298"/>
    </row>
    <row r="3542" spans="14:19" hidden="1" x14ac:dyDescent="0.25">
      <c r="N3542" s="17">
        <v>553.79999999998199</v>
      </c>
      <c r="O3542" s="16" t="s">
        <v>5487</v>
      </c>
      <c r="R3542" s="6"/>
      <c r="S3542" s="298"/>
    </row>
    <row r="3543" spans="14:19" hidden="1" x14ac:dyDescent="0.25">
      <c r="N3543" s="17">
        <v>553.89999999998201</v>
      </c>
      <c r="O3543" s="16" t="s">
        <v>3367</v>
      </c>
      <c r="R3543" s="6"/>
      <c r="S3543" s="298"/>
    </row>
    <row r="3544" spans="14:19" hidden="1" x14ac:dyDescent="0.25">
      <c r="N3544" s="17">
        <v>553.99999999998204</v>
      </c>
      <c r="O3544" s="16" t="s">
        <v>3368</v>
      </c>
      <c r="R3544" s="6"/>
      <c r="S3544" s="298"/>
    </row>
    <row r="3545" spans="14:19" hidden="1" x14ac:dyDescent="0.25">
      <c r="N3545" s="17">
        <v>554.09999999998195</v>
      </c>
      <c r="O3545" s="16" t="s">
        <v>3369</v>
      </c>
      <c r="R3545" s="6"/>
      <c r="S3545" s="298"/>
    </row>
    <row r="3546" spans="14:19" hidden="1" x14ac:dyDescent="0.25">
      <c r="N3546" s="17">
        <v>554.19999999998197</v>
      </c>
      <c r="O3546" s="16" t="s">
        <v>3370</v>
      </c>
      <c r="R3546" s="6"/>
      <c r="S3546" s="298"/>
    </row>
    <row r="3547" spans="14:19" hidden="1" x14ac:dyDescent="0.25">
      <c r="N3547" s="17">
        <v>554.29999999998199</v>
      </c>
      <c r="O3547" s="16" t="s">
        <v>3371</v>
      </c>
      <c r="R3547" s="6"/>
      <c r="S3547" s="298"/>
    </row>
    <row r="3548" spans="14:19" hidden="1" x14ac:dyDescent="0.25">
      <c r="N3548" s="17">
        <v>554.39999999998201</v>
      </c>
      <c r="O3548" s="16" t="s">
        <v>3372</v>
      </c>
      <c r="R3548" s="6"/>
      <c r="S3548" s="298"/>
    </row>
    <row r="3549" spans="14:19" hidden="1" x14ac:dyDescent="0.25">
      <c r="N3549" s="17">
        <v>554.49999999998101</v>
      </c>
      <c r="O3549" s="16" t="s">
        <v>3373</v>
      </c>
      <c r="R3549" s="6"/>
      <c r="S3549" s="298"/>
    </row>
    <row r="3550" spans="14:19" hidden="1" x14ac:dyDescent="0.25">
      <c r="N3550" s="17">
        <v>554.59999999998104</v>
      </c>
      <c r="O3550" s="16" t="s">
        <v>3374</v>
      </c>
      <c r="R3550" s="6"/>
      <c r="S3550" s="298"/>
    </row>
    <row r="3551" spans="14:19" hidden="1" x14ac:dyDescent="0.25">
      <c r="N3551" s="17">
        <v>554.69999999998095</v>
      </c>
      <c r="O3551" s="16" t="s">
        <v>3375</v>
      </c>
      <c r="R3551" s="6"/>
      <c r="S3551" s="298"/>
    </row>
    <row r="3552" spans="14:19" hidden="1" x14ac:dyDescent="0.25">
      <c r="N3552" s="17">
        <v>554.79999999998097</v>
      </c>
      <c r="O3552" s="16" t="s">
        <v>3376</v>
      </c>
      <c r="R3552" s="6"/>
      <c r="S3552" s="298"/>
    </row>
    <row r="3553" spans="14:19" hidden="1" x14ac:dyDescent="0.25">
      <c r="N3553" s="17">
        <v>554.89999999998099</v>
      </c>
      <c r="O3553" s="16" t="s">
        <v>3377</v>
      </c>
      <c r="R3553" s="6"/>
      <c r="S3553" s="298"/>
    </row>
    <row r="3554" spans="14:19" hidden="1" x14ac:dyDescent="0.25">
      <c r="N3554" s="17">
        <v>554.99999999998101</v>
      </c>
      <c r="O3554" s="16" t="s">
        <v>3378</v>
      </c>
      <c r="R3554" s="6"/>
      <c r="S3554" s="298"/>
    </row>
    <row r="3555" spans="14:19" hidden="1" x14ac:dyDescent="0.25">
      <c r="N3555" s="17">
        <v>555.09999999998104</v>
      </c>
      <c r="O3555" s="16" t="s">
        <v>3379</v>
      </c>
      <c r="R3555" s="6"/>
      <c r="S3555" s="298"/>
    </row>
    <row r="3556" spans="14:19" hidden="1" x14ac:dyDescent="0.25">
      <c r="N3556" s="17">
        <v>555.19999999998095</v>
      </c>
      <c r="O3556" s="16" t="s">
        <v>3380</v>
      </c>
      <c r="R3556" s="6"/>
      <c r="S3556" s="298"/>
    </row>
    <row r="3557" spans="14:19" hidden="1" x14ac:dyDescent="0.25">
      <c r="N3557" s="17">
        <v>555.29999999998097</v>
      </c>
      <c r="O3557" s="16" t="s">
        <v>3381</v>
      </c>
      <c r="R3557" s="6"/>
      <c r="S3557" s="298"/>
    </row>
    <row r="3558" spans="14:19" hidden="1" x14ac:dyDescent="0.25">
      <c r="N3558" s="17">
        <v>555.39999999998099</v>
      </c>
      <c r="O3558" s="16" t="s">
        <v>3382</v>
      </c>
      <c r="R3558" s="6"/>
      <c r="S3558" s="298"/>
    </row>
    <row r="3559" spans="14:19" hidden="1" x14ac:dyDescent="0.25">
      <c r="N3559" s="17">
        <v>555.49999999998101</v>
      </c>
      <c r="O3559" s="16" t="s">
        <v>3383</v>
      </c>
      <c r="R3559" s="6"/>
      <c r="S3559" s="298"/>
    </row>
    <row r="3560" spans="14:19" hidden="1" x14ac:dyDescent="0.25">
      <c r="N3560" s="17">
        <v>555.59999999998104</v>
      </c>
      <c r="O3560" s="16" t="s">
        <v>3384</v>
      </c>
      <c r="R3560" s="6"/>
      <c r="S3560" s="298"/>
    </row>
    <row r="3561" spans="14:19" hidden="1" x14ac:dyDescent="0.25">
      <c r="N3561" s="17">
        <v>555.69999999998095</v>
      </c>
      <c r="O3561" s="16" t="s">
        <v>3385</v>
      </c>
      <c r="R3561" s="6"/>
      <c r="S3561" s="298"/>
    </row>
    <row r="3562" spans="14:19" hidden="1" x14ac:dyDescent="0.25">
      <c r="N3562" s="17">
        <v>555.79999999998097</v>
      </c>
      <c r="O3562" s="16" t="s">
        <v>3386</v>
      </c>
      <c r="R3562" s="6"/>
      <c r="S3562" s="298"/>
    </row>
    <row r="3563" spans="14:19" hidden="1" x14ac:dyDescent="0.25">
      <c r="N3563" s="17">
        <v>555.89999999998099</v>
      </c>
      <c r="O3563" s="16" t="s">
        <v>3387</v>
      </c>
      <c r="R3563" s="6"/>
      <c r="S3563" s="298"/>
    </row>
    <row r="3564" spans="14:19" hidden="1" x14ac:dyDescent="0.25">
      <c r="N3564" s="17">
        <v>555.99999999998101</v>
      </c>
      <c r="O3564" s="16" t="s">
        <v>3388</v>
      </c>
      <c r="R3564" s="6"/>
      <c r="S3564" s="298"/>
    </row>
    <row r="3565" spans="14:19" hidden="1" x14ac:dyDescent="0.25">
      <c r="N3565" s="17">
        <v>556.09999999998104</v>
      </c>
      <c r="O3565" s="16" t="s">
        <v>3389</v>
      </c>
      <c r="R3565" s="6"/>
      <c r="S3565" s="298"/>
    </row>
    <row r="3566" spans="14:19" hidden="1" x14ac:dyDescent="0.25">
      <c r="N3566" s="17">
        <v>556.19999999998095</v>
      </c>
      <c r="O3566" s="16" t="s">
        <v>3390</v>
      </c>
      <c r="R3566" s="6"/>
      <c r="S3566" s="298"/>
    </row>
    <row r="3567" spans="14:19" hidden="1" x14ac:dyDescent="0.25">
      <c r="N3567" s="17">
        <v>556.29999999998097</v>
      </c>
      <c r="O3567" s="16" t="s">
        <v>3391</v>
      </c>
      <c r="R3567" s="6"/>
      <c r="S3567" s="298"/>
    </row>
    <row r="3568" spans="14:19" hidden="1" x14ac:dyDescent="0.25">
      <c r="N3568" s="17">
        <v>556.39999999998099</v>
      </c>
      <c r="O3568" s="16" t="s">
        <v>3392</v>
      </c>
      <c r="R3568" s="6"/>
      <c r="S3568" s="298"/>
    </row>
    <row r="3569" spans="14:19" hidden="1" x14ac:dyDescent="0.25">
      <c r="N3569" s="17">
        <v>556.49999999998101</v>
      </c>
      <c r="O3569" s="16" t="s">
        <v>3393</v>
      </c>
      <c r="R3569" s="6"/>
      <c r="S3569" s="298"/>
    </row>
    <row r="3570" spans="14:19" hidden="1" x14ac:dyDescent="0.25">
      <c r="N3570" s="17">
        <v>556.59999999998104</v>
      </c>
      <c r="O3570" s="16" t="s">
        <v>3394</v>
      </c>
      <c r="R3570" s="6"/>
      <c r="S3570" s="298"/>
    </row>
    <row r="3571" spans="14:19" hidden="1" x14ac:dyDescent="0.25">
      <c r="N3571" s="17">
        <v>556.69999999998095</v>
      </c>
      <c r="O3571" s="16" t="s">
        <v>3395</v>
      </c>
      <c r="R3571" s="6"/>
      <c r="S3571" s="298"/>
    </row>
    <row r="3572" spans="14:19" hidden="1" x14ac:dyDescent="0.25">
      <c r="N3572" s="17">
        <v>556.79999999998097</v>
      </c>
      <c r="O3572" s="16" t="s">
        <v>3396</v>
      </c>
      <c r="R3572" s="6"/>
      <c r="S3572" s="298"/>
    </row>
    <row r="3573" spans="14:19" hidden="1" x14ac:dyDescent="0.25">
      <c r="N3573" s="17">
        <v>556.89999999998099</v>
      </c>
      <c r="O3573" s="16" t="s">
        <v>3397</v>
      </c>
      <c r="R3573" s="6"/>
      <c r="S3573" s="298"/>
    </row>
    <row r="3574" spans="14:19" hidden="1" x14ac:dyDescent="0.25">
      <c r="N3574" s="17">
        <v>556.99999999998101</v>
      </c>
      <c r="O3574" s="16" t="s">
        <v>3398</v>
      </c>
      <c r="R3574" s="6"/>
      <c r="S3574" s="298"/>
    </row>
    <row r="3575" spans="14:19" hidden="1" x14ac:dyDescent="0.25">
      <c r="N3575" s="17">
        <v>557.09999999998104</v>
      </c>
      <c r="O3575" s="16" t="s">
        <v>3399</v>
      </c>
      <c r="R3575" s="6"/>
      <c r="S3575" s="298"/>
    </row>
    <row r="3576" spans="14:19" hidden="1" x14ac:dyDescent="0.25">
      <c r="N3576" s="17">
        <v>557.19999999998004</v>
      </c>
      <c r="O3576" s="16" t="s">
        <v>3400</v>
      </c>
      <c r="R3576" s="6"/>
      <c r="S3576" s="298"/>
    </row>
    <row r="3577" spans="14:19" hidden="1" x14ac:dyDescent="0.25">
      <c r="N3577" s="17">
        <v>557.29999999998097</v>
      </c>
      <c r="O3577" s="16" t="s">
        <v>3401</v>
      </c>
      <c r="R3577" s="6"/>
      <c r="S3577" s="298"/>
    </row>
    <row r="3578" spans="14:19" hidden="1" x14ac:dyDescent="0.25">
      <c r="N3578" s="17">
        <v>557.39999999998099</v>
      </c>
      <c r="O3578" s="16" t="s">
        <v>3402</v>
      </c>
      <c r="R3578" s="6"/>
      <c r="S3578" s="298"/>
    </row>
    <row r="3579" spans="14:19" hidden="1" x14ac:dyDescent="0.25">
      <c r="N3579" s="17">
        <v>557.49999999997999</v>
      </c>
      <c r="O3579" s="16" t="s">
        <v>3403</v>
      </c>
      <c r="R3579" s="6"/>
      <c r="S3579" s="298"/>
    </row>
    <row r="3580" spans="14:19" hidden="1" x14ac:dyDescent="0.25">
      <c r="N3580" s="17">
        <v>557.59999999998001</v>
      </c>
      <c r="O3580" s="16" t="s">
        <v>3404</v>
      </c>
      <c r="R3580" s="6"/>
      <c r="S3580" s="298"/>
    </row>
    <row r="3581" spans="14:19" hidden="1" x14ac:dyDescent="0.25">
      <c r="N3581" s="17">
        <v>557.69999999998004</v>
      </c>
      <c r="O3581" s="16" t="s">
        <v>3405</v>
      </c>
      <c r="R3581" s="6"/>
      <c r="S3581" s="298"/>
    </row>
    <row r="3582" spans="14:19" hidden="1" x14ac:dyDescent="0.25">
      <c r="N3582" s="17">
        <v>557.79999999997995</v>
      </c>
      <c r="O3582" s="16" t="s">
        <v>3406</v>
      </c>
      <c r="R3582" s="6"/>
      <c r="S3582" s="298"/>
    </row>
    <row r="3583" spans="14:19" hidden="1" x14ac:dyDescent="0.25">
      <c r="N3583" s="17">
        <v>557.89999999997997</v>
      </c>
      <c r="O3583" s="16" t="s">
        <v>3407</v>
      </c>
      <c r="R3583" s="6"/>
      <c r="S3583" s="298"/>
    </row>
    <row r="3584" spans="14:19" hidden="1" x14ac:dyDescent="0.25">
      <c r="N3584" s="17">
        <v>557.99999999997999</v>
      </c>
      <c r="O3584" s="16" t="s">
        <v>1186</v>
      </c>
      <c r="R3584" s="6"/>
      <c r="S3584" s="298"/>
    </row>
    <row r="3585" spans="14:19" hidden="1" x14ac:dyDescent="0.25">
      <c r="N3585" s="17">
        <v>558.09999999998001</v>
      </c>
      <c r="O3585" s="16" t="s">
        <v>1187</v>
      </c>
      <c r="R3585" s="6"/>
      <c r="S3585" s="298"/>
    </row>
    <row r="3586" spans="14:19" hidden="1" x14ac:dyDescent="0.25">
      <c r="N3586" s="17">
        <v>558.19999999998004</v>
      </c>
      <c r="O3586" s="16" t="s">
        <v>1188</v>
      </c>
      <c r="R3586" s="6"/>
      <c r="S3586" s="298"/>
    </row>
    <row r="3587" spans="14:19" hidden="1" x14ac:dyDescent="0.25">
      <c r="N3587" s="17">
        <v>558.29999999997995</v>
      </c>
      <c r="O3587" s="16" t="s">
        <v>3429</v>
      </c>
      <c r="R3587" s="6"/>
      <c r="S3587" s="298"/>
    </row>
    <row r="3588" spans="14:19" hidden="1" x14ac:dyDescent="0.25">
      <c r="N3588" s="17">
        <v>558.39999999997997</v>
      </c>
      <c r="O3588" s="16" t="s">
        <v>3430</v>
      </c>
      <c r="R3588" s="6"/>
      <c r="S3588" s="298"/>
    </row>
    <row r="3589" spans="14:19" hidden="1" x14ac:dyDescent="0.25">
      <c r="N3589" s="17">
        <v>558.49999999997999</v>
      </c>
      <c r="O3589" s="16" t="s">
        <v>3431</v>
      </c>
      <c r="R3589" s="6"/>
      <c r="S3589" s="298"/>
    </row>
    <row r="3590" spans="14:19" hidden="1" x14ac:dyDescent="0.25">
      <c r="N3590" s="17">
        <v>558.59999999998001</v>
      </c>
      <c r="O3590" s="16" t="s">
        <v>3432</v>
      </c>
      <c r="R3590" s="6"/>
      <c r="S3590" s="298"/>
    </row>
    <row r="3591" spans="14:19" hidden="1" x14ac:dyDescent="0.25">
      <c r="N3591" s="17">
        <v>558.69999999998004</v>
      </c>
      <c r="O3591" s="16" t="s">
        <v>3433</v>
      </c>
      <c r="R3591" s="6"/>
      <c r="S3591" s="298"/>
    </row>
    <row r="3592" spans="14:19" hidden="1" x14ac:dyDescent="0.25">
      <c r="N3592" s="17">
        <v>558.79999999997995</v>
      </c>
      <c r="O3592" s="16" t="s">
        <v>3434</v>
      </c>
      <c r="R3592" s="6"/>
      <c r="S3592" s="298"/>
    </row>
    <row r="3593" spans="14:19" hidden="1" x14ac:dyDescent="0.25">
      <c r="N3593" s="17">
        <v>558.89999999997997</v>
      </c>
      <c r="O3593" s="16" t="s">
        <v>3435</v>
      </c>
      <c r="R3593" s="6"/>
      <c r="S3593" s="298"/>
    </row>
    <row r="3594" spans="14:19" hidden="1" x14ac:dyDescent="0.25">
      <c r="N3594" s="17">
        <v>558.99999999997999</v>
      </c>
      <c r="O3594" s="16" t="s">
        <v>3436</v>
      </c>
      <c r="R3594" s="6"/>
      <c r="S3594" s="298"/>
    </row>
    <row r="3595" spans="14:19" hidden="1" x14ac:dyDescent="0.25">
      <c r="N3595" s="17">
        <v>559.09999999998001</v>
      </c>
      <c r="O3595" s="16" t="s">
        <v>3437</v>
      </c>
      <c r="R3595" s="6"/>
      <c r="S3595" s="298"/>
    </row>
    <row r="3596" spans="14:19" hidden="1" x14ac:dyDescent="0.25">
      <c r="N3596" s="17">
        <v>559.19999999998004</v>
      </c>
      <c r="O3596" s="16" t="s">
        <v>3438</v>
      </c>
      <c r="R3596" s="6"/>
      <c r="S3596" s="298"/>
    </row>
    <row r="3597" spans="14:19" hidden="1" x14ac:dyDescent="0.25">
      <c r="N3597" s="17">
        <v>559.29999999997995</v>
      </c>
      <c r="O3597" s="16" t="s">
        <v>3439</v>
      </c>
      <c r="R3597" s="6"/>
      <c r="S3597" s="298"/>
    </row>
    <row r="3598" spans="14:19" hidden="1" x14ac:dyDescent="0.25">
      <c r="N3598" s="17">
        <v>559.39999999997997</v>
      </c>
      <c r="O3598" s="16" t="s">
        <v>3440</v>
      </c>
      <c r="R3598" s="6"/>
      <c r="S3598" s="298"/>
    </row>
    <row r="3599" spans="14:19" hidden="1" x14ac:dyDescent="0.25">
      <c r="N3599" s="17">
        <v>559.49999999997999</v>
      </c>
      <c r="O3599" s="16" t="s">
        <v>3441</v>
      </c>
      <c r="R3599" s="6"/>
      <c r="S3599" s="298"/>
    </row>
    <row r="3600" spans="14:19" hidden="1" x14ac:dyDescent="0.25">
      <c r="N3600" s="17">
        <v>559.59999999998001</v>
      </c>
      <c r="O3600" s="16" t="s">
        <v>3442</v>
      </c>
      <c r="R3600" s="6"/>
      <c r="S3600" s="298"/>
    </row>
    <row r="3601" spans="14:19" hidden="1" x14ac:dyDescent="0.25">
      <c r="N3601" s="17">
        <v>559.69999999998004</v>
      </c>
      <c r="O3601" s="16" t="s">
        <v>3443</v>
      </c>
      <c r="R3601" s="6"/>
      <c r="S3601" s="298"/>
    </row>
    <row r="3602" spans="14:19" hidden="1" x14ac:dyDescent="0.25">
      <c r="N3602" s="17">
        <v>559.79999999997995</v>
      </c>
      <c r="O3602" s="16" t="s">
        <v>3434</v>
      </c>
      <c r="R3602" s="6"/>
      <c r="S3602" s="298"/>
    </row>
    <row r="3603" spans="14:19" hidden="1" x14ac:dyDescent="0.25">
      <c r="N3603" s="17">
        <v>559.89999999997997</v>
      </c>
      <c r="O3603" s="16" t="s">
        <v>3435</v>
      </c>
      <c r="R3603" s="6"/>
      <c r="S3603" s="298"/>
    </row>
    <row r="3604" spans="14:19" hidden="1" x14ac:dyDescent="0.25">
      <c r="N3604" s="17">
        <v>559.99999999997999</v>
      </c>
      <c r="O3604" s="16" t="s">
        <v>3444</v>
      </c>
      <c r="R3604" s="6"/>
      <c r="S3604" s="298"/>
    </row>
    <row r="3605" spans="14:19" hidden="1" x14ac:dyDescent="0.25">
      <c r="N3605" s="17">
        <v>560.09999999998001</v>
      </c>
      <c r="O3605" s="16" t="s">
        <v>3445</v>
      </c>
      <c r="R3605" s="6"/>
      <c r="S3605" s="298"/>
    </row>
    <row r="3606" spans="14:19" hidden="1" x14ac:dyDescent="0.25">
      <c r="N3606" s="17">
        <v>560.19999999998004</v>
      </c>
      <c r="O3606" s="16" t="s">
        <v>3446</v>
      </c>
      <c r="R3606" s="6"/>
      <c r="S3606" s="298"/>
    </row>
    <row r="3607" spans="14:19" hidden="1" x14ac:dyDescent="0.25">
      <c r="N3607" s="17">
        <v>560.29999999997904</v>
      </c>
      <c r="O3607" s="16" t="s">
        <v>3447</v>
      </c>
      <c r="R3607" s="6"/>
      <c r="S3607" s="298"/>
    </row>
    <row r="3608" spans="14:19" hidden="1" x14ac:dyDescent="0.25">
      <c r="N3608" s="17">
        <v>560.39999999997895</v>
      </c>
      <c r="O3608" s="16" t="s">
        <v>3448</v>
      </c>
      <c r="R3608" s="6"/>
      <c r="S3608" s="298"/>
    </row>
    <row r="3609" spans="14:19" hidden="1" x14ac:dyDescent="0.25">
      <c r="N3609" s="17">
        <v>560.49999999997897</v>
      </c>
      <c r="O3609" s="16" t="s">
        <v>3449</v>
      </c>
      <c r="R3609" s="6"/>
      <c r="S3609" s="298"/>
    </row>
    <row r="3610" spans="14:19" hidden="1" x14ac:dyDescent="0.25">
      <c r="N3610" s="17">
        <v>560.59999999997899</v>
      </c>
      <c r="O3610" s="16" t="s">
        <v>3450</v>
      </c>
      <c r="R3610" s="6"/>
      <c r="S3610" s="298"/>
    </row>
    <row r="3611" spans="14:19" hidden="1" x14ac:dyDescent="0.25">
      <c r="N3611" s="17">
        <v>560.69999999997901</v>
      </c>
      <c r="O3611" s="16" t="s">
        <v>3451</v>
      </c>
      <c r="R3611" s="6"/>
      <c r="S3611" s="298"/>
    </row>
    <row r="3612" spans="14:19" hidden="1" x14ac:dyDescent="0.25">
      <c r="N3612" s="17">
        <v>560.79999999997904</v>
      </c>
      <c r="O3612" s="16" t="s">
        <v>3452</v>
      </c>
      <c r="R3612" s="6"/>
      <c r="S3612" s="298"/>
    </row>
    <row r="3613" spans="14:19" hidden="1" x14ac:dyDescent="0.25">
      <c r="N3613" s="17">
        <v>560.89999999997895</v>
      </c>
      <c r="O3613" s="16" t="s">
        <v>3453</v>
      </c>
      <c r="R3613" s="6"/>
      <c r="S3613" s="298"/>
    </row>
    <row r="3614" spans="14:19" hidden="1" x14ac:dyDescent="0.25">
      <c r="N3614" s="17">
        <v>560.99999999997897</v>
      </c>
      <c r="O3614" s="16" t="s">
        <v>3454</v>
      </c>
      <c r="R3614" s="6"/>
      <c r="S3614" s="298"/>
    </row>
    <row r="3615" spans="14:19" hidden="1" x14ac:dyDescent="0.25">
      <c r="N3615" s="17">
        <v>561.09999999997899</v>
      </c>
      <c r="O3615" s="16" t="s">
        <v>3455</v>
      </c>
      <c r="R3615" s="6"/>
      <c r="S3615" s="298"/>
    </row>
    <row r="3616" spans="14:19" hidden="1" x14ac:dyDescent="0.25">
      <c r="N3616" s="17">
        <v>561.19999999997901</v>
      </c>
      <c r="O3616" s="16" t="s">
        <v>3456</v>
      </c>
      <c r="R3616" s="6"/>
      <c r="S3616" s="298"/>
    </row>
    <row r="3617" spans="14:19" hidden="1" x14ac:dyDescent="0.25">
      <c r="N3617" s="17">
        <v>561.29999999997904</v>
      </c>
      <c r="O3617" s="16" t="s">
        <v>6</v>
      </c>
      <c r="R3617" s="6"/>
      <c r="S3617" s="298"/>
    </row>
    <row r="3618" spans="14:19" hidden="1" x14ac:dyDescent="0.25">
      <c r="N3618" s="17">
        <v>561.39999999997895</v>
      </c>
      <c r="O3618" s="16" t="s">
        <v>7</v>
      </c>
      <c r="R3618" s="6"/>
      <c r="S3618" s="298"/>
    </row>
    <row r="3619" spans="14:19" hidden="1" x14ac:dyDescent="0.25">
      <c r="N3619" s="17">
        <v>561.49999999997897</v>
      </c>
      <c r="O3619" s="16" t="s">
        <v>8</v>
      </c>
      <c r="R3619" s="6"/>
      <c r="S3619" s="298"/>
    </row>
    <row r="3620" spans="14:19" hidden="1" x14ac:dyDescent="0.25">
      <c r="N3620" s="17">
        <v>561.59999999997899</v>
      </c>
      <c r="O3620" s="16" t="s">
        <v>9</v>
      </c>
      <c r="R3620" s="6"/>
      <c r="S3620" s="298"/>
    </row>
    <row r="3621" spans="14:19" hidden="1" x14ac:dyDescent="0.25">
      <c r="N3621" s="17">
        <v>561.69999999997901</v>
      </c>
      <c r="O3621" s="16" t="s">
        <v>10</v>
      </c>
      <c r="R3621" s="6"/>
      <c r="S3621" s="298"/>
    </row>
    <row r="3622" spans="14:19" hidden="1" x14ac:dyDescent="0.25">
      <c r="N3622" s="17">
        <v>561.79999999997904</v>
      </c>
      <c r="O3622" s="16" t="s">
        <v>11</v>
      </c>
      <c r="R3622" s="6"/>
      <c r="S3622" s="298"/>
    </row>
    <row r="3623" spans="14:19" hidden="1" x14ac:dyDescent="0.25">
      <c r="N3623" s="17">
        <v>561.89999999997895</v>
      </c>
      <c r="O3623" s="16" t="s">
        <v>12</v>
      </c>
      <c r="R3623" s="6"/>
      <c r="S3623" s="298"/>
    </row>
    <row r="3624" spans="14:19" hidden="1" x14ac:dyDescent="0.25">
      <c r="N3624" s="17">
        <v>561.99999999997897</v>
      </c>
      <c r="O3624" s="16" t="s">
        <v>13</v>
      </c>
      <c r="R3624" s="6"/>
      <c r="S3624" s="298"/>
    </row>
    <row r="3625" spans="14:19" hidden="1" x14ac:dyDescent="0.25">
      <c r="N3625" s="17">
        <v>562.09999999997899</v>
      </c>
      <c r="O3625" s="16" t="s">
        <v>14</v>
      </c>
      <c r="R3625" s="6"/>
      <c r="S3625" s="298"/>
    </row>
    <row r="3626" spans="14:19" hidden="1" x14ac:dyDescent="0.25">
      <c r="N3626" s="17">
        <v>562.19999999997901</v>
      </c>
      <c r="O3626" s="16" t="s">
        <v>15</v>
      </c>
      <c r="R3626" s="6"/>
      <c r="S3626" s="298"/>
    </row>
    <row r="3627" spans="14:19" hidden="1" x14ac:dyDescent="0.25">
      <c r="N3627" s="17">
        <v>562.29999999997904</v>
      </c>
      <c r="O3627" s="16" t="s">
        <v>16</v>
      </c>
      <c r="R3627" s="6"/>
      <c r="S3627" s="298"/>
    </row>
    <row r="3628" spans="14:19" hidden="1" x14ac:dyDescent="0.25">
      <c r="N3628" s="17">
        <v>562.39999999997895</v>
      </c>
      <c r="O3628" s="16" t="s">
        <v>17</v>
      </c>
      <c r="R3628" s="6"/>
      <c r="S3628" s="298"/>
    </row>
    <row r="3629" spans="14:19" hidden="1" x14ac:dyDescent="0.25">
      <c r="N3629" s="17">
        <v>562.49999999997897</v>
      </c>
      <c r="O3629" s="16" t="s">
        <v>18</v>
      </c>
      <c r="R3629" s="6"/>
      <c r="S3629" s="298"/>
    </row>
    <row r="3630" spans="14:19" hidden="1" x14ac:dyDescent="0.25">
      <c r="N3630" s="17">
        <v>562.59999999997899</v>
      </c>
      <c r="O3630" s="16" t="s">
        <v>19</v>
      </c>
      <c r="R3630" s="6"/>
      <c r="S3630" s="298"/>
    </row>
    <row r="3631" spans="14:19" hidden="1" x14ac:dyDescent="0.25">
      <c r="N3631" s="17">
        <v>562.69999999997901</v>
      </c>
      <c r="O3631" s="16" t="s">
        <v>1221</v>
      </c>
      <c r="R3631" s="6"/>
      <c r="S3631" s="298"/>
    </row>
    <row r="3632" spans="14:19" hidden="1" x14ac:dyDescent="0.25">
      <c r="N3632" s="17">
        <v>562.79999999997904</v>
      </c>
      <c r="O3632" s="16" t="s">
        <v>1222</v>
      </c>
      <c r="R3632" s="6"/>
      <c r="S3632" s="298"/>
    </row>
    <row r="3633" spans="14:19" hidden="1" x14ac:dyDescent="0.25">
      <c r="N3633" s="17">
        <v>562.89999999997895</v>
      </c>
      <c r="O3633" s="16" t="s">
        <v>1223</v>
      </c>
      <c r="R3633" s="6"/>
      <c r="S3633" s="298"/>
    </row>
    <row r="3634" spans="14:19" hidden="1" x14ac:dyDescent="0.25">
      <c r="N3634" s="17">
        <v>562.99999999997897</v>
      </c>
      <c r="O3634" s="16" t="s">
        <v>1224</v>
      </c>
      <c r="R3634" s="6"/>
      <c r="S3634" s="298"/>
    </row>
    <row r="3635" spans="14:19" hidden="1" x14ac:dyDescent="0.25">
      <c r="N3635" s="17">
        <v>563.09999999997899</v>
      </c>
      <c r="O3635" s="16" t="s">
        <v>1225</v>
      </c>
      <c r="R3635" s="6"/>
      <c r="S3635" s="298"/>
    </row>
    <row r="3636" spans="14:19" hidden="1" x14ac:dyDescent="0.25">
      <c r="N3636" s="17">
        <v>563.19999999997901</v>
      </c>
      <c r="O3636" s="16" t="s">
        <v>1228</v>
      </c>
      <c r="R3636" s="6"/>
      <c r="S3636" s="298"/>
    </row>
    <row r="3637" spans="14:19" hidden="1" x14ac:dyDescent="0.25">
      <c r="N3637" s="17">
        <v>563.29999999997801</v>
      </c>
      <c r="O3637" s="16" t="s">
        <v>1229</v>
      </c>
      <c r="R3637" s="6"/>
      <c r="S3637" s="298"/>
    </row>
    <row r="3638" spans="14:19" hidden="1" x14ac:dyDescent="0.25">
      <c r="N3638" s="17">
        <v>563.39999999997804</v>
      </c>
      <c r="O3638" s="16" t="s">
        <v>1230</v>
      </c>
      <c r="R3638" s="6"/>
      <c r="S3638" s="298"/>
    </row>
    <row r="3639" spans="14:19" hidden="1" x14ac:dyDescent="0.25">
      <c r="N3639" s="17">
        <v>563.49999999997794</v>
      </c>
      <c r="O3639" s="16" t="s">
        <v>1231</v>
      </c>
      <c r="R3639" s="6"/>
      <c r="S3639" s="298"/>
    </row>
    <row r="3640" spans="14:19" hidden="1" x14ac:dyDescent="0.25">
      <c r="N3640" s="17">
        <v>563.59999999997797</v>
      </c>
      <c r="O3640" s="16" t="s">
        <v>1232</v>
      </c>
      <c r="R3640" s="6"/>
      <c r="S3640" s="298"/>
    </row>
    <row r="3641" spans="14:19" hidden="1" x14ac:dyDescent="0.25">
      <c r="N3641" s="17">
        <v>563.69999999997799</v>
      </c>
      <c r="O3641" s="16" t="s">
        <v>1233</v>
      </c>
      <c r="R3641" s="6"/>
      <c r="S3641" s="298"/>
    </row>
    <row r="3642" spans="14:19" hidden="1" x14ac:dyDescent="0.25">
      <c r="N3642" s="17">
        <v>563.79999999997801</v>
      </c>
      <c r="O3642" s="16" t="s">
        <v>1234</v>
      </c>
      <c r="R3642" s="6"/>
      <c r="S3642" s="298"/>
    </row>
    <row r="3643" spans="14:19" hidden="1" x14ac:dyDescent="0.25">
      <c r="N3643" s="17">
        <v>563.89999999997804</v>
      </c>
      <c r="O3643" s="16" t="s">
        <v>1235</v>
      </c>
      <c r="R3643" s="6"/>
      <c r="S3643" s="298"/>
    </row>
    <row r="3644" spans="14:19" hidden="1" x14ac:dyDescent="0.25">
      <c r="N3644" s="17">
        <v>563.99999999997794</v>
      </c>
      <c r="O3644" s="16" t="s">
        <v>1236</v>
      </c>
      <c r="R3644" s="6"/>
      <c r="S3644" s="298"/>
    </row>
    <row r="3645" spans="14:19" hidden="1" x14ac:dyDescent="0.25">
      <c r="N3645" s="17">
        <v>564.09999999997797</v>
      </c>
      <c r="O3645" s="16" t="s">
        <v>1237</v>
      </c>
      <c r="R3645" s="6"/>
      <c r="S3645" s="298"/>
    </row>
    <row r="3646" spans="14:19" hidden="1" x14ac:dyDescent="0.25">
      <c r="N3646" s="17">
        <v>564.19999999997799</v>
      </c>
      <c r="O3646" s="16" t="s">
        <v>1238</v>
      </c>
      <c r="R3646" s="6"/>
      <c r="S3646" s="298"/>
    </row>
    <row r="3647" spans="14:19" hidden="1" x14ac:dyDescent="0.25">
      <c r="N3647" s="17">
        <v>564.29999999997801</v>
      </c>
      <c r="O3647" s="16" t="s">
        <v>1239</v>
      </c>
      <c r="R3647" s="6"/>
      <c r="S3647" s="298"/>
    </row>
    <row r="3648" spans="14:19" hidden="1" x14ac:dyDescent="0.25">
      <c r="N3648" s="17">
        <v>564.39999999997804</v>
      </c>
      <c r="O3648" s="16" t="s">
        <v>1240</v>
      </c>
      <c r="R3648" s="6"/>
      <c r="S3648" s="298"/>
    </row>
    <row r="3649" spans="14:19" hidden="1" x14ac:dyDescent="0.25">
      <c r="N3649" s="17">
        <v>564.49999999997794</v>
      </c>
      <c r="O3649" s="16" t="s">
        <v>1241</v>
      </c>
      <c r="R3649" s="6"/>
      <c r="S3649" s="298"/>
    </row>
    <row r="3650" spans="14:19" hidden="1" x14ac:dyDescent="0.25">
      <c r="N3650" s="17">
        <v>564.59999999997797</v>
      </c>
      <c r="O3650" s="16" t="s">
        <v>1242</v>
      </c>
      <c r="R3650" s="6"/>
      <c r="S3650" s="298"/>
    </row>
    <row r="3651" spans="14:19" hidden="1" x14ac:dyDescent="0.25">
      <c r="N3651" s="17">
        <v>564.69999999997799</v>
      </c>
      <c r="O3651" s="16" t="s">
        <v>1243</v>
      </c>
      <c r="R3651" s="6"/>
      <c r="S3651" s="298"/>
    </row>
    <row r="3652" spans="14:19" hidden="1" x14ac:dyDescent="0.25">
      <c r="N3652" s="17">
        <v>564.79999999997801</v>
      </c>
      <c r="O3652" s="16" t="s">
        <v>1244</v>
      </c>
      <c r="R3652" s="6"/>
      <c r="S3652" s="298"/>
    </row>
    <row r="3653" spans="14:19" hidden="1" x14ac:dyDescent="0.25">
      <c r="N3653" s="17">
        <v>564.89999999997804</v>
      </c>
      <c r="O3653" s="16" t="s">
        <v>1245</v>
      </c>
      <c r="R3653" s="6"/>
      <c r="S3653" s="298"/>
    </row>
    <row r="3654" spans="14:19" hidden="1" x14ac:dyDescent="0.25">
      <c r="N3654" s="17">
        <v>564.99999999997794</v>
      </c>
      <c r="O3654" s="16" t="s">
        <v>5603</v>
      </c>
      <c r="R3654" s="6"/>
      <c r="S3654" s="298"/>
    </row>
    <row r="3655" spans="14:19" hidden="1" x14ac:dyDescent="0.25">
      <c r="N3655" s="17">
        <v>565.09999999997797</v>
      </c>
      <c r="O3655" s="16" t="s">
        <v>5604</v>
      </c>
      <c r="R3655" s="6"/>
      <c r="S3655" s="298"/>
    </row>
    <row r="3656" spans="14:19" hidden="1" x14ac:dyDescent="0.25">
      <c r="N3656" s="17">
        <v>565.19999999997799</v>
      </c>
      <c r="O3656" s="16" t="s">
        <v>5605</v>
      </c>
      <c r="R3656" s="6"/>
      <c r="S3656" s="298"/>
    </row>
    <row r="3657" spans="14:19" hidden="1" x14ac:dyDescent="0.25">
      <c r="N3657" s="17">
        <v>565.29999999997801</v>
      </c>
      <c r="O3657" s="16" t="s">
        <v>5606</v>
      </c>
      <c r="R3657" s="6"/>
      <c r="S3657" s="298"/>
    </row>
    <row r="3658" spans="14:19" hidden="1" x14ac:dyDescent="0.25">
      <c r="N3658" s="17">
        <v>565.39999999997804</v>
      </c>
      <c r="O3658" s="16" t="s">
        <v>5607</v>
      </c>
      <c r="R3658" s="6"/>
      <c r="S3658" s="298"/>
    </row>
    <row r="3659" spans="14:19" hidden="1" x14ac:dyDescent="0.25">
      <c r="N3659" s="17">
        <v>565.49999999997794</v>
      </c>
      <c r="O3659" s="16" t="s">
        <v>5608</v>
      </c>
      <c r="R3659" s="6"/>
      <c r="S3659" s="298"/>
    </row>
    <row r="3660" spans="14:19" hidden="1" x14ac:dyDescent="0.25">
      <c r="N3660" s="17">
        <v>565.59999999997797</v>
      </c>
      <c r="O3660" s="16" t="s">
        <v>5609</v>
      </c>
      <c r="R3660" s="6"/>
      <c r="S3660" s="298"/>
    </row>
    <row r="3661" spans="14:19" hidden="1" x14ac:dyDescent="0.25">
      <c r="N3661" s="17">
        <v>565.69999999997799</v>
      </c>
      <c r="O3661" s="16" t="s">
        <v>5610</v>
      </c>
      <c r="R3661" s="6"/>
      <c r="S3661" s="298"/>
    </row>
    <row r="3662" spans="14:19" hidden="1" x14ac:dyDescent="0.25">
      <c r="N3662" s="17">
        <v>565.79999999997801</v>
      </c>
      <c r="O3662" s="16" t="s">
        <v>5611</v>
      </c>
      <c r="R3662" s="6"/>
      <c r="S3662" s="298"/>
    </row>
    <row r="3663" spans="14:19" hidden="1" x14ac:dyDescent="0.25">
      <c r="N3663" s="17">
        <v>565.89999999997804</v>
      </c>
      <c r="O3663" s="16" t="s">
        <v>5612</v>
      </c>
      <c r="R3663" s="6"/>
      <c r="S3663" s="298"/>
    </row>
    <row r="3664" spans="14:19" hidden="1" x14ac:dyDescent="0.25">
      <c r="N3664" s="17">
        <v>565.99999999997704</v>
      </c>
      <c r="O3664" s="16" t="s">
        <v>5613</v>
      </c>
      <c r="R3664" s="6"/>
      <c r="S3664" s="298"/>
    </row>
    <row r="3665" spans="14:19" hidden="1" x14ac:dyDescent="0.25">
      <c r="N3665" s="17">
        <v>566.09999999997797</v>
      </c>
      <c r="O3665" s="16" t="s">
        <v>5614</v>
      </c>
      <c r="R3665" s="6"/>
      <c r="S3665" s="298"/>
    </row>
    <row r="3666" spans="14:19" hidden="1" x14ac:dyDescent="0.25">
      <c r="N3666" s="17">
        <v>566.19999999997799</v>
      </c>
      <c r="O3666" s="16" t="s">
        <v>5615</v>
      </c>
      <c r="R3666" s="6"/>
      <c r="S3666" s="298"/>
    </row>
    <row r="3667" spans="14:19" hidden="1" x14ac:dyDescent="0.25">
      <c r="N3667" s="17">
        <v>566.29999999997699</v>
      </c>
      <c r="O3667" s="16" t="s">
        <v>5616</v>
      </c>
      <c r="R3667" s="6"/>
      <c r="S3667" s="298"/>
    </row>
    <row r="3668" spans="14:19" hidden="1" x14ac:dyDescent="0.25">
      <c r="N3668" s="17">
        <v>566.39999999997701</v>
      </c>
      <c r="O3668" s="16" t="s">
        <v>5617</v>
      </c>
      <c r="R3668" s="6"/>
      <c r="S3668" s="298"/>
    </row>
    <row r="3669" spans="14:19" hidden="1" x14ac:dyDescent="0.25">
      <c r="N3669" s="17">
        <v>566.49999999997704</v>
      </c>
      <c r="O3669" s="16" t="s">
        <v>5618</v>
      </c>
      <c r="R3669" s="6"/>
      <c r="S3669" s="298"/>
    </row>
    <row r="3670" spans="14:19" hidden="1" x14ac:dyDescent="0.25">
      <c r="N3670" s="17">
        <v>566.59999999997694</v>
      </c>
      <c r="O3670" s="16" t="s">
        <v>5619</v>
      </c>
      <c r="R3670" s="6"/>
      <c r="S3670" s="298"/>
    </row>
    <row r="3671" spans="14:19" hidden="1" x14ac:dyDescent="0.25">
      <c r="N3671" s="17">
        <v>566.69999999997697</v>
      </c>
      <c r="O3671" s="16" t="s">
        <v>5620</v>
      </c>
      <c r="R3671" s="6"/>
      <c r="S3671" s="298"/>
    </row>
    <row r="3672" spans="14:19" hidden="1" x14ac:dyDescent="0.25">
      <c r="N3672" s="17">
        <v>566.79999999997699</v>
      </c>
      <c r="O3672" s="16" t="s">
        <v>5621</v>
      </c>
      <c r="R3672" s="6"/>
      <c r="S3672" s="298"/>
    </row>
    <row r="3673" spans="14:19" hidden="1" x14ac:dyDescent="0.25">
      <c r="N3673" s="17">
        <v>566.89999999997701</v>
      </c>
      <c r="O3673" s="16" t="s">
        <v>5622</v>
      </c>
      <c r="R3673" s="6"/>
      <c r="S3673" s="298"/>
    </row>
    <row r="3674" spans="14:19" hidden="1" x14ac:dyDescent="0.25">
      <c r="N3674" s="17">
        <v>566.99999999997704</v>
      </c>
      <c r="O3674" s="16" t="s">
        <v>5623</v>
      </c>
      <c r="R3674" s="6"/>
      <c r="S3674" s="298"/>
    </row>
    <row r="3675" spans="14:19" hidden="1" x14ac:dyDescent="0.25">
      <c r="N3675" s="17">
        <v>567.09999999997694</v>
      </c>
      <c r="O3675" s="16" t="s">
        <v>5624</v>
      </c>
      <c r="R3675" s="6"/>
      <c r="S3675" s="298"/>
    </row>
    <row r="3676" spans="14:19" hidden="1" x14ac:dyDescent="0.25">
      <c r="N3676" s="17">
        <v>567.19999999997697</v>
      </c>
      <c r="O3676" s="16" t="s">
        <v>5625</v>
      </c>
      <c r="R3676" s="6"/>
      <c r="S3676" s="298"/>
    </row>
    <row r="3677" spans="14:19" hidden="1" x14ac:dyDescent="0.25">
      <c r="N3677" s="17">
        <v>567.29999999997699</v>
      </c>
      <c r="O3677" s="16" t="s">
        <v>5626</v>
      </c>
      <c r="R3677" s="6"/>
      <c r="S3677" s="298"/>
    </row>
    <row r="3678" spans="14:19" hidden="1" x14ac:dyDescent="0.25">
      <c r="N3678" s="17">
        <v>567.39999999997701</v>
      </c>
      <c r="O3678" s="16" t="s">
        <v>3511</v>
      </c>
      <c r="R3678" s="6"/>
      <c r="S3678" s="298"/>
    </row>
    <row r="3679" spans="14:19" hidden="1" x14ac:dyDescent="0.25">
      <c r="N3679" s="17">
        <v>567.49999999997704</v>
      </c>
      <c r="O3679" s="16" t="s">
        <v>3512</v>
      </c>
      <c r="R3679" s="6"/>
      <c r="S3679" s="298"/>
    </row>
    <row r="3680" spans="14:19" hidden="1" x14ac:dyDescent="0.25">
      <c r="N3680" s="17">
        <v>567.59999999997694</v>
      </c>
      <c r="O3680" s="16" t="s">
        <v>3513</v>
      </c>
      <c r="R3680" s="6"/>
      <c r="S3680" s="298"/>
    </row>
    <row r="3681" spans="14:19" hidden="1" x14ac:dyDescent="0.25">
      <c r="N3681" s="17">
        <v>567.69999999997697</v>
      </c>
      <c r="O3681" s="16" t="s">
        <v>3514</v>
      </c>
      <c r="R3681" s="6"/>
      <c r="S3681" s="298"/>
    </row>
    <row r="3682" spans="14:19" hidden="1" x14ac:dyDescent="0.25">
      <c r="N3682" s="17">
        <v>567.79999999997699</v>
      </c>
      <c r="O3682" s="16" t="s">
        <v>3515</v>
      </c>
      <c r="R3682" s="6"/>
      <c r="S3682" s="298"/>
    </row>
    <row r="3683" spans="14:19" hidden="1" x14ac:dyDescent="0.25">
      <c r="N3683" s="17">
        <v>567.89999999997701</v>
      </c>
      <c r="O3683" s="16" t="s">
        <v>3516</v>
      </c>
      <c r="R3683" s="6"/>
      <c r="S3683" s="298"/>
    </row>
    <row r="3684" spans="14:19" hidden="1" x14ac:dyDescent="0.25">
      <c r="N3684" s="17">
        <v>567.99999999997704</v>
      </c>
      <c r="O3684" s="16" t="s">
        <v>3517</v>
      </c>
      <c r="R3684" s="6"/>
      <c r="S3684" s="298"/>
    </row>
    <row r="3685" spans="14:19" hidden="1" x14ac:dyDescent="0.25">
      <c r="N3685" s="17">
        <v>568.09999999997694</v>
      </c>
      <c r="O3685" s="16" t="s">
        <v>3518</v>
      </c>
      <c r="R3685" s="6"/>
      <c r="S3685" s="298"/>
    </row>
    <row r="3686" spans="14:19" hidden="1" x14ac:dyDescent="0.25">
      <c r="N3686" s="17">
        <v>568.19999999997697</v>
      </c>
      <c r="O3686" s="16" t="s">
        <v>3519</v>
      </c>
      <c r="R3686" s="6"/>
      <c r="S3686" s="298"/>
    </row>
    <row r="3687" spans="14:19" hidden="1" x14ac:dyDescent="0.25">
      <c r="N3687" s="17">
        <v>568.29999999997699</v>
      </c>
      <c r="O3687" s="16" t="s">
        <v>3520</v>
      </c>
      <c r="R3687" s="6"/>
      <c r="S3687" s="298"/>
    </row>
    <row r="3688" spans="14:19" hidden="1" x14ac:dyDescent="0.25">
      <c r="N3688" s="17">
        <v>568.39999999997701</v>
      </c>
      <c r="O3688" s="16" t="s">
        <v>3521</v>
      </c>
      <c r="R3688" s="6"/>
      <c r="S3688" s="298"/>
    </row>
    <row r="3689" spans="14:19" hidden="1" x14ac:dyDescent="0.25">
      <c r="N3689" s="17">
        <v>568.49999999997704</v>
      </c>
      <c r="O3689" s="16" t="s">
        <v>3522</v>
      </c>
      <c r="R3689" s="6"/>
      <c r="S3689" s="298"/>
    </row>
    <row r="3690" spans="14:19" hidden="1" x14ac:dyDescent="0.25">
      <c r="N3690" s="17">
        <v>568.59999999997694</v>
      </c>
      <c r="O3690" s="16" t="s">
        <v>3523</v>
      </c>
      <c r="R3690" s="6"/>
      <c r="S3690" s="298"/>
    </row>
    <row r="3691" spans="14:19" hidden="1" x14ac:dyDescent="0.25">
      <c r="N3691" s="17">
        <v>568.69999999997697</v>
      </c>
      <c r="O3691" s="16" t="s">
        <v>3524</v>
      </c>
      <c r="R3691" s="6"/>
      <c r="S3691" s="298"/>
    </row>
    <row r="3692" spans="14:19" hidden="1" x14ac:dyDescent="0.25">
      <c r="N3692" s="17">
        <v>568.79999999997699</v>
      </c>
      <c r="O3692" s="16" t="s">
        <v>3525</v>
      </c>
      <c r="R3692" s="6"/>
      <c r="S3692" s="298"/>
    </row>
    <row r="3693" spans="14:19" hidden="1" x14ac:dyDescent="0.25">
      <c r="N3693" s="17">
        <v>568.89999999997701</v>
      </c>
      <c r="O3693" s="16" t="s">
        <v>3526</v>
      </c>
      <c r="R3693" s="6"/>
      <c r="S3693" s="298"/>
    </row>
    <row r="3694" spans="14:19" hidden="1" x14ac:dyDescent="0.25">
      <c r="N3694" s="17">
        <v>568.99999999997704</v>
      </c>
      <c r="O3694" s="16" t="s">
        <v>3527</v>
      </c>
      <c r="R3694" s="6"/>
      <c r="S3694" s="298"/>
    </row>
    <row r="3695" spans="14:19" hidden="1" x14ac:dyDescent="0.25">
      <c r="N3695" s="17">
        <v>569.09999999997603</v>
      </c>
      <c r="O3695" s="16" t="s">
        <v>3528</v>
      </c>
      <c r="R3695" s="6"/>
      <c r="S3695" s="298"/>
    </row>
    <row r="3696" spans="14:19" hidden="1" x14ac:dyDescent="0.25">
      <c r="N3696" s="17">
        <v>569.19999999997594</v>
      </c>
      <c r="O3696" s="16" t="s">
        <v>3529</v>
      </c>
      <c r="R3696" s="6"/>
      <c r="S3696" s="298"/>
    </row>
    <row r="3697" spans="14:19" hidden="1" x14ac:dyDescent="0.25">
      <c r="N3697" s="17">
        <v>569.29999999997597</v>
      </c>
      <c r="O3697" s="16" t="s">
        <v>3530</v>
      </c>
      <c r="R3697" s="6"/>
      <c r="S3697" s="298"/>
    </row>
    <row r="3698" spans="14:19" hidden="1" x14ac:dyDescent="0.25">
      <c r="N3698" s="17">
        <v>569.39999999997599</v>
      </c>
      <c r="O3698" s="16" t="s">
        <v>3531</v>
      </c>
      <c r="R3698" s="6"/>
      <c r="S3698" s="298"/>
    </row>
    <row r="3699" spans="14:19" hidden="1" x14ac:dyDescent="0.25">
      <c r="N3699" s="17">
        <v>569.49999999997601</v>
      </c>
      <c r="O3699" s="16" t="s">
        <v>3532</v>
      </c>
      <c r="R3699" s="6"/>
      <c r="S3699" s="298"/>
    </row>
    <row r="3700" spans="14:19" hidden="1" x14ac:dyDescent="0.25">
      <c r="N3700" s="17">
        <v>569.59999999997603</v>
      </c>
      <c r="O3700" s="16" t="s">
        <v>3533</v>
      </c>
      <c r="R3700" s="6"/>
      <c r="S3700" s="298"/>
    </row>
    <row r="3701" spans="14:19" hidden="1" x14ac:dyDescent="0.25">
      <c r="N3701" s="17">
        <v>569.69999999997594</v>
      </c>
      <c r="O3701" s="16" t="s">
        <v>3534</v>
      </c>
      <c r="R3701" s="6"/>
      <c r="S3701" s="298"/>
    </row>
    <row r="3702" spans="14:19" hidden="1" x14ac:dyDescent="0.25">
      <c r="N3702" s="17">
        <v>569.79999999997597</v>
      </c>
      <c r="O3702" s="16" t="s">
        <v>3535</v>
      </c>
      <c r="R3702" s="6"/>
      <c r="S3702" s="298"/>
    </row>
    <row r="3703" spans="14:19" hidden="1" x14ac:dyDescent="0.25">
      <c r="N3703" s="17">
        <v>569.89999999997599</v>
      </c>
      <c r="O3703" s="16" t="s">
        <v>3536</v>
      </c>
      <c r="R3703" s="6"/>
      <c r="S3703" s="298"/>
    </row>
    <row r="3704" spans="14:19" hidden="1" x14ac:dyDescent="0.25">
      <c r="N3704" s="17">
        <v>569.99999999997601</v>
      </c>
      <c r="O3704" s="16" t="s">
        <v>3537</v>
      </c>
      <c r="R3704" s="6"/>
      <c r="S3704" s="298"/>
    </row>
    <row r="3705" spans="14:19" hidden="1" x14ac:dyDescent="0.25">
      <c r="N3705" s="17">
        <v>570.09999999997603</v>
      </c>
      <c r="O3705" s="16" t="s">
        <v>3538</v>
      </c>
      <c r="R3705" s="6"/>
      <c r="S3705" s="298"/>
    </row>
    <row r="3706" spans="14:19" hidden="1" x14ac:dyDescent="0.25">
      <c r="N3706" s="17">
        <v>570.19999999997594</v>
      </c>
      <c r="O3706" s="16" t="s">
        <v>3539</v>
      </c>
      <c r="R3706" s="6"/>
      <c r="S3706" s="298"/>
    </row>
    <row r="3707" spans="14:19" hidden="1" x14ac:dyDescent="0.25">
      <c r="N3707" s="17">
        <v>570.29999999997597</v>
      </c>
      <c r="O3707" s="16" t="s">
        <v>3540</v>
      </c>
      <c r="R3707" s="6"/>
      <c r="S3707" s="298"/>
    </row>
    <row r="3708" spans="14:19" hidden="1" x14ac:dyDescent="0.25">
      <c r="N3708" s="17">
        <v>570.39999999997599</v>
      </c>
      <c r="O3708" s="16" t="s">
        <v>3541</v>
      </c>
      <c r="R3708" s="6"/>
      <c r="S3708" s="298"/>
    </row>
    <row r="3709" spans="14:19" hidden="1" x14ac:dyDescent="0.25">
      <c r="N3709" s="17">
        <v>570.49999999997601</v>
      </c>
      <c r="O3709" s="16" t="s">
        <v>3542</v>
      </c>
      <c r="R3709" s="6"/>
      <c r="S3709" s="298"/>
    </row>
    <row r="3710" spans="14:19" hidden="1" x14ac:dyDescent="0.25">
      <c r="N3710" s="17">
        <v>570.59999999997603</v>
      </c>
      <c r="O3710" s="16" t="s">
        <v>3543</v>
      </c>
      <c r="R3710" s="6"/>
      <c r="S3710" s="298"/>
    </row>
    <row r="3711" spans="14:19" hidden="1" x14ac:dyDescent="0.25">
      <c r="N3711" s="17">
        <v>570.69999999997594</v>
      </c>
      <c r="O3711" s="16" t="s">
        <v>3544</v>
      </c>
      <c r="R3711" s="6"/>
      <c r="S3711" s="298"/>
    </row>
    <row r="3712" spans="14:19" hidden="1" x14ac:dyDescent="0.25">
      <c r="N3712" s="17">
        <v>570.79999999997597</v>
      </c>
      <c r="O3712" s="16" t="s">
        <v>3545</v>
      </c>
      <c r="R3712" s="6"/>
      <c r="S3712" s="298"/>
    </row>
    <row r="3713" spans="14:19" hidden="1" x14ac:dyDescent="0.25">
      <c r="N3713" s="17">
        <v>570.89999999997599</v>
      </c>
      <c r="O3713" s="16" t="s">
        <v>3546</v>
      </c>
      <c r="R3713" s="6"/>
      <c r="S3713" s="298"/>
    </row>
    <row r="3714" spans="14:19" hidden="1" x14ac:dyDescent="0.25">
      <c r="N3714" s="17">
        <v>570.99999999997601</v>
      </c>
      <c r="O3714" s="16" t="s">
        <v>3547</v>
      </c>
      <c r="R3714" s="6"/>
      <c r="S3714" s="298"/>
    </row>
    <row r="3715" spans="14:19" hidden="1" x14ac:dyDescent="0.25">
      <c r="N3715" s="17">
        <v>571.09999999997603</v>
      </c>
      <c r="O3715" s="16" t="s">
        <v>3548</v>
      </c>
      <c r="R3715" s="6"/>
      <c r="S3715" s="298"/>
    </row>
    <row r="3716" spans="14:19" hidden="1" x14ac:dyDescent="0.25">
      <c r="N3716" s="17">
        <v>571.19999999997594</v>
      </c>
      <c r="O3716" s="16" t="s">
        <v>3549</v>
      </c>
      <c r="R3716" s="6"/>
      <c r="S3716" s="298"/>
    </row>
    <row r="3717" spans="14:19" hidden="1" x14ac:dyDescent="0.25">
      <c r="N3717" s="17">
        <v>571.29999999997597</v>
      </c>
      <c r="O3717" s="16" t="s">
        <v>3550</v>
      </c>
      <c r="R3717" s="6"/>
      <c r="S3717" s="298"/>
    </row>
    <row r="3718" spans="14:19" hidden="1" x14ac:dyDescent="0.25">
      <c r="N3718" s="17">
        <v>571.39999999997599</v>
      </c>
      <c r="O3718" s="16" t="s">
        <v>3551</v>
      </c>
      <c r="R3718" s="6"/>
      <c r="S3718" s="298"/>
    </row>
    <row r="3719" spans="14:19" hidden="1" x14ac:dyDescent="0.25">
      <c r="N3719" s="17">
        <v>571.49999999997601</v>
      </c>
      <c r="O3719" s="16" t="s">
        <v>3552</v>
      </c>
      <c r="R3719" s="6"/>
      <c r="S3719" s="298"/>
    </row>
    <row r="3720" spans="14:19" hidden="1" x14ac:dyDescent="0.25">
      <c r="N3720" s="17">
        <v>571.59999999997603</v>
      </c>
      <c r="O3720" s="16" t="s">
        <v>3553</v>
      </c>
      <c r="R3720" s="6"/>
      <c r="S3720" s="298"/>
    </row>
    <row r="3721" spans="14:19" hidden="1" x14ac:dyDescent="0.25">
      <c r="N3721" s="17">
        <v>571.69999999997594</v>
      </c>
      <c r="O3721" s="16" t="s">
        <v>3554</v>
      </c>
      <c r="R3721" s="6"/>
      <c r="S3721" s="298"/>
    </row>
    <row r="3722" spans="14:19" hidden="1" x14ac:dyDescent="0.25">
      <c r="N3722" s="17">
        <v>571.79999999997597</v>
      </c>
      <c r="O3722" s="16" t="s">
        <v>3555</v>
      </c>
      <c r="R3722" s="6"/>
      <c r="S3722" s="298"/>
    </row>
    <row r="3723" spans="14:19" hidden="1" x14ac:dyDescent="0.25">
      <c r="N3723" s="17">
        <v>571.89999999997599</v>
      </c>
      <c r="O3723" s="16" t="s">
        <v>1321</v>
      </c>
      <c r="R3723" s="6"/>
      <c r="S3723" s="298"/>
    </row>
    <row r="3724" spans="14:19" hidden="1" x14ac:dyDescent="0.25">
      <c r="N3724" s="17">
        <v>571.99999999997601</v>
      </c>
      <c r="O3724" s="16" t="s">
        <v>1322</v>
      </c>
      <c r="R3724" s="6"/>
      <c r="S3724" s="298"/>
    </row>
    <row r="3725" spans="14:19" hidden="1" x14ac:dyDescent="0.25">
      <c r="N3725" s="17">
        <v>572.09999999997501</v>
      </c>
      <c r="O3725" s="16" t="s">
        <v>1323</v>
      </c>
      <c r="R3725" s="6"/>
      <c r="S3725" s="298"/>
    </row>
    <row r="3726" spans="14:19" hidden="1" x14ac:dyDescent="0.25">
      <c r="N3726" s="17">
        <v>572.19999999997503</v>
      </c>
      <c r="O3726" s="16" t="s">
        <v>1324</v>
      </c>
      <c r="R3726" s="6"/>
      <c r="S3726" s="298"/>
    </row>
    <row r="3727" spans="14:19" hidden="1" x14ac:dyDescent="0.25">
      <c r="N3727" s="17">
        <v>572.29999999997494</v>
      </c>
      <c r="O3727" s="16" t="s">
        <v>1325</v>
      </c>
      <c r="R3727" s="6"/>
      <c r="S3727" s="298"/>
    </row>
    <row r="3728" spans="14:19" hidden="1" x14ac:dyDescent="0.25">
      <c r="N3728" s="17">
        <v>572.39999999997497</v>
      </c>
      <c r="O3728" s="16" t="s">
        <v>1326</v>
      </c>
      <c r="R3728" s="6"/>
      <c r="S3728" s="298"/>
    </row>
    <row r="3729" spans="14:19" hidden="1" x14ac:dyDescent="0.25">
      <c r="N3729" s="17">
        <v>572.49999999997499</v>
      </c>
      <c r="O3729" s="16" t="s">
        <v>3557</v>
      </c>
      <c r="R3729" s="6"/>
      <c r="S3729" s="298"/>
    </row>
    <row r="3730" spans="14:19" hidden="1" x14ac:dyDescent="0.25">
      <c r="N3730" s="17">
        <v>572.59999999997501</v>
      </c>
      <c r="O3730" s="16" t="s">
        <v>3558</v>
      </c>
      <c r="R3730" s="6"/>
      <c r="S3730" s="298"/>
    </row>
    <row r="3731" spans="14:19" hidden="1" x14ac:dyDescent="0.25">
      <c r="N3731" s="17">
        <v>572.69999999997503</v>
      </c>
      <c r="O3731" s="16" t="s">
        <v>3559</v>
      </c>
      <c r="R3731" s="6"/>
      <c r="S3731" s="298"/>
    </row>
    <row r="3732" spans="14:19" hidden="1" x14ac:dyDescent="0.25">
      <c r="N3732" s="17">
        <v>572.79999999997494</v>
      </c>
      <c r="O3732" s="16" t="s">
        <v>3560</v>
      </c>
      <c r="R3732" s="6"/>
      <c r="S3732" s="298"/>
    </row>
    <row r="3733" spans="14:19" hidden="1" x14ac:dyDescent="0.25">
      <c r="N3733" s="17">
        <v>572.89999999997497</v>
      </c>
      <c r="O3733" s="16" t="s">
        <v>6599</v>
      </c>
      <c r="R3733" s="6"/>
      <c r="S3733" s="298"/>
    </row>
    <row r="3734" spans="14:19" hidden="1" x14ac:dyDescent="0.25">
      <c r="N3734" s="17">
        <v>572.99999999997499</v>
      </c>
      <c r="O3734" s="16" t="s">
        <v>6600</v>
      </c>
      <c r="R3734" s="6"/>
      <c r="S3734" s="298"/>
    </row>
    <row r="3735" spans="14:19" hidden="1" x14ac:dyDescent="0.25">
      <c r="N3735" s="17">
        <v>573.09999999997501</v>
      </c>
      <c r="O3735" s="16" t="s">
        <v>6601</v>
      </c>
      <c r="R3735" s="6"/>
      <c r="S3735" s="298"/>
    </row>
    <row r="3736" spans="14:19" hidden="1" x14ac:dyDescent="0.25">
      <c r="N3736" s="17">
        <v>573.19999999997503</v>
      </c>
      <c r="O3736" s="16" t="s">
        <v>6602</v>
      </c>
      <c r="R3736" s="6"/>
      <c r="S3736" s="298"/>
    </row>
    <row r="3737" spans="14:19" hidden="1" x14ac:dyDescent="0.25">
      <c r="N3737" s="17">
        <v>573.29999999997494</v>
      </c>
      <c r="O3737" s="16" t="s">
        <v>6603</v>
      </c>
      <c r="R3737" s="6"/>
      <c r="S3737" s="298"/>
    </row>
    <row r="3738" spans="14:19" hidden="1" x14ac:dyDescent="0.25">
      <c r="N3738" s="17">
        <v>573.39999999997497</v>
      </c>
      <c r="O3738" s="16" t="s">
        <v>6604</v>
      </c>
      <c r="R3738" s="6"/>
      <c r="S3738" s="298"/>
    </row>
    <row r="3739" spans="14:19" hidden="1" x14ac:dyDescent="0.25">
      <c r="N3739" s="17">
        <v>573.49999999997499</v>
      </c>
      <c r="O3739" s="16" t="s">
        <v>5682</v>
      </c>
      <c r="R3739" s="6"/>
      <c r="S3739" s="298"/>
    </row>
    <row r="3740" spans="14:19" hidden="1" x14ac:dyDescent="0.25">
      <c r="N3740" s="17">
        <v>573.59999999997501</v>
      </c>
      <c r="O3740" s="16" t="s">
        <v>5683</v>
      </c>
      <c r="R3740" s="6"/>
      <c r="S3740" s="298"/>
    </row>
    <row r="3741" spans="14:19" hidden="1" x14ac:dyDescent="0.25">
      <c r="N3741" s="17">
        <v>573.69999999997503</v>
      </c>
      <c r="O3741" s="16" t="s">
        <v>5684</v>
      </c>
      <c r="R3741" s="6"/>
      <c r="S3741" s="298"/>
    </row>
    <row r="3742" spans="14:19" hidden="1" x14ac:dyDescent="0.25">
      <c r="N3742" s="17">
        <v>573.79999999997494</v>
      </c>
      <c r="O3742" s="16" t="s">
        <v>7717</v>
      </c>
      <c r="R3742" s="6"/>
      <c r="S3742" s="298"/>
    </row>
    <row r="3743" spans="14:19" hidden="1" x14ac:dyDescent="0.25">
      <c r="N3743" s="17">
        <v>573.89999999997497</v>
      </c>
      <c r="O3743" s="16" t="s">
        <v>7718</v>
      </c>
      <c r="R3743" s="6"/>
      <c r="S3743" s="298"/>
    </row>
    <row r="3744" spans="14:19" hidden="1" x14ac:dyDescent="0.25">
      <c r="N3744" s="17">
        <v>573.99999999997499</v>
      </c>
      <c r="O3744" s="16" t="s">
        <v>7719</v>
      </c>
      <c r="R3744" s="6"/>
      <c r="S3744" s="298"/>
    </row>
    <row r="3745" spans="14:19" hidden="1" x14ac:dyDescent="0.25">
      <c r="N3745" s="17">
        <v>574.09999999997501</v>
      </c>
      <c r="O3745" s="16" t="s">
        <v>7720</v>
      </c>
      <c r="R3745" s="6"/>
      <c r="S3745" s="298"/>
    </row>
    <row r="3746" spans="14:19" hidden="1" x14ac:dyDescent="0.25">
      <c r="N3746" s="17">
        <v>574.19999999997503</v>
      </c>
      <c r="O3746" s="16" t="s">
        <v>7721</v>
      </c>
      <c r="R3746" s="6"/>
      <c r="S3746" s="298"/>
    </row>
    <row r="3747" spans="14:19" hidden="1" x14ac:dyDescent="0.25">
      <c r="N3747" s="17">
        <v>574.29999999997494</v>
      </c>
      <c r="O3747" s="16" t="s">
        <v>7722</v>
      </c>
      <c r="R3747" s="6"/>
      <c r="S3747" s="298"/>
    </row>
    <row r="3748" spans="14:19" hidden="1" x14ac:dyDescent="0.25">
      <c r="N3748" s="17">
        <v>574.39999999997497</v>
      </c>
      <c r="O3748" s="16" t="s">
        <v>7723</v>
      </c>
      <c r="R3748" s="6"/>
      <c r="S3748" s="298"/>
    </row>
    <row r="3749" spans="14:19" hidden="1" x14ac:dyDescent="0.25">
      <c r="N3749" s="17">
        <v>574.49999999997499</v>
      </c>
      <c r="O3749" s="16" t="s">
        <v>7724</v>
      </c>
      <c r="R3749" s="6"/>
      <c r="S3749" s="298"/>
    </row>
    <row r="3750" spans="14:19" hidden="1" x14ac:dyDescent="0.25">
      <c r="N3750" s="17">
        <v>574.59999999997501</v>
      </c>
      <c r="O3750" s="16" t="s">
        <v>7725</v>
      </c>
      <c r="R3750" s="6"/>
      <c r="S3750" s="298"/>
    </row>
    <row r="3751" spans="14:19" hidden="1" x14ac:dyDescent="0.25">
      <c r="N3751" s="17">
        <v>574.69999999997503</v>
      </c>
      <c r="O3751" s="16" t="s">
        <v>7726</v>
      </c>
      <c r="R3751" s="6"/>
      <c r="S3751" s="298"/>
    </row>
    <row r="3752" spans="14:19" hidden="1" x14ac:dyDescent="0.25">
      <c r="N3752" s="17">
        <v>574.79999999997403</v>
      </c>
      <c r="O3752" s="16" t="s">
        <v>7727</v>
      </c>
      <c r="R3752" s="6"/>
      <c r="S3752" s="298"/>
    </row>
    <row r="3753" spans="14:19" hidden="1" x14ac:dyDescent="0.25">
      <c r="N3753" s="17">
        <v>574.89999999997497</v>
      </c>
      <c r="O3753" s="16" t="s">
        <v>7728</v>
      </c>
      <c r="R3753" s="6"/>
      <c r="S3753" s="298"/>
    </row>
    <row r="3754" spans="14:19" hidden="1" x14ac:dyDescent="0.25">
      <c r="N3754" s="17">
        <v>574.99999999997499</v>
      </c>
      <c r="O3754" s="16" t="s">
        <v>7729</v>
      </c>
      <c r="R3754" s="6"/>
      <c r="S3754" s="298"/>
    </row>
    <row r="3755" spans="14:19" hidden="1" x14ac:dyDescent="0.25">
      <c r="N3755" s="17">
        <v>575.09999999997399</v>
      </c>
      <c r="O3755" s="16" t="s">
        <v>7730</v>
      </c>
      <c r="R3755" s="6"/>
      <c r="S3755" s="298"/>
    </row>
    <row r="3756" spans="14:19" hidden="1" x14ac:dyDescent="0.25">
      <c r="N3756" s="17">
        <v>575.19999999997401</v>
      </c>
      <c r="O3756" s="16" t="s">
        <v>7731</v>
      </c>
      <c r="R3756" s="6"/>
      <c r="S3756" s="298"/>
    </row>
    <row r="3757" spans="14:19" hidden="1" x14ac:dyDescent="0.25">
      <c r="N3757" s="17">
        <v>575.29999999997403</v>
      </c>
      <c r="O3757" s="16" t="s">
        <v>7732</v>
      </c>
      <c r="R3757" s="6"/>
      <c r="S3757" s="298"/>
    </row>
    <row r="3758" spans="14:19" hidden="1" x14ac:dyDescent="0.25">
      <c r="N3758" s="17">
        <v>575.39999999997406</v>
      </c>
      <c r="O3758" s="16" t="s">
        <v>7733</v>
      </c>
      <c r="R3758" s="6"/>
      <c r="S3758" s="298"/>
    </row>
    <row r="3759" spans="14:19" hidden="1" x14ac:dyDescent="0.25">
      <c r="N3759" s="17">
        <v>575.49999999997397</v>
      </c>
      <c r="O3759" s="16" t="s">
        <v>7734</v>
      </c>
      <c r="R3759" s="6"/>
      <c r="S3759" s="298"/>
    </row>
    <row r="3760" spans="14:19" hidden="1" x14ac:dyDescent="0.25">
      <c r="N3760" s="17">
        <v>575.59999999997399</v>
      </c>
      <c r="O3760" s="16" t="s">
        <v>5700</v>
      </c>
      <c r="R3760" s="6"/>
      <c r="S3760" s="298"/>
    </row>
    <row r="3761" spans="14:19" hidden="1" x14ac:dyDescent="0.25">
      <c r="N3761" s="17">
        <v>575.69999999997401</v>
      </c>
      <c r="O3761" s="16" t="s">
        <v>5701</v>
      </c>
      <c r="R3761" s="6"/>
      <c r="S3761" s="298"/>
    </row>
    <row r="3762" spans="14:19" hidden="1" x14ac:dyDescent="0.25">
      <c r="N3762" s="17">
        <v>575.79999999997403</v>
      </c>
      <c r="O3762" s="16" t="s">
        <v>5702</v>
      </c>
      <c r="R3762" s="6"/>
      <c r="S3762" s="298"/>
    </row>
    <row r="3763" spans="14:19" hidden="1" x14ac:dyDescent="0.25">
      <c r="N3763" s="17">
        <v>575.89999999997406</v>
      </c>
      <c r="O3763" s="16" t="s">
        <v>5703</v>
      </c>
      <c r="R3763" s="6"/>
      <c r="S3763" s="298"/>
    </row>
    <row r="3764" spans="14:19" hidden="1" x14ac:dyDescent="0.25">
      <c r="N3764" s="17">
        <v>575.99999999997397</v>
      </c>
      <c r="O3764" s="16" t="s">
        <v>3587</v>
      </c>
      <c r="R3764" s="6"/>
      <c r="S3764" s="298"/>
    </row>
    <row r="3765" spans="14:19" hidden="1" x14ac:dyDescent="0.25">
      <c r="N3765" s="17">
        <v>576.09999999997399</v>
      </c>
      <c r="O3765" s="16" t="s">
        <v>3588</v>
      </c>
      <c r="R3765" s="6"/>
      <c r="S3765" s="298"/>
    </row>
    <row r="3766" spans="14:19" hidden="1" x14ac:dyDescent="0.25">
      <c r="N3766" s="17">
        <v>576.19999999997401</v>
      </c>
      <c r="O3766" s="16" t="s">
        <v>3589</v>
      </c>
      <c r="R3766" s="6"/>
      <c r="S3766" s="298"/>
    </row>
    <row r="3767" spans="14:19" hidden="1" x14ac:dyDescent="0.25">
      <c r="N3767" s="17">
        <v>576.29999999997403</v>
      </c>
      <c r="O3767" s="16" t="s">
        <v>3590</v>
      </c>
      <c r="R3767" s="6"/>
      <c r="S3767" s="298"/>
    </row>
    <row r="3768" spans="14:19" hidden="1" x14ac:dyDescent="0.25">
      <c r="N3768" s="17">
        <v>576.39999999997406</v>
      </c>
      <c r="O3768" s="16" t="s">
        <v>3591</v>
      </c>
      <c r="R3768" s="6"/>
      <c r="S3768" s="298"/>
    </row>
    <row r="3769" spans="14:19" hidden="1" x14ac:dyDescent="0.25">
      <c r="N3769" s="17">
        <v>576.49999999997397</v>
      </c>
      <c r="O3769" s="16" t="s">
        <v>3592</v>
      </c>
      <c r="R3769" s="6"/>
      <c r="S3769" s="298"/>
    </row>
    <row r="3770" spans="14:19" hidden="1" x14ac:dyDescent="0.25">
      <c r="N3770" s="17">
        <v>576.59999999997399</v>
      </c>
      <c r="O3770" s="16" t="s">
        <v>3593</v>
      </c>
      <c r="R3770" s="6"/>
      <c r="S3770" s="298"/>
    </row>
    <row r="3771" spans="14:19" hidden="1" x14ac:dyDescent="0.25">
      <c r="N3771" s="17">
        <v>576.69999999997401</v>
      </c>
      <c r="O3771" s="16" t="s">
        <v>3594</v>
      </c>
      <c r="R3771" s="6"/>
      <c r="S3771" s="298"/>
    </row>
    <row r="3772" spans="14:19" hidden="1" x14ac:dyDescent="0.25">
      <c r="N3772" s="17">
        <v>576.79999999997403</v>
      </c>
      <c r="O3772" s="16" t="s">
        <v>3595</v>
      </c>
      <c r="R3772" s="6"/>
      <c r="S3772" s="298"/>
    </row>
    <row r="3773" spans="14:19" hidden="1" x14ac:dyDescent="0.25">
      <c r="N3773" s="17">
        <v>576.89999999997406</v>
      </c>
      <c r="O3773" s="16" t="s">
        <v>3596</v>
      </c>
      <c r="R3773" s="6"/>
      <c r="S3773" s="298"/>
    </row>
    <row r="3774" spans="14:19" hidden="1" x14ac:dyDescent="0.25">
      <c r="N3774" s="17">
        <v>576.99999999997397</v>
      </c>
      <c r="O3774" s="16" t="s">
        <v>3597</v>
      </c>
      <c r="R3774" s="6"/>
      <c r="S3774" s="298"/>
    </row>
    <row r="3775" spans="14:19" hidden="1" x14ac:dyDescent="0.25">
      <c r="N3775" s="17">
        <v>577.09999999997399</v>
      </c>
      <c r="O3775" s="16" t="s">
        <v>3598</v>
      </c>
      <c r="R3775" s="6"/>
      <c r="S3775" s="298"/>
    </row>
    <row r="3776" spans="14:19" hidden="1" x14ac:dyDescent="0.25">
      <c r="N3776" s="17">
        <v>577.19999999997401</v>
      </c>
      <c r="O3776" s="16" t="s">
        <v>3599</v>
      </c>
      <c r="R3776" s="6"/>
      <c r="S3776" s="298"/>
    </row>
    <row r="3777" spans="14:19" hidden="1" x14ac:dyDescent="0.25">
      <c r="N3777" s="17">
        <v>577.29999999997403</v>
      </c>
      <c r="O3777" s="16" t="s">
        <v>3600</v>
      </c>
      <c r="R3777" s="6"/>
      <c r="S3777" s="298"/>
    </row>
    <row r="3778" spans="14:19" hidden="1" x14ac:dyDescent="0.25">
      <c r="N3778" s="17">
        <v>577.39999999997406</v>
      </c>
      <c r="O3778" s="16" t="s">
        <v>3601</v>
      </c>
      <c r="R3778" s="6"/>
      <c r="S3778" s="298"/>
    </row>
    <row r="3779" spans="14:19" hidden="1" x14ac:dyDescent="0.25">
      <c r="N3779" s="17">
        <v>577.49999999997397</v>
      </c>
      <c r="O3779" s="16" t="s">
        <v>3602</v>
      </c>
      <c r="R3779" s="6"/>
      <c r="S3779" s="298"/>
    </row>
    <row r="3780" spans="14:19" hidden="1" x14ac:dyDescent="0.25">
      <c r="N3780" s="17">
        <v>577.59999999997399</v>
      </c>
      <c r="O3780" s="16" t="s">
        <v>3603</v>
      </c>
      <c r="R3780" s="6"/>
      <c r="S3780" s="298"/>
    </row>
    <row r="3781" spans="14:19" hidden="1" x14ac:dyDescent="0.25">
      <c r="N3781" s="17">
        <v>577.69999999997401</v>
      </c>
      <c r="O3781" s="16" t="s">
        <v>3604</v>
      </c>
      <c r="R3781" s="6"/>
      <c r="S3781" s="298"/>
    </row>
    <row r="3782" spans="14:19" hidden="1" x14ac:dyDescent="0.25">
      <c r="N3782" s="17">
        <v>577.79999999997403</v>
      </c>
      <c r="O3782" s="16" t="s">
        <v>3605</v>
      </c>
      <c r="R3782" s="6"/>
      <c r="S3782" s="298"/>
    </row>
    <row r="3783" spans="14:19" hidden="1" x14ac:dyDescent="0.25">
      <c r="N3783" s="17">
        <v>577.89999999997303</v>
      </c>
      <c r="O3783" s="16" t="s">
        <v>1378</v>
      </c>
      <c r="R3783" s="6"/>
      <c r="S3783" s="298"/>
    </row>
    <row r="3784" spans="14:19" hidden="1" x14ac:dyDescent="0.25">
      <c r="N3784" s="17">
        <v>577.99999999997306</v>
      </c>
      <c r="O3784" s="16" t="s">
        <v>1379</v>
      </c>
      <c r="R3784" s="6"/>
      <c r="S3784" s="298"/>
    </row>
    <row r="3785" spans="14:19" hidden="1" x14ac:dyDescent="0.25">
      <c r="N3785" s="17">
        <v>578.09999999997297</v>
      </c>
      <c r="O3785" s="16" t="s">
        <v>1380</v>
      </c>
      <c r="R3785" s="6"/>
      <c r="S3785" s="298"/>
    </row>
    <row r="3786" spans="14:19" hidden="1" x14ac:dyDescent="0.25">
      <c r="N3786" s="17">
        <v>578.19999999997299</v>
      </c>
      <c r="O3786" s="16" t="s">
        <v>1381</v>
      </c>
      <c r="R3786" s="6"/>
      <c r="S3786" s="298"/>
    </row>
    <row r="3787" spans="14:19" hidden="1" x14ac:dyDescent="0.25">
      <c r="N3787" s="17">
        <v>578.29999999997301</v>
      </c>
      <c r="O3787" s="16" t="s">
        <v>1382</v>
      </c>
      <c r="R3787" s="6"/>
      <c r="S3787" s="298"/>
    </row>
    <row r="3788" spans="14:19" hidden="1" x14ac:dyDescent="0.25">
      <c r="N3788" s="17">
        <v>578.39999999997303</v>
      </c>
      <c r="O3788" s="16" t="s">
        <v>1383</v>
      </c>
      <c r="R3788" s="6"/>
      <c r="S3788" s="298"/>
    </row>
    <row r="3789" spans="14:19" hidden="1" x14ac:dyDescent="0.25">
      <c r="N3789" s="17">
        <v>578.49999999997306</v>
      </c>
      <c r="O3789" s="16" t="s">
        <v>1384</v>
      </c>
      <c r="R3789" s="6"/>
      <c r="S3789" s="298"/>
    </row>
    <row r="3790" spans="14:19" hidden="1" x14ac:dyDescent="0.25">
      <c r="N3790" s="17">
        <v>578.59999999997297</v>
      </c>
      <c r="O3790" s="16" t="s">
        <v>1385</v>
      </c>
      <c r="R3790" s="6"/>
      <c r="S3790" s="298"/>
    </row>
    <row r="3791" spans="14:19" hidden="1" x14ac:dyDescent="0.25">
      <c r="N3791" s="17">
        <v>578.69999999997299</v>
      </c>
      <c r="O3791" s="16" t="s">
        <v>1386</v>
      </c>
      <c r="R3791" s="6"/>
      <c r="S3791" s="298"/>
    </row>
    <row r="3792" spans="14:19" hidden="1" x14ac:dyDescent="0.25">
      <c r="N3792" s="17">
        <v>578.79999999997301</v>
      </c>
      <c r="O3792" s="16" t="s">
        <v>1387</v>
      </c>
      <c r="R3792" s="6"/>
      <c r="S3792" s="298"/>
    </row>
    <row r="3793" spans="14:19" hidden="1" x14ac:dyDescent="0.25">
      <c r="N3793" s="17">
        <v>578.89999999997303</v>
      </c>
      <c r="O3793" s="16" t="s">
        <v>1388</v>
      </c>
      <c r="R3793" s="6"/>
      <c r="S3793" s="298"/>
    </row>
    <row r="3794" spans="14:19" hidden="1" x14ac:dyDescent="0.25">
      <c r="N3794" s="17">
        <v>578.99999999997306</v>
      </c>
      <c r="O3794" s="16" t="s">
        <v>1389</v>
      </c>
      <c r="R3794" s="6"/>
      <c r="S3794" s="298"/>
    </row>
    <row r="3795" spans="14:19" hidden="1" x14ac:dyDescent="0.25">
      <c r="N3795" s="17">
        <v>579.09999999997297</v>
      </c>
      <c r="O3795" s="16" t="s">
        <v>1390</v>
      </c>
      <c r="R3795" s="6"/>
      <c r="S3795" s="298"/>
    </row>
    <row r="3796" spans="14:19" hidden="1" x14ac:dyDescent="0.25">
      <c r="N3796" s="17">
        <v>579.19999999997299</v>
      </c>
      <c r="O3796" s="16" t="s">
        <v>1391</v>
      </c>
      <c r="R3796" s="6"/>
      <c r="S3796" s="298"/>
    </row>
    <row r="3797" spans="14:19" hidden="1" x14ac:dyDescent="0.25">
      <c r="N3797" s="17">
        <v>579.29999999997301</v>
      </c>
      <c r="O3797" s="16" t="s">
        <v>1392</v>
      </c>
      <c r="R3797" s="6"/>
      <c r="S3797" s="298"/>
    </row>
    <row r="3798" spans="14:19" hidden="1" x14ac:dyDescent="0.25">
      <c r="N3798" s="17">
        <v>579.39999999997303</v>
      </c>
      <c r="O3798" s="16" t="s">
        <v>1393</v>
      </c>
      <c r="R3798" s="6"/>
      <c r="S3798" s="298"/>
    </row>
    <row r="3799" spans="14:19" hidden="1" x14ac:dyDescent="0.25">
      <c r="N3799" s="17">
        <v>579.49999999997306</v>
      </c>
      <c r="O3799" s="16" t="s">
        <v>1394</v>
      </c>
      <c r="R3799" s="6"/>
      <c r="S3799" s="298"/>
    </row>
    <row r="3800" spans="14:19" hidden="1" x14ac:dyDescent="0.25">
      <c r="N3800" s="17">
        <v>579.59999999997297</v>
      </c>
      <c r="O3800" s="16" t="s">
        <v>1395</v>
      </c>
      <c r="R3800" s="6"/>
      <c r="S3800" s="298"/>
    </row>
    <row r="3801" spans="14:19" hidden="1" x14ac:dyDescent="0.25">
      <c r="N3801" s="17">
        <v>579.69999999997299</v>
      </c>
      <c r="O3801" s="16" t="s">
        <v>1396</v>
      </c>
      <c r="R3801" s="6"/>
      <c r="S3801" s="298"/>
    </row>
    <row r="3802" spans="14:19" hidden="1" x14ac:dyDescent="0.25">
      <c r="N3802" s="17">
        <v>579.79999999997301</v>
      </c>
      <c r="O3802" s="16" t="s">
        <v>1397</v>
      </c>
      <c r="R3802" s="6"/>
      <c r="S3802" s="298"/>
    </row>
    <row r="3803" spans="14:19" hidden="1" x14ac:dyDescent="0.25">
      <c r="N3803" s="17">
        <v>579.89999999997303</v>
      </c>
      <c r="O3803" s="16" t="s">
        <v>1398</v>
      </c>
      <c r="R3803" s="6"/>
      <c r="S3803" s="298"/>
    </row>
    <row r="3804" spans="14:19" hidden="1" x14ac:dyDescent="0.25">
      <c r="N3804" s="17">
        <v>579.99999999997306</v>
      </c>
      <c r="O3804" s="16" t="s">
        <v>1399</v>
      </c>
      <c r="R3804" s="6"/>
      <c r="S3804" s="298"/>
    </row>
    <row r="3805" spans="14:19" hidden="1" x14ac:dyDescent="0.25">
      <c r="N3805" s="17">
        <v>580.09999999997297</v>
      </c>
      <c r="O3805" s="16" t="s">
        <v>1400</v>
      </c>
      <c r="R3805" s="6"/>
      <c r="S3805" s="298"/>
    </row>
    <row r="3806" spans="14:19" hidden="1" x14ac:dyDescent="0.25">
      <c r="N3806" s="17">
        <v>580.19999999997299</v>
      </c>
      <c r="O3806" s="16" t="s">
        <v>1401</v>
      </c>
      <c r="R3806" s="6"/>
      <c r="S3806" s="298"/>
    </row>
    <row r="3807" spans="14:19" hidden="1" x14ac:dyDescent="0.25">
      <c r="N3807" s="17">
        <v>580.29999999997301</v>
      </c>
      <c r="O3807" s="16" t="s">
        <v>1402</v>
      </c>
      <c r="R3807" s="6"/>
      <c r="S3807" s="298"/>
    </row>
    <row r="3808" spans="14:19" hidden="1" x14ac:dyDescent="0.25">
      <c r="N3808" s="17">
        <v>580.39999999997303</v>
      </c>
      <c r="O3808" s="16" t="s">
        <v>1403</v>
      </c>
      <c r="R3808" s="6"/>
      <c r="S3808" s="298"/>
    </row>
    <row r="3809" spans="14:19" ht="15" hidden="1" customHeight="1" x14ac:dyDescent="0.25">
      <c r="N3809" s="17">
        <v>580.49999999997306</v>
      </c>
      <c r="O3809" s="16" t="s">
        <v>1404</v>
      </c>
      <c r="R3809" s="6"/>
      <c r="S3809" s="298"/>
    </row>
    <row r="3810" spans="14:19" hidden="1" x14ac:dyDescent="0.25">
      <c r="N3810" s="17">
        <v>580.59999999997297</v>
      </c>
      <c r="O3810" s="16" t="s">
        <v>1405</v>
      </c>
      <c r="R3810" s="6"/>
      <c r="S3810" s="298"/>
    </row>
    <row r="3811" spans="14:19" hidden="1" x14ac:dyDescent="0.25">
      <c r="N3811" s="17">
        <v>580.69999999997299</v>
      </c>
      <c r="O3811" s="16" t="s">
        <v>1406</v>
      </c>
      <c r="R3811" s="6"/>
      <c r="S3811" s="298"/>
    </row>
    <row r="3812" spans="14:19" hidden="1" x14ac:dyDescent="0.25">
      <c r="N3812" s="17">
        <v>580.79999999997301</v>
      </c>
      <c r="O3812" s="16" t="s">
        <v>1407</v>
      </c>
      <c r="R3812" s="6"/>
      <c r="S3812" s="298"/>
    </row>
    <row r="3813" spans="14:19" hidden="1" x14ac:dyDescent="0.25">
      <c r="N3813" s="17">
        <v>580.89999999997201</v>
      </c>
      <c r="O3813" s="16" t="s">
        <v>1408</v>
      </c>
      <c r="R3813" s="6"/>
      <c r="S3813" s="298"/>
    </row>
    <row r="3814" spans="14:19" hidden="1" x14ac:dyDescent="0.25">
      <c r="N3814" s="17">
        <v>580.99999999997203</v>
      </c>
      <c r="O3814" s="16" t="s">
        <v>1409</v>
      </c>
      <c r="R3814" s="6"/>
      <c r="S3814" s="298"/>
    </row>
    <row r="3815" spans="14:19" hidden="1" x14ac:dyDescent="0.25">
      <c r="N3815" s="17">
        <v>581.09999999997206</v>
      </c>
      <c r="O3815" s="16" t="s">
        <v>1410</v>
      </c>
      <c r="R3815" s="6"/>
      <c r="S3815" s="298"/>
    </row>
    <row r="3816" spans="14:19" hidden="1" x14ac:dyDescent="0.25">
      <c r="N3816" s="17">
        <v>581.19999999997196</v>
      </c>
      <c r="O3816" s="16" t="s">
        <v>1411</v>
      </c>
      <c r="R3816" s="6"/>
      <c r="S3816" s="298"/>
    </row>
    <row r="3817" spans="14:19" hidden="1" x14ac:dyDescent="0.25">
      <c r="N3817" s="17">
        <v>581.29999999997199</v>
      </c>
      <c r="O3817" s="16" t="s">
        <v>1412</v>
      </c>
      <c r="R3817" s="6"/>
      <c r="S3817" s="298"/>
    </row>
    <row r="3818" spans="14:19" hidden="1" x14ac:dyDescent="0.25">
      <c r="N3818" s="17">
        <v>581.39999999997201</v>
      </c>
      <c r="O3818" s="16" t="s">
        <v>1413</v>
      </c>
      <c r="R3818" s="6"/>
      <c r="S3818" s="298"/>
    </row>
    <row r="3819" spans="14:19" hidden="1" x14ac:dyDescent="0.25">
      <c r="N3819" s="17">
        <v>581.49999999997203</v>
      </c>
      <c r="O3819" s="16" t="s">
        <v>1414</v>
      </c>
      <c r="R3819" s="6"/>
      <c r="S3819" s="298"/>
    </row>
    <row r="3820" spans="14:19" hidden="1" x14ac:dyDescent="0.25">
      <c r="N3820" s="17">
        <v>581.59999999997206</v>
      </c>
      <c r="O3820" s="16" t="s">
        <v>1415</v>
      </c>
      <c r="R3820" s="6"/>
      <c r="S3820" s="298"/>
    </row>
    <row r="3821" spans="14:19" hidden="1" x14ac:dyDescent="0.25">
      <c r="N3821" s="17">
        <v>581.69999999997196</v>
      </c>
      <c r="O3821" s="16" t="s">
        <v>1416</v>
      </c>
      <c r="R3821" s="6"/>
      <c r="S3821" s="298"/>
    </row>
    <row r="3822" spans="14:19" hidden="1" x14ac:dyDescent="0.25">
      <c r="N3822" s="17">
        <v>581.79999999997199</v>
      </c>
      <c r="O3822" s="16" t="s">
        <v>1417</v>
      </c>
      <c r="R3822" s="6"/>
      <c r="S3822" s="298"/>
    </row>
    <row r="3823" spans="14:19" hidden="1" x14ac:dyDescent="0.25">
      <c r="N3823" s="17">
        <v>581.89999999997201</v>
      </c>
      <c r="O3823" s="16" t="s">
        <v>1418</v>
      </c>
      <c r="R3823" s="6"/>
      <c r="S3823" s="298"/>
    </row>
    <row r="3824" spans="14:19" hidden="1" x14ac:dyDescent="0.25">
      <c r="N3824" s="17">
        <v>581.99999999997203</v>
      </c>
      <c r="O3824" s="16" t="s">
        <v>1419</v>
      </c>
      <c r="R3824" s="6"/>
      <c r="S3824" s="298"/>
    </row>
    <row r="3825" spans="14:19" hidden="1" x14ac:dyDescent="0.25">
      <c r="N3825" s="17">
        <v>582.09999999997206</v>
      </c>
      <c r="O3825" s="16" t="s">
        <v>1420</v>
      </c>
      <c r="R3825" s="6"/>
      <c r="S3825" s="298"/>
    </row>
    <row r="3826" spans="14:19" hidden="1" x14ac:dyDescent="0.25">
      <c r="N3826" s="17">
        <v>582.19999999997196</v>
      </c>
      <c r="O3826" s="16" t="s">
        <v>1421</v>
      </c>
      <c r="R3826" s="6"/>
      <c r="S3826" s="298"/>
    </row>
    <row r="3827" spans="14:19" hidden="1" x14ac:dyDescent="0.25">
      <c r="N3827" s="17">
        <v>582.29999999997199</v>
      </c>
      <c r="O3827" s="16" t="s">
        <v>1422</v>
      </c>
      <c r="R3827" s="6"/>
      <c r="S3827" s="298"/>
    </row>
    <row r="3828" spans="14:19" hidden="1" x14ac:dyDescent="0.25">
      <c r="N3828" s="17">
        <v>582.39999999997201</v>
      </c>
      <c r="O3828" s="16" t="s">
        <v>1423</v>
      </c>
      <c r="R3828" s="6"/>
      <c r="S3828" s="298"/>
    </row>
    <row r="3829" spans="14:19" hidden="1" x14ac:dyDescent="0.25">
      <c r="N3829" s="17">
        <v>582.49999999997203</v>
      </c>
      <c r="O3829" s="16" t="s">
        <v>1424</v>
      </c>
      <c r="R3829" s="6"/>
      <c r="S3829" s="298"/>
    </row>
    <row r="3830" spans="14:19" hidden="1" x14ac:dyDescent="0.25">
      <c r="N3830" s="17">
        <v>582.59999999997206</v>
      </c>
      <c r="O3830" s="16" t="s">
        <v>1425</v>
      </c>
      <c r="R3830" s="6"/>
      <c r="S3830" s="298"/>
    </row>
    <row r="3831" spans="14:19" hidden="1" x14ac:dyDescent="0.25">
      <c r="N3831" s="17">
        <v>582.69999999997196</v>
      </c>
      <c r="O3831" s="16" t="s">
        <v>1426</v>
      </c>
      <c r="R3831" s="6"/>
      <c r="S3831" s="298"/>
    </row>
    <row r="3832" spans="14:19" hidden="1" x14ac:dyDescent="0.25">
      <c r="N3832" s="17">
        <v>582.79999999997199</v>
      </c>
      <c r="O3832" s="16" t="s">
        <v>1427</v>
      </c>
      <c r="R3832" s="6"/>
      <c r="S3832" s="298"/>
    </row>
    <row r="3833" spans="14:19" hidden="1" x14ac:dyDescent="0.25">
      <c r="N3833" s="17">
        <v>582.89999999997201</v>
      </c>
      <c r="O3833" s="16" t="s">
        <v>1428</v>
      </c>
      <c r="R3833" s="6"/>
      <c r="S3833" s="298"/>
    </row>
    <row r="3834" spans="14:19" hidden="1" x14ac:dyDescent="0.25">
      <c r="N3834" s="17">
        <v>582.99999999997203</v>
      </c>
      <c r="O3834" s="16" t="s">
        <v>1429</v>
      </c>
      <c r="R3834" s="6"/>
      <c r="S3834" s="298"/>
    </row>
    <row r="3835" spans="14:19" hidden="1" x14ac:dyDescent="0.25">
      <c r="N3835" s="17">
        <v>583.09999999997206</v>
      </c>
      <c r="O3835" s="16" t="s">
        <v>3656</v>
      </c>
      <c r="R3835" s="6"/>
      <c r="S3835" s="298"/>
    </row>
    <row r="3836" spans="14:19" hidden="1" x14ac:dyDescent="0.25">
      <c r="N3836" s="17">
        <v>583.19999999997196</v>
      </c>
      <c r="O3836" s="16" t="s">
        <v>1143</v>
      </c>
      <c r="R3836" s="6"/>
      <c r="S3836" s="298"/>
    </row>
    <row r="3837" spans="14:19" hidden="1" x14ac:dyDescent="0.25">
      <c r="N3837" s="17">
        <v>583.29999999997199</v>
      </c>
      <c r="O3837" s="16" t="s">
        <v>1144</v>
      </c>
      <c r="R3837" s="6"/>
      <c r="S3837" s="298"/>
    </row>
    <row r="3838" spans="14:19" hidden="1" x14ac:dyDescent="0.25">
      <c r="N3838" s="17">
        <v>583.39999999997201</v>
      </c>
      <c r="O3838" s="16" t="s">
        <v>1145</v>
      </c>
      <c r="R3838" s="6"/>
      <c r="S3838" s="298"/>
    </row>
    <row r="3839" spans="14:19" hidden="1" x14ac:dyDescent="0.25">
      <c r="N3839" s="17">
        <v>583.49999999997203</v>
      </c>
      <c r="O3839" s="16" t="s">
        <v>1146</v>
      </c>
      <c r="R3839" s="6"/>
      <c r="S3839" s="298"/>
    </row>
    <row r="3840" spans="14:19" hidden="1" x14ac:dyDescent="0.25">
      <c r="N3840" s="17">
        <v>583.59999999997103</v>
      </c>
      <c r="O3840" s="16" t="s">
        <v>1147</v>
      </c>
      <c r="R3840" s="6"/>
      <c r="S3840" s="298"/>
    </row>
    <row r="3841" spans="14:19" hidden="1" x14ac:dyDescent="0.25">
      <c r="N3841" s="17">
        <v>583.69999999997196</v>
      </c>
      <c r="O3841" s="16" t="s">
        <v>1148</v>
      </c>
      <c r="R3841" s="6"/>
      <c r="S3841" s="298"/>
    </row>
    <row r="3842" spans="14:19" hidden="1" x14ac:dyDescent="0.25">
      <c r="N3842" s="17">
        <v>583.79999999997199</v>
      </c>
      <c r="O3842" s="16" t="s">
        <v>3653</v>
      </c>
      <c r="R3842" s="6"/>
      <c r="S3842" s="298"/>
    </row>
    <row r="3843" spans="14:19" hidden="1" x14ac:dyDescent="0.25">
      <c r="N3843" s="17">
        <v>583.89999999997099</v>
      </c>
      <c r="O3843" s="16" t="s">
        <v>3654</v>
      </c>
      <c r="R3843" s="6"/>
      <c r="S3843" s="298"/>
    </row>
    <row r="3844" spans="14:19" hidden="1" x14ac:dyDescent="0.25">
      <c r="N3844" s="17">
        <v>583.99999999997101</v>
      </c>
      <c r="O3844" s="16" t="s">
        <v>3655</v>
      </c>
      <c r="R3844" s="6"/>
      <c r="S3844" s="298"/>
    </row>
    <row r="3845" spans="14:19" hidden="1" x14ac:dyDescent="0.25">
      <c r="N3845" s="17">
        <v>584.09999999997103</v>
      </c>
      <c r="O3845" s="16" t="s">
        <v>1159</v>
      </c>
      <c r="R3845" s="6"/>
      <c r="S3845" s="298"/>
    </row>
    <row r="3846" spans="14:19" hidden="1" x14ac:dyDescent="0.25">
      <c r="N3846" s="17">
        <v>584.19999999997106</v>
      </c>
      <c r="O3846" s="16" t="s">
        <v>1160</v>
      </c>
      <c r="R3846" s="6"/>
      <c r="S3846" s="298"/>
    </row>
    <row r="3847" spans="14:19" hidden="1" x14ac:dyDescent="0.25">
      <c r="N3847" s="17">
        <v>584.29999999997096</v>
      </c>
      <c r="O3847" s="16" t="s">
        <v>1161</v>
      </c>
      <c r="R3847" s="6"/>
      <c r="S3847" s="298"/>
    </row>
    <row r="3848" spans="14:19" hidden="1" x14ac:dyDescent="0.25">
      <c r="N3848" s="17">
        <v>584.39999999997099</v>
      </c>
      <c r="O3848" s="16" t="s">
        <v>1162</v>
      </c>
      <c r="R3848" s="6"/>
      <c r="S3848" s="298"/>
    </row>
    <row r="3849" spans="14:19" hidden="1" x14ac:dyDescent="0.25">
      <c r="N3849" s="17">
        <v>584.49999999997101</v>
      </c>
      <c r="O3849" s="16" t="s">
        <v>1163</v>
      </c>
      <c r="R3849" s="6"/>
      <c r="S3849" s="298"/>
    </row>
    <row r="3850" spans="14:19" hidden="1" x14ac:dyDescent="0.25">
      <c r="N3850" s="17">
        <v>584.59999999997103</v>
      </c>
      <c r="O3850" s="16" t="s">
        <v>1164</v>
      </c>
      <c r="R3850" s="6"/>
      <c r="S3850" s="298"/>
    </row>
    <row r="3851" spans="14:19" hidden="1" x14ac:dyDescent="0.25">
      <c r="N3851" s="17">
        <v>584.69999999997106</v>
      </c>
      <c r="O3851" s="16" t="s">
        <v>3657</v>
      </c>
      <c r="R3851" s="6"/>
      <c r="S3851" s="298"/>
    </row>
    <row r="3852" spans="14:19" hidden="1" x14ac:dyDescent="0.25">
      <c r="N3852" s="17">
        <v>584.79999999997096</v>
      </c>
      <c r="O3852" s="16" t="s">
        <v>3658</v>
      </c>
      <c r="R3852" s="6"/>
      <c r="S3852" s="298"/>
    </row>
    <row r="3853" spans="14:19" hidden="1" x14ac:dyDescent="0.25">
      <c r="N3853" s="17">
        <v>584.89999999997099</v>
      </c>
      <c r="O3853" s="16" t="s">
        <v>3659</v>
      </c>
      <c r="R3853" s="6"/>
      <c r="S3853" s="298"/>
    </row>
    <row r="3854" spans="14:19" hidden="1" x14ac:dyDescent="0.25">
      <c r="N3854" s="17">
        <v>584.99999999997101</v>
      </c>
      <c r="O3854" s="16" t="s">
        <v>3660</v>
      </c>
      <c r="R3854" s="6"/>
      <c r="S3854" s="298"/>
    </row>
    <row r="3855" spans="14:19" hidden="1" x14ac:dyDescent="0.25">
      <c r="N3855" s="17">
        <v>585.09999999997103</v>
      </c>
      <c r="O3855" s="16" t="s">
        <v>3661</v>
      </c>
      <c r="R3855" s="6"/>
      <c r="S3855" s="298"/>
    </row>
    <row r="3856" spans="14:19" hidden="1" x14ac:dyDescent="0.25">
      <c r="N3856" s="17">
        <v>585.19999999997106</v>
      </c>
      <c r="O3856" s="16" t="s">
        <v>3662</v>
      </c>
      <c r="R3856" s="6"/>
      <c r="S3856" s="298"/>
    </row>
    <row r="3857" spans="14:19" hidden="1" x14ac:dyDescent="0.25">
      <c r="N3857" s="17">
        <v>585.29999999997096</v>
      </c>
      <c r="O3857" s="16" t="s">
        <v>3663</v>
      </c>
      <c r="R3857" s="6"/>
      <c r="S3857" s="298"/>
    </row>
    <row r="3858" spans="14:19" hidden="1" x14ac:dyDescent="0.25">
      <c r="N3858" s="17">
        <v>585.39999999997099</v>
      </c>
      <c r="O3858" s="16" t="s">
        <v>3664</v>
      </c>
      <c r="R3858" s="6"/>
      <c r="S3858" s="298"/>
    </row>
    <row r="3859" spans="14:19" hidden="1" x14ac:dyDescent="0.25">
      <c r="N3859" s="17">
        <v>585.49999999997101</v>
      </c>
      <c r="O3859" s="16" t="s">
        <v>3665</v>
      </c>
      <c r="R3859" s="6"/>
      <c r="S3859" s="298"/>
    </row>
    <row r="3860" spans="14:19" hidden="1" x14ac:dyDescent="0.25">
      <c r="N3860" s="17">
        <v>585.59999999997103</v>
      </c>
      <c r="O3860" s="16" t="s">
        <v>3666</v>
      </c>
      <c r="R3860" s="6"/>
      <c r="S3860" s="298"/>
    </row>
    <row r="3861" spans="14:19" hidden="1" x14ac:dyDescent="0.25">
      <c r="N3861" s="17">
        <v>585.69999999997106</v>
      </c>
      <c r="O3861" s="16" t="s">
        <v>3667</v>
      </c>
      <c r="R3861" s="6"/>
      <c r="S3861" s="298"/>
    </row>
    <row r="3862" spans="14:19" hidden="1" x14ac:dyDescent="0.25">
      <c r="N3862" s="17">
        <v>585.79999999997096</v>
      </c>
      <c r="O3862" s="16" t="s">
        <v>3668</v>
      </c>
      <c r="R3862" s="6"/>
      <c r="S3862" s="298"/>
    </row>
    <row r="3863" spans="14:19" hidden="1" x14ac:dyDescent="0.25">
      <c r="N3863" s="17">
        <v>585.89999999997099</v>
      </c>
      <c r="O3863" s="16" t="s">
        <v>3669</v>
      </c>
      <c r="R3863" s="6"/>
      <c r="S3863" s="298"/>
    </row>
    <row r="3864" spans="14:19" hidden="1" x14ac:dyDescent="0.25">
      <c r="N3864" s="17">
        <v>585.99999999997101</v>
      </c>
      <c r="O3864" s="16" t="s">
        <v>3670</v>
      </c>
      <c r="R3864" s="6"/>
      <c r="S3864" s="298"/>
    </row>
    <row r="3865" spans="14:19" hidden="1" x14ac:dyDescent="0.25">
      <c r="N3865" s="17">
        <v>586.09999999997103</v>
      </c>
      <c r="O3865" s="16" t="s">
        <v>3661</v>
      </c>
      <c r="R3865" s="6"/>
      <c r="S3865" s="298"/>
    </row>
    <row r="3866" spans="14:19" hidden="1" x14ac:dyDescent="0.25">
      <c r="N3866" s="17">
        <v>586.19999999997106</v>
      </c>
      <c r="O3866" s="16" t="s">
        <v>3662</v>
      </c>
      <c r="R3866" s="6"/>
      <c r="S3866" s="298"/>
    </row>
    <row r="3867" spans="14:19" hidden="1" x14ac:dyDescent="0.25">
      <c r="N3867" s="17">
        <v>586.29999999997096</v>
      </c>
      <c r="O3867" s="16" t="s">
        <v>3663</v>
      </c>
      <c r="R3867" s="6"/>
      <c r="S3867" s="298"/>
    </row>
    <row r="3868" spans="14:19" hidden="1" x14ac:dyDescent="0.25">
      <c r="N3868" s="17">
        <v>586.39999999997099</v>
      </c>
      <c r="O3868" s="16" t="s">
        <v>3664</v>
      </c>
      <c r="R3868" s="6"/>
      <c r="S3868" s="298"/>
    </row>
    <row r="3869" spans="14:19" hidden="1" x14ac:dyDescent="0.25">
      <c r="N3869" s="17">
        <v>586.49999999997101</v>
      </c>
      <c r="O3869" s="16" t="s">
        <v>3665</v>
      </c>
      <c r="R3869" s="6"/>
      <c r="S3869" s="298"/>
    </row>
    <row r="3870" spans="14:19" hidden="1" x14ac:dyDescent="0.25">
      <c r="N3870" s="17">
        <v>586.59999999997103</v>
      </c>
      <c r="O3870" s="16" t="s">
        <v>3666</v>
      </c>
      <c r="R3870" s="6"/>
      <c r="S3870" s="298"/>
    </row>
    <row r="3871" spans="14:19" hidden="1" x14ac:dyDescent="0.25">
      <c r="N3871" s="17">
        <v>586.69999999997003</v>
      </c>
      <c r="O3871" s="16" t="s">
        <v>3667</v>
      </c>
      <c r="R3871" s="6"/>
      <c r="S3871" s="298"/>
    </row>
    <row r="3872" spans="14:19" hidden="1" x14ac:dyDescent="0.25">
      <c r="N3872" s="17">
        <v>586.79999999997005</v>
      </c>
      <c r="O3872" s="16" t="s">
        <v>3668</v>
      </c>
      <c r="R3872" s="6"/>
      <c r="S3872" s="298"/>
    </row>
    <row r="3873" spans="14:19" hidden="1" x14ac:dyDescent="0.25">
      <c r="N3873" s="17">
        <v>586.89999999996996</v>
      </c>
      <c r="O3873" s="16" t="s">
        <v>3669</v>
      </c>
      <c r="R3873" s="6"/>
      <c r="S3873" s="298"/>
    </row>
    <row r="3874" spans="14:19" hidden="1" x14ac:dyDescent="0.25">
      <c r="N3874" s="17">
        <v>586.99999999996999</v>
      </c>
      <c r="O3874" s="16" t="s">
        <v>3671</v>
      </c>
      <c r="R3874" s="6"/>
      <c r="S3874" s="298"/>
    </row>
    <row r="3875" spans="14:19" hidden="1" x14ac:dyDescent="0.25">
      <c r="N3875" s="17">
        <v>587.09999999997001</v>
      </c>
      <c r="O3875" s="16" t="s">
        <v>3672</v>
      </c>
      <c r="R3875" s="6"/>
      <c r="S3875" s="298"/>
    </row>
    <row r="3876" spans="14:19" hidden="1" x14ac:dyDescent="0.25">
      <c r="N3876" s="17">
        <v>587.19999999997003</v>
      </c>
      <c r="O3876" s="16" t="s">
        <v>280</v>
      </c>
      <c r="R3876" s="6"/>
      <c r="S3876" s="298"/>
    </row>
    <row r="3877" spans="14:19" hidden="1" x14ac:dyDescent="0.25">
      <c r="N3877" s="17">
        <v>587.29999999997005</v>
      </c>
      <c r="O3877" s="16" t="s">
        <v>5817</v>
      </c>
      <c r="R3877" s="6"/>
      <c r="S3877" s="298"/>
    </row>
    <row r="3878" spans="14:19" hidden="1" x14ac:dyDescent="0.25">
      <c r="N3878" s="17">
        <v>587.39999999996996</v>
      </c>
      <c r="O3878" s="16" t="s">
        <v>5818</v>
      </c>
      <c r="R3878" s="6"/>
      <c r="S3878" s="298"/>
    </row>
    <row r="3879" spans="14:19" hidden="1" x14ac:dyDescent="0.25">
      <c r="N3879" s="17">
        <v>587.49999999996999</v>
      </c>
      <c r="O3879" s="16" t="s">
        <v>5819</v>
      </c>
      <c r="R3879" s="6"/>
      <c r="S3879" s="298"/>
    </row>
    <row r="3880" spans="14:19" hidden="1" x14ac:dyDescent="0.25">
      <c r="N3880" s="17">
        <v>587.59999999997001</v>
      </c>
      <c r="O3880" s="16" t="s">
        <v>5820</v>
      </c>
      <c r="R3880" s="6"/>
      <c r="S3880" s="298"/>
    </row>
    <row r="3881" spans="14:19" hidden="1" x14ac:dyDescent="0.25">
      <c r="N3881" s="17">
        <v>587.69999999997003</v>
      </c>
      <c r="O3881" s="16" t="s">
        <v>3696</v>
      </c>
      <c r="R3881" s="6"/>
      <c r="S3881" s="298"/>
    </row>
    <row r="3882" spans="14:19" hidden="1" x14ac:dyDescent="0.25">
      <c r="N3882" s="17">
        <v>587.79999999997005</v>
      </c>
      <c r="O3882" s="16" t="s">
        <v>3697</v>
      </c>
      <c r="R3882" s="6"/>
      <c r="S3882" s="298"/>
    </row>
    <row r="3883" spans="14:19" hidden="1" x14ac:dyDescent="0.25">
      <c r="N3883" s="17">
        <v>587.89999999996996</v>
      </c>
      <c r="O3883" s="16" t="s">
        <v>3698</v>
      </c>
      <c r="R3883" s="6"/>
      <c r="S3883" s="298"/>
    </row>
    <row r="3884" spans="14:19" hidden="1" x14ac:dyDescent="0.25">
      <c r="N3884" s="17">
        <v>587.99999999996999</v>
      </c>
      <c r="O3884" s="16" t="s">
        <v>3699</v>
      </c>
      <c r="R3884" s="6"/>
      <c r="S3884" s="298"/>
    </row>
    <row r="3885" spans="14:19" hidden="1" x14ac:dyDescent="0.25">
      <c r="N3885" s="17">
        <v>588.09999999997001</v>
      </c>
      <c r="O3885" s="16" t="s">
        <v>3700</v>
      </c>
      <c r="R3885" s="6"/>
      <c r="S3885" s="298"/>
    </row>
    <row r="3886" spans="14:19" hidden="1" x14ac:dyDescent="0.25">
      <c r="N3886" s="17">
        <v>588.19999999997003</v>
      </c>
      <c r="O3886" s="16" t="s">
        <v>3701</v>
      </c>
      <c r="R3886" s="6"/>
      <c r="S3886" s="298"/>
    </row>
    <row r="3887" spans="14:19" hidden="1" x14ac:dyDescent="0.25">
      <c r="N3887" s="17">
        <v>588.29999999997005</v>
      </c>
      <c r="O3887" s="16" t="s">
        <v>3702</v>
      </c>
      <c r="R3887" s="6"/>
      <c r="S3887" s="298"/>
    </row>
    <row r="3888" spans="14:19" hidden="1" x14ac:dyDescent="0.25">
      <c r="N3888" s="17">
        <v>588.39999999996996</v>
      </c>
      <c r="O3888" s="16" t="s">
        <v>3703</v>
      </c>
      <c r="R3888" s="6"/>
      <c r="S3888" s="298"/>
    </row>
    <row r="3889" spans="14:19" hidden="1" x14ac:dyDescent="0.25">
      <c r="N3889" s="17">
        <v>588.49999999996999</v>
      </c>
      <c r="O3889" s="16" t="s">
        <v>3704</v>
      </c>
      <c r="R3889" s="6"/>
      <c r="S3889" s="298"/>
    </row>
    <row r="3890" spans="14:19" hidden="1" x14ac:dyDescent="0.25">
      <c r="N3890" s="17">
        <v>588.59999999997001</v>
      </c>
      <c r="O3890" s="16" t="s">
        <v>3705</v>
      </c>
      <c r="R3890" s="6"/>
      <c r="S3890" s="298"/>
    </row>
    <row r="3891" spans="14:19" hidden="1" x14ac:dyDescent="0.25">
      <c r="N3891" s="17">
        <v>588.69999999997003</v>
      </c>
      <c r="O3891" s="16" t="s">
        <v>3706</v>
      </c>
      <c r="R3891" s="6"/>
      <c r="S3891" s="298"/>
    </row>
    <row r="3892" spans="14:19" hidden="1" x14ac:dyDescent="0.25">
      <c r="N3892" s="17">
        <v>588.79999999997005</v>
      </c>
      <c r="O3892" s="16" t="s">
        <v>3707</v>
      </c>
      <c r="R3892" s="6"/>
      <c r="S3892" s="298"/>
    </row>
    <row r="3893" spans="14:19" hidden="1" x14ac:dyDescent="0.25">
      <c r="N3893" s="17">
        <v>588.89999999996996</v>
      </c>
      <c r="O3893" s="16" t="s">
        <v>3708</v>
      </c>
      <c r="R3893" s="6"/>
      <c r="S3893" s="298"/>
    </row>
    <row r="3894" spans="14:19" hidden="1" x14ac:dyDescent="0.25">
      <c r="N3894" s="17">
        <v>588.99999999996999</v>
      </c>
      <c r="O3894" s="16" t="s">
        <v>3709</v>
      </c>
      <c r="R3894" s="6"/>
      <c r="S3894" s="298"/>
    </row>
    <row r="3895" spans="14:19" hidden="1" x14ac:dyDescent="0.25">
      <c r="N3895" s="17">
        <v>589.09999999997001</v>
      </c>
      <c r="O3895" s="16" t="s">
        <v>3710</v>
      </c>
      <c r="R3895" s="6"/>
      <c r="S3895" s="298"/>
    </row>
    <row r="3896" spans="14:19" hidden="1" x14ac:dyDescent="0.25">
      <c r="N3896" s="17">
        <v>589.19999999997003</v>
      </c>
      <c r="O3896" s="16" t="s">
        <v>3711</v>
      </c>
      <c r="R3896" s="6"/>
      <c r="S3896" s="298"/>
    </row>
    <row r="3897" spans="14:19" hidden="1" x14ac:dyDescent="0.25">
      <c r="N3897" s="17">
        <v>589.29999999997005</v>
      </c>
      <c r="O3897" s="16" t="s">
        <v>3712</v>
      </c>
      <c r="R3897" s="6"/>
      <c r="S3897" s="298"/>
    </row>
    <row r="3898" spans="14:19" hidden="1" x14ac:dyDescent="0.25">
      <c r="N3898" s="17">
        <v>589.39999999996996</v>
      </c>
      <c r="O3898" s="16" t="s">
        <v>3713</v>
      </c>
      <c r="R3898" s="6"/>
      <c r="S3898" s="298"/>
    </row>
    <row r="3899" spans="14:19" hidden="1" x14ac:dyDescent="0.25">
      <c r="N3899" s="17">
        <v>589.49999999996999</v>
      </c>
      <c r="O3899" s="16" t="s">
        <v>3714</v>
      </c>
      <c r="R3899" s="6"/>
      <c r="S3899" s="298"/>
    </row>
    <row r="3900" spans="14:19" hidden="1" x14ac:dyDescent="0.25">
      <c r="N3900" s="17">
        <v>589.59999999997001</v>
      </c>
      <c r="O3900" s="16" t="s">
        <v>3715</v>
      </c>
      <c r="R3900" s="6"/>
      <c r="S3900" s="298"/>
    </row>
    <row r="3901" spans="14:19" hidden="1" x14ac:dyDescent="0.25">
      <c r="N3901" s="17">
        <v>589.69999999996901</v>
      </c>
      <c r="O3901" s="16" t="s">
        <v>3716</v>
      </c>
      <c r="R3901" s="6"/>
      <c r="S3901" s="298"/>
    </row>
    <row r="3902" spans="14:19" hidden="1" x14ac:dyDescent="0.25">
      <c r="N3902" s="17">
        <v>589.79999999996903</v>
      </c>
      <c r="O3902" s="16" t="s">
        <v>3717</v>
      </c>
      <c r="R3902" s="6"/>
      <c r="S3902" s="298"/>
    </row>
    <row r="3903" spans="14:19" hidden="1" x14ac:dyDescent="0.25">
      <c r="N3903" s="17">
        <v>589.89999999996905</v>
      </c>
      <c r="O3903" s="16" t="s">
        <v>3718</v>
      </c>
      <c r="R3903" s="6"/>
      <c r="S3903" s="298"/>
    </row>
    <row r="3904" spans="14:19" hidden="1" x14ac:dyDescent="0.25">
      <c r="N3904" s="17">
        <v>589.99999999996896</v>
      </c>
      <c r="O3904" s="16" t="s">
        <v>3719</v>
      </c>
      <c r="R3904" s="6"/>
      <c r="S3904" s="298"/>
    </row>
    <row r="3905" spans="14:19" hidden="1" x14ac:dyDescent="0.25">
      <c r="N3905" s="17">
        <v>590.09999999996899</v>
      </c>
      <c r="O3905" s="16" t="s">
        <v>3720</v>
      </c>
      <c r="R3905" s="6"/>
      <c r="S3905" s="298"/>
    </row>
    <row r="3906" spans="14:19" hidden="1" x14ac:dyDescent="0.25">
      <c r="N3906" s="17">
        <v>590.19999999996901</v>
      </c>
      <c r="O3906" s="16" t="s">
        <v>3721</v>
      </c>
      <c r="R3906" s="6"/>
      <c r="S3906" s="298"/>
    </row>
    <row r="3907" spans="14:19" hidden="1" x14ac:dyDescent="0.25">
      <c r="N3907" s="17">
        <v>590.29999999996903</v>
      </c>
      <c r="O3907" s="16" t="s">
        <v>3722</v>
      </c>
      <c r="R3907" s="6"/>
      <c r="S3907" s="298"/>
    </row>
    <row r="3908" spans="14:19" hidden="1" x14ac:dyDescent="0.25">
      <c r="N3908" s="17">
        <v>590.39999999996905</v>
      </c>
      <c r="O3908" s="16" t="s">
        <v>3723</v>
      </c>
      <c r="R3908" s="6"/>
      <c r="S3908" s="298"/>
    </row>
    <row r="3909" spans="14:19" hidden="1" x14ac:dyDescent="0.25">
      <c r="N3909" s="17">
        <v>590.49999999996896</v>
      </c>
      <c r="O3909" s="16" t="s">
        <v>3724</v>
      </c>
      <c r="R3909" s="6"/>
      <c r="S3909" s="298"/>
    </row>
    <row r="3910" spans="14:19" hidden="1" x14ac:dyDescent="0.25">
      <c r="N3910" s="17">
        <v>590.59999999996899</v>
      </c>
      <c r="O3910" s="16" t="s">
        <v>3725</v>
      </c>
      <c r="R3910" s="6"/>
      <c r="S3910" s="298"/>
    </row>
    <row r="3911" spans="14:19" hidden="1" x14ac:dyDescent="0.25">
      <c r="N3911" s="17">
        <v>590.69999999996901</v>
      </c>
      <c r="O3911" s="16" t="s">
        <v>3726</v>
      </c>
      <c r="R3911" s="6"/>
      <c r="S3911" s="298"/>
    </row>
    <row r="3912" spans="14:19" hidden="1" x14ac:dyDescent="0.25">
      <c r="N3912" s="17">
        <v>590.79999999996903</v>
      </c>
      <c r="O3912" s="16" t="s">
        <v>3727</v>
      </c>
      <c r="R3912" s="6"/>
      <c r="S3912" s="298"/>
    </row>
    <row r="3913" spans="14:19" hidden="1" x14ac:dyDescent="0.25">
      <c r="N3913" s="17">
        <v>590.89999999996905</v>
      </c>
      <c r="O3913" s="16" t="s">
        <v>3728</v>
      </c>
      <c r="R3913" s="6"/>
      <c r="S3913" s="298"/>
    </row>
    <row r="3914" spans="14:19" hidden="1" x14ac:dyDescent="0.25">
      <c r="N3914" s="17">
        <v>590.99999999996896</v>
      </c>
      <c r="O3914" s="16" t="s">
        <v>3729</v>
      </c>
      <c r="R3914" s="6"/>
      <c r="S3914" s="298"/>
    </row>
    <row r="3915" spans="14:19" hidden="1" x14ac:dyDescent="0.25">
      <c r="N3915" s="17">
        <v>591.09999999996899</v>
      </c>
      <c r="O3915" s="16" t="s">
        <v>3730</v>
      </c>
      <c r="R3915" s="6"/>
      <c r="S3915" s="298"/>
    </row>
    <row r="3916" spans="14:19" hidden="1" x14ac:dyDescent="0.25">
      <c r="N3916" s="17">
        <v>591.19999999996901</v>
      </c>
      <c r="O3916" s="16" t="s">
        <v>3731</v>
      </c>
      <c r="R3916" s="6"/>
      <c r="S3916" s="298"/>
    </row>
    <row r="3917" spans="14:19" hidden="1" x14ac:dyDescent="0.25">
      <c r="N3917" s="17">
        <v>591.29999999996903</v>
      </c>
      <c r="O3917" s="16" t="s">
        <v>3732</v>
      </c>
      <c r="R3917" s="6"/>
      <c r="S3917" s="298"/>
    </row>
    <row r="3918" spans="14:19" hidden="1" x14ac:dyDescent="0.25">
      <c r="N3918" s="17">
        <v>591.39999999996905</v>
      </c>
      <c r="O3918" s="16" t="s">
        <v>3733</v>
      </c>
      <c r="R3918" s="6"/>
      <c r="S3918" s="298"/>
    </row>
    <row r="3919" spans="14:19" hidden="1" x14ac:dyDescent="0.25">
      <c r="N3919" s="17">
        <v>591.49999999996896</v>
      </c>
      <c r="O3919" s="16" t="s">
        <v>3734</v>
      </c>
      <c r="R3919" s="6"/>
      <c r="S3919" s="298"/>
    </row>
    <row r="3920" spans="14:19" hidden="1" x14ac:dyDescent="0.25">
      <c r="N3920" s="17">
        <v>591.59999999996899</v>
      </c>
      <c r="O3920" s="16" t="s">
        <v>3735</v>
      </c>
      <c r="R3920" s="6"/>
      <c r="S3920" s="298"/>
    </row>
    <row r="3921" spans="14:19" hidden="1" x14ac:dyDescent="0.25">
      <c r="N3921" s="17">
        <v>591.69999999996901</v>
      </c>
      <c r="O3921" s="16" t="s">
        <v>1524</v>
      </c>
      <c r="R3921" s="6"/>
      <c r="S3921" s="298"/>
    </row>
    <row r="3922" spans="14:19" hidden="1" x14ac:dyDescent="0.25">
      <c r="N3922" s="17">
        <v>591.79999999996903</v>
      </c>
      <c r="O3922" s="16" t="s">
        <v>1525</v>
      </c>
      <c r="R3922" s="6"/>
      <c r="S3922" s="298"/>
    </row>
    <row r="3923" spans="14:19" hidden="1" x14ac:dyDescent="0.25">
      <c r="N3923" s="17">
        <v>591.89999999996905</v>
      </c>
      <c r="O3923" s="16" t="s">
        <v>1526</v>
      </c>
      <c r="R3923" s="6"/>
      <c r="S3923" s="298"/>
    </row>
    <row r="3924" spans="14:19" hidden="1" x14ac:dyDescent="0.25">
      <c r="N3924" s="17">
        <v>591.99999999996896</v>
      </c>
      <c r="O3924" s="16" t="s">
        <v>1527</v>
      </c>
      <c r="R3924" s="6"/>
      <c r="S3924" s="298"/>
    </row>
    <row r="3925" spans="14:19" hidden="1" x14ac:dyDescent="0.25">
      <c r="N3925" s="17">
        <v>592.09999999996899</v>
      </c>
      <c r="O3925" s="16" t="s">
        <v>1528</v>
      </c>
      <c r="R3925" s="6"/>
      <c r="S3925" s="298"/>
    </row>
    <row r="3926" spans="14:19" hidden="1" x14ac:dyDescent="0.25">
      <c r="N3926" s="17">
        <v>592.19999999996901</v>
      </c>
      <c r="O3926" s="16" t="s">
        <v>1529</v>
      </c>
      <c r="R3926" s="6"/>
      <c r="S3926" s="298"/>
    </row>
    <row r="3927" spans="14:19" hidden="1" x14ac:dyDescent="0.25">
      <c r="N3927" s="17">
        <v>592.29999999996903</v>
      </c>
      <c r="O3927" s="16" t="s">
        <v>1530</v>
      </c>
      <c r="R3927" s="6"/>
      <c r="S3927" s="298"/>
    </row>
    <row r="3928" spans="14:19" hidden="1" x14ac:dyDescent="0.25">
      <c r="N3928" s="17">
        <v>592.39999999996803</v>
      </c>
      <c r="O3928" s="16" t="s">
        <v>1531</v>
      </c>
      <c r="R3928" s="6"/>
      <c r="S3928" s="298"/>
    </row>
    <row r="3929" spans="14:19" hidden="1" x14ac:dyDescent="0.25">
      <c r="N3929" s="17">
        <v>592.49999999996896</v>
      </c>
      <c r="O3929" s="16" t="s">
        <v>1532</v>
      </c>
      <c r="R3929" s="6"/>
      <c r="S3929" s="298"/>
    </row>
    <row r="3930" spans="14:19" hidden="1" x14ac:dyDescent="0.25">
      <c r="N3930" s="17">
        <v>592.59999999996899</v>
      </c>
      <c r="O3930" s="16" t="s">
        <v>1533</v>
      </c>
      <c r="R3930" s="6"/>
      <c r="S3930" s="298"/>
    </row>
    <row r="3931" spans="14:19" hidden="1" x14ac:dyDescent="0.25">
      <c r="N3931" s="17">
        <v>592.69999999996799</v>
      </c>
      <c r="O3931" s="16" t="s">
        <v>1534</v>
      </c>
      <c r="R3931" s="6"/>
      <c r="S3931" s="298"/>
    </row>
    <row r="3932" spans="14:19" hidden="1" x14ac:dyDescent="0.25">
      <c r="N3932" s="17">
        <v>592.79999999996801</v>
      </c>
      <c r="O3932" s="16" t="s">
        <v>1535</v>
      </c>
      <c r="R3932" s="6"/>
      <c r="S3932" s="298"/>
    </row>
    <row r="3933" spans="14:19" hidden="1" x14ac:dyDescent="0.25">
      <c r="N3933" s="17">
        <v>592.89999999996803</v>
      </c>
      <c r="O3933" s="16" t="s">
        <v>3746</v>
      </c>
      <c r="R3933" s="6"/>
      <c r="S3933" s="298"/>
    </row>
    <row r="3934" spans="14:19" hidden="1" x14ac:dyDescent="0.25">
      <c r="N3934" s="17">
        <v>592.99999999996805</v>
      </c>
      <c r="O3934" s="16" t="s">
        <v>3747</v>
      </c>
      <c r="R3934" s="6"/>
      <c r="S3934" s="298"/>
    </row>
    <row r="3935" spans="14:19" hidden="1" x14ac:dyDescent="0.25">
      <c r="N3935" s="17">
        <v>593.09999999996796</v>
      </c>
      <c r="O3935" s="16" t="s">
        <v>3748</v>
      </c>
      <c r="R3935" s="6"/>
      <c r="S3935" s="298"/>
    </row>
    <row r="3936" spans="14:19" hidden="1" x14ac:dyDescent="0.25">
      <c r="N3936" s="17">
        <v>593.19999999996799</v>
      </c>
      <c r="O3936" s="16" t="s">
        <v>3749</v>
      </c>
      <c r="R3936" s="6"/>
      <c r="S3936" s="298"/>
    </row>
    <row r="3937" spans="14:19" hidden="1" x14ac:dyDescent="0.25">
      <c r="N3937" s="17">
        <v>593.29999999996801</v>
      </c>
      <c r="O3937" s="16" t="s">
        <v>3750</v>
      </c>
      <c r="R3937" s="6"/>
      <c r="S3937" s="298"/>
    </row>
    <row r="3938" spans="14:19" hidden="1" x14ac:dyDescent="0.25">
      <c r="N3938" s="17">
        <v>593.39999999996803</v>
      </c>
      <c r="O3938" s="16" t="s">
        <v>3751</v>
      </c>
      <c r="R3938" s="6"/>
      <c r="S3938" s="298"/>
    </row>
    <row r="3939" spans="14:19" hidden="1" x14ac:dyDescent="0.25">
      <c r="N3939" s="17">
        <v>593.49999999996805</v>
      </c>
      <c r="O3939" s="16" t="s">
        <v>3752</v>
      </c>
      <c r="R3939" s="6"/>
      <c r="S3939" s="298"/>
    </row>
    <row r="3940" spans="14:19" hidden="1" x14ac:dyDescent="0.25">
      <c r="N3940" s="17">
        <v>593.59999999996796</v>
      </c>
      <c r="O3940" s="16" t="s">
        <v>369</v>
      </c>
      <c r="R3940" s="6"/>
      <c r="S3940" s="298"/>
    </row>
    <row r="3941" spans="14:19" hidden="1" x14ac:dyDescent="0.25">
      <c r="N3941" s="17">
        <v>593.69999999996799</v>
      </c>
      <c r="O3941" s="16" t="s">
        <v>370</v>
      </c>
      <c r="R3941" s="6"/>
      <c r="S3941" s="298"/>
    </row>
    <row r="3942" spans="14:19" hidden="1" x14ac:dyDescent="0.25">
      <c r="N3942" s="17">
        <v>593.79999999996801</v>
      </c>
      <c r="O3942" s="16" t="s">
        <v>371</v>
      </c>
      <c r="R3942" s="6"/>
      <c r="S3942" s="298"/>
    </row>
    <row r="3943" spans="14:19" hidden="1" x14ac:dyDescent="0.25">
      <c r="N3943" s="17">
        <v>593.89999999996803</v>
      </c>
      <c r="O3943" s="16" t="s">
        <v>372</v>
      </c>
      <c r="R3943" s="6"/>
      <c r="S3943" s="298"/>
    </row>
    <row r="3944" spans="14:19" hidden="1" x14ac:dyDescent="0.25">
      <c r="N3944" s="17">
        <v>593.99999999996805</v>
      </c>
      <c r="O3944" s="16" t="s">
        <v>373</v>
      </c>
      <c r="R3944" s="6"/>
      <c r="S3944" s="298"/>
    </row>
    <row r="3945" spans="14:19" hidden="1" x14ac:dyDescent="0.25">
      <c r="N3945" s="17">
        <v>594.09999999996796</v>
      </c>
      <c r="O3945" s="16" t="s">
        <v>374</v>
      </c>
      <c r="R3945" s="6"/>
      <c r="S3945" s="298"/>
    </row>
    <row r="3946" spans="14:19" hidden="1" x14ac:dyDescent="0.25">
      <c r="N3946" s="17">
        <v>594.19999999996799</v>
      </c>
      <c r="O3946" s="16" t="s">
        <v>375</v>
      </c>
      <c r="R3946" s="6"/>
      <c r="S3946" s="298"/>
    </row>
    <row r="3947" spans="14:19" hidden="1" x14ac:dyDescent="0.25">
      <c r="N3947" s="17">
        <v>594.29999999996801</v>
      </c>
      <c r="O3947" s="16" t="s">
        <v>3763</v>
      </c>
      <c r="R3947" s="6"/>
      <c r="S3947" s="298"/>
    </row>
    <row r="3948" spans="14:19" hidden="1" x14ac:dyDescent="0.25">
      <c r="N3948" s="17">
        <v>594.39999999996803</v>
      </c>
      <c r="O3948" s="16" t="s">
        <v>3764</v>
      </c>
      <c r="R3948" s="6"/>
      <c r="S3948" s="298"/>
    </row>
    <row r="3949" spans="14:19" hidden="1" x14ac:dyDescent="0.25">
      <c r="N3949" s="17">
        <v>594.49999999996805</v>
      </c>
      <c r="O3949" s="16" t="s">
        <v>3765</v>
      </c>
      <c r="R3949" s="6"/>
      <c r="S3949" s="298"/>
    </row>
    <row r="3950" spans="14:19" hidden="1" x14ac:dyDescent="0.25">
      <c r="N3950" s="17">
        <v>594.59999999996796</v>
      </c>
      <c r="O3950" s="16" t="s">
        <v>5869</v>
      </c>
      <c r="R3950" s="6"/>
      <c r="S3950" s="298"/>
    </row>
    <row r="3951" spans="14:19" hidden="1" x14ac:dyDescent="0.25">
      <c r="N3951" s="17">
        <v>594.69999999996799</v>
      </c>
      <c r="O3951" s="16" t="s">
        <v>5870</v>
      </c>
      <c r="R3951" s="6"/>
      <c r="S3951" s="298"/>
    </row>
    <row r="3952" spans="14:19" hidden="1" x14ac:dyDescent="0.25">
      <c r="N3952" s="17">
        <v>594.79999999996801</v>
      </c>
      <c r="O3952" s="16" t="s">
        <v>5871</v>
      </c>
      <c r="R3952" s="6"/>
      <c r="S3952" s="298"/>
    </row>
    <row r="3953" spans="14:19" hidden="1" x14ac:dyDescent="0.25">
      <c r="N3953" s="17">
        <v>594.89999999996803</v>
      </c>
      <c r="O3953" s="16" t="s">
        <v>5872</v>
      </c>
      <c r="R3953" s="6"/>
      <c r="S3953" s="298"/>
    </row>
    <row r="3954" spans="14:19" hidden="1" x14ac:dyDescent="0.25">
      <c r="N3954" s="17">
        <v>594.99999999996805</v>
      </c>
      <c r="O3954" s="16" t="s">
        <v>5873</v>
      </c>
      <c r="R3954" s="6"/>
      <c r="S3954" s="298"/>
    </row>
    <row r="3955" spans="14:19" hidden="1" x14ac:dyDescent="0.25">
      <c r="N3955" s="17">
        <v>595.09999999996796</v>
      </c>
      <c r="O3955" s="16" t="s">
        <v>5874</v>
      </c>
      <c r="R3955" s="6"/>
      <c r="S3955" s="298"/>
    </row>
    <row r="3956" spans="14:19" hidden="1" x14ac:dyDescent="0.25">
      <c r="N3956" s="17">
        <v>595.19999999996799</v>
      </c>
      <c r="O3956" s="16" t="s">
        <v>5875</v>
      </c>
      <c r="R3956" s="6"/>
      <c r="S3956" s="298"/>
    </row>
    <row r="3957" spans="14:19" hidden="1" x14ac:dyDescent="0.25">
      <c r="N3957" s="17">
        <v>595.29999999996801</v>
      </c>
      <c r="O3957" s="16" t="s">
        <v>5876</v>
      </c>
      <c r="R3957" s="6"/>
      <c r="S3957" s="298"/>
    </row>
    <row r="3958" spans="14:19" hidden="1" x14ac:dyDescent="0.25">
      <c r="N3958" s="17">
        <v>595.39999999996803</v>
      </c>
      <c r="O3958" s="16" t="s">
        <v>5877</v>
      </c>
      <c r="R3958" s="6"/>
      <c r="S3958" s="298"/>
    </row>
    <row r="3959" spans="14:19" hidden="1" x14ac:dyDescent="0.25">
      <c r="N3959" s="17">
        <v>595.49999999996703</v>
      </c>
      <c r="O3959" s="16" t="s">
        <v>5878</v>
      </c>
      <c r="R3959" s="6"/>
      <c r="S3959" s="298"/>
    </row>
    <row r="3960" spans="14:19" hidden="1" x14ac:dyDescent="0.25">
      <c r="N3960" s="17">
        <v>595.59999999996705</v>
      </c>
      <c r="O3960" s="16" t="s">
        <v>5879</v>
      </c>
      <c r="R3960" s="6"/>
      <c r="S3960" s="298"/>
    </row>
    <row r="3961" spans="14:19" hidden="1" x14ac:dyDescent="0.25">
      <c r="N3961" s="17">
        <v>595.69999999996696</v>
      </c>
      <c r="O3961" s="16" t="s">
        <v>5880</v>
      </c>
      <c r="R3961" s="6"/>
      <c r="S3961" s="298"/>
    </row>
    <row r="3962" spans="14:19" hidden="1" x14ac:dyDescent="0.25">
      <c r="N3962" s="17">
        <v>595.79999999996699</v>
      </c>
      <c r="O3962" s="16" t="s">
        <v>5881</v>
      </c>
      <c r="R3962" s="6"/>
      <c r="S3962" s="298"/>
    </row>
    <row r="3963" spans="14:19" hidden="1" x14ac:dyDescent="0.25">
      <c r="N3963" s="17">
        <v>595.89999999996701</v>
      </c>
      <c r="O3963" s="16" t="s">
        <v>5882</v>
      </c>
      <c r="R3963" s="6"/>
      <c r="S3963" s="298"/>
    </row>
    <row r="3964" spans="14:19" hidden="1" x14ac:dyDescent="0.25">
      <c r="N3964" s="17">
        <v>595.99999999996703</v>
      </c>
      <c r="O3964" s="16" t="s">
        <v>5883</v>
      </c>
      <c r="R3964" s="6"/>
      <c r="S3964" s="298"/>
    </row>
    <row r="3965" spans="14:19" hidden="1" x14ac:dyDescent="0.25">
      <c r="N3965" s="17">
        <v>596.09999999996705</v>
      </c>
      <c r="O3965" s="16" t="s">
        <v>5884</v>
      </c>
      <c r="R3965" s="6"/>
      <c r="S3965" s="298"/>
    </row>
    <row r="3966" spans="14:19" hidden="1" x14ac:dyDescent="0.25">
      <c r="N3966" s="17">
        <v>596.19999999996696</v>
      </c>
      <c r="O3966" s="16" t="s">
        <v>5885</v>
      </c>
      <c r="R3966" s="6"/>
      <c r="S3966" s="298"/>
    </row>
    <row r="3967" spans="14:19" hidden="1" x14ac:dyDescent="0.25">
      <c r="N3967" s="17">
        <v>596.29999999996699</v>
      </c>
      <c r="O3967" s="16" t="s">
        <v>5886</v>
      </c>
      <c r="R3967" s="6"/>
      <c r="S3967" s="298"/>
    </row>
    <row r="3968" spans="14:19" hidden="1" x14ac:dyDescent="0.25">
      <c r="N3968" s="17">
        <v>596.39999999996701</v>
      </c>
      <c r="O3968" s="16" t="s">
        <v>5887</v>
      </c>
      <c r="R3968" s="6"/>
      <c r="S3968" s="298"/>
    </row>
    <row r="3969" spans="14:19" hidden="1" x14ac:dyDescent="0.25">
      <c r="N3969" s="17">
        <v>596.49999999996703</v>
      </c>
      <c r="O3969" s="16" t="s">
        <v>5888</v>
      </c>
      <c r="R3969" s="6"/>
      <c r="S3969" s="298"/>
    </row>
    <row r="3970" spans="14:19" hidden="1" x14ac:dyDescent="0.25">
      <c r="N3970" s="17">
        <v>596.59999999996705</v>
      </c>
      <c r="O3970" s="16" t="s">
        <v>5889</v>
      </c>
      <c r="R3970" s="6"/>
      <c r="S3970" s="298"/>
    </row>
    <row r="3971" spans="14:19" hidden="1" x14ac:dyDescent="0.25">
      <c r="N3971" s="17">
        <v>596.69999999996696</v>
      </c>
      <c r="O3971" s="16" t="s">
        <v>5890</v>
      </c>
      <c r="R3971" s="6"/>
      <c r="S3971" s="298"/>
    </row>
    <row r="3972" spans="14:19" hidden="1" x14ac:dyDescent="0.25">
      <c r="N3972" s="17">
        <v>596.79999999996699</v>
      </c>
      <c r="O3972" s="16" t="s">
        <v>5891</v>
      </c>
      <c r="R3972" s="6"/>
      <c r="S3972" s="298"/>
    </row>
    <row r="3973" spans="14:19" hidden="1" x14ac:dyDescent="0.25">
      <c r="N3973" s="17">
        <v>596.89999999996701</v>
      </c>
      <c r="O3973" s="16" t="s">
        <v>5892</v>
      </c>
      <c r="R3973" s="6"/>
      <c r="S3973" s="298"/>
    </row>
    <row r="3974" spans="14:19" hidden="1" x14ac:dyDescent="0.25">
      <c r="N3974" s="17">
        <v>596.99999999996703</v>
      </c>
      <c r="O3974" s="16" t="s">
        <v>5893</v>
      </c>
      <c r="R3974" s="6"/>
      <c r="S3974" s="298"/>
    </row>
    <row r="3975" spans="14:19" hidden="1" x14ac:dyDescent="0.25">
      <c r="N3975" s="17">
        <v>597.09999999996705</v>
      </c>
      <c r="O3975" s="16" t="s">
        <v>5894</v>
      </c>
      <c r="R3975" s="6"/>
      <c r="S3975" s="298"/>
    </row>
    <row r="3976" spans="14:19" hidden="1" x14ac:dyDescent="0.25">
      <c r="N3976" s="17">
        <v>597.19999999996696</v>
      </c>
      <c r="O3976" s="16" t="s">
        <v>5895</v>
      </c>
      <c r="R3976" s="6"/>
      <c r="S3976" s="298"/>
    </row>
    <row r="3977" spans="14:19" hidden="1" x14ac:dyDescent="0.25">
      <c r="N3977" s="17">
        <v>597.29999999996699</v>
      </c>
      <c r="O3977" s="16" t="s">
        <v>5896</v>
      </c>
      <c r="R3977" s="6"/>
      <c r="S3977" s="298"/>
    </row>
    <row r="3978" spans="14:19" hidden="1" x14ac:dyDescent="0.25">
      <c r="N3978" s="17">
        <v>597.39999999996701</v>
      </c>
      <c r="O3978" s="16" t="s">
        <v>5897</v>
      </c>
      <c r="R3978" s="6"/>
      <c r="S3978" s="298"/>
    </row>
    <row r="3979" spans="14:19" hidden="1" x14ac:dyDescent="0.25">
      <c r="N3979" s="17">
        <v>597.49999999996703</v>
      </c>
      <c r="O3979" s="16" t="s">
        <v>5898</v>
      </c>
      <c r="R3979" s="6"/>
      <c r="S3979" s="298"/>
    </row>
    <row r="3980" spans="14:19" hidden="1" x14ac:dyDescent="0.25">
      <c r="N3980" s="17">
        <v>597.59999999996705</v>
      </c>
      <c r="O3980" s="16" t="s">
        <v>5899</v>
      </c>
      <c r="R3980" s="6"/>
      <c r="S3980" s="298"/>
    </row>
    <row r="3981" spans="14:19" hidden="1" x14ac:dyDescent="0.25">
      <c r="N3981" s="17">
        <v>597.69999999996696</v>
      </c>
      <c r="O3981" s="16" t="s">
        <v>5900</v>
      </c>
      <c r="R3981" s="6"/>
      <c r="S3981" s="298"/>
    </row>
    <row r="3982" spans="14:19" hidden="1" x14ac:dyDescent="0.25">
      <c r="N3982" s="17">
        <v>597.79999999996699</v>
      </c>
      <c r="O3982" s="16" t="s">
        <v>5901</v>
      </c>
      <c r="R3982" s="6"/>
      <c r="S3982" s="298"/>
    </row>
    <row r="3983" spans="14:19" hidden="1" x14ac:dyDescent="0.25">
      <c r="N3983" s="17">
        <v>597.89999999996701</v>
      </c>
      <c r="O3983" s="16" t="s">
        <v>5902</v>
      </c>
      <c r="R3983" s="6"/>
      <c r="S3983" s="298"/>
    </row>
    <row r="3984" spans="14:19" hidden="1" x14ac:dyDescent="0.25">
      <c r="N3984" s="17">
        <v>597.99999999996703</v>
      </c>
      <c r="O3984" s="16" t="s">
        <v>5903</v>
      </c>
      <c r="R3984" s="6"/>
      <c r="S3984" s="298"/>
    </row>
    <row r="3985" spans="14:19" hidden="1" x14ac:dyDescent="0.25">
      <c r="N3985" s="17">
        <v>598.09999999996705</v>
      </c>
      <c r="O3985" s="16" t="s">
        <v>5904</v>
      </c>
      <c r="R3985" s="6"/>
      <c r="S3985" s="298"/>
    </row>
    <row r="3986" spans="14:19" hidden="1" x14ac:dyDescent="0.25">
      <c r="N3986" s="17">
        <v>598.19999999996696</v>
      </c>
      <c r="O3986" s="16" t="s">
        <v>5905</v>
      </c>
      <c r="R3986" s="6"/>
      <c r="S3986" s="298"/>
    </row>
    <row r="3987" spans="14:19" hidden="1" x14ac:dyDescent="0.25">
      <c r="N3987" s="17">
        <v>598.29999999996699</v>
      </c>
      <c r="O3987" s="16" t="s">
        <v>5917</v>
      </c>
      <c r="R3987" s="6"/>
      <c r="S3987" s="298"/>
    </row>
    <row r="3988" spans="14:19" hidden="1" x14ac:dyDescent="0.25">
      <c r="N3988" s="17">
        <v>598.39999999996701</v>
      </c>
      <c r="O3988" s="16" t="s">
        <v>5918</v>
      </c>
      <c r="R3988" s="6"/>
      <c r="S3988" s="298"/>
    </row>
    <row r="3989" spans="14:19" hidden="1" x14ac:dyDescent="0.25">
      <c r="N3989" s="17">
        <v>598.49999999996601</v>
      </c>
      <c r="O3989" s="16" t="s">
        <v>5919</v>
      </c>
      <c r="R3989" s="6"/>
      <c r="S3989" s="298"/>
    </row>
    <row r="3990" spans="14:19" hidden="1" x14ac:dyDescent="0.25">
      <c r="N3990" s="17">
        <v>598.59999999996603</v>
      </c>
      <c r="O3990" s="16" t="s">
        <v>5920</v>
      </c>
      <c r="R3990" s="6"/>
      <c r="S3990" s="298"/>
    </row>
    <row r="3991" spans="14:19" hidden="1" x14ac:dyDescent="0.25">
      <c r="N3991" s="17">
        <v>598.69999999996605</v>
      </c>
      <c r="O3991" s="16" t="s">
        <v>5921</v>
      </c>
      <c r="R3991" s="6"/>
      <c r="S3991" s="298"/>
    </row>
    <row r="3992" spans="14:19" hidden="1" x14ac:dyDescent="0.25">
      <c r="N3992" s="17">
        <v>598.79999999996596</v>
      </c>
      <c r="O3992" s="16" t="s">
        <v>5922</v>
      </c>
      <c r="R3992" s="6"/>
      <c r="S3992" s="298"/>
    </row>
    <row r="3993" spans="14:19" hidden="1" x14ac:dyDescent="0.25">
      <c r="N3993" s="17">
        <v>598.89999999996598</v>
      </c>
      <c r="O3993" s="16" t="s">
        <v>5923</v>
      </c>
      <c r="R3993" s="6"/>
      <c r="S3993" s="298"/>
    </row>
    <row r="3994" spans="14:19" hidden="1" x14ac:dyDescent="0.25">
      <c r="N3994" s="17">
        <v>598.99999999996601</v>
      </c>
      <c r="O3994" s="16" t="s">
        <v>5924</v>
      </c>
      <c r="R3994" s="6"/>
      <c r="S3994" s="298"/>
    </row>
    <row r="3995" spans="14:19" hidden="1" x14ac:dyDescent="0.25">
      <c r="N3995" s="17">
        <v>599.09999999996603</v>
      </c>
      <c r="O3995" s="16" t="s">
        <v>5925</v>
      </c>
      <c r="R3995" s="6"/>
      <c r="S3995" s="298"/>
    </row>
    <row r="3996" spans="14:19" hidden="1" x14ac:dyDescent="0.25">
      <c r="N3996" s="17">
        <v>599.19999999996605</v>
      </c>
      <c r="O3996" s="16" t="s">
        <v>5926</v>
      </c>
      <c r="R3996" s="6"/>
      <c r="S3996" s="298"/>
    </row>
    <row r="3997" spans="14:19" hidden="1" x14ac:dyDescent="0.25">
      <c r="N3997" s="17">
        <v>599.29999999996596</v>
      </c>
      <c r="O3997" s="16" t="s">
        <v>5913</v>
      </c>
      <c r="R3997" s="6"/>
      <c r="S3997" s="298"/>
    </row>
    <row r="3998" spans="14:19" hidden="1" x14ac:dyDescent="0.25">
      <c r="N3998" s="17">
        <v>599.39999999996598</v>
      </c>
      <c r="O3998" s="16" t="s">
        <v>5914</v>
      </c>
      <c r="R3998" s="6"/>
      <c r="S3998" s="298"/>
    </row>
    <row r="3999" spans="14:19" hidden="1" x14ac:dyDescent="0.25">
      <c r="N3999" s="17">
        <v>599.49999999996601</v>
      </c>
      <c r="O3999" s="16" t="s">
        <v>5915</v>
      </c>
      <c r="R3999" s="6"/>
      <c r="S3999" s="298"/>
    </row>
    <row r="4000" spans="14:19" hidden="1" x14ac:dyDescent="0.25">
      <c r="N4000" s="17">
        <v>599.59999999996603</v>
      </c>
      <c r="O4000" s="16" t="s">
        <v>5916</v>
      </c>
      <c r="R4000" s="6"/>
      <c r="S4000" s="298"/>
    </row>
    <row r="4001" spans="14:19" hidden="1" x14ac:dyDescent="0.25">
      <c r="N4001" s="17">
        <v>599.69999999996605</v>
      </c>
      <c r="O4001" s="16" t="s">
        <v>3789</v>
      </c>
      <c r="R4001" s="6"/>
      <c r="S4001" s="298"/>
    </row>
    <row r="4002" spans="14:19" hidden="1" x14ac:dyDescent="0.25">
      <c r="N4002" s="17">
        <v>599.79999999996596</v>
      </c>
      <c r="O4002" s="16" t="s">
        <v>3790</v>
      </c>
      <c r="R4002" s="6"/>
      <c r="S4002" s="298"/>
    </row>
    <row r="4003" spans="14:19" hidden="1" x14ac:dyDescent="0.25">
      <c r="N4003" s="17">
        <v>599.89999999996598</v>
      </c>
      <c r="O4003" s="16" t="s">
        <v>3791</v>
      </c>
      <c r="R4003" s="6"/>
      <c r="S4003" s="298"/>
    </row>
    <row r="4004" spans="14:19" hidden="1" x14ac:dyDescent="0.25">
      <c r="N4004" s="17">
        <v>599.99999999996601</v>
      </c>
      <c r="O4004" s="16" t="s">
        <v>1593</v>
      </c>
    </row>
    <row r="4005" spans="14:19" hidden="1" x14ac:dyDescent="0.25">
      <c r="N4005" s="17">
        <v>600.09999999996603</v>
      </c>
      <c r="O4005" s="16" t="s">
        <v>1594</v>
      </c>
      <c r="R4005" s="6"/>
      <c r="S4005" s="298"/>
    </row>
    <row r="4006" spans="14:19" hidden="1" x14ac:dyDescent="0.25">
      <c r="N4006" s="17">
        <v>600.19999999996605</v>
      </c>
      <c r="O4006" s="16" t="s">
        <v>1595</v>
      </c>
      <c r="R4006" s="6"/>
      <c r="S4006" s="298"/>
    </row>
    <row r="4007" spans="14:19" hidden="1" x14ac:dyDescent="0.25">
      <c r="N4007" s="17">
        <v>600.29999999996596</v>
      </c>
      <c r="O4007" s="16" t="s">
        <v>1596</v>
      </c>
      <c r="R4007" s="6"/>
      <c r="S4007" s="298"/>
    </row>
    <row r="4008" spans="14:19" hidden="1" x14ac:dyDescent="0.25">
      <c r="N4008" s="17">
        <v>600.39999999996598</v>
      </c>
      <c r="O4008" s="16" t="s">
        <v>1597</v>
      </c>
      <c r="R4008" s="6"/>
      <c r="S4008" s="298"/>
    </row>
    <row r="4009" spans="14:19" hidden="1" x14ac:dyDescent="0.25">
      <c r="N4009" s="17">
        <v>600.49999999996601</v>
      </c>
      <c r="O4009" s="16" t="s">
        <v>1598</v>
      </c>
      <c r="R4009" s="6"/>
      <c r="S4009" s="298"/>
    </row>
    <row r="4010" spans="14:19" hidden="1" x14ac:dyDescent="0.25">
      <c r="N4010" s="17">
        <v>600.59999999996603</v>
      </c>
      <c r="O4010" s="16" t="s">
        <v>1599</v>
      </c>
      <c r="R4010" s="6"/>
      <c r="S4010" s="298"/>
    </row>
    <row r="4011" spans="14:19" hidden="1" x14ac:dyDescent="0.25">
      <c r="N4011" s="17">
        <v>600.69999999996605</v>
      </c>
      <c r="O4011" s="16" t="s">
        <v>1600</v>
      </c>
      <c r="R4011" s="6"/>
      <c r="S4011" s="298"/>
    </row>
    <row r="4012" spans="14:19" hidden="1" x14ac:dyDescent="0.25">
      <c r="N4012" s="17">
        <v>600.79999999996596</v>
      </c>
      <c r="O4012" s="16" t="s">
        <v>1601</v>
      </c>
      <c r="R4012" s="6"/>
      <c r="S4012" s="298"/>
    </row>
    <row r="4013" spans="14:19" hidden="1" x14ac:dyDescent="0.25">
      <c r="N4013" s="17">
        <v>600.89999999996598</v>
      </c>
      <c r="O4013" s="16" t="s">
        <v>1602</v>
      </c>
      <c r="R4013" s="6"/>
      <c r="S4013" s="298"/>
    </row>
    <row r="4014" spans="14:19" hidden="1" x14ac:dyDescent="0.25">
      <c r="N4014" s="17">
        <v>600.99999999996601</v>
      </c>
      <c r="O4014" s="16" t="s">
        <v>1594</v>
      </c>
    </row>
    <row r="4015" spans="14:19" hidden="1" x14ac:dyDescent="0.25">
      <c r="N4015" s="17">
        <v>601.09999999996603</v>
      </c>
      <c r="O4015" s="16" t="s">
        <v>1603</v>
      </c>
      <c r="R4015" s="6"/>
      <c r="S4015" s="298"/>
    </row>
    <row r="4016" spans="14:19" hidden="1" x14ac:dyDescent="0.25">
      <c r="N4016" s="17">
        <v>601.19999999996605</v>
      </c>
      <c r="O4016" s="16" t="s">
        <v>1604</v>
      </c>
      <c r="R4016" s="6"/>
      <c r="S4016" s="298"/>
    </row>
    <row r="4017" spans="14:19" hidden="1" x14ac:dyDescent="0.25">
      <c r="N4017" s="17">
        <v>601.29999999996505</v>
      </c>
      <c r="O4017" s="16" t="s">
        <v>1605</v>
      </c>
      <c r="R4017" s="6"/>
      <c r="S4017" s="298"/>
    </row>
    <row r="4018" spans="14:19" hidden="1" x14ac:dyDescent="0.25">
      <c r="N4018" s="17">
        <v>601.39999999996496</v>
      </c>
      <c r="O4018" s="16" t="s">
        <v>1606</v>
      </c>
      <c r="R4018" s="6"/>
      <c r="S4018" s="298"/>
    </row>
    <row r="4019" spans="14:19" hidden="1" x14ac:dyDescent="0.25">
      <c r="N4019" s="17">
        <v>601.49999999996498</v>
      </c>
      <c r="O4019" s="16" t="s">
        <v>1607</v>
      </c>
      <c r="R4019" s="6"/>
      <c r="S4019" s="298"/>
    </row>
    <row r="4020" spans="14:19" hidden="1" x14ac:dyDescent="0.25">
      <c r="N4020" s="17">
        <v>601.59999999996501</v>
      </c>
      <c r="O4020" s="16" t="s">
        <v>1608</v>
      </c>
      <c r="R4020" s="6"/>
      <c r="S4020" s="298"/>
    </row>
    <row r="4021" spans="14:19" hidden="1" x14ac:dyDescent="0.25">
      <c r="N4021" s="17">
        <v>601.69999999996503</v>
      </c>
      <c r="O4021" s="16" t="s">
        <v>1609</v>
      </c>
      <c r="R4021" s="6"/>
      <c r="S4021" s="298"/>
    </row>
    <row r="4022" spans="14:19" hidden="1" x14ac:dyDescent="0.25">
      <c r="N4022" s="17">
        <v>601.79999999996505</v>
      </c>
      <c r="O4022" s="16" t="s">
        <v>1610</v>
      </c>
      <c r="R4022" s="6"/>
      <c r="S4022" s="298"/>
    </row>
    <row r="4023" spans="14:19" hidden="1" x14ac:dyDescent="0.25">
      <c r="N4023" s="17">
        <v>601.89999999996496</v>
      </c>
      <c r="O4023" s="16" t="s">
        <v>1611</v>
      </c>
      <c r="R4023" s="6"/>
      <c r="S4023" s="298"/>
    </row>
    <row r="4024" spans="14:19" hidden="1" x14ac:dyDescent="0.25">
      <c r="N4024" s="17">
        <v>601.99999999996498</v>
      </c>
      <c r="O4024" s="16" t="s">
        <v>1595</v>
      </c>
      <c r="R4024" s="6"/>
      <c r="S4024" s="298"/>
    </row>
    <row r="4025" spans="14:19" hidden="1" x14ac:dyDescent="0.25">
      <c r="N4025" s="17">
        <v>602.09999999996501</v>
      </c>
      <c r="O4025" s="16" t="s">
        <v>1612</v>
      </c>
      <c r="R4025" s="6"/>
      <c r="S4025" s="298"/>
    </row>
    <row r="4026" spans="14:19" hidden="1" x14ac:dyDescent="0.25">
      <c r="N4026" s="17">
        <v>602.19999999996503</v>
      </c>
      <c r="O4026" s="16" t="s">
        <v>1613</v>
      </c>
      <c r="R4026" s="6"/>
      <c r="S4026" s="298"/>
    </row>
    <row r="4027" spans="14:19" hidden="1" x14ac:dyDescent="0.25">
      <c r="N4027" s="17">
        <v>602.29999999996505</v>
      </c>
      <c r="O4027" s="16" t="s">
        <v>1614</v>
      </c>
      <c r="R4027" s="6"/>
      <c r="S4027" s="298"/>
    </row>
    <row r="4028" spans="14:19" hidden="1" x14ac:dyDescent="0.25">
      <c r="N4028" s="17">
        <v>602.39999999996496</v>
      </c>
      <c r="O4028" s="16" t="s">
        <v>1615</v>
      </c>
      <c r="R4028" s="6"/>
      <c r="S4028" s="298"/>
    </row>
    <row r="4029" spans="14:19" hidden="1" x14ac:dyDescent="0.25">
      <c r="N4029" s="17">
        <v>602.49999999996498</v>
      </c>
      <c r="O4029" s="16" t="s">
        <v>1616</v>
      </c>
      <c r="R4029" s="6"/>
      <c r="S4029" s="298"/>
    </row>
    <row r="4030" spans="14:19" hidden="1" x14ac:dyDescent="0.25">
      <c r="N4030" s="17">
        <v>602.59999999996501</v>
      </c>
      <c r="O4030" s="16" t="s">
        <v>1617</v>
      </c>
      <c r="R4030" s="6"/>
      <c r="S4030" s="298"/>
    </row>
    <row r="4031" spans="14:19" hidden="1" x14ac:dyDescent="0.25">
      <c r="N4031" s="17">
        <v>602.69999999996503</v>
      </c>
      <c r="O4031" s="16" t="s">
        <v>1618</v>
      </c>
      <c r="R4031" s="6"/>
      <c r="S4031" s="298"/>
    </row>
    <row r="4032" spans="14:19" hidden="1" x14ac:dyDescent="0.25">
      <c r="N4032" s="17">
        <v>602.79999999996505</v>
      </c>
      <c r="O4032" s="16" t="s">
        <v>1619</v>
      </c>
      <c r="R4032" s="6"/>
      <c r="S4032" s="298"/>
    </row>
    <row r="4033" spans="14:19" hidden="1" x14ac:dyDescent="0.25">
      <c r="N4033" s="17">
        <v>602.89999999996496</v>
      </c>
      <c r="O4033" s="16" t="s">
        <v>1620</v>
      </c>
      <c r="R4033" s="6"/>
      <c r="S4033" s="298"/>
    </row>
    <row r="4034" spans="14:19" hidden="1" x14ac:dyDescent="0.25">
      <c r="N4034" s="17">
        <v>602.99999999996498</v>
      </c>
      <c r="O4034" s="16" t="s">
        <v>1596</v>
      </c>
    </row>
    <row r="4035" spans="14:19" hidden="1" x14ac:dyDescent="0.25">
      <c r="N4035" s="17">
        <v>603.09999999996501</v>
      </c>
      <c r="O4035" s="16" t="s">
        <v>1621</v>
      </c>
      <c r="R4035" s="6"/>
      <c r="S4035" s="298"/>
    </row>
    <row r="4036" spans="14:19" hidden="1" x14ac:dyDescent="0.25">
      <c r="N4036" s="17">
        <v>603.19999999996503</v>
      </c>
      <c r="O4036" s="16" t="s">
        <v>1622</v>
      </c>
      <c r="R4036" s="6"/>
      <c r="S4036" s="298"/>
    </row>
    <row r="4037" spans="14:19" hidden="1" x14ac:dyDescent="0.25">
      <c r="N4037" s="17">
        <v>603.29999999996505</v>
      </c>
      <c r="O4037" s="16" t="s">
        <v>1623</v>
      </c>
      <c r="R4037" s="6"/>
      <c r="S4037" s="298"/>
    </row>
    <row r="4038" spans="14:19" hidden="1" x14ac:dyDescent="0.25">
      <c r="N4038" s="17">
        <v>603.39999999996496</v>
      </c>
      <c r="O4038" s="16" t="s">
        <v>1624</v>
      </c>
      <c r="R4038" s="6"/>
      <c r="S4038" s="298"/>
    </row>
    <row r="4039" spans="14:19" hidden="1" x14ac:dyDescent="0.25">
      <c r="N4039" s="17">
        <v>603.49999999996498</v>
      </c>
      <c r="O4039" s="16" t="s">
        <v>1625</v>
      </c>
      <c r="R4039" s="6"/>
      <c r="S4039" s="298"/>
    </row>
    <row r="4040" spans="14:19" hidden="1" x14ac:dyDescent="0.25">
      <c r="N4040" s="17">
        <v>603.59999999996501</v>
      </c>
      <c r="O4040" s="16" t="s">
        <v>1626</v>
      </c>
      <c r="R4040" s="6"/>
      <c r="S4040" s="298"/>
    </row>
    <row r="4041" spans="14:19" hidden="1" x14ac:dyDescent="0.25">
      <c r="N4041" s="17">
        <v>603.69999999996503</v>
      </c>
      <c r="O4041" s="16" t="s">
        <v>1627</v>
      </c>
      <c r="R4041" s="6"/>
      <c r="S4041" s="298"/>
    </row>
    <row r="4042" spans="14:19" hidden="1" x14ac:dyDescent="0.25">
      <c r="N4042" s="17">
        <v>603.79999999996505</v>
      </c>
      <c r="O4042" s="16" t="s">
        <v>1628</v>
      </c>
      <c r="R4042" s="6"/>
      <c r="S4042" s="298"/>
    </row>
    <row r="4043" spans="14:19" hidden="1" x14ac:dyDescent="0.25">
      <c r="N4043" s="17">
        <v>603.89999999996496</v>
      </c>
      <c r="O4043" s="16" t="s">
        <v>1629</v>
      </c>
      <c r="R4043" s="6"/>
      <c r="S4043" s="298"/>
    </row>
    <row r="4044" spans="14:19" hidden="1" x14ac:dyDescent="0.25">
      <c r="N4044" s="17">
        <v>603.99999999996498</v>
      </c>
      <c r="O4044" s="16" t="s">
        <v>1597</v>
      </c>
      <c r="R4044" s="6"/>
      <c r="S4044" s="298"/>
    </row>
    <row r="4045" spans="14:19" hidden="1" x14ac:dyDescent="0.25">
      <c r="N4045" s="17">
        <v>604.09999999996501</v>
      </c>
      <c r="O4045" s="16" t="s">
        <v>1630</v>
      </c>
      <c r="R4045" s="6"/>
      <c r="S4045" s="298"/>
    </row>
    <row r="4046" spans="14:19" hidden="1" x14ac:dyDescent="0.25">
      <c r="N4046" s="17">
        <v>604.19999999996401</v>
      </c>
      <c r="O4046" s="16" t="s">
        <v>1631</v>
      </c>
      <c r="R4046" s="6"/>
      <c r="S4046" s="298"/>
    </row>
    <row r="4047" spans="14:19" hidden="1" x14ac:dyDescent="0.25">
      <c r="N4047" s="17">
        <v>604.29999999996403</v>
      </c>
      <c r="O4047" s="16" t="s">
        <v>1632</v>
      </c>
      <c r="R4047" s="6"/>
      <c r="S4047" s="298"/>
    </row>
    <row r="4048" spans="14:19" hidden="1" x14ac:dyDescent="0.25">
      <c r="N4048" s="17">
        <v>604.39999999996405</v>
      </c>
      <c r="O4048" s="16" t="s">
        <v>1633</v>
      </c>
      <c r="R4048" s="6"/>
      <c r="S4048" s="298"/>
    </row>
    <row r="4049" spans="14:19" hidden="1" x14ac:dyDescent="0.25">
      <c r="N4049" s="17">
        <v>604.49999999996396</v>
      </c>
      <c r="O4049" s="16" t="s">
        <v>1634</v>
      </c>
      <c r="R4049" s="6"/>
      <c r="S4049" s="298"/>
    </row>
    <row r="4050" spans="14:19" hidden="1" x14ac:dyDescent="0.25">
      <c r="N4050" s="17">
        <v>604.59999999996398</v>
      </c>
      <c r="O4050" s="16" t="s">
        <v>1635</v>
      </c>
      <c r="R4050" s="6"/>
      <c r="S4050" s="298"/>
    </row>
    <row r="4051" spans="14:19" hidden="1" x14ac:dyDescent="0.25">
      <c r="N4051" s="17">
        <v>604.69999999996401</v>
      </c>
      <c r="O4051" s="16" t="s">
        <v>1636</v>
      </c>
      <c r="R4051" s="6"/>
      <c r="S4051" s="298"/>
    </row>
    <row r="4052" spans="14:19" hidden="1" x14ac:dyDescent="0.25">
      <c r="N4052" s="17">
        <v>604.79999999996403</v>
      </c>
      <c r="O4052" s="16" t="s">
        <v>3812</v>
      </c>
      <c r="R4052" s="6"/>
      <c r="S4052" s="298"/>
    </row>
    <row r="4053" spans="14:19" hidden="1" x14ac:dyDescent="0.25">
      <c r="N4053" s="17">
        <v>604.89999999996405</v>
      </c>
      <c r="O4053" s="16" t="s">
        <v>3813</v>
      </c>
      <c r="R4053" s="6"/>
      <c r="S4053" s="298"/>
    </row>
    <row r="4054" spans="14:19" hidden="1" x14ac:dyDescent="0.25">
      <c r="N4054" s="17">
        <v>604.99999999996396</v>
      </c>
      <c r="O4054" s="16" t="s">
        <v>3814</v>
      </c>
      <c r="R4054" s="6"/>
      <c r="S4054" s="298"/>
    </row>
    <row r="4055" spans="14:19" hidden="1" x14ac:dyDescent="0.25">
      <c r="N4055" s="17">
        <v>605.09999999996398</v>
      </c>
      <c r="O4055" s="16" t="s">
        <v>3815</v>
      </c>
      <c r="R4055" s="6"/>
      <c r="S4055" s="298"/>
    </row>
    <row r="4056" spans="14:19" hidden="1" x14ac:dyDescent="0.25">
      <c r="N4056" s="17">
        <v>605.19999999996401</v>
      </c>
      <c r="O4056" s="16" t="s">
        <v>3816</v>
      </c>
      <c r="R4056" s="6"/>
      <c r="S4056" s="298"/>
    </row>
    <row r="4057" spans="14:19" hidden="1" x14ac:dyDescent="0.25">
      <c r="N4057" s="17">
        <v>605.29999999996403</v>
      </c>
      <c r="O4057" s="16" t="s">
        <v>3817</v>
      </c>
      <c r="R4057" s="6"/>
      <c r="S4057" s="298"/>
    </row>
    <row r="4058" spans="14:19" hidden="1" x14ac:dyDescent="0.25">
      <c r="N4058" s="17">
        <v>605.39999999996405</v>
      </c>
      <c r="O4058" s="16" t="s">
        <v>3818</v>
      </c>
      <c r="R4058" s="6"/>
      <c r="S4058" s="298"/>
    </row>
    <row r="4059" spans="14:19" hidden="1" x14ac:dyDescent="0.25">
      <c r="N4059" s="17">
        <v>605.49999999996396</v>
      </c>
      <c r="O4059" s="16" t="s">
        <v>3819</v>
      </c>
      <c r="R4059" s="6"/>
      <c r="S4059" s="298"/>
    </row>
    <row r="4060" spans="14:19" hidden="1" x14ac:dyDescent="0.25">
      <c r="N4060" s="17">
        <v>605.59999999996398</v>
      </c>
      <c r="O4060" s="16" t="s">
        <v>3820</v>
      </c>
      <c r="R4060" s="6"/>
      <c r="S4060" s="298"/>
    </row>
    <row r="4061" spans="14:19" hidden="1" x14ac:dyDescent="0.25">
      <c r="N4061" s="17">
        <v>605.69999999996401</v>
      </c>
      <c r="O4061" s="16" t="s">
        <v>3821</v>
      </c>
      <c r="R4061" s="6"/>
      <c r="S4061" s="298"/>
    </row>
    <row r="4062" spans="14:19" hidden="1" x14ac:dyDescent="0.25">
      <c r="N4062" s="17">
        <v>605.79999999996403</v>
      </c>
      <c r="O4062" s="16" t="s">
        <v>3822</v>
      </c>
      <c r="R4062" s="6"/>
      <c r="S4062" s="298"/>
    </row>
    <row r="4063" spans="14:19" hidden="1" x14ac:dyDescent="0.25">
      <c r="N4063" s="17">
        <v>605.89999999996405</v>
      </c>
      <c r="O4063" s="16" t="s">
        <v>3823</v>
      </c>
      <c r="R4063" s="6"/>
      <c r="S4063" s="298"/>
    </row>
    <row r="4064" spans="14:19" hidden="1" x14ac:dyDescent="0.25">
      <c r="N4064" s="17">
        <v>605.99999999996396</v>
      </c>
      <c r="O4064" s="16" t="s">
        <v>1599</v>
      </c>
      <c r="R4064" s="6"/>
      <c r="S4064" s="298"/>
    </row>
    <row r="4065" spans="14:19" hidden="1" x14ac:dyDescent="0.25">
      <c r="N4065" s="17">
        <v>606.09999999996398</v>
      </c>
      <c r="O4065" s="16" t="s">
        <v>3824</v>
      </c>
      <c r="R4065" s="6"/>
      <c r="S4065" s="298"/>
    </row>
    <row r="4066" spans="14:19" hidden="1" x14ac:dyDescent="0.25">
      <c r="N4066" s="17">
        <v>606.19999999996401</v>
      </c>
      <c r="O4066" s="16" t="s">
        <v>3825</v>
      </c>
      <c r="R4066" s="6"/>
      <c r="S4066" s="298"/>
    </row>
    <row r="4067" spans="14:19" hidden="1" x14ac:dyDescent="0.25">
      <c r="N4067" s="17">
        <v>606.29999999996403</v>
      </c>
      <c r="O4067" s="16" t="s">
        <v>3826</v>
      </c>
      <c r="R4067" s="6"/>
      <c r="S4067" s="298"/>
    </row>
    <row r="4068" spans="14:19" hidden="1" x14ac:dyDescent="0.25">
      <c r="N4068" s="17">
        <v>606.39999999996405</v>
      </c>
      <c r="O4068" s="16" t="s">
        <v>3827</v>
      </c>
      <c r="R4068" s="6"/>
      <c r="S4068" s="298"/>
    </row>
    <row r="4069" spans="14:19" hidden="1" x14ac:dyDescent="0.25">
      <c r="N4069" s="17">
        <v>606.49999999996396</v>
      </c>
      <c r="O4069" s="16" t="s">
        <v>3828</v>
      </c>
      <c r="R4069" s="6"/>
      <c r="S4069" s="298"/>
    </row>
    <row r="4070" spans="14:19" hidden="1" x14ac:dyDescent="0.25">
      <c r="N4070" s="17">
        <v>606.59999999996398</v>
      </c>
      <c r="O4070" s="16" t="s">
        <v>3829</v>
      </c>
      <c r="R4070" s="6"/>
      <c r="S4070" s="298"/>
    </row>
    <row r="4071" spans="14:19" hidden="1" x14ac:dyDescent="0.25">
      <c r="N4071" s="17">
        <v>606.69999999996401</v>
      </c>
      <c r="O4071" s="16" t="s">
        <v>3830</v>
      </c>
      <c r="R4071" s="6"/>
      <c r="S4071" s="298"/>
    </row>
    <row r="4072" spans="14:19" hidden="1" x14ac:dyDescent="0.25">
      <c r="N4072" s="17">
        <v>606.79999999996403</v>
      </c>
      <c r="O4072" s="16" t="s">
        <v>3831</v>
      </c>
      <c r="R4072" s="6"/>
      <c r="S4072" s="298"/>
    </row>
    <row r="4073" spans="14:19" hidden="1" x14ac:dyDescent="0.25">
      <c r="N4073" s="17">
        <v>606.89999999996405</v>
      </c>
      <c r="O4073" s="16" t="s">
        <v>3832</v>
      </c>
      <c r="R4073" s="6"/>
      <c r="S4073" s="298"/>
    </row>
    <row r="4074" spans="14:19" hidden="1" x14ac:dyDescent="0.25">
      <c r="N4074" s="17">
        <v>606.99999999996396</v>
      </c>
      <c r="O4074" s="16" t="s">
        <v>1600</v>
      </c>
      <c r="R4074" s="6"/>
      <c r="S4074" s="298"/>
    </row>
    <row r="4075" spans="14:19" hidden="1" x14ac:dyDescent="0.25">
      <c r="N4075" s="17">
        <v>607.09999999996398</v>
      </c>
      <c r="O4075" s="16" t="s">
        <v>3833</v>
      </c>
      <c r="R4075" s="6"/>
      <c r="S4075" s="298"/>
    </row>
    <row r="4076" spans="14:19" hidden="1" x14ac:dyDescent="0.25">
      <c r="N4076" s="17">
        <v>607.19999999996298</v>
      </c>
      <c r="O4076" s="16" t="s">
        <v>3834</v>
      </c>
      <c r="R4076" s="6"/>
      <c r="S4076" s="298"/>
    </row>
    <row r="4077" spans="14:19" hidden="1" x14ac:dyDescent="0.25">
      <c r="N4077" s="17">
        <v>607.29999999996301</v>
      </c>
      <c r="O4077" s="16" t="s">
        <v>3835</v>
      </c>
      <c r="R4077" s="6"/>
      <c r="S4077" s="298"/>
    </row>
    <row r="4078" spans="14:19" hidden="1" x14ac:dyDescent="0.25">
      <c r="N4078" s="17">
        <v>607.39999999996303</v>
      </c>
      <c r="O4078" s="16" t="s">
        <v>3836</v>
      </c>
      <c r="R4078" s="6"/>
      <c r="S4078" s="298"/>
    </row>
    <row r="4079" spans="14:19" hidden="1" x14ac:dyDescent="0.25">
      <c r="N4079" s="17">
        <v>607.49999999996305</v>
      </c>
      <c r="O4079" s="16" t="s">
        <v>3837</v>
      </c>
      <c r="R4079" s="6"/>
      <c r="S4079" s="298"/>
    </row>
    <row r="4080" spans="14:19" hidden="1" x14ac:dyDescent="0.25">
      <c r="N4080" s="17">
        <v>607.59999999996296</v>
      </c>
      <c r="O4080" s="16" t="s">
        <v>3838</v>
      </c>
      <c r="R4080" s="6"/>
      <c r="S4080" s="298"/>
    </row>
    <row r="4081" spans="14:19" hidden="1" x14ac:dyDescent="0.25">
      <c r="N4081" s="17">
        <v>607.69999999996298</v>
      </c>
      <c r="O4081" s="16" t="s">
        <v>3839</v>
      </c>
      <c r="R4081" s="6"/>
      <c r="S4081" s="298"/>
    </row>
    <row r="4082" spans="14:19" hidden="1" x14ac:dyDescent="0.25">
      <c r="N4082" s="17">
        <v>607.79999999996301</v>
      </c>
      <c r="O4082" s="16" t="s">
        <v>3840</v>
      </c>
      <c r="R4082" s="6"/>
      <c r="S4082" s="298"/>
    </row>
    <row r="4083" spans="14:19" hidden="1" x14ac:dyDescent="0.25">
      <c r="N4083" s="17">
        <v>607.89999999996303</v>
      </c>
      <c r="O4083" s="16" t="s">
        <v>5971</v>
      </c>
      <c r="R4083" s="6"/>
      <c r="S4083" s="298"/>
    </row>
    <row r="4084" spans="14:19" hidden="1" x14ac:dyDescent="0.25">
      <c r="N4084" s="17">
        <v>607.99999999996305</v>
      </c>
      <c r="O4084" s="16" t="s">
        <v>1601</v>
      </c>
    </row>
    <row r="4085" spans="14:19" hidden="1" x14ac:dyDescent="0.25">
      <c r="N4085" s="17">
        <v>608.09999999996296</v>
      </c>
      <c r="O4085" s="16" t="s">
        <v>3842</v>
      </c>
    </row>
    <row r="4086" spans="14:19" hidden="1" x14ac:dyDescent="0.25">
      <c r="N4086" s="17">
        <v>608.19999999996298</v>
      </c>
      <c r="O4086" s="16" t="s">
        <v>3843</v>
      </c>
    </row>
    <row r="4087" spans="14:19" hidden="1" x14ac:dyDescent="0.25">
      <c r="N4087" s="17">
        <v>608.29999999996301</v>
      </c>
      <c r="O4087" s="16" t="s">
        <v>3844</v>
      </c>
    </row>
    <row r="4088" spans="14:19" hidden="1" x14ac:dyDescent="0.25">
      <c r="N4088" s="17">
        <v>608.39999999996303</v>
      </c>
      <c r="O4088" s="16" t="s">
        <v>5965</v>
      </c>
    </row>
    <row r="4089" spans="14:19" hidden="1" x14ac:dyDescent="0.25">
      <c r="N4089" s="17">
        <v>608.49999999996305</v>
      </c>
      <c r="O4089" s="16" t="s">
        <v>5966</v>
      </c>
    </row>
    <row r="4090" spans="14:19" hidden="1" x14ac:dyDescent="0.25">
      <c r="N4090" s="17">
        <v>608.59999999996296</v>
      </c>
      <c r="O4090" s="16" t="s">
        <v>5967</v>
      </c>
    </row>
    <row r="4091" spans="14:19" hidden="1" x14ac:dyDescent="0.25">
      <c r="N4091" s="17">
        <v>608.69999999996298</v>
      </c>
      <c r="O4091" s="16" t="s">
        <v>5968</v>
      </c>
    </row>
    <row r="4092" spans="14:19" hidden="1" x14ac:dyDescent="0.25">
      <c r="N4092" s="17">
        <v>608.79999999996301</v>
      </c>
      <c r="O4092" s="16" t="s">
        <v>5969</v>
      </c>
    </row>
    <row r="4093" spans="14:19" hidden="1" x14ac:dyDescent="0.25">
      <c r="N4093" s="17">
        <v>608.89999999996303</v>
      </c>
      <c r="O4093" s="16" t="s">
        <v>5970</v>
      </c>
    </row>
    <row r="4094" spans="14:19" hidden="1" x14ac:dyDescent="0.25">
      <c r="N4094" s="17">
        <v>608.99999999996305</v>
      </c>
      <c r="O4094" s="16" t="s">
        <v>245</v>
      </c>
      <c r="R4094" s="6"/>
      <c r="S4094" s="298"/>
    </row>
    <row r="4095" spans="14:19" hidden="1" x14ac:dyDescent="0.25">
      <c r="N4095" s="17">
        <v>609.09999999996296</v>
      </c>
      <c r="O4095" s="16" t="s">
        <v>246</v>
      </c>
      <c r="R4095" s="6"/>
      <c r="S4095" s="298"/>
    </row>
    <row r="4096" spans="14:19" hidden="1" x14ac:dyDescent="0.25">
      <c r="N4096" s="17">
        <v>609.19999999996298</v>
      </c>
      <c r="O4096" s="16" t="s">
        <v>247</v>
      </c>
      <c r="R4096" s="6"/>
      <c r="S4096" s="298"/>
    </row>
    <row r="4097" spans="14:19" hidden="1" x14ac:dyDescent="0.25">
      <c r="N4097" s="17">
        <v>609.29999999996301</v>
      </c>
      <c r="O4097" s="16" t="s">
        <v>248</v>
      </c>
      <c r="R4097" s="6"/>
      <c r="S4097" s="298"/>
    </row>
    <row r="4098" spans="14:19" hidden="1" x14ac:dyDescent="0.25">
      <c r="N4098" s="17">
        <v>609.39999999996303</v>
      </c>
      <c r="O4098" s="16" t="s">
        <v>249</v>
      </c>
      <c r="R4098" s="6"/>
      <c r="S4098" s="298"/>
    </row>
    <row r="4099" spans="14:19" hidden="1" x14ac:dyDescent="0.25">
      <c r="N4099" s="17">
        <v>609.49999999996305</v>
      </c>
      <c r="O4099" s="16" t="s">
        <v>250</v>
      </c>
      <c r="R4099" s="6"/>
      <c r="S4099" s="298"/>
    </row>
    <row r="4100" spans="14:19" hidden="1" x14ac:dyDescent="0.25">
      <c r="N4100" s="17">
        <v>609.59999999996296</v>
      </c>
      <c r="O4100" s="16" t="s">
        <v>251</v>
      </c>
      <c r="R4100" s="6"/>
      <c r="S4100" s="298"/>
    </row>
    <row r="4101" spans="14:19" hidden="1" x14ac:dyDescent="0.25">
      <c r="N4101" s="17">
        <v>609.69999999996298</v>
      </c>
      <c r="O4101" s="16" t="s">
        <v>252</v>
      </c>
      <c r="R4101" s="6"/>
      <c r="S4101" s="298"/>
    </row>
    <row r="4102" spans="14:19" hidden="1" x14ac:dyDescent="0.25">
      <c r="N4102" s="17">
        <v>609.79999999996301</v>
      </c>
      <c r="O4102" s="16" t="s">
        <v>253</v>
      </c>
      <c r="R4102" s="6"/>
      <c r="S4102" s="298"/>
    </row>
    <row r="4103" spans="14:19" hidden="1" x14ac:dyDescent="0.25">
      <c r="N4103" s="17">
        <v>609.89999999996303</v>
      </c>
      <c r="O4103" s="16" t="s">
        <v>254</v>
      </c>
      <c r="R4103" s="6"/>
      <c r="S4103" s="298"/>
    </row>
    <row r="4104" spans="14:19" hidden="1" x14ac:dyDescent="0.25">
      <c r="N4104" s="17">
        <v>609.99999999996305</v>
      </c>
      <c r="O4104" s="16" t="s">
        <v>1655</v>
      </c>
      <c r="R4104" s="6"/>
      <c r="S4104" s="298"/>
    </row>
    <row r="4105" spans="14:19" hidden="1" x14ac:dyDescent="0.25">
      <c r="N4105" s="17">
        <v>610.09999999996205</v>
      </c>
      <c r="O4105" s="16" t="s">
        <v>3845</v>
      </c>
      <c r="R4105" s="6"/>
      <c r="S4105" s="298"/>
    </row>
    <row r="4106" spans="14:19" hidden="1" x14ac:dyDescent="0.25">
      <c r="N4106" s="17">
        <v>610.19999999996196</v>
      </c>
      <c r="O4106" s="16" t="s">
        <v>3846</v>
      </c>
      <c r="R4106" s="6"/>
      <c r="S4106" s="298"/>
    </row>
    <row r="4107" spans="14:19" hidden="1" x14ac:dyDescent="0.25">
      <c r="N4107" s="17">
        <v>610.29999999996198</v>
      </c>
      <c r="O4107" s="16" t="s">
        <v>3847</v>
      </c>
      <c r="R4107" s="6"/>
      <c r="S4107" s="298"/>
    </row>
    <row r="4108" spans="14:19" hidden="1" x14ac:dyDescent="0.25">
      <c r="N4108" s="17">
        <v>610.39999999996201</v>
      </c>
      <c r="O4108" s="16" t="s">
        <v>3848</v>
      </c>
      <c r="R4108" s="6"/>
      <c r="S4108" s="298"/>
    </row>
    <row r="4109" spans="14:19" hidden="1" x14ac:dyDescent="0.25">
      <c r="N4109" s="17">
        <v>610.49999999996203</v>
      </c>
      <c r="O4109" s="16" t="s">
        <v>3849</v>
      </c>
      <c r="R4109" s="6"/>
      <c r="S4109" s="298"/>
    </row>
    <row r="4110" spans="14:19" hidden="1" x14ac:dyDescent="0.25">
      <c r="N4110" s="17">
        <v>610.59999999996205</v>
      </c>
      <c r="O4110" s="16" t="s">
        <v>3850</v>
      </c>
      <c r="R4110" s="6"/>
      <c r="S4110" s="298"/>
    </row>
    <row r="4111" spans="14:19" hidden="1" x14ac:dyDescent="0.25">
      <c r="N4111" s="17">
        <v>610.69999999996196</v>
      </c>
      <c r="O4111" s="16" t="s">
        <v>3851</v>
      </c>
      <c r="R4111" s="6"/>
      <c r="S4111" s="298"/>
    </row>
    <row r="4112" spans="14:19" hidden="1" x14ac:dyDescent="0.25">
      <c r="N4112" s="17">
        <v>610.79999999996198</v>
      </c>
      <c r="O4112" s="16" t="s">
        <v>3852</v>
      </c>
      <c r="R4112" s="6"/>
      <c r="S4112" s="298"/>
    </row>
    <row r="4113" spans="14:19" hidden="1" x14ac:dyDescent="0.25">
      <c r="N4113" s="17">
        <v>610.89999999996201</v>
      </c>
      <c r="O4113" s="16" t="s">
        <v>3853</v>
      </c>
      <c r="R4113" s="6"/>
      <c r="S4113" s="298"/>
    </row>
    <row r="4114" spans="14:19" hidden="1" x14ac:dyDescent="0.25">
      <c r="N4114" s="17">
        <v>610.99999999996203</v>
      </c>
      <c r="O4114" s="16" t="s">
        <v>3854</v>
      </c>
      <c r="R4114" s="6"/>
      <c r="S4114" s="298"/>
    </row>
    <row r="4115" spans="14:19" hidden="1" x14ac:dyDescent="0.25">
      <c r="N4115" s="17">
        <v>611.09999999996205</v>
      </c>
      <c r="O4115" s="16" t="s">
        <v>3855</v>
      </c>
      <c r="R4115" s="6"/>
      <c r="S4115" s="298"/>
    </row>
    <row r="4116" spans="14:19" hidden="1" x14ac:dyDescent="0.25">
      <c r="N4116" s="17">
        <v>611.19999999996196</v>
      </c>
      <c r="O4116" s="16" t="s">
        <v>3856</v>
      </c>
      <c r="R4116" s="6"/>
      <c r="S4116" s="298"/>
    </row>
    <row r="4117" spans="14:19" hidden="1" x14ac:dyDescent="0.25">
      <c r="N4117" s="17">
        <v>611.29999999996198</v>
      </c>
      <c r="O4117" s="16" t="s">
        <v>3857</v>
      </c>
      <c r="R4117" s="6"/>
      <c r="S4117" s="298"/>
    </row>
    <row r="4118" spans="14:19" hidden="1" x14ac:dyDescent="0.25">
      <c r="N4118" s="17">
        <v>611.39999999996201</v>
      </c>
      <c r="O4118" s="16" t="s">
        <v>3858</v>
      </c>
      <c r="R4118" s="6"/>
      <c r="S4118" s="298"/>
    </row>
    <row r="4119" spans="14:19" hidden="1" x14ac:dyDescent="0.25">
      <c r="N4119" s="17">
        <v>611.49999999996203</v>
      </c>
      <c r="O4119" s="16" t="s">
        <v>3859</v>
      </c>
      <c r="R4119" s="6"/>
      <c r="S4119" s="298"/>
    </row>
    <row r="4120" spans="14:19" hidden="1" x14ac:dyDescent="0.25">
      <c r="N4120" s="17">
        <v>611.59999999996205</v>
      </c>
      <c r="O4120" s="16" t="s">
        <v>3860</v>
      </c>
      <c r="R4120" s="6"/>
      <c r="S4120" s="298"/>
    </row>
    <row r="4121" spans="14:19" hidden="1" x14ac:dyDescent="0.25">
      <c r="N4121" s="17">
        <v>611.69999999996196</v>
      </c>
      <c r="O4121" s="16" t="s">
        <v>3861</v>
      </c>
      <c r="R4121" s="6"/>
      <c r="S4121" s="298"/>
    </row>
    <row r="4122" spans="14:19" hidden="1" x14ac:dyDescent="0.25">
      <c r="N4122" s="17">
        <v>611.79999999996198</v>
      </c>
      <c r="O4122" s="16" t="s">
        <v>3862</v>
      </c>
      <c r="R4122" s="6"/>
      <c r="S4122" s="298"/>
    </row>
    <row r="4123" spans="14:19" hidden="1" x14ac:dyDescent="0.25">
      <c r="N4123" s="17">
        <v>611.89999999996201</v>
      </c>
      <c r="O4123" s="16" t="s">
        <v>3863</v>
      </c>
      <c r="R4123" s="6"/>
      <c r="S4123" s="298"/>
    </row>
    <row r="4124" spans="14:19" hidden="1" x14ac:dyDescent="0.25">
      <c r="N4124" s="17">
        <v>611.99999999996203</v>
      </c>
      <c r="O4124" s="16" t="s">
        <v>3864</v>
      </c>
      <c r="R4124" s="6"/>
      <c r="S4124" s="298"/>
    </row>
    <row r="4125" spans="14:19" hidden="1" x14ac:dyDescent="0.25">
      <c r="N4125" s="17">
        <v>612.09999999996205</v>
      </c>
      <c r="O4125" s="16" t="s">
        <v>3865</v>
      </c>
      <c r="R4125" s="6"/>
      <c r="S4125" s="298"/>
    </row>
    <row r="4126" spans="14:19" hidden="1" x14ac:dyDescent="0.25">
      <c r="N4126" s="17">
        <v>612.19999999996196</v>
      </c>
      <c r="O4126" s="16" t="s">
        <v>3866</v>
      </c>
      <c r="R4126" s="6"/>
      <c r="S4126" s="298"/>
    </row>
    <row r="4127" spans="14:19" hidden="1" x14ac:dyDescent="0.25">
      <c r="N4127" s="17">
        <v>612.29999999996198</v>
      </c>
      <c r="O4127" s="16" t="s">
        <v>3867</v>
      </c>
      <c r="R4127" s="6"/>
      <c r="S4127" s="298"/>
    </row>
    <row r="4128" spans="14:19" hidden="1" x14ac:dyDescent="0.25">
      <c r="N4128" s="17">
        <v>612.39999999996201</v>
      </c>
      <c r="O4128" s="16" t="s">
        <v>3868</v>
      </c>
      <c r="R4128" s="6"/>
      <c r="S4128" s="298"/>
    </row>
    <row r="4129" spans="14:19" hidden="1" x14ac:dyDescent="0.25">
      <c r="N4129" s="17">
        <v>612.49999999996203</v>
      </c>
      <c r="O4129" s="16" t="s">
        <v>3869</v>
      </c>
      <c r="R4129" s="6"/>
      <c r="S4129" s="298"/>
    </row>
    <row r="4130" spans="14:19" hidden="1" x14ac:dyDescent="0.25">
      <c r="N4130" s="17">
        <v>612.59999999996205</v>
      </c>
      <c r="O4130" s="16" t="s">
        <v>3870</v>
      </c>
      <c r="R4130" s="6"/>
      <c r="S4130" s="298"/>
    </row>
    <row r="4131" spans="14:19" hidden="1" x14ac:dyDescent="0.25">
      <c r="N4131" s="17">
        <v>612.69999999996196</v>
      </c>
      <c r="O4131" s="16" t="s">
        <v>3871</v>
      </c>
      <c r="R4131" s="6"/>
      <c r="S4131" s="298"/>
    </row>
    <row r="4132" spans="14:19" hidden="1" x14ac:dyDescent="0.25">
      <c r="N4132" s="17">
        <v>612.79999999996198</v>
      </c>
      <c r="O4132" s="16" t="s">
        <v>3872</v>
      </c>
      <c r="R4132" s="6"/>
      <c r="S4132" s="298"/>
    </row>
    <row r="4133" spans="14:19" hidden="1" x14ac:dyDescent="0.25">
      <c r="N4133" s="17">
        <v>612.89999999996201</v>
      </c>
      <c r="O4133" s="16" t="s">
        <v>3873</v>
      </c>
      <c r="R4133" s="6"/>
      <c r="S4133" s="298"/>
    </row>
    <row r="4134" spans="14:19" hidden="1" x14ac:dyDescent="0.25">
      <c r="N4134" s="17">
        <v>612.99999999996101</v>
      </c>
      <c r="O4134" s="16" t="s">
        <v>3874</v>
      </c>
      <c r="R4134" s="6"/>
      <c r="S4134" s="298"/>
    </row>
    <row r="4135" spans="14:19" hidden="1" x14ac:dyDescent="0.25">
      <c r="N4135" s="17">
        <v>613.09999999996103</v>
      </c>
      <c r="O4135" s="16" t="s">
        <v>3875</v>
      </c>
      <c r="R4135" s="6"/>
      <c r="S4135" s="298"/>
    </row>
    <row r="4136" spans="14:19" hidden="1" x14ac:dyDescent="0.25">
      <c r="N4136" s="17">
        <v>613.19999999996105</v>
      </c>
      <c r="O4136" s="16" t="s">
        <v>3876</v>
      </c>
      <c r="R4136" s="6"/>
      <c r="S4136" s="298"/>
    </row>
    <row r="4137" spans="14:19" hidden="1" x14ac:dyDescent="0.25">
      <c r="N4137" s="17">
        <v>613.29999999996096</v>
      </c>
      <c r="O4137" s="16" t="s">
        <v>3914</v>
      </c>
      <c r="R4137" s="6"/>
      <c r="S4137" s="298"/>
    </row>
    <row r="4138" spans="14:19" hidden="1" x14ac:dyDescent="0.25">
      <c r="N4138" s="17">
        <v>613.39999999996098</v>
      </c>
      <c r="O4138" s="16" t="s">
        <v>3915</v>
      </c>
      <c r="R4138" s="6"/>
      <c r="S4138" s="298"/>
    </row>
    <row r="4139" spans="14:19" hidden="1" x14ac:dyDescent="0.25">
      <c r="N4139" s="17">
        <v>613.49999999996101</v>
      </c>
      <c r="O4139" s="16" t="s">
        <v>3916</v>
      </c>
      <c r="R4139" s="6"/>
      <c r="S4139" s="298"/>
    </row>
    <row r="4140" spans="14:19" hidden="1" x14ac:dyDescent="0.25">
      <c r="N4140" s="17">
        <v>613.59999999996103</v>
      </c>
      <c r="O4140" s="16" t="s">
        <v>3917</v>
      </c>
      <c r="R4140" s="6"/>
      <c r="S4140" s="298"/>
    </row>
    <row r="4141" spans="14:19" hidden="1" x14ac:dyDescent="0.25">
      <c r="N4141" s="17">
        <v>613.69999999996105</v>
      </c>
      <c r="O4141" s="16" t="s">
        <v>3918</v>
      </c>
      <c r="R4141" s="6"/>
      <c r="S4141" s="298"/>
    </row>
    <row r="4142" spans="14:19" hidden="1" x14ac:dyDescent="0.25">
      <c r="N4142" s="17">
        <v>613.79999999996096</v>
      </c>
      <c r="O4142" s="16" t="s">
        <v>3919</v>
      </c>
      <c r="R4142" s="6"/>
      <c r="S4142" s="298"/>
    </row>
    <row r="4143" spans="14:19" hidden="1" x14ac:dyDescent="0.25">
      <c r="N4143" s="17">
        <v>613.89999999996098</v>
      </c>
      <c r="O4143" s="16" t="s">
        <v>3920</v>
      </c>
      <c r="R4143" s="6"/>
      <c r="S4143" s="298"/>
    </row>
    <row r="4144" spans="14:19" hidden="1" x14ac:dyDescent="0.25">
      <c r="N4144" s="17">
        <v>613.99999999996101</v>
      </c>
      <c r="O4144" s="16" t="s">
        <v>3921</v>
      </c>
      <c r="R4144" s="6"/>
      <c r="S4144" s="298"/>
    </row>
    <row r="4145" spans="14:19" hidden="1" x14ac:dyDescent="0.25">
      <c r="N4145" s="17">
        <v>614.09999999996103</v>
      </c>
      <c r="O4145" s="16" t="s">
        <v>3922</v>
      </c>
      <c r="R4145" s="6"/>
      <c r="S4145" s="298"/>
    </row>
    <row r="4146" spans="14:19" hidden="1" x14ac:dyDescent="0.25">
      <c r="N4146" s="17">
        <v>614.19999999996105</v>
      </c>
      <c r="O4146" s="16" t="s">
        <v>3923</v>
      </c>
      <c r="R4146" s="6"/>
      <c r="S4146" s="298"/>
    </row>
    <row r="4147" spans="14:19" hidden="1" x14ac:dyDescent="0.25">
      <c r="N4147" s="17">
        <v>614.29999999996096</v>
      </c>
      <c r="O4147" s="16" t="s">
        <v>3924</v>
      </c>
      <c r="R4147" s="6"/>
      <c r="S4147" s="298"/>
    </row>
    <row r="4148" spans="14:19" hidden="1" x14ac:dyDescent="0.25">
      <c r="N4148" s="17">
        <v>614.39999999996098</v>
      </c>
      <c r="O4148" s="16" t="s">
        <v>3925</v>
      </c>
      <c r="R4148" s="6"/>
      <c r="S4148" s="298"/>
    </row>
    <row r="4149" spans="14:19" hidden="1" x14ac:dyDescent="0.25">
      <c r="N4149" s="17">
        <v>614.49999999996101</v>
      </c>
      <c r="O4149" s="16" t="s">
        <v>3926</v>
      </c>
      <c r="R4149" s="6"/>
      <c r="S4149" s="298"/>
    </row>
    <row r="4150" spans="14:19" hidden="1" x14ac:dyDescent="0.25">
      <c r="N4150" s="17">
        <v>614.59999999996103</v>
      </c>
      <c r="O4150" s="16" t="s">
        <v>3927</v>
      </c>
      <c r="R4150" s="6"/>
      <c r="S4150" s="298"/>
    </row>
    <row r="4151" spans="14:19" hidden="1" x14ac:dyDescent="0.25">
      <c r="N4151" s="17">
        <v>614.69999999996105</v>
      </c>
      <c r="O4151" s="16" t="s">
        <v>3928</v>
      </c>
      <c r="R4151" s="6"/>
      <c r="S4151" s="298"/>
    </row>
    <row r="4152" spans="14:19" hidden="1" x14ac:dyDescent="0.25">
      <c r="N4152" s="17">
        <v>614.79999999996096</v>
      </c>
      <c r="O4152" s="16" t="s">
        <v>3929</v>
      </c>
      <c r="R4152" s="6"/>
      <c r="S4152" s="298"/>
    </row>
    <row r="4153" spans="14:19" hidden="1" x14ac:dyDescent="0.25">
      <c r="N4153" s="17">
        <v>614.89999999996098</v>
      </c>
      <c r="O4153" s="16" t="s">
        <v>3930</v>
      </c>
      <c r="R4153" s="6"/>
      <c r="S4153" s="298"/>
    </row>
    <row r="4154" spans="14:19" hidden="1" x14ac:dyDescent="0.25">
      <c r="N4154" s="17">
        <v>614.99999999996101</v>
      </c>
      <c r="O4154" s="16" t="s">
        <v>3931</v>
      </c>
      <c r="R4154" s="6"/>
      <c r="S4154" s="298"/>
    </row>
    <row r="4155" spans="14:19" hidden="1" x14ac:dyDescent="0.25">
      <c r="N4155" s="17">
        <v>615.09999999996103</v>
      </c>
      <c r="O4155" s="16" t="s">
        <v>3932</v>
      </c>
      <c r="R4155" s="6"/>
      <c r="S4155" s="298"/>
    </row>
    <row r="4156" spans="14:19" hidden="1" x14ac:dyDescent="0.25">
      <c r="N4156" s="17">
        <v>615.19999999996105</v>
      </c>
      <c r="O4156" s="16" t="s">
        <v>3933</v>
      </c>
      <c r="R4156" s="6"/>
      <c r="S4156" s="298"/>
    </row>
    <row r="4157" spans="14:19" hidden="1" x14ac:dyDescent="0.25">
      <c r="N4157" s="17">
        <v>615.29999999996096</v>
      </c>
      <c r="O4157" s="16" t="s">
        <v>3934</v>
      </c>
      <c r="R4157" s="6"/>
      <c r="S4157" s="298"/>
    </row>
    <row r="4158" spans="14:19" hidden="1" x14ac:dyDescent="0.25">
      <c r="N4158" s="17">
        <v>615.39999999996098</v>
      </c>
      <c r="O4158" s="16" t="s">
        <v>3935</v>
      </c>
      <c r="R4158" s="6"/>
      <c r="S4158" s="298"/>
    </row>
    <row r="4159" spans="14:19" hidden="1" x14ac:dyDescent="0.25">
      <c r="N4159" s="17">
        <v>615.49999999996101</v>
      </c>
      <c r="O4159" s="16" t="s">
        <v>3936</v>
      </c>
      <c r="R4159" s="6"/>
      <c r="S4159" s="298"/>
    </row>
    <row r="4160" spans="14:19" hidden="1" x14ac:dyDescent="0.25">
      <c r="N4160" s="17">
        <v>615.59999999996103</v>
      </c>
      <c r="O4160" s="16" t="s">
        <v>3937</v>
      </c>
      <c r="R4160" s="6"/>
      <c r="S4160" s="298"/>
    </row>
    <row r="4161" spans="14:19" hidden="1" x14ac:dyDescent="0.25">
      <c r="N4161" s="17">
        <v>615.69999999996105</v>
      </c>
      <c r="O4161" s="16" t="s">
        <v>3938</v>
      </c>
      <c r="R4161" s="6"/>
      <c r="S4161" s="298"/>
    </row>
    <row r="4162" spans="14:19" hidden="1" x14ac:dyDescent="0.25">
      <c r="N4162" s="17">
        <v>615.79999999996096</v>
      </c>
      <c r="O4162" s="16" t="s">
        <v>3939</v>
      </c>
      <c r="R4162" s="6"/>
      <c r="S4162" s="298"/>
    </row>
    <row r="4163" spans="14:19" hidden="1" x14ac:dyDescent="0.25">
      <c r="N4163" s="17">
        <v>615.89999999996098</v>
      </c>
      <c r="O4163" s="16" t="s">
        <v>3940</v>
      </c>
      <c r="R4163" s="6"/>
      <c r="S4163" s="298"/>
    </row>
    <row r="4164" spans="14:19" hidden="1" x14ac:dyDescent="0.25">
      <c r="N4164" s="17">
        <v>615.99999999995998</v>
      </c>
      <c r="O4164" s="16" t="s">
        <v>3941</v>
      </c>
      <c r="R4164" s="6"/>
      <c r="S4164" s="298"/>
    </row>
    <row r="4165" spans="14:19" hidden="1" x14ac:dyDescent="0.25">
      <c r="N4165" s="17">
        <v>616.09999999996</v>
      </c>
      <c r="O4165" s="16" t="s">
        <v>3942</v>
      </c>
      <c r="R4165" s="6"/>
      <c r="S4165" s="298"/>
    </row>
    <row r="4166" spans="14:19" hidden="1" x14ac:dyDescent="0.25">
      <c r="N4166" s="17">
        <v>616.19999999996003</v>
      </c>
      <c r="O4166" s="16" t="s">
        <v>3943</v>
      </c>
      <c r="R4166" s="6"/>
      <c r="S4166" s="298"/>
    </row>
    <row r="4167" spans="14:19" hidden="1" x14ac:dyDescent="0.25">
      <c r="N4167" s="17">
        <v>616.29999999996005</v>
      </c>
      <c r="O4167" s="16" t="s">
        <v>3944</v>
      </c>
      <c r="R4167" s="6"/>
      <c r="S4167" s="298"/>
    </row>
    <row r="4168" spans="14:19" hidden="1" x14ac:dyDescent="0.25">
      <c r="N4168" s="17">
        <v>616.39999999995996</v>
      </c>
      <c r="O4168" s="16" t="s">
        <v>3945</v>
      </c>
      <c r="R4168" s="6"/>
      <c r="S4168" s="298"/>
    </row>
    <row r="4169" spans="14:19" hidden="1" x14ac:dyDescent="0.25">
      <c r="N4169" s="17">
        <v>616.49999999995998</v>
      </c>
      <c r="O4169" s="16" t="s">
        <v>3946</v>
      </c>
      <c r="R4169" s="6"/>
      <c r="S4169" s="298"/>
    </row>
    <row r="4170" spans="14:19" hidden="1" x14ac:dyDescent="0.25">
      <c r="N4170" s="17">
        <v>616.59999999996</v>
      </c>
      <c r="O4170" s="16" t="s">
        <v>3947</v>
      </c>
      <c r="R4170" s="6"/>
      <c r="S4170" s="298"/>
    </row>
    <row r="4171" spans="14:19" hidden="1" x14ac:dyDescent="0.25">
      <c r="N4171" s="17">
        <v>616.69999999996003</v>
      </c>
      <c r="O4171" s="16" t="s">
        <v>3948</v>
      </c>
      <c r="R4171" s="6"/>
      <c r="S4171" s="298"/>
    </row>
    <row r="4172" spans="14:19" hidden="1" x14ac:dyDescent="0.25">
      <c r="N4172" s="17">
        <v>616.79999999996005</v>
      </c>
      <c r="O4172" s="16" t="s">
        <v>3949</v>
      </c>
      <c r="R4172" s="6"/>
      <c r="S4172" s="298"/>
    </row>
    <row r="4173" spans="14:19" hidden="1" x14ac:dyDescent="0.25">
      <c r="N4173" s="17">
        <v>616.89999999995996</v>
      </c>
      <c r="O4173" s="16" t="s">
        <v>3950</v>
      </c>
      <c r="R4173" s="6"/>
      <c r="S4173" s="298"/>
    </row>
    <row r="4174" spans="14:19" hidden="1" x14ac:dyDescent="0.25">
      <c r="N4174" s="17">
        <v>616.99999999995998</v>
      </c>
      <c r="O4174" s="16" t="s">
        <v>3951</v>
      </c>
      <c r="R4174" s="6"/>
      <c r="S4174" s="298"/>
    </row>
    <row r="4175" spans="14:19" hidden="1" x14ac:dyDescent="0.25">
      <c r="N4175" s="17">
        <v>617.09999999996</v>
      </c>
      <c r="O4175" s="16" t="s">
        <v>3952</v>
      </c>
      <c r="R4175" s="6"/>
      <c r="S4175" s="298"/>
    </row>
    <row r="4176" spans="14:19" hidden="1" x14ac:dyDescent="0.25">
      <c r="N4176" s="17">
        <v>617.19999999996003</v>
      </c>
      <c r="O4176" s="16" t="s">
        <v>3953</v>
      </c>
      <c r="R4176" s="6"/>
      <c r="S4176" s="298"/>
    </row>
    <row r="4177" spans="14:19" hidden="1" x14ac:dyDescent="0.25">
      <c r="N4177" s="17">
        <v>617.29999999996005</v>
      </c>
      <c r="O4177" s="16" t="s">
        <v>6060</v>
      </c>
      <c r="R4177" s="6"/>
      <c r="S4177" s="298"/>
    </row>
    <row r="4178" spans="14:19" hidden="1" x14ac:dyDescent="0.25">
      <c r="N4178" s="17">
        <v>617.39999999995996</v>
      </c>
      <c r="O4178" s="16" t="s">
        <v>6061</v>
      </c>
      <c r="R4178" s="6"/>
      <c r="S4178" s="298"/>
    </row>
    <row r="4179" spans="14:19" hidden="1" x14ac:dyDescent="0.25">
      <c r="N4179" s="17">
        <v>617.49999999995998</v>
      </c>
      <c r="O4179" s="16" t="s">
        <v>6062</v>
      </c>
      <c r="R4179" s="6"/>
      <c r="S4179" s="298"/>
    </row>
    <row r="4180" spans="14:19" hidden="1" x14ac:dyDescent="0.25">
      <c r="N4180" s="17">
        <v>617.59999999996</v>
      </c>
      <c r="O4180" s="16" t="s">
        <v>6063</v>
      </c>
      <c r="R4180" s="6"/>
      <c r="S4180" s="298"/>
    </row>
    <row r="4181" spans="14:19" hidden="1" x14ac:dyDescent="0.25">
      <c r="N4181" s="17">
        <v>617.69999999996003</v>
      </c>
      <c r="O4181" s="16" t="s">
        <v>6064</v>
      </c>
      <c r="R4181" s="6"/>
      <c r="S4181" s="298"/>
    </row>
    <row r="4182" spans="14:19" hidden="1" x14ac:dyDescent="0.25">
      <c r="N4182" s="17">
        <v>617.79999999996005</v>
      </c>
      <c r="O4182" s="16" t="s">
        <v>3955</v>
      </c>
      <c r="R4182" s="6"/>
      <c r="S4182" s="298"/>
    </row>
    <row r="4183" spans="14:19" hidden="1" x14ac:dyDescent="0.25">
      <c r="N4183" s="17">
        <v>617.89999999995996</v>
      </c>
      <c r="O4183" s="16" t="s">
        <v>3956</v>
      </c>
      <c r="R4183" s="6"/>
      <c r="S4183" s="298"/>
    </row>
    <row r="4184" spans="14:19" hidden="1" x14ac:dyDescent="0.25">
      <c r="N4184" s="17">
        <v>617.99999999995998</v>
      </c>
      <c r="O4184" s="16" t="s">
        <v>3957</v>
      </c>
      <c r="R4184" s="6"/>
      <c r="S4184" s="298"/>
    </row>
    <row r="4185" spans="14:19" hidden="1" x14ac:dyDescent="0.25">
      <c r="N4185" s="17">
        <v>618.09999999996</v>
      </c>
      <c r="O4185" s="16" t="s">
        <v>3958</v>
      </c>
      <c r="R4185" s="6"/>
      <c r="S4185" s="298"/>
    </row>
    <row r="4186" spans="14:19" hidden="1" x14ac:dyDescent="0.25">
      <c r="N4186" s="17">
        <v>618.19999999996003</v>
      </c>
      <c r="O4186" s="16" t="s">
        <v>3959</v>
      </c>
      <c r="R4186" s="6"/>
      <c r="S4186" s="298"/>
    </row>
    <row r="4187" spans="14:19" hidden="1" x14ac:dyDescent="0.25">
      <c r="N4187" s="17">
        <v>618.29999999996005</v>
      </c>
      <c r="O4187" s="16" t="s">
        <v>3960</v>
      </c>
      <c r="R4187" s="6"/>
      <c r="S4187" s="298"/>
    </row>
    <row r="4188" spans="14:19" hidden="1" x14ac:dyDescent="0.25">
      <c r="N4188" s="17">
        <v>618.39999999995996</v>
      </c>
      <c r="O4188" s="16" t="s">
        <v>3961</v>
      </c>
      <c r="R4188" s="6"/>
      <c r="S4188" s="298"/>
    </row>
    <row r="4189" spans="14:19" hidden="1" x14ac:dyDescent="0.25">
      <c r="N4189" s="17">
        <v>618.49999999995998</v>
      </c>
      <c r="O4189" s="16" t="s">
        <v>3962</v>
      </c>
      <c r="R4189" s="6"/>
      <c r="S4189" s="298"/>
    </row>
    <row r="4190" spans="14:19" hidden="1" x14ac:dyDescent="0.25">
      <c r="N4190" s="17">
        <v>618.59999999996</v>
      </c>
      <c r="O4190" s="16" t="s">
        <v>3963</v>
      </c>
      <c r="R4190" s="6"/>
      <c r="S4190" s="298"/>
    </row>
    <row r="4191" spans="14:19" hidden="1" x14ac:dyDescent="0.25">
      <c r="N4191" s="17">
        <v>618.69999999996003</v>
      </c>
      <c r="O4191" s="16" t="s">
        <v>3964</v>
      </c>
      <c r="R4191" s="6"/>
      <c r="S4191" s="298"/>
    </row>
    <row r="4192" spans="14:19" hidden="1" x14ac:dyDescent="0.25">
      <c r="N4192" s="17">
        <v>618.79999999996005</v>
      </c>
      <c r="O4192" s="16" t="s">
        <v>3965</v>
      </c>
      <c r="R4192" s="6"/>
      <c r="S4192" s="298"/>
    </row>
    <row r="4193" spans="14:19" hidden="1" x14ac:dyDescent="0.25">
      <c r="N4193" s="17">
        <v>618.89999999995905</v>
      </c>
      <c r="O4193" s="16" t="s">
        <v>1785</v>
      </c>
      <c r="R4193" s="6"/>
      <c r="S4193" s="298"/>
    </row>
    <row r="4194" spans="14:19" hidden="1" x14ac:dyDescent="0.25">
      <c r="N4194" s="17">
        <v>618.99999999995896</v>
      </c>
      <c r="O4194" s="16" t="s">
        <v>1786</v>
      </c>
      <c r="R4194" s="6"/>
      <c r="S4194" s="298"/>
    </row>
    <row r="4195" spans="14:19" hidden="1" x14ac:dyDescent="0.25">
      <c r="N4195" s="17">
        <v>619.09999999995898</v>
      </c>
      <c r="O4195" s="16" t="s">
        <v>1787</v>
      </c>
      <c r="R4195" s="6"/>
      <c r="S4195" s="298"/>
    </row>
    <row r="4196" spans="14:19" hidden="1" x14ac:dyDescent="0.25">
      <c r="N4196" s="17">
        <v>619.199999999959</v>
      </c>
      <c r="O4196" s="16" t="s">
        <v>1788</v>
      </c>
      <c r="R4196" s="6"/>
      <c r="S4196" s="298"/>
    </row>
    <row r="4197" spans="14:19" hidden="1" x14ac:dyDescent="0.25">
      <c r="N4197" s="17">
        <v>619.29999999995903</v>
      </c>
      <c r="O4197" s="16" t="s">
        <v>1789</v>
      </c>
      <c r="R4197" s="6"/>
      <c r="S4197" s="298"/>
    </row>
    <row r="4198" spans="14:19" hidden="1" x14ac:dyDescent="0.25">
      <c r="N4198" s="17">
        <v>619.39999999995905</v>
      </c>
      <c r="O4198" s="16" t="s">
        <v>1790</v>
      </c>
      <c r="R4198" s="6"/>
      <c r="S4198" s="298"/>
    </row>
    <row r="4199" spans="14:19" hidden="1" x14ac:dyDescent="0.25">
      <c r="N4199" s="17">
        <v>619.49999999995896</v>
      </c>
      <c r="O4199" s="16" t="s">
        <v>1791</v>
      </c>
      <c r="R4199" s="6"/>
      <c r="S4199" s="298"/>
    </row>
    <row r="4200" spans="14:19" hidden="1" x14ac:dyDescent="0.25">
      <c r="N4200" s="17">
        <v>619.59999999995898</v>
      </c>
      <c r="O4200" s="16" t="s">
        <v>1792</v>
      </c>
      <c r="R4200" s="6"/>
      <c r="S4200" s="298"/>
    </row>
    <row r="4201" spans="14:19" hidden="1" x14ac:dyDescent="0.25">
      <c r="N4201" s="17">
        <v>619.699999999959</v>
      </c>
      <c r="O4201" s="16" t="s">
        <v>1793</v>
      </c>
      <c r="R4201" s="6"/>
      <c r="S4201" s="298"/>
    </row>
    <row r="4202" spans="14:19" hidden="1" x14ac:dyDescent="0.25">
      <c r="N4202" s="17">
        <v>619.79999999995903</v>
      </c>
      <c r="O4202" s="16" t="s">
        <v>1794</v>
      </c>
      <c r="R4202" s="6"/>
      <c r="S4202" s="298"/>
    </row>
    <row r="4203" spans="14:19" hidden="1" x14ac:dyDescent="0.25">
      <c r="N4203" s="17">
        <v>619.89999999995905</v>
      </c>
      <c r="O4203" s="16" t="s">
        <v>1795</v>
      </c>
      <c r="R4203" s="6"/>
      <c r="S4203" s="298"/>
    </row>
    <row r="4204" spans="14:19" hidden="1" x14ac:dyDescent="0.25">
      <c r="N4204" s="17">
        <v>619.99999999995896</v>
      </c>
      <c r="O4204" s="16" t="s">
        <v>1796</v>
      </c>
      <c r="R4204" s="6"/>
      <c r="S4204" s="298"/>
    </row>
    <row r="4205" spans="14:19" hidden="1" x14ac:dyDescent="0.25">
      <c r="N4205" s="17">
        <v>620.09999999995898</v>
      </c>
      <c r="O4205" s="16" t="s">
        <v>1797</v>
      </c>
      <c r="R4205" s="6"/>
      <c r="S4205" s="298"/>
    </row>
    <row r="4206" spans="14:19" hidden="1" x14ac:dyDescent="0.25">
      <c r="N4206" s="17">
        <v>620.199999999959</v>
      </c>
      <c r="O4206" s="16" t="s">
        <v>1798</v>
      </c>
      <c r="R4206" s="6"/>
      <c r="S4206" s="298"/>
    </row>
    <row r="4207" spans="14:19" hidden="1" x14ac:dyDescent="0.25">
      <c r="N4207" s="17">
        <v>620.29999999995903</v>
      </c>
      <c r="O4207" s="16" t="s">
        <v>1799</v>
      </c>
      <c r="R4207" s="6"/>
      <c r="S4207" s="298"/>
    </row>
    <row r="4208" spans="14:19" hidden="1" x14ac:dyDescent="0.25">
      <c r="N4208" s="17">
        <v>620.39999999995905</v>
      </c>
      <c r="O4208" s="16" t="s">
        <v>1800</v>
      </c>
      <c r="R4208" s="6"/>
      <c r="S4208" s="298"/>
    </row>
    <row r="4209" spans="14:19" hidden="1" x14ac:dyDescent="0.25">
      <c r="N4209" s="17">
        <v>620.49999999995896</v>
      </c>
      <c r="O4209" s="16" t="s">
        <v>1801</v>
      </c>
      <c r="R4209" s="6"/>
      <c r="S4209" s="298"/>
    </row>
    <row r="4210" spans="14:19" hidden="1" x14ac:dyDescent="0.25">
      <c r="N4210" s="17">
        <v>620.59999999995898</v>
      </c>
      <c r="O4210" s="16" t="s">
        <v>1802</v>
      </c>
      <c r="R4210" s="6"/>
      <c r="S4210" s="298"/>
    </row>
    <row r="4211" spans="14:19" hidden="1" x14ac:dyDescent="0.25">
      <c r="N4211" s="17">
        <v>620.699999999959</v>
      </c>
      <c r="O4211" s="16" t="s">
        <v>1803</v>
      </c>
      <c r="R4211" s="6"/>
      <c r="S4211" s="298"/>
    </row>
    <row r="4212" spans="14:19" hidden="1" x14ac:dyDescent="0.25">
      <c r="N4212" s="17">
        <v>620.79999999995903</v>
      </c>
      <c r="O4212" s="16" t="s">
        <v>1804</v>
      </c>
      <c r="R4212" s="6"/>
      <c r="S4212" s="298"/>
    </row>
    <row r="4213" spans="14:19" hidden="1" x14ac:dyDescent="0.25">
      <c r="N4213" s="17">
        <v>620.89999999995905</v>
      </c>
      <c r="O4213" s="16" t="s">
        <v>1805</v>
      </c>
      <c r="R4213" s="6"/>
      <c r="S4213" s="298"/>
    </row>
    <row r="4214" spans="14:19" hidden="1" x14ac:dyDescent="0.25">
      <c r="N4214" s="17">
        <v>620.99999999995896</v>
      </c>
      <c r="O4214" s="16" t="s">
        <v>6078</v>
      </c>
      <c r="R4214" s="6"/>
      <c r="S4214" s="298"/>
    </row>
    <row r="4215" spans="14:19" hidden="1" x14ac:dyDescent="0.25">
      <c r="N4215" s="17">
        <v>621.09999999995898</v>
      </c>
      <c r="O4215" s="16" t="s">
        <v>6079</v>
      </c>
      <c r="R4215" s="6"/>
      <c r="S4215" s="298"/>
    </row>
    <row r="4216" spans="14:19" hidden="1" x14ac:dyDescent="0.25">
      <c r="N4216" s="17">
        <v>621.199999999959</v>
      </c>
      <c r="O4216" s="16" t="s">
        <v>6080</v>
      </c>
      <c r="R4216" s="6"/>
      <c r="S4216" s="298"/>
    </row>
    <row r="4217" spans="14:19" hidden="1" x14ac:dyDescent="0.25">
      <c r="N4217" s="17">
        <v>621.29999999995903</v>
      </c>
      <c r="O4217" s="16" t="s">
        <v>6081</v>
      </c>
      <c r="R4217" s="6"/>
      <c r="S4217" s="298"/>
    </row>
    <row r="4218" spans="14:19" hidden="1" x14ac:dyDescent="0.25">
      <c r="N4218" s="17">
        <v>621.39999999995905</v>
      </c>
      <c r="O4218" s="16" t="s">
        <v>6082</v>
      </c>
      <c r="R4218" s="6"/>
      <c r="S4218" s="298"/>
    </row>
    <row r="4219" spans="14:19" hidden="1" x14ac:dyDescent="0.25">
      <c r="N4219" s="17">
        <v>621.49999999995896</v>
      </c>
      <c r="O4219" s="16" t="s">
        <v>6083</v>
      </c>
      <c r="R4219" s="6"/>
      <c r="S4219" s="298"/>
    </row>
    <row r="4220" spans="14:19" hidden="1" x14ac:dyDescent="0.25">
      <c r="N4220" s="17">
        <v>621.59999999995898</v>
      </c>
      <c r="O4220" s="16" t="s">
        <v>6084</v>
      </c>
      <c r="R4220" s="6"/>
      <c r="S4220" s="298"/>
    </row>
    <row r="4221" spans="14:19" hidden="1" x14ac:dyDescent="0.25">
      <c r="N4221" s="17">
        <v>621.699999999959</v>
      </c>
      <c r="O4221" s="16" t="s">
        <v>6085</v>
      </c>
      <c r="R4221" s="6"/>
      <c r="S4221" s="298"/>
    </row>
    <row r="4222" spans="14:19" hidden="1" x14ac:dyDescent="0.25">
      <c r="N4222" s="17">
        <v>621.799999999958</v>
      </c>
      <c r="O4222" s="16" t="s">
        <v>6086</v>
      </c>
      <c r="R4222" s="6"/>
      <c r="S4222" s="298"/>
    </row>
    <row r="4223" spans="14:19" hidden="1" x14ac:dyDescent="0.25">
      <c r="N4223" s="17">
        <v>621.89999999995803</v>
      </c>
      <c r="O4223" s="16" t="s">
        <v>6087</v>
      </c>
      <c r="R4223" s="6"/>
      <c r="S4223" s="298"/>
    </row>
    <row r="4224" spans="14:19" hidden="1" x14ac:dyDescent="0.25">
      <c r="N4224" s="17">
        <v>621.99999999995805</v>
      </c>
      <c r="O4224" s="16" t="s">
        <v>6088</v>
      </c>
      <c r="R4224" s="6"/>
      <c r="S4224" s="298"/>
    </row>
    <row r="4225" spans="14:19" hidden="1" x14ac:dyDescent="0.25">
      <c r="N4225" s="17">
        <v>622.09999999995796</v>
      </c>
      <c r="O4225" s="16" t="s">
        <v>6089</v>
      </c>
      <c r="R4225" s="6"/>
      <c r="S4225" s="298"/>
    </row>
    <row r="4226" spans="14:19" hidden="1" x14ac:dyDescent="0.25">
      <c r="N4226" s="17">
        <v>622.19999999995798</v>
      </c>
      <c r="O4226" s="16" t="s">
        <v>6090</v>
      </c>
      <c r="R4226" s="6"/>
      <c r="S4226" s="298"/>
    </row>
    <row r="4227" spans="14:19" hidden="1" x14ac:dyDescent="0.25">
      <c r="N4227" s="17">
        <v>622.299999999958</v>
      </c>
      <c r="O4227" s="16" t="s">
        <v>6091</v>
      </c>
      <c r="R4227" s="6"/>
      <c r="S4227" s="298"/>
    </row>
    <row r="4228" spans="14:19" hidden="1" x14ac:dyDescent="0.25">
      <c r="N4228" s="17">
        <v>622.39999999995803</v>
      </c>
      <c r="O4228" s="16" t="s">
        <v>6092</v>
      </c>
      <c r="R4228" s="6"/>
      <c r="S4228" s="298"/>
    </row>
    <row r="4229" spans="14:19" hidden="1" x14ac:dyDescent="0.25">
      <c r="N4229" s="17">
        <v>622.49999999995805</v>
      </c>
      <c r="O4229" s="16" t="s">
        <v>6093</v>
      </c>
      <c r="R4229" s="6"/>
      <c r="S4229" s="298"/>
    </row>
    <row r="4230" spans="14:19" hidden="1" x14ac:dyDescent="0.25">
      <c r="N4230" s="17">
        <v>622.59999999995796</v>
      </c>
      <c r="O4230" s="16" t="s">
        <v>6094</v>
      </c>
      <c r="R4230" s="6"/>
      <c r="S4230" s="298"/>
    </row>
    <row r="4231" spans="14:19" hidden="1" x14ac:dyDescent="0.25">
      <c r="N4231" s="17">
        <v>622.69999999995798</v>
      </c>
      <c r="O4231" s="16" t="s">
        <v>6095</v>
      </c>
      <c r="R4231" s="6"/>
      <c r="S4231" s="298"/>
    </row>
    <row r="4232" spans="14:19" hidden="1" x14ac:dyDescent="0.25">
      <c r="N4232" s="17">
        <v>622.799999999958</v>
      </c>
      <c r="O4232" s="16" t="s">
        <v>6096</v>
      </c>
      <c r="R4232" s="6"/>
      <c r="S4232" s="298"/>
    </row>
    <row r="4233" spans="14:19" hidden="1" x14ac:dyDescent="0.25">
      <c r="N4233" s="17">
        <v>622.89999999995803</v>
      </c>
      <c r="O4233" s="16" t="s">
        <v>6097</v>
      </c>
      <c r="R4233" s="6"/>
      <c r="S4233" s="298"/>
    </row>
    <row r="4234" spans="14:19" hidden="1" x14ac:dyDescent="0.25">
      <c r="N4234" s="17">
        <v>622.99999999995805</v>
      </c>
      <c r="O4234" s="16" t="s">
        <v>6098</v>
      </c>
      <c r="R4234" s="6"/>
      <c r="S4234" s="298"/>
    </row>
    <row r="4235" spans="14:19" hidden="1" x14ac:dyDescent="0.25">
      <c r="N4235" s="17">
        <v>623.09999999995796</v>
      </c>
      <c r="O4235" s="16" t="s">
        <v>6099</v>
      </c>
      <c r="R4235" s="6"/>
      <c r="S4235" s="298"/>
    </row>
    <row r="4236" spans="14:19" hidden="1" x14ac:dyDescent="0.25">
      <c r="N4236" s="17">
        <v>623.19999999995798</v>
      </c>
      <c r="O4236" s="16" t="s">
        <v>6100</v>
      </c>
      <c r="R4236" s="6"/>
      <c r="S4236" s="298"/>
    </row>
    <row r="4237" spans="14:19" hidden="1" x14ac:dyDescent="0.25">
      <c r="N4237" s="17">
        <v>623.299999999958</v>
      </c>
      <c r="O4237" s="16" t="s">
        <v>6101</v>
      </c>
      <c r="R4237" s="6"/>
      <c r="S4237" s="298"/>
    </row>
    <row r="4238" spans="14:19" hidden="1" x14ac:dyDescent="0.25">
      <c r="N4238" s="17">
        <v>623.39999999995803</v>
      </c>
      <c r="O4238" s="16" t="s">
        <v>6102</v>
      </c>
      <c r="R4238" s="6"/>
      <c r="S4238" s="298"/>
    </row>
    <row r="4239" spans="14:19" hidden="1" x14ac:dyDescent="0.25">
      <c r="N4239" s="17">
        <v>623.49999999995805</v>
      </c>
      <c r="O4239" s="16" t="s">
        <v>6103</v>
      </c>
      <c r="R4239" s="6"/>
      <c r="S4239" s="298"/>
    </row>
    <row r="4240" spans="14:19" hidden="1" x14ac:dyDescent="0.25">
      <c r="N4240" s="17">
        <v>623.59999999995796</v>
      </c>
      <c r="O4240" s="16" t="s">
        <v>6104</v>
      </c>
      <c r="R4240" s="6"/>
      <c r="S4240" s="298"/>
    </row>
    <row r="4241" spans="14:19" hidden="1" x14ac:dyDescent="0.25">
      <c r="N4241" s="17">
        <v>623.69999999995798</v>
      </c>
      <c r="O4241" s="16" t="s">
        <v>6105</v>
      </c>
      <c r="R4241" s="6"/>
      <c r="S4241" s="298"/>
    </row>
    <row r="4242" spans="14:19" hidden="1" x14ac:dyDescent="0.25">
      <c r="N4242" s="17">
        <v>623.799999999958</v>
      </c>
      <c r="O4242" s="16" t="s">
        <v>6106</v>
      </c>
      <c r="R4242" s="6"/>
      <c r="S4242" s="298"/>
    </row>
    <row r="4243" spans="14:19" hidden="1" x14ac:dyDescent="0.25">
      <c r="N4243" s="17">
        <v>623.89999999995803</v>
      </c>
      <c r="O4243" s="16" t="s">
        <v>6107</v>
      </c>
      <c r="R4243" s="6"/>
      <c r="S4243" s="298"/>
    </row>
    <row r="4244" spans="14:19" hidden="1" x14ac:dyDescent="0.25">
      <c r="N4244" s="17">
        <v>623.99999999995805</v>
      </c>
      <c r="O4244" s="16" t="s">
        <v>6108</v>
      </c>
      <c r="R4244" s="6"/>
      <c r="S4244" s="298"/>
    </row>
    <row r="4245" spans="14:19" hidden="1" x14ac:dyDescent="0.25">
      <c r="N4245" s="17">
        <v>624.09999999995796</v>
      </c>
      <c r="O4245" s="16" t="s">
        <v>6109</v>
      </c>
      <c r="R4245" s="6"/>
      <c r="S4245" s="298"/>
    </row>
    <row r="4246" spans="14:19" hidden="1" x14ac:dyDescent="0.25">
      <c r="N4246" s="17">
        <v>624.19999999995798</v>
      </c>
      <c r="O4246" s="16" t="s">
        <v>6110</v>
      </c>
      <c r="R4246" s="6"/>
      <c r="S4246" s="298"/>
    </row>
    <row r="4247" spans="14:19" hidden="1" x14ac:dyDescent="0.25">
      <c r="N4247" s="17">
        <v>624.299999999958</v>
      </c>
      <c r="O4247" s="16" t="s">
        <v>6111</v>
      </c>
      <c r="R4247" s="6"/>
      <c r="S4247" s="298"/>
    </row>
    <row r="4248" spans="14:19" hidden="1" x14ac:dyDescent="0.25">
      <c r="N4248" s="17">
        <v>624.39999999995803</v>
      </c>
      <c r="O4248" s="16" t="s">
        <v>6112</v>
      </c>
      <c r="R4248" s="6"/>
      <c r="S4248" s="298"/>
    </row>
    <row r="4249" spans="14:19" hidden="1" x14ac:dyDescent="0.25">
      <c r="N4249" s="17">
        <v>624.49999999995805</v>
      </c>
      <c r="O4249" s="16" t="s">
        <v>6113</v>
      </c>
      <c r="R4249" s="6"/>
      <c r="S4249" s="298"/>
    </row>
    <row r="4250" spans="14:19" hidden="1" x14ac:dyDescent="0.25">
      <c r="N4250" s="17">
        <v>624.59999999995796</v>
      </c>
      <c r="O4250" s="16" t="s">
        <v>6114</v>
      </c>
      <c r="R4250" s="6"/>
      <c r="S4250" s="298"/>
    </row>
    <row r="4251" spans="14:19" hidden="1" x14ac:dyDescent="0.25">
      <c r="N4251" s="17">
        <v>624.69999999995798</v>
      </c>
      <c r="O4251" s="16" t="s">
        <v>6115</v>
      </c>
      <c r="R4251" s="6"/>
      <c r="S4251" s="298"/>
    </row>
    <row r="4252" spans="14:19" hidden="1" x14ac:dyDescent="0.25">
      <c r="N4252" s="17">
        <v>624.79999999995698</v>
      </c>
      <c r="O4252" s="16" t="s">
        <v>6116</v>
      </c>
      <c r="R4252" s="6"/>
      <c r="S4252" s="298"/>
    </row>
    <row r="4253" spans="14:19" hidden="1" x14ac:dyDescent="0.25">
      <c r="N4253" s="17">
        <v>624.899999999957</v>
      </c>
      <c r="O4253" s="16" t="s">
        <v>6117</v>
      </c>
      <c r="R4253" s="6"/>
      <c r="S4253" s="298"/>
    </row>
    <row r="4254" spans="14:19" hidden="1" x14ac:dyDescent="0.25">
      <c r="N4254" s="17">
        <v>624.99999999995703</v>
      </c>
      <c r="O4254" s="16" t="s">
        <v>6118</v>
      </c>
      <c r="R4254" s="6"/>
      <c r="S4254" s="298"/>
    </row>
    <row r="4255" spans="14:19" hidden="1" x14ac:dyDescent="0.25">
      <c r="N4255" s="17">
        <v>625.09999999995705</v>
      </c>
      <c r="O4255" s="16" t="s">
        <v>6119</v>
      </c>
      <c r="R4255" s="6"/>
      <c r="S4255" s="298"/>
    </row>
    <row r="4256" spans="14:19" hidden="1" x14ac:dyDescent="0.25">
      <c r="N4256" s="17">
        <v>625.19999999995696</v>
      </c>
      <c r="O4256" s="16" t="s">
        <v>6120</v>
      </c>
      <c r="R4256" s="6"/>
      <c r="S4256" s="298"/>
    </row>
    <row r="4257" spans="14:19" hidden="1" x14ac:dyDescent="0.25">
      <c r="N4257" s="17">
        <v>625.29999999995698</v>
      </c>
      <c r="O4257" s="16" t="s">
        <v>6121</v>
      </c>
      <c r="R4257" s="6"/>
      <c r="S4257" s="298"/>
    </row>
    <row r="4258" spans="14:19" hidden="1" x14ac:dyDescent="0.25">
      <c r="N4258" s="17">
        <v>625.399999999957</v>
      </c>
      <c r="O4258" s="16" t="s">
        <v>6122</v>
      </c>
      <c r="R4258" s="6"/>
      <c r="S4258" s="298"/>
    </row>
    <row r="4259" spans="14:19" hidden="1" x14ac:dyDescent="0.25">
      <c r="N4259" s="17">
        <v>625.49999999995703</v>
      </c>
      <c r="O4259" s="16" t="s">
        <v>4010</v>
      </c>
      <c r="R4259" s="6"/>
      <c r="S4259" s="298"/>
    </row>
    <row r="4260" spans="14:19" hidden="1" x14ac:dyDescent="0.25">
      <c r="N4260" s="17">
        <v>625.59999999995705</v>
      </c>
      <c r="O4260" s="16" t="s">
        <v>4011</v>
      </c>
      <c r="R4260" s="6"/>
      <c r="S4260" s="298"/>
    </row>
    <row r="4261" spans="14:19" hidden="1" x14ac:dyDescent="0.25">
      <c r="N4261" s="17">
        <v>625.69999999995696</v>
      </c>
      <c r="O4261" s="16" t="s">
        <v>4012</v>
      </c>
      <c r="R4261" s="6"/>
      <c r="S4261" s="298"/>
    </row>
    <row r="4262" spans="14:19" hidden="1" x14ac:dyDescent="0.25">
      <c r="N4262" s="17">
        <v>625.79999999995698</v>
      </c>
      <c r="O4262" s="16" t="s">
        <v>4013</v>
      </c>
      <c r="R4262" s="6"/>
      <c r="S4262" s="298"/>
    </row>
    <row r="4263" spans="14:19" hidden="1" x14ac:dyDescent="0.25">
      <c r="N4263" s="17">
        <v>625.899999999957</v>
      </c>
      <c r="O4263" s="16" t="s">
        <v>4014</v>
      </c>
      <c r="R4263" s="6"/>
      <c r="S4263" s="298"/>
    </row>
    <row r="4264" spans="14:19" hidden="1" x14ac:dyDescent="0.25">
      <c r="N4264" s="17">
        <v>625.99999999995703</v>
      </c>
      <c r="O4264" s="16" t="s">
        <v>4015</v>
      </c>
      <c r="R4264" s="6"/>
      <c r="S4264" s="298"/>
    </row>
    <row r="4265" spans="14:19" hidden="1" x14ac:dyDescent="0.25">
      <c r="N4265" s="17">
        <v>626.09999999995705</v>
      </c>
      <c r="O4265" s="16" t="s">
        <v>4016</v>
      </c>
      <c r="R4265" s="6"/>
      <c r="S4265" s="298"/>
    </row>
    <row r="4266" spans="14:19" hidden="1" x14ac:dyDescent="0.25">
      <c r="N4266" s="17">
        <v>626.19999999995696</v>
      </c>
      <c r="O4266" s="16" t="s">
        <v>4017</v>
      </c>
      <c r="R4266" s="6"/>
      <c r="S4266" s="298"/>
    </row>
    <row r="4267" spans="14:19" hidden="1" x14ac:dyDescent="0.25">
      <c r="N4267" s="17">
        <v>626.29999999995698</v>
      </c>
      <c r="O4267" s="16" t="s">
        <v>4018</v>
      </c>
      <c r="R4267" s="6"/>
      <c r="S4267" s="298"/>
    </row>
    <row r="4268" spans="14:19" hidden="1" x14ac:dyDescent="0.25">
      <c r="N4268" s="17">
        <v>626.399999999957</v>
      </c>
      <c r="O4268" s="16" t="s">
        <v>4019</v>
      </c>
      <c r="R4268" s="6"/>
      <c r="S4268" s="298"/>
    </row>
    <row r="4269" spans="14:19" hidden="1" x14ac:dyDescent="0.25">
      <c r="N4269" s="17">
        <v>626.49999999995703</v>
      </c>
      <c r="O4269" s="16" t="s">
        <v>4020</v>
      </c>
      <c r="R4269" s="6"/>
      <c r="S4269" s="298"/>
    </row>
    <row r="4270" spans="14:19" hidden="1" x14ac:dyDescent="0.25">
      <c r="N4270" s="17">
        <v>626.59999999995705</v>
      </c>
      <c r="O4270" s="16" t="s">
        <v>4023</v>
      </c>
      <c r="R4270" s="6"/>
      <c r="S4270" s="298"/>
    </row>
    <row r="4271" spans="14:19" hidden="1" x14ac:dyDescent="0.25">
      <c r="N4271" s="17">
        <v>626.69999999995696</v>
      </c>
      <c r="O4271" s="16" t="s">
        <v>4024</v>
      </c>
      <c r="R4271" s="6"/>
      <c r="S4271" s="298"/>
    </row>
    <row r="4272" spans="14:19" hidden="1" x14ac:dyDescent="0.25">
      <c r="N4272" s="17">
        <v>626.79999999995698</v>
      </c>
      <c r="O4272" s="16" t="s">
        <v>4025</v>
      </c>
      <c r="R4272" s="6"/>
      <c r="S4272" s="298"/>
    </row>
    <row r="4273" spans="14:19" hidden="1" x14ac:dyDescent="0.25">
      <c r="N4273" s="17">
        <v>626.899999999957</v>
      </c>
      <c r="O4273" s="16" t="s">
        <v>4026</v>
      </c>
      <c r="R4273" s="6"/>
      <c r="S4273" s="298"/>
    </row>
    <row r="4274" spans="14:19" hidden="1" x14ac:dyDescent="0.25">
      <c r="N4274" s="17">
        <v>626.99999999995703</v>
      </c>
      <c r="O4274" s="16" t="s">
        <v>4027</v>
      </c>
      <c r="R4274" s="6"/>
      <c r="S4274" s="298"/>
    </row>
    <row r="4275" spans="14:19" hidden="1" x14ac:dyDescent="0.25">
      <c r="N4275" s="17">
        <v>627.09999999995705</v>
      </c>
      <c r="O4275" s="16" t="s">
        <v>4028</v>
      </c>
      <c r="R4275" s="6"/>
      <c r="S4275" s="298"/>
    </row>
    <row r="4276" spans="14:19" hidden="1" x14ac:dyDescent="0.25">
      <c r="N4276" s="17">
        <v>627.19999999995696</v>
      </c>
      <c r="O4276" s="16" t="s">
        <v>4029</v>
      </c>
      <c r="R4276" s="6"/>
      <c r="S4276" s="298"/>
    </row>
    <row r="4277" spans="14:19" hidden="1" x14ac:dyDescent="0.25">
      <c r="N4277" s="17">
        <v>627.29999999995698</v>
      </c>
      <c r="O4277" s="16" t="s">
        <v>4030</v>
      </c>
      <c r="R4277" s="6"/>
      <c r="S4277" s="298"/>
    </row>
    <row r="4278" spans="14:19" hidden="1" x14ac:dyDescent="0.25">
      <c r="N4278" s="17">
        <v>627.399999999957</v>
      </c>
      <c r="O4278" s="16" t="s">
        <v>4031</v>
      </c>
      <c r="R4278" s="6"/>
      <c r="S4278" s="298"/>
    </row>
    <row r="4279" spans="14:19" hidden="1" x14ac:dyDescent="0.25">
      <c r="N4279" s="17">
        <v>627.49999999995703</v>
      </c>
      <c r="O4279" s="16" t="s">
        <v>4032</v>
      </c>
      <c r="R4279" s="6"/>
      <c r="S4279" s="298"/>
    </row>
    <row r="4280" spans="14:19" hidden="1" x14ac:dyDescent="0.25">
      <c r="N4280" s="17">
        <v>627.59999999995705</v>
      </c>
      <c r="O4280" s="16" t="s">
        <v>4033</v>
      </c>
      <c r="R4280" s="6"/>
      <c r="S4280" s="298"/>
    </row>
    <row r="4281" spans="14:19" hidden="1" x14ac:dyDescent="0.25">
      <c r="N4281" s="17">
        <v>627.69999999995605</v>
      </c>
      <c r="O4281" s="16" t="s">
        <v>4034</v>
      </c>
      <c r="R4281" s="6"/>
      <c r="S4281" s="298"/>
    </row>
    <row r="4282" spans="14:19" hidden="1" x14ac:dyDescent="0.25">
      <c r="N4282" s="17">
        <v>627.79999999995596</v>
      </c>
      <c r="O4282" s="16" t="s">
        <v>4035</v>
      </c>
      <c r="R4282" s="6"/>
      <c r="S4282" s="298"/>
    </row>
    <row r="4283" spans="14:19" hidden="1" x14ac:dyDescent="0.25">
      <c r="N4283" s="17">
        <v>627.89999999995598</v>
      </c>
      <c r="O4283" s="16" t="s">
        <v>6134</v>
      </c>
      <c r="R4283" s="6"/>
      <c r="S4283" s="298"/>
    </row>
    <row r="4284" spans="14:19" hidden="1" x14ac:dyDescent="0.25">
      <c r="N4284" s="17">
        <v>627.999999999956</v>
      </c>
      <c r="O4284" s="16" t="s">
        <v>6135</v>
      </c>
      <c r="R4284" s="6"/>
      <c r="S4284" s="298"/>
    </row>
    <row r="4285" spans="14:19" hidden="1" x14ac:dyDescent="0.25">
      <c r="N4285" s="17">
        <v>628.09999999995603</v>
      </c>
      <c r="O4285" s="16" t="s">
        <v>6136</v>
      </c>
      <c r="R4285" s="6"/>
      <c r="S4285" s="298"/>
    </row>
    <row r="4286" spans="14:19" hidden="1" x14ac:dyDescent="0.25">
      <c r="N4286" s="17">
        <v>628.19999999995605</v>
      </c>
      <c r="O4286" s="16" t="s">
        <v>6137</v>
      </c>
      <c r="R4286" s="6"/>
      <c r="S4286" s="298"/>
    </row>
    <row r="4287" spans="14:19" hidden="1" x14ac:dyDescent="0.25">
      <c r="N4287" s="17">
        <v>628.29999999995596</v>
      </c>
      <c r="O4287" s="16" t="s">
        <v>6138</v>
      </c>
      <c r="R4287" s="6"/>
      <c r="S4287" s="298"/>
    </row>
    <row r="4288" spans="14:19" hidden="1" x14ac:dyDescent="0.25">
      <c r="N4288" s="17">
        <v>628.39999999995598</v>
      </c>
      <c r="O4288" s="16" t="s">
        <v>6139</v>
      </c>
      <c r="R4288" s="6"/>
      <c r="S4288" s="298"/>
    </row>
    <row r="4289" spans="14:19" hidden="1" x14ac:dyDescent="0.25">
      <c r="N4289" s="17">
        <v>628.499999999956</v>
      </c>
      <c r="O4289" s="16" t="s">
        <v>6140</v>
      </c>
      <c r="R4289" s="6"/>
      <c r="S4289" s="298"/>
    </row>
    <row r="4290" spans="14:19" hidden="1" x14ac:dyDescent="0.25">
      <c r="N4290" s="17">
        <v>628.59999999995603</v>
      </c>
      <c r="O4290" s="16" t="s">
        <v>6141</v>
      </c>
      <c r="R4290" s="6"/>
      <c r="S4290" s="298"/>
    </row>
    <row r="4291" spans="14:19" hidden="1" x14ac:dyDescent="0.25">
      <c r="N4291" s="17">
        <v>628.69999999995605</v>
      </c>
      <c r="O4291" s="16" t="s">
        <v>6142</v>
      </c>
      <c r="R4291" s="6"/>
      <c r="S4291" s="298"/>
    </row>
    <row r="4292" spans="14:19" hidden="1" x14ac:dyDescent="0.25">
      <c r="N4292" s="17">
        <v>628.79999999995596</v>
      </c>
      <c r="O4292" s="16" t="s">
        <v>6143</v>
      </c>
      <c r="R4292" s="6"/>
      <c r="S4292" s="298"/>
    </row>
    <row r="4293" spans="14:19" hidden="1" x14ac:dyDescent="0.25">
      <c r="N4293" s="17">
        <v>628.89999999995598</v>
      </c>
      <c r="O4293" s="16" t="s">
        <v>6144</v>
      </c>
      <c r="R4293" s="6"/>
      <c r="S4293" s="298"/>
    </row>
    <row r="4294" spans="14:19" hidden="1" x14ac:dyDescent="0.25">
      <c r="N4294" s="17">
        <v>628.999999999956</v>
      </c>
      <c r="O4294" s="16" t="s">
        <v>6145</v>
      </c>
      <c r="R4294" s="6"/>
      <c r="S4294" s="298"/>
    </row>
    <row r="4295" spans="14:19" hidden="1" x14ac:dyDescent="0.25">
      <c r="N4295" s="17">
        <v>629.09999999995603</v>
      </c>
      <c r="O4295" s="16" t="s">
        <v>6146</v>
      </c>
      <c r="R4295" s="6"/>
      <c r="S4295" s="298"/>
    </row>
    <row r="4296" spans="14:19" hidden="1" x14ac:dyDescent="0.25">
      <c r="N4296" s="17">
        <v>629.19999999995605</v>
      </c>
      <c r="O4296" s="16" t="s">
        <v>6147</v>
      </c>
      <c r="R4296" s="6"/>
      <c r="S4296" s="298"/>
    </row>
    <row r="4297" spans="14:19" hidden="1" x14ac:dyDescent="0.25">
      <c r="N4297" s="17">
        <v>629.29999999995596</v>
      </c>
      <c r="O4297" s="16" t="s">
        <v>6148</v>
      </c>
      <c r="R4297" s="6"/>
      <c r="S4297" s="298"/>
    </row>
    <row r="4298" spans="14:19" hidden="1" x14ac:dyDescent="0.25">
      <c r="N4298" s="17">
        <v>629.39999999995598</v>
      </c>
      <c r="O4298" s="16" t="s">
        <v>6149</v>
      </c>
      <c r="R4298" s="6"/>
      <c r="S4298" s="298"/>
    </row>
    <row r="4299" spans="14:19" hidden="1" x14ac:dyDescent="0.25">
      <c r="N4299" s="17">
        <v>629.499999999956</v>
      </c>
      <c r="O4299" s="16" t="s">
        <v>6150</v>
      </c>
      <c r="R4299" s="6"/>
      <c r="S4299" s="298"/>
    </row>
    <row r="4300" spans="14:19" hidden="1" x14ac:dyDescent="0.25">
      <c r="N4300" s="17">
        <v>629.59999999995603</v>
      </c>
      <c r="O4300" s="16" t="s">
        <v>6151</v>
      </c>
      <c r="R4300" s="6"/>
      <c r="S4300" s="298"/>
    </row>
    <row r="4301" spans="14:19" hidden="1" x14ac:dyDescent="0.25">
      <c r="N4301" s="17">
        <v>629.69999999995605</v>
      </c>
      <c r="O4301" s="16" t="s">
        <v>6152</v>
      </c>
      <c r="R4301" s="6"/>
      <c r="S4301" s="298"/>
    </row>
    <row r="4302" spans="14:19" hidden="1" x14ac:dyDescent="0.25">
      <c r="N4302" s="17">
        <v>629.79999999995596</v>
      </c>
      <c r="O4302" s="16" t="s">
        <v>6153</v>
      </c>
      <c r="R4302" s="6"/>
      <c r="S4302" s="298"/>
    </row>
    <row r="4303" spans="14:19" hidden="1" x14ac:dyDescent="0.25">
      <c r="N4303" s="17">
        <v>629.89999999995598</v>
      </c>
      <c r="O4303" s="16" t="s">
        <v>6154</v>
      </c>
      <c r="R4303" s="6"/>
      <c r="S4303" s="298"/>
    </row>
    <row r="4304" spans="14:19" hidden="1" x14ac:dyDescent="0.25">
      <c r="N4304" s="17">
        <v>629.999999999956</v>
      </c>
      <c r="O4304" s="16" t="s">
        <v>6155</v>
      </c>
      <c r="R4304" s="6"/>
      <c r="S4304" s="298"/>
    </row>
    <row r="4305" spans="14:19" hidden="1" x14ac:dyDescent="0.25">
      <c r="N4305" s="17">
        <v>630.09999999995603</v>
      </c>
      <c r="O4305" s="16" t="s">
        <v>6156</v>
      </c>
      <c r="R4305" s="6"/>
      <c r="S4305" s="298"/>
    </row>
    <row r="4306" spans="14:19" hidden="1" x14ac:dyDescent="0.25">
      <c r="N4306" s="17">
        <v>630.19999999995605</v>
      </c>
      <c r="O4306" s="16" t="s">
        <v>6157</v>
      </c>
      <c r="R4306" s="6"/>
      <c r="S4306" s="298"/>
    </row>
    <row r="4307" spans="14:19" hidden="1" x14ac:dyDescent="0.25">
      <c r="N4307" s="17">
        <v>630.29999999995596</v>
      </c>
      <c r="O4307" s="16" t="s">
        <v>6158</v>
      </c>
      <c r="R4307" s="6"/>
      <c r="S4307" s="298"/>
    </row>
    <row r="4308" spans="14:19" hidden="1" x14ac:dyDescent="0.25">
      <c r="N4308" s="17">
        <v>630.39999999995598</v>
      </c>
      <c r="O4308" s="16" t="s">
        <v>6159</v>
      </c>
      <c r="R4308" s="6"/>
      <c r="S4308" s="298"/>
    </row>
    <row r="4309" spans="14:19" hidden="1" x14ac:dyDescent="0.25">
      <c r="N4309" s="17">
        <v>630.499999999956</v>
      </c>
      <c r="O4309" s="16" t="s">
        <v>6160</v>
      </c>
      <c r="R4309" s="6"/>
      <c r="S4309" s="298"/>
    </row>
    <row r="4310" spans="14:19" hidden="1" x14ac:dyDescent="0.25">
      <c r="N4310" s="17">
        <v>630.599999999955</v>
      </c>
      <c r="O4310" s="16" t="s">
        <v>6161</v>
      </c>
      <c r="R4310" s="6"/>
      <c r="S4310" s="298"/>
    </row>
    <row r="4311" spans="14:19" hidden="1" x14ac:dyDescent="0.25">
      <c r="N4311" s="17">
        <v>630.69999999995503</v>
      </c>
      <c r="O4311" s="16" t="s">
        <v>6162</v>
      </c>
      <c r="R4311" s="6"/>
      <c r="S4311" s="298"/>
    </row>
    <row r="4312" spans="14:19" hidden="1" x14ac:dyDescent="0.25">
      <c r="N4312" s="17">
        <v>630.79999999995505</v>
      </c>
      <c r="O4312" s="16" t="s">
        <v>6163</v>
      </c>
      <c r="R4312" s="6"/>
      <c r="S4312" s="298"/>
    </row>
    <row r="4313" spans="14:19" hidden="1" x14ac:dyDescent="0.25">
      <c r="N4313" s="17">
        <v>630.89999999995496</v>
      </c>
      <c r="O4313" s="16" t="s">
        <v>6164</v>
      </c>
      <c r="R4313" s="6"/>
      <c r="S4313" s="298"/>
    </row>
    <row r="4314" spans="14:19" hidden="1" x14ac:dyDescent="0.25">
      <c r="N4314" s="17">
        <v>630.99999999995498</v>
      </c>
      <c r="O4314" s="16" t="s">
        <v>6165</v>
      </c>
      <c r="R4314" s="6"/>
      <c r="S4314" s="298"/>
    </row>
    <row r="4315" spans="14:19" hidden="1" x14ac:dyDescent="0.25">
      <c r="N4315" s="17">
        <v>631.099999999955</v>
      </c>
      <c r="O4315" s="16" t="s">
        <v>6166</v>
      </c>
      <c r="R4315" s="6"/>
      <c r="S4315" s="298"/>
    </row>
    <row r="4316" spans="14:19" hidden="1" x14ac:dyDescent="0.25">
      <c r="N4316" s="17">
        <v>631.19999999995503</v>
      </c>
      <c r="O4316" s="16" t="s">
        <v>6167</v>
      </c>
      <c r="R4316" s="6"/>
      <c r="S4316" s="298"/>
    </row>
    <row r="4317" spans="14:19" hidden="1" x14ac:dyDescent="0.25">
      <c r="N4317" s="17">
        <v>631.29999999995505</v>
      </c>
      <c r="O4317" s="16" t="s">
        <v>6168</v>
      </c>
      <c r="R4317" s="6"/>
      <c r="S4317" s="298"/>
    </row>
    <row r="4318" spans="14:19" hidden="1" x14ac:dyDescent="0.25">
      <c r="N4318" s="17">
        <v>631.39999999995496</v>
      </c>
      <c r="O4318" s="16" t="s">
        <v>6169</v>
      </c>
      <c r="R4318" s="6"/>
      <c r="S4318" s="298"/>
    </row>
    <row r="4319" spans="14:19" hidden="1" x14ac:dyDescent="0.25">
      <c r="N4319" s="17">
        <v>631.49999999995498</v>
      </c>
      <c r="O4319" s="16" t="s">
        <v>6170</v>
      </c>
      <c r="R4319" s="6"/>
      <c r="S4319" s="298"/>
    </row>
    <row r="4320" spans="14:19" hidden="1" x14ac:dyDescent="0.25">
      <c r="N4320" s="17">
        <v>631.599999999955</v>
      </c>
      <c r="O4320" s="16" t="s">
        <v>6171</v>
      </c>
      <c r="R4320" s="6"/>
      <c r="S4320" s="298"/>
    </row>
    <row r="4321" spans="14:19" hidden="1" x14ac:dyDescent="0.25">
      <c r="N4321" s="17">
        <v>631.69999999995503</v>
      </c>
      <c r="O4321" s="16" t="s">
        <v>6172</v>
      </c>
      <c r="R4321" s="6"/>
      <c r="S4321" s="298"/>
    </row>
    <row r="4322" spans="14:19" hidden="1" x14ac:dyDescent="0.25">
      <c r="N4322" s="17">
        <v>631.79999999995505</v>
      </c>
      <c r="O4322" s="16" t="s">
        <v>4071</v>
      </c>
      <c r="R4322" s="6"/>
      <c r="S4322" s="298"/>
    </row>
    <row r="4323" spans="14:19" hidden="1" x14ac:dyDescent="0.25">
      <c r="N4323" s="17">
        <v>631.89999999995496</v>
      </c>
      <c r="O4323" s="16" t="s">
        <v>1888</v>
      </c>
      <c r="R4323" s="6"/>
      <c r="S4323" s="298"/>
    </row>
    <row r="4324" spans="14:19" hidden="1" x14ac:dyDescent="0.25">
      <c r="N4324" s="17">
        <v>631.99999999995498</v>
      </c>
      <c r="O4324" s="16" t="s">
        <v>1889</v>
      </c>
      <c r="R4324" s="6"/>
      <c r="S4324" s="298"/>
    </row>
    <row r="4325" spans="14:19" hidden="1" x14ac:dyDescent="0.25">
      <c r="N4325" s="17">
        <v>632.099999999955</v>
      </c>
      <c r="O4325" s="16" t="s">
        <v>1890</v>
      </c>
      <c r="R4325" s="6"/>
      <c r="S4325" s="298"/>
    </row>
    <row r="4326" spans="14:19" hidden="1" x14ac:dyDescent="0.25">
      <c r="N4326" s="17">
        <v>632.19999999995503</v>
      </c>
      <c r="O4326" s="16" t="s">
        <v>1891</v>
      </c>
      <c r="R4326" s="6"/>
      <c r="S4326" s="298"/>
    </row>
    <row r="4327" spans="14:19" hidden="1" x14ac:dyDescent="0.25">
      <c r="N4327" s="17">
        <v>632.29999999995505</v>
      </c>
      <c r="O4327" s="16" t="s">
        <v>1892</v>
      </c>
      <c r="R4327" s="6"/>
      <c r="S4327" s="298"/>
    </row>
    <row r="4328" spans="14:19" hidden="1" x14ac:dyDescent="0.25">
      <c r="N4328" s="17">
        <v>632.39999999995496</v>
      </c>
      <c r="O4328" s="16" t="s">
        <v>1893</v>
      </c>
      <c r="R4328" s="6"/>
      <c r="S4328" s="298"/>
    </row>
    <row r="4329" spans="14:19" hidden="1" x14ac:dyDescent="0.25">
      <c r="N4329" s="17">
        <v>632.49999999995498</v>
      </c>
      <c r="O4329" s="16" t="s">
        <v>480</v>
      </c>
      <c r="R4329" s="6"/>
      <c r="S4329" s="298"/>
    </row>
    <row r="4330" spans="14:19" hidden="1" x14ac:dyDescent="0.25">
      <c r="N4330" s="17">
        <v>632.599999999955</v>
      </c>
      <c r="O4330" s="16" t="s">
        <v>481</v>
      </c>
      <c r="R4330" s="6"/>
      <c r="S4330" s="298"/>
    </row>
    <row r="4331" spans="14:19" hidden="1" x14ac:dyDescent="0.25">
      <c r="N4331" s="17">
        <v>632.69999999995503</v>
      </c>
      <c r="O4331" s="16" t="s">
        <v>482</v>
      </c>
      <c r="R4331" s="6"/>
      <c r="S4331" s="298"/>
    </row>
    <row r="4332" spans="14:19" hidden="1" x14ac:dyDescent="0.25">
      <c r="N4332" s="17">
        <v>632.79999999995505</v>
      </c>
      <c r="O4332" s="16" t="s">
        <v>483</v>
      </c>
      <c r="R4332" s="6"/>
      <c r="S4332" s="298"/>
    </row>
    <row r="4333" spans="14:19" hidden="1" x14ac:dyDescent="0.25">
      <c r="N4333" s="17">
        <v>632.89999999995496</v>
      </c>
      <c r="O4333" s="16" t="s">
        <v>484</v>
      </c>
      <c r="R4333" s="6"/>
      <c r="S4333" s="298"/>
    </row>
    <row r="4334" spans="14:19" hidden="1" x14ac:dyDescent="0.25">
      <c r="N4334" s="17">
        <v>632.99999999995498</v>
      </c>
      <c r="O4334" s="16" t="s">
        <v>485</v>
      </c>
      <c r="R4334" s="6"/>
      <c r="S4334" s="298"/>
    </row>
    <row r="4335" spans="14:19" hidden="1" x14ac:dyDescent="0.25">
      <c r="N4335" s="17">
        <v>633.099999999955</v>
      </c>
      <c r="O4335" s="16" t="s">
        <v>1890</v>
      </c>
      <c r="R4335" s="6"/>
      <c r="S4335" s="298"/>
    </row>
    <row r="4336" spans="14:19" hidden="1" x14ac:dyDescent="0.25">
      <c r="N4336" s="17">
        <v>633.19999999995503</v>
      </c>
      <c r="O4336" s="16" t="s">
        <v>1891</v>
      </c>
      <c r="R4336" s="6"/>
      <c r="S4336" s="298"/>
    </row>
    <row r="4337" spans="14:19" hidden="1" x14ac:dyDescent="0.25">
      <c r="N4337" s="17">
        <v>633.29999999995505</v>
      </c>
      <c r="O4337" s="16" t="s">
        <v>1892</v>
      </c>
      <c r="R4337" s="6"/>
      <c r="S4337" s="298"/>
    </row>
    <row r="4338" spans="14:19" hidden="1" x14ac:dyDescent="0.25">
      <c r="N4338" s="17">
        <v>633.39999999995496</v>
      </c>
      <c r="O4338" s="16" t="s">
        <v>1893</v>
      </c>
      <c r="R4338" s="6"/>
      <c r="S4338" s="298"/>
    </row>
    <row r="4339" spans="14:19" hidden="1" x14ac:dyDescent="0.25">
      <c r="N4339" s="17">
        <v>633.49999999995498</v>
      </c>
      <c r="O4339" s="16" t="s">
        <v>480</v>
      </c>
      <c r="R4339" s="6"/>
      <c r="S4339" s="298"/>
    </row>
    <row r="4340" spans="14:19" hidden="1" x14ac:dyDescent="0.25">
      <c r="N4340" s="17">
        <v>633.59999999995398</v>
      </c>
      <c r="O4340" s="16" t="s">
        <v>481</v>
      </c>
      <c r="R4340" s="6"/>
      <c r="S4340" s="298"/>
    </row>
    <row r="4341" spans="14:19" hidden="1" x14ac:dyDescent="0.25">
      <c r="N4341" s="17">
        <v>633.699999999954</v>
      </c>
      <c r="O4341" s="16" t="s">
        <v>482</v>
      </c>
      <c r="R4341" s="6"/>
      <c r="S4341" s="298"/>
    </row>
    <row r="4342" spans="14:19" hidden="1" x14ac:dyDescent="0.25">
      <c r="N4342" s="17">
        <v>633.79999999995403</v>
      </c>
      <c r="O4342" s="16" t="s">
        <v>483</v>
      </c>
      <c r="R4342" s="6"/>
      <c r="S4342" s="298"/>
    </row>
    <row r="4343" spans="14:19" hidden="1" x14ac:dyDescent="0.25">
      <c r="N4343" s="17">
        <v>633.89999999995405</v>
      </c>
      <c r="O4343" s="16" t="s">
        <v>484</v>
      </c>
      <c r="R4343" s="6"/>
      <c r="S4343" s="298"/>
    </row>
    <row r="4344" spans="14:19" hidden="1" x14ac:dyDescent="0.25">
      <c r="N4344" s="17">
        <v>633.99999999995396</v>
      </c>
      <c r="O4344" s="16" t="s">
        <v>486</v>
      </c>
      <c r="R4344" s="6"/>
      <c r="S4344" s="298"/>
    </row>
    <row r="4345" spans="14:19" hidden="1" x14ac:dyDescent="0.25">
      <c r="N4345" s="17">
        <v>634.09999999995398</v>
      </c>
      <c r="O4345" s="16" t="s">
        <v>487</v>
      </c>
      <c r="R4345" s="6"/>
      <c r="S4345" s="298"/>
    </row>
    <row r="4346" spans="14:19" hidden="1" x14ac:dyDescent="0.25">
      <c r="N4346" s="17">
        <v>634.199999999954</v>
      </c>
      <c r="O4346" s="16" t="s">
        <v>488</v>
      </c>
      <c r="R4346" s="6"/>
      <c r="S4346" s="298"/>
    </row>
    <row r="4347" spans="14:19" hidden="1" x14ac:dyDescent="0.25">
      <c r="N4347" s="17">
        <v>634.29999999995403</v>
      </c>
      <c r="O4347" s="16" t="s">
        <v>489</v>
      </c>
      <c r="R4347" s="6"/>
      <c r="S4347" s="298"/>
    </row>
    <row r="4348" spans="14:19" hidden="1" x14ac:dyDescent="0.25">
      <c r="N4348" s="17">
        <v>634.39999999995405</v>
      </c>
      <c r="O4348" s="16" t="s">
        <v>490</v>
      </c>
      <c r="R4348" s="6"/>
      <c r="S4348" s="298"/>
    </row>
    <row r="4349" spans="14:19" hidden="1" x14ac:dyDescent="0.25">
      <c r="N4349" s="17">
        <v>634.49999999995396</v>
      </c>
      <c r="O4349" s="16" t="s">
        <v>491</v>
      </c>
      <c r="R4349" s="6"/>
      <c r="S4349" s="298"/>
    </row>
    <row r="4350" spans="14:19" hidden="1" x14ac:dyDescent="0.25">
      <c r="N4350" s="17">
        <v>634.59999999995398</v>
      </c>
      <c r="O4350" s="16" t="s">
        <v>492</v>
      </c>
      <c r="R4350" s="6"/>
      <c r="S4350" s="298"/>
    </row>
    <row r="4351" spans="14:19" hidden="1" x14ac:dyDescent="0.25">
      <c r="N4351" s="17">
        <v>634.699999999954</v>
      </c>
      <c r="O4351" s="16" t="s">
        <v>493</v>
      </c>
      <c r="R4351" s="6"/>
      <c r="S4351" s="298"/>
    </row>
    <row r="4352" spans="14:19" hidden="1" x14ac:dyDescent="0.25">
      <c r="N4352" s="17">
        <v>634.79999999995403</v>
      </c>
      <c r="O4352" s="16" t="s">
        <v>494</v>
      </c>
      <c r="R4352" s="6"/>
      <c r="S4352" s="298"/>
    </row>
    <row r="4353" spans="14:19" hidden="1" x14ac:dyDescent="0.25">
      <c r="N4353" s="17">
        <v>634.89999999995405</v>
      </c>
      <c r="O4353" s="16" t="s">
        <v>495</v>
      </c>
      <c r="R4353" s="6"/>
      <c r="S4353" s="298"/>
    </row>
    <row r="4354" spans="14:19" hidden="1" x14ac:dyDescent="0.25">
      <c r="N4354" s="17">
        <v>634.99999999995396</v>
      </c>
      <c r="O4354" s="16" t="s">
        <v>496</v>
      </c>
      <c r="R4354" s="6"/>
      <c r="S4354" s="298"/>
    </row>
    <row r="4355" spans="14:19" hidden="1" x14ac:dyDescent="0.25">
      <c r="N4355" s="17">
        <v>635.09999999995398</v>
      </c>
      <c r="O4355" s="16" t="s">
        <v>497</v>
      </c>
      <c r="R4355" s="6"/>
      <c r="S4355" s="298"/>
    </row>
    <row r="4356" spans="14:19" hidden="1" x14ac:dyDescent="0.25">
      <c r="N4356" s="17">
        <v>635.199999999954</v>
      </c>
      <c r="O4356" s="16" t="s">
        <v>498</v>
      </c>
      <c r="R4356" s="6"/>
      <c r="S4356" s="298"/>
    </row>
    <row r="4357" spans="14:19" hidden="1" x14ac:dyDescent="0.25">
      <c r="N4357" s="17">
        <v>635.29999999995403</v>
      </c>
      <c r="O4357" s="16" t="s">
        <v>499</v>
      </c>
      <c r="R4357" s="6"/>
      <c r="S4357" s="298"/>
    </row>
    <row r="4358" spans="14:19" hidden="1" x14ac:dyDescent="0.25">
      <c r="N4358" s="17">
        <v>635.39999999995405</v>
      </c>
      <c r="O4358" s="16" t="s">
        <v>1896</v>
      </c>
      <c r="R4358" s="6"/>
      <c r="S4358" s="298"/>
    </row>
    <row r="4359" spans="14:19" hidden="1" x14ac:dyDescent="0.25">
      <c r="N4359" s="17">
        <v>635.49999999995396</v>
      </c>
      <c r="O4359" s="16" t="s">
        <v>1897</v>
      </c>
      <c r="R4359" s="6"/>
      <c r="S4359" s="298"/>
    </row>
    <row r="4360" spans="14:19" hidden="1" x14ac:dyDescent="0.25">
      <c r="N4360" s="17">
        <v>635.59999999995398</v>
      </c>
      <c r="O4360" s="16" t="s">
        <v>1898</v>
      </c>
      <c r="R4360" s="6"/>
      <c r="S4360" s="298"/>
    </row>
    <row r="4361" spans="14:19" hidden="1" x14ac:dyDescent="0.25">
      <c r="N4361" s="17">
        <v>635.699999999954</v>
      </c>
      <c r="O4361" s="16" t="s">
        <v>1899</v>
      </c>
      <c r="R4361" s="6"/>
      <c r="S4361" s="298"/>
    </row>
    <row r="4362" spans="14:19" hidden="1" x14ac:dyDescent="0.25">
      <c r="N4362" s="17">
        <v>635.79999999995403</v>
      </c>
      <c r="O4362" s="16" t="s">
        <v>1900</v>
      </c>
      <c r="R4362" s="6"/>
      <c r="S4362" s="298"/>
    </row>
    <row r="4363" spans="14:19" hidden="1" x14ac:dyDescent="0.25">
      <c r="N4363" s="17">
        <v>635.89999999995405</v>
      </c>
      <c r="O4363" s="16" t="s">
        <v>1901</v>
      </c>
      <c r="R4363" s="6"/>
      <c r="S4363" s="298"/>
    </row>
    <row r="4364" spans="14:19" hidden="1" x14ac:dyDescent="0.25">
      <c r="N4364" s="17">
        <v>635.99999999995396</v>
      </c>
      <c r="O4364" s="16" t="s">
        <v>1902</v>
      </c>
      <c r="R4364" s="6"/>
      <c r="S4364" s="298"/>
    </row>
    <row r="4365" spans="14:19" hidden="1" x14ac:dyDescent="0.25">
      <c r="N4365" s="17">
        <v>636.09999999995398</v>
      </c>
      <c r="O4365" s="16" t="s">
        <v>1903</v>
      </c>
      <c r="R4365" s="6"/>
      <c r="S4365" s="298"/>
    </row>
    <row r="4366" spans="14:19" hidden="1" x14ac:dyDescent="0.25">
      <c r="N4366" s="17">
        <v>636.199999999954</v>
      </c>
      <c r="O4366" s="16" t="s">
        <v>1904</v>
      </c>
      <c r="R4366" s="6"/>
      <c r="S4366" s="298"/>
    </row>
    <row r="4367" spans="14:19" hidden="1" x14ac:dyDescent="0.25">
      <c r="N4367" s="17">
        <v>636.29999999995403</v>
      </c>
      <c r="O4367" s="16" t="s">
        <v>1905</v>
      </c>
      <c r="R4367" s="6"/>
      <c r="S4367" s="298"/>
    </row>
    <row r="4368" spans="14:19" hidden="1" x14ac:dyDescent="0.25">
      <c r="N4368" s="17">
        <v>636.39999999995405</v>
      </c>
      <c r="O4368" s="16" t="s">
        <v>1906</v>
      </c>
      <c r="R4368" s="6"/>
      <c r="S4368" s="298"/>
    </row>
    <row r="4369" spans="14:19" hidden="1" x14ac:dyDescent="0.25">
      <c r="N4369" s="17">
        <v>636.49999999995305</v>
      </c>
      <c r="O4369" s="16" t="s">
        <v>1907</v>
      </c>
      <c r="R4369" s="6"/>
      <c r="S4369" s="298"/>
    </row>
    <row r="4370" spans="14:19" hidden="1" x14ac:dyDescent="0.25">
      <c r="N4370" s="17">
        <v>636.59999999995296</v>
      </c>
      <c r="O4370" s="16" t="s">
        <v>1908</v>
      </c>
      <c r="R4370" s="6"/>
      <c r="S4370" s="298"/>
    </row>
    <row r="4371" spans="14:19" hidden="1" x14ac:dyDescent="0.25">
      <c r="N4371" s="17">
        <v>636.69999999995298</v>
      </c>
      <c r="O4371" s="16" t="s">
        <v>1909</v>
      </c>
      <c r="R4371" s="6"/>
      <c r="S4371" s="298"/>
    </row>
    <row r="4372" spans="14:19" hidden="1" x14ac:dyDescent="0.25">
      <c r="N4372" s="17">
        <v>636.799999999953</v>
      </c>
      <c r="O4372" s="16" t="s">
        <v>1910</v>
      </c>
      <c r="R4372" s="6"/>
      <c r="S4372" s="298"/>
    </row>
    <row r="4373" spans="14:19" hidden="1" x14ac:dyDescent="0.25">
      <c r="N4373" s="17">
        <v>636.89999999995302</v>
      </c>
      <c r="O4373" s="16" t="s">
        <v>1911</v>
      </c>
      <c r="R4373" s="6"/>
      <c r="S4373" s="298"/>
    </row>
    <row r="4374" spans="14:19" hidden="1" x14ac:dyDescent="0.25">
      <c r="N4374" s="17">
        <v>636.99999999995305</v>
      </c>
      <c r="O4374" s="16" t="s">
        <v>1912</v>
      </c>
      <c r="R4374" s="6"/>
      <c r="S4374" s="298"/>
    </row>
    <row r="4375" spans="14:19" hidden="1" x14ac:dyDescent="0.25">
      <c r="N4375" s="17">
        <v>637.09999999995296</v>
      </c>
      <c r="O4375" s="16" t="s">
        <v>1913</v>
      </c>
      <c r="R4375" s="6"/>
      <c r="S4375" s="298"/>
    </row>
    <row r="4376" spans="14:19" hidden="1" x14ac:dyDescent="0.25">
      <c r="N4376" s="17">
        <v>637.19999999995298</v>
      </c>
      <c r="O4376" s="16" t="s">
        <v>1914</v>
      </c>
      <c r="R4376" s="6"/>
      <c r="S4376" s="298"/>
    </row>
    <row r="4377" spans="14:19" hidden="1" x14ac:dyDescent="0.25">
      <c r="N4377" s="17">
        <v>637.299999999953</v>
      </c>
      <c r="O4377" s="16" t="s">
        <v>1915</v>
      </c>
      <c r="R4377" s="6"/>
      <c r="S4377" s="298"/>
    </row>
    <row r="4378" spans="14:19" hidden="1" x14ac:dyDescent="0.25">
      <c r="N4378" s="17">
        <v>637.39999999995302</v>
      </c>
      <c r="O4378" s="16" t="s">
        <v>1916</v>
      </c>
      <c r="R4378" s="6"/>
      <c r="S4378" s="298"/>
    </row>
    <row r="4379" spans="14:19" hidden="1" x14ac:dyDescent="0.25">
      <c r="N4379" s="17">
        <v>637.49999999995305</v>
      </c>
      <c r="O4379" s="16" t="s">
        <v>1917</v>
      </c>
      <c r="R4379" s="6"/>
      <c r="S4379" s="298"/>
    </row>
    <row r="4380" spans="14:19" hidden="1" x14ac:dyDescent="0.25">
      <c r="N4380" s="17">
        <v>637.59999999995296</v>
      </c>
      <c r="O4380" s="16" t="s">
        <v>6246</v>
      </c>
      <c r="R4380" s="6"/>
      <c r="S4380" s="298"/>
    </row>
    <row r="4381" spans="14:19" hidden="1" x14ac:dyDescent="0.25">
      <c r="N4381" s="17">
        <v>637.69999999995298</v>
      </c>
      <c r="O4381" s="16" t="s">
        <v>6247</v>
      </c>
      <c r="R4381" s="6"/>
      <c r="S4381" s="298"/>
    </row>
    <row r="4382" spans="14:19" hidden="1" x14ac:dyDescent="0.25">
      <c r="N4382" s="17">
        <v>637.799999999953</v>
      </c>
      <c r="O4382" s="16" t="s">
        <v>6248</v>
      </c>
      <c r="R4382" s="6"/>
      <c r="S4382" s="298"/>
    </row>
    <row r="4383" spans="14:19" hidden="1" x14ac:dyDescent="0.25">
      <c r="N4383" s="17">
        <v>637.89999999995302</v>
      </c>
      <c r="O4383" s="16" t="s">
        <v>6249</v>
      </c>
      <c r="R4383" s="6"/>
      <c r="S4383" s="298"/>
    </row>
    <row r="4384" spans="14:19" hidden="1" x14ac:dyDescent="0.25">
      <c r="N4384" s="17">
        <v>637.99999999995305</v>
      </c>
      <c r="O4384" s="16" t="s">
        <v>6250</v>
      </c>
      <c r="R4384" s="6"/>
      <c r="S4384" s="298"/>
    </row>
    <row r="4385" spans="14:19" hidden="1" x14ac:dyDescent="0.25">
      <c r="N4385" s="17">
        <v>638.09999999995296</v>
      </c>
      <c r="O4385" s="16" t="s">
        <v>6251</v>
      </c>
      <c r="R4385" s="6"/>
      <c r="S4385" s="298"/>
    </row>
    <row r="4386" spans="14:19" hidden="1" x14ac:dyDescent="0.25">
      <c r="N4386" s="17">
        <v>638.19999999995298</v>
      </c>
      <c r="O4386" s="16" t="s">
        <v>6252</v>
      </c>
      <c r="R4386" s="6"/>
      <c r="S4386" s="298"/>
    </row>
    <row r="4387" spans="14:19" hidden="1" x14ac:dyDescent="0.25">
      <c r="N4387" s="17">
        <v>638.299999999953</v>
      </c>
      <c r="O4387" s="16" t="s">
        <v>6253</v>
      </c>
      <c r="R4387" s="6"/>
      <c r="S4387" s="298"/>
    </row>
    <row r="4388" spans="14:19" hidden="1" x14ac:dyDescent="0.25">
      <c r="N4388" s="17">
        <v>638.39999999995302</v>
      </c>
      <c r="O4388" s="16" t="s">
        <v>6254</v>
      </c>
      <c r="R4388" s="6"/>
      <c r="S4388" s="298"/>
    </row>
    <row r="4389" spans="14:19" hidden="1" x14ac:dyDescent="0.25">
      <c r="N4389" s="17">
        <v>638.49999999995305</v>
      </c>
      <c r="O4389" s="16" t="s">
        <v>1967</v>
      </c>
      <c r="R4389" s="6"/>
      <c r="S4389" s="298"/>
    </row>
    <row r="4390" spans="14:19" hidden="1" x14ac:dyDescent="0.25">
      <c r="N4390" s="17">
        <v>638.59999999995296</v>
      </c>
      <c r="O4390" s="16" t="s">
        <v>1968</v>
      </c>
      <c r="R4390" s="6"/>
      <c r="S4390" s="298"/>
    </row>
    <row r="4391" spans="14:19" hidden="1" x14ac:dyDescent="0.25">
      <c r="N4391" s="17">
        <v>638.69999999995298</v>
      </c>
      <c r="O4391" s="16" t="s">
        <v>1969</v>
      </c>
      <c r="R4391" s="6"/>
      <c r="S4391" s="298"/>
    </row>
    <row r="4392" spans="14:19" hidden="1" x14ac:dyDescent="0.25">
      <c r="N4392" s="17">
        <v>638.799999999953</v>
      </c>
      <c r="O4392" s="16" t="s">
        <v>1970</v>
      </c>
      <c r="R4392" s="6"/>
      <c r="S4392" s="298"/>
    </row>
    <row r="4393" spans="14:19" hidden="1" x14ac:dyDescent="0.25">
      <c r="N4393" s="17">
        <v>638.89999999995302</v>
      </c>
      <c r="O4393" s="16" t="s">
        <v>1971</v>
      </c>
      <c r="R4393" s="6"/>
      <c r="S4393" s="298"/>
    </row>
    <row r="4394" spans="14:19" hidden="1" x14ac:dyDescent="0.25">
      <c r="N4394" s="17">
        <v>638.99999999995305</v>
      </c>
      <c r="O4394" s="16" t="s">
        <v>1972</v>
      </c>
      <c r="R4394" s="6"/>
      <c r="S4394" s="298"/>
    </row>
    <row r="4395" spans="14:19" hidden="1" x14ac:dyDescent="0.25">
      <c r="N4395" s="17">
        <v>639.09999999995296</v>
      </c>
      <c r="O4395" s="16" t="s">
        <v>1973</v>
      </c>
      <c r="R4395" s="6"/>
      <c r="S4395" s="298"/>
    </row>
    <row r="4396" spans="14:19" hidden="1" x14ac:dyDescent="0.25">
      <c r="N4396" s="17">
        <v>639.19999999995298</v>
      </c>
      <c r="O4396" s="16" t="s">
        <v>1974</v>
      </c>
      <c r="R4396" s="6"/>
      <c r="S4396" s="298"/>
    </row>
    <row r="4397" spans="14:19" hidden="1" x14ac:dyDescent="0.25">
      <c r="N4397" s="17">
        <v>639.299999999953</v>
      </c>
      <c r="O4397" s="16" t="s">
        <v>1975</v>
      </c>
      <c r="R4397" s="6"/>
      <c r="S4397" s="298"/>
    </row>
    <row r="4398" spans="14:19" hidden="1" x14ac:dyDescent="0.25">
      <c r="N4398" s="17">
        <v>639.399999999952</v>
      </c>
      <c r="O4398" s="16" t="s">
        <v>1976</v>
      </c>
      <c r="R4398" s="6"/>
      <c r="S4398" s="298"/>
    </row>
    <row r="4399" spans="14:19" hidden="1" x14ac:dyDescent="0.25">
      <c r="N4399" s="17">
        <v>639.49999999995202</v>
      </c>
      <c r="O4399" s="16" t="s">
        <v>1977</v>
      </c>
      <c r="R4399" s="6"/>
      <c r="S4399" s="298"/>
    </row>
    <row r="4400" spans="14:19" hidden="1" x14ac:dyDescent="0.25">
      <c r="N4400" s="17">
        <v>639.59999999995205</v>
      </c>
      <c r="O4400" s="16" t="s">
        <v>1978</v>
      </c>
      <c r="R4400" s="6"/>
      <c r="S4400" s="298"/>
    </row>
    <row r="4401" spans="14:19" hidden="1" x14ac:dyDescent="0.25">
      <c r="N4401" s="17">
        <v>639.69999999995196</v>
      </c>
      <c r="O4401" s="16" t="s">
        <v>1979</v>
      </c>
      <c r="R4401" s="6"/>
      <c r="S4401" s="298"/>
    </row>
    <row r="4402" spans="14:19" hidden="1" x14ac:dyDescent="0.25">
      <c r="N4402" s="17">
        <v>639.79999999995198</v>
      </c>
      <c r="O4402" s="16" t="s">
        <v>1980</v>
      </c>
      <c r="R4402" s="6"/>
      <c r="S4402" s="298"/>
    </row>
    <row r="4403" spans="14:19" hidden="1" x14ac:dyDescent="0.25">
      <c r="N4403" s="17">
        <v>639.899999999952</v>
      </c>
      <c r="O4403" s="16" t="s">
        <v>1981</v>
      </c>
      <c r="R4403" s="6"/>
      <c r="S4403" s="298"/>
    </row>
    <row r="4404" spans="14:19" hidden="1" x14ac:dyDescent="0.25">
      <c r="N4404" s="17">
        <v>639.99999999995202</v>
      </c>
      <c r="O4404" s="16" t="s">
        <v>1982</v>
      </c>
      <c r="R4404" s="6"/>
      <c r="S4404" s="298"/>
    </row>
    <row r="4405" spans="14:19" hidden="1" x14ac:dyDescent="0.25">
      <c r="N4405" s="17">
        <v>640.09999999995205</v>
      </c>
      <c r="O4405" s="16" t="s">
        <v>1983</v>
      </c>
      <c r="R4405" s="6"/>
      <c r="S4405" s="298"/>
    </row>
    <row r="4406" spans="14:19" hidden="1" x14ac:dyDescent="0.25">
      <c r="N4406" s="17">
        <v>640.19999999995196</v>
      </c>
      <c r="O4406" s="16" t="s">
        <v>1984</v>
      </c>
      <c r="R4406" s="6"/>
      <c r="S4406" s="298"/>
    </row>
    <row r="4407" spans="14:19" hidden="1" x14ac:dyDescent="0.25">
      <c r="N4407" s="17">
        <v>640.29999999995198</v>
      </c>
      <c r="O4407" s="16" t="s">
        <v>1985</v>
      </c>
      <c r="R4407" s="6"/>
      <c r="S4407" s="298"/>
    </row>
    <row r="4408" spans="14:19" hidden="1" x14ac:dyDescent="0.25">
      <c r="N4408" s="17">
        <v>640.399999999952</v>
      </c>
      <c r="O4408" s="16" t="s">
        <v>1986</v>
      </c>
      <c r="R4408" s="6"/>
      <c r="S4408" s="298"/>
    </row>
    <row r="4409" spans="14:19" hidden="1" x14ac:dyDescent="0.25">
      <c r="N4409" s="17">
        <v>640.49999999995202</v>
      </c>
      <c r="O4409" s="16" t="s">
        <v>1987</v>
      </c>
      <c r="R4409" s="6"/>
      <c r="S4409" s="298"/>
    </row>
    <row r="4410" spans="14:19" hidden="1" x14ac:dyDescent="0.25">
      <c r="N4410" s="17">
        <v>640.59999999995205</v>
      </c>
      <c r="O4410" s="16" t="s">
        <v>1988</v>
      </c>
      <c r="R4410" s="6"/>
      <c r="S4410" s="298"/>
    </row>
    <row r="4411" spans="14:19" hidden="1" x14ac:dyDescent="0.25">
      <c r="N4411" s="17">
        <v>640.69999999995196</v>
      </c>
      <c r="O4411" s="16" t="s">
        <v>1989</v>
      </c>
      <c r="R4411" s="6"/>
      <c r="S4411" s="298"/>
    </row>
    <row r="4412" spans="14:19" hidden="1" x14ac:dyDescent="0.25">
      <c r="N4412" s="17">
        <v>640.79999999995198</v>
      </c>
      <c r="O4412" s="16" t="s">
        <v>1990</v>
      </c>
      <c r="R4412" s="6"/>
      <c r="S4412" s="298"/>
    </row>
    <row r="4413" spans="14:19" hidden="1" x14ac:dyDescent="0.25">
      <c r="N4413" s="17">
        <v>640.899999999952</v>
      </c>
      <c r="O4413" s="16" t="s">
        <v>1991</v>
      </c>
      <c r="R4413" s="6"/>
      <c r="S4413" s="298"/>
    </row>
    <row r="4414" spans="14:19" hidden="1" x14ac:dyDescent="0.25">
      <c r="N4414" s="17">
        <v>640.99999999995202</v>
      </c>
      <c r="O4414" s="16" t="s">
        <v>1992</v>
      </c>
      <c r="R4414" s="6"/>
      <c r="S4414" s="298"/>
    </row>
    <row r="4415" spans="14:19" hidden="1" x14ac:dyDescent="0.25">
      <c r="N4415" s="17">
        <v>641.09999999995205</v>
      </c>
      <c r="O4415" s="16" t="s">
        <v>1993</v>
      </c>
      <c r="R4415" s="6"/>
      <c r="S4415" s="298"/>
    </row>
    <row r="4416" spans="14:19" hidden="1" x14ac:dyDescent="0.25">
      <c r="N4416" s="17">
        <v>641.19999999995196</v>
      </c>
      <c r="O4416" s="16" t="s">
        <v>1994</v>
      </c>
      <c r="R4416" s="6"/>
      <c r="S4416" s="298"/>
    </row>
    <row r="4417" spans="14:19" hidden="1" x14ac:dyDescent="0.25">
      <c r="N4417" s="17">
        <v>641.29999999995198</v>
      </c>
      <c r="O4417" s="16" t="s">
        <v>1995</v>
      </c>
      <c r="R4417" s="6"/>
      <c r="S4417" s="298"/>
    </row>
    <row r="4418" spans="14:19" hidden="1" x14ac:dyDescent="0.25">
      <c r="N4418" s="17">
        <v>641.399999999952</v>
      </c>
      <c r="O4418" s="16" t="s">
        <v>1996</v>
      </c>
      <c r="R4418" s="6"/>
      <c r="S4418" s="298"/>
    </row>
    <row r="4419" spans="14:19" hidden="1" x14ac:dyDescent="0.25">
      <c r="N4419" s="17">
        <v>641.49999999995202</v>
      </c>
      <c r="O4419" s="16" t="s">
        <v>1997</v>
      </c>
      <c r="R4419" s="6"/>
      <c r="S4419" s="298"/>
    </row>
    <row r="4420" spans="14:19" hidden="1" x14ac:dyDescent="0.25">
      <c r="N4420" s="17">
        <v>641.59999999995205</v>
      </c>
      <c r="O4420" s="16" t="s">
        <v>1998</v>
      </c>
      <c r="R4420" s="6"/>
      <c r="S4420" s="298"/>
    </row>
    <row r="4421" spans="14:19" hidden="1" x14ac:dyDescent="0.25">
      <c r="N4421" s="17">
        <v>641.69999999995196</v>
      </c>
      <c r="O4421" s="16" t="s">
        <v>1999</v>
      </c>
      <c r="R4421" s="6"/>
      <c r="S4421" s="298"/>
    </row>
    <row r="4422" spans="14:19" hidden="1" x14ac:dyDescent="0.25">
      <c r="N4422" s="17">
        <v>641.79999999995198</v>
      </c>
      <c r="O4422" s="16" t="s">
        <v>2000</v>
      </c>
      <c r="R4422" s="6"/>
      <c r="S4422" s="298"/>
    </row>
    <row r="4423" spans="14:19" hidden="1" x14ac:dyDescent="0.25">
      <c r="N4423" s="17">
        <v>641.899999999952</v>
      </c>
      <c r="O4423" s="16" t="s">
        <v>2001</v>
      </c>
      <c r="R4423" s="6"/>
      <c r="S4423" s="298"/>
    </row>
    <row r="4424" spans="14:19" hidden="1" x14ac:dyDescent="0.25">
      <c r="N4424" s="17">
        <v>641.99999999995202</v>
      </c>
      <c r="O4424" s="16" t="s">
        <v>2002</v>
      </c>
      <c r="R4424" s="6"/>
      <c r="S4424" s="298"/>
    </row>
    <row r="4425" spans="14:19" hidden="1" x14ac:dyDescent="0.25">
      <c r="N4425" s="17">
        <v>642.09999999995205</v>
      </c>
      <c r="O4425" s="16" t="s">
        <v>2003</v>
      </c>
      <c r="R4425" s="6"/>
      <c r="S4425" s="298"/>
    </row>
    <row r="4426" spans="14:19" hidden="1" x14ac:dyDescent="0.25">
      <c r="N4426" s="17">
        <v>642.19999999995196</v>
      </c>
      <c r="O4426" s="16" t="s">
        <v>4163</v>
      </c>
      <c r="R4426" s="6"/>
      <c r="S4426" s="298"/>
    </row>
    <row r="4427" spans="14:19" hidden="1" x14ac:dyDescent="0.25">
      <c r="N4427" s="17">
        <v>642.29999999995198</v>
      </c>
      <c r="O4427" s="16" t="s">
        <v>4164</v>
      </c>
      <c r="R4427" s="6"/>
      <c r="S4427" s="298"/>
    </row>
    <row r="4428" spans="14:19" hidden="1" x14ac:dyDescent="0.25">
      <c r="N4428" s="17">
        <v>642.39999999995098</v>
      </c>
      <c r="O4428" s="16" t="s">
        <v>4165</v>
      </c>
      <c r="R4428" s="6"/>
      <c r="S4428" s="298"/>
    </row>
    <row r="4429" spans="14:19" hidden="1" x14ac:dyDescent="0.25">
      <c r="N4429" s="17">
        <v>642.499999999951</v>
      </c>
      <c r="O4429" s="16" t="s">
        <v>4166</v>
      </c>
      <c r="R4429" s="6"/>
      <c r="S4429" s="298"/>
    </row>
    <row r="4430" spans="14:19" hidden="1" x14ac:dyDescent="0.25">
      <c r="N4430" s="17">
        <v>642.59999999995102</v>
      </c>
      <c r="O4430" s="16" t="s">
        <v>4167</v>
      </c>
      <c r="R4430" s="6"/>
      <c r="S4430" s="298"/>
    </row>
    <row r="4431" spans="14:19" hidden="1" x14ac:dyDescent="0.25">
      <c r="N4431" s="17">
        <v>642.69999999995105</v>
      </c>
      <c r="O4431" s="16" t="s">
        <v>4168</v>
      </c>
      <c r="R4431" s="6"/>
      <c r="S4431" s="298"/>
    </row>
    <row r="4432" spans="14:19" hidden="1" x14ac:dyDescent="0.25">
      <c r="N4432" s="17">
        <v>642.79999999995096</v>
      </c>
      <c r="O4432" s="16" t="s">
        <v>4169</v>
      </c>
      <c r="R4432" s="6"/>
      <c r="S4432" s="298"/>
    </row>
    <row r="4433" spans="14:19" hidden="1" x14ac:dyDescent="0.25">
      <c r="N4433" s="17">
        <v>642.89999999995098</v>
      </c>
      <c r="O4433" s="16" t="s">
        <v>4170</v>
      </c>
      <c r="R4433" s="6"/>
      <c r="S4433" s="298"/>
    </row>
    <row r="4434" spans="14:19" hidden="1" x14ac:dyDescent="0.25">
      <c r="N4434" s="17">
        <v>642.999999999951</v>
      </c>
      <c r="O4434" s="16" t="s">
        <v>4171</v>
      </c>
      <c r="R4434" s="6"/>
      <c r="S4434" s="298"/>
    </row>
    <row r="4435" spans="14:19" hidden="1" x14ac:dyDescent="0.25">
      <c r="N4435" s="17">
        <v>643.09999999995102</v>
      </c>
      <c r="O4435" s="16" t="s">
        <v>2025</v>
      </c>
      <c r="R4435" s="6"/>
      <c r="S4435" s="298"/>
    </row>
    <row r="4436" spans="14:19" hidden="1" x14ac:dyDescent="0.25">
      <c r="N4436" s="17">
        <v>643.19999999995105</v>
      </c>
      <c r="O4436" s="16" t="s">
        <v>2026</v>
      </c>
      <c r="R4436" s="6"/>
      <c r="S4436" s="298"/>
    </row>
    <row r="4437" spans="14:19" hidden="1" x14ac:dyDescent="0.25">
      <c r="N4437" s="17">
        <v>643.29999999995096</v>
      </c>
      <c r="O4437" s="16" t="s">
        <v>2027</v>
      </c>
      <c r="R4437" s="6"/>
      <c r="S4437" s="298"/>
    </row>
    <row r="4438" spans="14:19" hidden="1" x14ac:dyDescent="0.25">
      <c r="N4438" s="17">
        <v>643.39999999995098</v>
      </c>
      <c r="O4438" s="16" t="s">
        <v>2028</v>
      </c>
      <c r="R4438" s="6"/>
      <c r="S4438" s="298"/>
    </row>
    <row r="4439" spans="14:19" hidden="1" x14ac:dyDescent="0.25">
      <c r="N4439" s="17">
        <v>643.499999999951</v>
      </c>
      <c r="O4439" s="16" t="s">
        <v>2029</v>
      </c>
      <c r="R4439" s="6"/>
      <c r="S4439" s="298"/>
    </row>
    <row r="4440" spans="14:19" hidden="1" x14ac:dyDescent="0.25">
      <c r="N4440" s="17">
        <v>643.59999999995102</v>
      </c>
      <c r="O4440" s="16" t="s">
        <v>2030</v>
      </c>
      <c r="R4440" s="6"/>
      <c r="S4440" s="298"/>
    </row>
    <row r="4441" spans="14:19" hidden="1" x14ac:dyDescent="0.25">
      <c r="N4441" s="17">
        <v>643.69999999995105</v>
      </c>
      <c r="O4441" s="16" t="s">
        <v>2031</v>
      </c>
      <c r="R4441" s="6"/>
      <c r="S4441" s="298"/>
    </row>
    <row r="4442" spans="14:19" hidden="1" x14ac:dyDescent="0.25">
      <c r="N4442" s="17">
        <v>643.79999999995096</v>
      </c>
      <c r="O4442" s="16" t="s">
        <v>8324</v>
      </c>
      <c r="R4442" s="6"/>
      <c r="S4442" s="298"/>
    </row>
    <row r="4443" spans="14:19" hidden="1" x14ac:dyDescent="0.25">
      <c r="N4443" s="17">
        <v>643.89999999995098</v>
      </c>
      <c r="O4443" s="16" t="s">
        <v>8325</v>
      </c>
      <c r="R4443" s="6"/>
      <c r="S4443" s="298"/>
    </row>
    <row r="4444" spans="14:19" hidden="1" x14ac:dyDescent="0.25">
      <c r="N4444" s="17">
        <v>643.999999999951</v>
      </c>
      <c r="O4444" s="16" t="s">
        <v>8326</v>
      </c>
      <c r="R4444" s="6"/>
      <c r="S4444" s="298"/>
    </row>
    <row r="4445" spans="14:19" hidden="1" x14ac:dyDescent="0.25">
      <c r="N4445" s="17">
        <v>644.09999999995102</v>
      </c>
      <c r="O4445" s="16" t="s">
        <v>8327</v>
      </c>
      <c r="R4445" s="6"/>
      <c r="S4445" s="298"/>
    </row>
    <row r="4446" spans="14:19" hidden="1" x14ac:dyDescent="0.25">
      <c r="N4446" s="17">
        <v>644.19999999995105</v>
      </c>
      <c r="O4446" s="16" t="s">
        <v>8328</v>
      </c>
      <c r="R4446" s="6"/>
      <c r="S4446" s="298"/>
    </row>
    <row r="4447" spans="14:19" hidden="1" x14ac:dyDescent="0.25">
      <c r="N4447" s="17">
        <v>644.29999999995096</v>
      </c>
      <c r="O4447" s="16" t="s">
        <v>8329</v>
      </c>
      <c r="R4447" s="6"/>
      <c r="S4447" s="298"/>
    </row>
    <row r="4448" spans="14:19" hidden="1" x14ac:dyDescent="0.25">
      <c r="N4448" s="17">
        <v>644.39999999995098</v>
      </c>
      <c r="O4448" s="16" t="s">
        <v>8330</v>
      </c>
      <c r="R4448" s="6"/>
      <c r="S4448" s="298"/>
    </row>
    <row r="4449" spans="14:19" hidden="1" x14ac:dyDescent="0.25">
      <c r="N4449" s="17">
        <v>644.499999999951</v>
      </c>
      <c r="O4449" s="16" t="s">
        <v>8331</v>
      </c>
      <c r="R4449" s="6"/>
      <c r="S4449" s="298"/>
    </row>
    <row r="4450" spans="14:19" hidden="1" x14ac:dyDescent="0.25">
      <c r="N4450" s="17">
        <v>644.59999999995102</v>
      </c>
      <c r="O4450" s="16" t="s">
        <v>8332</v>
      </c>
      <c r="R4450" s="6"/>
      <c r="S4450" s="298"/>
    </row>
    <row r="4451" spans="14:19" hidden="1" x14ac:dyDescent="0.25">
      <c r="N4451" s="17">
        <v>644.69999999995105</v>
      </c>
      <c r="O4451" s="16" t="s">
        <v>8333</v>
      </c>
      <c r="R4451" s="6"/>
      <c r="S4451" s="298"/>
    </row>
    <row r="4452" spans="14:19" hidden="1" x14ac:dyDescent="0.25">
      <c r="N4452" s="17">
        <v>644.79999999995096</v>
      </c>
      <c r="O4452" s="16" t="s">
        <v>8334</v>
      </c>
      <c r="R4452" s="6"/>
      <c r="S4452" s="298"/>
    </row>
    <row r="4453" spans="14:19" hidden="1" x14ac:dyDescent="0.25">
      <c r="N4453" s="17">
        <v>644.89999999995098</v>
      </c>
      <c r="O4453" s="16" t="s">
        <v>8326</v>
      </c>
      <c r="R4453" s="6"/>
      <c r="S4453" s="298"/>
    </row>
    <row r="4454" spans="14:19" hidden="1" x14ac:dyDescent="0.25">
      <c r="N4454" s="17">
        <v>644.999999999951</v>
      </c>
      <c r="O4454" s="16" t="s">
        <v>8335</v>
      </c>
      <c r="R4454" s="6"/>
      <c r="S4454" s="298"/>
    </row>
    <row r="4455" spans="14:19" hidden="1" x14ac:dyDescent="0.25">
      <c r="N4455" s="17">
        <v>645.09999999995102</v>
      </c>
      <c r="O4455" s="16" t="s">
        <v>8336</v>
      </c>
      <c r="R4455" s="6"/>
      <c r="S4455" s="298"/>
    </row>
    <row r="4456" spans="14:19" hidden="1" x14ac:dyDescent="0.25">
      <c r="N4456" s="17">
        <v>645.19999999995105</v>
      </c>
      <c r="O4456" s="16" t="s">
        <v>8337</v>
      </c>
      <c r="R4456" s="6"/>
      <c r="S4456" s="298"/>
    </row>
    <row r="4457" spans="14:19" hidden="1" x14ac:dyDescent="0.25">
      <c r="N4457" s="17">
        <v>645.29999999995005</v>
      </c>
      <c r="O4457" s="16" t="s">
        <v>6290</v>
      </c>
      <c r="R4457" s="6"/>
      <c r="S4457" s="298"/>
    </row>
    <row r="4458" spans="14:19" hidden="1" x14ac:dyDescent="0.25">
      <c r="N4458" s="17">
        <v>645.39999999994996</v>
      </c>
      <c r="O4458" s="16" t="s">
        <v>6291</v>
      </c>
      <c r="R4458" s="6"/>
      <c r="S4458" s="298"/>
    </row>
    <row r="4459" spans="14:19" hidden="1" x14ac:dyDescent="0.25">
      <c r="N4459" s="17">
        <v>645.49999999994998</v>
      </c>
      <c r="O4459" s="16" t="s">
        <v>6292</v>
      </c>
      <c r="R4459" s="6"/>
      <c r="S4459" s="298"/>
    </row>
    <row r="4460" spans="14:19" hidden="1" x14ac:dyDescent="0.25">
      <c r="N4460" s="17">
        <v>645.59999999995</v>
      </c>
      <c r="O4460" s="16" t="s">
        <v>6293</v>
      </c>
      <c r="R4460" s="6"/>
      <c r="S4460" s="298"/>
    </row>
    <row r="4461" spans="14:19" hidden="1" x14ac:dyDescent="0.25">
      <c r="N4461" s="17">
        <v>645.69999999995002</v>
      </c>
      <c r="O4461" s="16" t="s">
        <v>6294</v>
      </c>
      <c r="R4461" s="6"/>
      <c r="S4461" s="298"/>
    </row>
    <row r="4462" spans="14:19" hidden="1" x14ac:dyDescent="0.25">
      <c r="N4462" s="17">
        <v>645.79999999995005</v>
      </c>
      <c r="O4462" s="16" t="s">
        <v>6295</v>
      </c>
      <c r="R4462" s="6"/>
      <c r="S4462" s="298"/>
    </row>
    <row r="4463" spans="14:19" hidden="1" x14ac:dyDescent="0.25">
      <c r="N4463" s="17">
        <v>645.89999999994996</v>
      </c>
      <c r="O4463" s="16" t="s">
        <v>6296</v>
      </c>
      <c r="R4463" s="6"/>
      <c r="S4463" s="298"/>
    </row>
    <row r="4464" spans="14:19" hidden="1" x14ac:dyDescent="0.25">
      <c r="N4464" s="17">
        <v>645.99999999994998</v>
      </c>
      <c r="O4464" s="16" t="s">
        <v>6297</v>
      </c>
      <c r="R4464" s="6"/>
      <c r="S4464" s="298"/>
    </row>
    <row r="4465" spans="14:19" hidden="1" x14ac:dyDescent="0.25">
      <c r="N4465" s="17">
        <v>646.09999999995</v>
      </c>
      <c r="O4465" s="16" t="s">
        <v>6298</v>
      </c>
      <c r="R4465" s="6"/>
      <c r="S4465" s="298"/>
    </row>
    <row r="4466" spans="14:19" hidden="1" x14ac:dyDescent="0.25">
      <c r="N4466" s="17">
        <v>646.19999999995002</v>
      </c>
      <c r="O4466" s="16" t="s">
        <v>6299</v>
      </c>
      <c r="R4466" s="6"/>
      <c r="S4466" s="298"/>
    </row>
    <row r="4467" spans="14:19" hidden="1" x14ac:dyDescent="0.25">
      <c r="N4467" s="17">
        <v>646.29999999995005</v>
      </c>
      <c r="O4467" s="16" t="s">
        <v>6300</v>
      </c>
      <c r="R4467" s="6"/>
      <c r="S4467" s="298"/>
    </row>
    <row r="4468" spans="14:19" hidden="1" x14ac:dyDescent="0.25">
      <c r="N4468" s="17">
        <v>646.39999999994996</v>
      </c>
      <c r="O4468" s="16" t="s">
        <v>6301</v>
      </c>
      <c r="R4468" s="6"/>
      <c r="S4468" s="298"/>
    </row>
    <row r="4469" spans="14:19" hidden="1" x14ac:dyDescent="0.25">
      <c r="N4469" s="17">
        <v>646.49999999994998</v>
      </c>
      <c r="O4469" s="16" t="s">
        <v>6302</v>
      </c>
      <c r="R4469" s="6"/>
      <c r="S4469" s="298"/>
    </row>
    <row r="4470" spans="14:19" hidden="1" x14ac:dyDescent="0.25">
      <c r="N4470" s="17">
        <v>646.59999999995</v>
      </c>
      <c r="O4470" s="16" t="s">
        <v>6303</v>
      </c>
      <c r="R4470" s="6"/>
      <c r="S4470" s="298"/>
    </row>
    <row r="4471" spans="14:19" hidden="1" x14ac:dyDescent="0.25">
      <c r="N4471" s="17">
        <v>646.69999999995002</v>
      </c>
      <c r="O4471" s="16" t="s">
        <v>6304</v>
      </c>
      <c r="R4471" s="6"/>
      <c r="S4471" s="298"/>
    </row>
    <row r="4472" spans="14:19" hidden="1" x14ac:dyDescent="0.25">
      <c r="N4472" s="17">
        <v>646.79999999995005</v>
      </c>
      <c r="O4472" s="16" t="s">
        <v>6305</v>
      </c>
      <c r="R4472" s="6"/>
      <c r="S4472" s="298"/>
    </row>
    <row r="4473" spans="14:19" hidden="1" x14ac:dyDescent="0.25">
      <c r="N4473" s="17">
        <v>646.89999999994996</v>
      </c>
      <c r="O4473" s="16" t="s">
        <v>6306</v>
      </c>
      <c r="R4473" s="6"/>
      <c r="S4473" s="298"/>
    </row>
    <row r="4474" spans="14:19" hidden="1" x14ac:dyDescent="0.25">
      <c r="N4474" s="17">
        <v>646.99999999994998</v>
      </c>
      <c r="O4474" s="16" t="s">
        <v>6307</v>
      </c>
      <c r="R4474" s="6"/>
      <c r="S4474" s="298"/>
    </row>
    <row r="4475" spans="14:19" hidden="1" x14ac:dyDescent="0.25">
      <c r="N4475" s="17">
        <v>647.09999999995</v>
      </c>
      <c r="O4475" s="16" t="s">
        <v>6308</v>
      </c>
      <c r="R4475" s="6"/>
      <c r="S4475" s="298"/>
    </row>
    <row r="4476" spans="14:19" hidden="1" x14ac:dyDescent="0.25">
      <c r="N4476" s="17">
        <v>647.19999999995002</v>
      </c>
      <c r="O4476" s="16" t="s">
        <v>6309</v>
      </c>
      <c r="R4476" s="6"/>
      <c r="S4476" s="298"/>
    </row>
    <row r="4477" spans="14:19" hidden="1" x14ac:dyDescent="0.25">
      <c r="N4477" s="17">
        <v>647.29999999995005</v>
      </c>
      <c r="O4477" s="16" t="s">
        <v>6310</v>
      </c>
      <c r="R4477" s="6"/>
      <c r="S4477" s="298"/>
    </row>
    <row r="4478" spans="14:19" hidden="1" x14ac:dyDescent="0.25">
      <c r="N4478" s="17">
        <v>647.39999999994996</v>
      </c>
      <c r="O4478" s="16" t="s">
        <v>6311</v>
      </c>
      <c r="R4478" s="6"/>
      <c r="S4478" s="298"/>
    </row>
    <row r="4479" spans="14:19" hidden="1" x14ac:dyDescent="0.25">
      <c r="N4479" s="17">
        <v>647.49999999994998</v>
      </c>
      <c r="O4479" s="16" t="s">
        <v>6312</v>
      </c>
      <c r="R4479" s="6"/>
      <c r="S4479" s="298"/>
    </row>
    <row r="4480" spans="14:19" hidden="1" x14ac:dyDescent="0.25">
      <c r="N4480" s="17">
        <v>647.59999999995</v>
      </c>
      <c r="O4480" s="16" t="s">
        <v>6313</v>
      </c>
      <c r="R4480" s="6"/>
      <c r="S4480" s="298"/>
    </row>
    <row r="4481" spans="14:19" hidden="1" x14ac:dyDescent="0.25">
      <c r="N4481" s="17">
        <v>647.69999999995002</v>
      </c>
      <c r="O4481" s="16" t="s">
        <v>6314</v>
      </c>
      <c r="R4481" s="6"/>
      <c r="S4481" s="298"/>
    </row>
    <row r="4482" spans="14:19" hidden="1" x14ac:dyDescent="0.25">
      <c r="N4482" s="17">
        <v>647.79999999995005</v>
      </c>
      <c r="O4482" s="16" t="s">
        <v>6315</v>
      </c>
      <c r="R4482" s="6"/>
      <c r="S4482" s="298"/>
    </row>
    <row r="4483" spans="14:19" hidden="1" x14ac:dyDescent="0.25">
      <c r="N4483" s="17">
        <v>647.89999999994996</v>
      </c>
      <c r="O4483" s="16" t="s">
        <v>8170</v>
      </c>
      <c r="R4483" s="6"/>
      <c r="S4483" s="298"/>
    </row>
    <row r="4484" spans="14:19" hidden="1" x14ac:dyDescent="0.25">
      <c r="N4484" s="17">
        <v>647.99999999994998</v>
      </c>
      <c r="O4484" s="16" t="s">
        <v>8171</v>
      </c>
      <c r="R4484" s="6"/>
      <c r="S4484" s="298"/>
    </row>
    <row r="4485" spans="14:19" hidden="1" x14ac:dyDescent="0.25">
      <c r="N4485" s="17">
        <v>648.09999999995</v>
      </c>
      <c r="O4485" s="16" t="s">
        <v>6318</v>
      </c>
      <c r="R4485" s="6"/>
      <c r="S4485" s="298"/>
    </row>
    <row r="4486" spans="14:19" hidden="1" x14ac:dyDescent="0.25">
      <c r="N4486" s="17">
        <v>648.199999999949</v>
      </c>
      <c r="O4486" s="16" t="s">
        <v>6319</v>
      </c>
      <c r="R4486" s="6"/>
      <c r="S4486" s="298"/>
    </row>
    <row r="4487" spans="14:19" hidden="1" x14ac:dyDescent="0.25">
      <c r="N4487" s="17">
        <v>648.29999999994902</v>
      </c>
      <c r="O4487" s="16" t="s">
        <v>6320</v>
      </c>
      <c r="R4487" s="6"/>
      <c r="S4487" s="298"/>
    </row>
    <row r="4488" spans="14:19" hidden="1" x14ac:dyDescent="0.25">
      <c r="N4488" s="17">
        <v>648.39999999994905</v>
      </c>
      <c r="O4488" s="16" t="s">
        <v>6321</v>
      </c>
      <c r="R4488" s="6"/>
      <c r="S4488" s="298"/>
    </row>
    <row r="4489" spans="14:19" hidden="1" x14ac:dyDescent="0.25">
      <c r="N4489" s="17">
        <v>648.49999999994895</v>
      </c>
      <c r="O4489" s="16" t="s">
        <v>6322</v>
      </c>
      <c r="R4489" s="6"/>
      <c r="S4489" s="298"/>
    </row>
    <row r="4490" spans="14:19" hidden="1" x14ac:dyDescent="0.25">
      <c r="N4490" s="17">
        <v>648.59999999994898</v>
      </c>
      <c r="O4490" s="16" t="s">
        <v>6323</v>
      </c>
      <c r="R4490" s="6"/>
      <c r="S4490" s="298"/>
    </row>
    <row r="4491" spans="14:19" hidden="1" x14ac:dyDescent="0.25">
      <c r="N4491" s="17">
        <v>648.699999999949</v>
      </c>
      <c r="O4491" s="16" t="s">
        <v>4213</v>
      </c>
      <c r="R4491" s="6"/>
      <c r="S4491" s="298"/>
    </row>
    <row r="4492" spans="14:19" hidden="1" x14ac:dyDescent="0.25">
      <c r="N4492" s="17">
        <v>648.79999999994902</v>
      </c>
      <c r="O4492" s="16" t="s">
        <v>4214</v>
      </c>
      <c r="R4492" s="6"/>
      <c r="S4492" s="298"/>
    </row>
    <row r="4493" spans="14:19" hidden="1" x14ac:dyDescent="0.25">
      <c r="N4493" s="17">
        <v>648.89999999994905</v>
      </c>
      <c r="O4493" s="16" t="s">
        <v>4215</v>
      </c>
      <c r="R4493" s="6"/>
      <c r="S4493" s="298"/>
    </row>
    <row r="4494" spans="14:19" hidden="1" x14ac:dyDescent="0.25">
      <c r="N4494" s="17">
        <v>648.99999999994895</v>
      </c>
      <c r="O4494" s="16" t="s">
        <v>4216</v>
      </c>
      <c r="R4494" s="6"/>
      <c r="S4494" s="298"/>
    </row>
    <row r="4495" spans="14:19" hidden="1" x14ac:dyDescent="0.25">
      <c r="N4495" s="17">
        <v>649.09999999994898</v>
      </c>
      <c r="O4495" s="16" t="s">
        <v>4217</v>
      </c>
      <c r="R4495" s="6"/>
      <c r="S4495" s="298"/>
    </row>
    <row r="4496" spans="14:19" hidden="1" x14ac:dyDescent="0.25">
      <c r="N4496" s="17">
        <v>649.199999999949</v>
      </c>
      <c r="O4496" s="16" t="s">
        <v>4218</v>
      </c>
      <c r="R4496" s="6"/>
      <c r="S4496" s="298"/>
    </row>
    <row r="4497" spans="14:19" hidden="1" x14ac:dyDescent="0.25">
      <c r="N4497" s="17">
        <v>649.29999999994902</v>
      </c>
      <c r="O4497" s="16" t="s">
        <v>4219</v>
      </c>
      <c r="R4497" s="6"/>
      <c r="S4497" s="298"/>
    </row>
    <row r="4498" spans="14:19" hidden="1" x14ac:dyDescent="0.25">
      <c r="N4498" s="17">
        <v>649.39999999994905</v>
      </c>
      <c r="O4498" s="16" t="s">
        <v>4220</v>
      </c>
      <c r="R4498" s="6"/>
      <c r="S4498" s="298"/>
    </row>
    <row r="4499" spans="14:19" hidden="1" x14ac:dyDescent="0.25">
      <c r="N4499" s="17">
        <v>649.49999999994895</v>
      </c>
      <c r="O4499" s="16" t="s">
        <v>4221</v>
      </c>
      <c r="R4499" s="6"/>
      <c r="S4499" s="298"/>
    </row>
    <row r="4500" spans="14:19" hidden="1" x14ac:dyDescent="0.25">
      <c r="N4500" s="17">
        <v>649.59999999994898</v>
      </c>
      <c r="O4500" s="16" t="s">
        <v>4222</v>
      </c>
      <c r="R4500" s="6"/>
      <c r="S4500" s="298"/>
    </row>
    <row r="4501" spans="14:19" hidden="1" x14ac:dyDescent="0.25">
      <c r="N4501" s="17">
        <v>649.699999999949</v>
      </c>
      <c r="O4501" s="16" t="s">
        <v>4223</v>
      </c>
      <c r="R4501" s="6"/>
      <c r="S4501" s="298"/>
    </row>
    <row r="4502" spans="14:19" hidden="1" x14ac:dyDescent="0.25">
      <c r="N4502" s="17">
        <v>649.79999999994902</v>
      </c>
      <c r="O4502" s="16" t="s">
        <v>4224</v>
      </c>
      <c r="R4502" s="6"/>
      <c r="S4502" s="298"/>
    </row>
    <row r="4503" spans="14:19" hidden="1" x14ac:dyDescent="0.25">
      <c r="N4503" s="17">
        <v>649.89999999994905</v>
      </c>
      <c r="O4503" s="16" t="s">
        <v>4225</v>
      </c>
      <c r="R4503" s="6"/>
      <c r="S4503" s="298"/>
    </row>
    <row r="4504" spans="14:19" hidden="1" x14ac:dyDescent="0.25">
      <c r="N4504" s="17">
        <v>649.99999999994895</v>
      </c>
      <c r="O4504" s="16" t="s">
        <v>4226</v>
      </c>
      <c r="R4504" s="6"/>
      <c r="S4504" s="298"/>
    </row>
    <row r="4505" spans="14:19" hidden="1" x14ac:dyDescent="0.25">
      <c r="N4505" s="17">
        <v>650.09999999994898</v>
      </c>
      <c r="O4505" s="16" t="s">
        <v>4227</v>
      </c>
      <c r="R4505" s="6"/>
      <c r="S4505" s="298"/>
    </row>
    <row r="4506" spans="14:19" hidden="1" x14ac:dyDescent="0.25">
      <c r="N4506" s="17">
        <v>650.199999999949</v>
      </c>
      <c r="O4506" s="16" t="s">
        <v>4228</v>
      </c>
      <c r="R4506" s="6"/>
      <c r="S4506" s="298"/>
    </row>
    <row r="4507" spans="14:19" hidden="1" x14ac:dyDescent="0.25">
      <c r="N4507" s="17">
        <v>650.29999999994902</v>
      </c>
      <c r="O4507" s="16" t="s">
        <v>4229</v>
      </c>
      <c r="R4507" s="6"/>
      <c r="S4507" s="298"/>
    </row>
    <row r="4508" spans="14:19" hidden="1" x14ac:dyDescent="0.25">
      <c r="N4508" s="17">
        <v>650.39999999994905</v>
      </c>
      <c r="O4508" s="16" t="s">
        <v>4230</v>
      </c>
      <c r="R4508" s="6"/>
      <c r="S4508" s="298"/>
    </row>
    <row r="4509" spans="14:19" hidden="1" x14ac:dyDescent="0.25">
      <c r="N4509" s="17">
        <v>650.49999999994895</v>
      </c>
      <c r="O4509" s="16" t="s">
        <v>4231</v>
      </c>
      <c r="R4509" s="6"/>
      <c r="S4509" s="298"/>
    </row>
    <row r="4510" spans="14:19" hidden="1" x14ac:dyDescent="0.25">
      <c r="N4510" s="17">
        <v>650.59999999994898</v>
      </c>
      <c r="O4510" s="16" t="s">
        <v>4232</v>
      </c>
      <c r="R4510" s="6"/>
      <c r="S4510" s="298"/>
    </row>
    <row r="4511" spans="14:19" hidden="1" x14ac:dyDescent="0.25">
      <c r="N4511" s="17">
        <v>650.699999999949</v>
      </c>
      <c r="O4511" s="16" t="s">
        <v>4233</v>
      </c>
      <c r="R4511" s="6"/>
      <c r="S4511" s="298"/>
    </row>
    <row r="4512" spans="14:19" hidden="1" x14ac:dyDescent="0.25">
      <c r="N4512" s="17">
        <v>650.79999999994902</v>
      </c>
      <c r="O4512" s="16" t="s">
        <v>4234</v>
      </c>
      <c r="R4512" s="6"/>
      <c r="S4512" s="298"/>
    </row>
    <row r="4513" spans="14:19" hidden="1" x14ac:dyDescent="0.25">
      <c r="N4513" s="17">
        <v>650.89999999994905</v>
      </c>
      <c r="O4513" s="16" t="s">
        <v>4235</v>
      </c>
      <c r="R4513" s="6"/>
      <c r="S4513" s="298"/>
    </row>
    <row r="4514" spans="14:19" hidden="1" x14ac:dyDescent="0.25">
      <c r="N4514" s="17">
        <v>650.99999999994895</v>
      </c>
      <c r="O4514" s="16" t="s">
        <v>4236</v>
      </c>
      <c r="R4514" s="6"/>
      <c r="S4514" s="298"/>
    </row>
    <row r="4515" spans="14:19" hidden="1" x14ac:dyDescent="0.25">
      <c r="N4515" s="17">
        <v>651.09999999994795</v>
      </c>
      <c r="O4515" s="16" t="s">
        <v>4237</v>
      </c>
      <c r="R4515" s="6"/>
      <c r="S4515" s="298"/>
    </row>
    <row r="4516" spans="14:19" hidden="1" x14ac:dyDescent="0.25">
      <c r="N4516" s="17">
        <v>651.19999999994798</v>
      </c>
      <c r="O4516" s="16" t="s">
        <v>6348</v>
      </c>
      <c r="R4516" s="6"/>
      <c r="S4516" s="298"/>
    </row>
    <row r="4517" spans="14:19" hidden="1" x14ac:dyDescent="0.25">
      <c r="N4517" s="17">
        <v>651.299999999948</v>
      </c>
      <c r="O4517" s="16" t="s">
        <v>6349</v>
      </c>
      <c r="R4517" s="6"/>
      <c r="S4517" s="298"/>
    </row>
    <row r="4518" spans="14:19" hidden="1" x14ac:dyDescent="0.25">
      <c r="N4518" s="17">
        <v>651.39999999994802</v>
      </c>
      <c r="O4518" s="16" t="s">
        <v>6350</v>
      </c>
      <c r="R4518" s="6"/>
      <c r="S4518" s="298"/>
    </row>
    <row r="4519" spans="14:19" hidden="1" x14ac:dyDescent="0.25">
      <c r="N4519" s="17">
        <v>651.49999999994805</v>
      </c>
      <c r="O4519" s="16" t="s">
        <v>6351</v>
      </c>
      <c r="R4519" s="6"/>
      <c r="S4519" s="298"/>
    </row>
    <row r="4520" spans="14:19" hidden="1" x14ac:dyDescent="0.25">
      <c r="N4520" s="17">
        <v>651.59999999994795</v>
      </c>
      <c r="O4520" s="16" t="s">
        <v>6352</v>
      </c>
      <c r="R4520" s="6"/>
      <c r="S4520" s="298"/>
    </row>
    <row r="4521" spans="14:19" hidden="1" x14ac:dyDescent="0.25">
      <c r="N4521" s="17">
        <v>651.69999999994798</v>
      </c>
      <c r="O4521" s="16" t="s">
        <v>6353</v>
      </c>
      <c r="R4521" s="6"/>
      <c r="S4521" s="298"/>
    </row>
    <row r="4522" spans="14:19" hidden="1" x14ac:dyDescent="0.25">
      <c r="N4522" s="17">
        <v>651.799999999948</v>
      </c>
      <c r="O4522" s="16" t="s">
        <v>6354</v>
      </c>
      <c r="R4522" s="6"/>
      <c r="S4522" s="298"/>
    </row>
    <row r="4523" spans="14:19" hidden="1" x14ac:dyDescent="0.25">
      <c r="N4523" s="17">
        <v>651.89999999994802</v>
      </c>
      <c r="O4523" s="16" t="s">
        <v>6355</v>
      </c>
      <c r="R4523" s="6"/>
      <c r="S4523" s="298"/>
    </row>
    <row r="4524" spans="14:19" hidden="1" x14ac:dyDescent="0.25">
      <c r="N4524" s="17">
        <v>651.99999999994805</v>
      </c>
      <c r="O4524" s="16" t="s">
        <v>6356</v>
      </c>
      <c r="R4524" s="6"/>
      <c r="S4524" s="298"/>
    </row>
    <row r="4525" spans="14:19" hidden="1" x14ac:dyDescent="0.25">
      <c r="N4525" s="17">
        <v>652.09999999994795</v>
      </c>
      <c r="O4525" s="16" t="s">
        <v>6357</v>
      </c>
      <c r="R4525" s="6"/>
      <c r="S4525" s="298"/>
    </row>
    <row r="4526" spans="14:19" hidden="1" x14ac:dyDescent="0.25">
      <c r="N4526" s="17">
        <v>652.19999999994798</v>
      </c>
      <c r="O4526" s="16" t="s">
        <v>6358</v>
      </c>
      <c r="R4526" s="6"/>
      <c r="S4526" s="298"/>
    </row>
    <row r="4527" spans="14:19" hidden="1" x14ac:dyDescent="0.25">
      <c r="N4527" s="17">
        <v>652.299999999948</v>
      </c>
      <c r="O4527" s="16" t="s">
        <v>6359</v>
      </c>
      <c r="R4527" s="6"/>
      <c r="S4527" s="298"/>
    </row>
    <row r="4528" spans="14:19" hidden="1" x14ac:dyDescent="0.25">
      <c r="N4528" s="17">
        <v>652.39999999994802</v>
      </c>
      <c r="O4528" s="16" t="s">
        <v>6360</v>
      </c>
      <c r="R4528" s="6"/>
      <c r="S4528" s="298"/>
    </row>
    <row r="4529" spans="14:19" hidden="1" x14ac:dyDescent="0.25">
      <c r="N4529" s="17">
        <v>652.49999999994805</v>
      </c>
      <c r="O4529" s="16" t="s">
        <v>6361</v>
      </c>
      <c r="R4529" s="6"/>
      <c r="S4529" s="298"/>
    </row>
    <row r="4530" spans="14:19" hidden="1" x14ac:dyDescent="0.25">
      <c r="N4530" s="17">
        <v>652.59999999994795</v>
      </c>
      <c r="O4530" s="16" t="s">
        <v>6362</v>
      </c>
      <c r="R4530" s="6"/>
      <c r="S4530" s="298"/>
    </row>
    <row r="4531" spans="14:19" hidden="1" x14ac:dyDescent="0.25">
      <c r="N4531" s="17">
        <v>652.69999999994798</v>
      </c>
      <c r="O4531" s="16" t="s">
        <v>6363</v>
      </c>
      <c r="R4531" s="6"/>
      <c r="S4531" s="298"/>
    </row>
    <row r="4532" spans="14:19" hidden="1" x14ac:dyDescent="0.25">
      <c r="N4532" s="17">
        <v>652.799999999948</v>
      </c>
      <c r="O4532" s="16" t="s">
        <v>6364</v>
      </c>
      <c r="R4532" s="6"/>
      <c r="S4532" s="298"/>
    </row>
    <row r="4533" spans="14:19" hidden="1" x14ac:dyDescent="0.25">
      <c r="N4533" s="17">
        <v>652.89999999994802</v>
      </c>
      <c r="O4533" s="16" t="s">
        <v>6365</v>
      </c>
      <c r="R4533" s="6"/>
      <c r="S4533" s="298"/>
    </row>
    <row r="4534" spans="14:19" hidden="1" x14ac:dyDescent="0.25">
      <c r="N4534" s="17">
        <v>652.99999999994805</v>
      </c>
      <c r="O4534" s="16" t="s">
        <v>6366</v>
      </c>
      <c r="R4534" s="6"/>
      <c r="S4534" s="298"/>
    </row>
    <row r="4535" spans="14:19" hidden="1" x14ac:dyDescent="0.25">
      <c r="N4535" s="17">
        <v>653.09999999994795</v>
      </c>
      <c r="O4535" s="16" t="s">
        <v>6367</v>
      </c>
      <c r="R4535" s="6"/>
      <c r="S4535" s="298"/>
    </row>
    <row r="4536" spans="14:19" hidden="1" x14ac:dyDescent="0.25">
      <c r="N4536" s="17">
        <v>653.19999999994798</v>
      </c>
      <c r="O4536" s="16" t="s">
        <v>6368</v>
      </c>
      <c r="R4536" s="6"/>
      <c r="S4536" s="298"/>
    </row>
    <row r="4537" spans="14:19" hidden="1" x14ac:dyDescent="0.25">
      <c r="N4537" s="17">
        <v>653.299999999948</v>
      </c>
      <c r="O4537" s="16" t="s">
        <v>6369</v>
      </c>
      <c r="R4537" s="6"/>
      <c r="S4537" s="298"/>
    </row>
    <row r="4538" spans="14:19" hidden="1" x14ac:dyDescent="0.25">
      <c r="N4538" s="17">
        <v>653.39999999994802</v>
      </c>
      <c r="O4538" s="16" t="s">
        <v>6370</v>
      </c>
      <c r="R4538" s="6"/>
      <c r="S4538" s="298"/>
    </row>
    <row r="4539" spans="14:19" hidden="1" x14ac:dyDescent="0.25">
      <c r="N4539" s="17">
        <v>653.49999999994805</v>
      </c>
      <c r="O4539" s="16" t="s">
        <v>6371</v>
      </c>
      <c r="R4539" s="6"/>
      <c r="S4539" s="298"/>
    </row>
    <row r="4540" spans="14:19" hidden="1" x14ac:dyDescent="0.25">
      <c r="N4540" s="17">
        <v>653.59999999994795</v>
      </c>
      <c r="O4540" s="16" t="s">
        <v>6372</v>
      </c>
      <c r="R4540" s="6"/>
      <c r="S4540" s="298"/>
    </row>
    <row r="4541" spans="14:19" hidden="1" x14ac:dyDescent="0.25">
      <c r="N4541" s="17">
        <v>653.69999999994798</v>
      </c>
      <c r="O4541" s="16" t="s">
        <v>6373</v>
      </c>
      <c r="R4541" s="6"/>
      <c r="S4541" s="298"/>
    </row>
    <row r="4542" spans="14:19" hidden="1" x14ac:dyDescent="0.25">
      <c r="N4542" s="17">
        <v>653.799999999948</v>
      </c>
      <c r="O4542" s="16" t="s">
        <v>6374</v>
      </c>
      <c r="R4542" s="6"/>
      <c r="S4542" s="298"/>
    </row>
    <row r="4543" spans="14:19" hidden="1" x14ac:dyDescent="0.25">
      <c r="N4543" s="17">
        <v>653.89999999994802</v>
      </c>
      <c r="O4543" s="16" t="s">
        <v>6375</v>
      </c>
      <c r="R4543" s="6"/>
      <c r="S4543" s="298"/>
    </row>
    <row r="4544" spans="14:19" hidden="1" x14ac:dyDescent="0.25">
      <c r="N4544" s="17">
        <v>653.99999999994805</v>
      </c>
      <c r="O4544" s="16" t="s">
        <v>6376</v>
      </c>
      <c r="R4544" s="6"/>
      <c r="S4544" s="298"/>
    </row>
    <row r="4545" spans="14:19" hidden="1" x14ac:dyDescent="0.25">
      <c r="N4545" s="17">
        <v>654.09999999994704</v>
      </c>
      <c r="O4545" s="16" t="s">
        <v>4272</v>
      </c>
      <c r="R4545" s="6"/>
      <c r="S4545" s="298"/>
    </row>
    <row r="4546" spans="14:19" hidden="1" x14ac:dyDescent="0.25">
      <c r="N4546" s="17">
        <v>654.19999999994695</v>
      </c>
      <c r="O4546" s="16" t="s">
        <v>4273</v>
      </c>
      <c r="R4546" s="6"/>
      <c r="S4546" s="298"/>
    </row>
    <row r="4547" spans="14:19" hidden="1" x14ac:dyDescent="0.25">
      <c r="N4547" s="17">
        <v>654.29999999994698</v>
      </c>
      <c r="O4547" s="16" t="s">
        <v>4274</v>
      </c>
      <c r="R4547" s="6"/>
      <c r="S4547" s="298"/>
    </row>
    <row r="4548" spans="14:19" hidden="1" x14ac:dyDescent="0.25">
      <c r="N4548" s="17">
        <v>654.399999999947</v>
      </c>
      <c r="O4548" s="16" t="s">
        <v>4275</v>
      </c>
      <c r="R4548" s="6"/>
      <c r="S4548" s="298"/>
    </row>
    <row r="4549" spans="14:19" hidden="1" x14ac:dyDescent="0.25">
      <c r="N4549" s="17">
        <v>654.49999999994702</v>
      </c>
      <c r="O4549" s="16" t="s">
        <v>4276</v>
      </c>
      <c r="R4549" s="6"/>
      <c r="S4549" s="298"/>
    </row>
    <row r="4550" spans="14:19" hidden="1" x14ac:dyDescent="0.25">
      <c r="N4550" s="17">
        <v>654.59999999994704</v>
      </c>
      <c r="O4550" s="16" t="s">
        <v>4277</v>
      </c>
      <c r="R4550" s="6"/>
      <c r="S4550" s="298"/>
    </row>
    <row r="4551" spans="14:19" hidden="1" x14ac:dyDescent="0.25">
      <c r="N4551" s="17">
        <v>654.69999999994695</v>
      </c>
      <c r="O4551" s="16" t="s">
        <v>2102</v>
      </c>
      <c r="R4551" s="6"/>
      <c r="S4551" s="298"/>
    </row>
    <row r="4552" spans="14:19" hidden="1" x14ac:dyDescent="0.25">
      <c r="N4552" s="17">
        <v>654.79999999994698</v>
      </c>
      <c r="O4552" s="16" t="s">
        <v>2103</v>
      </c>
      <c r="R4552" s="6"/>
      <c r="S4552" s="298"/>
    </row>
    <row r="4553" spans="14:19" hidden="1" x14ac:dyDescent="0.25">
      <c r="N4553" s="17">
        <v>654.899999999947</v>
      </c>
      <c r="O4553" s="16" t="s">
        <v>2104</v>
      </c>
      <c r="R4553" s="6"/>
      <c r="S4553" s="298"/>
    </row>
    <row r="4554" spans="14:19" hidden="1" x14ac:dyDescent="0.25">
      <c r="N4554" s="17">
        <v>654.99999999994702</v>
      </c>
      <c r="O4554" s="16" t="s">
        <v>2105</v>
      </c>
      <c r="R4554" s="6"/>
      <c r="S4554" s="298"/>
    </row>
    <row r="4555" spans="14:19" hidden="1" x14ac:dyDescent="0.25">
      <c r="N4555" s="17">
        <v>655.09999999994704</v>
      </c>
      <c r="O4555" s="16" t="s">
        <v>2106</v>
      </c>
      <c r="R4555" s="6"/>
      <c r="S4555" s="298"/>
    </row>
    <row r="4556" spans="14:19" hidden="1" x14ac:dyDescent="0.25">
      <c r="N4556" s="17">
        <v>655.19999999994695</v>
      </c>
      <c r="O4556" s="16" t="s">
        <v>2107</v>
      </c>
      <c r="R4556" s="6"/>
      <c r="S4556" s="298"/>
    </row>
    <row r="4557" spans="14:19" hidden="1" x14ac:dyDescent="0.25">
      <c r="N4557" s="17">
        <v>655.29999999994698</v>
      </c>
      <c r="O4557" s="16" t="s">
        <v>2108</v>
      </c>
      <c r="R4557" s="6"/>
      <c r="S4557" s="298"/>
    </row>
    <row r="4558" spans="14:19" hidden="1" x14ac:dyDescent="0.25">
      <c r="N4558" s="17">
        <v>655.399999999947</v>
      </c>
      <c r="O4558" s="16" t="s">
        <v>2109</v>
      </c>
      <c r="R4558" s="6"/>
      <c r="S4558" s="298"/>
    </row>
    <row r="4559" spans="14:19" hidden="1" x14ac:dyDescent="0.25">
      <c r="N4559" s="17">
        <v>655.49999999994702</v>
      </c>
      <c r="O4559" s="16" t="s">
        <v>2110</v>
      </c>
      <c r="R4559" s="6"/>
      <c r="S4559" s="298"/>
    </row>
    <row r="4560" spans="14:19" hidden="1" x14ac:dyDescent="0.25">
      <c r="N4560" s="17">
        <v>655.59999999994704</v>
      </c>
      <c r="O4560" s="16" t="s">
        <v>2111</v>
      </c>
      <c r="R4560" s="6"/>
      <c r="S4560" s="298"/>
    </row>
    <row r="4561" spans="14:19" hidden="1" x14ac:dyDescent="0.25">
      <c r="N4561" s="17">
        <v>655.69999999994695</v>
      </c>
      <c r="O4561" s="16" t="s">
        <v>4283</v>
      </c>
      <c r="R4561" s="6"/>
      <c r="S4561" s="298"/>
    </row>
    <row r="4562" spans="14:19" hidden="1" x14ac:dyDescent="0.25">
      <c r="N4562" s="17">
        <v>655.79999999994698</v>
      </c>
      <c r="O4562" s="16" t="s">
        <v>4284</v>
      </c>
      <c r="R4562" s="6"/>
      <c r="S4562" s="298"/>
    </row>
    <row r="4563" spans="14:19" hidden="1" x14ac:dyDescent="0.25">
      <c r="N4563" s="17">
        <v>655.899999999947</v>
      </c>
      <c r="O4563" s="16" t="s">
        <v>4285</v>
      </c>
      <c r="R4563" s="6"/>
      <c r="S4563" s="298"/>
    </row>
    <row r="4564" spans="14:19" hidden="1" x14ac:dyDescent="0.25">
      <c r="N4564" s="17">
        <v>655.99999999994702</v>
      </c>
      <c r="O4564" s="16" t="s">
        <v>4286</v>
      </c>
      <c r="R4564" s="6"/>
      <c r="S4564" s="298"/>
    </row>
    <row r="4565" spans="14:19" hidden="1" x14ac:dyDescent="0.25">
      <c r="N4565" s="17">
        <v>656.09999999994704</v>
      </c>
      <c r="O4565" s="16" t="s">
        <v>4287</v>
      </c>
      <c r="R4565" s="6"/>
      <c r="S4565" s="298"/>
    </row>
    <row r="4566" spans="14:19" hidden="1" x14ac:dyDescent="0.25">
      <c r="N4566" s="17">
        <v>656.19999999994695</v>
      </c>
      <c r="O4566" s="16" t="s">
        <v>4288</v>
      </c>
      <c r="R4566" s="6"/>
      <c r="S4566" s="298"/>
    </row>
    <row r="4567" spans="14:19" hidden="1" x14ac:dyDescent="0.25">
      <c r="N4567" s="17">
        <v>656.29999999994698</v>
      </c>
      <c r="O4567" s="16" t="s">
        <v>4289</v>
      </c>
      <c r="R4567" s="6"/>
      <c r="S4567" s="298"/>
    </row>
    <row r="4568" spans="14:19" hidden="1" x14ac:dyDescent="0.25">
      <c r="N4568" s="17">
        <v>656.399999999947</v>
      </c>
      <c r="O4568" s="16" t="s">
        <v>4290</v>
      </c>
      <c r="R4568" s="6"/>
      <c r="S4568" s="298"/>
    </row>
    <row r="4569" spans="14:19" hidden="1" x14ac:dyDescent="0.25">
      <c r="N4569" s="17">
        <v>656.49999999994702</v>
      </c>
      <c r="O4569" s="16" t="s">
        <v>4291</v>
      </c>
      <c r="R4569" s="6"/>
      <c r="S4569" s="298"/>
    </row>
    <row r="4570" spans="14:19" hidden="1" x14ac:dyDescent="0.25">
      <c r="N4570" s="17">
        <v>656.59999999994704</v>
      </c>
      <c r="O4570" s="16" t="s">
        <v>4292</v>
      </c>
      <c r="R4570" s="6"/>
      <c r="S4570" s="298"/>
    </row>
    <row r="4571" spans="14:19" hidden="1" x14ac:dyDescent="0.25">
      <c r="N4571" s="17">
        <v>656.69999999994695</v>
      </c>
      <c r="O4571" s="16" t="s">
        <v>4293</v>
      </c>
      <c r="R4571" s="6"/>
      <c r="S4571" s="298"/>
    </row>
    <row r="4572" spans="14:19" hidden="1" x14ac:dyDescent="0.25">
      <c r="N4572" s="17">
        <v>656.79999999994698</v>
      </c>
      <c r="O4572" s="16" t="s">
        <v>4294</v>
      </c>
      <c r="R4572" s="6"/>
      <c r="S4572" s="298"/>
    </row>
    <row r="4573" spans="14:19" hidden="1" x14ac:dyDescent="0.25">
      <c r="N4573" s="17">
        <v>656.899999999947</v>
      </c>
      <c r="O4573" s="16" t="s">
        <v>4295</v>
      </c>
      <c r="R4573" s="6"/>
      <c r="S4573" s="298"/>
    </row>
    <row r="4574" spans="14:19" hidden="1" x14ac:dyDescent="0.25">
      <c r="N4574" s="17">
        <v>656.999999999946</v>
      </c>
      <c r="O4574" s="16" t="s">
        <v>4296</v>
      </c>
      <c r="R4574" s="6"/>
      <c r="S4574" s="298"/>
    </row>
    <row r="4575" spans="14:19" hidden="1" x14ac:dyDescent="0.25">
      <c r="N4575" s="17">
        <v>657.09999999994602</v>
      </c>
      <c r="O4575" s="16" t="s">
        <v>4297</v>
      </c>
      <c r="R4575" s="6"/>
      <c r="S4575" s="298"/>
    </row>
    <row r="4576" spans="14:19" hidden="1" x14ac:dyDescent="0.25">
      <c r="N4576" s="17">
        <v>657.19999999994604</v>
      </c>
      <c r="O4576" s="16" t="s">
        <v>4298</v>
      </c>
      <c r="R4576" s="6"/>
      <c r="S4576" s="298"/>
    </row>
    <row r="4577" spans="14:19" hidden="1" x14ac:dyDescent="0.25">
      <c r="N4577" s="17">
        <v>657.29999999994595</v>
      </c>
      <c r="O4577" s="16" t="s">
        <v>4299</v>
      </c>
      <c r="R4577" s="6"/>
      <c r="S4577" s="298"/>
    </row>
    <row r="4578" spans="14:19" hidden="1" x14ac:dyDescent="0.25">
      <c r="N4578" s="17">
        <v>657.39999999994598</v>
      </c>
      <c r="O4578" s="16" t="s">
        <v>2113</v>
      </c>
      <c r="R4578" s="6"/>
      <c r="S4578" s="298"/>
    </row>
    <row r="4579" spans="14:19" hidden="1" x14ac:dyDescent="0.25">
      <c r="N4579" s="17">
        <v>657.499999999946</v>
      </c>
      <c r="O4579" s="16" t="s">
        <v>2114</v>
      </c>
      <c r="R4579" s="6"/>
      <c r="S4579" s="298"/>
    </row>
    <row r="4580" spans="14:19" hidden="1" x14ac:dyDescent="0.25">
      <c r="N4580" s="17">
        <v>657.59999999994602</v>
      </c>
      <c r="O4580" s="16" t="s">
        <v>2115</v>
      </c>
      <c r="R4580" s="6"/>
      <c r="S4580" s="298"/>
    </row>
    <row r="4581" spans="14:19" hidden="1" x14ac:dyDescent="0.25">
      <c r="N4581" s="17">
        <v>657.69999999994604</v>
      </c>
      <c r="O4581" s="16" t="s">
        <v>2116</v>
      </c>
      <c r="R4581" s="6"/>
      <c r="S4581" s="298"/>
    </row>
    <row r="4582" spans="14:19" hidden="1" x14ac:dyDescent="0.25">
      <c r="N4582" s="17">
        <v>657.79999999994595</v>
      </c>
      <c r="O4582" s="16" t="s">
        <v>2117</v>
      </c>
      <c r="R4582" s="6"/>
      <c r="S4582" s="298"/>
    </row>
    <row r="4583" spans="14:19" hidden="1" x14ac:dyDescent="0.25">
      <c r="N4583" s="17">
        <v>657.89999999994598</v>
      </c>
      <c r="O4583" s="16" t="s">
        <v>2118</v>
      </c>
      <c r="R4583" s="6"/>
      <c r="S4583" s="298"/>
    </row>
    <row r="4584" spans="14:19" hidden="1" x14ac:dyDescent="0.25">
      <c r="N4584" s="17">
        <v>657.999999999946</v>
      </c>
      <c r="O4584" s="16" t="s">
        <v>2119</v>
      </c>
      <c r="R4584" s="6"/>
      <c r="S4584" s="298"/>
    </row>
    <row r="4585" spans="14:19" hidden="1" x14ac:dyDescent="0.25">
      <c r="N4585" s="17">
        <v>658.09999999994602</v>
      </c>
      <c r="O4585" s="16" t="s">
        <v>2120</v>
      </c>
      <c r="R4585" s="6"/>
      <c r="S4585" s="298"/>
    </row>
    <row r="4586" spans="14:19" hidden="1" x14ac:dyDescent="0.25">
      <c r="N4586" s="17">
        <v>658.19999999994604</v>
      </c>
      <c r="O4586" s="16" t="s">
        <v>4307</v>
      </c>
      <c r="R4586" s="6"/>
      <c r="S4586" s="298"/>
    </row>
    <row r="4587" spans="14:19" hidden="1" x14ac:dyDescent="0.25">
      <c r="N4587" s="17">
        <v>658.29999999994595</v>
      </c>
      <c r="O4587" s="16" t="s">
        <v>4308</v>
      </c>
      <c r="R4587" s="6"/>
      <c r="S4587" s="298"/>
    </row>
    <row r="4588" spans="14:19" hidden="1" x14ac:dyDescent="0.25">
      <c r="N4588" s="17">
        <v>658.39999999994598</v>
      </c>
      <c r="O4588" s="16" t="s">
        <v>4309</v>
      </c>
      <c r="R4588" s="6"/>
      <c r="S4588" s="298"/>
    </row>
    <row r="4589" spans="14:19" hidden="1" x14ac:dyDescent="0.25">
      <c r="N4589" s="17">
        <v>658.499999999946</v>
      </c>
      <c r="O4589" s="16" t="s">
        <v>4310</v>
      </c>
      <c r="R4589" s="6"/>
      <c r="S4589" s="298"/>
    </row>
    <row r="4590" spans="14:19" hidden="1" x14ac:dyDescent="0.25">
      <c r="N4590" s="17">
        <v>658.59999999994602</v>
      </c>
      <c r="O4590" s="16" t="s">
        <v>4311</v>
      </c>
      <c r="R4590" s="6"/>
      <c r="S4590" s="298"/>
    </row>
    <row r="4591" spans="14:19" hidden="1" x14ac:dyDescent="0.25">
      <c r="N4591" s="17">
        <v>658.69999999994604</v>
      </c>
      <c r="O4591" s="16" t="s">
        <v>6432</v>
      </c>
      <c r="R4591" s="6"/>
      <c r="S4591" s="298"/>
    </row>
    <row r="4592" spans="14:19" hidden="1" x14ac:dyDescent="0.25">
      <c r="N4592" s="17">
        <v>658.79999999994595</v>
      </c>
      <c r="O4592" s="16" t="s">
        <v>6433</v>
      </c>
      <c r="R4592" s="6"/>
      <c r="S4592" s="298"/>
    </row>
    <row r="4593" spans="14:19" hidden="1" x14ac:dyDescent="0.25">
      <c r="N4593" s="17">
        <v>658.89999999994598</v>
      </c>
      <c r="O4593" s="16" t="s">
        <v>6434</v>
      </c>
      <c r="R4593" s="6"/>
      <c r="S4593" s="298"/>
    </row>
    <row r="4594" spans="14:19" hidden="1" x14ac:dyDescent="0.25">
      <c r="N4594" s="17">
        <v>658.999999999946</v>
      </c>
      <c r="O4594" s="16" t="s">
        <v>6435</v>
      </c>
      <c r="R4594" s="6"/>
      <c r="S4594" s="298"/>
    </row>
    <row r="4595" spans="14:19" hidden="1" x14ac:dyDescent="0.25">
      <c r="N4595" s="17">
        <v>659.09999999994602</v>
      </c>
      <c r="O4595" s="16" t="s">
        <v>6436</v>
      </c>
      <c r="R4595" s="6"/>
      <c r="S4595" s="298"/>
    </row>
    <row r="4596" spans="14:19" hidden="1" x14ac:dyDescent="0.25">
      <c r="N4596" s="17">
        <v>659.19999999994604</v>
      </c>
      <c r="O4596" s="16" t="s">
        <v>6437</v>
      </c>
      <c r="R4596" s="6"/>
      <c r="S4596" s="298"/>
    </row>
    <row r="4597" spans="14:19" hidden="1" x14ac:dyDescent="0.25">
      <c r="N4597" s="17">
        <v>659.29999999994595</v>
      </c>
      <c r="O4597" s="16" t="s">
        <v>6438</v>
      </c>
      <c r="R4597" s="6"/>
      <c r="S4597" s="298"/>
    </row>
    <row r="4598" spans="14:19" hidden="1" x14ac:dyDescent="0.25">
      <c r="N4598" s="17">
        <v>659.39999999994598</v>
      </c>
      <c r="O4598" s="16" t="s">
        <v>6439</v>
      </c>
      <c r="R4598" s="6"/>
      <c r="S4598" s="298"/>
    </row>
    <row r="4599" spans="14:19" hidden="1" x14ac:dyDescent="0.25">
      <c r="N4599" s="17">
        <v>659.499999999946</v>
      </c>
      <c r="O4599" s="16" t="s">
        <v>6440</v>
      </c>
      <c r="R4599" s="6"/>
      <c r="S4599" s="298"/>
    </row>
    <row r="4600" spans="14:19" hidden="1" x14ac:dyDescent="0.25">
      <c r="N4600" s="17">
        <v>659.59999999994602</v>
      </c>
      <c r="O4600" s="16" t="s">
        <v>6441</v>
      </c>
      <c r="R4600" s="6"/>
      <c r="S4600" s="298"/>
    </row>
    <row r="4601" spans="14:19" hidden="1" x14ac:dyDescent="0.25">
      <c r="N4601" s="17">
        <v>659.69999999994604</v>
      </c>
      <c r="O4601" s="16" t="s">
        <v>6442</v>
      </c>
      <c r="R4601" s="6"/>
      <c r="S4601" s="298"/>
    </row>
    <row r="4602" spans="14:19" hidden="1" x14ac:dyDescent="0.25">
      <c r="N4602" s="17">
        <v>659.79999999994595</v>
      </c>
      <c r="O4602" s="16" t="s">
        <v>6433</v>
      </c>
      <c r="R4602" s="6"/>
      <c r="S4602" s="298"/>
    </row>
    <row r="4603" spans="14:19" hidden="1" x14ac:dyDescent="0.25">
      <c r="N4603" s="17">
        <v>659.89999999994495</v>
      </c>
      <c r="O4603" s="16" t="s">
        <v>6434</v>
      </c>
      <c r="R4603" s="6"/>
      <c r="S4603" s="298"/>
    </row>
    <row r="4604" spans="14:19" hidden="1" x14ac:dyDescent="0.25">
      <c r="N4604" s="17">
        <v>659.99999999994498</v>
      </c>
      <c r="O4604" s="16" t="s">
        <v>6443</v>
      </c>
      <c r="R4604" s="6"/>
      <c r="S4604" s="298"/>
    </row>
    <row r="4605" spans="14:19" hidden="1" x14ac:dyDescent="0.25">
      <c r="N4605" s="17">
        <v>660.099999999945</v>
      </c>
      <c r="O4605" s="16" t="s">
        <v>6444</v>
      </c>
      <c r="R4605" s="6"/>
      <c r="S4605" s="298"/>
    </row>
    <row r="4606" spans="14:19" hidden="1" x14ac:dyDescent="0.25">
      <c r="N4606" s="17">
        <v>660.19999999994502</v>
      </c>
      <c r="O4606" s="16" t="s">
        <v>6445</v>
      </c>
      <c r="R4606" s="6"/>
      <c r="S4606" s="298"/>
    </row>
    <row r="4607" spans="14:19" hidden="1" x14ac:dyDescent="0.25">
      <c r="N4607" s="17">
        <v>660.29999999994504</v>
      </c>
      <c r="O4607" s="16" t="s">
        <v>6446</v>
      </c>
      <c r="R4607" s="6"/>
      <c r="S4607" s="298"/>
    </row>
    <row r="4608" spans="14:19" hidden="1" x14ac:dyDescent="0.25">
      <c r="N4608" s="17">
        <v>660.39999999994495</v>
      </c>
      <c r="O4608" s="16" t="s">
        <v>6447</v>
      </c>
      <c r="R4608" s="6"/>
      <c r="S4608" s="298"/>
    </row>
    <row r="4609" spans="14:19" hidden="1" x14ac:dyDescent="0.25">
      <c r="N4609" s="17">
        <v>660.49999999994498</v>
      </c>
      <c r="O4609" s="16" t="s">
        <v>6448</v>
      </c>
      <c r="R4609" s="6"/>
      <c r="S4609" s="298"/>
    </row>
    <row r="4610" spans="14:19" hidden="1" x14ac:dyDescent="0.25">
      <c r="N4610" s="17">
        <v>660.599999999945</v>
      </c>
      <c r="O4610" s="16" t="s">
        <v>6449</v>
      </c>
      <c r="R4610" s="6"/>
      <c r="S4610" s="298"/>
    </row>
    <row r="4611" spans="14:19" hidden="1" x14ac:dyDescent="0.25">
      <c r="N4611" s="17">
        <v>660.69999999994502</v>
      </c>
      <c r="O4611" s="16" t="s">
        <v>6450</v>
      </c>
      <c r="R4611" s="6"/>
      <c r="S4611" s="298"/>
    </row>
    <row r="4612" spans="14:19" hidden="1" x14ac:dyDescent="0.25">
      <c r="N4612" s="17">
        <v>660.79999999994504</v>
      </c>
      <c r="O4612" s="16" t="s">
        <v>6451</v>
      </c>
      <c r="R4612" s="6"/>
      <c r="S4612" s="298"/>
    </row>
    <row r="4613" spans="14:19" hidden="1" x14ac:dyDescent="0.25">
      <c r="N4613" s="17">
        <v>660.89999999994495</v>
      </c>
      <c r="O4613" s="16" t="s">
        <v>6452</v>
      </c>
      <c r="R4613" s="6"/>
      <c r="S4613" s="298"/>
    </row>
    <row r="4614" spans="14:19" hidden="1" x14ac:dyDescent="0.25">
      <c r="N4614" s="17">
        <v>660.99999999994498</v>
      </c>
      <c r="O4614" s="16" t="s">
        <v>6453</v>
      </c>
      <c r="R4614" s="6"/>
      <c r="S4614" s="298"/>
    </row>
    <row r="4615" spans="14:19" hidden="1" x14ac:dyDescent="0.25">
      <c r="N4615" s="17">
        <v>661.099999999945</v>
      </c>
      <c r="O4615" s="16" t="s">
        <v>6454</v>
      </c>
      <c r="R4615" s="6"/>
      <c r="S4615" s="298"/>
    </row>
    <row r="4616" spans="14:19" hidden="1" x14ac:dyDescent="0.25">
      <c r="N4616" s="17">
        <v>661.19999999994502</v>
      </c>
      <c r="O4616" s="16" t="s">
        <v>6455</v>
      </c>
      <c r="R4616" s="6"/>
      <c r="S4616" s="298"/>
    </row>
    <row r="4617" spans="14:19" hidden="1" x14ac:dyDescent="0.25">
      <c r="N4617" s="17">
        <v>661.29999999994504</v>
      </c>
      <c r="O4617" s="16" t="s">
        <v>6456</v>
      </c>
      <c r="R4617" s="6"/>
      <c r="S4617" s="298"/>
    </row>
    <row r="4618" spans="14:19" hidden="1" x14ac:dyDescent="0.25">
      <c r="N4618" s="17">
        <v>661.39999999994495</v>
      </c>
      <c r="O4618" s="16" t="s">
        <v>6457</v>
      </c>
      <c r="R4618" s="6"/>
      <c r="S4618" s="298"/>
    </row>
    <row r="4619" spans="14:19" hidden="1" x14ac:dyDescent="0.25">
      <c r="N4619" s="17">
        <v>661.49999999994498</v>
      </c>
      <c r="O4619" s="16" t="s">
        <v>6458</v>
      </c>
      <c r="R4619" s="6"/>
      <c r="S4619" s="298"/>
    </row>
    <row r="4620" spans="14:19" hidden="1" x14ac:dyDescent="0.25">
      <c r="N4620" s="17">
        <v>661.599999999945</v>
      </c>
      <c r="O4620" s="16" t="s">
        <v>6459</v>
      </c>
      <c r="R4620" s="6"/>
      <c r="S4620" s="298"/>
    </row>
    <row r="4621" spans="14:19" hidden="1" x14ac:dyDescent="0.25">
      <c r="N4621" s="17">
        <v>661.69999999994502</v>
      </c>
      <c r="O4621" s="16" t="s">
        <v>6460</v>
      </c>
      <c r="R4621" s="6"/>
      <c r="S4621" s="298"/>
    </row>
    <row r="4622" spans="14:19" hidden="1" x14ac:dyDescent="0.25">
      <c r="N4622" s="17">
        <v>661.79999999994504</v>
      </c>
      <c r="O4622" s="16" t="s">
        <v>6461</v>
      </c>
      <c r="R4622" s="6"/>
      <c r="S4622" s="298"/>
    </row>
    <row r="4623" spans="14:19" hidden="1" x14ac:dyDescent="0.25">
      <c r="N4623" s="17">
        <v>661.89999999994495</v>
      </c>
      <c r="O4623" s="16" t="s">
        <v>6462</v>
      </c>
      <c r="R4623" s="6"/>
      <c r="S4623" s="298"/>
    </row>
    <row r="4624" spans="14:19" hidden="1" x14ac:dyDescent="0.25">
      <c r="N4624" s="17">
        <v>661.99999999994498</v>
      </c>
      <c r="O4624" s="16" t="s">
        <v>6463</v>
      </c>
      <c r="R4624" s="6"/>
      <c r="S4624" s="298"/>
    </row>
    <row r="4625" spans="14:19" hidden="1" x14ac:dyDescent="0.25">
      <c r="N4625" s="17">
        <v>662.099999999945</v>
      </c>
      <c r="O4625" s="16" t="s">
        <v>6464</v>
      </c>
      <c r="R4625" s="6"/>
      <c r="S4625" s="298"/>
    </row>
    <row r="4626" spans="14:19" hidden="1" x14ac:dyDescent="0.25">
      <c r="N4626" s="17">
        <v>662.19999999994502</v>
      </c>
      <c r="O4626" s="16" t="s">
        <v>6465</v>
      </c>
      <c r="R4626" s="6"/>
      <c r="S4626" s="298"/>
    </row>
    <row r="4627" spans="14:19" hidden="1" x14ac:dyDescent="0.25">
      <c r="N4627" s="17">
        <v>662.29999999994504</v>
      </c>
      <c r="O4627" s="16" t="s">
        <v>6466</v>
      </c>
      <c r="R4627" s="6"/>
      <c r="S4627" s="298"/>
    </row>
    <row r="4628" spans="14:19" hidden="1" x14ac:dyDescent="0.25">
      <c r="N4628" s="17">
        <v>662.39999999994495</v>
      </c>
      <c r="O4628" s="16" t="s">
        <v>6467</v>
      </c>
      <c r="R4628" s="6"/>
      <c r="S4628" s="298"/>
    </row>
    <row r="4629" spans="14:19" hidden="1" x14ac:dyDescent="0.25">
      <c r="N4629" s="17">
        <v>662.49999999994498</v>
      </c>
      <c r="O4629" s="16" t="s">
        <v>6468</v>
      </c>
      <c r="R4629" s="6"/>
      <c r="S4629" s="298"/>
    </row>
    <row r="4630" spans="14:19" hidden="1" x14ac:dyDescent="0.25">
      <c r="N4630" s="17">
        <v>662.599999999945</v>
      </c>
      <c r="O4630" s="16" t="s">
        <v>6469</v>
      </c>
      <c r="R4630" s="6"/>
      <c r="S4630" s="298"/>
    </row>
    <row r="4631" spans="14:19" hidden="1" x14ac:dyDescent="0.25">
      <c r="N4631" s="17">
        <v>662.69999999994502</v>
      </c>
      <c r="O4631" s="16" t="s">
        <v>6470</v>
      </c>
      <c r="R4631" s="6"/>
      <c r="S4631" s="298"/>
    </row>
    <row r="4632" spans="14:19" hidden="1" x14ac:dyDescent="0.25">
      <c r="N4632" s="17">
        <v>662.79999999994504</v>
      </c>
      <c r="O4632" s="16" t="s">
        <v>4354</v>
      </c>
      <c r="R4632" s="6"/>
      <c r="S4632" s="298"/>
    </row>
    <row r="4633" spans="14:19" hidden="1" x14ac:dyDescent="0.25">
      <c r="N4633" s="17">
        <v>662.89999999994404</v>
      </c>
      <c r="O4633" s="16" t="s">
        <v>4355</v>
      </c>
      <c r="R4633" s="6"/>
      <c r="S4633" s="298"/>
    </row>
    <row r="4634" spans="14:19" hidden="1" x14ac:dyDescent="0.25">
      <c r="N4634" s="17">
        <v>662.99999999994395</v>
      </c>
      <c r="O4634" s="16" t="s">
        <v>4356</v>
      </c>
      <c r="R4634" s="6"/>
      <c r="S4634" s="298"/>
    </row>
    <row r="4635" spans="14:19" hidden="1" x14ac:dyDescent="0.25">
      <c r="N4635" s="17">
        <v>663.09999999994398</v>
      </c>
      <c r="O4635" s="16" t="s">
        <v>4357</v>
      </c>
      <c r="R4635" s="6"/>
      <c r="S4635" s="298"/>
    </row>
    <row r="4636" spans="14:19" hidden="1" x14ac:dyDescent="0.25">
      <c r="N4636" s="17">
        <v>663.199999999944</v>
      </c>
      <c r="O4636" s="16" t="s">
        <v>4358</v>
      </c>
      <c r="R4636" s="6"/>
      <c r="S4636" s="298"/>
    </row>
    <row r="4637" spans="14:19" hidden="1" x14ac:dyDescent="0.25">
      <c r="N4637" s="17">
        <v>663.29999999994402</v>
      </c>
      <c r="O4637" s="16" t="s">
        <v>4359</v>
      </c>
      <c r="R4637" s="6"/>
      <c r="S4637" s="298"/>
    </row>
    <row r="4638" spans="14:19" hidden="1" x14ac:dyDescent="0.25">
      <c r="N4638" s="17">
        <v>663.39999999994404</v>
      </c>
      <c r="O4638" s="16" t="s">
        <v>4360</v>
      </c>
      <c r="R4638" s="6"/>
      <c r="S4638" s="298"/>
    </row>
    <row r="4639" spans="14:19" hidden="1" x14ac:dyDescent="0.25">
      <c r="N4639" s="17">
        <v>663.49999999994395</v>
      </c>
      <c r="O4639" s="16" t="s">
        <v>4361</v>
      </c>
      <c r="R4639" s="6"/>
      <c r="S4639" s="298"/>
    </row>
    <row r="4640" spans="14:19" hidden="1" x14ac:dyDescent="0.25">
      <c r="N4640" s="17">
        <v>663.59999999994398</v>
      </c>
      <c r="O4640" s="16" t="s">
        <v>4362</v>
      </c>
      <c r="R4640" s="6"/>
      <c r="S4640" s="298"/>
    </row>
    <row r="4641" spans="14:19" hidden="1" x14ac:dyDescent="0.25">
      <c r="N4641" s="17">
        <v>663.699999999944</v>
      </c>
      <c r="O4641" s="16" t="s">
        <v>4363</v>
      </c>
      <c r="R4641" s="6"/>
      <c r="S4641" s="298"/>
    </row>
    <row r="4642" spans="14:19" hidden="1" x14ac:dyDescent="0.25">
      <c r="N4642" s="17">
        <v>663.79999999994402</v>
      </c>
      <c r="O4642" s="16" t="s">
        <v>4364</v>
      </c>
      <c r="R4642" s="6"/>
      <c r="S4642" s="298"/>
    </row>
    <row r="4643" spans="14:19" hidden="1" x14ac:dyDescent="0.25">
      <c r="N4643" s="17">
        <v>663.89999999994404</v>
      </c>
      <c r="O4643" s="16" t="s">
        <v>4365</v>
      </c>
      <c r="R4643" s="6"/>
      <c r="S4643" s="298"/>
    </row>
    <row r="4644" spans="14:19" hidden="1" x14ac:dyDescent="0.25">
      <c r="N4644" s="17">
        <v>663.99999999994395</v>
      </c>
      <c r="O4644" s="16" t="s">
        <v>4366</v>
      </c>
      <c r="R4644" s="6"/>
      <c r="S4644" s="298"/>
    </row>
    <row r="4645" spans="14:19" hidden="1" x14ac:dyDescent="0.25">
      <c r="N4645" s="17">
        <v>664.09999999994398</v>
      </c>
      <c r="O4645" s="16" t="s">
        <v>4367</v>
      </c>
      <c r="R4645" s="6"/>
      <c r="S4645" s="298"/>
    </row>
    <row r="4646" spans="14:19" hidden="1" x14ac:dyDescent="0.25">
      <c r="N4646" s="17">
        <v>664.199999999944</v>
      </c>
      <c r="O4646" s="16" t="s">
        <v>4368</v>
      </c>
      <c r="R4646" s="6"/>
      <c r="S4646" s="298"/>
    </row>
    <row r="4647" spans="14:19" hidden="1" x14ac:dyDescent="0.25">
      <c r="N4647" s="17">
        <v>664.29999999994402</v>
      </c>
      <c r="O4647" s="16" t="s">
        <v>4369</v>
      </c>
      <c r="R4647" s="6"/>
      <c r="S4647" s="298"/>
    </row>
    <row r="4648" spans="14:19" hidden="1" x14ac:dyDescent="0.25">
      <c r="N4648" s="17">
        <v>664.39999999994404</v>
      </c>
      <c r="O4648" s="16" t="s">
        <v>4370</v>
      </c>
      <c r="R4648" s="6"/>
      <c r="S4648" s="298"/>
    </row>
    <row r="4649" spans="14:19" hidden="1" x14ac:dyDescent="0.25">
      <c r="N4649" s="17">
        <v>664.49999999994395</v>
      </c>
      <c r="O4649" s="16" t="s">
        <v>4371</v>
      </c>
      <c r="R4649" s="6"/>
      <c r="S4649" s="298"/>
    </row>
    <row r="4650" spans="14:19" hidden="1" x14ac:dyDescent="0.25">
      <c r="N4650" s="17">
        <v>664.59999999994398</v>
      </c>
      <c r="O4650" s="16" t="s">
        <v>4372</v>
      </c>
      <c r="R4650" s="6"/>
      <c r="S4650" s="298"/>
    </row>
    <row r="4651" spans="14:19" hidden="1" x14ac:dyDescent="0.25">
      <c r="N4651" s="17">
        <v>664.699999999944</v>
      </c>
      <c r="O4651" s="16" t="s">
        <v>4373</v>
      </c>
      <c r="R4651" s="6"/>
      <c r="S4651" s="298"/>
    </row>
    <row r="4652" spans="14:19" hidden="1" x14ac:dyDescent="0.25">
      <c r="N4652" s="17">
        <v>664.79999999994402</v>
      </c>
      <c r="O4652" s="16" t="s">
        <v>4374</v>
      </c>
      <c r="R4652" s="6"/>
      <c r="S4652" s="298"/>
    </row>
    <row r="4653" spans="14:19" hidden="1" x14ac:dyDescent="0.25">
      <c r="N4653" s="17">
        <v>664.89999999994404</v>
      </c>
      <c r="O4653" s="16" t="s">
        <v>4375</v>
      </c>
      <c r="R4653" s="6"/>
      <c r="S4653" s="298"/>
    </row>
    <row r="4654" spans="14:19" hidden="1" x14ac:dyDescent="0.25">
      <c r="N4654" s="17">
        <v>664.99999999994395</v>
      </c>
      <c r="O4654" s="16" t="s">
        <v>4376</v>
      </c>
      <c r="R4654" s="6"/>
      <c r="S4654" s="298"/>
    </row>
    <row r="4655" spans="14:19" hidden="1" x14ac:dyDescent="0.25">
      <c r="N4655" s="17">
        <v>665.09999999994398</v>
      </c>
      <c r="O4655" s="16" t="s">
        <v>4377</v>
      </c>
      <c r="R4655" s="6"/>
      <c r="S4655" s="298"/>
    </row>
    <row r="4656" spans="14:19" hidden="1" x14ac:dyDescent="0.25">
      <c r="N4656" s="17">
        <v>665.199999999944</v>
      </c>
      <c r="O4656" s="16" t="s">
        <v>4378</v>
      </c>
      <c r="R4656" s="6"/>
      <c r="S4656" s="298"/>
    </row>
    <row r="4657" spans="14:19" hidden="1" x14ac:dyDescent="0.25">
      <c r="N4657" s="17">
        <v>665.29999999994402</v>
      </c>
      <c r="O4657" s="16" t="s">
        <v>6473</v>
      </c>
      <c r="R4657" s="6"/>
      <c r="S4657" s="298"/>
    </row>
    <row r="4658" spans="14:19" hidden="1" x14ac:dyDescent="0.25">
      <c r="N4658" s="17">
        <v>665.39999999994404</v>
      </c>
      <c r="O4658" s="16" t="s">
        <v>6474</v>
      </c>
      <c r="R4658" s="6"/>
      <c r="S4658" s="298"/>
    </row>
    <row r="4659" spans="14:19" hidden="1" x14ac:dyDescent="0.25">
      <c r="N4659" s="17">
        <v>665.49999999994395</v>
      </c>
      <c r="O4659" s="16" t="s">
        <v>6475</v>
      </c>
      <c r="R4659" s="6"/>
      <c r="S4659" s="298"/>
    </row>
    <row r="4660" spans="14:19" hidden="1" x14ac:dyDescent="0.25">
      <c r="N4660" s="17">
        <v>665.59999999994398</v>
      </c>
      <c r="O4660" s="16" t="s">
        <v>6476</v>
      </c>
      <c r="R4660" s="6"/>
      <c r="S4660" s="298"/>
    </row>
    <row r="4661" spans="14:19" hidden="1" x14ac:dyDescent="0.25">
      <c r="N4661" s="17">
        <v>665.699999999944</v>
      </c>
      <c r="O4661" s="16" t="s">
        <v>6477</v>
      </c>
      <c r="R4661" s="6"/>
      <c r="S4661" s="298"/>
    </row>
    <row r="4662" spans="14:19" hidden="1" x14ac:dyDescent="0.25">
      <c r="N4662" s="17">
        <v>665.799999999943</v>
      </c>
      <c r="O4662" s="16" t="s">
        <v>6478</v>
      </c>
      <c r="R4662" s="6"/>
      <c r="S4662" s="298"/>
    </row>
    <row r="4663" spans="14:19" hidden="1" x14ac:dyDescent="0.25">
      <c r="N4663" s="17">
        <v>665.89999999994302</v>
      </c>
      <c r="O4663" s="16" t="s">
        <v>6479</v>
      </c>
      <c r="R4663" s="6"/>
      <c r="S4663" s="298"/>
    </row>
    <row r="4664" spans="14:19" hidden="1" x14ac:dyDescent="0.25">
      <c r="N4664" s="17">
        <v>665.99999999994304</v>
      </c>
      <c r="O4664" s="16" t="s">
        <v>6480</v>
      </c>
      <c r="R4664" s="6"/>
      <c r="S4664" s="298"/>
    </row>
    <row r="4665" spans="14:19" hidden="1" x14ac:dyDescent="0.25">
      <c r="N4665" s="17">
        <v>666.09999999994295</v>
      </c>
      <c r="O4665" s="16" t="s">
        <v>6481</v>
      </c>
      <c r="R4665" s="6"/>
      <c r="S4665" s="298"/>
    </row>
    <row r="4666" spans="14:19" hidden="1" x14ac:dyDescent="0.25">
      <c r="N4666" s="17">
        <v>666.19999999994297</v>
      </c>
      <c r="O4666" s="16" t="s">
        <v>6482</v>
      </c>
      <c r="R4666" s="6"/>
      <c r="S4666" s="298"/>
    </row>
    <row r="4667" spans="14:19" hidden="1" x14ac:dyDescent="0.25">
      <c r="N4667" s="17">
        <v>666.299999999943</v>
      </c>
      <c r="O4667" s="16" t="s">
        <v>6483</v>
      </c>
      <c r="R4667" s="6"/>
      <c r="S4667" s="298"/>
    </row>
    <row r="4668" spans="14:19" hidden="1" x14ac:dyDescent="0.25">
      <c r="N4668" s="17">
        <v>666.39999999994302</v>
      </c>
      <c r="O4668" s="16" t="s">
        <v>6484</v>
      </c>
      <c r="R4668" s="6"/>
      <c r="S4668" s="298"/>
    </row>
    <row r="4669" spans="14:19" hidden="1" x14ac:dyDescent="0.25">
      <c r="N4669" s="17">
        <v>666.49999999994304</v>
      </c>
      <c r="O4669" s="16" t="s">
        <v>6485</v>
      </c>
      <c r="R4669" s="6"/>
      <c r="S4669" s="298"/>
    </row>
    <row r="4670" spans="14:19" hidden="1" x14ac:dyDescent="0.25">
      <c r="N4670" s="17">
        <v>666.59999999994295</v>
      </c>
      <c r="O4670" s="16" t="s">
        <v>6486</v>
      </c>
      <c r="R4670" s="6"/>
      <c r="S4670" s="298"/>
    </row>
    <row r="4671" spans="14:19" hidden="1" x14ac:dyDescent="0.25">
      <c r="N4671" s="17">
        <v>666.69999999994297</v>
      </c>
      <c r="O4671" s="16" t="s">
        <v>6487</v>
      </c>
      <c r="R4671" s="6"/>
      <c r="S4671" s="298"/>
    </row>
    <row r="4672" spans="14:19" hidden="1" x14ac:dyDescent="0.25">
      <c r="N4672" s="17">
        <v>666.799999999943</v>
      </c>
      <c r="O4672" s="16" t="s">
        <v>8517</v>
      </c>
      <c r="R4672" s="6"/>
      <c r="S4672" s="298"/>
    </row>
    <row r="4673" spans="14:19" hidden="1" x14ac:dyDescent="0.25">
      <c r="N4673" s="17">
        <v>666.89999999994302</v>
      </c>
      <c r="O4673" s="16" t="s">
        <v>8518</v>
      </c>
      <c r="R4673" s="6"/>
      <c r="S4673" s="298"/>
    </row>
    <row r="4674" spans="14:19" hidden="1" x14ac:dyDescent="0.25">
      <c r="N4674" s="17">
        <v>666.99999999994304</v>
      </c>
      <c r="O4674" s="16" t="s">
        <v>8519</v>
      </c>
      <c r="R4674" s="6"/>
      <c r="S4674" s="298"/>
    </row>
    <row r="4675" spans="14:19" hidden="1" x14ac:dyDescent="0.25">
      <c r="N4675" s="17">
        <v>667.09999999994295</v>
      </c>
      <c r="O4675" s="16" t="s">
        <v>8520</v>
      </c>
      <c r="R4675" s="6"/>
      <c r="S4675" s="298"/>
    </row>
    <row r="4676" spans="14:19" hidden="1" x14ac:dyDescent="0.25">
      <c r="N4676" s="17">
        <v>667.19999999994297</v>
      </c>
      <c r="O4676" s="16" t="s">
        <v>8521</v>
      </c>
      <c r="R4676" s="6"/>
      <c r="S4676" s="298"/>
    </row>
    <row r="4677" spans="14:19" hidden="1" x14ac:dyDescent="0.25">
      <c r="N4677" s="17">
        <v>667.299999999943</v>
      </c>
      <c r="O4677" s="16" t="s">
        <v>8522</v>
      </c>
      <c r="R4677" s="6"/>
      <c r="S4677" s="298"/>
    </row>
    <row r="4678" spans="14:19" hidden="1" x14ac:dyDescent="0.25">
      <c r="N4678" s="17">
        <v>667.39999999994302</v>
      </c>
      <c r="O4678" s="16" t="s">
        <v>8523</v>
      </c>
      <c r="R4678" s="6"/>
      <c r="S4678" s="298"/>
    </row>
    <row r="4679" spans="14:19" hidden="1" x14ac:dyDescent="0.25">
      <c r="N4679" s="17">
        <v>667.49999999994304</v>
      </c>
      <c r="O4679" s="16" t="s">
        <v>8524</v>
      </c>
      <c r="R4679" s="6"/>
      <c r="S4679" s="298"/>
    </row>
    <row r="4680" spans="14:19" hidden="1" x14ac:dyDescent="0.25">
      <c r="N4680" s="17">
        <v>667.59999999994295</v>
      </c>
      <c r="O4680" s="16" t="s">
        <v>8525</v>
      </c>
      <c r="R4680" s="6"/>
      <c r="S4680" s="298"/>
    </row>
    <row r="4681" spans="14:19" hidden="1" x14ac:dyDescent="0.25">
      <c r="N4681" s="17">
        <v>667.69999999994297</v>
      </c>
      <c r="O4681" s="16" t="s">
        <v>8526</v>
      </c>
      <c r="R4681" s="6"/>
      <c r="S4681" s="298"/>
    </row>
    <row r="4682" spans="14:19" hidden="1" x14ac:dyDescent="0.25">
      <c r="N4682" s="17">
        <v>667.799999999943</v>
      </c>
      <c r="O4682" s="16" t="s">
        <v>8527</v>
      </c>
      <c r="R4682" s="6"/>
      <c r="S4682" s="298"/>
    </row>
    <row r="4683" spans="14:19" hidden="1" x14ac:dyDescent="0.25">
      <c r="N4683" s="17">
        <v>667.89999999994302</v>
      </c>
      <c r="O4683" s="16" t="s">
        <v>6492</v>
      </c>
      <c r="R4683" s="6"/>
      <c r="S4683" s="298"/>
    </row>
    <row r="4684" spans="14:19" hidden="1" x14ac:dyDescent="0.25">
      <c r="N4684" s="17">
        <v>667.99999999994304</v>
      </c>
      <c r="O4684" s="16" t="s">
        <v>6512</v>
      </c>
      <c r="R4684" s="6"/>
      <c r="S4684" s="298"/>
    </row>
    <row r="4685" spans="14:19" hidden="1" x14ac:dyDescent="0.25">
      <c r="N4685" s="17">
        <v>668.09999999994295</v>
      </c>
      <c r="O4685" s="16" t="s">
        <v>6513</v>
      </c>
      <c r="R4685" s="6"/>
      <c r="S4685" s="298"/>
    </row>
    <row r="4686" spans="14:19" hidden="1" x14ac:dyDescent="0.25">
      <c r="N4686" s="17">
        <v>668.19999999994297</v>
      </c>
      <c r="O4686" s="16" t="s">
        <v>6514</v>
      </c>
      <c r="R4686" s="6"/>
      <c r="S4686" s="298"/>
    </row>
    <row r="4687" spans="14:19" hidden="1" x14ac:dyDescent="0.25">
      <c r="N4687" s="17">
        <v>668.299999999943</v>
      </c>
      <c r="O4687" s="16" t="s">
        <v>6515</v>
      </c>
      <c r="R4687" s="6"/>
      <c r="S4687" s="298"/>
    </row>
    <row r="4688" spans="14:19" hidden="1" x14ac:dyDescent="0.25">
      <c r="N4688" s="17">
        <v>668.39999999994302</v>
      </c>
      <c r="O4688" s="16" t="s">
        <v>6516</v>
      </c>
      <c r="R4688" s="6"/>
      <c r="S4688" s="298"/>
    </row>
    <row r="4689" spans="14:19" hidden="1" x14ac:dyDescent="0.25">
      <c r="N4689" s="17">
        <v>668.49999999994304</v>
      </c>
      <c r="O4689" s="16" t="s">
        <v>6517</v>
      </c>
      <c r="R4689" s="6"/>
      <c r="S4689" s="298"/>
    </row>
    <row r="4690" spans="14:19" hidden="1" x14ac:dyDescent="0.25">
      <c r="N4690" s="17">
        <v>668.59999999994295</v>
      </c>
      <c r="O4690" s="16" t="s">
        <v>6518</v>
      </c>
      <c r="R4690" s="6"/>
      <c r="S4690" s="298"/>
    </row>
    <row r="4691" spans="14:19" hidden="1" x14ac:dyDescent="0.25">
      <c r="N4691" s="17">
        <v>668.69999999994195</v>
      </c>
      <c r="O4691" s="16" t="s">
        <v>4413</v>
      </c>
      <c r="R4691" s="6"/>
      <c r="S4691" s="298"/>
    </row>
    <row r="4692" spans="14:19" hidden="1" x14ac:dyDescent="0.25">
      <c r="N4692" s="17">
        <v>668.79999999994197</v>
      </c>
      <c r="O4692" s="16" t="s">
        <v>4414</v>
      </c>
      <c r="R4692" s="6"/>
      <c r="S4692" s="298"/>
    </row>
    <row r="4693" spans="14:19" hidden="1" x14ac:dyDescent="0.25">
      <c r="N4693" s="17">
        <v>668.899999999942</v>
      </c>
      <c r="O4693" s="16" t="s">
        <v>4415</v>
      </c>
      <c r="R4693" s="6"/>
      <c r="S4693" s="298"/>
    </row>
    <row r="4694" spans="14:19" hidden="1" x14ac:dyDescent="0.25">
      <c r="N4694" s="17">
        <v>668.99999999994202</v>
      </c>
      <c r="O4694" s="16" t="s">
        <v>4416</v>
      </c>
      <c r="R4694" s="6"/>
      <c r="S4694" s="298"/>
    </row>
    <row r="4695" spans="14:19" hidden="1" x14ac:dyDescent="0.25">
      <c r="N4695" s="17">
        <v>669.09999999994204</v>
      </c>
      <c r="O4695" s="16" t="s">
        <v>4417</v>
      </c>
      <c r="R4695" s="6"/>
      <c r="S4695" s="298"/>
    </row>
    <row r="4696" spans="14:19" hidden="1" x14ac:dyDescent="0.25">
      <c r="N4696" s="17">
        <v>669.19999999994195</v>
      </c>
      <c r="O4696" s="16" t="s">
        <v>4418</v>
      </c>
      <c r="R4696" s="6"/>
      <c r="S4696" s="298"/>
    </row>
    <row r="4697" spans="14:19" hidden="1" x14ac:dyDescent="0.25">
      <c r="N4697" s="17">
        <v>669.29999999994197</v>
      </c>
      <c r="O4697" s="16" t="s">
        <v>4419</v>
      </c>
      <c r="R4697" s="6"/>
      <c r="S4697" s="298"/>
    </row>
    <row r="4698" spans="14:19" hidden="1" x14ac:dyDescent="0.25">
      <c r="N4698" s="17">
        <v>669.399999999942</v>
      </c>
      <c r="O4698" s="16" t="s">
        <v>4420</v>
      </c>
      <c r="R4698" s="6"/>
      <c r="S4698" s="298"/>
    </row>
    <row r="4699" spans="14:19" hidden="1" x14ac:dyDescent="0.25">
      <c r="N4699" s="17">
        <v>669.49999999994202</v>
      </c>
      <c r="O4699" s="16" t="s">
        <v>4421</v>
      </c>
      <c r="R4699" s="6"/>
      <c r="S4699" s="298"/>
    </row>
    <row r="4700" spans="14:19" hidden="1" x14ac:dyDescent="0.25">
      <c r="N4700" s="17">
        <v>669.59999999994204</v>
      </c>
      <c r="O4700" s="16" t="s">
        <v>4422</v>
      </c>
      <c r="R4700" s="6"/>
      <c r="S4700" s="298"/>
    </row>
    <row r="4701" spans="14:19" hidden="1" x14ac:dyDescent="0.25">
      <c r="N4701" s="17">
        <v>669.69999999994195</v>
      </c>
      <c r="O4701" s="16" t="s">
        <v>4423</v>
      </c>
      <c r="R4701" s="6"/>
      <c r="S4701" s="298"/>
    </row>
    <row r="4702" spans="14:19" hidden="1" x14ac:dyDescent="0.25">
      <c r="N4702" s="17">
        <v>669.79999999994197</v>
      </c>
      <c r="O4702" s="16" t="s">
        <v>4424</v>
      </c>
      <c r="R4702" s="6"/>
      <c r="S4702" s="298"/>
    </row>
    <row r="4703" spans="14:19" hidden="1" x14ac:dyDescent="0.25">
      <c r="N4703" s="17">
        <v>669.899999999942</v>
      </c>
      <c r="O4703" s="16" t="s">
        <v>4425</v>
      </c>
      <c r="R4703" s="6"/>
      <c r="S4703" s="298"/>
    </row>
    <row r="4704" spans="14:19" hidden="1" x14ac:dyDescent="0.25">
      <c r="N4704" s="17">
        <v>669.99999999994202</v>
      </c>
      <c r="O4704" s="16" t="s">
        <v>4426</v>
      </c>
      <c r="R4704" s="6"/>
      <c r="S4704" s="298"/>
    </row>
    <row r="4705" spans="14:19" hidden="1" x14ac:dyDescent="0.25">
      <c r="N4705" s="17">
        <v>670.09999999994204</v>
      </c>
      <c r="O4705" s="16" t="s">
        <v>4427</v>
      </c>
      <c r="R4705" s="6"/>
      <c r="S4705" s="298"/>
    </row>
    <row r="4706" spans="14:19" hidden="1" x14ac:dyDescent="0.25">
      <c r="N4706" s="17">
        <v>670.19999999994195</v>
      </c>
      <c r="O4706" s="16" t="s">
        <v>4428</v>
      </c>
      <c r="R4706" s="6"/>
      <c r="S4706" s="298"/>
    </row>
    <row r="4707" spans="14:19" hidden="1" x14ac:dyDescent="0.25">
      <c r="N4707" s="17">
        <v>670.29999999994197</v>
      </c>
      <c r="O4707" s="16" t="s">
        <v>4429</v>
      </c>
      <c r="R4707" s="6"/>
      <c r="S4707" s="298"/>
    </row>
    <row r="4708" spans="14:19" hidden="1" x14ac:dyDescent="0.25">
      <c r="N4708" s="17">
        <v>670.399999999942</v>
      </c>
      <c r="O4708" s="16" t="s">
        <v>4430</v>
      </c>
      <c r="R4708" s="6"/>
      <c r="S4708" s="298"/>
    </row>
    <row r="4709" spans="14:19" hidden="1" x14ac:dyDescent="0.25">
      <c r="N4709" s="17">
        <v>670.49999999994202</v>
      </c>
      <c r="O4709" s="16" t="s">
        <v>4431</v>
      </c>
      <c r="R4709" s="6"/>
      <c r="S4709" s="298"/>
    </row>
    <row r="4710" spans="14:19" hidden="1" x14ac:dyDescent="0.25">
      <c r="N4710" s="17">
        <v>670.59999999994204</v>
      </c>
      <c r="O4710" s="16" t="s">
        <v>4432</v>
      </c>
      <c r="R4710" s="6"/>
      <c r="S4710" s="298"/>
    </row>
    <row r="4711" spans="14:19" hidden="1" x14ac:dyDescent="0.25">
      <c r="N4711" s="17">
        <v>670.69999999994195</v>
      </c>
      <c r="O4711" s="16" t="s">
        <v>4433</v>
      </c>
      <c r="R4711" s="6"/>
      <c r="S4711" s="298"/>
    </row>
    <row r="4712" spans="14:19" hidden="1" x14ac:dyDescent="0.25">
      <c r="N4712" s="17">
        <v>670.79999999994197</v>
      </c>
      <c r="O4712" s="16" t="s">
        <v>4434</v>
      </c>
      <c r="R4712" s="6"/>
      <c r="S4712" s="298"/>
    </row>
    <row r="4713" spans="14:19" hidden="1" x14ac:dyDescent="0.25">
      <c r="N4713" s="17">
        <v>670.899999999942</v>
      </c>
      <c r="O4713" s="16" t="s">
        <v>4435</v>
      </c>
      <c r="R4713" s="6"/>
      <c r="S4713" s="298"/>
    </row>
    <row r="4714" spans="14:19" hidden="1" x14ac:dyDescent="0.25">
      <c r="N4714" s="17">
        <v>670.99999999994202</v>
      </c>
      <c r="O4714" s="16" t="s">
        <v>4436</v>
      </c>
      <c r="R4714" s="6"/>
      <c r="S4714" s="298"/>
    </row>
    <row r="4715" spans="14:19" hidden="1" x14ac:dyDescent="0.25">
      <c r="N4715" s="17">
        <v>671.09999999994204</v>
      </c>
      <c r="O4715" s="16" t="s">
        <v>4437</v>
      </c>
      <c r="R4715" s="6"/>
      <c r="S4715" s="298"/>
    </row>
    <row r="4716" spans="14:19" hidden="1" x14ac:dyDescent="0.25">
      <c r="N4716" s="17">
        <v>671.19999999994195</v>
      </c>
      <c r="O4716" s="16" t="s">
        <v>4438</v>
      </c>
      <c r="R4716" s="6"/>
      <c r="S4716" s="298"/>
    </row>
    <row r="4717" spans="14:19" hidden="1" x14ac:dyDescent="0.25">
      <c r="N4717" s="17">
        <v>671.29999999994197</v>
      </c>
      <c r="O4717" s="16" t="s">
        <v>4439</v>
      </c>
      <c r="R4717" s="6"/>
      <c r="S4717" s="298"/>
    </row>
    <row r="4718" spans="14:19" hidden="1" x14ac:dyDescent="0.25">
      <c r="N4718" s="17">
        <v>671.399999999942</v>
      </c>
      <c r="O4718" s="16" t="s">
        <v>4440</v>
      </c>
      <c r="R4718" s="6"/>
      <c r="S4718" s="298"/>
    </row>
    <row r="4719" spans="14:19" hidden="1" x14ac:dyDescent="0.25">
      <c r="N4719" s="17">
        <v>671.49999999994202</v>
      </c>
      <c r="O4719" s="16" t="s">
        <v>4441</v>
      </c>
      <c r="R4719" s="6"/>
      <c r="S4719" s="298"/>
    </row>
    <row r="4720" spans="14:19" hidden="1" x14ac:dyDescent="0.25">
      <c r="N4720" s="17">
        <v>671.59999999994204</v>
      </c>
      <c r="O4720" s="16" t="s">
        <v>4442</v>
      </c>
      <c r="R4720" s="6"/>
      <c r="S4720" s="298"/>
    </row>
    <row r="4721" spans="14:19" hidden="1" x14ac:dyDescent="0.25">
      <c r="N4721" s="17">
        <v>671.69999999994104</v>
      </c>
      <c r="O4721" s="16" t="s">
        <v>4443</v>
      </c>
      <c r="R4721" s="6"/>
      <c r="S4721" s="298"/>
    </row>
    <row r="4722" spans="14:19" hidden="1" x14ac:dyDescent="0.25">
      <c r="N4722" s="17">
        <v>671.79999999994095</v>
      </c>
      <c r="O4722" s="16" t="s">
        <v>4444</v>
      </c>
      <c r="R4722" s="6"/>
      <c r="S4722" s="298"/>
    </row>
    <row r="4723" spans="14:19" hidden="1" x14ac:dyDescent="0.25">
      <c r="N4723" s="17">
        <v>671.89999999994097</v>
      </c>
      <c r="O4723" s="16" t="s">
        <v>4445</v>
      </c>
      <c r="R4723" s="6"/>
      <c r="S4723" s="298"/>
    </row>
    <row r="4724" spans="14:19" hidden="1" x14ac:dyDescent="0.25">
      <c r="N4724" s="17">
        <v>671.999999999941</v>
      </c>
      <c r="O4724" s="16" t="s">
        <v>4446</v>
      </c>
      <c r="R4724" s="6"/>
      <c r="S4724" s="298"/>
    </row>
    <row r="4725" spans="14:19" hidden="1" x14ac:dyDescent="0.25">
      <c r="N4725" s="17">
        <v>672.09999999994102</v>
      </c>
      <c r="O4725" s="16" t="s">
        <v>4447</v>
      </c>
      <c r="R4725" s="6"/>
      <c r="S4725" s="298"/>
    </row>
    <row r="4726" spans="14:19" hidden="1" x14ac:dyDescent="0.25">
      <c r="N4726" s="17">
        <v>672.19999999994104</v>
      </c>
      <c r="O4726" s="16" t="s">
        <v>4448</v>
      </c>
      <c r="R4726" s="6"/>
      <c r="S4726" s="298"/>
    </row>
    <row r="4727" spans="14:19" hidden="1" x14ac:dyDescent="0.25">
      <c r="N4727" s="17">
        <v>672.29999999994095</v>
      </c>
      <c r="O4727" s="16" t="s">
        <v>4449</v>
      </c>
      <c r="R4727" s="6"/>
      <c r="S4727" s="298"/>
    </row>
    <row r="4728" spans="14:19" hidden="1" x14ac:dyDescent="0.25">
      <c r="N4728" s="17">
        <v>672.39999999994097</v>
      </c>
      <c r="O4728" s="16" t="s">
        <v>4450</v>
      </c>
      <c r="R4728" s="6"/>
      <c r="S4728" s="298"/>
    </row>
    <row r="4729" spans="14:19" hidden="1" x14ac:dyDescent="0.25">
      <c r="N4729" s="17">
        <v>672.499999999941</v>
      </c>
      <c r="O4729" s="16" t="s">
        <v>4451</v>
      </c>
      <c r="R4729" s="6"/>
      <c r="S4729" s="298"/>
    </row>
    <row r="4730" spans="14:19" hidden="1" x14ac:dyDescent="0.25">
      <c r="N4730" s="17">
        <v>672.59999999994102</v>
      </c>
      <c r="O4730" s="16" t="s">
        <v>4452</v>
      </c>
      <c r="R4730" s="6"/>
      <c r="S4730" s="298"/>
    </row>
    <row r="4731" spans="14:19" hidden="1" x14ac:dyDescent="0.25">
      <c r="N4731" s="17">
        <v>672.69999999994104</v>
      </c>
      <c r="O4731" s="16" t="s">
        <v>4453</v>
      </c>
      <c r="R4731" s="6"/>
      <c r="S4731" s="298"/>
    </row>
    <row r="4732" spans="14:19" hidden="1" x14ac:dyDescent="0.25">
      <c r="N4732" s="17">
        <v>672.79999999994095</v>
      </c>
      <c r="O4732" s="16" t="s">
        <v>4454</v>
      </c>
      <c r="R4732" s="6"/>
      <c r="S4732" s="298"/>
    </row>
    <row r="4733" spans="14:19" hidden="1" x14ac:dyDescent="0.25">
      <c r="N4733" s="17">
        <v>672.89999999994097</v>
      </c>
      <c r="O4733" s="16" t="s">
        <v>4455</v>
      </c>
      <c r="R4733" s="6"/>
      <c r="S4733" s="298"/>
    </row>
    <row r="4734" spans="14:19" hidden="1" x14ac:dyDescent="0.25">
      <c r="N4734" s="17">
        <v>672.999999999941</v>
      </c>
      <c r="O4734" s="16" t="s">
        <v>4456</v>
      </c>
      <c r="R4734" s="6"/>
      <c r="S4734" s="298"/>
    </row>
    <row r="4735" spans="14:19" hidden="1" x14ac:dyDescent="0.25">
      <c r="N4735" s="17">
        <v>673.09999999994102</v>
      </c>
      <c r="O4735" s="16" t="s">
        <v>4457</v>
      </c>
      <c r="R4735" s="6"/>
      <c r="S4735" s="298"/>
    </row>
    <row r="4736" spans="14:19" hidden="1" x14ac:dyDescent="0.25">
      <c r="N4736" s="17">
        <v>673.19999999994104</v>
      </c>
      <c r="O4736" s="16" t="s">
        <v>4458</v>
      </c>
      <c r="R4736" s="6"/>
      <c r="S4736" s="298"/>
    </row>
    <row r="4737" spans="14:19" hidden="1" x14ac:dyDescent="0.25">
      <c r="N4737" s="17">
        <v>673.29999999994095</v>
      </c>
      <c r="O4737" s="16" t="s">
        <v>4459</v>
      </c>
      <c r="R4737" s="6"/>
      <c r="S4737" s="298"/>
    </row>
    <row r="4738" spans="14:19" hidden="1" x14ac:dyDescent="0.25">
      <c r="N4738" s="17">
        <v>673.39999999994097</v>
      </c>
      <c r="O4738" s="16" t="s">
        <v>2314</v>
      </c>
      <c r="R4738" s="6"/>
      <c r="S4738" s="298"/>
    </row>
    <row r="4739" spans="14:19" hidden="1" x14ac:dyDescent="0.25">
      <c r="N4739" s="17">
        <v>673.499999999941</v>
      </c>
      <c r="O4739" s="16" t="s">
        <v>2315</v>
      </c>
      <c r="R4739" s="6"/>
      <c r="S4739" s="298"/>
    </row>
    <row r="4740" spans="14:19" hidden="1" x14ac:dyDescent="0.25">
      <c r="N4740" s="17">
        <v>673.59999999994102</v>
      </c>
      <c r="O4740" s="16" t="s">
        <v>2316</v>
      </c>
      <c r="R4740" s="6"/>
      <c r="S4740" s="298"/>
    </row>
    <row r="4741" spans="14:19" hidden="1" x14ac:dyDescent="0.25">
      <c r="N4741" s="17">
        <v>673.69999999994104</v>
      </c>
      <c r="O4741" s="16" t="s">
        <v>2317</v>
      </c>
      <c r="R4741" s="6"/>
      <c r="S4741" s="298"/>
    </row>
    <row r="4742" spans="14:19" hidden="1" x14ac:dyDescent="0.25">
      <c r="N4742" s="17">
        <v>673.79999999994095</v>
      </c>
      <c r="O4742" s="16" t="s">
        <v>2318</v>
      </c>
      <c r="R4742" s="6"/>
      <c r="S4742" s="298"/>
    </row>
    <row r="4743" spans="14:19" hidden="1" x14ac:dyDescent="0.25">
      <c r="N4743" s="17">
        <v>673.89999999994097</v>
      </c>
      <c r="O4743" s="16" t="s">
        <v>2319</v>
      </c>
      <c r="R4743" s="6"/>
      <c r="S4743" s="298"/>
    </row>
    <row r="4744" spans="14:19" hidden="1" x14ac:dyDescent="0.25">
      <c r="N4744" s="17">
        <v>673.999999999941</v>
      </c>
      <c r="O4744" s="16" t="s">
        <v>2320</v>
      </c>
      <c r="R4744" s="6"/>
      <c r="S4744" s="298"/>
    </row>
    <row r="4745" spans="14:19" hidden="1" x14ac:dyDescent="0.25">
      <c r="N4745" s="17">
        <v>674.09999999994102</v>
      </c>
      <c r="O4745" s="16" t="s">
        <v>2321</v>
      </c>
      <c r="R4745" s="6"/>
      <c r="S4745" s="298"/>
    </row>
    <row r="4746" spans="14:19" hidden="1" x14ac:dyDescent="0.25">
      <c r="N4746" s="17">
        <v>674.19999999994104</v>
      </c>
      <c r="O4746" s="16" t="s">
        <v>2322</v>
      </c>
      <c r="R4746" s="6"/>
      <c r="S4746" s="298"/>
    </row>
    <row r="4747" spans="14:19" hidden="1" x14ac:dyDescent="0.25">
      <c r="N4747" s="17">
        <v>674.29999999994095</v>
      </c>
      <c r="O4747" s="16" t="s">
        <v>4479</v>
      </c>
      <c r="R4747" s="6"/>
      <c r="S4747" s="298"/>
    </row>
    <row r="4748" spans="14:19" hidden="1" x14ac:dyDescent="0.25">
      <c r="N4748" s="17">
        <v>674.39999999994097</v>
      </c>
      <c r="O4748" s="16" t="s">
        <v>4480</v>
      </c>
      <c r="R4748" s="6"/>
      <c r="S4748" s="298"/>
    </row>
    <row r="4749" spans="14:19" hidden="1" x14ac:dyDescent="0.25">
      <c r="N4749" s="17">
        <v>674.499999999941</v>
      </c>
      <c r="O4749" s="16" t="s">
        <v>4481</v>
      </c>
      <c r="R4749" s="6"/>
      <c r="S4749" s="298"/>
    </row>
    <row r="4750" spans="14:19" hidden="1" x14ac:dyDescent="0.25">
      <c r="N4750" s="17">
        <v>674.59999999994</v>
      </c>
      <c r="O4750" s="16" t="s">
        <v>4482</v>
      </c>
      <c r="R4750" s="6"/>
      <c r="S4750" s="298"/>
    </row>
    <row r="4751" spans="14:19" hidden="1" x14ac:dyDescent="0.25">
      <c r="N4751" s="17">
        <v>674.69999999994002</v>
      </c>
      <c r="O4751" s="16" t="s">
        <v>4483</v>
      </c>
      <c r="R4751" s="6"/>
      <c r="S4751" s="298"/>
    </row>
    <row r="4752" spans="14:19" hidden="1" x14ac:dyDescent="0.25">
      <c r="N4752" s="17">
        <v>674.79999999994004</v>
      </c>
      <c r="O4752" s="16" t="s">
        <v>4484</v>
      </c>
      <c r="R4752" s="6"/>
      <c r="S4752" s="298"/>
    </row>
    <row r="4753" spans="14:19" hidden="1" x14ac:dyDescent="0.25">
      <c r="N4753" s="17">
        <v>674.89999999993995</v>
      </c>
      <c r="O4753" s="16" t="s">
        <v>4485</v>
      </c>
      <c r="R4753" s="6"/>
      <c r="S4753" s="298"/>
    </row>
    <row r="4754" spans="14:19" hidden="1" x14ac:dyDescent="0.25">
      <c r="N4754" s="17">
        <v>674.99999999993997</v>
      </c>
      <c r="O4754" s="16" t="s">
        <v>4486</v>
      </c>
      <c r="R4754" s="6"/>
      <c r="S4754" s="298"/>
    </row>
    <row r="4755" spans="14:19" hidden="1" x14ac:dyDescent="0.25">
      <c r="N4755" s="17">
        <v>675.09999999994</v>
      </c>
      <c r="O4755" s="16" t="s">
        <v>4487</v>
      </c>
      <c r="R4755" s="6"/>
      <c r="S4755" s="298"/>
    </row>
    <row r="4756" spans="14:19" hidden="1" x14ac:dyDescent="0.25">
      <c r="N4756" s="17">
        <v>675.19999999994002</v>
      </c>
      <c r="O4756" s="16" t="s">
        <v>4488</v>
      </c>
      <c r="R4756" s="6"/>
      <c r="S4756" s="298"/>
    </row>
    <row r="4757" spans="14:19" hidden="1" x14ac:dyDescent="0.25">
      <c r="N4757" s="17">
        <v>675.29999999994004</v>
      </c>
      <c r="O4757" s="16" t="s">
        <v>4489</v>
      </c>
      <c r="R4757" s="6"/>
      <c r="S4757" s="298"/>
    </row>
    <row r="4758" spans="14:19" hidden="1" x14ac:dyDescent="0.25">
      <c r="N4758" s="17">
        <v>675.39999999993995</v>
      </c>
      <c r="O4758" s="16" t="s">
        <v>4490</v>
      </c>
      <c r="R4758" s="6"/>
      <c r="S4758" s="298"/>
    </row>
    <row r="4759" spans="14:19" hidden="1" x14ac:dyDescent="0.25">
      <c r="N4759" s="17">
        <v>675.49999999993997</v>
      </c>
      <c r="O4759" s="16" t="s">
        <v>4491</v>
      </c>
      <c r="R4759" s="6"/>
      <c r="S4759" s="298"/>
    </row>
    <row r="4760" spans="14:19" hidden="1" x14ac:dyDescent="0.25">
      <c r="N4760" s="17">
        <v>675.59999999994</v>
      </c>
      <c r="O4760" s="16" t="s">
        <v>4492</v>
      </c>
      <c r="R4760" s="6"/>
      <c r="S4760" s="298"/>
    </row>
    <row r="4761" spans="14:19" hidden="1" x14ac:dyDescent="0.25">
      <c r="N4761" s="17">
        <v>675.69999999994002</v>
      </c>
      <c r="O4761" s="16" t="s">
        <v>4493</v>
      </c>
      <c r="R4761" s="6"/>
      <c r="S4761" s="298"/>
    </row>
    <row r="4762" spans="14:19" hidden="1" x14ac:dyDescent="0.25">
      <c r="N4762" s="17">
        <v>675.79999999994004</v>
      </c>
      <c r="O4762" s="16" t="s">
        <v>4494</v>
      </c>
      <c r="R4762" s="6"/>
      <c r="S4762" s="298"/>
    </row>
    <row r="4763" spans="14:19" hidden="1" x14ac:dyDescent="0.25">
      <c r="N4763" s="17">
        <v>675.89999999993995</v>
      </c>
      <c r="O4763" s="16" t="s">
        <v>4495</v>
      </c>
      <c r="R4763" s="6"/>
      <c r="S4763" s="298"/>
    </row>
    <row r="4764" spans="14:19" hidden="1" x14ac:dyDescent="0.25">
      <c r="N4764" s="17">
        <v>675.99999999993997</v>
      </c>
      <c r="O4764" s="16" t="s">
        <v>4496</v>
      </c>
      <c r="R4764" s="6"/>
      <c r="S4764" s="298"/>
    </row>
    <row r="4765" spans="14:19" hidden="1" x14ac:dyDescent="0.25">
      <c r="N4765" s="17">
        <v>676.09999999994</v>
      </c>
      <c r="O4765" s="16" t="s">
        <v>4503</v>
      </c>
      <c r="R4765" s="6"/>
      <c r="S4765" s="298"/>
    </row>
    <row r="4766" spans="14:19" hidden="1" x14ac:dyDescent="0.25">
      <c r="N4766" s="17">
        <v>676.19999999994002</v>
      </c>
      <c r="O4766" s="16" t="s">
        <v>4504</v>
      </c>
      <c r="R4766" s="6"/>
      <c r="S4766" s="298"/>
    </row>
    <row r="4767" spans="14:19" hidden="1" x14ac:dyDescent="0.25">
      <c r="N4767" s="17">
        <v>676.29999999994004</v>
      </c>
      <c r="O4767" s="16" t="s">
        <v>4505</v>
      </c>
      <c r="R4767" s="6"/>
      <c r="S4767" s="298"/>
    </row>
    <row r="4768" spans="14:19" hidden="1" x14ac:dyDescent="0.25">
      <c r="N4768" s="17">
        <v>676.39999999993995</v>
      </c>
      <c r="O4768" s="16" t="s">
        <v>4506</v>
      </c>
      <c r="R4768" s="6"/>
      <c r="S4768" s="298"/>
    </row>
    <row r="4769" spans="14:19" hidden="1" x14ac:dyDescent="0.25">
      <c r="N4769" s="17">
        <v>676.49999999993997</v>
      </c>
      <c r="O4769" s="16" t="s">
        <v>4507</v>
      </c>
      <c r="R4769" s="6"/>
      <c r="S4769" s="298"/>
    </row>
    <row r="4770" spans="14:19" hidden="1" x14ac:dyDescent="0.25">
      <c r="N4770" s="17">
        <v>676.59999999994</v>
      </c>
      <c r="O4770" s="16" t="s">
        <v>4508</v>
      </c>
      <c r="R4770" s="6"/>
      <c r="S4770" s="298"/>
    </row>
    <row r="4771" spans="14:19" hidden="1" x14ac:dyDescent="0.25">
      <c r="N4771" s="17">
        <v>676.69999999994002</v>
      </c>
      <c r="O4771" s="16" t="s">
        <v>4509</v>
      </c>
      <c r="R4771" s="6"/>
      <c r="S4771" s="298"/>
    </row>
    <row r="4772" spans="14:19" hidden="1" x14ac:dyDescent="0.25">
      <c r="N4772" s="17">
        <v>676.79999999994004</v>
      </c>
      <c r="O4772" s="16" t="s">
        <v>4510</v>
      </c>
      <c r="R4772" s="6"/>
      <c r="S4772" s="298"/>
    </row>
    <row r="4773" spans="14:19" hidden="1" x14ac:dyDescent="0.25">
      <c r="N4773" s="17">
        <v>676.89999999993995</v>
      </c>
      <c r="O4773" s="16" t="s">
        <v>4511</v>
      </c>
      <c r="R4773" s="6"/>
      <c r="S4773" s="298"/>
    </row>
    <row r="4774" spans="14:19" hidden="1" x14ac:dyDescent="0.25">
      <c r="N4774" s="17">
        <v>676.99999999993997</v>
      </c>
      <c r="O4774" s="16" t="s">
        <v>4512</v>
      </c>
      <c r="R4774" s="6"/>
      <c r="S4774" s="298"/>
    </row>
    <row r="4775" spans="14:19" hidden="1" x14ac:dyDescent="0.25">
      <c r="N4775" s="17">
        <v>677.09999999994</v>
      </c>
      <c r="O4775" s="16" t="s">
        <v>4513</v>
      </c>
      <c r="R4775" s="6"/>
      <c r="S4775" s="298"/>
    </row>
    <row r="4776" spans="14:19" hidden="1" x14ac:dyDescent="0.25">
      <c r="N4776" s="17">
        <v>677.19999999994002</v>
      </c>
      <c r="O4776" s="16" t="s">
        <v>4514</v>
      </c>
      <c r="R4776" s="6"/>
      <c r="S4776" s="298"/>
    </row>
    <row r="4777" spans="14:19" hidden="1" x14ac:dyDescent="0.25">
      <c r="N4777" s="17">
        <v>677.29999999994004</v>
      </c>
      <c r="O4777" s="16" t="s">
        <v>4515</v>
      </c>
      <c r="R4777" s="6"/>
      <c r="S4777" s="298"/>
    </row>
    <row r="4778" spans="14:19" hidden="1" x14ac:dyDescent="0.25">
      <c r="N4778" s="17">
        <v>677.39999999993995</v>
      </c>
      <c r="O4778" s="16" t="s">
        <v>4516</v>
      </c>
      <c r="R4778" s="6"/>
      <c r="S4778" s="298"/>
    </row>
    <row r="4779" spans="14:19" hidden="1" x14ac:dyDescent="0.25">
      <c r="N4779" s="17">
        <v>677.49999999993895</v>
      </c>
      <c r="O4779" s="16" t="s">
        <v>4517</v>
      </c>
      <c r="R4779" s="6"/>
      <c r="S4779" s="298"/>
    </row>
    <row r="4780" spans="14:19" hidden="1" x14ac:dyDescent="0.25">
      <c r="N4780" s="17">
        <v>677.59999999993897</v>
      </c>
      <c r="O4780" s="16" t="s">
        <v>2342</v>
      </c>
      <c r="R4780" s="6"/>
      <c r="S4780" s="298"/>
    </row>
    <row r="4781" spans="14:19" hidden="1" x14ac:dyDescent="0.25">
      <c r="N4781" s="17">
        <v>677.699999999939</v>
      </c>
      <c r="O4781" s="16" t="s">
        <v>2343</v>
      </c>
      <c r="R4781" s="6"/>
      <c r="S4781" s="298"/>
    </row>
    <row r="4782" spans="14:19" hidden="1" x14ac:dyDescent="0.25">
      <c r="N4782" s="17">
        <v>677.79999999993902</v>
      </c>
      <c r="O4782" s="16" t="s">
        <v>2344</v>
      </c>
      <c r="R4782" s="6"/>
      <c r="S4782" s="298"/>
    </row>
    <row r="4783" spans="14:19" hidden="1" x14ac:dyDescent="0.25">
      <c r="N4783" s="17">
        <v>677.89999999993904</v>
      </c>
      <c r="O4783" s="16" t="s">
        <v>2345</v>
      </c>
      <c r="R4783" s="6"/>
      <c r="S4783" s="298"/>
    </row>
    <row r="4784" spans="14:19" hidden="1" x14ac:dyDescent="0.25">
      <c r="N4784" s="17">
        <v>677.99999999993895</v>
      </c>
      <c r="O4784" s="16" t="s">
        <v>2346</v>
      </c>
      <c r="R4784" s="6"/>
      <c r="S4784" s="298"/>
    </row>
    <row r="4785" spans="14:19" hidden="1" x14ac:dyDescent="0.25">
      <c r="N4785" s="17">
        <v>678.09999999993897</v>
      </c>
      <c r="O4785" s="16" t="s">
        <v>2347</v>
      </c>
      <c r="R4785" s="6"/>
      <c r="S4785" s="298"/>
    </row>
    <row r="4786" spans="14:19" hidden="1" x14ac:dyDescent="0.25">
      <c r="N4786" s="17">
        <v>678.199999999939</v>
      </c>
      <c r="O4786" s="16" t="s">
        <v>2348</v>
      </c>
      <c r="R4786" s="6"/>
      <c r="S4786" s="298"/>
    </row>
    <row r="4787" spans="14:19" hidden="1" x14ac:dyDescent="0.25">
      <c r="N4787" s="17">
        <v>678.29999999993902</v>
      </c>
      <c r="O4787" s="16" t="s">
        <v>2349</v>
      </c>
      <c r="R4787" s="6"/>
      <c r="S4787" s="298"/>
    </row>
    <row r="4788" spans="14:19" hidden="1" x14ac:dyDescent="0.25">
      <c r="N4788" s="17">
        <v>678.39999999993904</v>
      </c>
      <c r="O4788" s="16" t="s">
        <v>2350</v>
      </c>
      <c r="R4788" s="6"/>
      <c r="S4788" s="298"/>
    </row>
    <row r="4789" spans="14:19" hidden="1" x14ac:dyDescent="0.25">
      <c r="N4789" s="17">
        <v>678.49999999993895</v>
      </c>
      <c r="O4789" s="16" t="s">
        <v>2351</v>
      </c>
      <c r="R4789" s="6"/>
      <c r="S4789" s="298"/>
    </row>
    <row r="4790" spans="14:19" hidden="1" x14ac:dyDescent="0.25">
      <c r="N4790" s="17">
        <v>678.59999999993897</v>
      </c>
      <c r="O4790" s="16" t="s">
        <v>2352</v>
      </c>
      <c r="R4790" s="6"/>
      <c r="S4790" s="298"/>
    </row>
    <row r="4791" spans="14:19" hidden="1" x14ac:dyDescent="0.25">
      <c r="N4791" s="17">
        <v>678.699999999939</v>
      </c>
      <c r="O4791" s="16" t="s">
        <v>2353</v>
      </c>
      <c r="R4791" s="6"/>
      <c r="S4791" s="298"/>
    </row>
    <row r="4792" spans="14:19" hidden="1" x14ac:dyDescent="0.25">
      <c r="N4792" s="17">
        <v>678.79999999993902</v>
      </c>
      <c r="O4792" s="16" t="s">
        <v>4497</v>
      </c>
      <c r="R4792" s="6"/>
      <c r="S4792" s="298"/>
    </row>
    <row r="4793" spans="14:19" hidden="1" x14ac:dyDescent="0.25">
      <c r="N4793" s="17">
        <v>678.89999999993904</v>
      </c>
      <c r="O4793" s="16" t="s">
        <v>4498</v>
      </c>
      <c r="R4793" s="6"/>
      <c r="S4793" s="298"/>
    </row>
    <row r="4794" spans="14:19" hidden="1" x14ac:dyDescent="0.25">
      <c r="N4794" s="17">
        <v>678.99999999993895</v>
      </c>
      <c r="O4794" s="16" t="s">
        <v>4499</v>
      </c>
      <c r="R4794" s="6"/>
      <c r="S4794" s="298"/>
    </row>
    <row r="4795" spans="14:19" hidden="1" x14ac:dyDescent="0.25">
      <c r="N4795" s="17">
        <v>679.09999999993897</v>
      </c>
      <c r="O4795" s="16" t="s">
        <v>4500</v>
      </c>
      <c r="R4795" s="6"/>
      <c r="S4795" s="298"/>
    </row>
    <row r="4796" spans="14:19" hidden="1" x14ac:dyDescent="0.25">
      <c r="N4796" s="17">
        <v>679.199999999939</v>
      </c>
      <c r="O4796" s="16" t="s">
        <v>2354</v>
      </c>
      <c r="R4796" s="6"/>
      <c r="S4796" s="298"/>
    </row>
    <row r="4797" spans="14:19" hidden="1" x14ac:dyDescent="0.25">
      <c r="N4797" s="17">
        <v>679.29999999993902</v>
      </c>
      <c r="O4797" s="16" t="s">
        <v>879</v>
      </c>
      <c r="R4797" s="6"/>
      <c r="S4797" s="298"/>
    </row>
    <row r="4798" spans="14:19" hidden="1" x14ac:dyDescent="0.25">
      <c r="N4798" s="17">
        <v>679.39999999993904</v>
      </c>
      <c r="O4798" s="16" t="s">
        <v>82</v>
      </c>
      <c r="R4798" s="6"/>
      <c r="S4798" s="298"/>
    </row>
    <row r="4799" spans="14:19" hidden="1" x14ac:dyDescent="0.25">
      <c r="N4799" s="17">
        <v>679.49999999993895</v>
      </c>
      <c r="O4799" s="16" t="s">
        <v>83</v>
      </c>
      <c r="R4799" s="6"/>
      <c r="S4799" s="298"/>
    </row>
    <row r="4800" spans="14:19" hidden="1" x14ac:dyDescent="0.25">
      <c r="N4800" s="17">
        <v>679.59999999993897</v>
      </c>
      <c r="O4800" s="16" t="s">
        <v>2361</v>
      </c>
      <c r="R4800" s="6"/>
      <c r="S4800" s="298"/>
    </row>
    <row r="4801" spans="14:19" hidden="1" x14ac:dyDescent="0.25">
      <c r="N4801" s="17">
        <v>679.699999999939</v>
      </c>
      <c r="O4801" s="16" t="s">
        <v>2362</v>
      </c>
      <c r="R4801" s="6"/>
      <c r="S4801" s="298"/>
    </row>
    <row r="4802" spans="14:19" hidden="1" x14ac:dyDescent="0.25">
      <c r="N4802" s="17">
        <v>679.79999999993902</v>
      </c>
      <c r="O4802" s="16" t="s">
        <v>2363</v>
      </c>
      <c r="R4802" s="6"/>
      <c r="S4802" s="298"/>
    </row>
    <row r="4803" spans="14:19" hidden="1" x14ac:dyDescent="0.25">
      <c r="N4803" s="17">
        <v>679.89999999993904</v>
      </c>
      <c r="O4803" s="16" t="s">
        <v>2364</v>
      </c>
      <c r="R4803" s="6"/>
      <c r="S4803" s="298"/>
    </row>
    <row r="4804" spans="14:19" hidden="1" x14ac:dyDescent="0.25">
      <c r="N4804" s="17">
        <v>679.99999999993895</v>
      </c>
      <c r="O4804" s="16" t="s">
        <v>2365</v>
      </c>
      <c r="R4804" s="6"/>
      <c r="S4804" s="298"/>
    </row>
    <row r="4805" spans="14:19" hidden="1" x14ac:dyDescent="0.25">
      <c r="N4805" s="17">
        <v>680.09999999993897</v>
      </c>
      <c r="O4805" s="16" t="s">
        <v>2366</v>
      </c>
      <c r="R4805" s="6"/>
      <c r="S4805" s="298"/>
    </row>
    <row r="4806" spans="14:19" hidden="1" x14ac:dyDescent="0.25">
      <c r="N4806" s="17">
        <v>680.199999999939</v>
      </c>
      <c r="O4806" s="16" t="s">
        <v>2367</v>
      </c>
      <c r="R4806" s="6"/>
      <c r="S4806" s="298"/>
    </row>
    <row r="4807" spans="14:19" hidden="1" x14ac:dyDescent="0.25">
      <c r="N4807" s="17">
        <v>680.29999999993902</v>
      </c>
      <c r="O4807" s="16" t="s">
        <v>2368</v>
      </c>
      <c r="R4807" s="6"/>
      <c r="S4807" s="298"/>
    </row>
    <row r="4808" spans="14:19" hidden="1" x14ac:dyDescent="0.25">
      <c r="N4808" s="17">
        <v>680.39999999993904</v>
      </c>
      <c r="O4808" s="16" t="s">
        <v>2369</v>
      </c>
      <c r="R4808" s="6"/>
      <c r="S4808" s="298"/>
    </row>
    <row r="4809" spans="14:19" hidden="1" x14ac:dyDescent="0.25">
      <c r="N4809" s="17">
        <v>680.49999999993804</v>
      </c>
      <c r="O4809" s="16" t="s">
        <v>2370</v>
      </c>
      <c r="R4809" s="6"/>
      <c r="S4809" s="298"/>
    </row>
    <row r="4810" spans="14:19" hidden="1" x14ac:dyDescent="0.25">
      <c r="N4810" s="17">
        <v>680.59999999993795</v>
      </c>
      <c r="O4810" s="16" t="s">
        <v>2371</v>
      </c>
      <c r="R4810" s="6"/>
      <c r="S4810" s="298"/>
    </row>
    <row r="4811" spans="14:19" hidden="1" x14ac:dyDescent="0.25">
      <c r="N4811" s="17">
        <v>680.69999999993797</v>
      </c>
      <c r="O4811" s="16" t="s">
        <v>2372</v>
      </c>
      <c r="R4811" s="6"/>
      <c r="S4811" s="298"/>
    </row>
    <row r="4812" spans="14:19" hidden="1" x14ac:dyDescent="0.25">
      <c r="N4812" s="17">
        <v>680.799999999938</v>
      </c>
      <c r="O4812" s="16" t="s">
        <v>2373</v>
      </c>
      <c r="R4812" s="6"/>
      <c r="S4812" s="298"/>
    </row>
    <row r="4813" spans="14:19" hidden="1" x14ac:dyDescent="0.25">
      <c r="N4813" s="17">
        <v>680.89999999993802</v>
      </c>
      <c r="O4813" s="16" t="s">
        <v>2374</v>
      </c>
      <c r="R4813" s="6"/>
      <c r="S4813" s="298"/>
    </row>
    <row r="4814" spans="14:19" hidden="1" x14ac:dyDescent="0.25">
      <c r="N4814" s="17">
        <v>680.99999999993804</v>
      </c>
      <c r="O4814" s="16" t="s">
        <v>2375</v>
      </c>
      <c r="R4814" s="6"/>
      <c r="S4814" s="298"/>
    </row>
    <row r="4815" spans="14:19" hidden="1" x14ac:dyDescent="0.25">
      <c r="N4815" s="17">
        <v>681.09999999993795</v>
      </c>
      <c r="O4815" s="16" t="s">
        <v>2376</v>
      </c>
      <c r="R4815" s="6"/>
      <c r="S4815" s="298"/>
    </row>
    <row r="4816" spans="14:19" hidden="1" x14ac:dyDescent="0.25">
      <c r="N4816" s="17">
        <v>681.19999999993797</v>
      </c>
      <c r="O4816" s="16" t="s">
        <v>2377</v>
      </c>
      <c r="R4816" s="6"/>
      <c r="S4816" s="298"/>
    </row>
    <row r="4817" spans="14:19" hidden="1" x14ac:dyDescent="0.25">
      <c r="N4817" s="17">
        <v>681.299999999938</v>
      </c>
      <c r="O4817" s="16" t="s">
        <v>2378</v>
      </c>
      <c r="R4817" s="6"/>
      <c r="S4817" s="298"/>
    </row>
    <row r="4818" spans="14:19" hidden="1" x14ac:dyDescent="0.25">
      <c r="N4818" s="17">
        <v>681.39999999993802</v>
      </c>
      <c r="O4818" s="16" t="s">
        <v>2379</v>
      </c>
      <c r="R4818" s="6"/>
      <c r="S4818" s="298"/>
    </row>
    <row r="4819" spans="14:19" hidden="1" x14ac:dyDescent="0.25">
      <c r="N4819" s="17">
        <v>681.49999999993804</v>
      </c>
      <c r="O4819" s="16" t="s">
        <v>2380</v>
      </c>
      <c r="R4819" s="6"/>
      <c r="S4819" s="298"/>
    </row>
    <row r="4820" spans="14:19" hidden="1" x14ac:dyDescent="0.25">
      <c r="N4820" s="17">
        <v>681.59999999993795</v>
      </c>
      <c r="O4820" s="16" t="s">
        <v>6615</v>
      </c>
      <c r="R4820" s="6"/>
      <c r="S4820" s="298"/>
    </row>
    <row r="4821" spans="14:19" hidden="1" x14ac:dyDescent="0.25">
      <c r="N4821" s="17">
        <v>681.69999999993797</v>
      </c>
      <c r="O4821" s="16" t="s">
        <v>6616</v>
      </c>
      <c r="R4821" s="6"/>
      <c r="S4821" s="298"/>
    </row>
    <row r="4822" spans="14:19" hidden="1" x14ac:dyDescent="0.25">
      <c r="N4822" s="17">
        <v>681.799999999938</v>
      </c>
      <c r="O4822" s="16" t="s">
        <v>6617</v>
      </c>
      <c r="R4822" s="6"/>
      <c r="S4822" s="298"/>
    </row>
    <row r="4823" spans="14:19" hidden="1" x14ac:dyDescent="0.25">
      <c r="N4823" s="17">
        <v>681.89999999993802</v>
      </c>
      <c r="O4823" s="16" t="s">
        <v>6618</v>
      </c>
      <c r="R4823" s="6"/>
      <c r="S4823" s="298"/>
    </row>
    <row r="4824" spans="14:19" hidden="1" x14ac:dyDescent="0.25">
      <c r="N4824" s="17">
        <v>681.99999999993804</v>
      </c>
      <c r="O4824" s="16" t="s">
        <v>6619</v>
      </c>
      <c r="R4824" s="6"/>
      <c r="S4824" s="298"/>
    </row>
    <row r="4825" spans="14:19" hidden="1" x14ac:dyDescent="0.25">
      <c r="N4825" s="17">
        <v>682.09999999993795</v>
      </c>
      <c r="O4825" s="16" t="s">
        <v>6620</v>
      </c>
      <c r="R4825" s="6"/>
      <c r="S4825" s="298"/>
    </row>
    <row r="4826" spans="14:19" hidden="1" x14ac:dyDescent="0.25">
      <c r="N4826" s="17">
        <v>682.19999999993797</v>
      </c>
      <c r="O4826" s="16" t="s">
        <v>6621</v>
      </c>
      <c r="R4826" s="6"/>
      <c r="S4826" s="298"/>
    </row>
    <row r="4827" spans="14:19" hidden="1" x14ac:dyDescent="0.25">
      <c r="N4827" s="17">
        <v>682.299999999938</v>
      </c>
      <c r="O4827" s="16" t="s">
        <v>6622</v>
      </c>
      <c r="R4827" s="6"/>
      <c r="S4827" s="298"/>
    </row>
    <row r="4828" spans="14:19" hidden="1" x14ac:dyDescent="0.25">
      <c r="N4828" s="17">
        <v>682.39999999993802</v>
      </c>
      <c r="O4828" s="16" t="s">
        <v>6623</v>
      </c>
      <c r="R4828" s="6"/>
      <c r="S4828" s="298"/>
    </row>
    <row r="4829" spans="14:19" hidden="1" x14ac:dyDescent="0.25">
      <c r="N4829" s="17">
        <v>682.49999999993804</v>
      </c>
      <c r="O4829" s="16" t="s">
        <v>6624</v>
      </c>
      <c r="R4829" s="6"/>
      <c r="S4829" s="298"/>
    </row>
    <row r="4830" spans="14:19" hidden="1" x14ac:dyDescent="0.25">
      <c r="N4830" s="17">
        <v>682.59999999993795</v>
      </c>
      <c r="O4830" s="16" t="s">
        <v>6625</v>
      </c>
      <c r="R4830" s="6"/>
      <c r="S4830" s="298"/>
    </row>
    <row r="4831" spans="14:19" hidden="1" x14ac:dyDescent="0.25">
      <c r="N4831" s="17">
        <v>682.69999999993797</v>
      </c>
      <c r="O4831" s="16" t="s">
        <v>6626</v>
      </c>
      <c r="R4831" s="6"/>
      <c r="S4831" s="298"/>
    </row>
    <row r="4832" spans="14:19" hidden="1" x14ac:dyDescent="0.25">
      <c r="N4832" s="17">
        <v>682.799999999938</v>
      </c>
      <c r="O4832" s="16" t="s">
        <v>6627</v>
      </c>
      <c r="R4832" s="6"/>
      <c r="S4832" s="298"/>
    </row>
    <row r="4833" spans="14:19" hidden="1" x14ac:dyDescent="0.25">
      <c r="N4833" s="17">
        <v>682.89999999993802</v>
      </c>
      <c r="O4833" s="16" t="s">
        <v>6628</v>
      </c>
      <c r="R4833" s="6"/>
      <c r="S4833" s="298"/>
    </row>
    <row r="4834" spans="14:19" hidden="1" x14ac:dyDescent="0.25">
      <c r="N4834" s="17">
        <v>682.99999999993804</v>
      </c>
      <c r="O4834" s="16" t="s">
        <v>6629</v>
      </c>
      <c r="R4834" s="6"/>
      <c r="S4834" s="298"/>
    </row>
    <row r="4835" spans="14:19" hidden="1" x14ac:dyDescent="0.25">
      <c r="N4835" s="17">
        <v>683.09999999993795</v>
      </c>
      <c r="O4835" s="16" t="s">
        <v>6630</v>
      </c>
      <c r="R4835" s="6"/>
      <c r="S4835" s="298"/>
    </row>
    <row r="4836" spans="14:19" hidden="1" x14ac:dyDescent="0.25">
      <c r="N4836" s="17">
        <v>683.19999999993797</v>
      </c>
      <c r="O4836" s="16" t="s">
        <v>4551</v>
      </c>
      <c r="R4836" s="6"/>
      <c r="S4836" s="298"/>
    </row>
    <row r="4837" spans="14:19" hidden="1" x14ac:dyDescent="0.25">
      <c r="N4837" s="17">
        <v>683.299999999938</v>
      </c>
      <c r="O4837" s="16" t="s">
        <v>4552</v>
      </c>
      <c r="R4837" s="6"/>
      <c r="S4837" s="298"/>
    </row>
    <row r="4838" spans="14:19" hidden="1" x14ac:dyDescent="0.25">
      <c r="N4838" s="17">
        <v>683.39999999993699</v>
      </c>
      <c r="O4838" s="16" t="s">
        <v>4553</v>
      </c>
      <c r="R4838" s="6"/>
      <c r="S4838" s="298"/>
    </row>
    <row r="4839" spans="14:19" hidden="1" x14ac:dyDescent="0.25">
      <c r="N4839" s="17">
        <v>683.49999999993702</v>
      </c>
      <c r="O4839" s="16" t="s">
        <v>4554</v>
      </c>
      <c r="R4839" s="6"/>
      <c r="S4839" s="298"/>
    </row>
    <row r="4840" spans="14:19" hidden="1" x14ac:dyDescent="0.25">
      <c r="N4840" s="17">
        <v>683.59999999993704</v>
      </c>
      <c r="O4840" s="16" t="s">
        <v>4555</v>
      </c>
      <c r="R4840" s="6"/>
      <c r="S4840" s="298"/>
    </row>
    <row r="4841" spans="14:19" hidden="1" x14ac:dyDescent="0.25">
      <c r="N4841" s="17">
        <v>683.69999999993695</v>
      </c>
      <c r="O4841" s="16" t="s">
        <v>4556</v>
      </c>
      <c r="R4841" s="6"/>
      <c r="S4841" s="298"/>
    </row>
    <row r="4842" spans="14:19" hidden="1" x14ac:dyDescent="0.25">
      <c r="N4842" s="17">
        <v>683.79999999993697</v>
      </c>
      <c r="O4842" s="16" t="s">
        <v>4557</v>
      </c>
      <c r="R4842" s="6"/>
      <c r="S4842" s="298"/>
    </row>
    <row r="4843" spans="14:19" hidden="1" x14ac:dyDescent="0.25">
      <c r="N4843" s="17">
        <v>683.89999999993699</v>
      </c>
      <c r="O4843" s="16" t="s">
        <v>4558</v>
      </c>
      <c r="R4843" s="6"/>
      <c r="S4843" s="298"/>
    </row>
    <row r="4844" spans="14:19" hidden="1" x14ac:dyDescent="0.25">
      <c r="N4844" s="17">
        <v>683.99999999993702</v>
      </c>
      <c r="O4844" s="16" t="s">
        <v>4559</v>
      </c>
      <c r="R4844" s="6"/>
      <c r="S4844" s="298"/>
    </row>
    <row r="4845" spans="14:19" hidden="1" x14ac:dyDescent="0.25">
      <c r="N4845" s="17">
        <v>684.09999999993704</v>
      </c>
      <c r="O4845" s="16" t="s">
        <v>4560</v>
      </c>
      <c r="R4845" s="6"/>
      <c r="S4845" s="298"/>
    </row>
    <row r="4846" spans="14:19" hidden="1" x14ac:dyDescent="0.25">
      <c r="N4846" s="17">
        <v>684.19999999993695</v>
      </c>
      <c r="O4846" s="16" t="s">
        <v>4561</v>
      </c>
      <c r="R4846" s="6"/>
      <c r="S4846" s="298"/>
    </row>
    <row r="4847" spans="14:19" hidden="1" x14ac:dyDescent="0.25">
      <c r="N4847" s="17">
        <v>684.29999999993697</v>
      </c>
      <c r="O4847" s="16" t="s">
        <v>4562</v>
      </c>
      <c r="R4847" s="6"/>
      <c r="S4847" s="298"/>
    </row>
    <row r="4848" spans="14:19" hidden="1" x14ac:dyDescent="0.25">
      <c r="N4848" s="17">
        <v>684.39999999993699</v>
      </c>
      <c r="O4848" s="16" t="s">
        <v>4563</v>
      </c>
      <c r="R4848" s="6"/>
      <c r="S4848" s="298"/>
    </row>
    <row r="4849" spans="14:19" hidden="1" x14ac:dyDescent="0.25">
      <c r="N4849" s="17">
        <v>684.49999999993702</v>
      </c>
      <c r="O4849" s="16" t="s">
        <v>4564</v>
      </c>
      <c r="R4849" s="6"/>
      <c r="S4849" s="298"/>
    </row>
    <row r="4850" spans="14:19" hidden="1" x14ac:dyDescent="0.25">
      <c r="N4850" s="17">
        <v>684.59999999993704</v>
      </c>
      <c r="O4850" s="16" t="s">
        <v>4565</v>
      </c>
      <c r="R4850" s="6"/>
      <c r="S4850" s="298"/>
    </row>
    <row r="4851" spans="14:19" hidden="1" x14ac:dyDescent="0.25">
      <c r="N4851" s="17">
        <v>684.69999999993695</v>
      </c>
      <c r="O4851" s="16" t="s">
        <v>4566</v>
      </c>
      <c r="R4851" s="6"/>
      <c r="S4851" s="298"/>
    </row>
    <row r="4852" spans="14:19" hidden="1" x14ac:dyDescent="0.25">
      <c r="N4852" s="17">
        <v>684.79999999993697</v>
      </c>
      <c r="O4852" s="16" t="s">
        <v>4567</v>
      </c>
      <c r="R4852" s="6"/>
      <c r="S4852" s="298"/>
    </row>
    <row r="4853" spans="14:19" hidden="1" x14ac:dyDescent="0.25">
      <c r="N4853" s="17">
        <v>684.89999999993699</v>
      </c>
      <c r="O4853" s="16" t="s">
        <v>4568</v>
      </c>
      <c r="R4853" s="6"/>
      <c r="S4853" s="298"/>
    </row>
    <row r="4854" spans="14:19" hidden="1" x14ac:dyDescent="0.25">
      <c r="N4854" s="17">
        <v>684.99999999993702</v>
      </c>
      <c r="O4854" s="16" t="s">
        <v>4569</v>
      </c>
      <c r="R4854" s="6"/>
      <c r="S4854" s="298"/>
    </row>
    <row r="4855" spans="14:19" hidden="1" x14ac:dyDescent="0.25">
      <c r="N4855" s="17">
        <v>685.09999999993704</v>
      </c>
      <c r="O4855" s="16" t="s">
        <v>4570</v>
      </c>
      <c r="R4855" s="6"/>
      <c r="S4855" s="298"/>
    </row>
    <row r="4856" spans="14:19" hidden="1" x14ac:dyDescent="0.25">
      <c r="N4856" s="17">
        <v>685.19999999993695</v>
      </c>
      <c r="O4856" s="16" t="s">
        <v>4571</v>
      </c>
      <c r="R4856" s="6"/>
      <c r="S4856" s="298"/>
    </row>
    <row r="4857" spans="14:19" hidden="1" x14ac:dyDescent="0.25">
      <c r="N4857" s="17">
        <v>685.29999999993697</v>
      </c>
      <c r="O4857" s="16" t="s">
        <v>4572</v>
      </c>
      <c r="R4857" s="6"/>
      <c r="S4857" s="298"/>
    </row>
    <row r="4858" spans="14:19" hidden="1" x14ac:dyDescent="0.25">
      <c r="N4858" s="17">
        <v>685.39999999993699</v>
      </c>
      <c r="O4858" s="16" t="s">
        <v>4573</v>
      </c>
      <c r="R4858" s="6"/>
      <c r="S4858" s="298"/>
    </row>
    <row r="4859" spans="14:19" hidden="1" x14ac:dyDescent="0.25">
      <c r="N4859" s="17">
        <v>685.49999999993702</v>
      </c>
      <c r="O4859" s="16" t="s">
        <v>4574</v>
      </c>
      <c r="R4859" s="6"/>
      <c r="S4859" s="298"/>
    </row>
    <row r="4860" spans="14:19" hidden="1" x14ac:dyDescent="0.25">
      <c r="N4860" s="17">
        <v>685.59999999993704</v>
      </c>
      <c r="O4860" s="16" t="s">
        <v>4575</v>
      </c>
      <c r="R4860" s="6"/>
      <c r="S4860" s="298"/>
    </row>
    <row r="4861" spans="14:19" hidden="1" x14ac:dyDescent="0.25">
      <c r="N4861" s="17">
        <v>685.69999999993695</v>
      </c>
      <c r="O4861" s="16" t="s">
        <v>4576</v>
      </c>
      <c r="R4861" s="6"/>
      <c r="S4861" s="298"/>
    </row>
    <row r="4862" spans="14:19" hidden="1" x14ac:dyDescent="0.25">
      <c r="N4862" s="17">
        <v>685.79999999993697</v>
      </c>
      <c r="O4862" s="16" t="s">
        <v>4577</v>
      </c>
      <c r="R4862" s="6"/>
      <c r="S4862" s="298"/>
    </row>
    <row r="4863" spans="14:19" hidden="1" x14ac:dyDescent="0.25">
      <c r="N4863" s="17">
        <v>685.89999999993699</v>
      </c>
      <c r="O4863" s="16" t="s">
        <v>4578</v>
      </c>
      <c r="R4863" s="6"/>
      <c r="S4863" s="298"/>
    </row>
    <row r="4864" spans="14:19" hidden="1" x14ac:dyDescent="0.25">
      <c r="N4864" s="17">
        <v>685.99999999993702</v>
      </c>
      <c r="O4864" s="16" t="s">
        <v>4579</v>
      </c>
      <c r="R4864" s="6"/>
      <c r="S4864" s="298"/>
    </row>
    <row r="4865" spans="14:19" hidden="1" x14ac:dyDescent="0.25">
      <c r="N4865" s="17">
        <v>686.09999999993704</v>
      </c>
      <c r="O4865" s="16" t="s">
        <v>4570</v>
      </c>
      <c r="R4865" s="6"/>
      <c r="S4865" s="298"/>
    </row>
    <row r="4866" spans="14:19" hidden="1" x14ac:dyDescent="0.25">
      <c r="N4866" s="17">
        <v>686.19999999993695</v>
      </c>
      <c r="O4866" s="16" t="s">
        <v>4571</v>
      </c>
      <c r="R4866" s="6"/>
      <c r="S4866" s="298"/>
    </row>
    <row r="4867" spans="14:19" hidden="1" x14ac:dyDescent="0.25">
      <c r="N4867" s="17">
        <v>686.29999999993595</v>
      </c>
      <c r="O4867" s="16" t="s">
        <v>4572</v>
      </c>
      <c r="R4867" s="6"/>
      <c r="S4867" s="298"/>
    </row>
    <row r="4868" spans="14:19" hidden="1" x14ac:dyDescent="0.25">
      <c r="N4868" s="17">
        <v>686.39999999993597</v>
      </c>
      <c r="O4868" s="16" t="s">
        <v>4573</v>
      </c>
      <c r="R4868" s="6"/>
      <c r="S4868" s="298"/>
    </row>
    <row r="4869" spans="14:19" hidden="1" x14ac:dyDescent="0.25">
      <c r="N4869" s="17">
        <v>686.49999999993599</v>
      </c>
      <c r="O4869" s="16" t="s">
        <v>4574</v>
      </c>
      <c r="R4869" s="6"/>
      <c r="S4869" s="298"/>
    </row>
    <row r="4870" spans="14:19" hidden="1" x14ac:dyDescent="0.25">
      <c r="N4870" s="17">
        <v>686.59999999993602</v>
      </c>
      <c r="O4870" s="16" t="s">
        <v>4575</v>
      </c>
      <c r="R4870" s="6"/>
      <c r="S4870" s="298"/>
    </row>
    <row r="4871" spans="14:19" hidden="1" x14ac:dyDescent="0.25">
      <c r="N4871" s="17">
        <v>686.69999999993604</v>
      </c>
      <c r="O4871" s="16" t="s">
        <v>4576</v>
      </c>
      <c r="R4871" s="6"/>
      <c r="S4871" s="298"/>
    </row>
    <row r="4872" spans="14:19" hidden="1" x14ac:dyDescent="0.25">
      <c r="N4872" s="17">
        <v>686.79999999993595</v>
      </c>
      <c r="O4872" s="16" t="s">
        <v>4577</v>
      </c>
      <c r="R4872" s="6"/>
      <c r="S4872" s="298"/>
    </row>
    <row r="4873" spans="14:19" hidden="1" x14ac:dyDescent="0.25">
      <c r="N4873" s="17">
        <v>686.89999999993597</v>
      </c>
      <c r="O4873" s="16" t="s">
        <v>4578</v>
      </c>
      <c r="R4873" s="6"/>
      <c r="S4873" s="298"/>
    </row>
    <row r="4874" spans="14:19" hidden="1" x14ac:dyDescent="0.25">
      <c r="N4874" s="17">
        <v>686.99999999993599</v>
      </c>
      <c r="O4874" s="16" t="s">
        <v>4580</v>
      </c>
      <c r="R4874" s="6"/>
      <c r="S4874" s="298"/>
    </row>
    <row r="4875" spans="14:19" hidden="1" x14ac:dyDescent="0.25">
      <c r="N4875" s="17">
        <v>687.09999999993602</v>
      </c>
      <c r="O4875" s="16" t="s">
        <v>4581</v>
      </c>
      <c r="R4875" s="6"/>
      <c r="S4875" s="298"/>
    </row>
    <row r="4876" spans="14:19" hidden="1" x14ac:dyDescent="0.25">
      <c r="N4876" s="17">
        <v>687.19999999993604</v>
      </c>
      <c r="O4876" s="16" t="s">
        <v>4582</v>
      </c>
      <c r="R4876" s="6"/>
      <c r="S4876" s="298"/>
    </row>
    <row r="4877" spans="14:19" hidden="1" x14ac:dyDescent="0.25">
      <c r="N4877" s="17">
        <v>687.29999999993595</v>
      </c>
      <c r="O4877" s="16" t="s">
        <v>4583</v>
      </c>
      <c r="R4877" s="6"/>
      <c r="S4877" s="298"/>
    </row>
    <row r="4878" spans="14:19" hidden="1" x14ac:dyDescent="0.25">
      <c r="N4878" s="17">
        <v>687.39999999993597</v>
      </c>
      <c r="O4878" s="16" t="s">
        <v>4584</v>
      </c>
      <c r="R4878" s="6"/>
      <c r="S4878" s="298"/>
    </row>
    <row r="4879" spans="14:19" hidden="1" x14ac:dyDescent="0.25">
      <c r="N4879" s="17">
        <v>687.49999999993599</v>
      </c>
      <c r="O4879" s="16" t="s">
        <v>4585</v>
      </c>
      <c r="R4879" s="6"/>
      <c r="S4879" s="298"/>
    </row>
    <row r="4880" spans="14:19" hidden="1" x14ac:dyDescent="0.25">
      <c r="N4880" s="17">
        <v>687.59999999993602</v>
      </c>
      <c r="O4880" s="16" t="s">
        <v>4586</v>
      </c>
      <c r="R4880" s="6"/>
      <c r="S4880" s="298"/>
    </row>
    <row r="4881" spans="14:19" hidden="1" x14ac:dyDescent="0.25">
      <c r="N4881" s="17">
        <v>687.69999999993604</v>
      </c>
      <c r="O4881" s="16" t="s">
        <v>4587</v>
      </c>
      <c r="R4881" s="6"/>
      <c r="S4881" s="298"/>
    </row>
    <row r="4882" spans="14:19" hidden="1" x14ac:dyDescent="0.25">
      <c r="N4882" s="17">
        <v>687.79999999993595</v>
      </c>
      <c r="O4882" s="16" t="s">
        <v>4588</v>
      </c>
      <c r="R4882" s="6"/>
      <c r="S4882" s="298"/>
    </row>
    <row r="4883" spans="14:19" hidden="1" x14ac:dyDescent="0.25">
      <c r="N4883" s="17">
        <v>687.89999999993597</v>
      </c>
      <c r="O4883" s="16" t="s">
        <v>4589</v>
      </c>
      <c r="R4883" s="6"/>
      <c r="S4883" s="298"/>
    </row>
    <row r="4884" spans="14:19" hidden="1" x14ac:dyDescent="0.25">
      <c r="N4884" s="17">
        <v>687.99999999993599</v>
      </c>
      <c r="O4884" s="16" t="s">
        <v>4590</v>
      </c>
      <c r="R4884" s="6"/>
      <c r="S4884" s="298"/>
    </row>
    <row r="4885" spans="14:19" hidden="1" x14ac:dyDescent="0.25">
      <c r="N4885" s="17">
        <v>688.09999999993602</v>
      </c>
      <c r="O4885" s="16" t="s">
        <v>4591</v>
      </c>
      <c r="R4885" s="6"/>
      <c r="S4885" s="298"/>
    </row>
    <row r="4886" spans="14:19" hidden="1" x14ac:dyDescent="0.25">
      <c r="N4886" s="17">
        <v>688.19999999993604</v>
      </c>
      <c r="O4886" s="16" t="s">
        <v>4592</v>
      </c>
      <c r="R4886" s="6"/>
      <c r="S4886" s="298"/>
    </row>
    <row r="4887" spans="14:19" hidden="1" x14ac:dyDescent="0.25">
      <c r="N4887" s="17">
        <v>688.29999999993595</v>
      </c>
      <c r="O4887" s="16" t="s">
        <v>4593</v>
      </c>
      <c r="R4887" s="6"/>
      <c r="S4887" s="298"/>
    </row>
    <row r="4888" spans="14:19" hidden="1" x14ac:dyDescent="0.25">
      <c r="N4888" s="17">
        <v>688.39999999993597</v>
      </c>
      <c r="O4888" s="16" t="s">
        <v>4594</v>
      </c>
      <c r="R4888" s="6"/>
      <c r="S4888" s="298"/>
    </row>
    <row r="4889" spans="14:19" hidden="1" x14ac:dyDescent="0.25">
      <c r="N4889" s="17">
        <v>688.49999999993599</v>
      </c>
      <c r="O4889" s="16" t="s">
        <v>4595</v>
      </c>
      <c r="R4889" s="6"/>
      <c r="S4889" s="298"/>
    </row>
    <row r="4890" spans="14:19" hidden="1" x14ac:dyDescent="0.25">
      <c r="N4890" s="17">
        <v>688.59999999993602</v>
      </c>
      <c r="O4890" s="16" t="s">
        <v>4596</v>
      </c>
      <c r="R4890" s="6"/>
      <c r="S4890" s="298"/>
    </row>
    <row r="4891" spans="14:19" hidden="1" x14ac:dyDescent="0.25">
      <c r="N4891" s="17">
        <v>688.69999999993604</v>
      </c>
      <c r="O4891" s="16" t="s">
        <v>4597</v>
      </c>
      <c r="R4891" s="6"/>
      <c r="S4891" s="298"/>
    </row>
    <row r="4892" spans="14:19" hidden="1" x14ac:dyDescent="0.25">
      <c r="N4892" s="17">
        <v>688.79999999993595</v>
      </c>
      <c r="O4892" s="16" t="s">
        <v>6672</v>
      </c>
      <c r="R4892" s="6"/>
      <c r="S4892" s="298"/>
    </row>
    <row r="4893" spans="14:19" hidden="1" x14ac:dyDescent="0.25">
      <c r="N4893" s="17">
        <v>688.89999999993597</v>
      </c>
      <c r="O4893" s="16" t="s">
        <v>4599</v>
      </c>
      <c r="R4893" s="6"/>
      <c r="S4893" s="298"/>
    </row>
    <row r="4894" spans="14:19" hidden="1" x14ac:dyDescent="0.25">
      <c r="N4894" s="17">
        <v>688.99999999993599</v>
      </c>
      <c r="O4894" s="16" t="s">
        <v>4600</v>
      </c>
      <c r="R4894" s="6"/>
      <c r="S4894" s="298"/>
    </row>
    <row r="4895" spans="14:19" hidden="1" x14ac:dyDescent="0.25">
      <c r="N4895" s="17">
        <v>689.09999999993602</v>
      </c>
      <c r="O4895" s="16" t="s">
        <v>4601</v>
      </c>
      <c r="R4895" s="6"/>
      <c r="S4895" s="298"/>
    </row>
    <row r="4896" spans="14:19" hidden="1" x14ac:dyDescent="0.25">
      <c r="N4896" s="17">
        <v>689.19999999993604</v>
      </c>
      <c r="O4896" s="16" t="s">
        <v>4602</v>
      </c>
      <c r="R4896" s="6"/>
      <c r="S4896" s="298"/>
    </row>
    <row r="4897" spans="14:19" hidden="1" x14ac:dyDescent="0.25">
      <c r="N4897" s="17">
        <v>689.29999999993504</v>
      </c>
      <c r="O4897" s="16" t="s">
        <v>4603</v>
      </c>
      <c r="R4897" s="6"/>
      <c r="S4897" s="298"/>
    </row>
    <row r="4898" spans="14:19" hidden="1" x14ac:dyDescent="0.25">
      <c r="N4898" s="17">
        <v>689.39999999993495</v>
      </c>
      <c r="O4898" s="16" t="s">
        <v>4604</v>
      </c>
      <c r="R4898" s="6"/>
      <c r="S4898" s="298"/>
    </row>
    <row r="4899" spans="14:19" hidden="1" x14ac:dyDescent="0.25">
      <c r="N4899" s="17">
        <v>689.49999999993497</v>
      </c>
      <c r="O4899" s="16" t="s">
        <v>4605</v>
      </c>
      <c r="R4899" s="6"/>
      <c r="S4899" s="298"/>
    </row>
    <row r="4900" spans="14:19" hidden="1" x14ac:dyDescent="0.25">
      <c r="N4900" s="17">
        <v>689.59999999993499</v>
      </c>
      <c r="O4900" s="16" t="s">
        <v>4606</v>
      </c>
      <c r="R4900" s="6"/>
      <c r="S4900" s="298"/>
    </row>
    <row r="4901" spans="14:19" hidden="1" x14ac:dyDescent="0.25">
      <c r="N4901" s="17">
        <v>689.69999999993502</v>
      </c>
      <c r="O4901" s="16" t="s">
        <v>4607</v>
      </c>
      <c r="R4901" s="6"/>
      <c r="S4901" s="298"/>
    </row>
    <row r="4902" spans="14:19" hidden="1" x14ac:dyDescent="0.25">
      <c r="N4902" s="17">
        <v>689.79999999993504</v>
      </c>
      <c r="O4902" s="16" t="s">
        <v>4608</v>
      </c>
      <c r="R4902" s="6"/>
      <c r="S4902" s="298"/>
    </row>
    <row r="4903" spans="14:19" hidden="1" x14ac:dyDescent="0.25">
      <c r="N4903" s="17">
        <v>689.89999999993495</v>
      </c>
      <c r="O4903" s="16" t="s">
        <v>4609</v>
      </c>
      <c r="R4903" s="6"/>
      <c r="S4903" s="298"/>
    </row>
    <row r="4904" spans="14:19" hidden="1" x14ac:dyDescent="0.25">
      <c r="N4904" s="17">
        <v>689.99999999993497</v>
      </c>
      <c r="O4904" s="16" t="s">
        <v>6687</v>
      </c>
      <c r="R4904" s="6"/>
      <c r="S4904" s="298"/>
    </row>
    <row r="4905" spans="14:19" hidden="1" x14ac:dyDescent="0.25">
      <c r="N4905" s="17">
        <v>690.09999999993499</v>
      </c>
      <c r="O4905" s="16" t="s">
        <v>8475</v>
      </c>
      <c r="R4905" s="6"/>
      <c r="S4905" s="298"/>
    </row>
    <row r="4906" spans="14:19" hidden="1" x14ac:dyDescent="0.25">
      <c r="N4906" s="17">
        <v>690.19999999993502</v>
      </c>
      <c r="O4906" s="16" t="s">
        <v>8476</v>
      </c>
      <c r="R4906" s="6"/>
      <c r="S4906" s="298"/>
    </row>
    <row r="4907" spans="14:19" hidden="1" x14ac:dyDescent="0.25">
      <c r="N4907" s="17">
        <v>690.29999999993504</v>
      </c>
      <c r="O4907" s="16" t="s">
        <v>8497</v>
      </c>
      <c r="R4907" s="6"/>
      <c r="S4907" s="298"/>
    </row>
    <row r="4908" spans="14:19" hidden="1" x14ac:dyDescent="0.25">
      <c r="N4908" s="17">
        <v>690.39999999993495</v>
      </c>
      <c r="O4908" s="16" t="s">
        <v>8498</v>
      </c>
      <c r="R4908" s="6"/>
      <c r="S4908" s="298"/>
    </row>
    <row r="4909" spans="14:19" hidden="1" x14ac:dyDescent="0.25">
      <c r="N4909" s="17">
        <v>690.49999999993497</v>
      </c>
      <c r="O4909" s="16" t="s">
        <v>8499</v>
      </c>
      <c r="R4909" s="6"/>
      <c r="S4909" s="298"/>
    </row>
    <row r="4910" spans="14:19" hidden="1" x14ac:dyDescent="0.25">
      <c r="N4910" s="17">
        <v>690.59999999993499</v>
      </c>
      <c r="O4910" s="16" t="s">
        <v>6709</v>
      </c>
      <c r="R4910" s="6"/>
      <c r="S4910" s="298"/>
    </row>
    <row r="4911" spans="14:19" hidden="1" x14ac:dyDescent="0.25">
      <c r="N4911" s="17">
        <v>690.69999999993502</v>
      </c>
      <c r="O4911" s="16" t="s">
        <v>6710</v>
      </c>
      <c r="R4911" s="6"/>
      <c r="S4911" s="298"/>
    </row>
    <row r="4912" spans="14:19" hidden="1" x14ac:dyDescent="0.25">
      <c r="N4912" s="17">
        <v>690.79999999993504</v>
      </c>
      <c r="O4912" s="16" t="s">
        <v>6711</v>
      </c>
      <c r="R4912" s="6"/>
      <c r="S4912" s="298"/>
    </row>
    <row r="4913" spans="14:19" hidden="1" x14ac:dyDescent="0.25">
      <c r="N4913" s="17">
        <v>690.89999999993495</v>
      </c>
      <c r="O4913" s="16" t="s">
        <v>6712</v>
      </c>
      <c r="R4913" s="6"/>
      <c r="S4913" s="298"/>
    </row>
    <row r="4914" spans="14:19" hidden="1" x14ac:dyDescent="0.25">
      <c r="N4914" s="17">
        <v>690.99999999993497</v>
      </c>
      <c r="O4914" s="16" t="s">
        <v>6713</v>
      </c>
      <c r="R4914" s="6"/>
      <c r="S4914" s="298"/>
    </row>
    <row r="4915" spans="14:19" hidden="1" x14ac:dyDescent="0.25">
      <c r="N4915" s="17">
        <v>691.09999999993499</v>
      </c>
      <c r="O4915" s="16" t="s">
        <v>6714</v>
      </c>
      <c r="R4915" s="6"/>
      <c r="S4915" s="298"/>
    </row>
    <row r="4916" spans="14:19" hidden="1" x14ac:dyDescent="0.25">
      <c r="N4916" s="17">
        <v>691.19999999993502</v>
      </c>
      <c r="O4916" s="16" t="s">
        <v>4627</v>
      </c>
      <c r="R4916" s="6"/>
      <c r="S4916" s="298"/>
    </row>
    <row r="4917" spans="14:19" hidden="1" x14ac:dyDescent="0.25">
      <c r="N4917" s="17">
        <v>691.29999999993504</v>
      </c>
      <c r="O4917" s="16" t="s">
        <v>4628</v>
      </c>
      <c r="R4917" s="6"/>
      <c r="S4917" s="298"/>
    </row>
    <row r="4918" spans="14:19" hidden="1" x14ac:dyDescent="0.25">
      <c r="N4918" s="17">
        <v>691.39999999993495</v>
      </c>
      <c r="O4918" s="16" t="s">
        <v>4629</v>
      </c>
      <c r="R4918" s="6"/>
      <c r="S4918" s="298"/>
    </row>
    <row r="4919" spans="14:19" hidden="1" x14ac:dyDescent="0.25">
      <c r="N4919" s="17">
        <v>691.49999999993497</v>
      </c>
      <c r="O4919" s="16" t="s">
        <v>4630</v>
      </c>
      <c r="R4919" s="6"/>
      <c r="S4919" s="298"/>
    </row>
    <row r="4920" spans="14:19" hidden="1" x14ac:dyDescent="0.25">
      <c r="N4920" s="17">
        <v>691.59999999993499</v>
      </c>
      <c r="O4920" s="16" t="s">
        <v>4631</v>
      </c>
      <c r="R4920" s="6"/>
      <c r="S4920" s="298"/>
    </row>
    <row r="4921" spans="14:19" hidden="1" x14ac:dyDescent="0.25">
      <c r="N4921" s="17">
        <v>691.69999999993502</v>
      </c>
      <c r="O4921" s="16" t="s">
        <v>4632</v>
      </c>
      <c r="R4921" s="6"/>
      <c r="S4921" s="298"/>
    </row>
    <row r="4922" spans="14:19" hidden="1" x14ac:dyDescent="0.25">
      <c r="N4922" s="17">
        <v>691.79999999993504</v>
      </c>
      <c r="O4922" s="16" t="s">
        <v>4633</v>
      </c>
      <c r="R4922" s="6"/>
      <c r="S4922" s="298"/>
    </row>
    <row r="4923" spans="14:19" hidden="1" x14ac:dyDescent="0.25">
      <c r="N4923" s="17">
        <v>691.89999999993495</v>
      </c>
      <c r="O4923" s="16" t="s">
        <v>4634</v>
      </c>
      <c r="R4923" s="6"/>
      <c r="S4923" s="298"/>
    </row>
    <row r="4924" spans="14:19" hidden="1" x14ac:dyDescent="0.25">
      <c r="N4924" s="17">
        <v>691.99999999993497</v>
      </c>
      <c r="O4924" s="16" t="s">
        <v>4635</v>
      </c>
      <c r="R4924" s="6"/>
      <c r="S4924" s="298"/>
    </row>
    <row r="4925" spans="14:19" hidden="1" x14ac:dyDescent="0.25">
      <c r="N4925" s="17">
        <v>692.09999999993499</v>
      </c>
      <c r="O4925" s="16" t="s">
        <v>4636</v>
      </c>
      <c r="R4925" s="6"/>
      <c r="S4925" s="298"/>
    </row>
    <row r="4926" spans="14:19" hidden="1" x14ac:dyDescent="0.25">
      <c r="N4926" s="17">
        <v>692.19999999993399</v>
      </c>
      <c r="O4926" s="16" t="s">
        <v>4637</v>
      </c>
      <c r="R4926" s="6"/>
      <c r="S4926" s="298"/>
    </row>
    <row r="4927" spans="14:19" hidden="1" x14ac:dyDescent="0.25">
      <c r="N4927" s="17">
        <v>692.29999999993402</v>
      </c>
      <c r="O4927" s="16" t="s">
        <v>4638</v>
      </c>
      <c r="R4927" s="6"/>
      <c r="S4927" s="298"/>
    </row>
    <row r="4928" spans="14:19" hidden="1" x14ac:dyDescent="0.25">
      <c r="N4928" s="17">
        <v>692.39999999993404</v>
      </c>
      <c r="O4928" s="16" t="s">
        <v>4639</v>
      </c>
      <c r="R4928" s="6"/>
      <c r="S4928" s="298"/>
    </row>
    <row r="4929" spans="14:19" hidden="1" x14ac:dyDescent="0.25">
      <c r="N4929" s="17">
        <v>692.49999999993395</v>
      </c>
      <c r="O4929" s="16" t="s">
        <v>4640</v>
      </c>
      <c r="R4929" s="6"/>
      <c r="S4929" s="298"/>
    </row>
    <row r="4930" spans="14:19" hidden="1" x14ac:dyDescent="0.25">
      <c r="N4930" s="17">
        <v>692.59999999993397</v>
      </c>
      <c r="O4930" s="16" t="s">
        <v>4641</v>
      </c>
      <c r="R4930" s="6"/>
      <c r="S4930" s="298"/>
    </row>
    <row r="4931" spans="14:19" hidden="1" x14ac:dyDescent="0.25">
      <c r="N4931" s="17">
        <v>692.69999999993399</v>
      </c>
      <c r="O4931" s="16" t="s">
        <v>4642</v>
      </c>
      <c r="R4931" s="6"/>
      <c r="S4931" s="298"/>
    </row>
    <row r="4932" spans="14:19" hidden="1" x14ac:dyDescent="0.25">
      <c r="N4932" s="17">
        <v>692.79999999993402</v>
      </c>
      <c r="O4932" s="16" t="s">
        <v>4643</v>
      </c>
      <c r="R4932" s="6"/>
      <c r="S4932" s="298"/>
    </row>
    <row r="4933" spans="14:19" hidden="1" x14ac:dyDescent="0.25">
      <c r="N4933" s="17">
        <v>692.89999999993404</v>
      </c>
      <c r="O4933" s="16" t="s">
        <v>4644</v>
      </c>
      <c r="R4933" s="6"/>
      <c r="S4933" s="298"/>
    </row>
    <row r="4934" spans="14:19" hidden="1" x14ac:dyDescent="0.25">
      <c r="N4934" s="17">
        <v>692.99999999993395</v>
      </c>
      <c r="O4934" s="16" t="s">
        <v>4645</v>
      </c>
      <c r="R4934" s="6"/>
      <c r="S4934" s="298"/>
    </row>
    <row r="4935" spans="14:19" hidden="1" x14ac:dyDescent="0.25">
      <c r="N4935" s="17">
        <v>693.09999999993397</v>
      </c>
      <c r="O4935" s="16" t="s">
        <v>4646</v>
      </c>
      <c r="R4935" s="6"/>
      <c r="S4935" s="298"/>
    </row>
    <row r="4936" spans="14:19" hidden="1" x14ac:dyDescent="0.25">
      <c r="N4936" s="17">
        <v>693.19999999993399</v>
      </c>
      <c r="O4936" s="16" t="s">
        <v>4647</v>
      </c>
      <c r="R4936" s="6"/>
      <c r="S4936" s="298"/>
    </row>
    <row r="4937" spans="14:19" hidden="1" x14ac:dyDescent="0.25">
      <c r="N4937" s="17">
        <v>693.29999999993402</v>
      </c>
      <c r="O4937" s="16" t="s">
        <v>4648</v>
      </c>
      <c r="R4937" s="6"/>
      <c r="S4937" s="298"/>
    </row>
    <row r="4938" spans="14:19" hidden="1" x14ac:dyDescent="0.25">
      <c r="N4938" s="17">
        <v>693.39999999993404</v>
      </c>
      <c r="O4938" s="16" t="s">
        <v>4649</v>
      </c>
      <c r="R4938" s="6"/>
      <c r="S4938" s="298"/>
    </row>
    <row r="4939" spans="14:19" hidden="1" x14ac:dyDescent="0.25">
      <c r="N4939" s="17">
        <v>693.49999999993395</v>
      </c>
      <c r="O4939" s="16" t="s">
        <v>2507</v>
      </c>
      <c r="R4939" s="6"/>
      <c r="S4939" s="298"/>
    </row>
    <row r="4940" spans="14:19" hidden="1" x14ac:dyDescent="0.25">
      <c r="N4940" s="17">
        <v>693.59999999993397</v>
      </c>
      <c r="O4940" s="16" t="s">
        <v>2508</v>
      </c>
      <c r="R4940" s="6"/>
      <c r="S4940" s="298"/>
    </row>
    <row r="4941" spans="14:19" hidden="1" x14ac:dyDescent="0.25">
      <c r="N4941" s="17">
        <v>693.69999999993399</v>
      </c>
      <c r="O4941" s="16" t="s">
        <v>2509</v>
      </c>
      <c r="R4941" s="6"/>
      <c r="S4941" s="298"/>
    </row>
    <row r="4942" spans="14:19" hidden="1" x14ac:dyDescent="0.25">
      <c r="N4942" s="17">
        <v>693.79999999993402</v>
      </c>
      <c r="O4942" s="16" t="s">
        <v>2510</v>
      </c>
      <c r="R4942" s="6"/>
      <c r="S4942" s="298"/>
    </row>
    <row r="4943" spans="14:19" hidden="1" x14ac:dyDescent="0.25">
      <c r="N4943" s="17">
        <v>693.89999999993404</v>
      </c>
      <c r="O4943" s="16" t="s">
        <v>2511</v>
      </c>
      <c r="R4943" s="6"/>
      <c r="S4943" s="298"/>
    </row>
    <row r="4944" spans="14:19" hidden="1" x14ac:dyDescent="0.25">
      <c r="N4944" s="17">
        <v>693.99999999993395</v>
      </c>
      <c r="O4944" s="16" t="s">
        <v>2512</v>
      </c>
      <c r="R4944" s="6"/>
      <c r="S4944" s="298"/>
    </row>
    <row r="4945" spans="14:19" hidden="1" x14ac:dyDescent="0.25">
      <c r="N4945" s="17">
        <v>694.09999999993397</v>
      </c>
      <c r="O4945" s="16" t="s">
        <v>2513</v>
      </c>
      <c r="R4945" s="6"/>
      <c r="S4945" s="298"/>
    </row>
    <row r="4946" spans="14:19" hidden="1" x14ac:dyDescent="0.25">
      <c r="N4946" s="17">
        <v>694.19999999993399</v>
      </c>
      <c r="O4946" s="16" t="s">
        <v>2514</v>
      </c>
      <c r="R4946" s="6"/>
      <c r="S4946" s="298"/>
    </row>
    <row r="4947" spans="14:19" hidden="1" x14ac:dyDescent="0.25">
      <c r="N4947" s="17">
        <v>694.29999999993402</v>
      </c>
      <c r="O4947" s="16" t="s">
        <v>2515</v>
      </c>
      <c r="R4947" s="6"/>
      <c r="S4947" s="298"/>
    </row>
    <row r="4948" spans="14:19" hidden="1" x14ac:dyDescent="0.25">
      <c r="N4948" s="17">
        <v>694.39999999993404</v>
      </c>
      <c r="O4948" s="16" t="s">
        <v>2516</v>
      </c>
      <c r="R4948" s="6"/>
      <c r="S4948" s="298"/>
    </row>
    <row r="4949" spans="14:19" hidden="1" x14ac:dyDescent="0.25">
      <c r="N4949" s="17">
        <v>694.49999999993395</v>
      </c>
      <c r="O4949" s="16" t="s">
        <v>2517</v>
      </c>
      <c r="R4949" s="6"/>
      <c r="S4949" s="298"/>
    </row>
    <row r="4950" spans="14:19" hidden="1" x14ac:dyDescent="0.25">
      <c r="N4950" s="17">
        <v>694.59999999993397</v>
      </c>
      <c r="O4950" s="16" t="s">
        <v>2518</v>
      </c>
      <c r="R4950" s="6"/>
      <c r="S4950" s="298"/>
    </row>
    <row r="4951" spans="14:19" hidden="1" x14ac:dyDescent="0.25">
      <c r="N4951" s="17">
        <v>694.69999999993399</v>
      </c>
      <c r="O4951" s="16" t="s">
        <v>2519</v>
      </c>
      <c r="R4951" s="6"/>
      <c r="S4951" s="298"/>
    </row>
    <row r="4952" spans="14:19" hidden="1" x14ac:dyDescent="0.25">
      <c r="N4952" s="17">
        <v>694.79999999993402</v>
      </c>
      <c r="O4952" s="16" t="s">
        <v>2520</v>
      </c>
      <c r="R4952" s="6"/>
      <c r="S4952" s="298"/>
    </row>
    <row r="4953" spans="14:19" hidden="1" x14ac:dyDescent="0.25">
      <c r="N4953" s="17">
        <v>694.89999999993404</v>
      </c>
      <c r="O4953" s="16" t="s">
        <v>2521</v>
      </c>
      <c r="R4953" s="6"/>
      <c r="S4953" s="298"/>
    </row>
    <row r="4954" spans="14:19" hidden="1" x14ac:dyDescent="0.25">
      <c r="N4954" s="17">
        <v>694.99999999993395</v>
      </c>
      <c r="O4954" s="16" t="s">
        <v>2522</v>
      </c>
      <c r="R4954" s="6"/>
      <c r="S4954" s="298"/>
    </row>
    <row r="4955" spans="14:19" hidden="1" x14ac:dyDescent="0.25">
      <c r="N4955" s="17">
        <v>695.09999999993295</v>
      </c>
      <c r="O4955" s="16" t="s">
        <v>2523</v>
      </c>
      <c r="R4955" s="6"/>
      <c r="S4955" s="298"/>
    </row>
    <row r="4956" spans="14:19" hidden="1" x14ac:dyDescent="0.25">
      <c r="N4956" s="17">
        <v>695.19999999993297</v>
      </c>
      <c r="O4956" s="16" t="s">
        <v>2524</v>
      </c>
      <c r="R4956" s="6"/>
      <c r="S4956" s="298"/>
    </row>
    <row r="4957" spans="14:19" hidden="1" x14ac:dyDescent="0.25">
      <c r="N4957" s="17">
        <v>695.29999999993299</v>
      </c>
      <c r="O4957" s="16" t="s">
        <v>2525</v>
      </c>
      <c r="R4957" s="6"/>
      <c r="S4957" s="298"/>
    </row>
    <row r="4958" spans="14:19" hidden="1" x14ac:dyDescent="0.25">
      <c r="N4958" s="17">
        <v>695.39999999993302</v>
      </c>
      <c r="O4958" s="16" t="s">
        <v>2526</v>
      </c>
      <c r="R4958" s="6"/>
      <c r="S4958" s="298"/>
    </row>
    <row r="4959" spans="14:19" hidden="1" x14ac:dyDescent="0.25">
      <c r="N4959" s="17">
        <v>695.49999999993304</v>
      </c>
      <c r="O4959" s="16" t="s">
        <v>2527</v>
      </c>
      <c r="R4959" s="6"/>
      <c r="S4959" s="298"/>
    </row>
    <row r="4960" spans="14:19" hidden="1" x14ac:dyDescent="0.25">
      <c r="N4960" s="17">
        <v>695.59999999993295</v>
      </c>
      <c r="O4960" s="16" t="s">
        <v>2528</v>
      </c>
      <c r="R4960" s="6"/>
      <c r="S4960" s="298"/>
    </row>
    <row r="4961" spans="14:19" hidden="1" x14ac:dyDescent="0.25">
      <c r="N4961" s="17">
        <v>695.69999999993297</v>
      </c>
      <c r="O4961" s="16" t="s">
        <v>2529</v>
      </c>
      <c r="R4961" s="6"/>
      <c r="S4961" s="298"/>
    </row>
    <row r="4962" spans="14:19" hidden="1" x14ac:dyDescent="0.25">
      <c r="N4962" s="17">
        <v>695.79999999993299</v>
      </c>
      <c r="O4962" s="16" t="s">
        <v>2530</v>
      </c>
      <c r="R4962" s="6"/>
      <c r="S4962" s="298"/>
    </row>
    <row r="4963" spans="14:19" hidden="1" x14ac:dyDescent="0.25">
      <c r="N4963" s="17">
        <v>695.89999999993302</v>
      </c>
      <c r="O4963" s="16" t="s">
        <v>2531</v>
      </c>
      <c r="R4963" s="6"/>
      <c r="S4963" s="298"/>
    </row>
    <row r="4964" spans="14:19" hidden="1" x14ac:dyDescent="0.25">
      <c r="N4964" s="17">
        <v>695.99999999993304</v>
      </c>
      <c r="O4964" s="16" t="s">
        <v>2532</v>
      </c>
      <c r="R4964" s="6"/>
      <c r="S4964" s="298"/>
    </row>
    <row r="4965" spans="14:19" hidden="1" x14ac:dyDescent="0.25">
      <c r="N4965" s="17">
        <v>696.09999999993295</v>
      </c>
      <c r="O4965" s="16" t="s">
        <v>2533</v>
      </c>
      <c r="R4965" s="6"/>
      <c r="S4965" s="298"/>
    </row>
    <row r="4966" spans="14:19" hidden="1" x14ac:dyDescent="0.25">
      <c r="N4966" s="17">
        <v>696.19999999993297</v>
      </c>
      <c r="O4966" s="16" t="s">
        <v>2534</v>
      </c>
      <c r="R4966" s="6"/>
      <c r="S4966" s="298"/>
    </row>
    <row r="4967" spans="14:19" hidden="1" x14ac:dyDescent="0.25">
      <c r="N4967" s="17">
        <v>696.29999999993299</v>
      </c>
      <c r="O4967" s="16" t="s">
        <v>2535</v>
      </c>
      <c r="R4967" s="6"/>
      <c r="S4967" s="298"/>
    </row>
    <row r="4968" spans="14:19" hidden="1" x14ac:dyDescent="0.25">
      <c r="N4968" s="17">
        <v>696.39999999993302</v>
      </c>
      <c r="O4968" s="16" t="s">
        <v>2536</v>
      </c>
      <c r="R4968" s="6"/>
      <c r="S4968" s="298"/>
    </row>
    <row r="4969" spans="14:19" hidden="1" x14ac:dyDescent="0.25">
      <c r="N4969" s="17">
        <v>696.49999999993304</v>
      </c>
      <c r="O4969" s="16" t="s">
        <v>2537</v>
      </c>
      <c r="R4969" s="6"/>
      <c r="S4969" s="298"/>
    </row>
    <row r="4970" spans="14:19" hidden="1" x14ac:dyDescent="0.25">
      <c r="N4970" s="17">
        <v>696.59999999993295</v>
      </c>
      <c r="O4970" s="16" t="s">
        <v>2538</v>
      </c>
      <c r="R4970" s="6"/>
      <c r="S4970" s="298"/>
    </row>
    <row r="4971" spans="14:19" hidden="1" x14ac:dyDescent="0.25">
      <c r="N4971" s="17">
        <v>696.69999999993297</v>
      </c>
      <c r="O4971" s="16" t="s">
        <v>2539</v>
      </c>
      <c r="R4971" s="6"/>
      <c r="S4971" s="298"/>
    </row>
    <row r="4972" spans="14:19" hidden="1" x14ac:dyDescent="0.25">
      <c r="N4972" s="17">
        <v>696.79999999993299</v>
      </c>
      <c r="O4972" s="16" t="s">
        <v>2540</v>
      </c>
      <c r="R4972" s="6"/>
      <c r="S4972" s="298"/>
    </row>
    <row r="4973" spans="14:19" hidden="1" x14ac:dyDescent="0.25">
      <c r="N4973" s="17">
        <v>696.89999999993302</v>
      </c>
      <c r="O4973" s="16" t="s">
        <v>2541</v>
      </c>
      <c r="R4973" s="6"/>
      <c r="S4973" s="298"/>
    </row>
    <row r="4974" spans="14:19" hidden="1" x14ac:dyDescent="0.25">
      <c r="N4974" s="17">
        <v>696.99999999993304</v>
      </c>
      <c r="O4974" s="16" t="s">
        <v>2542</v>
      </c>
      <c r="R4974" s="6"/>
      <c r="S4974" s="298"/>
    </row>
    <row r="4975" spans="14:19" hidden="1" x14ac:dyDescent="0.25">
      <c r="N4975" s="17">
        <v>697.09999999993295</v>
      </c>
      <c r="O4975" s="16" t="s">
        <v>2543</v>
      </c>
      <c r="R4975" s="6"/>
      <c r="S4975" s="298"/>
    </row>
    <row r="4976" spans="14:19" hidden="1" x14ac:dyDescent="0.25">
      <c r="N4976" s="17">
        <v>697.19999999993297</v>
      </c>
      <c r="O4976" s="16" t="s">
        <v>2544</v>
      </c>
      <c r="R4976" s="6"/>
      <c r="S4976" s="298"/>
    </row>
    <row r="4977" spans="14:19" hidden="1" x14ac:dyDescent="0.25">
      <c r="N4977" s="17">
        <v>697.29999999993299</v>
      </c>
      <c r="O4977" s="16" t="s">
        <v>2545</v>
      </c>
      <c r="R4977" s="6"/>
      <c r="S4977" s="298"/>
    </row>
    <row r="4978" spans="14:19" hidden="1" x14ac:dyDescent="0.25">
      <c r="N4978" s="17">
        <v>697.39999999993302</v>
      </c>
      <c r="O4978" s="16" t="s">
        <v>2546</v>
      </c>
      <c r="R4978" s="6"/>
      <c r="S4978" s="298"/>
    </row>
    <row r="4979" spans="14:19" hidden="1" x14ac:dyDescent="0.25">
      <c r="N4979" s="17">
        <v>697.49999999993304</v>
      </c>
      <c r="O4979" s="16" t="s">
        <v>2547</v>
      </c>
      <c r="R4979" s="6"/>
      <c r="S4979" s="298"/>
    </row>
    <row r="4980" spans="14:19" hidden="1" x14ac:dyDescent="0.25">
      <c r="N4980" s="17">
        <v>697.59999999993295</v>
      </c>
      <c r="O4980" s="16" t="s">
        <v>2548</v>
      </c>
      <c r="R4980" s="6"/>
      <c r="S4980" s="298"/>
    </row>
    <row r="4981" spans="14:19" hidden="1" x14ac:dyDescent="0.25">
      <c r="N4981" s="17">
        <v>697.69999999993297</v>
      </c>
      <c r="O4981" s="16" t="s">
        <v>2549</v>
      </c>
      <c r="R4981" s="6"/>
      <c r="S4981" s="298"/>
    </row>
    <row r="4982" spans="14:19" hidden="1" x14ac:dyDescent="0.25">
      <c r="N4982" s="17">
        <v>697.79999999993299</v>
      </c>
      <c r="O4982" s="16" t="s">
        <v>2550</v>
      </c>
      <c r="R4982" s="6"/>
      <c r="S4982" s="298"/>
    </row>
    <row r="4983" spans="14:19" hidden="1" x14ac:dyDescent="0.25">
      <c r="N4983" s="17">
        <v>697.89999999993302</v>
      </c>
      <c r="O4983" s="16" t="s">
        <v>2551</v>
      </c>
      <c r="R4983" s="6"/>
      <c r="S4983" s="298"/>
    </row>
    <row r="4984" spans="14:19" hidden="1" x14ac:dyDescent="0.25">
      <c r="N4984" s="17">
        <v>697.99999999993304</v>
      </c>
      <c r="O4984" s="16" t="s">
        <v>2552</v>
      </c>
      <c r="R4984" s="6"/>
      <c r="S4984" s="298"/>
    </row>
    <row r="4985" spans="14:19" hidden="1" x14ac:dyDescent="0.25">
      <c r="N4985" s="17">
        <v>698.09999999993204</v>
      </c>
      <c r="O4985" s="16" t="s">
        <v>2553</v>
      </c>
      <c r="R4985" s="6"/>
      <c r="S4985" s="298"/>
    </row>
    <row r="4986" spans="14:19" hidden="1" x14ac:dyDescent="0.25">
      <c r="N4986" s="17">
        <v>698.19999999993195</v>
      </c>
      <c r="O4986" s="16" t="s">
        <v>2554</v>
      </c>
      <c r="R4986" s="6"/>
      <c r="S4986" s="298"/>
    </row>
    <row r="4987" spans="14:19" hidden="1" x14ac:dyDescent="0.25">
      <c r="N4987" s="17">
        <v>698.29999999993197</v>
      </c>
      <c r="O4987" s="16" t="s">
        <v>2555</v>
      </c>
      <c r="R4987" s="6"/>
      <c r="S4987" s="298"/>
    </row>
    <row r="4988" spans="14:19" hidden="1" x14ac:dyDescent="0.25">
      <c r="N4988" s="17">
        <v>698.39999999993199</v>
      </c>
      <c r="O4988" s="16" t="s">
        <v>2556</v>
      </c>
      <c r="R4988" s="6"/>
      <c r="S4988" s="298"/>
    </row>
    <row r="4989" spans="14:19" hidden="1" x14ac:dyDescent="0.25">
      <c r="N4989" s="17">
        <v>698.49999999993202</v>
      </c>
      <c r="O4989" s="16" t="s">
        <v>7780</v>
      </c>
      <c r="R4989" s="6"/>
      <c r="S4989" s="298"/>
    </row>
    <row r="4990" spans="14:19" hidden="1" x14ac:dyDescent="0.25">
      <c r="N4990" s="17">
        <v>698.59999999993204</v>
      </c>
      <c r="O4990" s="16" t="s">
        <v>7781</v>
      </c>
      <c r="R4990" s="6"/>
      <c r="S4990" s="298"/>
    </row>
    <row r="4991" spans="14:19" hidden="1" x14ac:dyDescent="0.25">
      <c r="N4991" s="17">
        <v>698.69999999993195</v>
      </c>
      <c r="O4991" s="16" t="s">
        <v>7782</v>
      </c>
      <c r="R4991" s="6"/>
      <c r="S4991" s="298"/>
    </row>
    <row r="4992" spans="14:19" hidden="1" x14ac:dyDescent="0.25">
      <c r="N4992" s="17">
        <v>698.79999999993197</v>
      </c>
      <c r="O4992" s="16" t="s">
        <v>7783</v>
      </c>
      <c r="R4992" s="6"/>
      <c r="S4992" s="298"/>
    </row>
    <row r="4993" spans="14:19" hidden="1" x14ac:dyDescent="0.25">
      <c r="N4993" s="17">
        <v>698.89999999993199</v>
      </c>
      <c r="O4993" s="16" t="s">
        <v>7784</v>
      </c>
      <c r="R4993" s="6"/>
      <c r="S4993" s="298"/>
    </row>
    <row r="4994" spans="14:19" hidden="1" x14ac:dyDescent="0.25">
      <c r="N4994" s="17">
        <v>698.99999999993202</v>
      </c>
      <c r="O4994" s="16" t="s">
        <v>7785</v>
      </c>
      <c r="R4994" s="6"/>
      <c r="S4994" s="298"/>
    </row>
    <row r="4995" spans="14:19" hidden="1" x14ac:dyDescent="0.25">
      <c r="N4995" s="17">
        <v>699.09999999993204</v>
      </c>
      <c r="O4995" s="16" t="s">
        <v>7786</v>
      </c>
      <c r="R4995" s="6"/>
      <c r="S4995" s="298"/>
    </row>
    <row r="4996" spans="14:19" hidden="1" x14ac:dyDescent="0.25">
      <c r="N4996" s="17">
        <v>699.19999999993195</v>
      </c>
      <c r="O4996" s="16" t="s">
        <v>7787</v>
      </c>
      <c r="R4996" s="6"/>
      <c r="S4996" s="298"/>
    </row>
    <row r="4997" spans="14:19" hidden="1" x14ac:dyDescent="0.25">
      <c r="N4997" s="17">
        <v>699.29999999993197</v>
      </c>
      <c r="O4997" s="16" t="s">
        <v>7788</v>
      </c>
      <c r="R4997" s="6"/>
      <c r="S4997" s="298"/>
    </row>
    <row r="4998" spans="14:19" hidden="1" x14ac:dyDescent="0.25">
      <c r="N4998" s="17">
        <v>699.39999999993199</v>
      </c>
      <c r="O4998" s="16" t="s">
        <v>7789</v>
      </c>
      <c r="R4998" s="6"/>
      <c r="S4998" s="298"/>
    </row>
    <row r="4999" spans="14:19" hidden="1" x14ac:dyDescent="0.25">
      <c r="N4999" s="17">
        <v>699.49999999993202</v>
      </c>
      <c r="O4999" s="16" t="s">
        <v>7790</v>
      </c>
      <c r="R4999" s="6"/>
      <c r="S4999" s="298"/>
    </row>
    <row r="5000" spans="14:19" hidden="1" x14ac:dyDescent="0.25">
      <c r="N5000" s="17">
        <v>699.59999999993204</v>
      </c>
      <c r="O5000" s="16" t="s">
        <v>6834</v>
      </c>
      <c r="R5000" s="6"/>
      <c r="S5000" s="298"/>
    </row>
    <row r="5001" spans="14:19" hidden="1" x14ac:dyDescent="0.25">
      <c r="N5001" s="17">
        <v>699.69999999993195</v>
      </c>
      <c r="O5001" s="16" t="s">
        <v>6835</v>
      </c>
      <c r="R5001" s="6"/>
      <c r="S5001" s="298"/>
    </row>
    <row r="5002" spans="14:19" hidden="1" x14ac:dyDescent="0.25">
      <c r="N5002" s="17">
        <v>699.79999999993197</v>
      </c>
      <c r="O5002" s="16" t="s">
        <v>6836</v>
      </c>
      <c r="R5002" s="6"/>
      <c r="S5002" s="298"/>
    </row>
    <row r="5003" spans="14:19" hidden="1" x14ac:dyDescent="0.25">
      <c r="N5003" s="17">
        <v>699.89999999993199</v>
      </c>
      <c r="O5003" s="16" t="s">
        <v>6837</v>
      </c>
      <c r="R5003" s="6"/>
      <c r="S5003" s="298"/>
    </row>
    <row r="5004" spans="14:19" hidden="1" x14ac:dyDescent="0.25">
      <c r="N5004" s="17">
        <v>699.99999999993202</v>
      </c>
      <c r="O5004" s="16" t="s">
        <v>6838</v>
      </c>
    </row>
    <row r="5005" spans="14:19" hidden="1" x14ac:dyDescent="0.25">
      <c r="N5005" s="17">
        <v>700.09999999993204</v>
      </c>
      <c r="O5005" s="16" t="s">
        <v>6839</v>
      </c>
      <c r="R5005" s="6"/>
      <c r="S5005" s="298"/>
    </row>
    <row r="5006" spans="14:19" hidden="1" x14ac:dyDescent="0.25">
      <c r="N5006" s="17">
        <v>700.19999999993195</v>
      </c>
      <c r="O5006" s="16" t="s">
        <v>6809</v>
      </c>
      <c r="R5006" s="6"/>
      <c r="S5006" s="298"/>
    </row>
    <row r="5007" spans="14:19" hidden="1" x14ac:dyDescent="0.25">
      <c r="N5007" s="17">
        <v>700.29999999993197</v>
      </c>
      <c r="O5007" s="16" t="s">
        <v>6810</v>
      </c>
      <c r="R5007" s="6"/>
      <c r="S5007" s="298"/>
    </row>
    <row r="5008" spans="14:19" hidden="1" x14ac:dyDescent="0.25">
      <c r="N5008" s="17">
        <v>700.39999999993199</v>
      </c>
      <c r="O5008" s="16" t="s">
        <v>6811</v>
      </c>
      <c r="R5008" s="6"/>
      <c r="S5008" s="298"/>
    </row>
    <row r="5009" spans="14:19" hidden="1" x14ac:dyDescent="0.25">
      <c r="N5009" s="17">
        <v>700.49999999993202</v>
      </c>
      <c r="O5009" s="16" t="s">
        <v>6812</v>
      </c>
      <c r="R5009" s="6"/>
      <c r="S5009" s="298"/>
    </row>
    <row r="5010" spans="14:19" hidden="1" x14ac:dyDescent="0.25">
      <c r="N5010" s="17">
        <v>700.59999999993204</v>
      </c>
      <c r="O5010" s="16" t="s">
        <v>6813</v>
      </c>
      <c r="R5010" s="6"/>
      <c r="S5010" s="298"/>
    </row>
    <row r="5011" spans="14:19" hidden="1" x14ac:dyDescent="0.25">
      <c r="N5011" s="17">
        <v>700.69999999993195</v>
      </c>
      <c r="O5011" s="16" t="s">
        <v>7765</v>
      </c>
      <c r="R5011" s="6"/>
      <c r="S5011" s="298"/>
    </row>
    <row r="5012" spans="14:19" hidden="1" x14ac:dyDescent="0.25">
      <c r="N5012" s="17">
        <v>700.79999999993197</v>
      </c>
      <c r="O5012" s="16" t="s">
        <v>7766</v>
      </c>
      <c r="R5012" s="6"/>
      <c r="S5012" s="298"/>
    </row>
    <row r="5013" spans="14:19" hidden="1" x14ac:dyDescent="0.25">
      <c r="N5013" s="17">
        <v>700.89999999993199</v>
      </c>
      <c r="O5013" s="16" t="s">
        <v>7767</v>
      </c>
      <c r="R5013" s="6"/>
      <c r="S5013" s="298"/>
    </row>
    <row r="5014" spans="14:19" hidden="1" x14ac:dyDescent="0.25">
      <c r="N5014" s="17">
        <v>700.99999999993099</v>
      </c>
      <c r="O5014" s="16" t="s">
        <v>6839</v>
      </c>
    </row>
    <row r="5015" spans="14:19" hidden="1" x14ac:dyDescent="0.25">
      <c r="N5015" s="17">
        <v>701.09999999993101</v>
      </c>
      <c r="O5015" s="16" t="s">
        <v>7768</v>
      </c>
      <c r="R5015" s="6"/>
      <c r="S5015" s="298"/>
    </row>
    <row r="5016" spans="14:19" hidden="1" x14ac:dyDescent="0.25">
      <c r="N5016" s="17">
        <v>701.19999999993104</v>
      </c>
      <c r="O5016" s="16" t="s">
        <v>7769</v>
      </c>
      <c r="R5016" s="6"/>
      <c r="S5016" s="298"/>
    </row>
    <row r="5017" spans="14:19" hidden="1" x14ac:dyDescent="0.25">
      <c r="N5017" s="17">
        <v>701.29999999993095</v>
      </c>
      <c r="O5017" s="16" t="s">
        <v>7704</v>
      </c>
      <c r="R5017" s="6"/>
      <c r="S5017" s="298"/>
    </row>
    <row r="5018" spans="14:19" hidden="1" x14ac:dyDescent="0.25">
      <c r="N5018" s="17">
        <v>701.39999999993097</v>
      </c>
      <c r="O5018" s="16" t="s">
        <v>7705</v>
      </c>
      <c r="R5018" s="6"/>
      <c r="S5018" s="298"/>
    </row>
    <row r="5019" spans="14:19" hidden="1" x14ac:dyDescent="0.25">
      <c r="N5019" s="17">
        <v>701.49999999993099</v>
      </c>
      <c r="O5019" s="16" t="s">
        <v>7706</v>
      </c>
      <c r="R5019" s="6"/>
      <c r="S5019" s="298"/>
    </row>
    <row r="5020" spans="14:19" hidden="1" x14ac:dyDescent="0.25">
      <c r="N5020" s="17">
        <v>701.59999999993101</v>
      </c>
      <c r="O5020" s="16" t="s">
        <v>7707</v>
      </c>
      <c r="R5020" s="6"/>
      <c r="S5020" s="298"/>
    </row>
    <row r="5021" spans="14:19" hidden="1" x14ac:dyDescent="0.25">
      <c r="N5021" s="17">
        <v>701.69999999993104</v>
      </c>
      <c r="O5021" s="16" t="s">
        <v>309</v>
      </c>
      <c r="R5021" s="6"/>
      <c r="S5021" s="298"/>
    </row>
    <row r="5022" spans="14:19" hidden="1" x14ac:dyDescent="0.25">
      <c r="N5022" s="17">
        <v>701.79999999993095</v>
      </c>
      <c r="O5022" s="16" t="s">
        <v>310</v>
      </c>
      <c r="R5022" s="6"/>
      <c r="S5022" s="298"/>
    </row>
    <row r="5023" spans="14:19" hidden="1" x14ac:dyDescent="0.25">
      <c r="N5023" s="17">
        <v>701.89999999993097</v>
      </c>
      <c r="O5023" s="16" t="s">
        <v>311</v>
      </c>
      <c r="R5023" s="6"/>
      <c r="S5023" s="298"/>
    </row>
    <row r="5024" spans="14:19" hidden="1" x14ac:dyDescent="0.25">
      <c r="N5024" s="17">
        <v>701.99999999993099</v>
      </c>
      <c r="O5024" s="16" t="s">
        <v>6809</v>
      </c>
      <c r="R5024" s="6"/>
      <c r="S5024" s="298"/>
    </row>
    <row r="5025" spans="14:19" hidden="1" x14ac:dyDescent="0.25">
      <c r="N5025" s="17">
        <v>702.09999999993101</v>
      </c>
      <c r="O5025" s="16" t="s">
        <v>312</v>
      </c>
      <c r="R5025" s="6"/>
      <c r="S5025" s="298"/>
    </row>
    <row r="5026" spans="14:19" hidden="1" x14ac:dyDescent="0.25">
      <c r="N5026" s="17">
        <v>702.19999999993104</v>
      </c>
      <c r="O5026" s="16" t="s">
        <v>313</v>
      </c>
      <c r="R5026" s="6"/>
      <c r="S5026" s="298"/>
    </row>
    <row r="5027" spans="14:19" hidden="1" x14ac:dyDescent="0.25">
      <c r="N5027" s="17">
        <v>702.29999999993095</v>
      </c>
      <c r="O5027" s="16" t="s">
        <v>314</v>
      </c>
      <c r="R5027" s="6"/>
      <c r="S5027" s="298"/>
    </row>
    <row r="5028" spans="14:19" hidden="1" x14ac:dyDescent="0.25">
      <c r="N5028" s="17">
        <v>702.39999999993097</v>
      </c>
      <c r="O5028" s="16" t="s">
        <v>315</v>
      </c>
      <c r="R5028" s="6"/>
      <c r="S5028" s="298"/>
    </row>
    <row r="5029" spans="14:19" hidden="1" x14ac:dyDescent="0.25">
      <c r="N5029" s="17">
        <v>702.49999999993099</v>
      </c>
      <c r="O5029" s="16" t="s">
        <v>316</v>
      </c>
      <c r="R5029" s="6"/>
      <c r="S5029" s="298"/>
    </row>
    <row r="5030" spans="14:19" hidden="1" x14ac:dyDescent="0.25">
      <c r="N5030" s="17">
        <v>702.59999999993101</v>
      </c>
      <c r="O5030" s="16" t="s">
        <v>317</v>
      </c>
      <c r="R5030" s="6"/>
      <c r="S5030" s="298"/>
    </row>
    <row r="5031" spans="14:19" hidden="1" x14ac:dyDescent="0.25">
      <c r="N5031" s="17">
        <v>702.69999999993104</v>
      </c>
      <c r="O5031" s="16" t="s">
        <v>324</v>
      </c>
      <c r="R5031" s="6"/>
      <c r="S5031" s="298"/>
    </row>
    <row r="5032" spans="14:19" hidden="1" x14ac:dyDescent="0.25">
      <c r="N5032" s="17">
        <v>702.79999999993095</v>
      </c>
      <c r="O5032" s="16" t="s">
        <v>325</v>
      </c>
      <c r="R5032" s="6"/>
      <c r="S5032" s="298"/>
    </row>
    <row r="5033" spans="14:19" hidden="1" x14ac:dyDescent="0.25">
      <c r="N5033" s="17">
        <v>702.89999999993097</v>
      </c>
      <c r="O5033" s="16" t="s">
        <v>326</v>
      </c>
      <c r="R5033" s="6"/>
      <c r="S5033" s="298"/>
    </row>
    <row r="5034" spans="14:19" hidden="1" x14ac:dyDescent="0.25">
      <c r="N5034" s="17">
        <v>702.99999999993099</v>
      </c>
      <c r="O5034" s="16" t="s">
        <v>6810</v>
      </c>
    </row>
    <row r="5035" spans="14:19" hidden="1" x14ac:dyDescent="0.25">
      <c r="N5035" s="17">
        <v>703.09999999993101</v>
      </c>
      <c r="O5035" s="16" t="s">
        <v>327</v>
      </c>
      <c r="R5035" s="6"/>
      <c r="S5035" s="298"/>
    </row>
    <row r="5036" spans="14:19" hidden="1" x14ac:dyDescent="0.25">
      <c r="N5036" s="17">
        <v>703.19999999993104</v>
      </c>
      <c r="O5036" s="16" t="s">
        <v>328</v>
      </c>
      <c r="R5036" s="6"/>
      <c r="S5036" s="298"/>
    </row>
    <row r="5037" spans="14:19" hidden="1" x14ac:dyDescent="0.25">
      <c r="N5037" s="17">
        <v>703.29999999993095</v>
      </c>
      <c r="O5037" s="16" t="s">
        <v>329</v>
      </c>
      <c r="R5037" s="6"/>
      <c r="S5037" s="298"/>
    </row>
    <row r="5038" spans="14:19" hidden="1" x14ac:dyDescent="0.25">
      <c r="N5038" s="17">
        <v>703.39999999993097</v>
      </c>
      <c r="O5038" s="16" t="s">
        <v>4704</v>
      </c>
      <c r="R5038" s="6"/>
      <c r="S5038" s="298"/>
    </row>
    <row r="5039" spans="14:19" hidden="1" x14ac:dyDescent="0.25">
      <c r="N5039" s="17">
        <v>703.49999999993099</v>
      </c>
      <c r="O5039" s="16" t="s">
        <v>4705</v>
      </c>
      <c r="R5039" s="6"/>
      <c r="S5039" s="298"/>
    </row>
    <row r="5040" spans="14:19" hidden="1" x14ac:dyDescent="0.25">
      <c r="N5040" s="17">
        <v>703.59999999993101</v>
      </c>
      <c r="O5040" s="16" t="s">
        <v>4706</v>
      </c>
      <c r="R5040" s="6"/>
      <c r="S5040" s="298"/>
    </row>
    <row r="5041" spans="14:19" hidden="1" x14ac:dyDescent="0.25">
      <c r="N5041" s="17">
        <v>703.69999999993104</v>
      </c>
      <c r="O5041" s="16" t="s">
        <v>4707</v>
      </c>
      <c r="R5041" s="6"/>
      <c r="S5041" s="298"/>
    </row>
    <row r="5042" spans="14:19" hidden="1" x14ac:dyDescent="0.25">
      <c r="N5042" s="17">
        <v>703.79999999993095</v>
      </c>
      <c r="O5042" s="16" t="s">
        <v>4708</v>
      </c>
      <c r="R5042" s="6"/>
      <c r="S5042" s="298"/>
    </row>
    <row r="5043" spans="14:19" hidden="1" x14ac:dyDescent="0.25">
      <c r="N5043" s="17">
        <v>703.89999999992995</v>
      </c>
      <c r="O5043" s="16" t="s">
        <v>4709</v>
      </c>
      <c r="R5043" s="6"/>
      <c r="S5043" s="298"/>
    </row>
    <row r="5044" spans="14:19" hidden="1" x14ac:dyDescent="0.25">
      <c r="N5044" s="17">
        <v>703.99999999992997</v>
      </c>
      <c r="O5044" s="16" t="s">
        <v>6811</v>
      </c>
      <c r="R5044" s="6"/>
      <c r="S5044" s="298"/>
    </row>
    <row r="5045" spans="14:19" hidden="1" x14ac:dyDescent="0.25">
      <c r="N5045" s="17">
        <v>704.09999999992999</v>
      </c>
      <c r="O5045" s="16" t="s">
        <v>4710</v>
      </c>
      <c r="R5045" s="6"/>
      <c r="S5045" s="298"/>
    </row>
    <row r="5046" spans="14:19" hidden="1" x14ac:dyDescent="0.25">
      <c r="N5046" s="17">
        <v>704.19999999993001</v>
      </c>
      <c r="O5046" s="16" t="s">
        <v>4711</v>
      </c>
      <c r="R5046" s="6"/>
      <c r="S5046" s="298"/>
    </row>
    <row r="5047" spans="14:19" hidden="1" x14ac:dyDescent="0.25">
      <c r="N5047" s="17">
        <v>704.29999999993004</v>
      </c>
      <c r="O5047" s="16" t="s">
        <v>4712</v>
      </c>
      <c r="R5047" s="6"/>
      <c r="S5047" s="298"/>
    </row>
    <row r="5048" spans="14:19" hidden="1" x14ac:dyDescent="0.25">
      <c r="N5048" s="17">
        <v>704.39999999992995</v>
      </c>
      <c r="O5048" s="16" t="s">
        <v>4713</v>
      </c>
      <c r="R5048" s="6"/>
      <c r="S5048" s="298"/>
    </row>
    <row r="5049" spans="14:19" hidden="1" x14ac:dyDescent="0.25">
      <c r="N5049" s="17">
        <v>704.49999999992997</v>
      </c>
      <c r="O5049" s="16" t="s">
        <v>4714</v>
      </c>
      <c r="R5049" s="6"/>
      <c r="S5049" s="298"/>
    </row>
    <row r="5050" spans="14:19" hidden="1" x14ac:dyDescent="0.25">
      <c r="N5050" s="17">
        <v>704.59999999992999</v>
      </c>
      <c r="O5050" s="16" t="s">
        <v>4715</v>
      </c>
      <c r="R5050" s="6"/>
      <c r="S5050" s="298"/>
    </row>
    <row r="5051" spans="14:19" hidden="1" x14ac:dyDescent="0.25">
      <c r="N5051" s="17">
        <v>704.69999999993001</v>
      </c>
      <c r="O5051" s="16" t="s">
        <v>4716</v>
      </c>
      <c r="R5051" s="6"/>
      <c r="S5051" s="298"/>
    </row>
    <row r="5052" spans="14:19" hidden="1" x14ac:dyDescent="0.25">
      <c r="N5052" s="17">
        <v>704.79999999993004</v>
      </c>
      <c r="O5052" s="16" t="s">
        <v>4717</v>
      </c>
      <c r="R5052" s="6"/>
      <c r="S5052" s="298"/>
    </row>
    <row r="5053" spans="14:19" hidden="1" x14ac:dyDescent="0.25">
      <c r="N5053" s="17">
        <v>704.89999999992995</v>
      </c>
      <c r="O5053" s="16" t="s">
        <v>4718</v>
      </c>
      <c r="R5053" s="6"/>
      <c r="S5053" s="298"/>
    </row>
    <row r="5054" spans="14:19" hidden="1" x14ac:dyDescent="0.25">
      <c r="N5054" s="17">
        <v>704.99999999992997</v>
      </c>
      <c r="O5054" s="16" t="s">
        <v>4719</v>
      </c>
      <c r="R5054" s="6"/>
      <c r="S5054" s="298"/>
    </row>
    <row r="5055" spans="14:19" hidden="1" x14ac:dyDescent="0.25">
      <c r="N5055" s="17">
        <v>705.09999999992999</v>
      </c>
      <c r="O5055" s="16" t="s">
        <v>4720</v>
      </c>
      <c r="R5055" s="6"/>
      <c r="S5055" s="298"/>
    </row>
    <row r="5056" spans="14:19" hidden="1" x14ac:dyDescent="0.25">
      <c r="N5056" s="17">
        <v>705.19999999993001</v>
      </c>
      <c r="O5056" s="16" t="s">
        <v>4721</v>
      </c>
      <c r="R5056" s="6"/>
      <c r="S5056" s="298"/>
    </row>
    <row r="5057" spans="14:19" hidden="1" x14ac:dyDescent="0.25">
      <c r="N5057" s="17">
        <v>705.29999999993004</v>
      </c>
      <c r="O5057" s="16" t="s">
        <v>4722</v>
      </c>
      <c r="R5057" s="6"/>
      <c r="S5057" s="298"/>
    </row>
    <row r="5058" spans="14:19" hidden="1" x14ac:dyDescent="0.25">
      <c r="N5058" s="17">
        <v>705.39999999992995</v>
      </c>
      <c r="O5058" s="16" t="s">
        <v>4723</v>
      </c>
      <c r="R5058" s="6"/>
      <c r="S5058" s="298"/>
    </row>
    <row r="5059" spans="14:19" hidden="1" x14ac:dyDescent="0.25">
      <c r="N5059" s="17">
        <v>705.49999999992997</v>
      </c>
      <c r="O5059" s="16" t="s">
        <v>4724</v>
      </c>
      <c r="R5059" s="6"/>
      <c r="S5059" s="298"/>
    </row>
    <row r="5060" spans="14:19" hidden="1" x14ac:dyDescent="0.25">
      <c r="N5060" s="17">
        <v>705.59999999992999</v>
      </c>
      <c r="O5060" s="16" t="s">
        <v>4725</v>
      </c>
      <c r="R5060" s="6"/>
      <c r="S5060" s="298"/>
    </row>
    <row r="5061" spans="14:19" hidden="1" x14ac:dyDescent="0.25">
      <c r="N5061" s="17">
        <v>705.69999999993001</v>
      </c>
      <c r="O5061" s="16" t="s">
        <v>4726</v>
      </c>
      <c r="R5061" s="6"/>
      <c r="S5061" s="298"/>
    </row>
    <row r="5062" spans="14:19" hidden="1" x14ac:dyDescent="0.25">
      <c r="N5062" s="17">
        <v>705.79999999993004</v>
      </c>
      <c r="O5062" s="16" t="s">
        <v>4727</v>
      </c>
      <c r="R5062" s="6"/>
      <c r="S5062" s="298"/>
    </row>
    <row r="5063" spans="14:19" hidden="1" x14ac:dyDescent="0.25">
      <c r="N5063" s="17">
        <v>705.89999999992995</v>
      </c>
      <c r="O5063" s="16" t="s">
        <v>4728</v>
      </c>
      <c r="R5063" s="6"/>
      <c r="S5063" s="298"/>
    </row>
    <row r="5064" spans="14:19" hidden="1" x14ac:dyDescent="0.25">
      <c r="N5064" s="17">
        <v>705.99999999992997</v>
      </c>
      <c r="O5064" s="16" t="s">
        <v>6813</v>
      </c>
      <c r="R5064" s="6"/>
      <c r="S5064" s="298"/>
    </row>
    <row r="5065" spans="14:19" hidden="1" x14ac:dyDescent="0.25">
      <c r="N5065" s="17">
        <v>706.09999999992999</v>
      </c>
      <c r="O5065" s="16" t="s">
        <v>343</v>
      </c>
      <c r="R5065" s="6"/>
      <c r="S5065" s="298"/>
    </row>
    <row r="5066" spans="14:19" hidden="1" x14ac:dyDescent="0.25">
      <c r="N5066" s="17">
        <v>706.19999999993001</v>
      </c>
      <c r="O5066" s="16" t="s">
        <v>344</v>
      </c>
      <c r="R5066" s="6"/>
      <c r="S5066" s="298"/>
    </row>
    <row r="5067" spans="14:19" hidden="1" x14ac:dyDescent="0.25">
      <c r="N5067" s="17">
        <v>706.29999999993004</v>
      </c>
      <c r="O5067" s="16" t="s">
        <v>345</v>
      </c>
      <c r="R5067" s="6"/>
      <c r="S5067" s="298"/>
    </row>
    <row r="5068" spans="14:19" hidden="1" x14ac:dyDescent="0.25">
      <c r="N5068" s="17">
        <v>706.39999999992995</v>
      </c>
      <c r="O5068" s="16" t="s">
        <v>346</v>
      </c>
      <c r="R5068" s="6"/>
      <c r="S5068" s="298"/>
    </row>
    <row r="5069" spans="14:19" hidden="1" x14ac:dyDescent="0.25">
      <c r="N5069" s="17">
        <v>706.49999999992997</v>
      </c>
      <c r="O5069" s="16" t="s">
        <v>347</v>
      </c>
      <c r="R5069" s="6"/>
      <c r="S5069" s="298"/>
    </row>
    <row r="5070" spans="14:19" hidden="1" x14ac:dyDescent="0.25">
      <c r="N5070" s="17">
        <v>706.59999999992999</v>
      </c>
      <c r="O5070" s="16" t="s">
        <v>2559</v>
      </c>
      <c r="R5070" s="6"/>
      <c r="S5070" s="298"/>
    </row>
    <row r="5071" spans="14:19" hidden="1" x14ac:dyDescent="0.25">
      <c r="N5071" s="17">
        <v>706.69999999993001</v>
      </c>
      <c r="O5071" s="16" t="s">
        <v>2560</v>
      </c>
      <c r="R5071" s="6"/>
      <c r="S5071" s="298"/>
    </row>
    <row r="5072" spans="14:19" hidden="1" x14ac:dyDescent="0.25">
      <c r="N5072" s="17">
        <v>706.79999999993004</v>
      </c>
      <c r="O5072" s="16" t="s">
        <v>2561</v>
      </c>
      <c r="R5072" s="6"/>
      <c r="S5072" s="298"/>
    </row>
    <row r="5073" spans="14:19" hidden="1" x14ac:dyDescent="0.25">
      <c r="N5073" s="17">
        <v>706.89999999992904</v>
      </c>
      <c r="O5073" s="16" t="s">
        <v>2562</v>
      </c>
      <c r="R5073" s="6"/>
      <c r="S5073" s="298"/>
    </row>
    <row r="5074" spans="14:19" hidden="1" x14ac:dyDescent="0.25">
      <c r="N5074" s="17">
        <v>706.99999999992895</v>
      </c>
      <c r="O5074" s="16" t="s">
        <v>7765</v>
      </c>
      <c r="R5074" s="6"/>
      <c r="S5074" s="298"/>
    </row>
    <row r="5075" spans="14:19" hidden="1" x14ac:dyDescent="0.25">
      <c r="N5075" s="17">
        <v>707.09999999992897</v>
      </c>
      <c r="O5075" s="16" t="s">
        <v>4736</v>
      </c>
      <c r="R5075" s="6"/>
      <c r="S5075" s="298"/>
    </row>
    <row r="5076" spans="14:19" hidden="1" x14ac:dyDescent="0.25">
      <c r="N5076" s="17">
        <v>707.19999999992899</v>
      </c>
      <c r="O5076" s="16" t="s">
        <v>4737</v>
      </c>
      <c r="R5076" s="6"/>
      <c r="S5076" s="298"/>
    </row>
    <row r="5077" spans="14:19" hidden="1" x14ac:dyDescent="0.25">
      <c r="N5077" s="17">
        <v>707.29999999992901</v>
      </c>
      <c r="O5077" s="16" t="s">
        <v>6822</v>
      </c>
      <c r="R5077" s="6"/>
      <c r="S5077" s="298"/>
    </row>
    <row r="5078" spans="14:19" hidden="1" x14ac:dyDescent="0.25">
      <c r="N5078" s="17">
        <v>707.39999999992904</v>
      </c>
      <c r="O5078" s="16" t="s">
        <v>6823</v>
      </c>
      <c r="R5078" s="6"/>
      <c r="S5078" s="298"/>
    </row>
    <row r="5079" spans="14:19" hidden="1" x14ac:dyDescent="0.25">
      <c r="N5079" s="17">
        <v>707.49999999992895</v>
      </c>
      <c r="O5079" s="16" t="s">
        <v>6824</v>
      </c>
      <c r="R5079" s="6"/>
      <c r="S5079" s="298"/>
    </row>
    <row r="5080" spans="14:19" hidden="1" x14ac:dyDescent="0.25">
      <c r="N5080" s="17">
        <v>707.59999999992897</v>
      </c>
      <c r="O5080" s="16" t="s">
        <v>6825</v>
      </c>
      <c r="R5080" s="6"/>
      <c r="S5080" s="298"/>
    </row>
    <row r="5081" spans="14:19" hidden="1" x14ac:dyDescent="0.25">
      <c r="N5081" s="17">
        <v>707.69999999992899</v>
      </c>
      <c r="O5081" s="16" t="s">
        <v>6826</v>
      </c>
      <c r="R5081" s="6"/>
      <c r="S5081" s="298"/>
    </row>
    <row r="5082" spans="14:19" hidden="1" x14ac:dyDescent="0.25">
      <c r="N5082" s="17">
        <v>707.79999999992901</v>
      </c>
      <c r="O5082" s="16" t="s">
        <v>6827</v>
      </c>
      <c r="R5082" s="6"/>
      <c r="S5082" s="298"/>
    </row>
    <row r="5083" spans="14:19" hidden="1" x14ac:dyDescent="0.25">
      <c r="N5083" s="17">
        <v>707.89999999992904</v>
      </c>
      <c r="O5083" s="16" t="s">
        <v>6828</v>
      </c>
      <c r="R5083" s="6"/>
      <c r="S5083" s="298"/>
    </row>
    <row r="5084" spans="14:19" hidden="1" x14ac:dyDescent="0.25">
      <c r="N5084" s="17">
        <v>707.99999999992895</v>
      </c>
      <c r="O5084" s="16" t="s">
        <v>7766</v>
      </c>
    </row>
    <row r="5085" spans="14:19" hidden="1" x14ac:dyDescent="0.25">
      <c r="N5085" s="17">
        <v>708.09999999992897</v>
      </c>
      <c r="O5085" s="16" t="s">
        <v>6829</v>
      </c>
    </row>
    <row r="5086" spans="14:19" hidden="1" x14ac:dyDescent="0.25">
      <c r="N5086" s="17">
        <v>708.19999999992899</v>
      </c>
      <c r="O5086" s="16" t="s">
        <v>6830</v>
      </c>
    </row>
    <row r="5087" spans="14:19" hidden="1" x14ac:dyDescent="0.25">
      <c r="N5087" s="17">
        <v>708.29999999992901</v>
      </c>
      <c r="O5087" s="16" t="s">
        <v>6831</v>
      </c>
    </row>
    <row r="5088" spans="14:19" hidden="1" x14ac:dyDescent="0.25">
      <c r="N5088" s="17">
        <v>708.39999999992904</v>
      </c>
      <c r="O5088" s="16" t="s">
        <v>6832</v>
      </c>
    </row>
    <row r="5089" spans="14:19" hidden="1" x14ac:dyDescent="0.25">
      <c r="N5089" s="17">
        <v>708.49999999992895</v>
      </c>
      <c r="O5089" s="16" t="s">
        <v>6833</v>
      </c>
    </row>
    <row r="5090" spans="14:19" hidden="1" x14ac:dyDescent="0.25">
      <c r="N5090" s="17">
        <v>708.59999999992897</v>
      </c>
      <c r="O5090" s="16" t="s">
        <v>4751</v>
      </c>
    </row>
    <row r="5091" spans="14:19" hidden="1" x14ac:dyDescent="0.25">
      <c r="N5091" s="17">
        <v>708.69999999992899</v>
      </c>
      <c r="O5091" s="16" t="s">
        <v>4752</v>
      </c>
    </row>
    <row r="5092" spans="14:19" hidden="1" x14ac:dyDescent="0.25">
      <c r="N5092" s="17">
        <v>708.79999999992901</v>
      </c>
      <c r="O5092" s="16" t="s">
        <v>4753</v>
      </c>
    </row>
    <row r="5093" spans="14:19" hidden="1" x14ac:dyDescent="0.25">
      <c r="N5093" s="17">
        <v>708.89999999992904</v>
      </c>
      <c r="O5093" s="16" t="s">
        <v>4754</v>
      </c>
    </row>
    <row r="5094" spans="14:19" hidden="1" x14ac:dyDescent="0.25">
      <c r="N5094" s="17">
        <v>708.99999999992895</v>
      </c>
      <c r="O5094" s="16" t="s">
        <v>4755</v>
      </c>
      <c r="R5094" s="6"/>
      <c r="S5094" s="298"/>
    </row>
    <row r="5095" spans="14:19" hidden="1" x14ac:dyDescent="0.25">
      <c r="N5095" s="17">
        <v>709.09999999992897</v>
      </c>
      <c r="O5095" s="16" t="s">
        <v>4756</v>
      </c>
      <c r="R5095" s="6"/>
      <c r="S5095" s="298"/>
    </row>
    <row r="5096" spans="14:19" hidden="1" x14ac:dyDescent="0.25">
      <c r="N5096" s="17">
        <v>709.19999999992899</v>
      </c>
      <c r="O5096" s="16" t="s">
        <v>4757</v>
      </c>
      <c r="R5096" s="6"/>
      <c r="S5096" s="298"/>
    </row>
    <row r="5097" spans="14:19" hidden="1" x14ac:dyDescent="0.25">
      <c r="N5097" s="17">
        <v>709.29999999992901</v>
      </c>
      <c r="O5097" s="16" t="s">
        <v>4758</v>
      </c>
      <c r="R5097" s="6"/>
      <c r="S5097" s="298"/>
    </row>
    <row r="5098" spans="14:19" hidden="1" x14ac:dyDescent="0.25">
      <c r="N5098" s="17">
        <v>709.39999999992904</v>
      </c>
      <c r="O5098" s="16" t="s">
        <v>4759</v>
      </c>
      <c r="R5098" s="6"/>
      <c r="S5098" s="298"/>
    </row>
    <row r="5099" spans="14:19" hidden="1" x14ac:dyDescent="0.25">
      <c r="N5099" s="17">
        <v>709.49999999992895</v>
      </c>
      <c r="O5099" s="16" t="s">
        <v>4760</v>
      </c>
      <c r="R5099" s="6"/>
      <c r="S5099" s="298"/>
    </row>
    <row r="5100" spans="14:19" hidden="1" x14ac:dyDescent="0.25">
      <c r="N5100" s="17">
        <v>709.59999999992897</v>
      </c>
      <c r="O5100" s="16" t="s">
        <v>4761</v>
      </c>
      <c r="R5100" s="6"/>
      <c r="S5100" s="298"/>
    </row>
    <row r="5101" spans="14:19" hidden="1" x14ac:dyDescent="0.25">
      <c r="N5101" s="17">
        <v>709.69999999992899</v>
      </c>
      <c r="O5101" s="16" t="s">
        <v>4762</v>
      </c>
      <c r="R5101" s="6"/>
      <c r="S5101" s="298"/>
    </row>
    <row r="5102" spans="14:19" hidden="1" x14ac:dyDescent="0.25">
      <c r="N5102" s="17">
        <v>709.79999999992799</v>
      </c>
      <c r="O5102" s="16" t="s">
        <v>4763</v>
      </c>
      <c r="R5102" s="6"/>
      <c r="S5102" s="298"/>
    </row>
    <row r="5103" spans="14:19" hidden="1" x14ac:dyDescent="0.25">
      <c r="N5103" s="17">
        <v>709.89999999992801</v>
      </c>
      <c r="O5103" s="16" t="s">
        <v>4764</v>
      </c>
      <c r="R5103" s="6"/>
      <c r="S5103" s="298"/>
    </row>
    <row r="5104" spans="14:19" hidden="1" x14ac:dyDescent="0.25">
      <c r="N5104" s="17">
        <v>709.99999999992804</v>
      </c>
      <c r="O5104" s="16" t="s">
        <v>4765</v>
      </c>
      <c r="R5104" s="6"/>
      <c r="S5104" s="298"/>
    </row>
    <row r="5105" spans="14:19" hidden="1" x14ac:dyDescent="0.25">
      <c r="N5105" s="17">
        <v>710.09999999992795</v>
      </c>
      <c r="O5105" s="16" t="s">
        <v>4766</v>
      </c>
      <c r="R5105" s="6"/>
      <c r="S5105" s="298"/>
    </row>
    <row r="5106" spans="14:19" hidden="1" x14ac:dyDescent="0.25">
      <c r="N5106" s="17">
        <v>710.19999999992797</v>
      </c>
      <c r="O5106" s="16" t="s">
        <v>4767</v>
      </c>
      <c r="R5106" s="6"/>
      <c r="S5106" s="298"/>
    </row>
    <row r="5107" spans="14:19" hidden="1" x14ac:dyDescent="0.25">
      <c r="N5107" s="17">
        <v>710.29999999992799</v>
      </c>
      <c r="O5107" s="16" t="s">
        <v>4768</v>
      </c>
      <c r="R5107" s="6"/>
      <c r="S5107" s="298"/>
    </row>
    <row r="5108" spans="14:19" hidden="1" x14ac:dyDescent="0.25">
      <c r="N5108" s="17">
        <v>710.39999999992801</v>
      </c>
      <c r="O5108" s="16" t="s">
        <v>4769</v>
      </c>
      <c r="R5108" s="6"/>
      <c r="S5108" s="298"/>
    </row>
    <row r="5109" spans="14:19" hidden="1" x14ac:dyDescent="0.25">
      <c r="N5109" s="17">
        <v>710.49999999992804</v>
      </c>
      <c r="O5109" s="16" t="s">
        <v>4770</v>
      </c>
      <c r="R5109" s="6"/>
      <c r="S5109" s="298"/>
    </row>
    <row r="5110" spans="14:19" hidden="1" x14ac:dyDescent="0.25">
      <c r="N5110" s="17">
        <v>710.59999999992795</v>
      </c>
      <c r="O5110" s="16" t="s">
        <v>4771</v>
      </c>
      <c r="R5110" s="6"/>
      <c r="S5110" s="298"/>
    </row>
    <row r="5111" spans="14:19" hidden="1" x14ac:dyDescent="0.25">
      <c r="N5111" s="17">
        <v>710.69999999992797</v>
      </c>
      <c r="O5111" s="16" t="s">
        <v>4772</v>
      </c>
      <c r="R5111" s="6"/>
      <c r="S5111" s="298"/>
    </row>
    <row r="5112" spans="14:19" hidden="1" x14ac:dyDescent="0.25">
      <c r="N5112" s="17">
        <v>710.79999999992799</v>
      </c>
      <c r="O5112" s="16" t="s">
        <v>4773</v>
      </c>
      <c r="R5112" s="6"/>
      <c r="S5112" s="298"/>
    </row>
    <row r="5113" spans="14:19" hidden="1" x14ac:dyDescent="0.25">
      <c r="N5113" s="17">
        <v>710.89999999992801</v>
      </c>
      <c r="O5113" s="16" t="s">
        <v>4774</v>
      </c>
      <c r="R5113" s="6"/>
      <c r="S5113" s="298"/>
    </row>
    <row r="5114" spans="14:19" hidden="1" x14ac:dyDescent="0.25">
      <c r="N5114" s="17">
        <v>710.99999999992804</v>
      </c>
      <c r="O5114" s="16" t="s">
        <v>4775</v>
      </c>
      <c r="R5114" s="6"/>
      <c r="S5114" s="298"/>
    </row>
    <row r="5115" spans="14:19" hidden="1" x14ac:dyDescent="0.25">
      <c r="N5115" s="17">
        <v>711.09999999992795</v>
      </c>
      <c r="O5115" s="16" t="s">
        <v>4776</v>
      </c>
      <c r="R5115" s="6"/>
      <c r="S5115" s="298"/>
    </row>
    <row r="5116" spans="14:19" hidden="1" x14ac:dyDescent="0.25">
      <c r="N5116" s="17">
        <v>711.19999999992797</v>
      </c>
      <c r="O5116" s="16" t="s">
        <v>4777</v>
      </c>
      <c r="R5116" s="6"/>
      <c r="S5116" s="298"/>
    </row>
    <row r="5117" spans="14:19" hidden="1" x14ac:dyDescent="0.25">
      <c r="N5117" s="17">
        <v>711.29999999992799</v>
      </c>
      <c r="O5117" s="16" t="s">
        <v>4778</v>
      </c>
      <c r="R5117" s="6"/>
      <c r="S5117" s="298"/>
    </row>
    <row r="5118" spans="14:19" hidden="1" x14ac:dyDescent="0.25">
      <c r="N5118" s="17">
        <v>711.39999999992801</v>
      </c>
      <c r="O5118" s="16" t="s">
        <v>4779</v>
      </c>
      <c r="R5118" s="6"/>
      <c r="S5118" s="298"/>
    </row>
    <row r="5119" spans="14:19" hidden="1" x14ac:dyDescent="0.25">
      <c r="N5119" s="17">
        <v>711.49999999992804</v>
      </c>
      <c r="O5119" s="16" t="s">
        <v>4780</v>
      </c>
      <c r="R5119" s="6"/>
      <c r="S5119" s="298"/>
    </row>
    <row r="5120" spans="14:19" hidden="1" x14ac:dyDescent="0.25">
      <c r="N5120" s="17">
        <v>711.59999999992795</v>
      </c>
      <c r="O5120" s="16" t="s">
        <v>4781</v>
      </c>
      <c r="R5120" s="6"/>
      <c r="S5120" s="298"/>
    </row>
    <row r="5121" spans="14:19" hidden="1" x14ac:dyDescent="0.25">
      <c r="N5121" s="17">
        <v>711.69999999992797</v>
      </c>
      <c r="O5121" s="16" t="s">
        <v>4782</v>
      </c>
      <c r="R5121" s="6"/>
      <c r="S5121" s="298"/>
    </row>
    <row r="5122" spans="14:19" hidden="1" x14ac:dyDescent="0.25">
      <c r="N5122" s="17">
        <v>711.79999999992799</v>
      </c>
      <c r="O5122" s="16" t="s">
        <v>4783</v>
      </c>
      <c r="R5122" s="6"/>
      <c r="S5122" s="298"/>
    </row>
    <row r="5123" spans="14:19" hidden="1" x14ac:dyDescent="0.25">
      <c r="N5123" s="17">
        <v>711.89999999992801</v>
      </c>
      <c r="O5123" s="16" t="s">
        <v>4784</v>
      </c>
      <c r="R5123" s="6"/>
      <c r="S5123" s="298"/>
    </row>
    <row r="5124" spans="14:19" hidden="1" x14ac:dyDescent="0.25">
      <c r="N5124" s="17">
        <v>711.99999999992804</v>
      </c>
      <c r="O5124" s="16" t="s">
        <v>4785</v>
      </c>
      <c r="R5124" s="6"/>
      <c r="S5124" s="298"/>
    </row>
    <row r="5125" spans="14:19" hidden="1" x14ac:dyDescent="0.25">
      <c r="N5125" s="17">
        <v>712.09999999992795</v>
      </c>
      <c r="O5125" s="16" t="s">
        <v>4786</v>
      </c>
      <c r="R5125" s="6"/>
      <c r="S5125" s="298"/>
    </row>
    <row r="5126" spans="14:19" hidden="1" x14ac:dyDescent="0.25">
      <c r="N5126" s="17">
        <v>712.19999999992797</v>
      </c>
      <c r="O5126" s="16" t="s">
        <v>4787</v>
      </c>
      <c r="R5126" s="6"/>
      <c r="S5126" s="298"/>
    </row>
    <row r="5127" spans="14:19" hidden="1" x14ac:dyDescent="0.25">
      <c r="N5127" s="17">
        <v>712.29999999992799</v>
      </c>
      <c r="O5127" s="16" t="s">
        <v>4788</v>
      </c>
      <c r="R5127" s="6"/>
      <c r="S5127" s="298"/>
    </row>
    <row r="5128" spans="14:19" hidden="1" x14ac:dyDescent="0.25">
      <c r="N5128" s="17">
        <v>712.39999999992801</v>
      </c>
      <c r="O5128" s="16" t="s">
        <v>4789</v>
      </c>
      <c r="R5128" s="6"/>
      <c r="S5128" s="298"/>
    </row>
    <row r="5129" spans="14:19" hidden="1" x14ac:dyDescent="0.25">
      <c r="N5129" s="17">
        <v>712.49999999992804</v>
      </c>
      <c r="O5129" s="16" t="s">
        <v>4790</v>
      </c>
      <c r="R5129" s="6"/>
      <c r="S5129" s="298"/>
    </row>
    <row r="5130" spans="14:19" hidden="1" x14ac:dyDescent="0.25">
      <c r="N5130" s="17">
        <v>712.59999999992795</v>
      </c>
      <c r="O5130" s="16" t="s">
        <v>2656</v>
      </c>
      <c r="R5130" s="6"/>
      <c r="S5130" s="298"/>
    </row>
    <row r="5131" spans="14:19" hidden="1" x14ac:dyDescent="0.25">
      <c r="N5131" s="17">
        <v>712.69999999992694</v>
      </c>
      <c r="O5131" s="16" t="s">
        <v>2657</v>
      </c>
      <c r="R5131" s="6"/>
      <c r="S5131" s="298"/>
    </row>
    <row r="5132" spans="14:19" hidden="1" x14ac:dyDescent="0.25">
      <c r="N5132" s="17">
        <v>712.79999999992697</v>
      </c>
      <c r="O5132" s="16" t="s">
        <v>2658</v>
      </c>
      <c r="R5132" s="6"/>
      <c r="S5132" s="298"/>
    </row>
    <row r="5133" spans="14:19" hidden="1" x14ac:dyDescent="0.25">
      <c r="N5133" s="17">
        <v>712.89999999992699</v>
      </c>
      <c r="O5133" s="16" t="s">
        <v>2659</v>
      </c>
      <c r="R5133" s="6"/>
      <c r="S5133" s="298"/>
    </row>
    <row r="5134" spans="14:19" hidden="1" x14ac:dyDescent="0.25">
      <c r="N5134" s="17">
        <v>712.99999999992701</v>
      </c>
      <c r="O5134" s="16" t="s">
        <v>2660</v>
      </c>
      <c r="R5134" s="6"/>
      <c r="S5134" s="298"/>
    </row>
    <row r="5135" spans="14:19" hidden="1" x14ac:dyDescent="0.25">
      <c r="N5135" s="17">
        <v>713.09999999992704</v>
      </c>
      <c r="O5135" s="16" t="s">
        <v>2661</v>
      </c>
      <c r="R5135" s="6"/>
      <c r="S5135" s="298"/>
    </row>
    <row r="5136" spans="14:19" hidden="1" x14ac:dyDescent="0.25">
      <c r="N5136" s="17">
        <v>713.19999999992694</v>
      </c>
      <c r="O5136" s="16" t="s">
        <v>2662</v>
      </c>
      <c r="R5136" s="6"/>
      <c r="S5136" s="298"/>
    </row>
    <row r="5137" spans="14:19" hidden="1" x14ac:dyDescent="0.25">
      <c r="N5137" s="17">
        <v>713.29999999992697</v>
      </c>
      <c r="O5137" s="16" t="s">
        <v>2663</v>
      </c>
      <c r="R5137" s="6"/>
      <c r="S5137" s="298"/>
    </row>
    <row r="5138" spans="14:19" hidden="1" x14ac:dyDescent="0.25">
      <c r="N5138" s="17">
        <v>713.39999999992699</v>
      </c>
      <c r="O5138" s="16" t="s">
        <v>2664</v>
      </c>
      <c r="R5138" s="6"/>
      <c r="S5138" s="298"/>
    </row>
    <row r="5139" spans="14:19" hidden="1" x14ac:dyDescent="0.25">
      <c r="N5139" s="17">
        <v>713.49999999992701</v>
      </c>
      <c r="O5139" s="16" t="s">
        <v>4810</v>
      </c>
      <c r="R5139" s="6"/>
      <c r="S5139" s="298"/>
    </row>
    <row r="5140" spans="14:19" hidden="1" x14ac:dyDescent="0.25">
      <c r="N5140" s="17">
        <v>713.59999999992704</v>
      </c>
      <c r="O5140" s="16" t="s">
        <v>4811</v>
      </c>
      <c r="R5140" s="6"/>
      <c r="S5140" s="298"/>
    </row>
    <row r="5141" spans="14:19" hidden="1" x14ac:dyDescent="0.25">
      <c r="N5141" s="17">
        <v>713.69999999992694</v>
      </c>
      <c r="O5141" s="16" t="s">
        <v>4812</v>
      </c>
      <c r="R5141" s="6"/>
      <c r="S5141" s="298"/>
    </row>
    <row r="5142" spans="14:19" hidden="1" x14ac:dyDescent="0.25">
      <c r="N5142" s="17">
        <v>713.79999999992697</v>
      </c>
      <c r="O5142" s="16" t="s">
        <v>4813</v>
      </c>
      <c r="R5142" s="6"/>
      <c r="S5142" s="298"/>
    </row>
    <row r="5143" spans="14:19" hidden="1" x14ac:dyDescent="0.25">
      <c r="N5143" s="17">
        <v>713.89999999992699</v>
      </c>
      <c r="O5143" s="16" t="s">
        <v>4814</v>
      </c>
      <c r="R5143" s="6"/>
      <c r="S5143" s="298"/>
    </row>
    <row r="5144" spans="14:19" hidden="1" x14ac:dyDescent="0.25">
      <c r="N5144" s="17">
        <v>713.99999999992701</v>
      </c>
      <c r="O5144" s="16" t="s">
        <v>4815</v>
      </c>
      <c r="R5144" s="6"/>
      <c r="S5144" s="298"/>
    </row>
    <row r="5145" spans="14:19" hidden="1" x14ac:dyDescent="0.25">
      <c r="N5145" s="17">
        <v>714.09999999992704</v>
      </c>
      <c r="O5145" s="16" t="s">
        <v>4816</v>
      </c>
      <c r="R5145" s="6"/>
      <c r="S5145" s="298"/>
    </row>
    <row r="5146" spans="14:19" hidden="1" x14ac:dyDescent="0.25">
      <c r="N5146" s="17">
        <v>714.19999999992694</v>
      </c>
      <c r="O5146" s="16" t="s">
        <v>425</v>
      </c>
      <c r="R5146" s="6"/>
      <c r="S5146" s="298"/>
    </row>
    <row r="5147" spans="14:19" hidden="1" x14ac:dyDescent="0.25">
      <c r="N5147" s="17">
        <v>714.29999999992697</v>
      </c>
      <c r="O5147" s="16" t="s">
        <v>426</v>
      </c>
      <c r="R5147" s="6"/>
      <c r="S5147" s="298"/>
    </row>
    <row r="5148" spans="14:19" hidden="1" x14ac:dyDescent="0.25">
      <c r="N5148" s="17">
        <v>714.39999999992699</v>
      </c>
      <c r="O5148" s="16" t="s">
        <v>427</v>
      </c>
      <c r="R5148" s="6"/>
      <c r="S5148" s="298"/>
    </row>
    <row r="5149" spans="14:19" hidden="1" x14ac:dyDescent="0.25">
      <c r="N5149" s="17">
        <v>714.49999999992701</v>
      </c>
      <c r="O5149" s="16" t="s">
        <v>428</v>
      </c>
      <c r="R5149" s="6"/>
      <c r="S5149" s="298"/>
    </row>
    <row r="5150" spans="14:19" hidden="1" x14ac:dyDescent="0.25">
      <c r="N5150" s="17">
        <v>714.59999999992704</v>
      </c>
      <c r="O5150" s="16" t="s">
        <v>429</v>
      </c>
      <c r="R5150" s="6"/>
      <c r="S5150" s="298"/>
    </row>
    <row r="5151" spans="14:19" hidden="1" x14ac:dyDescent="0.25">
      <c r="N5151" s="17">
        <v>714.69999999992694</v>
      </c>
      <c r="O5151" s="16" t="s">
        <v>430</v>
      </c>
      <c r="R5151" s="6"/>
      <c r="S5151" s="298"/>
    </row>
    <row r="5152" spans="14:19" hidden="1" x14ac:dyDescent="0.25">
      <c r="N5152" s="17">
        <v>714.79999999992697</v>
      </c>
      <c r="O5152" s="16" t="s">
        <v>4823</v>
      </c>
      <c r="R5152" s="6"/>
      <c r="S5152" s="298"/>
    </row>
    <row r="5153" spans="14:19" hidden="1" x14ac:dyDescent="0.25">
      <c r="N5153" s="17">
        <v>714.89999999992699</v>
      </c>
      <c r="O5153" s="16" t="s">
        <v>6893</v>
      </c>
      <c r="R5153" s="6"/>
      <c r="S5153" s="298"/>
    </row>
    <row r="5154" spans="14:19" hidden="1" x14ac:dyDescent="0.25">
      <c r="N5154" s="17">
        <v>714.99999999992701</v>
      </c>
      <c r="O5154" s="16" t="s">
        <v>6894</v>
      </c>
      <c r="R5154" s="6"/>
      <c r="S5154" s="298"/>
    </row>
    <row r="5155" spans="14:19" hidden="1" x14ac:dyDescent="0.25">
      <c r="N5155" s="17">
        <v>715.09999999992704</v>
      </c>
      <c r="O5155" s="16" t="s">
        <v>6895</v>
      </c>
      <c r="R5155" s="6"/>
      <c r="S5155" s="298"/>
    </row>
    <row r="5156" spans="14:19" hidden="1" x14ac:dyDescent="0.25">
      <c r="N5156" s="17">
        <v>715.19999999992694</v>
      </c>
      <c r="O5156" s="16" t="s">
        <v>6896</v>
      </c>
      <c r="R5156" s="6"/>
      <c r="S5156" s="298"/>
    </row>
    <row r="5157" spans="14:19" hidden="1" x14ac:dyDescent="0.25">
      <c r="N5157" s="17">
        <v>715.29999999992697</v>
      </c>
      <c r="O5157" s="16" t="s">
        <v>6897</v>
      </c>
      <c r="R5157" s="6"/>
      <c r="S5157" s="298"/>
    </row>
    <row r="5158" spans="14:19" hidden="1" x14ac:dyDescent="0.25">
      <c r="N5158" s="17">
        <v>715.39999999992699</v>
      </c>
      <c r="O5158" s="16" t="s">
        <v>6898</v>
      </c>
      <c r="R5158" s="6"/>
      <c r="S5158" s="298"/>
    </row>
    <row r="5159" spans="14:19" hidden="1" x14ac:dyDescent="0.25">
      <c r="N5159" s="17">
        <v>715.49999999992701</v>
      </c>
      <c r="O5159" s="16" t="s">
        <v>6899</v>
      </c>
      <c r="R5159" s="6"/>
      <c r="S5159" s="298"/>
    </row>
    <row r="5160" spans="14:19" hidden="1" x14ac:dyDescent="0.25">
      <c r="N5160" s="17">
        <v>715.59999999992704</v>
      </c>
      <c r="O5160" s="16" t="s">
        <v>6900</v>
      </c>
      <c r="R5160" s="6"/>
      <c r="S5160" s="298"/>
    </row>
    <row r="5161" spans="14:19" hidden="1" x14ac:dyDescent="0.25">
      <c r="N5161" s="17">
        <v>715.69999999992604</v>
      </c>
      <c r="O5161" s="16" t="s">
        <v>6901</v>
      </c>
      <c r="R5161" s="6"/>
      <c r="S5161" s="298"/>
    </row>
    <row r="5162" spans="14:19" hidden="1" x14ac:dyDescent="0.25">
      <c r="N5162" s="17">
        <v>715.79999999992594</v>
      </c>
      <c r="O5162" s="16" t="s">
        <v>6902</v>
      </c>
      <c r="R5162" s="6"/>
      <c r="S5162" s="298"/>
    </row>
    <row r="5163" spans="14:19" hidden="1" x14ac:dyDescent="0.25">
      <c r="N5163" s="17">
        <v>715.89999999992597</v>
      </c>
      <c r="O5163" s="16" t="s">
        <v>6903</v>
      </c>
      <c r="R5163" s="6"/>
      <c r="S5163" s="298"/>
    </row>
    <row r="5164" spans="14:19" hidden="1" x14ac:dyDescent="0.25">
      <c r="N5164" s="17">
        <v>715.99999999992599</v>
      </c>
      <c r="O5164" s="16" t="s">
        <v>6904</v>
      </c>
      <c r="R5164" s="6"/>
      <c r="S5164" s="298"/>
    </row>
    <row r="5165" spans="14:19" hidden="1" x14ac:dyDescent="0.25">
      <c r="N5165" s="17">
        <v>716.09999999992601</v>
      </c>
      <c r="O5165" s="16" t="s">
        <v>6905</v>
      </c>
      <c r="R5165" s="6"/>
      <c r="S5165" s="298"/>
    </row>
    <row r="5166" spans="14:19" hidden="1" x14ac:dyDescent="0.25">
      <c r="N5166" s="17">
        <v>716.19999999992604</v>
      </c>
      <c r="O5166" s="16" t="s">
        <v>6906</v>
      </c>
      <c r="R5166" s="6"/>
      <c r="S5166" s="298"/>
    </row>
    <row r="5167" spans="14:19" hidden="1" x14ac:dyDescent="0.25">
      <c r="N5167" s="17">
        <v>716.29999999992594</v>
      </c>
      <c r="O5167" s="16" t="s">
        <v>6907</v>
      </c>
      <c r="R5167" s="6"/>
      <c r="S5167" s="298"/>
    </row>
    <row r="5168" spans="14:19" hidden="1" x14ac:dyDescent="0.25">
      <c r="N5168" s="17">
        <v>716.39999999992597</v>
      </c>
      <c r="O5168" s="16" t="s">
        <v>6908</v>
      </c>
      <c r="R5168" s="6"/>
      <c r="S5168" s="298"/>
    </row>
    <row r="5169" spans="14:19" hidden="1" x14ac:dyDescent="0.25">
      <c r="N5169" s="17">
        <v>716.49999999992599</v>
      </c>
      <c r="O5169" s="16" t="s">
        <v>6909</v>
      </c>
      <c r="R5169" s="6"/>
      <c r="S5169" s="298"/>
    </row>
    <row r="5170" spans="14:19" hidden="1" x14ac:dyDescent="0.25">
      <c r="N5170" s="17">
        <v>716.59999999992601</v>
      </c>
      <c r="O5170" s="16" t="s">
        <v>6938</v>
      </c>
      <c r="R5170" s="6"/>
      <c r="S5170" s="298"/>
    </row>
    <row r="5171" spans="14:19" hidden="1" x14ac:dyDescent="0.25">
      <c r="N5171" s="17">
        <v>716.69999999992604</v>
      </c>
      <c r="O5171" s="16" t="s">
        <v>6939</v>
      </c>
      <c r="R5171" s="6"/>
      <c r="S5171" s="298"/>
    </row>
    <row r="5172" spans="14:19" hidden="1" x14ac:dyDescent="0.25">
      <c r="N5172" s="17">
        <v>716.79999999992594</v>
      </c>
      <c r="O5172" s="16" t="s">
        <v>6940</v>
      </c>
      <c r="R5172" s="6"/>
      <c r="S5172" s="298"/>
    </row>
    <row r="5173" spans="14:19" hidden="1" x14ac:dyDescent="0.25">
      <c r="N5173" s="17">
        <v>716.89999999992597</v>
      </c>
      <c r="O5173" s="16" t="s">
        <v>6941</v>
      </c>
      <c r="R5173" s="6"/>
      <c r="S5173" s="298"/>
    </row>
    <row r="5174" spans="14:19" hidden="1" x14ac:dyDescent="0.25">
      <c r="N5174" s="17">
        <v>716.99999999992599</v>
      </c>
      <c r="O5174" s="16" t="s">
        <v>6942</v>
      </c>
      <c r="R5174" s="6"/>
      <c r="S5174" s="298"/>
    </row>
    <row r="5175" spans="14:19" hidden="1" x14ac:dyDescent="0.25">
      <c r="N5175" s="17">
        <v>717.09999999992601</v>
      </c>
      <c r="O5175" s="16" t="s">
        <v>4857</v>
      </c>
      <c r="R5175" s="6"/>
      <c r="S5175" s="298"/>
    </row>
    <row r="5176" spans="14:19" hidden="1" x14ac:dyDescent="0.25">
      <c r="N5176" s="17">
        <v>717.19999999992604</v>
      </c>
      <c r="O5176" s="16" t="s">
        <v>4858</v>
      </c>
      <c r="R5176" s="6"/>
      <c r="S5176" s="298"/>
    </row>
    <row r="5177" spans="14:19" hidden="1" x14ac:dyDescent="0.25">
      <c r="N5177" s="17">
        <v>717.29999999992594</v>
      </c>
      <c r="O5177" s="16" t="s">
        <v>4859</v>
      </c>
      <c r="R5177" s="6"/>
      <c r="S5177" s="298"/>
    </row>
    <row r="5178" spans="14:19" hidden="1" x14ac:dyDescent="0.25">
      <c r="N5178" s="17">
        <v>717.39999999992597</v>
      </c>
      <c r="O5178" s="16" t="s">
        <v>2721</v>
      </c>
      <c r="R5178" s="6"/>
      <c r="S5178" s="298"/>
    </row>
    <row r="5179" spans="14:19" hidden="1" x14ac:dyDescent="0.25">
      <c r="N5179" s="17">
        <v>717.49999999992599</v>
      </c>
      <c r="O5179" s="16" t="s">
        <v>2722</v>
      </c>
      <c r="R5179" s="6"/>
      <c r="S5179" s="298"/>
    </row>
    <row r="5180" spans="14:19" hidden="1" x14ac:dyDescent="0.25">
      <c r="N5180" s="17">
        <v>717.59999999992601</v>
      </c>
      <c r="O5180" s="16" t="s">
        <v>2723</v>
      </c>
      <c r="R5180" s="6"/>
      <c r="S5180" s="298"/>
    </row>
    <row r="5181" spans="14:19" hidden="1" x14ac:dyDescent="0.25">
      <c r="N5181" s="17">
        <v>717.69999999992604</v>
      </c>
      <c r="O5181" s="16" t="s">
        <v>2724</v>
      </c>
      <c r="R5181" s="6"/>
      <c r="S5181" s="298"/>
    </row>
    <row r="5182" spans="14:19" hidden="1" x14ac:dyDescent="0.25">
      <c r="N5182" s="17">
        <v>717.79999999992594</v>
      </c>
      <c r="O5182" s="16" t="s">
        <v>2725</v>
      </c>
      <c r="R5182" s="6"/>
      <c r="S5182" s="298"/>
    </row>
    <row r="5183" spans="14:19" hidden="1" x14ac:dyDescent="0.25">
      <c r="N5183" s="17">
        <v>717.89999999992597</v>
      </c>
      <c r="O5183" s="16" t="s">
        <v>2726</v>
      </c>
      <c r="R5183" s="6"/>
      <c r="S5183" s="298"/>
    </row>
    <row r="5184" spans="14:19" hidden="1" x14ac:dyDescent="0.25">
      <c r="N5184" s="17">
        <v>717.99999999992599</v>
      </c>
      <c r="O5184" s="16" t="s">
        <v>2727</v>
      </c>
      <c r="R5184" s="6"/>
      <c r="S5184" s="298"/>
    </row>
    <row r="5185" spans="14:19" hidden="1" x14ac:dyDescent="0.25">
      <c r="N5185" s="17">
        <v>718.09999999992601</v>
      </c>
      <c r="O5185" s="16" t="s">
        <v>2728</v>
      </c>
      <c r="R5185" s="6"/>
      <c r="S5185" s="298"/>
    </row>
    <row r="5186" spans="14:19" hidden="1" x14ac:dyDescent="0.25">
      <c r="N5186" s="17">
        <v>718.19999999992604</v>
      </c>
      <c r="O5186" s="16" t="s">
        <v>2729</v>
      </c>
      <c r="R5186" s="6"/>
      <c r="S5186" s="298"/>
    </row>
    <row r="5187" spans="14:19" hidden="1" x14ac:dyDescent="0.25">
      <c r="N5187" s="17">
        <v>718.29999999992594</v>
      </c>
      <c r="O5187" s="16" t="s">
        <v>2730</v>
      </c>
      <c r="R5187" s="6"/>
      <c r="S5187" s="298"/>
    </row>
    <row r="5188" spans="14:19" hidden="1" x14ac:dyDescent="0.25">
      <c r="N5188" s="17">
        <v>718.39999999992597</v>
      </c>
      <c r="O5188" s="16" t="s">
        <v>2731</v>
      </c>
      <c r="R5188" s="6"/>
      <c r="S5188" s="298"/>
    </row>
    <row r="5189" spans="14:19" hidden="1" x14ac:dyDescent="0.25">
      <c r="N5189" s="17">
        <v>718.49999999992599</v>
      </c>
      <c r="O5189" s="16" t="s">
        <v>2732</v>
      </c>
      <c r="R5189" s="6"/>
      <c r="S5189" s="298"/>
    </row>
    <row r="5190" spans="14:19" hidden="1" x14ac:dyDescent="0.25">
      <c r="N5190" s="17">
        <v>718.59999999992499</v>
      </c>
      <c r="O5190" s="16" t="s">
        <v>2733</v>
      </c>
      <c r="R5190" s="6"/>
      <c r="S5190" s="298"/>
    </row>
    <row r="5191" spans="14:19" hidden="1" x14ac:dyDescent="0.25">
      <c r="N5191" s="17">
        <v>718.69999999992501</v>
      </c>
      <c r="O5191" s="16" t="s">
        <v>2734</v>
      </c>
      <c r="R5191" s="6"/>
      <c r="S5191" s="298"/>
    </row>
    <row r="5192" spans="14:19" hidden="1" x14ac:dyDescent="0.25">
      <c r="N5192" s="17">
        <v>718.79999999992503</v>
      </c>
      <c r="O5192" s="16" t="s">
        <v>2735</v>
      </c>
      <c r="R5192" s="6"/>
      <c r="S5192" s="298"/>
    </row>
    <row r="5193" spans="14:19" hidden="1" x14ac:dyDescent="0.25">
      <c r="N5193" s="17">
        <v>718.89999999992494</v>
      </c>
      <c r="O5193" s="16" t="s">
        <v>2736</v>
      </c>
      <c r="R5193" s="6"/>
      <c r="S5193" s="298"/>
    </row>
    <row r="5194" spans="14:19" hidden="1" x14ac:dyDescent="0.25">
      <c r="N5194" s="17">
        <v>718.99999999992497</v>
      </c>
      <c r="O5194" s="16" t="s">
        <v>2737</v>
      </c>
      <c r="R5194" s="6"/>
      <c r="S5194" s="298"/>
    </row>
    <row r="5195" spans="14:19" hidden="1" x14ac:dyDescent="0.25">
      <c r="N5195" s="17">
        <v>719.09999999992499</v>
      </c>
      <c r="O5195" s="16" t="s">
        <v>2738</v>
      </c>
      <c r="R5195" s="6"/>
      <c r="S5195" s="298"/>
    </row>
    <row r="5196" spans="14:19" hidden="1" x14ac:dyDescent="0.25">
      <c r="N5196" s="17">
        <v>719.19999999992501</v>
      </c>
      <c r="O5196" s="16" t="s">
        <v>2739</v>
      </c>
      <c r="R5196" s="6"/>
      <c r="S5196" s="298"/>
    </row>
    <row r="5197" spans="14:19" hidden="1" x14ac:dyDescent="0.25">
      <c r="N5197" s="17">
        <v>719.29999999992503</v>
      </c>
      <c r="O5197" s="16" t="s">
        <v>2740</v>
      </c>
      <c r="R5197" s="6"/>
      <c r="S5197" s="298"/>
    </row>
    <row r="5198" spans="14:19" hidden="1" x14ac:dyDescent="0.25">
      <c r="N5198" s="17">
        <v>719.39999999992494</v>
      </c>
      <c r="O5198" s="16" t="s">
        <v>2741</v>
      </c>
      <c r="R5198" s="6"/>
      <c r="S5198" s="298"/>
    </row>
    <row r="5199" spans="14:19" hidden="1" x14ac:dyDescent="0.25">
      <c r="N5199" s="17">
        <v>719.49999999992497</v>
      </c>
      <c r="O5199" s="16" t="s">
        <v>2742</v>
      </c>
      <c r="R5199" s="6"/>
      <c r="S5199" s="298"/>
    </row>
    <row r="5200" spans="14:19" hidden="1" x14ac:dyDescent="0.25">
      <c r="N5200" s="17">
        <v>719.59999999992499</v>
      </c>
      <c r="O5200" s="16" t="s">
        <v>2743</v>
      </c>
      <c r="R5200" s="6"/>
      <c r="S5200" s="298"/>
    </row>
    <row r="5201" spans="14:19" hidden="1" x14ac:dyDescent="0.25">
      <c r="N5201" s="17">
        <v>719.69999999992501</v>
      </c>
      <c r="O5201" s="16" t="s">
        <v>2744</v>
      </c>
      <c r="R5201" s="6"/>
      <c r="S5201" s="298"/>
    </row>
    <row r="5202" spans="14:19" hidden="1" x14ac:dyDescent="0.25">
      <c r="N5202" s="17">
        <v>719.79999999992503</v>
      </c>
      <c r="O5202" s="16" t="s">
        <v>2745</v>
      </c>
      <c r="R5202" s="6"/>
      <c r="S5202" s="298"/>
    </row>
    <row r="5203" spans="14:19" hidden="1" x14ac:dyDescent="0.25">
      <c r="N5203" s="17">
        <v>719.89999999992494</v>
      </c>
      <c r="O5203" s="16" t="s">
        <v>2746</v>
      </c>
      <c r="R5203" s="6"/>
      <c r="S5203" s="298"/>
    </row>
    <row r="5204" spans="14:19" hidden="1" x14ac:dyDescent="0.25">
      <c r="N5204" s="17">
        <v>719.99999999992497</v>
      </c>
      <c r="O5204" s="16" t="s">
        <v>2747</v>
      </c>
      <c r="R5204" s="6"/>
      <c r="S5204" s="298"/>
    </row>
    <row r="5205" spans="14:19" hidden="1" x14ac:dyDescent="0.25">
      <c r="N5205" s="17">
        <v>720.09999999992499</v>
      </c>
      <c r="O5205" s="16" t="s">
        <v>2748</v>
      </c>
      <c r="R5205" s="6"/>
      <c r="S5205" s="298"/>
    </row>
    <row r="5206" spans="14:19" hidden="1" x14ac:dyDescent="0.25">
      <c r="N5206" s="17">
        <v>720.19999999992501</v>
      </c>
      <c r="O5206" s="16" t="s">
        <v>2749</v>
      </c>
      <c r="R5206" s="6"/>
      <c r="S5206" s="298"/>
    </row>
    <row r="5207" spans="14:19" hidden="1" x14ac:dyDescent="0.25">
      <c r="N5207" s="17">
        <v>720.29999999992503</v>
      </c>
      <c r="O5207" s="16" t="s">
        <v>2750</v>
      </c>
      <c r="R5207" s="6"/>
      <c r="S5207" s="298"/>
    </row>
    <row r="5208" spans="14:19" hidden="1" x14ac:dyDescent="0.25">
      <c r="N5208" s="17">
        <v>720.39999999992494</v>
      </c>
      <c r="O5208" s="16" t="s">
        <v>2751</v>
      </c>
      <c r="R5208" s="6"/>
      <c r="S5208" s="298"/>
    </row>
    <row r="5209" spans="14:19" hidden="1" x14ac:dyDescent="0.25">
      <c r="N5209" s="17">
        <v>720.49999999992497</v>
      </c>
      <c r="O5209" s="16" t="s">
        <v>2752</v>
      </c>
      <c r="R5209" s="6"/>
      <c r="S5209" s="298"/>
    </row>
    <row r="5210" spans="14:19" hidden="1" x14ac:dyDescent="0.25">
      <c r="N5210" s="17">
        <v>720.59999999992499</v>
      </c>
      <c r="O5210" s="16" t="s">
        <v>2753</v>
      </c>
      <c r="R5210" s="6"/>
      <c r="S5210" s="298"/>
    </row>
    <row r="5211" spans="14:19" hidden="1" x14ac:dyDescent="0.25">
      <c r="N5211" s="17">
        <v>720.69999999992501</v>
      </c>
      <c r="O5211" s="16" t="s">
        <v>2754</v>
      </c>
      <c r="R5211" s="6"/>
      <c r="S5211" s="298"/>
    </row>
    <row r="5212" spans="14:19" hidden="1" x14ac:dyDescent="0.25">
      <c r="N5212" s="17">
        <v>720.79999999992503</v>
      </c>
      <c r="O5212" s="16" t="s">
        <v>2755</v>
      </c>
      <c r="R5212" s="6"/>
      <c r="S5212" s="298"/>
    </row>
    <row r="5213" spans="14:19" hidden="1" x14ac:dyDescent="0.25">
      <c r="N5213" s="17">
        <v>720.89999999992494</v>
      </c>
      <c r="O5213" s="16" t="s">
        <v>2756</v>
      </c>
      <c r="R5213" s="6"/>
      <c r="S5213" s="298"/>
    </row>
    <row r="5214" spans="14:19" hidden="1" x14ac:dyDescent="0.25">
      <c r="N5214" s="17">
        <v>720.99999999992497</v>
      </c>
      <c r="O5214" s="16" t="s">
        <v>2748</v>
      </c>
      <c r="R5214" s="6"/>
      <c r="S5214" s="298"/>
    </row>
    <row r="5215" spans="14:19" hidden="1" x14ac:dyDescent="0.25">
      <c r="N5215" s="17">
        <v>721.09999999992499</v>
      </c>
      <c r="O5215" s="16" t="s">
        <v>2757</v>
      </c>
      <c r="R5215" s="6"/>
      <c r="S5215" s="298"/>
    </row>
    <row r="5216" spans="14:19" hidden="1" x14ac:dyDescent="0.25">
      <c r="N5216" s="17">
        <v>721.19999999992501</v>
      </c>
      <c r="O5216" s="16" t="s">
        <v>2758</v>
      </c>
      <c r="R5216" s="6"/>
      <c r="S5216" s="298"/>
    </row>
    <row r="5217" spans="14:19" hidden="1" x14ac:dyDescent="0.25">
      <c r="N5217" s="17">
        <v>721.29999999992503</v>
      </c>
      <c r="O5217" s="16" t="s">
        <v>2759</v>
      </c>
      <c r="R5217" s="6"/>
      <c r="S5217" s="298"/>
    </row>
    <row r="5218" spans="14:19" hidden="1" x14ac:dyDescent="0.25">
      <c r="N5218" s="17">
        <v>721.39999999992494</v>
      </c>
      <c r="O5218" s="16" t="s">
        <v>7951</v>
      </c>
      <c r="R5218" s="6"/>
      <c r="S5218" s="298"/>
    </row>
    <row r="5219" spans="14:19" hidden="1" x14ac:dyDescent="0.25">
      <c r="N5219" s="17">
        <v>721.49999999992394</v>
      </c>
      <c r="O5219" s="16" t="s">
        <v>7952</v>
      </c>
      <c r="R5219" s="6"/>
      <c r="S5219" s="298"/>
    </row>
    <row r="5220" spans="14:19" hidden="1" x14ac:dyDescent="0.25">
      <c r="N5220" s="17">
        <v>721.59999999992397</v>
      </c>
      <c r="O5220" s="16" t="s">
        <v>7953</v>
      </c>
      <c r="R5220" s="6"/>
      <c r="S5220" s="298"/>
    </row>
    <row r="5221" spans="14:19" hidden="1" x14ac:dyDescent="0.25">
      <c r="N5221" s="17">
        <v>721.69999999992399</v>
      </c>
      <c r="O5221" s="16" t="s">
        <v>7954</v>
      </c>
      <c r="R5221" s="6"/>
      <c r="S5221" s="298"/>
    </row>
    <row r="5222" spans="14:19" hidden="1" x14ac:dyDescent="0.25">
      <c r="N5222" s="17">
        <v>721.79999999992401</v>
      </c>
      <c r="O5222" s="16" t="s">
        <v>7955</v>
      </c>
      <c r="R5222" s="6"/>
      <c r="S5222" s="298"/>
    </row>
    <row r="5223" spans="14:19" hidden="1" x14ac:dyDescent="0.25">
      <c r="N5223" s="17">
        <v>721.89999999992403</v>
      </c>
      <c r="O5223" s="16" t="s">
        <v>7956</v>
      </c>
      <c r="R5223" s="6"/>
      <c r="S5223" s="298"/>
    </row>
    <row r="5224" spans="14:19" hidden="1" x14ac:dyDescent="0.25">
      <c r="N5224" s="17">
        <v>721.99999999992394</v>
      </c>
      <c r="O5224" s="16" t="s">
        <v>7957</v>
      </c>
      <c r="R5224" s="6"/>
      <c r="S5224" s="298"/>
    </row>
    <row r="5225" spans="14:19" hidden="1" x14ac:dyDescent="0.25">
      <c r="N5225" s="17">
        <v>722.09999999992397</v>
      </c>
      <c r="O5225" s="16" t="s">
        <v>7958</v>
      </c>
      <c r="R5225" s="6"/>
      <c r="S5225" s="298"/>
    </row>
    <row r="5226" spans="14:19" hidden="1" x14ac:dyDescent="0.25">
      <c r="N5226" s="17">
        <v>722.19999999992399</v>
      </c>
      <c r="O5226" s="16" t="s">
        <v>7959</v>
      </c>
      <c r="R5226" s="6"/>
      <c r="S5226" s="298"/>
    </row>
    <row r="5227" spans="14:19" hidden="1" x14ac:dyDescent="0.25">
      <c r="N5227" s="17">
        <v>722.29999999992401</v>
      </c>
      <c r="O5227" s="16" t="s">
        <v>7960</v>
      </c>
      <c r="R5227" s="6"/>
      <c r="S5227" s="298"/>
    </row>
    <row r="5228" spans="14:19" hidden="1" x14ac:dyDescent="0.25">
      <c r="N5228" s="17">
        <v>722.39999999992403</v>
      </c>
      <c r="O5228" s="16" t="s">
        <v>7961</v>
      </c>
      <c r="R5228" s="6"/>
      <c r="S5228" s="298"/>
    </row>
    <row r="5229" spans="14:19" hidden="1" x14ac:dyDescent="0.25">
      <c r="N5229" s="17">
        <v>722.49999999992394</v>
      </c>
      <c r="O5229" s="16" t="s">
        <v>7962</v>
      </c>
      <c r="R5229" s="6"/>
      <c r="S5229" s="298"/>
    </row>
    <row r="5230" spans="14:19" hidden="1" x14ac:dyDescent="0.25">
      <c r="N5230" s="17">
        <v>722.59999999992397</v>
      </c>
      <c r="O5230" s="16" t="s">
        <v>7963</v>
      </c>
      <c r="R5230" s="6"/>
      <c r="S5230" s="298"/>
    </row>
    <row r="5231" spans="14:19" hidden="1" x14ac:dyDescent="0.25">
      <c r="N5231" s="17">
        <v>722.69999999992399</v>
      </c>
      <c r="O5231" s="16" t="s">
        <v>7964</v>
      </c>
      <c r="R5231" s="6"/>
      <c r="S5231" s="298"/>
    </row>
    <row r="5232" spans="14:19" hidden="1" x14ac:dyDescent="0.25">
      <c r="N5232" s="17">
        <v>722.79999999992401</v>
      </c>
      <c r="O5232" s="16" t="s">
        <v>7965</v>
      </c>
      <c r="R5232" s="6"/>
      <c r="S5232" s="298"/>
    </row>
    <row r="5233" spans="14:19" hidden="1" x14ac:dyDescent="0.25">
      <c r="N5233" s="17">
        <v>722.89999999992403</v>
      </c>
      <c r="O5233" s="16" t="s">
        <v>7966</v>
      </c>
      <c r="R5233" s="6"/>
      <c r="S5233" s="298"/>
    </row>
    <row r="5234" spans="14:19" hidden="1" x14ac:dyDescent="0.25">
      <c r="N5234" s="17">
        <v>722.99999999992394</v>
      </c>
      <c r="O5234" s="16" t="s">
        <v>7967</v>
      </c>
      <c r="R5234" s="6"/>
      <c r="S5234" s="298"/>
    </row>
    <row r="5235" spans="14:19" hidden="1" x14ac:dyDescent="0.25">
      <c r="N5235" s="17">
        <v>723.09999999992397</v>
      </c>
      <c r="O5235" s="16" t="s">
        <v>7968</v>
      </c>
      <c r="R5235" s="6"/>
      <c r="S5235" s="298"/>
    </row>
    <row r="5236" spans="14:19" hidden="1" x14ac:dyDescent="0.25">
      <c r="N5236" s="17">
        <v>723.19999999992399</v>
      </c>
      <c r="O5236" s="16" t="s">
        <v>7969</v>
      </c>
      <c r="R5236" s="6"/>
      <c r="S5236" s="298"/>
    </row>
    <row r="5237" spans="14:19" hidden="1" x14ac:dyDescent="0.25">
      <c r="N5237" s="17">
        <v>723.29999999992401</v>
      </c>
      <c r="O5237" s="16" t="s">
        <v>7970</v>
      </c>
      <c r="R5237" s="6"/>
      <c r="S5237" s="298"/>
    </row>
    <row r="5238" spans="14:19" hidden="1" x14ac:dyDescent="0.25">
      <c r="N5238" s="17">
        <v>723.39999999992403</v>
      </c>
      <c r="O5238" s="16" t="s">
        <v>7971</v>
      </c>
      <c r="R5238" s="6"/>
      <c r="S5238" s="298"/>
    </row>
    <row r="5239" spans="14:19" hidden="1" x14ac:dyDescent="0.25">
      <c r="N5239" s="17">
        <v>723.49999999992394</v>
      </c>
      <c r="O5239" s="16" t="s">
        <v>7972</v>
      </c>
      <c r="R5239" s="6"/>
      <c r="S5239" s="298"/>
    </row>
    <row r="5240" spans="14:19" hidden="1" x14ac:dyDescent="0.25">
      <c r="N5240" s="17">
        <v>723.59999999992397</v>
      </c>
      <c r="O5240" s="16" t="s">
        <v>7973</v>
      </c>
      <c r="R5240" s="6"/>
      <c r="S5240" s="298"/>
    </row>
    <row r="5241" spans="14:19" hidden="1" x14ac:dyDescent="0.25">
      <c r="N5241" s="17">
        <v>723.69999999992399</v>
      </c>
      <c r="O5241" s="16" t="s">
        <v>7974</v>
      </c>
      <c r="R5241" s="6"/>
      <c r="S5241" s="298"/>
    </row>
    <row r="5242" spans="14:19" hidden="1" x14ac:dyDescent="0.25">
      <c r="N5242" s="17">
        <v>723.79999999992401</v>
      </c>
      <c r="O5242" s="16" t="s">
        <v>7975</v>
      </c>
      <c r="R5242" s="6"/>
      <c r="S5242" s="298"/>
    </row>
    <row r="5243" spans="14:19" hidden="1" x14ac:dyDescent="0.25">
      <c r="N5243" s="17">
        <v>723.89999999992403</v>
      </c>
      <c r="O5243" s="16" t="s">
        <v>7976</v>
      </c>
      <c r="R5243" s="6"/>
      <c r="S5243" s="298"/>
    </row>
    <row r="5244" spans="14:19" hidden="1" x14ac:dyDescent="0.25">
      <c r="N5244" s="17">
        <v>723.99999999992394</v>
      </c>
      <c r="O5244" s="16" t="s">
        <v>7977</v>
      </c>
      <c r="R5244" s="6"/>
      <c r="S5244" s="298"/>
    </row>
    <row r="5245" spans="14:19" hidden="1" x14ac:dyDescent="0.25">
      <c r="N5245" s="17">
        <v>724.09999999992397</v>
      </c>
      <c r="O5245" s="16" t="s">
        <v>7978</v>
      </c>
      <c r="R5245" s="6"/>
      <c r="S5245" s="298"/>
    </row>
    <row r="5246" spans="14:19" hidden="1" x14ac:dyDescent="0.25">
      <c r="N5246" s="17">
        <v>724.19999999992399</v>
      </c>
      <c r="O5246" s="16" t="s">
        <v>7979</v>
      </c>
      <c r="R5246" s="6"/>
      <c r="S5246" s="298"/>
    </row>
    <row r="5247" spans="14:19" hidden="1" x14ac:dyDescent="0.25">
      <c r="N5247" s="17">
        <v>724.29999999992401</v>
      </c>
      <c r="O5247" s="16" t="s">
        <v>7980</v>
      </c>
      <c r="R5247" s="6"/>
      <c r="S5247" s="298"/>
    </row>
    <row r="5248" spans="14:19" hidden="1" x14ac:dyDescent="0.25">
      <c r="N5248" s="17">
        <v>724.39999999992403</v>
      </c>
      <c r="O5248" s="16" t="s">
        <v>7981</v>
      </c>
      <c r="R5248" s="6"/>
      <c r="S5248" s="298"/>
    </row>
    <row r="5249" spans="14:19" hidden="1" x14ac:dyDescent="0.25">
      <c r="N5249" s="17">
        <v>724.49999999992303</v>
      </c>
      <c r="O5249" s="16" t="s">
        <v>7982</v>
      </c>
      <c r="R5249" s="6"/>
      <c r="S5249" s="298"/>
    </row>
    <row r="5250" spans="14:19" hidden="1" x14ac:dyDescent="0.25">
      <c r="N5250" s="17">
        <v>724.59999999992306</v>
      </c>
      <c r="O5250" s="16" t="s">
        <v>7983</v>
      </c>
      <c r="R5250" s="6"/>
      <c r="S5250" s="298"/>
    </row>
    <row r="5251" spans="14:19" hidden="1" x14ac:dyDescent="0.25">
      <c r="N5251" s="17">
        <v>724.69999999992297</v>
      </c>
      <c r="O5251" s="16" t="s">
        <v>7040</v>
      </c>
      <c r="R5251" s="6"/>
      <c r="S5251" s="298"/>
    </row>
    <row r="5252" spans="14:19" hidden="1" x14ac:dyDescent="0.25">
      <c r="N5252" s="17">
        <v>724.79999999992299</v>
      </c>
      <c r="O5252" s="16" t="s">
        <v>7041</v>
      </c>
      <c r="R5252" s="6"/>
      <c r="S5252" s="298"/>
    </row>
    <row r="5253" spans="14:19" hidden="1" x14ac:dyDescent="0.25">
      <c r="N5253" s="17">
        <v>724.89999999992301</v>
      </c>
      <c r="O5253" s="16" t="s">
        <v>7042</v>
      </c>
      <c r="R5253" s="6"/>
      <c r="S5253" s="298"/>
    </row>
    <row r="5254" spans="14:19" hidden="1" x14ac:dyDescent="0.25">
      <c r="N5254" s="17">
        <v>724.99999999992303</v>
      </c>
      <c r="O5254" s="16" t="s">
        <v>7043</v>
      </c>
      <c r="R5254" s="6"/>
      <c r="S5254" s="298"/>
    </row>
    <row r="5255" spans="14:19" hidden="1" x14ac:dyDescent="0.25">
      <c r="N5255" s="17">
        <v>725.09999999992306</v>
      </c>
      <c r="O5255" s="16" t="s">
        <v>7044</v>
      </c>
      <c r="R5255" s="6"/>
      <c r="S5255" s="298"/>
    </row>
    <row r="5256" spans="14:19" hidden="1" x14ac:dyDescent="0.25">
      <c r="N5256" s="17">
        <v>725.19999999992297</v>
      </c>
      <c r="O5256" s="16" t="s">
        <v>7045</v>
      </c>
      <c r="R5256" s="6"/>
      <c r="S5256" s="298"/>
    </row>
    <row r="5257" spans="14:19" hidden="1" x14ac:dyDescent="0.25">
      <c r="N5257" s="17">
        <v>725.29999999992299</v>
      </c>
      <c r="O5257" s="16" t="s">
        <v>7046</v>
      </c>
      <c r="R5257" s="6"/>
      <c r="S5257" s="298"/>
    </row>
    <row r="5258" spans="14:19" hidden="1" x14ac:dyDescent="0.25">
      <c r="N5258" s="17">
        <v>725.39999999992301</v>
      </c>
      <c r="O5258" s="16" t="s">
        <v>7047</v>
      </c>
      <c r="R5258" s="6"/>
      <c r="S5258" s="298"/>
    </row>
    <row r="5259" spans="14:19" hidden="1" x14ac:dyDescent="0.25">
      <c r="N5259" s="17">
        <v>725.49999999992303</v>
      </c>
      <c r="O5259" s="16" t="s">
        <v>7048</v>
      </c>
      <c r="R5259" s="6"/>
      <c r="S5259" s="298"/>
    </row>
    <row r="5260" spans="14:19" hidden="1" x14ac:dyDescent="0.25">
      <c r="N5260" s="17">
        <v>725.59999999992306</v>
      </c>
      <c r="O5260" s="16" t="s">
        <v>7049</v>
      </c>
      <c r="R5260" s="6"/>
      <c r="S5260" s="298"/>
    </row>
    <row r="5261" spans="14:19" hidden="1" x14ac:dyDescent="0.25">
      <c r="N5261" s="17">
        <v>725.69999999992297</v>
      </c>
      <c r="O5261" s="16" t="s">
        <v>7050</v>
      </c>
      <c r="R5261" s="6"/>
      <c r="S5261" s="298"/>
    </row>
    <row r="5262" spans="14:19" hidden="1" x14ac:dyDescent="0.25">
      <c r="N5262" s="17">
        <v>725.79999999992299</v>
      </c>
      <c r="O5262" s="16" t="s">
        <v>7003</v>
      </c>
      <c r="R5262" s="6"/>
      <c r="S5262" s="298"/>
    </row>
    <row r="5263" spans="14:19" hidden="1" x14ac:dyDescent="0.25">
      <c r="N5263" s="17">
        <v>725.89999999992301</v>
      </c>
      <c r="O5263" s="16" t="s">
        <v>7004</v>
      </c>
      <c r="R5263" s="6"/>
      <c r="S5263" s="298"/>
    </row>
    <row r="5264" spans="14:19" hidden="1" x14ac:dyDescent="0.25">
      <c r="N5264" s="17">
        <v>725.99999999992303</v>
      </c>
      <c r="O5264" s="16" t="s">
        <v>7005</v>
      </c>
      <c r="R5264" s="6"/>
      <c r="S5264" s="298"/>
    </row>
    <row r="5265" spans="14:19" hidden="1" x14ac:dyDescent="0.25">
      <c r="N5265" s="17">
        <v>726.09999999992306</v>
      </c>
      <c r="O5265" s="16" t="s">
        <v>6995</v>
      </c>
      <c r="R5265" s="6"/>
      <c r="S5265" s="298"/>
    </row>
    <row r="5266" spans="14:19" hidden="1" x14ac:dyDescent="0.25">
      <c r="N5266" s="17">
        <v>726.19999999992297</v>
      </c>
      <c r="O5266" s="16" t="s">
        <v>6996</v>
      </c>
      <c r="R5266" s="6"/>
      <c r="S5266" s="298"/>
    </row>
    <row r="5267" spans="14:19" hidden="1" x14ac:dyDescent="0.25">
      <c r="N5267" s="17">
        <v>726.29999999992299</v>
      </c>
      <c r="O5267" s="16" t="s">
        <v>6997</v>
      </c>
      <c r="R5267" s="6"/>
      <c r="S5267" s="298"/>
    </row>
    <row r="5268" spans="14:19" hidden="1" x14ac:dyDescent="0.25">
      <c r="N5268" s="17">
        <v>726.39999999992301</v>
      </c>
      <c r="O5268" s="16" t="s">
        <v>6998</v>
      </c>
      <c r="R5268" s="6"/>
      <c r="S5268" s="298"/>
    </row>
    <row r="5269" spans="14:19" hidden="1" x14ac:dyDescent="0.25">
      <c r="N5269" s="17">
        <v>726.49999999992303</v>
      </c>
      <c r="O5269" s="16" t="s">
        <v>6999</v>
      </c>
      <c r="R5269" s="6"/>
      <c r="S5269" s="298"/>
    </row>
    <row r="5270" spans="14:19" hidden="1" x14ac:dyDescent="0.25">
      <c r="N5270" s="17">
        <v>726.59999999992306</v>
      </c>
      <c r="O5270" s="16" t="s">
        <v>7000</v>
      </c>
      <c r="R5270" s="6"/>
      <c r="S5270" s="298"/>
    </row>
    <row r="5271" spans="14:19" hidden="1" x14ac:dyDescent="0.25">
      <c r="N5271" s="17">
        <v>726.69999999992297</v>
      </c>
      <c r="O5271" s="16" t="s">
        <v>7001</v>
      </c>
      <c r="R5271" s="6"/>
      <c r="S5271" s="298"/>
    </row>
    <row r="5272" spans="14:19" hidden="1" x14ac:dyDescent="0.25">
      <c r="N5272" s="17">
        <v>726.79999999992299</v>
      </c>
      <c r="O5272" s="16" t="s">
        <v>7002</v>
      </c>
      <c r="R5272" s="6"/>
      <c r="S5272" s="298"/>
    </row>
    <row r="5273" spans="14:19" hidden="1" x14ac:dyDescent="0.25">
      <c r="N5273" s="17">
        <v>726.89999999992301</v>
      </c>
      <c r="O5273" s="16" t="s">
        <v>557</v>
      </c>
      <c r="R5273" s="6"/>
      <c r="S5273" s="298"/>
    </row>
    <row r="5274" spans="14:19" hidden="1" x14ac:dyDescent="0.25">
      <c r="N5274" s="17">
        <v>726.99999999992303</v>
      </c>
      <c r="O5274" s="16" t="s">
        <v>558</v>
      </c>
      <c r="R5274" s="6"/>
      <c r="S5274" s="298"/>
    </row>
    <row r="5275" spans="14:19" hidden="1" x14ac:dyDescent="0.25">
      <c r="N5275" s="17">
        <v>727.09999999992306</v>
      </c>
      <c r="O5275" s="16" t="s">
        <v>559</v>
      </c>
      <c r="R5275" s="6"/>
      <c r="S5275" s="298"/>
    </row>
    <row r="5276" spans="14:19" hidden="1" x14ac:dyDescent="0.25">
      <c r="N5276" s="17">
        <v>727.19999999992297</v>
      </c>
      <c r="O5276" s="16" t="s">
        <v>560</v>
      </c>
      <c r="R5276" s="6"/>
      <c r="S5276" s="298"/>
    </row>
    <row r="5277" spans="14:19" hidden="1" x14ac:dyDescent="0.25">
      <c r="N5277" s="17">
        <v>727.29999999992299</v>
      </c>
      <c r="O5277" s="16" t="s">
        <v>561</v>
      </c>
      <c r="R5277" s="6"/>
      <c r="S5277" s="298"/>
    </row>
    <row r="5278" spans="14:19" hidden="1" x14ac:dyDescent="0.25">
      <c r="N5278" s="17">
        <v>727.39999999992199</v>
      </c>
      <c r="O5278" s="16" t="s">
        <v>2771</v>
      </c>
      <c r="R5278" s="6"/>
      <c r="S5278" s="298"/>
    </row>
    <row r="5279" spans="14:19" hidden="1" x14ac:dyDescent="0.25">
      <c r="N5279" s="17">
        <v>727.49999999992201</v>
      </c>
      <c r="O5279" s="16" t="s">
        <v>2772</v>
      </c>
      <c r="R5279" s="6"/>
      <c r="S5279" s="298"/>
    </row>
    <row r="5280" spans="14:19" hidden="1" x14ac:dyDescent="0.25">
      <c r="N5280" s="17">
        <v>727.59999999992203</v>
      </c>
      <c r="O5280" s="16" t="s">
        <v>4906</v>
      </c>
      <c r="R5280" s="6"/>
      <c r="S5280" s="298"/>
    </row>
    <row r="5281" spans="14:19" hidden="1" x14ac:dyDescent="0.25">
      <c r="N5281" s="17">
        <v>727.69999999992206</v>
      </c>
      <c r="O5281" s="16" t="s">
        <v>4907</v>
      </c>
      <c r="R5281" s="6"/>
      <c r="S5281" s="298"/>
    </row>
    <row r="5282" spans="14:19" hidden="1" x14ac:dyDescent="0.25">
      <c r="N5282" s="17">
        <v>727.79999999992197</v>
      </c>
      <c r="O5282" s="16" t="s">
        <v>4908</v>
      </c>
      <c r="R5282" s="6"/>
      <c r="S5282" s="298"/>
    </row>
    <row r="5283" spans="14:19" hidden="1" x14ac:dyDescent="0.25">
      <c r="N5283" s="17">
        <v>727.89999999992199</v>
      </c>
      <c r="O5283" s="16" t="s">
        <v>4909</v>
      </c>
      <c r="R5283" s="6"/>
      <c r="S5283" s="298"/>
    </row>
    <row r="5284" spans="14:19" hidden="1" x14ac:dyDescent="0.25">
      <c r="N5284" s="17">
        <v>727.99999999992201</v>
      </c>
      <c r="O5284" s="16" t="s">
        <v>4910</v>
      </c>
      <c r="R5284" s="6"/>
      <c r="S5284" s="298"/>
    </row>
    <row r="5285" spans="14:19" hidden="1" x14ac:dyDescent="0.25">
      <c r="N5285" s="17">
        <v>728.09999999992203</v>
      </c>
      <c r="O5285" s="16" t="s">
        <v>4911</v>
      </c>
      <c r="R5285" s="6"/>
      <c r="S5285" s="298"/>
    </row>
    <row r="5286" spans="14:19" hidden="1" x14ac:dyDescent="0.25">
      <c r="N5286" s="17">
        <v>728.19999999992206</v>
      </c>
      <c r="O5286" s="16" t="s">
        <v>4912</v>
      </c>
      <c r="R5286" s="6"/>
      <c r="S5286" s="298"/>
    </row>
    <row r="5287" spans="14:19" hidden="1" x14ac:dyDescent="0.25">
      <c r="N5287" s="17">
        <v>728.29999999992197</v>
      </c>
      <c r="O5287" s="16" t="s">
        <v>4913</v>
      </c>
      <c r="R5287" s="6"/>
      <c r="S5287" s="298"/>
    </row>
    <row r="5288" spans="14:19" hidden="1" x14ac:dyDescent="0.25">
      <c r="N5288" s="17">
        <v>728.39999999992199</v>
      </c>
      <c r="O5288" s="16" t="s">
        <v>4914</v>
      </c>
      <c r="R5288" s="6"/>
      <c r="S5288" s="298"/>
    </row>
    <row r="5289" spans="14:19" hidden="1" x14ac:dyDescent="0.25">
      <c r="N5289" s="17">
        <v>728.49999999992201</v>
      </c>
      <c r="O5289" s="16" t="s">
        <v>4915</v>
      </c>
      <c r="R5289" s="6"/>
      <c r="S5289" s="298"/>
    </row>
    <row r="5290" spans="14:19" hidden="1" x14ac:dyDescent="0.25">
      <c r="N5290" s="17">
        <v>728.59999999992203</v>
      </c>
      <c r="O5290" s="16" t="s">
        <v>4916</v>
      </c>
      <c r="R5290" s="6"/>
      <c r="S5290" s="298"/>
    </row>
    <row r="5291" spans="14:19" hidden="1" x14ac:dyDescent="0.25">
      <c r="N5291" s="17">
        <v>728.69999999992206</v>
      </c>
      <c r="O5291" s="16" t="s">
        <v>4917</v>
      </c>
      <c r="R5291" s="6"/>
      <c r="S5291" s="298"/>
    </row>
    <row r="5292" spans="14:19" hidden="1" x14ac:dyDescent="0.25">
      <c r="N5292" s="17">
        <v>728.79999999992197</v>
      </c>
      <c r="O5292" s="16" t="s">
        <v>4918</v>
      </c>
      <c r="R5292" s="6"/>
      <c r="S5292" s="298"/>
    </row>
    <row r="5293" spans="14:19" hidden="1" x14ac:dyDescent="0.25">
      <c r="N5293" s="17">
        <v>728.89999999992199</v>
      </c>
      <c r="O5293" s="16" t="s">
        <v>4919</v>
      </c>
      <c r="R5293" s="6"/>
      <c r="S5293" s="298"/>
    </row>
    <row r="5294" spans="14:19" hidden="1" x14ac:dyDescent="0.25">
      <c r="N5294" s="17">
        <v>728.99999999992201</v>
      </c>
      <c r="O5294" s="16" t="s">
        <v>4920</v>
      </c>
      <c r="R5294" s="6"/>
      <c r="S5294" s="298"/>
    </row>
    <row r="5295" spans="14:19" hidden="1" x14ac:dyDescent="0.25">
      <c r="N5295" s="17">
        <v>729.09999999992203</v>
      </c>
      <c r="O5295" s="16" t="s">
        <v>4921</v>
      </c>
      <c r="R5295" s="6"/>
      <c r="S5295" s="298"/>
    </row>
    <row r="5296" spans="14:19" hidden="1" x14ac:dyDescent="0.25">
      <c r="N5296" s="17">
        <v>729.19999999992206</v>
      </c>
      <c r="O5296" s="16" t="s">
        <v>4922</v>
      </c>
      <c r="R5296" s="6"/>
      <c r="S5296" s="298"/>
    </row>
    <row r="5297" spans="14:19" hidden="1" x14ac:dyDescent="0.25">
      <c r="N5297" s="17">
        <v>729.29999999992197</v>
      </c>
      <c r="O5297" s="16" t="s">
        <v>4923</v>
      </c>
      <c r="R5297" s="6"/>
      <c r="S5297" s="298"/>
    </row>
    <row r="5298" spans="14:19" hidden="1" x14ac:dyDescent="0.25">
      <c r="N5298" s="17">
        <v>729.39999999992199</v>
      </c>
      <c r="O5298" s="16" t="s">
        <v>4924</v>
      </c>
      <c r="R5298" s="6"/>
      <c r="S5298" s="298"/>
    </row>
    <row r="5299" spans="14:19" hidden="1" x14ac:dyDescent="0.25">
      <c r="N5299" s="17">
        <v>729.49999999992201</v>
      </c>
      <c r="O5299" s="16" t="s">
        <v>4925</v>
      </c>
      <c r="R5299" s="6"/>
      <c r="S5299" s="298"/>
    </row>
    <row r="5300" spans="14:19" hidden="1" x14ac:dyDescent="0.25">
      <c r="N5300" s="17">
        <v>729.59999999992203</v>
      </c>
      <c r="O5300" s="16" t="s">
        <v>4926</v>
      </c>
      <c r="R5300" s="6"/>
      <c r="S5300" s="298"/>
    </row>
    <row r="5301" spans="14:19" hidden="1" x14ac:dyDescent="0.25">
      <c r="N5301" s="17">
        <v>729.69999999992206</v>
      </c>
      <c r="O5301" s="16" t="s">
        <v>4927</v>
      </c>
      <c r="R5301" s="6"/>
      <c r="S5301" s="298"/>
    </row>
    <row r="5302" spans="14:19" hidden="1" x14ac:dyDescent="0.25">
      <c r="N5302" s="17">
        <v>729.79999999992197</v>
      </c>
      <c r="O5302" s="16" t="s">
        <v>4928</v>
      </c>
      <c r="R5302" s="6"/>
      <c r="S5302" s="298"/>
    </row>
    <row r="5303" spans="14:19" hidden="1" x14ac:dyDescent="0.25">
      <c r="N5303" s="17">
        <v>729.89999999992199</v>
      </c>
      <c r="O5303" s="16" t="s">
        <v>4929</v>
      </c>
      <c r="R5303" s="6"/>
      <c r="S5303" s="298"/>
    </row>
    <row r="5304" spans="14:19" hidden="1" x14ac:dyDescent="0.25">
      <c r="N5304" s="17">
        <v>729.99999999992201</v>
      </c>
      <c r="O5304" s="16" t="s">
        <v>4930</v>
      </c>
      <c r="R5304" s="6"/>
      <c r="S5304" s="298"/>
    </row>
    <row r="5305" spans="14:19" hidden="1" x14ac:dyDescent="0.25">
      <c r="N5305" s="17">
        <v>730.09999999992203</v>
      </c>
      <c r="O5305" s="16" t="s">
        <v>4931</v>
      </c>
      <c r="R5305" s="6"/>
      <c r="S5305" s="298"/>
    </row>
    <row r="5306" spans="14:19" hidden="1" x14ac:dyDescent="0.25">
      <c r="N5306" s="17">
        <v>730.19999999992206</v>
      </c>
      <c r="O5306" s="16" t="s">
        <v>4932</v>
      </c>
      <c r="R5306" s="6"/>
      <c r="S5306" s="298"/>
    </row>
    <row r="5307" spans="14:19" hidden="1" x14ac:dyDescent="0.25">
      <c r="N5307" s="17">
        <v>730.29999999992106</v>
      </c>
      <c r="O5307" s="16" t="s">
        <v>4933</v>
      </c>
      <c r="R5307" s="6"/>
      <c r="S5307" s="298"/>
    </row>
    <row r="5308" spans="14:19" hidden="1" x14ac:dyDescent="0.25">
      <c r="N5308" s="17">
        <v>730.39999999992096</v>
      </c>
      <c r="O5308" s="16" t="s">
        <v>4934</v>
      </c>
      <c r="R5308" s="6"/>
      <c r="S5308" s="298"/>
    </row>
    <row r="5309" spans="14:19" hidden="1" x14ac:dyDescent="0.25">
      <c r="N5309" s="17">
        <v>730.49999999992099</v>
      </c>
      <c r="O5309" s="16" t="s">
        <v>4935</v>
      </c>
      <c r="R5309" s="6"/>
      <c r="S5309" s="298"/>
    </row>
    <row r="5310" spans="14:19" hidden="1" x14ac:dyDescent="0.25">
      <c r="N5310" s="17">
        <v>730.59999999992101</v>
      </c>
      <c r="O5310" s="16" t="s">
        <v>4936</v>
      </c>
      <c r="R5310" s="6"/>
      <c r="S5310" s="298"/>
    </row>
    <row r="5311" spans="14:19" hidden="1" x14ac:dyDescent="0.25">
      <c r="N5311" s="17">
        <v>730.69999999992103</v>
      </c>
      <c r="O5311" s="16" t="s">
        <v>4937</v>
      </c>
      <c r="R5311" s="6"/>
      <c r="S5311" s="298"/>
    </row>
    <row r="5312" spans="14:19" hidden="1" x14ac:dyDescent="0.25">
      <c r="N5312" s="17">
        <v>730.79999999992106</v>
      </c>
      <c r="O5312" s="16" t="s">
        <v>4938</v>
      </c>
      <c r="R5312" s="6"/>
      <c r="S5312" s="298"/>
    </row>
    <row r="5313" spans="14:19" hidden="1" x14ac:dyDescent="0.25">
      <c r="N5313" s="17">
        <v>730.89999999992096</v>
      </c>
      <c r="O5313" s="16" t="s">
        <v>4939</v>
      </c>
      <c r="R5313" s="6"/>
      <c r="S5313" s="298"/>
    </row>
    <row r="5314" spans="14:19" hidden="1" x14ac:dyDescent="0.25">
      <c r="N5314" s="17">
        <v>730.99999999992099</v>
      </c>
      <c r="O5314" s="16" t="s">
        <v>4940</v>
      </c>
      <c r="R5314" s="6"/>
      <c r="S5314" s="298"/>
    </row>
    <row r="5315" spans="14:19" hidden="1" x14ac:dyDescent="0.25">
      <c r="N5315" s="17">
        <v>731.09999999992101</v>
      </c>
      <c r="O5315" s="16" t="s">
        <v>4941</v>
      </c>
      <c r="R5315" s="6"/>
      <c r="S5315" s="298"/>
    </row>
    <row r="5316" spans="14:19" hidden="1" x14ac:dyDescent="0.25">
      <c r="N5316" s="17">
        <v>731.19999999992103</v>
      </c>
      <c r="O5316" s="16" t="s">
        <v>4942</v>
      </c>
      <c r="R5316" s="6"/>
      <c r="S5316" s="298"/>
    </row>
    <row r="5317" spans="14:19" hidden="1" x14ac:dyDescent="0.25">
      <c r="N5317" s="17">
        <v>731.29999999992106</v>
      </c>
      <c r="O5317" s="16" t="s">
        <v>4943</v>
      </c>
      <c r="R5317" s="6"/>
      <c r="S5317" s="298"/>
    </row>
    <row r="5318" spans="14:19" hidden="1" x14ac:dyDescent="0.25">
      <c r="N5318" s="17">
        <v>731.39999999992096</v>
      </c>
      <c r="O5318" s="16" t="s">
        <v>4944</v>
      </c>
      <c r="R5318" s="6"/>
      <c r="S5318" s="298"/>
    </row>
    <row r="5319" spans="14:19" hidden="1" x14ac:dyDescent="0.25">
      <c r="N5319" s="17">
        <v>731.49999999992099</v>
      </c>
      <c r="O5319" s="16" t="s">
        <v>4945</v>
      </c>
      <c r="R5319" s="6"/>
      <c r="S5319" s="298"/>
    </row>
    <row r="5320" spans="14:19" hidden="1" x14ac:dyDescent="0.25">
      <c r="N5320" s="17">
        <v>731.59999999992101</v>
      </c>
      <c r="O5320" s="16" t="s">
        <v>4960</v>
      </c>
      <c r="R5320" s="6"/>
      <c r="S5320" s="298"/>
    </row>
    <row r="5321" spans="14:19" hidden="1" x14ac:dyDescent="0.25">
      <c r="N5321" s="17">
        <v>731.69999999992103</v>
      </c>
      <c r="O5321" s="16" t="s">
        <v>4961</v>
      </c>
      <c r="R5321" s="6"/>
      <c r="S5321" s="298"/>
    </row>
    <row r="5322" spans="14:19" hidden="1" x14ac:dyDescent="0.25">
      <c r="N5322" s="17">
        <v>731.79999999992106</v>
      </c>
      <c r="O5322" s="16" t="s">
        <v>4962</v>
      </c>
      <c r="R5322" s="6"/>
      <c r="S5322" s="298"/>
    </row>
    <row r="5323" spans="14:19" hidden="1" x14ac:dyDescent="0.25">
      <c r="N5323" s="17">
        <v>731.89999999992096</v>
      </c>
      <c r="O5323" s="16" t="s">
        <v>4963</v>
      </c>
      <c r="R5323" s="6"/>
      <c r="S5323" s="298"/>
    </row>
    <row r="5324" spans="14:19" hidden="1" x14ac:dyDescent="0.25">
      <c r="N5324" s="17">
        <v>731.99999999992099</v>
      </c>
      <c r="O5324" s="16" t="s">
        <v>4968</v>
      </c>
      <c r="R5324" s="6"/>
      <c r="S5324" s="298"/>
    </row>
    <row r="5325" spans="14:19" hidden="1" x14ac:dyDescent="0.25">
      <c r="N5325" s="17">
        <v>732.09999999992101</v>
      </c>
      <c r="O5325" s="16" t="s">
        <v>4969</v>
      </c>
      <c r="R5325" s="6"/>
      <c r="S5325" s="298"/>
    </row>
    <row r="5326" spans="14:19" hidden="1" x14ac:dyDescent="0.25">
      <c r="N5326" s="17">
        <v>732.19999999992103</v>
      </c>
      <c r="O5326" s="16" t="s">
        <v>4970</v>
      </c>
      <c r="R5326" s="6"/>
      <c r="S5326" s="298"/>
    </row>
    <row r="5327" spans="14:19" hidden="1" x14ac:dyDescent="0.25">
      <c r="N5327" s="17">
        <v>732.29999999992106</v>
      </c>
      <c r="O5327" s="16" t="s">
        <v>4971</v>
      </c>
      <c r="R5327" s="6"/>
      <c r="S5327" s="298"/>
    </row>
    <row r="5328" spans="14:19" hidden="1" x14ac:dyDescent="0.25">
      <c r="N5328" s="17">
        <v>732.39999999992096</v>
      </c>
      <c r="O5328" s="16" t="s">
        <v>4972</v>
      </c>
      <c r="R5328" s="6"/>
      <c r="S5328" s="298"/>
    </row>
    <row r="5329" spans="14:19" hidden="1" x14ac:dyDescent="0.25">
      <c r="N5329" s="17">
        <v>732.49999999992099</v>
      </c>
      <c r="O5329" s="16" t="s">
        <v>4973</v>
      </c>
      <c r="R5329" s="6"/>
      <c r="S5329" s="298"/>
    </row>
    <row r="5330" spans="14:19" hidden="1" x14ac:dyDescent="0.25">
      <c r="N5330" s="17">
        <v>732.59999999992101</v>
      </c>
      <c r="O5330" s="16" t="s">
        <v>4974</v>
      </c>
      <c r="R5330" s="6"/>
      <c r="S5330" s="298"/>
    </row>
    <row r="5331" spans="14:19" hidden="1" x14ac:dyDescent="0.25">
      <c r="N5331" s="17">
        <v>732.69999999992103</v>
      </c>
      <c r="O5331" s="16" t="s">
        <v>4975</v>
      </c>
      <c r="R5331" s="6"/>
      <c r="S5331" s="298"/>
    </row>
    <row r="5332" spans="14:19" hidden="1" x14ac:dyDescent="0.25">
      <c r="N5332" s="17">
        <v>732.79999999992106</v>
      </c>
      <c r="O5332" s="16" t="s">
        <v>4976</v>
      </c>
      <c r="R5332" s="6"/>
      <c r="S5332" s="298"/>
    </row>
    <row r="5333" spans="14:19" hidden="1" x14ac:dyDescent="0.25">
      <c r="N5333" s="17">
        <v>732.89999999992096</v>
      </c>
      <c r="O5333" s="16" t="s">
        <v>4977</v>
      </c>
      <c r="R5333" s="6"/>
      <c r="S5333" s="298"/>
    </row>
    <row r="5334" spans="14:19" hidden="1" x14ac:dyDescent="0.25">
      <c r="N5334" s="17">
        <v>732.99999999992099</v>
      </c>
      <c r="O5334" s="16" t="s">
        <v>4978</v>
      </c>
      <c r="R5334" s="6"/>
      <c r="S5334" s="298"/>
    </row>
    <row r="5335" spans="14:19" hidden="1" x14ac:dyDescent="0.25">
      <c r="N5335" s="17">
        <v>733.09999999992101</v>
      </c>
      <c r="O5335" s="16" t="s">
        <v>4969</v>
      </c>
      <c r="R5335" s="6"/>
      <c r="S5335" s="298"/>
    </row>
    <row r="5336" spans="14:19" hidden="1" x14ac:dyDescent="0.25">
      <c r="N5336" s="17">
        <v>733.19999999992001</v>
      </c>
      <c r="O5336" s="16" t="s">
        <v>4970</v>
      </c>
      <c r="R5336" s="6"/>
      <c r="S5336" s="298"/>
    </row>
    <row r="5337" spans="14:19" hidden="1" x14ac:dyDescent="0.25">
      <c r="N5337" s="17">
        <v>733.29999999992003</v>
      </c>
      <c r="O5337" s="16" t="s">
        <v>4971</v>
      </c>
      <c r="R5337" s="6"/>
      <c r="S5337" s="298"/>
    </row>
    <row r="5338" spans="14:19" hidden="1" x14ac:dyDescent="0.25">
      <c r="N5338" s="17">
        <v>733.39999999992006</v>
      </c>
      <c r="O5338" s="16" t="s">
        <v>4972</v>
      </c>
      <c r="R5338" s="6"/>
      <c r="S5338" s="298"/>
    </row>
    <row r="5339" spans="14:19" hidden="1" x14ac:dyDescent="0.25">
      <c r="N5339" s="17">
        <v>733.49999999991996</v>
      </c>
      <c r="O5339" s="16" t="s">
        <v>4973</v>
      </c>
      <c r="R5339" s="6"/>
      <c r="S5339" s="298"/>
    </row>
    <row r="5340" spans="14:19" hidden="1" x14ac:dyDescent="0.25">
      <c r="N5340" s="17">
        <v>733.59999999991999</v>
      </c>
      <c r="O5340" s="16" t="s">
        <v>4974</v>
      </c>
      <c r="R5340" s="6"/>
      <c r="S5340" s="298"/>
    </row>
    <row r="5341" spans="14:19" hidden="1" x14ac:dyDescent="0.25">
      <c r="N5341" s="17">
        <v>733.69999999992001</v>
      </c>
      <c r="O5341" s="16" t="s">
        <v>4975</v>
      </c>
      <c r="R5341" s="6"/>
      <c r="S5341" s="298"/>
    </row>
    <row r="5342" spans="14:19" hidden="1" x14ac:dyDescent="0.25">
      <c r="N5342" s="17">
        <v>733.79999999992003</v>
      </c>
      <c r="O5342" s="16" t="s">
        <v>4976</v>
      </c>
      <c r="R5342" s="6"/>
      <c r="S5342" s="298"/>
    </row>
    <row r="5343" spans="14:19" hidden="1" x14ac:dyDescent="0.25">
      <c r="N5343" s="17">
        <v>733.89999999992006</v>
      </c>
      <c r="O5343" s="16" t="s">
        <v>4977</v>
      </c>
      <c r="R5343" s="6"/>
      <c r="S5343" s="298"/>
    </row>
    <row r="5344" spans="14:19" hidden="1" x14ac:dyDescent="0.25">
      <c r="N5344" s="17">
        <v>733.99999999991996</v>
      </c>
      <c r="O5344" s="16" t="s">
        <v>4979</v>
      </c>
      <c r="R5344" s="6"/>
      <c r="S5344" s="298"/>
    </row>
    <row r="5345" spans="14:19" hidden="1" x14ac:dyDescent="0.25">
      <c r="N5345" s="17">
        <v>734.09999999991999</v>
      </c>
      <c r="O5345" s="16" t="s">
        <v>4980</v>
      </c>
      <c r="R5345" s="6"/>
      <c r="S5345" s="298"/>
    </row>
    <row r="5346" spans="14:19" hidden="1" x14ac:dyDescent="0.25">
      <c r="N5346" s="17">
        <v>734.19999999992001</v>
      </c>
      <c r="O5346" s="16" t="s">
        <v>4981</v>
      </c>
      <c r="R5346" s="6"/>
      <c r="S5346" s="298"/>
    </row>
    <row r="5347" spans="14:19" hidden="1" x14ac:dyDescent="0.25">
      <c r="N5347" s="17">
        <v>734.29999999992003</v>
      </c>
      <c r="O5347" s="16" t="s">
        <v>4982</v>
      </c>
      <c r="R5347" s="6"/>
      <c r="S5347" s="298"/>
    </row>
    <row r="5348" spans="14:19" hidden="1" x14ac:dyDescent="0.25">
      <c r="N5348" s="17">
        <v>734.39999999992006</v>
      </c>
      <c r="O5348" s="16" t="s">
        <v>4983</v>
      </c>
      <c r="R5348" s="6"/>
      <c r="S5348" s="298"/>
    </row>
    <row r="5349" spans="14:19" hidden="1" x14ac:dyDescent="0.25">
      <c r="N5349" s="17">
        <v>734.49999999991996</v>
      </c>
      <c r="O5349" s="16" t="s">
        <v>4984</v>
      </c>
      <c r="R5349" s="6"/>
      <c r="S5349" s="298"/>
    </row>
    <row r="5350" spans="14:19" hidden="1" x14ac:dyDescent="0.25">
      <c r="N5350" s="17">
        <v>734.59999999991999</v>
      </c>
      <c r="O5350" s="16" t="s">
        <v>4985</v>
      </c>
      <c r="R5350" s="6"/>
      <c r="S5350" s="298"/>
    </row>
    <row r="5351" spans="14:19" hidden="1" x14ac:dyDescent="0.25">
      <c r="N5351" s="17">
        <v>734.69999999992001</v>
      </c>
      <c r="O5351" s="16" t="s">
        <v>4986</v>
      </c>
      <c r="R5351" s="6"/>
      <c r="S5351" s="298"/>
    </row>
    <row r="5352" spans="14:19" hidden="1" x14ac:dyDescent="0.25">
      <c r="N5352" s="17">
        <v>734.79999999992003</v>
      </c>
      <c r="O5352" s="16" t="s">
        <v>4987</v>
      </c>
      <c r="R5352" s="6"/>
      <c r="S5352" s="298"/>
    </row>
    <row r="5353" spans="14:19" hidden="1" x14ac:dyDescent="0.25">
      <c r="N5353" s="17">
        <v>734.89999999992006</v>
      </c>
      <c r="O5353" s="16" t="s">
        <v>4988</v>
      </c>
      <c r="R5353" s="6"/>
      <c r="S5353" s="298"/>
    </row>
    <row r="5354" spans="14:19" hidden="1" x14ac:dyDescent="0.25">
      <c r="N5354" s="17">
        <v>734.99999999991996</v>
      </c>
      <c r="O5354" s="16" t="s">
        <v>4989</v>
      </c>
      <c r="R5354" s="6"/>
      <c r="S5354" s="298"/>
    </row>
    <row r="5355" spans="14:19" hidden="1" x14ac:dyDescent="0.25">
      <c r="N5355" s="17">
        <v>735.09999999991999</v>
      </c>
      <c r="O5355" s="16" t="s">
        <v>4990</v>
      </c>
      <c r="R5355" s="6"/>
      <c r="S5355" s="298"/>
    </row>
    <row r="5356" spans="14:19" hidden="1" x14ac:dyDescent="0.25">
      <c r="N5356" s="17">
        <v>735.19999999992001</v>
      </c>
      <c r="O5356" s="16" t="s">
        <v>4991</v>
      </c>
      <c r="R5356" s="6"/>
      <c r="S5356" s="298"/>
    </row>
    <row r="5357" spans="14:19" hidden="1" x14ac:dyDescent="0.25">
      <c r="N5357" s="17">
        <v>735.29999999992003</v>
      </c>
      <c r="O5357" s="16" t="s">
        <v>4992</v>
      </c>
      <c r="R5357" s="6"/>
      <c r="S5357" s="298"/>
    </row>
    <row r="5358" spans="14:19" hidden="1" x14ac:dyDescent="0.25">
      <c r="N5358" s="17">
        <v>735.39999999992006</v>
      </c>
      <c r="O5358" s="16" t="s">
        <v>5012</v>
      </c>
      <c r="R5358" s="6"/>
      <c r="S5358" s="298"/>
    </row>
    <row r="5359" spans="14:19" hidden="1" x14ac:dyDescent="0.25">
      <c r="N5359" s="17">
        <v>735.49999999991996</v>
      </c>
      <c r="O5359" s="16" t="s">
        <v>5013</v>
      </c>
      <c r="R5359" s="6"/>
      <c r="S5359" s="298"/>
    </row>
    <row r="5360" spans="14:19" hidden="1" x14ac:dyDescent="0.25">
      <c r="N5360" s="17">
        <v>735.59999999991999</v>
      </c>
      <c r="O5360" s="16" t="s">
        <v>5014</v>
      </c>
      <c r="R5360" s="6"/>
      <c r="S5360" s="298"/>
    </row>
    <row r="5361" spans="14:19" hidden="1" x14ac:dyDescent="0.25">
      <c r="N5361" s="17">
        <v>735.69999999992001</v>
      </c>
      <c r="O5361" s="16" t="s">
        <v>5015</v>
      </c>
      <c r="R5361" s="6"/>
      <c r="S5361" s="298"/>
    </row>
    <row r="5362" spans="14:19" hidden="1" x14ac:dyDescent="0.25">
      <c r="N5362" s="17">
        <v>735.79999999992003</v>
      </c>
      <c r="O5362" s="16" t="s">
        <v>5016</v>
      </c>
      <c r="R5362" s="6"/>
      <c r="S5362" s="298"/>
    </row>
    <row r="5363" spans="14:19" hidden="1" x14ac:dyDescent="0.25">
      <c r="N5363" s="17">
        <v>735.89999999992006</v>
      </c>
      <c r="O5363" s="16" t="s">
        <v>5017</v>
      </c>
      <c r="R5363" s="6"/>
      <c r="S5363" s="298"/>
    </row>
    <row r="5364" spans="14:19" hidden="1" x14ac:dyDescent="0.25">
      <c r="N5364" s="17">
        <v>735.99999999991996</v>
      </c>
      <c r="O5364" s="16" t="s">
        <v>5018</v>
      </c>
      <c r="R5364" s="6"/>
      <c r="S5364" s="298"/>
    </row>
    <row r="5365" spans="14:19" hidden="1" x14ac:dyDescent="0.25">
      <c r="N5365" s="17">
        <v>736.09999999991999</v>
      </c>
      <c r="O5365" s="16" t="s">
        <v>2894</v>
      </c>
      <c r="R5365" s="6"/>
      <c r="S5365" s="298"/>
    </row>
    <row r="5366" spans="14:19" hidden="1" x14ac:dyDescent="0.25">
      <c r="N5366" s="17">
        <v>736.19999999991899</v>
      </c>
      <c r="O5366" s="16" t="s">
        <v>2895</v>
      </c>
      <c r="R5366" s="6"/>
      <c r="S5366" s="298"/>
    </row>
    <row r="5367" spans="14:19" hidden="1" x14ac:dyDescent="0.25">
      <c r="N5367" s="17">
        <v>736.29999999991901</v>
      </c>
      <c r="O5367" s="16" t="s">
        <v>2896</v>
      </c>
      <c r="R5367" s="6"/>
      <c r="S5367" s="298"/>
    </row>
    <row r="5368" spans="14:19" hidden="1" x14ac:dyDescent="0.25">
      <c r="N5368" s="17">
        <v>736.39999999991903</v>
      </c>
      <c r="O5368" s="16" t="s">
        <v>2897</v>
      </c>
      <c r="R5368" s="6"/>
      <c r="S5368" s="298"/>
    </row>
    <row r="5369" spans="14:19" hidden="1" x14ac:dyDescent="0.25">
      <c r="N5369" s="17">
        <v>736.49999999991905</v>
      </c>
      <c r="O5369" s="16" t="s">
        <v>2898</v>
      </c>
      <c r="R5369" s="6"/>
      <c r="S5369" s="298"/>
    </row>
    <row r="5370" spans="14:19" hidden="1" x14ac:dyDescent="0.25">
      <c r="N5370" s="17">
        <v>736.59999999991896</v>
      </c>
      <c r="O5370" s="16" t="s">
        <v>2899</v>
      </c>
      <c r="R5370" s="6"/>
      <c r="S5370" s="298"/>
    </row>
    <row r="5371" spans="14:19" hidden="1" x14ac:dyDescent="0.25">
      <c r="N5371" s="17">
        <v>736.69999999991899</v>
      </c>
      <c r="O5371" s="16" t="s">
        <v>2900</v>
      </c>
      <c r="R5371" s="6"/>
      <c r="S5371" s="298"/>
    </row>
    <row r="5372" spans="14:19" hidden="1" x14ac:dyDescent="0.25">
      <c r="N5372" s="17">
        <v>736.79999999991901</v>
      </c>
      <c r="O5372" s="16" t="s">
        <v>2901</v>
      </c>
      <c r="R5372" s="6"/>
      <c r="S5372" s="298"/>
    </row>
    <row r="5373" spans="14:19" hidden="1" x14ac:dyDescent="0.25">
      <c r="N5373" s="17">
        <v>736.89999999991903</v>
      </c>
      <c r="O5373" s="16" t="s">
        <v>2902</v>
      </c>
      <c r="R5373" s="6"/>
      <c r="S5373" s="298"/>
    </row>
    <row r="5374" spans="14:19" hidden="1" x14ac:dyDescent="0.25">
      <c r="N5374" s="17">
        <v>736.99999999991905</v>
      </c>
      <c r="O5374" s="16" t="s">
        <v>2903</v>
      </c>
      <c r="R5374" s="6"/>
      <c r="S5374" s="298"/>
    </row>
    <row r="5375" spans="14:19" hidden="1" x14ac:dyDescent="0.25">
      <c r="N5375" s="17">
        <v>737.09999999991896</v>
      </c>
      <c r="O5375" s="16" t="s">
        <v>2904</v>
      </c>
      <c r="R5375" s="6"/>
      <c r="S5375" s="298"/>
    </row>
    <row r="5376" spans="14:19" hidden="1" x14ac:dyDescent="0.25">
      <c r="N5376" s="17">
        <v>737.19999999991899</v>
      </c>
      <c r="O5376" s="16" t="s">
        <v>2905</v>
      </c>
      <c r="R5376" s="6"/>
      <c r="S5376" s="298"/>
    </row>
    <row r="5377" spans="14:19" hidden="1" x14ac:dyDescent="0.25">
      <c r="N5377" s="17">
        <v>737.29999999991901</v>
      </c>
      <c r="O5377" s="16" t="s">
        <v>2906</v>
      </c>
      <c r="R5377" s="6"/>
      <c r="S5377" s="298"/>
    </row>
    <row r="5378" spans="14:19" hidden="1" x14ac:dyDescent="0.25">
      <c r="N5378" s="17">
        <v>737.39999999991903</v>
      </c>
      <c r="O5378" s="16" t="s">
        <v>2907</v>
      </c>
      <c r="R5378" s="6"/>
      <c r="S5378" s="298"/>
    </row>
    <row r="5379" spans="14:19" hidden="1" x14ac:dyDescent="0.25">
      <c r="N5379" s="17">
        <v>737.49999999991905</v>
      </c>
      <c r="O5379" s="16" t="s">
        <v>2908</v>
      </c>
      <c r="R5379" s="6"/>
      <c r="S5379" s="298"/>
    </row>
    <row r="5380" spans="14:19" hidden="1" x14ac:dyDescent="0.25">
      <c r="N5380" s="17">
        <v>737.59999999991896</v>
      </c>
      <c r="O5380" s="16" t="s">
        <v>2909</v>
      </c>
      <c r="R5380" s="6"/>
      <c r="S5380" s="298"/>
    </row>
    <row r="5381" spans="14:19" hidden="1" x14ac:dyDescent="0.25">
      <c r="N5381" s="17">
        <v>737.69999999991899</v>
      </c>
      <c r="O5381" s="16" t="s">
        <v>7116</v>
      </c>
      <c r="R5381" s="6"/>
      <c r="S5381" s="298"/>
    </row>
    <row r="5382" spans="14:19" hidden="1" x14ac:dyDescent="0.25">
      <c r="N5382" s="17">
        <v>737.79999999991901</v>
      </c>
      <c r="O5382" s="16" t="s">
        <v>7117</v>
      </c>
      <c r="R5382" s="6"/>
      <c r="S5382" s="298"/>
    </row>
    <row r="5383" spans="14:19" hidden="1" x14ac:dyDescent="0.25">
      <c r="N5383" s="17">
        <v>737.89999999991903</v>
      </c>
      <c r="O5383" s="16" t="s">
        <v>7118</v>
      </c>
      <c r="R5383" s="6"/>
      <c r="S5383" s="298"/>
    </row>
    <row r="5384" spans="14:19" hidden="1" x14ac:dyDescent="0.25">
      <c r="N5384" s="17">
        <v>737.99999999991905</v>
      </c>
      <c r="O5384" s="16" t="s">
        <v>7119</v>
      </c>
      <c r="R5384" s="6"/>
      <c r="S5384" s="298"/>
    </row>
    <row r="5385" spans="14:19" hidden="1" x14ac:dyDescent="0.25">
      <c r="N5385" s="17">
        <v>738.09999999991896</v>
      </c>
      <c r="O5385" s="16" t="s">
        <v>7120</v>
      </c>
      <c r="R5385" s="6"/>
      <c r="S5385" s="298"/>
    </row>
    <row r="5386" spans="14:19" hidden="1" x14ac:dyDescent="0.25">
      <c r="N5386" s="17">
        <v>738.19999999991899</v>
      </c>
      <c r="O5386" s="16" t="s">
        <v>7121</v>
      </c>
      <c r="R5386" s="6"/>
      <c r="S5386" s="298"/>
    </row>
    <row r="5387" spans="14:19" hidden="1" x14ac:dyDescent="0.25">
      <c r="N5387" s="17">
        <v>738.29999999991901</v>
      </c>
      <c r="O5387" s="16" t="s">
        <v>7122</v>
      </c>
      <c r="R5387" s="6"/>
      <c r="S5387" s="298"/>
    </row>
    <row r="5388" spans="14:19" hidden="1" x14ac:dyDescent="0.25">
      <c r="N5388" s="17">
        <v>738.39999999991903</v>
      </c>
      <c r="O5388" s="16" t="s">
        <v>7123</v>
      </c>
      <c r="R5388" s="6"/>
      <c r="S5388" s="298"/>
    </row>
    <row r="5389" spans="14:19" hidden="1" x14ac:dyDescent="0.25">
      <c r="N5389" s="17">
        <v>738.49999999991905</v>
      </c>
      <c r="O5389" s="16" t="s">
        <v>7124</v>
      </c>
      <c r="R5389" s="6"/>
      <c r="S5389" s="298"/>
    </row>
    <row r="5390" spans="14:19" hidden="1" x14ac:dyDescent="0.25">
      <c r="N5390" s="17">
        <v>738.59999999991896</v>
      </c>
      <c r="O5390" s="16" t="s">
        <v>7125</v>
      </c>
      <c r="R5390" s="6"/>
      <c r="S5390" s="298"/>
    </row>
    <row r="5391" spans="14:19" hidden="1" x14ac:dyDescent="0.25">
      <c r="N5391" s="17">
        <v>738.69999999991899</v>
      </c>
      <c r="O5391" s="16" t="s">
        <v>7126</v>
      </c>
      <c r="R5391" s="6"/>
      <c r="S5391" s="298"/>
    </row>
    <row r="5392" spans="14:19" hidden="1" x14ac:dyDescent="0.25">
      <c r="N5392" s="17">
        <v>738.79999999991901</v>
      </c>
      <c r="O5392" s="16" t="s">
        <v>7127</v>
      </c>
      <c r="R5392" s="6"/>
      <c r="S5392" s="298"/>
    </row>
    <row r="5393" spans="14:19" hidden="1" x14ac:dyDescent="0.25">
      <c r="N5393" s="17">
        <v>738.89999999991903</v>
      </c>
      <c r="O5393" s="16" t="s">
        <v>7128</v>
      </c>
      <c r="R5393" s="6"/>
      <c r="S5393" s="298"/>
    </row>
    <row r="5394" spans="14:19" hidden="1" x14ac:dyDescent="0.25">
      <c r="N5394" s="17">
        <v>738.99999999991905</v>
      </c>
      <c r="O5394" s="16" t="s">
        <v>7129</v>
      </c>
      <c r="R5394" s="6"/>
      <c r="S5394" s="298"/>
    </row>
    <row r="5395" spans="14:19" hidden="1" x14ac:dyDescent="0.25">
      <c r="N5395" s="17">
        <v>739.09999999991805</v>
      </c>
      <c r="O5395" s="16" t="s">
        <v>7130</v>
      </c>
      <c r="R5395" s="6"/>
      <c r="S5395" s="298"/>
    </row>
    <row r="5396" spans="14:19" hidden="1" x14ac:dyDescent="0.25">
      <c r="N5396" s="17">
        <v>739.19999999991796</v>
      </c>
      <c r="O5396" s="16" t="s">
        <v>7131</v>
      </c>
      <c r="R5396" s="6"/>
      <c r="S5396" s="298"/>
    </row>
    <row r="5397" spans="14:19" hidden="1" x14ac:dyDescent="0.25">
      <c r="N5397" s="17">
        <v>739.29999999991799</v>
      </c>
      <c r="O5397" s="16" t="s">
        <v>7132</v>
      </c>
      <c r="R5397" s="6"/>
      <c r="S5397" s="298"/>
    </row>
    <row r="5398" spans="14:19" hidden="1" x14ac:dyDescent="0.25">
      <c r="N5398" s="17">
        <v>739.39999999991801</v>
      </c>
      <c r="O5398" s="16" t="s">
        <v>7133</v>
      </c>
      <c r="R5398" s="6"/>
      <c r="S5398" s="298"/>
    </row>
    <row r="5399" spans="14:19" hidden="1" x14ac:dyDescent="0.25">
      <c r="N5399" s="17">
        <v>739.49999999991803</v>
      </c>
      <c r="O5399" s="16" t="s">
        <v>7134</v>
      </c>
      <c r="R5399" s="6"/>
      <c r="S5399" s="298"/>
    </row>
    <row r="5400" spans="14:19" hidden="1" x14ac:dyDescent="0.25">
      <c r="N5400" s="17">
        <v>739.59999999991805</v>
      </c>
      <c r="O5400" s="16" t="s">
        <v>5079</v>
      </c>
      <c r="R5400" s="6"/>
      <c r="S5400" s="298"/>
    </row>
    <row r="5401" spans="14:19" hidden="1" x14ac:dyDescent="0.25">
      <c r="N5401" s="17">
        <v>739.69999999991796</v>
      </c>
      <c r="O5401" s="16" t="s">
        <v>5080</v>
      </c>
      <c r="R5401" s="6"/>
      <c r="S5401" s="298"/>
    </row>
    <row r="5402" spans="14:19" hidden="1" x14ac:dyDescent="0.25">
      <c r="N5402" s="17">
        <v>739.79999999991799</v>
      </c>
      <c r="O5402" s="16" t="s">
        <v>5081</v>
      </c>
      <c r="R5402" s="6"/>
      <c r="S5402" s="298"/>
    </row>
    <row r="5403" spans="14:19" hidden="1" x14ac:dyDescent="0.25">
      <c r="N5403" s="17">
        <v>739.89999999991801</v>
      </c>
      <c r="O5403" s="16" t="s">
        <v>5082</v>
      </c>
      <c r="R5403" s="6"/>
      <c r="S5403" s="298"/>
    </row>
    <row r="5404" spans="14:19" hidden="1" x14ac:dyDescent="0.25">
      <c r="N5404" s="17">
        <v>739.99999999991803</v>
      </c>
      <c r="O5404" s="16" t="s">
        <v>5083</v>
      </c>
      <c r="R5404" s="6"/>
      <c r="S5404" s="298"/>
    </row>
    <row r="5405" spans="14:19" hidden="1" x14ac:dyDescent="0.25">
      <c r="N5405" s="17">
        <v>740.09999999991805</v>
      </c>
      <c r="O5405" s="16" t="s">
        <v>5084</v>
      </c>
      <c r="R5405" s="6"/>
      <c r="S5405" s="298"/>
    </row>
    <row r="5406" spans="14:19" hidden="1" x14ac:dyDescent="0.25">
      <c r="N5406" s="17">
        <v>740.19999999991796</v>
      </c>
      <c r="O5406" s="16" t="s">
        <v>5085</v>
      </c>
      <c r="R5406" s="6"/>
      <c r="S5406" s="298"/>
    </row>
    <row r="5407" spans="14:19" hidden="1" x14ac:dyDescent="0.25">
      <c r="N5407" s="17">
        <v>740.29999999991799</v>
      </c>
      <c r="O5407" s="16" t="s">
        <v>5086</v>
      </c>
      <c r="R5407" s="6"/>
      <c r="S5407" s="298"/>
    </row>
    <row r="5408" spans="14:19" hidden="1" x14ac:dyDescent="0.25">
      <c r="N5408" s="17">
        <v>740.39999999991801</v>
      </c>
      <c r="O5408" s="16" t="s">
        <v>5100</v>
      </c>
      <c r="R5408" s="6"/>
      <c r="S5408" s="298"/>
    </row>
    <row r="5409" spans="14:19" hidden="1" x14ac:dyDescent="0.25">
      <c r="N5409" s="17">
        <v>740.49999999991803</v>
      </c>
      <c r="O5409" s="16" t="s">
        <v>5101</v>
      </c>
      <c r="R5409" s="6"/>
      <c r="S5409" s="298"/>
    </row>
    <row r="5410" spans="14:19" hidden="1" x14ac:dyDescent="0.25">
      <c r="N5410" s="17">
        <v>740.59999999991805</v>
      </c>
      <c r="O5410" s="16" t="s">
        <v>5102</v>
      </c>
      <c r="R5410" s="6"/>
      <c r="S5410" s="298"/>
    </row>
    <row r="5411" spans="14:19" hidden="1" x14ac:dyDescent="0.25">
      <c r="N5411" s="17">
        <v>740.69999999991796</v>
      </c>
      <c r="O5411" s="16" t="s">
        <v>5103</v>
      </c>
      <c r="R5411" s="6"/>
      <c r="S5411" s="298"/>
    </row>
    <row r="5412" spans="14:19" hidden="1" x14ac:dyDescent="0.25">
      <c r="N5412" s="17">
        <v>740.79999999991799</v>
      </c>
      <c r="O5412" s="16" t="s">
        <v>5104</v>
      </c>
      <c r="R5412" s="6"/>
      <c r="S5412" s="298"/>
    </row>
    <row r="5413" spans="14:19" hidden="1" x14ac:dyDescent="0.25">
      <c r="N5413" s="17">
        <v>740.89999999991801</v>
      </c>
      <c r="O5413" s="16" t="s">
        <v>5105</v>
      </c>
      <c r="R5413" s="6"/>
      <c r="S5413" s="298"/>
    </row>
    <row r="5414" spans="14:19" hidden="1" x14ac:dyDescent="0.25">
      <c r="N5414" s="17">
        <v>740.99999999991803</v>
      </c>
      <c r="O5414" s="16" t="s">
        <v>5106</v>
      </c>
      <c r="R5414" s="6"/>
      <c r="S5414" s="298"/>
    </row>
    <row r="5415" spans="14:19" hidden="1" x14ac:dyDescent="0.25">
      <c r="N5415" s="17">
        <v>741.09999999991805</v>
      </c>
      <c r="O5415" s="16" t="s">
        <v>5107</v>
      </c>
      <c r="R5415" s="6"/>
      <c r="S5415" s="298"/>
    </row>
    <row r="5416" spans="14:19" hidden="1" x14ac:dyDescent="0.25">
      <c r="N5416" s="17">
        <v>741.19999999991796</v>
      </c>
      <c r="O5416" s="16" t="s">
        <v>5108</v>
      </c>
      <c r="R5416" s="6"/>
      <c r="S5416" s="298"/>
    </row>
    <row r="5417" spans="14:19" hidden="1" x14ac:dyDescent="0.25">
      <c r="N5417" s="17">
        <v>741.29999999991799</v>
      </c>
      <c r="O5417" s="16" t="s">
        <v>5109</v>
      </c>
      <c r="R5417" s="6"/>
      <c r="S5417" s="298"/>
    </row>
    <row r="5418" spans="14:19" hidden="1" x14ac:dyDescent="0.25">
      <c r="N5418" s="17">
        <v>741.39999999991801</v>
      </c>
      <c r="O5418" s="16" t="s">
        <v>5110</v>
      </c>
      <c r="R5418" s="6"/>
      <c r="S5418" s="298"/>
    </row>
    <row r="5419" spans="14:19" hidden="1" x14ac:dyDescent="0.25">
      <c r="N5419" s="17">
        <v>741.49999999991803</v>
      </c>
      <c r="O5419" s="16" t="s">
        <v>5111</v>
      </c>
      <c r="R5419" s="6"/>
      <c r="S5419" s="298"/>
    </row>
    <row r="5420" spans="14:19" hidden="1" x14ac:dyDescent="0.25">
      <c r="N5420" s="17">
        <v>741.59999999991805</v>
      </c>
      <c r="O5420" s="16" t="s">
        <v>5112</v>
      </c>
      <c r="R5420" s="6"/>
      <c r="S5420" s="298"/>
    </row>
    <row r="5421" spans="14:19" hidden="1" x14ac:dyDescent="0.25">
      <c r="N5421" s="17">
        <v>741.69999999991796</v>
      </c>
      <c r="O5421" s="16" t="s">
        <v>7194</v>
      </c>
      <c r="R5421" s="6"/>
      <c r="S5421" s="298"/>
    </row>
    <row r="5422" spans="14:19" hidden="1" x14ac:dyDescent="0.25">
      <c r="N5422" s="17">
        <v>741.79999999991799</v>
      </c>
      <c r="O5422" s="16" t="s">
        <v>7195</v>
      </c>
      <c r="R5422" s="6"/>
      <c r="S5422" s="298"/>
    </row>
    <row r="5423" spans="14:19" hidden="1" x14ac:dyDescent="0.25">
      <c r="N5423" s="17">
        <v>741.89999999991801</v>
      </c>
      <c r="O5423" s="16" t="s">
        <v>7196</v>
      </c>
      <c r="R5423" s="6"/>
      <c r="S5423" s="298"/>
    </row>
    <row r="5424" spans="14:19" hidden="1" x14ac:dyDescent="0.25">
      <c r="N5424" s="17">
        <v>741.99999999991701</v>
      </c>
      <c r="O5424" s="16" t="s">
        <v>7197</v>
      </c>
      <c r="R5424" s="6"/>
      <c r="S5424" s="298"/>
    </row>
    <row r="5425" spans="14:19" hidden="1" x14ac:dyDescent="0.25">
      <c r="N5425" s="17">
        <v>742.09999999991703</v>
      </c>
      <c r="O5425" s="16" t="s">
        <v>7198</v>
      </c>
      <c r="R5425" s="6"/>
      <c r="S5425" s="298"/>
    </row>
    <row r="5426" spans="14:19" hidden="1" x14ac:dyDescent="0.25">
      <c r="N5426" s="17">
        <v>742.19999999991705</v>
      </c>
      <c r="O5426" s="16" t="s">
        <v>7199</v>
      </c>
      <c r="R5426" s="6"/>
      <c r="S5426" s="298"/>
    </row>
    <row r="5427" spans="14:19" hidden="1" x14ac:dyDescent="0.25">
      <c r="N5427" s="17">
        <v>742.29999999991696</v>
      </c>
      <c r="O5427" s="16" t="s">
        <v>7200</v>
      </c>
      <c r="R5427" s="6"/>
      <c r="S5427" s="298"/>
    </row>
    <row r="5428" spans="14:19" hidden="1" x14ac:dyDescent="0.25">
      <c r="N5428" s="17">
        <v>742.39999999991699</v>
      </c>
      <c r="O5428" s="16" t="s">
        <v>7201</v>
      </c>
      <c r="R5428" s="6"/>
      <c r="S5428" s="298"/>
    </row>
    <row r="5429" spans="14:19" hidden="1" x14ac:dyDescent="0.25">
      <c r="N5429" s="17">
        <v>742.49999999991701</v>
      </c>
      <c r="O5429" s="16" t="s">
        <v>7202</v>
      </c>
      <c r="R5429" s="6"/>
      <c r="S5429" s="298"/>
    </row>
    <row r="5430" spans="14:19" hidden="1" x14ac:dyDescent="0.25">
      <c r="N5430" s="17">
        <v>742.59999999991703</v>
      </c>
      <c r="O5430" s="16" t="s">
        <v>7203</v>
      </c>
      <c r="R5430" s="6"/>
      <c r="S5430" s="298"/>
    </row>
    <row r="5431" spans="14:19" hidden="1" x14ac:dyDescent="0.25">
      <c r="N5431" s="17">
        <v>742.69999999991705</v>
      </c>
      <c r="O5431" s="16" t="s">
        <v>7204</v>
      </c>
      <c r="R5431" s="6"/>
      <c r="S5431" s="298"/>
    </row>
    <row r="5432" spans="14:19" hidden="1" x14ac:dyDescent="0.25">
      <c r="N5432" s="17">
        <v>742.79999999991696</v>
      </c>
      <c r="O5432" s="16" t="s">
        <v>7205</v>
      </c>
      <c r="R5432" s="6"/>
      <c r="S5432" s="298"/>
    </row>
    <row r="5433" spans="14:19" hidden="1" x14ac:dyDescent="0.25">
      <c r="N5433" s="17">
        <v>742.89999999991699</v>
      </c>
      <c r="O5433" s="16" t="s">
        <v>7206</v>
      </c>
      <c r="R5433" s="6"/>
      <c r="S5433" s="298"/>
    </row>
    <row r="5434" spans="14:19" hidden="1" x14ac:dyDescent="0.25">
      <c r="N5434" s="17">
        <v>742.99999999991701</v>
      </c>
      <c r="O5434" s="16" t="s">
        <v>7207</v>
      </c>
      <c r="R5434" s="6"/>
      <c r="S5434" s="298"/>
    </row>
    <row r="5435" spans="14:19" hidden="1" x14ac:dyDescent="0.25">
      <c r="N5435" s="17">
        <v>743.09999999991703</v>
      </c>
      <c r="O5435" s="16" t="s">
        <v>7208</v>
      </c>
      <c r="R5435" s="6"/>
      <c r="S5435" s="298"/>
    </row>
    <row r="5436" spans="14:19" hidden="1" x14ac:dyDescent="0.25">
      <c r="N5436" s="17">
        <v>743.19999999991705</v>
      </c>
      <c r="O5436" s="16" t="s">
        <v>5137</v>
      </c>
      <c r="R5436" s="6"/>
      <c r="S5436" s="298"/>
    </row>
    <row r="5437" spans="14:19" hidden="1" x14ac:dyDescent="0.25">
      <c r="N5437" s="17">
        <v>743.29999999991696</v>
      </c>
      <c r="O5437" s="16" t="s">
        <v>5138</v>
      </c>
      <c r="R5437" s="6"/>
      <c r="S5437" s="298"/>
    </row>
    <row r="5438" spans="14:19" hidden="1" x14ac:dyDescent="0.25">
      <c r="N5438" s="17">
        <v>743.39999999991699</v>
      </c>
      <c r="O5438" s="16" t="s">
        <v>5139</v>
      </c>
      <c r="R5438" s="6"/>
      <c r="S5438" s="298"/>
    </row>
    <row r="5439" spans="14:19" hidden="1" x14ac:dyDescent="0.25">
      <c r="N5439" s="17">
        <v>743.49999999991701</v>
      </c>
      <c r="O5439" s="16" t="s">
        <v>5140</v>
      </c>
      <c r="R5439" s="6"/>
      <c r="S5439" s="298"/>
    </row>
    <row r="5440" spans="14:19" hidden="1" x14ac:dyDescent="0.25">
      <c r="N5440" s="17">
        <v>743.59999999991703</v>
      </c>
      <c r="O5440" s="16" t="s">
        <v>5141</v>
      </c>
      <c r="R5440" s="6"/>
      <c r="S5440" s="298"/>
    </row>
    <row r="5441" spans="14:19" hidden="1" x14ac:dyDescent="0.25">
      <c r="N5441" s="17">
        <v>743.69999999991705</v>
      </c>
      <c r="O5441" s="16" t="s">
        <v>5142</v>
      </c>
      <c r="R5441" s="6"/>
      <c r="S5441" s="298"/>
    </row>
    <row r="5442" spans="14:19" hidden="1" x14ac:dyDescent="0.25">
      <c r="N5442" s="17">
        <v>743.79999999991696</v>
      </c>
      <c r="O5442" s="16" t="s">
        <v>5143</v>
      </c>
      <c r="R5442" s="6"/>
      <c r="S5442" s="298"/>
    </row>
    <row r="5443" spans="14:19" hidden="1" x14ac:dyDescent="0.25">
      <c r="N5443" s="17">
        <v>743.89999999991699</v>
      </c>
      <c r="O5443" s="16" t="s">
        <v>5144</v>
      </c>
      <c r="R5443" s="6"/>
      <c r="S5443" s="298"/>
    </row>
    <row r="5444" spans="14:19" hidden="1" x14ac:dyDescent="0.25">
      <c r="N5444" s="17">
        <v>743.99999999991701</v>
      </c>
      <c r="O5444" s="16" t="s">
        <v>5145</v>
      </c>
      <c r="R5444" s="6"/>
      <c r="S5444" s="298"/>
    </row>
    <row r="5445" spans="14:19" hidden="1" x14ac:dyDescent="0.25">
      <c r="N5445" s="17">
        <v>744.09999999991703</v>
      </c>
      <c r="O5445" s="16" t="s">
        <v>5146</v>
      </c>
      <c r="R5445" s="6"/>
      <c r="S5445" s="298"/>
    </row>
    <row r="5446" spans="14:19" hidden="1" x14ac:dyDescent="0.25">
      <c r="N5446" s="17">
        <v>744.19999999991705</v>
      </c>
      <c r="O5446" s="16" t="s">
        <v>5147</v>
      </c>
      <c r="R5446" s="6"/>
      <c r="S5446" s="298"/>
    </row>
    <row r="5447" spans="14:19" hidden="1" x14ac:dyDescent="0.25">
      <c r="N5447" s="17">
        <v>744.29999999991696</v>
      </c>
      <c r="O5447" s="16" t="s">
        <v>5148</v>
      </c>
      <c r="R5447" s="6"/>
      <c r="S5447" s="298"/>
    </row>
    <row r="5448" spans="14:19" hidden="1" x14ac:dyDescent="0.25">
      <c r="N5448" s="17">
        <v>744.39999999991699</v>
      </c>
      <c r="O5448" s="16" t="s">
        <v>5149</v>
      </c>
      <c r="R5448" s="6"/>
      <c r="S5448" s="298"/>
    </row>
    <row r="5449" spans="14:19" hidden="1" x14ac:dyDescent="0.25">
      <c r="N5449" s="17">
        <v>744.49999999991701</v>
      </c>
      <c r="O5449" s="16" t="s">
        <v>7220</v>
      </c>
      <c r="R5449" s="6"/>
      <c r="S5449" s="298"/>
    </row>
    <row r="5450" spans="14:19" hidden="1" x14ac:dyDescent="0.25">
      <c r="N5450" s="17">
        <v>744.59999999991703</v>
      </c>
      <c r="O5450" s="16" t="s">
        <v>7221</v>
      </c>
      <c r="R5450" s="6"/>
      <c r="S5450" s="298"/>
    </row>
    <row r="5451" spans="14:19" hidden="1" x14ac:dyDescent="0.25">
      <c r="N5451" s="17">
        <v>744.69999999991705</v>
      </c>
      <c r="O5451" s="16" t="s">
        <v>7222</v>
      </c>
      <c r="R5451" s="6"/>
      <c r="S5451" s="298"/>
    </row>
    <row r="5452" spans="14:19" hidden="1" x14ac:dyDescent="0.25">
      <c r="N5452" s="17">
        <v>744.79999999991696</v>
      </c>
      <c r="O5452" s="16" t="s">
        <v>7223</v>
      </c>
      <c r="R5452" s="6"/>
      <c r="S5452" s="298"/>
    </row>
    <row r="5453" spans="14:19" hidden="1" x14ac:dyDescent="0.25">
      <c r="N5453" s="17">
        <v>744.89999999991699</v>
      </c>
      <c r="O5453" s="16" t="s">
        <v>5145</v>
      </c>
      <c r="R5453" s="6"/>
      <c r="S5453" s="298"/>
    </row>
    <row r="5454" spans="14:19" hidden="1" x14ac:dyDescent="0.25">
      <c r="N5454" s="17">
        <v>744.99999999991599</v>
      </c>
      <c r="O5454" s="16" t="s">
        <v>7224</v>
      </c>
      <c r="R5454" s="6"/>
      <c r="S5454" s="298"/>
    </row>
    <row r="5455" spans="14:19" hidden="1" x14ac:dyDescent="0.25">
      <c r="N5455" s="17">
        <v>745.09999999991601</v>
      </c>
      <c r="O5455" s="16" t="s">
        <v>7225</v>
      </c>
      <c r="R5455" s="6"/>
      <c r="S5455" s="298"/>
    </row>
    <row r="5456" spans="14:19" hidden="1" x14ac:dyDescent="0.25">
      <c r="N5456" s="17">
        <v>745.19999999991603</v>
      </c>
      <c r="O5456" s="16" t="s">
        <v>7226</v>
      </c>
      <c r="R5456" s="6"/>
      <c r="S5456" s="298"/>
    </row>
    <row r="5457" spans="14:19" hidden="1" x14ac:dyDescent="0.25">
      <c r="N5457" s="17">
        <v>745.29999999991605</v>
      </c>
      <c r="O5457" s="16" t="s">
        <v>7227</v>
      </c>
      <c r="R5457" s="6"/>
      <c r="S5457" s="298"/>
    </row>
    <row r="5458" spans="14:19" hidden="1" x14ac:dyDescent="0.25">
      <c r="N5458" s="17">
        <v>745.39999999991596</v>
      </c>
      <c r="O5458" s="16" t="s">
        <v>7228</v>
      </c>
      <c r="R5458" s="6"/>
      <c r="S5458" s="298"/>
    </row>
    <row r="5459" spans="14:19" hidden="1" x14ac:dyDescent="0.25">
      <c r="N5459" s="17">
        <v>745.49999999991599</v>
      </c>
      <c r="O5459" s="16" t="s">
        <v>7229</v>
      </c>
      <c r="R5459" s="6"/>
      <c r="S5459" s="298"/>
    </row>
    <row r="5460" spans="14:19" hidden="1" x14ac:dyDescent="0.25">
      <c r="N5460" s="17">
        <v>745.59999999991601</v>
      </c>
      <c r="O5460" s="16" t="s">
        <v>7230</v>
      </c>
      <c r="R5460" s="6"/>
      <c r="S5460" s="298"/>
    </row>
    <row r="5461" spans="14:19" hidden="1" x14ac:dyDescent="0.25">
      <c r="N5461" s="17">
        <v>745.69999999991603</v>
      </c>
      <c r="O5461" s="16" t="s">
        <v>7231</v>
      </c>
      <c r="R5461" s="6"/>
      <c r="S5461" s="298"/>
    </row>
    <row r="5462" spans="14:19" hidden="1" x14ac:dyDescent="0.25">
      <c r="N5462" s="17">
        <v>745.79999999991605</v>
      </c>
      <c r="O5462" s="16" t="s">
        <v>7232</v>
      </c>
      <c r="R5462" s="6"/>
      <c r="S5462" s="298"/>
    </row>
    <row r="5463" spans="14:19" hidden="1" x14ac:dyDescent="0.25">
      <c r="N5463" s="17">
        <v>745.89999999991596</v>
      </c>
      <c r="O5463" s="16" t="s">
        <v>7233</v>
      </c>
      <c r="R5463" s="6"/>
      <c r="S5463" s="298"/>
    </row>
    <row r="5464" spans="14:19" hidden="1" x14ac:dyDescent="0.25">
      <c r="N5464" s="17">
        <v>745.99999999991599</v>
      </c>
      <c r="O5464" s="16" t="s">
        <v>7234</v>
      </c>
      <c r="R5464" s="6"/>
      <c r="S5464" s="298"/>
    </row>
    <row r="5465" spans="14:19" hidden="1" x14ac:dyDescent="0.25">
      <c r="N5465" s="17">
        <v>746.09999999991601</v>
      </c>
      <c r="O5465" s="16" t="s">
        <v>7235</v>
      </c>
      <c r="R5465" s="6"/>
      <c r="S5465" s="298"/>
    </row>
    <row r="5466" spans="14:19" hidden="1" x14ac:dyDescent="0.25">
      <c r="N5466" s="17">
        <v>746.19999999991603</v>
      </c>
      <c r="O5466" s="16" t="s">
        <v>7236</v>
      </c>
      <c r="R5466" s="6"/>
      <c r="S5466" s="298"/>
    </row>
    <row r="5467" spans="14:19" hidden="1" x14ac:dyDescent="0.25">
      <c r="N5467" s="17">
        <v>746.29999999991605</v>
      </c>
      <c r="O5467" s="16" t="s">
        <v>7237</v>
      </c>
      <c r="R5467" s="6"/>
      <c r="S5467" s="298"/>
    </row>
    <row r="5468" spans="14:19" hidden="1" x14ac:dyDescent="0.25">
      <c r="N5468" s="17">
        <v>746.39999999991596</v>
      </c>
      <c r="O5468" s="16" t="s">
        <v>7238</v>
      </c>
      <c r="R5468" s="6"/>
      <c r="S5468" s="298"/>
    </row>
    <row r="5469" spans="14:19" hidden="1" x14ac:dyDescent="0.25">
      <c r="N5469" s="17">
        <v>746.49999999991599</v>
      </c>
      <c r="O5469" s="16" t="s">
        <v>7239</v>
      </c>
      <c r="R5469" s="6"/>
      <c r="S5469" s="298"/>
    </row>
    <row r="5470" spans="14:19" hidden="1" x14ac:dyDescent="0.25">
      <c r="N5470" s="17">
        <v>746.59999999991601</v>
      </c>
      <c r="O5470" s="16" t="s">
        <v>7240</v>
      </c>
      <c r="R5470" s="6"/>
      <c r="S5470" s="298"/>
    </row>
    <row r="5471" spans="14:19" hidden="1" x14ac:dyDescent="0.25">
      <c r="N5471" s="17">
        <v>746.69999999991603</v>
      </c>
      <c r="O5471" s="16" t="s">
        <v>7241</v>
      </c>
      <c r="R5471" s="6"/>
      <c r="S5471" s="298"/>
    </row>
    <row r="5472" spans="14:19" hidden="1" x14ac:dyDescent="0.25">
      <c r="N5472" s="17">
        <v>746.79999999991605</v>
      </c>
      <c r="O5472" s="16" t="s">
        <v>7242</v>
      </c>
      <c r="R5472" s="6"/>
      <c r="S5472" s="298"/>
    </row>
    <row r="5473" spans="14:19" hidden="1" x14ac:dyDescent="0.25">
      <c r="N5473" s="17">
        <v>746.89999999991596</v>
      </c>
      <c r="O5473" s="16" t="s">
        <v>7243</v>
      </c>
      <c r="R5473" s="6"/>
      <c r="S5473" s="298"/>
    </row>
    <row r="5474" spans="14:19" hidden="1" x14ac:dyDescent="0.25">
      <c r="N5474" s="17">
        <v>746.99999999991599</v>
      </c>
      <c r="O5474" s="16" t="s">
        <v>7244</v>
      </c>
      <c r="R5474" s="6"/>
      <c r="S5474" s="298"/>
    </row>
    <row r="5475" spans="14:19" hidden="1" x14ac:dyDescent="0.25">
      <c r="N5475" s="17">
        <v>747.09999999991601</v>
      </c>
      <c r="O5475" s="16" t="s">
        <v>7245</v>
      </c>
      <c r="R5475" s="6"/>
      <c r="S5475" s="298"/>
    </row>
    <row r="5476" spans="14:19" hidden="1" x14ac:dyDescent="0.25">
      <c r="N5476" s="17">
        <v>747.19999999991603</v>
      </c>
      <c r="O5476" s="16" t="s">
        <v>7246</v>
      </c>
      <c r="R5476" s="6"/>
      <c r="S5476" s="298"/>
    </row>
    <row r="5477" spans="14:19" hidden="1" x14ac:dyDescent="0.25">
      <c r="N5477" s="17">
        <v>747.29999999991605</v>
      </c>
      <c r="O5477" s="16" t="s">
        <v>7247</v>
      </c>
      <c r="R5477" s="6"/>
      <c r="S5477" s="298"/>
    </row>
    <row r="5478" spans="14:19" hidden="1" x14ac:dyDescent="0.25">
      <c r="N5478" s="17">
        <v>747.39999999991596</v>
      </c>
      <c r="O5478" s="16" t="s">
        <v>7248</v>
      </c>
      <c r="R5478" s="6"/>
      <c r="S5478" s="298"/>
    </row>
    <row r="5479" spans="14:19" hidden="1" x14ac:dyDescent="0.25">
      <c r="N5479" s="17">
        <v>747.49999999991599</v>
      </c>
      <c r="O5479" s="16" t="s">
        <v>3018</v>
      </c>
      <c r="R5479" s="6"/>
      <c r="S5479" s="298"/>
    </row>
    <row r="5480" spans="14:19" hidden="1" x14ac:dyDescent="0.25">
      <c r="N5480" s="17">
        <v>747.59999999991601</v>
      </c>
      <c r="O5480" s="16" t="s">
        <v>3019</v>
      </c>
      <c r="R5480" s="6"/>
      <c r="S5480" s="298"/>
    </row>
    <row r="5481" spans="14:19" hidden="1" x14ac:dyDescent="0.25">
      <c r="N5481" s="17">
        <v>747.69999999991603</v>
      </c>
      <c r="O5481" s="16" t="s">
        <v>5150</v>
      </c>
      <c r="R5481" s="6"/>
      <c r="S5481" s="298"/>
    </row>
    <row r="5482" spans="14:19" hidden="1" x14ac:dyDescent="0.25">
      <c r="N5482" s="17">
        <v>747.79999999991605</v>
      </c>
      <c r="O5482" s="16" t="s">
        <v>5151</v>
      </c>
      <c r="R5482" s="6"/>
      <c r="S5482" s="298"/>
    </row>
    <row r="5483" spans="14:19" hidden="1" x14ac:dyDescent="0.25">
      <c r="N5483" s="17">
        <v>747.89999999991505</v>
      </c>
      <c r="O5483" s="16" t="s">
        <v>5152</v>
      </c>
      <c r="R5483" s="6"/>
      <c r="S5483" s="298"/>
    </row>
    <row r="5484" spans="14:19" hidden="1" x14ac:dyDescent="0.25">
      <c r="N5484" s="17">
        <v>747.99999999991496</v>
      </c>
      <c r="O5484" s="16" t="s">
        <v>5153</v>
      </c>
      <c r="R5484" s="6"/>
      <c r="S5484" s="298"/>
    </row>
    <row r="5485" spans="14:19" hidden="1" x14ac:dyDescent="0.25">
      <c r="N5485" s="17">
        <v>748.09999999991498</v>
      </c>
      <c r="O5485" s="16" t="s">
        <v>762</v>
      </c>
      <c r="R5485" s="6"/>
      <c r="S5485" s="298"/>
    </row>
    <row r="5486" spans="14:19" hidden="1" x14ac:dyDescent="0.25">
      <c r="N5486" s="17">
        <v>748.19999999991501</v>
      </c>
      <c r="O5486" s="16" t="s">
        <v>763</v>
      </c>
      <c r="R5486" s="6"/>
      <c r="S5486" s="298"/>
    </row>
    <row r="5487" spans="14:19" hidden="1" x14ac:dyDescent="0.25">
      <c r="N5487" s="17">
        <v>748.29999999991503</v>
      </c>
      <c r="O5487" s="16" t="s">
        <v>764</v>
      </c>
      <c r="R5487" s="6"/>
      <c r="S5487" s="298"/>
    </row>
    <row r="5488" spans="14:19" hidden="1" x14ac:dyDescent="0.25">
      <c r="N5488" s="17">
        <v>748.39999999991505</v>
      </c>
      <c r="O5488" s="16" t="s">
        <v>765</v>
      </c>
      <c r="R5488" s="6"/>
      <c r="S5488" s="298"/>
    </row>
    <row r="5489" spans="14:19" hidden="1" x14ac:dyDescent="0.25">
      <c r="N5489" s="17">
        <v>748.49999999991496</v>
      </c>
      <c r="O5489" s="16" t="s">
        <v>766</v>
      </c>
      <c r="R5489" s="6"/>
      <c r="S5489" s="298"/>
    </row>
    <row r="5490" spans="14:19" hidden="1" x14ac:dyDescent="0.25">
      <c r="N5490" s="17">
        <v>748.59999999991498</v>
      </c>
      <c r="O5490" s="16" t="s">
        <v>767</v>
      </c>
      <c r="R5490" s="6"/>
      <c r="S5490" s="298"/>
    </row>
    <row r="5491" spans="14:19" hidden="1" x14ac:dyDescent="0.25">
      <c r="N5491" s="17">
        <v>748.69999999991501</v>
      </c>
      <c r="O5491" s="16" t="s">
        <v>768</v>
      </c>
      <c r="R5491" s="6"/>
      <c r="S5491" s="298"/>
    </row>
    <row r="5492" spans="14:19" hidden="1" x14ac:dyDescent="0.25">
      <c r="N5492" s="17">
        <v>748.79999999991503</v>
      </c>
      <c r="O5492" s="16" t="s">
        <v>769</v>
      </c>
      <c r="R5492" s="6"/>
      <c r="S5492" s="298"/>
    </row>
    <row r="5493" spans="14:19" hidden="1" x14ac:dyDescent="0.25">
      <c r="N5493" s="17">
        <v>748.89999999991505</v>
      </c>
      <c r="O5493" s="16" t="s">
        <v>770</v>
      </c>
      <c r="R5493" s="6"/>
      <c r="S5493" s="298"/>
    </row>
    <row r="5494" spans="14:19" hidden="1" x14ac:dyDescent="0.25">
      <c r="N5494" s="17">
        <v>748.99999999991496</v>
      </c>
      <c r="O5494" s="16" t="s">
        <v>771</v>
      </c>
      <c r="R5494" s="6"/>
      <c r="S5494" s="298"/>
    </row>
    <row r="5495" spans="14:19" hidden="1" x14ac:dyDescent="0.25">
      <c r="N5495" s="17">
        <v>749.09999999991498</v>
      </c>
      <c r="O5495" s="16" t="s">
        <v>772</v>
      </c>
      <c r="R5495" s="6"/>
      <c r="S5495" s="298"/>
    </row>
    <row r="5496" spans="14:19" hidden="1" x14ac:dyDescent="0.25">
      <c r="N5496" s="17">
        <v>749.19999999991501</v>
      </c>
      <c r="O5496" s="16" t="s">
        <v>773</v>
      </c>
      <c r="R5496" s="6"/>
      <c r="S5496" s="298"/>
    </row>
    <row r="5497" spans="14:19" hidden="1" x14ac:dyDescent="0.25">
      <c r="N5497" s="17">
        <v>749.29999999991503</v>
      </c>
      <c r="O5497" s="16" t="s">
        <v>774</v>
      </c>
      <c r="R5497" s="6"/>
      <c r="S5497" s="298"/>
    </row>
    <row r="5498" spans="14:19" hidden="1" x14ac:dyDescent="0.25">
      <c r="N5498" s="17">
        <v>749.39999999991505</v>
      </c>
      <c r="O5498" s="16" t="s">
        <v>775</v>
      </c>
      <c r="R5498" s="6"/>
      <c r="S5498" s="298"/>
    </row>
    <row r="5499" spans="14:19" hidden="1" x14ac:dyDescent="0.25">
      <c r="N5499" s="17">
        <v>749.49999999991496</v>
      </c>
      <c r="O5499" s="16" t="s">
        <v>776</v>
      </c>
      <c r="R5499" s="6"/>
      <c r="S5499" s="298"/>
    </row>
    <row r="5500" spans="14:19" hidden="1" x14ac:dyDescent="0.25">
      <c r="N5500" s="17">
        <v>749.59999999991498</v>
      </c>
      <c r="O5500" s="16" t="s">
        <v>777</v>
      </c>
      <c r="R5500" s="6"/>
      <c r="S5500" s="298"/>
    </row>
    <row r="5501" spans="14:19" hidden="1" x14ac:dyDescent="0.25">
      <c r="N5501" s="17">
        <v>749.69999999991501</v>
      </c>
      <c r="O5501" s="16" t="s">
        <v>778</v>
      </c>
      <c r="R5501" s="6"/>
      <c r="S5501" s="298"/>
    </row>
    <row r="5502" spans="14:19" hidden="1" x14ac:dyDescent="0.25">
      <c r="N5502" s="17">
        <v>749.79999999991503</v>
      </c>
      <c r="O5502" s="16" t="s">
        <v>779</v>
      </c>
      <c r="R5502" s="6"/>
      <c r="S5502" s="298"/>
    </row>
    <row r="5503" spans="14:19" hidden="1" x14ac:dyDescent="0.25">
      <c r="N5503" s="17">
        <v>749.89999999991505</v>
      </c>
      <c r="O5503" s="16" t="s">
        <v>780</v>
      </c>
      <c r="R5503" s="6"/>
      <c r="S5503" s="298"/>
    </row>
    <row r="5504" spans="14:19" hidden="1" x14ac:dyDescent="0.25">
      <c r="N5504" s="17">
        <v>749.99999999991496</v>
      </c>
      <c r="O5504" s="16" t="s">
        <v>781</v>
      </c>
      <c r="R5504" s="6"/>
      <c r="S5504" s="298"/>
    </row>
    <row r="5505" spans="14:19" hidden="1" x14ac:dyDescent="0.25">
      <c r="N5505" s="17">
        <v>750.09999999991498</v>
      </c>
      <c r="O5505" s="16" t="s">
        <v>782</v>
      </c>
      <c r="R5505" s="6"/>
      <c r="S5505" s="298"/>
    </row>
    <row r="5506" spans="14:19" hidden="1" x14ac:dyDescent="0.25">
      <c r="N5506" s="17">
        <v>750.19999999991501</v>
      </c>
      <c r="O5506" s="16" t="s">
        <v>3020</v>
      </c>
      <c r="R5506" s="6"/>
      <c r="S5506" s="298"/>
    </row>
    <row r="5507" spans="14:19" hidden="1" x14ac:dyDescent="0.25">
      <c r="N5507" s="17">
        <v>750.29999999991503</v>
      </c>
      <c r="O5507" s="16" t="s">
        <v>3021</v>
      </c>
      <c r="R5507" s="6"/>
      <c r="S5507" s="298"/>
    </row>
    <row r="5508" spans="14:19" hidden="1" x14ac:dyDescent="0.25">
      <c r="N5508" s="17">
        <v>750.39999999991505</v>
      </c>
      <c r="O5508" s="16" t="s">
        <v>3022</v>
      </c>
      <c r="R5508" s="6"/>
      <c r="S5508" s="298"/>
    </row>
    <row r="5509" spans="14:19" hidden="1" x14ac:dyDescent="0.25">
      <c r="N5509" s="17">
        <v>750.49999999991496</v>
      </c>
      <c r="O5509" s="16" t="s">
        <v>3023</v>
      </c>
      <c r="R5509" s="6"/>
      <c r="S5509" s="298"/>
    </row>
    <row r="5510" spans="14:19" hidden="1" x14ac:dyDescent="0.25">
      <c r="N5510" s="17">
        <v>750.59999999991498</v>
      </c>
      <c r="O5510" s="16" t="s">
        <v>3024</v>
      </c>
      <c r="R5510" s="6"/>
      <c r="S5510" s="298"/>
    </row>
    <row r="5511" spans="14:19" hidden="1" x14ac:dyDescent="0.25">
      <c r="N5511" s="17">
        <v>750.69999999991501</v>
      </c>
      <c r="O5511" s="16" t="s">
        <v>3025</v>
      </c>
      <c r="R5511" s="6"/>
      <c r="S5511" s="298"/>
    </row>
    <row r="5512" spans="14:19" hidden="1" x14ac:dyDescent="0.25">
      <c r="N5512" s="17">
        <v>750.79999999991401</v>
      </c>
      <c r="O5512" s="16" t="s">
        <v>3026</v>
      </c>
      <c r="R5512" s="6"/>
      <c r="S5512" s="298"/>
    </row>
    <row r="5513" spans="14:19" hidden="1" x14ac:dyDescent="0.25">
      <c r="N5513" s="17">
        <v>750.89999999991403</v>
      </c>
      <c r="O5513" s="16" t="s">
        <v>3027</v>
      </c>
      <c r="R5513" s="6"/>
      <c r="S5513" s="298"/>
    </row>
    <row r="5514" spans="14:19" hidden="1" x14ac:dyDescent="0.25">
      <c r="N5514" s="17">
        <v>750.99999999991405</v>
      </c>
      <c r="O5514" s="16" t="s">
        <v>3028</v>
      </c>
      <c r="R5514" s="6"/>
      <c r="S5514" s="298"/>
    </row>
    <row r="5515" spans="14:19" hidden="1" x14ac:dyDescent="0.25">
      <c r="N5515" s="17">
        <v>751.09999999991396</v>
      </c>
      <c r="O5515" s="16" t="s">
        <v>3029</v>
      </c>
      <c r="R5515" s="6"/>
      <c r="S5515" s="298"/>
    </row>
    <row r="5516" spans="14:19" hidden="1" x14ac:dyDescent="0.25">
      <c r="N5516" s="17">
        <v>751.19999999991398</v>
      </c>
      <c r="O5516" s="16" t="s">
        <v>3030</v>
      </c>
      <c r="R5516" s="6"/>
      <c r="S5516" s="298"/>
    </row>
    <row r="5517" spans="14:19" hidden="1" x14ac:dyDescent="0.25">
      <c r="N5517" s="17">
        <v>751.29999999991401</v>
      </c>
      <c r="O5517" s="16" t="s">
        <v>3031</v>
      </c>
      <c r="R5517" s="6"/>
      <c r="S5517" s="298"/>
    </row>
    <row r="5518" spans="14:19" hidden="1" x14ac:dyDescent="0.25">
      <c r="N5518" s="17">
        <v>751.39999999991403</v>
      </c>
      <c r="O5518" s="16" t="s">
        <v>3032</v>
      </c>
      <c r="R5518" s="6"/>
      <c r="S5518" s="298"/>
    </row>
    <row r="5519" spans="14:19" hidden="1" x14ac:dyDescent="0.25">
      <c r="N5519" s="17">
        <v>751.49999999991405</v>
      </c>
      <c r="O5519" s="16" t="s">
        <v>3033</v>
      </c>
      <c r="R5519" s="6"/>
      <c r="S5519" s="298"/>
    </row>
    <row r="5520" spans="14:19" hidden="1" x14ac:dyDescent="0.25">
      <c r="N5520" s="17">
        <v>751.59999999991396</v>
      </c>
      <c r="O5520" s="16" t="s">
        <v>3034</v>
      </c>
      <c r="R5520" s="6"/>
      <c r="S5520" s="298"/>
    </row>
    <row r="5521" spans="14:19" hidden="1" x14ac:dyDescent="0.25">
      <c r="N5521" s="17">
        <v>751.69999999991398</v>
      </c>
      <c r="O5521" s="16" t="s">
        <v>3035</v>
      </c>
      <c r="R5521" s="6"/>
      <c r="S5521" s="298"/>
    </row>
    <row r="5522" spans="14:19" hidden="1" x14ac:dyDescent="0.25">
      <c r="N5522" s="17">
        <v>751.79999999991401</v>
      </c>
      <c r="O5522" s="16" t="s">
        <v>3036</v>
      </c>
      <c r="R5522" s="6"/>
      <c r="S5522" s="298"/>
    </row>
    <row r="5523" spans="14:19" hidden="1" x14ac:dyDescent="0.25">
      <c r="N5523" s="17">
        <v>751.89999999991403</v>
      </c>
      <c r="O5523" s="16" t="s">
        <v>3037</v>
      </c>
      <c r="R5523" s="6"/>
      <c r="S5523" s="298"/>
    </row>
    <row r="5524" spans="14:19" hidden="1" x14ac:dyDescent="0.25">
      <c r="N5524" s="17">
        <v>751.99999999991405</v>
      </c>
      <c r="O5524" s="16" t="s">
        <v>3038</v>
      </c>
      <c r="R5524" s="6"/>
      <c r="S5524" s="298"/>
    </row>
    <row r="5525" spans="14:19" hidden="1" x14ac:dyDescent="0.25">
      <c r="N5525" s="17">
        <v>752.09999999991396</v>
      </c>
      <c r="O5525" s="16" t="s">
        <v>3039</v>
      </c>
      <c r="R5525" s="6"/>
      <c r="S5525" s="298"/>
    </row>
    <row r="5526" spans="14:19" hidden="1" x14ac:dyDescent="0.25">
      <c r="N5526" s="17">
        <v>752.19999999991398</v>
      </c>
      <c r="O5526" s="16" t="s">
        <v>3040</v>
      </c>
      <c r="R5526" s="6"/>
      <c r="S5526" s="298"/>
    </row>
    <row r="5527" spans="14:19" hidden="1" x14ac:dyDescent="0.25">
      <c r="N5527" s="17">
        <v>752.29999999991401</v>
      </c>
      <c r="O5527" s="16" t="s">
        <v>3041</v>
      </c>
      <c r="R5527" s="6"/>
      <c r="S5527" s="298"/>
    </row>
    <row r="5528" spans="14:19" hidden="1" x14ac:dyDescent="0.25">
      <c r="N5528" s="17">
        <v>752.39999999991403</v>
      </c>
      <c r="O5528" s="16" t="s">
        <v>3042</v>
      </c>
      <c r="R5528" s="6"/>
      <c r="S5528" s="298"/>
    </row>
    <row r="5529" spans="14:19" hidden="1" x14ac:dyDescent="0.25">
      <c r="N5529" s="17">
        <v>752.49999999991405</v>
      </c>
      <c r="O5529" s="16" t="s">
        <v>3043</v>
      </c>
      <c r="R5529" s="6"/>
      <c r="S5529" s="298"/>
    </row>
    <row r="5530" spans="14:19" hidden="1" x14ac:dyDescent="0.25">
      <c r="N5530" s="17">
        <v>752.59999999991396</v>
      </c>
      <c r="O5530" s="16" t="s">
        <v>3044</v>
      </c>
      <c r="R5530" s="6"/>
      <c r="S5530" s="298"/>
    </row>
    <row r="5531" spans="14:19" hidden="1" x14ac:dyDescent="0.25">
      <c r="N5531" s="17">
        <v>752.69999999991398</v>
      </c>
      <c r="O5531" s="16" t="s">
        <v>3045</v>
      </c>
      <c r="R5531" s="6"/>
      <c r="S5531" s="298"/>
    </row>
    <row r="5532" spans="14:19" hidden="1" x14ac:dyDescent="0.25">
      <c r="N5532" s="17">
        <v>752.79999999991401</v>
      </c>
      <c r="O5532" s="16" t="s">
        <v>3046</v>
      </c>
      <c r="R5532" s="6"/>
      <c r="S5532" s="298"/>
    </row>
    <row r="5533" spans="14:19" hidden="1" x14ac:dyDescent="0.25">
      <c r="N5533" s="17">
        <v>752.89999999991403</v>
      </c>
      <c r="O5533" s="16" t="s">
        <v>3047</v>
      </c>
      <c r="R5533" s="6"/>
      <c r="S5533" s="298"/>
    </row>
    <row r="5534" spans="14:19" hidden="1" x14ac:dyDescent="0.25">
      <c r="N5534" s="17">
        <v>752.99999999991405</v>
      </c>
      <c r="O5534" s="16" t="s">
        <v>3048</v>
      </c>
      <c r="R5534" s="6"/>
      <c r="S5534" s="298"/>
    </row>
    <row r="5535" spans="14:19" hidden="1" x14ac:dyDescent="0.25">
      <c r="N5535" s="17">
        <v>753.09999999991396</v>
      </c>
      <c r="O5535" s="16" t="s">
        <v>3049</v>
      </c>
      <c r="R5535" s="6"/>
      <c r="S5535" s="298"/>
    </row>
    <row r="5536" spans="14:19" hidden="1" x14ac:dyDescent="0.25">
      <c r="N5536" s="17">
        <v>753.19999999991398</v>
      </c>
      <c r="O5536" s="16" t="s">
        <v>3050</v>
      </c>
      <c r="R5536" s="6"/>
      <c r="S5536" s="298"/>
    </row>
    <row r="5537" spans="14:19" hidden="1" x14ac:dyDescent="0.25">
      <c r="N5537" s="17">
        <v>753.29999999991401</v>
      </c>
      <c r="O5537" s="16" t="s">
        <v>5188</v>
      </c>
      <c r="R5537" s="6"/>
      <c r="S5537" s="298"/>
    </row>
    <row r="5538" spans="14:19" hidden="1" x14ac:dyDescent="0.25">
      <c r="N5538" s="17">
        <v>753.39999999991403</v>
      </c>
      <c r="O5538" s="16" t="s">
        <v>5189</v>
      </c>
      <c r="R5538" s="6"/>
      <c r="S5538" s="298"/>
    </row>
    <row r="5539" spans="14:19" hidden="1" x14ac:dyDescent="0.25">
      <c r="N5539" s="17">
        <v>753.49999999991405</v>
      </c>
      <c r="O5539" s="16" t="s">
        <v>5190</v>
      </c>
      <c r="R5539" s="6"/>
      <c r="S5539" s="298"/>
    </row>
    <row r="5540" spans="14:19" hidden="1" x14ac:dyDescent="0.25">
      <c r="N5540" s="17">
        <v>753.59999999991396</v>
      </c>
      <c r="O5540" s="16" t="s">
        <v>5191</v>
      </c>
      <c r="R5540" s="6"/>
      <c r="S5540" s="298"/>
    </row>
    <row r="5541" spans="14:19" hidden="1" x14ac:dyDescent="0.25">
      <c r="N5541" s="17">
        <v>753.69999999991398</v>
      </c>
      <c r="O5541" s="16" t="s">
        <v>7266</v>
      </c>
      <c r="R5541" s="6"/>
      <c r="S5541" s="298"/>
    </row>
    <row r="5542" spans="14:19" hidden="1" x14ac:dyDescent="0.25">
      <c r="N5542" s="17">
        <v>753.79999999991298</v>
      </c>
      <c r="O5542" s="16" t="s">
        <v>7267</v>
      </c>
      <c r="R5542" s="6"/>
      <c r="S5542" s="298"/>
    </row>
    <row r="5543" spans="14:19" hidden="1" x14ac:dyDescent="0.25">
      <c r="N5543" s="17">
        <v>753.89999999991301</v>
      </c>
      <c r="O5543" s="16" t="s">
        <v>7268</v>
      </c>
      <c r="R5543" s="6"/>
      <c r="S5543" s="298"/>
    </row>
    <row r="5544" spans="14:19" hidden="1" x14ac:dyDescent="0.25">
      <c r="N5544" s="17">
        <v>753.99999999991303</v>
      </c>
      <c r="O5544" s="16" t="s">
        <v>3069</v>
      </c>
      <c r="R5544" s="6"/>
      <c r="S5544" s="298"/>
    </row>
    <row r="5545" spans="14:19" hidden="1" x14ac:dyDescent="0.25">
      <c r="N5545" s="17">
        <v>754.09999999991305</v>
      </c>
      <c r="O5545" s="16" t="s">
        <v>3070</v>
      </c>
      <c r="R5545" s="6"/>
      <c r="S5545" s="298"/>
    </row>
    <row r="5546" spans="14:19" hidden="1" x14ac:dyDescent="0.25">
      <c r="N5546" s="17">
        <v>754.19999999991296</v>
      </c>
      <c r="O5546" s="16" t="s">
        <v>3071</v>
      </c>
      <c r="R5546" s="6"/>
      <c r="S5546" s="298"/>
    </row>
    <row r="5547" spans="14:19" hidden="1" x14ac:dyDescent="0.25">
      <c r="N5547" s="17">
        <v>754.29999999991298</v>
      </c>
      <c r="O5547" s="16" t="s">
        <v>3072</v>
      </c>
      <c r="R5547" s="6"/>
      <c r="S5547" s="298"/>
    </row>
    <row r="5548" spans="14:19" hidden="1" x14ac:dyDescent="0.25">
      <c r="N5548" s="17">
        <v>754.39999999991301</v>
      </c>
      <c r="O5548" s="16" t="s">
        <v>3073</v>
      </c>
      <c r="R5548" s="6"/>
      <c r="S5548" s="298"/>
    </row>
    <row r="5549" spans="14:19" hidden="1" x14ac:dyDescent="0.25">
      <c r="N5549" s="17">
        <v>754.49999999991303</v>
      </c>
      <c r="O5549" s="16" t="s">
        <v>3074</v>
      </c>
      <c r="R5549" s="6"/>
      <c r="S5549" s="298"/>
    </row>
    <row r="5550" spans="14:19" hidden="1" x14ac:dyDescent="0.25">
      <c r="N5550" s="17">
        <v>754.59999999991305</v>
      </c>
      <c r="O5550" s="16" t="s">
        <v>3075</v>
      </c>
      <c r="R5550" s="6"/>
      <c r="S5550" s="298"/>
    </row>
    <row r="5551" spans="14:19" hidden="1" x14ac:dyDescent="0.25">
      <c r="N5551" s="17">
        <v>754.69999999991296</v>
      </c>
      <c r="O5551" s="16" t="s">
        <v>3076</v>
      </c>
      <c r="R5551" s="6"/>
      <c r="S5551" s="298"/>
    </row>
    <row r="5552" spans="14:19" hidden="1" x14ac:dyDescent="0.25">
      <c r="N5552" s="17">
        <v>754.79999999991298</v>
      </c>
      <c r="O5552" s="16" t="s">
        <v>3077</v>
      </c>
      <c r="R5552" s="6"/>
      <c r="S5552" s="298"/>
    </row>
    <row r="5553" spans="14:19" hidden="1" x14ac:dyDescent="0.25">
      <c r="N5553" s="17">
        <v>754.89999999991301</v>
      </c>
      <c r="O5553" s="16" t="s">
        <v>3078</v>
      </c>
      <c r="R5553" s="6"/>
      <c r="S5553" s="298"/>
    </row>
    <row r="5554" spans="14:19" hidden="1" x14ac:dyDescent="0.25">
      <c r="N5554" s="17">
        <v>754.99999999991303</v>
      </c>
      <c r="O5554" s="16" t="s">
        <v>3079</v>
      </c>
      <c r="R5554" s="6"/>
      <c r="S5554" s="298"/>
    </row>
    <row r="5555" spans="14:19" hidden="1" x14ac:dyDescent="0.25">
      <c r="N5555" s="17">
        <v>755.09999999991305</v>
      </c>
      <c r="O5555" s="16" t="s">
        <v>3080</v>
      </c>
      <c r="R5555" s="6"/>
      <c r="S5555" s="298"/>
    </row>
    <row r="5556" spans="14:19" hidden="1" x14ac:dyDescent="0.25">
      <c r="N5556" s="17">
        <v>755.19999999991296</v>
      </c>
      <c r="O5556" s="16" t="s">
        <v>3081</v>
      </c>
      <c r="R5556" s="6"/>
      <c r="S5556" s="298"/>
    </row>
    <row r="5557" spans="14:19" hidden="1" x14ac:dyDescent="0.25">
      <c r="N5557" s="17">
        <v>755.29999999991298</v>
      </c>
      <c r="O5557" s="16" t="s">
        <v>3082</v>
      </c>
      <c r="R5557" s="6"/>
      <c r="S5557" s="298"/>
    </row>
    <row r="5558" spans="14:19" hidden="1" x14ac:dyDescent="0.25">
      <c r="N5558" s="17">
        <v>755.39999999991301</v>
      </c>
      <c r="O5558" s="16" t="s">
        <v>3083</v>
      </c>
      <c r="R5558" s="6"/>
      <c r="S5558" s="298"/>
    </row>
    <row r="5559" spans="14:19" hidden="1" x14ac:dyDescent="0.25">
      <c r="N5559" s="17">
        <v>755.49999999991303</v>
      </c>
      <c r="O5559" s="16" t="s">
        <v>3084</v>
      </c>
      <c r="R5559" s="6"/>
      <c r="S5559" s="298"/>
    </row>
    <row r="5560" spans="14:19" hidden="1" x14ac:dyDescent="0.25">
      <c r="N5560" s="17">
        <v>755.59999999991305</v>
      </c>
      <c r="O5560" s="16" t="s">
        <v>3085</v>
      </c>
      <c r="R5560" s="6"/>
      <c r="S5560" s="298"/>
    </row>
    <row r="5561" spans="14:19" hidden="1" x14ac:dyDescent="0.25">
      <c r="N5561" s="17">
        <v>755.69999999991296</v>
      </c>
      <c r="O5561" s="16" t="s">
        <v>3086</v>
      </c>
      <c r="R5561" s="6"/>
      <c r="S5561" s="298"/>
    </row>
    <row r="5562" spans="14:19" hidden="1" x14ac:dyDescent="0.25">
      <c r="N5562" s="17">
        <v>755.79999999991298</v>
      </c>
      <c r="O5562" s="16" t="s">
        <v>3087</v>
      </c>
      <c r="R5562" s="6"/>
      <c r="S5562" s="298"/>
    </row>
    <row r="5563" spans="14:19" hidden="1" x14ac:dyDescent="0.25">
      <c r="N5563" s="17">
        <v>755.89999999991301</v>
      </c>
      <c r="O5563" s="16" t="s">
        <v>3088</v>
      </c>
      <c r="R5563" s="6"/>
      <c r="S5563" s="298"/>
    </row>
    <row r="5564" spans="14:19" hidden="1" x14ac:dyDescent="0.25">
      <c r="N5564" s="17">
        <v>755.99999999991303</v>
      </c>
      <c r="O5564" s="16" t="s">
        <v>3089</v>
      </c>
      <c r="R5564" s="6"/>
      <c r="S5564" s="298"/>
    </row>
    <row r="5565" spans="14:19" hidden="1" x14ac:dyDescent="0.25">
      <c r="N5565" s="17">
        <v>756.09999999991305</v>
      </c>
      <c r="O5565" s="16" t="s">
        <v>3090</v>
      </c>
      <c r="R5565" s="6"/>
      <c r="S5565" s="298"/>
    </row>
    <row r="5566" spans="14:19" hidden="1" x14ac:dyDescent="0.25">
      <c r="N5566" s="17">
        <v>756.19999999991296</v>
      </c>
      <c r="O5566" s="16" t="s">
        <v>3091</v>
      </c>
      <c r="R5566" s="6"/>
      <c r="S5566" s="298"/>
    </row>
    <row r="5567" spans="14:19" hidden="1" x14ac:dyDescent="0.25">
      <c r="N5567" s="17">
        <v>756.29999999991298</v>
      </c>
      <c r="O5567" s="16" t="s">
        <v>3092</v>
      </c>
      <c r="R5567" s="6"/>
      <c r="S5567" s="298"/>
    </row>
    <row r="5568" spans="14:19" hidden="1" x14ac:dyDescent="0.25">
      <c r="N5568" s="17">
        <v>756.39999999991301</v>
      </c>
      <c r="O5568" s="16" t="s">
        <v>3093</v>
      </c>
      <c r="R5568" s="6"/>
      <c r="S5568" s="298"/>
    </row>
    <row r="5569" spans="14:19" hidden="1" x14ac:dyDescent="0.25">
      <c r="N5569" s="17">
        <v>756.49999999991303</v>
      </c>
      <c r="O5569" s="16" t="s">
        <v>3094</v>
      </c>
      <c r="R5569" s="6"/>
      <c r="S5569" s="298"/>
    </row>
    <row r="5570" spans="14:19" hidden="1" x14ac:dyDescent="0.25">
      <c r="N5570" s="17">
        <v>756.59999999991305</v>
      </c>
      <c r="O5570" s="16" t="s">
        <v>3095</v>
      </c>
      <c r="R5570" s="6"/>
      <c r="S5570" s="298"/>
    </row>
    <row r="5571" spans="14:19" hidden="1" x14ac:dyDescent="0.25">
      <c r="N5571" s="17">
        <v>756.69999999991205</v>
      </c>
      <c r="O5571" s="16" t="s">
        <v>3096</v>
      </c>
      <c r="R5571" s="6"/>
      <c r="S5571" s="298"/>
    </row>
    <row r="5572" spans="14:19" hidden="1" x14ac:dyDescent="0.25">
      <c r="N5572" s="17">
        <v>756.79999999991196</v>
      </c>
      <c r="O5572" s="16" t="s">
        <v>3097</v>
      </c>
      <c r="R5572" s="6"/>
      <c r="S5572" s="298"/>
    </row>
    <row r="5573" spans="14:19" hidden="1" x14ac:dyDescent="0.25">
      <c r="N5573" s="17">
        <v>756.89999999991198</v>
      </c>
      <c r="O5573" s="16" t="s">
        <v>3098</v>
      </c>
      <c r="R5573" s="6"/>
      <c r="S5573" s="298"/>
    </row>
    <row r="5574" spans="14:19" hidden="1" x14ac:dyDescent="0.25">
      <c r="N5574" s="17">
        <v>756.99999999991201</v>
      </c>
      <c r="O5574" s="16" t="s">
        <v>3099</v>
      </c>
      <c r="R5574" s="6"/>
      <c r="S5574" s="298"/>
    </row>
    <row r="5575" spans="14:19" hidden="1" x14ac:dyDescent="0.25">
      <c r="N5575" s="17">
        <v>757.09999999991203</v>
      </c>
      <c r="O5575" s="16" t="s">
        <v>3100</v>
      </c>
      <c r="R5575" s="6"/>
      <c r="S5575" s="298"/>
    </row>
    <row r="5576" spans="14:19" hidden="1" x14ac:dyDescent="0.25">
      <c r="N5576" s="17">
        <v>757.19999999991205</v>
      </c>
      <c r="O5576" s="16" t="s">
        <v>3101</v>
      </c>
      <c r="R5576" s="6"/>
      <c r="S5576" s="298"/>
    </row>
    <row r="5577" spans="14:19" hidden="1" x14ac:dyDescent="0.25">
      <c r="N5577" s="17">
        <v>757.29999999991196</v>
      </c>
      <c r="O5577" s="16" t="s">
        <v>3102</v>
      </c>
      <c r="R5577" s="6"/>
      <c r="S5577" s="298"/>
    </row>
    <row r="5578" spans="14:19" hidden="1" x14ac:dyDescent="0.25">
      <c r="N5578" s="17">
        <v>757.39999999991198</v>
      </c>
      <c r="O5578" s="16" t="s">
        <v>3103</v>
      </c>
      <c r="R5578" s="6"/>
      <c r="S5578" s="298"/>
    </row>
    <row r="5579" spans="14:19" hidden="1" x14ac:dyDescent="0.25">
      <c r="N5579" s="17">
        <v>757.49999999991201</v>
      </c>
      <c r="O5579" s="16" t="s">
        <v>3104</v>
      </c>
      <c r="R5579" s="6"/>
      <c r="S5579" s="298"/>
    </row>
    <row r="5580" spans="14:19" hidden="1" x14ac:dyDescent="0.25">
      <c r="N5580" s="17">
        <v>757.59999999991203</v>
      </c>
      <c r="O5580" s="16" t="s">
        <v>3105</v>
      </c>
      <c r="R5580" s="6"/>
      <c r="S5580" s="298"/>
    </row>
    <row r="5581" spans="14:19" hidden="1" x14ac:dyDescent="0.25">
      <c r="N5581" s="17">
        <v>757.69999999991205</v>
      </c>
      <c r="O5581" s="16" t="s">
        <v>5242</v>
      </c>
      <c r="R5581" s="6"/>
      <c r="S5581" s="298"/>
    </row>
    <row r="5582" spans="14:19" hidden="1" x14ac:dyDescent="0.25">
      <c r="N5582" s="17">
        <v>757.79999999991196</v>
      </c>
      <c r="O5582" s="16" t="s">
        <v>5243</v>
      </c>
      <c r="R5582" s="6"/>
      <c r="S5582" s="298"/>
    </row>
    <row r="5583" spans="14:19" hidden="1" x14ac:dyDescent="0.25">
      <c r="N5583" s="17">
        <v>757.89999999991198</v>
      </c>
      <c r="O5583" s="16" t="s">
        <v>5244</v>
      </c>
      <c r="R5583" s="6"/>
      <c r="S5583" s="298"/>
    </row>
    <row r="5584" spans="14:19" hidden="1" x14ac:dyDescent="0.25">
      <c r="N5584" s="17">
        <v>757.99999999991201</v>
      </c>
      <c r="O5584" s="16" t="s">
        <v>5245</v>
      </c>
      <c r="R5584" s="6"/>
      <c r="S5584" s="298"/>
    </row>
    <row r="5585" spans="14:19" hidden="1" x14ac:dyDescent="0.25">
      <c r="N5585" s="17">
        <v>758.09999999991203</v>
      </c>
      <c r="O5585" s="16" t="s">
        <v>5246</v>
      </c>
      <c r="R5585" s="6"/>
      <c r="S5585" s="298"/>
    </row>
    <row r="5586" spans="14:19" hidden="1" x14ac:dyDescent="0.25">
      <c r="N5586" s="17">
        <v>758.19999999991205</v>
      </c>
      <c r="O5586" s="16" t="s">
        <v>5247</v>
      </c>
      <c r="R5586" s="6"/>
      <c r="S5586" s="298"/>
    </row>
    <row r="5587" spans="14:19" hidden="1" x14ac:dyDescent="0.25">
      <c r="N5587" s="17">
        <v>758.29999999991196</v>
      </c>
      <c r="O5587" s="16" t="s">
        <v>5248</v>
      </c>
      <c r="R5587" s="6"/>
      <c r="S5587" s="298"/>
    </row>
    <row r="5588" spans="14:19" hidden="1" x14ac:dyDescent="0.25">
      <c r="N5588" s="17">
        <v>758.39999999991198</v>
      </c>
      <c r="O5588" s="16" t="s">
        <v>5249</v>
      </c>
      <c r="R5588" s="6"/>
      <c r="S5588" s="298"/>
    </row>
    <row r="5589" spans="14:19" hidden="1" x14ac:dyDescent="0.25">
      <c r="N5589" s="17">
        <v>758.49999999991201</v>
      </c>
      <c r="O5589" s="16" t="s">
        <v>5250</v>
      </c>
      <c r="R5589" s="6"/>
      <c r="S5589" s="298"/>
    </row>
    <row r="5590" spans="14:19" hidden="1" x14ac:dyDescent="0.25">
      <c r="N5590" s="17">
        <v>758.59999999991203</v>
      </c>
      <c r="O5590" s="16" t="s">
        <v>5251</v>
      </c>
      <c r="R5590" s="6"/>
      <c r="S5590" s="298"/>
    </row>
    <row r="5591" spans="14:19" hidden="1" x14ac:dyDescent="0.25">
      <c r="N5591" s="17">
        <v>758.69999999991205</v>
      </c>
      <c r="O5591" s="16" t="s">
        <v>7309</v>
      </c>
      <c r="R5591" s="6"/>
      <c r="S5591" s="298"/>
    </row>
    <row r="5592" spans="14:19" hidden="1" x14ac:dyDescent="0.25">
      <c r="N5592" s="17">
        <v>758.79999999991196</v>
      </c>
      <c r="O5592" s="16" t="s">
        <v>8216</v>
      </c>
      <c r="R5592" s="6"/>
      <c r="S5592" s="298"/>
    </row>
    <row r="5593" spans="14:19" hidden="1" x14ac:dyDescent="0.25">
      <c r="N5593" s="17">
        <v>758.89999999991198</v>
      </c>
      <c r="O5593" s="16" t="s">
        <v>8217</v>
      </c>
      <c r="R5593" s="6"/>
      <c r="S5593" s="298"/>
    </row>
    <row r="5594" spans="14:19" hidden="1" x14ac:dyDescent="0.25">
      <c r="N5594" s="17">
        <v>758.99999999991201</v>
      </c>
      <c r="O5594" s="16" t="s">
        <v>8218</v>
      </c>
      <c r="R5594" s="6"/>
      <c r="S5594" s="298"/>
    </row>
    <row r="5595" spans="14:19" hidden="1" x14ac:dyDescent="0.25">
      <c r="N5595" s="17">
        <v>759.09999999991203</v>
      </c>
      <c r="O5595" s="16" t="s">
        <v>8219</v>
      </c>
      <c r="R5595" s="6"/>
      <c r="S5595" s="298"/>
    </row>
    <row r="5596" spans="14:19" hidden="1" x14ac:dyDescent="0.25">
      <c r="N5596" s="17">
        <v>759.19999999991205</v>
      </c>
      <c r="O5596" s="16" t="s">
        <v>8220</v>
      </c>
      <c r="R5596" s="6"/>
      <c r="S5596" s="298"/>
    </row>
    <row r="5597" spans="14:19" hidden="1" x14ac:dyDescent="0.25">
      <c r="N5597" s="17">
        <v>759.29999999991196</v>
      </c>
      <c r="O5597" s="16" t="s">
        <v>7068</v>
      </c>
      <c r="R5597" s="6"/>
      <c r="S5597" s="298"/>
    </row>
    <row r="5598" spans="14:19" hidden="1" x14ac:dyDescent="0.25">
      <c r="N5598" s="17">
        <v>759.39999999991198</v>
      </c>
      <c r="O5598" s="16" t="s">
        <v>7069</v>
      </c>
      <c r="R5598" s="6"/>
      <c r="S5598" s="298"/>
    </row>
    <row r="5599" spans="14:19" hidden="1" x14ac:dyDescent="0.25">
      <c r="N5599" s="17">
        <v>759.49999999991201</v>
      </c>
      <c r="O5599" s="16" t="s">
        <v>7070</v>
      </c>
      <c r="R5599" s="6"/>
      <c r="S5599" s="298"/>
    </row>
    <row r="5600" spans="14:19" hidden="1" x14ac:dyDescent="0.25">
      <c r="N5600" s="17">
        <v>759.59999999991101</v>
      </c>
      <c r="O5600" s="16" t="s">
        <v>7071</v>
      </c>
      <c r="R5600" s="6"/>
      <c r="S5600" s="298"/>
    </row>
    <row r="5601" spans="14:19" hidden="1" x14ac:dyDescent="0.25">
      <c r="N5601" s="17">
        <v>759.69999999991103</v>
      </c>
      <c r="O5601" s="16" t="s">
        <v>7072</v>
      </c>
      <c r="R5601" s="6"/>
      <c r="S5601" s="298"/>
    </row>
    <row r="5602" spans="14:19" hidden="1" x14ac:dyDescent="0.25">
      <c r="N5602" s="17">
        <v>759.79999999991105</v>
      </c>
      <c r="O5602" s="16" t="s">
        <v>8216</v>
      </c>
      <c r="R5602" s="6"/>
      <c r="S5602" s="298"/>
    </row>
    <row r="5603" spans="14:19" hidden="1" x14ac:dyDescent="0.25">
      <c r="N5603" s="17">
        <v>759.89999999991096</v>
      </c>
      <c r="O5603" s="16" t="s">
        <v>8217</v>
      </c>
      <c r="R5603" s="6"/>
      <c r="S5603" s="298"/>
    </row>
    <row r="5604" spans="14:19" hidden="1" x14ac:dyDescent="0.25">
      <c r="N5604" s="17">
        <v>759.99999999991098</v>
      </c>
      <c r="O5604" s="16" t="s">
        <v>7073</v>
      </c>
      <c r="R5604" s="6"/>
      <c r="S5604" s="298"/>
    </row>
    <row r="5605" spans="14:19" hidden="1" x14ac:dyDescent="0.25">
      <c r="N5605" s="17">
        <v>760.09999999991101</v>
      </c>
      <c r="O5605" s="16" t="s">
        <v>7074</v>
      </c>
      <c r="R5605" s="6"/>
      <c r="S5605" s="298"/>
    </row>
    <row r="5606" spans="14:19" hidden="1" x14ac:dyDescent="0.25">
      <c r="N5606" s="17">
        <v>760.19999999991103</v>
      </c>
      <c r="O5606" s="16" t="s">
        <v>7075</v>
      </c>
      <c r="R5606" s="6"/>
      <c r="S5606" s="298"/>
    </row>
    <row r="5607" spans="14:19" hidden="1" x14ac:dyDescent="0.25">
      <c r="N5607" s="17">
        <v>760.29999999991105</v>
      </c>
      <c r="O5607" s="16" t="s">
        <v>7076</v>
      </c>
      <c r="R5607" s="6"/>
      <c r="S5607" s="298"/>
    </row>
    <row r="5608" spans="14:19" hidden="1" x14ac:dyDescent="0.25">
      <c r="N5608" s="17">
        <v>760.39999999991096</v>
      </c>
      <c r="O5608" s="16" t="s">
        <v>7077</v>
      </c>
      <c r="R5608" s="6"/>
      <c r="S5608" s="298"/>
    </row>
    <row r="5609" spans="14:19" hidden="1" x14ac:dyDescent="0.25">
      <c r="N5609" s="17">
        <v>760.49999999991098</v>
      </c>
      <c r="O5609" s="16" t="s">
        <v>7078</v>
      </c>
      <c r="R5609" s="6"/>
      <c r="S5609" s="298"/>
    </row>
    <row r="5610" spans="14:19" hidden="1" x14ac:dyDescent="0.25">
      <c r="N5610" s="17">
        <v>760.59999999991101</v>
      </c>
      <c r="O5610" s="16" t="s">
        <v>7079</v>
      </c>
      <c r="R5610" s="6"/>
      <c r="S5610" s="298"/>
    </row>
    <row r="5611" spans="14:19" hidden="1" x14ac:dyDescent="0.25">
      <c r="N5611" s="17">
        <v>760.69999999991103</v>
      </c>
      <c r="O5611" s="16" t="s">
        <v>7080</v>
      </c>
      <c r="R5611" s="6"/>
      <c r="S5611" s="298"/>
    </row>
    <row r="5612" spans="14:19" hidden="1" x14ac:dyDescent="0.25">
      <c r="N5612" s="17">
        <v>760.79999999991105</v>
      </c>
      <c r="O5612" s="16" t="s">
        <v>7081</v>
      </c>
      <c r="R5612" s="6"/>
      <c r="S5612" s="298"/>
    </row>
    <row r="5613" spans="14:19" hidden="1" x14ac:dyDescent="0.25">
      <c r="N5613" s="17">
        <v>760.89999999991096</v>
      </c>
      <c r="O5613" s="16" t="s">
        <v>7082</v>
      </c>
      <c r="R5613" s="6"/>
      <c r="S5613" s="298"/>
    </row>
    <row r="5614" spans="14:19" hidden="1" x14ac:dyDescent="0.25">
      <c r="N5614" s="17">
        <v>760.99999999991098</v>
      </c>
      <c r="O5614" s="16" t="s">
        <v>7083</v>
      </c>
      <c r="R5614" s="6"/>
      <c r="S5614" s="298"/>
    </row>
    <row r="5615" spans="14:19" hidden="1" x14ac:dyDescent="0.25">
      <c r="N5615" s="17">
        <v>761.09999999991101</v>
      </c>
      <c r="O5615" s="16" t="s">
        <v>7084</v>
      </c>
      <c r="R5615" s="6"/>
      <c r="S5615" s="298"/>
    </row>
    <row r="5616" spans="14:19" hidden="1" x14ac:dyDescent="0.25">
      <c r="N5616" s="17">
        <v>761.19999999991103</v>
      </c>
      <c r="O5616" s="16" t="s">
        <v>7085</v>
      </c>
      <c r="R5616" s="6"/>
      <c r="S5616" s="298"/>
    </row>
    <row r="5617" spans="14:19" hidden="1" x14ac:dyDescent="0.25">
      <c r="N5617" s="17">
        <v>761.29999999991105</v>
      </c>
      <c r="O5617" s="16" t="s">
        <v>7086</v>
      </c>
      <c r="R5617" s="6"/>
      <c r="S5617" s="298"/>
    </row>
    <row r="5618" spans="14:19" hidden="1" x14ac:dyDescent="0.25">
      <c r="N5618" s="17">
        <v>761.39999999991096</v>
      </c>
      <c r="O5618" s="16" t="s">
        <v>7087</v>
      </c>
      <c r="R5618" s="6"/>
      <c r="S5618" s="298"/>
    </row>
    <row r="5619" spans="14:19" hidden="1" x14ac:dyDescent="0.25">
      <c r="N5619" s="17">
        <v>761.49999999991098</v>
      </c>
      <c r="O5619" s="16" t="s">
        <v>7088</v>
      </c>
      <c r="R5619" s="6"/>
      <c r="S5619" s="298"/>
    </row>
    <row r="5620" spans="14:19" hidden="1" x14ac:dyDescent="0.25">
      <c r="N5620" s="17">
        <v>761.59999999991101</v>
      </c>
      <c r="O5620" s="16" t="s">
        <v>7089</v>
      </c>
      <c r="R5620" s="6"/>
      <c r="S5620" s="298"/>
    </row>
    <row r="5621" spans="14:19" hidden="1" x14ac:dyDescent="0.25">
      <c r="N5621" s="17">
        <v>761.69999999991103</v>
      </c>
      <c r="O5621" s="16" t="s">
        <v>7090</v>
      </c>
      <c r="R5621" s="6"/>
      <c r="S5621" s="298"/>
    </row>
    <row r="5622" spans="14:19" hidden="1" x14ac:dyDescent="0.25">
      <c r="N5622" s="17">
        <v>761.79999999991105</v>
      </c>
      <c r="O5622" s="16" t="s">
        <v>7091</v>
      </c>
      <c r="R5622" s="6"/>
      <c r="S5622" s="298"/>
    </row>
    <row r="5623" spans="14:19" hidden="1" x14ac:dyDescent="0.25">
      <c r="N5623" s="17">
        <v>761.89999999991096</v>
      </c>
      <c r="O5623" s="16" t="s">
        <v>7092</v>
      </c>
      <c r="R5623" s="6"/>
      <c r="S5623" s="298"/>
    </row>
    <row r="5624" spans="14:19" hidden="1" x14ac:dyDescent="0.25">
      <c r="N5624" s="17">
        <v>761.99999999991098</v>
      </c>
      <c r="O5624" s="16" t="s">
        <v>7093</v>
      </c>
      <c r="R5624" s="6"/>
      <c r="S5624" s="298"/>
    </row>
    <row r="5625" spans="14:19" hidden="1" x14ac:dyDescent="0.25">
      <c r="N5625" s="17">
        <v>762.09999999991101</v>
      </c>
      <c r="O5625" s="16" t="s">
        <v>7094</v>
      </c>
      <c r="R5625" s="6"/>
      <c r="S5625" s="298"/>
    </row>
    <row r="5626" spans="14:19" hidden="1" x14ac:dyDescent="0.25">
      <c r="N5626" s="17">
        <v>762.19999999991103</v>
      </c>
      <c r="O5626" s="16" t="s">
        <v>7095</v>
      </c>
      <c r="R5626" s="6"/>
      <c r="S5626" s="298"/>
    </row>
    <row r="5627" spans="14:19" hidden="1" x14ac:dyDescent="0.25">
      <c r="N5627" s="17">
        <v>762.29999999991105</v>
      </c>
      <c r="O5627" s="16" t="s">
        <v>7096</v>
      </c>
      <c r="R5627" s="6"/>
      <c r="S5627" s="298"/>
    </row>
    <row r="5628" spans="14:19" hidden="1" x14ac:dyDescent="0.25">
      <c r="N5628" s="17">
        <v>762.39999999991096</v>
      </c>
      <c r="O5628" s="16" t="s">
        <v>7097</v>
      </c>
      <c r="R5628" s="6"/>
      <c r="S5628" s="298"/>
    </row>
    <row r="5629" spans="14:19" hidden="1" x14ac:dyDescent="0.25">
      <c r="N5629" s="17">
        <v>762.49999999991098</v>
      </c>
      <c r="O5629" s="16" t="s">
        <v>7098</v>
      </c>
      <c r="R5629" s="6"/>
      <c r="S5629" s="298"/>
    </row>
    <row r="5630" spans="14:19" hidden="1" x14ac:dyDescent="0.25">
      <c r="N5630" s="17">
        <v>762.59999999990998</v>
      </c>
      <c r="O5630" s="16" t="s">
        <v>7099</v>
      </c>
      <c r="R5630" s="6"/>
      <c r="S5630" s="298"/>
    </row>
    <row r="5631" spans="14:19" hidden="1" x14ac:dyDescent="0.25">
      <c r="N5631" s="17">
        <v>762.69999999991001</v>
      </c>
      <c r="O5631" s="16" t="s">
        <v>8041</v>
      </c>
      <c r="R5631" s="6"/>
      <c r="S5631" s="298"/>
    </row>
    <row r="5632" spans="14:19" hidden="1" x14ac:dyDescent="0.25">
      <c r="N5632" s="17">
        <v>762.79999999991003</v>
      </c>
      <c r="O5632" s="16" t="s">
        <v>8042</v>
      </c>
      <c r="R5632" s="6"/>
      <c r="S5632" s="298"/>
    </row>
    <row r="5633" spans="14:19" hidden="1" x14ac:dyDescent="0.25">
      <c r="N5633" s="17">
        <v>762.89999999991005</v>
      </c>
      <c r="O5633" s="16" t="s">
        <v>8043</v>
      </c>
      <c r="R5633" s="6"/>
      <c r="S5633" s="298"/>
    </row>
    <row r="5634" spans="14:19" hidden="1" x14ac:dyDescent="0.25">
      <c r="N5634" s="17">
        <v>762.99999999990996</v>
      </c>
      <c r="O5634" s="16" t="s">
        <v>8044</v>
      </c>
      <c r="R5634" s="6"/>
      <c r="S5634" s="298"/>
    </row>
    <row r="5635" spans="14:19" hidden="1" x14ac:dyDescent="0.25">
      <c r="N5635" s="17">
        <v>763.09999999990998</v>
      </c>
      <c r="O5635" s="16" t="s">
        <v>8045</v>
      </c>
      <c r="R5635" s="6"/>
      <c r="S5635" s="298"/>
    </row>
    <row r="5636" spans="14:19" hidden="1" x14ac:dyDescent="0.25">
      <c r="N5636" s="17">
        <v>763.19999999991001</v>
      </c>
      <c r="O5636" s="16" t="s">
        <v>8046</v>
      </c>
      <c r="R5636" s="6"/>
      <c r="S5636" s="298"/>
    </row>
    <row r="5637" spans="14:19" hidden="1" x14ac:dyDescent="0.25">
      <c r="N5637" s="17">
        <v>763.29999999991003</v>
      </c>
      <c r="O5637" s="16" t="s">
        <v>8047</v>
      </c>
      <c r="R5637" s="6"/>
      <c r="S5637" s="298"/>
    </row>
    <row r="5638" spans="14:19" hidden="1" x14ac:dyDescent="0.25">
      <c r="N5638" s="17">
        <v>763.39999999991005</v>
      </c>
      <c r="O5638" s="16" t="s">
        <v>8048</v>
      </c>
      <c r="R5638" s="6"/>
      <c r="S5638" s="298"/>
    </row>
    <row r="5639" spans="14:19" hidden="1" x14ac:dyDescent="0.25">
      <c r="N5639" s="17">
        <v>763.49999999990996</v>
      </c>
      <c r="O5639" s="16" t="s">
        <v>8049</v>
      </c>
      <c r="R5639" s="6"/>
      <c r="S5639" s="298"/>
    </row>
    <row r="5640" spans="14:19" hidden="1" x14ac:dyDescent="0.25">
      <c r="N5640" s="17">
        <v>763.59999999990998</v>
      </c>
      <c r="O5640" s="16" t="s">
        <v>8050</v>
      </c>
      <c r="R5640" s="6"/>
      <c r="S5640" s="298"/>
    </row>
    <row r="5641" spans="14:19" hidden="1" x14ac:dyDescent="0.25">
      <c r="N5641" s="17">
        <v>763.69999999991001</v>
      </c>
      <c r="O5641" s="16" t="s">
        <v>8051</v>
      </c>
      <c r="R5641" s="6"/>
      <c r="S5641" s="298"/>
    </row>
    <row r="5642" spans="14:19" hidden="1" x14ac:dyDescent="0.25">
      <c r="N5642" s="17">
        <v>763.79999999991003</v>
      </c>
      <c r="O5642" s="16" t="s">
        <v>8052</v>
      </c>
      <c r="R5642" s="6"/>
      <c r="S5642" s="298"/>
    </row>
    <row r="5643" spans="14:19" hidden="1" x14ac:dyDescent="0.25">
      <c r="N5643" s="17">
        <v>763.89999999991005</v>
      </c>
      <c r="O5643" s="16" t="s">
        <v>8053</v>
      </c>
      <c r="R5643" s="6"/>
      <c r="S5643" s="298"/>
    </row>
    <row r="5644" spans="14:19" hidden="1" x14ac:dyDescent="0.25">
      <c r="N5644" s="17">
        <v>763.99999999990996</v>
      </c>
      <c r="O5644" s="16" t="s">
        <v>8054</v>
      </c>
      <c r="R5644" s="6"/>
      <c r="S5644" s="298"/>
    </row>
    <row r="5645" spans="14:19" hidden="1" x14ac:dyDescent="0.25">
      <c r="N5645" s="17">
        <v>764.09999999990998</v>
      </c>
      <c r="O5645" s="16" t="s">
        <v>8055</v>
      </c>
      <c r="R5645" s="6"/>
      <c r="S5645" s="298"/>
    </row>
    <row r="5646" spans="14:19" hidden="1" x14ac:dyDescent="0.25">
      <c r="N5646" s="17">
        <v>764.19999999991001</v>
      </c>
      <c r="O5646" s="16" t="s">
        <v>5299</v>
      </c>
      <c r="R5646" s="6"/>
      <c r="S5646" s="298"/>
    </row>
    <row r="5647" spans="14:19" hidden="1" x14ac:dyDescent="0.25">
      <c r="N5647" s="17">
        <v>764.29999999991003</v>
      </c>
      <c r="O5647" s="16" t="s">
        <v>5300</v>
      </c>
      <c r="R5647" s="6"/>
      <c r="S5647" s="298"/>
    </row>
    <row r="5648" spans="14:19" hidden="1" x14ac:dyDescent="0.25">
      <c r="N5648" s="17">
        <v>764.39999999991005</v>
      </c>
      <c r="O5648" s="16" t="s">
        <v>5301</v>
      </c>
      <c r="R5648" s="6"/>
      <c r="S5648" s="298"/>
    </row>
    <row r="5649" spans="14:19" hidden="1" x14ac:dyDescent="0.25">
      <c r="N5649" s="17">
        <v>764.49999999990996</v>
      </c>
      <c r="O5649" s="16" t="s">
        <v>5302</v>
      </c>
      <c r="R5649" s="6"/>
      <c r="S5649" s="298"/>
    </row>
    <row r="5650" spans="14:19" hidden="1" x14ac:dyDescent="0.25">
      <c r="N5650" s="17">
        <v>764.59999999990998</v>
      </c>
      <c r="O5650" s="16" t="s">
        <v>5303</v>
      </c>
      <c r="R5650" s="6"/>
      <c r="S5650" s="298"/>
    </row>
    <row r="5651" spans="14:19" hidden="1" x14ac:dyDescent="0.25">
      <c r="N5651" s="17">
        <v>764.69999999991001</v>
      </c>
      <c r="O5651" s="16" t="s">
        <v>5304</v>
      </c>
      <c r="R5651" s="6"/>
      <c r="S5651" s="298"/>
    </row>
    <row r="5652" spans="14:19" hidden="1" x14ac:dyDescent="0.25">
      <c r="N5652" s="17">
        <v>764.79999999991003</v>
      </c>
      <c r="O5652" s="16" t="s">
        <v>5305</v>
      </c>
      <c r="R5652" s="6"/>
      <c r="S5652" s="298"/>
    </row>
    <row r="5653" spans="14:19" hidden="1" x14ac:dyDescent="0.25">
      <c r="N5653" s="17">
        <v>764.89999999991005</v>
      </c>
      <c r="O5653" s="16" t="s">
        <v>5306</v>
      </c>
      <c r="R5653" s="6"/>
      <c r="S5653" s="298"/>
    </row>
    <row r="5654" spans="14:19" hidden="1" x14ac:dyDescent="0.25">
      <c r="N5654" s="17">
        <v>764.99999999990996</v>
      </c>
      <c r="O5654" s="16" t="s">
        <v>5307</v>
      </c>
      <c r="R5654" s="6"/>
      <c r="S5654" s="298"/>
    </row>
    <row r="5655" spans="14:19" hidden="1" x14ac:dyDescent="0.25">
      <c r="N5655" s="17">
        <v>765.09999999990998</v>
      </c>
      <c r="O5655" s="16" t="s">
        <v>5308</v>
      </c>
      <c r="R5655" s="6"/>
      <c r="S5655" s="298"/>
    </row>
    <row r="5656" spans="14:19" hidden="1" x14ac:dyDescent="0.25">
      <c r="N5656" s="17">
        <v>765.19999999991001</v>
      </c>
      <c r="O5656" s="16" t="s">
        <v>5309</v>
      </c>
      <c r="R5656" s="6"/>
      <c r="S5656" s="298"/>
    </row>
    <row r="5657" spans="14:19" hidden="1" x14ac:dyDescent="0.25">
      <c r="N5657" s="17">
        <v>765.29999999991003</v>
      </c>
      <c r="O5657" s="16" t="s">
        <v>5310</v>
      </c>
      <c r="R5657" s="6"/>
      <c r="S5657" s="298"/>
    </row>
    <row r="5658" spans="14:19" hidden="1" x14ac:dyDescent="0.25">
      <c r="N5658" s="17">
        <v>765.39999999991005</v>
      </c>
      <c r="O5658" s="16" t="s">
        <v>5311</v>
      </c>
      <c r="R5658" s="6"/>
      <c r="S5658" s="298"/>
    </row>
    <row r="5659" spans="14:19" hidden="1" x14ac:dyDescent="0.25">
      <c r="N5659" s="17">
        <v>765.49999999990905</v>
      </c>
      <c r="O5659" s="16" t="s">
        <v>5312</v>
      </c>
      <c r="R5659" s="6"/>
      <c r="S5659" s="298"/>
    </row>
    <row r="5660" spans="14:19" hidden="1" x14ac:dyDescent="0.25">
      <c r="N5660" s="17">
        <v>765.59999999990896</v>
      </c>
      <c r="O5660" s="16" t="s">
        <v>7384</v>
      </c>
      <c r="R5660" s="6"/>
      <c r="S5660" s="298"/>
    </row>
    <row r="5661" spans="14:19" hidden="1" x14ac:dyDescent="0.25">
      <c r="N5661" s="17">
        <v>765.69999999990898</v>
      </c>
      <c r="O5661" s="16" t="s">
        <v>7385</v>
      </c>
      <c r="R5661" s="6"/>
      <c r="S5661" s="298"/>
    </row>
    <row r="5662" spans="14:19" hidden="1" x14ac:dyDescent="0.25">
      <c r="N5662" s="17">
        <v>765.79999999990901</v>
      </c>
      <c r="O5662" s="16" t="s">
        <v>7386</v>
      </c>
      <c r="R5662" s="6"/>
      <c r="S5662" s="298"/>
    </row>
    <row r="5663" spans="14:19" hidden="1" x14ac:dyDescent="0.25">
      <c r="N5663" s="17">
        <v>765.89999999990903</v>
      </c>
      <c r="O5663" s="16" t="s">
        <v>7387</v>
      </c>
      <c r="R5663" s="6"/>
      <c r="S5663" s="298"/>
    </row>
    <row r="5664" spans="14:19" hidden="1" x14ac:dyDescent="0.25">
      <c r="N5664" s="17">
        <v>765.99999999990905</v>
      </c>
      <c r="O5664" s="16" t="s">
        <v>7388</v>
      </c>
      <c r="R5664" s="6"/>
      <c r="S5664" s="298"/>
    </row>
    <row r="5665" spans="14:19" hidden="1" x14ac:dyDescent="0.25">
      <c r="N5665" s="17">
        <v>766.09999999990896</v>
      </c>
      <c r="O5665" s="16" t="s">
        <v>7389</v>
      </c>
      <c r="R5665" s="6"/>
      <c r="S5665" s="298"/>
    </row>
    <row r="5666" spans="14:19" hidden="1" x14ac:dyDescent="0.25">
      <c r="N5666" s="17">
        <v>766.19999999990898</v>
      </c>
      <c r="O5666" s="16" t="s">
        <v>7390</v>
      </c>
      <c r="R5666" s="6"/>
      <c r="S5666" s="298"/>
    </row>
    <row r="5667" spans="14:19" hidden="1" x14ac:dyDescent="0.25">
      <c r="N5667" s="17">
        <v>766.29999999990901</v>
      </c>
      <c r="O5667" s="16" t="s">
        <v>7391</v>
      </c>
      <c r="R5667" s="6"/>
      <c r="S5667" s="298"/>
    </row>
    <row r="5668" spans="14:19" hidden="1" x14ac:dyDescent="0.25">
      <c r="N5668" s="17">
        <v>766.39999999990903</v>
      </c>
      <c r="O5668" s="16" t="s">
        <v>7392</v>
      </c>
      <c r="R5668" s="6"/>
      <c r="S5668" s="298"/>
    </row>
    <row r="5669" spans="14:19" hidden="1" x14ac:dyDescent="0.25">
      <c r="N5669" s="17">
        <v>766.49999999990905</v>
      </c>
      <c r="O5669" s="16" t="s">
        <v>7393</v>
      </c>
      <c r="R5669" s="6"/>
      <c r="S5669" s="298"/>
    </row>
    <row r="5670" spans="14:19" hidden="1" x14ac:dyDescent="0.25">
      <c r="N5670" s="17">
        <v>766.59999999990896</v>
      </c>
      <c r="O5670" s="16" t="s">
        <v>7394</v>
      </c>
      <c r="R5670" s="6"/>
      <c r="S5670" s="298"/>
    </row>
    <row r="5671" spans="14:19" hidden="1" x14ac:dyDescent="0.25">
      <c r="N5671" s="17">
        <v>766.69999999990898</v>
      </c>
      <c r="O5671" s="16" t="s">
        <v>7395</v>
      </c>
      <c r="R5671" s="6"/>
      <c r="S5671" s="298"/>
    </row>
    <row r="5672" spans="14:19" hidden="1" x14ac:dyDescent="0.25">
      <c r="N5672" s="17">
        <v>766.79999999990901</v>
      </c>
      <c r="O5672" s="16" t="s">
        <v>7396</v>
      </c>
      <c r="R5672" s="6"/>
      <c r="S5672" s="298"/>
    </row>
    <row r="5673" spans="14:19" hidden="1" x14ac:dyDescent="0.25">
      <c r="N5673" s="17">
        <v>766.89999999990903</v>
      </c>
      <c r="O5673" s="16" t="s">
        <v>7397</v>
      </c>
      <c r="R5673" s="6"/>
      <c r="S5673" s="298"/>
    </row>
    <row r="5674" spans="14:19" hidden="1" x14ac:dyDescent="0.25">
      <c r="N5674" s="17">
        <v>766.99999999990905</v>
      </c>
      <c r="O5674" s="16" t="s">
        <v>7398</v>
      </c>
      <c r="R5674" s="6"/>
      <c r="S5674" s="298"/>
    </row>
    <row r="5675" spans="14:19" hidden="1" x14ac:dyDescent="0.25">
      <c r="N5675" s="17">
        <v>767.09999999990896</v>
      </c>
      <c r="O5675" s="16" t="s">
        <v>7399</v>
      </c>
      <c r="R5675" s="6"/>
      <c r="S5675" s="298"/>
    </row>
    <row r="5676" spans="14:19" hidden="1" x14ac:dyDescent="0.25">
      <c r="N5676" s="17">
        <v>767.19999999990898</v>
      </c>
      <c r="O5676" s="16" t="s">
        <v>7400</v>
      </c>
      <c r="R5676" s="6"/>
      <c r="S5676" s="298"/>
    </row>
    <row r="5677" spans="14:19" hidden="1" x14ac:dyDescent="0.25">
      <c r="N5677" s="17">
        <v>767.29999999990901</v>
      </c>
      <c r="O5677" s="16" t="s">
        <v>7401</v>
      </c>
      <c r="R5677" s="6"/>
      <c r="S5677" s="298"/>
    </row>
    <row r="5678" spans="14:19" hidden="1" x14ac:dyDescent="0.25">
      <c r="N5678" s="17">
        <v>767.39999999990903</v>
      </c>
      <c r="O5678" s="16" t="s">
        <v>7402</v>
      </c>
      <c r="R5678" s="6"/>
      <c r="S5678" s="298"/>
    </row>
    <row r="5679" spans="14:19" hidden="1" x14ac:dyDescent="0.25">
      <c r="N5679" s="17">
        <v>767.49999999990905</v>
      </c>
      <c r="O5679" s="16" t="s">
        <v>7403</v>
      </c>
      <c r="R5679" s="6"/>
      <c r="S5679" s="298"/>
    </row>
    <row r="5680" spans="14:19" hidden="1" x14ac:dyDescent="0.25">
      <c r="N5680" s="17">
        <v>767.59999999990896</v>
      </c>
      <c r="O5680" s="16" t="s">
        <v>7404</v>
      </c>
      <c r="R5680" s="6"/>
      <c r="S5680" s="298"/>
    </row>
    <row r="5681" spans="14:19" hidden="1" x14ac:dyDescent="0.25">
      <c r="N5681" s="17">
        <v>767.69999999990898</v>
      </c>
      <c r="O5681" s="16" t="s">
        <v>7405</v>
      </c>
      <c r="R5681" s="6"/>
      <c r="S5681" s="298"/>
    </row>
    <row r="5682" spans="14:19" hidden="1" x14ac:dyDescent="0.25">
      <c r="N5682" s="17">
        <v>767.79999999990901</v>
      </c>
      <c r="O5682" s="16" t="s">
        <v>7406</v>
      </c>
      <c r="R5682" s="6"/>
      <c r="S5682" s="298"/>
    </row>
    <row r="5683" spans="14:19" hidden="1" x14ac:dyDescent="0.25">
      <c r="N5683" s="17">
        <v>767.89999999990903</v>
      </c>
      <c r="O5683" s="16" t="s">
        <v>7407</v>
      </c>
      <c r="R5683" s="6"/>
      <c r="S5683" s="298"/>
    </row>
    <row r="5684" spans="14:19" hidden="1" x14ac:dyDescent="0.25">
      <c r="N5684" s="17">
        <v>767.99999999990905</v>
      </c>
      <c r="O5684" s="16" t="s">
        <v>7408</v>
      </c>
      <c r="R5684" s="6"/>
      <c r="S5684" s="298"/>
    </row>
    <row r="5685" spans="14:19" hidden="1" x14ac:dyDescent="0.25">
      <c r="N5685" s="17">
        <v>768.09999999990896</v>
      </c>
      <c r="O5685" s="16" t="s">
        <v>7409</v>
      </c>
      <c r="R5685" s="6"/>
      <c r="S5685" s="298"/>
    </row>
    <row r="5686" spans="14:19" hidden="1" x14ac:dyDescent="0.25">
      <c r="N5686" s="17">
        <v>768.19999999990898</v>
      </c>
      <c r="O5686" s="16" t="s">
        <v>7410</v>
      </c>
      <c r="R5686" s="6"/>
      <c r="S5686" s="298"/>
    </row>
    <row r="5687" spans="14:19" hidden="1" x14ac:dyDescent="0.25">
      <c r="N5687" s="17">
        <v>768.29999999990901</v>
      </c>
      <c r="O5687" s="16" t="s">
        <v>7411</v>
      </c>
      <c r="R5687" s="6"/>
      <c r="S5687" s="298"/>
    </row>
    <row r="5688" spans="14:19" hidden="1" x14ac:dyDescent="0.25">
      <c r="N5688" s="17">
        <v>768.399999999908</v>
      </c>
      <c r="O5688" s="16" t="s">
        <v>7412</v>
      </c>
      <c r="R5688" s="6"/>
      <c r="S5688" s="298"/>
    </row>
    <row r="5689" spans="14:19" hidden="1" x14ac:dyDescent="0.25">
      <c r="N5689" s="17">
        <v>768.49999999990803</v>
      </c>
      <c r="O5689" s="16" t="s">
        <v>7413</v>
      </c>
      <c r="R5689" s="6"/>
      <c r="S5689" s="298"/>
    </row>
    <row r="5690" spans="14:19" hidden="1" x14ac:dyDescent="0.25">
      <c r="N5690" s="17">
        <v>768.59999999990805</v>
      </c>
      <c r="O5690" s="16" t="s">
        <v>7414</v>
      </c>
      <c r="R5690" s="6"/>
      <c r="S5690" s="298"/>
    </row>
    <row r="5691" spans="14:19" hidden="1" x14ac:dyDescent="0.25">
      <c r="N5691" s="17">
        <v>768.69999999990796</v>
      </c>
      <c r="O5691" s="16" t="s">
        <v>7415</v>
      </c>
      <c r="R5691" s="6"/>
      <c r="S5691" s="298"/>
    </row>
    <row r="5692" spans="14:19" hidden="1" x14ac:dyDescent="0.25">
      <c r="N5692" s="17">
        <v>768.79999999990798</v>
      </c>
      <c r="O5692" s="16" t="s">
        <v>7416</v>
      </c>
      <c r="R5692" s="6"/>
      <c r="S5692" s="298"/>
    </row>
    <row r="5693" spans="14:19" hidden="1" x14ac:dyDescent="0.25">
      <c r="N5693" s="17">
        <v>768.899999999908</v>
      </c>
      <c r="O5693" s="16" t="s">
        <v>5348</v>
      </c>
      <c r="R5693" s="6"/>
      <c r="S5693" s="298"/>
    </row>
    <row r="5694" spans="14:19" hidden="1" x14ac:dyDescent="0.25">
      <c r="N5694" s="17">
        <v>768.99999999990803</v>
      </c>
      <c r="O5694" s="16" t="s">
        <v>5349</v>
      </c>
      <c r="R5694" s="6"/>
      <c r="S5694" s="298"/>
    </row>
    <row r="5695" spans="14:19" hidden="1" x14ac:dyDescent="0.25">
      <c r="N5695" s="17">
        <v>769.09999999990805</v>
      </c>
      <c r="O5695" s="16" t="s">
        <v>5350</v>
      </c>
      <c r="R5695" s="6"/>
      <c r="S5695" s="298"/>
    </row>
    <row r="5696" spans="14:19" hidden="1" x14ac:dyDescent="0.25">
      <c r="N5696" s="17">
        <v>769.19999999990796</v>
      </c>
      <c r="O5696" s="16" t="s">
        <v>5351</v>
      </c>
      <c r="R5696" s="6"/>
      <c r="S5696" s="298"/>
    </row>
    <row r="5697" spans="14:19" hidden="1" x14ac:dyDescent="0.25">
      <c r="N5697" s="17">
        <v>769.29999999990798</v>
      </c>
      <c r="O5697" s="16" t="s">
        <v>5352</v>
      </c>
      <c r="R5697" s="6"/>
      <c r="S5697" s="298"/>
    </row>
    <row r="5698" spans="14:19" hidden="1" x14ac:dyDescent="0.25">
      <c r="N5698" s="17">
        <v>769.399999999908</v>
      </c>
      <c r="O5698" s="16" t="s">
        <v>5353</v>
      </c>
      <c r="R5698" s="6"/>
      <c r="S5698" s="298"/>
    </row>
    <row r="5699" spans="14:19" hidden="1" x14ac:dyDescent="0.25">
      <c r="N5699" s="17">
        <v>769.49999999990803</v>
      </c>
      <c r="O5699" s="16" t="s">
        <v>5354</v>
      </c>
      <c r="R5699" s="6"/>
      <c r="S5699" s="298"/>
    </row>
    <row r="5700" spans="14:19" hidden="1" x14ac:dyDescent="0.25">
      <c r="N5700" s="17">
        <v>769.59999999990805</v>
      </c>
      <c r="O5700" s="16" t="s">
        <v>5355</v>
      </c>
      <c r="R5700" s="6"/>
      <c r="S5700" s="298"/>
    </row>
    <row r="5701" spans="14:19" hidden="1" x14ac:dyDescent="0.25">
      <c r="N5701" s="17">
        <v>769.69999999990796</v>
      </c>
      <c r="O5701" s="16" t="s">
        <v>5356</v>
      </c>
      <c r="R5701" s="6"/>
      <c r="S5701" s="298"/>
    </row>
    <row r="5702" spans="14:19" hidden="1" x14ac:dyDescent="0.25">
      <c r="N5702" s="17">
        <v>769.79999999990798</v>
      </c>
      <c r="O5702" s="16" t="s">
        <v>5357</v>
      </c>
      <c r="R5702" s="6"/>
      <c r="S5702" s="298"/>
    </row>
    <row r="5703" spans="14:19" hidden="1" x14ac:dyDescent="0.25">
      <c r="N5703" s="17">
        <v>769.899999999908</v>
      </c>
      <c r="O5703" s="16" t="s">
        <v>5358</v>
      </c>
      <c r="R5703" s="6"/>
      <c r="S5703" s="298"/>
    </row>
    <row r="5704" spans="14:19" hidden="1" x14ac:dyDescent="0.25">
      <c r="N5704" s="17">
        <v>769.99999999990803</v>
      </c>
      <c r="O5704" s="16" t="s">
        <v>5359</v>
      </c>
      <c r="R5704" s="6"/>
      <c r="S5704" s="298"/>
    </row>
    <row r="5705" spans="14:19" hidden="1" x14ac:dyDescent="0.25">
      <c r="N5705" s="17">
        <v>770.09999999990805</v>
      </c>
      <c r="O5705" s="16" t="s">
        <v>3236</v>
      </c>
      <c r="R5705" s="6"/>
      <c r="S5705" s="298"/>
    </row>
    <row r="5706" spans="14:19" hidden="1" x14ac:dyDescent="0.25">
      <c r="N5706" s="17">
        <v>770.19999999990796</v>
      </c>
      <c r="O5706" s="16" t="s">
        <v>3237</v>
      </c>
      <c r="R5706" s="6"/>
      <c r="S5706" s="298"/>
    </row>
    <row r="5707" spans="14:19" hidden="1" x14ac:dyDescent="0.25">
      <c r="N5707" s="17">
        <v>770.29999999990798</v>
      </c>
      <c r="O5707" s="16" t="s">
        <v>3238</v>
      </c>
      <c r="R5707" s="6"/>
      <c r="S5707" s="298"/>
    </row>
    <row r="5708" spans="14:19" hidden="1" x14ac:dyDescent="0.25">
      <c r="N5708" s="17">
        <v>770.399999999908</v>
      </c>
      <c r="O5708" s="16" t="s">
        <v>3239</v>
      </c>
      <c r="R5708" s="6"/>
      <c r="S5708" s="298"/>
    </row>
    <row r="5709" spans="14:19" hidden="1" x14ac:dyDescent="0.25">
      <c r="N5709" s="17">
        <v>770.49999999990803</v>
      </c>
      <c r="O5709" s="16" t="s">
        <v>5361</v>
      </c>
      <c r="R5709" s="6"/>
      <c r="S5709" s="298"/>
    </row>
    <row r="5710" spans="14:19" hidden="1" x14ac:dyDescent="0.25">
      <c r="N5710" s="17">
        <v>770.59999999990805</v>
      </c>
      <c r="O5710" s="16" t="s">
        <v>5362</v>
      </c>
      <c r="R5710" s="6"/>
      <c r="S5710" s="298"/>
    </row>
    <row r="5711" spans="14:19" hidden="1" x14ac:dyDescent="0.25">
      <c r="N5711" s="17">
        <v>770.69999999990796</v>
      </c>
      <c r="O5711" s="16" t="s">
        <v>5363</v>
      </c>
      <c r="R5711" s="6"/>
      <c r="S5711" s="298"/>
    </row>
    <row r="5712" spans="14:19" hidden="1" x14ac:dyDescent="0.25">
      <c r="N5712" s="17">
        <v>770.79999999990798</v>
      </c>
      <c r="O5712" s="16" t="s">
        <v>5364</v>
      </c>
      <c r="R5712" s="6"/>
      <c r="S5712" s="298"/>
    </row>
    <row r="5713" spans="14:19" hidden="1" x14ac:dyDescent="0.25">
      <c r="N5713" s="17">
        <v>770.899999999908</v>
      </c>
      <c r="O5713" s="16" t="s">
        <v>5365</v>
      </c>
      <c r="R5713" s="6"/>
      <c r="S5713" s="298"/>
    </row>
    <row r="5714" spans="14:19" hidden="1" x14ac:dyDescent="0.25">
      <c r="N5714" s="17">
        <v>770.99999999990803</v>
      </c>
      <c r="O5714" s="16" t="s">
        <v>5366</v>
      </c>
      <c r="R5714" s="6"/>
      <c r="S5714" s="298"/>
    </row>
    <row r="5715" spans="14:19" hidden="1" x14ac:dyDescent="0.25">
      <c r="N5715" s="17">
        <v>771.09999999990805</v>
      </c>
      <c r="O5715" s="16" t="s">
        <v>5367</v>
      </c>
      <c r="R5715" s="6"/>
      <c r="S5715" s="298"/>
    </row>
    <row r="5716" spans="14:19" hidden="1" x14ac:dyDescent="0.25">
      <c r="N5716" s="17">
        <v>771.19999999990796</v>
      </c>
      <c r="O5716" s="16" t="s">
        <v>5368</v>
      </c>
      <c r="R5716" s="6"/>
      <c r="S5716" s="298"/>
    </row>
    <row r="5717" spans="14:19" hidden="1" x14ac:dyDescent="0.25">
      <c r="N5717" s="17">
        <v>771.29999999990798</v>
      </c>
      <c r="O5717" s="16" t="s">
        <v>5369</v>
      </c>
      <c r="R5717" s="6"/>
      <c r="S5717" s="298"/>
    </row>
    <row r="5718" spans="14:19" hidden="1" x14ac:dyDescent="0.25">
      <c r="N5718" s="17">
        <v>771.39999999990698</v>
      </c>
      <c r="O5718" s="16" t="s">
        <v>5370</v>
      </c>
      <c r="R5718" s="6"/>
      <c r="S5718" s="298"/>
    </row>
    <row r="5719" spans="14:19" hidden="1" x14ac:dyDescent="0.25">
      <c r="N5719" s="17">
        <v>771.499999999907</v>
      </c>
      <c r="O5719" s="16" t="s">
        <v>5371</v>
      </c>
      <c r="R5719" s="6"/>
      <c r="S5719" s="298"/>
    </row>
    <row r="5720" spans="14:19" hidden="1" x14ac:dyDescent="0.25">
      <c r="N5720" s="17">
        <v>771.59999999990703</v>
      </c>
      <c r="O5720" s="16" t="s">
        <v>5372</v>
      </c>
      <c r="R5720" s="6"/>
      <c r="S5720" s="298"/>
    </row>
    <row r="5721" spans="14:19" hidden="1" x14ac:dyDescent="0.25">
      <c r="N5721" s="17">
        <v>771.69999999990705</v>
      </c>
      <c r="O5721" s="16" t="s">
        <v>5373</v>
      </c>
      <c r="R5721" s="6"/>
      <c r="S5721" s="298"/>
    </row>
    <row r="5722" spans="14:19" hidden="1" x14ac:dyDescent="0.25">
      <c r="N5722" s="17">
        <v>771.79999999990696</v>
      </c>
      <c r="O5722" s="16" t="s">
        <v>5374</v>
      </c>
      <c r="R5722" s="6"/>
      <c r="S5722" s="298"/>
    </row>
    <row r="5723" spans="14:19" hidden="1" x14ac:dyDescent="0.25">
      <c r="N5723" s="17">
        <v>771.89999999990698</v>
      </c>
      <c r="O5723" s="16" t="s">
        <v>5375</v>
      </c>
      <c r="R5723" s="6"/>
      <c r="S5723" s="298"/>
    </row>
    <row r="5724" spans="14:19" hidden="1" x14ac:dyDescent="0.25">
      <c r="N5724" s="17">
        <v>771.999999999907</v>
      </c>
      <c r="O5724" s="16" t="s">
        <v>5376</v>
      </c>
      <c r="R5724" s="6"/>
      <c r="S5724" s="298"/>
    </row>
    <row r="5725" spans="14:19" hidden="1" x14ac:dyDescent="0.25">
      <c r="N5725" s="17">
        <v>772.09999999990703</v>
      </c>
      <c r="O5725" s="16" t="s">
        <v>5377</v>
      </c>
      <c r="R5725" s="6"/>
      <c r="S5725" s="298"/>
    </row>
    <row r="5726" spans="14:19" hidden="1" x14ac:dyDescent="0.25">
      <c r="N5726" s="17">
        <v>772.19999999990705</v>
      </c>
      <c r="O5726" s="16" t="s">
        <v>5378</v>
      </c>
      <c r="R5726" s="6"/>
      <c r="S5726" s="298"/>
    </row>
    <row r="5727" spans="14:19" hidden="1" x14ac:dyDescent="0.25">
      <c r="N5727" s="17">
        <v>772.29999999990696</v>
      </c>
      <c r="O5727" s="16" t="s">
        <v>5379</v>
      </c>
      <c r="R5727" s="6"/>
      <c r="S5727" s="298"/>
    </row>
    <row r="5728" spans="14:19" hidden="1" x14ac:dyDescent="0.25">
      <c r="N5728" s="17">
        <v>772.39999999990698</v>
      </c>
      <c r="O5728" s="16" t="s">
        <v>5380</v>
      </c>
      <c r="R5728" s="6"/>
      <c r="S5728" s="298"/>
    </row>
    <row r="5729" spans="14:19" hidden="1" x14ac:dyDescent="0.25">
      <c r="N5729" s="17">
        <v>772.499999999907</v>
      </c>
      <c r="O5729" s="16" t="s">
        <v>5381</v>
      </c>
      <c r="R5729" s="6"/>
      <c r="S5729" s="298"/>
    </row>
    <row r="5730" spans="14:19" hidden="1" x14ac:dyDescent="0.25">
      <c r="N5730" s="17">
        <v>772.59999999990703</v>
      </c>
      <c r="O5730" s="16" t="s">
        <v>5382</v>
      </c>
      <c r="R5730" s="6"/>
      <c r="S5730" s="298"/>
    </row>
    <row r="5731" spans="14:19" hidden="1" x14ac:dyDescent="0.25">
      <c r="N5731" s="17">
        <v>772.69999999990705</v>
      </c>
      <c r="O5731" s="16" t="s">
        <v>5383</v>
      </c>
      <c r="R5731" s="6"/>
      <c r="S5731" s="298"/>
    </row>
    <row r="5732" spans="14:19" hidden="1" x14ac:dyDescent="0.25">
      <c r="N5732" s="17">
        <v>772.79999999990696</v>
      </c>
      <c r="O5732" s="16" t="s">
        <v>5384</v>
      </c>
      <c r="R5732" s="6"/>
      <c r="S5732" s="298"/>
    </row>
    <row r="5733" spans="14:19" hidden="1" x14ac:dyDescent="0.25">
      <c r="N5733" s="17">
        <v>772.89999999990698</v>
      </c>
      <c r="O5733" s="16" t="s">
        <v>3246</v>
      </c>
      <c r="R5733" s="6"/>
      <c r="S5733" s="298"/>
    </row>
    <row r="5734" spans="14:19" hidden="1" x14ac:dyDescent="0.25">
      <c r="N5734" s="17">
        <v>772.999999999907</v>
      </c>
      <c r="O5734" s="16" t="s">
        <v>3247</v>
      </c>
      <c r="R5734" s="6"/>
      <c r="S5734" s="298"/>
    </row>
    <row r="5735" spans="14:19" hidden="1" x14ac:dyDescent="0.25">
      <c r="N5735" s="17">
        <v>773.09999999990703</v>
      </c>
      <c r="O5735" s="16" t="s">
        <v>3248</v>
      </c>
      <c r="R5735" s="6"/>
      <c r="S5735" s="298"/>
    </row>
    <row r="5736" spans="14:19" hidden="1" x14ac:dyDescent="0.25">
      <c r="N5736" s="17">
        <v>773.19999999990705</v>
      </c>
      <c r="O5736" s="16" t="s">
        <v>3249</v>
      </c>
      <c r="R5736" s="6"/>
      <c r="S5736" s="298"/>
    </row>
    <row r="5737" spans="14:19" hidden="1" x14ac:dyDescent="0.25">
      <c r="N5737" s="17">
        <v>773.29999999990696</v>
      </c>
      <c r="O5737" s="16" t="s">
        <v>3250</v>
      </c>
      <c r="R5737" s="6"/>
      <c r="S5737" s="298"/>
    </row>
    <row r="5738" spans="14:19" hidden="1" x14ac:dyDescent="0.25">
      <c r="N5738" s="17">
        <v>773.39999999990698</v>
      </c>
      <c r="O5738" s="16" t="s">
        <v>3251</v>
      </c>
      <c r="R5738" s="6"/>
      <c r="S5738" s="298"/>
    </row>
    <row r="5739" spans="14:19" hidden="1" x14ac:dyDescent="0.25">
      <c r="N5739" s="17">
        <v>773.499999999907</v>
      </c>
      <c r="O5739" s="16" t="s">
        <v>3252</v>
      </c>
      <c r="R5739" s="6"/>
      <c r="S5739" s="298"/>
    </row>
    <row r="5740" spans="14:19" hidden="1" x14ac:dyDescent="0.25">
      <c r="N5740" s="17">
        <v>773.59999999990703</v>
      </c>
      <c r="O5740" s="16" t="s">
        <v>3253</v>
      </c>
      <c r="R5740" s="6"/>
      <c r="S5740" s="298"/>
    </row>
    <row r="5741" spans="14:19" hidden="1" x14ac:dyDescent="0.25">
      <c r="N5741" s="17">
        <v>773.69999999990705</v>
      </c>
      <c r="O5741" s="16" t="s">
        <v>3254</v>
      </c>
      <c r="R5741" s="6"/>
      <c r="S5741" s="298"/>
    </row>
    <row r="5742" spans="14:19" hidden="1" x14ac:dyDescent="0.25">
      <c r="N5742" s="17">
        <v>773.79999999990696</v>
      </c>
      <c r="O5742" s="16" t="s">
        <v>5396</v>
      </c>
      <c r="R5742" s="6"/>
      <c r="S5742" s="298"/>
    </row>
    <row r="5743" spans="14:19" hidden="1" x14ac:dyDescent="0.25">
      <c r="N5743" s="17">
        <v>773.89999999990698</v>
      </c>
      <c r="O5743" s="16" t="s">
        <v>5397</v>
      </c>
      <c r="R5743" s="6"/>
      <c r="S5743" s="298"/>
    </row>
    <row r="5744" spans="14:19" hidden="1" x14ac:dyDescent="0.25">
      <c r="N5744" s="17">
        <v>773.999999999907</v>
      </c>
      <c r="O5744" s="16" t="s">
        <v>5398</v>
      </c>
      <c r="R5744" s="6"/>
      <c r="S5744" s="298"/>
    </row>
    <row r="5745" spans="14:19" hidden="1" x14ac:dyDescent="0.25">
      <c r="N5745" s="17">
        <v>774.09999999990703</v>
      </c>
      <c r="O5745" s="16" t="s">
        <v>7468</v>
      </c>
      <c r="R5745" s="6"/>
      <c r="S5745" s="298"/>
    </row>
    <row r="5746" spans="14:19" hidden="1" x14ac:dyDescent="0.25">
      <c r="N5746" s="17">
        <v>774.19999999990705</v>
      </c>
      <c r="O5746" s="16" t="s">
        <v>7469</v>
      </c>
      <c r="R5746" s="6"/>
      <c r="S5746" s="298"/>
    </row>
    <row r="5747" spans="14:19" hidden="1" x14ac:dyDescent="0.25">
      <c r="N5747" s="17">
        <v>774.29999999990605</v>
      </c>
      <c r="O5747" s="16" t="s">
        <v>7470</v>
      </c>
      <c r="R5747" s="6"/>
      <c r="S5747" s="298"/>
    </row>
    <row r="5748" spans="14:19" hidden="1" x14ac:dyDescent="0.25">
      <c r="N5748" s="17">
        <v>774.39999999990596</v>
      </c>
      <c r="O5748" s="16" t="s">
        <v>7471</v>
      </c>
      <c r="R5748" s="6"/>
      <c r="S5748" s="298"/>
    </row>
    <row r="5749" spans="14:19" hidden="1" x14ac:dyDescent="0.25">
      <c r="N5749" s="17">
        <v>774.49999999990598</v>
      </c>
      <c r="O5749" s="16" t="s">
        <v>7472</v>
      </c>
      <c r="R5749" s="6"/>
      <c r="S5749" s="298"/>
    </row>
    <row r="5750" spans="14:19" hidden="1" x14ac:dyDescent="0.25">
      <c r="N5750" s="17">
        <v>774.599999999906</v>
      </c>
      <c r="O5750" s="16" t="s">
        <v>7473</v>
      </c>
      <c r="R5750" s="6"/>
      <c r="S5750" s="298"/>
    </row>
    <row r="5751" spans="14:19" hidden="1" x14ac:dyDescent="0.25">
      <c r="N5751" s="17">
        <v>774.69999999990603</v>
      </c>
      <c r="O5751" s="16" t="s">
        <v>7474</v>
      </c>
      <c r="R5751" s="6"/>
      <c r="S5751" s="298"/>
    </row>
    <row r="5752" spans="14:19" hidden="1" x14ac:dyDescent="0.25">
      <c r="N5752" s="17">
        <v>774.79999999990605</v>
      </c>
      <c r="O5752" s="16" t="s">
        <v>7475</v>
      </c>
      <c r="R5752" s="6"/>
      <c r="S5752" s="298"/>
    </row>
    <row r="5753" spans="14:19" hidden="1" x14ac:dyDescent="0.25">
      <c r="N5753" s="17">
        <v>774.89999999990596</v>
      </c>
      <c r="O5753" s="16" t="s">
        <v>7476</v>
      </c>
      <c r="R5753" s="6"/>
      <c r="S5753" s="298"/>
    </row>
    <row r="5754" spans="14:19" hidden="1" x14ac:dyDescent="0.25">
      <c r="N5754" s="17">
        <v>774.99999999990598</v>
      </c>
      <c r="O5754" s="16" t="s">
        <v>7477</v>
      </c>
      <c r="R5754" s="6"/>
      <c r="S5754" s="298"/>
    </row>
    <row r="5755" spans="14:19" hidden="1" x14ac:dyDescent="0.25">
      <c r="N5755" s="17">
        <v>775.099999999906</v>
      </c>
      <c r="O5755" s="16" t="s">
        <v>7478</v>
      </c>
      <c r="R5755" s="6"/>
      <c r="S5755" s="298"/>
    </row>
    <row r="5756" spans="14:19" hidden="1" x14ac:dyDescent="0.25">
      <c r="N5756" s="17">
        <v>775.19999999990603</v>
      </c>
      <c r="O5756" s="16" t="s">
        <v>7479</v>
      </c>
      <c r="R5756" s="6"/>
      <c r="S5756" s="298"/>
    </row>
    <row r="5757" spans="14:19" hidden="1" x14ac:dyDescent="0.25">
      <c r="N5757" s="17">
        <v>775.29999999990605</v>
      </c>
      <c r="O5757" s="16" t="s">
        <v>7480</v>
      </c>
      <c r="R5757" s="6"/>
      <c r="S5757" s="298"/>
    </row>
    <row r="5758" spans="14:19" hidden="1" x14ac:dyDescent="0.25">
      <c r="N5758" s="17">
        <v>775.39999999990596</v>
      </c>
      <c r="O5758" s="16" t="s">
        <v>7481</v>
      </c>
      <c r="R5758" s="6"/>
      <c r="S5758" s="298"/>
    </row>
    <row r="5759" spans="14:19" hidden="1" x14ac:dyDescent="0.25">
      <c r="N5759" s="17">
        <v>775.49999999990598</v>
      </c>
      <c r="O5759" s="16" t="s">
        <v>7482</v>
      </c>
      <c r="R5759" s="6"/>
      <c r="S5759" s="298"/>
    </row>
    <row r="5760" spans="14:19" hidden="1" x14ac:dyDescent="0.25">
      <c r="N5760" s="17">
        <v>775.599999999906</v>
      </c>
      <c r="O5760" s="16" t="s">
        <v>7483</v>
      </c>
      <c r="R5760" s="6"/>
      <c r="S5760" s="298"/>
    </row>
    <row r="5761" spans="14:19" hidden="1" x14ac:dyDescent="0.25">
      <c r="N5761" s="17">
        <v>775.69999999990603</v>
      </c>
      <c r="O5761" s="16" t="s">
        <v>7484</v>
      </c>
      <c r="R5761" s="6"/>
      <c r="S5761" s="298"/>
    </row>
    <row r="5762" spans="14:19" hidden="1" x14ac:dyDescent="0.25">
      <c r="N5762" s="17">
        <v>775.79999999990605</v>
      </c>
      <c r="O5762" s="16" t="s">
        <v>7485</v>
      </c>
      <c r="R5762" s="6"/>
      <c r="S5762" s="298"/>
    </row>
    <row r="5763" spans="14:19" hidden="1" x14ac:dyDescent="0.25">
      <c r="N5763" s="17">
        <v>775.89999999990596</v>
      </c>
      <c r="O5763" s="16" t="s">
        <v>7486</v>
      </c>
      <c r="R5763" s="6"/>
      <c r="S5763" s="298"/>
    </row>
    <row r="5764" spans="14:19" hidden="1" x14ac:dyDescent="0.25">
      <c r="N5764" s="17">
        <v>775.99999999990598</v>
      </c>
      <c r="O5764" s="16" t="s">
        <v>7487</v>
      </c>
      <c r="R5764" s="6"/>
      <c r="S5764" s="298"/>
    </row>
    <row r="5765" spans="14:19" hidden="1" x14ac:dyDescent="0.25">
      <c r="N5765" s="17">
        <v>776.099999999906</v>
      </c>
      <c r="O5765" s="16" t="s">
        <v>7488</v>
      </c>
      <c r="R5765" s="6"/>
      <c r="S5765" s="298"/>
    </row>
    <row r="5766" spans="14:19" hidden="1" x14ac:dyDescent="0.25">
      <c r="N5766" s="17">
        <v>776.19999999990603</v>
      </c>
      <c r="O5766" s="16" t="s">
        <v>7489</v>
      </c>
      <c r="R5766" s="6"/>
      <c r="S5766" s="298"/>
    </row>
    <row r="5767" spans="14:19" hidden="1" x14ac:dyDescent="0.25">
      <c r="N5767" s="17">
        <v>776.29999999990605</v>
      </c>
      <c r="O5767" s="16" t="s">
        <v>7490</v>
      </c>
      <c r="R5767" s="6"/>
      <c r="S5767" s="298"/>
    </row>
    <row r="5768" spans="14:19" hidden="1" x14ac:dyDescent="0.25">
      <c r="N5768" s="17">
        <v>776.39999999990596</v>
      </c>
      <c r="O5768" s="16" t="s">
        <v>7491</v>
      </c>
      <c r="R5768" s="6"/>
      <c r="S5768" s="298"/>
    </row>
    <row r="5769" spans="14:19" hidden="1" x14ac:dyDescent="0.25">
      <c r="N5769" s="17">
        <v>776.49999999990598</v>
      </c>
      <c r="O5769" s="16" t="s">
        <v>7492</v>
      </c>
      <c r="R5769" s="6"/>
      <c r="S5769" s="298"/>
    </row>
    <row r="5770" spans="14:19" hidden="1" x14ac:dyDescent="0.25">
      <c r="N5770" s="17">
        <v>776.599999999906</v>
      </c>
      <c r="O5770" s="16" t="s">
        <v>7493</v>
      </c>
      <c r="R5770" s="6"/>
      <c r="S5770" s="298"/>
    </row>
    <row r="5771" spans="14:19" hidden="1" x14ac:dyDescent="0.25">
      <c r="N5771" s="17">
        <v>776.69999999990603</v>
      </c>
      <c r="O5771" s="16" t="s">
        <v>7494</v>
      </c>
      <c r="R5771" s="6"/>
      <c r="S5771" s="298"/>
    </row>
    <row r="5772" spans="14:19" hidden="1" x14ac:dyDescent="0.25">
      <c r="N5772" s="17">
        <v>776.79999999990605</v>
      </c>
      <c r="O5772" s="16" t="s">
        <v>7495</v>
      </c>
      <c r="R5772" s="6"/>
      <c r="S5772" s="298"/>
    </row>
    <row r="5773" spans="14:19" hidden="1" x14ac:dyDescent="0.25">
      <c r="N5773" s="17">
        <v>776.89999999990596</v>
      </c>
      <c r="O5773" s="16" t="s">
        <v>7496</v>
      </c>
      <c r="R5773" s="6"/>
      <c r="S5773" s="298"/>
    </row>
    <row r="5774" spans="14:19" hidden="1" x14ac:dyDescent="0.25">
      <c r="N5774" s="17">
        <v>776.99999999990598</v>
      </c>
      <c r="O5774" s="16" t="s">
        <v>7497</v>
      </c>
      <c r="R5774" s="6"/>
      <c r="S5774" s="298"/>
    </row>
    <row r="5775" spans="14:19" hidden="1" x14ac:dyDescent="0.25">
      <c r="N5775" s="17">
        <v>777.099999999906</v>
      </c>
      <c r="O5775" s="16" t="s">
        <v>7498</v>
      </c>
      <c r="R5775" s="6"/>
      <c r="S5775" s="298"/>
    </row>
    <row r="5776" spans="14:19" hidden="1" x14ac:dyDescent="0.25">
      <c r="N5776" s="17">
        <v>777.199999999905</v>
      </c>
      <c r="O5776" s="16" t="s">
        <v>7499</v>
      </c>
      <c r="R5776" s="6"/>
      <c r="S5776" s="298"/>
    </row>
    <row r="5777" spans="14:19" hidden="1" x14ac:dyDescent="0.25">
      <c r="N5777" s="17">
        <v>777.29999999990503</v>
      </c>
      <c r="O5777" s="16" t="s">
        <v>7500</v>
      </c>
      <c r="R5777" s="6"/>
      <c r="S5777" s="298"/>
    </row>
    <row r="5778" spans="14:19" hidden="1" x14ac:dyDescent="0.25">
      <c r="N5778" s="17">
        <v>777.39999999990505</v>
      </c>
      <c r="O5778" s="16" t="s">
        <v>7501</v>
      </c>
      <c r="R5778" s="6"/>
      <c r="S5778" s="298"/>
    </row>
    <row r="5779" spans="14:19" hidden="1" x14ac:dyDescent="0.25">
      <c r="N5779" s="17">
        <v>777.49999999990496</v>
      </c>
      <c r="O5779" s="16" t="s">
        <v>7502</v>
      </c>
      <c r="R5779" s="6"/>
      <c r="S5779" s="298"/>
    </row>
    <row r="5780" spans="14:19" hidden="1" x14ac:dyDescent="0.25">
      <c r="N5780" s="17">
        <v>777.59999999990498</v>
      </c>
      <c r="O5780" s="16" t="s">
        <v>7503</v>
      </c>
      <c r="R5780" s="6"/>
      <c r="S5780" s="298"/>
    </row>
    <row r="5781" spans="14:19" hidden="1" x14ac:dyDescent="0.25">
      <c r="N5781" s="17">
        <v>777.699999999905</v>
      </c>
      <c r="O5781" s="16" t="s">
        <v>7504</v>
      </c>
      <c r="R5781" s="6"/>
      <c r="S5781" s="298"/>
    </row>
    <row r="5782" spans="14:19" hidden="1" x14ac:dyDescent="0.25">
      <c r="N5782" s="17">
        <v>777.79999999990503</v>
      </c>
      <c r="O5782" s="16" t="s">
        <v>7505</v>
      </c>
      <c r="R5782" s="6"/>
      <c r="S5782" s="298"/>
    </row>
    <row r="5783" spans="14:19" hidden="1" x14ac:dyDescent="0.25">
      <c r="N5783" s="17">
        <v>777.89999999990505</v>
      </c>
      <c r="O5783" s="16" t="s">
        <v>7506</v>
      </c>
      <c r="R5783" s="6"/>
      <c r="S5783" s="298"/>
    </row>
    <row r="5784" spans="14:19" hidden="1" x14ac:dyDescent="0.25">
      <c r="N5784" s="17">
        <v>777.99999999990496</v>
      </c>
      <c r="O5784" s="16" t="s">
        <v>7507</v>
      </c>
      <c r="R5784" s="6"/>
      <c r="S5784" s="298"/>
    </row>
    <row r="5785" spans="14:19" hidden="1" x14ac:dyDescent="0.25">
      <c r="N5785" s="17">
        <v>778.09999999990498</v>
      </c>
      <c r="O5785" s="16" t="s">
        <v>7508</v>
      </c>
      <c r="R5785" s="6"/>
      <c r="S5785" s="298"/>
    </row>
    <row r="5786" spans="14:19" hidden="1" x14ac:dyDescent="0.25">
      <c r="N5786" s="17">
        <v>778.199999999905</v>
      </c>
      <c r="O5786" s="16" t="s">
        <v>7509</v>
      </c>
      <c r="R5786" s="6"/>
      <c r="S5786" s="298"/>
    </row>
    <row r="5787" spans="14:19" hidden="1" x14ac:dyDescent="0.25">
      <c r="N5787" s="17">
        <v>778.29999999990503</v>
      </c>
      <c r="O5787" s="16" t="s">
        <v>7510</v>
      </c>
      <c r="R5787" s="6"/>
      <c r="S5787" s="298"/>
    </row>
    <row r="5788" spans="14:19" hidden="1" x14ac:dyDescent="0.25">
      <c r="N5788" s="17">
        <v>778.39999999990505</v>
      </c>
      <c r="O5788" s="16" t="s">
        <v>7511</v>
      </c>
      <c r="R5788" s="6"/>
      <c r="S5788" s="298"/>
    </row>
    <row r="5789" spans="14:19" hidden="1" x14ac:dyDescent="0.25">
      <c r="N5789" s="17">
        <v>778.49999999990496</v>
      </c>
      <c r="O5789" s="16" t="s">
        <v>7512</v>
      </c>
      <c r="R5789" s="6"/>
      <c r="S5789" s="298"/>
    </row>
    <row r="5790" spans="14:19" hidden="1" x14ac:dyDescent="0.25">
      <c r="N5790" s="17">
        <v>778.59999999990498</v>
      </c>
      <c r="O5790" s="16" t="s">
        <v>7513</v>
      </c>
      <c r="R5790" s="6"/>
      <c r="S5790" s="298"/>
    </row>
    <row r="5791" spans="14:19" hidden="1" x14ac:dyDescent="0.25">
      <c r="N5791" s="17">
        <v>778.699999999905</v>
      </c>
      <c r="O5791" s="16" t="s">
        <v>7514</v>
      </c>
      <c r="R5791" s="6"/>
      <c r="S5791" s="298"/>
    </row>
    <row r="5792" spans="14:19" hidden="1" x14ac:dyDescent="0.25">
      <c r="N5792" s="17">
        <v>778.79999999990503</v>
      </c>
      <c r="O5792" s="16" t="s">
        <v>7515</v>
      </c>
      <c r="R5792" s="6"/>
      <c r="S5792" s="298"/>
    </row>
    <row r="5793" spans="14:19" hidden="1" x14ac:dyDescent="0.25">
      <c r="N5793" s="17">
        <v>778.89999999990505</v>
      </c>
      <c r="O5793" s="16" t="s">
        <v>7516</v>
      </c>
      <c r="R5793" s="6"/>
      <c r="S5793" s="298"/>
    </row>
    <row r="5794" spans="14:19" hidden="1" x14ac:dyDescent="0.25">
      <c r="N5794" s="17">
        <v>778.99999999990496</v>
      </c>
      <c r="O5794" s="16" t="s">
        <v>5434</v>
      </c>
      <c r="R5794" s="6"/>
      <c r="S5794" s="298"/>
    </row>
    <row r="5795" spans="14:19" hidden="1" x14ac:dyDescent="0.25">
      <c r="N5795" s="17">
        <v>779.09999999990498</v>
      </c>
      <c r="O5795" s="16" t="s">
        <v>5435</v>
      </c>
      <c r="R5795" s="6"/>
      <c r="S5795" s="298"/>
    </row>
    <row r="5796" spans="14:19" hidden="1" x14ac:dyDescent="0.25">
      <c r="N5796" s="17">
        <v>779.199999999905</v>
      </c>
      <c r="O5796" s="16" t="s">
        <v>5436</v>
      </c>
      <c r="R5796" s="6"/>
      <c r="S5796" s="298"/>
    </row>
    <row r="5797" spans="14:19" hidden="1" x14ac:dyDescent="0.25">
      <c r="N5797" s="17">
        <v>779.29999999990503</v>
      </c>
      <c r="O5797" s="16" t="s">
        <v>5437</v>
      </c>
      <c r="R5797" s="6"/>
      <c r="S5797" s="298"/>
    </row>
    <row r="5798" spans="14:19" hidden="1" x14ac:dyDescent="0.25">
      <c r="N5798" s="17">
        <v>779.39999999990505</v>
      </c>
      <c r="O5798" s="16" t="s">
        <v>5438</v>
      </c>
      <c r="R5798" s="6"/>
      <c r="S5798" s="298"/>
    </row>
    <row r="5799" spans="14:19" hidden="1" x14ac:dyDescent="0.25">
      <c r="N5799" s="17">
        <v>779.49999999990496</v>
      </c>
      <c r="O5799" s="16" t="s">
        <v>5439</v>
      </c>
      <c r="R5799" s="6"/>
      <c r="S5799" s="298"/>
    </row>
    <row r="5800" spans="14:19" hidden="1" x14ac:dyDescent="0.25">
      <c r="N5800" s="17">
        <v>779.59999999990498</v>
      </c>
      <c r="O5800" s="16" t="s">
        <v>5440</v>
      </c>
      <c r="R5800" s="6"/>
      <c r="S5800" s="298"/>
    </row>
    <row r="5801" spans="14:19" hidden="1" x14ac:dyDescent="0.25">
      <c r="N5801" s="17">
        <v>779.699999999905</v>
      </c>
      <c r="O5801" s="16" t="s">
        <v>5441</v>
      </c>
      <c r="R5801" s="6"/>
      <c r="S5801" s="298"/>
    </row>
    <row r="5802" spans="14:19" hidden="1" x14ac:dyDescent="0.25">
      <c r="N5802" s="17">
        <v>779.79999999990503</v>
      </c>
      <c r="O5802" s="16" t="s">
        <v>5442</v>
      </c>
      <c r="R5802" s="6"/>
      <c r="S5802" s="298"/>
    </row>
    <row r="5803" spans="14:19" hidden="1" x14ac:dyDescent="0.25">
      <c r="N5803" s="17">
        <v>779.89999999990505</v>
      </c>
      <c r="O5803" s="16" t="s">
        <v>5443</v>
      </c>
      <c r="R5803" s="6"/>
      <c r="S5803" s="298"/>
    </row>
    <row r="5804" spans="14:19" hidden="1" x14ac:dyDescent="0.25">
      <c r="N5804" s="17">
        <v>779.99999999990496</v>
      </c>
      <c r="O5804" s="16" t="s">
        <v>5444</v>
      </c>
      <c r="R5804" s="6"/>
      <c r="S5804" s="298"/>
    </row>
    <row r="5805" spans="14:19" hidden="1" x14ac:dyDescent="0.25">
      <c r="N5805" s="17">
        <v>780.09999999990498</v>
      </c>
      <c r="O5805" s="16" t="s">
        <v>5445</v>
      </c>
      <c r="R5805" s="6"/>
      <c r="S5805" s="298"/>
    </row>
    <row r="5806" spans="14:19" hidden="1" x14ac:dyDescent="0.25">
      <c r="N5806" s="17">
        <v>780.19999999990398</v>
      </c>
      <c r="O5806" s="16" t="s">
        <v>5446</v>
      </c>
      <c r="R5806" s="6"/>
      <c r="S5806" s="298"/>
    </row>
    <row r="5807" spans="14:19" hidden="1" x14ac:dyDescent="0.25">
      <c r="N5807" s="17">
        <v>780.299999999904</v>
      </c>
      <c r="O5807" s="16" t="s">
        <v>5447</v>
      </c>
      <c r="R5807" s="6"/>
      <c r="S5807" s="298"/>
    </row>
    <row r="5808" spans="14:19" hidden="1" x14ac:dyDescent="0.25">
      <c r="N5808" s="17">
        <v>780.39999999990403</v>
      </c>
      <c r="O5808" s="16" t="s">
        <v>5448</v>
      </c>
      <c r="R5808" s="6"/>
      <c r="S5808" s="298"/>
    </row>
    <row r="5809" spans="14:19" hidden="1" x14ac:dyDescent="0.25">
      <c r="N5809" s="17">
        <v>780.49999999990405</v>
      </c>
      <c r="O5809" s="16" t="s">
        <v>5449</v>
      </c>
      <c r="R5809" s="6"/>
      <c r="S5809" s="298"/>
    </row>
    <row r="5810" spans="14:19" hidden="1" x14ac:dyDescent="0.25">
      <c r="N5810" s="17">
        <v>780.59999999990396</v>
      </c>
      <c r="O5810" s="16" t="s">
        <v>5450</v>
      </c>
      <c r="R5810" s="6"/>
      <c r="S5810" s="298"/>
    </row>
    <row r="5811" spans="14:19" hidden="1" x14ac:dyDescent="0.25">
      <c r="N5811" s="17">
        <v>780.69999999990398</v>
      </c>
      <c r="O5811" s="16" t="s">
        <v>8394</v>
      </c>
      <c r="R5811" s="6"/>
      <c r="S5811" s="298"/>
    </row>
    <row r="5812" spans="14:19" hidden="1" x14ac:dyDescent="0.25">
      <c r="N5812" s="17">
        <v>780.799999999904</v>
      </c>
      <c r="O5812" s="16" t="s">
        <v>8395</v>
      </c>
      <c r="R5812" s="6"/>
      <c r="S5812" s="298"/>
    </row>
    <row r="5813" spans="14:19" hidden="1" x14ac:dyDescent="0.25">
      <c r="N5813" s="17">
        <v>780.89999999990403</v>
      </c>
      <c r="O5813" s="16" t="s">
        <v>8396</v>
      </c>
      <c r="R5813" s="6"/>
      <c r="S5813" s="298"/>
    </row>
    <row r="5814" spans="14:19" hidden="1" x14ac:dyDescent="0.25">
      <c r="N5814" s="17">
        <v>780.99999999990405</v>
      </c>
      <c r="O5814" s="16" t="s">
        <v>8397</v>
      </c>
      <c r="R5814" s="6"/>
      <c r="S5814" s="298"/>
    </row>
    <row r="5815" spans="14:19" hidden="1" x14ac:dyDescent="0.25">
      <c r="N5815" s="17">
        <v>781.09999999990396</v>
      </c>
      <c r="O5815" s="16" t="s">
        <v>8398</v>
      </c>
      <c r="R5815" s="6"/>
      <c r="S5815" s="298"/>
    </row>
    <row r="5816" spans="14:19" hidden="1" x14ac:dyDescent="0.25">
      <c r="N5816" s="17">
        <v>781.19999999990398</v>
      </c>
      <c r="O5816" s="16" t="s">
        <v>8399</v>
      </c>
      <c r="R5816" s="6"/>
      <c r="S5816" s="298"/>
    </row>
    <row r="5817" spans="14:19" hidden="1" x14ac:dyDescent="0.25">
      <c r="N5817" s="17">
        <v>781.299999999904</v>
      </c>
      <c r="O5817" s="16" t="s">
        <v>8400</v>
      </c>
      <c r="R5817" s="6"/>
      <c r="S5817" s="298"/>
    </row>
    <row r="5818" spans="14:19" hidden="1" x14ac:dyDescent="0.25">
      <c r="N5818" s="17">
        <v>781.39999999990403</v>
      </c>
      <c r="O5818" s="16" t="s">
        <v>8401</v>
      </c>
      <c r="R5818" s="6"/>
      <c r="S5818" s="298"/>
    </row>
    <row r="5819" spans="14:19" hidden="1" x14ac:dyDescent="0.25">
      <c r="N5819" s="17">
        <v>781.49999999990405</v>
      </c>
      <c r="O5819" s="16" t="s">
        <v>8402</v>
      </c>
      <c r="R5819" s="6"/>
      <c r="S5819" s="298"/>
    </row>
    <row r="5820" spans="14:19" hidden="1" x14ac:dyDescent="0.25">
      <c r="N5820" s="17">
        <v>781.59999999990396</v>
      </c>
      <c r="O5820" s="16" t="s">
        <v>8403</v>
      </c>
      <c r="R5820" s="6"/>
      <c r="S5820" s="298"/>
    </row>
    <row r="5821" spans="14:19" hidden="1" x14ac:dyDescent="0.25">
      <c r="N5821" s="17">
        <v>781.69999999990398</v>
      </c>
      <c r="O5821" s="16" t="s">
        <v>8404</v>
      </c>
      <c r="R5821" s="6"/>
      <c r="S5821" s="298"/>
    </row>
    <row r="5822" spans="14:19" hidden="1" x14ac:dyDescent="0.25">
      <c r="N5822" s="17">
        <v>781.799999999904</v>
      </c>
      <c r="O5822" s="16" t="s">
        <v>8405</v>
      </c>
      <c r="R5822" s="6"/>
      <c r="S5822" s="298"/>
    </row>
    <row r="5823" spans="14:19" hidden="1" x14ac:dyDescent="0.25">
      <c r="N5823" s="17">
        <v>781.89999999990403</v>
      </c>
      <c r="O5823" s="16" t="s">
        <v>8406</v>
      </c>
      <c r="R5823" s="6"/>
      <c r="S5823" s="298"/>
    </row>
    <row r="5824" spans="14:19" hidden="1" x14ac:dyDescent="0.25">
      <c r="N5824" s="17">
        <v>781.99999999990405</v>
      </c>
      <c r="O5824" s="16" t="s">
        <v>8407</v>
      </c>
      <c r="R5824" s="6"/>
      <c r="S5824" s="298"/>
    </row>
    <row r="5825" spans="14:19" hidden="1" x14ac:dyDescent="0.25">
      <c r="N5825" s="17">
        <v>782.09999999990396</v>
      </c>
      <c r="O5825" s="16" t="s">
        <v>8408</v>
      </c>
      <c r="R5825" s="6"/>
      <c r="S5825" s="298"/>
    </row>
    <row r="5826" spans="14:19" hidden="1" x14ac:dyDescent="0.25">
      <c r="N5826" s="17">
        <v>782.19999999990398</v>
      </c>
      <c r="O5826" s="16" t="s">
        <v>8409</v>
      </c>
      <c r="R5826" s="6"/>
      <c r="S5826" s="298"/>
    </row>
    <row r="5827" spans="14:19" hidden="1" x14ac:dyDescent="0.25">
      <c r="N5827" s="17">
        <v>782.299999999904</v>
      </c>
      <c r="O5827" s="16" t="s">
        <v>8410</v>
      </c>
      <c r="R5827" s="6"/>
      <c r="S5827" s="298"/>
    </row>
    <row r="5828" spans="14:19" hidden="1" x14ac:dyDescent="0.25">
      <c r="N5828" s="17">
        <v>782.39999999990403</v>
      </c>
      <c r="O5828" s="16" t="s">
        <v>7281</v>
      </c>
      <c r="R5828" s="6"/>
      <c r="S5828" s="298"/>
    </row>
    <row r="5829" spans="14:19" hidden="1" x14ac:dyDescent="0.25">
      <c r="N5829" s="17">
        <v>782.49999999990405</v>
      </c>
      <c r="O5829" s="16" t="s">
        <v>7282</v>
      </c>
      <c r="R5829" s="6"/>
      <c r="S5829" s="298"/>
    </row>
    <row r="5830" spans="14:19" hidden="1" x14ac:dyDescent="0.25">
      <c r="N5830" s="17">
        <v>782.59999999990396</v>
      </c>
      <c r="O5830" s="16" t="s">
        <v>7283</v>
      </c>
      <c r="R5830" s="6"/>
      <c r="S5830" s="298"/>
    </row>
    <row r="5831" spans="14:19" hidden="1" x14ac:dyDescent="0.25">
      <c r="N5831" s="17">
        <v>782.69999999990398</v>
      </c>
      <c r="O5831" s="16" t="s">
        <v>7284</v>
      </c>
      <c r="R5831" s="6"/>
      <c r="S5831" s="298"/>
    </row>
    <row r="5832" spans="14:19" hidden="1" x14ac:dyDescent="0.25">
      <c r="N5832" s="17">
        <v>782.799999999904</v>
      </c>
      <c r="O5832" s="16" t="s">
        <v>7285</v>
      </c>
      <c r="R5832" s="6"/>
      <c r="S5832" s="298"/>
    </row>
    <row r="5833" spans="14:19" hidden="1" x14ac:dyDescent="0.25">
      <c r="N5833" s="17">
        <v>782.89999999990403</v>
      </c>
      <c r="O5833" s="16" t="s">
        <v>7286</v>
      </c>
      <c r="R5833" s="6"/>
      <c r="S5833" s="298"/>
    </row>
    <row r="5834" spans="14:19" hidden="1" x14ac:dyDescent="0.25">
      <c r="N5834" s="17">
        <v>782.99999999990405</v>
      </c>
      <c r="O5834" s="16" t="s">
        <v>7287</v>
      </c>
      <c r="R5834" s="6"/>
      <c r="S5834" s="298"/>
    </row>
    <row r="5835" spans="14:19" hidden="1" x14ac:dyDescent="0.25">
      <c r="N5835" s="17">
        <v>783.09999999990305</v>
      </c>
      <c r="O5835" s="16" t="s">
        <v>7538</v>
      </c>
      <c r="R5835" s="6"/>
      <c r="S5835" s="298"/>
    </row>
    <row r="5836" spans="14:19" hidden="1" x14ac:dyDescent="0.25">
      <c r="N5836" s="17">
        <v>783.19999999990296</v>
      </c>
      <c r="O5836" s="16" t="s">
        <v>7539</v>
      </c>
      <c r="R5836" s="6"/>
      <c r="S5836" s="298"/>
    </row>
    <row r="5837" spans="14:19" hidden="1" x14ac:dyDescent="0.25">
      <c r="N5837" s="17">
        <v>783.29999999990298</v>
      </c>
      <c r="O5837" s="16" t="s">
        <v>7540</v>
      </c>
      <c r="R5837" s="6"/>
      <c r="S5837" s="298"/>
    </row>
    <row r="5838" spans="14:19" hidden="1" x14ac:dyDescent="0.25">
      <c r="N5838" s="17">
        <v>783.399999999903</v>
      </c>
      <c r="O5838" s="16" t="s">
        <v>5488</v>
      </c>
      <c r="R5838" s="6"/>
      <c r="S5838" s="298"/>
    </row>
    <row r="5839" spans="14:19" hidden="1" x14ac:dyDescent="0.25">
      <c r="N5839" s="17">
        <v>783.49999999990303</v>
      </c>
      <c r="O5839" s="16" t="s">
        <v>5489</v>
      </c>
      <c r="R5839" s="6"/>
      <c r="S5839" s="298"/>
    </row>
    <row r="5840" spans="14:19" hidden="1" x14ac:dyDescent="0.25">
      <c r="N5840" s="17">
        <v>783.59999999990305</v>
      </c>
      <c r="O5840" s="16" t="s">
        <v>5490</v>
      </c>
      <c r="R5840" s="6"/>
      <c r="S5840" s="298"/>
    </row>
    <row r="5841" spans="14:19" hidden="1" x14ac:dyDescent="0.25">
      <c r="N5841" s="17">
        <v>783.69999999990296</v>
      </c>
      <c r="O5841" s="16" t="s">
        <v>5491</v>
      </c>
      <c r="R5841" s="6"/>
      <c r="S5841" s="298"/>
    </row>
    <row r="5842" spans="14:19" hidden="1" x14ac:dyDescent="0.25">
      <c r="N5842" s="17">
        <v>783.79999999990298</v>
      </c>
      <c r="O5842" s="16" t="s">
        <v>5492</v>
      </c>
      <c r="R5842" s="6"/>
      <c r="S5842" s="298"/>
    </row>
    <row r="5843" spans="14:19" hidden="1" x14ac:dyDescent="0.25">
      <c r="N5843" s="17">
        <v>783.899999999903</v>
      </c>
      <c r="O5843" s="16" t="s">
        <v>5493</v>
      </c>
      <c r="R5843" s="6"/>
      <c r="S5843" s="298"/>
    </row>
    <row r="5844" spans="14:19" hidden="1" x14ac:dyDescent="0.25">
      <c r="N5844" s="17">
        <v>783.99999999990303</v>
      </c>
      <c r="O5844" s="16" t="s">
        <v>5494</v>
      </c>
      <c r="R5844" s="6"/>
      <c r="S5844" s="298"/>
    </row>
    <row r="5845" spans="14:19" hidden="1" x14ac:dyDescent="0.25">
      <c r="N5845" s="17">
        <v>784.09999999990305</v>
      </c>
      <c r="O5845" s="16" t="s">
        <v>5495</v>
      </c>
      <c r="R5845" s="6"/>
      <c r="S5845" s="298"/>
    </row>
    <row r="5846" spans="14:19" hidden="1" x14ac:dyDescent="0.25">
      <c r="N5846" s="17">
        <v>784.19999999990296</v>
      </c>
      <c r="O5846" s="16" t="s">
        <v>5496</v>
      </c>
      <c r="R5846" s="6"/>
      <c r="S5846" s="298"/>
    </row>
    <row r="5847" spans="14:19" hidden="1" x14ac:dyDescent="0.25">
      <c r="N5847" s="17">
        <v>784.29999999990298</v>
      </c>
      <c r="O5847" s="16" t="s">
        <v>5497</v>
      </c>
      <c r="R5847" s="6"/>
      <c r="S5847" s="298"/>
    </row>
    <row r="5848" spans="14:19" hidden="1" x14ac:dyDescent="0.25">
      <c r="N5848" s="17">
        <v>784.399999999903</v>
      </c>
      <c r="O5848" s="16" t="s">
        <v>5498</v>
      </c>
      <c r="R5848" s="6"/>
      <c r="S5848" s="298"/>
    </row>
    <row r="5849" spans="14:19" hidden="1" x14ac:dyDescent="0.25">
      <c r="N5849" s="17">
        <v>784.49999999990303</v>
      </c>
      <c r="O5849" s="16" t="s">
        <v>5499</v>
      </c>
      <c r="R5849" s="6"/>
      <c r="S5849" s="298"/>
    </row>
    <row r="5850" spans="14:19" hidden="1" x14ac:dyDescent="0.25">
      <c r="N5850" s="17">
        <v>784.59999999990305</v>
      </c>
      <c r="O5850" s="16" t="s">
        <v>5500</v>
      </c>
      <c r="R5850" s="6"/>
      <c r="S5850" s="298"/>
    </row>
    <row r="5851" spans="14:19" hidden="1" x14ac:dyDescent="0.25">
      <c r="N5851" s="17">
        <v>784.69999999990296</v>
      </c>
      <c r="O5851" s="16" t="s">
        <v>5501</v>
      </c>
      <c r="R5851" s="6"/>
      <c r="S5851" s="298"/>
    </row>
    <row r="5852" spans="14:19" hidden="1" x14ac:dyDescent="0.25">
      <c r="N5852" s="17">
        <v>784.79999999990298</v>
      </c>
      <c r="O5852" s="16" t="s">
        <v>5502</v>
      </c>
      <c r="R5852" s="6"/>
      <c r="S5852" s="298"/>
    </row>
    <row r="5853" spans="14:19" hidden="1" x14ac:dyDescent="0.25">
      <c r="N5853" s="17">
        <v>784.899999999903</v>
      </c>
      <c r="O5853" s="16" t="s">
        <v>5503</v>
      </c>
      <c r="R5853" s="6"/>
      <c r="S5853" s="298"/>
    </row>
    <row r="5854" spans="14:19" hidden="1" x14ac:dyDescent="0.25">
      <c r="N5854" s="17">
        <v>784.99999999990303</v>
      </c>
      <c r="O5854" s="16" t="s">
        <v>5504</v>
      </c>
      <c r="R5854" s="6"/>
      <c r="S5854" s="298"/>
    </row>
    <row r="5855" spans="14:19" hidden="1" x14ac:dyDescent="0.25">
      <c r="N5855" s="17">
        <v>785.09999999990305</v>
      </c>
      <c r="O5855" s="16" t="s">
        <v>5505</v>
      </c>
      <c r="R5855" s="6"/>
      <c r="S5855" s="298"/>
    </row>
    <row r="5856" spans="14:19" hidden="1" x14ac:dyDescent="0.25">
      <c r="N5856" s="17">
        <v>785.19999999990296</v>
      </c>
      <c r="O5856" s="16" t="s">
        <v>5506</v>
      </c>
      <c r="R5856" s="6"/>
      <c r="S5856" s="298"/>
    </row>
    <row r="5857" spans="14:19" hidden="1" x14ac:dyDescent="0.25">
      <c r="N5857" s="17">
        <v>785.29999999990298</v>
      </c>
      <c r="O5857" s="16" t="s">
        <v>5507</v>
      </c>
      <c r="R5857" s="6"/>
      <c r="S5857" s="298"/>
    </row>
    <row r="5858" spans="14:19" hidden="1" x14ac:dyDescent="0.25">
      <c r="N5858" s="17">
        <v>785.399999999903</v>
      </c>
      <c r="O5858" s="16" t="s">
        <v>5508</v>
      </c>
      <c r="R5858" s="6"/>
      <c r="S5858" s="298"/>
    </row>
    <row r="5859" spans="14:19" hidden="1" x14ac:dyDescent="0.25">
      <c r="N5859" s="17">
        <v>785.49999999990303</v>
      </c>
      <c r="O5859" s="16" t="s">
        <v>5509</v>
      </c>
      <c r="R5859" s="6"/>
      <c r="S5859" s="298"/>
    </row>
    <row r="5860" spans="14:19" hidden="1" x14ac:dyDescent="0.25">
      <c r="N5860" s="17">
        <v>785.59999999990305</v>
      </c>
      <c r="O5860" s="16" t="s">
        <v>5510</v>
      </c>
      <c r="R5860" s="6"/>
      <c r="S5860" s="298"/>
    </row>
    <row r="5861" spans="14:19" hidden="1" x14ac:dyDescent="0.25">
      <c r="N5861" s="17">
        <v>785.69999999990296</v>
      </c>
      <c r="O5861" s="16" t="s">
        <v>5511</v>
      </c>
      <c r="R5861" s="6"/>
      <c r="S5861" s="298"/>
    </row>
    <row r="5862" spans="14:19" hidden="1" x14ac:dyDescent="0.25">
      <c r="N5862" s="17">
        <v>785.79999999990298</v>
      </c>
      <c r="O5862" s="16" t="s">
        <v>5512</v>
      </c>
      <c r="R5862" s="6"/>
      <c r="S5862" s="298"/>
    </row>
    <row r="5863" spans="14:19" hidden="1" x14ac:dyDescent="0.25">
      <c r="N5863" s="17">
        <v>785.899999999903</v>
      </c>
      <c r="O5863" s="16" t="s">
        <v>5513</v>
      </c>
      <c r="R5863" s="6"/>
      <c r="S5863" s="298"/>
    </row>
    <row r="5864" spans="14:19" hidden="1" x14ac:dyDescent="0.25">
      <c r="N5864" s="17">
        <v>785.999999999902</v>
      </c>
      <c r="O5864" s="16" t="s">
        <v>5514</v>
      </c>
      <c r="R5864" s="6"/>
      <c r="S5864" s="298"/>
    </row>
    <row r="5865" spans="14:19" hidden="1" x14ac:dyDescent="0.25">
      <c r="N5865" s="17">
        <v>786.09999999990202</v>
      </c>
      <c r="O5865" s="16" t="s">
        <v>5505</v>
      </c>
      <c r="R5865" s="6"/>
      <c r="S5865" s="298"/>
    </row>
    <row r="5866" spans="14:19" hidden="1" x14ac:dyDescent="0.25">
      <c r="N5866" s="17">
        <v>786.19999999990205</v>
      </c>
      <c r="O5866" s="16" t="s">
        <v>5506</v>
      </c>
      <c r="R5866" s="6"/>
      <c r="S5866" s="298"/>
    </row>
    <row r="5867" spans="14:19" hidden="1" x14ac:dyDescent="0.25">
      <c r="N5867" s="17">
        <v>786.29999999990196</v>
      </c>
      <c r="O5867" s="16" t="s">
        <v>5507</v>
      </c>
      <c r="R5867" s="6"/>
      <c r="S5867" s="298"/>
    </row>
    <row r="5868" spans="14:19" hidden="1" x14ac:dyDescent="0.25">
      <c r="N5868" s="17">
        <v>786.39999999990198</v>
      </c>
      <c r="O5868" s="16" t="s">
        <v>5508</v>
      </c>
      <c r="R5868" s="6"/>
      <c r="S5868" s="298"/>
    </row>
    <row r="5869" spans="14:19" hidden="1" x14ac:dyDescent="0.25">
      <c r="N5869" s="17">
        <v>786.499999999902</v>
      </c>
      <c r="O5869" s="16" t="s">
        <v>5509</v>
      </c>
      <c r="R5869" s="6"/>
      <c r="S5869" s="298"/>
    </row>
    <row r="5870" spans="14:19" hidden="1" x14ac:dyDescent="0.25">
      <c r="N5870" s="17">
        <v>786.59999999990202</v>
      </c>
      <c r="O5870" s="16" t="s">
        <v>5510</v>
      </c>
      <c r="R5870" s="6"/>
      <c r="S5870" s="298"/>
    </row>
    <row r="5871" spans="14:19" hidden="1" x14ac:dyDescent="0.25">
      <c r="N5871" s="17">
        <v>786.69999999990205</v>
      </c>
      <c r="O5871" s="16" t="s">
        <v>5511</v>
      </c>
      <c r="R5871" s="6"/>
      <c r="S5871" s="298"/>
    </row>
    <row r="5872" spans="14:19" hidden="1" x14ac:dyDescent="0.25">
      <c r="N5872" s="17">
        <v>786.79999999990196</v>
      </c>
      <c r="O5872" s="16" t="s">
        <v>5512</v>
      </c>
      <c r="R5872" s="6"/>
      <c r="S5872" s="298"/>
    </row>
    <row r="5873" spans="14:19" hidden="1" x14ac:dyDescent="0.25">
      <c r="N5873" s="17">
        <v>786.89999999990198</v>
      </c>
      <c r="O5873" s="16" t="s">
        <v>5513</v>
      </c>
      <c r="R5873" s="6"/>
      <c r="S5873" s="298"/>
    </row>
    <row r="5874" spans="14:19" hidden="1" x14ac:dyDescent="0.25">
      <c r="N5874" s="17">
        <v>786.999999999902</v>
      </c>
      <c r="O5874" s="16" t="s">
        <v>5515</v>
      </c>
      <c r="R5874" s="6"/>
      <c r="S5874" s="298"/>
    </row>
    <row r="5875" spans="14:19" hidden="1" x14ac:dyDescent="0.25">
      <c r="N5875" s="17">
        <v>787.09999999990202</v>
      </c>
      <c r="O5875" s="16" t="s">
        <v>5516</v>
      </c>
      <c r="R5875" s="6"/>
      <c r="S5875" s="298"/>
    </row>
    <row r="5876" spans="14:19" hidden="1" x14ac:dyDescent="0.25">
      <c r="N5876" s="17">
        <v>787.19999999990205</v>
      </c>
      <c r="O5876" s="16" t="s">
        <v>5517</v>
      </c>
      <c r="R5876" s="6"/>
      <c r="S5876" s="298"/>
    </row>
    <row r="5877" spans="14:19" hidden="1" x14ac:dyDescent="0.25">
      <c r="N5877" s="17">
        <v>787.29999999990196</v>
      </c>
      <c r="O5877" s="16" t="s">
        <v>5518</v>
      </c>
      <c r="R5877" s="6"/>
      <c r="S5877" s="298"/>
    </row>
    <row r="5878" spans="14:19" hidden="1" x14ac:dyDescent="0.25">
      <c r="N5878" s="17">
        <v>787.39999999990198</v>
      </c>
      <c r="O5878" s="16" t="s">
        <v>5519</v>
      </c>
      <c r="R5878" s="6"/>
      <c r="S5878" s="298"/>
    </row>
    <row r="5879" spans="14:19" hidden="1" x14ac:dyDescent="0.25">
      <c r="N5879" s="17">
        <v>787.499999999902</v>
      </c>
      <c r="O5879" s="16" t="s">
        <v>5520</v>
      </c>
      <c r="R5879" s="6"/>
      <c r="S5879" s="298"/>
    </row>
    <row r="5880" spans="14:19" hidden="1" x14ac:dyDescent="0.25">
      <c r="N5880" s="17">
        <v>787.59999999990202</v>
      </c>
      <c r="O5880" s="16" t="s">
        <v>5521</v>
      </c>
      <c r="R5880" s="6"/>
      <c r="S5880" s="298"/>
    </row>
    <row r="5881" spans="14:19" hidden="1" x14ac:dyDescent="0.25">
      <c r="N5881" s="17">
        <v>787.69999999990205</v>
      </c>
      <c r="O5881" s="16" t="s">
        <v>5522</v>
      </c>
      <c r="R5881" s="6"/>
      <c r="S5881" s="298"/>
    </row>
    <row r="5882" spans="14:19" hidden="1" x14ac:dyDescent="0.25">
      <c r="N5882" s="17">
        <v>787.79999999990196</v>
      </c>
      <c r="O5882" s="16" t="s">
        <v>5523</v>
      </c>
      <c r="R5882" s="6"/>
      <c r="S5882" s="298"/>
    </row>
    <row r="5883" spans="14:19" hidden="1" x14ac:dyDescent="0.25">
      <c r="N5883" s="17">
        <v>787.89999999990198</v>
      </c>
      <c r="O5883" s="16" t="s">
        <v>3408</v>
      </c>
      <c r="R5883" s="6"/>
      <c r="S5883" s="298"/>
    </row>
    <row r="5884" spans="14:19" hidden="1" x14ac:dyDescent="0.25">
      <c r="N5884" s="17">
        <v>787.999999999902</v>
      </c>
      <c r="O5884" s="16" t="s">
        <v>3409</v>
      </c>
      <c r="R5884" s="6"/>
      <c r="S5884" s="298"/>
    </row>
    <row r="5885" spans="14:19" hidden="1" x14ac:dyDescent="0.25">
      <c r="N5885" s="17">
        <v>788.09999999990202</v>
      </c>
      <c r="O5885" s="16" t="s">
        <v>3410</v>
      </c>
      <c r="R5885" s="6"/>
      <c r="S5885" s="298"/>
    </row>
    <row r="5886" spans="14:19" hidden="1" x14ac:dyDescent="0.25">
      <c r="N5886" s="17">
        <v>788.19999999990205</v>
      </c>
      <c r="O5886" s="16" t="s">
        <v>3411</v>
      </c>
      <c r="R5886" s="6"/>
      <c r="S5886" s="298"/>
    </row>
    <row r="5887" spans="14:19" hidden="1" x14ac:dyDescent="0.25">
      <c r="N5887" s="17">
        <v>788.29999999990196</v>
      </c>
      <c r="O5887" s="16" t="s">
        <v>3412</v>
      </c>
      <c r="R5887" s="6"/>
      <c r="S5887" s="298"/>
    </row>
    <row r="5888" spans="14:19" hidden="1" x14ac:dyDescent="0.25">
      <c r="N5888" s="17">
        <v>788.39999999990198</v>
      </c>
      <c r="O5888" s="16" t="s">
        <v>3413</v>
      </c>
      <c r="R5888" s="6"/>
      <c r="S5888" s="298"/>
    </row>
    <row r="5889" spans="14:19" hidden="1" x14ac:dyDescent="0.25">
      <c r="N5889" s="17">
        <v>788.499999999902</v>
      </c>
      <c r="O5889" s="16" t="s">
        <v>3414</v>
      </c>
      <c r="R5889" s="6"/>
      <c r="S5889" s="298"/>
    </row>
    <row r="5890" spans="14:19" hidden="1" x14ac:dyDescent="0.25">
      <c r="N5890" s="17">
        <v>788.59999999990202</v>
      </c>
      <c r="O5890" s="16" t="s">
        <v>3415</v>
      </c>
      <c r="R5890" s="6"/>
      <c r="S5890" s="298"/>
    </row>
    <row r="5891" spans="14:19" hidden="1" x14ac:dyDescent="0.25">
      <c r="N5891" s="17">
        <v>788.69999999990205</v>
      </c>
      <c r="O5891" s="16" t="s">
        <v>3416</v>
      </c>
      <c r="R5891" s="6"/>
      <c r="S5891" s="298"/>
    </row>
    <row r="5892" spans="14:19" hidden="1" x14ac:dyDescent="0.25">
      <c r="N5892" s="17">
        <v>788.79999999990196</v>
      </c>
      <c r="O5892" s="16" t="s">
        <v>3417</v>
      </c>
      <c r="R5892" s="6"/>
      <c r="S5892" s="298"/>
    </row>
    <row r="5893" spans="14:19" hidden="1" x14ac:dyDescent="0.25">
      <c r="N5893" s="17">
        <v>788.89999999990198</v>
      </c>
      <c r="O5893" s="16" t="s">
        <v>3418</v>
      </c>
      <c r="R5893" s="6"/>
      <c r="S5893" s="298"/>
    </row>
    <row r="5894" spans="14:19" hidden="1" x14ac:dyDescent="0.25">
      <c r="N5894" s="17">
        <v>788.99999999990098</v>
      </c>
      <c r="O5894" s="16" t="s">
        <v>3419</v>
      </c>
      <c r="R5894" s="6"/>
      <c r="S5894" s="298"/>
    </row>
    <row r="5895" spans="14:19" hidden="1" x14ac:dyDescent="0.25">
      <c r="N5895" s="17">
        <v>789.099999999901</v>
      </c>
      <c r="O5895" s="16" t="s">
        <v>3420</v>
      </c>
      <c r="R5895" s="6"/>
      <c r="S5895" s="298"/>
    </row>
    <row r="5896" spans="14:19" hidden="1" x14ac:dyDescent="0.25">
      <c r="N5896" s="17">
        <v>789.19999999990102</v>
      </c>
      <c r="O5896" s="16" t="s">
        <v>3421</v>
      </c>
      <c r="R5896" s="6"/>
      <c r="S5896" s="298"/>
    </row>
    <row r="5897" spans="14:19" hidden="1" x14ac:dyDescent="0.25">
      <c r="N5897" s="17">
        <v>789.29999999990105</v>
      </c>
      <c r="O5897" s="16" t="s">
        <v>3422</v>
      </c>
      <c r="R5897" s="6"/>
      <c r="S5897" s="298"/>
    </row>
    <row r="5898" spans="14:19" hidden="1" x14ac:dyDescent="0.25">
      <c r="N5898" s="17">
        <v>789.39999999990096</v>
      </c>
      <c r="O5898" s="16" t="s">
        <v>3423</v>
      </c>
      <c r="R5898" s="6"/>
      <c r="S5898" s="298"/>
    </row>
    <row r="5899" spans="14:19" hidden="1" x14ac:dyDescent="0.25">
      <c r="N5899" s="17">
        <v>789.49999999990098</v>
      </c>
      <c r="O5899" s="16" t="s">
        <v>3424</v>
      </c>
      <c r="R5899" s="6"/>
      <c r="S5899" s="298"/>
    </row>
    <row r="5900" spans="14:19" hidden="1" x14ac:dyDescent="0.25">
      <c r="N5900" s="17">
        <v>789.599999999901</v>
      </c>
      <c r="O5900" s="16" t="s">
        <v>3425</v>
      </c>
      <c r="R5900" s="6"/>
      <c r="S5900" s="298"/>
    </row>
    <row r="5901" spans="14:19" hidden="1" x14ac:dyDescent="0.25">
      <c r="N5901" s="17">
        <v>789.69999999990102</v>
      </c>
      <c r="O5901" s="16" t="s">
        <v>3426</v>
      </c>
      <c r="R5901" s="6"/>
      <c r="S5901" s="298"/>
    </row>
    <row r="5902" spans="14:19" hidden="1" x14ac:dyDescent="0.25">
      <c r="N5902" s="17">
        <v>789.79999999990105</v>
      </c>
      <c r="O5902" s="16" t="s">
        <v>3427</v>
      </c>
      <c r="R5902" s="6"/>
      <c r="S5902" s="298"/>
    </row>
    <row r="5903" spans="14:19" hidden="1" x14ac:dyDescent="0.25">
      <c r="N5903" s="17">
        <v>789.89999999990096</v>
      </c>
      <c r="O5903" s="16" t="s">
        <v>3428</v>
      </c>
      <c r="R5903" s="6"/>
      <c r="S5903" s="298"/>
    </row>
    <row r="5904" spans="14:19" hidden="1" x14ac:dyDescent="0.25">
      <c r="N5904" s="17">
        <v>789.99999999990098</v>
      </c>
      <c r="O5904" s="16" t="s">
        <v>5557</v>
      </c>
      <c r="R5904" s="6"/>
      <c r="S5904" s="298"/>
    </row>
    <row r="5905" spans="14:19" hidden="1" x14ac:dyDescent="0.25">
      <c r="N5905" s="17">
        <v>790.099999999901</v>
      </c>
      <c r="O5905" s="16" t="s">
        <v>5558</v>
      </c>
      <c r="R5905" s="6"/>
      <c r="S5905" s="298"/>
    </row>
    <row r="5906" spans="14:19" hidden="1" x14ac:dyDescent="0.25">
      <c r="N5906" s="17">
        <v>790.19999999990102</v>
      </c>
      <c r="O5906" s="16" t="s">
        <v>5559</v>
      </c>
      <c r="R5906" s="6"/>
      <c r="S5906" s="298"/>
    </row>
    <row r="5907" spans="14:19" hidden="1" x14ac:dyDescent="0.25">
      <c r="N5907" s="17">
        <v>790.29999999990105</v>
      </c>
      <c r="O5907" s="16" t="s">
        <v>5560</v>
      </c>
      <c r="R5907" s="6"/>
      <c r="S5907" s="298"/>
    </row>
    <row r="5908" spans="14:19" hidden="1" x14ac:dyDescent="0.25">
      <c r="N5908" s="17">
        <v>790.39999999990096</v>
      </c>
      <c r="O5908" s="16" t="s">
        <v>5561</v>
      </c>
      <c r="R5908" s="6"/>
      <c r="S5908" s="298"/>
    </row>
    <row r="5909" spans="14:19" hidden="1" x14ac:dyDescent="0.25">
      <c r="N5909" s="17">
        <v>790.49999999990098</v>
      </c>
      <c r="O5909" s="16" t="s">
        <v>5562</v>
      </c>
      <c r="R5909" s="6"/>
      <c r="S5909" s="298"/>
    </row>
    <row r="5910" spans="14:19" hidden="1" x14ac:dyDescent="0.25">
      <c r="N5910" s="17">
        <v>790.599999999901</v>
      </c>
      <c r="O5910" s="16" t="s">
        <v>5563</v>
      </c>
      <c r="R5910" s="6"/>
      <c r="S5910" s="298"/>
    </row>
    <row r="5911" spans="14:19" hidden="1" x14ac:dyDescent="0.25">
      <c r="N5911" s="17">
        <v>790.69999999990102</v>
      </c>
      <c r="O5911" s="16" t="s">
        <v>5564</v>
      </c>
      <c r="R5911" s="6"/>
      <c r="S5911" s="298"/>
    </row>
    <row r="5912" spans="14:19" hidden="1" x14ac:dyDescent="0.25">
      <c r="N5912" s="17">
        <v>790.79999999990105</v>
      </c>
      <c r="O5912" s="16" t="s">
        <v>5565</v>
      </c>
      <c r="R5912" s="6"/>
      <c r="S5912" s="298"/>
    </row>
    <row r="5913" spans="14:19" hidden="1" x14ac:dyDescent="0.25">
      <c r="N5913" s="17">
        <v>790.89999999990096</v>
      </c>
      <c r="O5913" s="16" t="s">
        <v>5566</v>
      </c>
      <c r="R5913" s="6"/>
      <c r="S5913" s="298"/>
    </row>
    <row r="5914" spans="14:19" hidden="1" x14ac:dyDescent="0.25">
      <c r="N5914" s="17">
        <v>790.99999999990098</v>
      </c>
      <c r="O5914" s="16" t="s">
        <v>5567</v>
      </c>
      <c r="R5914" s="6"/>
      <c r="S5914" s="298"/>
    </row>
    <row r="5915" spans="14:19" hidden="1" x14ac:dyDescent="0.25">
      <c r="N5915" s="17">
        <v>791.099999999901</v>
      </c>
      <c r="O5915" s="16" t="s">
        <v>5568</v>
      </c>
      <c r="R5915" s="6"/>
      <c r="S5915" s="298"/>
    </row>
    <row r="5916" spans="14:19" hidden="1" x14ac:dyDescent="0.25">
      <c r="N5916" s="17">
        <v>791.19999999990102</v>
      </c>
      <c r="O5916" s="16" t="s">
        <v>5569</v>
      </c>
      <c r="R5916" s="6"/>
      <c r="S5916" s="298"/>
    </row>
    <row r="5917" spans="14:19" hidden="1" x14ac:dyDescent="0.25">
      <c r="N5917" s="17">
        <v>791.29999999990105</v>
      </c>
      <c r="O5917" s="16" t="s">
        <v>5570</v>
      </c>
      <c r="R5917" s="6"/>
      <c r="S5917" s="298"/>
    </row>
    <row r="5918" spans="14:19" hidden="1" x14ac:dyDescent="0.25">
      <c r="N5918" s="17">
        <v>791.39999999990096</v>
      </c>
      <c r="O5918" s="16" t="s">
        <v>5571</v>
      </c>
      <c r="R5918" s="6"/>
      <c r="S5918" s="298"/>
    </row>
    <row r="5919" spans="14:19" hidden="1" x14ac:dyDescent="0.25">
      <c r="N5919" s="17">
        <v>791.49999999990098</v>
      </c>
      <c r="O5919" s="16" t="s">
        <v>5572</v>
      </c>
      <c r="R5919" s="6"/>
      <c r="S5919" s="298"/>
    </row>
    <row r="5920" spans="14:19" hidden="1" x14ac:dyDescent="0.25">
      <c r="N5920" s="17">
        <v>791.599999999901</v>
      </c>
      <c r="O5920" s="16" t="s">
        <v>5573</v>
      </c>
      <c r="R5920" s="6"/>
      <c r="S5920" s="298"/>
    </row>
    <row r="5921" spans="14:19" hidden="1" x14ac:dyDescent="0.25">
      <c r="N5921" s="17">
        <v>791.69999999990102</v>
      </c>
      <c r="O5921" s="16" t="s">
        <v>5574</v>
      </c>
      <c r="R5921" s="6"/>
      <c r="S5921" s="298"/>
    </row>
    <row r="5922" spans="14:19" hidden="1" x14ac:dyDescent="0.25">
      <c r="N5922" s="17">
        <v>791.79999999990105</v>
      </c>
      <c r="O5922" s="16" t="s">
        <v>5575</v>
      </c>
      <c r="R5922" s="6"/>
      <c r="S5922" s="298"/>
    </row>
    <row r="5923" spans="14:19" hidden="1" x14ac:dyDescent="0.25">
      <c r="N5923" s="17">
        <v>791.89999999990005</v>
      </c>
      <c r="O5923" s="16" t="s">
        <v>5576</v>
      </c>
      <c r="R5923" s="6"/>
      <c r="S5923" s="298"/>
    </row>
    <row r="5924" spans="14:19" hidden="1" x14ac:dyDescent="0.25">
      <c r="N5924" s="17">
        <v>791.99999999989996</v>
      </c>
      <c r="O5924" s="16" t="s">
        <v>5582</v>
      </c>
      <c r="R5924" s="6"/>
      <c r="S5924" s="298"/>
    </row>
    <row r="5925" spans="14:19" hidden="1" x14ac:dyDescent="0.25">
      <c r="N5925" s="17">
        <v>792.09999999989998</v>
      </c>
      <c r="O5925" s="16" t="s">
        <v>5583</v>
      </c>
      <c r="R5925" s="6"/>
      <c r="S5925" s="298"/>
    </row>
    <row r="5926" spans="14:19" hidden="1" x14ac:dyDescent="0.25">
      <c r="N5926" s="17">
        <v>792.1999999999</v>
      </c>
      <c r="O5926" s="16" t="s">
        <v>5584</v>
      </c>
      <c r="R5926" s="6"/>
      <c r="S5926" s="298"/>
    </row>
    <row r="5927" spans="14:19" hidden="1" x14ac:dyDescent="0.25">
      <c r="N5927" s="17">
        <v>792.29999999990002</v>
      </c>
      <c r="O5927" s="16" t="s">
        <v>7423</v>
      </c>
      <c r="R5927" s="6"/>
      <c r="S5927" s="298"/>
    </row>
    <row r="5928" spans="14:19" hidden="1" x14ac:dyDescent="0.25">
      <c r="N5928" s="17">
        <v>792.39999999990005</v>
      </c>
      <c r="O5928" s="16" t="s">
        <v>7424</v>
      </c>
      <c r="R5928" s="6"/>
      <c r="S5928" s="298"/>
    </row>
    <row r="5929" spans="14:19" hidden="1" x14ac:dyDescent="0.25">
      <c r="N5929" s="17">
        <v>792.49999999989996</v>
      </c>
      <c r="O5929" s="16" t="s">
        <v>7425</v>
      </c>
      <c r="R5929" s="6"/>
      <c r="S5929" s="298"/>
    </row>
    <row r="5930" spans="14:19" hidden="1" x14ac:dyDescent="0.25">
      <c r="N5930" s="17">
        <v>792.59999999989998</v>
      </c>
      <c r="O5930" s="16" t="s">
        <v>5577</v>
      </c>
      <c r="R5930" s="6"/>
      <c r="S5930" s="298"/>
    </row>
    <row r="5931" spans="14:19" hidden="1" x14ac:dyDescent="0.25">
      <c r="N5931" s="17">
        <v>792.6999999999</v>
      </c>
      <c r="O5931" s="16" t="s">
        <v>5578</v>
      </c>
      <c r="R5931" s="6"/>
      <c r="S5931" s="298"/>
    </row>
    <row r="5932" spans="14:19" hidden="1" x14ac:dyDescent="0.25">
      <c r="N5932" s="17">
        <v>792.79999999990002</v>
      </c>
      <c r="O5932" s="16" t="s">
        <v>5579</v>
      </c>
      <c r="R5932" s="6"/>
      <c r="S5932" s="298"/>
    </row>
    <row r="5933" spans="14:19" hidden="1" x14ac:dyDescent="0.25">
      <c r="N5933" s="17">
        <v>792.89999999990005</v>
      </c>
      <c r="O5933" s="16" t="s">
        <v>3457</v>
      </c>
      <c r="R5933" s="6"/>
      <c r="S5933" s="298"/>
    </row>
    <row r="5934" spans="14:19" hidden="1" x14ac:dyDescent="0.25">
      <c r="N5934" s="17">
        <v>792.99999999989996</v>
      </c>
      <c r="O5934" s="16" t="s">
        <v>3458</v>
      </c>
      <c r="R5934" s="6"/>
      <c r="S5934" s="298"/>
    </row>
    <row r="5935" spans="14:19" hidden="1" x14ac:dyDescent="0.25">
      <c r="N5935" s="17">
        <v>793.09999999989998</v>
      </c>
      <c r="O5935" s="16" t="s">
        <v>3459</v>
      </c>
      <c r="R5935" s="6"/>
      <c r="S5935" s="298"/>
    </row>
    <row r="5936" spans="14:19" hidden="1" x14ac:dyDescent="0.25">
      <c r="N5936" s="17">
        <v>793.1999999999</v>
      </c>
      <c r="O5936" s="16" t="s">
        <v>3460</v>
      </c>
      <c r="R5936" s="6"/>
      <c r="S5936" s="298"/>
    </row>
    <row r="5937" spans="14:19" hidden="1" x14ac:dyDescent="0.25">
      <c r="N5937" s="17">
        <v>793.29999999990002</v>
      </c>
      <c r="O5937" s="16" t="s">
        <v>3461</v>
      </c>
      <c r="R5937" s="6"/>
      <c r="S5937" s="298"/>
    </row>
    <row r="5938" spans="14:19" hidden="1" x14ac:dyDescent="0.25">
      <c r="N5938" s="17">
        <v>793.39999999990005</v>
      </c>
      <c r="O5938" s="16" t="s">
        <v>3462</v>
      </c>
      <c r="R5938" s="6"/>
      <c r="S5938" s="298"/>
    </row>
    <row r="5939" spans="14:19" hidden="1" x14ac:dyDescent="0.25">
      <c r="N5939" s="17">
        <v>793.49999999989996</v>
      </c>
      <c r="O5939" s="16" t="s">
        <v>3463</v>
      </c>
      <c r="R5939" s="6"/>
      <c r="S5939" s="298"/>
    </row>
    <row r="5940" spans="14:19" hidden="1" x14ac:dyDescent="0.25">
      <c r="N5940" s="17">
        <v>793.59999999989998</v>
      </c>
      <c r="O5940" s="16" t="s">
        <v>3464</v>
      </c>
      <c r="R5940" s="6"/>
      <c r="S5940" s="298"/>
    </row>
    <row r="5941" spans="14:19" hidden="1" x14ac:dyDescent="0.25">
      <c r="N5941" s="17">
        <v>793.6999999999</v>
      </c>
      <c r="O5941" s="16" t="s">
        <v>1226</v>
      </c>
      <c r="R5941" s="6"/>
      <c r="S5941" s="298"/>
    </row>
    <row r="5942" spans="14:19" hidden="1" x14ac:dyDescent="0.25">
      <c r="N5942" s="17">
        <v>793.79999999990002</v>
      </c>
      <c r="O5942" s="16" t="s">
        <v>3476</v>
      </c>
      <c r="R5942" s="6"/>
      <c r="S5942" s="298"/>
    </row>
    <row r="5943" spans="14:19" hidden="1" x14ac:dyDescent="0.25">
      <c r="N5943" s="17">
        <v>793.89999999990005</v>
      </c>
      <c r="O5943" s="16" t="s">
        <v>3477</v>
      </c>
      <c r="R5943" s="6"/>
      <c r="S5943" s="298"/>
    </row>
    <row r="5944" spans="14:19" hidden="1" x14ac:dyDescent="0.25">
      <c r="N5944" s="17">
        <v>793.99999999989996</v>
      </c>
      <c r="O5944" s="16" t="s">
        <v>3478</v>
      </c>
      <c r="R5944" s="6"/>
      <c r="S5944" s="298"/>
    </row>
    <row r="5945" spans="14:19" hidden="1" x14ac:dyDescent="0.25">
      <c r="N5945" s="17">
        <v>794.09999999989998</v>
      </c>
      <c r="O5945" s="16" t="s">
        <v>3479</v>
      </c>
      <c r="R5945" s="6"/>
      <c r="S5945" s="298"/>
    </row>
    <row r="5946" spans="14:19" hidden="1" x14ac:dyDescent="0.25">
      <c r="N5946" s="17">
        <v>794.1999999999</v>
      </c>
      <c r="O5946" s="16" t="s">
        <v>3480</v>
      </c>
      <c r="R5946" s="6"/>
      <c r="S5946" s="298"/>
    </row>
    <row r="5947" spans="14:19" hidden="1" x14ac:dyDescent="0.25">
      <c r="N5947" s="17">
        <v>794.29999999990002</v>
      </c>
      <c r="O5947" s="16" t="s">
        <v>3481</v>
      </c>
      <c r="R5947" s="6"/>
      <c r="S5947" s="298"/>
    </row>
    <row r="5948" spans="14:19" hidden="1" x14ac:dyDescent="0.25">
      <c r="N5948" s="17">
        <v>794.39999999990005</v>
      </c>
      <c r="O5948" s="16" t="s">
        <v>3482</v>
      </c>
      <c r="R5948" s="6"/>
      <c r="S5948" s="298"/>
    </row>
    <row r="5949" spans="14:19" hidden="1" x14ac:dyDescent="0.25">
      <c r="N5949" s="17">
        <v>794.49999999989996</v>
      </c>
      <c r="O5949" s="16" t="s">
        <v>3483</v>
      </c>
      <c r="R5949" s="6"/>
      <c r="S5949" s="298"/>
    </row>
    <row r="5950" spans="14:19" hidden="1" x14ac:dyDescent="0.25">
      <c r="N5950" s="17">
        <v>794.59999999989998</v>
      </c>
      <c r="O5950" s="16" t="s">
        <v>3484</v>
      </c>
      <c r="R5950" s="6"/>
      <c r="S5950" s="298"/>
    </row>
    <row r="5951" spans="14:19" hidden="1" x14ac:dyDescent="0.25">
      <c r="N5951" s="17">
        <v>794.6999999999</v>
      </c>
      <c r="O5951" s="16" t="s">
        <v>3485</v>
      </c>
      <c r="R5951" s="6"/>
      <c r="S5951" s="298"/>
    </row>
    <row r="5952" spans="14:19" hidden="1" x14ac:dyDescent="0.25">
      <c r="N5952" s="17">
        <v>794.799999999899</v>
      </c>
      <c r="O5952" s="16" t="s">
        <v>5597</v>
      </c>
      <c r="R5952" s="6"/>
      <c r="S5952" s="298"/>
    </row>
    <row r="5953" spans="14:19" hidden="1" x14ac:dyDescent="0.25">
      <c r="N5953" s="17">
        <v>794.89999999989902</v>
      </c>
      <c r="O5953" s="16" t="s">
        <v>5598</v>
      </c>
      <c r="R5953" s="6"/>
      <c r="S5953" s="298"/>
    </row>
    <row r="5954" spans="14:19" hidden="1" x14ac:dyDescent="0.25">
      <c r="N5954" s="17">
        <v>794.99999999989905</v>
      </c>
      <c r="O5954" s="16" t="s">
        <v>5599</v>
      </c>
      <c r="R5954" s="6"/>
      <c r="S5954" s="298"/>
    </row>
    <row r="5955" spans="14:19" hidden="1" x14ac:dyDescent="0.25">
      <c r="N5955" s="17">
        <v>795.09999999989896</v>
      </c>
      <c r="O5955" s="16" t="s">
        <v>5600</v>
      </c>
      <c r="R5955" s="6"/>
      <c r="S5955" s="298"/>
    </row>
    <row r="5956" spans="14:19" hidden="1" x14ac:dyDescent="0.25">
      <c r="N5956" s="17">
        <v>795.19999999989898</v>
      </c>
      <c r="O5956" s="16" t="s">
        <v>5601</v>
      </c>
      <c r="R5956" s="6"/>
      <c r="S5956" s="298"/>
    </row>
    <row r="5957" spans="14:19" hidden="1" x14ac:dyDescent="0.25">
      <c r="N5957" s="17">
        <v>795.299999999899</v>
      </c>
      <c r="O5957" s="16" t="s">
        <v>5602</v>
      </c>
      <c r="R5957" s="6"/>
      <c r="S5957" s="298"/>
    </row>
    <row r="5958" spans="14:19" hidden="1" x14ac:dyDescent="0.25">
      <c r="N5958" s="17">
        <v>795.39999999989902</v>
      </c>
      <c r="O5958" s="16" t="s">
        <v>7622</v>
      </c>
      <c r="R5958" s="6"/>
      <c r="S5958" s="298"/>
    </row>
    <row r="5959" spans="14:19" hidden="1" x14ac:dyDescent="0.25">
      <c r="N5959" s="17">
        <v>795.49999999989905</v>
      </c>
      <c r="O5959" s="16" t="s">
        <v>7623</v>
      </c>
      <c r="R5959" s="6"/>
      <c r="S5959" s="298"/>
    </row>
    <row r="5960" spans="14:19" hidden="1" x14ac:dyDescent="0.25">
      <c r="N5960" s="17">
        <v>795.59999999989896</v>
      </c>
      <c r="O5960" s="16" t="s">
        <v>7624</v>
      </c>
      <c r="R5960" s="6"/>
      <c r="S5960" s="298"/>
    </row>
    <row r="5961" spans="14:19" hidden="1" x14ac:dyDescent="0.25">
      <c r="N5961" s="17">
        <v>795.69999999989898</v>
      </c>
      <c r="O5961" s="16" t="s">
        <v>7625</v>
      </c>
      <c r="R5961" s="6"/>
      <c r="S5961" s="298"/>
    </row>
    <row r="5962" spans="14:19" hidden="1" x14ac:dyDescent="0.25">
      <c r="N5962" s="17">
        <v>795.799999999899</v>
      </c>
      <c r="O5962" s="16" t="s">
        <v>7626</v>
      </c>
      <c r="R5962" s="6"/>
      <c r="S5962" s="298"/>
    </row>
    <row r="5963" spans="14:19" hidden="1" x14ac:dyDescent="0.25">
      <c r="N5963" s="17">
        <v>795.89999999989902</v>
      </c>
      <c r="O5963" s="16" t="s">
        <v>7627</v>
      </c>
      <c r="R5963" s="6"/>
      <c r="S5963" s="298"/>
    </row>
    <row r="5964" spans="14:19" hidden="1" x14ac:dyDescent="0.25">
      <c r="N5964" s="17">
        <v>795.99999999989905</v>
      </c>
      <c r="O5964" s="16" t="s">
        <v>7628</v>
      </c>
      <c r="R5964" s="6"/>
      <c r="S5964" s="298"/>
    </row>
    <row r="5965" spans="14:19" hidden="1" x14ac:dyDescent="0.25">
      <c r="N5965" s="17">
        <v>796.09999999989896</v>
      </c>
      <c r="O5965" s="16" t="s">
        <v>7629</v>
      </c>
      <c r="R5965" s="6"/>
      <c r="S5965" s="298"/>
    </row>
    <row r="5966" spans="14:19" hidden="1" x14ac:dyDescent="0.25">
      <c r="N5966" s="17">
        <v>796.19999999989898</v>
      </c>
      <c r="O5966" s="16" t="s">
        <v>7630</v>
      </c>
      <c r="R5966" s="6"/>
      <c r="S5966" s="298"/>
    </row>
    <row r="5967" spans="14:19" hidden="1" x14ac:dyDescent="0.25">
      <c r="N5967" s="17">
        <v>796.299999999899</v>
      </c>
      <c r="O5967" s="16" t="s">
        <v>7631</v>
      </c>
      <c r="R5967" s="6"/>
      <c r="S5967" s="298"/>
    </row>
    <row r="5968" spans="14:19" hidden="1" x14ac:dyDescent="0.25">
      <c r="N5968" s="17">
        <v>796.39999999989902</v>
      </c>
      <c r="O5968" s="16" t="s">
        <v>7632</v>
      </c>
      <c r="R5968" s="6"/>
      <c r="S5968" s="298"/>
    </row>
    <row r="5969" spans="14:19" hidden="1" x14ac:dyDescent="0.25">
      <c r="N5969" s="17">
        <v>796.49999999989905</v>
      </c>
      <c r="O5969" s="16" t="s">
        <v>7633</v>
      </c>
      <c r="R5969" s="6"/>
      <c r="S5969" s="298"/>
    </row>
    <row r="5970" spans="14:19" hidden="1" x14ac:dyDescent="0.25">
      <c r="N5970" s="17">
        <v>796.59999999989896</v>
      </c>
      <c r="O5970" s="16" t="s">
        <v>7634</v>
      </c>
      <c r="R5970" s="6"/>
      <c r="S5970" s="298"/>
    </row>
    <row r="5971" spans="14:19" hidden="1" x14ac:dyDescent="0.25">
      <c r="N5971" s="17">
        <v>796.69999999989898</v>
      </c>
      <c r="O5971" s="16" t="s">
        <v>7635</v>
      </c>
      <c r="R5971" s="6"/>
      <c r="S5971" s="298"/>
    </row>
    <row r="5972" spans="14:19" hidden="1" x14ac:dyDescent="0.25">
      <c r="N5972" s="17">
        <v>796.799999999899</v>
      </c>
      <c r="O5972" s="16" t="s">
        <v>7636</v>
      </c>
      <c r="R5972" s="6"/>
      <c r="S5972" s="298"/>
    </row>
    <row r="5973" spans="14:19" hidden="1" x14ac:dyDescent="0.25">
      <c r="N5973" s="17">
        <v>796.89999999989902</v>
      </c>
      <c r="O5973" s="16" t="s">
        <v>7637</v>
      </c>
      <c r="R5973" s="6"/>
      <c r="S5973" s="298"/>
    </row>
    <row r="5974" spans="14:19" hidden="1" x14ac:dyDescent="0.25">
      <c r="N5974" s="17">
        <v>796.99999999989905</v>
      </c>
      <c r="O5974" s="16" t="s">
        <v>5627</v>
      </c>
      <c r="R5974" s="6"/>
      <c r="S5974" s="298"/>
    </row>
    <row r="5975" spans="14:19" hidden="1" x14ac:dyDescent="0.25">
      <c r="N5975" s="17">
        <v>797.09999999989896</v>
      </c>
      <c r="O5975" s="16" t="s">
        <v>5628</v>
      </c>
      <c r="R5975" s="6"/>
      <c r="S5975" s="298"/>
    </row>
    <row r="5976" spans="14:19" hidden="1" x14ac:dyDescent="0.25">
      <c r="N5976" s="17">
        <v>797.19999999989898</v>
      </c>
      <c r="O5976" s="16" t="s">
        <v>5629</v>
      </c>
      <c r="R5976" s="6"/>
      <c r="S5976" s="298"/>
    </row>
    <row r="5977" spans="14:19" hidden="1" x14ac:dyDescent="0.25">
      <c r="N5977" s="17">
        <v>797.299999999899</v>
      </c>
      <c r="O5977" s="16" t="s">
        <v>5630</v>
      </c>
      <c r="R5977" s="6"/>
      <c r="S5977" s="298"/>
    </row>
    <row r="5978" spans="14:19" hidden="1" x14ac:dyDescent="0.25">
      <c r="N5978" s="17">
        <v>797.39999999989902</v>
      </c>
      <c r="O5978" s="16" t="s">
        <v>5631</v>
      </c>
      <c r="R5978" s="6"/>
      <c r="S5978" s="298"/>
    </row>
    <row r="5979" spans="14:19" hidden="1" x14ac:dyDescent="0.25">
      <c r="N5979" s="17">
        <v>797.49999999989905</v>
      </c>
      <c r="O5979" s="16" t="s">
        <v>5632</v>
      </c>
      <c r="R5979" s="6"/>
      <c r="S5979" s="298"/>
    </row>
    <row r="5980" spans="14:19" hidden="1" x14ac:dyDescent="0.25">
      <c r="N5980" s="17">
        <v>797.59999999989896</v>
      </c>
      <c r="O5980" s="16" t="s">
        <v>5633</v>
      </c>
      <c r="R5980" s="6"/>
      <c r="S5980" s="298"/>
    </row>
    <row r="5981" spans="14:19" hidden="1" x14ac:dyDescent="0.25">
      <c r="N5981" s="17">
        <v>797.69999999989898</v>
      </c>
      <c r="O5981" s="16" t="s">
        <v>5634</v>
      </c>
      <c r="R5981" s="6"/>
      <c r="S5981" s="298"/>
    </row>
    <row r="5982" spans="14:19" hidden="1" x14ac:dyDescent="0.25">
      <c r="N5982" s="17">
        <v>797.79999999989798</v>
      </c>
      <c r="O5982" s="16" t="s">
        <v>5635</v>
      </c>
      <c r="R5982" s="6"/>
      <c r="S5982" s="298"/>
    </row>
    <row r="5983" spans="14:19" hidden="1" x14ac:dyDescent="0.25">
      <c r="N5983" s="17">
        <v>797.899999999898</v>
      </c>
      <c r="O5983" s="16" t="s">
        <v>5636</v>
      </c>
      <c r="R5983" s="6"/>
      <c r="S5983" s="298"/>
    </row>
    <row r="5984" spans="14:19" hidden="1" x14ac:dyDescent="0.25">
      <c r="N5984" s="17">
        <v>797.99999999989802</v>
      </c>
      <c r="O5984" s="16" t="s">
        <v>5637</v>
      </c>
      <c r="R5984" s="6"/>
      <c r="S5984" s="298"/>
    </row>
    <row r="5985" spans="14:19" hidden="1" x14ac:dyDescent="0.25">
      <c r="N5985" s="17">
        <v>798.09999999989805</v>
      </c>
      <c r="O5985" s="16" t="s">
        <v>5638</v>
      </c>
      <c r="R5985" s="6"/>
      <c r="S5985" s="298"/>
    </row>
    <row r="5986" spans="14:19" hidden="1" x14ac:dyDescent="0.25">
      <c r="N5986" s="17">
        <v>798.19999999989795</v>
      </c>
      <c r="O5986" s="16" t="s">
        <v>5639</v>
      </c>
      <c r="R5986" s="6"/>
      <c r="S5986" s="298"/>
    </row>
    <row r="5987" spans="14:19" hidden="1" x14ac:dyDescent="0.25">
      <c r="N5987" s="17">
        <v>798.29999999989798</v>
      </c>
      <c r="O5987" s="16" t="s">
        <v>5640</v>
      </c>
      <c r="R5987" s="6"/>
      <c r="S5987" s="298"/>
    </row>
    <row r="5988" spans="14:19" hidden="1" x14ac:dyDescent="0.25">
      <c r="N5988" s="17">
        <v>798.399999999898</v>
      </c>
      <c r="O5988" s="16" t="s">
        <v>5641</v>
      </c>
      <c r="R5988" s="6"/>
      <c r="S5988" s="298"/>
    </row>
    <row r="5989" spans="14:19" hidden="1" x14ac:dyDescent="0.25">
      <c r="N5989" s="17">
        <v>798.49999999989802</v>
      </c>
      <c r="O5989" s="16" t="s">
        <v>5642</v>
      </c>
      <c r="R5989" s="6"/>
      <c r="S5989" s="298"/>
    </row>
    <row r="5990" spans="14:19" hidden="1" x14ac:dyDescent="0.25">
      <c r="N5990" s="17">
        <v>798.59999999989805</v>
      </c>
      <c r="O5990" s="16" t="s">
        <v>5643</v>
      </c>
      <c r="R5990" s="6"/>
      <c r="S5990" s="298"/>
    </row>
    <row r="5991" spans="14:19" hidden="1" x14ac:dyDescent="0.25">
      <c r="N5991" s="17">
        <v>798.69999999989795</v>
      </c>
      <c r="O5991" s="16" t="s">
        <v>5644</v>
      </c>
      <c r="R5991" s="6"/>
      <c r="S5991" s="298"/>
    </row>
    <row r="5992" spans="14:19" hidden="1" x14ac:dyDescent="0.25">
      <c r="N5992" s="17">
        <v>798.79999999989798</v>
      </c>
      <c r="O5992" s="16" t="s">
        <v>5645</v>
      </c>
      <c r="R5992" s="6"/>
      <c r="S5992" s="298"/>
    </row>
    <row r="5993" spans="14:19" hidden="1" x14ac:dyDescent="0.25">
      <c r="N5993" s="17">
        <v>798.899999999898</v>
      </c>
      <c r="O5993" s="16" t="s">
        <v>5646</v>
      </c>
      <c r="R5993" s="6"/>
      <c r="S5993" s="298"/>
    </row>
    <row r="5994" spans="14:19" hidden="1" x14ac:dyDescent="0.25">
      <c r="N5994" s="17">
        <v>798.99999999989802</v>
      </c>
      <c r="O5994" s="16" t="s">
        <v>5647</v>
      </c>
      <c r="R5994" s="6"/>
      <c r="S5994" s="298"/>
    </row>
    <row r="5995" spans="14:19" hidden="1" x14ac:dyDescent="0.25">
      <c r="N5995" s="17">
        <v>799.09999999989805</v>
      </c>
      <c r="O5995" s="16" t="s">
        <v>5648</v>
      </c>
      <c r="R5995" s="6"/>
      <c r="S5995" s="298"/>
    </row>
    <row r="5996" spans="14:19" hidden="1" x14ac:dyDescent="0.25">
      <c r="N5996" s="17">
        <v>799.19999999989795</v>
      </c>
      <c r="O5996" s="16" t="s">
        <v>5649</v>
      </c>
      <c r="R5996" s="6"/>
      <c r="S5996" s="298"/>
    </row>
    <row r="5997" spans="14:19" hidden="1" x14ac:dyDescent="0.25">
      <c r="N5997" s="17">
        <v>799.29999999989798</v>
      </c>
      <c r="O5997" s="16" t="s">
        <v>5650</v>
      </c>
      <c r="R5997" s="6"/>
      <c r="S5997" s="298"/>
    </row>
    <row r="5998" spans="14:19" hidden="1" x14ac:dyDescent="0.25">
      <c r="N5998" s="17">
        <v>799.399999999898</v>
      </c>
      <c r="O5998" s="16" t="s">
        <v>5651</v>
      </c>
      <c r="R5998" s="6"/>
      <c r="S5998" s="298"/>
    </row>
    <row r="5999" spans="14:19" hidden="1" x14ac:dyDescent="0.25">
      <c r="N5999" s="17">
        <v>799.49999999989802</v>
      </c>
      <c r="O5999" s="16" t="s">
        <v>5652</v>
      </c>
      <c r="R5999" s="6"/>
      <c r="S5999" s="298"/>
    </row>
    <row r="6000" spans="14:19" hidden="1" x14ac:dyDescent="0.25">
      <c r="N6000" s="17">
        <v>799.59999999989805</v>
      </c>
      <c r="O6000" s="16" t="s">
        <v>5653</v>
      </c>
      <c r="R6000" s="6"/>
      <c r="S6000" s="298"/>
    </row>
    <row r="6001" spans="14:19" hidden="1" x14ac:dyDescent="0.25">
      <c r="N6001" s="17">
        <v>799.69999999989795</v>
      </c>
      <c r="O6001" s="16" t="s">
        <v>5654</v>
      </c>
      <c r="R6001" s="6"/>
      <c r="S6001" s="298"/>
    </row>
    <row r="6002" spans="14:19" hidden="1" x14ac:dyDescent="0.25">
      <c r="N6002" s="17">
        <v>799.79999999989798</v>
      </c>
      <c r="O6002" s="16" t="s">
        <v>5655</v>
      </c>
      <c r="R6002" s="6"/>
      <c r="S6002" s="298"/>
    </row>
    <row r="6003" spans="14:19" hidden="1" x14ac:dyDescent="0.25">
      <c r="N6003" s="17">
        <v>799.899999999898</v>
      </c>
      <c r="O6003" s="16" t="s">
        <v>5656</v>
      </c>
      <c r="R6003" s="6"/>
      <c r="S6003" s="298"/>
    </row>
    <row r="6004" spans="14:19" hidden="1" x14ac:dyDescent="0.25">
      <c r="N6004" s="17">
        <v>799.99999999989802</v>
      </c>
      <c r="O6004" s="16" t="s">
        <v>5657</v>
      </c>
    </row>
    <row r="6005" spans="14:19" hidden="1" x14ac:dyDescent="0.25">
      <c r="N6005" s="17">
        <v>800.09999999989805</v>
      </c>
      <c r="O6005" s="16" t="s">
        <v>5658</v>
      </c>
      <c r="R6005" s="6"/>
      <c r="S6005" s="298"/>
    </row>
    <row r="6006" spans="14:19" hidden="1" x14ac:dyDescent="0.25">
      <c r="N6006" s="17">
        <v>800.19999999989795</v>
      </c>
      <c r="O6006" s="16" t="s">
        <v>5659</v>
      </c>
      <c r="R6006" s="6"/>
      <c r="S6006" s="298"/>
    </row>
    <row r="6007" spans="14:19" hidden="1" x14ac:dyDescent="0.25">
      <c r="N6007" s="17">
        <v>800.29999999989798</v>
      </c>
      <c r="O6007" s="16" t="s">
        <v>5660</v>
      </c>
      <c r="R6007" s="6"/>
      <c r="S6007" s="298"/>
    </row>
    <row r="6008" spans="14:19" hidden="1" x14ac:dyDescent="0.25">
      <c r="N6008" s="17">
        <v>800.399999999898</v>
      </c>
      <c r="O6008" s="16" t="s">
        <v>5661</v>
      </c>
      <c r="R6008" s="6"/>
      <c r="S6008" s="298"/>
    </row>
    <row r="6009" spans="14:19" hidden="1" x14ac:dyDescent="0.25">
      <c r="N6009" s="17">
        <v>800.49999999989802</v>
      </c>
      <c r="O6009" s="16" t="s">
        <v>5662</v>
      </c>
      <c r="R6009" s="6"/>
      <c r="S6009" s="298"/>
    </row>
    <row r="6010" spans="14:19" hidden="1" x14ac:dyDescent="0.25">
      <c r="N6010" s="17">
        <v>800.59999999989805</v>
      </c>
      <c r="O6010" s="16" t="s">
        <v>5663</v>
      </c>
      <c r="R6010" s="6"/>
      <c r="S6010" s="298"/>
    </row>
    <row r="6011" spans="14:19" hidden="1" x14ac:dyDescent="0.25">
      <c r="N6011" s="17">
        <v>800.69999999989705</v>
      </c>
      <c r="O6011" s="16" t="s">
        <v>5664</v>
      </c>
      <c r="R6011" s="6"/>
      <c r="S6011" s="298"/>
    </row>
    <row r="6012" spans="14:19" hidden="1" x14ac:dyDescent="0.25">
      <c r="N6012" s="17">
        <v>800.79999999989695</v>
      </c>
      <c r="O6012" s="16" t="s">
        <v>5665</v>
      </c>
      <c r="R6012" s="6"/>
      <c r="S6012" s="298"/>
    </row>
    <row r="6013" spans="14:19" hidden="1" x14ac:dyDescent="0.25">
      <c r="N6013" s="17">
        <v>800.89999999989698</v>
      </c>
      <c r="O6013" s="16" t="s">
        <v>5666</v>
      </c>
      <c r="R6013" s="6"/>
      <c r="S6013" s="298"/>
    </row>
    <row r="6014" spans="14:19" hidden="1" x14ac:dyDescent="0.25">
      <c r="N6014" s="17">
        <v>800.999999999897</v>
      </c>
      <c r="O6014" s="16" t="s">
        <v>5658</v>
      </c>
    </row>
    <row r="6015" spans="14:19" hidden="1" x14ac:dyDescent="0.25">
      <c r="N6015" s="17">
        <v>801.09999999989702</v>
      </c>
      <c r="O6015" s="16" t="s">
        <v>5667</v>
      </c>
      <c r="R6015" s="6"/>
      <c r="S6015" s="298"/>
    </row>
    <row r="6016" spans="14:19" hidden="1" x14ac:dyDescent="0.25">
      <c r="N6016" s="17">
        <v>801.19999999989705</v>
      </c>
      <c r="O6016" s="16" t="s">
        <v>5668</v>
      </c>
      <c r="R6016" s="6"/>
      <c r="S6016" s="298"/>
    </row>
    <row r="6017" spans="14:19" hidden="1" x14ac:dyDescent="0.25">
      <c r="N6017" s="17">
        <v>801.29999999989695</v>
      </c>
      <c r="O6017" s="16" t="s">
        <v>5669</v>
      </c>
      <c r="R6017" s="6"/>
      <c r="S6017" s="298"/>
    </row>
    <row r="6018" spans="14:19" hidden="1" x14ac:dyDescent="0.25">
      <c r="N6018" s="17">
        <v>801.39999999989698</v>
      </c>
      <c r="O6018" s="16" t="s">
        <v>5670</v>
      </c>
      <c r="R6018" s="6"/>
      <c r="S6018" s="298"/>
    </row>
    <row r="6019" spans="14:19" hidden="1" x14ac:dyDescent="0.25">
      <c r="N6019" s="17">
        <v>801.499999999897</v>
      </c>
      <c r="O6019" s="16" t="s">
        <v>5671</v>
      </c>
      <c r="R6019" s="6"/>
      <c r="S6019" s="298"/>
    </row>
    <row r="6020" spans="14:19" hidden="1" x14ac:dyDescent="0.25">
      <c r="N6020" s="17">
        <v>801.59999999989702</v>
      </c>
      <c r="O6020" s="16" t="s">
        <v>5672</v>
      </c>
      <c r="R6020" s="6"/>
      <c r="S6020" s="298"/>
    </row>
    <row r="6021" spans="14:19" hidden="1" x14ac:dyDescent="0.25">
      <c r="N6021" s="17">
        <v>801.69999999989705</v>
      </c>
      <c r="O6021" s="16" t="s">
        <v>5673</v>
      </c>
      <c r="R6021" s="6"/>
      <c r="S6021" s="298"/>
    </row>
    <row r="6022" spans="14:19" hidden="1" x14ac:dyDescent="0.25">
      <c r="N6022" s="17">
        <v>801.79999999989695</v>
      </c>
      <c r="O6022" s="16" t="s">
        <v>7698</v>
      </c>
      <c r="R6022" s="6"/>
      <c r="S6022" s="298"/>
    </row>
    <row r="6023" spans="14:19" hidden="1" x14ac:dyDescent="0.25">
      <c r="N6023" s="17">
        <v>801.89999999989698</v>
      </c>
      <c r="O6023" s="16" t="s">
        <v>7699</v>
      </c>
      <c r="R6023" s="6"/>
      <c r="S6023" s="298"/>
    </row>
    <row r="6024" spans="14:19" hidden="1" x14ac:dyDescent="0.25">
      <c r="N6024" s="17">
        <v>801.999999999897</v>
      </c>
      <c r="O6024" s="16" t="s">
        <v>5659</v>
      </c>
      <c r="R6024" s="6"/>
      <c r="S6024" s="298"/>
    </row>
    <row r="6025" spans="14:19" hidden="1" x14ac:dyDescent="0.25">
      <c r="N6025" s="17">
        <v>802.09999999989702</v>
      </c>
      <c r="O6025" s="16" t="s">
        <v>7700</v>
      </c>
      <c r="R6025" s="6"/>
      <c r="S6025" s="298"/>
    </row>
    <row r="6026" spans="14:19" hidden="1" x14ac:dyDescent="0.25">
      <c r="N6026" s="17">
        <v>802.19999999989705</v>
      </c>
      <c r="O6026" s="16" t="s">
        <v>7701</v>
      </c>
      <c r="R6026" s="6"/>
      <c r="S6026" s="298"/>
    </row>
    <row r="6027" spans="14:19" hidden="1" x14ac:dyDescent="0.25">
      <c r="N6027" s="17">
        <v>802.29999999989695</v>
      </c>
      <c r="O6027" s="16" t="s">
        <v>7702</v>
      </c>
      <c r="R6027" s="6"/>
      <c r="S6027" s="298"/>
    </row>
    <row r="6028" spans="14:19" hidden="1" x14ac:dyDescent="0.25">
      <c r="N6028" s="17">
        <v>802.39999999989698</v>
      </c>
      <c r="O6028" s="16" t="s">
        <v>7703</v>
      </c>
      <c r="R6028" s="6"/>
      <c r="S6028" s="298"/>
    </row>
    <row r="6029" spans="14:19" hidden="1" x14ac:dyDescent="0.25">
      <c r="N6029" s="17">
        <v>802.499999999897</v>
      </c>
      <c r="O6029" s="16" t="s">
        <v>3556</v>
      </c>
      <c r="R6029" s="6"/>
      <c r="S6029" s="298"/>
    </row>
    <row r="6030" spans="14:19" hidden="1" x14ac:dyDescent="0.25">
      <c r="N6030" s="17">
        <v>802.59999999989702</v>
      </c>
      <c r="O6030" s="16" t="s">
        <v>5674</v>
      </c>
      <c r="R6030" s="6"/>
      <c r="S6030" s="298"/>
    </row>
    <row r="6031" spans="14:19" hidden="1" x14ac:dyDescent="0.25">
      <c r="N6031" s="17">
        <v>802.69999999989705</v>
      </c>
      <c r="O6031" s="16" t="s">
        <v>5675</v>
      </c>
      <c r="R6031" s="6"/>
      <c r="S6031" s="298"/>
    </row>
    <row r="6032" spans="14:19" hidden="1" x14ac:dyDescent="0.25">
      <c r="N6032" s="17">
        <v>802.79999999989695</v>
      </c>
      <c r="O6032" s="16" t="s">
        <v>5676</v>
      </c>
      <c r="R6032" s="6"/>
      <c r="S6032" s="298"/>
    </row>
    <row r="6033" spans="14:19" hidden="1" x14ac:dyDescent="0.25">
      <c r="N6033" s="17">
        <v>802.89999999989698</v>
      </c>
      <c r="O6033" s="16" t="s">
        <v>5677</v>
      </c>
      <c r="R6033" s="6"/>
      <c r="S6033" s="298"/>
    </row>
    <row r="6034" spans="14:19" hidden="1" x14ac:dyDescent="0.25">
      <c r="N6034" s="17">
        <v>802.999999999897</v>
      </c>
      <c r="O6034" s="16" t="s">
        <v>5660</v>
      </c>
    </row>
    <row r="6035" spans="14:19" hidden="1" x14ac:dyDescent="0.25">
      <c r="N6035" s="17">
        <v>803.09999999989702</v>
      </c>
      <c r="O6035" s="16" t="s">
        <v>5678</v>
      </c>
      <c r="R6035" s="6"/>
      <c r="S6035" s="298"/>
    </row>
    <row r="6036" spans="14:19" hidden="1" x14ac:dyDescent="0.25">
      <c r="N6036" s="17">
        <v>803.19999999989705</v>
      </c>
      <c r="O6036" s="16" t="s">
        <v>5679</v>
      </c>
      <c r="R6036" s="6"/>
      <c r="S6036" s="298"/>
    </row>
    <row r="6037" spans="14:19" hidden="1" x14ac:dyDescent="0.25">
      <c r="N6037" s="17">
        <v>803.29999999989695</v>
      </c>
      <c r="O6037" s="16" t="s">
        <v>5680</v>
      </c>
      <c r="R6037" s="6"/>
      <c r="S6037" s="298"/>
    </row>
    <row r="6038" spans="14:19" hidden="1" x14ac:dyDescent="0.25">
      <c r="N6038" s="17">
        <v>803.39999999989698</v>
      </c>
      <c r="O6038" s="16" t="s">
        <v>5681</v>
      </c>
      <c r="R6038" s="6"/>
      <c r="S6038" s="298"/>
    </row>
    <row r="6039" spans="14:19" hidden="1" x14ac:dyDescent="0.25">
      <c r="N6039" s="17">
        <v>803.499999999897</v>
      </c>
      <c r="O6039" s="16" t="s">
        <v>5686</v>
      </c>
      <c r="R6039" s="6"/>
      <c r="S6039" s="298"/>
    </row>
    <row r="6040" spans="14:19" hidden="1" x14ac:dyDescent="0.25">
      <c r="N6040" s="17">
        <v>803.599999999896</v>
      </c>
      <c r="O6040" s="16" t="s">
        <v>5687</v>
      </c>
      <c r="R6040" s="6"/>
      <c r="S6040" s="298"/>
    </row>
    <row r="6041" spans="14:19" hidden="1" x14ac:dyDescent="0.25">
      <c r="N6041" s="17">
        <v>803.69999999989602</v>
      </c>
      <c r="O6041" s="16" t="s">
        <v>6598</v>
      </c>
      <c r="R6041" s="6"/>
      <c r="S6041" s="298"/>
    </row>
    <row r="6042" spans="14:19" hidden="1" x14ac:dyDescent="0.25">
      <c r="N6042" s="17">
        <v>803.79999999989604</v>
      </c>
      <c r="O6042" s="16" t="s">
        <v>6590</v>
      </c>
      <c r="R6042" s="6"/>
      <c r="S6042" s="298"/>
    </row>
    <row r="6043" spans="14:19" hidden="1" x14ac:dyDescent="0.25">
      <c r="N6043" s="17">
        <v>803.89999999989595</v>
      </c>
      <c r="O6043" s="16" t="s">
        <v>6591</v>
      </c>
      <c r="R6043" s="6"/>
      <c r="S6043" s="298"/>
    </row>
    <row r="6044" spans="14:19" hidden="1" x14ac:dyDescent="0.25">
      <c r="N6044" s="17">
        <v>803.99999999989598</v>
      </c>
      <c r="O6044" s="16" t="s">
        <v>5661</v>
      </c>
      <c r="R6044" s="6"/>
      <c r="S6044" s="298"/>
    </row>
    <row r="6045" spans="14:19" hidden="1" x14ac:dyDescent="0.25">
      <c r="N6045" s="17">
        <v>804.099999999896</v>
      </c>
      <c r="O6045" s="16" t="s">
        <v>6592</v>
      </c>
      <c r="R6045" s="6"/>
      <c r="S6045" s="298"/>
    </row>
    <row r="6046" spans="14:19" hidden="1" x14ac:dyDescent="0.25">
      <c r="N6046" s="17">
        <v>804.19999999989602</v>
      </c>
      <c r="O6046" s="16" t="s">
        <v>6593</v>
      </c>
      <c r="R6046" s="6"/>
      <c r="S6046" s="298"/>
    </row>
    <row r="6047" spans="14:19" hidden="1" x14ac:dyDescent="0.25">
      <c r="N6047" s="17">
        <v>804.29999999989604</v>
      </c>
      <c r="O6047" s="16" t="s">
        <v>6594</v>
      </c>
      <c r="R6047" s="6"/>
      <c r="S6047" s="298"/>
    </row>
    <row r="6048" spans="14:19" hidden="1" x14ac:dyDescent="0.25">
      <c r="N6048" s="17">
        <v>804.39999999989595</v>
      </c>
      <c r="O6048" s="16" t="s">
        <v>6595</v>
      </c>
      <c r="R6048" s="6"/>
      <c r="S6048" s="298"/>
    </row>
    <row r="6049" spans="14:19" hidden="1" x14ac:dyDescent="0.25">
      <c r="N6049" s="17">
        <v>804.49999999989598</v>
      </c>
      <c r="O6049" s="16" t="s">
        <v>6596</v>
      </c>
      <c r="R6049" s="6"/>
      <c r="S6049" s="298"/>
    </row>
    <row r="6050" spans="14:19" hidden="1" x14ac:dyDescent="0.25">
      <c r="N6050" s="17">
        <v>804.599999999896</v>
      </c>
      <c r="O6050" s="16" t="s">
        <v>6597</v>
      </c>
      <c r="R6050" s="6"/>
      <c r="S6050" s="298"/>
    </row>
    <row r="6051" spans="14:19" hidden="1" x14ac:dyDescent="0.25">
      <c r="N6051" s="17">
        <v>804.69999999989602</v>
      </c>
      <c r="O6051" s="16" t="s">
        <v>7735</v>
      </c>
      <c r="R6051" s="6"/>
      <c r="S6051" s="298"/>
    </row>
    <row r="6052" spans="14:19" hidden="1" x14ac:dyDescent="0.25">
      <c r="N6052" s="17">
        <v>804.79999999989604</v>
      </c>
      <c r="O6052" s="16" t="s">
        <v>7736</v>
      </c>
      <c r="R6052" s="6"/>
      <c r="S6052" s="298"/>
    </row>
    <row r="6053" spans="14:19" hidden="1" x14ac:dyDescent="0.25">
      <c r="N6053" s="17">
        <v>804.89999999989595</v>
      </c>
      <c r="O6053" s="16" t="s">
        <v>7737</v>
      </c>
      <c r="R6053" s="6"/>
      <c r="S6053" s="298"/>
    </row>
    <row r="6054" spans="14:19" hidden="1" x14ac:dyDescent="0.25">
      <c r="N6054" s="17">
        <v>804.99999999989598</v>
      </c>
      <c r="O6054" s="16" t="s">
        <v>7738</v>
      </c>
      <c r="R6054" s="6"/>
      <c r="S6054" s="298"/>
    </row>
    <row r="6055" spans="14:19" hidden="1" x14ac:dyDescent="0.25">
      <c r="N6055" s="17">
        <v>805.099999999896</v>
      </c>
      <c r="O6055" s="16" t="s">
        <v>7739</v>
      </c>
      <c r="R6055" s="6"/>
      <c r="S6055" s="298"/>
    </row>
    <row r="6056" spans="14:19" hidden="1" x14ac:dyDescent="0.25">
      <c r="N6056" s="17">
        <v>805.19999999989602</v>
      </c>
      <c r="O6056" s="16" t="s">
        <v>7740</v>
      </c>
      <c r="R6056" s="6"/>
      <c r="S6056" s="298"/>
    </row>
    <row r="6057" spans="14:19" hidden="1" x14ac:dyDescent="0.25">
      <c r="N6057" s="17">
        <v>805.29999999989604</v>
      </c>
      <c r="O6057" s="16" t="s">
        <v>7741</v>
      </c>
      <c r="R6057" s="6"/>
      <c r="S6057" s="298"/>
    </row>
    <row r="6058" spans="14:19" hidden="1" x14ac:dyDescent="0.25">
      <c r="N6058" s="17">
        <v>805.39999999989595</v>
      </c>
      <c r="O6058" s="16" t="s">
        <v>5704</v>
      </c>
      <c r="R6058" s="6"/>
      <c r="S6058" s="298"/>
    </row>
    <row r="6059" spans="14:19" hidden="1" x14ac:dyDescent="0.25">
      <c r="N6059" s="17">
        <v>805.49999999989598</v>
      </c>
      <c r="O6059" s="16" t="s">
        <v>5705</v>
      </c>
      <c r="R6059" s="6"/>
      <c r="S6059" s="298"/>
    </row>
    <row r="6060" spans="14:19" hidden="1" x14ac:dyDescent="0.25">
      <c r="N6060" s="17">
        <v>805.599999999896</v>
      </c>
      <c r="O6060" s="16" t="s">
        <v>5706</v>
      </c>
      <c r="R6060" s="6"/>
      <c r="S6060" s="298"/>
    </row>
    <row r="6061" spans="14:19" hidden="1" x14ac:dyDescent="0.25">
      <c r="N6061" s="17">
        <v>805.69999999989602</v>
      </c>
      <c r="O6061" s="16" t="s">
        <v>5707</v>
      </c>
      <c r="R6061" s="6"/>
      <c r="S6061" s="298"/>
    </row>
    <row r="6062" spans="14:19" hidden="1" x14ac:dyDescent="0.25">
      <c r="N6062" s="17">
        <v>805.79999999989604</v>
      </c>
      <c r="O6062" s="16" t="s">
        <v>5708</v>
      </c>
      <c r="R6062" s="6"/>
      <c r="S6062" s="298"/>
    </row>
    <row r="6063" spans="14:19" hidden="1" x14ac:dyDescent="0.25">
      <c r="N6063" s="17">
        <v>805.89999999989595</v>
      </c>
      <c r="O6063" s="16" t="s">
        <v>5709</v>
      </c>
      <c r="R6063" s="6"/>
      <c r="S6063" s="298"/>
    </row>
    <row r="6064" spans="14:19" hidden="1" x14ac:dyDescent="0.25">
      <c r="N6064" s="17">
        <v>805.99999999989598</v>
      </c>
      <c r="O6064" s="16" t="s">
        <v>5663</v>
      </c>
      <c r="R6064" s="6"/>
      <c r="S6064" s="298"/>
    </row>
    <row r="6065" spans="14:19" hidden="1" x14ac:dyDescent="0.25">
      <c r="N6065" s="17">
        <v>806.099999999896</v>
      </c>
      <c r="O6065" s="16" t="s">
        <v>5710</v>
      </c>
      <c r="R6065" s="6"/>
      <c r="S6065" s="298"/>
    </row>
    <row r="6066" spans="14:19" hidden="1" x14ac:dyDescent="0.25">
      <c r="N6066" s="17">
        <v>806.19999999989602</v>
      </c>
      <c r="O6066" s="16" t="s">
        <v>5711</v>
      </c>
      <c r="R6066" s="6"/>
      <c r="S6066" s="298"/>
    </row>
    <row r="6067" spans="14:19" hidden="1" x14ac:dyDescent="0.25">
      <c r="N6067" s="17">
        <v>806.29999999989604</v>
      </c>
      <c r="O6067" s="16" t="s">
        <v>5712</v>
      </c>
      <c r="R6067" s="6"/>
      <c r="S6067" s="298"/>
    </row>
    <row r="6068" spans="14:19" hidden="1" x14ac:dyDescent="0.25">
      <c r="N6068" s="17">
        <v>806.39999999989595</v>
      </c>
      <c r="O6068" s="16" t="s">
        <v>5713</v>
      </c>
      <c r="R6068" s="6"/>
      <c r="S6068" s="298"/>
    </row>
    <row r="6069" spans="14:19" hidden="1" x14ac:dyDescent="0.25">
      <c r="N6069" s="17">
        <v>806.49999999989495</v>
      </c>
      <c r="O6069" s="16" t="s">
        <v>5714</v>
      </c>
      <c r="R6069" s="6"/>
      <c r="S6069" s="298"/>
    </row>
    <row r="6070" spans="14:19" hidden="1" x14ac:dyDescent="0.25">
      <c r="N6070" s="17">
        <v>806.59999999989498</v>
      </c>
      <c r="O6070" s="16" t="s">
        <v>5715</v>
      </c>
      <c r="R6070" s="6"/>
      <c r="S6070" s="298"/>
    </row>
    <row r="6071" spans="14:19" hidden="1" x14ac:dyDescent="0.25">
      <c r="N6071" s="17">
        <v>806.699999999895</v>
      </c>
      <c r="O6071" s="16" t="s">
        <v>5716</v>
      </c>
      <c r="R6071" s="6"/>
      <c r="S6071" s="298"/>
    </row>
    <row r="6072" spans="14:19" hidden="1" x14ac:dyDescent="0.25">
      <c r="N6072" s="17">
        <v>806.79999999989502</v>
      </c>
      <c r="O6072" s="16" t="s">
        <v>5717</v>
      </c>
      <c r="R6072" s="6"/>
      <c r="S6072" s="298"/>
    </row>
    <row r="6073" spans="14:19" hidden="1" x14ac:dyDescent="0.25">
      <c r="N6073" s="17">
        <v>806.89999999989504</v>
      </c>
      <c r="O6073" s="16" t="s">
        <v>5718</v>
      </c>
      <c r="R6073" s="6"/>
      <c r="S6073" s="298"/>
    </row>
    <row r="6074" spans="14:19" hidden="1" x14ac:dyDescent="0.25">
      <c r="N6074" s="17">
        <v>806.99999999989495</v>
      </c>
      <c r="O6074" s="16" t="s">
        <v>5664</v>
      </c>
      <c r="R6074" s="6"/>
      <c r="S6074" s="298"/>
    </row>
    <row r="6075" spans="14:19" hidden="1" x14ac:dyDescent="0.25">
      <c r="N6075" s="17">
        <v>807.09999999989498</v>
      </c>
      <c r="O6075" s="16" t="s">
        <v>3606</v>
      </c>
      <c r="R6075" s="6"/>
      <c r="S6075" s="298"/>
    </row>
    <row r="6076" spans="14:19" hidden="1" x14ac:dyDescent="0.25">
      <c r="N6076" s="17">
        <v>807.199999999895</v>
      </c>
      <c r="O6076" s="16" t="s">
        <v>3607</v>
      </c>
      <c r="R6076" s="6"/>
      <c r="S6076" s="298"/>
    </row>
    <row r="6077" spans="14:19" hidden="1" x14ac:dyDescent="0.25">
      <c r="N6077" s="17">
        <v>807.29999999989502</v>
      </c>
      <c r="O6077" s="16" t="s">
        <v>3608</v>
      </c>
      <c r="R6077" s="6"/>
      <c r="S6077" s="298"/>
    </row>
    <row r="6078" spans="14:19" hidden="1" x14ac:dyDescent="0.25">
      <c r="N6078" s="17">
        <v>807.39999999989504</v>
      </c>
      <c r="O6078" s="16" t="s">
        <v>3609</v>
      </c>
      <c r="R6078" s="6"/>
      <c r="S6078" s="298"/>
    </row>
    <row r="6079" spans="14:19" hidden="1" x14ac:dyDescent="0.25">
      <c r="N6079" s="17">
        <v>807.49999999989495</v>
      </c>
      <c r="O6079" s="16" t="s">
        <v>3610</v>
      </c>
      <c r="R6079" s="6"/>
      <c r="S6079" s="298"/>
    </row>
    <row r="6080" spans="14:19" hidden="1" x14ac:dyDescent="0.25">
      <c r="N6080" s="17">
        <v>807.59999999989498</v>
      </c>
      <c r="O6080" s="16" t="s">
        <v>3611</v>
      </c>
      <c r="R6080" s="6"/>
      <c r="S6080" s="298"/>
    </row>
    <row r="6081" spans="14:19" hidden="1" x14ac:dyDescent="0.25">
      <c r="N6081" s="17">
        <v>807.699999999895</v>
      </c>
      <c r="O6081" s="16" t="s">
        <v>3612</v>
      </c>
      <c r="R6081" s="6"/>
      <c r="S6081" s="298"/>
    </row>
    <row r="6082" spans="14:19" hidden="1" x14ac:dyDescent="0.25">
      <c r="N6082" s="17">
        <v>807.79999999989502</v>
      </c>
      <c r="O6082" s="16" t="s">
        <v>3613</v>
      </c>
      <c r="R6082" s="6"/>
      <c r="S6082" s="298"/>
    </row>
    <row r="6083" spans="14:19" hidden="1" x14ac:dyDescent="0.25">
      <c r="N6083" s="17">
        <v>807.89999999989504</v>
      </c>
      <c r="O6083" s="16" t="s">
        <v>3614</v>
      </c>
      <c r="R6083" s="6"/>
      <c r="S6083" s="298"/>
    </row>
    <row r="6084" spans="14:19" hidden="1" x14ac:dyDescent="0.25">
      <c r="N6084" s="17">
        <v>807.99999999989495</v>
      </c>
      <c r="O6084" s="16" t="s">
        <v>5665</v>
      </c>
    </row>
    <row r="6085" spans="14:19" hidden="1" x14ac:dyDescent="0.25">
      <c r="N6085" s="17">
        <v>808.09999999989498</v>
      </c>
      <c r="O6085" s="16" t="s">
        <v>3615</v>
      </c>
    </row>
    <row r="6086" spans="14:19" hidden="1" x14ac:dyDescent="0.25">
      <c r="N6086" s="17">
        <v>808.199999999895</v>
      </c>
      <c r="O6086" s="16" t="s">
        <v>3616</v>
      </c>
    </row>
    <row r="6087" spans="14:19" hidden="1" x14ac:dyDescent="0.25">
      <c r="N6087" s="17">
        <v>808.29999999989502</v>
      </c>
      <c r="O6087" s="16" t="s">
        <v>3617</v>
      </c>
    </row>
    <row r="6088" spans="14:19" hidden="1" x14ac:dyDescent="0.25">
      <c r="N6088" s="17">
        <v>808.39999999989504</v>
      </c>
      <c r="O6088" s="16" t="s">
        <v>3618</v>
      </c>
    </row>
    <row r="6089" spans="14:19" hidden="1" x14ac:dyDescent="0.25">
      <c r="N6089" s="17">
        <v>808.49999999989495</v>
      </c>
      <c r="O6089" s="16" t="s">
        <v>3619</v>
      </c>
    </row>
    <row r="6090" spans="14:19" hidden="1" x14ac:dyDescent="0.25">
      <c r="N6090" s="17">
        <v>808.59999999989498</v>
      </c>
      <c r="O6090" s="16" t="s">
        <v>3620</v>
      </c>
    </row>
    <row r="6091" spans="14:19" hidden="1" x14ac:dyDescent="0.25">
      <c r="N6091" s="17">
        <v>808.699999999895</v>
      </c>
      <c r="O6091" s="16" t="s">
        <v>3621</v>
      </c>
    </row>
    <row r="6092" spans="14:19" hidden="1" x14ac:dyDescent="0.25">
      <c r="N6092" s="17">
        <v>808.79999999989502</v>
      </c>
      <c r="O6092" s="16" t="s">
        <v>3622</v>
      </c>
    </row>
    <row r="6093" spans="14:19" hidden="1" x14ac:dyDescent="0.25">
      <c r="N6093" s="17">
        <v>808.89999999989504</v>
      </c>
      <c r="O6093" s="16" t="s">
        <v>3623</v>
      </c>
    </row>
    <row r="6094" spans="14:19" hidden="1" x14ac:dyDescent="0.25">
      <c r="N6094" s="17">
        <v>808.99999999989495</v>
      </c>
      <c r="O6094" s="16" t="s">
        <v>3624</v>
      </c>
      <c r="R6094" s="6"/>
      <c r="S6094" s="298"/>
    </row>
    <row r="6095" spans="14:19" hidden="1" x14ac:dyDescent="0.25">
      <c r="N6095" s="17">
        <v>809.09999999989498</v>
      </c>
      <c r="O6095" s="16" t="s">
        <v>3625</v>
      </c>
      <c r="R6095" s="6"/>
      <c r="S6095" s="298"/>
    </row>
    <row r="6096" spans="14:19" hidden="1" x14ac:dyDescent="0.25">
      <c r="N6096" s="17">
        <v>809.199999999895</v>
      </c>
      <c r="O6096" s="16" t="s">
        <v>3626</v>
      </c>
      <c r="R6096" s="6"/>
      <c r="S6096" s="298"/>
    </row>
    <row r="6097" spans="14:19" hidden="1" x14ac:dyDescent="0.25">
      <c r="N6097" s="17">
        <v>809.29999999989502</v>
      </c>
      <c r="O6097" s="16" t="s">
        <v>3627</v>
      </c>
      <c r="R6097" s="6"/>
      <c r="S6097" s="298"/>
    </row>
    <row r="6098" spans="14:19" hidden="1" x14ac:dyDescent="0.25">
      <c r="N6098" s="17">
        <v>809.39999999989504</v>
      </c>
      <c r="O6098" s="16" t="s">
        <v>3628</v>
      </c>
      <c r="R6098" s="6"/>
      <c r="S6098" s="298"/>
    </row>
    <row r="6099" spans="14:19" hidden="1" x14ac:dyDescent="0.25">
      <c r="N6099" s="17">
        <v>809.49999999989404</v>
      </c>
      <c r="O6099" s="16" t="s">
        <v>3629</v>
      </c>
      <c r="R6099" s="6"/>
      <c r="S6099" s="298"/>
    </row>
    <row r="6100" spans="14:19" hidden="1" x14ac:dyDescent="0.25">
      <c r="N6100" s="17">
        <v>809.59999999989395</v>
      </c>
      <c r="O6100" s="16" t="s">
        <v>3630</v>
      </c>
      <c r="R6100" s="6"/>
      <c r="S6100" s="298"/>
    </row>
    <row r="6101" spans="14:19" hidden="1" x14ac:dyDescent="0.25">
      <c r="N6101" s="17">
        <v>809.69999999989398</v>
      </c>
      <c r="O6101" s="16" t="s">
        <v>3631</v>
      </c>
      <c r="R6101" s="6"/>
      <c r="S6101" s="298"/>
    </row>
    <row r="6102" spans="14:19" hidden="1" x14ac:dyDescent="0.25">
      <c r="N6102" s="17">
        <v>809.799999999894</v>
      </c>
      <c r="O6102" s="16" t="s">
        <v>3632</v>
      </c>
      <c r="R6102" s="6"/>
      <c r="S6102" s="298"/>
    </row>
    <row r="6103" spans="14:19" hidden="1" x14ac:dyDescent="0.25">
      <c r="N6103" s="17">
        <v>809.89999999989402</v>
      </c>
      <c r="O6103" s="16" t="s">
        <v>3633</v>
      </c>
      <c r="R6103" s="6"/>
      <c r="S6103" s="298"/>
    </row>
    <row r="6104" spans="14:19" hidden="1" x14ac:dyDescent="0.25">
      <c r="N6104" s="17">
        <v>809.99999999989404</v>
      </c>
      <c r="O6104" s="16" t="s">
        <v>3634</v>
      </c>
      <c r="R6104" s="6"/>
      <c r="S6104" s="298"/>
    </row>
    <row r="6105" spans="14:19" hidden="1" x14ac:dyDescent="0.25">
      <c r="N6105" s="17">
        <v>810.09999999989395</v>
      </c>
      <c r="O6105" s="16" t="s">
        <v>3635</v>
      </c>
      <c r="R6105" s="6"/>
      <c r="S6105" s="298"/>
    </row>
    <row r="6106" spans="14:19" hidden="1" x14ac:dyDescent="0.25">
      <c r="N6106" s="17">
        <v>810.19999999989398</v>
      </c>
      <c r="O6106" s="16" t="s">
        <v>3636</v>
      </c>
      <c r="R6106" s="6"/>
      <c r="S6106" s="298"/>
    </row>
    <row r="6107" spans="14:19" hidden="1" x14ac:dyDescent="0.25">
      <c r="N6107" s="17">
        <v>810.299999999894</v>
      </c>
      <c r="O6107" s="16" t="s">
        <v>3637</v>
      </c>
      <c r="R6107" s="6"/>
      <c r="S6107" s="298"/>
    </row>
    <row r="6108" spans="14:19" hidden="1" x14ac:dyDescent="0.25">
      <c r="N6108" s="17">
        <v>810.39999999989402</v>
      </c>
      <c r="O6108" s="16" t="s">
        <v>3638</v>
      </c>
      <c r="R6108" s="6"/>
      <c r="S6108" s="298"/>
    </row>
    <row r="6109" spans="14:19" hidden="1" x14ac:dyDescent="0.25">
      <c r="N6109" s="17">
        <v>810.49999999989404</v>
      </c>
      <c r="O6109" s="16" t="s">
        <v>3639</v>
      </c>
      <c r="R6109" s="6"/>
      <c r="S6109" s="298"/>
    </row>
    <row r="6110" spans="14:19" hidden="1" x14ac:dyDescent="0.25">
      <c r="N6110" s="17">
        <v>810.59999999989395</v>
      </c>
      <c r="O6110" s="16" t="s">
        <v>3640</v>
      </c>
      <c r="R6110" s="6"/>
      <c r="S6110" s="298"/>
    </row>
    <row r="6111" spans="14:19" hidden="1" x14ac:dyDescent="0.25">
      <c r="N6111" s="17">
        <v>810.69999999989398</v>
      </c>
      <c r="O6111" s="16" t="s">
        <v>3641</v>
      </c>
      <c r="R6111" s="6"/>
      <c r="S6111" s="298"/>
    </row>
    <row r="6112" spans="14:19" hidden="1" x14ac:dyDescent="0.25">
      <c r="N6112" s="17">
        <v>810.799999999894</v>
      </c>
      <c r="O6112" s="16" t="s">
        <v>8515</v>
      </c>
      <c r="R6112" s="6"/>
      <c r="S6112" s="298"/>
    </row>
    <row r="6113" spans="14:19" hidden="1" x14ac:dyDescent="0.25">
      <c r="N6113" s="17">
        <v>810.89999999989402</v>
      </c>
      <c r="O6113" s="16" t="s">
        <v>8516</v>
      </c>
      <c r="R6113" s="6"/>
      <c r="S6113" s="298"/>
    </row>
    <row r="6114" spans="14:19" hidden="1" x14ac:dyDescent="0.25">
      <c r="N6114" s="17">
        <v>810.99999999989404</v>
      </c>
      <c r="O6114" s="16" t="s">
        <v>5580</v>
      </c>
      <c r="R6114" s="6"/>
      <c r="S6114" s="298"/>
    </row>
    <row r="6115" spans="14:19" hidden="1" x14ac:dyDescent="0.25">
      <c r="N6115" s="17">
        <v>811.09999999989395</v>
      </c>
      <c r="O6115" s="16" t="s">
        <v>5581</v>
      </c>
      <c r="R6115" s="6"/>
      <c r="S6115" s="298"/>
    </row>
    <row r="6116" spans="14:19" hidden="1" x14ac:dyDescent="0.25">
      <c r="N6116" s="17">
        <v>811.19999999989398</v>
      </c>
      <c r="O6116" s="16" t="s">
        <v>8528</v>
      </c>
      <c r="R6116" s="6"/>
      <c r="S6116" s="298"/>
    </row>
    <row r="6117" spans="14:19" hidden="1" x14ac:dyDescent="0.25">
      <c r="N6117" s="17">
        <v>811.299999999894</v>
      </c>
      <c r="O6117" s="16" t="s">
        <v>8529</v>
      </c>
      <c r="R6117" s="6"/>
      <c r="S6117" s="298"/>
    </row>
    <row r="6118" spans="14:19" hidden="1" x14ac:dyDescent="0.25">
      <c r="N6118" s="17">
        <v>811.39999999989402</v>
      </c>
      <c r="O6118" s="16" t="s">
        <v>8530</v>
      </c>
      <c r="R6118" s="6"/>
      <c r="S6118" s="298"/>
    </row>
    <row r="6119" spans="14:19" hidden="1" x14ac:dyDescent="0.25">
      <c r="N6119" s="17">
        <v>811.49999999989404</v>
      </c>
      <c r="O6119" s="16" t="s">
        <v>6715</v>
      </c>
      <c r="R6119" s="6"/>
      <c r="S6119" s="298"/>
    </row>
    <row r="6120" spans="14:19" hidden="1" x14ac:dyDescent="0.25">
      <c r="N6120" s="17">
        <v>811.59999999989395</v>
      </c>
      <c r="O6120" s="16" t="s">
        <v>6716</v>
      </c>
      <c r="R6120" s="6"/>
      <c r="S6120" s="298"/>
    </row>
    <row r="6121" spans="14:19" hidden="1" x14ac:dyDescent="0.25">
      <c r="N6121" s="17">
        <v>811.69999999989398</v>
      </c>
      <c r="O6121" s="16" t="s">
        <v>6717</v>
      </c>
      <c r="R6121" s="6"/>
      <c r="S6121" s="298"/>
    </row>
    <row r="6122" spans="14:19" hidden="1" x14ac:dyDescent="0.25">
      <c r="N6122" s="17">
        <v>811.799999999894</v>
      </c>
      <c r="O6122" s="16" t="s">
        <v>6718</v>
      </c>
      <c r="R6122" s="6"/>
      <c r="S6122" s="298"/>
    </row>
    <row r="6123" spans="14:19" hidden="1" x14ac:dyDescent="0.25">
      <c r="N6123" s="17">
        <v>811.89999999989402</v>
      </c>
      <c r="O6123" s="16" t="s">
        <v>6719</v>
      </c>
      <c r="R6123" s="6"/>
      <c r="S6123" s="298"/>
    </row>
    <row r="6124" spans="14:19" hidden="1" x14ac:dyDescent="0.25">
      <c r="N6124" s="17">
        <v>811.99999999989404</v>
      </c>
      <c r="O6124" s="16" t="s">
        <v>6720</v>
      </c>
      <c r="R6124" s="6"/>
      <c r="S6124" s="298"/>
    </row>
    <row r="6125" spans="14:19" hidden="1" x14ac:dyDescent="0.25">
      <c r="N6125" s="17">
        <v>812.09999999989395</v>
      </c>
      <c r="O6125" s="16" t="s">
        <v>6721</v>
      </c>
      <c r="R6125" s="6"/>
      <c r="S6125" s="298"/>
    </row>
    <row r="6126" spans="14:19" hidden="1" x14ac:dyDescent="0.25">
      <c r="N6126" s="17">
        <v>812.19999999989398</v>
      </c>
      <c r="O6126" s="16" t="s">
        <v>6722</v>
      </c>
      <c r="R6126" s="6"/>
      <c r="S6126" s="298"/>
    </row>
    <row r="6127" spans="14:19" hidden="1" x14ac:dyDescent="0.25">
      <c r="N6127" s="17">
        <v>812.299999999894</v>
      </c>
      <c r="O6127" s="16" t="s">
        <v>4650</v>
      </c>
      <c r="R6127" s="6"/>
      <c r="S6127" s="298"/>
    </row>
    <row r="6128" spans="14:19" hidden="1" x14ac:dyDescent="0.25">
      <c r="N6128" s="17">
        <v>812.399999999893</v>
      </c>
      <c r="O6128" s="16" t="s">
        <v>4651</v>
      </c>
      <c r="R6128" s="6"/>
      <c r="S6128" s="298"/>
    </row>
    <row r="6129" spans="14:19" hidden="1" x14ac:dyDescent="0.25">
      <c r="N6129" s="17">
        <v>812.49999999989302</v>
      </c>
      <c r="O6129" s="16" t="s">
        <v>4652</v>
      </c>
      <c r="R6129" s="6"/>
      <c r="S6129" s="298"/>
    </row>
    <row r="6130" spans="14:19" hidden="1" x14ac:dyDescent="0.25">
      <c r="N6130" s="17">
        <v>812.59999999989304</v>
      </c>
      <c r="O6130" s="16" t="s">
        <v>4653</v>
      </c>
      <c r="R6130" s="6"/>
      <c r="S6130" s="298"/>
    </row>
    <row r="6131" spans="14:19" hidden="1" x14ac:dyDescent="0.25">
      <c r="N6131" s="17">
        <v>812.69999999989295</v>
      </c>
      <c r="O6131" s="16" t="s">
        <v>4654</v>
      </c>
      <c r="R6131" s="6"/>
      <c r="S6131" s="298"/>
    </row>
    <row r="6132" spans="14:19" hidden="1" x14ac:dyDescent="0.25">
      <c r="N6132" s="17">
        <v>812.79999999989298</v>
      </c>
      <c r="O6132" s="16" t="s">
        <v>5789</v>
      </c>
      <c r="R6132" s="6"/>
      <c r="S6132" s="298"/>
    </row>
    <row r="6133" spans="14:19" hidden="1" x14ac:dyDescent="0.25">
      <c r="N6133" s="17">
        <v>812.899999999893</v>
      </c>
      <c r="O6133" s="16" t="s">
        <v>5790</v>
      </c>
      <c r="R6133" s="6"/>
      <c r="S6133" s="298"/>
    </row>
    <row r="6134" spans="14:19" hidden="1" x14ac:dyDescent="0.25">
      <c r="N6134" s="17">
        <v>812.99999999989302</v>
      </c>
      <c r="O6134" s="16" t="s">
        <v>5791</v>
      </c>
      <c r="R6134" s="6"/>
      <c r="S6134" s="298"/>
    </row>
    <row r="6135" spans="14:19" hidden="1" x14ac:dyDescent="0.25">
      <c r="N6135" s="17">
        <v>813.09999999989304</v>
      </c>
      <c r="O6135" s="16" t="s">
        <v>5792</v>
      </c>
      <c r="R6135" s="6"/>
      <c r="S6135" s="298"/>
    </row>
    <row r="6136" spans="14:19" hidden="1" x14ac:dyDescent="0.25">
      <c r="N6136" s="17">
        <v>813.19999999989295</v>
      </c>
      <c r="O6136" s="16" t="s">
        <v>5793</v>
      </c>
      <c r="R6136" s="6"/>
      <c r="S6136" s="298"/>
    </row>
    <row r="6137" spans="14:19" hidden="1" x14ac:dyDescent="0.25">
      <c r="N6137" s="17">
        <v>813.29999999989298</v>
      </c>
      <c r="O6137" s="16" t="s">
        <v>5794</v>
      </c>
      <c r="R6137" s="6"/>
      <c r="S6137" s="298"/>
    </row>
    <row r="6138" spans="14:19" hidden="1" x14ac:dyDescent="0.25">
      <c r="N6138" s="17">
        <v>813.399999999893</v>
      </c>
      <c r="O6138" s="16" t="s">
        <v>5795</v>
      </c>
      <c r="R6138" s="6"/>
      <c r="S6138" s="298"/>
    </row>
    <row r="6139" spans="14:19" hidden="1" x14ac:dyDescent="0.25">
      <c r="N6139" s="17">
        <v>813.49999999989302</v>
      </c>
      <c r="O6139" s="16" t="s">
        <v>5796</v>
      </c>
      <c r="R6139" s="6"/>
      <c r="S6139" s="298"/>
    </row>
    <row r="6140" spans="14:19" hidden="1" x14ac:dyDescent="0.25">
      <c r="N6140" s="17">
        <v>813.59999999989304</v>
      </c>
      <c r="O6140" s="16" t="s">
        <v>5797</v>
      </c>
      <c r="R6140" s="6"/>
      <c r="S6140" s="298"/>
    </row>
    <row r="6141" spans="14:19" hidden="1" x14ac:dyDescent="0.25">
      <c r="N6141" s="17">
        <v>813.69999999989295</v>
      </c>
      <c r="O6141" s="16" t="s">
        <v>5798</v>
      </c>
      <c r="R6141" s="6"/>
      <c r="S6141" s="298"/>
    </row>
    <row r="6142" spans="14:19" hidden="1" x14ac:dyDescent="0.25">
      <c r="N6142" s="17">
        <v>813.79999999989298</v>
      </c>
      <c r="O6142" s="16" t="s">
        <v>3673</v>
      </c>
      <c r="R6142" s="6"/>
      <c r="S6142" s="298"/>
    </row>
    <row r="6143" spans="14:19" hidden="1" x14ac:dyDescent="0.25">
      <c r="N6143" s="17">
        <v>813.899999999893</v>
      </c>
      <c r="O6143" s="16" t="s">
        <v>3674</v>
      </c>
      <c r="R6143" s="6"/>
      <c r="S6143" s="298"/>
    </row>
    <row r="6144" spans="14:19" hidden="1" x14ac:dyDescent="0.25">
      <c r="N6144" s="17">
        <v>813.99999999989302</v>
      </c>
      <c r="O6144" s="16" t="s">
        <v>3675</v>
      </c>
      <c r="R6144" s="6"/>
      <c r="S6144" s="298"/>
    </row>
    <row r="6145" spans="14:19" hidden="1" x14ac:dyDescent="0.25">
      <c r="N6145" s="17">
        <v>814.09999999989304</v>
      </c>
      <c r="O6145" s="16" t="s">
        <v>3676</v>
      </c>
      <c r="R6145" s="6"/>
      <c r="S6145" s="298"/>
    </row>
    <row r="6146" spans="14:19" hidden="1" x14ac:dyDescent="0.25">
      <c r="N6146" s="17">
        <v>814.19999999989295</v>
      </c>
      <c r="O6146" s="16" t="s">
        <v>3677</v>
      </c>
      <c r="R6146" s="6"/>
      <c r="S6146" s="298"/>
    </row>
    <row r="6147" spans="14:19" hidden="1" x14ac:dyDescent="0.25">
      <c r="N6147" s="17">
        <v>814.29999999989298</v>
      </c>
      <c r="O6147" s="16" t="s">
        <v>3678</v>
      </c>
      <c r="R6147" s="6"/>
      <c r="S6147" s="298"/>
    </row>
    <row r="6148" spans="14:19" hidden="1" x14ac:dyDescent="0.25">
      <c r="N6148" s="17">
        <v>814.399999999893</v>
      </c>
      <c r="O6148" s="16" t="s">
        <v>3679</v>
      </c>
      <c r="R6148" s="6"/>
      <c r="S6148" s="298"/>
    </row>
    <row r="6149" spans="14:19" hidden="1" x14ac:dyDescent="0.25">
      <c r="N6149" s="17">
        <v>814.49999999989302</v>
      </c>
      <c r="O6149" s="16" t="s">
        <v>3680</v>
      </c>
      <c r="R6149" s="6"/>
      <c r="S6149" s="298"/>
    </row>
    <row r="6150" spans="14:19" hidden="1" x14ac:dyDescent="0.25">
      <c r="N6150" s="17">
        <v>814.59999999989304</v>
      </c>
      <c r="O6150" s="16" t="s">
        <v>5808</v>
      </c>
      <c r="R6150" s="6"/>
      <c r="S6150" s="298"/>
    </row>
    <row r="6151" spans="14:19" hidden="1" x14ac:dyDescent="0.25">
      <c r="N6151" s="17">
        <v>814.69999999989295</v>
      </c>
      <c r="O6151" s="16" t="s">
        <v>5809</v>
      </c>
      <c r="R6151" s="6"/>
      <c r="S6151" s="298"/>
    </row>
    <row r="6152" spans="14:19" hidden="1" x14ac:dyDescent="0.25">
      <c r="N6152" s="17">
        <v>814.79999999989298</v>
      </c>
      <c r="O6152" s="16" t="s">
        <v>5810</v>
      </c>
      <c r="R6152" s="6"/>
      <c r="S6152" s="298"/>
    </row>
    <row r="6153" spans="14:19" hidden="1" x14ac:dyDescent="0.25">
      <c r="N6153" s="17">
        <v>814.899999999893</v>
      </c>
      <c r="O6153" s="16" t="s">
        <v>5811</v>
      </c>
      <c r="R6153" s="6"/>
      <c r="S6153" s="298"/>
    </row>
    <row r="6154" spans="14:19" hidden="1" x14ac:dyDescent="0.25">
      <c r="N6154" s="17">
        <v>814.99999999989302</v>
      </c>
      <c r="O6154" s="16" t="s">
        <v>5812</v>
      </c>
      <c r="R6154" s="6"/>
      <c r="S6154" s="298"/>
    </row>
    <row r="6155" spans="14:19" hidden="1" x14ac:dyDescent="0.25">
      <c r="N6155" s="17">
        <v>815.09999999989304</v>
      </c>
      <c r="O6155" s="16" t="s">
        <v>5813</v>
      </c>
      <c r="R6155" s="6"/>
      <c r="S6155" s="298"/>
    </row>
    <row r="6156" spans="14:19" hidden="1" x14ac:dyDescent="0.25">
      <c r="N6156" s="17">
        <v>815.19999999989295</v>
      </c>
      <c r="O6156" s="16" t="s">
        <v>5814</v>
      </c>
      <c r="R6156" s="6"/>
      <c r="S6156" s="298"/>
    </row>
    <row r="6157" spans="14:19" hidden="1" x14ac:dyDescent="0.25">
      <c r="N6157" s="17">
        <v>815.29999999989195</v>
      </c>
      <c r="O6157" s="16" t="s">
        <v>5815</v>
      </c>
      <c r="R6157" s="6"/>
      <c r="S6157" s="298"/>
    </row>
    <row r="6158" spans="14:19" hidden="1" x14ac:dyDescent="0.25">
      <c r="N6158" s="17">
        <v>815.39999999989197</v>
      </c>
      <c r="O6158" s="16" t="s">
        <v>5816</v>
      </c>
      <c r="R6158" s="6"/>
      <c r="S6158" s="298"/>
    </row>
    <row r="6159" spans="14:19" hidden="1" x14ac:dyDescent="0.25">
      <c r="N6159" s="17">
        <v>815.499999999892</v>
      </c>
      <c r="O6159" s="16" t="s">
        <v>7848</v>
      </c>
      <c r="R6159" s="6"/>
      <c r="S6159" s="298"/>
    </row>
    <row r="6160" spans="14:19" hidden="1" x14ac:dyDescent="0.25">
      <c r="N6160" s="17">
        <v>815.59999999989202</v>
      </c>
      <c r="O6160" s="16" t="s">
        <v>7849</v>
      </c>
      <c r="R6160" s="6"/>
      <c r="S6160" s="298"/>
    </row>
    <row r="6161" spans="14:19" hidden="1" x14ac:dyDescent="0.25">
      <c r="N6161" s="17">
        <v>815.69999999989204</v>
      </c>
      <c r="O6161" s="16" t="s">
        <v>7850</v>
      </c>
      <c r="R6161" s="6"/>
      <c r="S6161" s="298"/>
    </row>
    <row r="6162" spans="14:19" hidden="1" x14ac:dyDescent="0.25">
      <c r="N6162" s="17">
        <v>815.79999999989195</v>
      </c>
      <c r="O6162" s="16" t="s">
        <v>5821</v>
      </c>
      <c r="R6162" s="6"/>
      <c r="S6162" s="298"/>
    </row>
    <row r="6163" spans="14:19" hidden="1" x14ac:dyDescent="0.25">
      <c r="N6163" s="17">
        <v>815.89999999989197</v>
      </c>
      <c r="O6163" s="16" t="s">
        <v>5822</v>
      </c>
      <c r="R6163" s="6"/>
      <c r="S6163" s="298"/>
    </row>
    <row r="6164" spans="14:19" hidden="1" x14ac:dyDescent="0.25">
      <c r="N6164" s="17">
        <v>815.999999999892</v>
      </c>
      <c r="O6164" s="16" t="s">
        <v>5823</v>
      </c>
      <c r="R6164" s="6"/>
      <c r="S6164" s="298"/>
    </row>
    <row r="6165" spans="14:19" hidden="1" x14ac:dyDescent="0.25">
      <c r="N6165" s="17">
        <v>816.09999999989202</v>
      </c>
      <c r="O6165" s="16" t="s">
        <v>5824</v>
      </c>
      <c r="R6165" s="6"/>
      <c r="S6165" s="298"/>
    </row>
    <row r="6166" spans="14:19" hidden="1" x14ac:dyDescent="0.25">
      <c r="N6166" s="17">
        <v>816.19999999989204</v>
      </c>
      <c r="O6166" s="16" t="s">
        <v>5825</v>
      </c>
      <c r="R6166" s="6"/>
      <c r="S6166" s="298"/>
    </row>
    <row r="6167" spans="14:19" hidden="1" x14ac:dyDescent="0.25">
      <c r="N6167" s="17">
        <v>816.29999999989195</v>
      </c>
      <c r="O6167" s="16" t="s">
        <v>5826</v>
      </c>
      <c r="R6167" s="6"/>
      <c r="S6167" s="298"/>
    </row>
    <row r="6168" spans="14:19" hidden="1" x14ac:dyDescent="0.25">
      <c r="N6168" s="17">
        <v>816.39999999989197</v>
      </c>
      <c r="O6168" s="16" t="s">
        <v>5827</v>
      </c>
      <c r="R6168" s="6"/>
      <c r="S6168" s="298"/>
    </row>
    <row r="6169" spans="14:19" hidden="1" x14ac:dyDescent="0.25">
      <c r="N6169" s="17">
        <v>816.499999999892</v>
      </c>
      <c r="O6169" s="16" t="s">
        <v>5828</v>
      </c>
      <c r="R6169" s="6"/>
      <c r="S6169" s="298"/>
    </row>
    <row r="6170" spans="14:19" hidden="1" x14ac:dyDescent="0.25">
      <c r="N6170" s="17">
        <v>816.59999999989202</v>
      </c>
      <c r="O6170" s="16" t="s">
        <v>5829</v>
      </c>
      <c r="R6170" s="6"/>
      <c r="S6170" s="298"/>
    </row>
    <row r="6171" spans="14:19" hidden="1" x14ac:dyDescent="0.25">
      <c r="N6171" s="17">
        <v>816.69999999989204</v>
      </c>
      <c r="O6171" s="16" t="s">
        <v>5830</v>
      </c>
      <c r="R6171" s="6"/>
      <c r="S6171" s="298"/>
    </row>
    <row r="6172" spans="14:19" hidden="1" x14ac:dyDescent="0.25">
      <c r="N6172" s="17">
        <v>816.79999999989195</v>
      </c>
      <c r="O6172" s="16" t="s">
        <v>5831</v>
      </c>
      <c r="R6172" s="6"/>
      <c r="S6172" s="298"/>
    </row>
    <row r="6173" spans="14:19" hidden="1" x14ac:dyDescent="0.25">
      <c r="N6173" s="17">
        <v>816.89999999989197</v>
      </c>
      <c r="O6173" s="16" t="s">
        <v>5832</v>
      </c>
      <c r="R6173" s="6"/>
      <c r="S6173" s="298"/>
    </row>
    <row r="6174" spans="14:19" hidden="1" x14ac:dyDescent="0.25">
      <c r="N6174" s="17">
        <v>816.999999999892</v>
      </c>
      <c r="O6174" s="16" t="s">
        <v>5833</v>
      </c>
      <c r="R6174" s="6"/>
      <c r="S6174" s="298"/>
    </row>
    <row r="6175" spans="14:19" hidden="1" x14ac:dyDescent="0.25">
      <c r="N6175" s="17">
        <v>817.09999999989202</v>
      </c>
      <c r="O6175" s="16" t="s">
        <v>5834</v>
      </c>
      <c r="R6175" s="6"/>
      <c r="S6175" s="298"/>
    </row>
    <row r="6176" spans="14:19" hidden="1" x14ac:dyDescent="0.25">
      <c r="N6176" s="17">
        <v>817.19999999989204</v>
      </c>
      <c r="O6176" s="16" t="s">
        <v>5835</v>
      </c>
      <c r="R6176" s="6"/>
      <c r="S6176" s="298"/>
    </row>
    <row r="6177" spans="14:19" hidden="1" x14ac:dyDescent="0.25">
      <c r="N6177" s="17">
        <v>817.29999999989195</v>
      </c>
      <c r="O6177" s="16" t="s">
        <v>5836</v>
      </c>
      <c r="R6177" s="6"/>
      <c r="S6177" s="298"/>
    </row>
    <row r="6178" spans="14:19" hidden="1" x14ac:dyDescent="0.25">
      <c r="N6178" s="17">
        <v>817.39999999989197</v>
      </c>
      <c r="O6178" s="16" t="s">
        <v>5837</v>
      </c>
      <c r="R6178" s="6"/>
      <c r="S6178" s="298"/>
    </row>
    <row r="6179" spans="14:19" hidden="1" x14ac:dyDescent="0.25">
      <c r="N6179" s="17">
        <v>817.499999999892</v>
      </c>
      <c r="O6179" s="16" t="s">
        <v>5838</v>
      </c>
      <c r="R6179" s="6"/>
      <c r="S6179" s="298"/>
    </row>
    <row r="6180" spans="14:19" hidden="1" x14ac:dyDescent="0.25">
      <c r="N6180" s="17">
        <v>817.59999999989202</v>
      </c>
      <c r="O6180" s="16" t="s">
        <v>5839</v>
      </c>
      <c r="R6180" s="6"/>
      <c r="S6180" s="298"/>
    </row>
    <row r="6181" spans="14:19" hidden="1" x14ac:dyDescent="0.25">
      <c r="N6181" s="17">
        <v>817.69999999989204</v>
      </c>
      <c r="O6181" s="16" t="s">
        <v>5840</v>
      </c>
      <c r="R6181" s="6"/>
      <c r="S6181" s="298"/>
    </row>
    <row r="6182" spans="14:19" hidden="1" x14ac:dyDescent="0.25">
      <c r="N6182" s="17">
        <v>817.79999999989195</v>
      </c>
      <c r="O6182" s="16" t="s">
        <v>5841</v>
      </c>
      <c r="R6182" s="6"/>
      <c r="S6182" s="298"/>
    </row>
    <row r="6183" spans="14:19" hidden="1" x14ac:dyDescent="0.25">
      <c r="N6183" s="17">
        <v>817.89999999989197</v>
      </c>
      <c r="O6183" s="16" t="s">
        <v>5842</v>
      </c>
      <c r="R6183" s="6"/>
      <c r="S6183" s="298"/>
    </row>
    <row r="6184" spans="14:19" hidden="1" x14ac:dyDescent="0.25">
      <c r="N6184" s="17">
        <v>817.999999999892</v>
      </c>
      <c r="O6184" s="16" t="s">
        <v>5843</v>
      </c>
      <c r="R6184" s="6"/>
      <c r="S6184" s="298"/>
    </row>
    <row r="6185" spans="14:19" hidden="1" x14ac:dyDescent="0.25">
      <c r="N6185" s="17">
        <v>818.09999999989202</v>
      </c>
      <c r="O6185" s="16" t="s">
        <v>5844</v>
      </c>
      <c r="R6185" s="6"/>
      <c r="S6185" s="298"/>
    </row>
    <row r="6186" spans="14:19" hidden="1" x14ac:dyDescent="0.25">
      <c r="N6186" s="17">
        <v>818.19999999989204</v>
      </c>
      <c r="O6186" s="16" t="s">
        <v>5845</v>
      </c>
      <c r="R6186" s="6"/>
      <c r="S6186" s="298"/>
    </row>
    <row r="6187" spans="14:19" hidden="1" x14ac:dyDescent="0.25">
      <c r="N6187" s="17">
        <v>818.29999999989104</v>
      </c>
      <c r="O6187" s="16" t="s">
        <v>5846</v>
      </c>
      <c r="R6187" s="6"/>
      <c r="S6187" s="298"/>
    </row>
    <row r="6188" spans="14:19" hidden="1" x14ac:dyDescent="0.25">
      <c r="N6188" s="17">
        <v>818.39999999989095</v>
      </c>
      <c r="O6188" s="16" t="s">
        <v>5847</v>
      </c>
      <c r="R6188" s="6"/>
      <c r="S6188" s="298"/>
    </row>
    <row r="6189" spans="14:19" hidden="1" x14ac:dyDescent="0.25">
      <c r="N6189" s="17">
        <v>818.49999999989097</v>
      </c>
      <c r="O6189" s="16" t="s">
        <v>5848</v>
      </c>
      <c r="R6189" s="6"/>
      <c r="S6189" s="298"/>
    </row>
    <row r="6190" spans="14:19" hidden="1" x14ac:dyDescent="0.25">
      <c r="N6190" s="17">
        <v>818.599999999891</v>
      </c>
      <c r="O6190" s="16" t="s">
        <v>5849</v>
      </c>
      <c r="R6190" s="6"/>
      <c r="S6190" s="298"/>
    </row>
    <row r="6191" spans="14:19" hidden="1" x14ac:dyDescent="0.25">
      <c r="N6191" s="17">
        <v>818.69999999989102</v>
      </c>
      <c r="O6191" s="16" t="s">
        <v>3736</v>
      </c>
      <c r="R6191" s="6"/>
      <c r="S6191" s="298"/>
    </row>
    <row r="6192" spans="14:19" hidden="1" x14ac:dyDescent="0.25">
      <c r="N6192" s="17">
        <v>818.79999999989104</v>
      </c>
      <c r="O6192" s="16" t="s">
        <v>3737</v>
      </c>
      <c r="R6192" s="6"/>
      <c r="S6192" s="298"/>
    </row>
    <row r="6193" spans="14:19" hidden="1" x14ac:dyDescent="0.25">
      <c r="N6193" s="17">
        <v>818.89999999989095</v>
      </c>
      <c r="O6193" s="16" t="s">
        <v>3738</v>
      </c>
      <c r="R6193" s="6"/>
      <c r="S6193" s="298"/>
    </row>
    <row r="6194" spans="14:19" hidden="1" x14ac:dyDescent="0.25">
      <c r="N6194" s="17">
        <v>818.99999999989097</v>
      </c>
      <c r="O6194" s="16" t="s">
        <v>3739</v>
      </c>
      <c r="R6194" s="6"/>
      <c r="S6194" s="298"/>
    </row>
    <row r="6195" spans="14:19" hidden="1" x14ac:dyDescent="0.25">
      <c r="N6195" s="17">
        <v>819.099999999891</v>
      </c>
      <c r="O6195" s="16" t="s">
        <v>3740</v>
      </c>
      <c r="R6195" s="6"/>
      <c r="S6195" s="298"/>
    </row>
    <row r="6196" spans="14:19" hidden="1" x14ac:dyDescent="0.25">
      <c r="N6196" s="17">
        <v>819.19999999989102</v>
      </c>
      <c r="O6196" s="16" t="s">
        <v>3741</v>
      </c>
      <c r="R6196" s="6"/>
      <c r="S6196" s="298"/>
    </row>
    <row r="6197" spans="14:19" hidden="1" x14ac:dyDescent="0.25">
      <c r="N6197" s="17">
        <v>819.29999999989104</v>
      </c>
      <c r="O6197" s="16" t="s">
        <v>3742</v>
      </c>
      <c r="R6197" s="6"/>
      <c r="S6197" s="298"/>
    </row>
    <row r="6198" spans="14:19" hidden="1" x14ac:dyDescent="0.25">
      <c r="N6198" s="17">
        <v>819.39999999989095</v>
      </c>
      <c r="O6198" s="16" t="s">
        <v>3753</v>
      </c>
      <c r="R6198" s="6"/>
      <c r="S6198" s="298"/>
    </row>
    <row r="6199" spans="14:19" hidden="1" x14ac:dyDescent="0.25">
      <c r="N6199" s="17">
        <v>819.49999999989097</v>
      </c>
      <c r="O6199" s="16" t="s">
        <v>3754</v>
      </c>
      <c r="R6199" s="6"/>
      <c r="S6199" s="298"/>
    </row>
    <row r="6200" spans="14:19" hidden="1" x14ac:dyDescent="0.25">
      <c r="N6200" s="17">
        <v>819.599999999891</v>
      </c>
      <c r="O6200" s="16" t="s">
        <v>3755</v>
      </c>
      <c r="R6200" s="6"/>
      <c r="S6200" s="298"/>
    </row>
    <row r="6201" spans="14:19" hidden="1" x14ac:dyDescent="0.25">
      <c r="N6201" s="17">
        <v>819.69999999989102</v>
      </c>
      <c r="O6201" s="16" t="s">
        <v>3756</v>
      </c>
      <c r="R6201" s="6"/>
      <c r="S6201" s="298"/>
    </row>
    <row r="6202" spans="14:19" hidden="1" x14ac:dyDescent="0.25">
      <c r="N6202" s="17">
        <v>819.79999999989104</v>
      </c>
      <c r="O6202" s="16" t="s">
        <v>3757</v>
      </c>
      <c r="R6202" s="6"/>
      <c r="S6202" s="298"/>
    </row>
    <row r="6203" spans="14:19" hidden="1" x14ac:dyDescent="0.25">
      <c r="N6203" s="17">
        <v>819.89999999989095</v>
      </c>
      <c r="O6203" s="16" t="s">
        <v>3758</v>
      </c>
      <c r="R6203" s="6"/>
      <c r="S6203" s="298"/>
    </row>
    <row r="6204" spans="14:19" hidden="1" x14ac:dyDescent="0.25">
      <c r="N6204" s="17">
        <v>819.99999999989097</v>
      </c>
      <c r="O6204" s="16" t="s">
        <v>3759</v>
      </c>
      <c r="R6204" s="6"/>
      <c r="S6204" s="298"/>
    </row>
    <row r="6205" spans="14:19" hidden="1" x14ac:dyDescent="0.25">
      <c r="N6205" s="17">
        <v>820.099999999891</v>
      </c>
      <c r="O6205" s="16" t="s">
        <v>3760</v>
      </c>
      <c r="R6205" s="6"/>
      <c r="S6205" s="298"/>
    </row>
    <row r="6206" spans="14:19" hidden="1" x14ac:dyDescent="0.25">
      <c r="N6206" s="17">
        <v>820.19999999989102</v>
      </c>
      <c r="O6206" s="16" t="s">
        <v>3761</v>
      </c>
      <c r="R6206" s="6"/>
      <c r="S6206" s="298"/>
    </row>
    <row r="6207" spans="14:19" hidden="1" x14ac:dyDescent="0.25">
      <c r="N6207" s="17">
        <v>820.29999999989104</v>
      </c>
      <c r="O6207" s="16" t="s">
        <v>3762</v>
      </c>
      <c r="R6207" s="6"/>
      <c r="S6207" s="298"/>
    </row>
    <row r="6208" spans="14:19" hidden="1" x14ac:dyDescent="0.25">
      <c r="N6208" s="17">
        <v>820.39999999989095</v>
      </c>
      <c r="O6208" s="16" t="s">
        <v>5866</v>
      </c>
      <c r="R6208" s="6"/>
      <c r="S6208" s="298"/>
    </row>
    <row r="6209" spans="14:19" hidden="1" x14ac:dyDescent="0.25">
      <c r="N6209" s="17">
        <v>820.49999999989097</v>
      </c>
      <c r="O6209" s="16" t="s">
        <v>5867</v>
      </c>
      <c r="R6209" s="6"/>
      <c r="S6209" s="298"/>
    </row>
    <row r="6210" spans="14:19" hidden="1" x14ac:dyDescent="0.25">
      <c r="N6210" s="17">
        <v>820.599999999891</v>
      </c>
      <c r="O6210" s="16" t="s">
        <v>5868</v>
      </c>
      <c r="R6210" s="6"/>
      <c r="S6210" s="298"/>
    </row>
    <row r="6211" spans="14:19" hidden="1" x14ac:dyDescent="0.25">
      <c r="N6211" s="17">
        <v>820.69999999989102</v>
      </c>
      <c r="O6211" s="16" t="s">
        <v>7756</v>
      </c>
      <c r="R6211" s="6"/>
      <c r="S6211" s="298"/>
    </row>
    <row r="6212" spans="14:19" hidden="1" x14ac:dyDescent="0.25">
      <c r="N6212" s="17">
        <v>820.79999999989104</v>
      </c>
      <c r="O6212" s="16" t="s">
        <v>7757</v>
      </c>
      <c r="R6212" s="6"/>
      <c r="S6212" s="298"/>
    </row>
    <row r="6213" spans="14:19" hidden="1" x14ac:dyDescent="0.25">
      <c r="N6213" s="17">
        <v>820.89999999989095</v>
      </c>
      <c r="O6213" s="16" t="s">
        <v>7758</v>
      </c>
      <c r="R6213" s="6"/>
      <c r="S6213" s="298"/>
    </row>
    <row r="6214" spans="14:19" hidden="1" x14ac:dyDescent="0.25">
      <c r="N6214" s="17">
        <v>820.99999999989097</v>
      </c>
      <c r="O6214" s="16" t="s">
        <v>3760</v>
      </c>
      <c r="R6214" s="6"/>
      <c r="S6214" s="298"/>
    </row>
    <row r="6215" spans="14:19" hidden="1" x14ac:dyDescent="0.25">
      <c r="N6215" s="17">
        <v>821.099999999891</v>
      </c>
      <c r="O6215" s="16" t="s">
        <v>7759</v>
      </c>
      <c r="R6215" s="6"/>
      <c r="S6215" s="298"/>
    </row>
    <row r="6216" spans="14:19" hidden="1" x14ac:dyDescent="0.25">
      <c r="N6216" s="17">
        <v>821.19999999989</v>
      </c>
      <c r="O6216" s="16" t="s">
        <v>7760</v>
      </c>
      <c r="R6216" s="6"/>
      <c r="S6216" s="298"/>
    </row>
    <row r="6217" spans="14:19" hidden="1" x14ac:dyDescent="0.25">
      <c r="N6217" s="17">
        <v>821.29999999989002</v>
      </c>
      <c r="O6217" s="16" t="s">
        <v>7761</v>
      </c>
      <c r="R6217" s="6"/>
      <c r="S6217" s="298"/>
    </row>
    <row r="6218" spans="14:19" hidden="1" x14ac:dyDescent="0.25">
      <c r="N6218" s="17">
        <v>821.39999999989004</v>
      </c>
      <c r="O6218" s="16" t="s">
        <v>7762</v>
      </c>
      <c r="R6218" s="6"/>
      <c r="S6218" s="298"/>
    </row>
    <row r="6219" spans="14:19" hidden="1" x14ac:dyDescent="0.25">
      <c r="N6219" s="17">
        <v>821.49999999988995</v>
      </c>
      <c r="O6219" s="16" t="s">
        <v>7763</v>
      </c>
      <c r="R6219" s="6"/>
      <c r="S6219" s="298"/>
    </row>
    <row r="6220" spans="14:19" hidden="1" x14ac:dyDescent="0.25">
      <c r="N6220" s="17">
        <v>821.59999999988997</v>
      </c>
      <c r="O6220" s="16" t="s">
        <v>7764</v>
      </c>
      <c r="R6220" s="6"/>
      <c r="S6220" s="298"/>
    </row>
    <row r="6221" spans="14:19" hidden="1" x14ac:dyDescent="0.25">
      <c r="N6221" s="17">
        <v>821.69999999989</v>
      </c>
      <c r="O6221" s="16" t="s">
        <v>5927</v>
      </c>
      <c r="R6221" s="6"/>
      <c r="S6221" s="298"/>
    </row>
    <row r="6222" spans="14:19" hidden="1" x14ac:dyDescent="0.25">
      <c r="N6222" s="17">
        <v>821.79999999989002</v>
      </c>
      <c r="O6222" s="16" t="s">
        <v>5928</v>
      </c>
      <c r="R6222" s="6"/>
      <c r="S6222" s="298"/>
    </row>
    <row r="6223" spans="14:19" hidden="1" x14ac:dyDescent="0.25">
      <c r="N6223" s="17">
        <v>821.89999999989004</v>
      </c>
      <c r="O6223" s="16" t="s">
        <v>5929</v>
      </c>
      <c r="R6223" s="6"/>
      <c r="S6223" s="298"/>
    </row>
    <row r="6224" spans="14:19" hidden="1" x14ac:dyDescent="0.25">
      <c r="N6224" s="17">
        <v>821.99999999988995</v>
      </c>
      <c r="O6224" s="16" t="s">
        <v>5930</v>
      </c>
      <c r="R6224" s="6"/>
      <c r="S6224" s="298"/>
    </row>
    <row r="6225" spans="14:19" hidden="1" x14ac:dyDescent="0.25">
      <c r="N6225" s="17">
        <v>822.09999999988997</v>
      </c>
      <c r="O6225" s="16" t="s">
        <v>5931</v>
      </c>
      <c r="R6225" s="6"/>
      <c r="S6225" s="298"/>
    </row>
    <row r="6226" spans="14:19" hidden="1" x14ac:dyDescent="0.25">
      <c r="N6226" s="17">
        <v>822.19999999989</v>
      </c>
      <c r="O6226" s="16" t="s">
        <v>5932</v>
      </c>
      <c r="R6226" s="6"/>
      <c r="S6226" s="298"/>
    </row>
    <row r="6227" spans="14:19" hidden="1" x14ac:dyDescent="0.25">
      <c r="N6227" s="17">
        <v>822.29999999989002</v>
      </c>
      <c r="O6227" s="16" t="s">
        <v>5933</v>
      </c>
      <c r="R6227" s="6"/>
      <c r="S6227" s="298"/>
    </row>
    <row r="6228" spans="14:19" hidden="1" x14ac:dyDescent="0.25">
      <c r="N6228" s="17">
        <v>822.39999999989004</v>
      </c>
      <c r="O6228" s="16" t="s">
        <v>3792</v>
      </c>
      <c r="R6228" s="6"/>
      <c r="S6228" s="298"/>
    </row>
    <row r="6229" spans="14:19" hidden="1" x14ac:dyDescent="0.25">
      <c r="N6229" s="17">
        <v>822.49999999988995</v>
      </c>
      <c r="O6229" s="16" t="s">
        <v>3793</v>
      </c>
      <c r="R6229" s="6"/>
      <c r="S6229" s="298"/>
    </row>
    <row r="6230" spans="14:19" hidden="1" x14ac:dyDescent="0.25">
      <c r="N6230" s="17">
        <v>822.59999999988997</v>
      </c>
      <c r="O6230" s="16" t="s">
        <v>3794</v>
      </c>
      <c r="R6230" s="6"/>
      <c r="S6230" s="298"/>
    </row>
    <row r="6231" spans="14:19" hidden="1" x14ac:dyDescent="0.25">
      <c r="N6231" s="17">
        <v>822.69999999989</v>
      </c>
      <c r="O6231" s="16" t="s">
        <v>3795</v>
      </c>
      <c r="R6231" s="6"/>
      <c r="S6231" s="298"/>
    </row>
    <row r="6232" spans="14:19" hidden="1" x14ac:dyDescent="0.25">
      <c r="N6232" s="17">
        <v>822.79999999989002</v>
      </c>
      <c r="O6232" s="16" t="s">
        <v>3796</v>
      </c>
      <c r="R6232" s="6"/>
      <c r="S6232" s="298"/>
    </row>
    <row r="6233" spans="14:19" hidden="1" x14ac:dyDescent="0.25">
      <c r="N6233" s="17">
        <v>822.89999999989004</v>
      </c>
      <c r="O6233" s="16" t="s">
        <v>3797</v>
      </c>
      <c r="R6233" s="6"/>
      <c r="S6233" s="298"/>
    </row>
    <row r="6234" spans="14:19" hidden="1" x14ac:dyDescent="0.25">
      <c r="N6234" s="17">
        <v>822.99999999988995</v>
      </c>
      <c r="O6234" s="16" t="s">
        <v>3798</v>
      </c>
      <c r="R6234" s="6"/>
      <c r="S6234" s="298"/>
    </row>
    <row r="6235" spans="14:19" hidden="1" x14ac:dyDescent="0.25">
      <c r="N6235" s="17">
        <v>823.09999999988997</v>
      </c>
      <c r="O6235" s="16" t="s">
        <v>3799</v>
      </c>
      <c r="R6235" s="6"/>
      <c r="S6235" s="298"/>
    </row>
    <row r="6236" spans="14:19" hidden="1" x14ac:dyDescent="0.25">
      <c r="N6236" s="17">
        <v>823.19999999989</v>
      </c>
      <c r="O6236" s="16" t="s">
        <v>3800</v>
      </c>
      <c r="R6236" s="6"/>
      <c r="S6236" s="298"/>
    </row>
    <row r="6237" spans="14:19" hidden="1" x14ac:dyDescent="0.25">
      <c r="N6237" s="17">
        <v>823.29999999989002</v>
      </c>
      <c r="O6237" s="16" t="s">
        <v>3801</v>
      </c>
      <c r="R6237" s="6"/>
      <c r="S6237" s="298"/>
    </row>
    <row r="6238" spans="14:19" hidden="1" x14ac:dyDescent="0.25">
      <c r="N6238" s="17">
        <v>823.39999999989004</v>
      </c>
      <c r="O6238" s="16" t="s">
        <v>3802</v>
      </c>
      <c r="R6238" s="6"/>
      <c r="S6238" s="298"/>
    </row>
    <row r="6239" spans="14:19" hidden="1" x14ac:dyDescent="0.25">
      <c r="N6239" s="17">
        <v>823.49999999988995</v>
      </c>
      <c r="O6239" s="16" t="s">
        <v>3803</v>
      </c>
      <c r="R6239" s="6"/>
      <c r="S6239" s="298"/>
    </row>
    <row r="6240" spans="14:19" hidden="1" x14ac:dyDescent="0.25">
      <c r="N6240" s="17">
        <v>823.59999999988997</v>
      </c>
      <c r="O6240" s="16" t="s">
        <v>3804</v>
      </c>
      <c r="R6240" s="6"/>
      <c r="S6240" s="298"/>
    </row>
    <row r="6241" spans="14:19" hidden="1" x14ac:dyDescent="0.25">
      <c r="N6241" s="17">
        <v>823.69999999989</v>
      </c>
      <c r="O6241" s="16" t="s">
        <v>3805</v>
      </c>
      <c r="R6241" s="6"/>
      <c r="S6241" s="298"/>
    </row>
    <row r="6242" spans="14:19" hidden="1" x14ac:dyDescent="0.25">
      <c r="N6242" s="17">
        <v>823.79999999989002</v>
      </c>
      <c r="O6242" s="16" t="s">
        <v>3806</v>
      </c>
      <c r="R6242" s="6"/>
      <c r="S6242" s="298"/>
    </row>
    <row r="6243" spans="14:19" hidden="1" x14ac:dyDescent="0.25">
      <c r="N6243" s="17">
        <v>823.89999999989004</v>
      </c>
      <c r="O6243" s="16" t="s">
        <v>3807</v>
      </c>
      <c r="R6243" s="6"/>
      <c r="S6243" s="298"/>
    </row>
    <row r="6244" spans="14:19" hidden="1" x14ac:dyDescent="0.25">
      <c r="N6244" s="17">
        <v>823.99999999988995</v>
      </c>
      <c r="O6244" s="16" t="s">
        <v>3808</v>
      </c>
      <c r="R6244" s="6"/>
      <c r="S6244" s="298"/>
    </row>
    <row r="6245" spans="14:19" hidden="1" x14ac:dyDescent="0.25">
      <c r="N6245" s="17">
        <v>824.09999999988895</v>
      </c>
      <c r="O6245" s="16" t="s">
        <v>3809</v>
      </c>
      <c r="R6245" s="6"/>
      <c r="S6245" s="298"/>
    </row>
    <row r="6246" spans="14:19" hidden="1" x14ac:dyDescent="0.25">
      <c r="N6246" s="17">
        <v>824.19999999988897</v>
      </c>
      <c r="O6246" s="16" t="s">
        <v>3810</v>
      </c>
      <c r="R6246" s="6"/>
      <c r="S6246" s="298"/>
    </row>
    <row r="6247" spans="14:19" hidden="1" x14ac:dyDescent="0.25">
      <c r="N6247" s="17">
        <v>824.299999999889</v>
      </c>
      <c r="O6247" s="16" t="s">
        <v>3811</v>
      </c>
      <c r="R6247" s="6"/>
      <c r="S6247" s="298"/>
    </row>
    <row r="6248" spans="14:19" hidden="1" x14ac:dyDescent="0.25">
      <c r="N6248" s="17">
        <v>824.39999999988902</v>
      </c>
      <c r="O6248" s="16" t="s">
        <v>7810</v>
      </c>
      <c r="R6248" s="6"/>
      <c r="S6248" s="298"/>
    </row>
    <row r="6249" spans="14:19" hidden="1" x14ac:dyDescent="0.25">
      <c r="N6249" s="17">
        <v>824.49999999988904</v>
      </c>
      <c r="O6249" s="16" t="s">
        <v>7811</v>
      </c>
      <c r="R6249" s="6"/>
      <c r="S6249" s="298"/>
    </row>
    <row r="6250" spans="14:19" hidden="1" x14ac:dyDescent="0.25">
      <c r="N6250" s="17">
        <v>824.59999999988895</v>
      </c>
      <c r="O6250" s="16" t="s">
        <v>7812</v>
      </c>
      <c r="R6250" s="6"/>
      <c r="S6250" s="298"/>
    </row>
    <row r="6251" spans="14:19" hidden="1" x14ac:dyDescent="0.25">
      <c r="N6251" s="17">
        <v>824.69999999988897</v>
      </c>
      <c r="O6251" s="16" t="s">
        <v>7642</v>
      </c>
      <c r="R6251" s="6"/>
      <c r="S6251" s="298"/>
    </row>
    <row r="6252" spans="14:19" hidden="1" x14ac:dyDescent="0.25">
      <c r="N6252" s="17">
        <v>824.799999999889</v>
      </c>
      <c r="O6252" s="16" t="s">
        <v>7643</v>
      </c>
      <c r="R6252" s="6"/>
      <c r="S6252" s="298"/>
    </row>
    <row r="6253" spans="14:19" hidden="1" x14ac:dyDescent="0.25">
      <c r="N6253" s="17">
        <v>824.89999999988902</v>
      </c>
      <c r="O6253" s="16" t="s">
        <v>7644</v>
      </c>
      <c r="R6253" s="6"/>
      <c r="S6253" s="298"/>
    </row>
    <row r="6254" spans="14:19" hidden="1" x14ac:dyDescent="0.25">
      <c r="N6254" s="17">
        <v>824.99999999988904</v>
      </c>
      <c r="O6254" s="16" t="s">
        <v>7645</v>
      </c>
      <c r="R6254" s="6"/>
      <c r="S6254" s="298"/>
    </row>
    <row r="6255" spans="14:19" hidden="1" x14ac:dyDescent="0.25">
      <c r="N6255" s="17">
        <v>825.09999999988895</v>
      </c>
      <c r="O6255" s="16" t="s">
        <v>7646</v>
      </c>
      <c r="R6255" s="6"/>
      <c r="S6255" s="298"/>
    </row>
    <row r="6256" spans="14:19" hidden="1" x14ac:dyDescent="0.25">
      <c r="N6256" s="17">
        <v>825.19999999988897</v>
      </c>
      <c r="O6256" s="16" t="s">
        <v>7647</v>
      </c>
      <c r="R6256" s="6"/>
      <c r="S6256" s="298"/>
    </row>
    <row r="6257" spans="14:19" hidden="1" x14ac:dyDescent="0.25">
      <c r="N6257" s="17">
        <v>825.299999999889</v>
      </c>
      <c r="O6257" s="16" t="s">
        <v>7648</v>
      </c>
      <c r="R6257" s="6"/>
      <c r="S6257" s="298"/>
    </row>
    <row r="6258" spans="14:19" hidden="1" x14ac:dyDescent="0.25">
      <c r="N6258" s="17">
        <v>825.39999999988902</v>
      </c>
      <c r="O6258" s="16" t="s">
        <v>7649</v>
      </c>
      <c r="R6258" s="6"/>
      <c r="S6258" s="298"/>
    </row>
    <row r="6259" spans="14:19" hidden="1" x14ac:dyDescent="0.25">
      <c r="N6259" s="17">
        <v>825.49999999988904</v>
      </c>
      <c r="O6259" s="16" t="s">
        <v>7650</v>
      </c>
      <c r="R6259" s="6"/>
      <c r="S6259" s="298"/>
    </row>
    <row r="6260" spans="14:19" hidden="1" x14ac:dyDescent="0.25">
      <c r="N6260" s="17">
        <v>825.59999999988895</v>
      </c>
      <c r="O6260" s="16" t="s">
        <v>7651</v>
      </c>
      <c r="R6260" s="6"/>
      <c r="S6260" s="298"/>
    </row>
    <row r="6261" spans="14:19" hidden="1" x14ac:dyDescent="0.25">
      <c r="N6261" s="17">
        <v>825.69999999988897</v>
      </c>
      <c r="O6261" s="16" t="s">
        <v>7652</v>
      </c>
      <c r="R6261" s="6"/>
      <c r="S6261" s="298"/>
    </row>
    <row r="6262" spans="14:19" hidden="1" x14ac:dyDescent="0.25">
      <c r="N6262" s="17">
        <v>825.799999999889</v>
      </c>
      <c r="O6262" s="16" t="s">
        <v>7653</v>
      </c>
      <c r="R6262" s="6"/>
      <c r="S6262" s="298"/>
    </row>
    <row r="6263" spans="14:19" hidden="1" x14ac:dyDescent="0.25">
      <c r="N6263" s="17">
        <v>825.89999999988902</v>
      </c>
      <c r="O6263" s="16" t="s">
        <v>7654</v>
      </c>
      <c r="R6263" s="6"/>
      <c r="S6263" s="298"/>
    </row>
    <row r="6264" spans="14:19" hidden="1" x14ac:dyDescent="0.25">
      <c r="N6264" s="17">
        <v>825.99999999988904</v>
      </c>
      <c r="O6264" s="16" t="s">
        <v>7655</v>
      </c>
      <c r="R6264" s="6"/>
      <c r="S6264" s="298"/>
    </row>
    <row r="6265" spans="14:19" hidden="1" x14ac:dyDescent="0.25">
      <c r="N6265" s="17">
        <v>826.09999999988895</v>
      </c>
      <c r="O6265" s="16" t="s">
        <v>7656</v>
      </c>
      <c r="R6265" s="6"/>
      <c r="S6265" s="298"/>
    </row>
    <row r="6266" spans="14:19" hidden="1" x14ac:dyDescent="0.25">
      <c r="N6266" s="17">
        <v>826.19999999988897</v>
      </c>
      <c r="O6266" s="16" t="s">
        <v>7657</v>
      </c>
      <c r="R6266" s="6"/>
      <c r="S6266" s="298"/>
    </row>
    <row r="6267" spans="14:19" hidden="1" x14ac:dyDescent="0.25">
      <c r="N6267" s="17">
        <v>826.299999999889</v>
      </c>
      <c r="O6267" s="16" t="s">
        <v>7658</v>
      </c>
      <c r="R6267" s="6"/>
      <c r="S6267" s="298"/>
    </row>
    <row r="6268" spans="14:19" hidden="1" x14ac:dyDescent="0.25">
      <c r="N6268" s="17">
        <v>826.39999999988902</v>
      </c>
      <c r="O6268" s="16" t="s">
        <v>7659</v>
      </c>
      <c r="R6268" s="6"/>
      <c r="S6268" s="298"/>
    </row>
    <row r="6269" spans="14:19" hidden="1" x14ac:dyDescent="0.25">
      <c r="N6269" s="17">
        <v>826.49999999988904</v>
      </c>
      <c r="O6269" s="16" t="s">
        <v>7660</v>
      </c>
      <c r="R6269" s="6"/>
      <c r="S6269" s="298"/>
    </row>
    <row r="6270" spans="14:19" hidden="1" x14ac:dyDescent="0.25">
      <c r="N6270" s="17">
        <v>826.59999999988895</v>
      </c>
      <c r="O6270" s="16" t="s">
        <v>7842</v>
      </c>
      <c r="R6270" s="6"/>
      <c r="S6270" s="298"/>
    </row>
    <row r="6271" spans="14:19" hidden="1" x14ac:dyDescent="0.25">
      <c r="N6271" s="17">
        <v>826.69999999988897</v>
      </c>
      <c r="O6271" s="16" t="s">
        <v>7843</v>
      </c>
      <c r="R6271" s="6"/>
      <c r="S6271" s="298"/>
    </row>
    <row r="6272" spans="14:19" hidden="1" x14ac:dyDescent="0.25">
      <c r="N6272" s="17">
        <v>826.799999999889</v>
      </c>
      <c r="O6272" s="16" t="s">
        <v>7844</v>
      </c>
      <c r="R6272" s="6"/>
      <c r="S6272" s="298"/>
    </row>
    <row r="6273" spans="14:19" hidden="1" x14ac:dyDescent="0.25">
      <c r="N6273" s="17">
        <v>826.89999999988902</v>
      </c>
      <c r="O6273" s="16" t="s">
        <v>8500</v>
      </c>
      <c r="R6273" s="6"/>
      <c r="S6273" s="298"/>
    </row>
    <row r="6274" spans="14:19" hidden="1" x14ac:dyDescent="0.25">
      <c r="N6274" s="17">
        <v>826.99999999988904</v>
      </c>
      <c r="O6274" s="16" t="s">
        <v>8501</v>
      </c>
      <c r="R6274" s="6"/>
      <c r="S6274" s="298"/>
    </row>
    <row r="6275" spans="14:19" hidden="1" x14ac:dyDescent="0.25">
      <c r="N6275" s="17">
        <v>827.09999999988804</v>
      </c>
      <c r="O6275" s="16" t="s">
        <v>8502</v>
      </c>
      <c r="R6275" s="6"/>
      <c r="S6275" s="298"/>
    </row>
    <row r="6276" spans="14:19" hidden="1" x14ac:dyDescent="0.25">
      <c r="N6276" s="17">
        <v>827.19999999988795</v>
      </c>
      <c r="O6276" s="16" t="s">
        <v>6673</v>
      </c>
      <c r="R6276" s="6"/>
      <c r="S6276" s="298"/>
    </row>
    <row r="6277" spans="14:19" hidden="1" x14ac:dyDescent="0.25">
      <c r="N6277" s="17">
        <v>827.29999999988797</v>
      </c>
      <c r="O6277" s="16" t="s">
        <v>6674</v>
      </c>
      <c r="R6277" s="6"/>
      <c r="S6277" s="298"/>
    </row>
    <row r="6278" spans="14:19" hidden="1" x14ac:dyDescent="0.25">
      <c r="N6278" s="17">
        <v>827.399999999888</v>
      </c>
      <c r="O6278" s="16" t="s">
        <v>6675</v>
      </c>
      <c r="R6278" s="6"/>
      <c r="S6278" s="298"/>
    </row>
    <row r="6279" spans="14:19" hidden="1" x14ac:dyDescent="0.25">
      <c r="N6279" s="17">
        <v>827.49999999988802</v>
      </c>
      <c r="O6279" s="16" t="s">
        <v>4860</v>
      </c>
      <c r="R6279" s="6"/>
      <c r="S6279" s="298"/>
    </row>
    <row r="6280" spans="14:19" hidden="1" x14ac:dyDescent="0.25">
      <c r="N6280" s="17">
        <v>827.59999999988804</v>
      </c>
      <c r="O6280" s="16" t="s">
        <v>4861</v>
      </c>
      <c r="R6280" s="6"/>
      <c r="S6280" s="298"/>
    </row>
    <row r="6281" spans="14:19" hidden="1" x14ac:dyDescent="0.25">
      <c r="N6281" s="17">
        <v>827.69999999988795</v>
      </c>
      <c r="O6281" s="16" t="s">
        <v>4862</v>
      </c>
      <c r="R6281" s="6"/>
      <c r="S6281" s="298"/>
    </row>
    <row r="6282" spans="14:19" hidden="1" x14ac:dyDescent="0.25">
      <c r="N6282" s="17">
        <v>827.79999999988797</v>
      </c>
      <c r="O6282" s="16" t="s">
        <v>4863</v>
      </c>
      <c r="R6282" s="6"/>
      <c r="S6282" s="298"/>
    </row>
    <row r="6283" spans="14:19" hidden="1" x14ac:dyDescent="0.25">
      <c r="N6283" s="17">
        <v>827.899999999888</v>
      </c>
      <c r="O6283" s="16" t="s">
        <v>7994</v>
      </c>
      <c r="R6283" s="6"/>
      <c r="S6283" s="298"/>
    </row>
    <row r="6284" spans="14:19" hidden="1" x14ac:dyDescent="0.25">
      <c r="N6284" s="17">
        <v>827.99999999988802</v>
      </c>
      <c r="O6284" s="16" t="s">
        <v>7995</v>
      </c>
      <c r="R6284" s="6"/>
      <c r="S6284" s="298"/>
    </row>
    <row r="6285" spans="14:19" hidden="1" x14ac:dyDescent="0.25">
      <c r="N6285" s="17">
        <v>828.09999999988804</v>
      </c>
      <c r="O6285" s="16" t="s">
        <v>5972</v>
      </c>
      <c r="R6285" s="6"/>
      <c r="S6285" s="298"/>
    </row>
    <row r="6286" spans="14:19" hidden="1" x14ac:dyDescent="0.25">
      <c r="N6286" s="17">
        <v>828.19999999988795</v>
      </c>
      <c r="O6286" s="16" t="s">
        <v>5973</v>
      </c>
      <c r="R6286" s="6"/>
      <c r="S6286" s="298"/>
    </row>
    <row r="6287" spans="14:19" hidden="1" x14ac:dyDescent="0.25">
      <c r="N6287" s="17">
        <v>828.29999999988797</v>
      </c>
      <c r="O6287" s="16" t="s">
        <v>5974</v>
      </c>
      <c r="R6287" s="6"/>
      <c r="S6287" s="298"/>
    </row>
    <row r="6288" spans="14:19" hidden="1" x14ac:dyDescent="0.25">
      <c r="N6288" s="17">
        <v>828.399999999888</v>
      </c>
      <c r="O6288" s="16" t="s">
        <v>5975</v>
      </c>
      <c r="R6288" s="6"/>
      <c r="S6288" s="298"/>
    </row>
    <row r="6289" spans="14:19" hidden="1" x14ac:dyDescent="0.25">
      <c r="N6289" s="17">
        <v>828.49999999988802</v>
      </c>
      <c r="O6289" s="16" t="s">
        <v>5976</v>
      </c>
      <c r="R6289" s="6"/>
      <c r="S6289" s="298"/>
    </row>
    <row r="6290" spans="14:19" hidden="1" x14ac:dyDescent="0.25">
      <c r="N6290" s="17">
        <v>828.59999999988804</v>
      </c>
      <c r="O6290" s="16" t="s">
        <v>5977</v>
      </c>
      <c r="R6290" s="6"/>
      <c r="S6290" s="298"/>
    </row>
    <row r="6291" spans="14:19" hidden="1" x14ac:dyDescent="0.25">
      <c r="N6291" s="17">
        <v>828.69999999988795</v>
      </c>
      <c r="O6291" s="16" t="s">
        <v>5978</v>
      </c>
      <c r="R6291" s="6"/>
      <c r="S6291" s="298"/>
    </row>
    <row r="6292" spans="14:19" hidden="1" x14ac:dyDescent="0.25">
      <c r="N6292" s="17">
        <v>828.79999999988797</v>
      </c>
      <c r="O6292" s="16" t="s">
        <v>5979</v>
      </c>
      <c r="R6292" s="6"/>
      <c r="S6292" s="298"/>
    </row>
    <row r="6293" spans="14:19" hidden="1" x14ac:dyDescent="0.25">
      <c r="N6293" s="17">
        <v>828.899999999888</v>
      </c>
      <c r="O6293" s="16" t="s">
        <v>5980</v>
      </c>
      <c r="R6293" s="6"/>
      <c r="S6293" s="298"/>
    </row>
    <row r="6294" spans="14:19" hidden="1" x14ac:dyDescent="0.25">
      <c r="N6294" s="17">
        <v>828.99999999988802</v>
      </c>
      <c r="O6294" s="16" t="s">
        <v>5981</v>
      </c>
      <c r="R6294" s="6"/>
      <c r="S6294" s="298"/>
    </row>
    <row r="6295" spans="14:19" hidden="1" x14ac:dyDescent="0.25">
      <c r="N6295" s="17">
        <v>829.09999999988804</v>
      </c>
      <c r="O6295" s="16" t="s">
        <v>5982</v>
      </c>
      <c r="R6295" s="6"/>
      <c r="S6295" s="298"/>
    </row>
    <row r="6296" spans="14:19" hidden="1" x14ac:dyDescent="0.25">
      <c r="N6296" s="17">
        <v>829.19999999988795</v>
      </c>
      <c r="O6296" s="16" t="s">
        <v>5983</v>
      </c>
      <c r="R6296" s="6"/>
      <c r="S6296" s="298"/>
    </row>
    <row r="6297" spans="14:19" hidden="1" x14ac:dyDescent="0.25">
      <c r="N6297" s="17">
        <v>829.29999999988797</v>
      </c>
      <c r="O6297" s="16" t="s">
        <v>5984</v>
      </c>
      <c r="R6297" s="6"/>
      <c r="S6297" s="298"/>
    </row>
    <row r="6298" spans="14:19" hidden="1" x14ac:dyDescent="0.25">
      <c r="N6298" s="17">
        <v>829.399999999888</v>
      </c>
      <c r="O6298" s="16" t="s">
        <v>5985</v>
      </c>
      <c r="R6298" s="6"/>
      <c r="S6298" s="298"/>
    </row>
    <row r="6299" spans="14:19" hidden="1" x14ac:dyDescent="0.25">
      <c r="N6299" s="17">
        <v>829.49999999988802</v>
      </c>
      <c r="O6299" s="16" t="s">
        <v>5986</v>
      </c>
      <c r="R6299" s="6"/>
      <c r="S6299" s="298"/>
    </row>
    <row r="6300" spans="14:19" hidden="1" x14ac:dyDescent="0.25">
      <c r="N6300" s="17">
        <v>829.59999999988804</v>
      </c>
      <c r="O6300" s="16" t="s">
        <v>5987</v>
      </c>
      <c r="R6300" s="6"/>
      <c r="S6300" s="298"/>
    </row>
    <row r="6301" spans="14:19" hidden="1" x14ac:dyDescent="0.25">
      <c r="N6301" s="17">
        <v>829.69999999988795</v>
      </c>
      <c r="O6301" s="16" t="s">
        <v>5988</v>
      </c>
      <c r="R6301" s="6"/>
      <c r="S6301" s="298"/>
    </row>
    <row r="6302" spans="14:19" hidden="1" x14ac:dyDescent="0.25">
      <c r="N6302" s="17">
        <v>829.79999999988797</v>
      </c>
      <c r="O6302" s="16" t="s">
        <v>5989</v>
      </c>
      <c r="R6302" s="6"/>
      <c r="S6302" s="298"/>
    </row>
    <row r="6303" spans="14:19" hidden="1" x14ac:dyDescent="0.25">
      <c r="N6303" s="17">
        <v>829.899999999888</v>
      </c>
      <c r="O6303" s="16" t="s">
        <v>5990</v>
      </c>
      <c r="R6303" s="6"/>
      <c r="S6303" s="298"/>
    </row>
    <row r="6304" spans="14:19" hidden="1" x14ac:dyDescent="0.25">
      <c r="N6304" s="17">
        <v>829.999999999887</v>
      </c>
      <c r="O6304" s="16" t="s">
        <v>5991</v>
      </c>
      <c r="R6304" s="6"/>
      <c r="S6304" s="298"/>
    </row>
    <row r="6305" spans="14:19" hidden="1" x14ac:dyDescent="0.25">
      <c r="N6305" s="17">
        <v>830.09999999988702</v>
      </c>
      <c r="O6305" s="16" t="s">
        <v>5992</v>
      </c>
      <c r="R6305" s="6"/>
      <c r="S6305" s="298"/>
    </row>
    <row r="6306" spans="14:19" hidden="1" x14ac:dyDescent="0.25">
      <c r="N6306" s="17">
        <v>830.19999999988704</v>
      </c>
      <c r="O6306" s="16" t="s">
        <v>5993</v>
      </c>
      <c r="R6306" s="6"/>
      <c r="S6306" s="298"/>
    </row>
    <row r="6307" spans="14:19" hidden="1" x14ac:dyDescent="0.25">
      <c r="N6307" s="17">
        <v>830.29999999988695</v>
      </c>
      <c r="O6307" s="16" t="s">
        <v>5994</v>
      </c>
      <c r="R6307" s="6"/>
      <c r="S6307" s="298"/>
    </row>
    <row r="6308" spans="14:19" hidden="1" x14ac:dyDescent="0.25">
      <c r="N6308" s="17">
        <v>830.39999999988697</v>
      </c>
      <c r="O6308" s="16" t="s">
        <v>5995</v>
      </c>
      <c r="R6308" s="6"/>
      <c r="S6308" s="298"/>
    </row>
    <row r="6309" spans="14:19" hidden="1" x14ac:dyDescent="0.25">
      <c r="N6309" s="17">
        <v>830.499999999887</v>
      </c>
      <c r="O6309" s="16" t="s">
        <v>5996</v>
      </c>
      <c r="R6309" s="6"/>
      <c r="S6309" s="298"/>
    </row>
    <row r="6310" spans="14:19" hidden="1" x14ac:dyDescent="0.25">
      <c r="N6310" s="17">
        <v>830.59999999988702</v>
      </c>
      <c r="O6310" s="16" t="s">
        <v>5997</v>
      </c>
      <c r="R6310" s="6"/>
      <c r="S6310" s="298"/>
    </row>
    <row r="6311" spans="14:19" hidden="1" x14ac:dyDescent="0.25">
      <c r="N6311" s="17">
        <v>830.69999999988704</v>
      </c>
      <c r="O6311" s="16" t="s">
        <v>5998</v>
      </c>
      <c r="R6311" s="6"/>
      <c r="S6311" s="298"/>
    </row>
    <row r="6312" spans="14:19" hidden="1" x14ac:dyDescent="0.25">
      <c r="N6312" s="17">
        <v>830.79999999988695</v>
      </c>
      <c r="O6312" s="16" t="s">
        <v>6029</v>
      </c>
      <c r="R6312" s="6"/>
      <c r="S6312" s="298"/>
    </row>
    <row r="6313" spans="14:19" hidden="1" x14ac:dyDescent="0.25">
      <c r="N6313" s="17">
        <v>830.89999999988697</v>
      </c>
      <c r="O6313" s="16" t="s">
        <v>6030</v>
      </c>
      <c r="R6313" s="6"/>
      <c r="S6313" s="298"/>
    </row>
    <row r="6314" spans="14:19" hidden="1" x14ac:dyDescent="0.25">
      <c r="N6314" s="17">
        <v>830.999999999887</v>
      </c>
      <c r="O6314" s="16" t="s">
        <v>6031</v>
      </c>
      <c r="R6314" s="6"/>
      <c r="S6314" s="298"/>
    </row>
    <row r="6315" spans="14:19" hidden="1" x14ac:dyDescent="0.25">
      <c r="N6315" s="17">
        <v>831.09999999988702</v>
      </c>
      <c r="O6315" s="16" t="s">
        <v>3909</v>
      </c>
      <c r="R6315" s="6"/>
      <c r="S6315" s="298"/>
    </row>
    <row r="6316" spans="14:19" hidden="1" x14ac:dyDescent="0.25">
      <c r="N6316" s="17">
        <v>831.19999999988704</v>
      </c>
      <c r="O6316" s="16" t="s">
        <v>3910</v>
      </c>
      <c r="R6316" s="6"/>
      <c r="S6316" s="298"/>
    </row>
    <row r="6317" spans="14:19" hidden="1" x14ac:dyDescent="0.25">
      <c r="N6317" s="17">
        <v>831.29999999988695</v>
      </c>
      <c r="O6317" s="16" t="s">
        <v>3911</v>
      </c>
      <c r="R6317" s="6"/>
      <c r="S6317" s="298"/>
    </row>
    <row r="6318" spans="14:19" hidden="1" x14ac:dyDescent="0.25">
      <c r="N6318" s="17">
        <v>831.39999999988697</v>
      </c>
      <c r="O6318" s="16" t="s">
        <v>3912</v>
      </c>
      <c r="R6318" s="6"/>
      <c r="S6318" s="298"/>
    </row>
    <row r="6319" spans="14:19" hidden="1" x14ac:dyDescent="0.25">
      <c r="N6319" s="17">
        <v>831.499999999887</v>
      </c>
      <c r="O6319" s="16" t="s">
        <v>3913</v>
      </c>
      <c r="R6319" s="6"/>
      <c r="S6319" s="298"/>
    </row>
    <row r="6320" spans="14:19" hidden="1" x14ac:dyDescent="0.25">
      <c r="N6320" s="17">
        <v>831.59999999988702</v>
      </c>
      <c r="O6320" s="16" t="s">
        <v>6032</v>
      </c>
      <c r="R6320" s="6"/>
      <c r="S6320" s="298"/>
    </row>
    <row r="6321" spans="14:19" hidden="1" x14ac:dyDescent="0.25">
      <c r="N6321" s="17">
        <v>831.69999999988704</v>
      </c>
      <c r="O6321" s="16" t="s">
        <v>6033</v>
      </c>
      <c r="R6321" s="6"/>
      <c r="S6321" s="298"/>
    </row>
    <row r="6322" spans="14:19" hidden="1" x14ac:dyDescent="0.25">
      <c r="N6322" s="17">
        <v>831.79999999988695</v>
      </c>
      <c r="O6322" s="16" t="s">
        <v>6034</v>
      </c>
      <c r="R6322" s="6"/>
      <c r="S6322" s="298"/>
    </row>
    <row r="6323" spans="14:19" hidden="1" x14ac:dyDescent="0.25">
      <c r="N6323" s="17">
        <v>831.89999999988697</v>
      </c>
      <c r="O6323" s="16" t="s">
        <v>6035</v>
      </c>
      <c r="R6323" s="6"/>
      <c r="S6323" s="298"/>
    </row>
    <row r="6324" spans="14:19" hidden="1" x14ac:dyDescent="0.25">
      <c r="N6324" s="17">
        <v>831.999999999887</v>
      </c>
      <c r="O6324" s="16" t="s">
        <v>6036</v>
      </c>
      <c r="R6324" s="6"/>
      <c r="S6324" s="298"/>
    </row>
    <row r="6325" spans="14:19" hidden="1" x14ac:dyDescent="0.25">
      <c r="N6325" s="17">
        <v>832.09999999988702</v>
      </c>
      <c r="O6325" s="16" t="s">
        <v>6037</v>
      </c>
      <c r="R6325" s="6"/>
      <c r="S6325" s="298"/>
    </row>
    <row r="6326" spans="14:19" hidden="1" x14ac:dyDescent="0.25">
      <c r="N6326" s="17">
        <v>832.19999999988704</v>
      </c>
      <c r="O6326" s="16" t="s">
        <v>6038</v>
      </c>
      <c r="R6326" s="6"/>
      <c r="S6326" s="298"/>
    </row>
    <row r="6327" spans="14:19" hidden="1" x14ac:dyDescent="0.25">
      <c r="N6327" s="17">
        <v>832.29999999988695</v>
      </c>
      <c r="O6327" s="16" t="s">
        <v>6039</v>
      </c>
      <c r="R6327" s="6"/>
      <c r="S6327" s="298"/>
    </row>
    <row r="6328" spans="14:19" hidden="1" x14ac:dyDescent="0.25">
      <c r="N6328" s="17">
        <v>832.39999999988697</v>
      </c>
      <c r="O6328" s="16" t="s">
        <v>6040</v>
      </c>
      <c r="R6328" s="6"/>
      <c r="S6328" s="298"/>
    </row>
    <row r="6329" spans="14:19" hidden="1" x14ac:dyDescent="0.25">
      <c r="N6329" s="17">
        <v>832.499999999887</v>
      </c>
      <c r="O6329" s="16" t="s">
        <v>6041</v>
      </c>
      <c r="R6329" s="6"/>
      <c r="S6329" s="298"/>
    </row>
    <row r="6330" spans="14:19" hidden="1" x14ac:dyDescent="0.25">
      <c r="N6330" s="17">
        <v>832.59999999988702</v>
      </c>
      <c r="O6330" s="16" t="s">
        <v>6042</v>
      </c>
      <c r="R6330" s="6"/>
      <c r="S6330" s="298"/>
    </row>
    <row r="6331" spans="14:19" hidden="1" x14ac:dyDescent="0.25">
      <c r="N6331" s="17">
        <v>832.69999999988704</v>
      </c>
      <c r="O6331" s="16" t="s">
        <v>6043</v>
      </c>
      <c r="R6331" s="6"/>
      <c r="S6331" s="298"/>
    </row>
    <row r="6332" spans="14:19" hidden="1" x14ac:dyDescent="0.25">
      <c r="N6332" s="17">
        <v>832.79999999988695</v>
      </c>
      <c r="O6332" s="16" t="s">
        <v>6044</v>
      </c>
      <c r="R6332" s="6"/>
      <c r="S6332" s="298"/>
    </row>
    <row r="6333" spans="14:19" hidden="1" x14ac:dyDescent="0.25">
      <c r="N6333" s="17">
        <v>832.89999999988595</v>
      </c>
      <c r="O6333" s="16" t="s">
        <v>6045</v>
      </c>
      <c r="R6333" s="6"/>
      <c r="S6333" s="298"/>
    </row>
    <row r="6334" spans="14:19" hidden="1" x14ac:dyDescent="0.25">
      <c r="N6334" s="17">
        <v>832.99999999988597</v>
      </c>
      <c r="O6334" s="16" t="s">
        <v>6046</v>
      </c>
      <c r="R6334" s="6"/>
      <c r="S6334" s="298"/>
    </row>
    <row r="6335" spans="14:19" hidden="1" x14ac:dyDescent="0.25">
      <c r="N6335" s="17">
        <v>833.09999999988599</v>
      </c>
      <c r="O6335" s="16" t="s">
        <v>6037</v>
      </c>
      <c r="R6335" s="6"/>
      <c r="S6335" s="298"/>
    </row>
    <row r="6336" spans="14:19" hidden="1" x14ac:dyDescent="0.25">
      <c r="N6336" s="17">
        <v>833.19999999988602</v>
      </c>
      <c r="O6336" s="16" t="s">
        <v>6038</v>
      </c>
      <c r="R6336" s="6"/>
      <c r="S6336" s="298"/>
    </row>
    <row r="6337" spans="14:19" hidden="1" x14ac:dyDescent="0.25">
      <c r="N6337" s="17">
        <v>833.29999999988604</v>
      </c>
      <c r="O6337" s="16" t="s">
        <v>6039</v>
      </c>
      <c r="R6337" s="6"/>
      <c r="S6337" s="298"/>
    </row>
    <row r="6338" spans="14:19" hidden="1" x14ac:dyDescent="0.25">
      <c r="N6338" s="17">
        <v>833.39999999988595</v>
      </c>
      <c r="O6338" s="16" t="s">
        <v>6040</v>
      </c>
      <c r="R6338" s="6"/>
      <c r="S6338" s="298"/>
    </row>
    <row r="6339" spans="14:19" hidden="1" x14ac:dyDescent="0.25">
      <c r="N6339" s="17">
        <v>833.49999999988597</v>
      </c>
      <c r="O6339" s="16" t="s">
        <v>6041</v>
      </c>
      <c r="R6339" s="6"/>
      <c r="S6339" s="298"/>
    </row>
    <row r="6340" spans="14:19" hidden="1" x14ac:dyDescent="0.25">
      <c r="N6340" s="17">
        <v>833.59999999988599</v>
      </c>
      <c r="O6340" s="16" t="s">
        <v>6042</v>
      </c>
      <c r="R6340" s="6"/>
      <c r="S6340" s="298"/>
    </row>
    <row r="6341" spans="14:19" hidden="1" x14ac:dyDescent="0.25">
      <c r="N6341" s="17">
        <v>833.69999999988602</v>
      </c>
      <c r="O6341" s="16" t="s">
        <v>6043</v>
      </c>
      <c r="R6341" s="6"/>
      <c r="S6341" s="298"/>
    </row>
    <row r="6342" spans="14:19" hidden="1" x14ac:dyDescent="0.25">
      <c r="N6342" s="17">
        <v>833.79999999988604</v>
      </c>
      <c r="O6342" s="16" t="s">
        <v>6044</v>
      </c>
      <c r="R6342" s="6"/>
      <c r="S6342" s="298"/>
    </row>
    <row r="6343" spans="14:19" hidden="1" x14ac:dyDescent="0.25">
      <c r="N6343" s="17">
        <v>833.89999999988595</v>
      </c>
      <c r="O6343" s="16" t="s">
        <v>6045</v>
      </c>
      <c r="R6343" s="6"/>
      <c r="S6343" s="298"/>
    </row>
    <row r="6344" spans="14:19" hidden="1" x14ac:dyDescent="0.25">
      <c r="N6344" s="17">
        <v>833.99999999988597</v>
      </c>
      <c r="O6344" s="16" t="s">
        <v>6047</v>
      </c>
      <c r="R6344" s="6"/>
      <c r="S6344" s="298"/>
    </row>
    <row r="6345" spans="14:19" hidden="1" x14ac:dyDescent="0.25">
      <c r="N6345" s="17">
        <v>834.09999999988599</v>
      </c>
      <c r="O6345" s="16" t="s">
        <v>6065</v>
      </c>
      <c r="R6345" s="6"/>
      <c r="S6345" s="298"/>
    </row>
    <row r="6346" spans="14:19" hidden="1" x14ac:dyDescent="0.25">
      <c r="N6346" s="17">
        <v>834.19999999988602</v>
      </c>
      <c r="O6346" s="16" t="s">
        <v>6066</v>
      </c>
      <c r="R6346" s="6"/>
      <c r="S6346" s="298"/>
    </row>
    <row r="6347" spans="14:19" hidden="1" x14ac:dyDescent="0.25">
      <c r="N6347" s="17">
        <v>834.29999999988604</v>
      </c>
      <c r="O6347" s="16" t="s">
        <v>6067</v>
      </c>
      <c r="R6347" s="6"/>
      <c r="S6347" s="298"/>
    </row>
    <row r="6348" spans="14:19" hidden="1" x14ac:dyDescent="0.25">
      <c r="N6348" s="17">
        <v>834.39999999988595</v>
      </c>
      <c r="O6348" s="16" t="s">
        <v>6068</v>
      </c>
      <c r="R6348" s="6"/>
      <c r="S6348" s="298"/>
    </row>
    <row r="6349" spans="14:19" hidden="1" x14ac:dyDescent="0.25">
      <c r="N6349" s="17">
        <v>834.49999999988597</v>
      </c>
      <c r="O6349" s="16" t="s">
        <v>6069</v>
      </c>
      <c r="R6349" s="6"/>
      <c r="S6349" s="298"/>
    </row>
    <row r="6350" spans="14:19" hidden="1" x14ac:dyDescent="0.25">
      <c r="N6350" s="17">
        <v>834.59999999988599</v>
      </c>
      <c r="O6350" s="16" t="s">
        <v>3966</v>
      </c>
      <c r="R6350" s="6"/>
      <c r="S6350" s="298"/>
    </row>
    <row r="6351" spans="14:19" hidden="1" x14ac:dyDescent="0.25">
      <c r="N6351" s="17">
        <v>834.69999999988602</v>
      </c>
      <c r="O6351" s="16" t="s">
        <v>3967</v>
      </c>
      <c r="R6351" s="6"/>
      <c r="S6351" s="298"/>
    </row>
    <row r="6352" spans="14:19" hidden="1" x14ac:dyDescent="0.25">
      <c r="N6352" s="17">
        <v>834.79999999988604</v>
      </c>
      <c r="O6352" s="16" t="s">
        <v>3968</v>
      </c>
      <c r="R6352" s="6"/>
      <c r="S6352" s="298"/>
    </row>
    <row r="6353" spans="14:19" hidden="1" x14ac:dyDescent="0.25">
      <c r="N6353" s="17">
        <v>834.89999999988595</v>
      </c>
      <c r="O6353" s="16" t="s">
        <v>3969</v>
      </c>
      <c r="R6353" s="6"/>
      <c r="S6353" s="298"/>
    </row>
    <row r="6354" spans="14:19" hidden="1" x14ac:dyDescent="0.25">
      <c r="N6354" s="17">
        <v>834.99999999988597</v>
      </c>
      <c r="O6354" s="16" t="s">
        <v>3970</v>
      </c>
      <c r="R6354" s="6"/>
      <c r="S6354" s="298"/>
    </row>
    <row r="6355" spans="14:19" hidden="1" x14ac:dyDescent="0.25">
      <c r="N6355" s="17">
        <v>835.09999999988599</v>
      </c>
      <c r="O6355" s="16" t="s">
        <v>3971</v>
      </c>
      <c r="R6355" s="6"/>
      <c r="S6355" s="298"/>
    </row>
    <row r="6356" spans="14:19" hidden="1" x14ac:dyDescent="0.25">
      <c r="N6356" s="17">
        <v>835.19999999988602</v>
      </c>
      <c r="O6356" s="16" t="s">
        <v>3972</v>
      </c>
      <c r="R6356" s="6"/>
      <c r="S6356" s="298"/>
    </row>
    <row r="6357" spans="14:19" hidden="1" x14ac:dyDescent="0.25">
      <c r="N6357" s="17">
        <v>835.29999999988604</v>
      </c>
      <c r="O6357" s="16" t="s">
        <v>3973</v>
      </c>
      <c r="R6357" s="6"/>
      <c r="S6357" s="298"/>
    </row>
    <row r="6358" spans="14:19" hidden="1" x14ac:dyDescent="0.25">
      <c r="N6358" s="17">
        <v>835.39999999988595</v>
      </c>
      <c r="O6358" s="16" t="s">
        <v>3974</v>
      </c>
      <c r="R6358" s="6"/>
      <c r="S6358" s="298"/>
    </row>
    <row r="6359" spans="14:19" hidden="1" x14ac:dyDescent="0.25">
      <c r="N6359" s="17">
        <v>835.49999999988597</v>
      </c>
      <c r="O6359" s="16" t="s">
        <v>3975</v>
      </c>
      <c r="R6359" s="6"/>
      <c r="S6359" s="298"/>
    </row>
    <row r="6360" spans="14:19" hidden="1" x14ac:dyDescent="0.25">
      <c r="N6360" s="17">
        <v>835.59999999988599</v>
      </c>
      <c r="O6360" s="16" t="s">
        <v>3976</v>
      </c>
      <c r="R6360" s="6"/>
      <c r="S6360" s="298"/>
    </row>
    <row r="6361" spans="14:19" hidden="1" x14ac:dyDescent="0.25">
      <c r="N6361" s="17">
        <v>835.69999999988602</v>
      </c>
      <c r="O6361" s="16" t="s">
        <v>3977</v>
      </c>
      <c r="R6361" s="6"/>
      <c r="S6361" s="298"/>
    </row>
    <row r="6362" spans="14:19" hidden="1" x14ac:dyDescent="0.25">
      <c r="N6362" s="17">
        <v>835.79999999988604</v>
      </c>
      <c r="O6362" s="16" t="s">
        <v>3978</v>
      </c>
      <c r="R6362" s="6"/>
      <c r="S6362" s="298"/>
    </row>
    <row r="6363" spans="14:19" hidden="1" x14ac:dyDescent="0.25">
      <c r="N6363" s="17">
        <v>835.89999999988504</v>
      </c>
      <c r="O6363" s="16" t="s">
        <v>3979</v>
      </c>
      <c r="R6363" s="6"/>
      <c r="S6363" s="298"/>
    </row>
    <row r="6364" spans="14:19" hidden="1" x14ac:dyDescent="0.25">
      <c r="N6364" s="17">
        <v>835.99999999988495</v>
      </c>
      <c r="O6364" s="16" t="s">
        <v>3980</v>
      </c>
      <c r="R6364" s="6"/>
      <c r="S6364" s="298"/>
    </row>
    <row r="6365" spans="14:19" hidden="1" x14ac:dyDescent="0.25">
      <c r="N6365" s="17">
        <v>836.09999999988497</v>
      </c>
      <c r="O6365" s="16" t="s">
        <v>3981</v>
      </c>
      <c r="R6365" s="6"/>
      <c r="S6365" s="298"/>
    </row>
    <row r="6366" spans="14:19" hidden="1" x14ac:dyDescent="0.25">
      <c r="N6366" s="17">
        <v>836.19999999988499</v>
      </c>
      <c r="O6366" s="16" t="s">
        <v>6076</v>
      </c>
      <c r="R6366" s="6"/>
      <c r="S6366" s="298"/>
    </row>
    <row r="6367" spans="14:19" hidden="1" x14ac:dyDescent="0.25">
      <c r="N6367" s="17">
        <v>836.29999999988502</v>
      </c>
      <c r="O6367" s="16" t="s">
        <v>6077</v>
      </c>
      <c r="R6367" s="6"/>
      <c r="S6367" s="298"/>
    </row>
    <row r="6368" spans="14:19" hidden="1" x14ac:dyDescent="0.25">
      <c r="N6368" s="17">
        <v>836.39999999988504</v>
      </c>
      <c r="O6368" s="16" t="s">
        <v>5863</v>
      </c>
      <c r="R6368" s="6"/>
      <c r="S6368" s="298"/>
    </row>
    <row r="6369" spans="14:19" hidden="1" x14ac:dyDescent="0.25">
      <c r="N6369" s="17">
        <v>836.49999999988495</v>
      </c>
      <c r="O6369" s="16" t="s">
        <v>7888</v>
      </c>
      <c r="R6369" s="6"/>
      <c r="S6369" s="298"/>
    </row>
    <row r="6370" spans="14:19" hidden="1" x14ac:dyDescent="0.25">
      <c r="N6370" s="17">
        <v>836.59999999988497</v>
      </c>
      <c r="O6370" s="16" t="s">
        <v>7889</v>
      </c>
      <c r="R6370" s="6"/>
      <c r="S6370" s="298"/>
    </row>
    <row r="6371" spans="14:19" hidden="1" x14ac:dyDescent="0.25">
      <c r="N6371" s="17">
        <v>836.69999999988499</v>
      </c>
      <c r="O6371" s="16" t="s">
        <v>7890</v>
      </c>
      <c r="R6371" s="6"/>
      <c r="S6371" s="298"/>
    </row>
    <row r="6372" spans="14:19" hidden="1" x14ac:dyDescent="0.25">
      <c r="N6372" s="17">
        <v>836.79999999988502</v>
      </c>
      <c r="O6372" s="16" t="s">
        <v>7891</v>
      </c>
      <c r="R6372" s="6"/>
      <c r="S6372" s="298"/>
    </row>
    <row r="6373" spans="14:19" hidden="1" x14ac:dyDescent="0.25">
      <c r="N6373" s="17">
        <v>836.89999999988504</v>
      </c>
      <c r="O6373" s="16" t="s">
        <v>7892</v>
      </c>
      <c r="R6373" s="6"/>
      <c r="S6373" s="298"/>
    </row>
    <row r="6374" spans="14:19" hidden="1" x14ac:dyDescent="0.25">
      <c r="N6374" s="17">
        <v>836.99999999988495</v>
      </c>
      <c r="O6374" s="16" t="s">
        <v>7893</v>
      </c>
      <c r="R6374" s="6"/>
      <c r="S6374" s="298"/>
    </row>
    <row r="6375" spans="14:19" hidden="1" x14ac:dyDescent="0.25">
      <c r="N6375" s="17">
        <v>837.09999999988497</v>
      </c>
      <c r="O6375" s="16" t="s">
        <v>7894</v>
      </c>
      <c r="R6375" s="6"/>
      <c r="S6375" s="298"/>
    </row>
    <row r="6376" spans="14:19" hidden="1" x14ac:dyDescent="0.25">
      <c r="N6376" s="17">
        <v>837.19999999988499</v>
      </c>
      <c r="O6376" s="16" t="s">
        <v>7895</v>
      </c>
      <c r="R6376" s="6"/>
      <c r="S6376" s="298"/>
    </row>
    <row r="6377" spans="14:19" hidden="1" x14ac:dyDescent="0.25">
      <c r="N6377" s="17">
        <v>837.29999999988502</v>
      </c>
      <c r="O6377" s="16" t="s">
        <v>7896</v>
      </c>
      <c r="R6377" s="6"/>
      <c r="S6377" s="298"/>
    </row>
    <row r="6378" spans="14:19" hidden="1" x14ac:dyDescent="0.25">
      <c r="N6378" s="17">
        <v>837.39999999988504</v>
      </c>
      <c r="O6378" s="16" t="s">
        <v>7897</v>
      </c>
      <c r="R6378" s="6"/>
      <c r="S6378" s="298"/>
    </row>
    <row r="6379" spans="14:19" hidden="1" x14ac:dyDescent="0.25">
      <c r="N6379" s="17">
        <v>837.49999999988495</v>
      </c>
      <c r="O6379" s="16" t="s">
        <v>7898</v>
      </c>
      <c r="R6379" s="6"/>
      <c r="S6379" s="298"/>
    </row>
    <row r="6380" spans="14:19" hidden="1" x14ac:dyDescent="0.25">
      <c r="N6380" s="17">
        <v>837.59999999988497</v>
      </c>
      <c r="O6380" s="16" t="s">
        <v>7899</v>
      </c>
      <c r="R6380" s="6"/>
      <c r="S6380" s="298"/>
    </row>
    <row r="6381" spans="14:19" hidden="1" x14ac:dyDescent="0.25">
      <c r="N6381" s="17">
        <v>837.69999999988499</v>
      </c>
      <c r="O6381" s="16" t="s">
        <v>6123</v>
      </c>
      <c r="R6381" s="6"/>
      <c r="S6381" s="298"/>
    </row>
    <row r="6382" spans="14:19" hidden="1" x14ac:dyDescent="0.25">
      <c r="N6382" s="17">
        <v>837.79999999988502</v>
      </c>
      <c r="O6382" s="16" t="s">
        <v>6124</v>
      </c>
      <c r="R6382" s="6"/>
      <c r="S6382" s="298"/>
    </row>
    <row r="6383" spans="14:19" hidden="1" x14ac:dyDescent="0.25">
      <c r="N6383" s="17">
        <v>837.89999999988504</v>
      </c>
      <c r="O6383" s="16" t="s">
        <v>6125</v>
      </c>
      <c r="R6383" s="6"/>
      <c r="S6383" s="298"/>
    </row>
    <row r="6384" spans="14:19" hidden="1" x14ac:dyDescent="0.25">
      <c r="N6384" s="17">
        <v>837.99999999988495</v>
      </c>
      <c r="O6384" s="16" t="s">
        <v>6126</v>
      </c>
      <c r="R6384" s="6"/>
      <c r="S6384" s="298"/>
    </row>
    <row r="6385" spans="14:19" hidden="1" x14ac:dyDescent="0.25">
      <c r="N6385" s="17">
        <v>838.09999999988497</v>
      </c>
      <c r="O6385" s="16" t="s">
        <v>6127</v>
      </c>
      <c r="R6385" s="6"/>
      <c r="S6385" s="298"/>
    </row>
    <row r="6386" spans="14:19" hidden="1" x14ac:dyDescent="0.25">
      <c r="N6386" s="17">
        <v>838.19999999988499</v>
      </c>
      <c r="O6386" s="16" t="s">
        <v>6128</v>
      </c>
      <c r="R6386" s="6"/>
      <c r="S6386" s="298"/>
    </row>
    <row r="6387" spans="14:19" hidden="1" x14ac:dyDescent="0.25">
      <c r="N6387" s="17">
        <v>838.29999999988502</v>
      </c>
      <c r="O6387" s="16" t="s">
        <v>6129</v>
      </c>
      <c r="R6387" s="6"/>
      <c r="S6387" s="298"/>
    </row>
    <row r="6388" spans="14:19" hidden="1" x14ac:dyDescent="0.25">
      <c r="N6388" s="17">
        <v>838.39999999988504</v>
      </c>
      <c r="O6388" s="16" t="s">
        <v>4021</v>
      </c>
      <c r="R6388" s="6"/>
      <c r="S6388" s="298"/>
    </row>
    <row r="6389" spans="14:19" hidden="1" x14ac:dyDescent="0.25">
      <c r="N6389" s="17">
        <v>838.49999999988495</v>
      </c>
      <c r="O6389" s="16" t="s">
        <v>4022</v>
      </c>
      <c r="R6389" s="6"/>
      <c r="S6389" s="298"/>
    </row>
    <row r="6390" spans="14:19" hidden="1" x14ac:dyDescent="0.25">
      <c r="N6390" s="17">
        <v>838.59999999988497</v>
      </c>
      <c r="O6390" s="16" t="s">
        <v>6132</v>
      </c>
      <c r="R6390" s="6"/>
      <c r="S6390" s="298"/>
    </row>
    <row r="6391" spans="14:19" hidden="1" x14ac:dyDescent="0.25">
      <c r="N6391" s="17">
        <v>838.69999999988499</v>
      </c>
      <c r="O6391" s="16" t="s">
        <v>6133</v>
      </c>
      <c r="R6391" s="6"/>
      <c r="S6391" s="298"/>
    </row>
    <row r="6392" spans="14:19" hidden="1" x14ac:dyDescent="0.25">
      <c r="N6392" s="17">
        <v>838.79999999988399</v>
      </c>
      <c r="O6392" s="16" t="s">
        <v>6887</v>
      </c>
      <c r="R6392" s="6"/>
      <c r="S6392" s="298"/>
    </row>
    <row r="6393" spans="14:19" hidden="1" x14ac:dyDescent="0.25">
      <c r="N6393" s="17">
        <v>838.89999999988402</v>
      </c>
      <c r="O6393" s="16" t="s">
        <v>6888</v>
      </c>
      <c r="R6393" s="6"/>
      <c r="S6393" s="298"/>
    </row>
    <row r="6394" spans="14:19" hidden="1" x14ac:dyDescent="0.25">
      <c r="N6394" s="17">
        <v>838.99999999988404</v>
      </c>
      <c r="O6394" s="16" t="s">
        <v>6889</v>
      </c>
      <c r="R6394" s="6"/>
      <c r="S6394" s="298"/>
    </row>
    <row r="6395" spans="14:19" hidden="1" x14ac:dyDescent="0.25">
      <c r="N6395" s="17">
        <v>839.09999999988395</v>
      </c>
      <c r="O6395" s="16" t="s">
        <v>6890</v>
      </c>
      <c r="R6395" s="6"/>
      <c r="S6395" s="298"/>
    </row>
    <row r="6396" spans="14:19" hidden="1" x14ac:dyDescent="0.25">
      <c r="N6396" s="17">
        <v>839.19999999988397</v>
      </c>
      <c r="O6396" s="16" t="s">
        <v>7851</v>
      </c>
      <c r="R6396" s="6"/>
      <c r="S6396" s="298"/>
    </row>
    <row r="6397" spans="14:19" hidden="1" x14ac:dyDescent="0.25">
      <c r="N6397" s="17">
        <v>839.29999999988399</v>
      </c>
      <c r="O6397" s="16" t="s">
        <v>7852</v>
      </c>
      <c r="R6397" s="6"/>
      <c r="S6397" s="298"/>
    </row>
    <row r="6398" spans="14:19" hidden="1" x14ac:dyDescent="0.25">
      <c r="N6398" s="17">
        <v>839.39999999988402</v>
      </c>
      <c r="O6398" s="16" t="s">
        <v>7853</v>
      </c>
      <c r="R6398" s="6"/>
      <c r="S6398" s="298"/>
    </row>
    <row r="6399" spans="14:19" hidden="1" x14ac:dyDescent="0.25">
      <c r="N6399" s="17">
        <v>839.49999999988404</v>
      </c>
      <c r="O6399" s="16" t="s">
        <v>7854</v>
      </c>
      <c r="R6399" s="6"/>
      <c r="S6399" s="298"/>
    </row>
    <row r="6400" spans="14:19" hidden="1" x14ac:dyDescent="0.25">
      <c r="N6400" s="17">
        <v>839.59999999988395</v>
      </c>
      <c r="O6400" s="16" t="s">
        <v>7855</v>
      </c>
      <c r="R6400" s="6"/>
      <c r="S6400" s="298"/>
    </row>
    <row r="6401" spans="14:19" hidden="1" x14ac:dyDescent="0.25">
      <c r="N6401" s="17">
        <v>839.69999999988397</v>
      </c>
      <c r="O6401" s="16" t="s">
        <v>7856</v>
      </c>
      <c r="R6401" s="6"/>
      <c r="S6401" s="298"/>
    </row>
    <row r="6402" spans="14:19" hidden="1" x14ac:dyDescent="0.25">
      <c r="N6402" s="17">
        <v>839.79999999988399</v>
      </c>
      <c r="O6402" s="16" t="s">
        <v>7857</v>
      </c>
      <c r="R6402" s="6"/>
      <c r="S6402" s="298"/>
    </row>
    <row r="6403" spans="14:19" hidden="1" x14ac:dyDescent="0.25">
      <c r="N6403" s="17">
        <v>839.89999999988402</v>
      </c>
      <c r="O6403" s="16" t="s">
        <v>7858</v>
      </c>
      <c r="R6403" s="6"/>
      <c r="S6403" s="298"/>
    </row>
    <row r="6404" spans="14:19" hidden="1" x14ac:dyDescent="0.25">
      <c r="N6404" s="17">
        <v>839.99999999988404</v>
      </c>
      <c r="O6404" s="16" t="s">
        <v>7859</v>
      </c>
      <c r="R6404" s="6"/>
      <c r="S6404" s="298"/>
    </row>
    <row r="6405" spans="14:19" hidden="1" x14ac:dyDescent="0.25">
      <c r="N6405" s="17">
        <v>840.09999999988395</v>
      </c>
      <c r="O6405" s="16" t="s">
        <v>7860</v>
      </c>
      <c r="R6405" s="6"/>
      <c r="S6405" s="298"/>
    </row>
    <row r="6406" spans="14:19" hidden="1" x14ac:dyDescent="0.25">
      <c r="N6406" s="17">
        <v>840.19999999988397</v>
      </c>
      <c r="O6406" s="16" t="s">
        <v>7861</v>
      </c>
      <c r="R6406" s="6"/>
      <c r="S6406" s="298"/>
    </row>
    <row r="6407" spans="14:19" hidden="1" x14ac:dyDescent="0.25">
      <c r="N6407" s="17">
        <v>840.29999999988399</v>
      </c>
      <c r="O6407" s="16" t="s">
        <v>7862</v>
      </c>
      <c r="R6407" s="6"/>
      <c r="S6407" s="298"/>
    </row>
    <row r="6408" spans="14:19" hidden="1" x14ac:dyDescent="0.25">
      <c r="N6408" s="17">
        <v>840.39999999988402</v>
      </c>
      <c r="O6408" s="16" t="s">
        <v>7863</v>
      </c>
      <c r="R6408" s="6"/>
      <c r="S6408" s="298"/>
    </row>
    <row r="6409" spans="14:19" hidden="1" x14ac:dyDescent="0.25">
      <c r="N6409" s="17">
        <v>840.49999999988404</v>
      </c>
      <c r="O6409" s="16" t="s">
        <v>7864</v>
      </c>
      <c r="R6409" s="6"/>
      <c r="S6409" s="298"/>
    </row>
    <row r="6410" spans="14:19" hidden="1" x14ac:dyDescent="0.25">
      <c r="N6410" s="17">
        <v>840.59999999988395</v>
      </c>
      <c r="O6410" s="16" t="s">
        <v>7865</v>
      </c>
      <c r="R6410" s="6"/>
      <c r="S6410" s="298"/>
    </row>
    <row r="6411" spans="14:19" hidden="1" x14ac:dyDescent="0.25">
      <c r="N6411" s="17">
        <v>840.69999999988397</v>
      </c>
      <c r="O6411" s="16" t="s">
        <v>7866</v>
      </c>
      <c r="R6411" s="6"/>
      <c r="S6411" s="298"/>
    </row>
    <row r="6412" spans="14:19" hidden="1" x14ac:dyDescent="0.25">
      <c r="N6412" s="17">
        <v>840.79999999988399</v>
      </c>
      <c r="O6412" s="16" t="s">
        <v>7867</v>
      </c>
      <c r="R6412" s="6"/>
      <c r="S6412" s="298"/>
    </row>
    <row r="6413" spans="14:19" hidden="1" x14ac:dyDescent="0.25">
      <c r="N6413" s="17">
        <v>840.89999999988402</v>
      </c>
      <c r="O6413" s="16" t="s">
        <v>7868</v>
      </c>
      <c r="R6413" s="6"/>
      <c r="S6413" s="298"/>
    </row>
    <row r="6414" spans="14:19" hidden="1" x14ac:dyDescent="0.25">
      <c r="N6414" s="17">
        <v>840.99999999988404</v>
      </c>
      <c r="O6414" s="16" t="s">
        <v>7869</v>
      </c>
      <c r="R6414" s="6"/>
      <c r="S6414" s="298"/>
    </row>
    <row r="6415" spans="14:19" hidden="1" x14ac:dyDescent="0.25">
      <c r="N6415" s="17">
        <v>841.09999999988395</v>
      </c>
      <c r="O6415" s="16" t="s">
        <v>7870</v>
      </c>
      <c r="R6415" s="6"/>
      <c r="S6415" s="298"/>
    </row>
    <row r="6416" spans="14:19" hidden="1" x14ac:dyDescent="0.25">
      <c r="N6416" s="17">
        <v>841.19999999988397</v>
      </c>
      <c r="O6416" s="16" t="s">
        <v>7871</v>
      </c>
      <c r="R6416" s="6"/>
      <c r="S6416" s="298"/>
    </row>
    <row r="6417" spans="14:19" hidden="1" x14ac:dyDescent="0.25">
      <c r="N6417" s="17">
        <v>841.29999999988399</v>
      </c>
      <c r="O6417" s="16" t="s">
        <v>7872</v>
      </c>
      <c r="R6417" s="6"/>
      <c r="S6417" s="298"/>
    </row>
    <row r="6418" spans="14:19" hidden="1" x14ac:dyDescent="0.25">
      <c r="N6418" s="17">
        <v>841.39999999988402</v>
      </c>
      <c r="O6418" s="16" t="s">
        <v>7873</v>
      </c>
      <c r="R6418" s="6"/>
      <c r="S6418" s="298"/>
    </row>
    <row r="6419" spans="14:19" hidden="1" x14ac:dyDescent="0.25">
      <c r="N6419" s="17">
        <v>841.49999999988404</v>
      </c>
      <c r="O6419" s="16" t="s">
        <v>7874</v>
      </c>
      <c r="R6419" s="6"/>
      <c r="S6419" s="298"/>
    </row>
    <row r="6420" spans="14:19" hidden="1" x14ac:dyDescent="0.25">
      <c r="N6420" s="17">
        <v>841.59999999988395</v>
      </c>
      <c r="O6420" s="16" t="s">
        <v>7875</v>
      </c>
      <c r="R6420" s="6"/>
      <c r="S6420" s="298"/>
    </row>
    <row r="6421" spans="14:19" hidden="1" x14ac:dyDescent="0.25">
      <c r="N6421" s="17">
        <v>841.69999999988295</v>
      </c>
      <c r="O6421" s="16" t="s">
        <v>7876</v>
      </c>
      <c r="R6421" s="6"/>
      <c r="S6421" s="298"/>
    </row>
    <row r="6422" spans="14:19" hidden="1" x14ac:dyDescent="0.25">
      <c r="N6422" s="17">
        <v>841.79999999988297</v>
      </c>
      <c r="O6422" s="16" t="s">
        <v>7877</v>
      </c>
      <c r="R6422" s="6"/>
      <c r="S6422" s="298"/>
    </row>
    <row r="6423" spans="14:19" hidden="1" x14ac:dyDescent="0.25">
      <c r="N6423" s="17">
        <v>841.89999999988299</v>
      </c>
      <c r="O6423" s="16" t="s">
        <v>7878</v>
      </c>
      <c r="R6423" s="6"/>
      <c r="S6423" s="298"/>
    </row>
    <row r="6424" spans="14:19" hidden="1" x14ac:dyDescent="0.25">
      <c r="N6424" s="17">
        <v>841.99999999988302</v>
      </c>
      <c r="O6424" s="16" t="s">
        <v>7879</v>
      </c>
      <c r="R6424" s="6"/>
      <c r="S6424" s="298"/>
    </row>
    <row r="6425" spans="14:19" hidden="1" x14ac:dyDescent="0.25">
      <c r="N6425" s="17">
        <v>842.09999999988304</v>
      </c>
      <c r="O6425" s="16" t="s">
        <v>7880</v>
      </c>
      <c r="R6425" s="6"/>
      <c r="S6425" s="298"/>
    </row>
    <row r="6426" spans="14:19" hidden="1" x14ac:dyDescent="0.25">
      <c r="N6426" s="17">
        <v>842.19999999988295</v>
      </c>
      <c r="O6426" s="16" t="s">
        <v>7881</v>
      </c>
      <c r="R6426" s="6"/>
      <c r="S6426" s="298"/>
    </row>
    <row r="6427" spans="14:19" hidden="1" x14ac:dyDescent="0.25">
      <c r="N6427" s="17">
        <v>842.29999999988297</v>
      </c>
      <c r="O6427" s="16" t="s">
        <v>7882</v>
      </c>
      <c r="R6427" s="6"/>
      <c r="S6427" s="298"/>
    </row>
    <row r="6428" spans="14:19" hidden="1" x14ac:dyDescent="0.25">
      <c r="N6428" s="17">
        <v>842.39999999988299</v>
      </c>
      <c r="O6428" s="16" t="s">
        <v>7883</v>
      </c>
      <c r="R6428" s="6"/>
      <c r="S6428" s="298"/>
    </row>
    <row r="6429" spans="14:19" hidden="1" x14ac:dyDescent="0.25">
      <c r="N6429" s="17">
        <v>842.49999999988302</v>
      </c>
      <c r="O6429" s="16" t="s">
        <v>7884</v>
      </c>
      <c r="R6429" s="6"/>
      <c r="S6429" s="298"/>
    </row>
    <row r="6430" spans="14:19" hidden="1" x14ac:dyDescent="0.25">
      <c r="N6430" s="17">
        <v>842.59999999988304</v>
      </c>
      <c r="O6430" s="16" t="s">
        <v>7885</v>
      </c>
      <c r="R6430" s="6"/>
      <c r="S6430" s="298"/>
    </row>
    <row r="6431" spans="14:19" hidden="1" x14ac:dyDescent="0.25">
      <c r="N6431" s="17">
        <v>842.69999999988295</v>
      </c>
      <c r="O6431" s="16" t="s">
        <v>7886</v>
      </c>
      <c r="R6431" s="6"/>
      <c r="S6431" s="298"/>
    </row>
    <row r="6432" spans="14:19" hidden="1" x14ac:dyDescent="0.25">
      <c r="N6432" s="17">
        <v>842.79999999988297</v>
      </c>
      <c r="O6432" s="16" t="s">
        <v>7887</v>
      </c>
      <c r="R6432" s="6"/>
      <c r="S6432" s="298"/>
    </row>
    <row r="6433" spans="14:19" hidden="1" x14ac:dyDescent="0.25">
      <c r="N6433" s="17">
        <v>842.89999999988299</v>
      </c>
      <c r="O6433" s="16" t="s">
        <v>6943</v>
      </c>
      <c r="R6433" s="6"/>
      <c r="S6433" s="298"/>
    </row>
    <row r="6434" spans="14:19" hidden="1" x14ac:dyDescent="0.25">
      <c r="N6434" s="17">
        <v>842.99999999988302</v>
      </c>
      <c r="O6434" s="16" t="s">
        <v>6910</v>
      </c>
      <c r="R6434" s="6"/>
      <c r="S6434" s="298"/>
    </row>
    <row r="6435" spans="14:19" hidden="1" x14ac:dyDescent="0.25">
      <c r="N6435" s="17">
        <v>843.09999999988304</v>
      </c>
      <c r="O6435" s="16" t="s">
        <v>6911</v>
      </c>
      <c r="R6435" s="6"/>
      <c r="S6435" s="298"/>
    </row>
    <row r="6436" spans="14:19" hidden="1" x14ac:dyDescent="0.25">
      <c r="N6436" s="17">
        <v>843.19999999988295</v>
      </c>
      <c r="O6436" s="16" t="s">
        <v>4072</v>
      </c>
      <c r="R6436" s="6"/>
      <c r="S6436" s="298"/>
    </row>
    <row r="6437" spans="14:19" hidden="1" x14ac:dyDescent="0.25">
      <c r="N6437" s="17">
        <v>843.29999999988297</v>
      </c>
      <c r="O6437" s="16" t="s">
        <v>4073</v>
      </c>
      <c r="R6437" s="6"/>
      <c r="S6437" s="298"/>
    </row>
    <row r="6438" spans="14:19" hidden="1" x14ac:dyDescent="0.25">
      <c r="N6438" s="17">
        <v>843.39999999988299</v>
      </c>
      <c r="O6438" s="16" t="s">
        <v>4074</v>
      </c>
      <c r="R6438" s="6"/>
      <c r="S6438" s="298"/>
    </row>
    <row r="6439" spans="14:19" hidden="1" x14ac:dyDescent="0.25">
      <c r="N6439" s="17">
        <v>843.49999999988302</v>
      </c>
      <c r="O6439" s="16" t="s">
        <v>4075</v>
      </c>
      <c r="R6439" s="6"/>
      <c r="S6439" s="298"/>
    </row>
    <row r="6440" spans="14:19" hidden="1" x14ac:dyDescent="0.25">
      <c r="N6440" s="17">
        <v>843.59999999988304</v>
      </c>
      <c r="O6440" s="16" t="s">
        <v>4076</v>
      </c>
      <c r="R6440" s="6"/>
      <c r="S6440" s="298"/>
    </row>
    <row r="6441" spans="14:19" hidden="1" x14ac:dyDescent="0.25">
      <c r="N6441" s="17">
        <v>843.69999999988295</v>
      </c>
      <c r="O6441" s="16" t="s">
        <v>4077</v>
      </c>
      <c r="R6441" s="6"/>
      <c r="S6441" s="298"/>
    </row>
    <row r="6442" spans="14:19" hidden="1" x14ac:dyDescent="0.25">
      <c r="N6442" s="17">
        <v>843.79999999988297</v>
      </c>
      <c r="O6442" s="16" t="s">
        <v>4078</v>
      </c>
      <c r="R6442" s="6"/>
      <c r="S6442" s="298"/>
    </row>
    <row r="6443" spans="14:19" hidden="1" x14ac:dyDescent="0.25">
      <c r="N6443" s="17">
        <v>843.89999999988299</v>
      </c>
      <c r="O6443" s="16" t="s">
        <v>4079</v>
      </c>
      <c r="R6443" s="6"/>
      <c r="S6443" s="298"/>
    </row>
    <row r="6444" spans="14:19" hidden="1" x14ac:dyDescent="0.25">
      <c r="N6444" s="17">
        <v>843.99999999988302</v>
      </c>
      <c r="O6444" s="16" t="s">
        <v>1894</v>
      </c>
      <c r="R6444" s="6"/>
      <c r="S6444" s="298"/>
    </row>
    <row r="6445" spans="14:19" hidden="1" x14ac:dyDescent="0.25">
      <c r="N6445" s="17">
        <v>844.09999999988304</v>
      </c>
      <c r="O6445" s="16" t="s">
        <v>1895</v>
      </c>
      <c r="R6445" s="6"/>
      <c r="S6445" s="298"/>
    </row>
    <row r="6446" spans="14:19" hidden="1" x14ac:dyDescent="0.25">
      <c r="N6446" s="17">
        <v>844.19999999988295</v>
      </c>
      <c r="O6446" s="16" t="s">
        <v>4080</v>
      </c>
      <c r="R6446" s="6"/>
      <c r="S6446" s="298"/>
    </row>
    <row r="6447" spans="14:19" hidden="1" x14ac:dyDescent="0.25">
      <c r="N6447" s="17">
        <v>844.29999999988297</v>
      </c>
      <c r="O6447" s="16" t="s">
        <v>4081</v>
      </c>
      <c r="R6447" s="6"/>
      <c r="S6447" s="298"/>
    </row>
    <row r="6448" spans="14:19" hidden="1" x14ac:dyDescent="0.25">
      <c r="N6448" s="17">
        <v>844.39999999988299</v>
      </c>
      <c r="O6448" s="16" t="s">
        <v>4082</v>
      </c>
      <c r="R6448" s="6"/>
      <c r="S6448" s="298"/>
    </row>
    <row r="6449" spans="14:19" hidden="1" x14ac:dyDescent="0.25">
      <c r="N6449" s="17">
        <v>844.49999999988302</v>
      </c>
      <c r="O6449" s="16" t="s">
        <v>4083</v>
      </c>
      <c r="R6449" s="6"/>
      <c r="S6449" s="298"/>
    </row>
    <row r="6450" spans="14:19" hidden="1" x14ac:dyDescent="0.25">
      <c r="N6450" s="17">
        <v>844.59999999988304</v>
      </c>
      <c r="O6450" s="16" t="s">
        <v>4084</v>
      </c>
      <c r="R6450" s="6"/>
      <c r="S6450" s="298"/>
    </row>
    <row r="6451" spans="14:19" hidden="1" x14ac:dyDescent="0.25">
      <c r="N6451" s="17">
        <v>844.69999999988204</v>
      </c>
      <c r="O6451" s="16" t="s">
        <v>4085</v>
      </c>
      <c r="R6451" s="6"/>
      <c r="S6451" s="298"/>
    </row>
    <row r="6452" spans="14:19" hidden="1" x14ac:dyDescent="0.25">
      <c r="N6452" s="17">
        <v>844.79999999988195</v>
      </c>
      <c r="O6452" s="16" t="s">
        <v>4086</v>
      </c>
      <c r="R6452" s="6"/>
      <c r="S6452" s="298"/>
    </row>
    <row r="6453" spans="14:19" hidden="1" x14ac:dyDescent="0.25">
      <c r="N6453" s="17">
        <v>844.89999999988197</v>
      </c>
      <c r="O6453" s="16" t="s">
        <v>1894</v>
      </c>
      <c r="R6453" s="6"/>
      <c r="S6453" s="298"/>
    </row>
    <row r="6454" spans="14:19" hidden="1" x14ac:dyDescent="0.25">
      <c r="N6454" s="17">
        <v>844.99999999988199</v>
      </c>
      <c r="O6454" s="16" t="s">
        <v>4087</v>
      </c>
      <c r="R6454" s="6"/>
      <c r="S6454" s="298"/>
    </row>
    <row r="6455" spans="14:19" hidden="1" x14ac:dyDescent="0.25">
      <c r="N6455" s="17">
        <v>845.09999999988202</v>
      </c>
      <c r="O6455" s="16" t="s">
        <v>4088</v>
      </c>
      <c r="R6455" s="6"/>
      <c r="S6455" s="298"/>
    </row>
    <row r="6456" spans="14:19" hidden="1" x14ac:dyDescent="0.25">
      <c r="N6456" s="17">
        <v>845.19999999988204</v>
      </c>
      <c r="O6456" s="16" t="s">
        <v>4089</v>
      </c>
      <c r="R6456" s="6"/>
      <c r="S6456" s="298"/>
    </row>
    <row r="6457" spans="14:19" hidden="1" x14ac:dyDescent="0.25">
      <c r="N6457" s="17">
        <v>845.29999999988195</v>
      </c>
      <c r="O6457" s="16" t="s">
        <v>4090</v>
      </c>
      <c r="R6457" s="6"/>
      <c r="S6457" s="298"/>
    </row>
    <row r="6458" spans="14:19" hidden="1" x14ac:dyDescent="0.25">
      <c r="N6458" s="17">
        <v>845.39999999988197</v>
      </c>
      <c r="O6458" s="16" t="s">
        <v>4091</v>
      </c>
      <c r="R6458" s="6"/>
      <c r="S6458" s="298"/>
    </row>
    <row r="6459" spans="14:19" hidden="1" x14ac:dyDescent="0.25">
      <c r="N6459" s="17">
        <v>845.49999999988199</v>
      </c>
      <c r="O6459" s="16" t="s">
        <v>4092</v>
      </c>
      <c r="R6459" s="6"/>
      <c r="S6459" s="298"/>
    </row>
    <row r="6460" spans="14:19" hidden="1" x14ac:dyDescent="0.25">
      <c r="N6460" s="17">
        <v>845.59999999988202</v>
      </c>
      <c r="O6460" s="16" t="s">
        <v>4093</v>
      </c>
      <c r="R6460" s="6"/>
      <c r="S6460" s="298"/>
    </row>
    <row r="6461" spans="14:19" hidden="1" x14ac:dyDescent="0.25">
      <c r="N6461" s="17">
        <v>845.69999999988204</v>
      </c>
      <c r="O6461" s="16" t="s">
        <v>4094</v>
      </c>
      <c r="R6461" s="6"/>
      <c r="S6461" s="298"/>
    </row>
    <row r="6462" spans="14:19" hidden="1" x14ac:dyDescent="0.25">
      <c r="N6462" s="17">
        <v>845.79999999988195</v>
      </c>
      <c r="O6462" s="16" t="s">
        <v>4095</v>
      </c>
      <c r="R6462" s="6"/>
      <c r="S6462" s="298"/>
    </row>
    <row r="6463" spans="14:19" hidden="1" x14ac:dyDescent="0.25">
      <c r="N6463" s="17">
        <v>845.89999999988197</v>
      </c>
      <c r="O6463" s="16" t="s">
        <v>4096</v>
      </c>
      <c r="R6463" s="6"/>
      <c r="S6463" s="298"/>
    </row>
    <row r="6464" spans="14:19" hidden="1" x14ac:dyDescent="0.25">
      <c r="N6464" s="17">
        <v>845.99999999988199</v>
      </c>
      <c r="O6464" s="16" t="s">
        <v>4097</v>
      </c>
      <c r="R6464" s="6"/>
      <c r="S6464" s="298"/>
    </row>
    <row r="6465" spans="14:19" hidden="1" x14ac:dyDescent="0.25">
      <c r="N6465" s="17">
        <v>846.09999999988202</v>
      </c>
      <c r="O6465" s="16" t="s">
        <v>4098</v>
      </c>
      <c r="R6465" s="6"/>
      <c r="S6465" s="298"/>
    </row>
    <row r="6466" spans="14:19" hidden="1" x14ac:dyDescent="0.25">
      <c r="N6466" s="17">
        <v>846.19999999988204</v>
      </c>
      <c r="O6466" s="16" t="s">
        <v>4099</v>
      </c>
      <c r="R6466" s="6"/>
      <c r="S6466" s="298"/>
    </row>
    <row r="6467" spans="14:19" hidden="1" x14ac:dyDescent="0.25">
      <c r="N6467" s="17">
        <v>846.29999999988195</v>
      </c>
      <c r="O6467" s="16" t="s">
        <v>4100</v>
      </c>
      <c r="R6467" s="6"/>
      <c r="S6467" s="298"/>
    </row>
    <row r="6468" spans="14:19" hidden="1" x14ac:dyDescent="0.25">
      <c r="N6468" s="17">
        <v>846.39999999988197</v>
      </c>
      <c r="O6468" s="16" t="s">
        <v>4101</v>
      </c>
      <c r="R6468" s="6"/>
      <c r="S6468" s="298"/>
    </row>
    <row r="6469" spans="14:19" hidden="1" x14ac:dyDescent="0.25">
      <c r="N6469" s="17">
        <v>846.49999999988199</v>
      </c>
      <c r="O6469" s="16" t="s">
        <v>4102</v>
      </c>
      <c r="R6469" s="6"/>
      <c r="S6469" s="298"/>
    </row>
    <row r="6470" spans="14:19" hidden="1" x14ac:dyDescent="0.25">
      <c r="N6470" s="17">
        <v>846.59999999988202</v>
      </c>
      <c r="O6470" s="16" t="s">
        <v>4103</v>
      </c>
      <c r="R6470" s="6"/>
      <c r="S6470" s="298"/>
    </row>
    <row r="6471" spans="14:19" hidden="1" x14ac:dyDescent="0.25">
      <c r="N6471" s="17">
        <v>846.69999999988204</v>
      </c>
      <c r="O6471" s="16" t="s">
        <v>4104</v>
      </c>
      <c r="R6471" s="6"/>
      <c r="S6471" s="298"/>
    </row>
    <row r="6472" spans="14:19" hidden="1" x14ac:dyDescent="0.25">
      <c r="N6472" s="17">
        <v>846.79999999988195</v>
      </c>
      <c r="O6472" s="16" t="s">
        <v>6240</v>
      </c>
      <c r="R6472" s="6"/>
      <c r="S6472" s="298"/>
    </row>
    <row r="6473" spans="14:19" hidden="1" x14ac:dyDescent="0.25">
      <c r="N6473" s="17">
        <v>846.89999999988197</v>
      </c>
      <c r="O6473" s="16" t="s">
        <v>6241</v>
      </c>
      <c r="R6473" s="6"/>
      <c r="S6473" s="298"/>
    </row>
    <row r="6474" spans="14:19" hidden="1" x14ac:dyDescent="0.25">
      <c r="N6474" s="17">
        <v>846.99999999988199</v>
      </c>
      <c r="O6474" s="16" t="s">
        <v>6242</v>
      </c>
      <c r="R6474" s="6"/>
      <c r="S6474" s="298"/>
    </row>
    <row r="6475" spans="14:19" hidden="1" x14ac:dyDescent="0.25">
      <c r="N6475" s="17">
        <v>847.09999999988202</v>
      </c>
      <c r="O6475" s="16" t="s">
        <v>6243</v>
      </c>
      <c r="R6475" s="6"/>
      <c r="S6475" s="298"/>
    </row>
    <row r="6476" spans="14:19" hidden="1" x14ac:dyDescent="0.25">
      <c r="N6476" s="17">
        <v>847.19999999988204</v>
      </c>
      <c r="O6476" s="16" t="s">
        <v>6244</v>
      </c>
      <c r="R6476" s="6"/>
      <c r="S6476" s="298"/>
    </row>
    <row r="6477" spans="14:19" hidden="1" x14ac:dyDescent="0.25">
      <c r="N6477" s="17">
        <v>847.29999999988195</v>
      </c>
      <c r="O6477" s="16" t="s">
        <v>6245</v>
      </c>
      <c r="R6477" s="6"/>
      <c r="S6477" s="298"/>
    </row>
    <row r="6478" spans="14:19" hidden="1" x14ac:dyDescent="0.25">
      <c r="N6478" s="17">
        <v>847.39999999988197</v>
      </c>
      <c r="O6478" s="16" t="s">
        <v>8090</v>
      </c>
      <c r="R6478" s="6"/>
      <c r="S6478" s="298"/>
    </row>
    <row r="6479" spans="14:19" hidden="1" x14ac:dyDescent="0.25">
      <c r="N6479" s="17">
        <v>847.49999999988199</v>
      </c>
      <c r="O6479" s="16" t="s">
        <v>8091</v>
      </c>
      <c r="R6479" s="6"/>
      <c r="S6479" s="298"/>
    </row>
    <row r="6480" spans="14:19" hidden="1" x14ac:dyDescent="0.25">
      <c r="N6480" s="17">
        <v>847.59999999988099</v>
      </c>
      <c r="O6480" s="16" t="s">
        <v>8092</v>
      </c>
      <c r="R6480" s="6"/>
      <c r="S6480" s="298"/>
    </row>
    <row r="6481" spans="14:19" hidden="1" x14ac:dyDescent="0.25">
      <c r="N6481" s="17">
        <v>847.69999999988102</v>
      </c>
      <c r="O6481" s="16" t="s">
        <v>8093</v>
      </c>
      <c r="R6481" s="6"/>
      <c r="S6481" s="298"/>
    </row>
    <row r="6482" spans="14:19" hidden="1" x14ac:dyDescent="0.25">
      <c r="N6482" s="17">
        <v>847.79999999988104</v>
      </c>
      <c r="O6482" s="16" t="s">
        <v>4135</v>
      </c>
      <c r="R6482" s="6"/>
      <c r="S6482" s="298"/>
    </row>
    <row r="6483" spans="14:19" hidden="1" x14ac:dyDescent="0.25">
      <c r="N6483" s="17">
        <v>847.89999999988095</v>
      </c>
      <c r="O6483" s="16" t="s">
        <v>4136</v>
      </c>
      <c r="R6483" s="6"/>
      <c r="S6483" s="298"/>
    </row>
    <row r="6484" spans="14:19" hidden="1" x14ac:dyDescent="0.25">
      <c r="N6484" s="17">
        <v>847.99999999988097</v>
      </c>
      <c r="O6484" s="16" t="s">
        <v>4137</v>
      </c>
      <c r="R6484" s="6"/>
      <c r="S6484" s="298"/>
    </row>
    <row r="6485" spans="14:19" hidden="1" x14ac:dyDescent="0.25">
      <c r="N6485" s="17">
        <v>848.09999999988099</v>
      </c>
      <c r="O6485" s="16" t="s">
        <v>4138</v>
      </c>
      <c r="R6485" s="6"/>
      <c r="S6485" s="298"/>
    </row>
    <row r="6486" spans="14:19" hidden="1" x14ac:dyDescent="0.25">
      <c r="N6486" s="17">
        <v>848.19999999988102</v>
      </c>
      <c r="O6486" s="16" t="s">
        <v>4139</v>
      </c>
      <c r="R6486" s="6"/>
      <c r="S6486" s="298"/>
    </row>
    <row r="6487" spans="14:19" hidden="1" x14ac:dyDescent="0.25">
      <c r="N6487" s="17">
        <v>848.29999999988104</v>
      </c>
      <c r="O6487" s="16" t="s">
        <v>4140</v>
      </c>
      <c r="R6487" s="6"/>
      <c r="S6487" s="298"/>
    </row>
    <row r="6488" spans="14:19" hidden="1" x14ac:dyDescent="0.25">
      <c r="N6488" s="17">
        <v>848.39999999988095</v>
      </c>
      <c r="O6488" s="16" t="s">
        <v>4141</v>
      </c>
      <c r="R6488" s="6"/>
      <c r="S6488" s="298"/>
    </row>
    <row r="6489" spans="14:19" hidden="1" x14ac:dyDescent="0.25">
      <c r="N6489" s="17">
        <v>848.49999999988097</v>
      </c>
      <c r="O6489" s="16" t="s">
        <v>4142</v>
      </c>
      <c r="R6489" s="6"/>
      <c r="S6489" s="298"/>
    </row>
    <row r="6490" spans="14:19" hidden="1" x14ac:dyDescent="0.25">
      <c r="N6490" s="17">
        <v>848.59999999988099</v>
      </c>
      <c r="O6490" s="16" t="s">
        <v>4143</v>
      </c>
      <c r="R6490" s="6"/>
      <c r="S6490" s="298"/>
    </row>
    <row r="6491" spans="14:19" hidden="1" x14ac:dyDescent="0.25">
      <c r="N6491" s="17">
        <v>848.69999999988102</v>
      </c>
      <c r="O6491" s="16" t="s">
        <v>4144</v>
      </c>
      <c r="R6491" s="6"/>
      <c r="S6491" s="298"/>
    </row>
    <row r="6492" spans="14:19" hidden="1" x14ac:dyDescent="0.25">
      <c r="N6492" s="17">
        <v>848.79999999988104</v>
      </c>
      <c r="O6492" s="16" t="s">
        <v>4145</v>
      </c>
      <c r="R6492" s="6"/>
      <c r="S6492" s="298"/>
    </row>
    <row r="6493" spans="14:19" hidden="1" x14ac:dyDescent="0.25">
      <c r="N6493" s="17">
        <v>848.89999999988095</v>
      </c>
      <c r="O6493" s="16" t="s">
        <v>4146</v>
      </c>
      <c r="R6493" s="6"/>
      <c r="S6493" s="298"/>
    </row>
    <row r="6494" spans="14:19" hidden="1" x14ac:dyDescent="0.25">
      <c r="N6494" s="17">
        <v>848.99999999988097</v>
      </c>
      <c r="O6494" s="16" t="s">
        <v>4147</v>
      </c>
      <c r="R6494" s="6"/>
      <c r="S6494" s="298"/>
    </row>
    <row r="6495" spans="14:19" hidden="1" x14ac:dyDescent="0.25">
      <c r="N6495" s="17">
        <v>849.09999999988099</v>
      </c>
      <c r="O6495" s="16" t="s">
        <v>4148</v>
      </c>
      <c r="R6495" s="6"/>
      <c r="S6495" s="298"/>
    </row>
    <row r="6496" spans="14:19" hidden="1" x14ac:dyDescent="0.25">
      <c r="N6496" s="17">
        <v>849.19999999988102</v>
      </c>
      <c r="O6496" s="16" t="s">
        <v>4149</v>
      </c>
      <c r="R6496" s="6"/>
      <c r="S6496" s="298"/>
    </row>
    <row r="6497" spans="14:19" hidden="1" x14ac:dyDescent="0.25">
      <c r="N6497" s="17">
        <v>849.29999999988104</v>
      </c>
      <c r="O6497" s="16" t="s">
        <v>4150</v>
      </c>
      <c r="R6497" s="6"/>
      <c r="S6497" s="298"/>
    </row>
    <row r="6498" spans="14:19" hidden="1" x14ac:dyDescent="0.25">
      <c r="N6498" s="17">
        <v>849.39999999988095</v>
      </c>
      <c r="O6498" s="16" t="s">
        <v>4151</v>
      </c>
      <c r="R6498" s="6"/>
      <c r="S6498" s="298"/>
    </row>
    <row r="6499" spans="14:19" hidden="1" x14ac:dyDescent="0.25">
      <c r="N6499" s="17">
        <v>849.49999999988097</v>
      </c>
      <c r="O6499" s="16" t="s">
        <v>4152</v>
      </c>
      <c r="R6499" s="6"/>
      <c r="S6499" s="298"/>
    </row>
    <row r="6500" spans="14:19" hidden="1" x14ac:dyDescent="0.25">
      <c r="N6500" s="17">
        <v>849.59999999988099</v>
      </c>
      <c r="O6500" s="16" t="s">
        <v>4153</v>
      </c>
      <c r="R6500" s="6"/>
      <c r="S6500" s="298"/>
    </row>
    <row r="6501" spans="14:19" hidden="1" x14ac:dyDescent="0.25">
      <c r="N6501" s="17">
        <v>849.69999999988102</v>
      </c>
      <c r="O6501" s="16" t="s">
        <v>4154</v>
      </c>
      <c r="R6501" s="6"/>
      <c r="S6501" s="298"/>
    </row>
    <row r="6502" spans="14:19" hidden="1" x14ac:dyDescent="0.25">
      <c r="N6502" s="17">
        <v>849.79999999988104</v>
      </c>
      <c r="O6502" s="16" t="s">
        <v>4155</v>
      </c>
      <c r="R6502" s="6"/>
      <c r="S6502" s="298"/>
    </row>
    <row r="6503" spans="14:19" hidden="1" x14ac:dyDescent="0.25">
      <c r="N6503" s="17">
        <v>849.89999999988095</v>
      </c>
      <c r="O6503" s="16" t="s">
        <v>4156</v>
      </c>
      <c r="R6503" s="6"/>
      <c r="S6503" s="298"/>
    </row>
    <row r="6504" spans="14:19" hidden="1" x14ac:dyDescent="0.25">
      <c r="N6504" s="17">
        <v>849.99999999988097</v>
      </c>
      <c r="O6504" s="16" t="s">
        <v>4157</v>
      </c>
      <c r="R6504" s="6"/>
      <c r="S6504" s="298"/>
    </row>
    <row r="6505" spans="14:19" hidden="1" x14ac:dyDescent="0.25">
      <c r="N6505" s="17">
        <v>850.09999999988099</v>
      </c>
      <c r="O6505" s="16" t="s">
        <v>4158</v>
      </c>
      <c r="R6505" s="6"/>
      <c r="S6505" s="298"/>
    </row>
    <row r="6506" spans="14:19" hidden="1" x14ac:dyDescent="0.25">
      <c r="N6506" s="17">
        <v>850.19999999988102</v>
      </c>
      <c r="O6506" s="16" t="s">
        <v>4159</v>
      </c>
      <c r="R6506" s="6"/>
      <c r="S6506" s="298"/>
    </row>
    <row r="6507" spans="14:19" hidden="1" x14ac:dyDescent="0.25">
      <c r="N6507" s="17">
        <v>850.29999999988104</v>
      </c>
      <c r="O6507" s="16" t="s">
        <v>4160</v>
      </c>
      <c r="R6507" s="6"/>
      <c r="S6507" s="298"/>
    </row>
    <row r="6508" spans="14:19" hidden="1" x14ac:dyDescent="0.25">
      <c r="N6508" s="17">
        <v>850.39999999988095</v>
      </c>
      <c r="O6508" s="16" t="s">
        <v>4161</v>
      </c>
      <c r="R6508" s="6"/>
      <c r="S6508" s="298"/>
    </row>
    <row r="6509" spans="14:19" hidden="1" x14ac:dyDescent="0.25">
      <c r="N6509" s="17">
        <v>850.49999999987995</v>
      </c>
      <c r="O6509" s="16" t="s">
        <v>4162</v>
      </c>
      <c r="R6509" s="6"/>
      <c r="S6509" s="298"/>
    </row>
    <row r="6510" spans="14:19" hidden="1" x14ac:dyDescent="0.25">
      <c r="N6510" s="17">
        <v>850.59999999987997</v>
      </c>
      <c r="O6510" s="16" t="s">
        <v>6281</v>
      </c>
      <c r="R6510" s="6"/>
      <c r="S6510" s="298"/>
    </row>
    <row r="6511" spans="14:19" hidden="1" x14ac:dyDescent="0.25">
      <c r="N6511" s="17">
        <v>850.69999999987999</v>
      </c>
      <c r="O6511" s="16" t="s">
        <v>6282</v>
      </c>
      <c r="R6511" s="6"/>
      <c r="S6511" s="298"/>
    </row>
    <row r="6512" spans="14:19" hidden="1" x14ac:dyDescent="0.25">
      <c r="N6512" s="17">
        <v>850.79999999988001</v>
      </c>
      <c r="O6512" s="16" t="s">
        <v>6283</v>
      </c>
      <c r="R6512" s="6"/>
      <c r="S6512" s="298"/>
    </row>
    <row r="6513" spans="14:19" hidden="1" x14ac:dyDescent="0.25">
      <c r="N6513" s="17">
        <v>850.89999999988004</v>
      </c>
      <c r="O6513" s="16" t="s">
        <v>6284</v>
      </c>
      <c r="R6513" s="6"/>
      <c r="S6513" s="298"/>
    </row>
    <row r="6514" spans="14:19" hidden="1" x14ac:dyDescent="0.25">
      <c r="N6514" s="17">
        <v>850.99999999987995</v>
      </c>
      <c r="O6514" s="16" t="s">
        <v>6285</v>
      </c>
      <c r="R6514" s="6"/>
      <c r="S6514" s="298"/>
    </row>
    <row r="6515" spans="14:19" hidden="1" x14ac:dyDescent="0.25">
      <c r="N6515" s="17">
        <v>851.09999999987997</v>
      </c>
      <c r="O6515" s="16" t="s">
        <v>6286</v>
      </c>
      <c r="R6515" s="6"/>
      <c r="S6515" s="298"/>
    </row>
    <row r="6516" spans="14:19" hidden="1" x14ac:dyDescent="0.25">
      <c r="N6516" s="17">
        <v>851.19999999987999</v>
      </c>
      <c r="O6516" s="16" t="s">
        <v>6287</v>
      </c>
      <c r="R6516" s="6"/>
      <c r="S6516" s="298"/>
    </row>
    <row r="6517" spans="14:19" hidden="1" x14ac:dyDescent="0.25">
      <c r="N6517" s="17">
        <v>851.29999999988001</v>
      </c>
      <c r="O6517" s="16" t="s">
        <v>6288</v>
      </c>
      <c r="R6517" s="6"/>
      <c r="S6517" s="298"/>
    </row>
    <row r="6518" spans="14:19" hidden="1" x14ac:dyDescent="0.25">
      <c r="N6518" s="17">
        <v>851.39999999988004</v>
      </c>
      <c r="O6518" s="16" t="s">
        <v>8322</v>
      </c>
      <c r="R6518" s="6"/>
      <c r="S6518" s="298"/>
    </row>
    <row r="6519" spans="14:19" hidden="1" x14ac:dyDescent="0.25">
      <c r="N6519" s="17">
        <v>851.49999999987995</v>
      </c>
      <c r="O6519" s="16" t="s">
        <v>8323</v>
      </c>
      <c r="R6519" s="6"/>
      <c r="S6519" s="298"/>
    </row>
    <row r="6520" spans="14:19" hidden="1" x14ac:dyDescent="0.25">
      <c r="N6520" s="17">
        <v>851.59999999987997</v>
      </c>
      <c r="O6520" s="16" t="s">
        <v>7210</v>
      </c>
      <c r="R6520" s="6"/>
      <c r="S6520" s="298"/>
    </row>
    <row r="6521" spans="14:19" hidden="1" x14ac:dyDescent="0.25">
      <c r="N6521" s="17">
        <v>851.69999999987999</v>
      </c>
      <c r="O6521" s="16" t="s">
        <v>7211</v>
      </c>
      <c r="R6521" s="6"/>
      <c r="S6521" s="298"/>
    </row>
    <row r="6522" spans="14:19" hidden="1" x14ac:dyDescent="0.25">
      <c r="N6522" s="17">
        <v>851.79999999988001</v>
      </c>
      <c r="O6522" s="16" t="s">
        <v>7212</v>
      </c>
      <c r="R6522" s="6"/>
      <c r="S6522" s="298"/>
    </row>
    <row r="6523" spans="14:19" hidden="1" x14ac:dyDescent="0.25">
      <c r="N6523" s="17">
        <v>851.89999999988004</v>
      </c>
      <c r="O6523" s="16" t="s">
        <v>7213</v>
      </c>
      <c r="R6523" s="6"/>
      <c r="S6523" s="298"/>
    </row>
    <row r="6524" spans="14:19" hidden="1" x14ac:dyDescent="0.25">
      <c r="N6524" s="17">
        <v>851.99999999987995</v>
      </c>
      <c r="O6524" s="16" t="s">
        <v>7214</v>
      </c>
      <c r="R6524" s="6"/>
      <c r="S6524" s="298"/>
    </row>
    <row r="6525" spans="14:19" hidden="1" x14ac:dyDescent="0.25">
      <c r="N6525" s="17">
        <v>852.09999999987997</v>
      </c>
      <c r="O6525" s="16" t="s">
        <v>7215</v>
      </c>
      <c r="R6525" s="6"/>
      <c r="S6525" s="298"/>
    </row>
    <row r="6526" spans="14:19" hidden="1" x14ac:dyDescent="0.25">
      <c r="N6526" s="17">
        <v>852.19999999987999</v>
      </c>
      <c r="O6526" s="16" t="s">
        <v>7216</v>
      </c>
      <c r="R6526" s="6"/>
      <c r="S6526" s="298"/>
    </row>
    <row r="6527" spans="14:19" hidden="1" x14ac:dyDescent="0.25">
      <c r="N6527" s="17">
        <v>852.29999999988001</v>
      </c>
      <c r="O6527" s="16" t="s">
        <v>7217</v>
      </c>
      <c r="R6527" s="6"/>
      <c r="S6527" s="298"/>
    </row>
    <row r="6528" spans="14:19" hidden="1" x14ac:dyDescent="0.25">
      <c r="N6528" s="17">
        <v>852.39999999988004</v>
      </c>
      <c r="O6528" s="16" t="s">
        <v>7218</v>
      </c>
      <c r="R6528" s="6"/>
      <c r="S6528" s="298"/>
    </row>
    <row r="6529" spans="14:19" hidden="1" x14ac:dyDescent="0.25">
      <c r="N6529" s="17">
        <v>852.49999999987995</v>
      </c>
      <c r="O6529" s="16" t="s">
        <v>7219</v>
      </c>
      <c r="R6529" s="6"/>
      <c r="S6529" s="298"/>
    </row>
    <row r="6530" spans="14:19" hidden="1" x14ac:dyDescent="0.25">
      <c r="N6530" s="17">
        <v>852.59999999987997</v>
      </c>
      <c r="O6530" s="16" t="s">
        <v>8167</v>
      </c>
      <c r="R6530" s="6"/>
      <c r="S6530" s="298"/>
    </row>
    <row r="6531" spans="14:19" hidden="1" x14ac:dyDescent="0.25">
      <c r="N6531" s="17">
        <v>852.69999999987999</v>
      </c>
      <c r="O6531" s="16" t="s">
        <v>8168</v>
      </c>
      <c r="R6531" s="6"/>
      <c r="S6531" s="298"/>
    </row>
    <row r="6532" spans="14:19" hidden="1" x14ac:dyDescent="0.25">
      <c r="N6532" s="17">
        <v>852.79999999988001</v>
      </c>
      <c r="O6532" s="16" t="s">
        <v>8169</v>
      </c>
      <c r="R6532" s="6"/>
      <c r="S6532" s="298"/>
    </row>
    <row r="6533" spans="14:19" hidden="1" x14ac:dyDescent="0.25">
      <c r="N6533" s="17">
        <v>852.89999999988004</v>
      </c>
      <c r="O6533" s="16" t="s">
        <v>8228</v>
      </c>
      <c r="R6533" s="6"/>
      <c r="S6533" s="298"/>
    </row>
    <row r="6534" spans="14:19" hidden="1" x14ac:dyDescent="0.25">
      <c r="N6534" s="17">
        <v>852.99999999987995</v>
      </c>
      <c r="O6534" s="16" t="s">
        <v>8229</v>
      </c>
      <c r="R6534" s="6"/>
      <c r="S6534" s="298"/>
    </row>
    <row r="6535" spans="14:19" hidden="1" x14ac:dyDescent="0.25">
      <c r="N6535" s="17">
        <v>853.09999999987997</v>
      </c>
      <c r="O6535" s="16" t="s">
        <v>8230</v>
      </c>
      <c r="R6535" s="6"/>
      <c r="S6535" s="298"/>
    </row>
    <row r="6536" spans="14:19" hidden="1" x14ac:dyDescent="0.25">
      <c r="N6536" s="17">
        <v>853.19999999987999</v>
      </c>
      <c r="O6536" s="16" t="s">
        <v>6173</v>
      </c>
      <c r="R6536" s="6"/>
      <c r="S6536" s="298"/>
    </row>
    <row r="6537" spans="14:19" hidden="1" x14ac:dyDescent="0.25">
      <c r="N6537" s="17">
        <v>853.29999999988001</v>
      </c>
      <c r="O6537" s="16" t="s">
        <v>6174</v>
      </c>
      <c r="R6537" s="6"/>
      <c r="S6537" s="298"/>
    </row>
    <row r="6538" spans="14:19" hidden="1" x14ac:dyDescent="0.25">
      <c r="N6538" s="17">
        <v>853.39999999988004</v>
      </c>
      <c r="O6538" s="16" t="s">
        <v>6175</v>
      </c>
      <c r="R6538" s="6"/>
      <c r="S6538" s="298"/>
    </row>
    <row r="6539" spans="14:19" hidden="1" x14ac:dyDescent="0.25">
      <c r="N6539" s="17">
        <v>853.49999999987904</v>
      </c>
      <c r="O6539" s="16" t="s">
        <v>6176</v>
      </c>
      <c r="R6539" s="6"/>
      <c r="S6539" s="298"/>
    </row>
    <row r="6540" spans="14:19" hidden="1" x14ac:dyDescent="0.25">
      <c r="N6540" s="17">
        <v>853.59999999987895</v>
      </c>
      <c r="O6540" s="16" t="s">
        <v>6177</v>
      </c>
      <c r="R6540" s="6"/>
      <c r="S6540" s="298"/>
    </row>
    <row r="6541" spans="14:19" hidden="1" x14ac:dyDescent="0.25">
      <c r="N6541" s="17">
        <v>853.69999999987897</v>
      </c>
      <c r="O6541" s="16" t="s">
        <v>6178</v>
      </c>
      <c r="R6541" s="6"/>
      <c r="S6541" s="298"/>
    </row>
    <row r="6542" spans="14:19" hidden="1" x14ac:dyDescent="0.25">
      <c r="N6542" s="17">
        <v>853.79999999987899</v>
      </c>
      <c r="O6542" s="16" t="s">
        <v>6179</v>
      </c>
      <c r="R6542" s="6"/>
      <c r="S6542" s="298"/>
    </row>
    <row r="6543" spans="14:19" hidden="1" x14ac:dyDescent="0.25">
      <c r="N6543" s="17">
        <v>853.89999999987901</v>
      </c>
      <c r="O6543" s="16" t="s">
        <v>6180</v>
      </c>
      <c r="R6543" s="6"/>
      <c r="S6543" s="298"/>
    </row>
    <row r="6544" spans="14:19" hidden="1" x14ac:dyDescent="0.25">
      <c r="N6544" s="17">
        <v>853.99999999987904</v>
      </c>
      <c r="O6544" s="16" t="s">
        <v>6181</v>
      </c>
      <c r="R6544" s="6"/>
      <c r="S6544" s="298"/>
    </row>
    <row r="6545" spans="14:19" hidden="1" x14ac:dyDescent="0.25">
      <c r="N6545" s="17">
        <v>854.09999999987895</v>
      </c>
      <c r="O6545" s="16" t="s">
        <v>6182</v>
      </c>
      <c r="R6545" s="6"/>
      <c r="S6545" s="298"/>
    </row>
    <row r="6546" spans="14:19" hidden="1" x14ac:dyDescent="0.25">
      <c r="N6546" s="17">
        <v>854.19999999987897</v>
      </c>
      <c r="O6546" s="16" t="s">
        <v>6183</v>
      </c>
      <c r="R6546" s="6"/>
      <c r="S6546" s="298"/>
    </row>
    <row r="6547" spans="14:19" hidden="1" x14ac:dyDescent="0.25">
      <c r="N6547" s="17">
        <v>854.29999999987899</v>
      </c>
      <c r="O6547" s="16" t="s">
        <v>6184</v>
      </c>
      <c r="R6547" s="6"/>
      <c r="S6547" s="298"/>
    </row>
    <row r="6548" spans="14:19" hidden="1" x14ac:dyDescent="0.25">
      <c r="N6548" s="17">
        <v>854.39999999987901</v>
      </c>
      <c r="O6548" s="16" t="s">
        <v>6185</v>
      </c>
      <c r="R6548" s="6"/>
      <c r="S6548" s="298"/>
    </row>
    <row r="6549" spans="14:19" hidden="1" x14ac:dyDescent="0.25">
      <c r="N6549" s="17">
        <v>854.49999999987904</v>
      </c>
      <c r="O6549" s="16" t="s">
        <v>6186</v>
      </c>
      <c r="R6549" s="6"/>
      <c r="S6549" s="298"/>
    </row>
    <row r="6550" spans="14:19" hidden="1" x14ac:dyDescent="0.25">
      <c r="N6550" s="17">
        <v>854.59999999987895</v>
      </c>
      <c r="O6550" s="16" t="s">
        <v>6187</v>
      </c>
      <c r="R6550" s="6"/>
      <c r="S6550" s="298"/>
    </row>
    <row r="6551" spans="14:19" hidden="1" x14ac:dyDescent="0.25">
      <c r="N6551" s="17">
        <v>854.69999999987897</v>
      </c>
      <c r="O6551" s="16" t="s">
        <v>6188</v>
      </c>
      <c r="R6551" s="6"/>
      <c r="S6551" s="298"/>
    </row>
    <row r="6552" spans="14:19" hidden="1" x14ac:dyDescent="0.25">
      <c r="N6552" s="17">
        <v>854.79999999987899</v>
      </c>
      <c r="O6552" s="16" t="s">
        <v>8058</v>
      </c>
      <c r="R6552" s="6"/>
      <c r="S6552" s="298"/>
    </row>
    <row r="6553" spans="14:19" hidden="1" x14ac:dyDescent="0.25">
      <c r="N6553" s="17">
        <v>854.89999999987901</v>
      </c>
      <c r="O6553" s="16" t="s">
        <v>8059</v>
      </c>
      <c r="R6553" s="6"/>
      <c r="S6553" s="298"/>
    </row>
    <row r="6554" spans="14:19" hidden="1" x14ac:dyDescent="0.25">
      <c r="N6554" s="17">
        <v>854.99999999987904</v>
      </c>
      <c r="O6554" s="16" t="s">
        <v>8060</v>
      </c>
      <c r="R6554" s="6"/>
      <c r="S6554" s="298"/>
    </row>
    <row r="6555" spans="14:19" hidden="1" x14ac:dyDescent="0.25">
      <c r="N6555" s="17">
        <v>855.09999999987895</v>
      </c>
      <c r="O6555" s="16" t="s">
        <v>8061</v>
      </c>
      <c r="R6555" s="6"/>
      <c r="S6555" s="298"/>
    </row>
    <row r="6556" spans="14:19" hidden="1" x14ac:dyDescent="0.25">
      <c r="N6556" s="17">
        <v>855.19999999987897</v>
      </c>
      <c r="O6556" s="16" t="s">
        <v>8062</v>
      </c>
      <c r="R6556" s="6"/>
      <c r="S6556" s="298"/>
    </row>
    <row r="6557" spans="14:19" hidden="1" x14ac:dyDescent="0.25">
      <c r="N6557" s="17">
        <v>855.29999999987899</v>
      </c>
      <c r="O6557" s="16" t="s">
        <v>8063</v>
      </c>
      <c r="R6557" s="6"/>
      <c r="S6557" s="298"/>
    </row>
    <row r="6558" spans="14:19" hidden="1" x14ac:dyDescent="0.25">
      <c r="N6558" s="17">
        <v>855.39999999987901</v>
      </c>
      <c r="O6558" s="16" t="s">
        <v>8064</v>
      </c>
      <c r="R6558" s="6"/>
      <c r="S6558" s="298"/>
    </row>
    <row r="6559" spans="14:19" hidden="1" x14ac:dyDescent="0.25">
      <c r="N6559" s="17">
        <v>855.49999999987904</v>
      </c>
      <c r="O6559" s="16" t="s">
        <v>8065</v>
      </c>
      <c r="R6559" s="6"/>
      <c r="S6559" s="298"/>
    </row>
    <row r="6560" spans="14:19" hidden="1" x14ac:dyDescent="0.25">
      <c r="N6560" s="17">
        <v>855.59999999987895</v>
      </c>
      <c r="O6560" s="16" t="s">
        <v>8066</v>
      </c>
      <c r="R6560" s="6"/>
      <c r="S6560" s="298"/>
    </row>
    <row r="6561" spans="14:19" hidden="1" x14ac:dyDescent="0.25">
      <c r="N6561" s="17">
        <v>855.69999999987897</v>
      </c>
      <c r="O6561" s="16" t="s">
        <v>8067</v>
      </c>
      <c r="R6561" s="6"/>
      <c r="S6561" s="298"/>
    </row>
    <row r="6562" spans="14:19" hidden="1" x14ac:dyDescent="0.25">
      <c r="N6562" s="17">
        <v>855.79999999987899</v>
      </c>
      <c r="O6562" s="16" t="s">
        <v>8068</v>
      </c>
      <c r="R6562" s="6"/>
      <c r="S6562" s="298"/>
    </row>
    <row r="6563" spans="14:19" hidden="1" x14ac:dyDescent="0.25">
      <c r="N6563" s="17">
        <v>855.89999999987901</v>
      </c>
      <c r="O6563" s="16" t="s">
        <v>8069</v>
      </c>
      <c r="R6563" s="6"/>
      <c r="S6563" s="298"/>
    </row>
    <row r="6564" spans="14:19" hidden="1" x14ac:dyDescent="0.25">
      <c r="N6564" s="17">
        <v>855.99999999987904</v>
      </c>
      <c r="O6564" s="16" t="s">
        <v>8070</v>
      </c>
      <c r="R6564" s="6"/>
      <c r="S6564" s="298"/>
    </row>
    <row r="6565" spans="14:19" hidden="1" x14ac:dyDescent="0.25">
      <c r="N6565" s="17">
        <v>856.09999999987895</v>
      </c>
      <c r="O6565" s="16" t="s">
        <v>8071</v>
      </c>
      <c r="R6565" s="6"/>
      <c r="S6565" s="298"/>
    </row>
    <row r="6566" spans="14:19" hidden="1" x14ac:dyDescent="0.25">
      <c r="N6566" s="17">
        <v>856.19999999987897</v>
      </c>
      <c r="O6566" s="16" t="s">
        <v>8072</v>
      </c>
      <c r="R6566" s="6"/>
      <c r="S6566" s="298"/>
    </row>
    <row r="6567" spans="14:19" hidden="1" x14ac:dyDescent="0.25">
      <c r="N6567" s="17">
        <v>856.29999999987899</v>
      </c>
      <c r="O6567" s="16" t="s">
        <v>8073</v>
      </c>
      <c r="R6567" s="6"/>
      <c r="S6567" s="298"/>
    </row>
    <row r="6568" spans="14:19" hidden="1" x14ac:dyDescent="0.25">
      <c r="N6568" s="17">
        <v>856.39999999987799</v>
      </c>
      <c r="O6568" s="16" t="s">
        <v>8074</v>
      </c>
      <c r="R6568" s="6"/>
      <c r="S6568" s="298"/>
    </row>
    <row r="6569" spans="14:19" hidden="1" x14ac:dyDescent="0.25">
      <c r="N6569" s="17">
        <v>856.49999999987801</v>
      </c>
      <c r="O6569" s="16" t="s">
        <v>8075</v>
      </c>
      <c r="R6569" s="6"/>
      <c r="S6569" s="298"/>
    </row>
    <row r="6570" spans="14:19" hidden="1" x14ac:dyDescent="0.25">
      <c r="N6570" s="17">
        <v>856.59999999987804</v>
      </c>
      <c r="O6570" s="16" t="s">
        <v>8076</v>
      </c>
      <c r="R6570" s="6"/>
      <c r="S6570" s="298"/>
    </row>
    <row r="6571" spans="14:19" hidden="1" x14ac:dyDescent="0.25">
      <c r="N6571" s="17">
        <v>856.69999999987795</v>
      </c>
      <c r="O6571" s="16" t="s">
        <v>8077</v>
      </c>
      <c r="R6571" s="6"/>
      <c r="S6571" s="298"/>
    </row>
    <row r="6572" spans="14:19" hidden="1" x14ac:dyDescent="0.25">
      <c r="N6572" s="17">
        <v>856.79999999987797</v>
      </c>
      <c r="O6572" s="16" t="s">
        <v>8078</v>
      </c>
      <c r="R6572" s="6"/>
      <c r="S6572" s="298"/>
    </row>
    <row r="6573" spans="14:19" hidden="1" x14ac:dyDescent="0.25">
      <c r="N6573" s="17">
        <v>856.89999999987799</v>
      </c>
      <c r="O6573" s="16" t="s">
        <v>8079</v>
      </c>
      <c r="R6573" s="6"/>
      <c r="S6573" s="298"/>
    </row>
    <row r="6574" spans="14:19" hidden="1" x14ac:dyDescent="0.25">
      <c r="N6574" s="17">
        <v>856.99999999987801</v>
      </c>
      <c r="O6574" s="16" t="s">
        <v>8080</v>
      </c>
      <c r="R6574" s="6"/>
      <c r="S6574" s="298"/>
    </row>
    <row r="6575" spans="14:19" hidden="1" x14ac:dyDescent="0.25">
      <c r="N6575" s="17">
        <v>857.09999999987804</v>
      </c>
      <c r="O6575" s="16" t="s">
        <v>8081</v>
      </c>
      <c r="R6575" s="6"/>
      <c r="S6575" s="298"/>
    </row>
    <row r="6576" spans="14:19" hidden="1" x14ac:dyDescent="0.25">
      <c r="N6576" s="17">
        <v>857.19999999987795</v>
      </c>
      <c r="O6576" s="16" t="s">
        <v>8082</v>
      </c>
      <c r="R6576" s="6"/>
      <c r="S6576" s="298"/>
    </row>
    <row r="6577" spans="14:19" hidden="1" x14ac:dyDescent="0.25">
      <c r="N6577" s="17">
        <v>857.29999999987797</v>
      </c>
      <c r="O6577" s="16" t="s">
        <v>8083</v>
      </c>
      <c r="R6577" s="6"/>
      <c r="S6577" s="298"/>
    </row>
    <row r="6578" spans="14:19" hidden="1" x14ac:dyDescent="0.25">
      <c r="N6578" s="17">
        <v>857.39999999987799</v>
      </c>
      <c r="O6578" s="16" t="s">
        <v>8084</v>
      </c>
      <c r="R6578" s="6"/>
      <c r="S6578" s="298"/>
    </row>
    <row r="6579" spans="14:19" hidden="1" x14ac:dyDescent="0.25">
      <c r="N6579" s="17">
        <v>857.49999999987801</v>
      </c>
      <c r="O6579" s="16" t="s">
        <v>8085</v>
      </c>
      <c r="R6579" s="6"/>
      <c r="S6579" s="298"/>
    </row>
    <row r="6580" spans="14:19" hidden="1" x14ac:dyDescent="0.25">
      <c r="N6580" s="17">
        <v>857.59999999987804</v>
      </c>
      <c r="O6580" s="16" t="s">
        <v>8086</v>
      </c>
      <c r="R6580" s="6"/>
      <c r="S6580" s="298"/>
    </row>
    <row r="6581" spans="14:19" hidden="1" x14ac:dyDescent="0.25">
      <c r="N6581" s="17">
        <v>857.69999999987795</v>
      </c>
      <c r="O6581" s="16" t="s">
        <v>8087</v>
      </c>
      <c r="R6581" s="6"/>
      <c r="S6581" s="298"/>
    </row>
    <row r="6582" spans="14:19" hidden="1" x14ac:dyDescent="0.25">
      <c r="N6582" s="17">
        <v>857.79999999987797</v>
      </c>
      <c r="O6582" s="16" t="s">
        <v>8088</v>
      </c>
      <c r="R6582" s="6"/>
      <c r="S6582" s="298"/>
    </row>
    <row r="6583" spans="14:19" hidden="1" x14ac:dyDescent="0.25">
      <c r="N6583" s="17">
        <v>857.89999999987799</v>
      </c>
      <c r="O6583" s="16" t="s">
        <v>8056</v>
      </c>
      <c r="R6583" s="6"/>
      <c r="S6583" s="298"/>
    </row>
    <row r="6584" spans="14:19" hidden="1" x14ac:dyDescent="0.25">
      <c r="N6584" s="17">
        <v>857.99999999987801</v>
      </c>
      <c r="O6584" s="16" t="s">
        <v>8057</v>
      </c>
      <c r="R6584" s="6"/>
      <c r="S6584" s="298"/>
    </row>
    <row r="6585" spans="14:19" hidden="1" x14ac:dyDescent="0.25">
      <c r="N6585" s="17">
        <v>858.09999999987804</v>
      </c>
      <c r="O6585" s="16" t="s">
        <v>7318</v>
      </c>
      <c r="R6585" s="6"/>
      <c r="S6585" s="298"/>
    </row>
    <row r="6586" spans="14:19" hidden="1" x14ac:dyDescent="0.25">
      <c r="N6586" s="17">
        <v>858.19999999987795</v>
      </c>
      <c r="O6586" s="16" t="s">
        <v>7319</v>
      </c>
      <c r="R6586" s="6"/>
      <c r="S6586" s="298"/>
    </row>
    <row r="6587" spans="14:19" hidden="1" x14ac:dyDescent="0.25">
      <c r="N6587" s="17">
        <v>858.29999999987797</v>
      </c>
      <c r="O6587" s="16" t="s">
        <v>7320</v>
      </c>
      <c r="R6587" s="6"/>
      <c r="S6587" s="298"/>
    </row>
    <row r="6588" spans="14:19" hidden="1" x14ac:dyDescent="0.25">
      <c r="N6588" s="17">
        <v>858.39999999987799</v>
      </c>
      <c r="O6588" s="16" t="s">
        <v>7321</v>
      </c>
      <c r="R6588" s="6"/>
      <c r="S6588" s="298"/>
    </row>
    <row r="6589" spans="14:19" hidden="1" x14ac:dyDescent="0.25">
      <c r="N6589" s="17">
        <v>858.49999999987801</v>
      </c>
      <c r="O6589" s="16" t="s">
        <v>7322</v>
      </c>
      <c r="R6589" s="6"/>
      <c r="S6589" s="298"/>
    </row>
    <row r="6590" spans="14:19" hidden="1" x14ac:dyDescent="0.25">
      <c r="N6590" s="17">
        <v>858.59999999987804</v>
      </c>
      <c r="O6590" s="16" t="s">
        <v>5285</v>
      </c>
      <c r="R6590" s="6"/>
      <c r="S6590" s="298"/>
    </row>
    <row r="6591" spans="14:19" hidden="1" x14ac:dyDescent="0.25">
      <c r="N6591" s="17">
        <v>858.69999999987795</v>
      </c>
      <c r="O6591" s="16" t="s">
        <v>5286</v>
      </c>
      <c r="R6591" s="6"/>
      <c r="S6591" s="298"/>
    </row>
    <row r="6592" spans="14:19" hidden="1" x14ac:dyDescent="0.25">
      <c r="N6592" s="17">
        <v>858.79999999987797</v>
      </c>
      <c r="O6592" s="16" t="s">
        <v>5287</v>
      </c>
      <c r="R6592" s="6"/>
      <c r="S6592" s="298"/>
    </row>
    <row r="6593" spans="14:19" hidden="1" x14ac:dyDescent="0.25">
      <c r="N6593" s="17">
        <v>858.89999999987799</v>
      </c>
      <c r="O6593" s="16" t="s">
        <v>6377</v>
      </c>
      <c r="R6593" s="6"/>
      <c r="S6593" s="298"/>
    </row>
    <row r="6594" spans="14:19" hidden="1" x14ac:dyDescent="0.25">
      <c r="N6594" s="17">
        <v>858.99999999987801</v>
      </c>
      <c r="O6594" s="16" t="s">
        <v>6378</v>
      </c>
      <c r="R6594" s="6"/>
      <c r="S6594" s="298"/>
    </row>
    <row r="6595" spans="14:19" hidden="1" x14ac:dyDescent="0.25">
      <c r="N6595" s="17">
        <v>859.09999999987804</v>
      </c>
      <c r="O6595" s="16" t="s">
        <v>6379</v>
      </c>
      <c r="R6595" s="6"/>
      <c r="S6595" s="298"/>
    </row>
    <row r="6596" spans="14:19" hidden="1" x14ac:dyDescent="0.25">
      <c r="N6596" s="17">
        <v>859.19999999987795</v>
      </c>
      <c r="O6596" s="16" t="s">
        <v>6380</v>
      </c>
      <c r="R6596" s="6"/>
      <c r="S6596" s="298"/>
    </row>
    <row r="6597" spans="14:19" hidden="1" x14ac:dyDescent="0.25">
      <c r="N6597" s="17">
        <v>859.29999999987695</v>
      </c>
      <c r="O6597" s="16" t="s">
        <v>6381</v>
      </c>
      <c r="R6597" s="6"/>
      <c r="S6597" s="298"/>
    </row>
    <row r="6598" spans="14:19" hidden="1" x14ac:dyDescent="0.25">
      <c r="N6598" s="17">
        <v>859.39999999987697</v>
      </c>
      <c r="O6598" s="16" t="s">
        <v>4278</v>
      </c>
      <c r="R6598" s="6"/>
      <c r="S6598" s="298"/>
    </row>
    <row r="6599" spans="14:19" hidden="1" x14ac:dyDescent="0.25">
      <c r="N6599" s="17">
        <v>859.49999999987699</v>
      </c>
      <c r="O6599" s="16" t="s">
        <v>4279</v>
      </c>
      <c r="R6599" s="6"/>
      <c r="S6599" s="298"/>
    </row>
    <row r="6600" spans="14:19" hidden="1" x14ac:dyDescent="0.25">
      <c r="N6600" s="17">
        <v>859.59999999987701</v>
      </c>
      <c r="O6600" s="16" t="s">
        <v>4280</v>
      </c>
      <c r="R6600" s="6"/>
      <c r="S6600" s="298"/>
    </row>
    <row r="6601" spans="14:19" hidden="1" x14ac:dyDescent="0.25">
      <c r="N6601" s="17">
        <v>859.69999999987704</v>
      </c>
      <c r="O6601" s="16" t="s">
        <v>4281</v>
      </c>
      <c r="R6601" s="6"/>
      <c r="S6601" s="298"/>
    </row>
    <row r="6602" spans="14:19" hidden="1" x14ac:dyDescent="0.25">
      <c r="N6602" s="17">
        <v>859.79999999987695</v>
      </c>
      <c r="O6602" s="16" t="s">
        <v>5287</v>
      </c>
      <c r="R6602" s="6"/>
      <c r="S6602" s="298"/>
    </row>
    <row r="6603" spans="14:19" hidden="1" x14ac:dyDescent="0.25">
      <c r="N6603" s="17">
        <v>859.89999999987697</v>
      </c>
      <c r="O6603" s="16" t="s">
        <v>6377</v>
      </c>
      <c r="R6603" s="6"/>
      <c r="S6603" s="298"/>
    </row>
    <row r="6604" spans="14:19" hidden="1" x14ac:dyDescent="0.25">
      <c r="N6604" s="17">
        <v>859.99999999987699</v>
      </c>
      <c r="O6604" s="16" t="s">
        <v>4282</v>
      </c>
      <c r="R6604" s="6"/>
      <c r="S6604" s="298"/>
    </row>
    <row r="6605" spans="14:19" hidden="1" x14ac:dyDescent="0.25">
      <c r="N6605" s="17">
        <v>860.09999999987701</v>
      </c>
      <c r="O6605" s="16" t="s">
        <v>6398</v>
      </c>
      <c r="R6605" s="6"/>
      <c r="S6605" s="298"/>
    </row>
    <row r="6606" spans="14:19" hidden="1" x14ac:dyDescent="0.25">
      <c r="N6606" s="17">
        <v>860.19999999987704</v>
      </c>
      <c r="O6606" s="16" t="s">
        <v>6399</v>
      </c>
      <c r="R6606" s="6"/>
      <c r="S6606" s="298"/>
    </row>
    <row r="6607" spans="14:19" hidden="1" x14ac:dyDescent="0.25">
      <c r="N6607" s="17">
        <v>860.29999999987695</v>
      </c>
      <c r="O6607" s="16" t="s">
        <v>6400</v>
      </c>
      <c r="R6607" s="6"/>
      <c r="S6607" s="298"/>
    </row>
    <row r="6608" spans="14:19" hidden="1" x14ac:dyDescent="0.25">
      <c r="N6608" s="17">
        <v>860.39999999987697</v>
      </c>
      <c r="O6608" s="16" t="s">
        <v>6401</v>
      </c>
      <c r="R6608" s="6"/>
      <c r="S6608" s="298"/>
    </row>
    <row r="6609" spans="14:19" hidden="1" x14ac:dyDescent="0.25">
      <c r="N6609" s="17">
        <v>860.49999999987699</v>
      </c>
      <c r="O6609" s="16" t="s">
        <v>6402</v>
      </c>
      <c r="R6609" s="6"/>
      <c r="S6609" s="298"/>
    </row>
    <row r="6610" spans="14:19" hidden="1" x14ac:dyDescent="0.25">
      <c r="N6610" s="17">
        <v>860.59999999987701</v>
      </c>
      <c r="O6610" s="16" t="s">
        <v>6403</v>
      </c>
      <c r="R6610" s="6"/>
      <c r="S6610" s="298"/>
    </row>
    <row r="6611" spans="14:19" hidden="1" x14ac:dyDescent="0.25">
      <c r="N6611" s="17">
        <v>860.69999999987704</v>
      </c>
      <c r="O6611" s="16" t="s">
        <v>6404</v>
      </c>
      <c r="R6611" s="6"/>
      <c r="S6611" s="298"/>
    </row>
    <row r="6612" spans="14:19" hidden="1" x14ac:dyDescent="0.25">
      <c r="N6612" s="17">
        <v>860.79999999987695</v>
      </c>
      <c r="O6612" s="16" t="s">
        <v>6405</v>
      </c>
      <c r="R6612" s="6"/>
      <c r="S6612" s="298"/>
    </row>
    <row r="6613" spans="14:19" hidden="1" x14ac:dyDescent="0.25">
      <c r="N6613" s="17">
        <v>860.89999999987697</v>
      </c>
      <c r="O6613" s="16" t="s">
        <v>6406</v>
      </c>
      <c r="R6613" s="6"/>
      <c r="S6613" s="298"/>
    </row>
    <row r="6614" spans="14:19" hidden="1" x14ac:dyDescent="0.25">
      <c r="N6614" s="17">
        <v>860.99999999987699</v>
      </c>
      <c r="O6614" s="16" t="s">
        <v>6407</v>
      </c>
      <c r="R6614" s="6"/>
      <c r="S6614" s="298"/>
    </row>
    <row r="6615" spans="14:19" hidden="1" x14ac:dyDescent="0.25">
      <c r="N6615" s="17">
        <v>861.09999999987701</v>
      </c>
      <c r="O6615" s="16" t="s">
        <v>6408</v>
      </c>
      <c r="R6615" s="6"/>
      <c r="S6615" s="298"/>
    </row>
    <row r="6616" spans="14:19" hidden="1" x14ac:dyDescent="0.25">
      <c r="N6616" s="17">
        <v>861.19999999987704</v>
      </c>
      <c r="O6616" s="16" t="s">
        <v>6409</v>
      </c>
      <c r="R6616" s="6"/>
      <c r="S6616" s="298"/>
    </row>
    <row r="6617" spans="14:19" hidden="1" x14ac:dyDescent="0.25">
      <c r="N6617" s="17">
        <v>861.29999999987695</v>
      </c>
      <c r="O6617" s="16" t="s">
        <v>6410</v>
      </c>
      <c r="R6617" s="6"/>
      <c r="S6617" s="298"/>
    </row>
    <row r="6618" spans="14:19" hidden="1" x14ac:dyDescent="0.25">
      <c r="N6618" s="17">
        <v>861.39999999987697</v>
      </c>
      <c r="O6618" s="16" t="s">
        <v>6411</v>
      </c>
      <c r="R6618" s="6"/>
      <c r="S6618" s="298"/>
    </row>
    <row r="6619" spans="14:19" hidden="1" x14ac:dyDescent="0.25">
      <c r="N6619" s="17">
        <v>861.49999999987699</v>
      </c>
      <c r="O6619" s="16" t="s">
        <v>6412</v>
      </c>
      <c r="R6619" s="6"/>
      <c r="S6619" s="298"/>
    </row>
    <row r="6620" spans="14:19" hidden="1" x14ac:dyDescent="0.25">
      <c r="N6620" s="17">
        <v>861.59999999987701</v>
      </c>
      <c r="O6620" s="16" t="s">
        <v>4300</v>
      </c>
      <c r="R6620" s="6"/>
      <c r="S6620" s="298"/>
    </row>
    <row r="6621" spans="14:19" hidden="1" x14ac:dyDescent="0.25">
      <c r="N6621" s="17">
        <v>861.69999999987704</v>
      </c>
      <c r="O6621" s="16" t="s">
        <v>4301</v>
      </c>
      <c r="R6621" s="6"/>
      <c r="S6621" s="298"/>
    </row>
    <row r="6622" spans="14:19" hidden="1" x14ac:dyDescent="0.25">
      <c r="N6622" s="17">
        <v>861.79999999987695</v>
      </c>
      <c r="O6622" s="16" t="s">
        <v>4302</v>
      </c>
      <c r="R6622" s="6"/>
      <c r="S6622" s="298"/>
    </row>
    <row r="6623" spans="14:19" hidden="1" x14ac:dyDescent="0.25">
      <c r="N6623" s="17">
        <v>861.89999999987697</v>
      </c>
      <c r="O6623" s="16" t="s">
        <v>4303</v>
      </c>
      <c r="R6623" s="6"/>
      <c r="S6623" s="298"/>
    </row>
    <row r="6624" spans="14:19" hidden="1" x14ac:dyDescent="0.25">
      <c r="N6624" s="17">
        <v>861.99999999987699</v>
      </c>
      <c r="O6624" s="16" t="s">
        <v>4304</v>
      </c>
      <c r="R6624" s="6"/>
      <c r="S6624" s="298"/>
    </row>
    <row r="6625" spans="14:19" hidden="1" x14ac:dyDescent="0.25">
      <c r="N6625" s="17">
        <v>862.09999999987701</v>
      </c>
      <c r="O6625" s="16" t="s">
        <v>4305</v>
      </c>
      <c r="R6625" s="6"/>
      <c r="S6625" s="298"/>
    </row>
    <row r="6626" spans="14:19" hidden="1" x14ac:dyDescent="0.25">
      <c r="N6626" s="17">
        <v>862.19999999987704</v>
      </c>
      <c r="O6626" s="16" t="s">
        <v>4306</v>
      </c>
      <c r="R6626" s="6"/>
      <c r="S6626" s="298"/>
    </row>
    <row r="6627" spans="14:19" hidden="1" x14ac:dyDescent="0.25">
      <c r="N6627" s="17">
        <v>862.29999999987604</v>
      </c>
      <c r="O6627" s="16" t="s">
        <v>6425</v>
      </c>
      <c r="R6627" s="6"/>
      <c r="S6627" s="298"/>
    </row>
    <row r="6628" spans="14:19" hidden="1" x14ac:dyDescent="0.25">
      <c r="N6628" s="17">
        <v>862.39999999987594</v>
      </c>
      <c r="O6628" s="16" t="s">
        <v>6426</v>
      </c>
      <c r="R6628" s="6"/>
      <c r="S6628" s="298"/>
    </row>
    <row r="6629" spans="14:19" hidden="1" x14ac:dyDescent="0.25">
      <c r="N6629" s="17">
        <v>862.49999999987597</v>
      </c>
      <c r="O6629" s="16" t="s">
        <v>6427</v>
      </c>
      <c r="R6629" s="6"/>
      <c r="S6629" s="298"/>
    </row>
    <row r="6630" spans="14:19" hidden="1" x14ac:dyDescent="0.25">
      <c r="N6630" s="17">
        <v>862.59999999987599</v>
      </c>
      <c r="O6630" s="16" t="s">
        <v>6428</v>
      </c>
      <c r="R6630" s="6"/>
      <c r="S6630" s="298"/>
    </row>
    <row r="6631" spans="14:19" hidden="1" x14ac:dyDescent="0.25">
      <c r="N6631" s="17">
        <v>862.69999999987601</v>
      </c>
      <c r="O6631" s="16" t="s">
        <v>6429</v>
      </c>
      <c r="R6631" s="6"/>
      <c r="S6631" s="298"/>
    </row>
    <row r="6632" spans="14:19" hidden="1" x14ac:dyDescent="0.25">
      <c r="N6632" s="17">
        <v>862.79999999987604</v>
      </c>
      <c r="O6632" s="16" t="s">
        <v>6430</v>
      </c>
      <c r="R6632" s="6"/>
      <c r="S6632" s="298"/>
    </row>
    <row r="6633" spans="14:19" hidden="1" x14ac:dyDescent="0.25">
      <c r="N6633" s="17">
        <v>862.89999999987594</v>
      </c>
      <c r="O6633" s="16" t="s">
        <v>6431</v>
      </c>
      <c r="R6633" s="6"/>
      <c r="S6633" s="298"/>
    </row>
    <row r="6634" spans="14:19" hidden="1" x14ac:dyDescent="0.25">
      <c r="N6634" s="17">
        <v>862.99999999987597</v>
      </c>
      <c r="O6634" s="16" t="s">
        <v>8270</v>
      </c>
      <c r="R6634" s="6"/>
      <c r="S6634" s="298"/>
    </row>
    <row r="6635" spans="14:19" hidden="1" x14ac:dyDescent="0.25">
      <c r="N6635" s="17">
        <v>863.09999999987599</v>
      </c>
      <c r="O6635" s="16" t="s">
        <v>8271</v>
      </c>
      <c r="R6635" s="6"/>
      <c r="S6635" s="298"/>
    </row>
    <row r="6636" spans="14:19" hidden="1" x14ac:dyDescent="0.25">
      <c r="N6636" s="17">
        <v>863.19999999987601</v>
      </c>
      <c r="O6636" s="16" t="s">
        <v>8272</v>
      </c>
      <c r="R6636" s="6"/>
      <c r="S6636" s="298"/>
    </row>
    <row r="6637" spans="14:19" hidden="1" x14ac:dyDescent="0.25">
      <c r="N6637" s="17">
        <v>863.29999999987604</v>
      </c>
      <c r="O6637" s="16" t="s">
        <v>8273</v>
      </c>
      <c r="R6637" s="6"/>
      <c r="S6637" s="298"/>
    </row>
    <row r="6638" spans="14:19" hidden="1" x14ac:dyDescent="0.25">
      <c r="N6638" s="17">
        <v>863.39999999987594</v>
      </c>
      <c r="O6638" s="16" t="s">
        <v>8274</v>
      </c>
      <c r="R6638" s="6"/>
      <c r="S6638" s="298"/>
    </row>
    <row r="6639" spans="14:19" hidden="1" x14ac:dyDescent="0.25">
      <c r="N6639" s="17">
        <v>863.49999999987597</v>
      </c>
      <c r="O6639" s="16" t="s">
        <v>8275</v>
      </c>
      <c r="R6639" s="6"/>
      <c r="S6639" s="298"/>
    </row>
    <row r="6640" spans="14:19" hidden="1" x14ac:dyDescent="0.25">
      <c r="N6640" s="17">
        <v>863.59999999987599</v>
      </c>
      <c r="O6640" s="16" t="s">
        <v>8276</v>
      </c>
      <c r="R6640" s="6"/>
      <c r="S6640" s="298"/>
    </row>
    <row r="6641" spans="14:19" hidden="1" x14ac:dyDescent="0.25">
      <c r="N6641" s="17">
        <v>863.69999999987601</v>
      </c>
      <c r="O6641" s="16" t="s">
        <v>8277</v>
      </c>
      <c r="R6641" s="6"/>
      <c r="S6641" s="298"/>
    </row>
    <row r="6642" spans="14:19" hidden="1" x14ac:dyDescent="0.25">
      <c r="N6642" s="17">
        <v>863.79999999987604</v>
      </c>
      <c r="O6642" s="16" t="s">
        <v>8278</v>
      </c>
      <c r="R6642" s="6"/>
      <c r="S6642" s="298"/>
    </row>
    <row r="6643" spans="14:19" hidden="1" x14ac:dyDescent="0.25">
      <c r="N6643" s="17">
        <v>863.89999999987594</v>
      </c>
      <c r="O6643" s="16" t="s">
        <v>8279</v>
      </c>
      <c r="R6643" s="6"/>
      <c r="S6643" s="298"/>
    </row>
    <row r="6644" spans="14:19" hidden="1" x14ac:dyDescent="0.25">
      <c r="N6644" s="17">
        <v>863.99999999987597</v>
      </c>
      <c r="O6644" s="16" t="s">
        <v>8280</v>
      </c>
      <c r="R6644" s="6"/>
      <c r="S6644" s="298"/>
    </row>
    <row r="6645" spans="14:19" hidden="1" x14ac:dyDescent="0.25">
      <c r="N6645" s="17">
        <v>864.09999999987599</v>
      </c>
      <c r="O6645" s="16" t="s">
        <v>8281</v>
      </c>
      <c r="R6645" s="6"/>
      <c r="S6645" s="298"/>
    </row>
    <row r="6646" spans="14:19" hidden="1" x14ac:dyDescent="0.25">
      <c r="N6646" s="17">
        <v>864.19999999987601</v>
      </c>
      <c r="O6646" s="16" t="s">
        <v>8282</v>
      </c>
      <c r="R6646" s="6"/>
      <c r="S6646" s="298"/>
    </row>
    <row r="6647" spans="14:19" hidden="1" x14ac:dyDescent="0.25">
      <c r="N6647" s="17">
        <v>864.29999999987604</v>
      </c>
      <c r="O6647" s="16" t="s">
        <v>8283</v>
      </c>
      <c r="R6647" s="6"/>
      <c r="S6647" s="298"/>
    </row>
    <row r="6648" spans="14:19" hidden="1" x14ac:dyDescent="0.25">
      <c r="N6648" s="17">
        <v>864.39999999987594</v>
      </c>
      <c r="O6648" s="16" t="s">
        <v>8284</v>
      </c>
      <c r="R6648" s="6"/>
      <c r="S6648" s="298"/>
    </row>
    <row r="6649" spans="14:19" hidden="1" x14ac:dyDescent="0.25">
      <c r="N6649" s="17">
        <v>864.49999999987597</v>
      </c>
      <c r="O6649" s="16" t="s">
        <v>8285</v>
      </c>
      <c r="R6649" s="6"/>
      <c r="S6649" s="298"/>
    </row>
    <row r="6650" spans="14:19" hidden="1" x14ac:dyDescent="0.25">
      <c r="N6650" s="17">
        <v>864.59999999987599</v>
      </c>
      <c r="O6650" s="16" t="s">
        <v>8286</v>
      </c>
      <c r="R6650" s="6"/>
      <c r="S6650" s="298"/>
    </row>
    <row r="6651" spans="14:19" hidden="1" x14ac:dyDescent="0.25">
      <c r="N6651" s="17">
        <v>864.69999999987601</v>
      </c>
      <c r="O6651" s="16" t="s">
        <v>8287</v>
      </c>
      <c r="R6651" s="6"/>
      <c r="S6651" s="298"/>
    </row>
    <row r="6652" spans="14:19" hidden="1" x14ac:dyDescent="0.25">
      <c r="N6652" s="17">
        <v>864.79999999987604</v>
      </c>
      <c r="O6652" s="16" t="s">
        <v>8288</v>
      </c>
      <c r="R6652" s="6"/>
      <c r="S6652" s="298"/>
    </row>
    <row r="6653" spans="14:19" hidden="1" x14ac:dyDescent="0.25">
      <c r="N6653" s="17">
        <v>864.89999999987594</v>
      </c>
      <c r="O6653" s="16" t="s">
        <v>8289</v>
      </c>
      <c r="R6653" s="6"/>
      <c r="S6653" s="298"/>
    </row>
    <row r="6654" spans="14:19" hidden="1" x14ac:dyDescent="0.25">
      <c r="N6654" s="17">
        <v>864.99999999987597</v>
      </c>
      <c r="O6654" s="16" t="s">
        <v>8290</v>
      </c>
      <c r="R6654" s="6"/>
      <c r="S6654" s="298"/>
    </row>
    <row r="6655" spans="14:19" hidden="1" x14ac:dyDescent="0.25">
      <c r="N6655" s="17">
        <v>865.09999999987599</v>
      </c>
      <c r="O6655" s="16" t="s">
        <v>8291</v>
      </c>
      <c r="R6655" s="6"/>
      <c r="S6655" s="298"/>
    </row>
    <row r="6656" spans="14:19" hidden="1" x14ac:dyDescent="0.25">
      <c r="N6656" s="17">
        <v>865.19999999987499</v>
      </c>
      <c r="O6656" s="16" t="s">
        <v>8292</v>
      </c>
      <c r="R6656" s="6"/>
      <c r="S6656" s="298"/>
    </row>
    <row r="6657" spans="14:19" hidden="1" x14ac:dyDescent="0.25">
      <c r="N6657" s="17">
        <v>865.29999999987501</v>
      </c>
      <c r="O6657" s="16" t="s">
        <v>8293</v>
      </c>
      <c r="R6657" s="6"/>
      <c r="S6657" s="298"/>
    </row>
    <row r="6658" spans="14:19" hidden="1" x14ac:dyDescent="0.25">
      <c r="N6658" s="17">
        <v>865.39999999987504</v>
      </c>
      <c r="O6658" s="16" t="s">
        <v>8294</v>
      </c>
      <c r="R6658" s="6"/>
      <c r="S6658" s="298"/>
    </row>
    <row r="6659" spans="14:19" hidden="1" x14ac:dyDescent="0.25">
      <c r="N6659" s="17">
        <v>865.49999999987494</v>
      </c>
      <c r="O6659" s="16" t="s">
        <v>8295</v>
      </c>
      <c r="R6659" s="6"/>
      <c r="S6659" s="298"/>
    </row>
    <row r="6660" spans="14:19" hidden="1" x14ac:dyDescent="0.25">
      <c r="N6660" s="17">
        <v>865.59999999987497</v>
      </c>
      <c r="O6660" s="16" t="s">
        <v>8296</v>
      </c>
      <c r="R6660" s="6"/>
      <c r="S6660" s="298"/>
    </row>
    <row r="6661" spans="14:19" hidden="1" x14ac:dyDescent="0.25">
      <c r="N6661" s="17">
        <v>865.69999999987499</v>
      </c>
      <c r="O6661" s="16" t="s">
        <v>8297</v>
      </c>
      <c r="R6661" s="6"/>
      <c r="S6661" s="298"/>
    </row>
    <row r="6662" spans="14:19" hidden="1" x14ac:dyDescent="0.25">
      <c r="N6662" s="17">
        <v>865.79999999987501</v>
      </c>
      <c r="O6662" s="16" t="s">
        <v>8298</v>
      </c>
      <c r="R6662" s="6"/>
      <c r="S6662" s="298"/>
    </row>
    <row r="6663" spans="14:19" hidden="1" x14ac:dyDescent="0.25">
      <c r="N6663" s="17">
        <v>865.89999999987504</v>
      </c>
      <c r="O6663" s="16" t="s">
        <v>8299</v>
      </c>
      <c r="R6663" s="6"/>
      <c r="S6663" s="298"/>
    </row>
    <row r="6664" spans="14:19" hidden="1" x14ac:dyDescent="0.25">
      <c r="N6664" s="17">
        <v>865.99999999987494</v>
      </c>
      <c r="O6664" s="16" t="s">
        <v>8300</v>
      </c>
      <c r="R6664" s="6"/>
      <c r="S6664" s="298"/>
    </row>
    <row r="6665" spans="14:19" hidden="1" x14ac:dyDescent="0.25">
      <c r="N6665" s="17">
        <v>866.09999999987497</v>
      </c>
      <c r="O6665" s="16" t="s">
        <v>8301</v>
      </c>
      <c r="R6665" s="6"/>
      <c r="S6665" s="298"/>
    </row>
    <row r="6666" spans="14:19" hidden="1" x14ac:dyDescent="0.25">
      <c r="N6666" s="17">
        <v>866.19999999987499</v>
      </c>
      <c r="O6666" s="16" t="s">
        <v>8302</v>
      </c>
      <c r="R6666" s="6"/>
      <c r="S6666" s="298"/>
    </row>
    <row r="6667" spans="14:19" hidden="1" x14ac:dyDescent="0.25">
      <c r="N6667" s="17">
        <v>866.29999999987501</v>
      </c>
      <c r="O6667" s="16" t="s">
        <v>8303</v>
      </c>
      <c r="R6667" s="6"/>
      <c r="S6667" s="298"/>
    </row>
    <row r="6668" spans="14:19" hidden="1" x14ac:dyDescent="0.25">
      <c r="N6668" s="17">
        <v>866.39999999987504</v>
      </c>
      <c r="O6668" s="16" t="s">
        <v>8304</v>
      </c>
      <c r="R6668" s="6"/>
      <c r="S6668" s="298"/>
    </row>
    <row r="6669" spans="14:19" hidden="1" x14ac:dyDescent="0.25">
      <c r="N6669" s="17">
        <v>866.49999999987494</v>
      </c>
      <c r="O6669" s="16" t="s">
        <v>8305</v>
      </c>
      <c r="R6669" s="6"/>
      <c r="S6669" s="298"/>
    </row>
    <row r="6670" spans="14:19" hidden="1" x14ac:dyDescent="0.25">
      <c r="N6670" s="17">
        <v>866.59999999987497</v>
      </c>
      <c r="O6670" s="16" t="s">
        <v>6471</v>
      </c>
      <c r="R6670" s="6"/>
      <c r="S6670" s="298"/>
    </row>
    <row r="6671" spans="14:19" hidden="1" x14ac:dyDescent="0.25">
      <c r="N6671" s="17">
        <v>866.69999999987499</v>
      </c>
      <c r="O6671" s="16" t="s">
        <v>6472</v>
      </c>
      <c r="R6671" s="6"/>
      <c r="S6671" s="298"/>
    </row>
    <row r="6672" spans="14:19" hidden="1" x14ac:dyDescent="0.25">
      <c r="N6672" s="17">
        <v>866.79999999987501</v>
      </c>
      <c r="O6672" s="16" t="s">
        <v>8315</v>
      </c>
      <c r="R6672" s="6"/>
      <c r="S6672" s="298"/>
    </row>
    <row r="6673" spans="14:19" hidden="1" x14ac:dyDescent="0.25">
      <c r="N6673" s="17">
        <v>866.89999999987504</v>
      </c>
      <c r="O6673" s="16" t="s">
        <v>8316</v>
      </c>
      <c r="R6673" s="6"/>
      <c r="S6673" s="298"/>
    </row>
    <row r="6674" spans="14:19" hidden="1" x14ac:dyDescent="0.25">
      <c r="N6674" s="17">
        <v>866.99999999987494</v>
      </c>
      <c r="O6674" s="16" t="s">
        <v>8317</v>
      </c>
      <c r="R6674" s="6"/>
      <c r="S6674" s="298"/>
    </row>
    <row r="6675" spans="14:19" hidden="1" x14ac:dyDescent="0.25">
      <c r="N6675" s="17">
        <v>867.09999999987497</v>
      </c>
      <c r="O6675" s="16" t="s">
        <v>8318</v>
      </c>
      <c r="R6675" s="6"/>
      <c r="S6675" s="298"/>
    </row>
    <row r="6676" spans="14:19" hidden="1" x14ac:dyDescent="0.25">
      <c r="N6676" s="17">
        <v>867.19999999987499</v>
      </c>
      <c r="O6676" s="16" t="s">
        <v>8319</v>
      </c>
      <c r="R6676" s="6"/>
      <c r="S6676" s="298"/>
    </row>
    <row r="6677" spans="14:19" hidden="1" x14ac:dyDescent="0.25">
      <c r="N6677" s="17">
        <v>867.29999999987501</v>
      </c>
      <c r="O6677" s="16" t="s">
        <v>8320</v>
      </c>
      <c r="R6677" s="6"/>
      <c r="S6677" s="298"/>
    </row>
    <row r="6678" spans="14:19" hidden="1" x14ac:dyDescent="0.25">
      <c r="N6678" s="17">
        <v>867.39999999987504</v>
      </c>
      <c r="O6678" s="16" t="s">
        <v>7417</v>
      </c>
      <c r="R6678" s="6"/>
      <c r="S6678" s="298"/>
    </row>
    <row r="6679" spans="14:19" hidden="1" x14ac:dyDescent="0.25">
      <c r="N6679" s="17">
        <v>867.49999999987494</v>
      </c>
      <c r="O6679" s="16" t="s">
        <v>7418</v>
      </c>
      <c r="R6679" s="6"/>
      <c r="S6679" s="298"/>
    </row>
    <row r="6680" spans="14:19" hidden="1" x14ac:dyDescent="0.25">
      <c r="N6680" s="17">
        <v>867.59999999987497</v>
      </c>
      <c r="O6680" s="16" t="s">
        <v>7419</v>
      </c>
      <c r="R6680" s="6"/>
      <c r="S6680" s="298"/>
    </row>
    <row r="6681" spans="14:19" hidden="1" x14ac:dyDescent="0.25">
      <c r="N6681" s="17">
        <v>867.69999999987499</v>
      </c>
      <c r="O6681" s="16" t="s">
        <v>7420</v>
      </c>
      <c r="R6681" s="6"/>
      <c r="S6681" s="298"/>
    </row>
    <row r="6682" spans="14:19" hidden="1" x14ac:dyDescent="0.25">
      <c r="N6682" s="17">
        <v>867.79999999987501</v>
      </c>
      <c r="O6682" s="16" t="s">
        <v>7421</v>
      </c>
      <c r="R6682" s="6"/>
      <c r="S6682" s="298"/>
    </row>
    <row r="6683" spans="14:19" hidden="1" x14ac:dyDescent="0.25">
      <c r="N6683" s="17">
        <v>867.89999999987504</v>
      </c>
      <c r="O6683" s="16" t="s">
        <v>7422</v>
      </c>
      <c r="R6683" s="6"/>
      <c r="S6683" s="298"/>
    </row>
    <row r="6684" spans="14:19" hidden="1" x14ac:dyDescent="0.25">
      <c r="N6684" s="17">
        <v>867.99999999987494</v>
      </c>
      <c r="O6684" s="16" t="s">
        <v>6506</v>
      </c>
      <c r="R6684" s="6"/>
      <c r="S6684" s="298"/>
    </row>
    <row r="6685" spans="14:19" hidden="1" x14ac:dyDescent="0.25">
      <c r="N6685" s="17">
        <v>868.09999999987394</v>
      </c>
      <c r="O6685" s="16" t="s">
        <v>6507</v>
      </c>
      <c r="R6685" s="6"/>
      <c r="S6685" s="298"/>
    </row>
    <row r="6686" spans="14:19" hidden="1" x14ac:dyDescent="0.25">
      <c r="N6686" s="17">
        <v>868.19999999987397</v>
      </c>
      <c r="O6686" s="16" t="s">
        <v>6508</v>
      </c>
      <c r="R6686" s="6"/>
      <c r="S6686" s="298"/>
    </row>
    <row r="6687" spans="14:19" hidden="1" x14ac:dyDescent="0.25">
      <c r="N6687" s="17">
        <v>868.29999999987399</v>
      </c>
      <c r="O6687" s="16" t="s">
        <v>6509</v>
      </c>
      <c r="R6687" s="6"/>
      <c r="S6687" s="298"/>
    </row>
    <row r="6688" spans="14:19" hidden="1" x14ac:dyDescent="0.25">
      <c r="N6688" s="17">
        <v>868.39999999987401</v>
      </c>
      <c r="O6688" s="16" t="s">
        <v>6510</v>
      </c>
      <c r="R6688" s="6"/>
      <c r="S6688" s="298"/>
    </row>
    <row r="6689" spans="14:19" hidden="1" x14ac:dyDescent="0.25">
      <c r="N6689" s="17">
        <v>868.49999999987403</v>
      </c>
      <c r="O6689" s="16" t="s">
        <v>6511</v>
      </c>
      <c r="R6689" s="6"/>
      <c r="S6689" s="298"/>
    </row>
    <row r="6690" spans="14:19" hidden="1" x14ac:dyDescent="0.25">
      <c r="N6690" s="17">
        <v>868.59999999987394</v>
      </c>
      <c r="O6690" s="16" t="s">
        <v>6331</v>
      </c>
      <c r="R6690" s="6"/>
      <c r="S6690" s="298"/>
    </row>
    <row r="6691" spans="14:19" hidden="1" x14ac:dyDescent="0.25">
      <c r="N6691" s="17">
        <v>868.69999999987397</v>
      </c>
      <c r="O6691" s="16" t="s">
        <v>6332</v>
      </c>
      <c r="R6691" s="6"/>
      <c r="S6691" s="298"/>
    </row>
    <row r="6692" spans="14:19" hidden="1" x14ac:dyDescent="0.25">
      <c r="N6692" s="17">
        <v>868.79999999987399</v>
      </c>
      <c r="O6692" s="16" t="s">
        <v>6333</v>
      </c>
      <c r="R6692" s="6"/>
      <c r="S6692" s="298"/>
    </row>
    <row r="6693" spans="14:19" hidden="1" x14ac:dyDescent="0.25">
      <c r="N6693" s="17">
        <v>868.89999999987401</v>
      </c>
      <c r="O6693" s="16" t="s">
        <v>6334</v>
      </c>
      <c r="R6693" s="6"/>
      <c r="S6693" s="298"/>
    </row>
    <row r="6694" spans="14:19" hidden="1" x14ac:dyDescent="0.25">
      <c r="N6694" s="17">
        <v>868.99999999987403</v>
      </c>
      <c r="O6694" s="16" t="s">
        <v>6335</v>
      </c>
      <c r="R6694" s="6"/>
      <c r="S6694" s="298"/>
    </row>
    <row r="6695" spans="14:19" hidden="1" x14ac:dyDescent="0.25">
      <c r="N6695" s="17">
        <v>869.09999999987394</v>
      </c>
      <c r="O6695" s="16" t="s">
        <v>6336</v>
      </c>
      <c r="R6695" s="6"/>
      <c r="S6695" s="298"/>
    </row>
    <row r="6696" spans="14:19" hidden="1" x14ac:dyDescent="0.25">
      <c r="N6696" s="17">
        <v>869.19999999987397</v>
      </c>
      <c r="O6696" s="16" t="s">
        <v>6337</v>
      </c>
      <c r="R6696" s="6"/>
      <c r="S6696" s="298"/>
    </row>
    <row r="6697" spans="14:19" hidden="1" x14ac:dyDescent="0.25">
      <c r="N6697" s="17">
        <v>869.29999999987399</v>
      </c>
      <c r="O6697" s="16" t="s">
        <v>6338</v>
      </c>
      <c r="R6697" s="6"/>
      <c r="S6697" s="298"/>
    </row>
    <row r="6698" spans="14:19" hidden="1" x14ac:dyDescent="0.25">
      <c r="N6698" s="17">
        <v>869.39999999987401</v>
      </c>
      <c r="O6698" s="16" t="s">
        <v>6339</v>
      </c>
      <c r="R6698" s="6"/>
      <c r="S6698" s="298"/>
    </row>
    <row r="6699" spans="14:19" hidden="1" x14ac:dyDescent="0.25">
      <c r="N6699" s="17">
        <v>869.49999999987403</v>
      </c>
      <c r="O6699" s="16" t="s">
        <v>6340</v>
      </c>
      <c r="R6699" s="6"/>
      <c r="S6699" s="298"/>
    </row>
    <row r="6700" spans="14:19" hidden="1" x14ac:dyDescent="0.25">
      <c r="N6700" s="17">
        <v>869.59999999987394</v>
      </c>
      <c r="O6700" s="16" t="s">
        <v>6341</v>
      </c>
      <c r="R6700" s="6"/>
      <c r="S6700" s="298"/>
    </row>
    <row r="6701" spans="14:19" hidden="1" x14ac:dyDescent="0.25">
      <c r="N6701" s="17">
        <v>869.69999999987397</v>
      </c>
      <c r="O6701" s="16" t="s">
        <v>6342</v>
      </c>
      <c r="R6701" s="6"/>
      <c r="S6701" s="298"/>
    </row>
    <row r="6702" spans="14:19" hidden="1" x14ac:dyDescent="0.25">
      <c r="N6702" s="17">
        <v>869.79999999987399</v>
      </c>
      <c r="O6702" s="16" t="s">
        <v>6343</v>
      </c>
      <c r="R6702" s="6"/>
      <c r="S6702" s="298"/>
    </row>
    <row r="6703" spans="14:19" hidden="1" x14ac:dyDescent="0.25">
      <c r="N6703" s="17">
        <v>869.89999999987401</v>
      </c>
      <c r="O6703" s="16" t="s">
        <v>6344</v>
      </c>
      <c r="R6703" s="6"/>
      <c r="S6703" s="298"/>
    </row>
    <row r="6704" spans="14:19" hidden="1" x14ac:dyDescent="0.25">
      <c r="N6704" s="17">
        <v>869.99999999987403</v>
      </c>
      <c r="O6704" s="16" t="s">
        <v>6345</v>
      </c>
      <c r="R6704" s="6"/>
      <c r="S6704" s="298"/>
    </row>
    <row r="6705" spans="14:19" hidden="1" x14ac:dyDescent="0.25">
      <c r="N6705" s="17">
        <v>870.09999999987394</v>
      </c>
      <c r="O6705" s="16" t="s">
        <v>6346</v>
      </c>
      <c r="R6705" s="6"/>
      <c r="S6705" s="298"/>
    </row>
    <row r="6706" spans="14:19" hidden="1" x14ac:dyDescent="0.25">
      <c r="N6706" s="17">
        <v>870.19999999987397</v>
      </c>
      <c r="O6706" s="16" t="s">
        <v>6347</v>
      </c>
      <c r="R6706" s="6"/>
      <c r="S6706" s="298"/>
    </row>
    <row r="6707" spans="14:19" hidden="1" x14ac:dyDescent="0.25">
      <c r="N6707" s="17">
        <v>870.29999999987399</v>
      </c>
      <c r="O6707" s="16" t="s">
        <v>8411</v>
      </c>
      <c r="R6707" s="6"/>
      <c r="S6707" s="298"/>
    </row>
    <row r="6708" spans="14:19" hidden="1" x14ac:dyDescent="0.25">
      <c r="N6708" s="17">
        <v>870.39999999987401</v>
      </c>
      <c r="O6708" s="16" t="s">
        <v>8412</v>
      </c>
      <c r="R6708" s="6"/>
      <c r="S6708" s="298"/>
    </row>
    <row r="6709" spans="14:19" hidden="1" x14ac:dyDescent="0.25">
      <c r="N6709" s="17">
        <v>870.49999999987403</v>
      </c>
      <c r="O6709" s="16" t="s">
        <v>8413</v>
      </c>
      <c r="R6709" s="6"/>
      <c r="S6709" s="298"/>
    </row>
    <row r="6710" spans="14:19" hidden="1" x14ac:dyDescent="0.25">
      <c r="N6710" s="17">
        <v>870.59999999987394</v>
      </c>
      <c r="O6710" s="16" t="s">
        <v>8414</v>
      </c>
      <c r="R6710" s="6"/>
      <c r="S6710" s="298"/>
    </row>
    <row r="6711" spans="14:19" hidden="1" x14ac:dyDescent="0.25">
      <c r="N6711" s="17">
        <v>870.69999999987397</v>
      </c>
      <c r="O6711" s="16" t="s">
        <v>8415</v>
      </c>
      <c r="R6711" s="6"/>
      <c r="S6711" s="298"/>
    </row>
    <row r="6712" spans="14:19" hidden="1" x14ac:dyDescent="0.25">
      <c r="N6712" s="17">
        <v>870.79999999987399</v>
      </c>
      <c r="O6712" s="16" t="s">
        <v>8416</v>
      </c>
      <c r="R6712" s="6"/>
      <c r="S6712" s="298"/>
    </row>
    <row r="6713" spans="14:19" hidden="1" x14ac:dyDescent="0.25">
      <c r="N6713" s="17">
        <v>870.89999999987401</v>
      </c>
      <c r="O6713" s="16" t="s">
        <v>8417</v>
      </c>
      <c r="R6713" s="6"/>
      <c r="S6713" s="298"/>
    </row>
    <row r="6714" spans="14:19" hidden="1" x14ac:dyDescent="0.25">
      <c r="N6714" s="17">
        <v>870.99999999987403</v>
      </c>
      <c r="O6714" s="16" t="s">
        <v>8418</v>
      </c>
      <c r="R6714" s="6"/>
      <c r="S6714" s="298"/>
    </row>
    <row r="6715" spans="14:19" hidden="1" x14ac:dyDescent="0.25">
      <c r="N6715" s="17">
        <v>871.09999999987303</v>
      </c>
      <c r="O6715" s="16" t="s">
        <v>8419</v>
      </c>
      <c r="R6715" s="6"/>
      <c r="S6715" s="298"/>
    </row>
    <row r="6716" spans="14:19" hidden="1" x14ac:dyDescent="0.25">
      <c r="N6716" s="17">
        <v>871.19999999987294</v>
      </c>
      <c r="O6716" s="16" t="s">
        <v>8420</v>
      </c>
      <c r="R6716" s="6"/>
      <c r="S6716" s="298"/>
    </row>
    <row r="6717" spans="14:19" hidden="1" x14ac:dyDescent="0.25">
      <c r="N6717" s="17">
        <v>871.29999999987297</v>
      </c>
      <c r="O6717" s="16" t="s">
        <v>8421</v>
      </c>
      <c r="R6717" s="6"/>
      <c r="S6717" s="298"/>
    </row>
    <row r="6718" spans="14:19" hidden="1" x14ac:dyDescent="0.25">
      <c r="N6718" s="17">
        <v>871.39999999987299</v>
      </c>
      <c r="O6718" s="16" t="s">
        <v>8422</v>
      </c>
      <c r="R6718" s="6"/>
      <c r="S6718" s="298"/>
    </row>
    <row r="6719" spans="14:19" hidden="1" x14ac:dyDescent="0.25">
      <c r="N6719" s="17">
        <v>871.49999999987301</v>
      </c>
      <c r="O6719" s="16" t="s">
        <v>8423</v>
      </c>
      <c r="R6719" s="6"/>
      <c r="S6719" s="298"/>
    </row>
    <row r="6720" spans="14:19" hidden="1" x14ac:dyDescent="0.25">
      <c r="N6720" s="17">
        <v>871.59999999987303</v>
      </c>
      <c r="O6720" s="16" t="s">
        <v>8424</v>
      </c>
      <c r="R6720" s="6"/>
      <c r="S6720" s="298"/>
    </row>
    <row r="6721" spans="14:19" hidden="1" x14ac:dyDescent="0.25">
      <c r="N6721" s="17">
        <v>871.69999999987294</v>
      </c>
      <c r="O6721" s="16" t="s">
        <v>6382</v>
      </c>
      <c r="R6721" s="6"/>
      <c r="S6721" s="298"/>
    </row>
    <row r="6722" spans="14:19" hidden="1" x14ac:dyDescent="0.25">
      <c r="N6722" s="17">
        <v>871.79999999987297</v>
      </c>
      <c r="O6722" s="16" t="s">
        <v>6383</v>
      </c>
      <c r="R6722" s="6"/>
      <c r="S6722" s="298"/>
    </row>
    <row r="6723" spans="14:19" hidden="1" x14ac:dyDescent="0.25">
      <c r="N6723" s="17">
        <v>871.89999999987299</v>
      </c>
      <c r="O6723" s="16" t="s">
        <v>6384</v>
      </c>
      <c r="R6723" s="6"/>
      <c r="S6723" s="298"/>
    </row>
    <row r="6724" spans="14:19" hidden="1" x14ac:dyDescent="0.25">
      <c r="N6724" s="17">
        <v>871.99999999987301</v>
      </c>
      <c r="O6724" s="16" t="s">
        <v>6385</v>
      </c>
      <c r="R6724" s="6"/>
      <c r="S6724" s="298"/>
    </row>
    <row r="6725" spans="14:19" hidden="1" x14ac:dyDescent="0.25">
      <c r="N6725" s="17">
        <v>872.09999999987303</v>
      </c>
      <c r="O6725" s="16" t="s">
        <v>6386</v>
      </c>
      <c r="R6725" s="6"/>
      <c r="S6725" s="298"/>
    </row>
    <row r="6726" spans="14:19" hidden="1" x14ac:dyDescent="0.25">
      <c r="N6726" s="17">
        <v>872.19999999987294</v>
      </c>
      <c r="O6726" s="16" t="s">
        <v>6387</v>
      </c>
      <c r="R6726" s="6"/>
      <c r="S6726" s="298"/>
    </row>
    <row r="6727" spans="14:19" hidden="1" x14ac:dyDescent="0.25">
      <c r="N6727" s="17">
        <v>872.29999999987297</v>
      </c>
      <c r="O6727" s="16" t="s">
        <v>6388</v>
      </c>
      <c r="R6727" s="6"/>
      <c r="S6727" s="298"/>
    </row>
    <row r="6728" spans="14:19" hidden="1" x14ac:dyDescent="0.25">
      <c r="N6728" s="17">
        <v>872.39999999987299</v>
      </c>
      <c r="O6728" s="16" t="s">
        <v>6389</v>
      </c>
      <c r="R6728" s="6"/>
      <c r="S6728" s="298"/>
    </row>
    <row r="6729" spans="14:19" hidden="1" x14ac:dyDescent="0.25">
      <c r="N6729" s="17">
        <v>872.49999999987301</v>
      </c>
      <c r="O6729" s="16" t="s">
        <v>6390</v>
      </c>
      <c r="R6729" s="6"/>
      <c r="S6729" s="298"/>
    </row>
    <row r="6730" spans="14:19" hidden="1" x14ac:dyDescent="0.25">
      <c r="N6730" s="17">
        <v>872.59999999987303</v>
      </c>
      <c r="O6730" s="16" t="s">
        <v>6391</v>
      </c>
      <c r="R6730" s="6"/>
      <c r="S6730" s="298"/>
    </row>
    <row r="6731" spans="14:19" hidden="1" x14ac:dyDescent="0.25">
      <c r="N6731" s="17">
        <v>872.69999999987294</v>
      </c>
      <c r="O6731" s="16" t="s">
        <v>6392</v>
      </c>
      <c r="R6731" s="6"/>
      <c r="S6731" s="298"/>
    </row>
    <row r="6732" spans="14:19" hidden="1" x14ac:dyDescent="0.25">
      <c r="N6732" s="17">
        <v>872.79999999987297</v>
      </c>
      <c r="O6732" s="16" t="s">
        <v>6393</v>
      </c>
      <c r="R6732" s="6"/>
      <c r="S6732" s="298"/>
    </row>
    <row r="6733" spans="14:19" hidden="1" x14ac:dyDescent="0.25">
      <c r="N6733" s="17">
        <v>872.89999999987299</v>
      </c>
      <c r="O6733" s="16" t="s">
        <v>6394</v>
      </c>
      <c r="R6733" s="6"/>
      <c r="S6733" s="298"/>
    </row>
    <row r="6734" spans="14:19" hidden="1" x14ac:dyDescent="0.25">
      <c r="N6734" s="17">
        <v>872.99999999987301</v>
      </c>
      <c r="O6734" s="16" t="s">
        <v>6395</v>
      </c>
      <c r="R6734" s="6"/>
      <c r="S6734" s="298"/>
    </row>
    <row r="6735" spans="14:19" hidden="1" x14ac:dyDescent="0.25">
      <c r="N6735" s="17">
        <v>873.09999999987303</v>
      </c>
      <c r="O6735" s="16" t="s">
        <v>6396</v>
      </c>
      <c r="R6735" s="6"/>
      <c r="S6735" s="298"/>
    </row>
    <row r="6736" spans="14:19" hidden="1" x14ac:dyDescent="0.25">
      <c r="N6736" s="17">
        <v>873.19999999987294</v>
      </c>
      <c r="O6736" s="16" t="s">
        <v>6397</v>
      </c>
      <c r="R6736" s="6"/>
      <c r="S6736" s="298"/>
    </row>
    <row r="6737" spans="14:19" hidden="1" x14ac:dyDescent="0.25">
      <c r="N6737" s="17">
        <v>873.29999999987297</v>
      </c>
      <c r="O6737" s="16" t="s">
        <v>8239</v>
      </c>
      <c r="R6737" s="6"/>
      <c r="S6737" s="298"/>
    </row>
    <row r="6738" spans="14:19" hidden="1" x14ac:dyDescent="0.25">
      <c r="N6738" s="17">
        <v>873.39999999987299</v>
      </c>
      <c r="O6738" s="16" t="s">
        <v>8240</v>
      </c>
      <c r="R6738" s="6"/>
      <c r="S6738" s="298"/>
    </row>
    <row r="6739" spans="14:19" hidden="1" x14ac:dyDescent="0.25">
      <c r="N6739" s="17">
        <v>873.49999999987301</v>
      </c>
      <c r="O6739" s="16" t="s">
        <v>8241</v>
      </c>
      <c r="R6739" s="6"/>
      <c r="S6739" s="298"/>
    </row>
    <row r="6740" spans="14:19" hidden="1" x14ac:dyDescent="0.25">
      <c r="N6740" s="17">
        <v>873.59999999987303</v>
      </c>
      <c r="O6740" s="16" t="s">
        <v>8242</v>
      </c>
      <c r="R6740" s="6"/>
      <c r="S6740" s="298"/>
    </row>
    <row r="6741" spans="14:19" hidden="1" x14ac:dyDescent="0.25">
      <c r="N6741" s="17">
        <v>873.69999999987294</v>
      </c>
      <c r="O6741" s="16" t="s">
        <v>8243</v>
      </c>
      <c r="R6741" s="6"/>
      <c r="S6741" s="298"/>
    </row>
    <row r="6742" spans="14:19" hidden="1" x14ac:dyDescent="0.25">
      <c r="N6742" s="17">
        <v>873.79999999987297</v>
      </c>
      <c r="O6742" s="16" t="s">
        <v>8244</v>
      </c>
      <c r="R6742" s="6"/>
      <c r="S6742" s="298"/>
    </row>
    <row r="6743" spans="14:19" hidden="1" x14ac:dyDescent="0.25">
      <c r="N6743" s="17">
        <v>873.89999999987299</v>
      </c>
      <c r="O6743" s="16" t="s">
        <v>8245</v>
      </c>
      <c r="R6743" s="6"/>
      <c r="S6743" s="298"/>
    </row>
    <row r="6744" spans="14:19" hidden="1" x14ac:dyDescent="0.25">
      <c r="N6744" s="17">
        <v>873.99999999987199</v>
      </c>
      <c r="O6744" s="16" t="s">
        <v>8246</v>
      </c>
      <c r="R6744" s="6"/>
      <c r="S6744" s="298"/>
    </row>
    <row r="6745" spans="14:19" hidden="1" x14ac:dyDescent="0.25">
      <c r="N6745" s="17">
        <v>874.09999999987201</v>
      </c>
      <c r="O6745" s="16" t="s">
        <v>8247</v>
      </c>
      <c r="R6745" s="6"/>
      <c r="S6745" s="298"/>
    </row>
    <row r="6746" spans="14:19" hidden="1" x14ac:dyDescent="0.25">
      <c r="N6746" s="17">
        <v>874.19999999987203</v>
      </c>
      <c r="O6746" s="16" t="s">
        <v>8248</v>
      </c>
      <c r="R6746" s="6"/>
      <c r="S6746" s="298"/>
    </row>
    <row r="6747" spans="14:19" hidden="1" x14ac:dyDescent="0.25">
      <c r="N6747" s="17">
        <v>874.29999999987194</v>
      </c>
      <c r="O6747" s="16" t="s">
        <v>8249</v>
      </c>
      <c r="R6747" s="6"/>
      <c r="S6747" s="298"/>
    </row>
    <row r="6748" spans="14:19" hidden="1" x14ac:dyDescent="0.25">
      <c r="N6748" s="17">
        <v>874.39999999987197</v>
      </c>
      <c r="O6748" s="16" t="s">
        <v>8250</v>
      </c>
      <c r="R6748" s="6"/>
      <c r="S6748" s="298"/>
    </row>
    <row r="6749" spans="14:19" hidden="1" x14ac:dyDescent="0.25">
      <c r="N6749" s="17">
        <v>874.49999999987199</v>
      </c>
      <c r="O6749" s="16" t="s">
        <v>8251</v>
      </c>
      <c r="R6749" s="6"/>
      <c r="S6749" s="298"/>
    </row>
    <row r="6750" spans="14:19" hidden="1" x14ac:dyDescent="0.25">
      <c r="N6750" s="17">
        <v>874.59999999987201</v>
      </c>
      <c r="O6750" s="16" t="s">
        <v>8252</v>
      </c>
      <c r="R6750" s="6"/>
      <c r="S6750" s="298"/>
    </row>
    <row r="6751" spans="14:19" hidden="1" x14ac:dyDescent="0.25">
      <c r="N6751" s="17">
        <v>874.69999999987203</v>
      </c>
      <c r="O6751" s="16" t="s">
        <v>8253</v>
      </c>
      <c r="R6751" s="6"/>
      <c r="S6751" s="298"/>
    </row>
    <row r="6752" spans="14:19" hidden="1" x14ac:dyDescent="0.25">
      <c r="N6752" s="17">
        <v>874.79999999987194</v>
      </c>
      <c r="O6752" s="16" t="s">
        <v>8254</v>
      </c>
      <c r="R6752" s="6"/>
      <c r="S6752" s="298"/>
    </row>
    <row r="6753" spans="14:19" hidden="1" x14ac:dyDescent="0.25">
      <c r="N6753" s="17">
        <v>874.89999999987197</v>
      </c>
      <c r="O6753" s="16" t="s">
        <v>4518</v>
      </c>
      <c r="R6753" s="6"/>
      <c r="S6753" s="298"/>
    </row>
    <row r="6754" spans="14:19" hidden="1" x14ac:dyDescent="0.25">
      <c r="N6754" s="17">
        <v>874.99999999987199</v>
      </c>
      <c r="O6754" s="16" t="s">
        <v>4519</v>
      </c>
      <c r="R6754" s="6"/>
      <c r="S6754" s="298"/>
    </row>
    <row r="6755" spans="14:19" hidden="1" x14ac:dyDescent="0.25">
      <c r="N6755" s="17">
        <v>875.09999999987201</v>
      </c>
      <c r="O6755" s="16" t="s">
        <v>7541</v>
      </c>
      <c r="R6755" s="6"/>
      <c r="S6755" s="298"/>
    </row>
    <row r="6756" spans="14:19" hidden="1" x14ac:dyDescent="0.25">
      <c r="N6756" s="17">
        <v>875.19999999987203</v>
      </c>
      <c r="O6756" s="16" t="s">
        <v>7542</v>
      </c>
      <c r="R6756" s="6"/>
      <c r="S6756" s="298"/>
    </row>
    <row r="6757" spans="14:19" hidden="1" x14ac:dyDescent="0.25">
      <c r="N6757" s="17">
        <v>875.29999999987194</v>
      </c>
      <c r="O6757" s="16" t="s">
        <v>7543</v>
      </c>
      <c r="R6757" s="6"/>
      <c r="S6757" s="298"/>
    </row>
    <row r="6758" spans="14:19" hidden="1" x14ac:dyDescent="0.25">
      <c r="N6758" s="17">
        <v>875.39999999987197</v>
      </c>
      <c r="O6758" s="16" t="s">
        <v>7544</v>
      </c>
      <c r="R6758" s="6"/>
      <c r="S6758" s="298"/>
    </row>
    <row r="6759" spans="14:19" hidden="1" x14ac:dyDescent="0.25">
      <c r="N6759" s="17">
        <v>875.49999999987199</v>
      </c>
      <c r="O6759" s="16" t="s">
        <v>7545</v>
      </c>
      <c r="R6759" s="6"/>
      <c r="S6759" s="298"/>
    </row>
    <row r="6760" spans="14:19" hidden="1" x14ac:dyDescent="0.25">
      <c r="N6760" s="17">
        <v>875.59999999987201</v>
      </c>
      <c r="O6760" s="16" t="s">
        <v>7546</v>
      </c>
      <c r="R6760" s="6"/>
      <c r="S6760" s="298"/>
    </row>
    <row r="6761" spans="14:19" hidden="1" x14ac:dyDescent="0.25">
      <c r="N6761" s="17">
        <v>875.69999999987203</v>
      </c>
      <c r="O6761" s="16" t="s">
        <v>7547</v>
      </c>
      <c r="R6761" s="6"/>
      <c r="S6761" s="298"/>
    </row>
    <row r="6762" spans="14:19" hidden="1" x14ac:dyDescent="0.25">
      <c r="N6762" s="17">
        <v>875.79999999987194</v>
      </c>
      <c r="O6762" s="16" t="s">
        <v>7548</v>
      </c>
      <c r="R6762" s="6"/>
      <c r="S6762" s="298"/>
    </row>
    <row r="6763" spans="14:19" hidden="1" x14ac:dyDescent="0.25">
      <c r="N6763" s="17">
        <v>875.89999999987197</v>
      </c>
      <c r="O6763" s="16" t="s">
        <v>2355</v>
      </c>
      <c r="R6763" s="6"/>
      <c r="S6763" s="298"/>
    </row>
    <row r="6764" spans="14:19" hidden="1" x14ac:dyDescent="0.25">
      <c r="N6764" s="17">
        <v>875.99999999987199</v>
      </c>
      <c r="O6764" s="16" t="s">
        <v>2356</v>
      </c>
      <c r="R6764" s="6"/>
      <c r="S6764" s="298"/>
    </row>
    <row r="6765" spans="14:19" hidden="1" x14ac:dyDescent="0.25">
      <c r="N6765" s="17">
        <v>876.09999999987201</v>
      </c>
      <c r="O6765" s="16" t="s">
        <v>2357</v>
      </c>
      <c r="R6765" s="6"/>
      <c r="S6765" s="298"/>
    </row>
    <row r="6766" spans="14:19" hidden="1" x14ac:dyDescent="0.25">
      <c r="N6766" s="17">
        <v>876.19999999987203</v>
      </c>
      <c r="O6766" s="16" t="s">
        <v>2358</v>
      </c>
      <c r="R6766" s="6"/>
      <c r="S6766" s="298"/>
    </row>
    <row r="6767" spans="14:19" hidden="1" x14ac:dyDescent="0.25">
      <c r="N6767" s="17">
        <v>876.29999999987194</v>
      </c>
      <c r="O6767" s="16" t="s">
        <v>2359</v>
      </c>
      <c r="R6767" s="6"/>
      <c r="S6767" s="298"/>
    </row>
    <row r="6768" spans="14:19" hidden="1" x14ac:dyDescent="0.25">
      <c r="N6768" s="17">
        <v>876.39999999987197</v>
      </c>
      <c r="O6768" s="16" t="s">
        <v>2360</v>
      </c>
      <c r="R6768" s="6"/>
      <c r="S6768" s="298"/>
    </row>
    <row r="6769" spans="14:19" hidden="1" x14ac:dyDescent="0.25">
      <c r="N6769" s="17">
        <v>876.49999999987199</v>
      </c>
      <c r="O6769" s="16" t="s">
        <v>4520</v>
      </c>
      <c r="R6769" s="6"/>
      <c r="S6769" s="298"/>
    </row>
    <row r="6770" spans="14:19" hidden="1" x14ac:dyDescent="0.25">
      <c r="N6770" s="17">
        <v>876.59999999987201</v>
      </c>
      <c r="O6770" s="16" t="s">
        <v>4521</v>
      </c>
      <c r="R6770" s="6"/>
      <c r="S6770" s="298"/>
    </row>
    <row r="6771" spans="14:19" hidden="1" x14ac:dyDescent="0.25">
      <c r="N6771" s="17">
        <v>876.69999999987203</v>
      </c>
      <c r="O6771" s="16" t="s">
        <v>4522</v>
      </c>
      <c r="R6771" s="6"/>
      <c r="S6771" s="298"/>
    </row>
    <row r="6772" spans="14:19" hidden="1" x14ac:dyDescent="0.25">
      <c r="N6772" s="17">
        <v>876.79999999987194</v>
      </c>
      <c r="O6772" s="16" t="s">
        <v>4523</v>
      </c>
      <c r="R6772" s="6"/>
      <c r="S6772" s="298"/>
    </row>
    <row r="6773" spans="14:19" hidden="1" x14ac:dyDescent="0.25">
      <c r="N6773" s="17">
        <v>876.89999999987106</v>
      </c>
      <c r="O6773" s="16" t="s">
        <v>4524</v>
      </c>
      <c r="R6773" s="6"/>
      <c r="S6773" s="298"/>
    </row>
    <row r="6774" spans="14:19" hidden="1" x14ac:dyDescent="0.25">
      <c r="N6774" s="17">
        <v>876.99999999987097</v>
      </c>
      <c r="O6774" s="16" t="s">
        <v>4525</v>
      </c>
      <c r="R6774" s="6"/>
      <c r="S6774" s="298"/>
    </row>
    <row r="6775" spans="14:19" hidden="1" x14ac:dyDescent="0.25">
      <c r="N6775" s="17">
        <v>877.09999999987099</v>
      </c>
      <c r="O6775" s="16" t="s">
        <v>4526</v>
      </c>
      <c r="R6775" s="6"/>
      <c r="S6775" s="298"/>
    </row>
    <row r="6776" spans="14:19" hidden="1" x14ac:dyDescent="0.25">
      <c r="N6776" s="17">
        <v>877.19999999987101</v>
      </c>
      <c r="O6776" s="16" t="s">
        <v>6607</v>
      </c>
      <c r="R6776" s="6"/>
      <c r="S6776" s="298"/>
    </row>
    <row r="6777" spans="14:19" hidden="1" x14ac:dyDescent="0.25">
      <c r="N6777" s="17">
        <v>877.29999999987103</v>
      </c>
      <c r="O6777" s="16" t="s">
        <v>6608</v>
      </c>
      <c r="R6777" s="6"/>
      <c r="S6777" s="298"/>
    </row>
    <row r="6778" spans="14:19" hidden="1" x14ac:dyDescent="0.25">
      <c r="N6778" s="17">
        <v>877.39999999987106</v>
      </c>
      <c r="O6778" s="16" t="s">
        <v>6609</v>
      </c>
      <c r="R6778" s="6"/>
      <c r="S6778" s="298"/>
    </row>
    <row r="6779" spans="14:19" hidden="1" x14ac:dyDescent="0.25">
      <c r="N6779" s="17">
        <v>877.49999999987097</v>
      </c>
      <c r="O6779" s="16" t="s">
        <v>6610</v>
      </c>
      <c r="R6779" s="6"/>
      <c r="S6779" s="298"/>
    </row>
    <row r="6780" spans="14:19" hidden="1" x14ac:dyDescent="0.25">
      <c r="N6780" s="17">
        <v>877.59999999987099</v>
      </c>
      <c r="O6780" s="16" t="s">
        <v>6611</v>
      </c>
      <c r="R6780" s="6"/>
      <c r="S6780" s="298"/>
    </row>
    <row r="6781" spans="14:19" hidden="1" x14ac:dyDescent="0.25">
      <c r="N6781" s="17">
        <v>877.69999999987101</v>
      </c>
      <c r="O6781" s="16" t="s">
        <v>6612</v>
      </c>
      <c r="R6781" s="6"/>
      <c r="S6781" s="298"/>
    </row>
    <row r="6782" spans="14:19" hidden="1" x14ac:dyDescent="0.25">
      <c r="N6782" s="17">
        <v>877.79999999987103</v>
      </c>
      <c r="O6782" s="16" t="s">
        <v>6613</v>
      </c>
      <c r="R6782" s="6"/>
      <c r="S6782" s="298"/>
    </row>
    <row r="6783" spans="14:19" hidden="1" x14ac:dyDescent="0.25">
      <c r="N6783" s="17">
        <v>877.89999999987106</v>
      </c>
      <c r="O6783" s="16" t="s">
        <v>6614</v>
      </c>
      <c r="R6783" s="6"/>
      <c r="S6783" s="298"/>
    </row>
    <row r="6784" spans="14:19" hidden="1" x14ac:dyDescent="0.25">
      <c r="N6784" s="17">
        <v>877.99999999987097</v>
      </c>
      <c r="O6784" s="16" t="s">
        <v>7531</v>
      </c>
      <c r="R6784" s="6"/>
      <c r="S6784" s="298"/>
    </row>
    <row r="6785" spans="14:19" hidden="1" x14ac:dyDescent="0.25">
      <c r="N6785" s="17">
        <v>878.09999999987099</v>
      </c>
      <c r="O6785" s="16" t="s">
        <v>8425</v>
      </c>
      <c r="R6785" s="6"/>
      <c r="S6785" s="298"/>
    </row>
    <row r="6786" spans="14:19" hidden="1" x14ac:dyDescent="0.25">
      <c r="N6786" s="17">
        <v>878.19999999987101</v>
      </c>
      <c r="O6786" s="16" t="s">
        <v>8426</v>
      </c>
      <c r="R6786" s="6"/>
      <c r="S6786" s="298"/>
    </row>
    <row r="6787" spans="14:19" hidden="1" x14ac:dyDescent="0.25">
      <c r="N6787" s="17">
        <v>878.29999999987103</v>
      </c>
      <c r="O6787" s="16" t="s">
        <v>8427</v>
      </c>
      <c r="R6787" s="6"/>
      <c r="S6787" s="298"/>
    </row>
    <row r="6788" spans="14:19" hidden="1" x14ac:dyDescent="0.25">
      <c r="N6788" s="17">
        <v>878.39999999987106</v>
      </c>
      <c r="O6788" s="16" t="s">
        <v>8428</v>
      </c>
      <c r="R6788" s="6"/>
      <c r="S6788" s="298"/>
    </row>
    <row r="6789" spans="14:19" hidden="1" x14ac:dyDescent="0.25">
      <c r="N6789" s="17">
        <v>878.49999999987097</v>
      </c>
      <c r="O6789" s="16" t="s">
        <v>8429</v>
      </c>
      <c r="R6789" s="6"/>
      <c r="S6789" s="298"/>
    </row>
    <row r="6790" spans="14:19" hidden="1" x14ac:dyDescent="0.25">
      <c r="N6790" s="17">
        <v>878.59999999987099</v>
      </c>
      <c r="O6790" s="16" t="s">
        <v>8430</v>
      </c>
      <c r="R6790" s="6"/>
      <c r="S6790" s="298"/>
    </row>
    <row r="6791" spans="14:19" hidden="1" x14ac:dyDescent="0.25">
      <c r="N6791" s="17">
        <v>878.69999999987101</v>
      </c>
      <c r="O6791" s="16" t="s">
        <v>8431</v>
      </c>
      <c r="R6791" s="6"/>
      <c r="S6791" s="298"/>
    </row>
    <row r="6792" spans="14:19" hidden="1" x14ac:dyDescent="0.25">
      <c r="N6792" s="17">
        <v>878.79999999987103</v>
      </c>
      <c r="O6792" s="16" t="s">
        <v>8432</v>
      </c>
      <c r="R6792" s="6"/>
      <c r="S6792" s="298"/>
    </row>
    <row r="6793" spans="14:19" hidden="1" x14ac:dyDescent="0.25">
      <c r="N6793" s="17">
        <v>878.89999999987106</v>
      </c>
      <c r="O6793" s="16" t="s">
        <v>8433</v>
      </c>
      <c r="R6793" s="6"/>
      <c r="S6793" s="298"/>
    </row>
    <row r="6794" spans="14:19" hidden="1" x14ac:dyDescent="0.25">
      <c r="N6794" s="17">
        <v>878.99999999987097</v>
      </c>
      <c r="O6794" s="16" t="s">
        <v>8434</v>
      </c>
      <c r="R6794" s="6"/>
      <c r="S6794" s="298"/>
    </row>
    <row r="6795" spans="14:19" hidden="1" x14ac:dyDescent="0.25">
      <c r="N6795" s="17">
        <v>879.09999999987099</v>
      </c>
      <c r="O6795" s="16" t="s">
        <v>8435</v>
      </c>
      <c r="R6795" s="6"/>
      <c r="S6795" s="298"/>
    </row>
    <row r="6796" spans="14:19" hidden="1" x14ac:dyDescent="0.25">
      <c r="N6796" s="17">
        <v>879.19999999987101</v>
      </c>
      <c r="O6796" s="16" t="s">
        <v>8436</v>
      </c>
      <c r="R6796" s="6"/>
      <c r="S6796" s="298"/>
    </row>
    <row r="6797" spans="14:19" hidden="1" x14ac:dyDescent="0.25">
      <c r="N6797" s="17">
        <v>879.29999999987103</v>
      </c>
      <c r="O6797" s="16" t="s">
        <v>8437</v>
      </c>
      <c r="R6797" s="6"/>
      <c r="S6797" s="298"/>
    </row>
    <row r="6798" spans="14:19" hidden="1" x14ac:dyDescent="0.25">
      <c r="N6798" s="17">
        <v>879.39999999987106</v>
      </c>
      <c r="O6798" s="16" t="s">
        <v>8438</v>
      </c>
      <c r="R6798" s="6"/>
      <c r="S6798" s="298"/>
    </row>
    <row r="6799" spans="14:19" hidden="1" x14ac:dyDescent="0.25">
      <c r="N6799" s="17">
        <v>879.49999999987097</v>
      </c>
      <c r="O6799" s="16" t="s">
        <v>8439</v>
      </c>
      <c r="R6799" s="6"/>
      <c r="S6799" s="298"/>
    </row>
    <row r="6800" spans="14:19" hidden="1" x14ac:dyDescent="0.25">
      <c r="N6800" s="17">
        <v>879.59999999987099</v>
      </c>
      <c r="O6800" s="16" t="s">
        <v>8440</v>
      </c>
      <c r="R6800" s="6"/>
      <c r="S6800" s="298"/>
    </row>
    <row r="6801" spans="14:19" hidden="1" x14ac:dyDescent="0.25">
      <c r="N6801" s="17">
        <v>879.69999999987101</v>
      </c>
      <c r="O6801" s="16" t="s">
        <v>8441</v>
      </c>
      <c r="R6801" s="6"/>
      <c r="S6801" s="298"/>
    </row>
    <row r="6802" spans="14:19" hidden="1" x14ac:dyDescent="0.25">
      <c r="N6802" s="17">
        <v>879.79999999987001</v>
      </c>
      <c r="O6802" s="16" t="s">
        <v>8442</v>
      </c>
      <c r="R6802" s="6"/>
      <c r="S6802" s="298"/>
    </row>
    <row r="6803" spans="14:19" hidden="1" x14ac:dyDescent="0.25">
      <c r="N6803" s="17">
        <v>879.89999999987003</v>
      </c>
      <c r="O6803" s="16" t="s">
        <v>8443</v>
      </c>
      <c r="R6803" s="6"/>
      <c r="S6803" s="298"/>
    </row>
    <row r="6804" spans="14:19" hidden="1" x14ac:dyDescent="0.25">
      <c r="N6804" s="17">
        <v>879.99999999987006</v>
      </c>
      <c r="O6804" s="16" t="s">
        <v>8444</v>
      </c>
      <c r="R6804" s="6"/>
      <c r="S6804" s="298"/>
    </row>
    <row r="6805" spans="14:19" hidden="1" x14ac:dyDescent="0.25">
      <c r="N6805" s="17">
        <v>880.09999999986996</v>
      </c>
      <c r="O6805" s="16" t="s">
        <v>8445</v>
      </c>
      <c r="R6805" s="6"/>
      <c r="S6805" s="298"/>
    </row>
    <row r="6806" spans="14:19" hidden="1" x14ac:dyDescent="0.25">
      <c r="N6806" s="17">
        <v>880.19999999986999</v>
      </c>
      <c r="O6806" s="16" t="s">
        <v>8446</v>
      </c>
      <c r="R6806" s="6"/>
      <c r="S6806" s="298"/>
    </row>
    <row r="6807" spans="14:19" hidden="1" x14ac:dyDescent="0.25">
      <c r="N6807" s="17">
        <v>880.29999999987001</v>
      </c>
      <c r="O6807" s="16" t="s">
        <v>8447</v>
      </c>
      <c r="R6807" s="6"/>
      <c r="S6807" s="298"/>
    </row>
    <row r="6808" spans="14:19" hidden="1" x14ac:dyDescent="0.25">
      <c r="N6808" s="17">
        <v>880.39999999987003</v>
      </c>
      <c r="O6808" s="16" t="s">
        <v>8448</v>
      </c>
      <c r="R6808" s="6"/>
      <c r="S6808" s="298"/>
    </row>
    <row r="6809" spans="14:19" hidden="1" x14ac:dyDescent="0.25">
      <c r="N6809" s="17">
        <v>880.49999999987006</v>
      </c>
      <c r="O6809" s="16" t="s">
        <v>8449</v>
      </c>
      <c r="R6809" s="6"/>
      <c r="S6809" s="298"/>
    </row>
    <row r="6810" spans="14:19" hidden="1" x14ac:dyDescent="0.25">
      <c r="N6810" s="17">
        <v>880.59999999986996</v>
      </c>
      <c r="O6810" s="16" t="s">
        <v>8450</v>
      </c>
      <c r="R6810" s="6"/>
      <c r="S6810" s="298"/>
    </row>
    <row r="6811" spans="14:19" hidden="1" x14ac:dyDescent="0.25">
      <c r="N6811" s="17">
        <v>880.69999999986999</v>
      </c>
      <c r="O6811" s="16" t="s">
        <v>8451</v>
      </c>
      <c r="R6811" s="6"/>
      <c r="S6811" s="298"/>
    </row>
    <row r="6812" spans="14:19" hidden="1" x14ac:dyDescent="0.25">
      <c r="N6812" s="17">
        <v>880.79999999987001</v>
      </c>
      <c r="O6812" s="16" t="s">
        <v>8452</v>
      </c>
      <c r="R6812" s="6"/>
      <c r="S6812" s="298"/>
    </row>
    <row r="6813" spans="14:19" hidden="1" x14ac:dyDescent="0.25">
      <c r="N6813" s="17">
        <v>880.89999999987003</v>
      </c>
      <c r="O6813" s="16" t="s">
        <v>8453</v>
      </c>
      <c r="R6813" s="6"/>
      <c r="S6813" s="298"/>
    </row>
    <row r="6814" spans="14:19" hidden="1" x14ac:dyDescent="0.25">
      <c r="N6814" s="17">
        <v>880.99999999987006</v>
      </c>
      <c r="O6814" s="16" t="s">
        <v>8454</v>
      </c>
      <c r="R6814" s="6"/>
      <c r="S6814" s="298"/>
    </row>
    <row r="6815" spans="14:19" hidden="1" x14ac:dyDescent="0.25">
      <c r="N6815" s="17">
        <v>881.09999999986996</v>
      </c>
      <c r="O6815" s="16" t="s">
        <v>8455</v>
      </c>
      <c r="R6815" s="6"/>
      <c r="S6815" s="298"/>
    </row>
    <row r="6816" spans="14:19" hidden="1" x14ac:dyDescent="0.25">
      <c r="N6816" s="17">
        <v>881.19999999986999</v>
      </c>
      <c r="O6816" s="16" t="s">
        <v>8456</v>
      </c>
      <c r="R6816" s="6"/>
      <c r="S6816" s="298"/>
    </row>
    <row r="6817" spans="14:19" hidden="1" x14ac:dyDescent="0.25">
      <c r="N6817" s="17">
        <v>881.29999999987001</v>
      </c>
      <c r="O6817" s="16" t="s">
        <v>8457</v>
      </c>
      <c r="R6817" s="6"/>
      <c r="S6817" s="298"/>
    </row>
    <row r="6818" spans="14:19" hidden="1" x14ac:dyDescent="0.25">
      <c r="N6818" s="17">
        <v>881.39999999987003</v>
      </c>
      <c r="O6818" s="16" t="s">
        <v>8458</v>
      </c>
      <c r="R6818" s="6"/>
      <c r="S6818" s="298"/>
    </row>
    <row r="6819" spans="14:19" hidden="1" x14ac:dyDescent="0.25">
      <c r="N6819" s="17">
        <v>881.49999999987006</v>
      </c>
      <c r="O6819" s="16" t="s">
        <v>8459</v>
      </c>
      <c r="R6819" s="6"/>
      <c r="S6819" s="298"/>
    </row>
    <row r="6820" spans="14:19" hidden="1" x14ac:dyDescent="0.25">
      <c r="N6820" s="17">
        <v>881.59999999986996</v>
      </c>
      <c r="O6820" s="16" t="s">
        <v>8460</v>
      </c>
      <c r="R6820" s="6"/>
      <c r="S6820" s="298"/>
    </row>
    <row r="6821" spans="14:19" hidden="1" x14ac:dyDescent="0.25">
      <c r="N6821" s="17">
        <v>881.69999999986999</v>
      </c>
      <c r="O6821" s="16" t="s">
        <v>8461</v>
      </c>
      <c r="R6821" s="6"/>
      <c r="S6821" s="298"/>
    </row>
    <row r="6822" spans="14:19" hidden="1" x14ac:dyDescent="0.25">
      <c r="N6822" s="17">
        <v>881.79999999987001</v>
      </c>
      <c r="O6822" s="16" t="s">
        <v>8462</v>
      </c>
      <c r="R6822" s="6"/>
      <c r="S6822" s="298"/>
    </row>
    <row r="6823" spans="14:19" hidden="1" x14ac:dyDescent="0.25">
      <c r="N6823" s="17">
        <v>881.89999999987003</v>
      </c>
      <c r="O6823" s="16" t="s">
        <v>8463</v>
      </c>
      <c r="R6823" s="6"/>
      <c r="S6823" s="298"/>
    </row>
    <row r="6824" spans="14:19" hidden="1" x14ac:dyDescent="0.25">
      <c r="N6824" s="17">
        <v>881.99999999987006</v>
      </c>
      <c r="O6824" s="16" t="s">
        <v>8464</v>
      </c>
      <c r="R6824" s="6"/>
      <c r="S6824" s="298"/>
    </row>
    <row r="6825" spans="14:19" hidden="1" x14ac:dyDescent="0.25">
      <c r="N6825" s="17">
        <v>882.09999999986996</v>
      </c>
      <c r="O6825" s="16" t="s">
        <v>8465</v>
      </c>
      <c r="R6825" s="6"/>
      <c r="S6825" s="298"/>
    </row>
    <row r="6826" spans="14:19" hidden="1" x14ac:dyDescent="0.25">
      <c r="N6826" s="17">
        <v>882.19999999986999</v>
      </c>
      <c r="O6826" s="16" t="s">
        <v>8466</v>
      </c>
      <c r="R6826" s="6"/>
      <c r="S6826" s="298"/>
    </row>
    <row r="6827" spans="14:19" hidden="1" x14ac:dyDescent="0.25">
      <c r="N6827" s="17">
        <v>882.29999999987001</v>
      </c>
      <c r="O6827" s="16" t="s">
        <v>8467</v>
      </c>
      <c r="R6827" s="6"/>
      <c r="S6827" s="298"/>
    </row>
    <row r="6828" spans="14:19" hidden="1" x14ac:dyDescent="0.25">
      <c r="N6828" s="17">
        <v>882.39999999987003</v>
      </c>
      <c r="O6828" s="16" t="s">
        <v>8468</v>
      </c>
      <c r="R6828" s="6"/>
      <c r="S6828" s="298"/>
    </row>
    <row r="6829" spans="14:19" hidden="1" x14ac:dyDescent="0.25">
      <c r="N6829" s="17">
        <v>882.49999999987006</v>
      </c>
      <c r="O6829" s="16" t="s">
        <v>8469</v>
      </c>
      <c r="R6829" s="6"/>
      <c r="S6829" s="298"/>
    </row>
    <row r="6830" spans="14:19" hidden="1" x14ac:dyDescent="0.25">
      <c r="N6830" s="17">
        <v>882.59999999986996</v>
      </c>
      <c r="O6830" s="16" t="s">
        <v>8470</v>
      </c>
      <c r="R6830" s="6"/>
      <c r="S6830" s="298"/>
    </row>
    <row r="6831" spans="14:19" hidden="1" x14ac:dyDescent="0.25">
      <c r="N6831" s="17">
        <v>882.69999999986999</v>
      </c>
      <c r="O6831" s="16" t="s">
        <v>8471</v>
      </c>
      <c r="R6831" s="6"/>
      <c r="S6831" s="298"/>
    </row>
    <row r="6832" spans="14:19" hidden="1" x14ac:dyDescent="0.25">
      <c r="N6832" s="17">
        <v>882.79999999986899</v>
      </c>
      <c r="O6832" s="16" t="s">
        <v>8472</v>
      </c>
      <c r="R6832" s="6"/>
      <c r="S6832" s="298"/>
    </row>
    <row r="6833" spans="14:19" hidden="1" x14ac:dyDescent="0.25">
      <c r="N6833" s="17">
        <v>882.89999999986901</v>
      </c>
      <c r="O6833" s="16" t="s">
        <v>8473</v>
      </c>
      <c r="R6833" s="6"/>
      <c r="S6833" s="298"/>
    </row>
    <row r="6834" spans="14:19" hidden="1" x14ac:dyDescent="0.25">
      <c r="N6834" s="17">
        <v>882.99999999986903</v>
      </c>
      <c r="O6834" s="16" t="s">
        <v>8474</v>
      </c>
      <c r="R6834" s="6"/>
      <c r="S6834" s="298"/>
    </row>
    <row r="6835" spans="14:19" hidden="1" x14ac:dyDescent="0.25">
      <c r="N6835" s="17">
        <v>883.09999999986906</v>
      </c>
      <c r="O6835" s="16" t="s">
        <v>8489</v>
      </c>
      <c r="R6835" s="6"/>
      <c r="S6835" s="298"/>
    </row>
    <row r="6836" spans="14:19" hidden="1" x14ac:dyDescent="0.25">
      <c r="N6836" s="17">
        <v>883.19999999986896</v>
      </c>
      <c r="O6836" s="16" t="s">
        <v>8490</v>
      </c>
      <c r="R6836" s="6"/>
      <c r="S6836" s="298"/>
    </row>
    <row r="6837" spans="14:19" hidden="1" x14ac:dyDescent="0.25">
      <c r="N6837" s="17">
        <v>883.29999999986899</v>
      </c>
      <c r="O6837" s="16" t="s">
        <v>8491</v>
      </c>
      <c r="R6837" s="6"/>
      <c r="S6837" s="298"/>
    </row>
    <row r="6838" spans="14:19" hidden="1" x14ac:dyDescent="0.25">
      <c r="N6838" s="17">
        <v>883.39999999986901</v>
      </c>
      <c r="O6838" s="16" t="s">
        <v>8492</v>
      </c>
      <c r="R6838" s="6"/>
      <c r="S6838" s="298"/>
    </row>
    <row r="6839" spans="14:19" hidden="1" x14ac:dyDescent="0.25">
      <c r="N6839" s="17">
        <v>883.49999999986903</v>
      </c>
      <c r="O6839" s="16" t="s">
        <v>8493</v>
      </c>
      <c r="R6839" s="6"/>
      <c r="S6839" s="298"/>
    </row>
    <row r="6840" spans="14:19" hidden="1" x14ac:dyDescent="0.25">
      <c r="N6840" s="17">
        <v>883.59999999986906</v>
      </c>
      <c r="O6840" s="16" t="s">
        <v>8494</v>
      </c>
      <c r="R6840" s="6"/>
      <c r="S6840" s="298"/>
    </row>
    <row r="6841" spans="14:19" hidden="1" x14ac:dyDescent="0.25">
      <c r="N6841" s="17">
        <v>883.69999999986896</v>
      </c>
      <c r="O6841" s="16" t="s">
        <v>8495</v>
      </c>
      <c r="R6841" s="6"/>
      <c r="S6841" s="298"/>
    </row>
    <row r="6842" spans="14:19" hidden="1" x14ac:dyDescent="0.25">
      <c r="N6842" s="17">
        <v>883.79999999986899</v>
      </c>
      <c r="O6842" s="16" t="s">
        <v>8496</v>
      </c>
      <c r="R6842" s="6"/>
      <c r="S6842" s="298"/>
    </row>
    <row r="6843" spans="14:19" hidden="1" x14ac:dyDescent="0.25">
      <c r="N6843" s="17">
        <v>883.89999999986901</v>
      </c>
      <c r="O6843" s="16" t="s">
        <v>6520</v>
      </c>
      <c r="R6843" s="6"/>
      <c r="S6843" s="298"/>
    </row>
    <row r="6844" spans="14:19" hidden="1" x14ac:dyDescent="0.25">
      <c r="N6844" s="17">
        <v>883.99999999986903</v>
      </c>
      <c r="O6844" s="16" t="s">
        <v>6521</v>
      </c>
      <c r="R6844" s="6"/>
      <c r="S6844" s="298"/>
    </row>
    <row r="6845" spans="14:19" hidden="1" x14ac:dyDescent="0.25">
      <c r="N6845" s="17">
        <v>884.09999999986906</v>
      </c>
      <c r="O6845" s="16" t="s">
        <v>6522</v>
      </c>
      <c r="R6845" s="6"/>
      <c r="S6845" s="298"/>
    </row>
    <row r="6846" spans="14:19" hidden="1" x14ac:dyDescent="0.25">
      <c r="N6846" s="17">
        <v>884.19999999986896</v>
      </c>
      <c r="O6846" s="16" t="s">
        <v>6523</v>
      </c>
      <c r="R6846" s="6"/>
      <c r="S6846" s="298"/>
    </row>
    <row r="6847" spans="14:19" hidden="1" x14ac:dyDescent="0.25">
      <c r="N6847" s="17">
        <v>884.29999999986899</v>
      </c>
      <c r="O6847" s="16" t="s">
        <v>6524</v>
      </c>
      <c r="R6847" s="6"/>
      <c r="S6847" s="298"/>
    </row>
    <row r="6848" spans="14:19" hidden="1" x14ac:dyDescent="0.25">
      <c r="N6848" s="17">
        <v>884.39999999986901</v>
      </c>
      <c r="O6848" s="16" t="s">
        <v>6525</v>
      </c>
      <c r="R6848" s="6"/>
      <c r="S6848" s="298"/>
    </row>
    <row r="6849" spans="14:19" hidden="1" x14ac:dyDescent="0.25">
      <c r="N6849" s="17">
        <v>884.49999999986903</v>
      </c>
      <c r="O6849" s="16" t="s">
        <v>6526</v>
      </c>
      <c r="R6849" s="6"/>
      <c r="S6849" s="298"/>
    </row>
    <row r="6850" spans="14:19" hidden="1" x14ac:dyDescent="0.25">
      <c r="N6850" s="17">
        <v>884.59999999986906</v>
      </c>
      <c r="O6850" s="16" t="s">
        <v>6527</v>
      </c>
      <c r="R6850" s="6"/>
      <c r="S6850" s="298"/>
    </row>
    <row r="6851" spans="14:19" hidden="1" x14ac:dyDescent="0.25">
      <c r="N6851" s="17">
        <v>884.69999999986896</v>
      </c>
      <c r="O6851" s="16" t="s">
        <v>6528</v>
      </c>
      <c r="R6851" s="6"/>
      <c r="S6851" s="298"/>
    </row>
    <row r="6852" spans="14:19" hidden="1" x14ac:dyDescent="0.25">
      <c r="N6852" s="17">
        <v>884.79999999986899</v>
      </c>
      <c r="O6852" s="16" t="s">
        <v>6529</v>
      </c>
      <c r="R6852" s="6"/>
      <c r="S6852" s="298"/>
    </row>
    <row r="6853" spans="14:19" hidden="1" x14ac:dyDescent="0.25">
      <c r="N6853" s="17">
        <v>884.89999999986901</v>
      </c>
      <c r="O6853" s="16" t="s">
        <v>6530</v>
      </c>
      <c r="R6853" s="6"/>
      <c r="S6853" s="298"/>
    </row>
    <row r="6854" spans="14:19" hidden="1" x14ac:dyDescent="0.25">
      <c r="N6854" s="17">
        <v>884.99999999986903</v>
      </c>
      <c r="O6854" s="16" t="s">
        <v>6531</v>
      </c>
      <c r="R6854" s="6"/>
      <c r="S6854" s="298"/>
    </row>
    <row r="6855" spans="14:19" hidden="1" x14ac:dyDescent="0.25">
      <c r="N6855" s="17">
        <v>885.09999999986906</v>
      </c>
      <c r="O6855" s="16" t="s">
        <v>6532</v>
      </c>
      <c r="R6855" s="6"/>
      <c r="S6855" s="298"/>
    </row>
    <row r="6856" spans="14:19" hidden="1" x14ac:dyDescent="0.25">
      <c r="N6856" s="17">
        <v>885.19999999986896</v>
      </c>
      <c r="O6856" s="16" t="s">
        <v>6533</v>
      </c>
      <c r="R6856" s="6"/>
      <c r="S6856" s="298"/>
    </row>
    <row r="6857" spans="14:19" hidden="1" x14ac:dyDescent="0.25">
      <c r="N6857" s="17">
        <v>885.29999999986899</v>
      </c>
      <c r="O6857" s="16" t="s">
        <v>6534</v>
      </c>
      <c r="R6857" s="6"/>
      <c r="S6857" s="298"/>
    </row>
    <row r="6858" spans="14:19" hidden="1" x14ac:dyDescent="0.25">
      <c r="N6858" s="17">
        <v>885.39999999986901</v>
      </c>
      <c r="O6858" s="16" t="s">
        <v>6535</v>
      </c>
      <c r="R6858" s="6"/>
      <c r="S6858" s="298"/>
    </row>
    <row r="6859" spans="14:19" hidden="1" x14ac:dyDescent="0.25">
      <c r="N6859" s="17">
        <v>885.49999999986903</v>
      </c>
      <c r="O6859" s="16" t="s">
        <v>6536</v>
      </c>
      <c r="R6859" s="6"/>
      <c r="S6859" s="298"/>
    </row>
    <row r="6860" spans="14:19" hidden="1" x14ac:dyDescent="0.25">
      <c r="N6860" s="17">
        <v>885.59999999986906</v>
      </c>
      <c r="O6860" s="16" t="s">
        <v>6537</v>
      </c>
      <c r="R6860" s="6"/>
      <c r="S6860" s="298"/>
    </row>
    <row r="6861" spans="14:19" hidden="1" x14ac:dyDescent="0.25">
      <c r="N6861" s="17">
        <v>885.69999999986806</v>
      </c>
      <c r="O6861" s="16" t="s">
        <v>6538</v>
      </c>
      <c r="R6861" s="6"/>
      <c r="S6861" s="298"/>
    </row>
    <row r="6862" spans="14:19" hidden="1" x14ac:dyDescent="0.25">
      <c r="N6862" s="17">
        <v>885.79999999986796</v>
      </c>
      <c r="O6862" s="16" t="s">
        <v>4460</v>
      </c>
      <c r="R6862" s="6"/>
      <c r="S6862" s="298"/>
    </row>
    <row r="6863" spans="14:19" hidden="1" x14ac:dyDescent="0.25">
      <c r="N6863" s="17">
        <v>885.89999999986799</v>
      </c>
      <c r="O6863" s="16" t="s">
        <v>4461</v>
      </c>
      <c r="R6863" s="6"/>
      <c r="S6863" s="298"/>
    </row>
    <row r="6864" spans="14:19" hidden="1" x14ac:dyDescent="0.25">
      <c r="N6864" s="17">
        <v>885.99999999986801</v>
      </c>
      <c r="O6864" s="16" t="s">
        <v>4462</v>
      </c>
      <c r="R6864" s="6"/>
      <c r="S6864" s="298"/>
    </row>
    <row r="6865" spans="14:19" hidden="1" x14ac:dyDescent="0.25">
      <c r="N6865" s="17">
        <v>886.09999999986803</v>
      </c>
      <c r="O6865" s="16" t="s">
        <v>6532</v>
      </c>
      <c r="R6865" s="6"/>
      <c r="S6865" s="298"/>
    </row>
    <row r="6866" spans="14:19" hidden="1" x14ac:dyDescent="0.25">
      <c r="N6866" s="17">
        <v>886.19999999986806</v>
      </c>
      <c r="O6866" s="16" t="s">
        <v>6533</v>
      </c>
      <c r="R6866" s="6"/>
      <c r="S6866" s="298"/>
    </row>
    <row r="6867" spans="14:19" hidden="1" x14ac:dyDescent="0.25">
      <c r="N6867" s="17">
        <v>886.29999999986796</v>
      </c>
      <c r="O6867" s="16" t="s">
        <v>6534</v>
      </c>
      <c r="R6867" s="6"/>
      <c r="S6867" s="298"/>
    </row>
    <row r="6868" spans="14:19" hidden="1" x14ac:dyDescent="0.25">
      <c r="N6868" s="17">
        <v>886.39999999986799</v>
      </c>
      <c r="O6868" s="16" t="s">
        <v>6535</v>
      </c>
      <c r="R6868" s="6"/>
      <c r="S6868" s="298"/>
    </row>
    <row r="6869" spans="14:19" hidden="1" x14ac:dyDescent="0.25">
      <c r="N6869" s="17">
        <v>886.49999999986801</v>
      </c>
      <c r="O6869" s="16" t="s">
        <v>6536</v>
      </c>
      <c r="R6869" s="6"/>
      <c r="S6869" s="298"/>
    </row>
    <row r="6870" spans="14:19" hidden="1" x14ac:dyDescent="0.25">
      <c r="N6870" s="17">
        <v>886.59999999986803</v>
      </c>
      <c r="O6870" s="16" t="s">
        <v>6537</v>
      </c>
      <c r="R6870" s="6"/>
      <c r="S6870" s="298"/>
    </row>
    <row r="6871" spans="14:19" hidden="1" x14ac:dyDescent="0.25">
      <c r="N6871" s="17">
        <v>886.69999999986806</v>
      </c>
      <c r="O6871" s="16" t="s">
        <v>6538</v>
      </c>
      <c r="R6871" s="6"/>
      <c r="S6871" s="298"/>
    </row>
    <row r="6872" spans="14:19" hidden="1" x14ac:dyDescent="0.25">
      <c r="N6872" s="17">
        <v>886.79999999986796</v>
      </c>
      <c r="O6872" s="16" t="s">
        <v>4460</v>
      </c>
      <c r="R6872" s="6"/>
      <c r="S6872" s="298"/>
    </row>
    <row r="6873" spans="14:19" hidden="1" x14ac:dyDescent="0.25">
      <c r="N6873" s="17">
        <v>886.89999999986799</v>
      </c>
      <c r="O6873" s="16" t="s">
        <v>4461</v>
      </c>
      <c r="R6873" s="6"/>
      <c r="S6873" s="298"/>
    </row>
    <row r="6874" spans="14:19" hidden="1" x14ac:dyDescent="0.25">
      <c r="N6874" s="17">
        <v>886.99999999986801</v>
      </c>
      <c r="O6874" s="16" t="s">
        <v>4463</v>
      </c>
      <c r="R6874" s="6"/>
      <c r="S6874" s="298"/>
    </row>
    <row r="6875" spans="14:19" hidden="1" x14ac:dyDescent="0.25">
      <c r="N6875" s="17">
        <v>887.09999999986803</v>
      </c>
      <c r="O6875" s="16" t="s">
        <v>4464</v>
      </c>
      <c r="R6875" s="6"/>
      <c r="S6875" s="298"/>
    </row>
    <row r="6876" spans="14:19" hidden="1" x14ac:dyDescent="0.25">
      <c r="N6876" s="17">
        <v>887.19999999986806</v>
      </c>
      <c r="O6876" s="16" t="s">
        <v>4465</v>
      </c>
      <c r="R6876" s="6"/>
      <c r="S6876" s="298"/>
    </row>
    <row r="6877" spans="14:19" hidden="1" x14ac:dyDescent="0.25">
      <c r="N6877" s="17">
        <v>887.29999999986796</v>
      </c>
      <c r="O6877" s="16" t="s">
        <v>4466</v>
      </c>
      <c r="R6877" s="6"/>
      <c r="S6877" s="298"/>
    </row>
    <row r="6878" spans="14:19" hidden="1" x14ac:dyDescent="0.25">
      <c r="N6878" s="17">
        <v>887.39999999986799</v>
      </c>
      <c r="O6878" s="16" t="s">
        <v>4467</v>
      </c>
      <c r="R6878" s="6"/>
      <c r="S6878" s="298"/>
    </row>
    <row r="6879" spans="14:19" hidden="1" x14ac:dyDescent="0.25">
      <c r="N6879" s="17">
        <v>887.49999999986801</v>
      </c>
      <c r="O6879" s="16" t="s">
        <v>4468</v>
      </c>
      <c r="R6879" s="6"/>
      <c r="S6879" s="298"/>
    </row>
    <row r="6880" spans="14:19" hidden="1" x14ac:dyDescent="0.25">
      <c r="N6880" s="17">
        <v>887.59999999986803</v>
      </c>
      <c r="O6880" s="16" t="s">
        <v>4469</v>
      </c>
      <c r="R6880" s="6"/>
      <c r="S6880" s="298"/>
    </row>
    <row r="6881" spans="14:19" hidden="1" x14ac:dyDescent="0.25">
      <c r="N6881" s="17">
        <v>887.69999999986806</v>
      </c>
      <c r="O6881" s="16" t="s">
        <v>4470</v>
      </c>
      <c r="R6881" s="6"/>
      <c r="S6881" s="298"/>
    </row>
    <row r="6882" spans="14:19" hidden="1" x14ac:dyDescent="0.25">
      <c r="N6882" s="17">
        <v>887.79999999986796</v>
      </c>
      <c r="O6882" s="16" t="s">
        <v>4471</v>
      </c>
      <c r="R6882" s="6"/>
      <c r="S6882" s="298"/>
    </row>
    <row r="6883" spans="14:19" hidden="1" x14ac:dyDescent="0.25">
      <c r="N6883" s="17">
        <v>887.89999999986799</v>
      </c>
      <c r="O6883" s="16" t="s">
        <v>4472</v>
      </c>
      <c r="R6883" s="6"/>
      <c r="S6883" s="298"/>
    </row>
    <row r="6884" spans="14:19" hidden="1" x14ac:dyDescent="0.25">
      <c r="N6884" s="17">
        <v>887.99999999986801</v>
      </c>
      <c r="O6884" s="16" t="s">
        <v>4473</v>
      </c>
      <c r="R6884" s="6"/>
      <c r="S6884" s="298"/>
    </row>
    <row r="6885" spans="14:19" hidden="1" x14ac:dyDescent="0.25">
      <c r="N6885" s="17">
        <v>888.09999999986803</v>
      </c>
      <c r="O6885" s="16" t="s">
        <v>4474</v>
      </c>
      <c r="R6885" s="6"/>
      <c r="S6885" s="298"/>
    </row>
    <row r="6886" spans="14:19" hidden="1" x14ac:dyDescent="0.25">
      <c r="N6886" s="17">
        <v>888.19999999986806</v>
      </c>
      <c r="O6886" s="16" t="s">
        <v>4475</v>
      </c>
      <c r="R6886" s="6"/>
      <c r="S6886" s="298"/>
    </row>
    <row r="6887" spans="14:19" hidden="1" x14ac:dyDescent="0.25">
      <c r="N6887" s="17">
        <v>888.29999999986796</v>
      </c>
      <c r="O6887" s="16" t="s">
        <v>4476</v>
      </c>
      <c r="R6887" s="6"/>
      <c r="S6887" s="298"/>
    </row>
    <row r="6888" spans="14:19" hidden="1" x14ac:dyDescent="0.25">
      <c r="N6888" s="17">
        <v>888.39999999986799</v>
      </c>
      <c r="O6888" s="16" t="s">
        <v>4477</v>
      </c>
      <c r="R6888" s="6"/>
      <c r="S6888" s="298"/>
    </row>
    <row r="6889" spans="14:19" hidden="1" x14ac:dyDescent="0.25">
      <c r="N6889" s="17">
        <v>888.49999999986801</v>
      </c>
      <c r="O6889" s="16" t="s">
        <v>4478</v>
      </c>
      <c r="R6889" s="6"/>
      <c r="S6889" s="298"/>
    </row>
    <row r="6890" spans="14:19" hidden="1" x14ac:dyDescent="0.25">
      <c r="N6890" s="17">
        <v>888.59999999986701</v>
      </c>
      <c r="O6890" s="16" t="s">
        <v>7598</v>
      </c>
      <c r="R6890" s="6"/>
      <c r="S6890" s="298"/>
    </row>
    <row r="6891" spans="14:19" hidden="1" x14ac:dyDescent="0.25">
      <c r="N6891" s="17">
        <v>888.69999999986703</v>
      </c>
      <c r="O6891" s="16" t="s">
        <v>7599</v>
      </c>
      <c r="R6891" s="6"/>
      <c r="S6891" s="298"/>
    </row>
    <row r="6892" spans="14:19" hidden="1" x14ac:dyDescent="0.25">
      <c r="N6892" s="17">
        <v>888.79999999986705</v>
      </c>
      <c r="O6892" s="16" t="s">
        <v>7600</v>
      </c>
      <c r="R6892" s="6"/>
      <c r="S6892" s="298"/>
    </row>
    <row r="6893" spans="14:19" hidden="1" x14ac:dyDescent="0.25">
      <c r="N6893" s="17">
        <v>888.89999999986696</v>
      </c>
      <c r="O6893" s="16" t="s">
        <v>7601</v>
      </c>
      <c r="R6893" s="6"/>
      <c r="S6893" s="298"/>
    </row>
    <row r="6894" spans="14:19" hidden="1" x14ac:dyDescent="0.25">
      <c r="N6894" s="17">
        <v>888.99999999986699</v>
      </c>
      <c r="O6894" s="16" t="s">
        <v>7602</v>
      </c>
      <c r="R6894" s="6"/>
      <c r="S6894" s="298"/>
    </row>
    <row r="6895" spans="14:19" hidden="1" x14ac:dyDescent="0.25">
      <c r="N6895" s="17">
        <v>889.09999999986701</v>
      </c>
      <c r="O6895" s="16" t="s">
        <v>7603</v>
      </c>
      <c r="R6895" s="6"/>
      <c r="S6895" s="298"/>
    </row>
    <row r="6896" spans="14:19" hidden="1" x14ac:dyDescent="0.25">
      <c r="N6896" s="17">
        <v>889.19999999986703</v>
      </c>
      <c r="O6896" s="16" t="s">
        <v>7604</v>
      </c>
      <c r="R6896" s="6"/>
      <c r="S6896" s="298"/>
    </row>
    <row r="6897" spans="14:19" hidden="1" x14ac:dyDescent="0.25">
      <c r="N6897" s="17">
        <v>889.29999999986705</v>
      </c>
      <c r="O6897" s="16" t="s">
        <v>7605</v>
      </c>
      <c r="R6897" s="6"/>
      <c r="S6897" s="298"/>
    </row>
    <row r="6898" spans="14:19" hidden="1" x14ac:dyDescent="0.25">
      <c r="N6898" s="17">
        <v>889.39999999986696</v>
      </c>
      <c r="O6898" s="16" t="s">
        <v>7606</v>
      </c>
      <c r="R6898" s="6"/>
      <c r="S6898" s="298"/>
    </row>
    <row r="6899" spans="14:19" hidden="1" x14ac:dyDescent="0.25">
      <c r="N6899" s="17">
        <v>889.49999999986699</v>
      </c>
      <c r="O6899" s="16" t="s">
        <v>7607</v>
      </c>
      <c r="R6899" s="6"/>
      <c r="S6899" s="298"/>
    </row>
    <row r="6900" spans="14:19" hidden="1" x14ac:dyDescent="0.25">
      <c r="N6900" s="17">
        <v>889.59999999986701</v>
      </c>
      <c r="O6900" s="16" t="s">
        <v>7608</v>
      </c>
      <c r="R6900" s="6"/>
      <c r="S6900" s="298"/>
    </row>
    <row r="6901" spans="14:19" hidden="1" x14ac:dyDescent="0.25">
      <c r="N6901" s="17">
        <v>889.69999999986703</v>
      </c>
      <c r="O6901" s="16" t="s">
        <v>4501</v>
      </c>
      <c r="R6901" s="6"/>
      <c r="S6901" s="298"/>
    </row>
    <row r="6902" spans="14:19" hidden="1" x14ac:dyDescent="0.25">
      <c r="N6902" s="17">
        <v>889.79999999986705</v>
      </c>
      <c r="O6902" s="16" t="s">
        <v>4502</v>
      </c>
      <c r="R6902" s="6"/>
      <c r="S6902" s="298"/>
    </row>
    <row r="6903" spans="14:19" hidden="1" x14ac:dyDescent="0.25">
      <c r="N6903" s="17">
        <v>889.89999999986696</v>
      </c>
      <c r="O6903" s="16" t="s">
        <v>7528</v>
      </c>
      <c r="R6903" s="6"/>
      <c r="S6903" s="298"/>
    </row>
    <row r="6904" spans="14:19" hidden="1" x14ac:dyDescent="0.25">
      <c r="N6904" s="17">
        <v>889.99999999986699</v>
      </c>
      <c r="O6904" s="16" t="s">
        <v>7529</v>
      </c>
      <c r="R6904" s="6"/>
      <c r="S6904" s="298"/>
    </row>
    <row r="6905" spans="14:19" hidden="1" x14ac:dyDescent="0.25">
      <c r="N6905" s="17">
        <v>890.09999999986701</v>
      </c>
      <c r="O6905" s="16" t="s">
        <v>6605</v>
      </c>
      <c r="R6905" s="6"/>
      <c r="S6905" s="298"/>
    </row>
    <row r="6906" spans="14:19" hidden="1" x14ac:dyDescent="0.25">
      <c r="N6906" s="17">
        <v>890.19999999986703</v>
      </c>
      <c r="O6906" s="16" t="s">
        <v>6606</v>
      </c>
      <c r="R6906" s="6"/>
      <c r="S6906" s="298"/>
    </row>
    <row r="6907" spans="14:19" hidden="1" x14ac:dyDescent="0.25">
      <c r="N6907" s="17">
        <v>890.29999999986705</v>
      </c>
      <c r="O6907" s="16" t="s">
        <v>7588</v>
      </c>
      <c r="R6907" s="6"/>
      <c r="S6907" s="298"/>
    </row>
    <row r="6908" spans="14:19" hidden="1" x14ac:dyDescent="0.25">
      <c r="N6908" s="17">
        <v>890.39999999986696</v>
      </c>
      <c r="O6908" s="16" t="s">
        <v>7589</v>
      </c>
      <c r="R6908" s="6"/>
      <c r="S6908" s="298"/>
    </row>
    <row r="6909" spans="14:19" hidden="1" x14ac:dyDescent="0.25">
      <c r="N6909" s="17">
        <v>890.49999999986699</v>
      </c>
      <c r="O6909" s="16" t="s">
        <v>7590</v>
      </c>
      <c r="R6909" s="6"/>
      <c r="S6909" s="298"/>
    </row>
    <row r="6910" spans="14:19" hidden="1" x14ac:dyDescent="0.25">
      <c r="N6910" s="17">
        <v>890.59999999986701</v>
      </c>
      <c r="O6910" s="16" t="s">
        <v>7591</v>
      </c>
      <c r="R6910" s="6"/>
      <c r="S6910" s="298"/>
    </row>
    <row r="6911" spans="14:19" hidden="1" x14ac:dyDescent="0.25">
      <c r="N6911" s="17">
        <v>890.69999999986703</v>
      </c>
      <c r="O6911" s="16" t="s">
        <v>7592</v>
      </c>
      <c r="R6911" s="6"/>
      <c r="S6911" s="298"/>
    </row>
    <row r="6912" spans="14:19" hidden="1" x14ac:dyDescent="0.25">
      <c r="N6912" s="17">
        <v>890.79999999986705</v>
      </c>
      <c r="O6912" s="16" t="s">
        <v>7593</v>
      </c>
      <c r="R6912" s="6"/>
      <c r="S6912" s="298"/>
    </row>
    <row r="6913" spans="14:19" hidden="1" x14ac:dyDescent="0.25">
      <c r="N6913" s="17">
        <v>890.89999999986696</v>
      </c>
      <c r="O6913" s="16" t="s">
        <v>7594</v>
      </c>
      <c r="R6913" s="6"/>
      <c r="S6913" s="298"/>
    </row>
    <row r="6914" spans="14:19" hidden="1" x14ac:dyDescent="0.25">
      <c r="N6914" s="17">
        <v>890.99999999986699</v>
      </c>
      <c r="O6914" s="16" t="s">
        <v>7595</v>
      </c>
      <c r="R6914" s="6"/>
      <c r="S6914" s="298"/>
    </row>
    <row r="6915" spans="14:19" hidden="1" x14ac:dyDescent="0.25">
      <c r="N6915" s="17">
        <v>891.09999999986701</v>
      </c>
      <c r="O6915" s="16" t="s">
        <v>7596</v>
      </c>
      <c r="R6915" s="6"/>
      <c r="S6915" s="298"/>
    </row>
    <row r="6916" spans="14:19" hidden="1" x14ac:dyDescent="0.25">
      <c r="N6916" s="17">
        <v>891.19999999986703</v>
      </c>
      <c r="O6916" s="16" t="s">
        <v>7597</v>
      </c>
      <c r="R6916" s="6"/>
      <c r="S6916" s="298"/>
    </row>
    <row r="6917" spans="14:19" hidden="1" x14ac:dyDescent="0.25">
      <c r="N6917" s="17">
        <v>891.29999999986705</v>
      </c>
      <c r="O6917" s="16" t="s">
        <v>7517</v>
      </c>
      <c r="R6917" s="6"/>
      <c r="S6917" s="298"/>
    </row>
    <row r="6918" spans="14:19" hidden="1" x14ac:dyDescent="0.25">
      <c r="N6918" s="17">
        <v>891.39999999986696</v>
      </c>
      <c r="O6918" s="16" t="s">
        <v>7518</v>
      </c>
      <c r="R6918" s="6"/>
      <c r="S6918" s="298"/>
    </row>
    <row r="6919" spans="14:19" hidden="1" x14ac:dyDescent="0.25">
      <c r="N6919" s="17">
        <v>891.49999999986699</v>
      </c>
      <c r="O6919" s="16" t="s">
        <v>7519</v>
      </c>
      <c r="R6919" s="6"/>
      <c r="S6919" s="298"/>
    </row>
    <row r="6920" spans="14:19" hidden="1" x14ac:dyDescent="0.25">
      <c r="N6920" s="17">
        <v>891.59999999986599</v>
      </c>
      <c r="O6920" s="16" t="s">
        <v>7520</v>
      </c>
      <c r="R6920" s="6"/>
      <c r="S6920" s="298"/>
    </row>
    <row r="6921" spans="14:19" hidden="1" x14ac:dyDescent="0.25">
      <c r="N6921" s="17">
        <v>891.69999999986601</v>
      </c>
      <c r="O6921" s="16" t="s">
        <v>318</v>
      </c>
      <c r="R6921" s="6"/>
      <c r="S6921" s="298"/>
    </row>
    <row r="6922" spans="14:19" hidden="1" x14ac:dyDescent="0.25">
      <c r="N6922" s="17">
        <v>891.79999999986603</v>
      </c>
      <c r="O6922" s="16" t="s">
        <v>2557</v>
      </c>
      <c r="R6922" s="6"/>
      <c r="S6922" s="298"/>
    </row>
    <row r="6923" spans="14:19" hidden="1" x14ac:dyDescent="0.25">
      <c r="N6923" s="17">
        <v>891.89999999986605</v>
      </c>
      <c r="O6923" s="16" t="s">
        <v>2558</v>
      </c>
      <c r="R6923" s="6"/>
      <c r="S6923" s="298"/>
    </row>
    <row r="6924" spans="14:19" hidden="1" x14ac:dyDescent="0.25">
      <c r="N6924" s="17">
        <v>891.99999999986596</v>
      </c>
      <c r="O6924" s="16" t="s">
        <v>4701</v>
      </c>
      <c r="R6924" s="6"/>
      <c r="S6924" s="298"/>
    </row>
    <row r="6925" spans="14:19" hidden="1" x14ac:dyDescent="0.25">
      <c r="N6925" s="17">
        <v>892.09999999986599</v>
      </c>
      <c r="O6925" s="16" t="s">
        <v>4702</v>
      </c>
      <c r="R6925" s="6"/>
      <c r="S6925" s="298"/>
    </row>
    <row r="6926" spans="14:19" hidden="1" x14ac:dyDescent="0.25">
      <c r="N6926" s="17">
        <v>892.19999999986601</v>
      </c>
      <c r="O6926" s="16" t="s">
        <v>4703</v>
      </c>
      <c r="R6926" s="6"/>
      <c r="S6926" s="298"/>
    </row>
    <row r="6927" spans="14:19" hidden="1" x14ac:dyDescent="0.25">
      <c r="N6927" s="17">
        <v>892.29999999986603</v>
      </c>
      <c r="O6927" s="16" t="s">
        <v>6801</v>
      </c>
      <c r="R6927" s="6"/>
      <c r="S6927" s="298"/>
    </row>
    <row r="6928" spans="14:19" hidden="1" x14ac:dyDescent="0.25">
      <c r="N6928" s="17">
        <v>892.39999999986605</v>
      </c>
      <c r="O6928" s="16" t="s">
        <v>6802</v>
      </c>
      <c r="R6928" s="6"/>
      <c r="S6928" s="298"/>
    </row>
    <row r="6929" spans="14:19" hidden="1" x14ac:dyDescent="0.25">
      <c r="N6929" s="17">
        <v>892.49999999986596</v>
      </c>
      <c r="O6929" s="16" t="s">
        <v>6803</v>
      </c>
      <c r="R6929" s="6"/>
      <c r="S6929" s="298"/>
    </row>
    <row r="6930" spans="14:19" hidden="1" x14ac:dyDescent="0.25">
      <c r="N6930" s="17">
        <v>892.59999999986599</v>
      </c>
      <c r="O6930" s="16" t="s">
        <v>6804</v>
      </c>
      <c r="R6930" s="6"/>
      <c r="S6930" s="298"/>
    </row>
    <row r="6931" spans="14:19" hidden="1" x14ac:dyDescent="0.25">
      <c r="N6931" s="17">
        <v>892.69999999986601</v>
      </c>
      <c r="O6931" s="16" t="s">
        <v>6805</v>
      </c>
      <c r="R6931" s="6"/>
      <c r="S6931" s="298"/>
    </row>
    <row r="6932" spans="14:19" hidden="1" x14ac:dyDescent="0.25">
      <c r="N6932" s="17">
        <v>892.79999999986603</v>
      </c>
      <c r="O6932" s="16" t="s">
        <v>6806</v>
      </c>
      <c r="R6932" s="6"/>
      <c r="S6932" s="298"/>
    </row>
    <row r="6933" spans="14:19" hidden="1" x14ac:dyDescent="0.25">
      <c r="N6933" s="17">
        <v>892.89999999986605</v>
      </c>
      <c r="O6933" s="16" t="s">
        <v>6807</v>
      </c>
      <c r="R6933" s="6"/>
      <c r="S6933" s="298"/>
    </row>
    <row r="6934" spans="14:19" hidden="1" x14ac:dyDescent="0.25">
      <c r="N6934" s="17">
        <v>892.99999999986596</v>
      </c>
      <c r="O6934" s="16" t="s">
        <v>6808</v>
      </c>
      <c r="R6934" s="6"/>
      <c r="S6934" s="298"/>
    </row>
    <row r="6935" spans="14:19" hidden="1" x14ac:dyDescent="0.25">
      <c r="N6935" s="17">
        <v>893.09999999986599</v>
      </c>
      <c r="O6935" s="16" t="s">
        <v>4729</v>
      </c>
      <c r="R6935" s="6"/>
      <c r="S6935" s="298"/>
    </row>
    <row r="6936" spans="14:19" hidden="1" x14ac:dyDescent="0.25">
      <c r="N6936" s="17">
        <v>893.19999999986601</v>
      </c>
      <c r="O6936" s="16" t="s">
        <v>4730</v>
      </c>
      <c r="R6936" s="6"/>
      <c r="S6936" s="298"/>
    </row>
    <row r="6937" spans="14:19" hidden="1" x14ac:dyDescent="0.25">
      <c r="N6937" s="17">
        <v>893.29999999986603</v>
      </c>
      <c r="O6937" s="16" t="s">
        <v>4731</v>
      </c>
      <c r="R6937" s="6"/>
      <c r="S6937" s="298"/>
    </row>
    <row r="6938" spans="14:19" hidden="1" x14ac:dyDescent="0.25">
      <c r="N6938" s="17">
        <v>893.39999999986605</v>
      </c>
      <c r="O6938" s="16" t="s">
        <v>4732</v>
      </c>
      <c r="R6938" s="6"/>
      <c r="S6938" s="298"/>
    </row>
    <row r="6939" spans="14:19" hidden="1" x14ac:dyDescent="0.25">
      <c r="N6939" s="17">
        <v>893.49999999986596</v>
      </c>
      <c r="O6939" s="16" t="s">
        <v>4733</v>
      </c>
      <c r="R6939" s="6"/>
      <c r="S6939" s="298"/>
    </row>
    <row r="6940" spans="14:19" hidden="1" x14ac:dyDescent="0.25">
      <c r="N6940" s="17">
        <v>893.59999999986599</v>
      </c>
      <c r="O6940" s="16" t="s">
        <v>4734</v>
      </c>
      <c r="R6940" s="6"/>
      <c r="S6940" s="298"/>
    </row>
    <row r="6941" spans="14:19" hidden="1" x14ac:dyDescent="0.25">
      <c r="N6941" s="17">
        <v>893.69999999986601</v>
      </c>
      <c r="O6941" s="16" t="s">
        <v>4735</v>
      </c>
      <c r="R6941" s="6"/>
      <c r="S6941" s="298"/>
    </row>
    <row r="6942" spans="14:19" hidden="1" x14ac:dyDescent="0.25">
      <c r="N6942" s="17">
        <v>893.79999999986603</v>
      </c>
      <c r="O6942" s="16" t="s">
        <v>6814</v>
      </c>
      <c r="R6942" s="6"/>
      <c r="S6942" s="298"/>
    </row>
    <row r="6943" spans="14:19" hidden="1" x14ac:dyDescent="0.25">
      <c r="N6943" s="17">
        <v>893.89999999986605</v>
      </c>
      <c r="O6943" s="16" t="s">
        <v>6815</v>
      </c>
      <c r="R6943" s="6"/>
      <c r="S6943" s="298"/>
    </row>
    <row r="6944" spans="14:19" hidden="1" x14ac:dyDescent="0.25">
      <c r="N6944" s="17">
        <v>893.99999999986596</v>
      </c>
      <c r="O6944" s="16" t="s">
        <v>6816</v>
      </c>
      <c r="R6944" s="6"/>
      <c r="S6944" s="298"/>
    </row>
    <row r="6945" spans="14:19" hidden="1" x14ac:dyDescent="0.25">
      <c r="N6945" s="17">
        <v>894.09999999986599</v>
      </c>
      <c r="O6945" s="16" t="s">
        <v>6817</v>
      </c>
      <c r="R6945" s="6"/>
      <c r="S6945" s="298"/>
    </row>
    <row r="6946" spans="14:19" hidden="1" x14ac:dyDescent="0.25">
      <c r="N6946" s="17">
        <v>894.19999999986601</v>
      </c>
      <c r="O6946" s="16" t="s">
        <v>6818</v>
      </c>
      <c r="R6946" s="6"/>
      <c r="S6946" s="298"/>
    </row>
    <row r="6947" spans="14:19" hidden="1" x14ac:dyDescent="0.25">
      <c r="N6947" s="17">
        <v>894.29999999986603</v>
      </c>
      <c r="O6947" s="16" t="s">
        <v>6819</v>
      </c>
      <c r="R6947" s="6"/>
      <c r="S6947" s="298"/>
    </row>
    <row r="6948" spans="14:19" hidden="1" x14ac:dyDescent="0.25">
      <c r="N6948" s="17">
        <v>894.39999999986605</v>
      </c>
      <c r="O6948" s="16" t="s">
        <v>6820</v>
      </c>
      <c r="R6948" s="6"/>
      <c r="S6948" s="298"/>
    </row>
    <row r="6949" spans="14:19" hidden="1" x14ac:dyDescent="0.25">
      <c r="N6949" s="17">
        <v>894.49999999986505</v>
      </c>
      <c r="O6949" s="16" t="s">
        <v>6821</v>
      </c>
      <c r="R6949" s="6"/>
      <c r="S6949" s="298"/>
    </row>
    <row r="6950" spans="14:19" hidden="1" x14ac:dyDescent="0.25">
      <c r="N6950" s="17">
        <v>894.59999999986496</v>
      </c>
      <c r="O6950" s="16" t="s">
        <v>7709</v>
      </c>
      <c r="R6950" s="6"/>
      <c r="S6950" s="298"/>
    </row>
    <row r="6951" spans="14:19" hidden="1" x14ac:dyDescent="0.25">
      <c r="N6951" s="17">
        <v>894.69999999986499</v>
      </c>
      <c r="O6951" s="16" t="s">
        <v>7710</v>
      </c>
      <c r="R6951" s="6"/>
      <c r="S6951" s="298"/>
    </row>
    <row r="6952" spans="14:19" hidden="1" x14ac:dyDescent="0.25">
      <c r="N6952" s="17">
        <v>894.79999999986501</v>
      </c>
      <c r="O6952" s="16" t="s">
        <v>7711</v>
      </c>
      <c r="R6952" s="6"/>
      <c r="S6952" s="298"/>
    </row>
    <row r="6953" spans="14:19" hidden="1" x14ac:dyDescent="0.25">
      <c r="N6953" s="17">
        <v>894.89999999986503</v>
      </c>
      <c r="O6953" s="16" t="s">
        <v>7712</v>
      </c>
      <c r="R6953" s="6"/>
      <c r="S6953" s="298"/>
    </row>
    <row r="6954" spans="14:19" hidden="1" x14ac:dyDescent="0.25">
      <c r="N6954" s="17">
        <v>894.99999999986505</v>
      </c>
      <c r="O6954" s="16" t="s">
        <v>7713</v>
      </c>
      <c r="R6954" s="6"/>
      <c r="S6954" s="298"/>
    </row>
    <row r="6955" spans="14:19" hidden="1" x14ac:dyDescent="0.25">
      <c r="N6955" s="17">
        <v>895.09999999986496</v>
      </c>
      <c r="O6955" s="16" t="s">
        <v>7714</v>
      </c>
      <c r="R6955" s="6"/>
      <c r="S6955" s="298"/>
    </row>
    <row r="6956" spans="14:19" hidden="1" x14ac:dyDescent="0.25">
      <c r="N6956" s="17">
        <v>895.19999999986499</v>
      </c>
      <c r="O6956" s="16" t="s">
        <v>7715</v>
      </c>
      <c r="R6956" s="6"/>
      <c r="S6956" s="298"/>
    </row>
    <row r="6957" spans="14:19" hidden="1" x14ac:dyDescent="0.25">
      <c r="N6957" s="17">
        <v>895.29999999986501</v>
      </c>
      <c r="O6957" s="16" t="s">
        <v>7716</v>
      </c>
      <c r="R6957" s="6"/>
      <c r="S6957" s="298"/>
    </row>
    <row r="6958" spans="14:19" hidden="1" x14ac:dyDescent="0.25">
      <c r="N6958" s="17">
        <v>895.39999999986503</v>
      </c>
      <c r="O6958" s="16" t="s">
        <v>6631</v>
      </c>
      <c r="R6958" s="6"/>
      <c r="S6958" s="298"/>
    </row>
    <row r="6959" spans="14:19" hidden="1" x14ac:dyDescent="0.25">
      <c r="N6959" s="17">
        <v>895.49999999986505</v>
      </c>
      <c r="O6959" s="16" t="s">
        <v>6632</v>
      </c>
      <c r="R6959" s="6"/>
      <c r="S6959" s="298"/>
    </row>
    <row r="6960" spans="14:19" hidden="1" x14ac:dyDescent="0.25">
      <c r="N6960" s="17">
        <v>895.59999999986496</v>
      </c>
      <c r="O6960" s="16" t="s">
        <v>6633</v>
      </c>
      <c r="R6960" s="6"/>
      <c r="S6960" s="298"/>
    </row>
    <row r="6961" spans="14:19" hidden="1" x14ac:dyDescent="0.25">
      <c r="N6961" s="17">
        <v>895.69999999986499</v>
      </c>
      <c r="O6961" s="16" t="s">
        <v>6634</v>
      </c>
      <c r="R6961" s="6"/>
      <c r="S6961" s="298"/>
    </row>
    <row r="6962" spans="14:19" hidden="1" x14ac:dyDescent="0.25">
      <c r="N6962" s="17">
        <v>895.79999999986501</v>
      </c>
      <c r="O6962" s="16" t="s">
        <v>6635</v>
      </c>
      <c r="R6962" s="6"/>
      <c r="S6962" s="298"/>
    </row>
    <row r="6963" spans="14:19" hidden="1" x14ac:dyDescent="0.25">
      <c r="N6963" s="17">
        <v>895.89999999986503</v>
      </c>
      <c r="O6963" s="16" t="s">
        <v>6636</v>
      </c>
      <c r="R6963" s="6"/>
      <c r="S6963" s="298"/>
    </row>
    <row r="6964" spans="14:19" hidden="1" x14ac:dyDescent="0.25">
      <c r="N6964" s="17">
        <v>895.99999999986505</v>
      </c>
      <c r="O6964" s="16" t="s">
        <v>6637</v>
      </c>
      <c r="R6964" s="6"/>
      <c r="S6964" s="298"/>
    </row>
    <row r="6965" spans="14:19" hidden="1" x14ac:dyDescent="0.25">
      <c r="N6965" s="17">
        <v>896.09999999986496</v>
      </c>
      <c r="O6965" s="16" t="s">
        <v>6638</v>
      </c>
      <c r="R6965" s="6"/>
      <c r="S6965" s="298"/>
    </row>
    <row r="6966" spans="14:19" hidden="1" x14ac:dyDescent="0.25">
      <c r="N6966" s="17">
        <v>896.19999999986499</v>
      </c>
      <c r="O6966" s="16" t="s">
        <v>6639</v>
      </c>
      <c r="R6966" s="6"/>
      <c r="S6966" s="298"/>
    </row>
    <row r="6967" spans="14:19" hidden="1" x14ac:dyDescent="0.25">
      <c r="N6967" s="17">
        <v>896.29999999986501</v>
      </c>
      <c r="O6967" s="16" t="s">
        <v>6640</v>
      </c>
      <c r="R6967" s="6"/>
      <c r="S6967" s="298"/>
    </row>
    <row r="6968" spans="14:19" hidden="1" x14ac:dyDescent="0.25">
      <c r="N6968" s="17">
        <v>896.39999999986503</v>
      </c>
      <c r="O6968" s="16" t="s">
        <v>6641</v>
      </c>
      <c r="R6968" s="6"/>
      <c r="S6968" s="298"/>
    </row>
    <row r="6969" spans="14:19" hidden="1" x14ac:dyDescent="0.25">
      <c r="N6969" s="17">
        <v>896.49999999986505</v>
      </c>
      <c r="O6969" s="16" t="s">
        <v>6642</v>
      </c>
      <c r="R6969" s="6"/>
      <c r="S6969" s="298"/>
    </row>
    <row r="6970" spans="14:19" hidden="1" x14ac:dyDescent="0.25">
      <c r="N6970" s="17">
        <v>896.59999999986496</v>
      </c>
      <c r="O6970" s="16" t="s">
        <v>6643</v>
      </c>
      <c r="R6970" s="6"/>
      <c r="S6970" s="298"/>
    </row>
    <row r="6971" spans="14:19" hidden="1" x14ac:dyDescent="0.25">
      <c r="N6971" s="17">
        <v>896.69999999986499</v>
      </c>
      <c r="O6971" s="16" t="s">
        <v>6644</v>
      </c>
      <c r="R6971" s="6"/>
      <c r="S6971" s="298"/>
    </row>
    <row r="6972" spans="14:19" hidden="1" x14ac:dyDescent="0.25">
      <c r="N6972" s="17">
        <v>896.79999999986501</v>
      </c>
      <c r="O6972" s="16" t="s">
        <v>6645</v>
      </c>
      <c r="R6972" s="6"/>
      <c r="S6972" s="298"/>
    </row>
    <row r="6973" spans="14:19" hidden="1" x14ac:dyDescent="0.25">
      <c r="N6973" s="17">
        <v>896.89999999986503</v>
      </c>
      <c r="O6973" s="16" t="s">
        <v>6646</v>
      </c>
      <c r="R6973" s="6"/>
      <c r="S6973" s="298"/>
    </row>
    <row r="6974" spans="14:19" hidden="1" x14ac:dyDescent="0.25">
      <c r="N6974" s="17">
        <v>896.99999999986505</v>
      </c>
      <c r="O6974" s="16" t="s">
        <v>6647</v>
      </c>
      <c r="R6974" s="6"/>
      <c r="S6974" s="298"/>
    </row>
    <row r="6975" spans="14:19" hidden="1" x14ac:dyDescent="0.25">
      <c r="N6975" s="17">
        <v>897.09999999986496</v>
      </c>
      <c r="O6975" s="16" t="s">
        <v>6648</v>
      </c>
      <c r="R6975" s="6"/>
      <c r="S6975" s="298"/>
    </row>
    <row r="6976" spans="14:19" hidden="1" x14ac:dyDescent="0.25">
      <c r="N6976" s="17">
        <v>897.19999999986499</v>
      </c>
      <c r="O6976" s="16" t="s">
        <v>6649</v>
      </c>
      <c r="R6976" s="6"/>
      <c r="S6976" s="298"/>
    </row>
    <row r="6977" spans="14:19" hidden="1" x14ac:dyDescent="0.25">
      <c r="N6977" s="17">
        <v>897.29999999986501</v>
      </c>
      <c r="O6977" s="16" t="s">
        <v>6650</v>
      </c>
      <c r="R6977" s="6"/>
      <c r="S6977" s="298"/>
    </row>
    <row r="6978" spans="14:19" hidden="1" x14ac:dyDescent="0.25">
      <c r="N6978" s="17">
        <v>897.39999999986401</v>
      </c>
      <c r="O6978" s="16" t="s">
        <v>6651</v>
      </c>
      <c r="R6978" s="6"/>
      <c r="S6978" s="298"/>
    </row>
    <row r="6979" spans="14:19" hidden="1" x14ac:dyDescent="0.25">
      <c r="N6979" s="17">
        <v>897.49999999986403</v>
      </c>
      <c r="O6979" s="16" t="s">
        <v>6652</v>
      </c>
      <c r="R6979" s="6"/>
      <c r="S6979" s="298"/>
    </row>
    <row r="6980" spans="14:19" hidden="1" x14ac:dyDescent="0.25">
      <c r="N6980" s="17">
        <v>897.59999999986405</v>
      </c>
      <c r="O6980" s="16" t="s">
        <v>6653</v>
      </c>
      <c r="R6980" s="6"/>
      <c r="S6980" s="298"/>
    </row>
    <row r="6981" spans="14:19" hidden="1" x14ac:dyDescent="0.25">
      <c r="N6981" s="17">
        <v>897.69999999986396</v>
      </c>
      <c r="O6981" s="16" t="s">
        <v>6654</v>
      </c>
      <c r="R6981" s="6"/>
      <c r="S6981" s="298"/>
    </row>
    <row r="6982" spans="14:19" hidden="1" x14ac:dyDescent="0.25">
      <c r="N6982" s="17">
        <v>897.79999999986399</v>
      </c>
      <c r="O6982" s="16" t="s">
        <v>6655</v>
      </c>
      <c r="R6982" s="6"/>
      <c r="S6982" s="298"/>
    </row>
    <row r="6983" spans="14:19" hidden="1" x14ac:dyDescent="0.25">
      <c r="N6983" s="17">
        <v>897.89999999986401</v>
      </c>
      <c r="O6983" s="16" t="s">
        <v>6656</v>
      </c>
      <c r="R6983" s="6"/>
      <c r="S6983" s="298"/>
    </row>
    <row r="6984" spans="14:19" hidden="1" x14ac:dyDescent="0.25">
      <c r="N6984" s="17">
        <v>897.99999999986403</v>
      </c>
      <c r="O6984" s="16" t="s">
        <v>6657</v>
      </c>
      <c r="R6984" s="6"/>
      <c r="S6984" s="298"/>
    </row>
    <row r="6985" spans="14:19" hidden="1" x14ac:dyDescent="0.25">
      <c r="N6985" s="17">
        <v>898.09999999986405</v>
      </c>
      <c r="O6985" s="16" t="s">
        <v>6658</v>
      </c>
      <c r="R6985" s="6"/>
      <c r="S6985" s="298"/>
    </row>
    <row r="6986" spans="14:19" hidden="1" x14ac:dyDescent="0.25">
      <c r="N6986" s="17">
        <v>898.19999999986396</v>
      </c>
      <c r="O6986" s="16" t="s">
        <v>6659</v>
      </c>
      <c r="R6986" s="6"/>
      <c r="S6986" s="298"/>
    </row>
    <row r="6987" spans="14:19" hidden="1" x14ac:dyDescent="0.25">
      <c r="N6987" s="17">
        <v>898.29999999986399</v>
      </c>
      <c r="O6987" s="16" t="s">
        <v>6660</v>
      </c>
      <c r="R6987" s="6"/>
      <c r="S6987" s="298"/>
    </row>
    <row r="6988" spans="14:19" hidden="1" x14ac:dyDescent="0.25">
      <c r="N6988" s="17">
        <v>898.39999999986401</v>
      </c>
      <c r="O6988" s="16" t="s">
        <v>4817</v>
      </c>
      <c r="R6988" s="6"/>
      <c r="S6988" s="298"/>
    </row>
    <row r="6989" spans="14:19" hidden="1" x14ac:dyDescent="0.25">
      <c r="N6989" s="17">
        <v>898.49999999986403</v>
      </c>
      <c r="O6989" s="16" t="s">
        <v>4818</v>
      </c>
      <c r="R6989" s="6"/>
      <c r="S6989" s="298"/>
    </row>
    <row r="6990" spans="14:19" hidden="1" x14ac:dyDescent="0.25">
      <c r="N6990" s="17">
        <v>898.59999999986405</v>
      </c>
      <c r="O6990" s="16" t="s">
        <v>4819</v>
      </c>
      <c r="R6990" s="6"/>
      <c r="S6990" s="298"/>
    </row>
    <row r="6991" spans="14:19" hidden="1" x14ac:dyDescent="0.25">
      <c r="N6991" s="17">
        <v>898.69999999986396</v>
      </c>
      <c r="O6991" s="16" t="s">
        <v>4820</v>
      </c>
      <c r="R6991" s="6"/>
      <c r="S6991" s="298"/>
    </row>
    <row r="6992" spans="14:19" hidden="1" x14ac:dyDescent="0.25">
      <c r="N6992" s="17">
        <v>898.79999999986399</v>
      </c>
      <c r="O6992" s="16" t="s">
        <v>4821</v>
      </c>
      <c r="R6992" s="6"/>
      <c r="S6992" s="298"/>
    </row>
    <row r="6993" spans="14:19" hidden="1" x14ac:dyDescent="0.25">
      <c r="N6993" s="17">
        <v>898.89999999986401</v>
      </c>
      <c r="O6993" s="16" t="s">
        <v>4822</v>
      </c>
      <c r="R6993" s="6"/>
      <c r="S6993" s="298"/>
    </row>
    <row r="6994" spans="14:19" hidden="1" x14ac:dyDescent="0.25">
      <c r="N6994" s="17">
        <v>898.99999999986403</v>
      </c>
      <c r="O6994" s="16" t="s">
        <v>6891</v>
      </c>
      <c r="R6994" s="6"/>
      <c r="S6994" s="298"/>
    </row>
    <row r="6995" spans="14:19" hidden="1" x14ac:dyDescent="0.25">
      <c r="N6995" s="17">
        <v>899.09999999986405</v>
      </c>
      <c r="O6995" s="16" t="s">
        <v>6892</v>
      </c>
      <c r="R6995" s="6"/>
      <c r="S6995" s="298"/>
    </row>
    <row r="6996" spans="14:19" hidden="1" x14ac:dyDescent="0.25">
      <c r="N6996" s="17">
        <v>899.19999999986396</v>
      </c>
      <c r="O6996" s="16" t="s">
        <v>4660</v>
      </c>
      <c r="R6996" s="6"/>
      <c r="S6996" s="298"/>
    </row>
    <row r="6997" spans="14:19" hidden="1" x14ac:dyDescent="0.25">
      <c r="N6997" s="17">
        <v>899.29999999986399</v>
      </c>
      <c r="O6997" s="16" t="s">
        <v>4661</v>
      </c>
      <c r="R6997" s="6"/>
      <c r="S6997" s="298"/>
    </row>
    <row r="6998" spans="14:19" hidden="1" x14ac:dyDescent="0.25">
      <c r="N6998" s="17">
        <v>899.39999999986401</v>
      </c>
      <c r="O6998" s="16" t="s">
        <v>4662</v>
      </c>
      <c r="R6998" s="6"/>
      <c r="S6998" s="298"/>
    </row>
    <row r="6999" spans="14:19" hidden="1" x14ac:dyDescent="0.25">
      <c r="N6999" s="17">
        <v>899.49999999986403</v>
      </c>
      <c r="O6999" s="16" t="s">
        <v>4663</v>
      </c>
      <c r="R6999" s="6"/>
      <c r="S6999" s="298"/>
    </row>
    <row r="7000" spans="14:19" hidden="1" x14ac:dyDescent="0.25">
      <c r="N7000" s="17">
        <v>899.59999999986405</v>
      </c>
      <c r="O7000" s="16" t="s">
        <v>4664</v>
      </c>
      <c r="R7000" s="6"/>
      <c r="S7000" s="298"/>
    </row>
    <row r="7001" spans="14:19" hidden="1" x14ac:dyDescent="0.25">
      <c r="N7001" s="17">
        <v>899.69999999986396</v>
      </c>
      <c r="O7001" s="16" t="s">
        <v>4665</v>
      </c>
      <c r="R7001" s="6"/>
      <c r="S7001" s="298"/>
    </row>
    <row r="7002" spans="14:19" hidden="1" x14ac:dyDescent="0.25">
      <c r="N7002" s="17">
        <v>899.79999999986399</v>
      </c>
      <c r="O7002" s="16" t="s">
        <v>4666</v>
      </c>
      <c r="R7002" s="6"/>
      <c r="S7002" s="298"/>
    </row>
    <row r="7003" spans="14:19" hidden="1" x14ac:dyDescent="0.25">
      <c r="N7003" s="17">
        <v>899.89999999986401</v>
      </c>
      <c r="O7003" s="16" t="s">
        <v>4667</v>
      </c>
      <c r="R7003" s="6"/>
      <c r="S7003" s="298"/>
    </row>
    <row r="7004" spans="14:19" hidden="1" x14ac:dyDescent="0.25">
      <c r="N7004" s="17">
        <v>899.99999999986403</v>
      </c>
      <c r="O7004" s="16" t="s">
        <v>4668</v>
      </c>
    </row>
    <row r="7005" spans="14:19" hidden="1" x14ac:dyDescent="0.25">
      <c r="N7005" s="17">
        <v>900.09999999986405</v>
      </c>
      <c r="O7005" s="16" t="s">
        <v>4669</v>
      </c>
      <c r="R7005" s="6"/>
      <c r="S7005" s="298"/>
    </row>
    <row r="7006" spans="14:19" hidden="1" x14ac:dyDescent="0.25">
      <c r="N7006" s="17">
        <v>900.19999999986396</v>
      </c>
      <c r="O7006" s="16" t="s">
        <v>4670</v>
      </c>
      <c r="R7006" s="6"/>
      <c r="S7006" s="298"/>
    </row>
    <row r="7007" spans="14:19" hidden="1" x14ac:dyDescent="0.25">
      <c r="N7007" s="17">
        <v>900.29999999986399</v>
      </c>
      <c r="O7007" s="16" t="s">
        <v>4671</v>
      </c>
      <c r="R7007" s="6"/>
      <c r="S7007" s="298"/>
    </row>
    <row r="7008" spans="14:19" hidden="1" x14ac:dyDescent="0.25">
      <c r="N7008" s="17">
        <v>900.39999999986298</v>
      </c>
      <c r="O7008" s="16" t="s">
        <v>4672</v>
      </c>
      <c r="R7008" s="6"/>
      <c r="S7008" s="298"/>
    </row>
    <row r="7009" spans="14:19" hidden="1" x14ac:dyDescent="0.25">
      <c r="N7009" s="17">
        <v>900.49999999986301</v>
      </c>
      <c r="O7009" s="16" t="s">
        <v>4673</v>
      </c>
      <c r="R7009" s="6"/>
      <c r="S7009" s="298"/>
    </row>
    <row r="7010" spans="14:19" hidden="1" x14ac:dyDescent="0.25">
      <c r="N7010" s="17">
        <v>900.59999999986303</v>
      </c>
      <c r="O7010" s="16" t="s">
        <v>4674</v>
      </c>
      <c r="R7010" s="6"/>
      <c r="S7010" s="298"/>
    </row>
    <row r="7011" spans="14:19" hidden="1" x14ac:dyDescent="0.25">
      <c r="N7011" s="17">
        <v>900.69999999986305</v>
      </c>
      <c r="O7011" s="16" t="s">
        <v>4675</v>
      </c>
      <c r="R7011" s="6"/>
      <c r="S7011" s="298"/>
    </row>
    <row r="7012" spans="14:19" hidden="1" x14ac:dyDescent="0.25">
      <c r="N7012" s="17">
        <v>900.79999999986296</v>
      </c>
      <c r="O7012" s="16" t="s">
        <v>4676</v>
      </c>
      <c r="R7012" s="6"/>
      <c r="S7012" s="298"/>
    </row>
    <row r="7013" spans="14:19" hidden="1" x14ac:dyDescent="0.25">
      <c r="N7013" s="17">
        <v>900.89999999986298</v>
      </c>
      <c r="O7013" s="16" t="s">
        <v>4677</v>
      </c>
      <c r="R7013" s="6"/>
      <c r="S7013" s="298"/>
    </row>
    <row r="7014" spans="14:19" hidden="1" x14ac:dyDescent="0.25">
      <c r="N7014" s="17">
        <v>900.99999999986301</v>
      </c>
      <c r="O7014" s="16" t="s">
        <v>4669</v>
      </c>
    </row>
    <row r="7015" spans="14:19" hidden="1" x14ac:dyDescent="0.25">
      <c r="N7015" s="17">
        <v>901.09999999986303</v>
      </c>
      <c r="O7015" s="16" t="s">
        <v>4678</v>
      </c>
      <c r="R7015" s="6"/>
      <c r="S7015" s="298"/>
    </row>
    <row r="7016" spans="14:19" hidden="1" x14ac:dyDescent="0.25">
      <c r="N7016" s="17">
        <v>901.19999999986305</v>
      </c>
      <c r="O7016" s="16" t="s">
        <v>4679</v>
      </c>
      <c r="R7016" s="6"/>
      <c r="S7016" s="298"/>
    </row>
    <row r="7017" spans="14:19" hidden="1" x14ac:dyDescent="0.25">
      <c r="N7017" s="17">
        <v>901.29999999986296</v>
      </c>
      <c r="O7017" s="16" t="s">
        <v>4680</v>
      </c>
      <c r="R7017" s="6"/>
      <c r="S7017" s="298"/>
    </row>
    <row r="7018" spans="14:19" hidden="1" x14ac:dyDescent="0.25">
      <c r="N7018" s="17">
        <v>901.39999999986298</v>
      </c>
      <c r="O7018" s="16" t="s">
        <v>4681</v>
      </c>
      <c r="R7018" s="6"/>
      <c r="S7018" s="298"/>
    </row>
    <row r="7019" spans="14:19" hidden="1" x14ac:dyDescent="0.25">
      <c r="N7019" s="17">
        <v>901.49999999986301</v>
      </c>
      <c r="O7019" s="16" t="s">
        <v>4682</v>
      </c>
      <c r="R7019" s="6"/>
      <c r="S7019" s="298"/>
    </row>
    <row r="7020" spans="14:19" hidden="1" x14ac:dyDescent="0.25">
      <c r="N7020" s="17">
        <v>901.59999999986303</v>
      </c>
      <c r="O7020" s="16" t="s">
        <v>4683</v>
      </c>
      <c r="R7020" s="6"/>
      <c r="S7020" s="298"/>
    </row>
    <row r="7021" spans="14:19" hidden="1" x14ac:dyDescent="0.25">
      <c r="N7021" s="17">
        <v>901.69999999986305</v>
      </c>
      <c r="O7021" s="16" t="s">
        <v>4684</v>
      </c>
      <c r="R7021" s="6"/>
      <c r="S7021" s="298"/>
    </row>
    <row r="7022" spans="14:19" hidden="1" x14ac:dyDescent="0.25">
      <c r="N7022" s="17">
        <v>901.79999999986296</v>
      </c>
      <c r="O7022" s="16" t="s">
        <v>4685</v>
      </c>
      <c r="R7022" s="6"/>
      <c r="S7022" s="298"/>
    </row>
    <row r="7023" spans="14:19" hidden="1" x14ac:dyDescent="0.25">
      <c r="N7023" s="17">
        <v>901.89999999986298</v>
      </c>
      <c r="O7023" s="16" t="s">
        <v>4686</v>
      </c>
      <c r="R7023" s="6"/>
      <c r="S7023" s="298"/>
    </row>
    <row r="7024" spans="14:19" hidden="1" x14ac:dyDescent="0.25">
      <c r="N7024" s="17">
        <v>901.99999999986301</v>
      </c>
      <c r="O7024" s="16" t="s">
        <v>4670</v>
      </c>
      <c r="R7024" s="6"/>
      <c r="S7024" s="298"/>
    </row>
    <row r="7025" spans="14:19" hidden="1" x14ac:dyDescent="0.25">
      <c r="N7025" s="17">
        <v>902.09999999986303</v>
      </c>
      <c r="O7025" s="16" t="s">
        <v>4687</v>
      </c>
      <c r="R7025" s="6"/>
      <c r="S7025" s="298"/>
    </row>
    <row r="7026" spans="14:19" hidden="1" x14ac:dyDescent="0.25">
      <c r="N7026" s="17">
        <v>902.19999999986305</v>
      </c>
      <c r="O7026" s="16" t="s">
        <v>4688</v>
      </c>
      <c r="R7026" s="6"/>
      <c r="S7026" s="298"/>
    </row>
    <row r="7027" spans="14:19" hidden="1" x14ac:dyDescent="0.25">
      <c r="N7027" s="17">
        <v>902.29999999986296</v>
      </c>
      <c r="O7027" s="16" t="s">
        <v>4689</v>
      </c>
      <c r="R7027" s="6"/>
      <c r="S7027" s="298"/>
    </row>
    <row r="7028" spans="14:19" hidden="1" x14ac:dyDescent="0.25">
      <c r="N7028" s="17">
        <v>902.39999999986298</v>
      </c>
      <c r="O7028" s="16" t="s">
        <v>4690</v>
      </c>
      <c r="R7028" s="6"/>
      <c r="S7028" s="298"/>
    </row>
    <row r="7029" spans="14:19" hidden="1" x14ac:dyDescent="0.25">
      <c r="N7029" s="17">
        <v>902.49999999986301</v>
      </c>
      <c r="O7029" s="16" t="s">
        <v>4691</v>
      </c>
      <c r="R7029" s="6"/>
      <c r="S7029" s="298"/>
    </row>
    <row r="7030" spans="14:19" hidden="1" x14ac:dyDescent="0.25">
      <c r="N7030" s="17">
        <v>902.59999999986303</v>
      </c>
      <c r="O7030" s="16" t="s">
        <v>4692</v>
      </c>
      <c r="R7030" s="6"/>
      <c r="S7030" s="298"/>
    </row>
    <row r="7031" spans="14:19" hidden="1" x14ac:dyDescent="0.25">
      <c r="N7031" s="17">
        <v>902.69999999986305</v>
      </c>
      <c r="O7031" s="16" t="s">
        <v>4693</v>
      </c>
      <c r="R7031" s="6"/>
      <c r="S7031" s="298"/>
    </row>
    <row r="7032" spans="14:19" hidden="1" x14ac:dyDescent="0.25">
      <c r="N7032" s="17">
        <v>902.79999999986296</v>
      </c>
      <c r="O7032" s="16" t="s">
        <v>4694</v>
      </c>
      <c r="R7032" s="6"/>
      <c r="S7032" s="298"/>
    </row>
    <row r="7033" spans="14:19" hidden="1" x14ac:dyDescent="0.25">
      <c r="N7033" s="17">
        <v>902.89999999986298</v>
      </c>
      <c r="O7033" s="16" t="s">
        <v>4695</v>
      </c>
      <c r="R7033" s="6"/>
      <c r="S7033" s="298"/>
    </row>
    <row r="7034" spans="14:19" hidden="1" x14ac:dyDescent="0.25">
      <c r="N7034" s="17">
        <v>902.99999999986301</v>
      </c>
      <c r="O7034" s="16" t="s">
        <v>4671</v>
      </c>
    </row>
    <row r="7035" spans="14:19" hidden="1" x14ac:dyDescent="0.25">
      <c r="N7035" s="17">
        <v>903.09999999986303</v>
      </c>
      <c r="O7035" s="16" t="s">
        <v>4696</v>
      </c>
      <c r="R7035" s="6"/>
      <c r="S7035" s="298"/>
    </row>
    <row r="7036" spans="14:19" hidden="1" x14ac:dyDescent="0.25">
      <c r="N7036" s="17">
        <v>903.19999999986305</v>
      </c>
      <c r="O7036" s="16" t="s">
        <v>4697</v>
      </c>
      <c r="R7036" s="6"/>
      <c r="S7036" s="298"/>
    </row>
    <row r="7037" spans="14:19" hidden="1" x14ac:dyDescent="0.25">
      <c r="N7037" s="17">
        <v>903.29999999986205</v>
      </c>
      <c r="O7037" s="16" t="s">
        <v>4698</v>
      </c>
      <c r="R7037" s="6"/>
      <c r="S7037" s="298"/>
    </row>
    <row r="7038" spans="14:19" hidden="1" x14ac:dyDescent="0.25">
      <c r="N7038" s="17">
        <v>903.39999999986196</v>
      </c>
      <c r="O7038" s="16" t="s">
        <v>4699</v>
      </c>
      <c r="R7038" s="6"/>
      <c r="S7038" s="298"/>
    </row>
    <row r="7039" spans="14:19" hidden="1" x14ac:dyDescent="0.25">
      <c r="N7039" s="17">
        <v>903.49999999986198</v>
      </c>
      <c r="O7039" s="16" t="s">
        <v>4700</v>
      </c>
      <c r="R7039" s="6"/>
      <c r="S7039" s="298"/>
    </row>
    <row r="7040" spans="14:19" hidden="1" x14ac:dyDescent="0.25">
      <c r="N7040" s="17">
        <v>903.59999999986201</v>
      </c>
      <c r="O7040" s="16" t="s">
        <v>6784</v>
      </c>
      <c r="R7040" s="6"/>
      <c r="S7040" s="298"/>
    </row>
    <row r="7041" spans="14:19" hidden="1" x14ac:dyDescent="0.25">
      <c r="N7041" s="17">
        <v>903.69999999986203</v>
      </c>
      <c r="O7041" s="16" t="s">
        <v>6785</v>
      </c>
      <c r="R7041" s="6"/>
      <c r="S7041" s="298"/>
    </row>
    <row r="7042" spans="14:19" hidden="1" x14ac:dyDescent="0.25">
      <c r="N7042" s="17">
        <v>903.79999999986205</v>
      </c>
      <c r="O7042" s="16" t="s">
        <v>6786</v>
      </c>
      <c r="R7042" s="6"/>
      <c r="S7042" s="298"/>
    </row>
    <row r="7043" spans="14:19" hidden="1" x14ac:dyDescent="0.25">
      <c r="N7043" s="17">
        <v>903.89999999986196</v>
      </c>
      <c r="O7043" s="16" t="s">
        <v>6787</v>
      </c>
      <c r="R7043" s="6"/>
      <c r="S7043" s="298"/>
    </row>
    <row r="7044" spans="14:19" hidden="1" x14ac:dyDescent="0.25">
      <c r="N7044" s="17">
        <v>903.99999999986198</v>
      </c>
      <c r="O7044" s="16" t="s">
        <v>4672</v>
      </c>
      <c r="R7044" s="6"/>
      <c r="S7044" s="298"/>
    </row>
    <row r="7045" spans="14:19" hidden="1" x14ac:dyDescent="0.25">
      <c r="N7045" s="17">
        <v>904.09999999986201</v>
      </c>
      <c r="O7045" s="16" t="s">
        <v>6788</v>
      </c>
      <c r="R7045" s="6"/>
      <c r="S7045" s="298"/>
    </row>
    <row r="7046" spans="14:19" hidden="1" x14ac:dyDescent="0.25">
      <c r="N7046" s="17">
        <v>904.19999999986203</v>
      </c>
      <c r="O7046" s="16" t="s">
        <v>6789</v>
      </c>
      <c r="R7046" s="6"/>
      <c r="S7046" s="298"/>
    </row>
    <row r="7047" spans="14:19" hidden="1" x14ac:dyDescent="0.25">
      <c r="N7047" s="17">
        <v>904.29999999986205</v>
      </c>
      <c r="O7047" s="16" t="s">
        <v>6790</v>
      </c>
      <c r="R7047" s="6"/>
      <c r="S7047" s="298"/>
    </row>
    <row r="7048" spans="14:19" hidden="1" x14ac:dyDescent="0.25">
      <c r="N7048" s="17">
        <v>904.39999999986196</v>
      </c>
      <c r="O7048" s="16" t="s">
        <v>6791</v>
      </c>
      <c r="R7048" s="6"/>
      <c r="S7048" s="298"/>
    </row>
    <row r="7049" spans="14:19" hidden="1" x14ac:dyDescent="0.25">
      <c r="N7049" s="17">
        <v>904.49999999986198</v>
      </c>
      <c r="O7049" s="16" t="s">
        <v>6792</v>
      </c>
      <c r="R7049" s="6"/>
      <c r="S7049" s="298"/>
    </row>
    <row r="7050" spans="14:19" hidden="1" x14ac:dyDescent="0.25">
      <c r="N7050" s="17">
        <v>904.59999999986201</v>
      </c>
      <c r="O7050" s="16" t="s">
        <v>6793</v>
      </c>
      <c r="R7050" s="6"/>
      <c r="S7050" s="298"/>
    </row>
    <row r="7051" spans="14:19" hidden="1" x14ac:dyDescent="0.25">
      <c r="N7051" s="17">
        <v>904.69999999986203</v>
      </c>
      <c r="O7051" s="16" t="s">
        <v>6794</v>
      </c>
      <c r="R7051" s="6"/>
      <c r="S7051" s="298"/>
    </row>
    <row r="7052" spans="14:19" hidden="1" x14ac:dyDescent="0.25">
      <c r="N7052" s="17">
        <v>904.79999999986205</v>
      </c>
      <c r="O7052" s="16" t="s">
        <v>6795</v>
      </c>
      <c r="R7052" s="6"/>
      <c r="S7052" s="298"/>
    </row>
    <row r="7053" spans="14:19" hidden="1" x14ac:dyDescent="0.25">
      <c r="N7053" s="17">
        <v>904.89999999986196</v>
      </c>
      <c r="O7053" s="16" t="s">
        <v>6796</v>
      </c>
      <c r="R7053" s="6"/>
      <c r="S7053" s="298"/>
    </row>
    <row r="7054" spans="14:19" hidden="1" x14ac:dyDescent="0.25">
      <c r="N7054" s="17">
        <v>904.99999999986198</v>
      </c>
      <c r="O7054" s="16" t="s">
        <v>6797</v>
      </c>
      <c r="R7054" s="6"/>
      <c r="S7054" s="298"/>
    </row>
    <row r="7055" spans="14:19" hidden="1" x14ac:dyDescent="0.25">
      <c r="N7055" s="17">
        <v>905.09999999986201</v>
      </c>
      <c r="O7055" s="16" t="s">
        <v>6798</v>
      </c>
      <c r="R7055" s="6"/>
      <c r="S7055" s="298"/>
    </row>
    <row r="7056" spans="14:19" hidden="1" x14ac:dyDescent="0.25">
      <c r="N7056" s="17">
        <v>905.19999999986203</v>
      </c>
      <c r="O7056" s="16" t="s">
        <v>6799</v>
      </c>
      <c r="R7056" s="6"/>
      <c r="S7056" s="298"/>
    </row>
    <row r="7057" spans="14:19" hidden="1" x14ac:dyDescent="0.25">
      <c r="N7057" s="17">
        <v>905.29999999986205</v>
      </c>
      <c r="O7057" s="16" t="s">
        <v>6800</v>
      </c>
      <c r="R7057" s="6"/>
      <c r="S7057" s="298"/>
    </row>
    <row r="7058" spans="14:19" hidden="1" x14ac:dyDescent="0.25">
      <c r="N7058" s="17">
        <v>905.39999999986196</v>
      </c>
      <c r="O7058" s="16" t="s">
        <v>7770</v>
      </c>
      <c r="R7058" s="6"/>
      <c r="S7058" s="298"/>
    </row>
    <row r="7059" spans="14:19" hidden="1" x14ac:dyDescent="0.25">
      <c r="N7059" s="17">
        <v>905.49999999986198</v>
      </c>
      <c r="O7059" s="16" t="s">
        <v>7771</v>
      </c>
      <c r="R7059" s="6"/>
      <c r="S7059" s="298"/>
    </row>
    <row r="7060" spans="14:19" hidden="1" x14ac:dyDescent="0.25">
      <c r="N7060" s="17">
        <v>905.59999999986201</v>
      </c>
      <c r="O7060" s="16" t="s">
        <v>7772</v>
      </c>
      <c r="R7060" s="6"/>
      <c r="S7060" s="298"/>
    </row>
    <row r="7061" spans="14:19" hidden="1" x14ac:dyDescent="0.25">
      <c r="N7061" s="17">
        <v>905.69999999986203</v>
      </c>
      <c r="O7061" s="16" t="s">
        <v>7773</v>
      </c>
      <c r="R7061" s="6"/>
      <c r="S7061" s="298"/>
    </row>
    <row r="7062" spans="14:19" hidden="1" x14ac:dyDescent="0.25">
      <c r="N7062" s="17">
        <v>905.79999999986205</v>
      </c>
      <c r="O7062" s="16" t="s">
        <v>7774</v>
      </c>
      <c r="R7062" s="6"/>
      <c r="S7062" s="298"/>
    </row>
    <row r="7063" spans="14:19" hidden="1" x14ac:dyDescent="0.25">
      <c r="N7063" s="17">
        <v>905.89999999986196</v>
      </c>
      <c r="O7063" s="16" t="s">
        <v>7775</v>
      </c>
      <c r="R7063" s="6"/>
      <c r="S7063" s="298"/>
    </row>
    <row r="7064" spans="14:19" hidden="1" x14ac:dyDescent="0.25">
      <c r="N7064" s="17">
        <v>905.99999999986198</v>
      </c>
      <c r="O7064" s="16" t="s">
        <v>4674</v>
      </c>
      <c r="R7064" s="6"/>
      <c r="S7064" s="298"/>
    </row>
    <row r="7065" spans="14:19" hidden="1" x14ac:dyDescent="0.25">
      <c r="N7065" s="17">
        <v>906.09999999986201</v>
      </c>
      <c r="O7065" s="16" t="s">
        <v>7776</v>
      </c>
      <c r="R7065" s="6"/>
      <c r="S7065" s="298"/>
    </row>
    <row r="7066" spans="14:19" hidden="1" x14ac:dyDescent="0.25">
      <c r="N7066" s="17">
        <v>906.19999999986101</v>
      </c>
      <c r="O7066" s="16" t="s">
        <v>7777</v>
      </c>
      <c r="R7066" s="6"/>
      <c r="S7066" s="298"/>
    </row>
    <row r="7067" spans="14:19" hidden="1" x14ac:dyDescent="0.25">
      <c r="N7067" s="17">
        <v>906.29999999986103</v>
      </c>
      <c r="O7067" s="16" t="s">
        <v>7778</v>
      </c>
      <c r="R7067" s="6"/>
      <c r="S7067" s="298"/>
    </row>
    <row r="7068" spans="14:19" hidden="1" x14ac:dyDescent="0.25">
      <c r="N7068" s="17">
        <v>906.39999999986105</v>
      </c>
      <c r="O7068" s="16" t="s">
        <v>7779</v>
      </c>
      <c r="R7068" s="6"/>
      <c r="S7068" s="298"/>
    </row>
    <row r="7069" spans="14:19" hidden="1" x14ac:dyDescent="0.25">
      <c r="N7069" s="17">
        <v>906.49999999986096</v>
      </c>
      <c r="O7069" s="16" t="s">
        <v>6745</v>
      </c>
      <c r="R7069" s="6"/>
      <c r="S7069" s="298"/>
    </row>
    <row r="7070" spans="14:19" hidden="1" x14ac:dyDescent="0.25">
      <c r="N7070" s="17">
        <v>906.59999999986098</v>
      </c>
      <c r="O7070" s="16" t="s">
        <v>6746</v>
      </c>
      <c r="R7070" s="6"/>
      <c r="S7070" s="298"/>
    </row>
    <row r="7071" spans="14:19" hidden="1" x14ac:dyDescent="0.25">
      <c r="N7071" s="17">
        <v>906.69999999986101</v>
      </c>
      <c r="O7071" s="16" t="s">
        <v>6747</v>
      </c>
      <c r="R7071" s="6"/>
      <c r="S7071" s="298"/>
    </row>
    <row r="7072" spans="14:19" hidden="1" x14ac:dyDescent="0.25">
      <c r="N7072" s="17">
        <v>906.79999999986103</v>
      </c>
      <c r="O7072" s="16" t="s">
        <v>6748</v>
      </c>
      <c r="R7072" s="6"/>
      <c r="S7072" s="298"/>
    </row>
    <row r="7073" spans="14:19" hidden="1" x14ac:dyDescent="0.25">
      <c r="N7073" s="17">
        <v>906.89999999986105</v>
      </c>
      <c r="O7073" s="16" t="s">
        <v>6749</v>
      </c>
      <c r="R7073" s="6"/>
      <c r="S7073" s="298"/>
    </row>
    <row r="7074" spans="14:19" hidden="1" x14ac:dyDescent="0.25">
      <c r="N7074" s="17">
        <v>906.99999999986096</v>
      </c>
      <c r="O7074" s="16" t="s">
        <v>4675</v>
      </c>
      <c r="R7074" s="6"/>
      <c r="S7074" s="298"/>
    </row>
    <row r="7075" spans="14:19" hidden="1" x14ac:dyDescent="0.25">
      <c r="N7075" s="17">
        <v>907.09999999986098</v>
      </c>
      <c r="O7075" s="16" t="s">
        <v>6750</v>
      </c>
      <c r="R7075" s="6"/>
      <c r="S7075" s="298"/>
    </row>
    <row r="7076" spans="14:19" hidden="1" x14ac:dyDescent="0.25">
      <c r="N7076" s="17">
        <v>907.19999999986101</v>
      </c>
      <c r="O7076" s="16" t="s">
        <v>6751</v>
      </c>
      <c r="R7076" s="6"/>
      <c r="S7076" s="298"/>
    </row>
    <row r="7077" spans="14:19" hidden="1" x14ac:dyDescent="0.25">
      <c r="N7077" s="17">
        <v>907.29999999986103</v>
      </c>
      <c r="O7077" s="16" t="s">
        <v>6752</v>
      </c>
      <c r="R7077" s="6"/>
      <c r="S7077" s="298"/>
    </row>
    <row r="7078" spans="14:19" hidden="1" x14ac:dyDescent="0.25">
      <c r="N7078" s="17">
        <v>907.39999999986105</v>
      </c>
      <c r="O7078" s="16" t="s">
        <v>6753</v>
      </c>
      <c r="R7078" s="6"/>
      <c r="S7078" s="298"/>
    </row>
    <row r="7079" spans="14:19" hidden="1" x14ac:dyDescent="0.25">
      <c r="N7079" s="17">
        <v>907.49999999986096</v>
      </c>
      <c r="O7079" s="16" t="s">
        <v>6754</v>
      </c>
      <c r="R7079" s="6"/>
      <c r="S7079" s="298"/>
    </row>
    <row r="7080" spans="14:19" hidden="1" x14ac:dyDescent="0.25">
      <c r="N7080" s="17">
        <v>907.59999999986098</v>
      </c>
      <c r="O7080" s="16" t="s">
        <v>6755</v>
      </c>
      <c r="R7080" s="6"/>
      <c r="S7080" s="298"/>
    </row>
    <row r="7081" spans="14:19" hidden="1" x14ac:dyDescent="0.25">
      <c r="N7081" s="17">
        <v>907.69999999986101</v>
      </c>
      <c r="O7081" s="16" t="s">
        <v>6756</v>
      </c>
      <c r="R7081" s="6"/>
      <c r="S7081" s="298"/>
    </row>
    <row r="7082" spans="14:19" hidden="1" x14ac:dyDescent="0.25">
      <c r="N7082" s="17">
        <v>907.79999999986103</v>
      </c>
      <c r="O7082" s="16" t="s">
        <v>6757</v>
      </c>
      <c r="R7082" s="6"/>
      <c r="S7082" s="298"/>
    </row>
    <row r="7083" spans="14:19" hidden="1" x14ac:dyDescent="0.25">
      <c r="N7083" s="17">
        <v>907.89999999986105</v>
      </c>
      <c r="O7083" s="16" t="s">
        <v>6758</v>
      </c>
      <c r="R7083" s="6"/>
      <c r="S7083" s="298"/>
    </row>
    <row r="7084" spans="14:19" hidden="1" x14ac:dyDescent="0.25">
      <c r="N7084" s="17">
        <v>907.99999999986096</v>
      </c>
      <c r="O7084" s="16" t="s">
        <v>4676</v>
      </c>
    </row>
    <row r="7085" spans="14:19" hidden="1" x14ac:dyDescent="0.25">
      <c r="N7085" s="17">
        <v>908.09999999986098</v>
      </c>
      <c r="O7085" s="16" t="s">
        <v>6759</v>
      </c>
    </row>
    <row r="7086" spans="14:19" hidden="1" x14ac:dyDescent="0.25">
      <c r="N7086" s="17">
        <v>908.19999999986101</v>
      </c>
      <c r="O7086" s="16" t="s">
        <v>6760</v>
      </c>
    </row>
    <row r="7087" spans="14:19" hidden="1" x14ac:dyDescent="0.25">
      <c r="N7087" s="17">
        <v>908.29999999986103</v>
      </c>
      <c r="O7087" s="16" t="s">
        <v>6761</v>
      </c>
    </row>
    <row r="7088" spans="14:19" hidden="1" x14ac:dyDescent="0.25">
      <c r="N7088" s="17">
        <v>908.39999999986105</v>
      </c>
      <c r="O7088" s="16" t="s">
        <v>6762</v>
      </c>
    </row>
    <row r="7089" spans="14:19" hidden="1" x14ac:dyDescent="0.25">
      <c r="N7089" s="17">
        <v>908.49999999986096</v>
      </c>
      <c r="O7089" s="16" t="s">
        <v>6763</v>
      </c>
    </row>
    <row r="7090" spans="14:19" hidden="1" x14ac:dyDescent="0.25">
      <c r="N7090" s="17">
        <v>908.59999999986098</v>
      </c>
      <c r="O7090" s="16" t="s">
        <v>6764</v>
      </c>
    </row>
    <row r="7091" spans="14:19" hidden="1" x14ac:dyDescent="0.25">
      <c r="N7091" s="17">
        <v>908.69999999986101</v>
      </c>
      <c r="O7091" s="16" t="s">
        <v>6765</v>
      </c>
    </row>
    <row r="7092" spans="14:19" hidden="1" x14ac:dyDescent="0.25">
      <c r="N7092" s="17">
        <v>908.79999999986103</v>
      </c>
      <c r="O7092" s="16" t="s">
        <v>6766</v>
      </c>
    </row>
    <row r="7093" spans="14:19" hidden="1" x14ac:dyDescent="0.25">
      <c r="N7093" s="17">
        <v>908.89999999986105</v>
      </c>
      <c r="O7093" s="16" t="s">
        <v>6767</v>
      </c>
    </row>
    <row r="7094" spans="14:19" hidden="1" x14ac:dyDescent="0.25">
      <c r="N7094" s="17">
        <v>908.99999999986096</v>
      </c>
      <c r="O7094" s="16" t="s">
        <v>6768</v>
      </c>
      <c r="R7094" s="6"/>
      <c r="S7094" s="298"/>
    </row>
    <row r="7095" spans="14:19" hidden="1" x14ac:dyDescent="0.25">
      <c r="N7095" s="17">
        <v>909.09999999986098</v>
      </c>
      <c r="O7095" s="16" t="s">
        <v>6769</v>
      </c>
      <c r="R7095" s="6"/>
      <c r="S7095" s="298"/>
    </row>
    <row r="7096" spans="14:19" hidden="1" x14ac:dyDescent="0.25">
      <c r="N7096" s="17">
        <v>909.19999999985998</v>
      </c>
      <c r="O7096" s="16" t="s">
        <v>6770</v>
      </c>
      <c r="R7096" s="6"/>
      <c r="S7096" s="298"/>
    </row>
    <row r="7097" spans="14:19" hidden="1" x14ac:dyDescent="0.25">
      <c r="N7097" s="17">
        <v>909.29999999986001</v>
      </c>
      <c r="O7097" s="16" t="s">
        <v>6771</v>
      </c>
      <c r="R7097" s="6"/>
      <c r="S7097" s="298"/>
    </row>
    <row r="7098" spans="14:19" hidden="1" x14ac:dyDescent="0.25">
      <c r="N7098" s="17">
        <v>909.39999999986003</v>
      </c>
      <c r="O7098" s="16" t="s">
        <v>6772</v>
      </c>
      <c r="R7098" s="6"/>
      <c r="S7098" s="298"/>
    </row>
    <row r="7099" spans="14:19" hidden="1" x14ac:dyDescent="0.25">
      <c r="N7099" s="17">
        <v>909.49999999986005</v>
      </c>
      <c r="O7099" s="16" t="s">
        <v>6773</v>
      </c>
      <c r="R7099" s="6"/>
      <c r="S7099" s="298"/>
    </row>
    <row r="7100" spans="14:19" hidden="1" x14ac:dyDescent="0.25">
      <c r="N7100" s="17">
        <v>909.59999999985996</v>
      </c>
      <c r="O7100" s="16" t="s">
        <v>6774</v>
      </c>
      <c r="R7100" s="6"/>
      <c r="S7100" s="298"/>
    </row>
    <row r="7101" spans="14:19" hidden="1" x14ac:dyDescent="0.25">
      <c r="N7101" s="17">
        <v>909.69999999985998</v>
      </c>
      <c r="O7101" s="16" t="s">
        <v>6775</v>
      </c>
      <c r="R7101" s="6"/>
      <c r="S7101" s="298"/>
    </row>
    <row r="7102" spans="14:19" hidden="1" x14ac:dyDescent="0.25">
      <c r="N7102" s="17">
        <v>909.79999999986001</v>
      </c>
      <c r="O7102" s="16" t="s">
        <v>6776</v>
      </c>
      <c r="R7102" s="6"/>
      <c r="S7102" s="298"/>
    </row>
    <row r="7103" spans="14:19" hidden="1" x14ac:dyDescent="0.25">
      <c r="N7103" s="17">
        <v>909.89999999986003</v>
      </c>
      <c r="O7103" s="16" t="s">
        <v>6777</v>
      </c>
      <c r="R7103" s="6"/>
      <c r="S7103" s="298"/>
    </row>
    <row r="7104" spans="14:19" hidden="1" x14ac:dyDescent="0.25">
      <c r="N7104" s="17">
        <v>909.99999999986005</v>
      </c>
      <c r="O7104" s="16" t="s">
        <v>6778</v>
      </c>
      <c r="R7104" s="6"/>
      <c r="S7104" s="298"/>
    </row>
    <row r="7105" spans="14:19" hidden="1" x14ac:dyDescent="0.25">
      <c r="N7105" s="17">
        <v>910.09999999985996</v>
      </c>
      <c r="O7105" s="16" t="s">
        <v>6779</v>
      </c>
      <c r="R7105" s="6"/>
      <c r="S7105" s="298"/>
    </row>
    <row r="7106" spans="14:19" hidden="1" x14ac:dyDescent="0.25">
      <c r="N7106" s="17">
        <v>910.19999999985998</v>
      </c>
      <c r="O7106" s="16" t="s">
        <v>6780</v>
      </c>
      <c r="R7106" s="6"/>
      <c r="S7106" s="298"/>
    </row>
    <row r="7107" spans="14:19" hidden="1" x14ac:dyDescent="0.25">
      <c r="N7107" s="17">
        <v>910.29999999986001</v>
      </c>
      <c r="O7107" s="16" t="s">
        <v>6781</v>
      </c>
      <c r="R7107" s="6"/>
      <c r="S7107" s="298"/>
    </row>
    <row r="7108" spans="14:19" hidden="1" x14ac:dyDescent="0.25">
      <c r="N7108" s="17">
        <v>910.39999999986003</v>
      </c>
      <c r="O7108" s="16" t="s">
        <v>6782</v>
      </c>
      <c r="R7108" s="6"/>
      <c r="S7108" s="298"/>
    </row>
    <row r="7109" spans="14:19" hidden="1" x14ac:dyDescent="0.25">
      <c r="N7109" s="17">
        <v>910.49999999986005</v>
      </c>
      <c r="O7109" s="16" t="s">
        <v>6783</v>
      </c>
      <c r="R7109" s="6"/>
      <c r="S7109" s="298"/>
    </row>
    <row r="7110" spans="14:19" hidden="1" x14ac:dyDescent="0.25">
      <c r="N7110" s="17">
        <v>910.59999999985996</v>
      </c>
      <c r="O7110" s="16" t="s">
        <v>7746</v>
      </c>
      <c r="R7110" s="6"/>
      <c r="S7110" s="298"/>
    </row>
    <row r="7111" spans="14:19" hidden="1" x14ac:dyDescent="0.25">
      <c r="N7111" s="17">
        <v>910.69999999985998</v>
      </c>
      <c r="O7111" s="16" t="s">
        <v>7747</v>
      </c>
      <c r="R7111" s="6"/>
      <c r="S7111" s="298"/>
    </row>
    <row r="7112" spans="14:19" hidden="1" x14ac:dyDescent="0.25">
      <c r="N7112" s="17">
        <v>910.79999999986001</v>
      </c>
      <c r="O7112" s="16" t="s">
        <v>7748</v>
      </c>
      <c r="R7112" s="6"/>
      <c r="S7112" s="298"/>
    </row>
    <row r="7113" spans="14:19" hidden="1" x14ac:dyDescent="0.25">
      <c r="N7113" s="17">
        <v>910.89999999986003</v>
      </c>
      <c r="O7113" s="16" t="s">
        <v>7749</v>
      </c>
      <c r="R7113" s="6"/>
      <c r="S7113" s="298"/>
    </row>
    <row r="7114" spans="14:19" hidden="1" x14ac:dyDescent="0.25">
      <c r="N7114" s="17">
        <v>910.99999999986005</v>
      </c>
      <c r="O7114" s="16" t="s">
        <v>7750</v>
      </c>
      <c r="R7114" s="6"/>
      <c r="S7114" s="298"/>
    </row>
    <row r="7115" spans="14:19" hidden="1" x14ac:dyDescent="0.25">
      <c r="N7115" s="17">
        <v>911.09999999985996</v>
      </c>
      <c r="O7115" s="16" t="s">
        <v>7751</v>
      </c>
      <c r="R7115" s="6"/>
      <c r="S7115" s="298"/>
    </row>
    <row r="7116" spans="14:19" hidden="1" x14ac:dyDescent="0.25">
      <c r="N7116" s="17">
        <v>911.19999999985998</v>
      </c>
      <c r="O7116" s="16" t="s">
        <v>7752</v>
      </c>
      <c r="R7116" s="6"/>
      <c r="S7116" s="298"/>
    </row>
    <row r="7117" spans="14:19" hidden="1" x14ac:dyDescent="0.25">
      <c r="N7117" s="17">
        <v>911.29999999986001</v>
      </c>
      <c r="O7117" s="16" t="s">
        <v>7753</v>
      </c>
      <c r="R7117" s="6"/>
      <c r="S7117" s="298"/>
    </row>
    <row r="7118" spans="14:19" hidden="1" x14ac:dyDescent="0.25">
      <c r="N7118" s="17">
        <v>911.39999999986003</v>
      </c>
      <c r="O7118" s="16" t="s">
        <v>7754</v>
      </c>
      <c r="R7118" s="6"/>
      <c r="S7118" s="298"/>
    </row>
    <row r="7119" spans="14:19" hidden="1" x14ac:dyDescent="0.25">
      <c r="N7119" s="17">
        <v>911.49999999986005</v>
      </c>
      <c r="O7119" s="16" t="s">
        <v>7755</v>
      </c>
      <c r="R7119" s="6"/>
      <c r="S7119" s="298"/>
    </row>
    <row r="7120" spans="14:19" hidden="1" x14ac:dyDescent="0.25">
      <c r="N7120" s="17">
        <v>911.59999999985996</v>
      </c>
      <c r="O7120" s="16" t="s">
        <v>7051</v>
      </c>
      <c r="R7120" s="6"/>
      <c r="S7120" s="298"/>
    </row>
    <row r="7121" spans="14:19" hidden="1" x14ac:dyDescent="0.25">
      <c r="N7121" s="17">
        <v>911.69999999985998</v>
      </c>
      <c r="O7121" s="16" t="s">
        <v>7052</v>
      </c>
      <c r="R7121" s="6"/>
      <c r="S7121" s="298"/>
    </row>
    <row r="7122" spans="14:19" hidden="1" x14ac:dyDescent="0.25">
      <c r="N7122" s="17">
        <v>911.79999999986001</v>
      </c>
      <c r="O7122" s="16" t="s">
        <v>7006</v>
      </c>
      <c r="R7122" s="6"/>
      <c r="S7122" s="298"/>
    </row>
    <row r="7123" spans="14:19" hidden="1" x14ac:dyDescent="0.25">
      <c r="N7123" s="17">
        <v>911.89999999986003</v>
      </c>
      <c r="O7123" s="16" t="s">
        <v>7007</v>
      </c>
      <c r="R7123" s="6"/>
      <c r="S7123" s="298"/>
    </row>
    <row r="7124" spans="14:19" hidden="1" x14ac:dyDescent="0.25">
      <c r="N7124" s="17">
        <v>911.99999999986005</v>
      </c>
      <c r="O7124" s="16" t="s">
        <v>7008</v>
      </c>
      <c r="R7124" s="6"/>
      <c r="S7124" s="298"/>
    </row>
    <row r="7125" spans="14:19" hidden="1" x14ac:dyDescent="0.25">
      <c r="N7125" s="17">
        <v>912.09999999985905</v>
      </c>
      <c r="O7125" s="16" t="s">
        <v>7009</v>
      </c>
      <c r="R7125" s="6"/>
      <c r="S7125" s="298"/>
    </row>
    <row r="7126" spans="14:19" hidden="1" x14ac:dyDescent="0.25">
      <c r="N7126" s="17">
        <v>912.19999999985896</v>
      </c>
      <c r="O7126" s="16" t="s">
        <v>7010</v>
      </c>
      <c r="R7126" s="6"/>
      <c r="S7126" s="298"/>
    </row>
    <row r="7127" spans="14:19" hidden="1" x14ac:dyDescent="0.25">
      <c r="N7127" s="17">
        <v>912.29999999985898</v>
      </c>
      <c r="O7127" s="16" t="s">
        <v>7011</v>
      </c>
      <c r="R7127" s="6"/>
      <c r="S7127" s="298"/>
    </row>
    <row r="7128" spans="14:19" hidden="1" x14ac:dyDescent="0.25">
      <c r="N7128" s="17">
        <v>912.39999999985901</v>
      </c>
      <c r="O7128" s="16" t="s">
        <v>7012</v>
      </c>
      <c r="R7128" s="6"/>
      <c r="S7128" s="298"/>
    </row>
    <row r="7129" spans="14:19" hidden="1" x14ac:dyDescent="0.25">
      <c r="N7129" s="17">
        <v>912.49999999985903</v>
      </c>
      <c r="O7129" s="16" t="s">
        <v>7013</v>
      </c>
      <c r="R7129" s="6"/>
      <c r="S7129" s="298"/>
    </row>
    <row r="7130" spans="14:19" hidden="1" x14ac:dyDescent="0.25">
      <c r="N7130" s="17">
        <v>912.59999999985905</v>
      </c>
      <c r="O7130" s="16" t="s">
        <v>7014</v>
      </c>
      <c r="R7130" s="6"/>
      <c r="S7130" s="298"/>
    </row>
    <row r="7131" spans="14:19" hidden="1" x14ac:dyDescent="0.25">
      <c r="N7131" s="17">
        <v>912.69999999985896</v>
      </c>
      <c r="O7131" s="16" t="s">
        <v>7015</v>
      </c>
      <c r="R7131" s="6"/>
      <c r="S7131" s="298"/>
    </row>
    <row r="7132" spans="14:19" hidden="1" x14ac:dyDescent="0.25">
      <c r="N7132" s="17">
        <v>912.79999999985898</v>
      </c>
      <c r="O7132" s="16" t="s">
        <v>7016</v>
      </c>
      <c r="R7132" s="6"/>
      <c r="S7132" s="298"/>
    </row>
    <row r="7133" spans="14:19" hidden="1" x14ac:dyDescent="0.25">
      <c r="N7133" s="17">
        <v>912.89999999985901</v>
      </c>
      <c r="O7133" s="16" t="s">
        <v>7017</v>
      </c>
      <c r="R7133" s="6"/>
      <c r="S7133" s="298"/>
    </row>
    <row r="7134" spans="14:19" hidden="1" x14ac:dyDescent="0.25">
      <c r="N7134" s="17">
        <v>912.99999999985903</v>
      </c>
      <c r="O7134" s="16" t="s">
        <v>7018</v>
      </c>
      <c r="R7134" s="6"/>
      <c r="S7134" s="298"/>
    </row>
    <row r="7135" spans="14:19" hidden="1" x14ac:dyDescent="0.25">
      <c r="N7135" s="17">
        <v>913.09999999985905</v>
      </c>
      <c r="O7135" s="16" t="s">
        <v>7019</v>
      </c>
      <c r="R7135" s="6"/>
      <c r="S7135" s="298"/>
    </row>
    <row r="7136" spans="14:19" hidden="1" x14ac:dyDescent="0.25">
      <c r="N7136" s="17">
        <v>913.19999999985896</v>
      </c>
      <c r="O7136" s="16" t="s">
        <v>7020</v>
      </c>
      <c r="R7136" s="6"/>
      <c r="S7136" s="298"/>
    </row>
    <row r="7137" spans="14:19" hidden="1" x14ac:dyDescent="0.25">
      <c r="N7137" s="17">
        <v>913.29999999985898</v>
      </c>
      <c r="O7137" s="16" t="s">
        <v>7021</v>
      </c>
      <c r="R7137" s="6"/>
      <c r="S7137" s="298"/>
    </row>
    <row r="7138" spans="14:19" hidden="1" x14ac:dyDescent="0.25">
      <c r="N7138" s="17">
        <v>913.39999999985901</v>
      </c>
      <c r="O7138" s="16" t="s">
        <v>7022</v>
      </c>
      <c r="R7138" s="6"/>
      <c r="S7138" s="298"/>
    </row>
    <row r="7139" spans="14:19" hidden="1" x14ac:dyDescent="0.25">
      <c r="N7139" s="17">
        <v>913.49999999985903</v>
      </c>
      <c r="O7139" s="16" t="s">
        <v>7023</v>
      </c>
      <c r="R7139" s="6"/>
      <c r="S7139" s="298"/>
    </row>
    <row r="7140" spans="14:19" hidden="1" x14ac:dyDescent="0.25">
      <c r="N7140" s="17">
        <v>913.59999999985905</v>
      </c>
      <c r="O7140" s="16" t="s">
        <v>7024</v>
      </c>
      <c r="R7140" s="6"/>
      <c r="S7140" s="298"/>
    </row>
    <row r="7141" spans="14:19" hidden="1" x14ac:dyDescent="0.25">
      <c r="N7141" s="17">
        <v>913.69999999985896</v>
      </c>
      <c r="O7141" s="16" t="s">
        <v>7025</v>
      </c>
      <c r="R7141" s="6"/>
      <c r="S7141" s="298"/>
    </row>
    <row r="7142" spans="14:19" hidden="1" x14ac:dyDescent="0.25">
      <c r="N7142" s="17">
        <v>913.79999999985898</v>
      </c>
      <c r="O7142" s="16" t="s">
        <v>7026</v>
      </c>
      <c r="R7142" s="6"/>
      <c r="S7142" s="298"/>
    </row>
    <row r="7143" spans="14:19" hidden="1" x14ac:dyDescent="0.25">
      <c r="N7143" s="17">
        <v>913.89999999985901</v>
      </c>
      <c r="O7143" s="16" t="s">
        <v>7027</v>
      </c>
      <c r="R7143" s="6"/>
      <c r="S7143" s="298"/>
    </row>
    <row r="7144" spans="14:19" hidden="1" x14ac:dyDescent="0.25">
      <c r="N7144" s="17">
        <v>913.99999999985903</v>
      </c>
      <c r="O7144" s="16" t="s">
        <v>7028</v>
      </c>
      <c r="R7144" s="6"/>
      <c r="S7144" s="298"/>
    </row>
    <row r="7145" spans="14:19" hidden="1" x14ac:dyDescent="0.25">
      <c r="N7145" s="17">
        <v>914.09999999985905</v>
      </c>
      <c r="O7145" s="16" t="s">
        <v>7029</v>
      </c>
      <c r="R7145" s="6"/>
      <c r="S7145" s="298"/>
    </row>
    <row r="7146" spans="14:19" hidden="1" x14ac:dyDescent="0.25">
      <c r="N7146" s="17">
        <v>914.19999999985896</v>
      </c>
      <c r="O7146" s="16" t="s">
        <v>7030</v>
      </c>
      <c r="R7146" s="6"/>
      <c r="S7146" s="298"/>
    </row>
    <row r="7147" spans="14:19" hidden="1" x14ac:dyDescent="0.25">
      <c r="N7147" s="17">
        <v>914.29999999985898</v>
      </c>
      <c r="O7147" s="16" t="s">
        <v>7031</v>
      </c>
      <c r="R7147" s="6"/>
      <c r="S7147" s="298"/>
    </row>
    <row r="7148" spans="14:19" hidden="1" x14ac:dyDescent="0.25">
      <c r="N7148" s="17">
        <v>914.39999999985901</v>
      </c>
      <c r="O7148" s="16" t="s">
        <v>7032</v>
      </c>
      <c r="R7148" s="6"/>
      <c r="S7148" s="298"/>
    </row>
    <row r="7149" spans="14:19" hidden="1" x14ac:dyDescent="0.25">
      <c r="N7149" s="17">
        <v>914.49999999985903</v>
      </c>
      <c r="O7149" s="16" t="s">
        <v>7033</v>
      </c>
      <c r="R7149" s="6"/>
      <c r="S7149" s="298"/>
    </row>
    <row r="7150" spans="14:19" hidden="1" x14ac:dyDescent="0.25">
      <c r="N7150" s="17">
        <v>914.59999999985905</v>
      </c>
      <c r="O7150" s="16" t="s">
        <v>7034</v>
      </c>
      <c r="R7150" s="6"/>
      <c r="S7150" s="298"/>
    </row>
    <row r="7151" spans="14:19" hidden="1" x14ac:dyDescent="0.25">
      <c r="N7151" s="17">
        <v>914.69999999985896</v>
      </c>
      <c r="O7151" s="16" t="s">
        <v>7035</v>
      </c>
      <c r="R7151" s="6"/>
      <c r="S7151" s="298"/>
    </row>
    <row r="7152" spans="14:19" hidden="1" x14ac:dyDescent="0.25">
      <c r="N7152" s="17">
        <v>914.79999999985898</v>
      </c>
      <c r="O7152" s="16" t="s">
        <v>7036</v>
      </c>
      <c r="R7152" s="6"/>
      <c r="S7152" s="298"/>
    </row>
    <row r="7153" spans="14:19" hidden="1" x14ac:dyDescent="0.25">
      <c r="N7153" s="17">
        <v>914.89999999985901</v>
      </c>
      <c r="O7153" s="16" t="s">
        <v>7037</v>
      </c>
      <c r="R7153" s="6"/>
      <c r="S7153" s="298"/>
    </row>
    <row r="7154" spans="14:19" hidden="1" x14ac:dyDescent="0.25">
      <c r="N7154" s="17">
        <v>914.99999999985801</v>
      </c>
      <c r="O7154" s="16" t="s">
        <v>7038</v>
      </c>
      <c r="R7154" s="6"/>
      <c r="S7154" s="298"/>
    </row>
    <row r="7155" spans="14:19" hidden="1" x14ac:dyDescent="0.25">
      <c r="N7155" s="17">
        <v>915.09999999985803</v>
      </c>
      <c r="O7155" s="16" t="s">
        <v>7039</v>
      </c>
      <c r="R7155" s="6"/>
      <c r="S7155" s="298"/>
    </row>
    <row r="7156" spans="14:19" hidden="1" x14ac:dyDescent="0.25">
      <c r="N7156" s="17">
        <v>915.19999999985805</v>
      </c>
      <c r="O7156" s="16" t="s">
        <v>4958</v>
      </c>
      <c r="R7156" s="6"/>
      <c r="S7156" s="298"/>
    </row>
    <row r="7157" spans="14:19" hidden="1" x14ac:dyDescent="0.25">
      <c r="N7157" s="17">
        <v>915.29999999985796</v>
      </c>
      <c r="O7157" s="16" t="s">
        <v>4959</v>
      </c>
      <c r="R7157" s="6"/>
      <c r="S7157" s="298"/>
    </row>
    <row r="7158" spans="14:19" hidden="1" x14ac:dyDescent="0.25">
      <c r="N7158" s="17">
        <v>915.39999999985798</v>
      </c>
      <c r="O7158" s="16" t="s">
        <v>7055</v>
      </c>
      <c r="R7158" s="6"/>
      <c r="S7158" s="298"/>
    </row>
    <row r="7159" spans="14:19" hidden="1" x14ac:dyDescent="0.25">
      <c r="N7159" s="17">
        <v>915.49999999985801</v>
      </c>
      <c r="O7159" s="16" t="s">
        <v>7056</v>
      </c>
      <c r="R7159" s="6"/>
      <c r="S7159" s="298"/>
    </row>
    <row r="7160" spans="14:19" hidden="1" x14ac:dyDescent="0.25">
      <c r="N7160" s="17">
        <v>915.59999999985803</v>
      </c>
      <c r="O7160" s="16" t="s">
        <v>7057</v>
      </c>
      <c r="R7160" s="6"/>
      <c r="S7160" s="298"/>
    </row>
    <row r="7161" spans="14:19" hidden="1" x14ac:dyDescent="0.25">
      <c r="N7161" s="17">
        <v>915.69999999985805</v>
      </c>
      <c r="O7161" s="16" t="s">
        <v>7058</v>
      </c>
      <c r="R7161" s="6"/>
      <c r="S7161" s="298"/>
    </row>
    <row r="7162" spans="14:19" hidden="1" x14ac:dyDescent="0.25">
      <c r="N7162" s="17">
        <v>915.79999999985796</v>
      </c>
      <c r="O7162" s="16" t="s">
        <v>7059</v>
      </c>
      <c r="R7162" s="6"/>
      <c r="S7162" s="298"/>
    </row>
    <row r="7163" spans="14:19" hidden="1" x14ac:dyDescent="0.25">
      <c r="N7163" s="17">
        <v>915.89999999985798</v>
      </c>
      <c r="O7163" s="16" t="s">
        <v>7060</v>
      </c>
      <c r="R7163" s="6"/>
      <c r="S7163" s="298"/>
    </row>
    <row r="7164" spans="14:19" hidden="1" x14ac:dyDescent="0.25">
      <c r="N7164" s="17">
        <v>915.99999999985801</v>
      </c>
      <c r="O7164" s="16" t="s">
        <v>7061</v>
      </c>
      <c r="R7164" s="6"/>
      <c r="S7164" s="298"/>
    </row>
    <row r="7165" spans="14:19" hidden="1" x14ac:dyDescent="0.25">
      <c r="N7165" s="17">
        <v>916.09999999985803</v>
      </c>
      <c r="O7165" s="16" t="s">
        <v>7062</v>
      </c>
      <c r="R7165" s="6"/>
      <c r="S7165" s="298"/>
    </row>
    <row r="7166" spans="14:19" hidden="1" x14ac:dyDescent="0.25">
      <c r="N7166" s="17">
        <v>916.19999999985805</v>
      </c>
      <c r="O7166" s="16" t="s">
        <v>7063</v>
      </c>
      <c r="R7166" s="6"/>
      <c r="S7166" s="298"/>
    </row>
    <row r="7167" spans="14:19" hidden="1" x14ac:dyDescent="0.25">
      <c r="N7167" s="17">
        <v>916.29999999985796</v>
      </c>
      <c r="O7167" s="16" t="s">
        <v>7064</v>
      </c>
      <c r="R7167" s="6"/>
      <c r="S7167" s="298"/>
    </row>
    <row r="7168" spans="14:19" hidden="1" x14ac:dyDescent="0.25">
      <c r="N7168" s="17">
        <v>916.39999999985798</v>
      </c>
      <c r="O7168" s="16" t="s">
        <v>7065</v>
      </c>
      <c r="R7168" s="6"/>
      <c r="S7168" s="298"/>
    </row>
    <row r="7169" spans="14:19" hidden="1" x14ac:dyDescent="0.25">
      <c r="N7169" s="17">
        <v>916.49999999985801</v>
      </c>
      <c r="O7169" s="16" t="s">
        <v>7066</v>
      </c>
      <c r="R7169" s="6"/>
      <c r="S7169" s="298"/>
    </row>
    <row r="7170" spans="14:19" hidden="1" x14ac:dyDescent="0.25">
      <c r="N7170" s="17">
        <v>916.59999999985803</v>
      </c>
      <c r="O7170" s="16" t="s">
        <v>7067</v>
      </c>
      <c r="R7170" s="6"/>
      <c r="S7170" s="298"/>
    </row>
    <row r="7171" spans="14:19" hidden="1" x14ac:dyDescent="0.25">
      <c r="N7171" s="17">
        <v>916.69999999985805</v>
      </c>
      <c r="O7171" s="16" t="s">
        <v>7907</v>
      </c>
      <c r="R7171" s="6"/>
      <c r="S7171" s="298"/>
    </row>
    <row r="7172" spans="14:19" hidden="1" x14ac:dyDescent="0.25">
      <c r="N7172" s="17">
        <v>916.79999999985796</v>
      </c>
      <c r="O7172" s="16" t="s">
        <v>7908</v>
      </c>
      <c r="R7172" s="6"/>
      <c r="S7172" s="298"/>
    </row>
    <row r="7173" spans="14:19" hidden="1" x14ac:dyDescent="0.25">
      <c r="N7173" s="17">
        <v>916.89999999985798</v>
      </c>
      <c r="O7173" s="16" t="s">
        <v>7909</v>
      </c>
      <c r="R7173" s="6"/>
      <c r="S7173" s="298"/>
    </row>
    <row r="7174" spans="14:19" hidden="1" x14ac:dyDescent="0.25">
      <c r="N7174" s="17">
        <v>916.99999999985801</v>
      </c>
      <c r="O7174" s="16" t="s">
        <v>7910</v>
      </c>
      <c r="R7174" s="6"/>
      <c r="S7174" s="298"/>
    </row>
    <row r="7175" spans="14:19" hidden="1" x14ac:dyDescent="0.25">
      <c r="N7175" s="17">
        <v>917.09999999985803</v>
      </c>
      <c r="O7175" s="16" t="s">
        <v>7911</v>
      </c>
      <c r="R7175" s="6"/>
      <c r="S7175" s="298"/>
    </row>
    <row r="7176" spans="14:19" hidden="1" x14ac:dyDescent="0.25">
      <c r="N7176" s="17">
        <v>917.19999999985805</v>
      </c>
      <c r="O7176" s="16" t="s">
        <v>7912</v>
      </c>
      <c r="R7176" s="6"/>
      <c r="S7176" s="298"/>
    </row>
    <row r="7177" spans="14:19" hidden="1" x14ac:dyDescent="0.25">
      <c r="N7177" s="17">
        <v>917.29999999985796</v>
      </c>
      <c r="O7177" s="16" t="s">
        <v>7913</v>
      </c>
      <c r="R7177" s="6"/>
      <c r="S7177" s="298"/>
    </row>
    <row r="7178" spans="14:19" hidden="1" x14ac:dyDescent="0.25">
      <c r="N7178" s="17">
        <v>917.39999999985798</v>
      </c>
      <c r="O7178" s="16" t="s">
        <v>7914</v>
      </c>
      <c r="R7178" s="6"/>
      <c r="S7178" s="298"/>
    </row>
    <row r="7179" spans="14:19" hidden="1" x14ac:dyDescent="0.25">
      <c r="N7179" s="17">
        <v>917.49999999985801</v>
      </c>
      <c r="O7179" s="16" t="s">
        <v>7915</v>
      </c>
      <c r="R7179" s="6"/>
      <c r="S7179" s="298"/>
    </row>
    <row r="7180" spans="14:19" hidden="1" x14ac:dyDescent="0.25">
      <c r="N7180" s="17">
        <v>917.59999999985803</v>
      </c>
      <c r="O7180" s="16" t="s">
        <v>7916</v>
      </c>
      <c r="R7180" s="6"/>
      <c r="S7180" s="298"/>
    </row>
    <row r="7181" spans="14:19" hidden="1" x14ac:dyDescent="0.25">
      <c r="N7181" s="17">
        <v>917.69999999985805</v>
      </c>
      <c r="O7181" s="16" t="s">
        <v>7917</v>
      </c>
      <c r="R7181" s="6"/>
      <c r="S7181" s="298"/>
    </row>
    <row r="7182" spans="14:19" hidden="1" x14ac:dyDescent="0.25">
      <c r="N7182" s="17">
        <v>917.79999999985796</v>
      </c>
      <c r="O7182" s="16" t="s">
        <v>7918</v>
      </c>
      <c r="R7182" s="6"/>
      <c r="S7182" s="298"/>
    </row>
    <row r="7183" spans="14:19" hidden="1" x14ac:dyDescent="0.25">
      <c r="N7183" s="17">
        <v>917.89999999985798</v>
      </c>
      <c r="O7183" s="16" t="s">
        <v>7919</v>
      </c>
      <c r="R7183" s="6"/>
      <c r="S7183" s="298"/>
    </row>
    <row r="7184" spans="14:19" hidden="1" x14ac:dyDescent="0.25">
      <c r="N7184" s="17">
        <v>917.99999999985698</v>
      </c>
      <c r="O7184" s="16" t="s">
        <v>7920</v>
      </c>
      <c r="R7184" s="6"/>
      <c r="S7184" s="298"/>
    </row>
    <row r="7185" spans="14:19" hidden="1" x14ac:dyDescent="0.25">
      <c r="N7185" s="17">
        <v>918.099999999857</v>
      </c>
      <c r="O7185" s="16" t="s">
        <v>7921</v>
      </c>
      <c r="R7185" s="6"/>
      <c r="S7185" s="298"/>
    </row>
    <row r="7186" spans="14:19" hidden="1" x14ac:dyDescent="0.25">
      <c r="N7186" s="17">
        <v>918.19999999985703</v>
      </c>
      <c r="O7186" s="16" t="s">
        <v>7922</v>
      </c>
      <c r="R7186" s="6"/>
      <c r="S7186" s="298"/>
    </row>
    <row r="7187" spans="14:19" hidden="1" x14ac:dyDescent="0.25">
      <c r="N7187" s="17">
        <v>918.29999999985705</v>
      </c>
      <c r="O7187" s="16" t="s">
        <v>7923</v>
      </c>
      <c r="R7187" s="6"/>
      <c r="S7187" s="298"/>
    </row>
    <row r="7188" spans="14:19" hidden="1" x14ac:dyDescent="0.25">
      <c r="N7188" s="17">
        <v>918.39999999985696</v>
      </c>
      <c r="O7188" s="16" t="s">
        <v>7924</v>
      </c>
      <c r="R7188" s="6"/>
      <c r="S7188" s="298"/>
    </row>
    <row r="7189" spans="14:19" hidden="1" x14ac:dyDescent="0.25">
      <c r="N7189" s="17">
        <v>918.49999999985698</v>
      </c>
      <c r="O7189" s="16" t="s">
        <v>7925</v>
      </c>
      <c r="R7189" s="6"/>
      <c r="S7189" s="298"/>
    </row>
    <row r="7190" spans="14:19" hidden="1" x14ac:dyDescent="0.25">
      <c r="N7190" s="17">
        <v>918.599999999857</v>
      </c>
      <c r="O7190" s="16" t="s">
        <v>7926</v>
      </c>
      <c r="R7190" s="6"/>
      <c r="S7190" s="298"/>
    </row>
    <row r="7191" spans="14:19" hidden="1" x14ac:dyDescent="0.25">
      <c r="N7191" s="17">
        <v>918.69999999985703</v>
      </c>
      <c r="O7191" s="16" t="s">
        <v>7927</v>
      </c>
      <c r="R7191" s="6"/>
      <c r="S7191" s="298"/>
    </row>
    <row r="7192" spans="14:19" hidden="1" x14ac:dyDescent="0.25">
      <c r="N7192" s="17">
        <v>918.79999999985705</v>
      </c>
      <c r="O7192" s="16" t="s">
        <v>7928</v>
      </c>
      <c r="R7192" s="6"/>
      <c r="S7192" s="298"/>
    </row>
    <row r="7193" spans="14:19" hidden="1" x14ac:dyDescent="0.25">
      <c r="N7193" s="17">
        <v>918.89999999985696</v>
      </c>
      <c r="O7193" s="16" t="s">
        <v>7929</v>
      </c>
      <c r="R7193" s="6"/>
      <c r="S7193" s="298"/>
    </row>
    <row r="7194" spans="14:19" hidden="1" x14ac:dyDescent="0.25">
      <c r="N7194" s="17">
        <v>918.99999999985698</v>
      </c>
      <c r="O7194" s="16" t="s">
        <v>4993</v>
      </c>
      <c r="R7194" s="6"/>
      <c r="S7194" s="298"/>
    </row>
    <row r="7195" spans="14:19" hidden="1" x14ac:dyDescent="0.25">
      <c r="N7195" s="17">
        <v>919.099999999857</v>
      </c>
      <c r="O7195" s="16" t="s">
        <v>4994</v>
      </c>
      <c r="R7195" s="6"/>
      <c r="S7195" s="298"/>
    </row>
    <row r="7196" spans="14:19" hidden="1" x14ac:dyDescent="0.25">
      <c r="N7196" s="17">
        <v>919.19999999985703</v>
      </c>
      <c r="O7196" s="16" t="s">
        <v>4995</v>
      </c>
      <c r="R7196" s="6"/>
      <c r="S7196" s="298"/>
    </row>
    <row r="7197" spans="14:19" hidden="1" x14ac:dyDescent="0.25">
      <c r="N7197" s="17">
        <v>919.29999999985705</v>
      </c>
      <c r="O7197" s="16" t="s">
        <v>4996</v>
      </c>
      <c r="R7197" s="6"/>
      <c r="S7197" s="298"/>
    </row>
    <row r="7198" spans="14:19" hidden="1" x14ac:dyDescent="0.25">
      <c r="N7198" s="17">
        <v>919.39999999985696</v>
      </c>
      <c r="O7198" s="16" t="s">
        <v>4997</v>
      </c>
      <c r="R7198" s="6"/>
      <c r="S7198" s="298"/>
    </row>
    <row r="7199" spans="14:19" hidden="1" x14ac:dyDescent="0.25">
      <c r="N7199" s="17">
        <v>919.49999999985698</v>
      </c>
      <c r="O7199" s="16" t="s">
        <v>4998</v>
      </c>
      <c r="R7199" s="6"/>
      <c r="S7199" s="298"/>
    </row>
    <row r="7200" spans="14:19" hidden="1" x14ac:dyDescent="0.25">
      <c r="N7200" s="17">
        <v>919.599999999857</v>
      </c>
      <c r="O7200" s="16" t="s">
        <v>4999</v>
      </c>
      <c r="R7200" s="6"/>
      <c r="S7200" s="298"/>
    </row>
    <row r="7201" spans="14:19" hidden="1" x14ac:dyDescent="0.25">
      <c r="N7201" s="17">
        <v>919.69999999985703</v>
      </c>
      <c r="O7201" s="16" t="s">
        <v>5000</v>
      </c>
      <c r="R7201" s="6"/>
      <c r="S7201" s="298"/>
    </row>
    <row r="7202" spans="14:19" hidden="1" x14ac:dyDescent="0.25">
      <c r="N7202" s="17">
        <v>919.79999999985705</v>
      </c>
      <c r="O7202" s="16" t="s">
        <v>5001</v>
      </c>
      <c r="R7202" s="6"/>
      <c r="S7202" s="298"/>
    </row>
    <row r="7203" spans="14:19" hidden="1" x14ac:dyDescent="0.25">
      <c r="N7203" s="17">
        <v>919.89999999985696</v>
      </c>
      <c r="O7203" s="16" t="s">
        <v>5002</v>
      </c>
      <c r="R7203" s="6"/>
      <c r="S7203" s="298"/>
    </row>
    <row r="7204" spans="14:19" hidden="1" x14ac:dyDescent="0.25">
      <c r="N7204" s="17">
        <v>919.99999999985698</v>
      </c>
      <c r="O7204" s="16" t="s">
        <v>5003</v>
      </c>
      <c r="R7204" s="6"/>
      <c r="S7204" s="298"/>
    </row>
    <row r="7205" spans="14:19" hidden="1" x14ac:dyDescent="0.25">
      <c r="N7205" s="17">
        <v>920.099999999857</v>
      </c>
      <c r="O7205" s="16" t="s">
        <v>5004</v>
      </c>
      <c r="R7205" s="6"/>
      <c r="S7205" s="298"/>
    </row>
    <row r="7206" spans="14:19" hidden="1" x14ac:dyDescent="0.25">
      <c r="N7206" s="17">
        <v>920.19999999985703</v>
      </c>
      <c r="O7206" s="16" t="s">
        <v>5005</v>
      </c>
      <c r="R7206" s="6"/>
      <c r="S7206" s="298"/>
    </row>
    <row r="7207" spans="14:19" hidden="1" x14ac:dyDescent="0.25">
      <c r="N7207" s="17">
        <v>920.29999999985705</v>
      </c>
      <c r="O7207" s="16" t="s">
        <v>5006</v>
      </c>
      <c r="R7207" s="6"/>
      <c r="S7207" s="298"/>
    </row>
    <row r="7208" spans="14:19" hidden="1" x14ac:dyDescent="0.25">
      <c r="N7208" s="17">
        <v>920.39999999985696</v>
      </c>
      <c r="O7208" s="16" t="s">
        <v>7100</v>
      </c>
      <c r="R7208" s="6"/>
      <c r="S7208" s="298"/>
    </row>
    <row r="7209" spans="14:19" hidden="1" x14ac:dyDescent="0.25">
      <c r="N7209" s="17">
        <v>920.49999999985698</v>
      </c>
      <c r="O7209" s="16" t="s">
        <v>7101</v>
      </c>
      <c r="R7209" s="6"/>
      <c r="S7209" s="298"/>
    </row>
    <row r="7210" spans="14:19" hidden="1" x14ac:dyDescent="0.25">
      <c r="N7210" s="17">
        <v>920.599999999857</v>
      </c>
      <c r="O7210" s="16" t="s">
        <v>7102</v>
      </c>
      <c r="R7210" s="6"/>
      <c r="S7210" s="298"/>
    </row>
    <row r="7211" spans="14:19" hidden="1" x14ac:dyDescent="0.25">
      <c r="N7211" s="17">
        <v>920.69999999985703</v>
      </c>
      <c r="O7211" s="16" t="s">
        <v>7103</v>
      </c>
      <c r="R7211" s="6"/>
      <c r="S7211" s="298"/>
    </row>
    <row r="7212" spans="14:19" hidden="1" x14ac:dyDescent="0.25">
      <c r="N7212" s="17">
        <v>920.79999999985705</v>
      </c>
      <c r="O7212" s="16" t="s">
        <v>7104</v>
      </c>
      <c r="R7212" s="6"/>
      <c r="S7212" s="298"/>
    </row>
    <row r="7213" spans="14:19" hidden="1" x14ac:dyDescent="0.25">
      <c r="N7213" s="17">
        <v>920.89999999985605</v>
      </c>
      <c r="O7213" s="16" t="s">
        <v>7105</v>
      </c>
      <c r="R7213" s="6"/>
      <c r="S7213" s="298"/>
    </row>
    <row r="7214" spans="14:19" hidden="1" x14ac:dyDescent="0.25">
      <c r="N7214" s="17">
        <v>920.99999999985596</v>
      </c>
      <c r="O7214" s="16" t="s">
        <v>5004</v>
      </c>
      <c r="R7214" s="6"/>
      <c r="S7214" s="298"/>
    </row>
    <row r="7215" spans="14:19" hidden="1" x14ac:dyDescent="0.25">
      <c r="N7215" s="17">
        <v>921.09999999985598</v>
      </c>
      <c r="O7215" s="16" t="s">
        <v>7106</v>
      </c>
      <c r="R7215" s="6"/>
      <c r="S7215" s="298"/>
    </row>
    <row r="7216" spans="14:19" hidden="1" x14ac:dyDescent="0.25">
      <c r="N7216" s="17">
        <v>921.199999999856</v>
      </c>
      <c r="O7216" s="16" t="s">
        <v>7107</v>
      </c>
      <c r="R7216" s="6"/>
      <c r="S7216" s="298"/>
    </row>
    <row r="7217" spans="14:19" hidden="1" x14ac:dyDescent="0.25">
      <c r="N7217" s="17">
        <v>921.29999999985603</v>
      </c>
      <c r="O7217" s="16" t="s">
        <v>5019</v>
      </c>
      <c r="R7217" s="6"/>
      <c r="S7217" s="298"/>
    </row>
    <row r="7218" spans="14:19" hidden="1" x14ac:dyDescent="0.25">
      <c r="N7218" s="17">
        <v>921.39999999985605</v>
      </c>
      <c r="O7218" s="16" t="s">
        <v>5020</v>
      </c>
      <c r="R7218" s="6"/>
      <c r="S7218" s="298"/>
    </row>
    <row r="7219" spans="14:19" hidden="1" x14ac:dyDescent="0.25">
      <c r="N7219" s="17">
        <v>921.49999999985596</v>
      </c>
      <c r="O7219" s="16" t="s">
        <v>5021</v>
      </c>
      <c r="R7219" s="6"/>
      <c r="S7219" s="298"/>
    </row>
    <row r="7220" spans="14:19" hidden="1" x14ac:dyDescent="0.25">
      <c r="N7220" s="17">
        <v>921.59999999985598</v>
      </c>
      <c r="O7220" s="16" t="s">
        <v>5022</v>
      </c>
      <c r="R7220" s="6"/>
      <c r="S7220" s="298"/>
    </row>
    <row r="7221" spans="14:19" hidden="1" x14ac:dyDescent="0.25">
      <c r="N7221" s="17">
        <v>921.699999999856</v>
      </c>
      <c r="O7221" s="16" t="s">
        <v>5023</v>
      </c>
      <c r="R7221" s="6"/>
      <c r="S7221" s="298"/>
    </row>
    <row r="7222" spans="14:19" hidden="1" x14ac:dyDescent="0.25">
      <c r="N7222" s="17">
        <v>921.79999999985603</v>
      </c>
      <c r="O7222" s="16" t="s">
        <v>5024</v>
      </c>
      <c r="R7222" s="6"/>
      <c r="S7222" s="298"/>
    </row>
    <row r="7223" spans="14:19" hidden="1" x14ac:dyDescent="0.25">
      <c r="N7223" s="17">
        <v>921.89999999985605</v>
      </c>
      <c r="O7223" s="16" t="s">
        <v>5025</v>
      </c>
      <c r="R7223" s="6"/>
      <c r="S7223" s="298"/>
    </row>
    <row r="7224" spans="14:19" hidden="1" x14ac:dyDescent="0.25">
      <c r="N7224" s="17">
        <v>921.99999999985596</v>
      </c>
      <c r="O7224" s="16" t="s">
        <v>5026</v>
      </c>
      <c r="R7224" s="6"/>
      <c r="S7224" s="298"/>
    </row>
    <row r="7225" spans="14:19" hidden="1" x14ac:dyDescent="0.25">
      <c r="N7225" s="17">
        <v>922.09999999985598</v>
      </c>
      <c r="O7225" s="16" t="s">
        <v>5027</v>
      </c>
      <c r="R7225" s="6"/>
      <c r="S7225" s="298"/>
    </row>
    <row r="7226" spans="14:19" hidden="1" x14ac:dyDescent="0.25">
      <c r="N7226" s="17">
        <v>922.199999999856</v>
      </c>
      <c r="O7226" s="16" t="s">
        <v>5028</v>
      </c>
      <c r="R7226" s="6"/>
      <c r="S7226" s="298"/>
    </row>
    <row r="7227" spans="14:19" hidden="1" x14ac:dyDescent="0.25">
      <c r="N7227" s="17">
        <v>922.29999999985603</v>
      </c>
      <c r="O7227" s="16" t="s">
        <v>5029</v>
      </c>
      <c r="R7227" s="6"/>
      <c r="S7227" s="298"/>
    </row>
    <row r="7228" spans="14:19" hidden="1" x14ac:dyDescent="0.25">
      <c r="N7228" s="17">
        <v>922.39999999985605</v>
      </c>
      <c r="O7228" s="16" t="s">
        <v>7113</v>
      </c>
      <c r="R7228" s="6"/>
      <c r="S7228" s="298"/>
    </row>
    <row r="7229" spans="14:19" hidden="1" x14ac:dyDescent="0.25">
      <c r="N7229" s="17">
        <v>922.49999999985596</v>
      </c>
      <c r="O7229" s="16" t="s">
        <v>7114</v>
      </c>
      <c r="R7229" s="6"/>
      <c r="S7229" s="298"/>
    </row>
    <row r="7230" spans="14:19" hidden="1" x14ac:dyDescent="0.25">
      <c r="N7230" s="17">
        <v>922.59999999985598</v>
      </c>
      <c r="O7230" s="16" t="s">
        <v>7115</v>
      </c>
      <c r="R7230" s="6"/>
      <c r="S7230" s="298"/>
    </row>
    <row r="7231" spans="14:19" hidden="1" x14ac:dyDescent="0.25">
      <c r="N7231" s="17">
        <v>922.699999999856</v>
      </c>
      <c r="O7231" s="16" t="s">
        <v>4872</v>
      </c>
      <c r="R7231" s="6"/>
      <c r="S7231" s="298"/>
    </row>
    <row r="7232" spans="14:19" hidden="1" x14ac:dyDescent="0.25">
      <c r="N7232" s="17">
        <v>922.79999999985603</v>
      </c>
      <c r="O7232" s="16" t="s">
        <v>4873</v>
      </c>
      <c r="R7232" s="6"/>
      <c r="S7232" s="298"/>
    </row>
    <row r="7233" spans="14:19" hidden="1" x14ac:dyDescent="0.25">
      <c r="N7233" s="17">
        <v>922.89999999985605</v>
      </c>
      <c r="O7233" s="16" t="s">
        <v>4874</v>
      </c>
      <c r="R7233" s="6"/>
      <c r="S7233" s="298"/>
    </row>
    <row r="7234" spans="14:19" hidden="1" x14ac:dyDescent="0.25">
      <c r="N7234" s="17">
        <v>922.99999999985596</v>
      </c>
      <c r="O7234" s="16" t="s">
        <v>4875</v>
      </c>
      <c r="R7234" s="6"/>
      <c r="S7234" s="298"/>
    </row>
    <row r="7235" spans="14:19" hidden="1" x14ac:dyDescent="0.25">
      <c r="N7235" s="17">
        <v>923.09999999985598</v>
      </c>
      <c r="O7235" s="16" t="s">
        <v>4876</v>
      </c>
      <c r="R7235" s="6"/>
      <c r="S7235" s="298"/>
    </row>
    <row r="7236" spans="14:19" hidden="1" x14ac:dyDescent="0.25">
      <c r="N7236" s="17">
        <v>923.199999999856</v>
      </c>
      <c r="O7236" s="16" t="s">
        <v>4877</v>
      </c>
      <c r="R7236" s="6"/>
      <c r="S7236" s="298"/>
    </row>
    <row r="7237" spans="14:19" hidden="1" x14ac:dyDescent="0.25">
      <c r="N7237" s="17">
        <v>923.29999999985603</v>
      </c>
      <c r="O7237" s="16" t="s">
        <v>4878</v>
      </c>
      <c r="R7237" s="6"/>
      <c r="S7237" s="298"/>
    </row>
    <row r="7238" spans="14:19" hidden="1" x14ac:dyDescent="0.25">
      <c r="N7238" s="17">
        <v>923.39999999985605</v>
      </c>
      <c r="O7238" s="16" t="s">
        <v>4879</v>
      </c>
      <c r="R7238" s="6"/>
      <c r="S7238" s="298"/>
    </row>
    <row r="7239" spans="14:19" hidden="1" x14ac:dyDescent="0.25">
      <c r="N7239" s="17">
        <v>923.49999999985596</v>
      </c>
      <c r="O7239" s="16" t="s">
        <v>4880</v>
      </c>
      <c r="R7239" s="6"/>
      <c r="S7239" s="298"/>
    </row>
    <row r="7240" spans="14:19" hidden="1" x14ac:dyDescent="0.25">
      <c r="N7240" s="17">
        <v>923.59999999985598</v>
      </c>
      <c r="O7240" s="16" t="s">
        <v>4881</v>
      </c>
      <c r="R7240" s="6"/>
      <c r="S7240" s="298"/>
    </row>
    <row r="7241" spans="14:19" hidden="1" x14ac:dyDescent="0.25">
      <c r="N7241" s="17">
        <v>923.699999999856</v>
      </c>
      <c r="O7241" s="16" t="s">
        <v>4882</v>
      </c>
      <c r="R7241" s="6"/>
      <c r="S7241" s="298"/>
    </row>
    <row r="7242" spans="14:19" hidden="1" x14ac:dyDescent="0.25">
      <c r="N7242" s="17">
        <v>923.799999999855</v>
      </c>
      <c r="O7242" s="16" t="s">
        <v>4883</v>
      </c>
      <c r="R7242" s="6"/>
      <c r="S7242" s="298"/>
    </row>
    <row r="7243" spans="14:19" hidden="1" x14ac:dyDescent="0.25">
      <c r="N7243" s="17">
        <v>923.89999999985503</v>
      </c>
      <c r="O7243" s="16" t="s">
        <v>4884</v>
      </c>
      <c r="R7243" s="6"/>
      <c r="S7243" s="298"/>
    </row>
    <row r="7244" spans="14:19" hidden="1" x14ac:dyDescent="0.25">
      <c r="N7244" s="17">
        <v>923.99999999985505</v>
      </c>
      <c r="O7244" s="16" t="s">
        <v>4885</v>
      </c>
      <c r="R7244" s="6"/>
      <c r="S7244" s="298"/>
    </row>
    <row r="7245" spans="14:19" hidden="1" x14ac:dyDescent="0.25">
      <c r="N7245" s="17">
        <v>924.09999999985496</v>
      </c>
      <c r="O7245" s="16" t="s">
        <v>4886</v>
      </c>
      <c r="R7245" s="6"/>
      <c r="S7245" s="298"/>
    </row>
    <row r="7246" spans="14:19" hidden="1" x14ac:dyDescent="0.25">
      <c r="N7246" s="17">
        <v>924.19999999985498</v>
      </c>
      <c r="O7246" s="16" t="s">
        <v>4887</v>
      </c>
      <c r="R7246" s="6"/>
      <c r="S7246" s="298"/>
    </row>
    <row r="7247" spans="14:19" hidden="1" x14ac:dyDescent="0.25">
      <c r="N7247" s="17">
        <v>924.299999999855</v>
      </c>
      <c r="O7247" s="16" t="s">
        <v>4888</v>
      </c>
      <c r="R7247" s="6"/>
      <c r="S7247" s="298"/>
    </row>
    <row r="7248" spans="14:19" hidden="1" x14ac:dyDescent="0.25">
      <c r="N7248" s="17">
        <v>924.39999999985503</v>
      </c>
      <c r="O7248" s="16" t="s">
        <v>4889</v>
      </c>
      <c r="R7248" s="6"/>
      <c r="S7248" s="298"/>
    </row>
    <row r="7249" spans="14:19" hidden="1" x14ac:dyDescent="0.25">
      <c r="N7249" s="17">
        <v>924.49999999985505</v>
      </c>
      <c r="O7249" s="16" t="s">
        <v>4890</v>
      </c>
      <c r="R7249" s="6"/>
      <c r="S7249" s="298"/>
    </row>
    <row r="7250" spans="14:19" hidden="1" x14ac:dyDescent="0.25">
      <c r="N7250" s="17">
        <v>924.59999999985496</v>
      </c>
      <c r="O7250" s="16" t="s">
        <v>4891</v>
      </c>
      <c r="R7250" s="6"/>
      <c r="S7250" s="298"/>
    </row>
    <row r="7251" spans="14:19" hidden="1" x14ac:dyDescent="0.25">
      <c r="N7251" s="17">
        <v>924.69999999985498</v>
      </c>
      <c r="O7251" s="16" t="s">
        <v>4892</v>
      </c>
      <c r="R7251" s="6"/>
      <c r="S7251" s="298"/>
    </row>
    <row r="7252" spans="14:19" hidden="1" x14ac:dyDescent="0.25">
      <c r="N7252" s="17">
        <v>924.799999999855</v>
      </c>
      <c r="O7252" s="16" t="s">
        <v>4893</v>
      </c>
      <c r="R7252" s="6"/>
      <c r="S7252" s="298"/>
    </row>
    <row r="7253" spans="14:19" hidden="1" x14ac:dyDescent="0.25">
      <c r="N7253" s="17">
        <v>924.89999999985503</v>
      </c>
      <c r="O7253" s="16" t="s">
        <v>4894</v>
      </c>
      <c r="R7253" s="6"/>
      <c r="S7253" s="298"/>
    </row>
    <row r="7254" spans="14:19" hidden="1" x14ac:dyDescent="0.25">
      <c r="N7254" s="17">
        <v>924.99999999985505</v>
      </c>
      <c r="O7254" s="16" t="s">
        <v>4895</v>
      </c>
      <c r="R7254" s="6"/>
      <c r="S7254" s="298"/>
    </row>
    <row r="7255" spans="14:19" hidden="1" x14ac:dyDescent="0.25">
      <c r="N7255" s="17">
        <v>925.09999999985496</v>
      </c>
      <c r="O7255" s="16" t="s">
        <v>4896</v>
      </c>
      <c r="R7255" s="6"/>
      <c r="S7255" s="298"/>
    </row>
    <row r="7256" spans="14:19" hidden="1" x14ac:dyDescent="0.25">
      <c r="N7256" s="17">
        <v>925.19999999985498</v>
      </c>
      <c r="O7256" s="16" t="s">
        <v>4897</v>
      </c>
      <c r="R7256" s="6"/>
      <c r="S7256" s="298"/>
    </row>
    <row r="7257" spans="14:19" hidden="1" x14ac:dyDescent="0.25">
      <c r="N7257" s="17">
        <v>925.299999999855</v>
      </c>
      <c r="O7257" s="16" t="s">
        <v>4898</v>
      </c>
      <c r="R7257" s="6"/>
      <c r="S7257" s="298"/>
    </row>
    <row r="7258" spans="14:19" hidden="1" x14ac:dyDescent="0.25">
      <c r="N7258" s="17">
        <v>925.39999999985503</v>
      </c>
      <c r="O7258" s="16" t="s">
        <v>4899</v>
      </c>
      <c r="R7258" s="6"/>
      <c r="S7258" s="298"/>
    </row>
    <row r="7259" spans="14:19" hidden="1" x14ac:dyDescent="0.25">
      <c r="N7259" s="17">
        <v>925.49999999985505</v>
      </c>
      <c r="O7259" s="16" t="s">
        <v>4900</v>
      </c>
      <c r="R7259" s="6"/>
      <c r="S7259" s="298"/>
    </row>
    <row r="7260" spans="14:19" hidden="1" x14ac:dyDescent="0.25">
      <c r="N7260" s="17">
        <v>925.59999999985496</v>
      </c>
      <c r="O7260" s="16" t="s">
        <v>4901</v>
      </c>
      <c r="R7260" s="6"/>
      <c r="S7260" s="298"/>
    </row>
    <row r="7261" spans="14:19" hidden="1" x14ac:dyDescent="0.25">
      <c r="N7261" s="17">
        <v>925.69999999985498</v>
      </c>
      <c r="O7261" s="16" t="s">
        <v>4902</v>
      </c>
      <c r="R7261" s="6"/>
      <c r="S7261" s="298"/>
    </row>
    <row r="7262" spans="14:19" hidden="1" x14ac:dyDescent="0.25">
      <c r="N7262" s="17">
        <v>925.799999999855</v>
      </c>
      <c r="O7262" s="16" t="s">
        <v>4903</v>
      </c>
      <c r="R7262" s="6"/>
      <c r="S7262" s="298"/>
    </row>
    <row r="7263" spans="14:19" hidden="1" x14ac:dyDescent="0.25">
      <c r="N7263" s="17">
        <v>925.89999999985503</v>
      </c>
      <c r="O7263" s="16" t="s">
        <v>4904</v>
      </c>
      <c r="R7263" s="6"/>
      <c r="S7263" s="298"/>
    </row>
    <row r="7264" spans="14:19" hidden="1" x14ac:dyDescent="0.25">
      <c r="N7264" s="17">
        <v>925.99999999985505</v>
      </c>
      <c r="O7264" s="16" t="s">
        <v>4905</v>
      </c>
      <c r="R7264" s="6"/>
      <c r="S7264" s="298"/>
    </row>
    <row r="7265" spans="14:19" hidden="1" x14ac:dyDescent="0.25">
      <c r="N7265" s="17">
        <v>926.09999999985496</v>
      </c>
      <c r="O7265" s="16" t="s">
        <v>7946</v>
      </c>
      <c r="R7265" s="6"/>
      <c r="S7265" s="298"/>
    </row>
    <row r="7266" spans="14:19" hidden="1" x14ac:dyDescent="0.25">
      <c r="N7266" s="17">
        <v>926.19999999985498</v>
      </c>
      <c r="O7266" s="16" t="s">
        <v>7947</v>
      </c>
      <c r="R7266" s="6"/>
      <c r="S7266" s="298"/>
    </row>
    <row r="7267" spans="14:19" hidden="1" x14ac:dyDescent="0.25">
      <c r="N7267" s="17">
        <v>926.299999999855</v>
      </c>
      <c r="O7267" s="16" t="s">
        <v>7948</v>
      </c>
      <c r="R7267" s="6"/>
      <c r="S7267" s="298"/>
    </row>
    <row r="7268" spans="14:19" hidden="1" x14ac:dyDescent="0.25">
      <c r="N7268" s="17">
        <v>926.39999999985503</v>
      </c>
      <c r="O7268" s="16" t="s">
        <v>7949</v>
      </c>
      <c r="R7268" s="6"/>
      <c r="S7268" s="298"/>
    </row>
    <row r="7269" spans="14:19" hidden="1" x14ac:dyDescent="0.25">
      <c r="N7269" s="17">
        <v>926.49999999985505</v>
      </c>
      <c r="O7269" s="16" t="s">
        <v>7950</v>
      </c>
      <c r="R7269" s="6"/>
      <c r="S7269" s="298"/>
    </row>
    <row r="7270" spans="14:19" hidden="1" x14ac:dyDescent="0.25">
      <c r="N7270" s="17">
        <v>926.59999999985496</v>
      </c>
      <c r="O7270" s="16" t="s">
        <v>6931</v>
      </c>
      <c r="R7270" s="6"/>
      <c r="S7270" s="298"/>
    </row>
    <row r="7271" spans="14:19" hidden="1" x14ac:dyDescent="0.25">
      <c r="N7271" s="17">
        <v>926.69999999985498</v>
      </c>
      <c r="O7271" s="16" t="s">
        <v>6932</v>
      </c>
      <c r="R7271" s="6"/>
      <c r="S7271" s="298"/>
    </row>
    <row r="7272" spans="14:19" hidden="1" x14ac:dyDescent="0.25">
      <c r="N7272" s="17">
        <v>926.79999999985398</v>
      </c>
      <c r="O7272" s="16" t="s">
        <v>6949</v>
      </c>
      <c r="R7272" s="6"/>
      <c r="S7272" s="298"/>
    </row>
    <row r="7273" spans="14:19" hidden="1" x14ac:dyDescent="0.25">
      <c r="N7273" s="17">
        <v>926.899999999854</v>
      </c>
      <c r="O7273" s="16" t="s">
        <v>6950</v>
      </c>
      <c r="R7273" s="6"/>
      <c r="S7273" s="298"/>
    </row>
    <row r="7274" spans="14:19" hidden="1" x14ac:dyDescent="0.25">
      <c r="N7274" s="17">
        <v>926.99999999985403</v>
      </c>
      <c r="O7274" s="16" t="s">
        <v>6951</v>
      </c>
      <c r="R7274" s="6"/>
      <c r="S7274" s="298"/>
    </row>
    <row r="7275" spans="14:19" hidden="1" x14ac:dyDescent="0.25">
      <c r="N7275" s="17">
        <v>927.09999999985405</v>
      </c>
      <c r="O7275" s="16" t="s">
        <v>6952</v>
      </c>
      <c r="R7275" s="6"/>
      <c r="S7275" s="298"/>
    </row>
    <row r="7276" spans="14:19" hidden="1" x14ac:dyDescent="0.25">
      <c r="N7276" s="17">
        <v>927.19999999985396</v>
      </c>
      <c r="O7276" s="16" t="s">
        <v>6953</v>
      </c>
      <c r="R7276" s="6"/>
      <c r="S7276" s="298"/>
    </row>
    <row r="7277" spans="14:19" hidden="1" x14ac:dyDescent="0.25">
      <c r="N7277" s="17">
        <v>927.29999999985398</v>
      </c>
      <c r="O7277" s="16" t="s">
        <v>6954</v>
      </c>
      <c r="R7277" s="6"/>
      <c r="S7277" s="298"/>
    </row>
    <row r="7278" spans="14:19" hidden="1" x14ac:dyDescent="0.25">
      <c r="N7278" s="17">
        <v>927.399999999854</v>
      </c>
      <c r="O7278" s="16" t="s">
        <v>6955</v>
      </c>
      <c r="R7278" s="6"/>
      <c r="S7278" s="298"/>
    </row>
    <row r="7279" spans="14:19" hidden="1" x14ac:dyDescent="0.25">
      <c r="N7279" s="17">
        <v>927.49999999985403</v>
      </c>
      <c r="O7279" s="16" t="s">
        <v>6956</v>
      </c>
      <c r="R7279" s="6"/>
      <c r="S7279" s="298"/>
    </row>
    <row r="7280" spans="14:19" hidden="1" x14ac:dyDescent="0.25">
      <c r="N7280" s="17">
        <v>927.59999999985405</v>
      </c>
      <c r="O7280" s="16" t="s">
        <v>6957</v>
      </c>
      <c r="R7280" s="6"/>
      <c r="S7280" s="298"/>
    </row>
    <row r="7281" spans="14:19" hidden="1" x14ac:dyDescent="0.25">
      <c r="N7281" s="17">
        <v>927.69999999985396</v>
      </c>
      <c r="O7281" s="16" t="s">
        <v>6958</v>
      </c>
      <c r="R7281" s="6"/>
      <c r="S7281" s="298"/>
    </row>
    <row r="7282" spans="14:19" hidden="1" x14ac:dyDescent="0.25">
      <c r="N7282" s="17">
        <v>927.79999999985398</v>
      </c>
      <c r="O7282" s="16" t="s">
        <v>6959</v>
      </c>
      <c r="R7282" s="6"/>
      <c r="S7282" s="298"/>
    </row>
    <row r="7283" spans="14:19" hidden="1" x14ac:dyDescent="0.25">
      <c r="N7283" s="17">
        <v>927.899999999854</v>
      </c>
      <c r="O7283" s="16" t="s">
        <v>6960</v>
      </c>
      <c r="R7283" s="6"/>
      <c r="S7283" s="298"/>
    </row>
    <row r="7284" spans="14:19" hidden="1" x14ac:dyDescent="0.25">
      <c r="N7284" s="17">
        <v>927.99999999985403</v>
      </c>
      <c r="O7284" s="16" t="s">
        <v>6961</v>
      </c>
      <c r="R7284" s="6"/>
      <c r="S7284" s="298"/>
    </row>
    <row r="7285" spans="14:19" hidden="1" x14ac:dyDescent="0.25">
      <c r="N7285" s="17">
        <v>928.09999999985405</v>
      </c>
      <c r="O7285" s="16" t="s">
        <v>6962</v>
      </c>
      <c r="R7285" s="6"/>
      <c r="S7285" s="298"/>
    </row>
    <row r="7286" spans="14:19" hidden="1" x14ac:dyDescent="0.25">
      <c r="N7286" s="17">
        <v>928.19999999985396</v>
      </c>
      <c r="O7286" s="16" t="s">
        <v>6963</v>
      </c>
      <c r="R7286" s="6"/>
      <c r="S7286" s="298"/>
    </row>
    <row r="7287" spans="14:19" hidden="1" x14ac:dyDescent="0.25">
      <c r="N7287" s="17">
        <v>928.29999999985398</v>
      </c>
      <c r="O7287" s="16" t="s">
        <v>6964</v>
      </c>
      <c r="R7287" s="6"/>
      <c r="S7287" s="298"/>
    </row>
    <row r="7288" spans="14:19" hidden="1" x14ac:dyDescent="0.25">
      <c r="N7288" s="17">
        <v>928.399999999854</v>
      </c>
      <c r="O7288" s="16" t="s">
        <v>6965</v>
      </c>
      <c r="R7288" s="6"/>
      <c r="S7288" s="298"/>
    </row>
    <row r="7289" spans="14:19" hidden="1" x14ac:dyDescent="0.25">
      <c r="N7289" s="17">
        <v>928.49999999985403</v>
      </c>
      <c r="O7289" s="16" t="s">
        <v>6966</v>
      </c>
      <c r="R7289" s="6"/>
      <c r="S7289" s="298"/>
    </row>
    <row r="7290" spans="14:19" hidden="1" x14ac:dyDescent="0.25">
      <c r="N7290" s="17">
        <v>928.59999999985405</v>
      </c>
      <c r="O7290" s="16" t="s">
        <v>6967</v>
      </c>
      <c r="R7290" s="6"/>
      <c r="S7290" s="298"/>
    </row>
    <row r="7291" spans="14:19" hidden="1" x14ac:dyDescent="0.25">
      <c r="N7291" s="17">
        <v>928.69999999985396</v>
      </c>
      <c r="O7291" s="16" t="s">
        <v>6968</v>
      </c>
      <c r="R7291" s="6"/>
      <c r="S7291" s="298"/>
    </row>
    <row r="7292" spans="14:19" hidden="1" x14ac:dyDescent="0.25">
      <c r="N7292" s="17">
        <v>928.79999999985398</v>
      </c>
      <c r="O7292" s="16" t="s">
        <v>6969</v>
      </c>
      <c r="R7292" s="6"/>
      <c r="S7292" s="298"/>
    </row>
    <row r="7293" spans="14:19" hidden="1" x14ac:dyDescent="0.25">
      <c r="N7293" s="17">
        <v>928.899999999854</v>
      </c>
      <c r="O7293" s="16" t="s">
        <v>6970</v>
      </c>
      <c r="R7293" s="6"/>
      <c r="S7293" s="298"/>
    </row>
    <row r="7294" spans="14:19" hidden="1" x14ac:dyDescent="0.25">
      <c r="N7294" s="17">
        <v>928.99999999985403</v>
      </c>
      <c r="O7294" s="16" t="s">
        <v>6971</v>
      </c>
      <c r="R7294" s="6"/>
      <c r="S7294" s="298"/>
    </row>
    <row r="7295" spans="14:19" hidden="1" x14ac:dyDescent="0.25">
      <c r="N7295" s="17">
        <v>929.09999999985405</v>
      </c>
      <c r="O7295" s="16" t="s">
        <v>6972</v>
      </c>
      <c r="R7295" s="6"/>
      <c r="S7295" s="298"/>
    </row>
    <row r="7296" spans="14:19" hidden="1" x14ac:dyDescent="0.25">
      <c r="N7296" s="17">
        <v>929.19999999985396</v>
      </c>
      <c r="O7296" s="16" t="s">
        <v>6973</v>
      </c>
      <c r="R7296" s="6"/>
      <c r="S7296" s="298"/>
    </row>
    <row r="7297" spans="14:19" hidden="1" x14ac:dyDescent="0.25">
      <c r="N7297" s="17">
        <v>929.29999999985398</v>
      </c>
      <c r="O7297" s="16" t="s">
        <v>6974</v>
      </c>
      <c r="R7297" s="6"/>
      <c r="S7297" s="298"/>
    </row>
    <row r="7298" spans="14:19" hidden="1" x14ac:dyDescent="0.25">
      <c r="N7298" s="17">
        <v>929.399999999854</v>
      </c>
      <c r="O7298" s="16" t="s">
        <v>6975</v>
      </c>
      <c r="R7298" s="6"/>
      <c r="S7298" s="298"/>
    </row>
    <row r="7299" spans="14:19" hidden="1" x14ac:dyDescent="0.25">
      <c r="N7299" s="17">
        <v>929.49999999985403</v>
      </c>
      <c r="O7299" s="16" t="s">
        <v>6976</v>
      </c>
      <c r="R7299" s="6"/>
      <c r="S7299" s="298"/>
    </row>
    <row r="7300" spans="14:19" hidden="1" x14ac:dyDescent="0.25">
      <c r="N7300" s="17">
        <v>929.59999999985405</v>
      </c>
      <c r="O7300" s="16" t="s">
        <v>6977</v>
      </c>
      <c r="R7300" s="6"/>
      <c r="S7300" s="298"/>
    </row>
    <row r="7301" spans="14:19" hidden="1" x14ac:dyDescent="0.25">
      <c r="N7301" s="17">
        <v>929.69999999985305</v>
      </c>
      <c r="O7301" s="16" t="s">
        <v>6978</v>
      </c>
      <c r="R7301" s="6"/>
      <c r="S7301" s="298"/>
    </row>
    <row r="7302" spans="14:19" hidden="1" x14ac:dyDescent="0.25">
      <c r="N7302" s="17">
        <v>929.79999999985296</v>
      </c>
      <c r="O7302" s="16" t="s">
        <v>6979</v>
      </c>
      <c r="R7302" s="6"/>
      <c r="S7302" s="298"/>
    </row>
    <row r="7303" spans="14:19" hidden="1" x14ac:dyDescent="0.25">
      <c r="N7303" s="17">
        <v>929.89999999985298</v>
      </c>
      <c r="O7303" s="16" t="s">
        <v>6980</v>
      </c>
      <c r="R7303" s="6"/>
      <c r="S7303" s="298"/>
    </row>
    <row r="7304" spans="14:19" hidden="1" x14ac:dyDescent="0.25">
      <c r="N7304" s="17">
        <v>929.999999999853</v>
      </c>
      <c r="O7304" s="16" t="s">
        <v>6981</v>
      </c>
      <c r="R7304" s="6"/>
      <c r="S7304" s="298"/>
    </row>
    <row r="7305" spans="14:19" hidden="1" x14ac:dyDescent="0.25">
      <c r="N7305" s="17">
        <v>930.09999999985303</v>
      </c>
      <c r="O7305" s="16" t="s">
        <v>6982</v>
      </c>
      <c r="R7305" s="6"/>
      <c r="S7305" s="298"/>
    </row>
    <row r="7306" spans="14:19" hidden="1" x14ac:dyDescent="0.25">
      <c r="N7306" s="17">
        <v>930.19999999985305</v>
      </c>
      <c r="O7306" s="16" t="s">
        <v>6983</v>
      </c>
      <c r="R7306" s="6"/>
      <c r="S7306" s="298"/>
    </row>
    <row r="7307" spans="14:19" hidden="1" x14ac:dyDescent="0.25">
      <c r="N7307" s="17">
        <v>930.29999999985296</v>
      </c>
      <c r="O7307" s="16" t="s">
        <v>6984</v>
      </c>
      <c r="R7307" s="6"/>
      <c r="S7307" s="298"/>
    </row>
    <row r="7308" spans="14:19" hidden="1" x14ac:dyDescent="0.25">
      <c r="N7308" s="17">
        <v>930.39999999985298</v>
      </c>
      <c r="O7308" s="16" t="s">
        <v>6985</v>
      </c>
      <c r="R7308" s="6"/>
      <c r="S7308" s="298"/>
    </row>
    <row r="7309" spans="14:19" hidden="1" x14ac:dyDescent="0.25">
      <c r="N7309" s="17">
        <v>930.499999999853</v>
      </c>
      <c r="O7309" s="16" t="s">
        <v>6986</v>
      </c>
      <c r="R7309" s="6"/>
      <c r="S7309" s="298"/>
    </row>
    <row r="7310" spans="14:19" hidden="1" x14ac:dyDescent="0.25">
      <c r="N7310" s="17">
        <v>930.59999999985303</v>
      </c>
      <c r="O7310" s="16" t="s">
        <v>6987</v>
      </c>
      <c r="R7310" s="6"/>
      <c r="S7310" s="298"/>
    </row>
    <row r="7311" spans="14:19" hidden="1" x14ac:dyDescent="0.25">
      <c r="N7311" s="17">
        <v>930.69999999985305</v>
      </c>
      <c r="O7311" s="16" t="s">
        <v>6988</v>
      </c>
      <c r="R7311" s="6"/>
      <c r="S7311" s="298"/>
    </row>
    <row r="7312" spans="14:19" hidden="1" x14ac:dyDescent="0.25">
      <c r="N7312" s="17">
        <v>930.79999999985296</v>
      </c>
      <c r="O7312" s="16" t="s">
        <v>6989</v>
      </c>
      <c r="R7312" s="6"/>
      <c r="S7312" s="298"/>
    </row>
    <row r="7313" spans="14:19" hidden="1" x14ac:dyDescent="0.25">
      <c r="N7313" s="17">
        <v>930.89999999985298</v>
      </c>
      <c r="O7313" s="16" t="s">
        <v>6990</v>
      </c>
      <c r="R7313" s="6"/>
      <c r="S7313" s="298"/>
    </row>
    <row r="7314" spans="14:19" hidden="1" x14ac:dyDescent="0.25">
      <c r="N7314" s="17">
        <v>930.999999999853</v>
      </c>
      <c r="O7314" s="16" t="s">
        <v>7938</v>
      </c>
      <c r="R7314" s="6"/>
      <c r="S7314" s="298"/>
    </row>
    <row r="7315" spans="14:19" hidden="1" x14ac:dyDescent="0.25">
      <c r="N7315" s="17">
        <v>931.09999999985303</v>
      </c>
      <c r="O7315" s="16" t="s">
        <v>7939</v>
      </c>
      <c r="R7315" s="6"/>
      <c r="S7315" s="298"/>
    </row>
    <row r="7316" spans="14:19" hidden="1" x14ac:dyDescent="0.25">
      <c r="N7316" s="17">
        <v>931.19999999985305</v>
      </c>
      <c r="O7316" s="16" t="s">
        <v>7940</v>
      </c>
      <c r="R7316" s="6"/>
      <c r="S7316" s="298"/>
    </row>
    <row r="7317" spans="14:19" hidden="1" x14ac:dyDescent="0.25">
      <c r="N7317" s="17">
        <v>931.29999999985296</v>
      </c>
      <c r="O7317" s="16" t="s">
        <v>7941</v>
      </c>
      <c r="R7317" s="6"/>
      <c r="S7317" s="298"/>
    </row>
    <row r="7318" spans="14:19" hidden="1" x14ac:dyDescent="0.25">
      <c r="N7318" s="17">
        <v>931.39999999985298</v>
      </c>
      <c r="O7318" s="16" t="s">
        <v>7942</v>
      </c>
      <c r="R7318" s="6"/>
      <c r="S7318" s="298"/>
    </row>
    <row r="7319" spans="14:19" hidden="1" x14ac:dyDescent="0.25">
      <c r="N7319" s="17">
        <v>931.499999999853</v>
      </c>
      <c r="O7319" s="16" t="s">
        <v>7943</v>
      </c>
      <c r="R7319" s="6"/>
      <c r="S7319" s="298"/>
    </row>
    <row r="7320" spans="14:19" hidden="1" x14ac:dyDescent="0.25">
      <c r="N7320" s="17">
        <v>931.59999999985303</v>
      </c>
      <c r="O7320" s="16" t="s">
        <v>7944</v>
      </c>
      <c r="R7320" s="6"/>
      <c r="S7320" s="298"/>
    </row>
    <row r="7321" spans="14:19" hidden="1" x14ac:dyDescent="0.25">
      <c r="N7321" s="17">
        <v>931.69999999985305</v>
      </c>
      <c r="O7321" s="16" t="s">
        <v>7945</v>
      </c>
      <c r="R7321" s="6"/>
      <c r="S7321" s="298"/>
    </row>
    <row r="7322" spans="14:19" hidden="1" x14ac:dyDescent="0.25">
      <c r="N7322" s="17">
        <v>931.79999999985296</v>
      </c>
      <c r="O7322" s="16" t="s">
        <v>5850</v>
      </c>
      <c r="R7322" s="6"/>
      <c r="S7322" s="298"/>
    </row>
    <row r="7323" spans="14:19" hidden="1" x14ac:dyDescent="0.25">
      <c r="N7323" s="17">
        <v>931.89999999985298</v>
      </c>
      <c r="O7323" s="16" t="s">
        <v>5851</v>
      </c>
      <c r="R7323" s="6"/>
      <c r="S7323" s="298"/>
    </row>
    <row r="7324" spans="14:19" hidden="1" x14ac:dyDescent="0.25">
      <c r="N7324" s="17">
        <v>931.999999999853</v>
      </c>
      <c r="O7324" s="16" t="s">
        <v>5852</v>
      </c>
      <c r="R7324" s="6"/>
      <c r="S7324" s="298"/>
    </row>
    <row r="7325" spans="14:19" hidden="1" x14ac:dyDescent="0.25">
      <c r="N7325" s="17">
        <v>932.09999999985303</v>
      </c>
      <c r="O7325" s="16" t="s">
        <v>5853</v>
      </c>
      <c r="R7325" s="6"/>
      <c r="S7325" s="298"/>
    </row>
    <row r="7326" spans="14:19" hidden="1" x14ac:dyDescent="0.25">
      <c r="N7326" s="17">
        <v>932.19999999985305</v>
      </c>
      <c r="O7326" s="16" t="s">
        <v>7249</v>
      </c>
      <c r="R7326" s="6"/>
      <c r="S7326" s="298"/>
    </row>
    <row r="7327" spans="14:19" hidden="1" x14ac:dyDescent="0.25">
      <c r="N7327" s="17">
        <v>932.29999999985296</v>
      </c>
      <c r="O7327" s="16" t="s">
        <v>7250</v>
      </c>
      <c r="R7327" s="6"/>
      <c r="S7327" s="298"/>
    </row>
    <row r="7328" spans="14:19" hidden="1" x14ac:dyDescent="0.25">
      <c r="N7328" s="17">
        <v>932.39999999985298</v>
      </c>
      <c r="O7328" s="16" t="s">
        <v>7251</v>
      </c>
      <c r="R7328" s="6"/>
      <c r="S7328" s="298"/>
    </row>
    <row r="7329" spans="14:19" hidden="1" x14ac:dyDescent="0.25">
      <c r="N7329" s="17">
        <v>932.499999999853</v>
      </c>
      <c r="O7329" s="16" t="s">
        <v>7252</v>
      </c>
      <c r="R7329" s="6"/>
      <c r="S7329" s="298"/>
    </row>
    <row r="7330" spans="14:19" hidden="1" x14ac:dyDescent="0.25">
      <c r="N7330" s="17">
        <v>932.599999999852</v>
      </c>
      <c r="O7330" s="16" t="s">
        <v>7253</v>
      </c>
      <c r="R7330" s="6"/>
      <c r="S7330" s="298"/>
    </row>
    <row r="7331" spans="14:19" hidden="1" x14ac:dyDescent="0.25">
      <c r="N7331" s="17">
        <v>932.69999999985203</v>
      </c>
      <c r="O7331" s="16" t="s">
        <v>7254</v>
      </c>
      <c r="R7331" s="6"/>
      <c r="S7331" s="298"/>
    </row>
    <row r="7332" spans="14:19" hidden="1" x14ac:dyDescent="0.25">
      <c r="N7332" s="17">
        <v>932.79999999985205</v>
      </c>
      <c r="O7332" s="16" t="s">
        <v>6130</v>
      </c>
      <c r="R7332" s="6"/>
      <c r="S7332" s="298"/>
    </row>
    <row r="7333" spans="14:19" hidden="1" x14ac:dyDescent="0.25">
      <c r="N7333" s="17">
        <v>932.89999999985196</v>
      </c>
      <c r="O7333" s="16" t="s">
        <v>6131</v>
      </c>
      <c r="R7333" s="6"/>
      <c r="S7333" s="298"/>
    </row>
    <row r="7334" spans="14:19" hidden="1" x14ac:dyDescent="0.25">
      <c r="N7334" s="17">
        <v>932.99999999985198</v>
      </c>
      <c r="O7334" s="16" t="s">
        <v>8221</v>
      </c>
      <c r="R7334" s="6"/>
      <c r="S7334" s="298"/>
    </row>
    <row r="7335" spans="14:19" hidden="1" x14ac:dyDescent="0.25">
      <c r="N7335" s="17">
        <v>933.099999999852</v>
      </c>
      <c r="O7335" s="16" t="s">
        <v>8222</v>
      </c>
      <c r="R7335" s="6"/>
      <c r="S7335" s="298"/>
    </row>
    <row r="7336" spans="14:19" hidden="1" x14ac:dyDescent="0.25">
      <c r="N7336" s="17">
        <v>933.19999999985203</v>
      </c>
      <c r="O7336" s="16" t="s">
        <v>8223</v>
      </c>
      <c r="R7336" s="6"/>
      <c r="S7336" s="298"/>
    </row>
    <row r="7337" spans="14:19" hidden="1" x14ac:dyDescent="0.25">
      <c r="N7337" s="17">
        <v>933.29999999985205</v>
      </c>
      <c r="O7337" s="16" t="s">
        <v>8224</v>
      </c>
      <c r="R7337" s="6"/>
      <c r="S7337" s="298"/>
    </row>
    <row r="7338" spans="14:19" hidden="1" x14ac:dyDescent="0.25">
      <c r="N7338" s="17">
        <v>933.39999999985196</v>
      </c>
      <c r="O7338" s="16" t="s">
        <v>8225</v>
      </c>
      <c r="R7338" s="6"/>
      <c r="S7338" s="298"/>
    </row>
    <row r="7339" spans="14:19" hidden="1" x14ac:dyDescent="0.25">
      <c r="N7339" s="17">
        <v>933.49999999985198</v>
      </c>
      <c r="O7339" s="16" t="s">
        <v>8226</v>
      </c>
      <c r="R7339" s="6"/>
      <c r="S7339" s="298"/>
    </row>
    <row r="7340" spans="14:19" hidden="1" x14ac:dyDescent="0.25">
      <c r="N7340" s="17">
        <v>933.599999999852</v>
      </c>
      <c r="O7340" s="16" t="s">
        <v>8227</v>
      </c>
      <c r="R7340" s="6"/>
      <c r="S7340" s="298"/>
    </row>
    <row r="7341" spans="14:19" hidden="1" x14ac:dyDescent="0.25">
      <c r="N7341" s="17">
        <v>933.69999999985203</v>
      </c>
      <c r="O7341" s="16" t="s">
        <v>5154</v>
      </c>
      <c r="R7341" s="6"/>
      <c r="S7341" s="298"/>
    </row>
    <row r="7342" spans="14:19" hidden="1" x14ac:dyDescent="0.25">
      <c r="N7342" s="17">
        <v>933.79999999985205</v>
      </c>
      <c r="O7342" s="16" t="s">
        <v>5155</v>
      </c>
      <c r="R7342" s="6"/>
      <c r="S7342" s="298"/>
    </row>
    <row r="7343" spans="14:19" hidden="1" x14ac:dyDescent="0.25">
      <c r="N7343" s="17">
        <v>933.89999999985196</v>
      </c>
      <c r="O7343" s="16" t="s">
        <v>5156</v>
      </c>
      <c r="R7343" s="6"/>
      <c r="S7343" s="298"/>
    </row>
    <row r="7344" spans="14:19" hidden="1" x14ac:dyDescent="0.25">
      <c r="N7344" s="17">
        <v>933.99999999985198</v>
      </c>
      <c r="O7344" s="16" t="s">
        <v>5157</v>
      </c>
      <c r="R7344" s="6"/>
      <c r="S7344" s="298"/>
    </row>
    <row r="7345" spans="14:19" hidden="1" x14ac:dyDescent="0.25">
      <c r="N7345" s="17">
        <v>934.099999999852</v>
      </c>
      <c r="O7345" s="16" t="s">
        <v>5158</v>
      </c>
      <c r="R7345" s="6"/>
      <c r="S7345" s="298"/>
    </row>
    <row r="7346" spans="14:19" hidden="1" x14ac:dyDescent="0.25">
      <c r="N7346" s="17">
        <v>934.19999999985203</v>
      </c>
      <c r="O7346" s="16" t="s">
        <v>5159</v>
      </c>
      <c r="R7346" s="6"/>
      <c r="S7346" s="298"/>
    </row>
    <row r="7347" spans="14:19" hidden="1" x14ac:dyDescent="0.25">
      <c r="N7347" s="17">
        <v>934.29999999985205</v>
      </c>
      <c r="O7347" s="16" t="s">
        <v>5160</v>
      </c>
      <c r="R7347" s="6"/>
      <c r="S7347" s="298"/>
    </row>
    <row r="7348" spans="14:19" hidden="1" x14ac:dyDescent="0.25">
      <c r="N7348" s="17">
        <v>934.39999999985196</v>
      </c>
      <c r="O7348" s="16" t="s">
        <v>5161</v>
      </c>
      <c r="R7348" s="6"/>
      <c r="S7348" s="298"/>
    </row>
    <row r="7349" spans="14:19" hidden="1" x14ac:dyDescent="0.25">
      <c r="N7349" s="17">
        <v>934.49999999985198</v>
      </c>
      <c r="O7349" s="16" t="s">
        <v>5162</v>
      </c>
      <c r="R7349" s="6"/>
      <c r="S7349" s="298"/>
    </row>
    <row r="7350" spans="14:19" hidden="1" x14ac:dyDescent="0.25">
      <c r="N7350" s="17">
        <v>934.599999999852</v>
      </c>
      <c r="O7350" s="16" t="s">
        <v>5163</v>
      </c>
      <c r="R7350" s="6"/>
      <c r="S7350" s="298"/>
    </row>
    <row r="7351" spans="14:19" hidden="1" x14ac:dyDescent="0.25">
      <c r="N7351" s="17">
        <v>934.69999999985203</v>
      </c>
      <c r="O7351" s="16" t="s">
        <v>5164</v>
      </c>
      <c r="R7351" s="6"/>
      <c r="S7351" s="298"/>
    </row>
    <row r="7352" spans="14:19" hidden="1" x14ac:dyDescent="0.25">
      <c r="N7352" s="17">
        <v>934.79999999985205</v>
      </c>
      <c r="O7352" s="16" t="s">
        <v>5165</v>
      </c>
      <c r="R7352" s="6"/>
      <c r="S7352" s="298"/>
    </row>
    <row r="7353" spans="14:19" hidden="1" x14ac:dyDescent="0.25">
      <c r="N7353" s="17">
        <v>934.89999999985196</v>
      </c>
      <c r="O7353" s="16" t="s">
        <v>5166</v>
      </c>
      <c r="R7353" s="6"/>
      <c r="S7353" s="298"/>
    </row>
    <row r="7354" spans="14:19" hidden="1" x14ac:dyDescent="0.25">
      <c r="N7354" s="17">
        <v>934.99999999985198</v>
      </c>
      <c r="O7354" s="16" t="s">
        <v>5167</v>
      </c>
      <c r="R7354" s="6"/>
      <c r="S7354" s="298"/>
    </row>
    <row r="7355" spans="14:19" hidden="1" x14ac:dyDescent="0.25">
      <c r="N7355" s="17">
        <v>935.099999999852</v>
      </c>
      <c r="O7355" s="16" t="s">
        <v>5168</v>
      </c>
      <c r="R7355" s="6"/>
      <c r="S7355" s="298"/>
    </row>
    <row r="7356" spans="14:19" hidden="1" x14ac:dyDescent="0.25">
      <c r="N7356" s="17">
        <v>935.19999999985203</v>
      </c>
      <c r="O7356" s="16" t="s">
        <v>5169</v>
      </c>
      <c r="R7356" s="6"/>
      <c r="S7356" s="298"/>
    </row>
    <row r="7357" spans="14:19" hidden="1" x14ac:dyDescent="0.25">
      <c r="N7357" s="17">
        <v>935.29999999985205</v>
      </c>
      <c r="O7357" s="16" t="s">
        <v>5170</v>
      </c>
      <c r="R7357" s="6"/>
      <c r="S7357" s="298"/>
    </row>
    <row r="7358" spans="14:19" hidden="1" x14ac:dyDescent="0.25">
      <c r="N7358" s="17">
        <v>935.39999999985196</v>
      </c>
      <c r="O7358" s="16" t="s">
        <v>5171</v>
      </c>
      <c r="R7358" s="6"/>
      <c r="S7358" s="298"/>
    </row>
    <row r="7359" spans="14:19" hidden="1" x14ac:dyDescent="0.25">
      <c r="N7359" s="17">
        <v>935.49999999985198</v>
      </c>
      <c r="O7359" s="16" t="s">
        <v>5172</v>
      </c>
      <c r="R7359" s="6"/>
      <c r="S7359" s="298"/>
    </row>
    <row r="7360" spans="14:19" hidden="1" x14ac:dyDescent="0.25">
      <c r="N7360" s="17">
        <v>935.59999999985098</v>
      </c>
      <c r="O7360" s="16" t="s">
        <v>5173</v>
      </c>
      <c r="R7360" s="6"/>
      <c r="S7360" s="298"/>
    </row>
    <row r="7361" spans="14:19" hidden="1" x14ac:dyDescent="0.25">
      <c r="N7361" s="17">
        <v>935.699999999851</v>
      </c>
      <c r="O7361" s="16" t="s">
        <v>5174</v>
      </c>
      <c r="R7361" s="6"/>
      <c r="S7361" s="298"/>
    </row>
    <row r="7362" spans="14:19" hidden="1" x14ac:dyDescent="0.25">
      <c r="N7362" s="17">
        <v>935.79999999985102</v>
      </c>
      <c r="O7362" s="16" t="s">
        <v>5175</v>
      </c>
      <c r="R7362" s="6"/>
      <c r="S7362" s="298"/>
    </row>
    <row r="7363" spans="14:19" hidden="1" x14ac:dyDescent="0.25">
      <c r="N7363" s="17">
        <v>935.89999999985105</v>
      </c>
      <c r="O7363" s="16" t="s">
        <v>5176</v>
      </c>
      <c r="R7363" s="6"/>
      <c r="S7363" s="298"/>
    </row>
    <row r="7364" spans="14:19" hidden="1" x14ac:dyDescent="0.25">
      <c r="N7364" s="17">
        <v>935.99999999985096</v>
      </c>
      <c r="O7364" s="16" t="s">
        <v>5177</v>
      </c>
      <c r="R7364" s="6"/>
      <c r="S7364" s="298"/>
    </row>
    <row r="7365" spans="14:19" hidden="1" x14ac:dyDescent="0.25">
      <c r="N7365" s="17">
        <v>936.09999999985098</v>
      </c>
      <c r="O7365" s="16" t="s">
        <v>5178</v>
      </c>
      <c r="R7365" s="6"/>
      <c r="S7365" s="298"/>
    </row>
    <row r="7366" spans="14:19" hidden="1" x14ac:dyDescent="0.25">
      <c r="N7366" s="17">
        <v>936.199999999851</v>
      </c>
      <c r="O7366" s="16" t="s">
        <v>5179</v>
      </c>
      <c r="R7366" s="6"/>
      <c r="S7366" s="298"/>
    </row>
    <row r="7367" spans="14:19" hidden="1" x14ac:dyDescent="0.25">
      <c r="N7367" s="17">
        <v>936.29999999985102</v>
      </c>
      <c r="O7367" s="16" t="s">
        <v>5180</v>
      </c>
      <c r="R7367" s="6"/>
      <c r="S7367" s="298"/>
    </row>
    <row r="7368" spans="14:19" hidden="1" x14ac:dyDescent="0.25">
      <c r="N7368" s="17">
        <v>936.39999999985105</v>
      </c>
      <c r="O7368" s="16" t="s">
        <v>5181</v>
      </c>
      <c r="R7368" s="6"/>
      <c r="S7368" s="298"/>
    </row>
    <row r="7369" spans="14:19" hidden="1" x14ac:dyDescent="0.25">
      <c r="N7369" s="17">
        <v>936.49999999985096</v>
      </c>
      <c r="O7369" s="16" t="s">
        <v>5182</v>
      </c>
      <c r="R7369" s="6"/>
      <c r="S7369" s="298"/>
    </row>
    <row r="7370" spans="14:19" hidden="1" x14ac:dyDescent="0.25">
      <c r="N7370" s="17">
        <v>936.59999999985098</v>
      </c>
      <c r="O7370" s="16" t="s">
        <v>5183</v>
      </c>
      <c r="R7370" s="6"/>
      <c r="S7370" s="298"/>
    </row>
    <row r="7371" spans="14:19" hidden="1" x14ac:dyDescent="0.25">
      <c r="N7371" s="17">
        <v>936.699999999851</v>
      </c>
      <c r="O7371" s="16" t="s">
        <v>5184</v>
      </c>
      <c r="R7371" s="6"/>
      <c r="S7371" s="298"/>
    </row>
    <row r="7372" spans="14:19" hidden="1" x14ac:dyDescent="0.25">
      <c r="N7372" s="17">
        <v>936.79999999985102</v>
      </c>
      <c r="O7372" s="16" t="s">
        <v>5185</v>
      </c>
      <c r="R7372" s="6"/>
      <c r="S7372" s="298"/>
    </row>
    <row r="7373" spans="14:19" hidden="1" x14ac:dyDescent="0.25">
      <c r="N7373" s="17">
        <v>936.89999999985105</v>
      </c>
      <c r="O7373" s="16" t="s">
        <v>5186</v>
      </c>
      <c r="R7373" s="6"/>
      <c r="S7373" s="298"/>
    </row>
    <row r="7374" spans="14:19" hidden="1" x14ac:dyDescent="0.25">
      <c r="N7374" s="17">
        <v>936.99999999985096</v>
      </c>
      <c r="O7374" s="16" t="s">
        <v>5187</v>
      </c>
      <c r="R7374" s="6"/>
      <c r="S7374" s="298"/>
    </row>
    <row r="7375" spans="14:19" hidden="1" x14ac:dyDescent="0.25">
      <c r="N7375" s="17">
        <v>937.09999999985098</v>
      </c>
      <c r="O7375" s="16" t="s">
        <v>7257</v>
      </c>
      <c r="R7375" s="6"/>
      <c r="S7375" s="298"/>
    </row>
    <row r="7376" spans="14:19" hidden="1" x14ac:dyDescent="0.25">
      <c r="N7376" s="17">
        <v>937.199999999851</v>
      </c>
      <c r="O7376" s="16" t="s">
        <v>7258</v>
      </c>
      <c r="R7376" s="6"/>
      <c r="S7376" s="298"/>
    </row>
    <row r="7377" spans="14:19" hidden="1" x14ac:dyDescent="0.25">
      <c r="N7377" s="17">
        <v>937.29999999985102</v>
      </c>
      <c r="O7377" s="16" t="s">
        <v>7259</v>
      </c>
      <c r="R7377" s="6"/>
      <c r="S7377" s="298"/>
    </row>
    <row r="7378" spans="14:19" hidden="1" x14ac:dyDescent="0.25">
      <c r="N7378" s="17">
        <v>937.39999999985105</v>
      </c>
      <c r="O7378" s="16" t="s">
        <v>7260</v>
      </c>
      <c r="R7378" s="6"/>
      <c r="S7378" s="298"/>
    </row>
    <row r="7379" spans="14:19" hidden="1" x14ac:dyDescent="0.25">
      <c r="N7379" s="17">
        <v>937.49999999985096</v>
      </c>
      <c r="O7379" s="16" t="s">
        <v>7261</v>
      </c>
      <c r="R7379" s="6"/>
      <c r="S7379" s="298"/>
    </row>
    <row r="7380" spans="14:19" hidden="1" x14ac:dyDescent="0.25">
      <c r="N7380" s="17">
        <v>937.59999999985098</v>
      </c>
      <c r="O7380" s="16" t="s">
        <v>7262</v>
      </c>
      <c r="R7380" s="6"/>
      <c r="S7380" s="298"/>
    </row>
    <row r="7381" spans="14:19" hidden="1" x14ac:dyDescent="0.25">
      <c r="N7381" s="17">
        <v>937.699999999851</v>
      </c>
      <c r="O7381" s="16" t="s">
        <v>7263</v>
      </c>
      <c r="R7381" s="6"/>
      <c r="S7381" s="298"/>
    </row>
    <row r="7382" spans="14:19" hidden="1" x14ac:dyDescent="0.25">
      <c r="N7382" s="17">
        <v>937.79999999985102</v>
      </c>
      <c r="O7382" s="16" t="s">
        <v>7264</v>
      </c>
      <c r="R7382" s="6"/>
      <c r="S7382" s="298"/>
    </row>
    <row r="7383" spans="14:19" hidden="1" x14ac:dyDescent="0.25">
      <c r="N7383" s="17">
        <v>937.89999999985105</v>
      </c>
      <c r="O7383" s="16" t="s">
        <v>7265</v>
      </c>
      <c r="R7383" s="6"/>
      <c r="S7383" s="298"/>
    </row>
    <row r="7384" spans="14:19" hidden="1" x14ac:dyDescent="0.25">
      <c r="N7384" s="17">
        <v>937.99999999985096</v>
      </c>
      <c r="O7384" s="16" t="s">
        <v>7255</v>
      </c>
      <c r="R7384" s="6"/>
      <c r="S7384" s="298"/>
    </row>
    <row r="7385" spans="14:19" hidden="1" x14ac:dyDescent="0.25">
      <c r="N7385" s="17">
        <v>938.09999999985098</v>
      </c>
      <c r="O7385" s="16" t="s">
        <v>7256</v>
      </c>
      <c r="R7385" s="6"/>
      <c r="S7385" s="298"/>
    </row>
    <row r="7386" spans="14:19" hidden="1" x14ac:dyDescent="0.25">
      <c r="N7386" s="17">
        <v>938.199999999851</v>
      </c>
      <c r="O7386" s="16" t="s">
        <v>8181</v>
      </c>
      <c r="R7386" s="6"/>
      <c r="S7386" s="298"/>
    </row>
    <row r="7387" spans="14:19" hidden="1" x14ac:dyDescent="0.25">
      <c r="N7387" s="17">
        <v>938.29999999985102</v>
      </c>
      <c r="O7387" s="16" t="s">
        <v>8182</v>
      </c>
      <c r="R7387" s="6"/>
      <c r="S7387" s="298"/>
    </row>
    <row r="7388" spans="14:19" hidden="1" x14ac:dyDescent="0.25">
      <c r="N7388" s="17">
        <v>938.39999999985105</v>
      </c>
      <c r="O7388" s="16" t="s">
        <v>8183</v>
      </c>
      <c r="R7388" s="6"/>
      <c r="S7388" s="298"/>
    </row>
    <row r="7389" spans="14:19" hidden="1" x14ac:dyDescent="0.25">
      <c r="N7389" s="17">
        <v>938.49999999985005</v>
      </c>
      <c r="O7389" s="16" t="s">
        <v>8184</v>
      </c>
      <c r="R7389" s="6"/>
      <c r="S7389" s="298"/>
    </row>
    <row r="7390" spans="14:19" hidden="1" x14ac:dyDescent="0.25">
      <c r="N7390" s="17">
        <v>938.59999999984996</v>
      </c>
      <c r="O7390" s="16" t="s">
        <v>7269</v>
      </c>
      <c r="R7390" s="6"/>
      <c r="S7390" s="298"/>
    </row>
    <row r="7391" spans="14:19" hidden="1" x14ac:dyDescent="0.25">
      <c r="N7391" s="17">
        <v>938.69999999984998</v>
      </c>
      <c r="O7391" s="16" t="s">
        <v>7270</v>
      </c>
      <c r="R7391" s="6"/>
      <c r="S7391" s="298"/>
    </row>
    <row r="7392" spans="14:19" hidden="1" x14ac:dyDescent="0.25">
      <c r="N7392" s="17">
        <v>938.79999999985</v>
      </c>
      <c r="O7392" s="16" t="s">
        <v>7271</v>
      </c>
      <c r="R7392" s="6"/>
      <c r="S7392" s="298"/>
    </row>
    <row r="7393" spans="14:19" hidden="1" x14ac:dyDescent="0.25">
      <c r="N7393" s="17">
        <v>938.89999999985002</v>
      </c>
      <c r="O7393" s="16" t="s">
        <v>7272</v>
      </c>
      <c r="R7393" s="6"/>
      <c r="S7393" s="298"/>
    </row>
    <row r="7394" spans="14:19" hidden="1" x14ac:dyDescent="0.25">
      <c r="N7394" s="17">
        <v>938.99999999985005</v>
      </c>
      <c r="O7394" s="16" t="s">
        <v>7273</v>
      </c>
      <c r="R7394" s="6"/>
      <c r="S7394" s="298"/>
    </row>
    <row r="7395" spans="14:19" hidden="1" x14ac:dyDescent="0.25">
      <c r="N7395" s="17">
        <v>939.09999999984996</v>
      </c>
      <c r="O7395" s="16" t="s">
        <v>7274</v>
      </c>
      <c r="R7395" s="6"/>
      <c r="S7395" s="298"/>
    </row>
    <row r="7396" spans="14:19" hidden="1" x14ac:dyDescent="0.25">
      <c r="N7396" s="17">
        <v>939.19999999984998</v>
      </c>
      <c r="O7396" s="16" t="s">
        <v>7275</v>
      </c>
      <c r="R7396" s="6"/>
      <c r="S7396" s="298"/>
    </row>
    <row r="7397" spans="14:19" hidden="1" x14ac:dyDescent="0.25">
      <c r="N7397" s="17">
        <v>939.29999999985</v>
      </c>
      <c r="O7397" s="16" t="s">
        <v>7276</v>
      </c>
      <c r="R7397" s="6"/>
      <c r="S7397" s="298"/>
    </row>
    <row r="7398" spans="14:19" hidden="1" x14ac:dyDescent="0.25">
      <c r="N7398" s="17">
        <v>939.39999999985002</v>
      </c>
      <c r="O7398" s="16" t="s">
        <v>7277</v>
      </c>
      <c r="R7398" s="6"/>
      <c r="S7398" s="298"/>
    </row>
    <row r="7399" spans="14:19" hidden="1" x14ac:dyDescent="0.25">
      <c r="N7399" s="17">
        <v>939.49999999985005</v>
      </c>
      <c r="O7399" s="16" t="s">
        <v>7278</v>
      </c>
      <c r="R7399" s="6"/>
      <c r="S7399" s="298"/>
    </row>
    <row r="7400" spans="14:19" hidden="1" x14ac:dyDescent="0.25">
      <c r="N7400" s="17">
        <v>939.59999999984996</v>
      </c>
      <c r="O7400" s="16" t="s">
        <v>7279</v>
      </c>
      <c r="R7400" s="6"/>
      <c r="S7400" s="298"/>
    </row>
    <row r="7401" spans="14:19" hidden="1" x14ac:dyDescent="0.25">
      <c r="N7401" s="17">
        <v>939.69999999984998</v>
      </c>
      <c r="O7401" s="16" t="s">
        <v>7280</v>
      </c>
      <c r="R7401" s="6"/>
      <c r="S7401" s="298"/>
    </row>
    <row r="7402" spans="14:19" hidden="1" x14ac:dyDescent="0.25">
      <c r="N7402" s="17">
        <v>939.79999999985</v>
      </c>
      <c r="O7402" s="16" t="s">
        <v>5208</v>
      </c>
      <c r="R7402" s="6"/>
      <c r="S7402" s="298"/>
    </row>
    <row r="7403" spans="14:19" hidden="1" x14ac:dyDescent="0.25">
      <c r="N7403" s="17">
        <v>939.89999999985002</v>
      </c>
      <c r="O7403" s="16" t="s">
        <v>5209</v>
      </c>
      <c r="R7403" s="6"/>
      <c r="S7403" s="298"/>
    </row>
    <row r="7404" spans="14:19" hidden="1" x14ac:dyDescent="0.25">
      <c r="N7404" s="17">
        <v>939.99999999985005</v>
      </c>
      <c r="O7404" s="16" t="s">
        <v>5210</v>
      </c>
      <c r="R7404" s="6"/>
      <c r="S7404" s="298"/>
    </row>
    <row r="7405" spans="14:19" hidden="1" x14ac:dyDescent="0.25">
      <c r="N7405" s="17">
        <v>940.09999999984996</v>
      </c>
      <c r="O7405" s="16" t="s">
        <v>5211</v>
      </c>
      <c r="R7405" s="6"/>
      <c r="S7405" s="298"/>
    </row>
    <row r="7406" spans="14:19" hidden="1" x14ac:dyDescent="0.25">
      <c r="N7406" s="17">
        <v>940.19999999984998</v>
      </c>
      <c r="O7406" s="16" t="s">
        <v>5212</v>
      </c>
      <c r="R7406" s="6"/>
      <c r="S7406" s="298"/>
    </row>
    <row r="7407" spans="14:19" hidden="1" x14ac:dyDescent="0.25">
      <c r="N7407" s="17">
        <v>940.29999999985</v>
      </c>
      <c r="O7407" s="16" t="s">
        <v>5213</v>
      </c>
      <c r="R7407" s="6"/>
      <c r="S7407" s="298"/>
    </row>
    <row r="7408" spans="14:19" hidden="1" x14ac:dyDescent="0.25">
      <c r="N7408" s="17">
        <v>940.39999999985002</v>
      </c>
      <c r="O7408" s="16" t="s">
        <v>5214</v>
      </c>
      <c r="R7408" s="6"/>
      <c r="S7408" s="298"/>
    </row>
    <row r="7409" spans="14:19" hidden="1" x14ac:dyDescent="0.25">
      <c r="N7409" s="17">
        <v>940.49999999985005</v>
      </c>
      <c r="O7409" s="16" t="s">
        <v>5215</v>
      </c>
      <c r="R7409" s="6"/>
      <c r="S7409" s="298"/>
    </row>
    <row r="7410" spans="14:19" hidden="1" x14ac:dyDescent="0.25">
      <c r="N7410" s="17">
        <v>940.59999999984996</v>
      </c>
      <c r="O7410" s="16" t="s">
        <v>5216</v>
      </c>
      <c r="R7410" s="6"/>
      <c r="S7410" s="298"/>
    </row>
    <row r="7411" spans="14:19" hidden="1" x14ac:dyDescent="0.25">
      <c r="N7411" s="17">
        <v>940.69999999984998</v>
      </c>
      <c r="O7411" s="16" t="s">
        <v>5217</v>
      </c>
      <c r="R7411" s="6"/>
      <c r="S7411" s="298"/>
    </row>
    <row r="7412" spans="14:19" hidden="1" x14ac:dyDescent="0.25">
      <c r="N7412" s="17">
        <v>940.79999999985</v>
      </c>
      <c r="O7412" s="16" t="s">
        <v>5218</v>
      </c>
      <c r="R7412" s="6"/>
      <c r="S7412" s="298"/>
    </row>
    <row r="7413" spans="14:19" hidden="1" x14ac:dyDescent="0.25">
      <c r="N7413" s="17">
        <v>940.89999999985002</v>
      </c>
      <c r="O7413" s="16" t="s">
        <v>5219</v>
      </c>
      <c r="R7413" s="6"/>
      <c r="S7413" s="298"/>
    </row>
    <row r="7414" spans="14:19" hidden="1" x14ac:dyDescent="0.25">
      <c r="N7414" s="17">
        <v>940.99999999985005</v>
      </c>
      <c r="O7414" s="16" t="s">
        <v>5220</v>
      </c>
      <c r="R7414" s="6"/>
      <c r="S7414" s="298"/>
    </row>
    <row r="7415" spans="14:19" hidden="1" x14ac:dyDescent="0.25">
      <c r="N7415" s="17">
        <v>941.09999999984996</v>
      </c>
      <c r="O7415" s="16" t="s">
        <v>5221</v>
      </c>
      <c r="R7415" s="6"/>
      <c r="S7415" s="298"/>
    </row>
    <row r="7416" spans="14:19" hidden="1" x14ac:dyDescent="0.25">
      <c r="N7416" s="17">
        <v>941.19999999984998</v>
      </c>
      <c r="O7416" s="16" t="s">
        <v>5222</v>
      </c>
      <c r="R7416" s="6"/>
      <c r="S7416" s="298"/>
    </row>
    <row r="7417" spans="14:19" hidden="1" x14ac:dyDescent="0.25">
      <c r="N7417" s="17">
        <v>941.29999999985</v>
      </c>
      <c r="O7417" s="16" t="s">
        <v>5223</v>
      </c>
      <c r="R7417" s="6"/>
      <c r="S7417" s="298"/>
    </row>
    <row r="7418" spans="14:19" hidden="1" x14ac:dyDescent="0.25">
      <c r="N7418" s="17">
        <v>941.399999999849</v>
      </c>
      <c r="O7418" s="16" t="s">
        <v>5224</v>
      </c>
      <c r="R7418" s="6"/>
      <c r="S7418" s="298"/>
    </row>
    <row r="7419" spans="14:19" hidden="1" x14ac:dyDescent="0.25">
      <c r="N7419" s="17">
        <v>941.49999999984902</v>
      </c>
      <c r="O7419" s="16" t="s">
        <v>5225</v>
      </c>
      <c r="R7419" s="6"/>
      <c r="S7419" s="298"/>
    </row>
    <row r="7420" spans="14:19" hidden="1" x14ac:dyDescent="0.25">
      <c r="N7420" s="17">
        <v>941.59999999984905</v>
      </c>
      <c r="O7420" s="16" t="s">
        <v>5226</v>
      </c>
      <c r="R7420" s="6"/>
      <c r="S7420" s="298"/>
    </row>
    <row r="7421" spans="14:19" hidden="1" x14ac:dyDescent="0.25">
      <c r="N7421" s="17">
        <v>941.69999999984896</v>
      </c>
      <c r="O7421" s="16" t="s">
        <v>5227</v>
      </c>
      <c r="R7421" s="6"/>
      <c r="S7421" s="298"/>
    </row>
    <row r="7422" spans="14:19" hidden="1" x14ac:dyDescent="0.25">
      <c r="N7422" s="17">
        <v>941.79999999984898</v>
      </c>
      <c r="O7422" s="16" t="s">
        <v>5228</v>
      </c>
      <c r="R7422" s="6"/>
      <c r="S7422" s="298"/>
    </row>
    <row r="7423" spans="14:19" hidden="1" x14ac:dyDescent="0.25">
      <c r="N7423" s="17">
        <v>941.899999999849</v>
      </c>
      <c r="O7423" s="16" t="s">
        <v>5229</v>
      </c>
      <c r="R7423" s="6"/>
      <c r="S7423" s="298"/>
    </row>
    <row r="7424" spans="14:19" hidden="1" x14ac:dyDescent="0.25">
      <c r="N7424" s="17">
        <v>941.99999999984902</v>
      </c>
      <c r="O7424" s="16" t="s">
        <v>5230</v>
      </c>
      <c r="R7424" s="6"/>
      <c r="S7424" s="298"/>
    </row>
    <row r="7425" spans="14:19" hidden="1" x14ac:dyDescent="0.25">
      <c r="N7425" s="17">
        <v>942.09999999984905</v>
      </c>
      <c r="O7425" s="16" t="s">
        <v>5231</v>
      </c>
      <c r="R7425" s="6"/>
      <c r="S7425" s="298"/>
    </row>
    <row r="7426" spans="14:19" hidden="1" x14ac:dyDescent="0.25">
      <c r="N7426" s="17">
        <v>942.19999999984896</v>
      </c>
      <c r="O7426" s="16" t="s">
        <v>5232</v>
      </c>
      <c r="R7426" s="6"/>
      <c r="S7426" s="298"/>
    </row>
    <row r="7427" spans="14:19" hidden="1" x14ac:dyDescent="0.25">
      <c r="N7427" s="17">
        <v>942.29999999984898</v>
      </c>
      <c r="O7427" s="16" t="s">
        <v>5233</v>
      </c>
      <c r="R7427" s="6"/>
      <c r="S7427" s="298"/>
    </row>
    <row r="7428" spans="14:19" hidden="1" x14ac:dyDescent="0.25">
      <c r="N7428" s="17">
        <v>942.399999999849</v>
      </c>
      <c r="O7428" s="16" t="s">
        <v>5234</v>
      </c>
      <c r="R7428" s="6"/>
      <c r="S7428" s="298"/>
    </row>
    <row r="7429" spans="14:19" hidden="1" x14ac:dyDescent="0.25">
      <c r="N7429" s="17">
        <v>942.49999999984902</v>
      </c>
      <c r="O7429" s="16" t="s">
        <v>5235</v>
      </c>
      <c r="R7429" s="6"/>
      <c r="S7429" s="298"/>
    </row>
    <row r="7430" spans="14:19" hidden="1" x14ac:dyDescent="0.25">
      <c r="N7430" s="17">
        <v>942.59999999984905</v>
      </c>
      <c r="O7430" s="16" t="s">
        <v>5236</v>
      </c>
      <c r="R7430" s="6"/>
      <c r="S7430" s="298"/>
    </row>
    <row r="7431" spans="14:19" hidden="1" x14ac:dyDescent="0.25">
      <c r="N7431" s="17">
        <v>942.69999999984896</v>
      </c>
      <c r="O7431" s="16" t="s">
        <v>5237</v>
      </c>
      <c r="R7431" s="6"/>
      <c r="S7431" s="298"/>
    </row>
    <row r="7432" spans="14:19" hidden="1" x14ac:dyDescent="0.25">
      <c r="N7432" s="17">
        <v>942.79999999984898</v>
      </c>
      <c r="O7432" s="16" t="s">
        <v>5238</v>
      </c>
      <c r="R7432" s="6"/>
      <c r="S7432" s="298"/>
    </row>
    <row r="7433" spans="14:19" hidden="1" x14ac:dyDescent="0.25">
      <c r="N7433" s="17">
        <v>942.899999999849</v>
      </c>
      <c r="O7433" s="16" t="s">
        <v>5239</v>
      </c>
      <c r="R7433" s="6"/>
      <c r="S7433" s="298"/>
    </row>
    <row r="7434" spans="14:19" hidden="1" x14ac:dyDescent="0.25">
      <c r="N7434" s="17">
        <v>942.99999999984902</v>
      </c>
      <c r="O7434" s="16" t="s">
        <v>5240</v>
      </c>
      <c r="R7434" s="6"/>
      <c r="S7434" s="298"/>
    </row>
    <row r="7435" spans="14:19" hidden="1" x14ac:dyDescent="0.25">
      <c r="N7435" s="17">
        <v>943.09999999984905</v>
      </c>
      <c r="O7435" s="16" t="s">
        <v>5241</v>
      </c>
      <c r="R7435" s="6"/>
      <c r="S7435" s="298"/>
    </row>
    <row r="7436" spans="14:19" hidden="1" x14ac:dyDescent="0.25">
      <c r="N7436" s="17">
        <v>943.19999999984896</v>
      </c>
      <c r="O7436" s="16" t="s">
        <v>7306</v>
      </c>
      <c r="R7436" s="6"/>
      <c r="S7436" s="298"/>
    </row>
    <row r="7437" spans="14:19" hidden="1" x14ac:dyDescent="0.25">
      <c r="N7437" s="17">
        <v>943.29999999984898</v>
      </c>
      <c r="O7437" s="16" t="s">
        <v>7307</v>
      </c>
      <c r="R7437" s="6"/>
      <c r="S7437" s="298"/>
    </row>
    <row r="7438" spans="14:19" hidden="1" x14ac:dyDescent="0.25">
      <c r="N7438" s="17">
        <v>943.399999999849</v>
      </c>
      <c r="O7438" s="16" t="s">
        <v>7308</v>
      </c>
      <c r="R7438" s="6"/>
      <c r="S7438" s="298"/>
    </row>
    <row r="7439" spans="14:19" hidden="1" x14ac:dyDescent="0.25">
      <c r="N7439" s="17">
        <v>943.49999999984902</v>
      </c>
      <c r="O7439" s="16" t="s">
        <v>8215</v>
      </c>
      <c r="R7439" s="6"/>
      <c r="S7439" s="298"/>
    </row>
    <row r="7440" spans="14:19" hidden="1" x14ac:dyDescent="0.25">
      <c r="N7440" s="17">
        <v>943.59999999984905</v>
      </c>
      <c r="O7440" s="16" t="s">
        <v>6912</v>
      </c>
      <c r="R7440" s="6"/>
      <c r="S7440" s="298"/>
    </row>
    <row r="7441" spans="14:19" hidden="1" x14ac:dyDescent="0.25">
      <c r="N7441" s="17">
        <v>943.69999999984896</v>
      </c>
      <c r="O7441" s="16" t="s">
        <v>6913</v>
      </c>
      <c r="R7441" s="6"/>
      <c r="S7441" s="298"/>
    </row>
    <row r="7442" spans="14:19" hidden="1" x14ac:dyDescent="0.25">
      <c r="N7442" s="17">
        <v>943.79999999984898</v>
      </c>
      <c r="O7442" s="16" t="s">
        <v>6914</v>
      </c>
      <c r="R7442" s="6"/>
      <c r="S7442" s="298"/>
    </row>
    <row r="7443" spans="14:19" hidden="1" x14ac:dyDescent="0.25">
      <c r="N7443" s="17">
        <v>943.899999999849</v>
      </c>
      <c r="O7443" s="16" t="s">
        <v>6915</v>
      </c>
      <c r="R7443" s="6"/>
      <c r="S7443" s="298"/>
    </row>
    <row r="7444" spans="14:19" hidden="1" x14ac:dyDescent="0.25">
      <c r="N7444" s="17">
        <v>943.99999999984902</v>
      </c>
      <c r="O7444" s="16" t="s">
        <v>6916</v>
      </c>
      <c r="R7444" s="6"/>
      <c r="S7444" s="298"/>
    </row>
    <row r="7445" spans="14:19" hidden="1" x14ac:dyDescent="0.25">
      <c r="N7445" s="17">
        <v>944.09999999984905</v>
      </c>
      <c r="O7445" s="16" t="s">
        <v>5087</v>
      </c>
      <c r="R7445" s="6"/>
      <c r="S7445" s="298"/>
    </row>
    <row r="7446" spans="14:19" hidden="1" x14ac:dyDescent="0.25">
      <c r="N7446" s="17">
        <v>944.19999999984896</v>
      </c>
      <c r="O7446" s="16" t="s">
        <v>5088</v>
      </c>
      <c r="R7446" s="6"/>
      <c r="S7446" s="298"/>
    </row>
    <row r="7447" spans="14:19" hidden="1" x14ac:dyDescent="0.25">
      <c r="N7447" s="17">
        <v>944.29999999984898</v>
      </c>
      <c r="O7447" s="16" t="s">
        <v>5089</v>
      </c>
      <c r="R7447" s="6"/>
      <c r="S7447" s="298"/>
    </row>
    <row r="7448" spans="14:19" hidden="1" x14ac:dyDescent="0.25">
      <c r="N7448" s="17">
        <v>944.39999999984798</v>
      </c>
      <c r="O7448" s="16" t="s">
        <v>5090</v>
      </c>
      <c r="R7448" s="6"/>
      <c r="S7448" s="298"/>
    </row>
    <row r="7449" spans="14:19" hidden="1" x14ac:dyDescent="0.25">
      <c r="N7449" s="17">
        <v>944.499999999848</v>
      </c>
      <c r="O7449" s="16" t="s">
        <v>5091</v>
      </c>
      <c r="R7449" s="6"/>
      <c r="S7449" s="298"/>
    </row>
    <row r="7450" spans="14:19" hidden="1" x14ac:dyDescent="0.25">
      <c r="N7450" s="17">
        <v>944.59999999984802</v>
      </c>
      <c r="O7450" s="16" t="s">
        <v>5092</v>
      </c>
      <c r="R7450" s="6"/>
      <c r="S7450" s="298"/>
    </row>
    <row r="7451" spans="14:19" hidden="1" x14ac:dyDescent="0.25">
      <c r="N7451" s="17">
        <v>944.69999999984805</v>
      </c>
      <c r="O7451" s="16" t="s">
        <v>5093</v>
      </c>
      <c r="R7451" s="6"/>
      <c r="S7451" s="298"/>
    </row>
    <row r="7452" spans="14:19" hidden="1" x14ac:dyDescent="0.25">
      <c r="N7452" s="17">
        <v>944.79999999984796</v>
      </c>
      <c r="O7452" s="16" t="s">
        <v>7175</v>
      </c>
      <c r="R7452" s="6"/>
      <c r="S7452" s="298"/>
    </row>
    <row r="7453" spans="14:19" hidden="1" x14ac:dyDescent="0.25">
      <c r="N7453" s="17">
        <v>944.89999999984798</v>
      </c>
      <c r="O7453" s="16" t="s">
        <v>6916</v>
      </c>
      <c r="R7453" s="6"/>
      <c r="S7453" s="298"/>
    </row>
    <row r="7454" spans="14:19" hidden="1" x14ac:dyDescent="0.25">
      <c r="N7454" s="17">
        <v>944.999999999848</v>
      </c>
      <c r="O7454" s="16" t="s">
        <v>7176</v>
      </c>
      <c r="R7454" s="6"/>
      <c r="S7454" s="298"/>
    </row>
    <row r="7455" spans="14:19" hidden="1" x14ac:dyDescent="0.25">
      <c r="N7455" s="17">
        <v>945.09999999984802</v>
      </c>
      <c r="O7455" s="16" t="s">
        <v>7177</v>
      </c>
      <c r="R7455" s="6"/>
      <c r="S7455" s="298"/>
    </row>
    <row r="7456" spans="14:19" hidden="1" x14ac:dyDescent="0.25">
      <c r="N7456" s="17">
        <v>945.19999999984805</v>
      </c>
      <c r="O7456" s="16" t="s">
        <v>7178</v>
      </c>
      <c r="R7456" s="6"/>
      <c r="S7456" s="298"/>
    </row>
    <row r="7457" spans="14:19" hidden="1" x14ac:dyDescent="0.25">
      <c r="N7457" s="17">
        <v>945.29999999984796</v>
      </c>
      <c r="O7457" s="16" t="s">
        <v>7179</v>
      </c>
      <c r="R7457" s="6"/>
      <c r="S7457" s="298"/>
    </row>
    <row r="7458" spans="14:19" hidden="1" x14ac:dyDescent="0.25">
      <c r="N7458" s="17">
        <v>945.39999999984798</v>
      </c>
      <c r="O7458" s="16" t="s">
        <v>7180</v>
      </c>
      <c r="R7458" s="6"/>
      <c r="S7458" s="298"/>
    </row>
    <row r="7459" spans="14:19" hidden="1" x14ac:dyDescent="0.25">
      <c r="N7459" s="17">
        <v>945.499999999848</v>
      </c>
      <c r="O7459" s="16" t="s">
        <v>7181</v>
      </c>
      <c r="R7459" s="6"/>
      <c r="S7459" s="298"/>
    </row>
    <row r="7460" spans="14:19" hidden="1" x14ac:dyDescent="0.25">
      <c r="N7460" s="17">
        <v>945.59999999984802</v>
      </c>
      <c r="O7460" s="16" t="s">
        <v>7182</v>
      </c>
      <c r="R7460" s="6"/>
      <c r="S7460" s="298"/>
    </row>
    <row r="7461" spans="14:19" hidden="1" x14ac:dyDescent="0.25">
      <c r="N7461" s="17">
        <v>945.69999999984805</v>
      </c>
      <c r="O7461" s="16" t="s">
        <v>7183</v>
      </c>
      <c r="R7461" s="6"/>
      <c r="S7461" s="298"/>
    </row>
    <row r="7462" spans="14:19" hidden="1" x14ac:dyDescent="0.25">
      <c r="N7462" s="17">
        <v>945.79999999984796</v>
      </c>
      <c r="O7462" s="16" t="s">
        <v>7184</v>
      </c>
      <c r="R7462" s="6"/>
      <c r="S7462" s="298"/>
    </row>
    <row r="7463" spans="14:19" hidden="1" x14ac:dyDescent="0.25">
      <c r="N7463" s="17">
        <v>945.89999999984798</v>
      </c>
      <c r="O7463" s="16" t="s">
        <v>7185</v>
      </c>
      <c r="R7463" s="6"/>
      <c r="S7463" s="298"/>
    </row>
    <row r="7464" spans="14:19" hidden="1" x14ac:dyDescent="0.25">
      <c r="N7464" s="17">
        <v>945.999999999848</v>
      </c>
      <c r="O7464" s="16" t="s">
        <v>7186</v>
      </c>
      <c r="R7464" s="6"/>
      <c r="S7464" s="298"/>
    </row>
    <row r="7465" spans="14:19" hidden="1" x14ac:dyDescent="0.25">
      <c r="N7465" s="17">
        <v>946.09999999984802</v>
      </c>
      <c r="O7465" s="16" t="s">
        <v>7187</v>
      </c>
      <c r="R7465" s="6"/>
      <c r="S7465" s="298"/>
    </row>
    <row r="7466" spans="14:19" hidden="1" x14ac:dyDescent="0.25">
      <c r="N7466" s="17">
        <v>946.19999999984805</v>
      </c>
      <c r="O7466" s="16" t="s">
        <v>7188</v>
      </c>
      <c r="R7466" s="6"/>
      <c r="S7466" s="298"/>
    </row>
    <row r="7467" spans="14:19" hidden="1" x14ac:dyDescent="0.25">
      <c r="N7467" s="17">
        <v>946.29999999984796</v>
      </c>
      <c r="O7467" s="16" t="s">
        <v>7189</v>
      </c>
      <c r="R7467" s="6"/>
      <c r="S7467" s="298"/>
    </row>
    <row r="7468" spans="14:19" hidden="1" x14ac:dyDescent="0.25">
      <c r="N7468" s="17">
        <v>946.39999999984798</v>
      </c>
      <c r="O7468" s="16" t="s">
        <v>7190</v>
      </c>
      <c r="R7468" s="6"/>
      <c r="S7468" s="298"/>
    </row>
    <row r="7469" spans="14:19" hidden="1" x14ac:dyDescent="0.25">
      <c r="N7469" s="17">
        <v>946.499999999848</v>
      </c>
      <c r="O7469" s="16" t="s">
        <v>7191</v>
      </c>
      <c r="R7469" s="6"/>
      <c r="S7469" s="298"/>
    </row>
    <row r="7470" spans="14:19" hidden="1" x14ac:dyDescent="0.25">
      <c r="N7470" s="17">
        <v>946.59999999984802</v>
      </c>
      <c r="O7470" s="16" t="s">
        <v>7192</v>
      </c>
      <c r="R7470" s="6"/>
      <c r="S7470" s="298"/>
    </row>
    <row r="7471" spans="14:19" hidden="1" x14ac:dyDescent="0.25">
      <c r="N7471" s="17">
        <v>946.69999999984805</v>
      </c>
      <c r="O7471" s="16" t="s">
        <v>7193</v>
      </c>
      <c r="R7471" s="6"/>
      <c r="S7471" s="298"/>
    </row>
    <row r="7472" spans="14:19" hidden="1" x14ac:dyDescent="0.25">
      <c r="N7472" s="17">
        <v>946.79999999984796</v>
      </c>
      <c r="O7472" s="16" t="s">
        <v>7140</v>
      </c>
      <c r="R7472" s="6"/>
      <c r="S7472" s="298"/>
    </row>
    <row r="7473" spans="14:19" hidden="1" x14ac:dyDescent="0.25">
      <c r="N7473" s="17">
        <v>946.89999999984798</v>
      </c>
      <c r="O7473" s="16" t="s">
        <v>7141</v>
      </c>
      <c r="R7473" s="6"/>
      <c r="S7473" s="298"/>
    </row>
    <row r="7474" spans="14:19" hidden="1" x14ac:dyDescent="0.25">
      <c r="N7474" s="17">
        <v>946.999999999848</v>
      </c>
      <c r="O7474" s="16" t="s">
        <v>7142</v>
      </c>
      <c r="R7474" s="6"/>
      <c r="S7474" s="298"/>
    </row>
    <row r="7475" spans="14:19" hidden="1" x14ac:dyDescent="0.25">
      <c r="N7475" s="17">
        <v>947.09999999984802</v>
      </c>
      <c r="O7475" s="16" t="s">
        <v>7143</v>
      </c>
      <c r="R7475" s="6"/>
      <c r="S7475" s="298"/>
    </row>
    <row r="7476" spans="14:19" hidden="1" x14ac:dyDescent="0.25">
      <c r="N7476" s="17">
        <v>947.19999999984805</v>
      </c>
      <c r="O7476" s="16" t="s">
        <v>7144</v>
      </c>
      <c r="R7476" s="6"/>
      <c r="S7476" s="298"/>
    </row>
    <row r="7477" spans="14:19" hidden="1" x14ac:dyDescent="0.25">
      <c r="N7477" s="17">
        <v>947.29999999984705</v>
      </c>
      <c r="O7477" s="16" t="s">
        <v>7145</v>
      </c>
      <c r="R7477" s="6"/>
      <c r="S7477" s="298"/>
    </row>
    <row r="7478" spans="14:19" hidden="1" x14ac:dyDescent="0.25">
      <c r="N7478" s="17">
        <v>947.39999999984695</v>
      </c>
      <c r="O7478" s="16" t="s">
        <v>7146</v>
      </c>
      <c r="R7478" s="6"/>
      <c r="S7478" s="298"/>
    </row>
    <row r="7479" spans="14:19" hidden="1" x14ac:dyDescent="0.25">
      <c r="N7479" s="17">
        <v>947.49999999984698</v>
      </c>
      <c r="O7479" s="16" t="s">
        <v>7147</v>
      </c>
      <c r="R7479" s="6"/>
      <c r="S7479" s="298"/>
    </row>
    <row r="7480" spans="14:19" hidden="1" x14ac:dyDescent="0.25">
      <c r="N7480" s="17">
        <v>947.599999999847</v>
      </c>
      <c r="O7480" s="16" t="s">
        <v>7148</v>
      </c>
      <c r="R7480" s="6"/>
      <c r="S7480" s="298"/>
    </row>
    <row r="7481" spans="14:19" hidden="1" x14ac:dyDescent="0.25">
      <c r="N7481" s="17">
        <v>947.69999999984702</v>
      </c>
      <c r="O7481" s="16" t="s">
        <v>7149</v>
      </c>
      <c r="R7481" s="6"/>
      <c r="S7481" s="298"/>
    </row>
    <row r="7482" spans="14:19" hidden="1" x14ac:dyDescent="0.25">
      <c r="N7482" s="17">
        <v>947.79999999984705</v>
      </c>
      <c r="O7482" s="16" t="s">
        <v>7150</v>
      </c>
      <c r="R7482" s="6"/>
      <c r="S7482" s="298"/>
    </row>
    <row r="7483" spans="14:19" hidden="1" x14ac:dyDescent="0.25">
      <c r="N7483" s="17">
        <v>947.89999999984695</v>
      </c>
      <c r="O7483" s="16" t="s">
        <v>7151</v>
      </c>
      <c r="R7483" s="6"/>
      <c r="S7483" s="298"/>
    </row>
    <row r="7484" spans="14:19" hidden="1" x14ac:dyDescent="0.25">
      <c r="N7484" s="17">
        <v>947.99999999984698</v>
      </c>
      <c r="O7484" s="16" t="s">
        <v>7152</v>
      </c>
      <c r="R7484" s="6"/>
      <c r="S7484" s="298"/>
    </row>
    <row r="7485" spans="14:19" hidden="1" x14ac:dyDescent="0.25">
      <c r="N7485" s="17">
        <v>948.099999999847</v>
      </c>
      <c r="O7485" s="16" t="s">
        <v>7153</v>
      </c>
      <c r="R7485" s="6"/>
      <c r="S7485" s="298"/>
    </row>
    <row r="7486" spans="14:19" hidden="1" x14ac:dyDescent="0.25">
      <c r="N7486" s="17">
        <v>948.19999999984702</v>
      </c>
      <c r="O7486" s="16" t="s">
        <v>7154</v>
      </c>
      <c r="R7486" s="6"/>
      <c r="S7486" s="298"/>
    </row>
    <row r="7487" spans="14:19" hidden="1" x14ac:dyDescent="0.25">
      <c r="N7487" s="17">
        <v>948.29999999984705</v>
      </c>
      <c r="O7487" s="16" t="s">
        <v>7155</v>
      </c>
      <c r="R7487" s="6"/>
      <c r="S7487" s="298"/>
    </row>
    <row r="7488" spans="14:19" hidden="1" x14ac:dyDescent="0.25">
      <c r="N7488" s="17">
        <v>948.39999999984695</v>
      </c>
      <c r="O7488" s="16" t="s">
        <v>7156</v>
      </c>
      <c r="R7488" s="6"/>
      <c r="S7488" s="298"/>
    </row>
    <row r="7489" spans="14:19" hidden="1" x14ac:dyDescent="0.25">
      <c r="N7489" s="17">
        <v>948.49999999984698</v>
      </c>
      <c r="O7489" s="16" t="s">
        <v>7157</v>
      </c>
      <c r="R7489" s="6"/>
      <c r="S7489" s="298"/>
    </row>
    <row r="7490" spans="14:19" hidden="1" x14ac:dyDescent="0.25">
      <c r="N7490" s="17">
        <v>948.599999999847</v>
      </c>
      <c r="O7490" s="16" t="s">
        <v>7158</v>
      </c>
      <c r="R7490" s="6"/>
      <c r="S7490" s="298"/>
    </row>
    <row r="7491" spans="14:19" hidden="1" x14ac:dyDescent="0.25">
      <c r="N7491" s="17">
        <v>948.69999999984702</v>
      </c>
      <c r="O7491" s="16" t="s">
        <v>7159</v>
      </c>
      <c r="R7491" s="6"/>
      <c r="S7491" s="298"/>
    </row>
    <row r="7492" spans="14:19" hidden="1" x14ac:dyDescent="0.25">
      <c r="N7492" s="17">
        <v>948.79999999984705</v>
      </c>
      <c r="O7492" s="16" t="s">
        <v>7160</v>
      </c>
      <c r="R7492" s="6"/>
      <c r="S7492" s="298"/>
    </row>
    <row r="7493" spans="14:19" hidden="1" x14ac:dyDescent="0.25">
      <c r="N7493" s="17">
        <v>948.89999999984695</v>
      </c>
      <c r="O7493" s="16" t="s">
        <v>7161</v>
      </c>
      <c r="R7493" s="6"/>
      <c r="S7493" s="298"/>
    </row>
    <row r="7494" spans="14:19" hidden="1" x14ac:dyDescent="0.25">
      <c r="N7494" s="17">
        <v>948.99999999984698</v>
      </c>
      <c r="O7494" s="16" t="s">
        <v>7162</v>
      </c>
      <c r="R7494" s="6"/>
      <c r="S7494" s="298"/>
    </row>
    <row r="7495" spans="14:19" hidden="1" x14ac:dyDescent="0.25">
      <c r="N7495" s="17">
        <v>949.099999999847</v>
      </c>
      <c r="O7495" s="16" t="s">
        <v>7163</v>
      </c>
      <c r="R7495" s="6"/>
      <c r="S7495" s="298"/>
    </row>
    <row r="7496" spans="14:19" hidden="1" x14ac:dyDescent="0.25">
      <c r="N7496" s="17">
        <v>949.19999999984702</v>
      </c>
      <c r="O7496" s="16" t="s">
        <v>7164</v>
      </c>
      <c r="R7496" s="6"/>
      <c r="S7496" s="298"/>
    </row>
    <row r="7497" spans="14:19" hidden="1" x14ac:dyDescent="0.25">
      <c r="N7497" s="17">
        <v>949.29999999984705</v>
      </c>
      <c r="O7497" s="16" t="s">
        <v>7165</v>
      </c>
      <c r="R7497" s="6"/>
      <c r="S7497" s="298"/>
    </row>
    <row r="7498" spans="14:19" hidden="1" x14ac:dyDescent="0.25">
      <c r="N7498" s="17">
        <v>949.39999999984695</v>
      </c>
      <c r="O7498" s="16" t="s">
        <v>7166</v>
      </c>
      <c r="R7498" s="6"/>
      <c r="S7498" s="298"/>
    </row>
    <row r="7499" spans="14:19" hidden="1" x14ac:dyDescent="0.25">
      <c r="N7499" s="17">
        <v>949.49999999984698</v>
      </c>
      <c r="O7499" s="16" t="s">
        <v>7167</v>
      </c>
      <c r="R7499" s="6"/>
      <c r="S7499" s="298"/>
    </row>
    <row r="7500" spans="14:19" hidden="1" x14ac:dyDescent="0.25">
      <c r="N7500" s="17">
        <v>949.599999999847</v>
      </c>
      <c r="O7500" s="16" t="s">
        <v>7168</v>
      </c>
      <c r="R7500" s="6"/>
      <c r="S7500" s="298"/>
    </row>
    <row r="7501" spans="14:19" hidden="1" x14ac:dyDescent="0.25">
      <c r="N7501" s="17">
        <v>949.69999999984702</v>
      </c>
      <c r="O7501" s="16" t="s">
        <v>7169</v>
      </c>
      <c r="R7501" s="6"/>
      <c r="S7501" s="298"/>
    </row>
    <row r="7502" spans="14:19" hidden="1" x14ac:dyDescent="0.25">
      <c r="N7502" s="17">
        <v>949.79999999984705</v>
      </c>
      <c r="O7502" s="16" t="s">
        <v>7170</v>
      </c>
      <c r="R7502" s="6"/>
      <c r="S7502" s="298"/>
    </row>
    <row r="7503" spans="14:19" hidden="1" x14ac:dyDescent="0.25">
      <c r="N7503" s="17">
        <v>949.89999999984695</v>
      </c>
      <c r="O7503" s="16" t="s">
        <v>7171</v>
      </c>
      <c r="R7503" s="6"/>
      <c r="S7503" s="298"/>
    </row>
    <row r="7504" spans="14:19" hidden="1" x14ac:dyDescent="0.25">
      <c r="N7504" s="17">
        <v>949.99999999984698</v>
      </c>
      <c r="O7504" s="16" t="s">
        <v>7172</v>
      </c>
      <c r="R7504" s="6"/>
      <c r="S7504" s="298"/>
    </row>
    <row r="7505" spans="14:19" hidden="1" x14ac:dyDescent="0.25">
      <c r="N7505" s="17">
        <v>950.099999999847</v>
      </c>
      <c r="O7505" s="16" t="s">
        <v>7173</v>
      </c>
      <c r="R7505" s="6"/>
      <c r="S7505" s="298"/>
    </row>
    <row r="7506" spans="14:19" hidden="1" x14ac:dyDescent="0.25">
      <c r="N7506" s="17">
        <v>950.199999999846</v>
      </c>
      <c r="O7506" s="16" t="s">
        <v>7174</v>
      </c>
      <c r="R7506" s="6"/>
      <c r="S7506" s="298"/>
    </row>
    <row r="7507" spans="14:19" hidden="1" x14ac:dyDescent="0.25">
      <c r="N7507" s="17">
        <v>950.29999999984602</v>
      </c>
      <c r="O7507" s="16" t="s">
        <v>8123</v>
      </c>
      <c r="R7507" s="6"/>
      <c r="S7507" s="298"/>
    </row>
    <row r="7508" spans="14:19" hidden="1" x14ac:dyDescent="0.25">
      <c r="N7508" s="17">
        <v>950.39999999984605</v>
      </c>
      <c r="O7508" s="16" t="s">
        <v>8124</v>
      </c>
      <c r="R7508" s="6"/>
      <c r="S7508" s="298"/>
    </row>
    <row r="7509" spans="14:19" hidden="1" x14ac:dyDescent="0.25">
      <c r="N7509" s="17">
        <v>950.49999999984595</v>
      </c>
      <c r="O7509" s="16" t="s">
        <v>8125</v>
      </c>
      <c r="R7509" s="6"/>
      <c r="S7509" s="298"/>
    </row>
    <row r="7510" spans="14:19" hidden="1" x14ac:dyDescent="0.25">
      <c r="N7510" s="17">
        <v>950.59999999984598</v>
      </c>
      <c r="O7510" s="16" t="s">
        <v>8126</v>
      </c>
      <c r="R7510" s="6"/>
      <c r="S7510" s="298"/>
    </row>
    <row r="7511" spans="14:19" hidden="1" x14ac:dyDescent="0.25">
      <c r="N7511" s="17">
        <v>950.699999999846</v>
      </c>
      <c r="O7511" s="16" t="s">
        <v>8127</v>
      </c>
      <c r="R7511" s="6"/>
      <c r="S7511" s="298"/>
    </row>
    <row r="7512" spans="14:19" hidden="1" x14ac:dyDescent="0.25">
      <c r="N7512" s="17">
        <v>950.79999999984602</v>
      </c>
      <c r="O7512" s="16" t="s">
        <v>8128</v>
      </c>
      <c r="R7512" s="6"/>
      <c r="S7512" s="298"/>
    </row>
    <row r="7513" spans="14:19" hidden="1" x14ac:dyDescent="0.25">
      <c r="N7513" s="17">
        <v>950.89999999984605</v>
      </c>
      <c r="O7513" s="16" t="s">
        <v>8129</v>
      </c>
      <c r="R7513" s="6"/>
      <c r="S7513" s="298"/>
    </row>
    <row r="7514" spans="14:19" hidden="1" x14ac:dyDescent="0.25">
      <c r="N7514" s="17">
        <v>950.99999999984595</v>
      </c>
      <c r="O7514" s="16" t="s">
        <v>8130</v>
      </c>
      <c r="R7514" s="6"/>
      <c r="S7514" s="298"/>
    </row>
    <row r="7515" spans="14:19" hidden="1" x14ac:dyDescent="0.25">
      <c r="N7515" s="17">
        <v>951.09999999984598</v>
      </c>
      <c r="O7515" s="16" t="s">
        <v>8131</v>
      </c>
      <c r="R7515" s="6"/>
      <c r="S7515" s="298"/>
    </row>
    <row r="7516" spans="14:19" hidden="1" x14ac:dyDescent="0.25">
      <c r="N7516" s="17">
        <v>951.199999999846</v>
      </c>
      <c r="O7516" s="16" t="s">
        <v>8132</v>
      </c>
      <c r="R7516" s="6"/>
      <c r="S7516" s="298"/>
    </row>
    <row r="7517" spans="14:19" hidden="1" x14ac:dyDescent="0.25">
      <c r="N7517" s="17">
        <v>951.29999999984602</v>
      </c>
      <c r="O7517" s="16" t="s">
        <v>8133</v>
      </c>
      <c r="R7517" s="6"/>
      <c r="S7517" s="298"/>
    </row>
    <row r="7518" spans="14:19" hidden="1" x14ac:dyDescent="0.25">
      <c r="N7518" s="17">
        <v>951.39999999984605</v>
      </c>
      <c r="O7518" s="16" t="s">
        <v>8134</v>
      </c>
      <c r="R7518" s="6"/>
      <c r="S7518" s="298"/>
    </row>
    <row r="7519" spans="14:19" hidden="1" x14ac:dyDescent="0.25">
      <c r="N7519" s="17">
        <v>951.49999999984595</v>
      </c>
      <c r="O7519" s="16" t="s">
        <v>8135</v>
      </c>
      <c r="R7519" s="6"/>
      <c r="S7519" s="298"/>
    </row>
    <row r="7520" spans="14:19" hidden="1" x14ac:dyDescent="0.25">
      <c r="N7520" s="17">
        <v>951.59999999984598</v>
      </c>
      <c r="O7520" s="16" t="s">
        <v>8136</v>
      </c>
      <c r="R7520" s="6"/>
      <c r="S7520" s="298"/>
    </row>
    <row r="7521" spans="14:19" hidden="1" x14ac:dyDescent="0.25">
      <c r="N7521" s="17">
        <v>951.699999999846</v>
      </c>
      <c r="O7521" s="16" t="s">
        <v>8137</v>
      </c>
      <c r="R7521" s="6"/>
      <c r="S7521" s="298"/>
    </row>
    <row r="7522" spans="14:19" hidden="1" x14ac:dyDescent="0.25">
      <c r="N7522" s="17">
        <v>951.79999999984602</v>
      </c>
      <c r="O7522" s="16" t="s">
        <v>8138</v>
      </c>
      <c r="R7522" s="6"/>
      <c r="S7522" s="298"/>
    </row>
    <row r="7523" spans="14:19" hidden="1" x14ac:dyDescent="0.25">
      <c r="N7523" s="17">
        <v>951.89999999984605</v>
      </c>
      <c r="O7523" s="16" t="s">
        <v>8139</v>
      </c>
      <c r="R7523" s="6"/>
      <c r="S7523" s="298"/>
    </row>
    <row r="7524" spans="14:19" hidden="1" x14ac:dyDescent="0.25">
      <c r="N7524" s="17">
        <v>951.99999999984595</v>
      </c>
      <c r="O7524" s="16" t="s">
        <v>8140</v>
      </c>
      <c r="R7524" s="6"/>
      <c r="S7524" s="298"/>
    </row>
    <row r="7525" spans="14:19" hidden="1" x14ac:dyDescent="0.25">
      <c r="N7525" s="17">
        <v>952.09999999984598</v>
      </c>
      <c r="O7525" s="16" t="s">
        <v>8141</v>
      </c>
      <c r="R7525" s="6"/>
      <c r="S7525" s="298"/>
    </row>
    <row r="7526" spans="14:19" hidden="1" x14ac:dyDescent="0.25">
      <c r="N7526" s="17">
        <v>952.199999999846</v>
      </c>
      <c r="O7526" s="16" t="s">
        <v>8142</v>
      </c>
      <c r="R7526" s="6"/>
      <c r="S7526" s="298"/>
    </row>
    <row r="7527" spans="14:19" hidden="1" x14ac:dyDescent="0.25">
      <c r="N7527" s="17">
        <v>952.29999999984602</v>
      </c>
      <c r="O7527" s="16" t="s">
        <v>8143</v>
      </c>
      <c r="R7527" s="6"/>
      <c r="S7527" s="298"/>
    </row>
    <row r="7528" spans="14:19" hidden="1" x14ac:dyDescent="0.25">
      <c r="N7528" s="17">
        <v>952.39999999984605</v>
      </c>
      <c r="O7528" s="16" t="s">
        <v>8144</v>
      </c>
      <c r="R7528" s="6"/>
      <c r="S7528" s="298"/>
    </row>
    <row r="7529" spans="14:19" hidden="1" x14ac:dyDescent="0.25">
      <c r="N7529" s="17">
        <v>952.49999999984595</v>
      </c>
      <c r="O7529" s="16" t="s">
        <v>8145</v>
      </c>
      <c r="R7529" s="6"/>
      <c r="S7529" s="298"/>
    </row>
    <row r="7530" spans="14:19" hidden="1" x14ac:dyDescent="0.25">
      <c r="N7530" s="17">
        <v>952.59999999984598</v>
      </c>
      <c r="O7530" s="16" t="s">
        <v>8146</v>
      </c>
      <c r="R7530" s="6"/>
      <c r="S7530" s="298"/>
    </row>
    <row r="7531" spans="14:19" hidden="1" x14ac:dyDescent="0.25">
      <c r="N7531" s="17">
        <v>952.699999999846</v>
      </c>
      <c r="O7531" s="16" t="s">
        <v>8147</v>
      </c>
      <c r="R7531" s="6"/>
      <c r="S7531" s="298"/>
    </row>
    <row r="7532" spans="14:19" hidden="1" x14ac:dyDescent="0.25">
      <c r="N7532" s="17">
        <v>952.79999999984602</v>
      </c>
      <c r="O7532" s="16" t="s">
        <v>8148</v>
      </c>
      <c r="R7532" s="6"/>
      <c r="S7532" s="298"/>
    </row>
    <row r="7533" spans="14:19" hidden="1" x14ac:dyDescent="0.25">
      <c r="N7533" s="17">
        <v>952.89999999984605</v>
      </c>
      <c r="O7533" s="16" t="s">
        <v>8149</v>
      </c>
      <c r="R7533" s="6"/>
      <c r="S7533" s="298"/>
    </row>
    <row r="7534" spans="14:19" hidden="1" x14ac:dyDescent="0.25">
      <c r="N7534" s="17">
        <v>952.99999999984595</v>
      </c>
      <c r="O7534" s="16" t="s">
        <v>8150</v>
      </c>
      <c r="R7534" s="6"/>
      <c r="S7534" s="298"/>
    </row>
    <row r="7535" spans="14:19" hidden="1" x14ac:dyDescent="0.25">
      <c r="N7535" s="17">
        <v>953.09999999984495</v>
      </c>
      <c r="O7535" s="16" t="s">
        <v>8151</v>
      </c>
      <c r="R7535" s="6"/>
      <c r="S7535" s="298"/>
    </row>
    <row r="7536" spans="14:19" hidden="1" x14ac:dyDescent="0.25">
      <c r="N7536" s="17">
        <v>953.19999999984498</v>
      </c>
      <c r="O7536" s="16" t="s">
        <v>5360</v>
      </c>
      <c r="R7536" s="6"/>
      <c r="S7536" s="298"/>
    </row>
    <row r="7537" spans="14:19" hidden="1" x14ac:dyDescent="0.25">
      <c r="N7537" s="17">
        <v>953.299999999845</v>
      </c>
      <c r="O7537" s="16" t="s">
        <v>7437</v>
      </c>
      <c r="R7537" s="6"/>
      <c r="S7537" s="298"/>
    </row>
    <row r="7538" spans="14:19" hidden="1" x14ac:dyDescent="0.25">
      <c r="N7538" s="17">
        <v>953.39999999984502</v>
      </c>
      <c r="O7538" s="16" t="s">
        <v>7438</v>
      </c>
      <c r="R7538" s="6"/>
      <c r="S7538" s="298"/>
    </row>
    <row r="7539" spans="14:19" hidden="1" x14ac:dyDescent="0.25">
      <c r="N7539" s="17">
        <v>953.49999999984504</v>
      </c>
      <c r="O7539" s="16" t="s">
        <v>7439</v>
      </c>
      <c r="R7539" s="6"/>
      <c r="S7539" s="298"/>
    </row>
    <row r="7540" spans="14:19" hidden="1" x14ac:dyDescent="0.25">
      <c r="N7540" s="17">
        <v>953.59999999984495</v>
      </c>
      <c r="O7540" s="16" t="s">
        <v>7440</v>
      </c>
      <c r="R7540" s="6"/>
      <c r="S7540" s="298"/>
    </row>
    <row r="7541" spans="14:19" hidden="1" x14ac:dyDescent="0.25">
      <c r="N7541" s="17">
        <v>953.69999999984498</v>
      </c>
      <c r="O7541" s="16" t="s">
        <v>7441</v>
      </c>
      <c r="R7541" s="6"/>
      <c r="S7541" s="298"/>
    </row>
    <row r="7542" spans="14:19" hidden="1" x14ac:dyDescent="0.25">
      <c r="N7542" s="17">
        <v>953.799999999845</v>
      </c>
      <c r="O7542" s="16" t="s">
        <v>7442</v>
      </c>
      <c r="R7542" s="6"/>
      <c r="S7542" s="298"/>
    </row>
    <row r="7543" spans="14:19" hidden="1" x14ac:dyDescent="0.25">
      <c r="N7543" s="17">
        <v>953.89999999984502</v>
      </c>
      <c r="O7543" s="16" t="s">
        <v>7443</v>
      </c>
      <c r="R7543" s="6"/>
      <c r="S7543" s="298"/>
    </row>
    <row r="7544" spans="14:19" hidden="1" x14ac:dyDescent="0.25">
      <c r="N7544" s="17">
        <v>953.99999999984504</v>
      </c>
      <c r="O7544" s="16" t="s">
        <v>7444</v>
      </c>
      <c r="R7544" s="6"/>
      <c r="S7544" s="298"/>
    </row>
    <row r="7545" spans="14:19" hidden="1" x14ac:dyDescent="0.25">
      <c r="N7545" s="17">
        <v>954.09999999984495</v>
      </c>
      <c r="O7545" s="16" t="s">
        <v>7445</v>
      </c>
      <c r="R7545" s="6"/>
      <c r="S7545" s="298"/>
    </row>
    <row r="7546" spans="14:19" hidden="1" x14ac:dyDescent="0.25">
      <c r="N7546" s="17">
        <v>954.19999999984498</v>
      </c>
      <c r="O7546" s="16" t="s">
        <v>7446</v>
      </c>
      <c r="R7546" s="6"/>
      <c r="S7546" s="298"/>
    </row>
    <row r="7547" spans="14:19" hidden="1" x14ac:dyDescent="0.25">
      <c r="N7547" s="17">
        <v>954.299999999845</v>
      </c>
      <c r="O7547" s="16" t="s">
        <v>7447</v>
      </c>
      <c r="R7547" s="6"/>
      <c r="S7547" s="298"/>
    </row>
    <row r="7548" spans="14:19" hidden="1" x14ac:dyDescent="0.25">
      <c r="N7548" s="17">
        <v>954.39999999984502</v>
      </c>
      <c r="O7548" s="16" t="s">
        <v>7448</v>
      </c>
      <c r="R7548" s="6"/>
      <c r="S7548" s="298"/>
    </row>
    <row r="7549" spans="14:19" hidden="1" x14ac:dyDescent="0.25">
      <c r="N7549" s="17">
        <v>954.49999999984504</v>
      </c>
      <c r="O7549" s="16" t="s">
        <v>7449</v>
      </c>
      <c r="R7549" s="6"/>
      <c r="S7549" s="298"/>
    </row>
    <row r="7550" spans="14:19" hidden="1" x14ac:dyDescent="0.25">
      <c r="N7550" s="17">
        <v>954.59999999984495</v>
      </c>
      <c r="O7550" s="16" t="s">
        <v>7450</v>
      </c>
      <c r="R7550" s="6"/>
      <c r="S7550" s="298"/>
    </row>
    <row r="7551" spans="14:19" hidden="1" x14ac:dyDescent="0.25">
      <c r="N7551" s="17">
        <v>954.69999999984498</v>
      </c>
      <c r="O7551" s="16" t="s">
        <v>7451</v>
      </c>
      <c r="R7551" s="6"/>
      <c r="S7551" s="298"/>
    </row>
    <row r="7552" spans="14:19" hidden="1" x14ac:dyDescent="0.25">
      <c r="N7552" s="17">
        <v>954.799999999845</v>
      </c>
      <c r="O7552" s="16" t="s">
        <v>7452</v>
      </c>
      <c r="R7552" s="6"/>
      <c r="S7552" s="298"/>
    </row>
    <row r="7553" spans="14:19" hidden="1" x14ac:dyDescent="0.25">
      <c r="N7553" s="17">
        <v>954.89999999984502</v>
      </c>
      <c r="O7553" s="16" t="s">
        <v>7453</v>
      </c>
      <c r="R7553" s="6"/>
      <c r="S7553" s="298"/>
    </row>
    <row r="7554" spans="14:19" hidden="1" x14ac:dyDescent="0.25">
      <c r="N7554" s="17">
        <v>954.99999999984504</v>
      </c>
      <c r="O7554" s="16" t="s">
        <v>7454</v>
      </c>
      <c r="R7554" s="6"/>
      <c r="S7554" s="298"/>
    </row>
    <row r="7555" spans="14:19" hidden="1" x14ac:dyDescent="0.25">
      <c r="N7555" s="17">
        <v>955.09999999984495</v>
      </c>
      <c r="O7555" s="16" t="s">
        <v>8172</v>
      </c>
      <c r="R7555" s="6"/>
      <c r="S7555" s="298"/>
    </row>
    <row r="7556" spans="14:19" hidden="1" x14ac:dyDescent="0.25">
      <c r="N7556" s="17">
        <v>955.19999999984498</v>
      </c>
      <c r="O7556" s="16" t="s">
        <v>8173</v>
      </c>
      <c r="R7556" s="6"/>
      <c r="S7556" s="298"/>
    </row>
    <row r="7557" spans="14:19" hidden="1" x14ac:dyDescent="0.25">
      <c r="N7557" s="17">
        <v>955.299999999845</v>
      </c>
      <c r="O7557" s="16" t="s">
        <v>8174</v>
      </c>
      <c r="R7557" s="6"/>
      <c r="S7557" s="298"/>
    </row>
    <row r="7558" spans="14:19" hidden="1" x14ac:dyDescent="0.25">
      <c r="N7558" s="17">
        <v>955.39999999984502</v>
      </c>
      <c r="O7558" s="16" t="s">
        <v>8175</v>
      </c>
      <c r="R7558" s="6"/>
      <c r="S7558" s="298"/>
    </row>
    <row r="7559" spans="14:19" hidden="1" x14ac:dyDescent="0.25">
      <c r="N7559" s="17">
        <v>955.49999999984504</v>
      </c>
      <c r="O7559" s="16" t="s">
        <v>8176</v>
      </c>
      <c r="R7559" s="6"/>
      <c r="S7559" s="298"/>
    </row>
    <row r="7560" spans="14:19" hidden="1" x14ac:dyDescent="0.25">
      <c r="N7560" s="17">
        <v>955.59999999984495</v>
      </c>
      <c r="O7560" s="16" t="s">
        <v>8177</v>
      </c>
      <c r="R7560" s="6"/>
      <c r="S7560" s="298"/>
    </row>
    <row r="7561" spans="14:19" hidden="1" x14ac:dyDescent="0.25">
      <c r="N7561" s="17">
        <v>955.69999999984498</v>
      </c>
      <c r="O7561" s="16" t="s">
        <v>8178</v>
      </c>
      <c r="R7561" s="6"/>
      <c r="S7561" s="298"/>
    </row>
    <row r="7562" spans="14:19" hidden="1" x14ac:dyDescent="0.25">
      <c r="N7562" s="17">
        <v>955.799999999845</v>
      </c>
      <c r="O7562" s="16" t="s">
        <v>8179</v>
      </c>
      <c r="R7562" s="6"/>
      <c r="S7562" s="298"/>
    </row>
    <row r="7563" spans="14:19" hidden="1" x14ac:dyDescent="0.25">
      <c r="N7563" s="17">
        <v>955.89999999984502</v>
      </c>
      <c r="O7563" s="16" t="s">
        <v>8180</v>
      </c>
      <c r="R7563" s="6"/>
      <c r="S7563" s="298"/>
    </row>
    <row r="7564" spans="14:19" hidden="1" x14ac:dyDescent="0.25">
      <c r="N7564" s="17">
        <v>955.99999999984504</v>
      </c>
      <c r="O7564" s="16" t="s">
        <v>6324</v>
      </c>
      <c r="R7564" s="6"/>
      <c r="S7564" s="298"/>
    </row>
    <row r="7565" spans="14:19" hidden="1" x14ac:dyDescent="0.25">
      <c r="N7565" s="17">
        <v>956.09999999984404</v>
      </c>
      <c r="O7565" s="16" t="s">
        <v>6325</v>
      </c>
      <c r="R7565" s="6"/>
      <c r="S7565" s="298"/>
    </row>
    <row r="7566" spans="14:19" hidden="1" x14ac:dyDescent="0.25">
      <c r="N7566" s="17">
        <v>956.19999999984395</v>
      </c>
      <c r="O7566" s="16" t="s">
        <v>6326</v>
      </c>
      <c r="R7566" s="6"/>
      <c r="S7566" s="298"/>
    </row>
    <row r="7567" spans="14:19" hidden="1" x14ac:dyDescent="0.25">
      <c r="N7567" s="17">
        <v>956.29999999984398</v>
      </c>
      <c r="O7567" s="16" t="s">
        <v>6327</v>
      </c>
      <c r="R7567" s="6"/>
      <c r="S7567" s="298"/>
    </row>
    <row r="7568" spans="14:19" hidden="1" x14ac:dyDescent="0.25">
      <c r="N7568" s="17">
        <v>956.399999999844</v>
      </c>
      <c r="O7568" s="16" t="s">
        <v>6328</v>
      </c>
      <c r="R7568" s="6"/>
      <c r="S7568" s="298"/>
    </row>
    <row r="7569" spans="14:19" hidden="1" x14ac:dyDescent="0.25">
      <c r="N7569" s="17">
        <v>956.49999999984402</v>
      </c>
      <c r="O7569" s="16" t="s">
        <v>6329</v>
      </c>
      <c r="R7569" s="6"/>
      <c r="S7569" s="298"/>
    </row>
    <row r="7570" spans="14:19" hidden="1" x14ac:dyDescent="0.25">
      <c r="N7570" s="17">
        <v>956.59999999984404</v>
      </c>
      <c r="O7570" s="16" t="s">
        <v>6330</v>
      </c>
      <c r="R7570" s="6"/>
      <c r="S7570" s="298"/>
    </row>
    <row r="7571" spans="14:19" hidden="1" x14ac:dyDescent="0.25">
      <c r="N7571" s="17">
        <v>956.69999999984395</v>
      </c>
      <c r="O7571" s="16" t="s">
        <v>5385</v>
      </c>
      <c r="R7571" s="6"/>
      <c r="S7571" s="298"/>
    </row>
    <row r="7572" spans="14:19" hidden="1" x14ac:dyDescent="0.25">
      <c r="N7572" s="17">
        <v>956.79999999984398</v>
      </c>
      <c r="O7572" s="16" t="s">
        <v>5386</v>
      </c>
      <c r="R7572" s="6"/>
      <c r="S7572" s="298"/>
    </row>
    <row r="7573" spans="14:19" hidden="1" x14ac:dyDescent="0.25">
      <c r="N7573" s="17">
        <v>956.899999999844</v>
      </c>
      <c r="O7573" s="16" t="s">
        <v>5387</v>
      </c>
      <c r="R7573" s="6"/>
      <c r="S7573" s="298"/>
    </row>
    <row r="7574" spans="14:19" hidden="1" x14ac:dyDescent="0.25">
      <c r="N7574" s="17">
        <v>956.99999999984402</v>
      </c>
      <c r="O7574" s="16" t="s">
        <v>5388</v>
      </c>
      <c r="R7574" s="6"/>
      <c r="S7574" s="298"/>
    </row>
    <row r="7575" spans="14:19" hidden="1" x14ac:dyDescent="0.25">
      <c r="N7575" s="17">
        <v>957.09999999984404</v>
      </c>
      <c r="O7575" s="16" t="s">
        <v>5389</v>
      </c>
      <c r="R7575" s="6"/>
      <c r="S7575" s="298"/>
    </row>
    <row r="7576" spans="14:19" hidden="1" x14ac:dyDescent="0.25">
      <c r="N7576" s="17">
        <v>957.19999999984395</v>
      </c>
      <c r="O7576" s="16" t="s">
        <v>5390</v>
      </c>
      <c r="R7576" s="6"/>
      <c r="S7576" s="298"/>
    </row>
    <row r="7577" spans="14:19" hidden="1" x14ac:dyDescent="0.25">
      <c r="N7577" s="17">
        <v>957.29999999984398</v>
      </c>
      <c r="O7577" s="16" t="s">
        <v>5391</v>
      </c>
      <c r="R7577" s="6"/>
      <c r="S7577" s="298"/>
    </row>
    <row r="7578" spans="14:19" hidden="1" x14ac:dyDescent="0.25">
      <c r="N7578" s="17">
        <v>957.399999999844</v>
      </c>
      <c r="O7578" s="16" t="s">
        <v>5392</v>
      </c>
      <c r="R7578" s="6"/>
      <c r="S7578" s="298"/>
    </row>
    <row r="7579" spans="14:19" hidden="1" x14ac:dyDescent="0.25">
      <c r="N7579" s="17">
        <v>957.49999999984402</v>
      </c>
      <c r="O7579" s="16" t="s">
        <v>5393</v>
      </c>
      <c r="R7579" s="6"/>
      <c r="S7579" s="298"/>
    </row>
    <row r="7580" spans="14:19" hidden="1" x14ac:dyDescent="0.25">
      <c r="N7580" s="17">
        <v>957.59999999984404</v>
      </c>
      <c r="O7580" s="16" t="s">
        <v>5394</v>
      </c>
      <c r="R7580" s="6"/>
      <c r="S7580" s="298"/>
    </row>
    <row r="7581" spans="14:19" hidden="1" x14ac:dyDescent="0.25">
      <c r="N7581" s="17">
        <v>957.69999999984395</v>
      </c>
      <c r="O7581" s="16" t="s">
        <v>5395</v>
      </c>
      <c r="R7581" s="6"/>
      <c r="S7581" s="298"/>
    </row>
    <row r="7582" spans="14:19" hidden="1" x14ac:dyDescent="0.25">
      <c r="N7582" s="17">
        <v>957.79999999984398</v>
      </c>
      <c r="O7582" s="16" t="s">
        <v>7455</v>
      </c>
      <c r="R7582" s="6"/>
      <c r="S7582" s="298"/>
    </row>
    <row r="7583" spans="14:19" hidden="1" x14ac:dyDescent="0.25">
      <c r="N7583" s="17">
        <v>957.899999999844</v>
      </c>
      <c r="O7583" s="16" t="s">
        <v>7456</v>
      </c>
      <c r="R7583" s="6"/>
      <c r="S7583" s="298"/>
    </row>
    <row r="7584" spans="14:19" hidden="1" x14ac:dyDescent="0.25">
      <c r="N7584" s="17">
        <v>957.99999999984402</v>
      </c>
      <c r="O7584" s="16" t="s">
        <v>7457</v>
      </c>
      <c r="R7584" s="6"/>
      <c r="S7584" s="298"/>
    </row>
    <row r="7585" spans="14:19" hidden="1" x14ac:dyDescent="0.25">
      <c r="N7585" s="17">
        <v>958.09999999984404</v>
      </c>
      <c r="O7585" s="16" t="s">
        <v>7458</v>
      </c>
      <c r="R7585" s="6"/>
      <c r="S7585" s="298"/>
    </row>
    <row r="7586" spans="14:19" hidden="1" x14ac:dyDescent="0.25">
      <c r="N7586" s="17">
        <v>958.19999999984395</v>
      </c>
      <c r="O7586" s="16" t="s">
        <v>7459</v>
      </c>
      <c r="R7586" s="6"/>
      <c r="S7586" s="298"/>
    </row>
    <row r="7587" spans="14:19" hidden="1" x14ac:dyDescent="0.25">
      <c r="N7587" s="17">
        <v>958.29999999984398</v>
      </c>
      <c r="O7587" s="16" t="s">
        <v>7460</v>
      </c>
      <c r="R7587" s="6"/>
      <c r="S7587" s="298"/>
    </row>
    <row r="7588" spans="14:19" hidden="1" x14ac:dyDescent="0.25">
      <c r="N7588" s="17">
        <v>958.399999999844</v>
      </c>
      <c r="O7588" s="16" t="s">
        <v>7461</v>
      </c>
      <c r="R7588" s="6"/>
      <c r="S7588" s="298"/>
    </row>
    <row r="7589" spans="14:19" hidden="1" x14ac:dyDescent="0.25">
      <c r="N7589" s="17">
        <v>958.49999999984402</v>
      </c>
      <c r="O7589" s="16" t="s">
        <v>7462</v>
      </c>
      <c r="R7589" s="6"/>
      <c r="S7589" s="298"/>
    </row>
    <row r="7590" spans="14:19" hidden="1" x14ac:dyDescent="0.25">
      <c r="N7590" s="17">
        <v>958.59999999984404</v>
      </c>
      <c r="O7590" s="16" t="s">
        <v>7463</v>
      </c>
      <c r="R7590" s="6"/>
      <c r="S7590" s="298"/>
    </row>
    <row r="7591" spans="14:19" hidden="1" x14ac:dyDescent="0.25">
      <c r="N7591" s="17">
        <v>958.69999999984395</v>
      </c>
      <c r="O7591" s="16" t="s">
        <v>7464</v>
      </c>
      <c r="R7591" s="6"/>
      <c r="S7591" s="298"/>
    </row>
    <row r="7592" spans="14:19" hidden="1" x14ac:dyDescent="0.25">
      <c r="N7592" s="17">
        <v>958.79999999984398</v>
      </c>
      <c r="O7592" s="16" t="s">
        <v>7465</v>
      </c>
      <c r="R7592" s="6"/>
      <c r="S7592" s="298"/>
    </row>
    <row r="7593" spans="14:19" hidden="1" x14ac:dyDescent="0.25">
      <c r="N7593" s="17">
        <v>958.899999999844</v>
      </c>
      <c r="O7593" s="16" t="s">
        <v>7466</v>
      </c>
      <c r="R7593" s="6"/>
      <c r="S7593" s="298"/>
    </row>
    <row r="7594" spans="14:19" hidden="1" x14ac:dyDescent="0.25">
      <c r="N7594" s="17">
        <v>958.999999999843</v>
      </c>
      <c r="O7594" s="16" t="s">
        <v>7467</v>
      </c>
      <c r="R7594" s="6"/>
      <c r="S7594" s="298"/>
    </row>
    <row r="7595" spans="14:19" hidden="1" x14ac:dyDescent="0.25">
      <c r="N7595" s="17">
        <v>959.09999999984302</v>
      </c>
      <c r="O7595" s="16" t="s">
        <v>8344</v>
      </c>
      <c r="R7595" s="6"/>
      <c r="S7595" s="298"/>
    </row>
    <row r="7596" spans="14:19" hidden="1" x14ac:dyDescent="0.25">
      <c r="N7596" s="17">
        <v>959.19999999984304</v>
      </c>
      <c r="O7596" s="16" t="s">
        <v>8345</v>
      </c>
      <c r="R7596" s="6"/>
      <c r="S7596" s="298"/>
    </row>
    <row r="7597" spans="14:19" hidden="1" x14ac:dyDescent="0.25">
      <c r="N7597" s="17">
        <v>959.29999999984295</v>
      </c>
      <c r="O7597" s="16" t="s">
        <v>8346</v>
      </c>
      <c r="R7597" s="6"/>
      <c r="S7597" s="298"/>
    </row>
    <row r="7598" spans="14:19" hidden="1" x14ac:dyDescent="0.25">
      <c r="N7598" s="17">
        <v>959.39999999984298</v>
      </c>
      <c r="O7598" s="16" t="s">
        <v>8347</v>
      </c>
      <c r="R7598" s="6"/>
      <c r="S7598" s="298"/>
    </row>
    <row r="7599" spans="14:19" hidden="1" x14ac:dyDescent="0.25">
      <c r="N7599" s="17">
        <v>959.499999999843</v>
      </c>
      <c r="O7599" s="16" t="s">
        <v>8348</v>
      </c>
      <c r="R7599" s="6"/>
      <c r="S7599" s="298"/>
    </row>
    <row r="7600" spans="14:19" hidden="1" x14ac:dyDescent="0.25">
      <c r="N7600" s="17">
        <v>959.59999999984302</v>
      </c>
      <c r="O7600" s="16" t="s">
        <v>8349</v>
      </c>
      <c r="R7600" s="6"/>
      <c r="S7600" s="298"/>
    </row>
    <row r="7601" spans="14:19" hidden="1" x14ac:dyDescent="0.25">
      <c r="N7601" s="17">
        <v>959.69999999984304</v>
      </c>
      <c r="O7601" s="16" t="s">
        <v>8350</v>
      </c>
      <c r="R7601" s="6"/>
      <c r="S7601" s="298"/>
    </row>
    <row r="7602" spans="14:19" hidden="1" x14ac:dyDescent="0.25">
      <c r="N7602" s="17">
        <v>959.79999999984295</v>
      </c>
      <c r="O7602" s="16" t="s">
        <v>7465</v>
      </c>
      <c r="R7602" s="6"/>
      <c r="S7602" s="298"/>
    </row>
    <row r="7603" spans="14:19" hidden="1" x14ac:dyDescent="0.25">
      <c r="N7603" s="17">
        <v>959.89999999984298</v>
      </c>
      <c r="O7603" s="16" t="s">
        <v>7466</v>
      </c>
      <c r="R7603" s="6"/>
      <c r="S7603" s="298"/>
    </row>
    <row r="7604" spans="14:19" hidden="1" x14ac:dyDescent="0.25">
      <c r="N7604" s="17">
        <v>959.999999999843</v>
      </c>
      <c r="O7604" s="16" t="s">
        <v>8351</v>
      </c>
      <c r="R7604" s="6"/>
      <c r="S7604" s="298"/>
    </row>
    <row r="7605" spans="14:19" hidden="1" x14ac:dyDescent="0.25">
      <c r="N7605" s="17">
        <v>960.09999999984302</v>
      </c>
      <c r="O7605" s="16" t="s">
        <v>8352</v>
      </c>
      <c r="R7605" s="6"/>
      <c r="S7605" s="298"/>
    </row>
    <row r="7606" spans="14:19" hidden="1" x14ac:dyDescent="0.25">
      <c r="N7606" s="17">
        <v>960.19999999984304</v>
      </c>
      <c r="O7606" s="16" t="s">
        <v>8353</v>
      </c>
      <c r="R7606" s="6"/>
      <c r="S7606" s="298"/>
    </row>
    <row r="7607" spans="14:19" hidden="1" x14ac:dyDescent="0.25">
      <c r="N7607" s="17">
        <v>960.29999999984295</v>
      </c>
      <c r="O7607" s="16" t="s">
        <v>8354</v>
      </c>
      <c r="R7607" s="6"/>
      <c r="S7607" s="298"/>
    </row>
    <row r="7608" spans="14:19" hidden="1" x14ac:dyDescent="0.25">
      <c r="N7608" s="17">
        <v>960.39999999984298</v>
      </c>
      <c r="O7608" s="16" t="s">
        <v>8355</v>
      </c>
      <c r="R7608" s="6"/>
      <c r="S7608" s="298"/>
    </row>
    <row r="7609" spans="14:19" hidden="1" x14ac:dyDescent="0.25">
      <c r="N7609" s="17">
        <v>960.499999999843</v>
      </c>
      <c r="O7609" s="16" t="s">
        <v>8356</v>
      </c>
      <c r="R7609" s="6"/>
      <c r="S7609" s="298"/>
    </row>
    <row r="7610" spans="14:19" hidden="1" x14ac:dyDescent="0.25">
      <c r="N7610" s="17">
        <v>960.59999999984302</v>
      </c>
      <c r="O7610" s="16" t="s">
        <v>8357</v>
      </c>
      <c r="R7610" s="6"/>
      <c r="S7610" s="298"/>
    </row>
    <row r="7611" spans="14:19" hidden="1" x14ac:dyDescent="0.25">
      <c r="N7611" s="17">
        <v>960.69999999984304</v>
      </c>
      <c r="O7611" s="16" t="s">
        <v>8358</v>
      </c>
      <c r="R7611" s="6"/>
      <c r="S7611" s="298"/>
    </row>
    <row r="7612" spans="14:19" hidden="1" x14ac:dyDescent="0.25">
      <c r="N7612" s="17">
        <v>960.79999999984295</v>
      </c>
      <c r="O7612" s="16" t="s">
        <v>8359</v>
      </c>
      <c r="R7612" s="6"/>
      <c r="S7612" s="298"/>
    </row>
    <row r="7613" spans="14:19" hidden="1" x14ac:dyDescent="0.25">
      <c r="N7613" s="17">
        <v>960.89999999984298</v>
      </c>
      <c r="O7613" s="16" t="s">
        <v>8360</v>
      </c>
      <c r="R7613" s="6"/>
      <c r="S7613" s="298"/>
    </row>
    <row r="7614" spans="14:19" hidden="1" x14ac:dyDescent="0.25">
      <c r="N7614" s="17">
        <v>960.999999999843</v>
      </c>
      <c r="O7614" s="16" t="s">
        <v>8361</v>
      </c>
      <c r="R7614" s="6"/>
      <c r="S7614" s="298"/>
    </row>
    <row r="7615" spans="14:19" hidden="1" x14ac:dyDescent="0.25">
      <c r="N7615" s="17">
        <v>961.09999999984302</v>
      </c>
      <c r="O7615" s="16" t="s">
        <v>8362</v>
      </c>
      <c r="R7615" s="6"/>
      <c r="S7615" s="298"/>
    </row>
    <row r="7616" spans="14:19" hidden="1" x14ac:dyDescent="0.25">
      <c r="N7616" s="17">
        <v>961.19999999984304</v>
      </c>
      <c r="O7616" s="16" t="s">
        <v>8363</v>
      </c>
      <c r="R7616" s="6"/>
      <c r="S7616" s="298"/>
    </row>
    <row r="7617" spans="14:19" hidden="1" x14ac:dyDescent="0.25">
      <c r="N7617" s="17">
        <v>961.29999999984295</v>
      </c>
      <c r="O7617" s="16" t="s">
        <v>8364</v>
      </c>
      <c r="R7617" s="6"/>
      <c r="S7617" s="298"/>
    </row>
    <row r="7618" spans="14:19" hidden="1" x14ac:dyDescent="0.25">
      <c r="N7618" s="17">
        <v>961.39999999984298</v>
      </c>
      <c r="O7618" s="16" t="s">
        <v>8365</v>
      </c>
      <c r="R7618" s="6"/>
      <c r="S7618" s="298"/>
    </row>
    <row r="7619" spans="14:19" hidden="1" x14ac:dyDescent="0.25">
      <c r="N7619" s="17">
        <v>961.499999999843</v>
      </c>
      <c r="O7619" s="16" t="s">
        <v>8366</v>
      </c>
      <c r="R7619" s="6"/>
      <c r="S7619" s="298"/>
    </row>
    <row r="7620" spans="14:19" hidden="1" x14ac:dyDescent="0.25">
      <c r="N7620" s="17">
        <v>961.59999999984302</v>
      </c>
      <c r="O7620" s="16" t="s">
        <v>8367</v>
      </c>
      <c r="R7620" s="6"/>
      <c r="S7620" s="298"/>
    </row>
    <row r="7621" spans="14:19" hidden="1" x14ac:dyDescent="0.25">
      <c r="N7621" s="17">
        <v>961.69999999984304</v>
      </c>
      <c r="O7621" s="16" t="s">
        <v>8368</v>
      </c>
      <c r="R7621" s="6"/>
      <c r="S7621" s="298"/>
    </row>
    <row r="7622" spans="14:19" hidden="1" x14ac:dyDescent="0.25">
      <c r="N7622" s="17">
        <v>961.79999999984295</v>
      </c>
      <c r="O7622" s="16" t="s">
        <v>8369</v>
      </c>
      <c r="R7622" s="6"/>
      <c r="S7622" s="298"/>
    </row>
    <row r="7623" spans="14:19" hidden="1" x14ac:dyDescent="0.25">
      <c r="N7623" s="17">
        <v>961.89999999984195</v>
      </c>
      <c r="O7623" s="16" t="s">
        <v>8370</v>
      </c>
      <c r="R7623" s="6"/>
      <c r="S7623" s="298"/>
    </row>
    <row r="7624" spans="14:19" hidden="1" x14ac:dyDescent="0.25">
      <c r="N7624" s="17">
        <v>961.99999999984198</v>
      </c>
      <c r="O7624" s="16" t="s">
        <v>8371</v>
      </c>
      <c r="R7624" s="6"/>
      <c r="S7624" s="298"/>
    </row>
    <row r="7625" spans="14:19" hidden="1" x14ac:dyDescent="0.25">
      <c r="N7625" s="17">
        <v>962.099999999842</v>
      </c>
      <c r="O7625" s="16" t="s">
        <v>8372</v>
      </c>
      <c r="R7625" s="6"/>
      <c r="S7625" s="298"/>
    </row>
    <row r="7626" spans="14:19" hidden="1" x14ac:dyDescent="0.25">
      <c r="N7626" s="17">
        <v>962.19999999984202</v>
      </c>
      <c r="O7626" s="16" t="s">
        <v>8373</v>
      </c>
      <c r="R7626" s="6"/>
      <c r="S7626" s="298"/>
    </row>
    <row r="7627" spans="14:19" hidden="1" x14ac:dyDescent="0.25">
      <c r="N7627" s="17">
        <v>962.29999999984204</v>
      </c>
      <c r="O7627" s="16" t="s">
        <v>8374</v>
      </c>
      <c r="R7627" s="6"/>
      <c r="S7627" s="298"/>
    </row>
    <row r="7628" spans="14:19" hidden="1" x14ac:dyDescent="0.25">
      <c r="N7628" s="17">
        <v>962.39999999984195</v>
      </c>
      <c r="O7628" s="16" t="s">
        <v>8375</v>
      </c>
      <c r="R7628" s="6"/>
      <c r="S7628" s="298"/>
    </row>
    <row r="7629" spans="14:19" hidden="1" x14ac:dyDescent="0.25">
      <c r="N7629" s="17">
        <v>962.49999999984198</v>
      </c>
      <c r="O7629" s="16" t="s">
        <v>8376</v>
      </c>
      <c r="R7629" s="6"/>
      <c r="S7629" s="298"/>
    </row>
    <row r="7630" spans="14:19" hidden="1" x14ac:dyDescent="0.25">
      <c r="N7630" s="17">
        <v>962.599999999842</v>
      </c>
      <c r="O7630" s="16" t="s">
        <v>8377</v>
      </c>
      <c r="R7630" s="6"/>
      <c r="S7630" s="298"/>
    </row>
    <row r="7631" spans="14:19" hidden="1" x14ac:dyDescent="0.25">
      <c r="N7631" s="17">
        <v>962.69999999984202</v>
      </c>
      <c r="O7631" s="16" t="s">
        <v>8378</v>
      </c>
      <c r="R7631" s="6"/>
      <c r="S7631" s="298"/>
    </row>
    <row r="7632" spans="14:19" hidden="1" x14ac:dyDescent="0.25">
      <c r="N7632" s="17">
        <v>962.79999999984204</v>
      </c>
      <c r="O7632" s="16" t="s">
        <v>8379</v>
      </c>
      <c r="R7632" s="6"/>
      <c r="S7632" s="298"/>
    </row>
    <row r="7633" spans="14:19" hidden="1" x14ac:dyDescent="0.25">
      <c r="N7633" s="17">
        <v>962.89999999984195</v>
      </c>
      <c r="O7633" s="16" t="s">
        <v>8380</v>
      </c>
      <c r="R7633" s="6"/>
      <c r="S7633" s="298"/>
    </row>
    <row r="7634" spans="14:19" hidden="1" x14ac:dyDescent="0.25">
      <c r="N7634" s="17">
        <v>962.99999999984198</v>
      </c>
      <c r="O7634" s="16" t="s">
        <v>8381</v>
      </c>
      <c r="R7634" s="6"/>
      <c r="S7634" s="298"/>
    </row>
    <row r="7635" spans="14:19" hidden="1" x14ac:dyDescent="0.25">
      <c r="N7635" s="17">
        <v>963.099999999842</v>
      </c>
      <c r="O7635" s="16" t="s">
        <v>8382</v>
      </c>
      <c r="R7635" s="6"/>
      <c r="S7635" s="298"/>
    </row>
    <row r="7636" spans="14:19" hidden="1" x14ac:dyDescent="0.25">
      <c r="N7636" s="17">
        <v>963.19999999984202</v>
      </c>
      <c r="O7636" s="16" t="s">
        <v>8383</v>
      </c>
      <c r="R7636" s="6"/>
      <c r="S7636" s="298"/>
    </row>
    <row r="7637" spans="14:19" hidden="1" x14ac:dyDescent="0.25">
      <c r="N7637" s="17">
        <v>963.29999999984204</v>
      </c>
      <c r="O7637" s="16" t="s">
        <v>8384</v>
      </c>
      <c r="R7637" s="6"/>
      <c r="S7637" s="298"/>
    </row>
    <row r="7638" spans="14:19" hidden="1" x14ac:dyDescent="0.25">
      <c r="N7638" s="17">
        <v>963.39999999984195</v>
      </c>
      <c r="O7638" s="16" t="s">
        <v>8385</v>
      </c>
      <c r="R7638" s="6"/>
      <c r="S7638" s="298"/>
    </row>
    <row r="7639" spans="14:19" hidden="1" x14ac:dyDescent="0.25">
      <c r="N7639" s="17">
        <v>963.49999999984198</v>
      </c>
      <c r="O7639" s="16" t="s">
        <v>8386</v>
      </c>
      <c r="R7639" s="6"/>
      <c r="S7639" s="298"/>
    </row>
    <row r="7640" spans="14:19" hidden="1" x14ac:dyDescent="0.25">
      <c r="N7640" s="17">
        <v>963.599999999842</v>
      </c>
      <c r="O7640" s="16" t="s">
        <v>8387</v>
      </c>
      <c r="R7640" s="6"/>
      <c r="S7640" s="298"/>
    </row>
    <row r="7641" spans="14:19" hidden="1" x14ac:dyDescent="0.25">
      <c r="N7641" s="17">
        <v>963.69999999984202</v>
      </c>
      <c r="O7641" s="16" t="s">
        <v>8388</v>
      </c>
      <c r="R7641" s="6"/>
      <c r="S7641" s="298"/>
    </row>
    <row r="7642" spans="14:19" hidden="1" x14ac:dyDescent="0.25">
      <c r="N7642" s="17">
        <v>963.79999999984204</v>
      </c>
      <c r="O7642" s="16" t="s">
        <v>8389</v>
      </c>
      <c r="R7642" s="6"/>
      <c r="S7642" s="298"/>
    </row>
    <row r="7643" spans="14:19" hidden="1" x14ac:dyDescent="0.25">
      <c r="N7643" s="17">
        <v>963.89999999984195</v>
      </c>
      <c r="O7643" s="16" t="s">
        <v>8390</v>
      </c>
      <c r="R7643" s="6"/>
      <c r="S7643" s="298"/>
    </row>
    <row r="7644" spans="14:19" hidden="1" x14ac:dyDescent="0.25">
      <c r="N7644" s="17">
        <v>963.99999999984198</v>
      </c>
      <c r="O7644" s="16" t="s">
        <v>8391</v>
      </c>
      <c r="R7644" s="6"/>
      <c r="S7644" s="298"/>
    </row>
    <row r="7645" spans="14:19" hidden="1" x14ac:dyDescent="0.25">
      <c r="N7645" s="17">
        <v>964.099999999842</v>
      </c>
      <c r="O7645" s="16" t="s">
        <v>8392</v>
      </c>
      <c r="R7645" s="6"/>
      <c r="S7645" s="298"/>
    </row>
    <row r="7646" spans="14:19" hidden="1" x14ac:dyDescent="0.25">
      <c r="N7646" s="17">
        <v>964.19999999984202</v>
      </c>
      <c r="O7646" s="16" t="s">
        <v>8393</v>
      </c>
      <c r="R7646" s="6"/>
      <c r="S7646" s="298"/>
    </row>
    <row r="7647" spans="14:19" hidden="1" x14ac:dyDescent="0.25">
      <c r="N7647" s="17">
        <v>964.29999999984204</v>
      </c>
      <c r="O7647" s="16" t="s">
        <v>5288</v>
      </c>
      <c r="R7647" s="6"/>
      <c r="S7647" s="298"/>
    </row>
    <row r="7648" spans="14:19" hidden="1" x14ac:dyDescent="0.25">
      <c r="N7648" s="17">
        <v>964.39999999984195</v>
      </c>
      <c r="O7648" s="16" t="s">
        <v>5289</v>
      </c>
      <c r="R7648" s="6"/>
      <c r="S7648" s="298"/>
    </row>
    <row r="7649" spans="14:19" hidden="1" x14ac:dyDescent="0.25">
      <c r="N7649" s="17">
        <v>964.49999999984198</v>
      </c>
      <c r="O7649" s="16" t="s">
        <v>5290</v>
      </c>
      <c r="R7649" s="6"/>
      <c r="S7649" s="298"/>
    </row>
    <row r="7650" spans="14:19" hidden="1" x14ac:dyDescent="0.25">
      <c r="N7650" s="17">
        <v>964.599999999842</v>
      </c>
      <c r="O7650" s="16" t="s">
        <v>5291</v>
      </c>
      <c r="R7650" s="6"/>
      <c r="S7650" s="298"/>
    </row>
    <row r="7651" spans="14:19" hidden="1" x14ac:dyDescent="0.25">
      <c r="N7651" s="17">
        <v>964.69999999984202</v>
      </c>
      <c r="O7651" s="16" t="s">
        <v>5292</v>
      </c>
      <c r="R7651" s="6"/>
      <c r="S7651" s="298"/>
    </row>
    <row r="7652" spans="14:19" hidden="1" x14ac:dyDescent="0.25">
      <c r="N7652" s="17">
        <v>964.79999999984204</v>
      </c>
      <c r="O7652" s="16" t="s">
        <v>5293</v>
      </c>
      <c r="R7652" s="6"/>
      <c r="S7652" s="298"/>
    </row>
    <row r="7653" spans="14:19" hidden="1" x14ac:dyDescent="0.25">
      <c r="N7653" s="17">
        <v>964.89999999984104</v>
      </c>
      <c r="O7653" s="16" t="s">
        <v>5294</v>
      </c>
      <c r="R7653" s="6"/>
      <c r="S7653" s="298"/>
    </row>
    <row r="7654" spans="14:19" hidden="1" x14ac:dyDescent="0.25">
      <c r="N7654" s="17">
        <v>964.99999999984095</v>
      </c>
      <c r="O7654" s="16" t="s">
        <v>5295</v>
      </c>
      <c r="R7654" s="6"/>
      <c r="S7654" s="298"/>
    </row>
    <row r="7655" spans="14:19" hidden="1" x14ac:dyDescent="0.25">
      <c r="N7655" s="17">
        <v>965.09999999984097</v>
      </c>
      <c r="O7655" s="16" t="s">
        <v>5296</v>
      </c>
      <c r="R7655" s="6"/>
      <c r="S7655" s="298"/>
    </row>
    <row r="7656" spans="14:19" hidden="1" x14ac:dyDescent="0.25">
      <c r="N7656" s="17">
        <v>965.199999999841</v>
      </c>
      <c r="O7656" s="16" t="s">
        <v>5297</v>
      </c>
      <c r="R7656" s="6"/>
      <c r="S7656" s="298"/>
    </row>
    <row r="7657" spans="14:19" hidden="1" x14ac:dyDescent="0.25">
      <c r="N7657" s="17">
        <v>965.29999999984102</v>
      </c>
      <c r="O7657" s="16" t="s">
        <v>5298</v>
      </c>
      <c r="R7657" s="6"/>
      <c r="S7657" s="298"/>
    </row>
    <row r="7658" spans="14:19" hidden="1" x14ac:dyDescent="0.25">
      <c r="N7658" s="17">
        <v>965.39999999984104</v>
      </c>
      <c r="O7658" s="16" t="s">
        <v>6413</v>
      </c>
      <c r="R7658" s="6"/>
      <c r="S7658" s="298"/>
    </row>
    <row r="7659" spans="14:19" hidden="1" x14ac:dyDescent="0.25">
      <c r="N7659" s="17">
        <v>965.49999999984095</v>
      </c>
      <c r="O7659" s="16" t="s">
        <v>6414</v>
      </c>
      <c r="R7659" s="6"/>
      <c r="S7659" s="298"/>
    </row>
    <row r="7660" spans="14:19" hidden="1" x14ac:dyDescent="0.25">
      <c r="N7660" s="17">
        <v>965.59999999984097</v>
      </c>
      <c r="O7660" s="16" t="s">
        <v>6415</v>
      </c>
      <c r="R7660" s="6"/>
      <c r="S7660" s="298"/>
    </row>
    <row r="7661" spans="14:19" hidden="1" x14ac:dyDescent="0.25">
      <c r="N7661" s="17">
        <v>965.699999999841</v>
      </c>
      <c r="O7661" s="16" t="s">
        <v>6416</v>
      </c>
      <c r="R7661" s="6"/>
      <c r="S7661" s="298"/>
    </row>
    <row r="7662" spans="14:19" hidden="1" x14ac:dyDescent="0.25">
      <c r="N7662" s="17">
        <v>965.79999999984102</v>
      </c>
      <c r="O7662" s="16" t="s">
        <v>6417</v>
      </c>
      <c r="R7662" s="6"/>
      <c r="S7662" s="298"/>
    </row>
    <row r="7663" spans="14:19" hidden="1" x14ac:dyDescent="0.25">
      <c r="N7663" s="17">
        <v>965.89999999984104</v>
      </c>
      <c r="O7663" s="16" t="s">
        <v>6418</v>
      </c>
      <c r="R7663" s="6"/>
      <c r="S7663" s="298"/>
    </row>
    <row r="7664" spans="14:19" hidden="1" x14ac:dyDescent="0.25">
      <c r="N7664" s="17">
        <v>965.99999999984095</v>
      </c>
      <c r="O7664" s="16" t="s">
        <v>6419</v>
      </c>
      <c r="R7664" s="6"/>
      <c r="S7664" s="298"/>
    </row>
    <row r="7665" spans="14:19" hidden="1" x14ac:dyDescent="0.25">
      <c r="N7665" s="17">
        <v>966.09999999984097</v>
      </c>
      <c r="O7665" s="16" t="s">
        <v>6420</v>
      </c>
      <c r="R7665" s="6"/>
      <c r="S7665" s="298"/>
    </row>
    <row r="7666" spans="14:19" hidden="1" x14ac:dyDescent="0.25">
      <c r="N7666" s="17">
        <v>966.199999999841</v>
      </c>
      <c r="O7666" s="16" t="s">
        <v>6421</v>
      </c>
      <c r="R7666" s="6"/>
      <c r="S7666" s="298"/>
    </row>
    <row r="7667" spans="14:19" hidden="1" x14ac:dyDescent="0.25">
      <c r="N7667" s="17">
        <v>966.29999999984102</v>
      </c>
      <c r="O7667" s="16" t="s">
        <v>6422</v>
      </c>
      <c r="R7667" s="6"/>
      <c r="S7667" s="298"/>
    </row>
    <row r="7668" spans="14:19" hidden="1" x14ac:dyDescent="0.25">
      <c r="N7668" s="17">
        <v>966.39999999984104</v>
      </c>
      <c r="O7668" s="16" t="s">
        <v>6423</v>
      </c>
      <c r="R7668" s="6"/>
      <c r="S7668" s="298"/>
    </row>
    <row r="7669" spans="14:19" hidden="1" x14ac:dyDescent="0.25">
      <c r="N7669" s="17">
        <v>966.49999999984095</v>
      </c>
      <c r="O7669" s="16" t="s">
        <v>6424</v>
      </c>
      <c r="R7669" s="6"/>
      <c r="S7669" s="298"/>
    </row>
    <row r="7670" spans="14:19" hidden="1" x14ac:dyDescent="0.25">
      <c r="N7670" s="17">
        <v>966.59999999984097</v>
      </c>
      <c r="O7670" s="16" t="s">
        <v>8256</v>
      </c>
      <c r="R7670" s="6"/>
      <c r="S7670" s="298"/>
    </row>
    <row r="7671" spans="14:19" hidden="1" x14ac:dyDescent="0.25">
      <c r="N7671" s="17">
        <v>966.699999999841</v>
      </c>
      <c r="O7671" s="16" t="s">
        <v>8257</v>
      </c>
      <c r="R7671" s="6"/>
      <c r="S7671" s="298"/>
    </row>
    <row r="7672" spans="14:19" hidden="1" x14ac:dyDescent="0.25">
      <c r="N7672" s="17">
        <v>966.79999999984102</v>
      </c>
      <c r="O7672" s="16" t="s">
        <v>8258</v>
      </c>
      <c r="R7672" s="6"/>
      <c r="S7672" s="298"/>
    </row>
    <row r="7673" spans="14:19" hidden="1" x14ac:dyDescent="0.25">
      <c r="N7673" s="17">
        <v>966.89999999984104</v>
      </c>
      <c r="O7673" s="16" t="s">
        <v>8259</v>
      </c>
      <c r="R7673" s="6"/>
      <c r="S7673" s="298"/>
    </row>
    <row r="7674" spans="14:19" hidden="1" x14ac:dyDescent="0.25">
      <c r="N7674" s="17">
        <v>966.99999999984095</v>
      </c>
      <c r="O7674" s="16" t="s">
        <v>8260</v>
      </c>
      <c r="R7674" s="6"/>
      <c r="S7674" s="298"/>
    </row>
    <row r="7675" spans="14:19" hidden="1" x14ac:dyDescent="0.25">
      <c r="N7675" s="17">
        <v>967.09999999984097</v>
      </c>
      <c r="O7675" s="16" t="s">
        <v>8261</v>
      </c>
      <c r="R7675" s="6"/>
      <c r="S7675" s="298"/>
    </row>
    <row r="7676" spans="14:19" hidden="1" x14ac:dyDescent="0.25">
      <c r="N7676" s="17">
        <v>967.199999999841</v>
      </c>
      <c r="O7676" s="16" t="s">
        <v>8262</v>
      </c>
      <c r="R7676" s="6"/>
      <c r="S7676" s="298"/>
    </row>
    <row r="7677" spans="14:19" hidden="1" x14ac:dyDescent="0.25">
      <c r="N7677" s="17">
        <v>967.29999999984102</v>
      </c>
      <c r="O7677" s="16" t="s">
        <v>8263</v>
      </c>
      <c r="R7677" s="6"/>
      <c r="S7677" s="298"/>
    </row>
    <row r="7678" spans="14:19" hidden="1" x14ac:dyDescent="0.25">
      <c r="N7678" s="17">
        <v>967.39999999984104</v>
      </c>
      <c r="O7678" s="16" t="s">
        <v>8264</v>
      </c>
      <c r="R7678" s="6"/>
      <c r="S7678" s="298"/>
    </row>
    <row r="7679" spans="14:19" hidden="1" x14ac:dyDescent="0.25">
      <c r="N7679" s="17">
        <v>967.49999999984095</v>
      </c>
      <c r="O7679" s="16" t="s">
        <v>8265</v>
      </c>
      <c r="R7679" s="6"/>
      <c r="S7679" s="298"/>
    </row>
    <row r="7680" spans="14:19" hidden="1" x14ac:dyDescent="0.25">
      <c r="N7680" s="17">
        <v>967.59999999984097</v>
      </c>
      <c r="O7680" s="16" t="s">
        <v>8266</v>
      </c>
      <c r="R7680" s="6"/>
      <c r="S7680" s="298"/>
    </row>
    <row r="7681" spans="14:19" hidden="1" x14ac:dyDescent="0.25">
      <c r="N7681" s="17">
        <v>967.699999999841</v>
      </c>
      <c r="O7681" s="16" t="s">
        <v>8267</v>
      </c>
      <c r="R7681" s="6"/>
      <c r="S7681" s="298"/>
    </row>
    <row r="7682" spans="14:19" hidden="1" x14ac:dyDescent="0.25">
      <c r="N7682" s="17">
        <v>967.79999999984</v>
      </c>
      <c r="O7682" s="16" t="s">
        <v>8268</v>
      </c>
      <c r="R7682" s="6"/>
      <c r="S7682" s="298"/>
    </row>
    <row r="7683" spans="14:19" hidden="1" x14ac:dyDescent="0.25">
      <c r="N7683" s="17">
        <v>967.89999999984002</v>
      </c>
      <c r="O7683" s="16" t="s">
        <v>8269</v>
      </c>
      <c r="R7683" s="6"/>
      <c r="S7683" s="298"/>
    </row>
    <row r="7684" spans="14:19" hidden="1" x14ac:dyDescent="0.25">
      <c r="N7684" s="17">
        <v>967.99999999984004</v>
      </c>
      <c r="O7684" s="16" t="s">
        <v>7323</v>
      </c>
      <c r="R7684" s="6"/>
      <c r="S7684" s="298"/>
    </row>
    <row r="7685" spans="14:19" hidden="1" x14ac:dyDescent="0.25">
      <c r="N7685" s="17">
        <v>968.09999999983995</v>
      </c>
      <c r="O7685" s="16" t="s">
        <v>7324</v>
      </c>
      <c r="R7685" s="6"/>
      <c r="S7685" s="298"/>
    </row>
    <row r="7686" spans="14:19" hidden="1" x14ac:dyDescent="0.25">
      <c r="N7686" s="17">
        <v>968.19999999983997</v>
      </c>
      <c r="O7686" s="16" t="s">
        <v>7325</v>
      </c>
      <c r="R7686" s="6"/>
      <c r="S7686" s="298"/>
    </row>
    <row r="7687" spans="14:19" hidden="1" x14ac:dyDescent="0.25">
      <c r="N7687" s="17">
        <v>968.29999999984</v>
      </c>
      <c r="O7687" s="16" t="s">
        <v>7326</v>
      </c>
      <c r="R7687" s="6"/>
      <c r="S7687" s="298"/>
    </row>
    <row r="7688" spans="14:19" hidden="1" x14ac:dyDescent="0.25">
      <c r="N7688" s="17">
        <v>968.39999999984002</v>
      </c>
      <c r="O7688" s="16" t="s">
        <v>7327</v>
      </c>
      <c r="R7688" s="6"/>
      <c r="S7688" s="298"/>
    </row>
    <row r="7689" spans="14:19" hidden="1" x14ac:dyDescent="0.25">
      <c r="N7689" s="17">
        <v>968.49999999984004</v>
      </c>
      <c r="O7689" s="16" t="s">
        <v>7328</v>
      </c>
      <c r="R7689" s="6"/>
      <c r="S7689" s="298"/>
    </row>
    <row r="7690" spans="14:19" hidden="1" x14ac:dyDescent="0.25">
      <c r="N7690" s="17">
        <v>968.59999999983995</v>
      </c>
      <c r="O7690" s="16" t="s">
        <v>7329</v>
      </c>
      <c r="R7690" s="6"/>
      <c r="S7690" s="298"/>
    </row>
    <row r="7691" spans="14:19" hidden="1" x14ac:dyDescent="0.25">
      <c r="N7691" s="17">
        <v>968.69999999983997</v>
      </c>
      <c r="O7691" s="16" t="s">
        <v>7330</v>
      </c>
      <c r="R7691" s="6"/>
      <c r="S7691" s="298"/>
    </row>
    <row r="7692" spans="14:19" hidden="1" x14ac:dyDescent="0.25">
      <c r="N7692" s="17">
        <v>968.79999999984</v>
      </c>
      <c r="O7692" s="16" t="s">
        <v>7331</v>
      </c>
      <c r="R7692" s="6"/>
      <c r="S7692" s="298"/>
    </row>
    <row r="7693" spans="14:19" hidden="1" x14ac:dyDescent="0.25">
      <c r="N7693" s="17">
        <v>968.89999999984002</v>
      </c>
      <c r="O7693" s="16" t="s">
        <v>7332</v>
      </c>
      <c r="R7693" s="6"/>
      <c r="S7693" s="298"/>
    </row>
    <row r="7694" spans="14:19" hidden="1" x14ac:dyDescent="0.25">
      <c r="N7694" s="17">
        <v>968.99999999984004</v>
      </c>
      <c r="O7694" s="16" t="s">
        <v>7333</v>
      </c>
      <c r="R7694" s="6"/>
      <c r="S7694" s="298"/>
    </row>
    <row r="7695" spans="14:19" hidden="1" x14ac:dyDescent="0.25">
      <c r="N7695" s="17">
        <v>969.09999999983995</v>
      </c>
      <c r="O7695" s="16" t="s">
        <v>7334</v>
      </c>
      <c r="R7695" s="6"/>
      <c r="S7695" s="298"/>
    </row>
    <row r="7696" spans="14:19" hidden="1" x14ac:dyDescent="0.25">
      <c r="N7696" s="17">
        <v>969.19999999983997</v>
      </c>
      <c r="O7696" s="16" t="s">
        <v>7335</v>
      </c>
      <c r="R7696" s="6"/>
      <c r="S7696" s="298"/>
    </row>
    <row r="7697" spans="14:19" hidden="1" x14ac:dyDescent="0.25">
      <c r="N7697" s="17">
        <v>969.29999999984</v>
      </c>
      <c r="O7697" s="16" t="s">
        <v>7336</v>
      </c>
      <c r="R7697" s="6"/>
      <c r="S7697" s="298"/>
    </row>
    <row r="7698" spans="14:19" hidden="1" x14ac:dyDescent="0.25">
      <c r="N7698" s="17">
        <v>969.39999999984002</v>
      </c>
      <c r="O7698" s="16" t="s">
        <v>7337</v>
      </c>
      <c r="R7698" s="6"/>
      <c r="S7698" s="298"/>
    </row>
    <row r="7699" spans="14:19" hidden="1" x14ac:dyDescent="0.25">
      <c r="N7699" s="17">
        <v>969.49999999984004</v>
      </c>
      <c r="O7699" s="16" t="s">
        <v>7338</v>
      </c>
      <c r="R7699" s="6"/>
      <c r="S7699" s="298"/>
    </row>
    <row r="7700" spans="14:19" hidden="1" x14ac:dyDescent="0.25">
      <c r="N7700" s="17">
        <v>969.59999999983995</v>
      </c>
      <c r="O7700" s="16" t="s">
        <v>7339</v>
      </c>
      <c r="R7700" s="6"/>
      <c r="S7700" s="298"/>
    </row>
    <row r="7701" spans="14:19" hidden="1" x14ac:dyDescent="0.25">
      <c r="N7701" s="17">
        <v>969.69999999983997</v>
      </c>
      <c r="O7701" s="16" t="s">
        <v>7340</v>
      </c>
      <c r="R7701" s="6"/>
      <c r="S7701" s="298"/>
    </row>
    <row r="7702" spans="14:19" hidden="1" x14ac:dyDescent="0.25">
      <c r="N7702" s="17">
        <v>969.79999999984</v>
      </c>
      <c r="O7702" s="16" t="s">
        <v>7341</v>
      </c>
      <c r="R7702" s="6"/>
      <c r="S7702" s="298"/>
    </row>
    <row r="7703" spans="14:19" hidden="1" x14ac:dyDescent="0.25">
      <c r="N7703" s="17">
        <v>969.89999999984002</v>
      </c>
      <c r="O7703" s="16" t="s">
        <v>7342</v>
      </c>
      <c r="R7703" s="6"/>
      <c r="S7703" s="298"/>
    </row>
    <row r="7704" spans="14:19" hidden="1" x14ac:dyDescent="0.25">
      <c r="N7704" s="17">
        <v>969.99999999984004</v>
      </c>
      <c r="O7704" s="16" t="s">
        <v>7343</v>
      </c>
      <c r="R7704" s="6"/>
      <c r="S7704" s="298"/>
    </row>
    <row r="7705" spans="14:19" hidden="1" x14ac:dyDescent="0.25">
      <c r="N7705" s="17">
        <v>970.09999999983995</v>
      </c>
      <c r="O7705" s="16" t="s">
        <v>7344</v>
      </c>
      <c r="R7705" s="6"/>
      <c r="S7705" s="298"/>
    </row>
    <row r="7706" spans="14:19" hidden="1" x14ac:dyDescent="0.25">
      <c r="N7706" s="17">
        <v>970.19999999983997</v>
      </c>
      <c r="O7706" s="16" t="s">
        <v>7345</v>
      </c>
      <c r="R7706" s="6"/>
      <c r="S7706" s="298"/>
    </row>
    <row r="7707" spans="14:19" hidden="1" x14ac:dyDescent="0.25">
      <c r="N7707" s="17">
        <v>970.29999999984</v>
      </c>
      <c r="O7707" s="16" t="s">
        <v>7346</v>
      </c>
      <c r="R7707" s="6"/>
      <c r="S7707" s="298"/>
    </row>
    <row r="7708" spans="14:19" hidden="1" x14ac:dyDescent="0.25">
      <c r="N7708" s="17">
        <v>970.39999999984002</v>
      </c>
      <c r="O7708" s="16" t="s">
        <v>7347</v>
      </c>
      <c r="R7708" s="6"/>
      <c r="S7708" s="298"/>
    </row>
    <row r="7709" spans="14:19" hidden="1" x14ac:dyDescent="0.25">
      <c r="N7709" s="17">
        <v>970.49999999984004</v>
      </c>
      <c r="O7709" s="16" t="s">
        <v>7348</v>
      </c>
      <c r="R7709" s="6"/>
      <c r="S7709" s="298"/>
    </row>
    <row r="7710" spans="14:19" hidden="1" x14ac:dyDescent="0.25">
      <c r="N7710" s="17">
        <v>970.59999999983995</v>
      </c>
      <c r="O7710" s="16" t="s">
        <v>7349</v>
      </c>
      <c r="R7710" s="6"/>
      <c r="S7710" s="298"/>
    </row>
    <row r="7711" spans="14:19" hidden="1" x14ac:dyDescent="0.25">
      <c r="N7711" s="17">
        <v>970.69999999983895</v>
      </c>
      <c r="O7711" s="16" t="s">
        <v>7350</v>
      </c>
      <c r="R7711" s="6"/>
      <c r="S7711" s="298"/>
    </row>
    <row r="7712" spans="14:19" hidden="1" x14ac:dyDescent="0.25">
      <c r="N7712" s="17">
        <v>970.79999999983897</v>
      </c>
      <c r="O7712" s="16" t="s">
        <v>7351</v>
      </c>
      <c r="R7712" s="6"/>
      <c r="S7712" s="298"/>
    </row>
    <row r="7713" spans="14:19" hidden="1" x14ac:dyDescent="0.25">
      <c r="N7713" s="17">
        <v>970.899999999839</v>
      </c>
      <c r="O7713" s="16" t="s">
        <v>7352</v>
      </c>
      <c r="R7713" s="6"/>
      <c r="S7713" s="298"/>
    </row>
    <row r="7714" spans="14:19" hidden="1" x14ac:dyDescent="0.25">
      <c r="N7714" s="17">
        <v>970.99999999983902</v>
      </c>
      <c r="O7714" s="16" t="s">
        <v>7353</v>
      </c>
      <c r="R7714" s="6"/>
      <c r="S7714" s="298"/>
    </row>
    <row r="7715" spans="14:19" hidden="1" x14ac:dyDescent="0.25">
      <c r="N7715" s="17">
        <v>971.09999999983904</v>
      </c>
      <c r="O7715" s="16" t="s">
        <v>7354</v>
      </c>
      <c r="R7715" s="6"/>
      <c r="S7715" s="298"/>
    </row>
    <row r="7716" spans="14:19" hidden="1" x14ac:dyDescent="0.25">
      <c r="N7716" s="17">
        <v>971.19999999983895</v>
      </c>
      <c r="O7716" s="16" t="s">
        <v>7355</v>
      </c>
      <c r="R7716" s="6"/>
      <c r="S7716" s="298"/>
    </row>
    <row r="7717" spans="14:19" hidden="1" x14ac:dyDescent="0.25">
      <c r="N7717" s="17">
        <v>971.29999999983897</v>
      </c>
      <c r="O7717" s="16" t="s">
        <v>7356</v>
      </c>
      <c r="R7717" s="6"/>
      <c r="S7717" s="298"/>
    </row>
    <row r="7718" spans="14:19" hidden="1" x14ac:dyDescent="0.25">
      <c r="N7718" s="17">
        <v>971.399999999839</v>
      </c>
      <c r="O7718" s="16" t="s">
        <v>7357</v>
      </c>
      <c r="R7718" s="6"/>
      <c r="S7718" s="298"/>
    </row>
    <row r="7719" spans="14:19" hidden="1" x14ac:dyDescent="0.25">
      <c r="N7719" s="17">
        <v>971.49999999983902</v>
      </c>
      <c r="O7719" s="16" t="s">
        <v>7358</v>
      </c>
      <c r="R7719" s="6"/>
      <c r="S7719" s="298"/>
    </row>
    <row r="7720" spans="14:19" hidden="1" x14ac:dyDescent="0.25">
      <c r="N7720" s="17">
        <v>971.59999999983904</v>
      </c>
      <c r="O7720" s="16" t="s">
        <v>7359</v>
      </c>
      <c r="R7720" s="6"/>
      <c r="S7720" s="298"/>
    </row>
    <row r="7721" spans="14:19" hidden="1" x14ac:dyDescent="0.25">
      <c r="N7721" s="17">
        <v>971.69999999983895</v>
      </c>
      <c r="O7721" s="16" t="s">
        <v>7360</v>
      </c>
      <c r="R7721" s="6"/>
      <c r="S7721" s="298"/>
    </row>
    <row r="7722" spans="14:19" hidden="1" x14ac:dyDescent="0.25">
      <c r="N7722" s="17">
        <v>971.79999999983897</v>
      </c>
      <c r="O7722" s="16" t="s">
        <v>7361</v>
      </c>
      <c r="R7722" s="6"/>
      <c r="S7722" s="298"/>
    </row>
    <row r="7723" spans="14:19" hidden="1" x14ac:dyDescent="0.25">
      <c r="N7723" s="17">
        <v>971.899999999839</v>
      </c>
      <c r="O7723" s="16" t="s">
        <v>7362</v>
      </c>
      <c r="R7723" s="6"/>
      <c r="S7723" s="298"/>
    </row>
    <row r="7724" spans="14:19" hidden="1" x14ac:dyDescent="0.25">
      <c r="N7724" s="17">
        <v>971.99999999983902</v>
      </c>
      <c r="O7724" s="16" t="s">
        <v>7363</v>
      </c>
      <c r="R7724" s="6"/>
      <c r="S7724" s="298"/>
    </row>
    <row r="7725" spans="14:19" hidden="1" x14ac:dyDescent="0.25">
      <c r="N7725" s="17">
        <v>972.09999999983904</v>
      </c>
      <c r="O7725" s="16" t="s">
        <v>7364</v>
      </c>
      <c r="R7725" s="6"/>
      <c r="S7725" s="298"/>
    </row>
    <row r="7726" spans="14:19" hidden="1" x14ac:dyDescent="0.25">
      <c r="N7726" s="17">
        <v>972.19999999983895</v>
      </c>
      <c r="O7726" s="16" t="s">
        <v>7365</v>
      </c>
      <c r="R7726" s="6"/>
      <c r="S7726" s="298"/>
    </row>
    <row r="7727" spans="14:19" hidden="1" x14ac:dyDescent="0.25">
      <c r="N7727" s="17">
        <v>972.29999999983897</v>
      </c>
      <c r="O7727" s="16" t="s">
        <v>7366</v>
      </c>
      <c r="R7727" s="6"/>
      <c r="S7727" s="298"/>
    </row>
    <row r="7728" spans="14:19" hidden="1" x14ac:dyDescent="0.25">
      <c r="N7728" s="17">
        <v>972.399999999839</v>
      </c>
      <c r="O7728" s="16" t="s">
        <v>7367</v>
      </c>
      <c r="R7728" s="6"/>
      <c r="S7728" s="298"/>
    </row>
    <row r="7729" spans="14:19" hidden="1" x14ac:dyDescent="0.25">
      <c r="N7729" s="17">
        <v>972.49999999983902</v>
      </c>
      <c r="O7729" s="16" t="s">
        <v>7368</v>
      </c>
      <c r="R7729" s="6"/>
      <c r="S7729" s="298"/>
    </row>
    <row r="7730" spans="14:19" hidden="1" x14ac:dyDescent="0.25">
      <c r="N7730" s="17">
        <v>972.59999999983904</v>
      </c>
      <c r="O7730" s="16" t="s">
        <v>7369</v>
      </c>
      <c r="R7730" s="6"/>
      <c r="S7730" s="298"/>
    </row>
    <row r="7731" spans="14:19" hidden="1" x14ac:dyDescent="0.25">
      <c r="N7731" s="17">
        <v>972.69999999983895</v>
      </c>
      <c r="O7731" s="16" t="s">
        <v>7370</v>
      </c>
      <c r="R7731" s="6"/>
      <c r="S7731" s="298"/>
    </row>
    <row r="7732" spans="14:19" hidden="1" x14ac:dyDescent="0.25">
      <c r="N7732" s="17">
        <v>972.79999999983897</v>
      </c>
      <c r="O7732" s="16" t="s">
        <v>7371</v>
      </c>
      <c r="R7732" s="6"/>
      <c r="S7732" s="298"/>
    </row>
    <row r="7733" spans="14:19" hidden="1" x14ac:dyDescent="0.25">
      <c r="N7733" s="17">
        <v>972.899999999839</v>
      </c>
      <c r="O7733" s="16" t="s">
        <v>7372</v>
      </c>
      <c r="R7733" s="6"/>
      <c r="S7733" s="298"/>
    </row>
    <row r="7734" spans="14:19" hidden="1" x14ac:dyDescent="0.25">
      <c r="N7734" s="17">
        <v>972.99999999983902</v>
      </c>
      <c r="O7734" s="16" t="s">
        <v>7373</v>
      </c>
      <c r="R7734" s="6"/>
      <c r="S7734" s="298"/>
    </row>
    <row r="7735" spans="14:19" hidden="1" x14ac:dyDescent="0.25">
      <c r="N7735" s="17">
        <v>973.09999999983904</v>
      </c>
      <c r="O7735" s="16" t="s">
        <v>7374</v>
      </c>
      <c r="R7735" s="6"/>
      <c r="S7735" s="298"/>
    </row>
    <row r="7736" spans="14:19" hidden="1" x14ac:dyDescent="0.25">
      <c r="N7736" s="17">
        <v>973.19999999983895</v>
      </c>
      <c r="O7736" s="16" t="s">
        <v>7375</v>
      </c>
      <c r="R7736" s="6"/>
      <c r="S7736" s="298"/>
    </row>
    <row r="7737" spans="14:19" hidden="1" x14ac:dyDescent="0.25">
      <c r="N7737" s="17">
        <v>973.29999999983897</v>
      </c>
      <c r="O7737" s="16" t="s">
        <v>7376</v>
      </c>
      <c r="R7737" s="6"/>
      <c r="S7737" s="298"/>
    </row>
    <row r="7738" spans="14:19" hidden="1" x14ac:dyDescent="0.25">
      <c r="N7738" s="17">
        <v>973.399999999839</v>
      </c>
      <c r="O7738" s="16" t="s">
        <v>7377</v>
      </c>
      <c r="R7738" s="6"/>
      <c r="S7738" s="298"/>
    </row>
    <row r="7739" spans="14:19" hidden="1" x14ac:dyDescent="0.25">
      <c r="N7739" s="17">
        <v>973.49999999983902</v>
      </c>
      <c r="O7739" s="16" t="s">
        <v>7378</v>
      </c>
      <c r="R7739" s="6"/>
      <c r="S7739" s="298"/>
    </row>
    <row r="7740" spans="14:19" hidden="1" x14ac:dyDescent="0.25">
      <c r="N7740" s="17">
        <v>973.59999999983904</v>
      </c>
      <c r="O7740" s="16" t="s">
        <v>7379</v>
      </c>
      <c r="R7740" s="6"/>
      <c r="S7740" s="298"/>
    </row>
    <row r="7741" spans="14:19" hidden="1" x14ac:dyDescent="0.25">
      <c r="N7741" s="17">
        <v>973.69999999983804</v>
      </c>
      <c r="O7741" s="16" t="s">
        <v>7380</v>
      </c>
      <c r="R7741" s="6"/>
      <c r="S7741" s="298"/>
    </row>
    <row r="7742" spans="14:19" hidden="1" x14ac:dyDescent="0.25">
      <c r="N7742" s="17">
        <v>973.79999999983795</v>
      </c>
      <c r="O7742" s="16" t="s">
        <v>7381</v>
      </c>
      <c r="R7742" s="6"/>
      <c r="S7742" s="298"/>
    </row>
    <row r="7743" spans="14:19" hidden="1" x14ac:dyDescent="0.25">
      <c r="N7743" s="17">
        <v>973.89999999983797</v>
      </c>
      <c r="O7743" s="16" t="s">
        <v>7382</v>
      </c>
      <c r="R7743" s="6"/>
      <c r="S7743" s="298"/>
    </row>
    <row r="7744" spans="14:19" hidden="1" x14ac:dyDescent="0.25">
      <c r="N7744" s="17">
        <v>973.999999999838</v>
      </c>
      <c r="O7744" s="16" t="s">
        <v>7383</v>
      </c>
      <c r="R7744" s="6"/>
      <c r="S7744" s="298"/>
    </row>
    <row r="7745" spans="14:19" hidden="1" x14ac:dyDescent="0.25">
      <c r="N7745" s="17">
        <v>974.09999999983802</v>
      </c>
      <c r="O7745" s="16" t="s">
        <v>8306</v>
      </c>
      <c r="R7745" s="6"/>
      <c r="S7745" s="298"/>
    </row>
    <row r="7746" spans="14:19" hidden="1" x14ac:dyDescent="0.25">
      <c r="N7746" s="17">
        <v>974.19999999983804</v>
      </c>
      <c r="O7746" s="16" t="s">
        <v>8307</v>
      </c>
      <c r="R7746" s="6"/>
      <c r="S7746" s="298"/>
    </row>
    <row r="7747" spans="14:19" hidden="1" x14ac:dyDescent="0.25">
      <c r="N7747" s="17">
        <v>974.29999999983795</v>
      </c>
      <c r="O7747" s="16" t="s">
        <v>8308</v>
      </c>
      <c r="R7747" s="6"/>
      <c r="S7747" s="298"/>
    </row>
    <row r="7748" spans="14:19" hidden="1" x14ac:dyDescent="0.25">
      <c r="N7748" s="17">
        <v>974.39999999983797</v>
      </c>
      <c r="O7748" s="16" t="s">
        <v>8309</v>
      </c>
      <c r="R7748" s="6"/>
      <c r="S7748" s="298"/>
    </row>
    <row r="7749" spans="14:19" hidden="1" x14ac:dyDescent="0.25">
      <c r="N7749" s="17">
        <v>974.499999999838</v>
      </c>
      <c r="O7749" s="16" t="s">
        <v>8310</v>
      </c>
      <c r="R7749" s="6"/>
      <c r="S7749" s="298"/>
    </row>
    <row r="7750" spans="14:19" hidden="1" x14ac:dyDescent="0.25">
      <c r="N7750" s="17">
        <v>974.59999999983802</v>
      </c>
      <c r="O7750" s="16" t="s">
        <v>8311</v>
      </c>
      <c r="R7750" s="6"/>
      <c r="S7750" s="298"/>
    </row>
    <row r="7751" spans="14:19" hidden="1" x14ac:dyDescent="0.25">
      <c r="N7751" s="17">
        <v>974.69999999983804</v>
      </c>
      <c r="O7751" s="16" t="s">
        <v>8312</v>
      </c>
      <c r="R7751" s="6"/>
      <c r="S7751" s="298"/>
    </row>
    <row r="7752" spans="14:19" hidden="1" x14ac:dyDescent="0.25">
      <c r="N7752" s="17">
        <v>974.79999999983795</v>
      </c>
      <c r="O7752" s="16" t="s">
        <v>8313</v>
      </c>
      <c r="R7752" s="6"/>
      <c r="S7752" s="298"/>
    </row>
    <row r="7753" spans="14:19" hidden="1" x14ac:dyDescent="0.25">
      <c r="N7753" s="17">
        <v>974.89999999983797</v>
      </c>
      <c r="O7753" s="16" t="s">
        <v>8314</v>
      </c>
      <c r="R7753" s="6"/>
      <c r="S7753" s="298"/>
    </row>
    <row r="7754" spans="14:19" hidden="1" x14ac:dyDescent="0.25">
      <c r="N7754" s="17">
        <v>974.999999999838</v>
      </c>
      <c r="O7754" s="16" t="s">
        <v>7426</v>
      </c>
      <c r="R7754" s="6"/>
      <c r="S7754" s="298"/>
    </row>
    <row r="7755" spans="14:19" hidden="1" x14ac:dyDescent="0.25">
      <c r="N7755" s="17">
        <v>975.09999999983802</v>
      </c>
      <c r="O7755" s="16" t="s">
        <v>7427</v>
      </c>
      <c r="R7755" s="6"/>
      <c r="S7755" s="298"/>
    </row>
    <row r="7756" spans="14:19" hidden="1" x14ac:dyDescent="0.25">
      <c r="N7756" s="17">
        <v>975.19999999983804</v>
      </c>
      <c r="O7756" s="16" t="s">
        <v>7428</v>
      </c>
      <c r="R7756" s="6"/>
      <c r="S7756" s="298"/>
    </row>
    <row r="7757" spans="14:19" hidden="1" x14ac:dyDescent="0.25">
      <c r="N7757" s="17">
        <v>975.29999999983795</v>
      </c>
      <c r="O7757" s="16" t="s">
        <v>7429</v>
      </c>
      <c r="R7757" s="6"/>
      <c r="S7757" s="298"/>
    </row>
    <row r="7758" spans="14:19" hidden="1" x14ac:dyDescent="0.25">
      <c r="N7758" s="17">
        <v>975.39999999983797</v>
      </c>
      <c r="O7758" s="16" t="s">
        <v>7430</v>
      </c>
      <c r="R7758" s="6"/>
      <c r="S7758" s="298"/>
    </row>
    <row r="7759" spans="14:19" hidden="1" x14ac:dyDescent="0.25">
      <c r="N7759" s="17">
        <v>975.499999999838</v>
      </c>
      <c r="O7759" s="16" t="s">
        <v>7431</v>
      </c>
      <c r="R7759" s="6"/>
      <c r="S7759" s="298"/>
    </row>
    <row r="7760" spans="14:19" hidden="1" x14ac:dyDescent="0.25">
      <c r="N7760" s="17">
        <v>975.59999999983802</v>
      </c>
      <c r="O7760" s="16" t="s">
        <v>7432</v>
      </c>
      <c r="R7760" s="6"/>
      <c r="S7760" s="298"/>
    </row>
    <row r="7761" spans="14:19" hidden="1" x14ac:dyDescent="0.25">
      <c r="N7761" s="17">
        <v>975.69999999983804</v>
      </c>
      <c r="O7761" s="16" t="s">
        <v>7433</v>
      </c>
      <c r="R7761" s="6"/>
      <c r="S7761" s="298"/>
    </row>
    <row r="7762" spans="14:19" hidden="1" x14ac:dyDescent="0.25">
      <c r="N7762" s="17">
        <v>975.79999999983795</v>
      </c>
      <c r="O7762" s="16" t="s">
        <v>7434</v>
      </c>
      <c r="R7762" s="6"/>
      <c r="S7762" s="298"/>
    </row>
    <row r="7763" spans="14:19" hidden="1" x14ac:dyDescent="0.25">
      <c r="N7763" s="17">
        <v>975.89999999983797</v>
      </c>
      <c r="O7763" s="16" t="s">
        <v>7435</v>
      </c>
      <c r="R7763" s="6"/>
      <c r="S7763" s="298"/>
    </row>
    <row r="7764" spans="14:19" hidden="1" x14ac:dyDescent="0.25">
      <c r="N7764" s="17">
        <v>975.999999999838</v>
      </c>
      <c r="O7764" s="16" t="s">
        <v>7436</v>
      </c>
      <c r="R7764" s="6"/>
      <c r="S7764" s="298"/>
    </row>
    <row r="7765" spans="14:19" hidden="1" x14ac:dyDescent="0.25">
      <c r="N7765" s="17">
        <v>976.09999999983802</v>
      </c>
      <c r="O7765" s="16" t="s">
        <v>8338</v>
      </c>
      <c r="R7765" s="6"/>
      <c r="S7765" s="298"/>
    </row>
    <row r="7766" spans="14:19" hidden="1" x14ac:dyDescent="0.25">
      <c r="N7766" s="17">
        <v>976.19999999983804</v>
      </c>
      <c r="O7766" s="16" t="s">
        <v>8339</v>
      </c>
      <c r="R7766" s="6"/>
      <c r="S7766" s="298"/>
    </row>
    <row r="7767" spans="14:19" hidden="1" x14ac:dyDescent="0.25">
      <c r="N7767" s="17">
        <v>976.29999999983795</v>
      </c>
      <c r="O7767" s="16" t="s">
        <v>8340</v>
      </c>
      <c r="R7767" s="6"/>
      <c r="S7767" s="298"/>
    </row>
    <row r="7768" spans="14:19" hidden="1" x14ac:dyDescent="0.25">
      <c r="N7768" s="17">
        <v>976.39999999983797</v>
      </c>
      <c r="O7768" s="16" t="s">
        <v>8341</v>
      </c>
      <c r="R7768" s="6"/>
      <c r="S7768" s="298"/>
    </row>
    <row r="7769" spans="14:19" hidden="1" x14ac:dyDescent="0.25">
      <c r="N7769" s="17">
        <v>976.499999999838</v>
      </c>
      <c r="O7769" s="16" t="s">
        <v>8342</v>
      </c>
      <c r="R7769" s="6"/>
      <c r="S7769" s="298"/>
    </row>
    <row r="7770" spans="14:19" hidden="1" x14ac:dyDescent="0.25">
      <c r="N7770" s="17">
        <v>976.599999999837</v>
      </c>
      <c r="O7770" s="16" t="s">
        <v>8343</v>
      </c>
      <c r="R7770" s="6"/>
      <c r="S7770" s="298"/>
    </row>
    <row r="7771" spans="14:19" hidden="1" x14ac:dyDescent="0.25">
      <c r="N7771" s="17">
        <v>976.69999999983702</v>
      </c>
      <c r="O7771" s="16" t="s">
        <v>6519</v>
      </c>
      <c r="R7771" s="6"/>
      <c r="S7771" s="298"/>
    </row>
    <row r="7772" spans="14:19" hidden="1" x14ac:dyDescent="0.25">
      <c r="N7772" s="17">
        <v>976.79999999983704</v>
      </c>
      <c r="O7772" s="16" t="s">
        <v>3465</v>
      </c>
      <c r="R7772" s="6"/>
      <c r="S7772" s="298"/>
    </row>
    <row r="7773" spans="14:19" hidden="1" x14ac:dyDescent="0.25">
      <c r="N7773" s="17">
        <v>976.89999999983695</v>
      </c>
      <c r="O7773" s="16" t="s">
        <v>3466</v>
      </c>
      <c r="R7773" s="6"/>
      <c r="S7773" s="298"/>
    </row>
    <row r="7774" spans="14:19" hidden="1" x14ac:dyDescent="0.25">
      <c r="N7774" s="17">
        <v>976.99999999983697</v>
      </c>
      <c r="O7774" s="16" t="s">
        <v>3467</v>
      </c>
      <c r="R7774" s="6"/>
      <c r="S7774" s="298"/>
    </row>
    <row r="7775" spans="14:19" hidden="1" x14ac:dyDescent="0.25">
      <c r="N7775" s="17">
        <v>977.099999999837</v>
      </c>
      <c r="O7775" s="16" t="s">
        <v>3468</v>
      </c>
      <c r="R7775" s="6"/>
      <c r="S7775" s="298"/>
    </row>
    <row r="7776" spans="14:19" hidden="1" x14ac:dyDescent="0.25">
      <c r="N7776" s="17">
        <v>977.19999999983702</v>
      </c>
      <c r="O7776" s="16" t="s">
        <v>3469</v>
      </c>
      <c r="R7776" s="6"/>
      <c r="S7776" s="298"/>
    </row>
    <row r="7777" spans="14:19" hidden="1" x14ac:dyDescent="0.25">
      <c r="N7777" s="17">
        <v>977.29999999983704</v>
      </c>
      <c r="O7777" s="16" t="s">
        <v>3470</v>
      </c>
      <c r="R7777" s="6"/>
      <c r="S7777" s="298"/>
    </row>
    <row r="7778" spans="14:19" hidden="1" x14ac:dyDescent="0.25">
      <c r="N7778" s="17">
        <v>977.39999999983695</v>
      </c>
      <c r="O7778" s="16" t="s">
        <v>3471</v>
      </c>
      <c r="R7778" s="6"/>
      <c r="S7778" s="298"/>
    </row>
    <row r="7779" spans="14:19" hidden="1" x14ac:dyDescent="0.25">
      <c r="N7779" s="17">
        <v>977.49999999983697</v>
      </c>
      <c r="O7779" s="16" t="s">
        <v>3472</v>
      </c>
      <c r="R7779" s="6"/>
      <c r="S7779" s="298"/>
    </row>
    <row r="7780" spans="14:19" hidden="1" x14ac:dyDescent="0.25">
      <c r="N7780" s="17">
        <v>977.599999999837</v>
      </c>
      <c r="O7780" s="16" t="s">
        <v>3473</v>
      </c>
      <c r="R7780" s="6"/>
      <c r="S7780" s="298"/>
    </row>
    <row r="7781" spans="14:19" hidden="1" x14ac:dyDescent="0.25">
      <c r="N7781" s="17">
        <v>977.69999999983702</v>
      </c>
      <c r="O7781" s="16" t="s">
        <v>3474</v>
      </c>
      <c r="R7781" s="6"/>
      <c r="S7781" s="298"/>
    </row>
    <row r="7782" spans="14:19" hidden="1" x14ac:dyDescent="0.25">
      <c r="N7782" s="17">
        <v>977.79999999983704</v>
      </c>
      <c r="O7782" s="16" t="s">
        <v>3475</v>
      </c>
      <c r="R7782" s="6"/>
      <c r="S7782" s="298"/>
    </row>
    <row r="7783" spans="14:19" hidden="1" x14ac:dyDescent="0.25">
      <c r="N7783" s="17">
        <v>977.89999999983695</v>
      </c>
      <c r="O7783" s="16" t="s">
        <v>5585</v>
      </c>
      <c r="R7783" s="6"/>
      <c r="S7783" s="298"/>
    </row>
    <row r="7784" spans="14:19" hidden="1" x14ac:dyDescent="0.25">
      <c r="N7784" s="17">
        <v>977.99999999983697</v>
      </c>
      <c r="O7784" s="16" t="s">
        <v>5586</v>
      </c>
      <c r="R7784" s="6"/>
      <c r="S7784" s="298"/>
    </row>
    <row r="7785" spans="14:19" hidden="1" x14ac:dyDescent="0.25">
      <c r="N7785" s="17">
        <v>978.099999999837</v>
      </c>
      <c r="O7785" s="16" t="s">
        <v>5587</v>
      </c>
      <c r="R7785" s="6"/>
      <c r="S7785" s="298"/>
    </row>
    <row r="7786" spans="14:19" hidden="1" x14ac:dyDescent="0.25">
      <c r="N7786" s="17">
        <v>978.19999999983702</v>
      </c>
      <c r="O7786" s="16" t="s">
        <v>5588</v>
      </c>
      <c r="R7786" s="6"/>
      <c r="S7786" s="298"/>
    </row>
    <row r="7787" spans="14:19" hidden="1" x14ac:dyDescent="0.25">
      <c r="N7787" s="17">
        <v>978.29999999983704</v>
      </c>
      <c r="O7787" s="16" t="s">
        <v>5589</v>
      </c>
      <c r="R7787" s="6"/>
      <c r="S7787" s="298"/>
    </row>
    <row r="7788" spans="14:19" hidden="1" x14ac:dyDescent="0.25">
      <c r="N7788" s="17">
        <v>978.39999999983695</v>
      </c>
      <c r="O7788" s="16" t="s">
        <v>5590</v>
      </c>
      <c r="R7788" s="6"/>
      <c r="S7788" s="298"/>
    </row>
    <row r="7789" spans="14:19" hidden="1" x14ac:dyDescent="0.25">
      <c r="N7789" s="17">
        <v>978.49999999983697</v>
      </c>
      <c r="O7789" s="16" t="s">
        <v>5591</v>
      </c>
      <c r="R7789" s="6"/>
      <c r="S7789" s="298"/>
    </row>
    <row r="7790" spans="14:19" hidden="1" x14ac:dyDescent="0.25">
      <c r="N7790" s="17">
        <v>978.599999999837</v>
      </c>
      <c r="O7790" s="16" t="s">
        <v>5592</v>
      </c>
      <c r="R7790" s="6"/>
      <c r="S7790" s="298"/>
    </row>
    <row r="7791" spans="14:19" hidden="1" x14ac:dyDescent="0.25">
      <c r="N7791" s="17">
        <v>978.69999999983702</v>
      </c>
      <c r="O7791" s="16" t="s">
        <v>5593</v>
      </c>
      <c r="R7791" s="6"/>
      <c r="S7791" s="298"/>
    </row>
    <row r="7792" spans="14:19" hidden="1" x14ac:dyDescent="0.25">
      <c r="N7792" s="17">
        <v>978.79999999983704</v>
      </c>
      <c r="O7792" s="16" t="s">
        <v>5594</v>
      </c>
      <c r="R7792" s="6"/>
      <c r="S7792" s="298"/>
    </row>
    <row r="7793" spans="14:19" hidden="1" x14ac:dyDescent="0.25">
      <c r="N7793" s="17">
        <v>978.89999999983695</v>
      </c>
      <c r="O7793" s="16" t="s">
        <v>5595</v>
      </c>
      <c r="R7793" s="6"/>
      <c r="S7793" s="298"/>
    </row>
    <row r="7794" spans="14:19" hidden="1" x14ac:dyDescent="0.25">
      <c r="N7794" s="17">
        <v>978.99999999983697</v>
      </c>
      <c r="O7794" s="16" t="s">
        <v>5596</v>
      </c>
      <c r="R7794" s="6"/>
      <c r="S7794" s="298"/>
    </row>
    <row r="7795" spans="14:19" hidden="1" x14ac:dyDescent="0.25">
      <c r="N7795" s="17">
        <v>979.099999999837</v>
      </c>
      <c r="O7795" s="16" t="s">
        <v>7609</v>
      </c>
      <c r="R7795" s="6"/>
      <c r="S7795" s="298"/>
    </row>
    <row r="7796" spans="14:19" hidden="1" x14ac:dyDescent="0.25">
      <c r="N7796" s="17">
        <v>979.19999999983702</v>
      </c>
      <c r="O7796" s="16" t="s">
        <v>7610</v>
      </c>
      <c r="R7796" s="6"/>
      <c r="S7796" s="298"/>
    </row>
    <row r="7797" spans="14:19" hidden="1" x14ac:dyDescent="0.25">
      <c r="N7797" s="17">
        <v>979.29999999983704</v>
      </c>
      <c r="O7797" s="16" t="s">
        <v>7611</v>
      </c>
      <c r="R7797" s="6"/>
      <c r="S7797" s="298"/>
    </row>
    <row r="7798" spans="14:19" hidden="1" x14ac:dyDescent="0.25">
      <c r="N7798" s="17">
        <v>979.39999999983695</v>
      </c>
      <c r="O7798" s="16" t="s">
        <v>7612</v>
      </c>
      <c r="R7798" s="6"/>
      <c r="S7798" s="298"/>
    </row>
    <row r="7799" spans="14:19" hidden="1" x14ac:dyDescent="0.25">
      <c r="N7799" s="17">
        <v>979.49999999983595</v>
      </c>
      <c r="O7799" s="16" t="s">
        <v>7613</v>
      </c>
      <c r="R7799" s="6"/>
      <c r="S7799" s="298"/>
    </row>
    <row r="7800" spans="14:19" hidden="1" x14ac:dyDescent="0.25">
      <c r="N7800" s="17">
        <v>979.59999999983597</v>
      </c>
      <c r="O7800" s="16" t="s">
        <v>7614</v>
      </c>
      <c r="R7800" s="6"/>
      <c r="S7800" s="298"/>
    </row>
    <row r="7801" spans="14:19" hidden="1" x14ac:dyDescent="0.25">
      <c r="N7801" s="17">
        <v>979.699999999836</v>
      </c>
      <c r="O7801" s="16" t="s">
        <v>7615</v>
      </c>
      <c r="R7801" s="6"/>
      <c r="S7801" s="298"/>
    </row>
    <row r="7802" spans="14:19" hidden="1" x14ac:dyDescent="0.25">
      <c r="N7802" s="17">
        <v>979.79999999983602</v>
      </c>
      <c r="O7802" s="16" t="s">
        <v>7616</v>
      </c>
      <c r="R7802" s="6"/>
      <c r="S7802" s="298"/>
    </row>
    <row r="7803" spans="14:19" hidden="1" x14ac:dyDescent="0.25">
      <c r="N7803" s="17">
        <v>979.89999999983604</v>
      </c>
      <c r="O7803" s="16" t="s">
        <v>7617</v>
      </c>
      <c r="R7803" s="6"/>
      <c r="S7803" s="298"/>
    </row>
    <row r="7804" spans="14:19" hidden="1" x14ac:dyDescent="0.25">
      <c r="N7804" s="17">
        <v>979.99999999983595</v>
      </c>
      <c r="O7804" s="16" t="s">
        <v>7618</v>
      </c>
      <c r="R7804" s="6"/>
      <c r="S7804" s="298"/>
    </row>
    <row r="7805" spans="14:19" hidden="1" x14ac:dyDescent="0.25">
      <c r="N7805" s="17">
        <v>980.09999999983597</v>
      </c>
      <c r="O7805" s="16" t="s">
        <v>7619</v>
      </c>
      <c r="R7805" s="6"/>
      <c r="S7805" s="298"/>
    </row>
    <row r="7806" spans="14:19" hidden="1" x14ac:dyDescent="0.25">
      <c r="N7806" s="17">
        <v>980.199999999836</v>
      </c>
      <c r="O7806" s="16" t="s">
        <v>7620</v>
      </c>
      <c r="R7806" s="6"/>
      <c r="S7806" s="298"/>
    </row>
    <row r="7807" spans="14:19" hidden="1" x14ac:dyDescent="0.25">
      <c r="N7807" s="17">
        <v>980.29999999983602</v>
      </c>
      <c r="O7807" s="16" t="s">
        <v>7621</v>
      </c>
      <c r="R7807" s="6"/>
      <c r="S7807" s="298"/>
    </row>
    <row r="7808" spans="14:19" hidden="1" x14ac:dyDescent="0.25">
      <c r="N7808" s="17">
        <v>980.39999999983604</v>
      </c>
      <c r="O7808" s="16" t="s">
        <v>8531</v>
      </c>
      <c r="R7808" s="6"/>
      <c r="S7808" s="298"/>
    </row>
    <row r="7809" spans="14:19" hidden="1" x14ac:dyDescent="0.25">
      <c r="N7809" s="17">
        <v>980.49999999983595</v>
      </c>
      <c r="O7809" s="16" t="s">
        <v>6539</v>
      </c>
      <c r="R7809" s="6"/>
      <c r="S7809" s="298"/>
    </row>
    <row r="7810" spans="14:19" hidden="1" x14ac:dyDescent="0.25">
      <c r="N7810" s="17">
        <v>980.59999999983597</v>
      </c>
      <c r="O7810" s="16" t="s">
        <v>6540</v>
      </c>
      <c r="R7810" s="6"/>
      <c r="S7810" s="298"/>
    </row>
    <row r="7811" spans="14:19" hidden="1" x14ac:dyDescent="0.25">
      <c r="N7811" s="17">
        <v>980.699999999836</v>
      </c>
      <c r="O7811" s="16" t="s">
        <v>6541</v>
      </c>
      <c r="R7811" s="6"/>
      <c r="S7811" s="298"/>
    </row>
    <row r="7812" spans="14:19" hidden="1" x14ac:dyDescent="0.25">
      <c r="N7812" s="17">
        <v>980.79999999983602</v>
      </c>
      <c r="O7812" s="16" t="s">
        <v>6542</v>
      </c>
      <c r="R7812" s="6"/>
      <c r="S7812" s="298"/>
    </row>
    <row r="7813" spans="14:19" hidden="1" x14ac:dyDescent="0.25">
      <c r="N7813" s="17">
        <v>980.89999999983604</v>
      </c>
      <c r="O7813" s="16" t="s">
        <v>6543</v>
      </c>
      <c r="R7813" s="6"/>
      <c r="S7813" s="298"/>
    </row>
    <row r="7814" spans="14:19" hidden="1" x14ac:dyDescent="0.25">
      <c r="N7814" s="17">
        <v>980.99999999983595</v>
      </c>
      <c r="O7814" s="16" t="s">
        <v>6544</v>
      </c>
      <c r="R7814" s="6"/>
      <c r="S7814" s="298"/>
    </row>
    <row r="7815" spans="14:19" hidden="1" x14ac:dyDescent="0.25">
      <c r="N7815" s="17">
        <v>981.09999999983597</v>
      </c>
      <c r="O7815" s="16" t="s">
        <v>6545</v>
      </c>
      <c r="R7815" s="6"/>
      <c r="S7815" s="298"/>
    </row>
    <row r="7816" spans="14:19" hidden="1" x14ac:dyDescent="0.25">
      <c r="N7816" s="17">
        <v>981.199999999836</v>
      </c>
      <c r="O7816" s="16" t="s">
        <v>6546</v>
      </c>
      <c r="R7816" s="6"/>
      <c r="S7816" s="298"/>
    </row>
    <row r="7817" spans="14:19" hidden="1" x14ac:dyDescent="0.25">
      <c r="N7817" s="17">
        <v>981.29999999983602</v>
      </c>
      <c r="O7817" s="16" t="s">
        <v>6547</v>
      </c>
      <c r="R7817" s="6"/>
      <c r="S7817" s="298"/>
    </row>
    <row r="7818" spans="14:19" hidden="1" x14ac:dyDescent="0.25">
      <c r="N7818" s="17">
        <v>981.39999999983604</v>
      </c>
      <c r="O7818" s="16" t="s">
        <v>6548</v>
      </c>
      <c r="R7818" s="6"/>
      <c r="S7818" s="298"/>
    </row>
    <row r="7819" spans="14:19" hidden="1" x14ac:dyDescent="0.25">
      <c r="N7819" s="17">
        <v>981.49999999983595</v>
      </c>
      <c r="O7819" s="16" t="s">
        <v>6549</v>
      </c>
      <c r="R7819" s="6"/>
      <c r="S7819" s="298"/>
    </row>
    <row r="7820" spans="14:19" hidden="1" x14ac:dyDescent="0.25">
      <c r="N7820" s="17">
        <v>981.59999999983597</v>
      </c>
      <c r="O7820" s="16" t="s">
        <v>6550</v>
      </c>
      <c r="R7820" s="6"/>
      <c r="S7820" s="298"/>
    </row>
    <row r="7821" spans="14:19" hidden="1" x14ac:dyDescent="0.25">
      <c r="N7821" s="17">
        <v>981.699999999836</v>
      </c>
      <c r="O7821" s="16" t="s">
        <v>6551</v>
      </c>
      <c r="R7821" s="6"/>
      <c r="S7821" s="298"/>
    </row>
    <row r="7822" spans="14:19" hidden="1" x14ac:dyDescent="0.25">
      <c r="N7822" s="17">
        <v>981.79999999983602</v>
      </c>
      <c r="O7822" s="16" t="s">
        <v>6552</v>
      </c>
      <c r="R7822" s="6"/>
      <c r="S7822" s="298"/>
    </row>
    <row r="7823" spans="14:19" hidden="1" x14ac:dyDescent="0.25">
      <c r="N7823" s="17">
        <v>981.89999999983604</v>
      </c>
      <c r="O7823" s="16" t="s">
        <v>6553</v>
      </c>
      <c r="R7823" s="6"/>
      <c r="S7823" s="298"/>
    </row>
    <row r="7824" spans="14:19" hidden="1" x14ac:dyDescent="0.25">
      <c r="N7824" s="17">
        <v>981.99999999983595</v>
      </c>
      <c r="O7824" s="16" t="s">
        <v>6554</v>
      </c>
      <c r="R7824" s="6"/>
      <c r="S7824" s="298"/>
    </row>
    <row r="7825" spans="14:19" hidden="1" x14ac:dyDescent="0.25">
      <c r="N7825" s="17">
        <v>982.09999999983597</v>
      </c>
      <c r="O7825" s="16" t="s">
        <v>6555</v>
      </c>
      <c r="R7825" s="6"/>
      <c r="S7825" s="298"/>
    </row>
    <row r="7826" spans="14:19" hidden="1" x14ac:dyDescent="0.25">
      <c r="N7826" s="17">
        <v>982.199999999836</v>
      </c>
      <c r="O7826" s="16" t="s">
        <v>6556</v>
      </c>
      <c r="R7826" s="6"/>
      <c r="S7826" s="298"/>
    </row>
    <row r="7827" spans="14:19" hidden="1" x14ac:dyDescent="0.25">
      <c r="N7827" s="17">
        <v>982.29999999983602</v>
      </c>
      <c r="O7827" s="16" t="s">
        <v>6557</v>
      </c>
      <c r="R7827" s="6"/>
      <c r="S7827" s="298"/>
    </row>
    <row r="7828" spans="14:19" hidden="1" x14ac:dyDescent="0.25">
      <c r="N7828" s="17">
        <v>982.39999999983604</v>
      </c>
      <c r="O7828" s="16" t="s">
        <v>6558</v>
      </c>
      <c r="R7828" s="6"/>
      <c r="S7828" s="298"/>
    </row>
    <row r="7829" spans="14:19" hidden="1" x14ac:dyDescent="0.25">
      <c r="N7829" s="17">
        <v>982.49999999983504</v>
      </c>
      <c r="O7829" s="16" t="s">
        <v>6559</v>
      </c>
      <c r="R7829" s="6"/>
      <c r="S7829" s="298"/>
    </row>
    <row r="7830" spans="14:19" hidden="1" x14ac:dyDescent="0.25">
      <c r="N7830" s="17">
        <v>982.59999999983495</v>
      </c>
      <c r="O7830" s="16" t="s">
        <v>6560</v>
      </c>
      <c r="R7830" s="6"/>
      <c r="S7830" s="298"/>
    </row>
    <row r="7831" spans="14:19" hidden="1" x14ac:dyDescent="0.25">
      <c r="N7831" s="17">
        <v>982.69999999983497</v>
      </c>
      <c r="O7831" s="16" t="s">
        <v>6561</v>
      </c>
      <c r="R7831" s="6"/>
      <c r="S7831" s="298"/>
    </row>
    <row r="7832" spans="14:19" hidden="1" x14ac:dyDescent="0.25">
      <c r="N7832" s="17">
        <v>982.79999999983499</v>
      </c>
      <c r="O7832" s="16" t="s">
        <v>6562</v>
      </c>
      <c r="R7832" s="6"/>
      <c r="S7832" s="298"/>
    </row>
    <row r="7833" spans="14:19" hidden="1" x14ac:dyDescent="0.25">
      <c r="N7833" s="17">
        <v>982.89999999983502</v>
      </c>
      <c r="O7833" s="16" t="s">
        <v>6563</v>
      </c>
      <c r="R7833" s="6"/>
      <c r="S7833" s="298"/>
    </row>
    <row r="7834" spans="14:19" hidden="1" x14ac:dyDescent="0.25">
      <c r="N7834" s="17">
        <v>982.99999999983504</v>
      </c>
      <c r="O7834" s="16" t="s">
        <v>6564</v>
      </c>
      <c r="R7834" s="6"/>
      <c r="S7834" s="298"/>
    </row>
    <row r="7835" spans="14:19" hidden="1" x14ac:dyDescent="0.25">
      <c r="N7835" s="17">
        <v>983.09999999983495</v>
      </c>
      <c r="O7835" s="16" t="s">
        <v>6565</v>
      </c>
      <c r="R7835" s="6"/>
      <c r="S7835" s="298"/>
    </row>
    <row r="7836" spans="14:19" hidden="1" x14ac:dyDescent="0.25">
      <c r="N7836" s="17">
        <v>983.19999999983497</v>
      </c>
      <c r="O7836" s="16" t="s">
        <v>6566</v>
      </c>
      <c r="R7836" s="6"/>
      <c r="S7836" s="298"/>
    </row>
    <row r="7837" spans="14:19" hidden="1" x14ac:dyDescent="0.25">
      <c r="N7837" s="17">
        <v>983.29999999983499</v>
      </c>
      <c r="O7837" s="16" t="s">
        <v>6567</v>
      </c>
      <c r="R7837" s="6"/>
      <c r="S7837" s="298"/>
    </row>
    <row r="7838" spans="14:19" hidden="1" x14ac:dyDescent="0.25">
      <c r="N7838" s="17">
        <v>983.39999999983502</v>
      </c>
      <c r="O7838" s="16" t="s">
        <v>6568</v>
      </c>
      <c r="R7838" s="6"/>
      <c r="S7838" s="298"/>
    </row>
    <row r="7839" spans="14:19" hidden="1" x14ac:dyDescent="0.25">
      <c r="N7839" s="17">
        <v>983.49999999983504</v>
      </c>
      <c r="O7839" s="16" t="s">
        <v>6569</v>
      </c>
      <c r="R7839" s="6"/>
      <c r="S7839" s="298"/>
    </row>
    <row r="7840" spans="14:19" hidden="1" x14ac:dyDescent="0.25">
      <c r="N7840" s="17">
        <v>983.59999999983495</v>
      </c>
      <c r="O7840" s="16" t="s">
        <v>6570</v>
      </c>
      <c r="R7840" s="6"/>
      <c r="S7840" s="298"/>
    </row>
    <row r="7841" spans="14:19" hidden="1" x14ac:dyDescent="0.25">
      <c r="N7841" s="17">
        <v>983.69999999983497</v>
      </c>
      <c r="O7841" s="16" t="s">
        <v>6571</v>
      </c>
      <c r="R7841" s="6"/>
      <c r="S7841" s="298"/>
    </row>
    <row r="7842" spans="14:19" hidden="1" x14ac:dyDescent="0.25">
      <c r="N7842" s="17">
        <v>983.79999999983499</v>
      </c>
      <c r="O7842" s="16" t="s">
        <v>6572</v>
      </c>
      <c r="R7842" s="6"/>
      <c r="S7842" s="298"/>
    </row>
    <row r="7843" spans="14:19" hidden="1" x14ac:dyDescent="0.25">
      <c r="N7843" s="17">
        <v>983.89999999983502</v>
      </c>
      <c r="O7843" s="16" t="s">
        <v>6573</v>
      </c>
      <c r="R7843" s="6"/>
      <c r="S7843" s="298"/>
    </row>
    <row r="7844" spans="14:19" hidden="1" x14ac:dyDescent="0.25">
      <c r="N7844" s="17">
        <v>983.99999999983504</v>
      </c>
      <c r="O7844" s="16" t="s">
        <v>6574</v>
      </c>
      <c r="R7844" s="6"/>
      <c r="S7844" s="298"/>
    </row>
    <row r="7845" spans="14:19" hidden="1" x14ac:dyDescent="0.25">
      <c r="N7845" s="17">
        <v>984.09999999983495</v>
      </c>
      <c r="O7845" s="16" t="s">
        <v>6575</v>
      </c>
      <c r="R7845" s="6"/>
      <c r="S7845" s="298"/>
    </row>
    <row r="7846" spans="14:19" hidden="1" x14ac:dyDescent="0.25">
      <c r="N7846" s="17">
        <v>984.19999999983497</v>
      </c>
      <c r="O7846" s="16" t="s">
        <v>6576</v>
      </c>
      <c r="R7846" s="6"/>
      <c r="S7846" s="298"/>
    </row>
    <row r="7847" spans="14:19" hidden="1" x14ac:dyDescent="0.25">
      <c r="N7847" s="17">
        <v>984.29999999983499</v>
      </c>
      <c r="O7847" s="16" t="s">
        <v>6577</v>
      </c>
      <c r="R7847" s="6"/>
      <c r="S7847" s="298"/>
    </row>
    <row r="7848" spans="14:19" hidden="1" x14ac:dyDescent="0.25">
      <c r="N7848" s="17">
        <v>984.39999999983502</v>
      </c>
      <c r="O7848" s="16" t="s">
        <v>6578</v>
      </c>
      <c r="R7848" s="6"/>
      <c r="S7848" s="298"/>
    </row>
    <row r="7849" spans="14:19" hidden="1" x14ac:dyDescent="0.25">
      <c r="N7849" s="17">
        <v>984.49999999983504</v>
      </c>
      <c r="O7849" s="16" t="s">
        <v>6579</v>
      </c>
      <c r="R7849" s="6"/>
      <c r="S7849" s="298"/>
    </row>
    <row r="7850" spans="14:19" hidden="1" x14ac:dyDescent="0.25">
      <c r="N7850" s="17">
        <v>984.59999999983495</v>
      </c>
      <c r="O7850" s="16" t="s">
        <v>6580</v>
      </c>
      <c r="R7850" s="6"/>
      <c r="S7850" s="298"/>
    </row>
    <row r="7851" spans="14:19" hidden="1" x14ac:dyDescent="0.25">
      <c r="N7851" s="17">
        <v>984.69999999983497</v>
      </c>
      <c r="O7851" s="16" t="s">
        <v>6581</v>
      </c>
      <c r="R7851" s="6"/>
      <c r="S7851" s="298"/>
    </row>
    <row r="7852" spans="14:19" hidden="1" x14ac:dyDescent="0.25">
      <c r="N7852" s="17">
        <v>984.79999999983499</v>
      </c>
      <c r="O7852" s="16" t="s">
        <v>6582</v>
      </c>
      <c r="R7852" s="6"/>
      <c r="S7852" s="298"/>
    </row>
    <row r="7853" spans="14:19" hidden="1" x14ac:dyDescent="0.25">
      <c r="N7853" s="17">
        <v>984.89999999983502</v>
      </c>
      <c r="O7853" s="16" t="s">
        <v>6583</v>
      </c>
      <c r="R7853" s="6"/>
      <c r="S7853" s="298"/>
    </row>
    <row r="7854" spans="14:19" hidden="1" x14ac:dyDescent="0.25">
      <c r="N7854" s="17">
        <v>984.99999999983504</v>
      </c>
      <c r="O7854" s="16" t="s">
        <v>6584</v>
      </c>
      <c r="R7854" s="6"/>
      <c r="S7854" s="298"/>
    </row>
    <row r="7855" spans="14:19" hidden="1" x14ac:dyDescent="0.25">
      <c r="N7855" s="17">
        <v>985.09999999983495</v>
      </c>
      <c r="O7855" s="16" t="s">
        <v>6585</v>
      </c>
      <c r="R7855" s="6"/>
      <c r="S7855" s="298"/>
    </row>
    <row r="7856" spans="14:19" hidden="1" x14ac:dyDescent="0.25">
      <c r="N7856" s="17">
        <v>985.19999999983497</v>
      </c>
      <c r="O7856" s="16" t="s">
        <v>6586</v>
      </c>
      <c r="R7856" s="6"/>
      <c r="S7856" s="298"/>
    </row>
    <row r="7857" spans="14:19" hidden="1" x14ac:dyDescent="0.25">
      <c r="N7857" s="17">
        <v>985.29999999983499</v>
      </c>
      <c r="O7857" s="16" t="s">
        <v>6587</v>
      </c>
      <c r="R7857" s="6"/>
      <c r="S7857" s="298"/>
    </row>
    <row r="7858" spans="14:19" hidden="1" x14ac:dyDescent="0.25">
      <c r="N7858" s="17">
        <v>985.39999999983399</v>
      </c>
      <c r="O7858" s="16" t="s">
        <v>6588</v>
      </c>
      <c r="R7858" s="6"/>
      <c r="S7858" s="298"/>
    </row>
    <row r="7859" spans="14:19" hidden="1" x14ac:dyDescent="0.25">
      <c r="N7859" s="17">
        <v>985.49999999983402</v>
      </c>
      <c r="O7859" s="16" t="s">
        <v>6589</v>
      </c>
      <c r="R7859" s="6"/>
      <c r="S7859" s="298"/>
    </row>
    <row r="7860" spans="14:19" hidden="1" x14ac:dyDescent="0.25">
      <c r="N7860" s="17">
        <v>985.59999999983404</v>
      </c>
      <c r="O7860" s="16" t="s">
        <v>8255</v>
      </c>
      <c r="R7860" s="6"/>
      <c r="S7860" s="298"/>
    </row>
    <row r="7861" spans="14:19" hidden="1" x14ac:dyDescent="0.25">
      <c r="N7861" s="17">
        <v>985.69999999983395</v>
      </c>
      <c r="O7861" s="16" t="s">
        <v>7301</v>
      </c>
      <c r="R7861" s="6"/>
      <c r="S7861" s="298"/>
    </row>
    <row r="7862" spans="14:19" hidden="1" x14ac:dyDescent="0.25">
      <c r="N7862" s="17">
        <v>985.79999999983397</v>
      </c>
      <c r="O7862" s="16" t="s">
        <v>7302</v>
      </c>
      <c r="R7862" s="6"/>
      <c r="S7862" s="298"/>
    </row>
    <row r="7863" spans="14:19" hidden="1" x14ac:dyDescent="0.25">
      <c r="N7863" s="17">
        <v>985.89999999983399</v>
      </c>
      <c r="O7863" s="16" t="s">
        <v>7303</v>
      </c>
      <c r="R7863" s="6"/>
      <c r="S7863" s="298"/>
    </row>
    <row r="7864" spans="14:19" hidden="1" x14ac:dyDescent="0.25">
      <c r="N7864" s="17">
        <v>985.99999999983402</v>
      </c>
      <c r="O7864" s="16" t="s">
        <v>7304</v>
      </c>
      <c r="R7864" s="6"/>
      <c r="S7864" s="298"/>
    </row>
    <row r="7865" spans="14:19" hidden="1" x14ac:dyDescent="0.25">
      <c r="N7865" s="17">
        <v>986.09999999983404</v>
      </c>
      <c r="O7865" s="16" t="s">
        <v>6585</v>
      </c>
      <c r="R7865" s="6"/>
      <c r="S7865" s="298"/>
    </row>
    <row r="7866" spans="14:19" hidden="1" x14ac:dyDescent="0.25">
      <c r="N7866" s="17">
        <v>986.19999999983395</v>
      </c>
      <c r="O7866" s="16" t="s">
        <v>6586</v>
      </c>
      <c r="R7866" s="6"/>
      <c r="S7866" s="298"/>
    </row>
    <row r="7867" spans="14:19" hidden="1" x14ac:dyDescent="0.25">
      <c r="N7867" s="17">
        <v>986.29999999983397</v>
      </c>
      <c r="O7867" s="16" t="s">
        <v>6587</v>
      </c>
      <c r="R7867" s="6"/>
      <c r="S7867" s="298"/>
    </row>
    <row r="7868" spans="14:19" hidden="1" x14ac:dyDescent="0.25">
      <c r="N7868" s="17">
        <v>986.39999999983399</v>
      </c>
      <c r="O7868" s="16" t="s">
        <v>6588</v>
      </c>
      <c r="R7868" s="6"/>
      <c r="S7868" s="298"/>
    </row>
    <row r="7869" spans="14:19" hidden="1" x14ac:dyDescent="0.25">
      <c r="N7869" s="17">
        <v>986.49999999983402</v>
      </c>
      <c r="O7869" s="16" t="s">
        <v>6589</v>
      </c>
      <c r="R7869" s="6"/>
      <c r="S7869" s="298"/>
    </row>
    <row r="7870" spans="14:19" hidden="1" x14ac:dyDescent="0.25">
      <c r="N7870" s="17">
        <v>986.59999999983404</v>
      </c>
      <c r="O7870" s="16" t="s">
        <v>8255</v>
      </c>
      <c r="R7870" s="6"/>
      <c r="S7870" s="298"/>
    </row>
    <row r="7871" spans="14:19" hidden="1" x14ac:dyDescent="0.25">
      <c r="N7871" s="17">
        <v>986.69999999983395</v>
      </c>
      <c r="O7871" s="16" t="s">
        <v>7301</v>
      </c>
      <c r="R7871" s="6"/>
      <c r="S7871" s="298"/>
    </row>
    <row r="7872" spans="14:19" hidden="1" x14ac:dyDescent="0.25">
      <c r="N7872" s="17">
        <v>986.79999999983397</v>
      </c>
      <c r="O7872" s="16" t="s">
        <v>7302</v>
      </c>
      <c r="R7872" s="6"/>
      <c r="S7872" s="298"/>
    </row>
    <row r="7873" spans="14:19" hidden="1" x14ac:dyDescent="0.25">
      <c r="N7873" s="17">
        <v>986.89999999983399</v>
      </c>
      <c r="O7873" s="16" t="s">
        <v>7303</v>
      </c>
      <c r="R7873" s="6"/>
      <c r="S7873" s="298"/>
    </row>
    <row r="7874" spans="14:19" hidden="1" x14ac:dyDescent="0.25">
      <c r="N7874" s="17">
        <v>986.99999999983402</v>
      </c>
      <c r="O7874" s="16" t="s">
        <v>7305</v>
      </c>
      <c r="R7874" s="6"/>
      <c r="S7874" s="298"/>
    </row>
    <row r="7875" spans="14:19" hidden="1" x14ac:dyDescent="0.25">
      <c r="N7875" s="17">
        <v>987.09999999983404</v>
      </c>
      <c r="O7875" s="16" t="s">
        <v>8231</v>
      </c>
      <c r="R7875" s="6"/>
      <c r="S7875" s="298"/>
    </row>
    <row r="7876" spans="14:19" hidden="1" x14ac:dyDescent="0.25">
      <c r="N7876" s="17">
        <v>987.19999999983395</v>
      </c>
      <c r="O7876" s="16" t="s">
        <v>8232</v>
      </c>
      <c r="R7876" s="6"/>
      <c r="S7876" s="298"/>
    </row>
    <row r="7877" spans="14:19" hidden="1" x14ac:dyDescent="0.25">
      <c r="N7877" s="17">
        <v>987.29999999983397</v>
      </c>
      <c r="O7877" s="16" t="s">
        <v>8233</v>
      </c>
      <c r="R7877" s="6"/>
      <c r="S7877" s="298"/>
    </row>
    <row r="7878" spans="14:19" hidden="1" x14ac:dyDescent="0.25">
      <c r="N7878" s="17">
        <v>987.39999999983399</v>
      </c>
      <c r="O7878" s="16" t="s">
        <v>8234</v>
      </c>
      <c r="R7878" s="6"/>
      <c r="S7878" s="298"/>
    </row>
    <row r="7879" spans="14:19" hidden="1" x14ac:dyDescent="0.25">
      <c r="N7879" s="17">
        <v>987.49999999983402</v>
      </c>
      <c r="O7879" s="16" t="s">
        <v>8235</v>
      </c>
      <c r="R7879" s="6"/>
      <c r="S7879" s="298"/>
    </row>
    <row r="7880" spans="14:19" hidden="1" x14ac:dyDescent="0.25">
      <c r="N7880" s="17">
        <v>987.59999999983404</v>
      </c>
      <c r="O7880" s="16" t="s">
        <v>8236</v>
      </c>
      <c r="R7880" s="6"/>
      <c r="S7880" s="298"/>
    </row>
    <row r="7881" spans="14:19" hidden="1" x14ac:dyDescent="0.25">
      <c r="N7881" s="17">
        <v>987.69999999983395</v>
      </c>
      <c r="O7881" s="16" t="s">
        <v>8237</v>
      </c>
      <c r="R7881" s="6"/>
      <c r="S7881" s="298"/>
    </row>
    <row r="7882" spans="14:19" hidden="1" x14ac:dyDescent="0.25">
      <c r="N7882" s="17">
        <v>987.79999999983397</v>
      </c>
      <c r="O7882" s="16" t="s">
        <v>8238</v>
      </c>
      <c r="R7882" s="6"/>
      <c r="S7882" s="298"/>
    </row>
    <row r="7883" spans="14:19" hidden="1" x14ac:dyDescent="0.25">
      <c r="N7883" s="17">
        <v>987.89999999983399</v>
      </c>
      <c r="O7883" s="16" t="s">
        <v>7549</v>
      </c>
      <c r="R7883" s="6"/>
      <c r="S7883" s="298"/>
    </row>
    <row r="7884" spans="14:19" hidden="1" x14ac:dyDescent="0.25">
      <c r="N7884" s="17">
        <v>987.99999999983402</v>
      </c>
      <c r="O7884" s="16" t="s">
        <v>7550</v>
      </c>
      <c r="R7884" s="6"/>
      <c r="S7884" s="298"/>
    </row>
    <row r="7885" spans="14:19" hidden="1" x14ac:dyDescent="0.25">
      <c r="N7885" s="17">
        <v>988.09999999983404</v>
      </c>
      <c r="O7885" s="16" t="s">
        <v>7551</v>
      </c>
      <c r="R7885" s="6"/>
      <c r="S7885" s="298"/>
    </row>
    <row r="7886" spans="14:19" hidden="1" x14ac:dyDescent="0.25">
      <c r="N7886" s="17">
        <v>988.19999999983395</v>
      </c>
      <c r="O7886" s="16" t="s">
        <v>7552</v>
      </c>
      <c r="R7886" s="6"/>
      <c r="S7886" s="298"/>
    </row>
    <row r="7887" spans="14:19" hidden="1" x14ac:dyDescent="0.25">
      <c r="N7887" s="17">
        <v>988.29999999983295</v>
      </c>
      <c r="O7887" s="16" t="s">
        <v>7553</v>
      </c>
      <c r="R7887" s="6"/>
      <c r="S7887" s="298"/>
    </row>
    <row r="7888" spans="14:19" hidden="1" x14ac:dyDescent="0.25">
      <c r="N7888" s="17">
        <v>988.39999999983297</v>
      </c>
      <c r="O7888" s="16" t="s">
        <v>7554</v>
      </c>
      <c r="R7888" s="6"/>
      <c r="S7888" s="298"/>
    </row>
    <row r="7889" spans="14:19" hidden="1" x14ac:dyDescent="0.25">
      <c r="N7889" s="17">
        <v>988.49999999983299</v>
      </c>
      <c r="O7889" s="16" t="s">
        <v>7555</v>
      </c>
      <c r="R7889" s="6"/>
      <c r="S7889" s="298"/>
    </row>
    <row r="7890" spans="14:19" hidden="1" x14ac:dyDescent="0.25">
      <c r="N7890" s="17">
        <v>988.59999999983302</v>
      </c>
      <c r="O7890" s="16" t="s">
        <v>7556</v>
      </c>
      <c r="R7890" s="6"/>
      <c r="S7890" s="298"/>
    </row>
    <row r="7891" spans="14:19" hidden="1" x14ac:dyDescent="0.25">
      <c r="N7891" s="17">
        <v>988.69999999983304</v>
      </c>
      <c r="O7891" s="16" t="s">
        <v>7557</v>
      </c>
      <c r="R7891" s="6"/>
      <c r="S7891" s="298"/>
    </row>
    <row r="7892" spans="14:19" hidden="1" x14ac:dyDescent="0.25">
      <c r="N7892" s="17">
        <v>988.79999999983295</v>
      </c>
      <c r="O7892" s="16" t="s">
        <v>7558</v>
      </c>
      <c r="R7892" s="6"/>
      <c r="S7892" s="298"/>
    </row>
    <row r="7893" spans="14:19" hidden="1" x14ac:dyDescent="0.25">
      <c r="N7893" s="17">
        <v>988.89999999983297</v>
      </c>
      <c r="O7893" s="16" t="s">
        <v>7559</v>
      </c>
      <c r="R7893" s="6"/>
      <c r="S7893" s="298"/>
    </row>
    <row r="7894" spans="14:19" hidden="1" x14ac:dyDescent="0.25">
      <c r="N7894" s="17">
        <v>988.99999999983299</v>
      </c>
      <c r="O7894" s="16" t="s">
        <v>7560</v>
      </c>
      <c r="R7894" s="6"/>
      <c r="S7894" s="298"/>
    </row>
    <row r="7895" spans="14:19" hidden="1" x14ac:dyDescent="0.25">
      <c r="N7895" s="17">
        <v>989.09999999983302</v>
      </c>
      <c r="O7895" s="16" t="s">
        <v>7561</v>
      </c>
      <c r="R7895" s="6"/>
      <c r="S7895" s="298"/>
    </row>
    <row r="7896" spans="14:19" hidden="1" x14ac:dyDescent="0.25">
      <c r="N7896" s="17">
        <v>989.19999999983304</v>
      </c>
      <c r="O7896" s="16" t="s">
        <v>7562</v>
      </c>
      <c r="R7896" s="6"/>
      <c r="S7896" s="298"/>
    </row>
    <row r="7897" spans="14:19" hidden="1" x14ac:dyDescent="0.25">
      <c r="N7897" s="17">
        <v>989.29999999983295</v>
      </c>
      <c r="O7897" s="16" t="s">
        <v>7563</v>
      </c>
      <c r="R7897" s="6"/>
      <c r="S7897" s="298"/>
    </row>
    <row r="7898" spans="14:19" hidden="1" x14ac:dyDescent="0.25">
      <c r="N7898" s="17">
        <v>989.39999999983297</v>
      </c>
      <c r="O7898" s="16" t="s">
        <v>7564</v>
      </c>
      <c r="R7898" s="6"/>
      <c r="S7898" s="298"/>
    </row>
    <row r="7899" spans="14:19" hidden="1" x14ac:dyDescent="0.25">
      <c r="N7899" s="17">
        <v>989.49999999983299</v>
      </c>
      <c r="O7899" s="16" t="s">
        <v>7565</v>
      </c>
      <c r="R7899" s="6"/>
      <c r="S7899" s="298"/>
    </row>
    <row r="7900" spans="14:19" hidden="1" x14ac:dyDescent="0.25">
      <c r="N7900" s="17">
        <v>989.59999999983302</v>
      </c>
      <c r="O7900" s="16" t="s">
        <v>7566</v>
      </c>
      <c r="R7900" s="6"/>
      <c r="S7900" s="298"/>
    </row>
    <row r="7901" spans="14:19" hidden="1" x14ac:dyDescent="0.25">
      <c r="N7901" s="17">
        <v>989.69999999983304</v>
      </c>
      <c r="O7901" s="16" t="s">
        <v>7567</v>
      </c>
      <c r="R7901" s="6"/>
      <c r="S7901" s="298"/>
    </row>
    <row r="7902" spans="14:19" hidden="1" x14ac:dyDescent="0.25">
      <c r="N7902" s="17">
        <v>989.79999999983295</v>
      </c>
      <c r="O7902" s="16" t="s">
        <v>7568</v>
      </c>
      <c r="R7902" s="6"/>
      <c r="S7902" s="298"/>
    </row>
    <row r="7903" spans="14:19" hidden="1" x14ac:dyDescent="0.25">
      <c r="N7903" s="17">
        <v>989.89999999983297</v>
      </c>
      <c r="O7903" s="16" t="s">
        <v>7569</v>
      </c>
      <c r="R7903" s="6"/>
      <c r="S7903" s="298"/>
    </row>
    <row r="7904" spans="14:19" hidden="1" x14ac:dyDescent="0.25">
      <c r="N7904" s="17">
        <v>989.99999999983299</v>
      </c>
      <c r="O7904" s="16" t="s">
        <v>7570</v>
      </c>
      <c r="R7904" s="6"/>
      <c r="S7904" s="298"/>
    </row>
    <row r="7905" spans="14:19" hidden="1" x14ac:dyDescent="0.25">
      <c r="N7905" s="17">
        <v>990.09999999983302</v>
      </c>
      <c r="O7905" s="16" t="s">
        <v>7571</v>
      </c>
      <c r="R7905" s="6"/>
      <c r="S7905" s="298"/>
    </row>
    <row r="7906" spans="14:19" hidden="1" x14ac:dyDescent="0.25">
      <c r="N7906" s="17">
        <v>990.19999999983304</v>
      </c>
      <c r="O7906" s="16" t="s">
        <v>7572</v>
      </c>
      <c r="R7906" s="6"/>
      <c r="S7906" s="298"/>
    </row>
    <row r="7907" spans="14:19" hidden="1" x14ac:dyDescent="0.25">
      <c r="N7907" s="17">
        <v>990.29999999983295</v>
      </c>
      <c r="O7907" s="16" t="s">
        <v>7573</v>
      </c>
      <c r="R7907" s="6"/>
      <c r="S7907" s="298"/>
    </row>
    <row r="7908" spans="14:19" hidden="1" x14ac:dyDescent="0.25">
      <c r="N7908" s="17">
        <v>990.39999999983297</v>
      </c>
      <c r="O7908" s="16" t="s">
        <v>7574</v>
      </c>
      <c r="R7908" s="6"/>
      <c r="S7908" s="298"/>
    </row>
    <row r="7909" spans="14:19" hidden="1" x14ac:dyDescent="0.25">
      <c r="N7909" s="17">
        <v>990.49999999983299</v>
      </c>
      <c r="O7909" s="16" t="s">
        <v>7575</v>
      </c>
      <c r="R7909" s="6"/>
      <c r="S7909" s="298"/>
    </row>
    <row r="7910" spans="14:19" hidden="1" x14ac:dyDescent="0.25">
      <c r="N7910" s="17">
        <v>990.59999999983302</v>
      </c>
      <c r="O7910" s="16" t="s">
        <v>7576</v>
      </c>
      <c r="R7910" s="6"/>
      <c r="S7910" s="298"/>
    </row>
    <row r="7911" spans="14:19" hidden="1" x14ac:dyDescent="0.25">
      <c r="N7911" s="17">
        <v>990.69999999983304</v>
      </c>
      <c r="O7911" s="16" t="s">
        <v>7577</v>
      </c>
      <c r="R7911" s="6"/>
      <c r="S7911" s="298"/>
    </row>
    <row r="7912" spans="14:19" hidden="1" x14ac:dyDescent="0.25">
      <c r="N7912" s="17">
        <v>990.79999999983295</v>
      </c>
      <c r="O7912" s="16" t="s">
        <v>7578</v>
      </c>
      <c r="R7912" s="6"/>
      <c r="S7912" s="298"/>
    </row>
    <row r="7913" spans="14:19" hidden="1" x14ac:dyDescent="0.25">
      <c r="N7913" s="17">
        <v>990.89999999983297</v>
      </c>
      <c r="O7913" s="16" t="s">
        <v>7579</v>
      </c>
      <c r="R7913" s="6"/>
      <c r="S7913" s="298"/>
    </row>
    <row r="7914" spans="14:19" hidden="1" x14ac:dyDescent="0.25">
      <c r="N7914" s="17">
        <v>990.99999999983299</v>
      </c>
      <c r="O7914" s="16" t="s">
        <v>7580</v>
      </c>
      <c r="R7914" s="6"/>
      <c r="S7914" s="298"/>
    </row>
    <row r="7915" spans="14:19" hidden="1" x14ac:dyDescent="0.25">
      <c r="N7915" s="17">
        <v>991.09999999983302</v>
      </c>
      <c r="O7915" s="16" t="s">
        <v>7581</v>
      </c>
      <c r="R7915" s="6"/>
      <c r="S7915" s="298"/>
    </row>
    <row r="7916" spans="14:19" hidden="1" x14ac:dyDescent="0.25">
      <c r="N7916" s="17">
        <v>991.19999999983304</v>
      </c>
      <c r="O7916" s="16" t="s">
        <v>7582</v>
      </c>
      <c r="R7916" s="6"/>
      <c r="S7916" s="298"/>
    </row>
    <row r="7917" spans="14:19" hidden="1" x14ac:dyDescent="0.25">
      <c r="N7917" s="17">
        <v>991.29999999983204</v>
      </c>
      <c r="O7917" s="16" t="s">
        <v>7583</v>
      </c>
      <c r="R7917" s="6"/>
      <c r="S7917" s="298"/>
    </row>
    <row r="7918" spans="14:19" hidden="1" x14ac:dyDescent="0.25">
      <c r="N7918" s="17">
        <v>991.39999999983195</v>
      </c>
      <c r="O7918" s="16" t="s">
        <v>7584</v>
      </c>
      <c r="R7918" s="6"/>
      <c r="S7918" s="298"/>
    </row>
    <row r="7919" spans="14:19" hidden="1" x14ac:dyDescent="0.25">
      <c r="N7919" s="17">
        <v>991.49999999983197</v>
      </c>
      <c r="O7919" s="16" t="s">
        <v>7585</v>
      </c>
      <c r="R7919" s="6"/>
      <c r="S7919" s="298"/>
    </row>
    <row r="7920" spans="14:19" hidden="1" x14ac:dyDescent="0.25">
      <c r="N7920" s="17">
        <v>991.59999999983199</v>
      </c>
      <c r="O7920" s="16" t="s">
        <v>7586</v>
      </c>
      <c r="R7920" s="6"/>
      <c r="S7920" s="298"/>
    </row>
    <row r="7921" spans="14:19" hidden="1" x14ac:dyDescent="0.25">
      <c r="N7921" s="17">
        <v>991.69999999983202</v>
      </c>
      <c r="O7921" s="16" t="s">
        <v>7587</v>
      </c>
      <c r="R7921" s="6"/>
      <c r="S7921" s="298"/>
    </row>
    <row r="7922" spans="14:19" hidden="1" x14ac:dyDescent="0.25">
      <c r="N7922" s="17">
        <v>991.79999999983204</v>
      </c>
      <c r="O7922" s="16" t="s">
        <v>5524</v>
      </c>
      <c r="R7922" s="6"/>
      <c r="S7922" s="298"/>
    </row>
    <row r="7923" spans="14:19" hidden="1" x14ac:dyDescent="0.25">
      <c r="N7923" s="17">
        <v>991.89999999983195</v>
      </c>
      <c r="O7923" s="16" t="s">
        <v>5525</v>
      </c>
      <c r="R7923" s="6"/>
      <c r="S7923" s="298"/>
    </row>
    <row r="7924" spans="14:19" hidden="1" x14ac:dyDescent="0.25">
      <c r="N7924" s="17">
        <v>991.99999999983197</v>
      </c>
      <c r="O7924" s="16" t="s">
        <v>5526</v>
      </c>
      <c r="R7924" s="6"/>
      <c r="S7924" s="298"/>
    </row>
    <row r="7925" spans="14:19" hidden="1" x14ac:dyDescent="0.25">
      <c r="N7925" s="17">
        <v>992.09999999983199</v>
      </c>
      <c r="O7925" s="16" t="s">
        <v>5527</v>
      </c>
      <c r="R7925" s="6"/>
      <c r="S7925" s="298"/>
    </row>
    <row r="7926" spans="14:19" hidden="1" x14ac:dyDescent="0.25">
      <c r="N7926" s="17">
        <v>992.19999999983202</v>
      </c>
      <c r="O7926" s="16" t="s">
        <v>5528</v>
      </c>
      <c r="R7926" s="6"/>
      <c r="S7926" s="298"/>
    </row>
    <row r="7927" spans="14:19" hidden="1" x14ac:dyDescent="0.25">
      <c r="N7927" s="17">
        <v>992.29999999983204</v>
      </c>
      <c r="O7927" s="16" t="s">
        <v>5529</v>
      </c>
      <c r="R7927" s="6"/>
      <c r="S7927" s="298"/>
    </row>
    <row r="7928" spans="14:19" hidden="1" x14ac:dyDescent="0.25">
      <c r="N7928" s="17">
        <v>992.39999999983195</v>
      </c>
      <c r="O7928" s="16" t="s">
        <v>5530</v>
      </c>
      <c r="R7928" s="6"/>
      <c r="S7928" s="298"/>
    </row>
    <row r="7929" spans="14:19" hidden="1" x14ac:dyDescent="0.25">
      <c r="N7929" s="17">
        <v>992.49999999983197</v>
      </c>
      <c r="O7929" s="16" t="s">
        <v>5531</v>
      </c>
      <c r="R7929" s="6"/>
      <c r="S7929" s="298"/>
    </row>
    <row r="7930" spans="14:19" hidden="1" x14ac:dyDescent="0.25">
      <c r="N7930" s="17">
        <v>992.59999999983199</v>
      </c>
      <c r="O7930" s="16" t="s">
        <v>5532</v>
      </c>
      <c r="R7930" s="6"/>
      <c r="S7930" s="298"/>
    </row>
    <row r="7931" spans="14:19" hidden="1" x14ac:dyDescent="0.25">
      <c r="N7931" s="17">
        <v>992.69999999983202</v>
      </c>
      <c r="O7931" s="16" t="s">
        <v>5533</v>
      </c>
      <c r="R7931" s="6"/>
      <c r="S7931" s="298"/>
    </row>
    <row r="7932" spans="14:19" hidden="1" x14ac:dyDescent="0.25">
      <c r="N7932" s="17">
        <v>992.79999999983204</v>
      </c>
      <c r="O7932" s="16" t="s">
        <v>5534</v>
      </c>
      <c r="R7932" s="6"/>
      <c r="S7932" s="298"/>
    </row>
    <row r="7933" spans="14:19" hidden="1" x14ac:dyDescent="0.25">
      <c r="N7933" s="17">
        <v>992.89999999983195</v>
      </c>
      <c r="O7933" s="16" t="s">
        <v>5535</v>
      </c>
      <c r="R7933" s="6"/>
      <c r="S7933" s="298"/>
    </row>
    <row r="7934" spans="14:19" hidden="1" x14ac:dyDescent="0.25">
      <c r="N7934" s="17">
        <v>992.99999999983197</v>
      </c>
      <c r="O7934" s="16" t="s">
        <v>5536</v>
      </c>
      <c r="R7934" s="6"/>
      <c r="S7934" s="298"/>
    </row>
    <row r="7935" spans="14:19" hidden="1" x14ac:dyDescent="0.25">
      <c r="N7935" s="17">
        <v>993.09999999983199</v>
      </c>
      <c r="O7935" s="16" t="s">
        <v>5537</v>
      </c>
      <c r="R7935" s="6"/>
      <c r="S7935" s="298"/>
    </row>
    <row r="7936" spans="14:19" hidden="1" x14ac:dyDescent="0.25">
      <c r="N7936" s="17">
        <v>993.19999999983202</v>
      </c>
      <c r="O7936" s="16" t="s">
        <v>5538</v>
      </c>
      <c r="R7936" s="6"/>
      <c r="S7936" s="298"/>
    </row>
    <row r="7937" spans="14:19" hidden="1" x14ac:dyDescent="0.25">
      <c r="N7937" s="17">
        <v>993.29999999983204</v>
      </c>
      <c r="O7937" s="16" t="s">
        <v>5539</v>
      </c>
      <c r="R7937" s="6"/>
      <c r="S7937" s="298"/>
    </row>
    <row r="7938" spans="14:19" hidden="1" x14ac:dyDescent="0.25">
      <c r="N7938" s="17">
        <v>993.39999999983195</v>
      </c>
      <c r="O7938" s="16" t="s">
        <v>5540</v>
      </c>
      <c r="R7938" s="6"/>
      <c r="S7938" s="298"/>
    </row>
    <row r="7939" spans="14:19" hidden="1" x14ac:dyDescent="0.25">
      <c r="N7939" s="17">
        <v>993.49999999983197</v>
      </c>
      <c r="O7939" s="16" t="s">
        <v>5541</v>
      </c>
      <c r="R7939" s="6"/>
      <c r="S7939" s="298"/>
    </row>
    <row r="7940" spans="14:19" hidden="1" x14ac:dyDescent="0.25">
      <c r="N7940" s="17">
        <v>993.59999999983199</v>
      </c>
      <c r="O7940" s="16" t="s">
        <v>5542</v>
      </c>
      <c r="R7940" s="6"/>
      <c r="S7940" s="298"/>
    </row>
    <row r="7941" spans="14:19" hidden="1" x14ac:dyDescent="0.25">
      <c r="N7941" s="17">
        <v>993.69999999983202</v>
      </c>
      <c r="O7941" s="16" t="s">
        <v>5543</v>
      </c>
      <c r="R7941" s="6"/>
      <c r="S7941" s="298"/>
    </row>
    <row r="7942" spans="14:19" hidden="1" x14ac:dyDescent="0.25">
      <c r="N7942" s="17">
        <v>993.79999999983204</v>
      </c>
      <c r="O7942" s="16" t="s">
        <v>5544</v>
      </c>
      <c r="R7942" s="6"/>
      <c r="S7942" s="298"/>
    </row>
    <row r="7943" spans="14:19" hidden="1" x14ac:dyDescent="0.25">
      <c r="N7943" s="17">
        <v>993.89999999983195</v>
      </c>
      <c r="O7943" s="16" t="s">
        <v>5545</v>
      </c>
      <c r="R7943" s="6"/>
      <c r="S7943" s="298"/>
    </row>
    <row r="7944" spans="14:19" hidden="1" x14ac:dyDescent="0.25">
      <c r="N7944" s="17">
        <v>993.99999999983197</v>
      </c>
      <c r="O7944" s="16" t="s">
        <v>5546</v>
      </c>
      <c r="R7944" s="6"/>
      <c r="S7944" s="298"/>
    </row>
    <row r="7945" spans="14:19" hidden="1" x14ac:dyDescent="0.25">
      <c r="N7945" s="17">
        <v>994.09999999983199</v>
      </c>
      <c r="O7945" s="16" t="s">
        <v>5547</v>
      </c>
      <c r="R7945" s="6"/>
      <c r="S7945" s="298"/>
    </row>
    <row r="7946" spans="14:19" hidden="1" x14ac:dyDescent="0.25">
      <c r="N7946" s="17">
        <v>994.19999999983099</v>
      </c>
      <c r="O7946" s="16" t="s">
        <v>5548</v>
      </c>
      <c r="R7946" s="6"/>
      <c r="S7946" s="298"/>
    </row>
    <row r="7947" spans="14:19" hidden="1" x14ac:dyDescent="0.25">
      <c r="N7947" s="17">
        <v>994.29999999983102</v>
      </c>
      <c r="O7947" s="16" t="s">
        <v>5549</v>
      </c>
      <c r="R7947" s="6"/>
      <c r="S7947" s="298"/>
    </row>
    <row r="7948" spans="14:19" hidden="1" x14ac:dyDescent="0.25">
      <c r="N7948" s="17">
        <v>994.39999999983104</v>
      </c>
      <c r="O7948" s="16" t="s">
        <v>5550</v>
      </c>
      <c r="R7948" s="6"/>
      <c r="S7948" s="298"/>
    </row>
    <row r="7949" spans="14:19" hidden="1" x14ac:dyDescent="0.25">
      <c r="N7949" s="17">
        <v>994.49999999983095</v>
      </c>
      <c r="O7949" s="16" t="s">
        <v>5551</v>
      </c>
      <c r="R7949" s="6"/>
      <c r="S7949" s="298"/>
    </row>
    <row r="7950" spans="14:19" hidden="1" x14ac:dyDescent="0.25">
      <c r="N7950" s="17">
        <v>994.59999999983097</v>
      </c>
      <c r="O7950" s="16" t="s">
        <v>5552</v>
      </c>
      <c r="R7950" s="6"/>
      <c r="S7950" s="298"/>
    </row>
    <row r="7951" spans="14:19" hidden="1" x14ac:dyDescent="0.25">
      <c r="N7951" s="17">
        <v>994.69999999983099</v>
      </c>
      <c r="O7951" s="16" t="s">
        <v>5553</v>
      </c>
      <c r="R7951" s="6"/>
      <c r="S7951" s="298"/>
    </row>
    <row r="7952" spans="14:19" hidden="1" x14ac:dyDescent="0.25">
      <c r="N7952" s="17">
        <v>994.79999999983102</v>
      </c>
      <c r="O7952" s="16" t="s">
        <v>5554</v>
      </c>
      <c r="R7952" s="6"/>
      <c r="S7952" s="298"/>
    </row>
    <row r="7953" spans="14:19" hidden="1" x14ac:dyDescent="0.25">
      <c r="N7953" s="17">
        <v>994.89999999983104</v>
      </c>
      <c r="O7953" s="16" t="s">
        <v>5555</v>
      </c>
      <c r="R7953" s="6"/>
      <c r="S7953" s="298"/>
    </row>
    <row r="7954" spans="14:19" hidden="1" x14ac:dyDescent="0.25">
      <c r="N7954" s="17">
        <v>994.99999999983095</v>
      </c>
      <c r="O7954" s="16" t="s">
        <v>5556</v>
      </c>
      <c r="R7954" s="6"/>
      <c r="S7954" s="298"/>
    </row>
    <row r="7955" spans="14:19" hidden="1" x14ac:dyDescent="0.25">
      <c r="N7955" s="17">
        <v>995.09999999983097</v>
      </c>
      <c r="O7955" s="16" t="s">
        <v>8503</v>
      </c>
      <c r="R7955" s="6"/>
      <c r="S7955" s="298"/>
    </row>
    <row r="7956" spans="14:19" hidden="1" x14ac:dyDescent="0.25">
      <c r="N7956" s="17">
        <v>995.19999999983099</v>
      </c>
      <c r="O7956" s="16" t="s">
        <v>8504</v>
      </c>
      <c r="R7956" s="6"/>
      <c r="S7956" s="298"/>
    </row>
    <row r="7957" spans="14:19" hidden="1" x14ac:dyDescent="0.25">
      <c r="N7957" s="17">
        <v>995.29999999983102</v>
      </c>
      <c r="O7957" s="16" t="s">
        <v>8505</v>
      </c>
      <c r="R7957" s="6"/>
      <c r="S7957" s="298"/>
    </row>
    <row r="7958" spans="14:19" hidden="1" x14ac:dyDescent="0.25">
      <c r="N7958" s="17">
        <v>995.39999999983104</v>
      </c>
      <c r="O7958" s="16" t="s">
        <v>8506</v>
      </c>
      <c r="R7958" s="6"/>
      <c r="S7958" s="298"/>
    </row>
    <row r="7959" spans="14:19" hidden="1" x14ac:dyDescent="0.25">
      <c r="N7959" s="17">
        <v>995.49999999983095</v>
      </c>
      <c r="O7959" s="16" t="s">
        <v>8507</v>
      </c>
      <c r="R7959" s="6"/>
      <c r="S7959" s="298"/>
    </row>
    <row r="7960" spans="14:19" hidden="1" x14ac:dyDescent="0.25">
      <c r="N7960" s="17">
        <v>995.59999999983097</v>
      </c>
      <c r="O7960" s="16" t="s">
        <v>8508</v>
      </c>
      <c r="R7960" s="6"/>
      <c r="S7960" s="298"/>
    </row>
    <row r="7961" spans="14:19" hidden="1" x14ac:dyDescent="0.25">
      <c r="N7961" s="17">
        <v>995.69999999983099</v>
      </c>
      <c r="O7961" s="16" t="s">
        <v>8509</v>
      </c>
      <c r="R7961" s="6"/>
      <c r="S7961" s="298"/>
    </row>
    <row r="7962" spans="14:19" hidden="1" x14ac:dyDescent="0.25">
      <c r="N7962" s="17">
        <v>995.79999999983102</v>
      </c>
      <c r="O7962" s="16" t="s">
        <v>8510</v>
      </c>
      <c r="R7962" s="6"/>
      <c r="S7962" s="298"/>
    </row>
    <row r="7963" spans="14:19" hidden="1" x14ac:dyDescent="0.25">
      <c r="N7963" s="17">
        <v>995.89999999983104</v>
      </c>
      <c r="O7963" s="16" t="s">
        <v>8511</v>
      </c>
      <c r="R7963" s="6"/>
      <c r="S7963" s="298"/>
    </row>
    <row r="7964" spans="14:19" hidden="1" x14ac:dyDescent="0.25">
      <c r="N7964" s="17">
        <v>995.99999999983095</v>
      </c>
      <c r="O7964" s="16" t="s">
        <v>8512</v>
      </c>
      <c r="R7964" s="6"/>
      <c r="S7964" s="298"/>
    </row>
    <row r="7965" spans="14:19" hidden="1" x14ac:dyDescent="0.25">
      <c r="N7965" s="17">
        <v>996.09999999983097</v>
      </c>
      <c r="O7965" s="16" t="s">
        <v>8513</v>
      </c>
      <c r="R7965" s="6"/>
      <c r="S7965" s="298"/>
    </row>
    <row r="7966" spans="14:19" hidden="1" x14ac:dyDescent="0.25">
      <c r="N7966" s="17">
        <v>996.19999999983099</v>
      </c>
      <c r="O7966" s="16" t="s">
        <v>8514</v>
      </c>
      <c r="R7966" s="6"/>
      <c r="S7966" s="298"/>
    </row>
    <row r="7967" spans="14:19" hidden="1" x14ac:dyDescent="0.25">
      <c r="N7967" s="17">
        <v>996.29999999983102</v>
      </c>
      <c r="O7967" s="16" t="s">
        <v>8481</v>
      </c>
      <c r="R7967" s="6"/>
      <c r="S7967" s="298"/>
    </row>
    <row r="7968" spans="14:19" hidden="1" x14ac:dyDescent="0.25">
      <c r="N7968" s="17">
        <v>996.39999999983104</v>
      </c>
      <c r="O7968" s="16" t="s">
        <v>8482</v>
      </c>
      <c r="R7968" s="6"/>
      <c r="S7968" s="298"/>
    </row>
    <row r="7969" spans="14:19" hidden="1" x14ac:dyDescent="0.25">
      <c r="N7969" s="17">
        <v>996.49999999983095</v>
      </c>
      <c r="O7969" s="16" t="s">
        <v>8483</v>
      </c>
      <c r="R7969" s="6"/>
      <c r="S7969" s="298"/>
    </row>
    <row r="7970" spans="14:19" hidden="1" x14ac:dyDescent="0.25">
      <c r="N7970" s="17">
        <v>996.59999999983097</v>
      </c>
      <c r="O7970" s="16" t="s">
        <v>8484</v>
      </c>
      <c r="R7970" s="6"/>
      <c r="S7970" s="298"/>
    </row>
    <row r="7971" spans="14:19" hidden="1" x14ac:dyDescent="0.25">
      <c r="N7971" s="17">
        <v>996.69999999983099</v>
      </c>
      <c r="O7971" s="16" t="s">
        <v>8485</v>
      </c>
      <c r="R7971" s="6"/>
      <c r="S7971" s="298"/>
    </row>
    <row r="7972" spans="14:19" hidden="1" x14ac:dyDescent="0.25">
      <c r="N7972" s="17">
        <v>996.79999999983102</v>
      </c>
      <c r="O7972" s="16" t="s">
        <v>8486</v>
      </c>
      <c r="R7972" s="6"/>
      <c r="S7972" s="298"/>
    </row>
    <row r="7973" spans="14:19" hidden="1" x14ac:dyDescent="0.25">
      <c r="N7973" s="17">
        <v>996.89999999983104</v>
      </c>
      <c r="O7973" s="16" t="s">
        <v>8487</v>
      </c>
      <c r="R7973" s="6"/>
      <c r="S7973" s="298"/>
    </row>
    <row r="7974" spans="14:19" hidden="1" x14ac:dyDescent="0.25">
      <c r="N7974" s="17">
        <v>996.99999999983095</v>
      </c>
      <c r="O7974" s="16" t="s">
        <v>8488</v>
      </c>
      <c r="R7974" s="6"/>
      <c r="S7974" s="298"/>
    </row>
    <row r="7975" spans="14:19" hidden="1" x14ac:dyDescent="0.25">
      <c r="N7975" s="17">
        <v>997.09999999982995</v>
      </c>
      <c r="O7975" s="16" t="s">
        <v>4655</v>
      </c>
      <c r="R7975" s="6"/>
      <c r="S7975" s="298"/>
    </row>
    <row r="7976" spans="14:19" hidden="1" x14ac:dyDescent="0.25">
      <c r="N7976" s="17">
        <v>997.19999999982997</v>
      </c>
      <c r="O7976" s="16" t="s">
        <v>4656</v>
      </c>
      <c r="R7976" s="6"/>
      <c r="S7976" s="298"/>
    </row>
    <row r="7977" spans="14:19" hidden="1" x14ac:dyDescent="0.25">
      <c r="N7977" s="17">
        <v>997.29999999982999</v>
      </c>
      <c r="O7977" s="16" t="s">
        <v>4657</v>
      </c>
      <c r="R7977" s="6"/>
      <c r="S7977" s="298"/>
    </row>
    <row r="7978" spans="14:19" hidden="1" x14ac:dyDescent="0.25">
      <c r="N7978" s="17">
        <v>997.39999999983002</v>
      </c>
      <c r="O7978" s="16" t="s">
        <v>4658</v>
      </c>
      <c r="R7978" s="6"/>
      <c r="S7978" s="298"/>
    </row>
    <row r="7979" spans="14:19" hidden="1" x14ac:dyDescent="0.25">
      <c r="N7979" s="17">
        <v>997.49999999983004</v>
      </c>
      <c r="O7979" s="16" t="s">
        <v>4659</v>
      </c>
      <c r="R7979" s="6"/>
      <c r="S7979" s="298"/>
    </row>
    <row r="7980" spans="14:19" hidden="1" x14ac:dyDescent="0.25">
      <c r="N7980" s="17">
        <v>997.59999999982995</v>
      </c>
      <c r="O7980" s="16" t="s">
        <v>3651</v>
      </c>
      <c r="R7980" s="6"/>
      <c r="S7980" s="298"/>
    </row>
    <row r="7981" spans="14:19" hidden="1" x14ac:dyDescent="0.25">
      <c r="N7981" s="17">
        <v>997.69999999982997</v>
      </c>
      <c r="O7981" s="16" t="s">
        <v>3652</v>
      </c>
      <c r="R7981" s="6"/>
      <c r="S7981" s="298"/>
    </row>
    <row r="7982" spans="14:19" hidden="1" x14ac:dyDescent="0.25">
      <c r="N7982" s="17">
        <v>997.79999999982999</v>
      </c>
      <c r="O7982" s="16" t="s">
        <v>3642</v>
      </c>
      <c r="R7982" s="6"/>
      <c r="S7982" s="298"/>
    </row>
    <row r="7983" spans="14:19" hidden="1" x14ac:dyDescent="0.25">
      <c r="N7983" s="17">
        <v>997.89999999983002</v>
      </c>
      <c r="O7983" s="16" t="s">
        <v>3643</v>
      </c>
      <c r="R7983" s="6"/>
      <c r="S7983" s="298"/>
    </row>
    <row r="7984" spans="14:19" hidden="1" x14ac:dyDescent="0.25">
      <c r="N7984" s="17">
        <v>997.99999999983004</v>
      </c>
      <c r="O7984" s="16" t="s">
        <v>3644</v>
      </c>
      <c r="R7984" s="6"/>
      <c r="S7984" s="298"/>
    </row>
    <row r="7985" spans="14:19" hidden="1" x14ac:dyDescent="0.25">
      <c r="N7985" s="17">
        <v>998.09999999982995</v>
      </c>
      <c r="O7985" s="16" t="s">
        <v>3645</v>
      </c>
      <c r="R7985" s="6"/>
      <c r="S7985" s="298"/>
    </row>
    <row r="7986" spans="14:19" hidden="1" x14ac:dyDescent="0.25">
      <c r="N7986" s="17">
        <v>998.19999999982997</v>
      </c>
      <c r="O7986" s="16" t="s">
        <v>3646</v>
      </c>
      <c r="R7986" s="6"/>
      <c r="S7986" s="298"/>
    </row>
    <row r="7987" spans="14:19" hidden="1" x14ac:dyDescent="0.25">
      <c r="N7987" s="17">
        <v>998.29999999982999</v>
      </c>
      <c r="O7987" s="16" t="s">
        <v>3647</v>
      </c>
      <c r="R7987" s="6"/>
      <c r="S7987" s="298"/>
    </row>
    <row r="7988" spans="14:19" hidden="1" x14ac:dyDescent="0.25">
      <c r="N7988" s="17">
        <v>998.39999999983002</v>
      </c>
      <c r="O7988" s="16" t="s">
        <v>3648</v>
      </c>
      <c r="R7988" s="6"/>
      <c r="S7988" s="298"/>
    </row>
    <row r="7989" spans="14:19" hidden="1" x14ac:dyDescent="0.25">
      <c r="N7989" s="17">
        <v>998.49999999983004</v>
      </c>
      <c r="O7989" s="16" t="s">
        <v>3649</v>
      </c>
      <c r="R7989" s="6"/>
      <c r="S7989" s="298"/>
    </row>
    <row r="7990" spans="14:19" hidden="1" x14ac:dyDescent="0.25">
      <c r="N7990" s="17">
        <v>998.59999999982995</v>
      </c>
      <c r="O7990" s="16" t="s">
        <v>3650</v>
      </c>
      <c r="R7990" s="6"/>
      <c r="S7990" s="298"/>
    </row>
    <row r="7991" spans="14:19" hidden="1" x14ac:dyDescent="0.25">
      <c r="N7991" s="17">
        <v>998.69999999982997</v>
      </c>
      <c r="O7991" s="16" t="s">
        <v>5779</v>
      </c>
      <c r="R7991" s="6"/>
      <c r="S7991" s="298"/>
    </row>
    <row r="7992" spans="14:19" hidden="1" x14ac:dyDescent="0.25">
      <c r="N7992" s="17">
        <v>998.79999999982999</v>
      </c>
      <c r="O7992" s="16" t="s">
        <v>5780</v>
      </c>
      <c r="R7992" s="6"/>
      <c r="S7992" s="298"/>
    </row>
    <row r="7993" spans="14:19" hidden="1" x14ac:dyDescent="0.25">
      <c r="N7993" s="17">
        <v>998.89999999983002</v>
      </c>
      <c r="O7993" s="16" t="s">
        <v>5781</v>
      </c>
      <c r="R7993" s="6"/>
      <c r="S7993" s="298"/>
    </row>
    <row r="7994" spans="14:19" hidden="1" x14ac:dyDescent="0.25">
      <c r="N7994" s="17">
        <v>998.99999999983004</v>
      </c>
      <c r="O7994" s="16" t="s">
        <v>5782</v>
      </c>
      <c r="R7994" s="6"/>
      <c r="S7994" s="298"/>
    </row>
    <row r="7995" spans="14:19" hidden="1" x14ac:dyDescent="0.25">
      <c r="N7995" s="17">
        <v>999.09999999982995</v>
      </c>
      <c r="O7995" s="16" t="s">
        <v>5783</v>
      </c>
      <c r="R7995" s="6"/>
      <c r="S7995" s="298"/>
    </row>
    <row r="7996" spans="14:19" hidden="1" x14ac:dyDescent="0.25">
      <c r="N7996" s="17">
        <v>999.19999999982997</v>
      </c>
      <c r="O7996" s="16" t="s">
        <v>5784</v>
      </c>
      <c r="R7996" s="6"/>
      <c r="S7996" s="298"/>
    </row>
    <row r="7997" spans="14:19" hidden="1" x14ac:dyDescent="0.25">
      <c r="N7997" s="17">
        <v>999.29999999982999</v>
      </c>
      <c r="O7997" s="16" t="s">
        <v>5785</v>
      </c>
      <c r="R7997" s="6"/>
      <c r="S7997" s="298"/>
    </row>
    <row r="7998" spans="14:19" hidden="1" x14ac:dyDescent="0.25">
      <c r="N7998" s="17">
        <v>999.39999999983002</v>
      </c>
      <c r="O7998" s="16" t="s">
        <v>5786</v>
      </c>
      <c r="R7998" s="6"/>
      <c r="S7998" s="298"/>
    </row>
    <row r="7999" spans="14:19" hidden="1" x14ac:dyDescent="0.25">
      <c r="N7999" s="17">
        <v>999.49999999983004</v>
      </c>
      <c r="O7999" s="16" t="s">
        <v>5787</v>
      </c>
      <c r="R7999" s="6"/>
      <c r="S7999" s="298"/>
    </row>
    <row r="8000" spans="14:19" hidden="1" x14ac:dyDescent="0.25">
      <c r="N8000" s="17">
        <v>999.59999999982995</v>
      </c>
      <c r="O8000" s="16" t="s">
        <v>5788</v>
      </c>
      <c r="R8000" s="6"/>
      <c r="S8000" s="298"/>
    </row>
    <row r="8001" spans="14:19" hidden="1" x14ac:dyDescent="0.25">
      <c r="N8001" s="17">
        <v>999.69999999982997</v>
      </c>
      <c r="O8001" s="16" t="s">
        <v>7813</v>
      </c>
      <c r="R8001" s="6"/>
      <c r="S8001" s="298"/>
    </row>
    <row r="8002" spans="14:19" hidden="1" x14ac:dyDescent="0.25">
      <c r="N8002" s="17">
        <v>999.79999999982999</v>
      </c>
      <c r="O8002" s="16" t="s">
        <v>7814</v>
      </c>
      <c r="R8002" s="6"/>
      <c r="S8002" s="298"/>
    </row>
    <row r="8003" spans="14:19" hidden="1" x14ac:dyDescent="0.25">
      <c r="N8003" s="17">
        <v>999.89999999983002</v>
      </c>
      <c r="O8003" s="16" t="s">
        <v>7815</v>
      </c>
      <c r="R8003" s="6"/>
      <c r="S8003" s="298"/>
    </row>
    <row r="8004" spans="14:19" hidden="1" x14ac:dyDescent="0.25">
      <c r="N8004" s="17">
        <v>999.99999999983004</v>
      </c>
      <c r="O8004" s="16" t="s">
        <v>7816</v>
      </c>
    </row>
    <row r="8005" spans="14:19" hidden="1" x14ac:dyDescent="0.25">
      <c r="N8005" s="17">
        <v>1000.0999999998299</v>
      </c>
      <c r="O8005" s="16" t="s">
        <v>7817</v>
      </c>
      <c r="R8005" s="6"/>
      <c r="S8005" s="298"/>
    </row>
    <row r="8006" spans="14:19" hidden="1" x14ac:dyDescent="0.25">
      <c r="N8006" s="17">
        <v>1000.19999999983</v>
      </c>
      <c r="O8006" s="16" t="s">
        <v>7818</v>
      </c>
      <c r="R8006" s="6"/>
      <c r="S8006" s="298"/>
    </row>
    <row r="8007" spans="14:19" hidden="1" x14ac:dyDescent="0.25">
      <c r="N8007" s="17">
        <v>1000.29999999983</v>
      </c>
      <c r="O8007" s="16" t="s">
        <v>7819</v>
      </c>
      <c r="R8007" s="6"/>
      <c r="S8007" s="298"/>
    </row>
    <row r="8008" spans="14:19" hidden="1" x14ac:dyDescent="0.25">
      <c r="N8008" s="17">
        <v>1000.39999999983</v>
      </c>
      <c r="O8008" s="16" t="s">
        <v>7820</v>
      </c>
      <c r="R8008" s="6"/>
      <c r="S8008" s="298"/>
    </row>
    <row r="8009" spans="14:19" hidden="1" x14ac:dyDescent="0.25">
      <c r="N8009" s="17">
        <v>1000.49999999983</v>
      </c>
      <c r="O8009" s="16" t="s">
        <v>7821</v>
      </c>
      <c r="R8009" s="6"/>
      <c r="S8009" s="298"/>
    </row>
    <row r="8010" spans="14:19" hidden="1" x14ac:dyDescent="0.25">
      <c r="N8010" s="17">
        <v>1000.5999999998299</v>
      </c>
      <c r="O8010" s="16" t="s">
        <v>7822</v>
      </c>
      <c r="R8010" s="6"/>
      <c r="S8010" s="298"/>
    </row>
    <row r="8011" spans="14:19" hidden="1" x14ac:dyDescent="0.25">
      <c r="N8011" s="17">
        <v>1000.69999999983</v>
      </c>
      <c r="O8011" s="16" t="s">
        <v>7823</v>
      </c>
      <c r="R8011" s="6"/>
      <c r="S8011" s="298"/>
    </row>
    <row r="8012" spans="14:19" hidden="1" x14ac:dyDescent="0.25">
      <c r="N8012" s="17">
        <v>1000.79999999983</v>
      </c>
      <c r="O8012" s="16" t="s">
        <v>7824</v>
      </c>
      <c r="R8012" s="6"/>
      <c r="S8012" s="298"/>
    </row>
    <row r="8013" spans="14:19" hidden="1" x14ac:dyDescent="0.25">
      <c r="N8013" s="17">
        <v>1000.89999999983</v>
      </c>
      <c r="O8013" s="16" t="s">
        <v>7825</v>
      </c>
      <c r="R8013" s="6"/>
      <c r="S8013" s="298"/>
    </row>
    <row r="8014" spans="14:19" hidden="1" x14ac:dyDescent="0.25">
      <c r="N8014" s="17">
        <v>1000.99999999983</v>
      </c>
      <c r="O8014" s="16" t="s">
        <v>7826</v>
      </c>
    </row>
    <row r="8015" spans="14:19" hidden="1" x14ac:dyDescent="0.25">
      <c r="N8015" s="17">
        <v>1001.0999999998299</v>
      </c>
      <c r="O8015" s="16" t="s">
        <v>7827</v>
      </c>
      <c r="R8015" s="6"/>
      <c r="S8015" s="298"/>
    </row>
    <row r="8016" spans="14:19" hidden="1" x14ac:dyDescent="0.25">
      <c r="N8016" s="17">
        <v>1001.19999999983</v>
      </c>
      <c r="O8016" s="16" t="s">
        <v>7828</v>
      </c>
      <c r="R8016" s="6"/>
      <c r="S8016" s="298"/>
    </row>
    <row r="8017" spans="14:19" hidden="1" x14ac:dyDescent="0.25">
      <c r="N8017" s="17">
        <v>1001.29999999983</v>
      </c>
      <c r="O8017" s="16" t="s">
        <v>7829</v>
      </c>
      <c r="R8017" s="6"/>
      <c r="S8017" s="298"/>
    </row>
    <row r="8018" spans="14:19" hidden="1" x14ac:dyDescent="0.25">
      <c r="N8018" s="17">
        <v>1001.39999999983</v>
      </c>
      <c r="O8018" s="16" t="s">
        <v>7830</v>
      </c>
      <c r="R8018" s="6"/>
      <c r="S8018" s="298"/>
    </row>
    <row r="8019" spans="14:19" hidden="1" x14ac:dyDescent="0.25">
      <c r="N8019" s="17">
        <v>1001.49999999983</v>
      </c>
      <c r="O8019" s="16" t="s">
        <v>7831</v>
      </c>
      <c r="R8019" s="6"/>
      <c r="S8019" s="298"/>
    </row>
    <row r="8020" spans="14:19" hidden="1" x14ac:dyDescent="0.25">
      <c r="N8020" s="17">
        <v>1001.5999999998299</v>
      </c>
      <c r="O8020" s="16" t="s">
        <v>7832</v>
      </c>
      <c r="R8020" s="6"/>
      <c r="S8020" s="298"/>
    </row>
    <row r="8021" spans="14:19" hidden="1" x14ac:dyDescent="0.25">
      <c r="N8021" s="17">
        <v>1001.69999999983</v>
      </c>
      <c r="O8021" s="16" t="s">
        <v>7833</v>
      </c>
      <c r="R8021" s="6"/>
      <c r="S8021" s="298"/>
    </row>
    <row r="8022" spans="14:19" hidden="1" x14ac:dyDescent="0.25">
      <c r="N8022" s="17">
        <v>1001.79999999983</v>
      </c>
      <c r="O8022" s="16" t="s">
        <v>7834</v>
      </c>
      <c r="R8022" s="6"/>
      <c r="S8022" s="298"/>
    </row>
    <row r="8023" spans="14:19" hidden="1" x14ac:dyDescent="0.25">
      <c r="N8023" s="17">
        <v>1001.89999999983</v>
      </c>
      <c r="O8023" s="16" t="s">
        <v>7835</v>
      </c>
      <c r="R8023" s="6"/>
      <c r="S8023" s="298"/>
    </row>
    <row r="8024" spans="14:19" hidden="1" x14ac:dyDescent="0.25">
      <c r="N8024" s="17">
        <v>1001.99999999983</v>
      </c>
      <c r="O8024" s="16" t="s">
        <v>7818</v>
      </c>
      <c r="R8024" s="6"/>
      <c r="S8024" s="298"/>
    </row>
    <row r="8025" spans="14:19" hidden="1" x14ac:dyDescent="0.25">
      <c r="N8025" s="17">
        <v>1002.0999999998299</v>
      </c>
      <c r="O8025" s="16" t="s">
        <v>7836</v>
      </c>
      <c r="R8025" s="6"/>
      <c r="S8025" s="298"/>
    </row>
    <row r="8026" spans="14:19" hidden="1" x14ac:dyDescent="0.25">
      <c r="N8026" s="17">
        <v>1002.19999999983</v>
      </c>
      <c r="O8026" s="16" t="s">
        <v>7837</v>
      </c>
      <c r="R8026" s="6"/>
      <c r="S8026" s="298"/>
    </row>
    <row r="8027" spans="14:19" hidden="1" x14ac:dyDescent="0.25">
      <c r="N8027" s="17">
        <v>1002.29999999983</v>
      </c>
      <c r="O8027" s="16" t="s">
        <v>7838</v>
      </c>
      <c r="R8027" s="6"/>
      <c r="S8027" s="298"/>
    </row>
    <row r="8028" spans="14:19" hidden="1" x14ac:dyDescent="0.25">
      <c r="N8028" s="17">
        <v>1002.39999999983</v>
      </c>
      <c r="O8028" s="16" t="s">
        <v>7839</v>
      </c>
      <c r="R8028" s="6"/>
      <c r="S8028" s="298"/>
    </row>
    <row r="8029" spans="14:19" hidden="1" x14ac:dyDescent="0.25">
      <c r="N8029" s="17">
        <v>1002.49999999983</v>
      </c>
      <c r="O8029" s="16" t="s">
        <v>7840</v>
      </c>
      <c r="R8029" s="6"/>
      <c r="S8029" s="298"/>
    </row>
    <row r="8030" spans="14:19" hidden="1" x14ac:dyDescent="0.25">
      <c r="N8030" s="17">
        <v>1002.5999999998299</v>
      </c>
      <c r="O8030" s="16" t="s">
        <v>7841</v>
      </c>
      <c r="R8030" s="6"/>
      <c r="S8030" s="298"/>
    </row>
    <row r="8031" spans="14:19" hidden="1" x14ac:dyDescent="0.25">
      <c r="N8031" s="17">
        <v>1002.69999999983</v>
      </c>
      <c r="O8031" s="16" t="s">
        <v>5799</v>
      </c>
      <c r="R8031" s="6"/>
      <c r="S8031" s="298"/>
    </row>
    <row r="8032" spans="14:19" hidden="1" x14ac:dyDescent="0.25">
      <c r="N8032" s="17">
        <v>1002.79999999983</v>
      </c>
      <c r="O8032" s="16" t="s">
        <v>5800</v>
      </c>
      <c r="R8032" s="6"/>
      <c r="S8032" s="298"/>
    </row>
    <row r="8033" spans="14:19" hidden="1" x14ac:dyDescent="0.25">
      <c r="N8033" s="17">
        <v>1002.89999999983</v>
      </c>
      <c r="O8033" s="16" t="s">
        <v>5801</v>
      </c>
      <c r="R8033" s="6"/>
      <c r="S8033" s="298"/>
    </row>
    <row r="8034" spans="14:19" hidden="1" x14ac:dyDescent="0.25">
      <c r="N8034" s="17">
        <v>1002.99999999983</v>
      </c>
      <c r="O8034" s="16" t="s">
        <v>7819</v>
      </c>
    </row>
    <row r="8035" spans="14:19" hidden="1" x14ac:dyDescent="0.25">
      <c r="N8035" s="17">
        <v>1003.0999999998299</v>
      </c>
      <c r="O8035" s="16" t="s">
        <v>5802</v>
      </c>
      <c r="R8035" s="6"/>
      <c r="S8035" s="298"/>
    </row>
    <row r="8036" spans="14:19" hidden="1" x14ac:dyDescent="0.25">
      <c r="N8036" s="17">
        <v>1003.19999999983</v>
      </c>
      <c r="O8036" s="16" t="s">
        <v>5803</v>
      </c>
      <c r="R8036" s="6"/>
      <c r="S8036" s="298"/>
    </row>
    <row r="8037" spans="14:19" hidden="1" x14ac:dyDescent="0.25">
      <c r="N8037" s="17">
        <v>1003.29999999983</v>
      </c>
      <c r="O8037" s="16" t="s">
        <v>5804</v>
      </c>
      <c r="R8037" s="6"/>
      <c r="S8037" s="298"/>
    </row>
    <row r="8038" spans="14:19" hidden="1" x14ac:dyDescent="0.25">
      <c r="N8038" s="17">
        <v>1003.39999999983</v>
      </c>
      <c r="O8038" s="16" t="s">
        <v>5805</v>
      </c>
      <c r="R8038" s="6"/>
      <c r="S8038" s="298"/>
    </row>
    <row r="8039" spans="14:19" hidden="1" x14ac:dyDescent="0.25">
      <c r="N8039" s="17">
        <v>1003.49999999983</v>
      </c>
      <c r="O8039" s="16" t="s">
        <v>5806</v>
      </c>
      <c r="R8039" s="6"/>
      <c r="S8039" s="298"/>
    </row>
    <row r="8040" spans="14:19" hidden="1" x14ac:dyDescent="0.25">
      <c r="N8040" s="17">
        <v>1003.5999999998299</v>
      </c>
      <c r="O8040" s="16" t="s">
        <v>5807</v>
      </c>
      <c r="R8040" s="6"/>
      <c r="S8040" s="298"/>
    </row>
    <row r="8041" spans="14:19" hidden="1" x14ac:dyDescent="0.25">
      <c r="N8041" s="17">
        <v>1003.69999999983</v>
      </c>
      <c r="O8041" s="16" t="s">
        <v>7845</v>
      </c>
      <c r="R8041" s="6"/>
      <c r="S8041" s="298"/>
    </row>
    <row r="8042" spans="14:19" hidden="1" x14ac:dyDescent="0.25">
      <c r="N8042" s="17">
        <v>1003.79999999983</v>
      </c>
      <c r="O8042" s="16" t="s">
        <v>7846</v>
      </c>
      <c r="R8042" s="6"/>
      <c r="S8042" s="298"/>
    </row>
    <row r="8043" spans="14:19" hidden="1" x14ac:dyDescent="0.25">
      <c r="N8043" s="17">
        <v>1003.89999999983</v>
      </c>
      <c r="O8043" s="16" t="s">
        <v>7847</v>
      </c>
      <c r="R8043" s="6"/>
      <c r="S8043" s="298"/>
    </row>
    <row r="8044" spans="14:19" hidden="1" x14ac:dyDescent="0.25">
      <c r="N8044" s="17">
        <v>1003.99999999983</v>
      </c>
      <c r="O8044" s="16" t="s">
        <v>7820</v>
      </c>
      <c r="R8044" s="6"/>
      <c r="S8044" s="298"/>
    </row>
    <row r="8045" spans="14:19" hidden="1" x14ac:dyDescent="0.25">
      <c r="N8045" s="17">
        <v>1004.0999999998299</v>
      </c>
      <c r="O8045" s="16" t="s">
        <v>6676</v>
      </c>
      <c r="R8045" s="6"/>
      <c r="S8045" s="298"/>
    </row>
    <row r="8046" spans="14:19" hidden="1" x14ac:dyDescent="0.25">
      <c r="N8046" s="17">
        <v>1004.19999999983</v>
      </c>
      <c r="O8046" s="16" t="s">
        <v>6677</v>
      </c>
      <c r="R8046" s="6"/>
      <c r="S8046" s="298"/>
    </row>
    <row r="8047" spans="14:19" hidden="1" x14ac:dyDescent="0.25">
      <c r="N8047" s="17">
        <v>1004.29999999983</v>
      </c>
      <c r="O8047" s="16" t="s">
        <v>6678</v>
      </c>
      <c r="R8047" s="6"/>
      <c r="S8047" s="298"/>
    </row>
    <row r="8048" spans="14:19" hidden="1" x14ac:dyDescent="0.25">
      <c r="N8048" s="17">
        <v>1004.39999999983</v>
      </c>
      <c r="O8048" s="16" t="s">
        <v>6679</v>
      </c>
      <c r="R8048" s="6"/>
      <c r="S8048" s="298"/>
    </row>
    <row r="8049" spans="14:19" hidden="1" x14ac:dyDescent="0.25">
      <c r="N8049" s="17">
        <v>1004.49999999983</v>
      </c>
      <c r="O8049" s="16" t="s">
        <v>6680</v>
      </c>
      <c r="R8049" s="6"/>
      <c r="S8049" s="298"/>
    </row>
    <row r="8050" spans="14:19" hidden="1" x14ac:dyDescent="0.25">
      <c r="N8050" s="17">
        <v>1004.5999999998299</v>
      </c>
      <c r="O8050" s="16" t="s">
        <v>6681</v>
      </c>
      <c r="R8050" s="6"/>
      <c r="S8050" s="298"/>
    </row>
    <row r="8051" spans="14:19" hidden="1" x14ac:dyDescent="0.25">
      <c r="N8051" s="17">
        <v>1004.69999999983</v>
      </c>
      <c r="O8051" s="16" t="s">
        <v>6682</v>
      </c>
      <c r="R8051" s="6"/>
      <c r="S8051" s="298"/>
    </row>
    <row r="8052" spans="14:19" hidden="1" x14ac:dyDescent="0.25">
      <c r="N8052" s="17">
        <v>1004.79999999983</v>
      </c>
      <c r="O8052" s="16" t="s">
        <v>6683</v>
      </c>
      <c r="R8052" s="6"/>
      <c r="S8052" s="298"/>
    </row>
    <row r="8053" spans="14:19" hidden="1" x14ac:dyDescent="0.25">
      <c r="N8053" s="17">
        <v>1004.89999999983</v>
      </c>
      <c r="O8053" s="16" t="s">
        <v>6684</v>
      </c>
      <c r="R8053" s="6"/>
      <c r="S8053" s="298"/>
    </row>
    <row r="8054" spans="14:19" hidden="1" x14ac:dyDescent="0.25">
      <c r="N8054" s="17">
        <v>1004.99999999983</v>
      </c>
      <c r="O8054" s="16" t="s">
        <v>6685</v>
      </c>
      <c r="R8054" s="6"/>
      <c r="S8054" s="298"/>
    </row>
    <row r="8055" spans="14:19" hidden="1" x14ac:dyDescent="0.25">
      <c r="N8055" s="17">
        <v>1005.0999999998299</v>
      </c>
      <c r="O8055" s="16" t="s">
        <v>6686</v>
      </c>
      <c r="R8055" s="6"/>
      <c r="S8055" s="298"/>
    </row>
    <row r="8056" spans="14:19" hidden="1" x14ac:dyDescent="0.25">
      <c r="N8056" s="17">
        <v>1005.19999999983</v>
      </c>
      <c r="O8056" s="16" t="s">
        <v>7661</v>
      </c>
      <c r="R8056" s="6"/>
      <c r="S8056" s="298"/>
    </row>
    <row r="8057" spans="14:19" hidden="1" x14ac:dyDescent="0.25">
      <c r="N8057" s="17">
        <v>1005.29999999983</v>
      </c>
      <c r="O8057" s="16" t="s">
        <v>7662</v>
      </c>
      <c r="R8057" s="6"/>
      <c r="S8057" s="298"/>
    </row>
    <row r="8058" spans="14:19" hidden="1" x14ac:dyDescent="0.25">
      <c r="N8058" s="17">
        <v>1005.39999999983</v>
      </c>
      <c r="O8058" s="16" t="s">
        <v>7663</v>
      </c>
      <c r="R8058" s="6"/>
      <c r="S8058" s="298"/>
    </row>
    <row r="8059" spans="14:19" hidden="1" x14ac:dyDescent="0.25">
      <c r="N8059" s="17">
        <v>1005.49999999983</v>
      </c>
      <c r="O8059" s="16" t="s">
        <v>7664</v>
      </c>
      <c r="R8059" s="6"/>
      <c r="S8059" s="298"/>
    </row>
    <row r="8060" spans="14:19" hidden="1" x14ac:dyDescent="0.25">
      <c r="N8060" s="17">
        <v>1005.5999999998299</v>
      </c>
      <c r="O8060" s="16" t="s">
        <v>7665</v>
      </c>
      <c r="R8060" s="6"/>
      <c r="S8060" s="298"/>
    </row>
    <row r="8061" spans="14:19" hidden="1" x14ac:dyDescent="0.25">
      <c r="N8061" s="17">
        <v>1005.69999999983</v>
      </c>
      <c r="O8061" s="16" t="s">
        <v>7666</v>
      </c>
      <c r="R8061" s="6"/>
      <c r="S8061" s="298"/>
    </row>
    <row r="8062" spans="14:19" hidden="1" x14ac:dyDescent="0.25">
      <c r="N8062" s="17">
        <v>1005.79999999983</v>
      </c>
      <c r="O8062" s="16" t="s">
        <v>7667</v>
      </c>
      <c r="R8062" s="6"/>
      <c r="S8062" s="298"/>
    </row>
    <row r="8063" spans="14:19" hidden="1" x14ac:dyDescent="0.25">
      <c r="N8063" s="17">
        <v>1005.89999999983</v>
      </c>
      <c r="O8063" s="16" t="s">
        <v>7668</v>
      </c>
      <c r="R8063" s="6"/>
      <c r="S8063" s="298"/>
    </row>
    <row r="8064" spans="14:19" hidden="1" x14ac:dyDescent="0.25">
      <c r="N8064" s="17">
        <v>1005.99999999983</v>
      </c>
      <c r="O8064" s="16" t="s">
        <v>7822</v>
      </c>
      <c r="R8064" s="6"/>
      <c r="S8064" s="298"/>
    </row>
    <row r="8065" spans="14:19" hidden="1" x14ac:dyDescent="0.25">
      <c r="N8065" s="17">
        <v>1006.0999999998299</v>
      </c>
      <c r="O8065" s="16" t="s">
        <v>7669</v>
      </c>
      <c r="R8065" s="6"/>
      <c r="S8065" s="298"/>
    </row>
    <row r="8066" spans="14:19" hidden="1" x14ac:dyDescent="0.25">
      <c r="N8066" s="17">
        <v>1006.19999999983</v>
      </c>
      <c r="O8066" s="16" t="s">
        <v>7670</v>
      </c>
      <c r="R8066" s="6"/>
      <c r="S8066" s="298"/>
    </row>
    <row r="8067" spans="14:19" hidden="1" x14ac:dyDescent="0.25">
      <c r="N8067" s="17">
        <v>1006.29999999983</v>
      </c>
      <c r="O8067" s="16" t="s">
        <v>7671</v>
      </c>
      <c r="R8067" s="6"/>
      <c r="S8067" s="298"/>
    </row>
    <row r="8068" spans="14:19" hidden="1" x14ac:dyDescent="0.25">
      <c r="N8068" s="17">
        <v>1006.39999999983</v>
      </c>
      <c r="O8068" s="16" t="s">
        <v>7672</v>
      </c>
      <c r="R8068" s="6"/>
      <c r="S8068" s="298"/>
    </row>
    <row r="8069" spans="14:19" hidden="1" x14ac:dyDescent="0.25">
      <c r="N8069" s="17">
        <v>1006.49999999983</v>
      </c>
      <c r="O8069" s="16" t="s">
        <v>7673</v>
      </c>
      <c r="R8069" s="6"/>
      <c r="S8069" s="298"/>
    </row>
    <row r="8070" spans="14:19" hidden="1" x14ac:dyDescent="0.25">
      <c r="N8070" s="17">
        <v>1006.5999999998299</v>
      </c>
      <c r="O8070" s="16" t="s">
        <v>7674</v>
      </c>
      <c r="R8070" s="6"/>
      <c r="S8070" s="298"/>
    </row>
    <row r="8071" spans="14:19" hidden="1" x14ac:dyDescent="0.25">
      <c r="N8071" s="17">
        <v>1006.69999999983</v>
      </c>
      <c r="O8071" s="16" t="s">
        <v>7675</v>
      </c>
      <c r="R8071" s="6"/>
      <c r="S8071" s="298"/>
    </row>
    <row r="8072" spans="14:19" hidden="1" x14ac:dyDescent="0.25">
      <c r="N8072" s="17">
        <v>1006.79999999983</v>
      </c>
      <c r="O8072" s="16" t="s">
        <v>7676</v>
      </c>
      <c r="R8072" s="6"/>
      <c r="S8072" s="298"/>
    </row>
    <row r="8073" spans="14:19" hidden="1" x14ac:dyDescent="0.25">
      <c r="N8073" s="17">
        <v>1006.89999999983</v>
      </c>
      <c r="O8073" s="16" t="s">
        <v>7677</v>
      </c>
      <c r="R8073" s="6"/>
      <c r="S8073" s="298"/>
    </row>
    <row r="8074" spans="14:19" hidden="1" x14ac:dyDescent="0.25">
      <c r="N8074" s="17">
        <v>1006.99999999983</v>
      </c>
      <c r="O8074" s="16" t="s">
        <v>7823</v>
      </c>
      <c r="R8074" s="6"/>
      <c r="S8074" s="298"/>
    </row>
    <row r="8075" spans="14:19" hidden="1" x14ac:dyDescent="0.25">
      <c r="N8075" s="17">
        <v>1007.0999999998299</v>
      </c>
      <c r="O8075" s="16" t="s">
        <v>7678</v>
      </c>
      <c r="R8075" s="6"/>
      <c r="S8075" s="298"/>
    </row>
    <row r="8076" spans="14:19" hidden="1" x14ac:dyDescent="0.25">
      <c r="N8076" s="17">
        <v>1007.19999999983</v>
      </c>
      <c r="O8076" s="16" t="s">
        <v>7679</v>
      </c>
      <c r="R8076" s="6"/>
      <c r="S8076" s="298"/>
    </row>
    <row r="8077" spans="14:19" hidden="1" x14ac:dyDescent="0.25">
      <c r="N8077" s="17">
        <v>1007.29999999983</v>
      </c>
      <c r="O8077" s="16" t="s">
        <v>7680</v>
      </c>
      <c r="R8077" s="6"/>
      <c r="S8077" s="298"/>
    </row>
    <row r="8078" spans="14:19" hidden="1" x14ac:dyDescent="0.25">
      <c r="N8078" s="17">
        <v>1007.39999999983</v>
      </c>
      <c r="O8078" s="16" t="s">
        <v>7681</v>
      </c>
      <c r="R8078" s="6"/>
      <c r="S8078" s="298"/>
    </row>
    <row r="8079" spans="14:19" hidden="1" x14ac:dyDescent="0.25">
      <c r="N8079" s="17">
        <v>1007.49999999983</v>
      </c>
      <c r="O8079" s="16" t="s">
        <v>7682</v>
      </c>
      <c r="R8079" s="6"/>
      <c r="S8079" s="298"/>
    </row>
    <row r="8080" spans="14:19" hidden="1" x14ac:dyDescent="0.25">
      <c r="N8080" s="17">
        <v>1007.5999999998299</v>
      </c>
      <c r="O8080" s="16" t="s">
        <v>7683</v>
      </c>
      <c r="R8080" s="6"/>
      <c r="S8080" s="298"/>
    </row>
    <row r="8081" spans="14:19" hidden="1" x14ac:dyDescent="0.25">
      <c r="N8081" s="17">
        <v>1007.69999999983</v>
      </c>
      <c r="O8081" s="16" t="s">
        <v>7684</v>
      </c>
      <c r="R8081" s="6"/>
      <c r="S8081" s="298"/>
    </row>
    <row r="8082" spans="14:19" hidden="1" x14ac:dyDescent="0.25">
      <c r="N8082" s="17">
        <v>1007.79999999983</v>
      </c>
      <c r="O8082" s="16" t="s">
        <v>7685</v>
      </c>
      <c r="R8082" s="6"/>
      <c r="S8082" s="298"/>
    </row>
    <row r="8083" spans="14:19" hidden="1" x14ac:dyDescent="0.25">
      <c r="N8083" s="17">
        <v>1007.89999999983</v>
      </c>
      <c r="O8083" s="16" t="s">
        <v>7686</v>
      </c>
      <c r="R8083" s="6"/>
      <c r="S8083" s="298"/>
    </row>
    <row r="8084" spans="14:19" hidden="1" x14ac:dyDescent="0.25">
      <c r="N8084" s="17">
        <v>1007.99999999983</v>
      </c>
      <c r="O8084" s="16" t="s">
        <v>7824</v>
      </c>
    </row>
    <row r="8085" spans="14:19" hidden="1" x14ac:dyDescent="0.25">
      <c r="N8085" s="17">
        <v>1008.0999999998299</v>
      </c>
      <c r="O8085" s="16" t="s">
        <v>7687</v>
      </c>
    </row>
    <row r="8086" spans="14:19" hidden="1" x14ac:dyDescent="0.25">
      <c r="N8086" s="17">
        <v>1008.19999999983</v>
      </c>
      <c r="O8086" s="16" t="s">
        <v>7688</v>
      </c>
    </row>
    <row r="8087" spans="14:19" hidden="1" x14ac:dyDescent="0.25">
      <c r="N8087" s="17">
        <v>1008.29999999983</v>
      </c>
      <c r="O8087" s="16" t="s">
        <v>7689</v>
      </c>
    </row>
    <row r="8088" spans="14:19" hidden="1" x14ac:dyDescent="0.25">
      <c r="N8088" s="17">
        <v>1008.39999999983</v>
      </c>
      <c r="O8088" s="16" t="s">
        <v>7690</v>
      </c>
    </row>
    <row r="8089" spans="14:19" hidden="1" x14ac:dyDescent="0.25">
      <c r="N8089" s="17">
        <v>1008.49999999983</v>
      </c>
      <c r="O8089" s="16" t="s">
        <v>7691</v>
      </c>
    </row>
    <row r="8090" spans="14:19" hidden="1" x14ac:dyDescent="0.25">
      <c r="N8090" s="17">
        <v>1008.5999999998299</v>
      </c>
      <c r="O8090" s="16" t="s">
        <v>7692</v>
      </c>
    </row>
    <row r="8091" spans="14:19" hidden="1" x14ac:dyDescent="0.25">
      <c r="N8091" s="17">
        <v>1008.69999999983</v>
      </c>
      <c r="O8091" s="16" t="s">
        <v>7693</v>
      </c>
    </row>
    <row r="8092" spans="14:19" hidden="1" x14ac:dyDescent="0.25">
      <c r="N8092" s="17">
        <v>1008.79999999983</v>
      </c>
      <c r="O8092" s="16" t="s">
        <v>7694</v>
      </c>
    </row>
    <row r="8093" spans="14:19" hidden="1" x14ac:dyDescent="0.25">
      <c r="N8093" s="17">
        <v>1008.89999999983</v>
      </c>
      <c r="O8093" s="16" t="s">
        <v>7695</v>
      </c>
    </row>
    <row r="8094" spans="14:19" hidden="1" x14ac:dyDescent="0.25">
      <c r="N8094" s="17">
        <v>1008.99999999983</v>
      </c>
      <c r="O8094" s="16" t="s">
        <v>7696</v>
      </c>
      <c r="R8094" s="6"/>
      <c r="S8094" s="298"/>
    </row>
    <row r="8095" spans="14:19" hidden="1" x14ac:dyDescent="0.25">
      <c r="N8095" s="17">
        <v>1009.0999999998299</v>
      </c>
      <c r="O8095" s="16" t="s">
        <v>7697</v>
      </c>
      <c r="R8095" s="6"/>
      <c r="S8095" s="298"/>
    </row>
    <row r="8096" spans="14:19" hidden="1" x14ac:dyDescent="0.25">
      <c r="N8096" s="17">
        <v>1009.19999999983</v>
      </c>
      <c r="O8096" s="16" t="s">
        <v>6723</v>
      </c>
      <c r="R8096" s="6"/>
      <c r="S8096" s="298"/>
    </row>
    <row r="8097" spans="14:19" hidden="1" x14ac:dyDescent="0.25">
      <c r="N8097" s="17">
        <v>1009.29999999983</v>
      </c>
      <c r="O8097" s="16" t="s">
        <v>6724</v>
      </c>
      <c r="R8097" s="6"/>
      <c r="S8097" s="298"/>
    </row>
    <row r="8098" spans="14:19" hidden="1" x14ac:dyDescent="0.25">
      <c r="N8098" s="17">
        <v>1009.39999999983</v>
      </c>
      <c r="O8098" s="16" t="s">
        <v>6725</v>
      </c>
      <c r="R8098" s="6"/>
      <c r="S8098" s="298"/>
    </row>
    <row r="8099" spans="14:19" hidden="1" x14ac:dyDescent="0.25">
      <c r="N8099" s="17">
        <v>1009.49999999983</v>
      </c>
      <c r="O8099" s="16" t="s">
        <v>6726</v>
      </c>
      <c r="R8099" s="6"/>
      <c r="S8099" s="298"/>
    </row>
    <row r="8100" spans="14:19" hidden="1" x14ac:dyDescent="0.25">
      <c r="N8100" s="17">
        <v>1009.5999999998299</v>
      </c>
      <c r="O8100" s="16" t="s">
        <v>6727</v>
      </c>
      <c r="R8100" s="6"/>
      <c r="S8100" s="298"/>
    </row>
    <row r="8101" spans="14:19" hidden="1" x14ac:dyDescent="0.25">
      <c r="N8101" s="17">
        <v>1009.69999999983</v>
      </c>
      <c r="O8101" s="16" t="s">
        <v>6728</v>
      </c>
      <c r="R8101" s="6"/>
      <c r="S8101" s="298"/>
    </row>
    <row r="8102" spans="14:19" hidden="1" x14ac:dyDescent="0.25">
      <c r="N8102" s="17">
        <v>1009.79999999983</v>
      </c>
      <c r="O8102" s="16" t="s">
        <v>6729</v>
      </c>
      <c r="R8102" s="6"/>
      <c r="S8102" s="298"/>
    </row>
    <row r="8103" spans="14:19" hidden="1" x14ac:dyDescent="0.25">
      <c r="N8103" s="17">
        <v>1009.89999999983</v>
      </c>
      <c r="O8103" s="16" t="s">
        <v>6730</v>
      </c>
      <c r="R8103" s="6"/>
      <c r="S8103" s="298"/>
    </row>
    <row r="8104" spans="14:19" hidden="1" x14ac:dyDescent="0.25">
      <c r="N8104" s="17">
        <v>1009.99999999983</v>
      </c>
      <c r="O8104" s="16" t="s">
        <v>6731</v>
      </c>
      <c r="R8104" s="6"/>
      <c r="S8104" s="298"/>
    </row>
    <row r="8105" spans="14:19" hidden="1" x14ac:dyDescent="0.25">
      <c r="N8105" s="17">
        <v>1010.0999999998299</v>
      </c>
      <c r="O8105" s="16" t="s">
        <v>6732</v>
      </c>
      <c r="R8105" s="6"/>
      <c r="S8105" s="298"/>
    </row>
    <row r="8106" spans="14:19" hidden="1" x14ac:dyDescent="0.25">
      <c r="N8106" s="17">
        <v>1010.19999999983</v>
      </c>
      <c r="O8106" s="16" t="s">
        <v>6733</v>
      </c>
      <c r="R8106" s="6"/>
      <c r="S8106" s="298"/>
    </row>
    <row r="8107" spans="14:19" hidden="1" x14ac:dyDescent="0.25">
      <c r="N8107" s="17">
        <v>1010.29999999983</v>
      </c>
      <c r="O8107" s="16" t="s">
        <v>6734</v>
      </c>
      <c r="R8107" s="6"/>
      <c r="S8107" s="298"/>
    </row>
    <row r="8108" spans="14:19" hidden="1" x14ac:dyDescent="0.25">
      <c r="N8108" s="17">
        <v>1010.39999999983</v>
      </c>
      <c r="O8108" s="16" t="s">
        <v>6735</v>
      </c>
      <c r="R8108" s="6"/>
      <c r="S8108" s="298"/>
    </row>
    <row r="8109" spans="14:19" hidden="1" x14ac:dyDescent="0.25">
      <c r="N8109" s="17">
        <v>1010.49999999983</v>
      </c>
      <c r="O8109" s="16" t="s">
        <v>6736</v>
      </c>
      <c r="R8109" s="6"/>
      <c r="S8109" s="298"/>
    </row>
    <row r="8110" spans="14:19" hidden="1" x14ac:dyDescent="0.25">
      <c r="N8110" s="17">
        <v>1010.5999999998299</v>
      </c>
      <c r="O8110" s="16" t="s">
        <v>6737</v>
      </c>
      <c r="R8110" s="6"/>
      <c r="S8110" s="298"/>
    </row>
    <row r="8111" spans="14:19" hidden="1" x14ac:dyDescent="0.25">
      <c r="N8111" s="17">
        <v>1010.69999999983</v>
      </c>
      <c r="O8111" s="16" t="s">
        <v>6738</v>
      </c>
      <c r="R8111" s="6"/>
      <c r="S8111" s="298"/>
    </row>
    <row r="8112" spans="14:19" hidden="1" x14ac:dyDescent="0.25">
      <c r="N8112" s="17">
        <v>1010.79999999983</v>
      </c>
      <c r="O8112" s="16" t="s">
        <v>6739</v>
      </c>
      <c r="R8112" s="6"/>
      <c r="S8112" s="298"/>
    </row>
    <row r="8113" spans="14:19" hidden="1" x14ac:dyDescent="0.25">
      <c r="N8113" s="17">
        <v>1010.89999999983</v>
      </c>
      <c r="O8113" s="16" t="s">
        <v>6740</v>
      </c>
      <c r="R8113" s="6"/>
      <c r="S8113" s="298"/>
    </row>
    <row r="8114" spans="14:19" hidden="1" x14ac:dyDescent="0.25">
      <c r="N8114" s="17">
        <v>1010.99999999983</v>
      </c>
      <c r="O8114" s="16" t="s">
        <v>6741</v>
      </c>
      <c r="R8114" s="6"/>
      <c r="S8114" s="298"/>
    </row>
    <row r="8115" spans="14:19" hidden="1" x14ac:dyDescent="0.25">
      <c r="N8115" s="17">
        <v>1011.0999999998299</v>
      </c>
      <c r="O8115" s="16" t="s">
        <v>6742</v>
      </c>
      <c r="R8115" s="6"/>
      <c r="S8115" s="298"/>
    </row>
    <row r="8116" spans="14:19" hidden="1" x14ac:dyDescent="0.25">
      <c r="N8116" s="17">
        <v>1011.19999999983</v>
      </c>
      <c r="O8116" s="16" t="s">
        <v>6743</v>
      </c>
      <c r="R8116" s="6"/>
      <c r="S8116" s="298"/>
    </row>
    <row r="8117" spans="14:19" hidden="1" x14ac:dyDescent="0.25">
      <c r="N8117" s="17">
        <v>1011.29999999983</v>
      </c>
      <c r="O8117" s="16" t="s">
        <v>6744</v>
      </c>
      <c r="R8117" s="6"/>
      <c r="S8117" s="298"/>
    </row>
    <row r="8118" spans="14:19" hidden="1" x14ac:dyDescent="0.25">
      <c r="N8118" s="17">
        <v>1011.39999999983</v>
      </c>
      <c r="O8118" s="16" t="s">
        <v>3743</v>
      </c>
      <c r="R8118" s="6"/>
      <c r="S8118" s="298"/>
    </row>
    <row r="8119" spans="14:19" hidden="1" x14ac:dyDescent="0.25">
      <c r="N8119" s="17">
        <v>1011.49999999983</v>
      </c>
      <c r="O8119" s="16" t="s">
        <v>3744</v>
      </c>
      <c r="R8119" s="6"/>
      <c r="S8119" s="298"/>
    </row>
    <row r="8120" spans="14:19" hidden="1" x14ac:dyDescent="0.25">
      <c r="N8120" s="17">
        <v>1011.5999999998299</v>
      </c>
      <c r="O8120" s="16" t="s">
        <v>3745</v>
      </c>
      <c r="R8120" s="6"/>
      <c r="S8120" s="298"/>
    </row>
    <row r="8121" spans="14:19" hidden="1" x14ac:dyDescent="0.25">
      <c r="N8121" s="17">
        <v>1011.69999999983</v>
      </c>
      <c r="O8121" s="16" t="s">
        <v>5864</v>
      </c>
      <c r="R8121" s="6"/>
      <c r="S8121" s="298"/>
    </row>
    <row r="8122" spans="14:19" hidden="1" x14ac:dyDescent="0.25">
      <c r="N8122" s="17">
        <v>1011.79999999983</v>
      </c>
      <c r="O8122" s="16" t="s">
        <v>5865</v>
      </c>
      <c r="R8122" s="6"/>
      <c r="S8122" s="298"/>
    </row>
    <row r="8123" spans="14:19" hidden="1" x14ac:dyDescent="0.25">
      <c r="N8123" s="17">
        <v>1011.89999999983</v>
      </c>
      <c r="O8123" s="16" t="s">
        <v>7521</v>
      </c>
      <c r="R8123" s="6"/>
      <c r="S8123" s="298"/>
    </row>
    <row r="8124" spans="14:19" hidden="1" x14ac:dyDescent="0.25">
      <c r="N8124" s="17">
        <v>1011.99999999983</v>
      </c>
      <c r="O8124" s="16" t="s">
        <v>7522</v>
      </c>
      <c r="R8124" s="6"/>
      <c r="S8124" s="298"/>
    </row>
    <row r="8125" spans="14:19" hidden="1" x14ac:dyDescent="0.25">
      <c r="N8125" s="17">
        <v>1012.0999999998299</v>
      </c>
      <c r="O8125" s="16" t="s">
        <v>7523</v>
      </c>
      <c r="R8125" s="6"/>
      <c r="S8125" s="298"/>
    </row>
    <row r="8126" spans="14:19" hidden="1" x14ac:dyDescent="0.25">
      <c r="N8126" s="17">
        <v>1012.19999999982</v>
      </c>
      <c r="O8126" s="16" t="s">
        <v>7524</v>
      </c>
      <c r="R8126" s="6"/>
      <c r="S8126" s="298"/>
    </row>
    <row r="8127" spans="14:19" hidden="1" x14ac:dyDescent="0.25">
      <c r="N8127" s="17">
        <v>1012.29999999982</v>
      </c>
      <c r="O8127" s="16" t="s">
        <v>7525</v>
      </c>
      <c r="R8127" s="6"/>
      <c r="S8127" s="298"/>
    </row>
    <row r="8128" spans="14:19" hidden="1" x14ac:dyDescent="0.25">
      <c r="N8128" s="17">
        <v>1012.39999999983</v>
      </c>
      <c r="O8128" s="16" t="s">
        <v>7526</v>
      </c>
      <c r="R8128" s="6"/>
      <c r="S8128" s="298"/>
    </row>
    <row r="8129" spans="14:19" hidden="1" x14ac:dyDescent="0.25">
      <c r="N8129" s="17">
        <v>1012.49999999983</v>
      </c>
      <c r="O8129" s="16" t="s">
        <v>7527</v>
      </c>
      <c r="R8129" s="6"/>
      <c r="S8129" s="298"/>
    </row>
    <row r="8130" spans="14:19" hidden="1" x14ac:dyDescent="0.25">
      <c r="N8130" s="17">
        <v>1012.5999999998299</v>
      </c>
      <c r="O8130" s="16" t="s">
        <v>7708</v>
      </c>
      <c r="R8130" s="6"/>
      <c r="S8130" s="298"/>
    </row>
    <row r="8131" spans="14:19" hidden="1" x14ac:dyDescent="0.25">
      <c r="N8131" s="17">
        <v>1012.69999999982</v>
      </c>
      <c r="O8131" s="16" t="s">
        <v>7742</v>
      </c>
      <c r="R8131" s="6"/>
      <c r="S8131" s="298"/>
    </row>
    <row r="8132" spans="14:19" hidden="1" x14ac:dyDescent="0.25">
      <c r="N8132" s="17">
        <v>1012.79999999982</v>
      </c>
      <c r="O8132" s="16" t="s">
        <v>7743</v>
      </c>
      <c r="R8132" s="6"/>
      <c r="S8132" s="298"/>
    </row>
    <row r="8133" spans="14:19" hidden="1" x14ac:dyDescent="0.25">
      <c r="N8133" s="17">
        <v>1012.89999999983</v>
      </c>
      <c r="O8133" s="16" t="s">
        <v>7744</v>
      </c>
      <c r="R8133" s="6"/>
      <c r="S8133" s="298"/>
    </row>
    <row r="8134" spans="14:19" hidden="1" x14ac:dyDescent="0.25">
      <c r="N8134" s="17">
        <v>1012.99999999983</v>
      </c>
      <c r="O8134" s="16" t="s">
        <v>7745</v>
      </c>
      <c r="R8134" s="6"/>
      <c r="S8134" s="298"/>
    </row>
    <row r="8135" spans="14:19" hidden="1" x14ac:dyDescent="0.25">
      <c r="N8135" s="17">
        <v>1013.0999999998299</v>
      </c>
      <c r="O8135" s="16" t="s">
        <v>5719</v>
      </c>
      <c r="R8135" s="6"/>
      <c r="S8135" s="298"/>
    </row>
    <row r="8136" spans="14:19" hidden="1" x14ac:dyDescent="0.25">
      <c r="N8136" s="17">
        <v>1013.19999999982</v>
      </c>
      <c r="O8136" s="16" t="s">
        <v>5720</v>
      </c>
      <c r="R8136" s="6"/>
      <c r="S8136" s="298"/>
    </row>
    <row r="8137" spans="14:19" hidden="1" x14ac:dyDescent="0.25">
      <c r="N8137" s="17">
        <v>1013.29999999982</v>
      </c>
      <c r="O8137" s="16" t="s">
        <v>5721</v>
      </c>
      <c r="R8137" s="6"/>
      <c r="S8137" s="298"/>
    </row>
    <row r="8138" spans="14:19" hidden="1" x14ac:dyDescent="0.25">
      <c r="N8138" s="17">
        <v>1013.39999999983</v>
      </c>
      <c r="O8138" s="16" t="s">
        <v>5722</v>
      </c>
      <c r="R8138" s="6"/>
      <c r="S8138" s="298"/>
    </row>
    <row r="8139" spans="14:19" hidden="1" x14ac:dyDescent="0.25">
      <c r="N8139" s="17">
        <v>1013.49999999983</v>
      </c>
      <c r="O8139" s="16" t="s">
        <v>5723</v>
      </c>
      <c r="R8139" s="6"/>
      <c r="S8139" s="298"/>
    </row>
    <row r="8140" spans="14:19" hidden="1" x14ac:dyDescent="0.25">
      <c r="N8140" s="17">
        <v>1013.5999999998299</v>
      </c>
      <c r="O8140" s="16" t="s">
        <v>5724</v>
      </c>
      <c r="R8140" s="6"/>
      <c r="S8140" s="298"/>
    </row>
    <row r="8141" spans="14:19" hidden="1" x14ac:dyDescent="0.25">
      <c r="N8141" s="17">
        <v>1013.69999999982</v>
      </c>
      <c r="O8141" s="16" t="s">
        <v>5725</v>
      </c>
      <c r="R8141" s="6"/>
      <c r="S8141" s="298"/>
    </row>
    <row r="8142" spans="14:19" hidden="1" x14ac:dyDescent="0.25">
      <c r="N8142" s="17">
        <v>1013.79999999982</v>
      </c>
      <c r="O8142" s="16" t="s">
        <v>5726</v>
      </c>
      <c r="R8142" s="6"/>
      <c r="S8142" s="298"/>
    </row>
    <row r="8143" spans="14:19" hidden="1" x14ac:dyDescent="0.25">
      <c r="N8143" s="17">
        <v>1013.89999999983</v>
      </c>
      <c r="O8143" s="16" t="s">
        <v>5727</v>
      </c>
      <c r="R8143" s="6"/>
      <c r="S8143" s="298"/>
    </row>
    <row r="8144" spans="14:19" hidden="1" x14ac:dyDescent="0.25">
      <c r="N8144" s="17">
        <v>1013.99999999983</v>
      </c>
      <c r="O8144" s="16" t="s">
        <v>5728</v>
      </c>
      <c r="R8144" s="6"/>
      <c r="S8144" s="298"/>
    </row>
    <row r="8145" spans="14:19" hidden="1" x14ac:dyDescent="0.25">
      <c r="N8145" s="17">
        <v>1014.0999999998299</v>
      </c>
      <c r="O8145" s="16" t="s">
        <v>5729</v>
      </c>
      <c r="R8145" s="6"/>
      <c r="S8145" s="298"/>
    </row>
    <row r="8146" spans="14:19" hidden="1" x14ac:dyDescent="0.25">
      <c r="N8146" s="17">
        <v>1014.19999999982</v>
      </c>
      <c r="O8146" s="16" t="s">
        <v>5730</v>
      </c>
      <c r="R8146" s="6"/>
      <c r="S8146" s="298"/>
    </row>
    <row r="8147" spans="14:19" hidden="1" x14ac:dyDescent="0.25">
      <c r="N8147" s="17">
        <v>1014.29999999982</v>
      </c>
      <c r="O8147" s="16" t="s">
        <v>5731</v>
      </c>
      <c r="R8147" s="6"/>
      <c r="S8147" s="298"/>
    </row>
    <row r="8148" spans="14:19" hidden="1" x14ac:dyDescent="0.25">
      <c r="N8148" s="17">
        <v>1014.39999999983</v>
      </c>
      <c r="O8148" s="16" t="s">
        <v>5732</v>
      </c>
      <c r="R8148" s="6"/>
      <c r="S8148" s="298"/>
    </row>
    <row r="8149" spans="14:19" hidden="1" x14ac:dyDescent="0.25">
      <c r="N8149" s="17">
        <v>1014.49999999983</v>
      </c>
      <c r="O8149" s="16" t="s">
        <v>5733</v>
      </c>
      <c r="R8149" s="6"/>
      <c r="S8149" s="298"/>
    </row>
    <row r="8150" spans="14:19" hidden="1" x14ac:dyDescent="0.25">
      <c r="N8150" s="17">
        <v>1014.5999999998201</v>
      </c>
      <c r="O8150" s="16" t="s">
        <v>5734</v>
      </c>
      <c r="R8150" s="6"/>
      <c r="S8150" s="298"/>
    </row>
    <row r="8151" spans="14:19" hidden="1" x14ac:dyDescent="0.25">
      <c r="N8151" s="17">
        <v>1014.69999999982</v>
      </c>
      <c r="O8151" s="16" t="s">
        <v>5735</v>
      </c>
      <c r="R8151" s="6"/>
      <c r="S8151" s="298"/>
    </row>
    <row r="8152" spans="14:19" hidden="1" x14ac:dyDescent="0.25">
      <c r="N8152" s="17">
        <v>1014.79999999982</v>
      </c>
      <c r="O8152" s="16" t="s">
        <v>5736</v>
      </c>
      <c r="R8152" s="6"/>
      <c r="S8152" s="298"/>
    </row>
    <row r="8153" spans="14:19" hidden="1" x14ac:dyDescent="0.25">
      <c r="N8153" s="17">
        <v>1014.89999999982</v>
      </c>
      <c r="O8153" s="16" t="s">
        <v>5737</v>
      </c>
      <c r="R8153" s="6"/>
      <c r="S8153" s="298"/>
    </row>
    <row r="8154" spans="14:19" hidden="1" x14ac:dyDescent="0.25">
      <c r="N8154" s="17">
        <v>1014.99999999982</v>
      </c>
      <c r="O8154" s="16" t="s">
        <v>5738</v>
      </c>
      <c r="R8154" s="6"/>
      <c r="S8154" s="298"/>
    </row>
    <row r="8155" spans="14:19" hidden="1" x14ac:dyDescent="0.25">
      <c r="N8155" s="17">
        <v>1015.0999999998201</v>
      </c>
      <c r="O8155" s="16" t="s">
        <v>5739</v>
      </c>
      <c r="R8155" s="6"/>
      <c r="S8155" s="298"/>
    </row>
    <row r="8156" spans="14:19" hidden="1" x14ac:dyDescent="0.25">
      <c r="N8156" s="17">
        <v>1015.19999999982</v>
      </c>
      <c r="O8156" s="16" t="s">
        <v>5740</v>
      </c>
      <c r="R8156" s="6"/>
      <c r="S8156" s="298"/>
    </row>
    <row r="8157" spans="14:19" hidden="1" x14ac:dyDescent="0.25">
      <c r="N8157" s="17">
        <v>1015.29999999982</v>
      </c>
      <c r="O8157" s="16" t="s">
        <v>5741</v>
      </c>
      <c r="R8157" s="6"/>
      <c r="S8157" s="298"/>
    </row>
    <row r="8158" spans="14:19" hidden="1" x14ac:dyDescent="0.25">
      <c r="N8158" s="17">
        <v>1015.39999999982</v>
      </c>
      <c r="O8158" s="16" t="s">
        <v>5742</v>
      </c>
      <c r="R8158" s="6"/>
      <c r="S8158" s="298"/>
    </row>
    <row r="8159" spans="14:19" hidden="1" x14ac:dyDescent="0.25">
      <c r="N8159" s="17">
        <v>1015.49999999982</v>
      </c>
      <c r="O8159" s="16" t="s">
        <v>5743</v>
      </c>
      <c r="R8159" s="6"/>
      <c r="S8159" s="298"/>
    </row>
    <row r="8160" spans="14:19" hidden="1" x14ac:dyDescent="0.25">
      <c r="N8160" s="17">
        <v>1015.5999999998201</v>
      </c>
      <c r="O8160" s="16" t="s">
        <v>5744</v>
      </c>
      <c r="R8160" s="6"/>
      <c r="S8160" s="298"/>
    </row>
    <row r="8161" spans="14:19" hidden="1" x14ac:dyDescent="0.25">
      <c r="N8161" s="17">
        <v>1015.69999999982</v>
      </c>
      <c r="O8161" s="16" t="s">
        <v>5745</v>
      </c>
      <c r="R8161" s="6"/>
      <c r="S8161" s="298"/>
    </row>
    <row r="8162" spans="14:19" hidden="1" x14ac:dyDescent="0.25">
      <c r="N8162" s="17">
        <v>1015.79999999982</v>
      </c>
      <c r="O8162" s="16" t="s">
        <v>5746</v>
      </c>
      <c r="R8162" s="6"/>
      <c r="S8162" s="298"/>
    </row>
    <row r="8163" spans="14:19" hidden="1" x14ac:dyDescent="0.25">
      <c r="N8163" s="17">
        <v>1015.89999999982</v>
      </c>
      <c r="O8163" s="16" t="s">
        <v>5747</v>
      </c>
      <c r="R8163" s="6"/>
      <c r="S8163" s="298"/>
    </row>
    <row r="8164" spans="14:19" hidden="1" x14ac:dyDescent="0.25">
      <c r="N8164" s="17">
        <v>1015.99999999982</v>
      </c>
      <c r="O8164" s="16" t="s">
        <v>5748</v>
      </c>
      <c r="R8164" s="6"/>
      <c r="S8164" s="298"/>
    </row>
    <row r="8165" spans="14:19" hidden="1" x14ac:dyDescent="0.25">
      <c r="N8165" s="17">
        <v>1016.0999999998201</v>
      </c>
      <c r="O8165" s="16" t="s">
        <v>5749</v>
      </c>
      <c r="R8165" s="6"/>
      <c r="S8165" s="298"/>
    </row>
    <row r="8166" spans="14:19" hidden="1" x14ac:dyDescent="0.25">
      <c r="N8166" s="17">
        <v>1016.19999999982</v>
      </c>
      <c r="O8166" s="16" t="s">
        <v>5750</v>
      </c>
      <c r="R8166" s="6"/>
      <c r="S8166" s="298"/>
    </row>
    <row r="8167" spans="14:19" hidden="1" x14ac:dyDescent="0.25">
      <c r="N8167" s="17">
        <v>1016.29999999982</v>
      </c>
      <c r="O8167" s="16" t="s">
        <v>5751</v>
      </c>
      <c r="R8167" s="6"/>
      <c r="S8167" s="298"/>
    </row>
    <row r="8168" spans="14:19" hidden="1" x14ac:dyDescent="0.25">
      <c r="N8168" s="17">
        <v>1016.39999999982</v>
      </c>
      <c r="O8168" s="16" t="s">
        <v>5752</v>
      </c>
      <c r="R8168" s="6"/>
      <c r="S8168" s="298"/>
    </row>
    <row r="8169" spans="14:19" hidden="1" x14ac:dyDescent="0.25">
      <c r="N8169" s="17">
        <v>1016.49999999982</v>
      </c>
      <c r="O8169" s="16" t="s">
        <v>5753</v>
      </c>
      <c r="R8169" s="6"/>
      <c r="S8169" s="298"/>
    </row>
    <row r="8170" spans="14:19" hidden="1" x14ac:dyDescent="0.25">
      <c r="N8170" s="17">
        <v>1016.5999999998201</v>
      </c>
      <c r="O8170" s="16" t="s">
        <v>5754</v>
      </c>
      <c r="R8170" s="6"/>
      <c r="S8170" s="298"/>
    </row>
    <row r="8171" spans="14:19" hidden="1" x14ac:dyDescent="0.25">
      <c r="N8171" s="17">
        <v>1016.69999999982</v>
      </c>
      <c r="O8171" s="16" t="s">
        <v>5755</v>
      </c>
      <c r="R8171" s="6"/>
      <c r="S8171" s="298"/>
    </row>
    <row r="8172" spans="14:19" hidden="1" x14ac:dyDescent="0.25">
      <c r="N8172" s="17">
        <v>1016.79999999982</v>
      </c>
      <c r="O8172" s="16" t="s">
        <v>5756</v>
      </c>
      <c r="R8172" s="6"/>
      <c r="S8172" s="298"/>
    </row>
    <row r="8173" spans="14:19" hidden="1" x14ac:dyDescent="0.25">
      <c r="N8173" s="17">
        <v>1016.89999999982</v>
      </c>
      <c r="O8173" s="16" t="s">
        <v>5757</v>
      </c>
      <c r="R8173" s="6"/>
      <c r="S8173" s="298"/>
    </row>
    <row r="8174" spans="14:19" hidden="1" x14ac:dyDescent="0.25">
      <c r="N8174" s="17">
        <v>1016.99999999982</v>
      </c>
      <c r="O8174" s="16" t="s">
        <v>5758</v>
      </c>
      <c r="R8174" s="6"/>
      <c r="S8174" s="298"/>
    </row>
    <row r="8175" spans="14:19" hidden="1" x14ac:dyDescent="0.25">
      <c r="N8175" s="17">
        <v>1017.0999999998201</v>
      </c>
      <c r="O8175" s="16" t="s">
        <v>5759</v>
      </c>
      <c r="R8175" s="6"/>
      <c r="S8175" s="298"/>
    </row>
    <row r="8176" spans="14:19" hidden="1" x14ac:dyDescent="0.25">
      <c r="N8176" s="17">
        <v>1017.19999999982</v>
      </c>
      <c r="O8176" s="16" t="s">
        <v>5760</v>
      </c>
      <c r="R8176" s="6"/>
      <c r="S8176" s="298"/>
    </row>
    <row r="8177" spans="14:19" hidden="1" x14ac:dyDescent="0.25">
      <c r="N8177" s="17">
        <v>1017.29999999982</v>
      </c>
      <c r="O8177" s="16" t="s">
        <v>5761</v>
      </c>
      <c r="R8177" s="6"/>
      <c r="S8177" s="298"/>
    </row>
    <row r="8178" spans="14:19" hidden="1" x14ac:dyDescent="0.25">
      <c r="N8178" s="17">
        <v>1017.39999999982</v>
      </c>
      <c r="O8178" s="16" t="s">
        <v>5762</v>
      </c>
      <c r="R8178" s="6"/>
      <c r="S8178" s="298"/>
    </row>
    <row r="8179" spans="14:19" hidden="1" x14ac:dyDescent="0.25">
      <c r="N8179" s="17">
        <v>1017.49999999982</v>
      </c>
      <c r="O8179" s="16" t="s">
        <v>5763</v>
      </c>
      <c r="R8179" s="6"/>
      <c r="S8179" s="298"/>
    </row>
    <row r="8180" spans="14:19" hidden="1" x14ac:dyDescent="0.25">
      <c r="N8180" s="17">
        <v>1017.5999999998201</v>
      </c>
      <c r="O8180" s="16" t="s">
        <v>5764</v>
      </c>
      <c r="R8180" s="6"/>
      <c r="S8180" s="298"/>
    </row>
    <row r="8181" spans="14:19" hidden="1" x14ac:dyDescent="0.25">
      <c r="N8181" s="17">
        <v>1017.69999999982</v>
      </c>
      <c r="O8181" s="16" t="s">
        <v>5765</v>
      </c>
      <c r="R8181" s="6"/>
      <c r="S8181" s="298"/>
    </row>
    <row r="8182" spans="14:19" hidden="1" x14ac:dyDescent="0.25">
      <c r="N8182" s="17">
        <v>1017.79999999982</v>
      </c>
      <c r="O8182" s="16" t="s">
        <v>5766</v>
      </c>
      <c r="R8182" s="6"/>
      <c r="S8182" s="298"/>
    </row>
    <row r="8183" spans="14:19" hidden="1" x14ac:dyDescent="0.25">
      <c r="N8183" s="17">
        <v>1017.89999999982</v>
      </c>
      <c r="O8183" s="16" t="s">
        <v>5767</v>
      </c>
      <c r="R8183" s="6"/>
      <c r="S8183" s="298"/>
    </row>
    <row r="8184" spans="14:19" hidden="1" x14ac:dyDescent="0.25">
      <c r="N8184" s="17">
        <v>1017.99999999982</v>
      </c>
      <c r="O8184" s="16" t="s">
        <v>5768</v>
      </c>
      <c r="R8184" s="6"/>
      <c r="S8184" s="298"/>
    </row>
    <row r="8185" spans="14:19" hidden="1" x14ac:dyDescent="0.25">
      <c r="N8185" s="17">
        <v>1018.0999999998201</v>
      </c>
      <c r="O8185" s="16" t="s">
        <v>5769</v>
      </c>
      <c r="R8185" s="6"/>
      <c r="S8185" s="298"/>
    </row>
    <row r="8186" spans="14:19" hidden="1" x14ac:dyDescent="0.25">
      <c r="N8186" s="17">
        <v>1018.19999999982</v>
      </c>
      <c r="O8186" s="16" t="s">
        <v>5770</v>
      </c>
      <c r="R8186" s="6"/>
      <c r="S8186" s="298"/>
    </row>
    <row r="8187" spans="14:19" hidden="1" x14ac:dyDescent="0.25">
      <c r="N8187" s="17">
        <v>1018.29999999982</v>
      </c>
      <c r="O8187" s="16" t="s">
        <v>5771</v>
      </c>
      <c r="R8187" s="6"/>
      <c r="S8187" s="298"/>
    </row>
    <row r="8188" spans="14:19" hidden="1" x14ac:dyDescent="0.25">
      <c r="N8188" s="17">
        <v>1018.39999999982</v>
      </c>
      <c r="O8188" s="16" t="s">
        <v>5772</v>
      </c>
      <c r="R8188" s="6"/>
      <c r="S8188" s="298"/>
    </row>
    <row r="8189" spans="14:19" hidden="1" x14ac:dyDescent="0.25">
      <c r="N8189" s="17">
        <v>1018.49999999982</v>
      </c>
      <c r="O8189" s="16" t="s">
        <v>5773</v>
      </c>
      <c r="R8189" s="6"/>
      <c r="S8189" s="298"/>
    </row>
    <row r="8190" spans="14:19" hidden="1" x14ac:dyDescent="0.25">
      <c r="N8190" s="17">
        <v>1018.5999999998201</v>
      </c>
      <c r="O8190" s="16" t="s">
        <v>5774</v>
      </c>
      <c r="R8190" s="6"/>
      <c r="S8190" s="298"/>
    </row>
    <row r="8191" spans="14:19" hidden="1" x14ac:dyDescent="0.25">
      <c r="N8191" s="17">
        <v>1018.69999999982</v>
      </c>
      <c r="O8191" s="16" t="s">
        <v>5775</v>
      </c>
      <c r="R8191" s="6"/>
      <c r="S8191" s="298"/>
    </row>
    <row r="8192" spans="14:19" hidden="1" x14ac:dyDescent="0.25">
      <c r="N8192" s="17">
        <v>1018.79999999982</v>
      </c>
      <c r="O8192" s="16" t="s">
        <v>5776</v>
      </c>
      <c r="R8192" s="6"/>
      <c r="S8192" s="298"/>
    </row>
    <row r="8193" spans="14:19" hidden="1" x14ac:dyDescent="0.25">
      <c r="N8193" s="17">
        <v>1018.89999999982</v>
      </c>
      <c r="O8193" s="16" t="s">
        <v>5777</v>
      </c>
      <c r="R8193" s="6"/>
      <c r="S8193" s="298"/>
    </row>
    <row r="8194" spans="14:19" hidden="1" x14ac:dyDescent="0.25">
      <c r="N8194" s="17">
        <v>1018.99999999982</v>
      </c>
      <c r="O8194" s="16" t="s">
        <v>5778</v>
      </c>
      <c r="R8194" s="6"/>
      <c r="S8194" s="298"/>
    </row>
    <row r="8195" spans="14:19" hidden="1" x14ac:dyDescent="0.25">
      <c r="N8195" s="17">
        <v>1019.0999999998201</v>
      </c>
      <c r="O8195" s="16" t="s">
        <v>7791</v>
      </c>
      <c r="R8195" s="6"/>
      <c r="S8195" s="298"/>
    </row>
    <row r="8196" spans="14:19" hidden="1" x14ac:dyDescent="0.25">
      <c r="N8196" s="17">
        <v>1019.19999999982</v>
      </c>
      <c r="O8196" s="16" t="s">
        <v>7792</v>
      </c>
      <c r="R8196" s="6"/>
      <c r="S8196" s="298"/>
    </row>
    <row r="8197" spans="14:19" hidden="1" x14ac:dyDescent="0.25">
      <c r="N8197" s="17">
        <v>1019.29999999982</v>
      </c>
      <c r="O8197" s="16" t="s">
        <v>7793</v>
      </c>
      <c r="R8197" s="6"/>
      <c r="S8197" s="298"/>
    </row>
    <row r="8198" spans="14:19" hidden="1" x14ac:dyDescent="0.25">
      <c r="N8198" s="17">
        <v>1019.39999999982</v>
      </c>
      <c r="O8198" s="16" t="s">
        <v>7794</v>
      </c>
      <c r="R8198" s="6"/>
      <c r="S8198" s="298"/>
    </row>
    <row r="8199" spans="14:19" hidden="1" x14ac:dyDescent="0.25">
      <c r="N8199" s="17">
        <v>1019.49999999982</v>
      </c>
      <c r="O8199" s="16" t="s">
        <v>7795</v>
      </c>
      <c r="R8199" s="6"/>
      <c r="S8199" s="298"/>
    </row>
    <row r="8200" spans="14:19" hidden="1" x14ac:dyDescent="0.25">
      <c r="N8200" s="17">
        <v>1019.5999999998201</v>
      </c>
      <c r="O8200" s="16" t="s">
        <v>7796</v>
      </c>
      <c r="R8200" s="6"/>
      <c r="S8200" s="298"/>
    </row>
    <row r="8201" spans="14:19" hidden="1" x14ac:dyDescent="0.25">
      <c r="N8201" s="17">
        <v>1019.69999999982</v>
      </c>
      <c r="O8201" s="16" t="s">
        <v>7797</v>
      </c>
      <c r="R8201" s="6"/>
      <c r="S8201" s="298"/>
    </row>
    <row r="8202" spans="14:19" hidden="1" x14ac:dyDescent="0.25">
      <c r="N8202" s="17">
        <v>1019.79999999982</v>
      </c>
      <c r="O8202" s="16" t="s">
        <v>7798</v>
      </c>
      <c r="R8202" s="6"/>
      <c r="S8202" s="298"/>
    </row>
    <row r="8203" spans="14:19" hidden="1" x14ac:dyDescent="0.25">
      <c r="N8203" s="17">
        <v>1019.89999999982</v>
      </c>
      <c r="O8203" s="16" t="s">
        <v>7799</v>
      </c>
      <c r="R8203" s="6"/>
      <c r="S8203" s="298"/>
    </row>
    <row r="8204" spans="14:19" hidden="1" x14ac:dyDescent="0.25">
      <c r="N8204" s="17">
        <v>1019.99999999982</v>
      </c>
      <c r="O8204" s="16" t="s">
        <v>7800</v>
      </c>
      <c r="R8204" s="6"/>
      <c r="S8204" s="298"/>
    </row>
    <row r="8205" spans="14:19" hidden="1" x14ac:dyDescent="0.25">
      <c r="N8205" s="17">
        <v>1020.0999999998201</v>
      </c>
      <c r="O8205" s="16" t="s">
        <v>7801</v>
      </c>
      <c r="R8205" s="6"/>
      <c r="S8205" s="298"/>
    </row>
    <row r="8206" spans="14:19" hidden="1" x14ac:dyDescent="0.25">
      <c r="N8206" s="17">
        <v>1020.19999999982</v>
      </c>
      <c r="O8206" s="16" t="s">
        <v>7802</v>
      </c>
      <c r="R8206" s="6"/>
      <c r="S8206" s="298"/>
    </row>
    <row r="8207" spans="14:19" hidden="1" x14ac:dyDescent="0.25">
      <c r="N8207" s="17">
        <v>1020.29999999982</v>
      </c>
      <c r="O8207" s="16" t="s">
        <v>7803</v>
      </c>
      <c r="R8207" s="6"/>
      <c r="S8207" s="298"/>
    </row>
    <row r="8208" spans="14:19" hidden="1" x14ac:dyDescent="0.25">
      <c r="N8208" s="17">
        <v>1020.39999999982</v>
      </c>
      <c r="O8208" s="16" t="s">
        <v>7804</v>
      </c>
      <c r="R8208" s="6"/>
      <c r="S8208" s="298"/>
    </row>
    <row r="8209" spans="14:19" hidden="1" x14ac:dyDescent="0.25">
      <c r="N8209" s="17">
        <v>1020.49999999982</v>
      </c>
      <c r="O8209" s="16" t="s">
        <v>7805</v>
      </c>
      <c r="R8209" s="6"/>
      <c r="S8209" s="298"/>
    </row>
    <row r="8210" spans="14:19" hidden="1" x14ac:dyDescent="0.25">
      <c r="N8210" s="17">
        <v>1020.5999999998201</v>
      </c>
      <c r="O8210" s="16" t="s">
        <v>7806</v>
      </c>
      <c r="R8210" s="6"/>
      <c r="S8210" s="298"/>
    </row>
    <row r="8211" spans="14:19" hidden="1" x14ac:dyDescent="0.25">
      <c r="N8211" s="17">
        <v>1020.69999999982</v>
      </c>
      <c r="O8211" s="16" t="s">
        <v>7807</v>
      </c>
      <c r="R8211" s="6"/>
      <c r="S8211" s="298"/>
    </row>
    <row r="8212" spans="14:19" hidden="1" x14ac:dyDescent="0.25">
      <c r="N8212" s="17">
        <v>1020.79999999982</v>
      </c>
      <c r="O8212" s="16" t="s">
        <v>7808</v>
      </c>
      <c r="R8212" s="6"/>
      <c r="S8212" s="298"/>
    </row>
    <row r="8213" spans="14:19" hidden="1" x14ac:dyDescent="0.25">
      <c r="N8213" s="17">
        <v>1020.89999999982</v>
      </c>
      <c r="O8213" s="16" t="s">
        <v>7809</v>
      </c>
      <c r="R8213" s="6"/>
      <c r="S8213" s="298"/>
    </row>
    <row r="8214" spans="14:19" hidden="1" x14ac:dyDescent="0.25">
      <c r="N8214" s="17">
        <v>1020.99999999982</v>
      </c>
      <c r="O8214" s="16" t="s">
        <v>7801</v>
      </c>
      <c r="R8214" s="6"/>
      <c r="S8214" s="298"/>
    </row>
    <row r="8215" spans="14:19" hidden="1" x14ac:dyDescent="0.25">
      <c r="N8215" s="17">
        <v>1021.0999999998201</v>
      </c>
      <c r="O8215" s="16" t="s">
        <v>6661</v>
      </c>
      <c r="R8215" s="6"/>
      <c r="S8215" s="298"/>
    </row>
    <row r="8216" spans="14:19" hidden="1" x14ac:dyDescent="0.25">
      <c r="N8216" s="17">
        <v>1021.19999999982</v>
      </c>
      <c r="O8216" s="16" t="s">
        <v>6662</v>
      </c>
      <c r="R8216" s="6"/>
      <c r="S8216" s="298"/>
    </row>
    <row r="8217" spans="14:19" hidden="1" x14ac:dyDescent="0.25">
      <c r="N8217" s="17">
        <v>1021.29999999982</v>
      </c>
      <c r="O8217" s="16" t="s">
        <v>6663</v>
      </c>
      <c r="R8217" s="6"/>
      <c r="S8217" s="298"/>
    </row>
    <row r="8218" spans="14:19" hidden="1" x14ac:dyDescent="0.25">
      <c r="N8218" s="17">
        <v>1021.39999999982</v>
      </c>
      <c r="O8218" s="16" t="s">
        <v>6664</v>
      </c>
      <c r="R8218" s="6"/>
      <c r="S8218" s="298"/>
    </row>
    <row r="8219" spans="14:19" hidden="1" x14ac:dyDescent="0.25">
      <c r="N8219" s="17">
        <v>1021.49999999982</v>
      </c>
      <c r="O8219" s="16" t="s">
        <v>6665</v>
      </c>
      <c r="R8219" s="6"/>
      <c r="S8219" s="298"/>
    </row>
    <row r="8220" spans="14:19" hidden="1" x14ac:dyDescent="0.25">
      <c r="N8220" s="17">
        <v>1021.5999999998201</v>
      </c>
      <c r="O8220" s="16" t="s">
        <v>6666</v>
      </c>
      <c r="R8220" s="6"/>
      <c r="S8220" s="298"/>
    </row>
    <row r="8221" spans="14:19" hidden="1" x14ac:dyDescent="0.25">
      <c r="N8221" s="17">
        <v>1021.69999999982</v>
      </c>
      <c r="O8221" s="16" t="s">
        <v>6667</v>
      </c>
      <c r="R8221" s="6"/>
      <c r="S8221" s="298"/>
    </row>
    <row r="8222" spans="14:19" hidden="1" x14ac:dyDescent="0.25">
      <c r="N8222" s="17">
        <v>1021.79999999982</v>
      </c>
      <c r="O8222" s="16" t="s">
        <v>6668</v>
      </c>
      <c r="R8222" s="6"/>
      <c r="S8222" s="298"/>
    </row>
    <row r="8223" spans="14:19" hidden="1" x14ac:dyDescent="0.25">
      <c r="N8223" s="17">
        <v>1021.89999999982</v>
      </c>
      <c r="O8223" s="16" t="s">
        <v>6669</v>
      </c>
      <c r="R8223" s="6"/>
      <c r="S8223" s="298"/>
    </row>
    <row r="8224" spans="14:19" hidden="1" x14ac:dyDescent="0.25">
      <c r="N8224" s="17">
        <v>1021.99999999982</v>
      </c>
      <c r="O8224" s="16" t="s">
        <v>6670</v>
      </c>
      <c r="R8224" s="6"/>
      <c r="S8224" s="298"/>
    </row>
    <row r="8225" spans="14:19" hidden="1" x14ac:dyDescent="0.25">
      <c r="N8225" s="17">
        <v>1022.0999999998201</v>
      </c>
      <c r="O8225" s="16" t="s">
        <v>6671</v>
      </c>
      <c r="R8225" s="6"/>
      <c r="S8225" s="298"/>
    </row>
    <row r="8226" spans="14:19" hidden="1" x14ac:dyDescent="0.25">
      <c r="N8226" s="17">
        <v>1022.19999999982</v>
      </c>
      <c r="O8226" s="16" t="s">
        <v>7638</v>
      </c>
      <c r="R8226" s="6"/>
      <c r="S8226" s="298"/>
    </row>
    <row r="8227" spans="14:19" hidden="1" x14ac:dyDescent="0.25">
      <c r="N8227" s="17">
        <v>1022.29999999982</v>
      </c>
      <c r="O8227" s="16" t="s">
        <v>7639</v>
      </c>
      <c r="R8227" s="6"/>
      <c r="S8227" s="298"/>
    </row>
    <row r="8228" spans="14:19" hidden="1" x14ac:dyDescent="0.25">
      <c r="N8228" s="17">
        <v>1022.39999999982</v>
      </c>
      <c r="O8228" s="16" t="s">
        <v>7640</v>
      </c>
      <c r="R8228" s="6"/>
      <c r="S8228" s="298"/>
    </row>
    <row r="8229" spans="14:19" hidden="1" x14ac:dyDescent="0.25">
      <c r="N8229" s="17">
        <v>1022.49999999982</v>
      </c>
      <c r="O8229" s="16" t="s">
        <v>7641</v>
      </c>
      <c r="R8229" s="6"/>
      <c r="S8229" s="298"/>
    </row>
    <row r="8230" spans="14:19" hidden="1" x14ac:dyDescent="0.25">
      <c r="N8230" s="17">
        <v>1022.5999999998201</v>
      </c>
      <c r="O8230" s="16" t="s">
        <v>4791</v>
      </c>
      <c r="R8230" s="6"/>
      <c r="S8230" s="298"/>
    </row>
    <row r="8231" spans="14:19" hidden="1" x14ac:dyDescent="0.25">
      <c r="N8231" s="17">
        <v>1022.69999999982</v>
      </c>
      <c r="O8231" s="16" t="s">
        <v>4792</v>
      </c>
      <c r="R8231" s="6"/>
      <c r="S8231" s="298"/>
    </row>
    <row r="8232" spans="14:19" hidden="1" x14ac:dyDescent="0.25">
      <c r="N8232" s="17">
        <v>1022.79999999982</v>
      </c>
      <c r="O8232" s="16" t="s">
        <v>4793</v>
      </c>
      <c r="R8232" s="6"/>
      <c r="S8232" s="298"/>
    </row>
    <row r="8233" spans="14:19" hidden="1" x14ac:dyDescent="0.25">
      <c r="N8233" s="17">
        <v>1022.89999999982</v>
      </c>
      <c r="O8233" s="16" t="s">
        <v>4794</v>
      </c>
      <c r="R8233" s="6"/>
      <c r="S8233" s="298"/>
    </row>
    <row r="8234" spans="14:19" hidden="1" x14ac:dyDescent="0.25">
      <c r="N8234" s="17">
        <v>1022.99999999982</v>
      </c>
      <c r="O8234" s="16" t="s">
        <v>4795</v>
      </c>
      <c r="R8234" s="6"/>
      <c r="S8234" s="298"/>
    </row>
    <row r="8235" spans="14:19" hidden="1" x14ac:dyDescent="0.25">
      <c r="N8235" s="17">
        <v>1023.0999999998201</v>
      </c>
      <c r="O8235" s="16" t="s">
        <v>4796</v>
      </c>
      <c r="R8235" s="6"/>
      <c r="S8235" s="298"/>
    </row>
    <row r="8236" spans="14:19" hidden="1" x14ac:dyDescent="0.25">
      <c r="N8236" s="17">
        <v>1023.19999999982</v>
      </c>
      <c r="O8236" s="16" t="s">
        <v>4797</v>
      </c>
      <c r="R8236" s="6"/>
      <c r="S8236" s="298"/>
    </row>
    <row r="8237" spans="14:19" hidden="1" x14ac:dyDescent="0.25">
      <c r="N8237" s="17">
        <v>1023.29999999982</v>
      </c>
      <c r="O8237" s="16" t="s">
        <v>4798</v>
      </c>
      <c r="R8237" s="6"/>
      <c r="S8237" s="298"/>
    </row>
    <row r="8238" spans="14:19" hidden="1" x14ac:dyDescent="0.25">
      <c r="N8238" s="17">
        <v>1023.39999999982</v>
      </c>
      <c r="O8238" s="16" t="s">
        <v>4799</v>
      </c>
      <c r="R8238" s="6"/>
      <c r="S8238" s="298"/>
    </row>
    <row r="8239" spans="14:19" hidden="1" x14ac:dyDescent="0.25">
      <c r="N8239" s="17">
        <v>1023.49999999982</v>
      </c>
      <c r="O8239" s="16" t="s">
        <v>4800</v>
      </c>
      <c r="R8239" s="6"/>
      <c r="S8239" s="298"/>
    </row>
    <row r="8240" spans="14:19" hidden="1" x14ac:dyDescent="0.25">
      <c r="N8240" s="17">
        <v>1023.5999999998201</v>
      </c>
      <c r="O8240" s="16" t="s">
        <v>4801</v>
      </c>
      <c r="R8240" s="6"/>
      <c r="S8240" s="298"/>
    </row>
    <row r="8241" spans="14:19" hidden="1" x14ac:dyDescent="0.25">
      <c r="N8241" s="17">
        <v>1023.69999999982</v>
      </c>
      <c r="O8241" s="16" t="s">
        <v>4802</v>
      </c>
      <c r="R8241" s="6"/>
      <c r="S8241" s="298"/>
    </row>
    <row r="8242" spans="14:19" hidden="1" x14ac:dyDescent="0.25">
      <c r="N8242" s="17">
        <v>1023.79999999982</v>
      </c>
      <c r="O8242" s="16" t="s">
        <v>4803</v>
      </c>
      <c r="R8242" s="6"/>
      <c r="S8242" s="298"/>
    </row>
    <row r="8243" spans="14:19" hidden="1" x14ac:dyDescent="0.25">
      <c r="N8243" s="17">
        <v>1023.89999999982</v>
      </c>
      <c r="O8243" s="16" t="s">
        <v>4804</v>
      </c>
      <c r="R8243" s="6"/>
      <c r="S8243" s="298"/>
    </row>
    <row r="8244" spans="14:19" hidden="1" x14ac:dyDescent="0.25">
      <c r="N8244" s="17">
        <v>1023.99999999982</v>
      </c>
      <c r="O8244" s="16" t="s">
        <v>4805</v>
      </c>
      <c r="R8244" s="6"/>
      <c r="S8244" s="298"/>
    </row>
    <row r="8245" spans="14:19" hidden="1" x14ac:dyDescent="0.25">
      <c r="N8245" s="17">
        <v>1024.0999999998201</v>
      </c>
      <c r="O8245" s="16" t="s">
        <v>4806</v>
      </c>
      <c r="R8245" s="6"/>
      <c r="S8245" s="298"/>
    </row>
    <row r="8246" spans="14:19" hidden="1" x14ac:dyDescent="0.25">
      <c r="N8246" s="17">
        <v>1024.19999999982</v>
      </c>
      <c r="O8246" s="16" t="s">
        <v>4807</v>
      </c>
      <c r="R8246" s="6"/>
      <c r="S8246" s="298"/>
    </row>
    <row r="8247" spans="14:19" hidden="1" x14ac:dyDescent="0.25">
      <c r="N8247" s="17">
        <v>1024.2999999998201</v>
      </c>
      <c r="O8247" s="16" t="s">
        <v>4808</v>
      </c>
      <c r="R8247" s="6"/>
      <c r="S8247" s="298"/>
    </row>
    <row r="8248" spans="14:19" hidden="1" x14ac:dyDescent="0.25">
      <c r="N8248" s="17">
        <v>1024.39999999982</v>
      </c>
      <c r="O8248" s="16" t="s">
        <v>4809</v>
      </c>
      <c r="R8248" s="6"/>
      <c r="S8248" s="298"/>
    </row>
    <row r="8249" spans="14:19" hidden="1" x14ac:dyDescent="0.25">
      <c r="N8249" s="17">
        <v>1024.4999999998199</v>
      </c>
      <c r="O8249" s="16" t="s">
        <v>7996</v>
      </c>
      <c r="R8249" s="6"/>
      <c r="S8249" s="298"/>
    </row>
    <row r="8250" spans="14:19" hidden="1" x14ac:dyDescent="0.25">
      <c r="N8250" s="17">
        <v>1024.5999999998201</v>
      </c>
      <c r="O8250" s="16" t="s">
        <v>7997</v>
      </c>
      <c r="R8250" s="6"/>
      <c r="S8250" s="298"/>
    </row>
    <row r="8251" spans="14:19" hidden="1" x14ac:dyDescent="0.25">
      <c r="N8251" s="17">
        <v>1024.69999999982</v>
      </c>
      <c r="O8251" s="16" t="s">
        <v>4892</v>
      </c>
      <c r="R8251" s="6"/>
      <c r="S8251" s="298"/>
    </row>
    <row r="8252" spans="14:19" hidden="1" x14ac:dyDescent="0.25">
      <c r="N8252" s="17">
        <v>1024.7999999998201</v>
      </c>
      <c r="O8252" s="16" t="s">
        <v>7998</v>
      </c>
      <c r="R8252" s="6"/>
      <c r="S8252" s="298"/>
    </row>
    <row r="8253" spans="14:19" hidden="1" x14ac:dyDescent="0.25">
      <c r="N8253" s="17">
        <v>1024.89999999982</v>
      </c>
      <c r="O8253" s="16" t="s">
        <v>7999</v>
      </c>
      <c r="R8253" s="6"/>
      <c r="S8253" s="298"/>
    </row>
    <row r="8254" spans="14:19" hidden="1" x14ac:dyDescent="0.25">
      <c r="N8254" s="17">
        <v>1024.9999999998199</v>
      </c>
      <c r="O8254" s="16" t="s">
        <v>8000</v>
      </c>
      <c r="R8254" s="6"/>
      <c r="S8254" s="298"/>
    </row>
    <row r="8255" spans="14:19" hidden="1" x14ac:dyDescent="0.25">
      <c r="N8255" s="17">
        <v>1025.0999999998201</v>
      </c>
      <c r="O8255" s="16" t="s">
        <v>8001</v>
      </c>
      <c r="R8255" s="6"/>
      <c r="S8255" s="298"/>
    </row>
    <row r="8256" spans="14:19" hidden="1" x14ac:dyDescent="0.25">
      <c r="N8256" s="17">
        <v>1025.19999999982</v>
      </c>
      <c r="O8256" s="16" t="s">
        <v>8002</v>
      </c>
      <c r="R8256" s="6"/>
      <c r="S8256" s="298"/>
    </row>
    <row r="8257" spans="14:19" hidden="1" x14ac:dyDescent="0.25">
      <c r="N8257" s="17">
        <v>1025.2999999998201</v>
      </c>
      <c r="O8257" s="16" t="s">
        <v>8003</v>
      </c>
      <c r="R8257" s="6"/>
      <c r="S8257" s="298"/>
    </row>
    <row r="8258" spans="14:19" hidden="1" x14ac:dyDescent="0.25">
      <c r="N8258" s="17">
        <v>1025.39999999982</v>
      </c>
      <c r="O8258" s="16" t="s">
        <v>8004</v>
      </c>
      <c r="R8258" s="6"/>
      <c r="S8258" s="298"/>
    </row>
    <row r="8259" spans="14:19" hidden="1" x14ac:dyDescent="0.25">
      <c r="N8259" s="17">
        <v>1025.4999999998199</v>
      </c>
      <c r="O8259" s="16" t="s">
        <v>8005</v>
      </c>
      <c r="R8259" s="6"/>
      <c r="S8259" s="298"/>
    </row>
    <row r="8260" spans="14:19" hidden="1" x14ac:dyDescent="0.25">
      <c r="N8260" s="17">
        <v>1025.5999999998201</v>
      </c>
      <c r="O8260" s="16" t="s">
        <v>8006</v>
      </c>
      <c r="R8260" s="6"/>
      <c r="S8260" s="298"/>
    </row>
    <row r="8261" spans="14:19" hidden="1" x14ac:dyDescent="0.25">
      <c r="N8261" s="17">
        <v>1025.69999999982</v>
      </c>
      <c r="O8261" s="16" t="s">
        <v>8007</v>
      </c>
      <c r="R8261" s="6"/>
      <c r="S8261" s="298"/>
    </row>
    <row r="8262" spans="14:19" hidden="1" x14ac:dyDescent="0.25">
      <c r="N8262" s="17">
        <v>1025.7999999998201</v>
      </c>
      <c r="O8262" s="16" t="s">
        <v>8008</v>
      </c>
      <c r="R8262" s="6"/>
      <c r="S8262" s="298"/>
    </row>
    <row r="8263" spans="14:19" hidden="1" x14ac:dyDescent="0.25">
      <c r="N8263" s="17">
        <v>1025.89999999982</v>
      </c>
      <c r="O8263" s="16" t="s">
        <v>8009</v>
      </c>
      <c r="R8263" s="6"/>
      <c r="S8263" s="298"/>
    </row>
    <row r="8264" spans="14:19" hidden="1" x14ac:dyDescent="0.25">
      <c r="N8264" s="17">
        <v>1025.9999999998199</v>
      </c>
      <c r="O8264" s="16" t="s">
        <v>8010</v>
      </c>
      <c r="R8264" s="6"/>
      <c r="S8264" s="298"/>
    </row>
    <row r="8265" spans="14:19" hidden="1" x14ac:dyDescent="0.25">
      <c r="N8265" s="17">
        <v>1026.0999999998201</v>
      </c>
      <c r="O8265" s="16" t="s">
        <v>8011</v>
      </c>
      <c r="R8265" s="6"/>
      <c r="S8265" s="298"/>
    </row>
    <row r="8266" spans="14:19" hidden="1" x14ac:dyDescent="0.25">
      <c r="N8266" s="17">
        <v>1026.19999999982</v>
      </c>
      <c r="O8266" s="16" t="s">
        <v>8012</v>
      </c>
      <c r="R8266" s="6"/>
      <c r="S8266" s="298"/>
    </row>
    <row r="8267" spans="14:19" hidden="1" x14ac:dyDescent="0.25">
      <c r="N8267" s="17">
        <v>1026.2999999998201</v>
      </c>
      <c r="O8267" s="16" t="s">
        <v>8013</v>
      </c>
      <c r="R8267" s="6"/>
      <c r="S8267" s="298"/>
    </row>
    <row r="8268" spans="14:19" hidden="1" x14ac:dyDescent="0.25">
      <c r="N8268" s="17">
        <v>1026.39999999982</v>
      </c>
      <c r="O8268" s="16" t="s">
        <v>8014</v>
      </c>
      <c r="R8268" s="6"/>
      <c r="S8268" s="298"/>
    </row>
    <row r="8269" spans="14:19" hidden="1" x14ac:dyDescent="0.25">
      <c r="N8269" s="17">
        <v>1026.4999999998199</v>
      </c>
      <c r="O8269" s="16" t="s">
        <v>8015</v>
      </c>
      <c r="R8269" s="6"/>
      <c r="S8269" s="298"/>
    </row>
    <row r="8270" spans="14:19" hidden="1" x14ac:dyDescent="0.25">
      <c r="N8270" s="17">
        <v>1026.5999999998201</v>
      </c>
      <c r="O8270" s="16" t="s">
        <v>8016</v>
      </c>
      <c r="R8270" s="6"/>
      <c r="S8270" s="298"/>
    </row>
    <row r="8271" spans="14:19" hidden="1" x14ac:dyDescent="0.25">
      <c r="N8271" s="17">
        <v>1026.69999999982</v>
      </c>
      <c r="O8271" s="16" t="s">
        <v>8017</v>
      </c>
      <c r="R8271" s="6"/>
      <c r="S8271" s="298"/>
    </row>
    <row r="8272" spans="14:19" hidden="1" x14ac:dyDescent="0.25">
      <c r="N8272" s="17">
        <v>1026.7999999998201</v>
      </c>
      <c r="O8272" s="16" t="s">
        <v>8018</v>
      </c>
      <c r="R8272" s="6"/>
      <c r="S8272" s="298"/>
    </row>
    <row r="8273" spans="14:19" hidden="1" x14ac:dyDescent="0.25">
      <c r="N8273" s="17">
        <v>1026.89999999982</v>
      </c>
      <c r="O8273" s="16" t="s">
        <v>8019</v>
      </c>
      <c r="R8273" s="6"/>
      <c r="S8273" s="298"/>
    </row>
    <row r="8274" spans="14:19" hidden="1" x14ac:dyDescent="0.25">
      <c r="N8274" s="17">
        <v>1026.9999999998199</v>
      </c>
      <c r="O8274" s="16" t="s">
        <v>8020</v>
      </c>
      <c r="R8274" s="6"/>
      <c r="S8274" s="298"/>
    </row>
    <row r="8275" spans="14:19" hidden="1" x14ac:dyDescent="0.25">
      <c r="N8275" s="17">
        <v>1027.0999999998201</v>
      </c>
      <c r="O8275" s="16" t="s">
        <v>8021</v>
      </c>
      <c r="R8275" s="6"/>
      <c r="S8275" s="298"/>
    </row>
    <row r="8276" spans="14:19" hidden="1" x14ac:dyDescent="0.25">
      <c r="N8276" s="17">
        <v>1027.19999999982</v>
      </c>
      <c r="O8276" s="16" t="s">
        <v>8022</v>
      </c>
      <c r="R8276" s="6"/>
      <c r="S8276" s="298"/>
    </row>
    <row r="8277" spans="14:19" hidden="1" x14ac:dyDescent="0.25">
      <c r="N8277" s="17">
        <v>1027.2999999998201</v>
      </c>
      <c r="O8277" s="16" t="s">
        <v>8023</v>
      </c>
      <c r="R8277" s="6"/>
      <c r="S8277" s="298"/>
    </row>
    <row r="8278" spans="14:19" hidden="1" x14ac:dyDescent="0.25">
      <c r="N8278" s="17">
        <v>1027.39999999982</v>
      </c>
      <c r="O8278" s="16" t="s">
        <v>8024</v>
      </c>
      <c r="R8278" s="6"/>
      <c r="S8278" s="298"/>
    </row>
    <row r="8279" spans="14:19" hidden="1" x14ac:dyDescent="0.25">
      <c r="N8279" s="17">
        <v>1027.4999999998199</v>
      </c>
      <c r="O8279" s="16" t="s">
        <v>8025</v>
      </c>
      <c r="R8279" s="6"/>
      <c r="S8279" s="298"/>
    </row>
    <row r="8280" spans="14:19" hidden="1" x14ac:dyDescent="0.25">
      <c r="N8280" s="17">
        <v>1027.5999999998201</v>
      </c>
      <c r="O8280" s="16" t="s">
        <v>8026</v>
      </c>
      <c r="R8280" s="6"/>
      <c r="S8280" s="298"/>
    </row>
    <row r="8281" spans="14:19" hidden="1" x14ac:dyDescent="0.25">
      <c r="N8281" s="17">
        <v>1027.69999999982</v>
      </c>
      <c r="O8281" s="16" t="s">
        <v>8027</v>
      </c>
      <c r="R8281" s="6"/>
      <c r="S8281" s="298"/>
    </row>
    <row r="8282" spans="14:19" hidden="1" x14ac:dyDescent="0.25">
      <c r="N8282" s="17">
        <v>1027.7999999998201</v>
      </c>
      <c r="O8282" s="16" t="s">
        <v>8028</v>
      </c>
      <c r="R8282" s="6"/>
      <c r="S8282" s="298"/>
    </row>
    <row r="8283" spans="14:19" hidden="1" x14ac:dyDescent="0.25">
      <c r="N8283" s="17">
        <v>1027.89999999982</v>
      </c>
      <c r="O8283" s="16" t="s">
        <v>8029</v>
      </c>
      <c r="R8283" s="6"/>
      <c r="S8283" s="298"/>
    </row>
    <row r="8284" spans="14:19" hidden="1" x14ac:dyDescent="0.25">
      <c r="N8284" s="17">
        <v>1027.9999999998199</v>
      </c>
      <c r="O8284" s="16" t="s">
        <v>8030</v>
      </c>
      <c r="R8284" s="6"/>
      <c r="S8284" s="298"/>
    </row>
    <row r="8285" spans="14:19" hidden="1" x14ac:dyDescent="0.25">
      <c r="N8285" s="17">
        <v>1028.0999999998201</v>
      </c>
      <c r="O8285" s="16" t="s">
        <v>8031</v>
      </c>
      <c r="R8285" s="6"/>
      <c r="S8285" s="298"/>
    </row>
    <row r="8286" spans="14:19" hidden="1" x14ac:dyDescent="0.25">
      <c r="N8286" s="17">
        <v>1028.19999999982</v>
      </c>
      <c r="O8286" s="16" t="s">
        <v>8032</v>
      </c>
      <c r="R8286" s="6"/>
      <c r="S8286" s="298"/>
    </row>
    <row r="8287" spans="14:19" hidden="1" x14ac:dyDescent="0.25">
      <c r="N8287" s="17">
        <v>1028.2999999998201</v>
      </c>
      <c r="O8287" s="16" t="s">
        <v>8033</v>
      </c>
      <c r="R8287" s="6"/>
      <c r="S8287" s="298"/>
    </row>
    <row r="8288" spans="14:19" hidden="1" x14ac:dyDescent="0.25">
      <c r="N8288" s="17">
        <v>1028.39999999982</v>
      </c>
      <c r="O8288" s="16" t="s">
        <v>8034</v>
      </c>
      <c r="R8288" s="6"/>
      <c r="S8288" s="298"/>
    </row>
    <row r="8289" spans="14:19" hidden="1" x14ac:dyDescent="0.25">
      <c r="N8289" s="17">
        <v>1028.4999999998199</v>
      </c>
      <c r="O8289" s="16" t="s">
        <v>8035</v>
      </c>
      <c r="R8289" s="6"/>
      <c r="S8289" s="298"/>
    </row>
    <row r="8290" spans="14:19" hidden="1" x14ac:dyDescent="0.25">
      <c r="N8290" s="17">
        <v>1028.5999999998201</v>
      </c>
      <c r="O8290" s="16" t="s">
        <v>8036</v>
      </c>
      <c r="R8290" s="6"/>
      <c r="S8290" s="298"/>
    </row>
    <row r="8291" spans="14:19" hidden="1" x14ac:dyDescent="0.25">
      <c r="N8291" s="17">
        <v>1028.69999999982</v>
      </c>
      <c r="O8291" s="16" t="s">
        <v>8037</v>
      </c>
      <c r="R8291" s="6"/>
      <c r="S8291" s="298"/>
    </row>
    <row r="8292" spans="14:19" hidden="1" x14ac:dyDescent="0.25">
      <c r="N8292" s="17">
        <v>1028.7999999998201</v>
      </c>
      <c r="O8292" s="16" t="s">
        <v>8038</v>
      </c>
      <c r="R8292" s="6"/>
      <c r="S8292" s="298"/>
    </row>
    <row r="8293" spans="14:19" hidden="1" x14ac:dyDescent="0.25">
      <c r="N8293" s="17">
        <v>1028.89999999982</v>
      </c>
      <c r="O8293" s="16" t="s">
        <v>8039</v>
      </c>
      <c r="R8293" s="6"/>
      <c r="S8293" s="298"/>
    </row>
    <row r="8294" spans="14:19" hidden="1" x14ac:dyDescent="0.25">
      <c r="N8294" s="17">
        <v>1028.9999999998199</v>
      </c>
      <c r="O8294" s="16" t="s">
        <v>8040</v>
      </c>
      <c r="R8294" s="6"/>
      <c r="S8294" s="298"/>
    </row>
    <row r="8295" spans="14:19" hidden="1" x14ac:dyDescent="0.25">
      <c r="N8295" s="17">
        <v>1029.0999999998201</v>
      </c>
      <c r="O8295" s="16" t="s">
        <v>6009</v>
      </c>
      <c r="R8295" s="6"/>
      <c r="S8295" s="298"/>
    </row>
    <row r="8296" spans="14:19" hidden="1" x14ac:dyDescent="0.25">
      <c r="N8296" s="17">
        <v>1029.19999999982</v>
      </c>
      <c r="O8296" s="16" t="s">
        <v>6010</v>
      </c>
      <c r="R8296" s="6"/>
      <c r="S8296" s="298"/>
    </row>
    <row r="8297" spans="14:19" hidden="1" x14ac:dyDescent="0.25">
      <c r="N8297" s="17">
        <v>1029.2999999998201</v>
      </c>
      <c r="O8297" s="16" t="s">
        <v>6011</v>
      </c>
      <c r="R8297" s="6"/>
      <c r="S8297" s="298"/>
    </row>
    <row r="8298" spans="14:19" hidden="1" x14ac:dyDescent="0.25">
      <c r="N8298" s="17">
        <v>1029.39999999982</v>
      </c>
      <c r="O8298" s="16" t="s">
        <v>6012</v>
      </c>
      <c r="R8298" s="6"/>
      <c r="S8298" s="298"/>
    </row>
    <row r="8299" spans="14:19" hidden="1" x14ac:dyDescent="0.25">
      <c r="N8299" s="17">
        <v>1029.4999999998199</v>
      </c>
      <c r="O8299" s="16" t="s">
        <v>6013</v>
      </c>
      <c r="R8299" s="6"/>
      <c r="S8299" s="298"/>
    </row>
    <row r="8300" spans="14:19" hidden="1" x14ac:dyDescent="0.25">
      <c r="N8300" s="17">
        <v>1029.5999999998201</v>
      </c>
      <c r="O8300" s="16" t="s">
        <v>6014</v>
      </c>
      <c r="R8300" s="6"/>
      <c r="S8300" s="298"/>
    </row>
    <row r="8301" spans="14:19" hidden="1" x14ac:dyDescent="0.25">
      <c r="N8301" s="17">
        <v>1029.69999999982</v>
      </c>
      <c r="O8301" s="16" t="s">
        <v>6015</v>
      </c>
      <c r="R8301" s="6"/>
      <c r="S8301" s="298"/>
    </row>
    <row r="8302" spans="14:19" hidden="1" x14ac:dyDescent="0.25">
      <c r="N8302" s="17">
        <v>1029.7999999998201</v>
      </c>
      <c r="O8302" s="16" t="s">
        <v>6016</v>
      </c>
      <c r="R8302" s="6"/>
      <c r="S8302" s="298"/>
    </row>
    <row r="8303" spans="14:19" hidden="1" x14ac:dyDescent="0.25">
      <c r="N8303" s="17">
        <v>1029.89999999982</v>
      </c>
      <c r="O8303" s="16" t="s">
        <v>6017</v>
      </c>
      <c r="R8303" s="6"/>
      <c r="S8303" s="298"/>
    </row>
    <row r="8304" spans="14:19" hidden="1" x14ac:dyDescent="0.25">
      <c r="N8304" s="17">
        <v>1029.9999999998199</v>
      </c>
      <c r="O8304" s="16" t="s">
        <v>6018</v>
      </c>
      <c r="R8304" s="6"/>
      <c r="S8304" s="298"/>
    </row>
    <row r="8305" spans="14:19" hidden="1" x14ac:dyDescent="0.25">
      <c r="N8305" s="17">
        <v>1030.0999999998201</v>
      </c>
      <c r="O8305" s="16" t="s">
        <v>6019</v>
      </c>
      <c r="R8305" s="6"/>
      <c r="S8305" s="298"/>
    </row>
    <row r="8306" spans="14:19" hidden="1" x14ac:dyDescent="0.25">
      <c r="N8306" s="17">
        <v>1030.19999999982</v>
      </c>
      <c r="O8306" s="16" t="s">
        <v>6020</v>
      </c>
      <c r="R8306" s="6"/>
      <c r="S8306" s="298"/>
    </row>
    <row r="8307" spans="14:19" hidden="1" x14ac:dyDescent="0.25">
      <c r="N8307" s="17">
        <v>1030.2999999998201</v>
      </c>
      <c r="O8307" s="16" t="s">
        <v>6021</v>
      </c>
      <c r="R8307" s="6"/>
      <c r="S8307" s="298"/>
    </row>
    <row r="8308" spans="14:19" hidden="1" x14ac:dyDescent="0.25">
      <c r="N8308" s="17">
        <v>1030.39999999982</v>
      </c>
      <c r="O8308" s="16" t="s">
        <v>6022</v>
      </c>
      <c r="R8308" s="6"/>
      <c r="S8308" s="298"/>
    </row>
    <row r="8309" spans="14:19" hidden="1" x14ac:dyDescent="0.25">
      <c r="N8309" s="17">
        <v>1030.4999999998199</v>
      </c>
      <c r="O8309" s="16" t="s">
        <v>6023</v>
      </c>
      <c r="R8309" s="6"/>
      <c r="S8309" s="298"/>
    </row>
    <row r="8310" spans="14:19" hidden="1" x14ac:dyDescent="0.25">
      <c r="N8310" s="17">
        <v>1030.5999999998201</v>
      </c>
      <c r="O8310" s="16" t="s">
        <v>6024</v>
      </c>
      <c r="R8310" s="6"/>
      <c r="S8310" s="298"/>
    </row>
    <row r="8311" spans="14:19" hidden="1" x14ac:dyDescent="0.25">
      <c r="N8311" s="17">
        <v>1030.69999999982</v>
      </c>
      <c r="O8311" s="16" t="s">
        <v>6025</v>
      </c>
      <c r="R8311" s="6"/>
      <c r="S8311" s="298"/>
    </row>
    <row r="8312" spans="14:19" hidden="1" x14ac:dyDescent="0.25">
      <c r="N8312" s="17">
        <v>1030.7999999998201</v>
      </c>
      <c r="O8312" s="16" t="s">
        <v>6026</v>
      </c>
      <c r="R8312" s="6"/>
      <c r="S8312" s="298"/>
    </row>
    <row r="8313" spans="14:19" hidden="1" x14ac:dyDescent="0.25">
      <c r="N8313" s="17">
        <v>1030.89999999982</v>
      </c>
      <c r="O8313" s="16" t="s">
        <v>6027</v>
      </c>
      <c r="R8313" s="6"/>
      <c r="S8313" s="298"/>
    </row>
    <row r="8314" spans="14:19" hidden="1" x14ac:dyDescent="0.25">
      <c r="N8314" s="17">
        <v>1030.9999999998199</v>
      </c>
      <c r="O8314" s="16" t="s">
        <v>6028</v>
      </c>
      <c r="R8314" s="6"/>
      <c r="S8314" s="298"/>
    </row>
    <row r="8315" spans="14:19" hidden="1" x14ac:dyDescent="0.25">
      <c r="N8315" s="17">
        <v>1031.0999999998201</v>
      </c>
      <c r="O8315" s="16" t="s">
        <v>6944</v>
      </c>
      <c r="R8315" s="6"/>
      <c r="S8315" s="298"/>
    </row>
    <row r="8316" spans="14:19" hidden="1" x14ac:dyDescent="0.25">
      <c r="N8316" s="17">
        <v>1031.19999999982</v>
      </c>
      <c r="O8316" s="16" t="s">
        <v>6945</v>
      </c>
      <c r="R8316" s="6"/>
      <c r="S8316" s="298"/>
    </row>
    <row r="8317" spans="14:19" hidden="1" x14ac:dyDescent="0.25">
      <c r="N8317" s="17">
        <v>1031.2999999998201</v>
      </c>
      <c r="O8317" s="16" t="s">
        <v>6946</v>
      </c>
      <c r="R8317" s="6"/>
      <c r="S8317" s="298"/>
    </row>
    <row r="8318" spans="14:19" hidden="1" x14ac:dyDescent="0.25">
      <c r="N8318" s="17">
        <v>1031.39999999982</v>
      </c>
      <c r="O8318" s="16" t="s">
        <v>6947</v>
      </c>
      <c r="R8318" s="6"/>
      <c r="S8318" s="298"/>
    </row>
    <row r="8319" spans="14:19" hidden="1" x14ac:dyDescent="0.25">
      <c r="N8319" s="17">
        <v>1031.4999999998199</v>
      </c>
      <c r="O8319" s="16" t="s">
        <v>6948</v>
      </c>
      <c r="R8319" s="6"/>
      <c r="S8319" s="298"/>
    </row>
    <row r="8320" spans="14:19" hidden="1" x14ac:dyDescent="0.25">
      <c r="N8320" s="17">
        <v>1031.5999999998201</v>
      </c>
      <c r="O8320" s="16" t="s">
        <v>6917</v>
      </c>
      <c r="R8320" s="6"/>
      <c r="S8320" s="298"/>
    </row>
    <row r="8321" spans="14:19" hidden="1" x14ac:dyDescent="0.25">
      <c r="N8321" s="17">
        <v>1031.69999999982</v>
      </c>
      <c r="O8321" s="16" t="s">
        <v>6918</v>
      </c>
      <c r="R8321" s="6"/>
      <c r="S8321" s="298"/>
    </row>
    <row r="8322" spans="14:19" hidden="1" x14ac:dyDescent="0.25">
      <c r="N8322" s="17">
        <v>1031.7999999998201</v>
      </c>
      <c r="O8322" s="16" t="s">
        <v>6919</v>
      </c>
      <c r="R8322" s="6"/>
      <c r="S8322" s="298"/>
    </row>
    <row r="8323" spans="14:19" hidden="1" x14ac:dyDescent="0.25">
      <c r="N8323" s="17">
        <v>1031.89999999982</v>
      </c>
      <c r="O8323" s="16" t="s">
        <v>6920</v>
      </c>
      <c r="R8323" s="6"/>
      <c r="S8323" s="298"/>
    </row>
    <row r="8324" spans="14:19" hidden="1" x14ac:dyDescent="0.25">
      <c r="N8324" s="17">
        <v>1031.9999999998199</v>
      </c>
      <c r="O8324" s="16" t="s">
        <v>6921</v>
      </c>
      <c r="R8324" s="6"/>
      <c r="S8324" s="298"/>
    </row>
    <row r="8325" spans="14:19" hidden="1" x14ac:dyDescent="0.25">
      <c r="N8325" s="17">
        <v>1032.0999999998201</v>
      </c>
      <c r="O8325" s="16" t="s">
        <v>6922</v>
      </c>
      <c r="R8325" s="6"/>
      <c r="S8325" s="298"/>
    </row>
    <row r="8326" spans="14:19" hidden="1" x14ac:dyDescent="0.25">
      <c r="N8326" s="17">
        <v>1032.19999999982</v>
      </c>
      <c r="O8326" s="16" t="s">
        <v>6923</v>
      </c>
      <c r="R8326" s="6"/>
      <c r="S8326" s="298"/>
    </row>
    <row r="8327" spans="14:19" hidden="1" x14ac:dyDescent="0.25">
      <c r="N8327" s="17">
        <v>1032.2999999998201</v>
      </c>
      <c r="O8327" s="16" t="s">
        <v>6924</v>
      </c>
      <c r="R8327" s="6"/>
      <c r="S8327" s="298"/>
    </row>
    <row r="8328" spans="14:19" hidden="1" x14ac:dyDescent="0.25">
      <c r="N8328" s="17">
        <v>1032.39999999982</v>
      </c>
      <c r="O8328" s="16" t="s">
        <v>6925</v>
      </c>
      <c r="R8328" s="6"/>
      <c r="S8328" s="298"/>
    </row>
    <row r="8329" spans="14:19" hidden="1" x14ac:dyDescent="0.25">
      <c r="N8329" s="17">
        <v>1032.4999999998199</v>
      </c>
      <c r="O8329" s="16" t="s">
        <v>6926</v>
      </c>
      <c r="R8329" s="6"/>
      <c r="S8329" s="298"/>
    </row>
    <row r="8330" spans="14:19" hidden="1" x14ac:dyDescent="0.25">
      <c r="N8330" s="17">
        <v>1032.5999999998201</v>
      </c>
      <c r="O8330" s="16" t="s">
        <v>6927</v>
      </c>
      <c r="R8330" s="6"/>
      <c r="S8330" s="298"/>
    </row>
    <row r="8331" spans="14:19" hidden="1" x14ac:dyDescent="0.25">
      <c r="N8331" s="17">
        <v>1032.69999999982</v>
      </c>
      <c r="O8331" s="16" t="s">
        <v>6928</v>
      </c>
      <c r="R8331" s="6"/>
      <c r="S8331" s="298"/>
    </row>
    <row r="8332" spans="14:19" hidden="1" x14ac:dyDescent="0.25">
      <c r="N8332" s="17">
        <v>1032.7999999998201</v>
      </c>
      <c r="O8332" s="16" t="s">
        <v>6929</v>
      </c>
      <c r="R8332" s="6"/>
      <c r="S8332" s="298"/>
    </row>
    <row r="8333" spans="14:19" hidden="1" x14ac:dyDescent="0.25">
      <c r="N8333" s="17">
        <v>1032.89999999982</v>
      </c>
      <c r="O8333" s="16" t="s">
        <v>6930</v>
      </c>
      <c r="R8333" s="6"/>
      <c r="S8333" s="298"/>
    </row>
    <row r="8334" spans="14:19" hidden="1" x14ac:dyDescent="0.25">
      <c r="N8334" s="17">
        <v>1032.9999999998199</v>
      </c>
      <c r="O8334" s="16" t="s">
        <v>6048</v>
      </c>
      <c r="R8334" s="6"/>
      <c r="S8334" s="298"/>
    </row>
    <row r="8335" spans="14:19" hidden="1" x14ac:dyDescent="0.25">
      <c r="N8335" s="17">
        <v>1033.0999999998201</v>
      </c>
      <c r="O8335" s="16" t="s">
        <v>6049</v>
      </c>
      <c r="R8335" s="6"/>
      <c r="S8335" s="298"/>
    </row>
    <row r="8336" spans="14:19" hidden="1" x14ac:dyDescent="0.25">
      <c r="N8336" s="17">
        <v>1033.19999999982</v>
      </c>
      <c r="O8336" s="16" t="s">
        <v>6050</v>
      </c>
      <c r="R8336" s="6"/>
      <c r="S8336" s="298"/>
    </row>
    <row r="8337" spans="14:19" hidden="1" x14ac:dyDescent="0.25">
      <c r="N8337" s="17">
        <v>1033.2999999998201</v>
      </c>
      <c r="O8337" s="16" t="s">
        <v>6051</v>
      </c>
      <c r="R8337" s="6"/>
      <c r="S8337" s="298"/>
    </row>
    <row r="8338" spans="14:19" hidden="1" x14ac:dyDescent="0.25">
      <c r="N8338" s="17">
        <v>1033.39999999982</v>
      </c>
      <c r="O8338" s="16" t="s">
        <v>6052</v>
      </c>
      <c r="R8338" s="6"/>
      <c r="S8338" s="298"/>
    </row>
    <row r="8339" spans="14:19" hidden="1" x14ac:dyDescent="0.25">
      <c r="N8339" s="17">
        <v>1033.4999999998199</v>
      </c>
      <c r="O8339" s="16" t="s">
        <v>6053</v>
      </c>
      <c r="R8339" s="6"/>
      <c r="S8339" s="298"/>
    </row>
    <row r="8340" spans="14:19" hidden="1" x14ac:dyDescent="0.25">
      <c r="N8340" s="17">
        <v>1033.5999999998201</v>
      </c>
      <c r="O8340" s="16" t="s">
        <v>6054</v>
      </c>
      <c r="R8340" s="6"/>
      <c r="S8340" s="298"/>
    </row>
    <row r="8341" spans="14:19" hidden="1" x14ac:dyDescent="0.25">
      <c r="N8341" s="17">
        <v>1033.69999999982</v>
      </c>
      <c r="O8341" s="16" t="s">
        <v>6055</v>
      </c>
      <c r="R8341" s="6"/>
      <c r="S8341" s="298"/>
    </row>
    <row r="8342" spans="14:19" hidden="1" x14ac:dyDescent="0.25">
      <c r="N8342" s="17">
        <v>1033.7999999998201</v>
      </c>
      <c r="O8342" s="16" t="s">
        <v>6056</v>
      </c>
      <c r="R8342" s="6"/>
      <c r="S8342" s="298"/>
    </row>
    <row r="8343" spans="14:19" hidden="1" x14ac:dyDescent="0.25">
      <c r="N8343" s="17">
        <v>1033.89999999982</v>
      </c>
      <c r="O8343" s="16" t="s">
        <v>6057</v>
      </c>
      <c r="R8343" s="6"/>
      <c r="S8343" s="298"/>
    </row>
    <row r="8344" spans="14:19" hidden="1" x14ac:dyDescent="0.25">
      <c r="N8344" s="17">
        <v>1033.9999999998199</v>
      </c>
      <c r="O8344" s="16" t="s">
        <v>6058</v>
      </c>
      <c r="R8344" s="6"/>
      <c r="S8344" s="298"/>
    </row>
    <row r="8345" spans="14:19" hidden="1" x14ac:dyDescent="0.25">
      <c r="N8345" s="17">
        <v>1034.0999999998201</v>
      </c>
      <c r="O8345" s="16" t="s">
        <v>6059</v>
      </c>
      <c r="R8345" s="6"/>
      <c r="S8345" s="298"/>
    </row>
    <row r="8346" spans="14:19" hidden="1" x14ac:dyDescent="0.25">
      <c r="N8346" s="17">
        <v>1034.19999999982</v>
      </c>
      <c r="O8346" s="16" t="s">
        <v>8152</v>
      </c>
      <c r="R8346" s="6"/>
      <c r="S8346" s="298"/>
    </row>
    <row r="8347" spans="14:19" hidden="1" x14ac:dyDescent="0.25">
      <c r="N8347" s="17">
        <v>1034.2999999998201</v>
      </c>
      <c r="O8347" s="16" t="s">
        <v>8153</v>
      </c>
      <c r="R8347" s="6"/>
      <c r="S8347" s="298"/>
    </row>
    <row r="8348" spans="14:19" hidden="1" x14ac:dyDescent="0.25">
      <c r="N8348" s="17">
        <v>1034.39999999982</v>
      </c>
      <c r="O8348" s="16" t="s">
        <v>8154</v>
      </c>
      <c r="R8348" s="6"/>
      <c r="S8348" s="298"/>
    </row>
    <row r="8349" spans="14:19" hidden="1" x14ac:dyDescent="0.25">
      <c r="N8349" s="17">
        <v>1034.4999999998199</v>
      </c>
      <c r="O8349" s="16" t="s">
        <v>8155</v>
      </c>
      <c r="R8349" s="6"/>
      <c r="S8349" s="298"/>
    </row>
    <row r="8350" spans="14:19" hidden="1" x14ac:dyDescent="0.25">
      <c r="N8350" s="17">
        <v>1034.5999999998201</v>
      </c>
      <c r="O8350" s="16" t="s">
        <v>8156</v>
      </c>
      <c r="R8350" s="6"/>
      <c r="S8350" s="298"/>
    </row>
    <row r="8351" spans="14:19" hidden="1" x14ac:dyDescent="0.25">
      <c r="N8351" s="17">
        <v>1034.69999999982</v>
      </c>
      <c r="O8351" s="16" t="s">
        <v>8157</v>
      </c>
      <c r="R8351" s="6"/>
      <c r="S8351" s="298"/>
    </row>
    <row r="8352" spans="14:19" hidden="1" x14ac:dyDescent="0.25">
      <c r="N8352" s="17">
        <v>1034.7999999998201</v>
      </c>
      <c r="O8352" s="16" t="s">
        <v>8158</v>
      </c>
      <c r="R8352" s="6"/>
      <c r="S8352" s="298"/>
    </row>
    <row r="8353" spans="14:19" hidden="1" x14ac:dyDescent="0.25">
      <c r="N8353" s="17">
        <v>1034.89999999982</v>
      </c>
      <c r="O8353" s="16" t="s">
        <v>8159</v>
      </c>
      <c r="R8353" s="6"/>
      <c r="S8353" s="298"/>
    </row>
    <row r="8354" spans="14:19" hidden="1" x14ac:dyDescent="0.25">
      <c r="N8354" s="17">
        <v>1034.9999999998199</v>
      </c>
      <c r="O8354" s="16" t="s">
        <v>8160</v>
      </c>
      <c r="R8354" s="6"/>
      <c r="S8354" s="298"/>
    </row>
    <row r="8355" spans="14:19" hidden="1" x14ac:dyDescent="0.25">
      <c r="N8355" s="17">
        <v>1035.0999999998201</v>
      </c>
      <c r="O8355" s="16" t="s">
        <v>8161</v>
      </c>
      <c r="R8355" s="6"/>
      <c r="S8355" s="298"/>
    </row>
    <row r="8356" spans="14:19" hidden="1" x14ac:dyDescent="0.25">
      <c r="N8356" s="17">
        <v>1035.19999999982</v>
      </c>
      <c r="O8356" s="16" t="s">
        <v>8162</v>
      </c>
      <c r="R8356" s="6"/>
      <c r="S8356" s="298"/>
    </row>
    <row r="8357" spans="14:19" hidden="1" x14ac:dyDescent="0.25">
      <c r="N8357" s="17">
        <v>1035.2999999998201</v>
      </c>
      <c r="O8357" s="16" t="s">
        <v>8163</v>
      </c>
      <c r="R8357" s="6"/>
      <c r="S8357" s="298"/>
    </row>
    <row r="8358" spans="14:19" hidden="1" x14ac:dyDescent="0.25">
      <c r="N8358" s="17">
        <v>1035.39999999982</v>
      </c>
      <c r="O8358" s="16" t="s">
        <v>8164</v>
      </c>
      <c r="R8358" s="6"/>
      <c r="S8358" s="298"/>
    </row>
    <row r="8359" spans="14:19" hidden="1" x14ac:dyDescent="0.25">
      <c r="N8359" s="17">
        <v>1035.4999999998199</v>
      </c>
      <c r="O8359" s="16" t="s">
        <v>8165</v>
      </c>
      <c r="R8359" s="6"/>
      <c r="S8359" s="298"/>
    </row>
    <row r="8360" spans="14:19" hidden="1" x14ac:dyDescent="0.25">
      <c r="N8360" s="17">
        <v>1035.5999999998201</v>
      </c>
      <c r="O8360" s="16" t="s">
        <v>8166</v>
      </c>
      <c r="R8360" s="6"/>
      <c r="S8360" s="298"/>
    </row>
    <row r="8361" spans="14:19" hidden="1" x14ac:dyDescent="0.25">
      <c r="N8361" s="17">
        <v>1035.69999999982</v>
      </c>
      <c r="O8361" s="16" t="s">
        <v>6070</v>
      </c>
      <c r="R8361" s="6"/>
      <c r="S8361" s="298"/>
    </row>
    <row r="8362" spans="14:19" hidden="1" x14ac:dyDescent="0.25">
      <c r="N8362" s="17">
        <v>1035.7999999998201</v>
      </c>
      <c r="O8362" s="16" t="s">
        <v>6071</v>
      </c>
      <c r="R8362" s="6"/>
      <c r="S8362" s="298"/>
    </row>
    <row r="8363" spans="14:19" hidden="1" x14ac:dyDescent="0.25">
      <c r="N8363" s="17">
        <v>1035.89999999982</v>
      </c>
      <c r="O8363" s="16" t="s">
        <v>6072</v>
      </c>
      <c r="R8363" s="6"/>
      <c r="S8363" s="298"/>
    </row>
    <row r="8364" spans="14:19" hidden="1" x14ac:dyDescent="0.25">
      <c r="N8364" s="17">
        <v>1035.9999999998199</v>
      </c>
      <c r="O8364" s="16" t="s">
        <v>6073</v>
      </c>
      <c r="R8364" s="6"/>
      <c r="S8364" s="298"/>
    </row>
    <row r="8365" spans="14:19" hidden="1" x14ac:dyDescent="0.25">
      <c r="N8365" s="17">
        <v>1036.0999999998201</v>
      </c>
      <c r="O8365" s="16" t="s">
        <v>6074</v>
      </c>
      <c r="R8365" s="6"/>
      <c r="S8365" s="298"/>
    </row>
    <row r="8366" spans="14:19" hidden="1" x14ac:dyDescent="0.25">
      <c r="N8366" s="17">
        <v>1036.19999999982</v>
      </c>
      <c r="O8366" s="16" t="s">
        <v>6075</v>
      </c>
      <c r="R8366" s="6"/>
      <c r="S8366" s="298"/>
    </row>
    <row r="8367" spans="14:19" hidden="1" x14ac:dyDescent="0.25">
      <c r="N8367" s="17">
        <v>1036.2999999998201</v>
      </c>
      <c r="O8367" s="16" t="s">
        <v>5854</v>
      </c>
      <c r="R8367" s="6"/>
      <c r="S8367" s="298"/>
    </row>
    <row r="8368" spans="14:19" hidden="1" x14ac:dyDescent="0.25">
      <c r="N8368" s="17">
        <v>1036.39999999982</v>
      </c>
      <c r="O8368" s="16" t="s">
        <v>5855</v>
      </c>
      <c r="R8368" s="6"/>
      <c r="S8368" s="298"/>
    </row>
    <row r="8369" spans="14:19" hidden="1" x14ac:dyDescent="0.25">
      <c r="N8369" s="17">
        <v>1036.4999999998199</v>
      </c>
      <c r="O8369" s="16" t="s">
        <v>5856</v>
      </c>
      <c r="R8369" s="6"/>
      <c r="S8369" s="298"/>
    </row>
    <row r="8370" spans="14:19" hidden="1" x14ac:dyDescent="0.25">
      <c r="N8370" s="17">
        <v>1036.5999999998201</v>
      </c>
      <c r="O8370" s="16" t="s">
        <v>5857</v>
      </c>
      <c r="R8370" s="6"/>
      <c r="S8370" s="298"/>
    </row>
    <row r="8371" spans="14:19" hidden="1" x14ac:dyDescent="0.25">
      <c r="N8371" s="17">
        <v>1036.69999999982</v>
      </c>
      <c r="O8371" s="16" t="s">
        <v>5858</v>
      </c>
      <c r="R8371" s="6"/>
      <c r="S8371" s="298"/>
    </row>
    <row r="8372" spans="14:19" hidden="1" x14ac:dyDescent="0.25">
      <c r="N8372" s="17">
        <v>1036.7999999998201</v>
      </c>
      <c r="O8372" s="16" t="s">
        <v>5859</v>
      </c>
      <c r="R8372" s="6"/>
      <c r="S8372" s="298"/>
    </row>
    <row r="8373" spans="14:19" hidden="1" x14ac:dyDescent="0.25">
      <c r="N8373" s="17">
        <v>1036.89999999982</v>
      </c>
      <c r="O8373" s="16" t="s">
        <v>5860</v>
      </c>
      <c r="R8373" s="6"/>
      <c r="S8373" s="298"/>
    </row>
    <row r="8374" spans="14:19" hidden="1" x14ac:dyDescent="0.25">
      <c r="N8374" s="17">
        <v>1036.9999999998199</v>
      </c>
      <c r="O8374" s="16" t="s">
        <v>5861</v>
      </c>
      <c r="R8374" s="6"/>
      <c r="S8374" s="298"/>
    </row>
    <row r="8375" spans="14:19" hidden="1" x14ac:dyDescent="0.25">
      <c r="N8375" s="17">
        <v>1037.0999999998201</v>
      </c>
      <c r="O8375" s="16" t="s">
        <v>5862</v>
      </c>
      <c r="R8375" s="6"/>
      <c r="S8375" s="298"/>
    </row>
    <row r="8376" spans="14:19" hidden="1" x14ac:dyDescent="0.25">
      <c r="N8376" s="17">
        <v>1037.19999999982</v>
      </c>
      <c r="O8376" s="16" t="s">
        <v>7053</v>
      </c>
      <c r="R8376" s="6"/>
      <c r="S8376" s="298"/>
    </row>
    <row r="8377" spans="14:19" hidden="1" x14ac:dyDescent="0.25">
      <c r="N8377" s="17">
        <v>1037.2999999998201</v>
      </c>
      <c r="O8377" s="16" t="s">
        <v>7054</v>
      </c>
      <c r="R8377" s="6"/>
      <c r="S8377" s="298"/>
    </row>
    <row r="8378" spans="14:19" hidden="1" x14ac:dyDescent="0.25">
      <c r="N8378" s="17">
        <v>1037.39999999982</v>
      </c>
      <c r="O8378" s="16" t="s">
        <v>7900</v>
      </c>
      <c r="R8378" s="6"/>
      <c r="S8378" s="298"/>
    </row>
    <row r="8379" spans="14:19" hidden="1" x14ac:dyDescent="0.25">
      <c r="N8379" s="17">
        <v>1037.4999999998199</v>
      </c>
      <c r="O8379" s="16" t="s">
        <v>7901</v>
      </c>
      <c r="R8379" s="6"/>
      <c r="S8379" s="298"/>
    </row>
    <row r="8380" spans="14:19" hidden="1" x14ac:dyDescent="0.25">
      <c r="N8380" s="17">
        <v>1037.5999999998201</v>
      </c>
      <c r="O8380" s="16" t="s">
        <v>7902</v>
      </c>
      <c r="R8380" s="6"/>
      <c r="S8380" s="298"/>
    </row>
    <row r="8381" spans="14:19" hidden="1" x14ac:dyDescent="0.25">
      <c r="N8381" s="17">
        <v>1037.69999999982</v>
      </c>
      <c r="O8381" s="16" t="s">
        <v>7903</v>
      </c>
      <c r="R8381" s="6"/>
      <c r="S8381" s="298"/>
    </row>
    <row r="8382" spans="14:19" hidden="1" x14ac:dyDescent="0.25">
      <c r="N8382" s="17">
        <v>1037.7999999998201</v>
      </c>
      <c r="O8382" s="16" t="s">
        <v>7904</v>
      </c>
      <c r="R8382" s="6"/>
      <c r="S8382" s="298"/>
    </row>
    <row r="8383" spans="14:19" hidden="1" x14ac:dyDescent="0.25">
      <c r="N8383" s="17">
        <v>1037.89999999982</v>
      </c>
      <c r="O8383" s="16" t="s">
        <v>7905</v>
      </c>
      <c r="R8383" s="6"/>
      <c r="S8383" s="298"/>
    </row>
    <row r="8384" spans="14:19" hidden="1" x14ac:dyDescent="0.25">
      <c r="N8384" s="17">
        <v>1037.9999999998199</v>
      </c>
      <c r="O8384" s="16" t="s">
        <v>7906</v>
      </c>
      <c r="R8384" s="6"/>
      <c r="S8384" s="298"/>
    </row>
    <row r="8385" spans="14:19" hidden="1" x14ac:dyDescent="0.25">
      <c r="N8385" s="17">
        <v>1038.0999999998201</v>
      </c>
      <c r="O8385" s="16" t="s">
        <v>5934</v>
      </c>
      <c r="R8385" s="6"/>
      <c r="S8385" s="298"/>
    </row>
    <row r="8386" spans="14:19" hidden="1" x14ac:dyDescent="0.25">
      <c r="N8386" s="17">
        <v>1038.19999999982</v>
      </c>
      <c r="O8386" s="16" t="s">
        <v>5935</v>
      </c>
      <c r="R8386" s="6"/>
      <c r="S8386" s="298"/>
    </row>
    <row r="8387" spans="14:19" hidden="1" x14ac:dyDescent="0.25">
      <c r="N8387" s="17">
        <v>1038.2999999998201</v>
      </c>
      <c r="O8387" s="16" t="s">
        <v>5936</v>
      </c>
      <c r="R8387" s="6"/>
      <c r="S8387" s="298"/>
    </row>
    <row r="8388" spans="14:19" hidden="1" x14ac:dyDescent="0.25">
      <c r="N8388" s="17">
        <v>1038.39999999982</v>
      </c>
      <c r="O8388" s="16" t="s">
        <v>5937</v>
      </c>
      <c r="R8388" s="6"/>
      <c r="S8388" s="298"/>
    </row>
    <row r="8389" spans="14:19" hidden="1" x14ac:dyDescent="0.25">
      <c r="N8389" s="17">
        <v>1038.4999999998199</v>
      </c>
      <c r="O8389" s="16" t="s">
        <v>5938</v>
      </c>
      <c r="R8389" s="6"/>
      <c r="S8389" s="298"/>
    </row>
    <row r="8390" spans="14:19" hidden="1" x14ac:dyDescent="0.25">
      <c r="N8390" s="17">
        <v>1038.5999999998201</v>
      </c>
      <c r="O8390" s="16" t="s">
        <v>5939</v>
      </c>
      <c r="R8390" s="6"/>
      <c r="S8390" s="298"/>
    </row>
    <row r="8391" spans="14:19" hidden="1" x14ac:dyDescent="0.25">
      <c r="N8391" s="17">
        <v>1038.69999999982</v>
      </c>
      <c r="O8391" s="16" t="s">
        <v>5940</v>
      </c>
      <c r="R8391" s="6"/>
      <c r="S8391" s="298"/>
    </row>
    <row r="8392" spans="14:19" hidden="1" x14ac:dyDescent="0.25">
      <c r="N8392" s="17">
        <v>1038.7999999998201</v>
      </c>
      <c r="O8392" s="16" t="s">
        <v>5941</v>
      </c>
      <c r="R8392" s="6"/>
      <c r="S8392" s="298"/>
    </row>
    <row r="8393" spans="14:19" hidden="1" x14ac:dyDescent="0.25">
      <c r="N8393" s="17">
        <v>1038.89999999982</v>
      </c>
      <c r="O8393" s="16" t="s">
        <v>5942</v>
      </c>
      <c r="R8393" s="6"/>
      <c r="S8393" s="298"/>
    </row>
    <row r="8394" spans="14:19" hidden="1" x14ac:dyDescent="0.25">
      <c r="N8394" s="17">
        <v>1038.9999999998199</v>
      </c>
      <c r="O8394" s="16" t="s">
        <v>5943</v>
      </c>
      <c r="R8394" s="6"/>
      <c r="S8394" s="298"/>
    </row>
    <row r="8395" spans="14:19" hidden="1" x14ac:dyDescent="0.25">
      <c r="N8395" s="17">
        <v>1039.0999999998201</v>
      </c>
      <c r="O8395" s="16" t="s">
        <v>5944</v>
      </c>
      <c r="R8395" s="6"/>
      <c r="S8395" s="298"/>
    </row>
    <row r="8396" spans="14:19" hidden="1" x14ac:dyDescent="0.25">
      <c r="N8396" s="17">
        <v>1039.19999999982</v>
      </c>
      <c r="O8396" s="16" t="s">
        <v>5945</v>
      </c>
      <c r="R8396" s="6"/>
      <c r="S8396" s="298"/>
    </row>
    <row r="8397" spans="14:19" hidden="1" x14ac:dyDescent="0.25">
      <c r="N8397" s="17">
        <v>1039.2999999998201</v>
      </c>
      <c r="O8397" s="16" t="s">
        <v>5946</v>
      </c>
      <c r="R8397" s="6"/>
      <c r="S8397" s="298"/>
    </row>
    <row r="8398" spans="14:19" hidden="1" x14ac:dyDescent="0.25">
      <c r="N8398" s="17">
        <v>1039.39999999982</v>
      </c>
      <c r="O8398" s="16" t="s">
        <v>5947</v>
      </c>
      <c r="R8398" s="6"/>
      <c r="S8398" s="298"/>
    </row>
    <row r="8399" spans="14:19" hidden="1" x14ac:dyDescent="0.25">
      <c r="N8399" s="17">
        <v>1039.4999999998199</v>
      </c>
      <c r="O8399" s="16" t="s">
        <v>5948</v>
      </c>
      <c r="R8399" s="6"/>
      <c r="S8399" s="298"/>
    </row>
    <row r="8400" spans="14:19" hidden="1" x14ac:dyDescent="0.25">
      <c r="N8400" s="17">
        <v>1039.5999999998201</v>
      </c>
      <c r="O8400" s="16" t="s">
        <v>5949</v>
      </c>
      <c r="R8400" s="6"/>
      <c r="S8400" s="298"/>
    </row>
    <row r="8401" spans="14:19" hidden="1" x14ac:dyDescent="0.25">
      <c r="N8401" s="17">
        <v>1039.69999999982</v>
      </c>
      <c r="O8401" s="16" t="s">
        <v>5950</v>
      </c>
      <c r="R8401" s="6"/>
      <c r="S8401" s="298"/>
    </row>
    <row r="8402" spans="14:19" hidden="1" x14ac:dyDescent="0.25">
      <c r="N8402" s="17">
        <v>1039.7999999998201</v>
      </c>
      <c r="O8402" s="16" t="s">
        <v>5951</v>
      </c>
      <c r="R8402" s="6"/>
      <c r="S8402" s="298"/>
    </row>
    <row r="8403" spans="14:19" hidden="1" x14ac:dyDescent="0.25">
      <c r="N8403" s="17">
        <v>1039.89999999982</v>
      </c>
      <c r="O8403" s="16" t="s">
        <v>5952</v>
      </c>
      <c r="R8403" s="6"/>
      <c r="S8403" s="298"/>
    </row>
    <row r="8404" spans="14:19" hidden="1" x14ac:dyDescent="0.25">
      <c r="N8404" s="17">
        <v>1039.9999999998199</v>
      </c>
      <c r="O8404" s="16" t="s">
        <v>5953</v>
      </c>
      <c r="R8404" s="6"/>
      <c r="S8404" s="298"/>
    </row>
    <row r="8405" spans="14:19" hidden="1" x14ac:dyDescent="0.25">
      <c r="N8405" s="17">
        <v>1040.0999999998201</v>
      </c>
      <c r="O8405" s="16" t="s">
        <v>5954</v>
      </c>
      <c r="R8405" s="6"/>
      <c r="S8405" s="298"/>
    </row>
    <row r="8406" spans="14:19" hidden="1" x14ac:dyDescent="0.25">
      <c r="N8406" s="17">
        <v>1040.19999999982</v>
      </c>
      <c r="O8406" s="16" t="s">
        <v>5955</v>
      </c>
      <c r="R8406" s="6"/>
      <c r="S8406" s="298"/>
    </row>
    <row r="8407" spans="14:19" hidden="1" x14ac:dyDescent="0.25">
      <c r="N8407" s="17">
        <v>1040.2999999998201</v>
      </c>
      <c r="O8407" s="16" t="s">
        <v>5956</v>
      </c>
      <c r="R8407" s="6"/>
      <c r="S8407" s="298"/>
    </row>
    <row r="8408" spans="14:19" hidden="1" x14ac:dyDescent="0.25">
      <c r="N8408" s="17">
        <v>1040.39999999982</v>
      </c>
      <c r="O8408" s="16" t="s">
        <v>5957</v>
      </c>
      <c r="R8408" s="6"/>
      <c r="S8408" s="298"/>
    </row>
    <row r="8409" spans="14:19" hidden="1" x14ac:dyDescent="0.25">
      <c r="N8409" s="17">
        <v>1040.4999999998199</v>
      </c>
      <c r="O8409" s="16" t="s">
        <v>5958</v>
      </c>
      <c r="R8409" s="6"/>
      <c r="S8409" s="298"/>
    </row>
    <row r="8410" spans="14:19" hidden="1" x14ac:dyDescent="0.25">
      <c r="N8410" s="17">
        <v>1040.5999999998201</v>
      </c>
      <c r="O8410" s="16" t="s">
        <v>5959</v>
      </c>
      <c r="R8410" s="6"/>
      <c r="S8410" s="298"/>
    </row>
    <row r="8411" spans="14:19" hidden="1" x14ac:dyDescent="0.25">
      <c r="N8411" s="17">
        <v>1040.69999999982</v>
      </c>
      <c r="O8411" s="16" t="s">
        <v>5960</v>
      </c>
      <c r="R8411" s="6"/>
      <c r="S8411" s="298"/>
    </row>
    <row r="8412" spans="14:19" hidden="1" x14ac:dyDescent="0.25">
      <c r="N8412" s="17">
        <v>1040.7999999998201</v>
      </c>
      <c r="O8412" s="16" t="s">
        <v>5961</v>
      </c>
      <c r="R8412" s="6"/>
      <c r="S8412" s="298"/>
    </row>
    <row r="8413" spans="14:19" hidden="1" x14ac:dyDescent="0.25">
      <c r="N8413" s="17">
        <v>1040.89999999982</v>
      </c>
      <c r="O8413" s="16" t="s">
        <v>5962</v>
      </c>
      <c r="R8413" s="6"/>
      <c r="S8413" s="298"/>
    </row>
    <row r="8414" spans="14:19" hidden="1" x14ac:dyDescent="0.25">
      <c r="N8414" s="17">
        <v>1040.9999999998099</v>
      </c>
      <c r="O8414" s="16" t="s">
        <v>5963</v>
      </c>
      <c r="R8414" s="6"/>
      <c r="S8414" s="298"/>
    </row>
    <row r="8415" spans="14:19" hidden="1" x14ac:dyDescent="0.25">
      <c r="N8415" s="17">
        <v>1041.0999999998201</v>
      </c>
      <c r="O8415" s="16" t="s">
        <v>5964</v>
      </c>
      <c r="R8415" s="6"/>
      <c r="S8415" s="298"/>
    </row>
    <row r="8416" spans="14:19" hidden="1" x14ac:dyDescent="0.25">
      <c r="N8416" s="17">
        <v>1041.19999999982</v>
      </c>
      <c r="O8416" s="16" t="s">
        <v>7984</v>
      </c>
      <c r="R8416" s="6"/>
      <c r="S8416" s="298"/>
    </row>
    <row r="8417" spans="14:19" hidden="1" x14ac:dyDescent="0.25">
      <c r="N8417" s="17">
        <v>1041.2999999998201</v>
      </c>
      <c r="O8417" s="16" t="s">
        <v>7985</v>
      </c>
      <c r="R8417" s="6"/>
      <c r="S8417" s="298"/>
    </row>
    <row r="8418" spans="14:19" hidden="1" x14ac:dyDescent="0.25">
      <c r="N8418" s="17">
        <v>1041.39999999982</v>
      </c>
      <c r="O8418" s="16" t="s">
        <v>7986</v>
      </c>
      <c r="R8418" s="6"/>
      <c r="S8418" s="298"/>
    </row>
    <row r="8419" spans="14:19" hidden="1" x14ac:dyDescent="0.25">
      <c r="N8419" s="17">
        <v>1041.4999999998099</v>
      </c>
      <c r="O8419" s="16" t="s">
        <v>7987</v>
      </c>
      <c r="R8419" s="6"/>
      <c r="S8419" s="298"/>
    </row>
    <row r="8420" spans="14:19" hidden="1" x14ac:dyDescent="0.25">
      <c r="N8420" s="17">
        <v>1041.5999999998201</v>
      </c>
      <c r="O8420" s="16" t="s">
        <v>7988</v>
      </c>
      <c r="R8420" s="6"/>
      <c r="S8420" s="298"/>
    </row>
    <row r="8421" spans="14:19" hidden="1" x14ac:dyDescent="0.25">
      <c r="N8421" s="17">
        <v>1041.69999999982</v>
      </c>
      <c r="O8421" s="16" t="s">
        <v>7989</v>
      </c>
      <c r="R8421" s="6"/>
      <c r="S8421" s="298"/>
    </row>
    <row r="8422" spans="14:19" hidden="1" x14ac:dyDescent="0.25">
      <c r="N8422" s="17">
        <v>1041.7999999998201</v>
      </c>
      <c r="O8422" s="16" t="s">
        <v>7990</v>
      </c>
      <c r="R8422" s="6"/>
      <c r="S8422" s="298"/>
    </row>
    <row r="8423" spans="14:19" hidden="1" x14ac:dyDescent="0.25">
      <c r="N8423" s="17">
        <v>1041.89999999982</v>
      </c>
      <c r="O8423" s="16" t="s">
        <v>7991</v>
      </c>
      <c r="R8423" s="6"/>
      <c r="S8423" s="298"/>
    </row>
    <row r="8424" spans="14:19" hidden="1" x14ac:dyDescent="0.25">
      <c r="N8424" s="17">
        <v>1041.9999999998099</v>
      </c>
      <c r="O8424" s="16" t="s">
        <v>7992</v>
      </c>
      <c r="R8424" s="6"/>
      <c r="S8424" s="298"/>
    </row>
    <row r="8425" spans="14:19" hidden="1" x14ac:dyDescent="0.25">
      <c r="N8425" s="17">
        <v>1042.0999999998201</v>
      </c>
      <c r="O8425" s="16" t="s">
        <v>7993</v>
      </c>
      <c r="R8425" s="6"/>
      <c r="S8425" s="298"/>
    </row>
    <row r="8426" spans="14:19" hidden="1" x14ac:dyDescent="0.25">
      <c r="N8426" s="17">
        <v>1042.19999999982</v>
      </c>
      <c r="O8426" s="16" t="s">
        <v>6886</v>
      </c>
      <c r="R8426" s="6"/>
      <c r="S8426" s="298"/>
    </row>
    <row r="8427" spans="14:19" hidden="1" x14ac:dyDescent="0.25">
      <c r="N8427" s="17">
        <v>1042.2999999998201</v>
      </c>
      <c r="O8427" s="16" t="s">
        <v>7930</v>
      </c>
      <c r="R8427" s="6"/>
      <c r="S8427" s="298"/>
    </row>
    <row r="8428" spans="14:19" hidden="1" x14ac:dyDescent="0.25">
      <c r="N8428" s="17">
        <v>1042.39999999982</v>
      </c>
      <c r="O8428" s="16" t="s">
        <v>7931</v>
      </c>
      <c r="R8428" s="6"/>
      <c r="S8428" s="298"/>
    </row>
    <row r="8429" spans="14:19" hidden="1" x14ac:dyDescent="0.25">
      <c r="N8429" s="17">
        <v>1042.4999999998099</v>
      </c>
      <c r="O8429" s="16" t="s">
        <v>7932</v>
      </c>
      <c r="R8429" s="6"/>
      <c r="S8429" s="298"/>
    </row>
    <row r="8430" spans="14:19" hidden="1" x14ac:dyDescent="0.25">
      <c r="N8430" s="17">
        <v>1042.5999999998201</v>
      </c>
      <c r="O8430" s="16" t="s">
        <v>7933</v>
      </c>
      <c r="R8430" s="6"/>
      <c r="S8430" s="298"/>
    </row>
    <row r="8431" spans="14:19" hidden="1" x14ac:dyDescent="0.25">
      <c r="N8431" s="17">
        <v>1042.69999999982</v>
      </c>
      <c r="O8431" s="16" t="s">
        <v>7934</v>
      </c>
      <c r="R8431" s="6"/>
      <c r="S8431" s="298"/>
    </row>
    <row r="8432" spans="14:19" hidden="1" x14ac:dyDescent="0.25">
      <c r="N8432" s="17">
        <v>1042.7999999998201</v>
      </c>
      <c r="O8432" s="16" t="s">
        <v>7935</v>
      </c>
      <c r="R8432" s="6"/>
      <c r="S8432" s="298"/>
    </row>
    <row r="8433" spans="14:19" hidden="1" x14ac:dyDescent="0.25">
      <c r="N8433" s="17">
        <v>1042.89999999982</v>
      </c>
      <c r="O8433" s="16" t="s">
        <v>7936</v>
      </c>
      <c r="R8433" s="6"/>
      <c r="S8433" s="298"/>
    </row>
    <row r="8434" spans="14:19" hidden="1" x14ac:dyDescent="0.25">
      <c r="N8434" s="17">
        <v>1042.9999999998099</v>
      </c>
      <c r="O8434" s="16" t="s">
        <v>7937</v>
      </c>
      <c r="R8434" s="6"/>
      <c r="S8434" s="298"/>
    </row>
    <row r="8435" spans="14:19" hidden="1" x14ac:dyDescent="0.25">
      <c r="N8435" s="17">
        <v>1043.0999999998201</v>
      </c>
      <c r="O8435" s="16" t="s">
        <v>6840</v>
      </c>
      <c r="R8435" s="6"/>
      <c r="S8435" s="298"/>
    </row>
    <row r="8436" spans="14:19" hidden="1" x14ac:dyDescent="0.25">
      <c r="N8436" s="17">
        <v>1043.19999999982</v>
      </c>
      <c r="O8436" s="16" t="s">
        <v>6841</v>
      </c>
      <c r="R8436" s="6"/>
      <c r="S8436" s="298"/>
    </row>
    <row r="8437" spans="14:19" hidden="1" x14ac:dyDescent="0.25">
      <c r="N8437" s="17">
        <v>1043.2999999998201</v>
      </c>
      <c r="O8437" s="16" t="s">
        <v>6842</v>
      </c>
      <c r="R8437" s="6"/>
      <c r="S8437" s="298"/>
    </row>
    <row r="8438" spans="14:19" hidden="1" x14ac:dyDescent="0.25">
      <c r="N8438" s="17">
        <v>1043.39999999982</v>
      </c>
      <c r="O8438" s="16" t="s">
        <v>6843</v>
      </c>
      <c r="R8438" s="6"/>
      <c r="S8438" s="298"/>
    </row>
    <row r="8439" spans="14:19" hidden="1" x14ac:dyDescent="0.25">
      <c r="N8439" s="17">
        <v>1043.4999999998099</v>
      </c>
      <c r="O8439" s="16" t="s">
        <v>6844</v>
      </c>
      <c r="R8439" s="6"/>
      <c r="S8439" s="298"/>
    </row>
    <row r="8440" spans="14:19" hidden="1" x14ac:dyDescent="0.25">
      <c r="N8440" s="17">
        <v>1043.5999999998201</v>
      </c>
      <c r="O8440" s="16" t="s">
        <v>6845</v>
      </c>
      <c r="R8440" s="6"/>
      <c r="S8440" s="298"/>
    </row>
    <row r="8441" spans="14:19" hidden="1" x14ac:dyDescent="0.25">
      <c r="N8441" s="17">
        <v>1043.69999999982</v>
      </c>
      <c r="O8441" s="16" t="s">
        <v>6846</v>
      </c>
      <c r="R8441" s="6"/>
      <c r="S8441" s="298"/>
    </row>
    <row r="8442" spans="14:19" hidden="1" x14ac:dyDescent="0.25">
      <c r="N8442" s="17">
        <v>1043.7999999998201</v>
      </c>
      <c r="O8442" s="16" t="s">
        <v>6847</v>
      </c>
      <c r="R8442" s="6"/>
      <c r="S8442" s="298"/>
    </row>
    <row r="8443" spans="14:19" hidden="1" x14ac:dyDescent="0.25">
      <c r="N8443" s="17">
        <v>1043.89999999982</v>
      </c>
      <c r="O8443" s="16" t="s">
        <v>6848</v>
      </c>
      <c r="R8443" s="6"/>
      <c r="S8443" s="298"/>
    </row>
    <row r="8444" spans="14:19" hidden="1" x14ac:dyDescent="0.25">
      <c r="N8444" s="17">
        <v>1043.9999999998099</v>
      </c>
      <c r="O8444" s="16" t="s">
        <v>6849</v>
      </c>
      <c r="R8444" s="6"/>
      <c r="S8444" s="298"/>
    </row>
    <row r="8445" spans="14:19" hidden="1" x14ac:dyDescent="0.25">
      <c r="N8445" s="17">
        <v>1044.0999999998101</v>
      </c>
      <c r="O8445" s="16" t="s">
        <v>6850</v>
      </c>
      <c r="R8445" s="6"/>
      <c r="S8445" s="298"/>
    </row>
    <row r="8446" spans="14:19" hidden="1" x14ac:dyDescent="0.25">
      <c r="N8446" s="17">
        <v>1044.19999999981</v>
      </c>
      <c r="O8446" s="16" t="s">
        <v>6851</v>
      </c>
      <c r="R8446" s="6"/>
      <c r="S8446" s="298"/>
    </row>
    <row r="8447" spans="14:19" hidden="1" x14ac:dyDescent="0.25">
      <c r="N8447" s="17">
        <v>1044.2999999998101</v>
      </c>
      <c r="O8447" s="16" t="s">
        <v>6852</v>
      </c>
      <c r="R8447" s="6"/>
      <c r="S8447" s="298"/>
    </row>
    <row r="8448" spans="14:19" hidden="1" x14ac:dyDescent="0.25">
      <c r="N8448" s="17">
        <v>1044.39999999981</v>
      </c>
      <c r="O8448" s="16" t="s">
        <v>6853</v>
      </c>
      <c r="R8448" s="6"/>
      <c r="S8448" s="298"/>
    </row>
    <row r="8449" spans="14:19" hidden="1" x14ac:dyDescent="0.25">
      <c r="N8449" s="17">
        <v>1044.4999999998099</v>
      </c>
      <c r="O8449" s="16" t="s">
        <v>6854</v>
      </c>
      <c r="R8449" s="6"/>
      <c r="S8449" s="298"/>
    </row>
    <row r="8450" spans="14:19" hidden="1" x14ac:dyDescent="0.25">
      <c r="N8450" s="17">
        <v>1044.5999999998101</v>
      </c>
      <c r="O8450" s="16" t="s">
        <v>6855</v>
      </c>
      <c r="R8450" s="6"/>
      <c r="S8450" s="298"/>
    </row>
    <row r="8451" spans="14:19" hidden="1" x14ac:dyDescent="0.25">
      <c r="N8451" s="17">
        <v>1044.69999999981</v>
      </c>
      <c r="O8451" s="16" t="s">
        <v>6856</v>
      </c>
      <c r="R8451" s="6"/>
      <c r="S8451" s="298"/>
    </row>
    <row r="8452" spans="14:19" hidden="1" x14ac:dyDescent="0.25">
      <c r="N8452" s="17">
        <v>1044.7999999998101</v>
      </c>
      <c r="O8452" s="16" t="s">
        <v>6857</v>
      </c>
      <c r="R8452" s="6"/>
      <c r="S8452" s="298"/>
    </row>
    <row r="8453" spans="14:19" hidden="1" x14ac:dyDescent="0.25">
      <c r="N8453" s="17">
        <v>1044.89999999981</v>
      </c>
      <c r="O8453" s="16" t="s">
        <v>6849</v>
      </c>
      <c r="R8453" s="6"/>
      <c r="S8453" s="298"/>
    </row>
    <row r="8454" spans="14:19" hidden="1" x14ac:dyDescent="0.25">
      <c r="N8454" s="17">
        <v>1044.9999999998099</v>
      </c>
      <c r="O8454" s="16" t="s">
        <v>6858</v>
      </c>
      <c r="R8454" s="6"/>
      <c r="S8454" s="298"/>
    </row>
    <row r="8455" spans="14:19" hidden="1" x14ac:dyDescent="0.25">
      <c r="N8455" s="17">
        <v>1045.0999999998101</v>
      </c>
      <c r="O8455" s="16" t="s">
        <v>6859</v>
      </c>
      <c r="R8455" s="6"/>
      <c r="S8455" s="298"/>
    </row>
    <row r="8456" spans="14:19" hidden="1" x14ac:dyDescent="0.25">
      <c r="N8456" s="17">
        <v>1045.19999999981</v>
      </c>
      <c r="O8456" s="16" t="s">
        <v>6860</v>
      </c>
      <c r="R8456" s="6"/>
      <c r="S8456" s="298"/>
    </row>
    <row r="8457" spans="14:19" hidden="1" x14ac:dyDescent="0.25">
      <c r="N8457" s="17">
        <v>1045.2999999998101</v>
      </c>
      <c r="O8457" s="16" t="s">
        <v>6861</v>
      </c>
      <c r="R8457" s="6"/>
      <c r="S8457" s="298"/>
    </row>
    <row r="8458" spans="14:19" hidden="1" x14ac:dyDescent="0.25">
      <c r="N8458" s="17">
        <v>1045.39999999981</v>
      </c>
      <c r="O8458" s="16" t="s">
        <v>6862</v>
      </c>
      <c r="R8458" s="6"/>
      <c r="S8458" s="298"/>
    </row>
    <row r="8459" spans="14:19" hidden="1" x14ac:dyDescent="0.25">
      <c r="N8459" s="17">
        <v>1045.4999999998099</v>
      </c>
      <c r="O8459" s="16" t="s">
        <v>6863</v>
      </c>
      <c r="R8459" s="6"/>
      <c r="S8459" s="298"/>
    </row>
    <row r="8460" spans="14:19" hidden="1" x14ac:dyDescent="0.25">
      <c r="N8460" s="17">
        <v>1045.5999999998101</v>
      </c>
      <c r="O8460" s="16" t="s">
        <v>6864</v>
      </c>
      <c r="R8460" s="6"/>
      <c r="S8460" s="298"/>
    </row>
    <row r="8461" spans="14:19" hidden="1" x14ac:dyDescent="0.25">
      <c r="N8461" s="17">
        <v>1045.69999999981</v>
      </c>
      <c r="O8461" s="16" t="s">
        <v>6865</v>
      </c>
      <c r="R8461" s="6"/>
      <c r="S8461" s="298"/>
    </row>
    <row r="8462" spans="14:19" hidden="1" x14ac:dyDescent="0.25">
      <c r="N8462" s="17">
        <v>1045.7999999998101</v>
      </c>
      <c r="O8462" s="16" t="s">
        <v>6866</v>
      </c>
      <c r="R8462" s="6"/>
      <c r="S8462" s="298"/>
    </row>
    <row r="8463" spans="14:19" hidden="1" x14ac:dyDescent="0.25">
      <c r="N8463" s="17">
        <v>1045.89999999981</v>
      </c>
      <c r="O8463" s="16" t="s">
        <v>6867</v>
      </c>
      <c r="R8463" s="6"/>
      <c r="S8463" s="298"/>
    </row>
    <row r="8464" spans="14:19" hidden="1" x14ac:dyDescent="0.25">
      <c r="N8464" s="17">
        <v>1045.9999999998099</v>
      </c>
      <c r="O8464" s="16" t="s">
        <v>6868</v>
      </c>
      <c r="R8464" s="6"/>
      <c r="S8464" s="298"/>
    </row>
    <row r="8465" spans="14:19" hidden="1" x14ac:dyDescent="0.25">
      <c r="N8465" s="17">
        <v>1046.0999999998101</v>
      </c>
      <c r="O8465" s="16" t="s">
        <v>6869</v>
      </c>
      <c r="R8465" s="6"/>
      <c r="S8465" s="298"/>
    </row>
    <row r="8466" spans="14:19" hidden="1" x14ac:dyDescent="0.25">
      <c r="N8466" s="17">
        <v>1046.19999999981</v>
      </c>
      <c r="O8466" s="16" t="s">
        <v>6870</v>
      </c>
      <c r="R8466" s="6"/>
      <c r="S8466" s="298"/>
    </row>
    <row r="8467" spans="14:19" hidden="1" x14ac:dyDescent="0.25">
      <c r="N8467" s="17">
        <v>1046.2999999998101</v>
      </c>
      <c r="O8467" s="16" t="s">
        <v>6871</v>
      </c>
      <c r="R8467" s="6"/>
      <c r="S8467" s="298"/>
    </row>
    <row r="8468" spans="14:19" hidden="1" x14ac:dyDescent="0.25">
      <c r="N8468" s="17">
        <v>1046.39999999981</v>
      </c>
      <c r="O8468" s="16" t="s">
        <v>6872</v>
      </c>
      <c r="R8468" s="6"/>
      <c r="S8468" s="298"/>
    </row>
    <row r="8469" spans="14:19" hidden="1" x14ac:dyDescent="0.25">
      <c r="N8469" s="17">
        <v>1046.4999999998099</v>
      </c>
      <c r="O8469" s="16" t="s">
        <v>6873</v>
      </c>
      <c r="R8469" s="6"/>
      <c r="S8469" s="298"/>
    </row>
    <row r="8470" spans="14:19" hidden="1" x14ac:dyDescent="0.25">
      <c r="N8470" s="17">
        <v>1046.5999999998101</v>
      </c>
      <c r="O8470" s="16" t="s">
        <v>6874</v>
      </c>
      <c r="R8470" s="6"/>
      <c r="S8470" s="298"/>
    </row>
    <row r="8471" spans="14:19" hidden="1" x14ac:dyDescent="0.25">
      <c r="N8471" s="17">
        <v>1046.69999999981</v>
      </c>
      <c r="O8471" s="16" t="s">
        <v>6875</v>
      </c>
      <c r="R8471" s="6"/>
      <c r="S8471" s="298"/>
    </row>
    <row r="8472" spans="14:19" hidden="1" x14ac:dyDescent="0.25">
      <c r="N8472" s="17">
        <v>1046.7999999998101</v>
      </c>
      <c r="O8472" s="16" t="s">
        <v>6876</v>
      </c>
      <c r="R8472" s="6"/>
      <c r="S8472" s="298"/>
    </row>
    <row r="8473" spans="14:19" hidden="1" x14ac:dyDescent="0.25">
      <c r="N8473" s="17">
        <v>1046.89999999981</v>
      </c>
      <c r="O8473" s="16" t="s">
        <v>6877</v>
      </c>
      <c r="R8473" s="6"/>
      <c r="S8473" s="298"/>
    </row>
    <row r="8474" spans="14:19" hidden="1" x14ac:dyDescent="0.25">
      <c r="N8474" s="17">
        <v>1046.9999999998099</v>
      </c>
      <c r="O8474" s="16" t="s">
        <v>6878</v>
      </c>
      <c r="R8474" s="6"/>
      <c r="S8474" s="298"/>
    </row>
    <row r="8475" spans="14:19" hidden="1" x14ac:dyDescent="0.25">
      <c r="N8475" s="17">
        <v>1047.0999999998101</v>
      </c>
      <c r="O8475" s="16" t="s">
        <v>6879</v>
      </c>
      <c r="R8475" s="6"/>
      <c r="S8475" s="298"/>
    </row>
    <row r="8476" spans="14:19" hidden="1" x14ac:dyDescent="0.25">
      <c r="N8476" s="17">
        <v>1047.19999999981</v>
      </c>
      <c r="O8476" s="16" t="s">
        <v>6880</v>
      </c>
      <c r="R8476" s="6"/>
      <c r="S8476" s="298"/>
    </row>
    <row r="8477" spans="14:19" hidden="1" x14ac:dyDescent="0.25">
      <c r="N8477" s="17">
        <v>1047.2999999998101</v>
      </c>
      <c r="O8477" s="16" t="s">
        <v>6881</v>
      </c>
      <c r="R8477" s="6"/>
      <c r="S8477" s="298"/>
    </row>
    <row r="8478" spans="14:19" hidden="1" x14ac:dyDescent="0.25">
      <c r="N8478" s="17">
        <v>1047.39999999981</v>
      </c>
      <c r="O8478" s="16" t="s">
        <v>6882</v>
      </c>
      <c r="R8478" s="6"/>
      <c r="S8478" s="298"/>
    </row>
    <row r="8479" spans="14:19" hidden="1" x14ac:dyDescent="0.25">
      <c r="N8479" s="17">
        <v>1047.4999999998099</v>
      </c>
      <c r="O8479" s="16" t="s">
        <v>6883</v>
      </c>
      <c r="R8479" s="6"/>
      <c r="S8479" s="298"/>
    </row>
    <row r="8480" spans="14:19" hidden="1" x14ac:dyDescent="0.25">
      <c r="N8480" s="17">
        <v>1047.5999999998101</v>
      </c>
      <c r="O8480" s="16" t="s">
        <v>6884</v>
      </c>
      <c r="R8480" s="6"/>
      <c r="S8480" s="298"/>
    </row>
    <row r="8481" spans="14:19" hidden="1" x14ac:dyDescent="0.25">
      <c r="N8481" s="17">
        <v>1047.69999999981</v>
      </c>
      <c r="O8481" s="16" t="s">
        <v>6885</v>
      </c>
      <c r="R8481" s="6"/>
      <c r="S8481" s="298"/>
    </row>
    <row r="8482" spans="14:19" hidden="1" x14ac:dyDescent="0.25">
      <c r="N8482" s="17">
        <v>1047.7999999998101</v>
      </c>
      <c r="O8482" s="16" t="s">
        <v>7108</v>
      </c>
      <c r="R8482" s="6"/>
      <c r="S8482" s="298"/>
    </row>
    <row r="8483" spans="14:19" hidden="1" x14ac:dyDescent="0.25">
      <c r="N8483" s="17">
        <v>1047.89999999981</v>
      </c>
      <c r="O8483" s="16" t="s">
        <v>7109</v>
      </c>
      <c r="R8483" s="6"/>
      <c r="S8483" s="298"/>
    </row>
    <row r="8484" spans="14:19" hidden="1" x14ac:dyDescent="0.25">
      <c r="N8484" s="17">
        <v>1047.9999999998099</v>
      </c>
      <c r="O8484" s="16" t="s">
        <v>7110</v>
      </c>
      <c r="R8484" s="6"/>
      <c r="S8484" s="298"/>
    </row>
    <row r="8485" spans="14:19" hidden="1" x14ac:dyDescent="0.25">
      <c r="N8485" s="17">
        <v>1048.0999999998101</v>
      </c>
      <c r="O8485" s="16" t="s">
        <v>7111</v>
      </c>
      <c r="R8485" s="6"/>
      <c r="S8485" s="298"/>
    </row>
    <row r="8486" spans="14:19" hidden="1" x14ac:dyDescent="0.25">
      <c r="N8486" s="17">
        <v>1048.19999999981</v>
      </c>
      <c r="O8486" s="16" t="s">
        <v>7112</v>
      </c>
      <c r="R8486" s="6"/>
      <c r="S8486" s="298"/>
    </row>
    <row r="8487" spans="14:19" hidden="1" x14ac:dyDescent="0.25">
      <c r="N8487" s="17">
        <v>1048.2999999998101</v>
      </c>
      <c r="O8487" s="16" t="s">
        <v>4864</v>
      </c>
      <c r="R8487" s="6"/>
      <c r="S8487" s="298"/>
    </row>
    <row r="8488" spans="14:19" hidden="1" x14ac:dyDescent="0.25">
      <c r="N8488" s="17">
        <v>1048.39999999981</v>
      </c>
      <c r="O8488" s="16" t="s">
        <v>4865</v>
      </c>
      <c r="R8488" s="6"/>
      <c r="S8488" s="298"/>
    </row>
    <row r="8489" spans="14:19" hidden="1" x14ac:dyDescent="0.25">
      <c r="N8489" s="17">
        <v>1048.4999999998099</v>
      </c>
      <c r="O8489" s="16" t="s">
        <v>4866</v>
      </c>
      <c r="R8489" s="6"/>
      <c r="S8489" s="298"/>
    </row>
    <row r="8490" spans="14:19" hidden="1" x14ac:dyDescent="0.25">
      <c r="N8490" s="17">
        <v>1048.5999999998101</v>
      </c>
      <c r="O8490" s="16" t="s">
        <v>4867</v>
      </c>
      <c r="R8490" s="6"/>
      <c r="S8490" s="298"/>
    </row>
    <row r="8491" spans="14:19" hidden="1" x14ac:dyDescent="0.25">
      <c r="N8491" s="17">
        <v>1048.69999999981</v>
      </c>
      <c r="O8491" s="16" t="s">
        <v>4868</v>
      </c>
      <c r="R8491" s="6"/>
      <c r="S8491" s="298"/>
    </row>
    <row r="8492" spans="14:19" hidden="1" x14ac:dyDescent="0.25">
      <c r="N8492" s="17">
        <v>1048.7999999998101</v>
      </c>
      <c r="O8492" s="16" t="s">
        <v>4869</v>
      </c>
      <c r="R8492" s="6"/>
      <c r="S8492" s="298"/>
    </row>
    <row r="8493" spans="14:19" hidden="1" x14ac:dyDescent="0.25">
      <c r="N8493" s="17">
        <v>1048.89999999981</v>
      </c>
      <c r="O8493" s="16" t="s">
        <v>4870</v>
      </c>
      <c r="R8493" s="6"/>
      <c r="S8493" s="298"/>
    </row>
    <row r="8494" spans="14:19" hidden="1" x14ac:dyDescent="0.25">
      <c r="N8494" s="17">
        <v>1048.9999999998099</v>
      </c>
      <c r="O8494" s="16" t="s">
        <v>4871</v>
      </c>
      <c r="R8494" s="6"/>
      <c r="S8494" s="298"/>
    </row>
    <row r="8495" spans="14:19" hidden="1" x14ac:dyDescent="0.25">
      <c r="N8495" s="17">
        <v>1049.0999999998101</v>
      </c>
      <c r="O8495" s="16" t="s">
        <v>6189</v>
      </c>
      <c r="R8495" s="6"/>
      <c r="S8495" s="298"/>
    </row>
    <row r="8496" spans="14:19" hidden="1" x14ac:dyDescent="0.25">
      <c r="N8496" s="17">
        <v>1049.19999999981</v>
      </c>
      <c r="O8496" s="16" t="s">
        <v>6190</v>
      </c>
      <c r="R8496" s="6"/>
      <c r="S8496" s="298"/>
    </row>
    <row r="8497" spans="14:19" hidden="1" x14ac:dyDescent="0.25">
      <c r="N8497" s="17">
        <v>1049.2999999998101</v>
      </c>
      <c r="O8497" s="16" t="s">
        <v>6191</v>
      </c>
      <c r="R8497" s="6"/>
      <c r="S8497" s="298"/>
    </row>
    <row r="8498" spans="14:19" hidden="1" x14ac:dyDescent="0.25">
      <c r="N8498" s="17">
        <v>1049.39999999981</v>
      </c>
      <c r="O8498" s="16" t="s">
        <v>6192</v>
      </c>
      <c r="R8498" s="6"/>
      <c r="S8498" s="298"/>
    </row>
    <row r="8499" spans="14:19" hidden="1" x14ac:dyDescent="0.25">
      <c r="N8499" s="17">
        <v>1049.4999999998099</v>
      </c>
      <c r="O8499" s="16" t="s">
        <v>6193</v>
      </c>
      <c r="R8499" s="6"/>
      <c r="S8499" s="298"/>
    </row>
    <row r="8500" spans="14:19" hidden="1" x14ac:dyDescent="0.25">
      <c r="N8500" s="17">
        <v>1049.5999999998101</v>
      </c>
      <c r="O8500" s="16" t="s">
        <v>6194</v>
      </c>
      <c r="R8500" s="6"/>
      <c r="S8500" s="298"/>
    </row>
    <row r="8501" spans="14:19" hidden="1" x14ac:dyDescent="0.25">
      <c r="N8501" s="17">
        <v>1049.69999999981</v>
      </c>
      <c r="O8501" s="16" t="s">
        <v>6195</v>
      </c>
      <c r="R8501" s="6"/>
      <c r="S8501" s="298"/>
    </row>
    <row r="8502" spans="14:19" hidden="1" x14ac:dyDescent="0.25">
      <c r="N8502" s="17">
        <v>1049.7999999998101</v>
      </c>
      <c r="O8502" s="16" t="s">
        <v>6196</v>
      </c>
      <c r="R8502" s="6"/>
      <c r="S8502" s="298"/>
    </row>
    <row r="8503" spans="14:19" hidden="1" x14ac:dyDescent="0.25">
      <c r="N8503" s="17">
        <v>1049.89999999981</v>
      </c>
      <c r="O8503" s="16" t="s">
        <v>6197</v>
      </c>
      <c r="R8503" s="6"/>
      <c r="S8503" s="298"/>
    </row>
    <row r="8504" spans="14:19" hidden="1" x14ac:dyDescent="0.25">
      <c r="N8504" s="17">
        <v>1049.9999999998099</v>
      </c>
      <c r="O8504" s="16" t="s">
        <v>6198</v>
      </c>
      <c r="R8504" s="6"/>
      <c r="S8504" s="298"/>
    </row>
    <row r="8505" spans="14:19" hidden="1" x14ac:dyDescent="0.25">
      <c r="N8505" s="17">
        <v>1050.0999999998101</v>
      </c>
      <c r="O8505" s="16" t="s">
        <v>6199</v>
      </c>
      <c r="R8505" s="6"/>
      <c r="S8505" s="298"/>
    </row>
    <row r="8506" spans="14:19" hidden="1" x14ac:dyDescent="0.25">
      <c r="N8506" s="17">
        <v>1050.19999999981</v>
      </c>
      <c r="O8506" s="16" t="s">
        <v>6200</v>
      </c>
      <c r="R8506" s="6"/>
      <c r="S8506" s="298"/>
    </row>
    <row r="8507" spans="14:19" hidden="1" x14ac:dyDescent="0.25">
      <c r="N8507" s="17">
        <v>1050.2999999998101</v>
      </c>
      <c r="O8507" s="16" t="s">
        <v>6201</v>
      </c>
      <c r="R8507" s="6"/>
      <c r="S8507" s="298"/>
    </row>
    <row r="8508" spans="14:19" hidden="1" x14ac:dyDescent="0.25">
      <c r="N8508" s="17">
        <v>1050.39999999981</v>
      </c>
      <c r="O8508" s="16" t="s">
        <v>6202</v>
      </c>
      <c r="R8508" s="6"/>
      <c r="S8508" s="298"/>
    </row>
    <row r="8509" spans="14:19" hidden="1" x14ac:dyDescent="0.25">
      <c r="N8509" s="17">
        <v>1050.4999999998099</v>
      </c>
      <c r="O8509" s="16" t="s">
        <v>6203</v>
      </c>
      <c r="R8509" s="6"/>
      <c r="S8509" s="298"/>
    </row>
    <row r="8510" spans="14:19" hidden="1" x14ac:dyDescent="0.25">
      <c r="N8510" s="17">
        <v>1050.5999999998101</v>
      </c>
      <c r="O8510" s="16" t="s">
        <v>6204</v>
      </c>
      <c r="R8510" s="6"/>
      <c r="S8510" s="298"/>
    </row>
    <row r="8511" spans="14:19" hidden="1" x14ac:dyDescent="0.25">
      <c r="N8511" s="17">
        <v>1050.69999999981</v>
      </c>
      <c r="O8511" s="16" t="s">
        <v>6205</v>
      </c>
      <c r="R8511" s="6"/>
      <c r="S8511" s="298"/>
    </row>
    <row r="8512" spans="14:19" hidden="1" x14ac:dyDescent="0.25">
      <c r="N8512" s="17">
        <v>1050.7999999998101</v>
      </c>
      <c r="O8512" s="16" t="s">
        <v>6206</v>
      </c>
      <c r="R8512" s="6"/>
      <c r="S8512" s="298"/>
    </row>
    <row r="8513" spans="14:19" hidden="1" x14ac:dyDescent="0.25">
      <c r="N8513" s="17">
        <v>1050.89999999981</v>
      </c>
      <c r="O8513" s="16" t="s">
        <v>6207</v>
      </c>
      <c r="R8513" s="6"/>
      <c r="S8513" s="298"/>
    </row>
    <row r="8514" spans="14:19" hidden="1" x14ac:dyDescent="0.25">
      <c r="N8514" s="17">
        <v>1050.9999999998099</v>
      </c>
      <c r="O8514" s="16" t="s">
        <v>6208</v>
      </c>
      <c r="R8514" s="6"/>
      <c r="S8514" s="298"/>
    </row>
    <row r="8515" spans="14:19" hidden="1" x14ac:dyDescent="0.25">
      <c r="N8515" s="17">
        <v>1051.0999999998101</v>
      </c>
      <c r="O8515" s="16" t="s">
        <v>6209</v>
      </c>
      <c r="R8515" s="6"/>
      <c r="S8515" s="298"/>
    </row>
    <row r="8516" spans="14:19" hidden="1" x14ac:dyDescent="0.25">
      <c r="N8516" s="17">
        <v>1051.19999999981</v>
      </c>
      <c r="O8516" s="16" t="s">
        <v>6210</v>
      </c>
      <c r="R8516" s="6"/>
      <c r="S8516" s="298"/>
    </row>
    <row r="8517" spans="14:19" hidden="1" x14ac:dyDescent="0.25">
      <c r="N8517" s="17">
        <v>1051.2999999998101</v>
      </c>
      <c r="O8517" s="16" t="s">
        <v>6211</v>
      </c>
      <c r="R8517" s="6"/>
      <c r="S8517" s="298"/>
    </row>
    <row r="8518" spans="14:19" hidden="1" x14ac:dyDescent="0.25">
      <c r="N8518" s="17">
        <v>1051.39999999981</v>
      </c>
      <c r="O8518" s="16" t="s">
        <v>6212</v>
      </c>
      <c r="R8518" s="6"/>
      <c r="S8518" s="298"/>
    </row>
    <row r="8519" spans="14:19" hidden="1" x14ac:dyDescent="0.25">
      <c r="N8519" s="17">
        <v>1051.4999999998099</v>
      </c>
      <c r="O8519" s="16" t="s">
        <v>6213</v>
      </c>
      <c r="R8519" s="6"/>
      <c r="S8519" s="298"/>
    </row>
    <row r="8520" spans="14:19" hidden="1" x14ac:dyDescent="0.25">
      <c r="N8520" s="17">
        <v>1051.5999999998101</v>
      </c>
      <c r="O8520" s="16" t="s">
        <v>6214</v>
      </c>
      <c r="R8520" s="6"/>
      <c r="S8520" s="298"/>
    </row>
    <row r="8521" spans="14:19" hidden="1" x14ac:dyDescent="0.25">
      <c r="N8521" s="17">
        <v>1051.69999999981</v>
      </c>
      <c r="O8521" s="16" t="s">
        <v>6215</v>
      </c>
      <c r="R8521" s="6"/>
      <c r="S8521" s="298"/>
    </row>
    <row r="8522" spans="14:19" hidden="1" x14ac:dyDescent="0.25">
      <c r="N8522" s="17">
        <v>1051.7999999998101</v>
      </c>
      <c r="O8522" s="16" t="s">
        <v>6216</v>
      </c>
      <c r="R8522" s="6"/>
      <c r="S8522" s="298"/>
    </row>
    <row r="8523" spans="14:19" hidden="1" x14ac:dyDescent="0.25">
      <c r="N8523" s="17">
        <v>1051.89999999981</v>
      </c>
      <c r="O8523" s="16" t="s">
        <v>6217</v>
      </c>
      <c r="R8523" s="6"/>
      <c r="S8523" s="298"/>
    </row>
    <row r="8524" spans="14:19" hidden="1" x14ac:dyDescent="0.25">
      <c r="N8524" s="17">
        <v>1051.9999999998099</v>
      </c>
      <c r="O8524" s="16" t="s">
        <v>6218</v>
      </c>
      <c r="R8524" s="6"/>
      <c r="S8524" s="298"/>
    </row>
    <row r="8525" spans="14:19" hidden="1" x14ac:dyDescent="0.25">
      <c r="N8525" s="17">
        <v>1052.0999999998101</v>
      </c>
      <c r="O8525" s="16" t="s">
        <v>6219</v>
      </c>
      <c r="R8525" s="6"/>
      <c r="S8525" s="298"/>
    </row>
    <row r="8526" spans="14:19" hidden="1" x14ac:dyDescent="0.25">
      <c r="N8526" s="17">
        <v>1052.19999999981</v>
      </c>
      <c r="O8526" s="16" t="s">
        <v>6220</v>
      </c>
      <c r="R8526" s="6"/>
      <c r="S8526" s="298"/>
    </row>
    <row r="8527" spans="14:19" hidden="1" x14ac:dyDescent="0.25">
      <c r="N8527" s="17">
        <v>1052.2999999998101</v>
      </c>
      <c r="O8527" s="16" t="s">
        <v>6221</v>
      </c>
      <c r="R8527" s="6"/>
      <c r="S8527" s="298"/>
    </row>
    <row r="8528" spans="14:19" hidden="1" x14ac:dyDescent="0.25">
      <c r="N8528" s="17">
        <v>1052.39999999981</v>
      </c>
      <c r="O8528" s="16" t="s">
        <v>6222</v>
      </c>
      <c r="R8528" s="6"/>
      <c r="S8528" s="298"/>
    </row>
    <row r="8529" spans="14:19" hidden="1" x14ac:dyDescent="0.25">
      <c r="N8529" s="17">
        <v>1052.4999999998099</v>
      </c>
      <c r="O8529" s="16" t="s">
        <v>6223</v>
      </c>
      <c r="R8529" s="6"/>
      <c r="S8529" s="298"/>
    </row>
    <row r="8530" spans="14:19" hidden="1" x14ac:dyDescent="0.25">
      <c r="N8530" s="17">
        <v>1052.5999999998101</v>
      </c>
      <c r="O8530" s="16" t="s">
        <v>6224</v>
      </c>
      <c r="R8530" s="6"/>
      <c r="S8530" s="298"/>
    </row>
    <row r="8531" spans="14:19" hidden="1" x14ac:dyDescent="0.25">
      <c r="N8531" s="17">
        <v>1052.69999999981</v>
      </c>
      <c r="O8531" s="16" t="s">
        <v>6225</v>
      </c>
      <c r="R8531" s="6"/>
      <c r="S8531" s="298"/>
    </row>
    <row r="8532" spans="14:19" hidden="1" x14ac:dyDescent="0.25">
      <c r="N8532" s="17">
        <v>1052.7999999998101</v>
      </c>
      <c r="O8532" s="16" t="s">
        <v>6226</v>
      </c>
      <c r="R8532" s="6"/>
      <c r="S8532" s="298"/>
    </row>
    <row r="8533" spans="14:19" hidden="1" x14ac:dyDescent="0.25">
      <c r="N8533" s="17">
        <v>1052.89999999981</v>
      </c>
      <c r="O8533" s="16" t="s">
        <v>6227</v>
      </c>
      <c r="R8533" s="6"/>
      <c r="S8533" s="298"/>
    </row>
    <row r="8534" spans="14:19" hidden="1" x14ac:dyDescent="0.25">
      <c r="N8534" s="17">
        <v>1052.9999999998099</v>
      </c>
      <c r="O8534" s="16" t="s">
        <v>6228</v>
      </c>
      <c r="R8534" s="6"/>
      <c r="S8534" s="298"/>
    </row>
    <row r="8535" spans="14:19" hidden="1" x14ac:dyDescent="0.25">
      <c r="N8535" s="17">
        <v>1053.0999999998101</v>
      </c>
      <c r="O8535" s="16" t="s">
        <v>6229</v>
      </c>
      <c r="R8535" s="6"/>
      <c r="S8535" s="298"/>
    </row>
    <row r="8536" spans="14:19" hidden="1" x14ac:dyDescent="0.25">
      <c r="N8536" s="17">
        <v>1053.19999999981</v>
      </c>
      <c r="O8536" s="16" t="s">
        <v>6230</v>
      </c>
      <c r="R8536" s="6"/>
      <c r="S8536" s="298"/>
    </row>
    <row r="8537" spans="14:19" hidden="1" x14ac:dyDescent="0.25">
      <c r="N8537" s="17">
        <v>1053.2999999998101</v>
      </c>
      <c r="O8537" s="16" t="s">
        <v>6231</v>
      </c>
      <c r="R8537" s="6"/>
      <c r="S8537" s="298"/>
    </row>
    <row r="8538" spans="14:19" hidden="1" x14ac:dyDescent="0.25">
      <c r="N8538" s="17">
        <v>1053.39999999981</v>
      </c>
      <c r="O8538" s="16" t="s">
        <v>6232</v>
      </c>
      <c r="R8538" s="6"/>
      <c r="S8538" s="298"/>
    </row>
    <row r="8539" spans="14:19" hidden="1" x14ac:dyDescent="0.25">
      <c r="N8539" s="17">
        <v>1053.4999999998099</v>
      </c>
      <c r="O8539" s="16" t="s">
        <v>6233</v>
      </c>
      <c r="R8539" s="6"/>
      <c r="S8539" s="298"/>
    </row>
    <row r="8540" spans="14:19" hidden="1" x14ac:dyDescent="0.25">
      <c r="N8540" s="17">
        <v>1053.5999999998101</v>
      </c>
      <c r="O8540" s="16" t="s">
        <v>6234</v>
      </c>
      <c r="R8540" s="6"/>
      <c r="S8540" s="298"/>
    </row>
    <row r="8541" spans="14:19" hidden="1" x14ac:dyDescent="0.25">
      <c r="N8541" s="17">
        <v>1053.69999999981</v>
      </c>
      <c r="O8541" s="16" t="s">
        <v>6235</v>
      </c>
      <c r="R8541" s="6"/>
      <c r="S8541" s="298"/>
    </row>
    <row r="8542" spans="14:19" hidden="1" x14ac:dyDescent="0.25">
      <c r="N8542" s="17">
        <v>1053.7999999998101</v>
      </c>
      <c r="O8542" s="16" t="s">
        <v>6236</v>
      </c>
      <c r="R8542" s="6"/>
      <c r="S8542" s="298"/>
    </row>
    <row r="8543" spans="14:19" hidden="1" x14ac:dyDescent="0.25">
      <c r="N8543" s="17">
        <v>1053.89999999981</v>
      </c>
      <c r="O8543" s="16" t="s">
        <v>6237</v>
      </c>
      <c r="R8543" s="6"/>
      <c r="S8543" s="298"/>
    </row>
    <row r="8544" spans="14:19" hidden="1" x14ac:dyDescent="0.25">
      <c r="N8544" s="17">
        <v>1053.9999999998099</v>
      </c>
      <c r="O8544" s="16" t="s">
        <v>6238</v>
      </c>
      <c r="R8544" s="6"/>
      <c r="S8544" s="298"/>
    </row>
    <row r="8545" spans="14:19" hidden="1" x14ac:dyDescent="0.25">
      <c r="N8545" s="17">
        <v>1054.0999999998101</v>
      </c>
      <c r="O8545" s="16" t="s">
        <v>6239</v>
      </c>
      <c r="R8545" s="6"/>
      <c r="S8545" s="298"/>
    </row>
    <row r="8546" spans="14:19" hidden="1" x14ac:dyDescent="0.25">
      <c r="N8546" s="17">
        <v>1054.19999999981</v>
      </c>
      <c r="O8546" s="16" t="s">
        <v>8089</v>
      </c>
      <c r="R8546" s="6"/>
      <c r="S8546" s="298"/>
    </row>
    <row r="8547" spans="14:19" hidden="1" x14ac:dyDescent="0.25">
      <c r="N8547" s="17">
        <v>1054.2999999998101</v>
      </c>
      <c r="O8547" s="16" t="s">
        <v>7135</v>
      </c>
      <c r="R8547" s="6"/>
      <c r="S8547" s="298"/>
    </row>
    <row r="8548" spans="14:19" hidden="1" x14ac:dyDescent="0.25">
      <c r="N8548" s="17">
        <v>1054.39999999981</v>
      </c>
      <c r="O8548" s="16" t="s">
        <v>7136</v>
      </c>
      <c r="R8548" s="6"/>
      <c r="S8548" s="298"/>
    </row>
    <row r="8549" spans="14:19" hidden="1" x14ac:dyDescent="0.25">
      <c r="N8549" s="17">
        <v>1054.4999999998099</v>
      </c>
      <c r="O8549" s="16" t="s">
        <v>7137</v>
      </c>
      <c r="R8549" s="6"/>
      <c r="S8549" s="298"/>
    </row>
    <row r="8550" spans="14:19" hidden="1" x14ac:dyDescent="0.25">
      <c r="N8550" s="17">
        <v>1054.5999999998101</v>
      </c>
      <c r="O8550" s="16" t="s">
        <v>7138</v>
      </c>
      <c r="R8550" s="6"/>
      <c r="S8550" s="298"/>
    </row>
    <row r="8551" spans="14:19" hidden="1" x14ac:dyDescent="0.25">
      <c r="N8551" s="17">
        <v>1054.69999999981</v>
      </c>
      <c r="O8551" s="16" t="s">
        <v>7139</v>
      </c>
      <c r="R8551" s="6"/>
      <c r="S8551" s="298"/>
    </row>
    <row r="8552" spans="14:19" hidden="1" x14ac:dyDescent="0.25">
      <c r="N8552" s="17">
        <v>1054.7999999998101</v>
      </c>
      <c r="O8552" s="16" t="s">
        <v>8094</v>
      </c>
      <c r="R8552" s="6"/>
      <c r="S8552" s="298"/>
    </row>
    <row r="8553" spans="14:19" hidden="1" x14ac:dyDescent="0.25">
      <c r="N8553" s="17">
        <v>1054.89999999981</v>
      </c>
      <c r="O8553" s="16" t="s">
        <v>8095</v>
      </c>
      <c r="R8553" s="6"/>
      <c r="S8553" s="298"/>
    </row>
    <row r="8554" spans="14:19" hidden="1" x14ac:dyDescent="0.25">
      <c r="N8554" s="17">
        <v>1054.9999999998099</v>
      </c>
      <c r="O8554" s="16" t="s">
        <v>8096</v>
      </c>
      <c r="R8554" s="6"/>
      <c r="S8554" s="298"/>
    </row>
    <row r="8555" spans="14:19" hidden="1" x14ac:dyDescent="0.25">
      <c r="N8555" s="17">
        <v>1055.0999999998101</v>
      </c>
      <c r="O8555" s="16" t="s">
        <v>8097</v>
      </c>
      <c r="R8555" s="6"/>
      <c r="S8555" s="298"/>
    </row>
    <row r="8556" spans="14:19" hidden="1" x14ac:dyDescent="0.25">
      <c r="N8556" s="17">
        <v>1055.19999999981</v>
      </c>
      <c r="O8556" s="16" t="s">
        <v>8098</v>
      </c>
      <c r="R8556" s="6"/>
      <c r="S8556" s="298"/>
    </row>
    <row r="8557" spans="14:19" hidden="1" x14ac:dyDescent="0.25">
      <c r="N8557" s="17">
        <v>1055.2999999998101</v>
      </c>
      <c r="O8557" s="16" t="s">
        <v>8099</v>
      </c>
      <c r="R8557" s="6"/>
      <c r="S8557" s="298"/>
    </row>
    <row r="8558" spans="14:19" hidden="1" x14ac:dyDescent="0.25">
      <c r="N8558" s="17">
        <v>1055.39999999981</v>
      </c>
      <c r="O8558" s="16" t="s">
        <v>8100</v>
      </c>
      <c r="R8558" s="6"/>
      <c r="S8558" s="298"/>
    </row>
    <row r="8559" spans="14:19" hidden="1" x14ac:dyDescent="0.25">
      <c r="N8559" s="17">
        <v>1055.4999999998099</v>
      </c>
      <c r="O8559" s="16" t="s">
        <v>8101</v>
      </c>
      <c r="R8559" s="6"/>
      <c r="S8559" s="298"/>
    </row>
    <row r="8560" spans="14:19" hidden="1" x14ac:dyDescent="0.25">
      <c r="N8560" s="17">
        <v>1055.5999999998101</v>
      </c>
      <c r="O8560" s="16" t="s">
        <v>8102</v>
      </c>
      <c r="R8560" s="6"/>
      <c r="S8560" s="298"/>
    </row>
    <row r="8561" spans="14:19" hidden="1" x14ac:dyDescent="0.25">
      <c r="N8561" s="17">
        <v>1055.69999999981</v>
      </c>
      <c r="O8561" s="16" t="s">
        <v>8103</v>
      </c>
      <c r="R8561" s="6"/>
      <c r="S8561" s="298"/>
    </row>
    <row r="8562" spans="14:19" hidden="1" x14ac:dyDescent="0.25">
      <c r="N8562" s="17">
        <v>1055.7999999998101</v>
      </c>
      <c r="O8562" s="16" t="s">
        <v>8104</v>
      </c>
      <c r="R8562" s="6"/>
      <c r="S8562" s="298"/>
    </row>
    <row r="8563" spans="14:19" hidden="1" x14ac:dyDescent="0.25">
      <c r="N8563" s="17">
        <v>1055.89999999981</v>
      </c>
      <c r="O8563" s="16" t="s">
        <v>8105</v>
      </c>
      <c r="R8563" s="6"/>
      <c r="S8563" s="298"/>
    </row>
    <row r="8564" spans="14:19" hidden="1" x14ac:dyDescent="0.25">
      <c r="N8564" s="17">
        <v>1055.9999999998099</v>
      </c>
      <c r="O8564" s="16" t="s">
        <v>8106</v>
      </c>
      <c r="R8564" s="6"/>
      <c r="S8564" s="298"/>
    </row>
    <row r="8565" spans="14:19" ht="16.5" hidden="1" thickBot="1" x14ac:dyDescent="0.3">
      <c r="N8565" s="19">
        <v>1056.0999999998101</v>
      </c>
      <c r="O8565" s="22" t="s">
        <v>8107</v>
      </c>
      <c r="R8565" s="6"/>
      <c r="S8565" s="298"/>
    </row>
    <row r="8566" spans="14:19" hidden="1" x14ac:dyDescent="0.25"/>
    <row r="8567" spans="14:19" hidden="1" x14ac:dyDescent="0.25">
      <c r="R8567" s="6"/>
      <c r="S8567" s="298"/>
    </row>
    <row r="8568" spans="14:19" hidden="1" x14ac:dyDescent="0.25">
      <c r="R8568" s="6"/>
      <c r="S8568" s="298"/>
    </row>
    <row r="8569" spans="14:19" hidden="1" x14ac:dyDescent="0.25">
      <c r="R8569" s="6"/>
      <c r="S8569" s="298"/>
    </row>
    <row r="8570" spans="14:19" hidden="1" x14ac:dyDescent="0.25">
      <c r="R8570" s="6"/>
      <c r="S8570" s="298"/>
    </row>
    <row r="8571" spans="14:19" hidden="1" x14ac:dyDescent="0.25">
      <c r="R8571" s="6"/>
      <c r="S8571" s="298"/>
    </row>
    <row r="8572" spans="14:19" hidden="1" x14ac:dyDescent="0.25">
      <c r="R8572" s="6"/>
      <c r="S8572" s="298"/>
    </row>
    <row r="8573" spans="14:19" hidden="1" x14ac:dyDescent="0.25">
      <c r="R8573" s="6"/>
      <c r="S8573" s="298"/>
    </row>
  </sheetData>
  <customSheetViews>
    <customSheetView guid="{D6876842-41DE-4A2D-BA5A-3FB60505F493}" scale="70" hiddenRows="1" hiddenColumns="1" topLeftCell="A35">
      <pageMargins left="0.7" right="0.7" top="0.75" bottom="0.75" header="0.3" footer="0.3"/>
      <pageSetup paperSize="9" orientation="portrait" horizontalDpi="0" verticalDpi="0" r:id="rId1"/>
    </customSheetView>
    <customSheetView guid="{EAA758B6-7AEC-45F7-937A-E71BA55957BB}" showGridLines="0" showRowCol="0" zeroValues="0">
      <pageMargins left="0.7" right="0.7" top="0.75" bottom="0.75" header="0.3" footer="0.3"/>
    </customSheetView>
    <customSheetView guid="{9E5BF7AF-C1C4-4AED-923E-F8A9FE973BF3}" hiddenColumns="1" state="hidden" topLeftCell="A3">
      <selection activeCell="O8" sqref="O8"/>
      <pageMargins left="0.7" right="0.7" top="0.75" bottom="0.75" header="0.3" footer="0.3"/>
    </customSheetView>
  </customSheetViews>
  <mergeCells count="39">
    <mergeCell ref="N2:O2"/>
    <mergeCell ref="B36:E36"/>
    <mergeCell ref="G74:J74"/>
    <mergeCell ref="C2:D2"/>
    <mergeCell ref="F2:J2"/>
    <mergeCell ref="B74:E74"/>
    <mergeCell ref="G55:H55"/>
    <mergeCell ref="J55:L55"/>
    <mergeCell ref="G56:H56"/>
    <mergeCell ref="J56:L56"/>
    <mergeCell ref="G57:H57"/>
    <mergeCell ref="J57:L57"/>
    <mergeCell ref="G58:H58"/>
    <mergeCell ref="J58:L58"/>
    <mergeCell ref="G59:H59"/>
    <mergeCell ref="J59:L59"/>
    <mergeCell ref="G72:H72"/>
    <mergeCell ref="J72:L72"/>
    <mergeCell ref="G67:H67"/>
    <mergeCell ref="J67:L67"/>
    <mergeCell ref="G68:H68"/>
    <mergeCell ref="J68:L68"/>
    <mergeCell ref="G69:H69"/>
    <mergeCell ref="G36:M36"/>
    <mergeCell ref="G54:L54"/>
    <mergeCell ref="G70:H70"/>
    <mergeCell ref="J70:L70"/>
    <mergeCell ref="G71:H71"/>
    <mergeCell ref="J71:L71"/>
    <mergeCell ref="G63:H63"/>
    <mergeCell ref="J63:L63"/>
    <mergeCell ref="G65:L65"/>
    <mergeCell ref="G66:H66"/>
    <mergeCell ref="J66:L66"/>
    <mergeCell ref="J60:L60"/>
    <mergeCell ref="G61:H61"/>
    <mergeCell ref="J61:L61"/>
    <mergeCell ref="G62:H62"/>
    <mergeCell ref="J62:L62"/>
  </mergeCells>
  <phoneticPr fontId="0" type="noConversion"/>
  <dataValidations count="5">
    <dataValidation allowBlank="1" showErrorMessage="1" errorTitle="Protection..." error="JIKA ADA PERUBAHAN ..._x000a__x000a_HUbungi...! _x000a_Author:SULTAN HASANUDIN _x000a_Hp: (087870095330)" prompt="_x000a__x000a_" sqref="D18:D21 D13:D16"/>
    <dataValidation type="list" allowBlank="1" showInputMessage="1" showErrorMessage="1" sqref="J41:J52">
      <formula1>$S$4:$S$5</formula1>
    </dataValidation>
    <dataValidation type="list" allowBlank="1" showInputMessage="1" showErrorMessage="1" sqref="J70:L70">
      <formula1>$Q$4:$Q$5</formula1>
    </dataValidation>
    <dataValidation type="list" allowBlank="1" showInputMessage="1" showErrorMessage="1" sqref="J66:L66">
      <formula1>#REF!</formula1>
    </dataValidation>
    <dataValidation type="list" allowBlank="1" showInputMessage="1" showErrorMessage="1" sqref="C76 C77:C110 H76:H1048576">
      <formula1>$C$38:$C$72</formula1>
    </dataValidation>
  </dataValidation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AY86"/>
  <sheetViews>
    <sheetView view="pageBreakPreview" topLeftCell="C1" zoomScaleNormal="89" zoomScaleSheetLayoutView="100" workbookViewId="0">
      <pane ySplit="1" topLeftCell="A12" activePane="bottomLeft" state="frozen"/>
      <selection activeCell="K1" sqref="A1:XFD1048576"/>
      <selection pane="bottomLeft" activeCell="Q32" sqref="Q32"/>
    </sheetView>
  </sheetViews>
  <sheetFormatPr defaultColWidth="10.42578125" defaultRowHeight="15" x14ac:dyDescent="0.35"/>
  <cols>
    <col min="1" max="1" width="3.42578125" style="41" customWidth="1"/>
    <col min="2" max="2" width="7.7109375" style="41" customWidth="1"/>
    <col min="3" max="3" width="4.42578125" style="41" customWidth="1"/>
    <col min="4" max="4" width="31.140625" style="41" customWidth="1"/>
    <col min="5" max="27" width="4.28515625" style="41" customWidth="1"/>
    <col min="28" max="36" width="4.28515625" style="41" hidden="1" customWidth="1"/>
    <col min="37" max="38" width="4.28515625" style="42" customWidth="1"/>
    <col min="39" max="46" width="4.28515625" style="41" customWidth="1"/>
    <col min="47" max="47" width="3.85546875" style="41" customWidth="1"/>
    <col min="48" max="48" width="1.5703125" style="43" customWidth="1"/>
    <col min="49" max="49" width="10.42578125" style="41" customWidth="1"/>
    <col min="50" max="16384" width="10.42578125" style="41"/>
  </cols>
  <sheetData>
    <row r="1" spans="3:51" s="23" customFormat="1" ht="60.75" customHeight="1" x14ac:dyDescent="0.25">
      <c r="C1" s="24"/>
      <c r="D1" s="25"/>
      <c r="G1" s="23">
        <f>VLOOKUP(AT1,TabelKelas,5)</f>
        <v>23</v>
      </c>
      <c r="AK1" s="26"/>
      <c r="AL1" s="26"/>
      <c r="AP1" s="315"/>
      <c r="AQ1" s="315"/>
      <c r="AR1" s="315"/>
      <c r="AS1" s="315"/>
      <c r="AT1" s="315">
        <v>11</v>
      </c>
      <c r="AU1" s="315"/>
      <c r="AV1" s="316"/>
      <c r="AW1" s="315" t="str">
        <f>VLOOKUP(AT1,TabelKelas,2)</f>
        <v>5 A</v>
      </c>
      <c r="AX1" s="315" t="str">
        <f>VLOOKUP(AT1,TabelKelas,4)</f>
        <v>IPA</v>
      </c>
      <c r="AY1" s="315"/>
    </row>
    <row r="2" spans="3:51" s="27" customFormat="1" ht="52.5" x14ac:dyDescent="1.1000000000000001">
      <c r="C2" s="398" t="str">
        <f>CONCATENATE("قــــــــــــــــــــــائمة النـــــــــــــــــــــتائج للامتحان ",Pengaturan!J70)</f>
        <v>قــــــــــــــــــــــائمة النـــــــــــــــــــــتائج للامتحان النقلي</v>
      </c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  <c r="AF2" s="398"/>
      <c r="AG2" s="398"/>
      <c r="AH2" s="398"/>
      <c r="AI2" s="398"/>
      <c r="AJ2" s="398"/>
      <c r="AK2" s="398"/>
      <c r="AL2" s="39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</row>
    <row r="3" spans="3:51" s="29" customFormat="1" ht="52.5" x14ac:dyDescent="1.1000000000000001">
      <c r="C3" s="424" t="str">
        <f>CONCATENATE(" العام الدراسي",Pengaturan!J67)</f>
        <v xml:space="preserve"> العام الدراسي2014/2015</v>
      </c>
      <c r="D3" s="424"/>
      <c r="E3" s="424"/>
      <c r="F3" s="424"/>
      <c r="G3" s="424"/>
      <c r="H3" s="424"/>
      <c r="I3" s="424"/>
      <c r="J3" s="424"/>
      <c r="K3" s="424"/>
      <c r="L3" s="424"/>
      <c r="M3" s="424"/>
      <c r="N3" s="424"/>
      <c r="O3" s="424"/>
      <c r="P3" s="424"/>
      <c r="Q3" s="424"/>
      <c r="R3" s="424"/>
      <c r="S3" s="424"/>
      <c r="T3" s="424"/>
      <c r="U3" s="424"/>
      <c r="V3" s="424"/>
      <c r="W3" s="424"/>
      <c r="X3" s="424"/>
      <c r="Y3" s="424"/>
      <c r="Z3" s="424"/>
      <c r="AA3" s="424"/>
      <c r="AB3" s="424"/>
      <c r="AC3" s="424"/>
      <c r="AD3" s="424"/>
      <c r="AE3" s="424"/>
      <c r="AF3" s="424"/>
      <c r="AG3" s="424"/>
      <c r="AH3" s="424"/>
      <c r="AI3" s="424"/>
      <c r="AJ3" s="424"/>
      <c r="AK3" s="424"/>
      <c r="AL3" s="424"/>
      <c r="AM3" s="30"/>
      <c r="AN3" s="420" t="str">
        <f>VLOOKUP(AT1,Pengaturan!G38:M52,3)</f>
        <v>الخامس  A</v>
      </c>
      <c r="AO3" s="420"/>
      <c r="AP3" s="420"/>
      <c r="AQ3" s="44"/>
      <c r="AR3" s="44"/>
      <c r="AS3" s="44"/>
      <c r="AT3" s="44"/>
      <c r="AU3" s="45" t="s">
        <v>887</v>
      </c>
      <c r="AV3" s="32"/>
      <c r="AW3" s="33"/>
    </row>
    <row r="4" spans="3:51" s="29" customFormat="1" ht="23.25" customHeight="1" thickBot="1" x14ac:dyDescent="0.7">
      <c r="C4" s="27"/>
      <c r="D4" s="27"/>
      <c r="E4" s="27"/>
      <c r="F4" s="27"/>
      <c r="G4" s="34"/>
      <c r="H4" s="34"/>
      <c r="I4" s="27"/>
      <c r="J4" s="27"/>
      <c r="K4" s="30"/>
      <c r="L4" s="30"/>
      <c r="M4" s="30"/>
      <c r="N4" s="27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1"/>
      <c r="AL4" s="31"/>
      <c r="AM4" s="35"/>
      <c r="AN4" s="401">
        <f>VLOOKUP(AT1,Pengaturan!G38:M52,6)</f>
        <v>34</v>
      </c>
      <c r="AO4" s="401"/>
      <c r="AP4" s="421" t="s">
        <v>573</v>
      </c>
      <c r="AQ4" s="421"/>
      <c r="AR4" s="421"/>
      <c r="AS4" s="421"/>
      <c r="AT4" s="421"/>
      <c r="AU4" s="421"/>
      <c r="AV4" s="36"/>
      <c r="AW4" s="27"/>
    </row>
    <row r="5" spans="3:51" s="37" customFormat="1" ht="21" customHeight="1" x14ac:dyDescent="0.25">
      <c r="C5" s="428" t="s">
        <v>809</v>
      </c>
      <c r="D5" s="425" t="s">
        <v>888</v>
      </c>
      <c r="E5" s="399" t="str">
        <f>CONCATENATE("مواد الامتحان الشفهي",Pengaturan!J70)</f>
        <v>مواد الامتحان الشفهيالنقلي</v>
      </c>
      <c r="F5" s="400"/>
      <c r="G5" s="400"/>
      <c r="H5" s="431" t="str">
        <f>CONCATENATE("     مواد الامتحان التحريري",   Pengaturan!J70)</f>
        <v xml:space="preserve">     مواد الامتحان التحريريالنقلي</v>
      </c>
      <c r="I5" s="432"/>
      <c r="J5" s="432"/>
      <c r="K5" s="432"/>
      <c r="L5" s="432"/>
      <c r="M5" s="432"/>
      <c r="N5" s="432"/>
      <c r="O5" s="432"/>
      <c r="P5" s="432"/>
      <c r="Q5" s="432"/>
      <c r="R5" s="432"/>
      <c r="S5" s="432"/>
      <c r="T5" s="432"/>
      <c r="U5" s="432"/>
      <c r="V5" s="432"/>
      <c r="W5" s="432"/>
      <c r="X5" s="432"/>
      <c r="Y5" s="432"/>
      <c r="Z5" s="432"/>
      <c r="AA5" s="432"/>
      <c r="AB5" s="432"/>
      <c r="AC5" s="432"/>
      <c r="AD5" s="432"/>
      <c r="AE5" s="432"/>
      <c r="AF5" s="432"/>
      <c r="AG5" s="432"/>
      <c r="AH5" s="432"/>
      <c r="AI5" s="432"/>
      <c r="AJ5" s="433"/>
      <c r="AK5" s="263"/>
      <c r="AL5" s="211"/>
      <c r="AM5" s="212"/>
      <c r="AN5" s="423">
        <f>SUM($E6:$AJ6)</f>
        <v>65</v>
      </c>
      <c r="AO5" s="423"/>
      <c r="AP5" s="422" t="s">
        <v>574</v>
      </c>
      <c r="AQ5" s="422"/>
      <c r="AR5" s="422"/>
      <c r="AS5" s="422"/>
      <c r="AT5" s="422"/>
      <c r="AU5" s="422"/>
      <c r="AV5" s="213"/>
    </row>
    <row r="6" spans="3:51" s="38" customFormat="1" ht="20.25" customHeight="1" x14ac:dyDescent="0.35">
      <c r="C6" s="429"/>
      <c r="D6" s="426"/>
      <c r="E6" s="261">
        <f t="shared" ref="E6:AJ6" si="0">IF(AND($AT$1=1,$AX$1=0),VLOOKUP(E56,JurusanA,4),
IF(AND($AT$1=1,$AX$1="IPS"),VLOOKUP(E56,JurusanA,4),
IF(AND($AT$1=1,$AX$1="IPA"),VLOOKUP(E56,JurusanB,4),
IF(AND($AT$1=2,$AX$1=0),VLOOKUP(E56,JurusanA,4),
IF(AND($AT$1=2,$AX$1="IPS"),VLOOKUP(E56,JurusanA,4),
IF(AND($AT$1=2,$AX$1="IPA"),VLOOKUP(E56,JurusanB,4),
IF(AND($AT$1=3,$AX$1=0),VLOOKUP(E56,JurusanA,4),
IF(AND($AT$1=3,$AX$1="IPS"),VLOOKUP(E56,JurusanA,4),
IF(AND($AT$1=3,$AX$1="IPA"),VLOOKUP(E56,JurusanB,4),
IF(AND($AT$1=4,$AX$1=0),VLOOKUP(E56,JurusanA,4),
IF(AND($AT$1=4,$AX$1="IPS"),VLOOKUP(E56,JurusanA,4),
IF(AND($AT$1=4,$AX$1="IPA"),VLOOKUP(E56,JurusanB,4),
IF(AND($AT$1=5,$AX$1=0),VLOOKUP(E56,JurusanA,4),
IF(AND($AT$1=5,$AX$1="IPS"),VLOOKUP(E56,JurusanA,4),
IF(AND($AT$1=5,$AX$1="IPA"),VLOOKUP(E56,JurusanB,4),
IF(AND($AT$1=6,$AX$1=0),VLOOKUP(E56,JurusanA,4),
IF(AND($AT$1=6,$AX$1="IPS"),VLOOKUP(E56,JurusanA,4),
IF(AND($AT$1=6,$AX$1="IPA"),VLOOKUP(E56,JurusanB,4),
IF(AND($AT$1=7,$AX$1=0),VLOOKUP(E56,JurusanA,4),
IF(AND($AT$1=7,$AX$1="IPS"),VLOOKUP(E56,JurusanA,4),
IF(AND($AT$1=7,$AX$1="IPA"),VLOOKUP(E56,JurusanB,4),
IF(AND($AT$1=8,$AX$1=0),VLOOKUP(E56,JurusanA,4),
IF(AND($AT$1=8,$AX$1="IPS"),VLOOKUP(E56,JurusanA,4),
IF(AND($AT$1=8,$AX$1="IPA"),VLOOKUP(E56,JurusanB,4),
IF(AND($AT$1=9,$AX$1=0),VLOOKUP(E56,JurusanA,4),
IF(AND($AT$1=9,$AX$1="IPS"),VLOOKUP(E56,JurusanA,4),
IF(AND($AT$1=9,$AX$1="IPA"),VLOOKUP(E56,JurusanB,4),
IF(AND($AT$1=10,$AX$1=0),VLOOKUP(E56,JurusanA,4),
IF(AND($AT$1=10,$AX$1="IPS"),VLOOKUP(E56,JurusanA,4),
IF(AND($AT$1=10,$AX$1="IPA"),VLOOKUP(E56,JurusanB,4),
IF(AND($AT$1=11,$AX$1=0),VLOOKUP(E56,JurusanA,4),
IF(AND($AT$1=11,$AX$1="IPS"),VLOOKUP(E56,JurusanA,4),
IF(AND($AT$1=11,$AX$1="IPA"),VLOOKUP(E56,JurusanB,4),
IF(AND($AT$1=12,$AX$1=0),VLOOKUP(E56,JurusanA,4),
IF(AND($AT$1=12,$AX$1="IPS"),VLOOKUP(E56,JurusanA,4),
IF(AND($AT$1=12,$AX$1="IPA"),VLOOKUP(E56,JurusanB,4),
))))))))))))))))))))))))))))))))))))</f>
        <v>3</v>
      </c>
      <c r="F6" s="261">
        <f t="shared" si="0"/>
        <v>3</v>
      </c>
      <c r="G6" s="261">
        <f t="shared" si="0"/>
        <v>3</v>
      </c>
      <c r="H6" s="261">
        <f t="shared" si="0"/>
        <v>2</v>
      </c>
      <c r="I6" s="261">
        <f t="shared" si="0"/>
        <v>2</v>
      </c>
      <c r="J6" s="261">
        <f t="shared" si="0"/>
        <v>4</v>
      </c>
      <c r="K6" s="261">
        <f t="shared" si="0"/>
        <v>2</v>
      </c>
      <c r="L6" s="261">
        <f t="shared" si="0"/>
        <v>3</v>
      </c>
      <c r="M6" s="261">
        <f t="shared" si="0"/>
        <v>4</v>
      </c>
      <c r="N6" s="261">
        <f t="shared" si="0"/>
        <v>4</v>
      </c>
      <c r="O6" s="261">
        <f t="shared" si="0"/>
        <v>4</v>
      </c>
      <c r="P6" s="261">
        <f t="shared" si="0"/>
        <v>2</v>
      </c>
      <c r="Q6" s="261">
        <f t="shared" si="0"/>
        <v>2</v>
      </c>
      <c r="R6" s="261">
        <f t="shared" si="0"/>
        <v>2</v>
      </c>
      <c r="S6" s="261">
        <f t="shared" si="0"/>
        <v>4</v>
      </c>
      <c r="T6" s="261">
        <f t="shared" si="0"/>
        <v>4</v>
      </c>
      <c r="U6" s="261">
        <f t="shared" si="0"/>
        <v>3</v>
      </c>
      <c r="V6" s="261">
        <f t="shared" si="0"/>
        <v>2</v>
      </c>
      <c r="W6" s="261">
        <f t="shared" si="0"/>
        <v>2</v>
      </c>
      <c r="X6" s="261">
        <f t="shared" si="0"/>
        <v>2</v>
      </c>
      <c r="Y6" s="261">
        <f t="shared" si="0"/>
        <v>2</v>
      </c>
      <c r="Z6" s="261">
        <f t="shared" si="0"/>
        <v>4</v>
      </c>
      <c r="AA6" s="261">
        <f t="shared" si="0"/>
        <v>2</v>
      </c>
      <c r="AB6" s="261">
        <f t="shared" si="0"/>
        <v>0</v>
      </c>
      <c r="AC6" s="261">
        <f t="shared" si="0"/>
        <v>0</v>
      </c>
      <c r="AD6" s="261">
        <f t="shared" si="0"/>
        <v>0</v>
      </c>
      <c r="AE6" s="261">
        <f t="shared" si="0"/>
        <v>0</v>
      </c>
      <c r="AF6" s="261">
        <f t="shared" si="0"/>
        <v>0</v>
      </c>
      <c r="AG6" s="261">
        <f t="shared" si="0"/>
        <v>0</v>
      </c>
      <c r="AH6" s="261">
        <f t="shared" si="0"/>
        <v>0</v>
      </c>
      <c r="AI6" s="261">
        <f t="shared" si="0"/>
        <v>0</v>
      </c>
      <c r="AJ6" s="261">
        <f t="shared" si="0"/>
        <v>0</v>
      </c>
      <c r="AK6" s="410" t="s">
        <v>889</v>
      </c>
      <c r="AL6" s="412" t="s">
        <v>890</v>
      </c>
      <c r="AM6" s="408" t="s">
        <v>891</v>
      </c>
      <c r="AN6" s="404" t="s">
        <v>892</v>
      </c>
      <c r="AO6" s="404" t="s">
        <v>7209</v>
      </c>
      <c r="AP6" s="404" t="s">
        <v>1858</v>
      </c>
      <c r="AQ6" s="404" t="s">
        <v>1850</v>
      </c>
      <c r="AR6" s="404" t="s">
        <v>1854</v>
      </c>
      <c r="AS6" s="404" t="s">
        <v>1857</v>
      </c>
      <c r="AT6" s="406" t="s">
        <v>575</v>
      </c>
      <c r="AU6" s="406"/>
      <c r="AV6" s="407"/>
    </row>
    <row r="7" spans="3:51" s="38" customFormat="1" ht="111.75" customHeight="1" x14ac:dyDescent="0.35">
      <c r="C7" s="429"/>
      <c r="D7" s="426"/>
      <c r="E7" s="414" t="str">
        <f t="shared" ref="E7:AJ7" si="1">IF(AND($AT$1=1,$AX$1=0),VLOOKUP(E56,JurusanA,3),
IF(AND($AT$1=1,$AX$1="IPS"),VLOOKUP(E56,JurusanA,3),
IF(AND($AT$1=1,$AX$1="IPA"),VLOOKUP(E56,JurusanB,3),
IF(AND($AT$1=2,$AX$1=0),VLOOKUP(E56,JurusanA,3),
IF(AND($AT$1=2,$AX$1="IPS"),VLOOKUP(E56,JurusanA,3),
IF(AND($AT$1=2,$AX$1="IPA"),VLOOKUP(E56,JurusanB,3),
IF(AND($AT$1=3,$AX$1=0),VLOOKUP(E56,JurusanA,3),
IF(AND($AT$1=3,$AX$1="IPS"),VLOOKUP(E56,JurusanA,3),
IF(AND($AT$1=3,$AX$1="IPA"),VLOOKUP(E56,JurusanB,3),
IF(AND($AT$1=4,$AX$1=0),VLOOKUP(E56,JurusanA,3),
IF(AND($AT$1=4,$AX$1="IPS"),VLOOKUP(E56,JurusanA,3),
IF(AND($AT$1=4,$AX$1="IPA"),VLOOKUP(E56,JurusanB,3),
IF(AND($AT$1=5,$AX$1=0),VLOOKUP(E56,JurusanA,3),
IF(AND($AT$1=5,$AX$1="IPS"),VLOOKUP(E56,JurusanA,3),
IF(AND($AT$1=5,$AX$1="IPA"),VLOOKUP(E56,JurusanB,3),
IF(AND($AT$1=6,$AX$1=0),VLOOKUP(E56,JurusanA,3),
IF(AND($AT$1=6,$AX$1="IPS"),VLOOKUP(E56,JurusanA,3),
IF(AND($AT$1=6,$AX$1="IPA"),VLOOKUP(E56,JurusanB,3),
IF(AND($AT$1=7,$AX$1=0),VLOOKUP(E56,JurusanA,3),
IF(AND($AT$1=7,$AX$1="IPS"),VLOOKUP(E56,JurusanA,3),
IF(AND($AT$1=7,$AX$1="IPA"),VLOOKUP(E56,JurusanB,3),
IF(AND($AT$1=8,$AX$1=0),VLOOKUP(E56,JurusanA,3),
IF(AND($AT$1=8,$AX$1="IPS"),VLOOKUP(E56,JurusanA,3),
IF(AND($AT$1=8,$AX$1="IPA"),VLOOKUP(E56,JurusanB,3),
IF(AND($AT$1=9,$AX$1=0),VLOOKUP(E56,JurusanA,3),
IF(AND($AT$1=9,$AX$1="IPS"),VLOOKUP(E56,JurusanA,3),
IF(AND($AT$1=9,$AX$1="IPA"),VLOOKUP(E56,JurusanB,3),
IF(AND($AT$1=10,$AX$1=0),VLOOKUP(E56,JurusanA,3),
IF(AND($AT$1=10,$AX$1="IPS"),VLOOKUP(E56,JurusanA,3),
IF(AND($AT$1=10,$AX$1="IPA"),VLOOKUP(E56,JurusanB,3),
IF(AND($AT$1=11,$AX$1=0),VLOOKUP(E56,JurusanA,3),
IF(AND($AT$1=11,$AX$1="IPS"),VLOOKUP(E56,JurusanA,3),
IF(AND($AT$1=11,$AX$1="IPA"),VLOOKUP(E56,JurusanB,3),
IF(AND($AT$1=12,$AX$1=0),VLOOKUP(E56,JurusanA,3),
IF(AND($AT$1=12,$AX$1="IPS"),VLOOKUP(E56,JurusanA,3),
IF(AND($AT$1=12,$AX$1="IPA"),VLOOKUP(E56,JurusanB,3),
))))))))))))))))))))))))))))))))))))</f>
        <v>اللغة العربية</v>
      </c>
      <c r="F7" s="414" t="str">
        <f t="shared" si="1"/>
        <v>اللغة الإنجليزية</v>
      </c>
      <c r="G7" s="414" t="str">
        <f t="shared" si="1"/>
        <v>الفقه وتلاوة القرآن</v>
      </c>
      <c r="H7" s="414" t="str">
        <f t="shared" si="1"/>
        <v>أصول الفقه</v>
      </c>
      <c r="I7" s="414" t="str">
        <f>IF(AND($AT$1=1,$AX$1=0),VLOOKUP(I56,JurusanA,3),
IF(AND($AT$1=1,$AX$1="IPS"),VLOOKUP(I56,JurusanA,3),
IF(AND($AT$1=1,$AX$1="IPA"),VLOOKUP(I56,JurusanB,3),
IF(AND($AT$1=2,$AX$1=0),VLOOKUP(I56,JurusanA,3),
IF(AND($AT$1=2,$AX$1="IPS"),VLOOKUP(I56,JurusanA,3),
IF(AND($AT$1=2,$AX$1="IPA"),VLOOKUP(I56,JurusanB,3),
IF(AND($AT$1=3,$AX$1=0),VLOOKUP(I56,JurusanA,3),
IF(AND($AT$1=3,$AX$1="IPS"),VLOOKUP(I56,JurusanA,3),
IF(AND($AT$1=3,$AX$1="IPA"),VLOOKUP(I56,JurusanB,3),
IF(AND($AT$1=4,$AX$1=0),VLOOKUP(I56,JurusanA,3),
IF(AND($AT$1=4,$AX$1="IPS"),VLOOKUP(I56,JurusanA,3),
IF(AND($AT$1=4,$AX$1="IPA"),VLOOKUP(I56,JurusanB,3),
IF(AND($AT$1=5,$AX$1=0),VLOOKUP(I56,JurusanA,3),
IF(AND($AT$1=5,$AX$1="IPS"),VLOOKUP(I56,JurusanA,3),
IF(AND($AT$1=5,$AX$1="IPA"),VLOOKUP(I56,JurusanB,3),
IF(AND($AT$1=6,$AX$1=0),VLOOKUP(I56,JurusanA,3),
IF(AND($AT$1=6,$AX$1="IPS"),VLOOKUP(I56,JurusanA,3),
IF(AND($AT$1=6,$AX$1="IPA"),VLOOKUP(I56,JurusanB,3),
IF(AND($AT$1=7,$AX$1=0),VLOOKUP(I56,JurusanA,3),
IF(AND($AT$1=7,$AX$1="IPS"),VLOOKUP(I56,JurusanA,3),
IF(AND($AT$1=7,$AX$1="IPA"),VLOOKUP(I56,JurusanB,3),
IF(AND($AT$1=8,$AX$1=0),VLOOKUP(I56,JurusanA,3),
IF(AND($AT$1=8,$AX$1="IPS"),VLOOKUP(I56,JurusanA,3),
IF(AND($AT$1=8,$AX$1="IPA"),VLOOKUP(I56,JurusanB,3),
IF(AND($AT$1=9,$AX$1=0),VLOOKUP(I56,JurusanA,3),
IF(AND($AT$1=9,$AX$1="IPS"),VLOOKUP(I56,JurusanA,3),
IF(AND($AT$1=9,$AX$1="IPA"),VLOOKUP(I56,JurusanB,3),
IF(AND($AT$1=10,$AX$1=0),VLOOKUP(I56,JurusanA,3),
IF(AND($AT$1=10,$AX$1="IPS"),VLOOKUP(I56,JurusanA,3),
IF(AND($AT$1=10,$AX$1="IPA"),VLOOKUP(I56,JurusanB,3),
IF(AND($AT$1=11,$AX$1=0),VLOOKUP(I56,JurusanA,3),
IF(AND($AT$1=11,$AX$1="IPS"),VLOOKUP(I56,JurusanA,3),
IF(AND($AT$1=11,$AX$1="IPA"),VLOOKUP(I56,JurusanB,3),
IF(AND($AT$1=12,$AX$1=0),VLOOKUP(I56,JurusanA,3),
IF(AND($AT$1=12,$AX$1="IPS"),VLOOKUP(I56,JurusanA,3),
IF(AND($AT$1=12,$AX$1="IPA"),VLOOKUP(I56,JurusanB,3),
))))))))))))))))))))))))))))))))))))</f>
        <v>المطالعة و الإنشاء</v>
      </c>
      <c r="J7" s="414" t="str">
        <f t="shared" si="1"/>
        <v>النحو</v>
      </c>
      <c r="K7" s="414" t="str">
        <f t="shared" si="1"/>
        <v>التفسير</v>
      </c>
      <c r="L7" s="414" t="str">
        <f t="shared" si="1"/>
        <v>التربية</v>
      </c>
      <c r="M7" s="414" t="str">
        <f t="shared" si="1"/>
        <v>البلاغة</v>
      </c>
      <c r="N7" s="414" t="str">
        <f t="shared" si="1"/>
        <v>الحديث</v>
      </c>
      <c r="O7" s="414" t="str">
        <f>IF(AND($AT$1=1,$AX$1=0),VLOOKUP(O56,JurusanA,3),
IF(AND($AT$1=1,$AX$1="IPS"),VLOOKUP(O56,JurusanA,3),
IF(AND($AT$1=1,$AX$1="IPA"),VLOOKUP(O56,JurusanB,3),
IF(AND($AT$1=2,$AX$1=0),VLOOKUP(O56,JurusanA,3),
IF(AND($AT$1=2,$AX$1="IPS"),VLOOKUP(O56,JurusanA,3),
IF(AND($AT$1=2,$AX$1="IPA"),VLOOKUP(O56,JurusanB,3),
IF(AND($AT$1=3,$AX$1=0),VLOOKUP(O56,JurusanA,3),
IF(AND($AT$1=3,$AX$1="IPS"),VLOOKUP(O56,JurusanA,3),
IF(AND($AT$1=3,$AX$1="IPA"),VLOOKUP(O56,JurusanB,3),
IF(AND($AT$1=4,$AX$1=0),VLOOKUP(O56,JurusanA,3),
IF(AND($AT$1=4,$AX$1="IPS"),VLOOKUP(O56,JurusanA,3),
IF(AND($AT$1=4,$AX$1="IPA"),VLOOKUP(O56,JurusanB,3),
IF(AND($AT$1=5,$AX$1=0),VLOOKUP(O56,JurusanA,3),
IF(AND($AT$1=5,$AX$1="IPS"),VLOOKUP(O56,JurusanA,3),
IF(AND($AT$1=5,$AX$1="IPA"),VLOOKUP(O56,JurusanB,3),
IF(AND($AT$1=6,$AX$1=0),VLOOKUP(O56,JurusanA,3),
IF(AND($AT$1=6,$AX$1="IPS"),VLOOKUP(O56,JurusanA,3),
IF(AND($AT$1=6,$AX$1="IPA"),VLOOKUP(O56,JurusanB,3),
IF(AND($AT$1=7,$AX$1=0),VLOOKUP(O56,JurusanA,3),
IF(AND($AT$1=7,$AX$1="IPS"),VLOOKUP(O56,JurusanA,3),
IF(AND($AT$1=7,$AX$1="IPA"),VLOOKUP(O56,JurusanB,3),
IF(AND($AT$1=8,$AX$1=0),VLOOKUP(O56,JurusanA,3),
IF(AND($AT$1=8,$AX$1="IPS"),VLOOKUP(O56,JurusanA,3),
IF(AND($AT$1=8,$AX$1="IPA"),VLOOKUP(O56,JurusanB,3),
IF(AND($AT$1=9,$AX$1=0),VLOOKUP(O56,JurusanA,3),
IF(AND($AT$1=9,$AX$1="IPS"),VLOOKUP(O56,JurusanA,3),
IF(AND($AT$1=9,$AX$1="IPA"),VLOOKUP(O56,JurusanB,3),
IF(AND($AT$1=10,$AX$1=0),VLOOKUP(O56,JurusanA,3),
IF(AND($AT$1=10,$AX$1="IPS"),VLOOKUP(O56,JurusanA,3),
IF(AND($AT$1=10,$AX$1="IPA"),VLOOKUP(O56,JurusanB,3),
IF(AND($AT$1=11,$AX$1=0),VLOOKUP(O56,JurusanA,3),
IF(AND($AT$1=11,$AX$1="IPS"),VLOOKUP(O56,JurusanA,3),
IF(AND($AT$1=11,$AX$1="IPA"),VLOOKUP(O56,JurusanB,3),
IF(AND($AT$1=12,$AX$1=0),VLOOKUP(O56,JurusanA,3),
IF(AND($AT$1=12,$AX$1="IPS"),VLOOKUP(O56,JurusanA,3),
IF(AND($AT$1=12,$AX$1="IPA"),VLOOKUP(O56,JurusanB,3),
))))))))))))))))))))))))))))))))))))</f>
        <v>الفقه</v>
      </c>
      <c r="P7" s="414" t="str">
        <f t="shared" si="1"/>
        <v>الخط العربي</v>
      </c>
      <c r="Q7" s="414" t="str">
        <f t="shared" si="1"/>
        <v>الفراعد</v>
      </c>
      <c r="R7" s="414" t="str">
        <f t="shared" si="1"/>
        <v>المحفوظات</v>
      </c>
      <c r="S7" s="414" t="str">
        <f t="shared" si="1"/>
        <v>اللغة الإنجليزية</v>
      </c>
      <c r="T7" s="414" t="str">
        <f t="shared" si="1"/>
        <v>الرياضيات</v>
      </c>
      <c r="U7" s="414" t="str">
        <f t="shared" si="1"/>
        <v>اللغة الإندونيسية</v>
      </c>
      <c r="V7" s="414" t="str">
        <f t="shared" si="1"/>
        <v>التاريخ العام</v>
      </c>
      <c r="W7" s="414" t="str">
        <f t="shared" si="1"/>
        <v>الكمبيوتر</v>
      </c>
      <c r="X7" s="414" t="str">
        <f t="shared" si="1"/>
        <v>التربية الوطنية</v>
      </c>
      <c r="Y7" s="414" t="str">
        <f t="shared" si="1"/>
        <v>الصوصيولوجيا</v>
      </c>
      <c r="Z7" s="414" t="str">
        <f t="shared" si="1"/>
        <v>الاقتصادية</v>
      </c>
      <c r="AA7" s="414" t="str">
        <f t="shared" si="1"/>
        <v>الجغرافيا</v>
      </c>
      <c r="AB7" s="414">
        <f t="shared" si="1"/>
        <v>0</v>
      </c>
      <c r="AC7" s="414">
        <f t="shared" si="1"/>
        <v>0</v>
      </c>
      <c r="AD7" s="414">
        <f t="shared" si="1"/>
        <v>0</v>
      </c>
      <c r="AE7" s="414">
        <f t="shared" si="1"/>
        <v>0</v>
      </c>
      <c r="AF7" s="414">
        <f t="shared" si="1"/>
        <v>0</v>
      </c>
      <c r="AG7" s="414">
        <f t="shared" si="1"/>
        <v>0</v>
      </c>
      <c r="AH7" s="414">
        <f t="shared" si="1"/>
        <v>0</v>
      </c>
      <c r="AI7" s="414">
        <f t="shared" si="1"/>
        <v>0</v>
      </c>
      <c r="AJ7" s="414">
        <f t="shared" si="1"/>
        <v>0</v>
      </c>
      <c r="AK7" s="410"/>
      <c r="AL7" s="412"/>
      <c r="AM7" s="408"/>
      <c r="AN7" s="404"/>
      <c r="AO7" s="404"/>
      <c r="AP7" s="404"/>
      <c r="AQ7" s="404"/>
      <c r="AR7" s="404"/>
      <c r="AS7" s="404"/>
      <c r="AT7" s="406"/>
      <c r="AU7" s="406"/>
      <c r="AV7" s="407"/>
    </row>
    <row r="8" spans="3:51" s="38" customFormat="1" ht="25.5" customHeight="1" thickBot="1" x14ac:dyDescent="0.4">
      <c r="C8" s="430"/>
      <c r="D8" s="427"/>
      <c r="E8" s="415"/>
      <c r="F8" s="415"/>
      <c r="G8" s="415"/>
      <c r="H8" s="415"/>
      <c r="I8" s="415"/>
      <c r="J8" s="415"/>
      <c r="K8" s="415"/>
      <c r="L8" s="415"/>
      <c r="M8" s="415"/>
      <c r="N8" s="415"/>
      <c r="O8" s="415"/>
      <c r="P8" s="415"/>
      <c r="Q8" s="415"/>
      <c r="R8" s="415"/>
      <c r="S8" s="415"/>
      <c r="T8" s="415"/>
      <c r="U8" s="415"/>
      <c r="V8" s="415"/>
      <c r="W8" s="415"/>
      <c r="X8" s="415"/>
      <c r="Y8" s="415"/>
      <c r="Z8" s="415"/>
      <c r="AA8" s="415"/>
      <c r="AB8" s="415"/>
      <c r="AC8" s="415"/>
      <c r="AD8" s="415"/>
      <c r="AE8" s="415"/>
      <c r="AF8" s="415"/>
      <c r="AG8" s="415"/>
      <c r="AH8" s="415"/>
      <c r="AI8" s="415"/>
      <c r="AJ8" s="415"/>
      <c r="AK8" s="411"/>
      <c r="AL8" s="413"/>
      <c r="AM8" s="409"/>
      <c r="AN8" s="405"/>
      <c r="AO8" s="405"/>
      <c r="AP8" s="405"/>
      <c r="AQ8" s="405"/>
      <c r="AR8" s="405"/>
      <c r="AS8" s="405"/>
      <c r="AT8" s="264" t="s">
        <v>893</v>
      </c>
      <c r="AU8" s="402" t="s">
        <v>576</v>
      </c>
      <c r="AV8" s="403"/>
    </row>
    <row r="9" spans="3:51" s="38" customFormat="1" ht="22.5" customHeight="1" thickBot="1" x14ac:dyDescent="0.4">
      <c r="C9" s="262">
        <v>1</v>
      </c>
      <c r="D9" s="267" t="str">
        <f t="shared" ref="D9:D53" si="2">IF($AT$1=1,VLOOKUP(C9,KelasA,2),
IF($AT$1=2,VLOOKUP(C9,KelasB,2),
IF($AT$1=3,VLOOKUP(C9,KelasC,2),
IF($AT$1=4,VLOOKUP(C9,KelasD,2),
IF($AT$1=5,VLOOKUP(C9,KelasE,2),
IF($AT$1=6,VLOOKUP(C9,KelasF,2),
IF($AT$1=7,VLOOKUP(C9,KelasG,2),IF($AT$1=8,VLOOKUP(C9,KelasH,2),
IF($AT$1=9,VLOOKUP(C9,KelasI,2),IF($AT$1=10,VLOOKUP(C9,KelasJ,2),IF($AT$1=11,VLOOKUP(C9,KelasK,2),
IF($AT$1=12,VLOOKUP(C9,KelasL,2),
))))))))))))</f>
        <v>AhlamKhoiriyah</v>
      </c>
      <c r="E9" s="268">
        <f t="shared" ref="E9:N18" si="3">IF($AT$1=1,VLOOKUP($C9,KelasA,E$57),
IF($AT$1=2,VLOOKUP($C9,KelasB,E$57),
IF($AT$1=3,VLOOKUP($C9,KelasC,E$57),
IF($AT$1=4,VLOOKUP($C9,KelasD,E$57),
IF($AT$1=5,VLOOKUP($C9,KelasE,E$57),
IF($AT$1=6,VLOOKUP($C9,KelasF,E$57),
IF($AT$1=7,VLOOKUP($C9,KelasG,E$57),
IF($AT$1=8,VLOOKUP($C9,KelasH,E$57),
IF($AT$1=9,VLOOKUP($C9,KelasI,E$57),
IF($AT$1=10,VLOOKUP($C9,KelasJ,E$57),
IF($AT$1=11,VLOOKUP($C9,KelasK,E$57),
IF($AT$1=12,VLOOKUP($C9,KelasL,E$57),
))))))))))))</f>
        <v>0</v>
      </c>
      <c r="F9" s="268">
        <f t="shared" si="3"/>
        <v>0</v>
      </c>
      <c r="G9" s="268">
        <f t="shared" si="3"/>
        <v>0</v>
      </c>
      <c r="H9" s="268">
        <f t="shared" si="3"/>
        <v>0</v>
      </c>
      <c r="I9" s="268">
        <f t="shared" si="3"/>
        <v>0</v>
      </c>
      <c r="J9" s="268">
        <f t="shared" si="3"/>
        <v>0</v>
      </c>
      <c r="K9" s="268">
        <f t="shared" si="3"/>
        <v>0</v>
      </c>
      <c r="L9" s="268">
        <f t="shared" si="3"/>
        <v>0</v>
      </c>
      <c r="M9" s="268">
        <f t="shared" si="3"/>
        <v>0</v>
      </c>
      <c r="N9" s="268">
        <f t="shared" si="3"/>
        <v>0</v>
      </c>
      <c r="O9" s="268">
        <f t="shared" ref="O9:X18" si="4">IF($AT$1=1,VLOOKUP($C9,KelasA,O$57),
IF($AT$1=2,VLOOKUP($C9,KelasB,O$57),
IF($AT$1=3,VLOOKUP($C9,KelasC,O$57),
IF($AT$1=4,VLOOKUP($C9,KelasD,O$57),
IF($AT$1=5,VLOOKUP($C9,KelasE,O$57),
IF($AT$1=6,VLOOKUP($C9,KelasF,O$57),
IF($AT$1=7,VLOOKUP($C9,KelasG,O$57),
IF($AT$1=8,VLOOKUP($C9,KelasH,O$57),
IF($AT$1=9,VLOOKUP($C9,KelasI,O$57),
IF($AT$1=10,VLOOKUP($C9,KelasJ,O$57),
IF($AT$1=11,VLOOKUP($C9,KelasK,O$57),
IF($AT$1=12,VLOOKUP($C9,KelasL,O$57),
))))))))))))</f>
        <v>0</v>
      </c>
      <c r="P9" s="268">
        <f t="shared" si="4"/>
        <v>0</v>
      </c>
      <c r="Q9" s="268">
        <f t="shared" si="4"/>
        <v>0</v>
      </c>
      <c r="R9" s="268">
        <f t="shared" si="4"/>
        <v>0</v>
      </c>
      <c r="S9" s="268">
        <f t="shared" si="4"/>
        <v>0</v>
      </c>
      <c r="T9" s="268">
        <f t="shared" si="4"/>
        <v>0</v>
      </c>
      <c r="U9" s="268">
        <f t="shared" si="4"/>
        <v>0</v>
      </c>
      <c r="V9" s="268">
        <f t="shared" si="4"/>
        <v>0</v>
      </c>
      <c r="W9" s="268">
        <f t="shared" si="4"/>
        <v>0</v>
      </c>
      <c r="X9" s="268">
        <f t="shared" si="4"/>
        <v>0</v>
      </c>
      <c r="Y9" s="268">
        <f t="shared" ref="Y9:AJ18" si="5">IF($AT$1=1,VLOOKUP($C9,KelasA,Y$57),
IF($AT$1=2,VLOOKUP($C9,KelasB,Y$57),
IF($AT$1=3,VLOOKUP($C9,KelasC,Y$57),
IF($AT$1=4,VLOOKUP($C9,KelasD,Y$57),
IF($AT$1=5,VLOOKUP($C9,KelasE,Y$57),
IF($AT$1=6,VLOOKUP($C9,KelasF,Y$57),
IF($AT$1=7,VLOOKUP($C9,KelasG,Y$57),
IF($AT$1=8,VLOOKUP($C9,KelasH,Y$57),
IF($AT$1=9,VLOOKUP($C9,KelasI,Y$57),
IF($AT$1=10,VLOOKUP($C9,KelasJ,Y$57),
IF($AT$1=11,VLOOKUP($C9,KelasK,Y$57),
IF($AT$1=12,VLOOKUP($C9,KelasL,Y$57),
))))))))))))</f>
        <v>0</v>
      </c>
      <c r="Z9" s="268">
        <f>IF($AT$1=1,VLOOKUP($C9,KelasA,Z$57),
IF($AT$1=2,VLOOKUP($C9,KelasB,Z$57),
IF($AT$1=3,VLOOKUP($C9,KelasC,Z$57),
IF($AT$1=4,VLOOKUP($C9,KelasD,Z$57),
IF($AT$1=5,VLOOKUP($C9,KelasE,Z$57),
IF($AT$1=6,VLOOKUP($C9,KelasF,Z$57),
IF($AT$1=7,VLOOKUP($C9,KelasG,Z$57),
IF($AT$1=8,VLOOKUP($C9,KelasH,Z$57),
IF($AT$1=9,VLOOKUP($C9,KelasI,Z$57),
IF($AT$1=10,VLOOKUP($C9,KelasJ,Z$57),
IF($AT$1=11,VLOOKUP($C9,KelasK,Z$57),
IF($AT$1=12,VLOOKUP($C9,KelasL,Z$57),
))))))))))))</f>
        <v>0</v>
      </c>
      <c r="AA9" s="268">
        <f t="shared" si="5"/>
        <v>0</v>
      </c>
      <c r="AB9" s="268">
        <f t="shared" si="5"/>
        <v>0</v>
      </c>
      <c r="AC9" s="268">
        <f t="shared" si="5"/>
        <v>0</v>
      </c>
      <c r="AD9" s="268">
        <f t="shared" si="5"/>
        <v>0</v>
      </c>
      <c r="AE9" s="268">
        <f t="shared" si="5"/>
        <v>0</v>
      </c>
      <c r="AF9" s="268">
        <f t="shared" si="5"/>
        <v>0</v>
      </c>
      <c r="AG9" s="268">
        <f t="shared" si="5"/>
        <v>0</v>
      </c>
      <c r="AH9" s="268">
        <f t="shared" si="5"/>
        <v>0</v>
      </c>
      <c r="AI9" s="268">
        <f t="shared" si="5"/>
        <v>0</v>
      </c>
      <c r="AJ9" s="268">
        <f t="shared" si="5"/>
        <v>0</v>
      </c>
      <c r="AK9" s="257">
        <f>(E9*$E$6)+(F9*$F$6)+(G9*$G$6)+(H9*$H$6)+(I9*$I$6)+(J9*$J$6)+(K9*$K$6)+(L9*$L$6)+(M9*$M$6)+(N9*$N$6)+(O9*$O$6)+(P9*$P$6)+(Q9*$Q$6)+(R9*$R$6)+(S9*$S$6)+(T9*$T$6)+(U9*$U$6)+(V9*$V$6)+(W9*$W$6)+(X9*$X$6)+(Y9*$Y$6)+(Z9*$Z$6)</f>
        <v>0</v>
      </c>
      <c r="AL9" s="246">
        <f>SUM($AK9/$AN5)</f>
        <v>0</v>
      </c>
      <c r="AM9" s="245">
        <f>RANK($AK9,$AK9:$AK53)</f>
        <v>1</v>
      </c>
      <c r="AN9" s="247">
        <f t="shared" ref="AN9:AS18" si="6">IF($AT$1=1,VLOOKUP($C9,KelasA,AN$57),
IF($AT$1=2,VLOOKUP($C9,KelasB,AN$57),
IF($AT$1=3,VLOOKUP($C9,KelasC,AN$57),
IF($AT$1=4,VLOOKUP($C9,KelasD,AN$57),
IF($AT$1=5,VLOOKUP($C9,KelasE,AN$57),
IF($AT$1=6,VLOOKUP($C9,KelasF,AN$57),
IF($AT$1=7,VLOOKUP($C9,KelasG,AN$57),
IF($AT$1=8,VLOOKUP($C9,KelasH,AN$57),
IF($AT$1=9,VLOOKUP($C9,KelasI,AN$57),
IF($AT$1=10,VLOOKUP($C9,KelasJ,AN$57),
IF($AT$1=11,VLOOKUP($C9,KelasK,AN$57),
IF($AT$1=12,VLOOKUP($C9,KelasL,AN$57),
))))))))))))</f>
        <v>8</v>
      </c>
      <c r="AO9" s="247">
        <f t="shared" si="6"/>
        <v>0</v>
      </c>
      <c r="AP9" s="247">
        <f t="shared" si="6"/>
        <v>0</v>
      </c>
      <c r="AQ9" s="247">
        <f t="shared" si="6"/>
        <v>8</v>
      </c>
      <c r="AR9" s="247">
        <f t="shared" si="6"/>
        <v>8</v>
      </c>
      <c r="AS9" s="247">
        <f t="shared" si="6"/>
        <v>8</v>
      </c>
      <c r="AT9" s="247">
        <f>IF($G$1=10,COUNTIF($E9:$N9,"&lt;5"),
IF($G$1=11,COUNTIF($E9:$O9,"&lt;5"),
IF($G$1=12,COUNTIF($E9:$P9,"&lt;5"),
IF($G$1=13,COUNTIF($E9:$Q9,"&lt;5"),
IF($G$1=14,COUNTIF($E9:$R9,"&lt;5"),
IF($G$1=15,COUNTIF($E9:$S9,"&lt;5"),
IF($G$1=16,COUNTIF($E9:$T9,"&lt;5"),
IF($G$1=17,COUNTIF($E9:$U9,"&lt;5"),
IF($G$1=18,COUNTIF($E9:$V9,"&lt;5"),
IF($G$1=19,COUNTIF($E9:$W9,"&lt;5"),
IF($G$1=20,COUNTIF($E9:$X9,"&lt;5"),
IF($G$1=21,COUNTIF($E9:$Y9,"&lt;5"),
IF($G$1=22,COUNTIF($E9:$Z9,"&lt;5"),
IF($G$1=23,COUNTIF($E9:$AA9,"&lt;5"),
IF($G$1=24,COUNTIF($E9:$AB9,"&lt;5"),
IF($G$1=25,COUNTIF($E9:$AC9,"&lt;5"),
IF($G$1=26,COUNTIF($E9:$AD9,"&lt;5"),
IF($G$1=27,COUNTIF($E9:$AE9,"&lt;5"),
IF($G$1=28,COUNTIF($E9:$AF9,"&lt;5"),
IF($G$1=29,COUNTIF($E9:$AG9,"&lt;5"),
))))))))))))))))))))</f>
        <v>23</v>
      </c>
      <c r="AU9" s="248">
        <f>$AT9/$G$1*100</f>
        <v>100</v>
      </c>
      <c r="AV9" s="249" t="s">
        <v>886</v>
      </c>
    </row>
    <row r="10" spans="3:51" s="38" customFormat="1" ht="22.5" customHeight="1" thickBot="1" x14ac:dyDescent="0.4">
      <c r="C10" s="243">
        <v>2</v>
      </c>
      <c r="D10" s="267" t="str">
        <f t="shared" si="2"/>
        <v>AisyahNurbaktiah</v>
      </c>
      <c r="E10" s="268">
        <f t="shared" si="3"/>
        <v>0</v>
      </c>
      <c r="F10" s="268">
        <f t="shared" si="3"/>
        <v>0</v>
      </c>
      <c r="G10" s="268">
        <f t="shared" si="3"/>
        <v>0</v>
      </c>
      <c r="H10" s="268">
        <f t="shared" si="3"/>
        <v>0</v>
      </c>
      <c r="I10" s="268">
        <f t="shared" si="3"/>
        <v>0</v>
      </c>
      <c r="J10" s="268">
        <f t="shared" si="3"/>
        <v>0</v>
      </c>
      <c r="K10" s="268">
        <f t="shared" si="3"/>
        <v>0</v>
      </c>
      <c r="L10" s="268">
        <f t="shared" si="3"/>
        <v>0</v>
      </c>
      <c r="M10" s="268">
        <f t="shared" si="3"/>
        <v>0</v>
      </c>
      <c r="N10" s="268">
        <f t="shared" si="3"/>
        <v>0</v>
      </c>
      <c r="O10" s="268">
        <f t="shared" si="4"/>
        <v>0</v>
      </c>
      <c r="P10" s="268">
        <f t="shared" si="4"/>
        <v>0</v>
      </c>
      <c r="Q10" s="268">
        <f t="shared" si="4"/>
        <v>0</v>
      </c>
      <c r="R10" s="268">
        <f t="shared" si="4"/>
        <v>0</v>
      </c>
      <c r="S10" s="268">
        <f t="shared" si="4"/>
        <v>0</v>
      </c>
      <c r="T10" s="268">
        <f t="shared" si="4"/>
        <v>0</v>
      </c>
      <c r="U10" s="268">
        <f t="shared" si="4"/>
        <v>0</v>
      </c>
      <c r="V10" s="268">
        <f t="shared" si="4"/>
        <v>0</v>
      </c>
      <c r="W10" s="268">
        <f t="shared" si="4"/>
        <v>0</v>
      </c>
      <c r="X10" s="268">
        <f t="shared" si="4"/>
        <v>0</v>
      </c>
      <c r="Y10" s="268">
        <f t="shared" si="5"/>
        <v>0</v>
      </c>
      <c r="Z10" s="268">
        <f t="shared" si="5"/>
        <v>0</v>
      </c>
      <c r="AA10" s="268">
        <f t="shared" si="5"/>
        <v>0</v>
      </c>
      <c r="AB10" s="268">
        <f t="shared" si="5"/>
        <v>0</v>
      </c>
      <c r="AC10" s="268">
        <f t="shared" si="5"/>
        <v>0</v>
      </c>
      <c r="AD10" s="268">
        <f t="shared" si="5"/>
        <v>0</v>
      </c>
      <c r="AE10" s="268">
        <f t="shared" si="5"/>
        <v>0</v>
      </c>
      <c r="AF10" s="268">
        <f t="shared" si="5"/>
        <v>0</v>
      </c>
      <c r="AG10" s="268">
        <f t="shared" si="5"/>
        <v>0</v>
      </c>
      <c r="AH10" s="268">
        <f t="shared" si="5"/>
        <v>0</v>
      </c>
      <c r="AI10" s="268">
        <f t="shared" si="5"/>
        <v>0</v>
      </c>
      <c r="AJ10" s="268">
        <f t="shared" si="5"/>
        <v>0</v>
      </c>
      <c r="AK10" s="258">
        <f t="shared" ref="AK10:AK53" si="7">(E10*$E$6)+(F10*$F$6)+(G10*$G$6)+(H10*$H$6)+(I10*$I$6)+(J10*$J$6)+(K10*$K$6)+(L10*$L$6)+(M10*$M$6)+(N10*$N$6)+(O10*$O$6)+(P10*$P$6)+(Q10*$Q$6)+(R10*$R$6)+(S10*$S$6)+(T10*$T$6)+(U10*$U$6)+(V10*$V$6)+(W10*$W$6)+(X10*$X$6)+(Y10*$Y$6)+(Z10*$Z$6)</f>
        <v>0</v>
      </c>
      <c r="AL10" s="251">
        <f>SUM($AK10/$AN5)</f>
        <v>0</v>
      </c>
      <c r="AM10" s="250">
        <f>RANK($AK10,$AK9:$AK53)</f>
        <v>1</v>
      </c>
      <c r="AN10" s="247">
        <f t="shared" si="6"/>
        <v>0</v>
      </c>
      <c r="AO10" s="247">
        <f t="shared" si="6"/>
        <v>0</v>
      </c>
      <c r="AP10" s="247">
        <f t="shared" si="6"/>
        <v>0</v>
      </c>
      <c r="AQ10" s="247">
        <f t="shared" si="6"/>
        <v>8</v>
      </c>
      <c r="AR10" s="247">
        <f t="shared" si="6"/>
        <v>8</v>
      </c>
      <c r="AS10" s="247">
        <f t="shared" si="6"/>
        <v>8</v>
      </c>
      <c r="AT10" s="252">
        <f t="shared" ref="AT10:AT53" si="8">IF($G$1=10,COUNTIF($E10:$N10,"&lt;5"),
IF($G$1=11,COUNTIF($E10:$O10,"&lt;5"),
IF($G$1=12,COUNTIF($E10:$P10,"&lt;5"),
IF($G$1=13,COUNTIF($E10:$Q10,"&lt;5"),
IF($G$1=14,COUNTIF($E10:$R10,"&lt;5"),
IF($G$1=15,COUNTIF($E10:$S10,"&lt;5"),
IF($G$1=16,COUNTIF($E10:$T10,"&lt;5"),
IF($G$1=17,COUNTIF($E10:$U10,"&lt;5"),
IF($G$1=18,COUNTIF($E10:$V10,"&lt;5"),
IF($G$1=19,COUNTIF($E10:$W10,"&lt;5"),
IF($G$1=20,COUNTIF($E10:$X10,"&lt;5"),
IF($G$1=21,COUNTIF($E10:$Y10,"&lt;5"),
IF($G$1=22,COUNTIF($E10:$Z10,"&lt;5"),
IF($G$1=23,COUNTIF($E10:$AA10,"&lt;5"),
IF($G$1=24,COUNTIF($E10:$AB10,"&lt;5"),
IF($G$1=25,COUNTIF($E10:$AC10,"&lt;5"),
IF($G$1=26,COUNTIF($E10:$AD10,"&lt;5"),
IF($G$1=27,COUNTIF($E10:$AE10,"&lt;5"),
IF($G$1=28,COUNTIF($E10:$AF10,"&lt;5"),
IF($G$1=29,COUNTIF($E10:$AG10,"&lt;5"),
))))))))))))))))))))</f>
        <v>23</v>
      </c>
      <c r="AU10" s="253">
        <f t="shared" ref="AU10:AU53" si="9">$AT10/$G$1*100</f>
        <v>100</v>
      </c>
      <c r="AV10" s="214" t="s">
        <v>886</v>
      </c>
    </row>
    <row r="11" spans="3:51" s="38" customFormat="1" ht="22.5" customHeight="1" thickBot="1" x14ac:dyDescent="0.4">
      <c r="C11" s="243">
        <v>3</v>
      </c>
      <c r="D11" s="267" t="str">
        <f t="shared" si="2"/>
        <v>Anna ZakiahDerajat</v>
      </c>
      <c r="E11" s="268">
        <f t="shared" si="3"/>
        <v>0</v>
      </c>
      <c r="F11" s="268">
        <f t="shared" si="3"/>
        <v>0</v>
      </c>
      <c r="G11" s="268">
        <f t="shared" si="3"/>
        <v>0</v>
      </c>
      <c r="H11" s="268">
        <f t="shared" si="3"/>
        <v>0</v>
      </c>
      <c r="I11" s="268">
        <f t="shared" si="3"/>
        <v>0</v>
      </c>
      <c r="J11" s="268">
        <f t="shared" si="3"/>
        <v>0</v>
      </c>
      <c r="K11" s="268">
        <f t="shared" si="3"/>
        <v>0</v>
      </c>
      <c r="L11" s="268">
        <f t="shared" si="3"/>
        <v>0</v>
      </c>
      <c r="M11" s="268">
        <f t="shared" si="3"/>
        <v>0</v>
      </c>
      <c r="N11" s="268">
        <f t="shared" si="3"/>
        <v>0</v>
      </c>
      <c r="O11" s="268">
        <f t="shared" si="4"/>
        <v>0</v>
      </c>
      <c r="P11" s="268">
        <f t="shared" si="4"/>
        <v>0</v>
      </c>
      <c r="Q11" s="268">
        <f t="shared" si="4"/>
        <v>0</v>
      </c>
      <c r="R11" s="268">
        <f t="shared" si="4"/>
        <v>0</v>
      </c>
      <c r="S11" s="268">
        <f t="shared" si="4"/>
        <v>0</v>
      </c>
      <c r="T11" s="268">
        <f t="shared" si="4"/>
        <v>0</v>
      </c>
      <c r="U11" s="268">
        <f t="shared" si="4"/>
        <v>0</v>
      </c>
      <c r="V11" s="268">
        <f t="shared" si="4"/>
        <v>0</v>
      </c>
      <c r="W11" s="268">
        <f t="shared" si="4"/>
        <v>0</v>
      </c>
      <c r="X11" s="268">
        <f t="shared" si="4"/>
        <v>0</v>
      </c>
      <c r="Y11" s="268">
        <f t="shared" si="5"/>
        <v>0</v>
      </c>
      <c r="Z11" s="268">
        <f t="shared" si="5"/>
        <v>0</v>
      </c>
      <c r="AA11" s="268">
        <f t="shared" si="5"/>
        <v>0</v>
      </c>
      <c r="AB11" s="268">
        <f t="shared" si="5"/>
        <v>0</v>
      </c>
      <c r="AC11" s="268">
        <f t="shared" si="5"/>
        <v>0</v>
      </c>
      <c r="AD11" s="268">
        <f t="shared" si="5"/>
        <v>0</v>
      </c>
      <c r="AE11" s="268">
        <f t="shared" si="5"/>
        <v>0</v>
      </c>
      <c r="AF11" s="268">
        <f t="shared" si="5"/>
        <v>0</v>
      </c>
      <c r="AG11" s="268">
        <f t="shared" si="5"/>
        <v>0</v>
      </c>
      <c r="AH11" s="268">
        <f t="shared" si="5"/>
        <v>0</v>
      </c>
      <c r="AI11" s="268">
        <f t="shared" si="5"/>
        <v>0</v>
      </c>
      <c r="AJ11" s="268">
        <f t="shared" si="5"/>
        <v>0</v>
      </c>
      <c r="AK11" s="258">
        <f t="shared" si="7"/>
        <v>0</v>
      </c>
      <c r="AL11" s="251">
        <f>SUM($AK11/$AN5)</f>
        <v>0</v>
      </c>
      <c r="AM11" s="250">
        <f>RANK($AK11,$AK9:$AK53)</f>
        <v>1</v>
      </c>
      <c r="AN11" s="247">
        <f t="shared" si="6"/>
        <v>3</v>
      </c>
      <c r="AO11" s="247">
        <f t="shared" si="6"/>
        <v>18</v>
      </c>
      <c r="AP11" s="247">
        <f t="shared" si="6"/>
        <v>0</v>
      </c>
      <c r="AQ11" s="247">
        <f t="shared" si="6"/>
        <v>8</v>
      </c>
      <c r="AR11" s="247">
        <f t="shared" si="6"/>
        <v>8</v>
      </c>
      <c r="AS11" s="247">
        <f t="shared" si="6"/>
        <v>8</v>
      </c>
      <c r="AT11" s="252">
        <f t="shared" si="8"/>
        <v>23</v>
      </c>
      <c r="AU11" s="253">
        <f t="shared" si="9"/>
        <v>100</v>
      </c>
      <c r="AV11" s="214" t="s">
        <v>886</v>
      </c>
    </row>
    <row r="12" spans="3:51" s="38" customFormat="1" ht="22.5" customHeight="1" thickBot="1" x14ac:dyDescent="0.4">
      <c r="C12" s="243">
        <v>4</v>
      </c>
      <c r="D12" s="267" t="str">
        <f t="shared" si="2"/>
        <v>ArifahNurNailurfar</v>
      </c>
      <c r="E12" s="268">
        <f t="shared" si="3"/>
        <v>0</v>
      </c>
      <c r="F12" s="268">
        <f t="shared" si="3"/>
        <v>0</v>
      </c>
      <c r="G12" s="268">
        <f t="shared" si="3"/>
        <v>0</v>
      </c>
      <c r="H12" s="268">
        <f t="shared" si="3"/>
        <v>0</v>
      </c>
      <c r="I12" s="268">
        <f t="shared" si="3"/>
        <v>0</v>
      </c>
      <c r="J12" s="268">
        <f t="shared" si="3"/>
        <v>0</v>
      </c>
      <c r="K12" s="268">
        <f t="shared" si="3"/>
        <v>0</v>
      </c>
      <c r="L12" s="268">
        <f t="shared" si="3"/>
        <v>0</v>
      </c>
      <c r="M12" s="268">
        <f t="shared" si="3"/>
        <v>0</v>
      </c>
      <c r="N12" s="268">
        <f t="shared" si="3"/>
        <v>0</v>
      </c>
      <c r="O12" s="268">
        <f t="shared" si="4"/>
        <v>0</v>
      </c>
      <c r="P12" s="268">
        <f t="shared" si="4"/>
        <v>0</v>
      </c>
      <c r="Q12" s="268">
        <f t="shared" si="4"/>
        <v>0</v>
      </c>
      <c r="R12" s="268">
        <f t="shared" si="4"/>
        <v>0</v>
      </c>
      <c r="S12" s="268">
        <f t="shared" si="4"/>
        <v>0</v>
      </c>
      <c r="T12" s="268">
        <f t="shared" si="4"/>
        <v>0</v>
      </c>
      <c r="U12" s="268">
        <f t="shared" si="4"/>
        <v>0</v>
      </c>
      <c r="V12" s="268">
        <f t="shared" si="4"/>
        <v>0</v>
      </c>
      <c r="W12" s="268">
        <f t="shared" si="4"/>
        <v>0</v>
      </c>
      <c r="X12" s="268">
        <f t="shared" si="4"/>
        <v>0</v>
      </c>
      <c r="Y12" s="268">
        <f t="shared" si="5"/>
        <v>0</v>
      </c>
      <c r="Z12" s="268">
        <f t="shared" si="5"/>
        <v>0</v>
      </c>
      <c r="AA12" s="268">
        <f t="shared" si="5"/>
        <v>0</v>
      </c>
      <c r="AB12" s="268">
        <f t="shared" si="5"/>
        <v>0</v>
      </c>
      <c r="AC12" s="268">
        <f t="shared" si="5"/>
        <v>0</v>
      </c>
      <c r="AD12" s="268">
        <f t="shared" si="5"/>
        <v>0</v>
      </c>
      <c r="AE12" s="268">
        <f t="shared" si="5"/>
        <v>0</v>
      </c>
      <c r="AF12" s="268">
        <f t="shared" si="5"/>
        <v>0</v>
      </c>
      <c r="AG12" s="268">
        <f t="shared" si="5"/>
        <v>0</v>
      </c>
      <c r="AH12" s="268">
        <f t="shared" si="5"/>
        <v>0</v>
      </c>
      <c r="AI12" s="268">
        <f t="shared" si="5"/>
        <v>0</v>
      </c>
      <c r="AJ12" s="268">
        <f t="shared" si="5"/>
        <v>0</v>
      </c>
      <c r="AK12" s="258">
        <f t="shared" si="7"/>
        <v>0</v>
      </c>
      <c r="AL12" s="251">
        <f>SUM($AK12/$AN5)</f>
        <v>0</v>
      </c>
      <c r="AM12" s="250">
        <f>RANK($AK12,$AK9:$AK53)</f>
        <v>1</v>
      </c>
      <c r="AN12" s="247">
        <f t="shared" si="6"/>
        <v>6</v>
      </c>
      <c r="AO12" s="247">
        <f t="shared" si="6"/>
        <v>5</v>
      </c>
      <c r="AP12" s="247">
        <f t="shared" si="6"/>
        <v>0</v>
      </c>
      <c r="AQ12" s="247">
        <f t="shared" si="6"/>
        <v>8</v>
      </c>
      <c r="AR12" s="247">
        <f t="shared" si="6"/>
        <v>8</v>
      </c>
      <c r="AS12" s="247">
        <f t="shared" si="6"/>
        <v>8</v>
      </c>
      <c r="AT12" s="252">
        <f t="shared" si="8"/>
        <v>23</v>
      </c>
      <c r="AU12" s="253">
        <f t="shared" si="9"/>
        <v>100</v>
      </c>
      <c r="AV12" s="214" t="s">
        <v>886</v>
      </c>
    </row>
    <row r="13" spans="3:51" s="38" customFormat="1" ht="22.5" customHeight="1" thickBot="1" x14ac:dyDescent="0.4">
      <c r="C13" s="243">
        <v>5</v>
      </c>
      <c r="D13" s="267" t="str">
        <f t="shared" si="2"/>
        <v>BellindaGadisAbida</v>
      </c>
      <c r="E13" s="268">
        <f t="shared" si="3"/>
        <v>0</v>
      </c>
      <c r="F13" s="268">
        <f t="shared" si="3"/>
        <v>0</v>
      </c>
      <c r="G13" s="268">
        <f t="shared" si="3"/>
        <v>0</v>
      </c>
      <c r="H13" s="268">
        <f t="shared" si="3"/>
        <v>0</v>
      </c>
      <c r="I13" s="268">
        <f t="shared" si="3"/>
        <v>0</v>
      </c>
      <c r="J13" s="268">
        <f t="shared" si="3"/>
        <v>0</v>
      </c>
      <c r="K13" s="268">
        <f t="shared" si="3"/>
        <v>0</v>
      </c>
      <c r="L13" s="268">
        <f t="shared" si="3"/>
        <v>0</v>
      </c>
      <c r="M13" s="268">
        <f t="shared" si="3"/>
        <v>0</v>
      </c>
      <c r="N13" s="268">
        <f t="shared" si="3"/>
        <v>0</v>
      </c>
      <c r="O13" s="268">
        <f t="shared" si="4"/>
        <v>0</v>
      </c>
      <c r="P13" s="268">
        <f t="shared" si="4"/>
        <v>0</v>
      </c>
      <c r="Q13" s="268">
        <f t="shared" si="4"/>
        <v>0</v>
      </c>
      <c r="R13" s="268">
        <f t="shared" si="4"/>
        <v>0</v>
      </c>
      <c r="S13" s="268">
        <f t="shared" si="4"/>
        <v>0</v>
      </c>
      <c r="T13" s="268">
        <f t="shared" si="4"/>
        <v>0</v>
      </c>
      <c r="U13" s="268">
        <f t="shared" si="4"/>
        <v>0</v>
      </c>
      <c r="V13" s="268">
        <f t="shared" si="4"/>
        <v>0</v>
      </c>
      <c r="W13" s="268">
        <f t="shared" si="4"/>
        <v>0</v>
      </c>
      <c r="X13" s="268">
        <f t="shared" si="4"/>
        <v>0</v>
      </c>
      <c r="Y13" s="268">
        <f t="shared" si="5"/>
        <v>0</v>
      </c>
      <c r="Z13" s="268">
        <f t="shared" si="5"/>
        <v>0</v>
      </c>
      <c r="AA13" s="268">
        <f t="shared" si="5"/>
        <v>0</v>
      </c>
      <c r="AB13" s="268">
        <f t="shared" si="5"/>
        <v>0</v>
      </c>
      <c r="AC13" s="268">
        <f t="shared" si="5"/>
        <v>0</v>
      </c>
      <c r="AD13" s="268">
        <f t="shared" si="5"/>
        <v>0</v>
      </c>
      <c r="AE13" s="268">
        <f t="shared" si="5"/>
        <v>0</v>
      </c>
      <c r="AF13" s="268">
        <f t="shared" si="5"/>
        <v>0</v>
      </c>
      <c r="AG13" s="268">
        <f t="shared" si="5"/>
        <v>0</v>
      </c>
      <c r="AH13" s="268">
        <f t="shared" si="5"/>
        <v>0</v>
      </c>
      <c r="AI13" s="268">
        <f t="shared" si="5"/>
        <v>0</v>
      </c>
      <c r="AJ13" s="268">
        <f t="shared" si="5"/>
        <v>0</v>
      </c>
      <c r="AK13" s="258">
        <f t="shared" si="7"/>
        <v>0</v>
      </c>
      <c r="AL13" s="251">
        <f>SUM($AK13/$AN5)</f>
        <v>0</v>
      </c>
      <c r="AM13" s="250">
        <f>RANK($AK13,$AK9:$AK53)</f>
        <v>1</v>
      </c>
      <c r="AN13" s="247">
        <f t="shared" si="6"/>
        <v>0</v>
      </c>
      <c r="AO13" s="247">
        <f t="shared" si="6"/>
        <v>1</v>
      </c>
      <c r="AP13" s="247">
        <f t="shared" si="6"/>
        <v>0</v>
      </c>
      <c r="AQ13" s="247">
        <f t="shared" si="6"/>
        <v>8</v>
      </c>
      <c r="AR13" s="247">
        <f t="shared" si="6"/>
        <v>8</v>
      </c>
      <c r="AS13" s="247">
        <f t="shared" si="6"/>
        <v>8</v>
      </c>
      <c r="AT13" s="252">
        <f t="shared" si="8"/>
        <v>23</v>
      </c>
      <c r="AU13" s="253">
        <f t="shared" si="9"/>
        <v>100</v>
      </c>
      <c r="AV13" s="214" t="s">
        <v>886</v>
      </c>
    </row>
    <row r="14" spans="3:51" s="38" customFormat="1" ht="22.5" customHeight="1" thickBot="1" x14ac:dyDescent="0.4">
      <c r="C14" s="243">
        <v>6</v>
      </c>
      <c r="D14" s="267" t="str">
        <f t="shared" si="2"/>
        <v>DwiNurzakiyah</v>
      </c>
      <c r="E14" s="268">
        <f t="shared" si="3"/>
        <v>0</v>
      </c>
      <c r="F14" s="268">
        <f t="shared" si="3"/>
        <v>0</v>
      </c>
      <c r="G14" s="268">
        <f t="shared" si="3"/>
        <v>0</v>
      </c>
      <c r="H14" s="268">
        <f t="shared" si="3"/>
        <v>0</v>
      </c>
      <c r="I14" s="268">
        <f t="shared" si="3"/>
        <v>0</v>
      </c>
      <c r="J14" s="268">
        <f t="shared" si="3"/>
        <v>0</v>
      </c>
      <c r="K14" s="268">
        <f t="shared" si="3"/>
        <v>0</v>
      </c>
      <c r="L14" s="268">
        <f t="shared" si="3"/>
        <v>0</v>
      </c>
      <c r="M14" s="268">
        <f t="shared" si="3"/>
        <v>0</v>
      </c>
      <c r="N14" s="268">
        <f t="shared" si="3"/>
        <v>0</v>
      </c>
      <c r="O14" s="268">
        <f t="shared" si="4"/>
        <v>0</v>
      </c>
      <c r="P14" s="268">
        <f t="shared" si="4"/>
        <v>0</v>
      </c>
      <c r="Q14" s="268">
        <f t="shared" si="4"/>
        <v>0</v>
      </c>
      <c r="R14" s="268">
        <f t="shared" si="4"/>
        <v>0</v>
      </c>
      <c r="S14" s="268">
        <f t="shared" si="4"/>
        <v>0</v>
      </c>
      <c r="T14" s="268">
        <f t="shared" si="4"/>
        <v>0</v>
      </c>
      <c r="U14" s="268">
        <f t="shared" si="4"/>
        <v>0</v>
      </c>
      <c r="V14" s="268">
        <f t="shared" si="4"/>
        <v>0</v>
      </c>
      <c r="W14" s="268">
        <f t="shared" si="4"/>
        <v>0</v>
      </c>
      <c r="X14" s="268">
        <f t="shared" si="4"/>
        <v>0</v>
      </c>
      <c r="Y14" s="268">
        <f t="shared" si="5"/>
        <v>0</v>
      </c>
      <c r="Z14" s="268">
        <f t="shared" si="5"/>
        <v>0</v>
      </c>
      <c r="AA14" s="268">
        <f t="shared" si="5"/>
        <v>0</v>
      </c>
      <c r="AB14" s="268">
        <f t="shared" si="5"/>
        <v>0</v>
      </c>
      <c r="AC14" s="268">
        <f t="shared" si="5"/>
        <v>0</v>
      </c>
      <c r="AD14" s="268">
        <f t="shared" si="5"/>
        <v>0</v>
      </c>
      <c r="AE14" s="268">
        <f t="shared" si="5"/>
        <v>0</v>
      </c>
      <c r="AF14" s="268">
        <f t="shared" si="5"/>
        <v>0</v>
      </c>
      <c r="AG14" s="268">
        <f t="shared" si="5"/>
        <v>0</v>
      </c>
      <c r="AH14" s="268">
        <f t="shared" si="5"/>
        <v>0</v>
      </c>
      <c r="AI14" s="268">
        <f t="shared" si="5"/>
        <v>0</v>
      </c>
      <c r="AJ14" s="268">
        <f t="shared" si="5"/>
        <v>0</v>
      </c>
      <c r="AK14" s="258">
        <f t="shared" si="7"/>
        <v>0</v>
      </c>
      <c r="AL14" s="251">
        <f>SUM($AK14/$AN5)</f>
        <v>0</v>
      </c>
      <c r="AM14" s="250">
        <f>RANK($AK14,$AK9:$AK53)</f>
        <v>1</v>
      </c>
      <c r="AN14" s="247">
        <f t="shared" si="6"/>
        <v>1</v>
      </c>
      <c r="AO14" s="247">
        <f t="shared" si="6"/>
        <v>3</v>
      </c>
      <c r="AP14" s="247">
        <f t="shared" si="6"/>
        <v>0</v>
      </c>
      <c r="AQ14" s="247">
        <f t="shared" si="6"/>
        <v>8</v>
      </c>
      <c r="AR14" s="247">
        <f t="shared" si="6"/>
        <v>8</v>
      </c>
      <c r="AS14" s="247">
        <f t="shared" si="6"/>
        <v>8</v>
      </c>
      <c r="AT14" s="252">
        <f t="shared" si="8"/>
        <v>23</v>
      </c>
      <c r="AU14" s="253">
        <f t="shared" si="9"/>
        <v>100</v>
      </c>
      <c r="AV14" s="214" t="s">
        <v>886</v>
      </c>
    </row>
    <row r="15" spans="3:51" s="38" customFormat="1" ht="22.5" customHeight="1" thickBot="1" x14ac:dyDescent="0.4">
      <c r="C15" s="243">
        <v>7</v>
      </c>
      <c r="D15" s="267" t="str">
        <f t="shared" si="2"/>
        <v>FauziahAbabil</v>
      </c>
      <c r="E15" s="268">
        <f t="shared" si="3"/>
        <v>0</v>
      </c>
      <c r="F15" s="268">
        <f t="shared" si="3"/>
        <v>0</v>
      </c>
      <c r="G15" s="268">
        <f t="shared" si="3"/>
        <v>0</v>
      </c>
      <c r="H15" s="268">
        <f t="shared" si="3"/>
        <v>0</v>
      </c>
      <c r="I15" s="268">
        <f t="shared" si="3"/>
        <v>0</v>
      </c>
      <c r="J15" s="268">
        <f t="shared" si="3"/>
        <v>0</v>
      </c>
      <c r="K15" s="268">
        <f t="shared" si="3"/>
        <v>0</v>
      </c>
      <c r="L15" s="268">
        <f t="shared" si="3"/>
        <v>0</v>
      </c>
      <c r="M15" s="268">
        <f t="shared" si="3"/>
        <v>0</v>
      </c>
      <c r="N15" s="268">
        <f t="shared" si="3"/>
        <v>0</v>
      </c>
      <c r="O15" s="268">
        <f t="shared" si="4"/>
        <v>0</v>
      </c>
      <c r="P15" s="268">
        <f t="shared" si="4"/>
        <v>0</v>
      </c>
      <c r="Q15" s="268">
        <f t="shared" si="4"/>
        <v>0</v>
      </c>
      <c r="R15" s="268">
        <f t="shared" si="4"/>
        <v>0</v>
      </c>
      <c r="S15" s="268">
        <f t="shared" si="4"/>
        <v>0</v>
      </c>
      <c r="T15" s="268">
        <f t="shared" si="4"/>
        <v>0</v>
      </c>
      <c r="U15" s="268">
        <f t="shared" si="4"/>
        <v>0</v>
      </c>
      <c r="V15" s="268">
        <f t="shared" si="4"/>
        <v>0</v>
      </c>
      <c r="W15" s="268">
        <f t="shared" si="4"/>
        <v>0</v>
      </c>
      <c r="X15" s="268">
        <f t="shared" si="4"/>
        <v>0</v>
      </c>
      <c r="Y15" s="268">
        <f t="shared" si="5"/>
        <v>0</v>
      </c>
      <c r="Z15" s="268">
        <f t="shared" si="5"/>
        <v>0</v>
      </c>
      <c r="AA15" s="268">
        <f t="shared" si="5"/>
        <v>0</v>
      </c>
      <c r="AB15" s="268">
        <f t="shared" si="5"/>
        <v>0</v>
      </c>
      <c r="AC15" s="268">
        <f t="shared" si="5"/>
        <v>0</v>
      </c>
      <c r="AD15" s="268">
        <f t="shared" si="5"/>
        <v>0</v>
      </c>
      <c r="AE15" s="268">
        <f t="shared" si="5"/>
        <v>0</v>
      </c>
      <c r="AF15" s="268">
        <f t="shared" si="5"/>
        <v>0</v>
      </c>
      <c r="AG15" s="268">
        <f t="shared" si="5"/>
        <v>0</v>
      </c>
      <c r="AH15" s="268">
        <f t="shared" si="5"/>
        <v>0</v>
      </c>
      <c r="AI15" s="268">
        <f t="shared" si="5"/>
        <v>0</v>
      </c>
      <c r="AJ15" s="268">
        <f t="shared" si="5"/>
        <v>0</v>
      </c>
      <c r="AK15" s="258">
        <f t="shared" si="7"/>
        <v>0</v>
      </c>
      <c r="AL15" s="251">
        <f>SUM($AK15/$AN5)</f>
        <v>0</v>
      </c>
      <c r="AM15" s="250">
        <f>RANK($AK15,$AK9:$AK53)</f>
        <v>1</v>
      </c>
      <c r="AN15" s="247">
        <f t="shared" si="6"/>
        <v>5</v>
      </c>
      <c r="AO15" s="247">
        <f t="shared" si="6"/>
        <v>2</v>
      </c>
      <c r="AP15" s="247">
        <f t="shared" si="6"/>
        <v>0</v>
      </c>
      <c r="AQ15" s="247">
        <f t="shared" si="6"/>
        <v>8</v>
      </c>
      <c r="AR15" s="247">
        <f t="shared" si="6"/>
        <v>8</v>
      </c>
      <c r="AS15" s="247">
        <f t="shared" si="6"/>
        <v>8</v>
      </c>
      <c r="AT15" s="252">
        <f t="shared" si="8"/>
        <v>23</v>
      </c>
      <c r="AU15" s="253">
        <f t="shared" si="9"/>
        <v>100</v>
      </c>
      <c r="AV15" s="214" t="s">
        <v>886</v>
      </c>
    </row>
    <row r="16" spans="3:51" s="38" customFormat="1" ht="22.5" customHeight="1" thickBot="1" x14ac:dyDescent="0.4">
      <c r="C16" s="243">
        <v>8</v>
      </c>
      <c r="D16" s="267" t="str">
        <f t="shared" si="2"/>
        <v>Fivty Octavia Astuti</v>
      </c>
      <c r="E16" s="268">
        <f t="shared" si="3"/>
        <v>0</v>
      </c>
      <c r="F16" s="268">
        <f t="shared" si="3"/>
        <v>0</v>
      </c>
      <c r="G16" s="268">
        <f t="shared" si="3"/>
        <v>0</v>
      </c>
      <c r="H16" s="268">
        <f t="shared" si="3"/>
        <v>0</v>
      </c>
      <c r="I16" s="268">
        <f t="shared" si="3"/>
        <v>0</v>
      </c>
      <c r="J16" s="268">
        <f t="shared" si="3"/>
        <v>0</v>
      </c>
      <c r="K16" s="268">
        <f t="shared" si="3"/>
        <v>0</v>
      </c>
      <c r="L16" s="268">
        <f t="shared" si="3"/>
        <v>0</v>
      </c>
      <c r="M16" s="268">
        <f t="shared" si="3"/>
        <v>0</v>
      </c>
      <c r="N16" s="268">
        <f t="shared" si="3"/>
        <v>0</v>
      </c>
      <c r="O16" s="268">
        <f t="shared" si="4"/>
        <v>0</v>
      </c>
      <c r="P16" s="268">
        <f t="shared" si="4"/>
        <v>0</v>
      </c>
      <c r="Q16" s="268">
        <f t="shared" si="4"/>
        <v>0</v>
      </c>
      <c r="R16" s="268">
        <f t="shared" si="4"/>
        <v>0</v>
      </c>
      <c r="S16" s="268">
        <f t="shared" si="4"/>
        <v>0</v>
      </c>
      <c r="T16" s="268">
        <f t="shared" si="4"/>
        <v>0</v>
      </c>
      <c r="U16" s="268">
        <f t="shared" si="4"/>
        <v>0</v>
      </c>
      <c r="V16" s="268">
        <f t="shared" si="4"/>
        <v>0</v>
      </c>
      <c r="W16" s="268">
        <f t="shared" si="4"/>
        <v>0</v>
      </c>
      <c r="X16" s="268">
        <f t="shared" si="4"/>
        <v>0</v>
      </c>
      <c r="Y16" s="268">
        <f t="shared" si="5"/>
        <v>0</v>
      </c>
      <c r="Z16" s="268">
        <f t="shared" si="5"/>
        <v>0</v>
      </c>
      <c r="AA16" s="268">
        <f t="shared" si="5"/>
        <v>0</v>
      </c>
      <c r="AB16" s="268">
        <f t="shared" si="5"/>
        <v>0</v>
      </c>
      <c r="AC16" s="268">
        <f t="shared" si="5"/>
        <v>0</v>
      </c>
      <c r="AD16" s="268">
        <f t="shared" si="5"/>
        <v>0</v>
      </c>
      <c r="AE16" s="268">
        <f t="shared" si="5"/>
        <v>0</v>
      </c>
      <c r="AF16" s="268">
        <f t="shared" si="5"/>
        <v>0</v>
      </c>
      <c r="AG16" s="268">
        <f t="shared" si="5"/>
        <v>0</v>
      </c>
      <c r="AH16" s="268">
        <f t="shared" si="5"/>
        <v>0</v>
      </c>
      <c r="AI16" s="268">
        <f t="shared" si="5"/>
        <v>0</v>
      </c>
      <c r="AJ16" s="268">
        <f t="shared" si="5"/>
        <v>0</v>
      </c>
      <c r="AK16" s="258">
        <f t="shared" si="7"/>
        <v>0</v>
      </c>
      <c r="AL16" s="251">
        <f>SUM($AK16/$AN5)</f>
        <v>0</v>
      </c>
      <c r="AM16" s="250">
        <f>RANK($AK16,$AK9:$AK53)</f>
        <v>1</v>
      </c>
      <c r="AN16" s="247">
        <f t="shared" si="6"/>
        <v>1</v>
      </c>
      <c r="AO16" s="247">
        <f t="shared" si="6"/>
        <v>3</v>
      </c>
      <c r="AP16" s="247">
        <f t="shared" si="6"/>
        <v>0</v>
      </c>
      <c r="AQ16" s="247">
        <f t="shared" si="6"/>
        <v>8</v>
      </c>
      <c r="AR16" s="247">
        <f t="shared" si="6"/>
        <v>8</v>
      </c>
      <c r="AS16" s="247">
        <f t="shared" si="6"/>
        <v>8</v>
      </c>
      <c r="AT16" s="252">
        <f t="shared" si="8"/>
        <v>23</v>
      </c>
      <c r="AU16" s="253">
        <f t="shared" si="9"/>
        <v>100</v>
      </c>
      <c r="AV16" s="214" t="s">
        <v>886</v>
      </c>
    </row>
    <row r="17" spans="3:48" s="38" customFormat="1" ht="22.5" customHeight="1" thickBot="1" x14ac:dyDescent="0.4">
      <c r="C17" s="243">
        <v>9</v>
      </c>
      <c r="D17" s="267" t="str">
        <f t="shared" si="2"/>
        <v>JihanFaziraHusaeni</v>
      </c>
      <c r="E17" s="268">
        <f t="shared" si="3"/>
        <v>0</v>
      </c>
      <c r="F17" s="268">
        <f t="shared" si="3"/>
        <v>0</v>
      </c>
      <c r="G17" s="268">
        <f t="shared" si="3"/>
        <v>0</v>
      </c>
      <c r="H17" s="268">
        <f t="shared" si="3"/>
        <v>0</v>
      </c>
      <c r="I17" s="268">
        <f t="shared" si="3"/>
        <v>0</v>
      </c>
      <c r="J17" s="268">
        <f t="shared" si="3"/>
        <v>0</v>
      </c>
      <c r="K17" s="268">
        <f t="shared" si="3"/>
        <v>0</v>
      </c>
      <c r="L17" s="268">
        <f t="shared" si="3"/>
        <v>0</v>
      </c>
      <c r="M17" s="268">
        <f t="shared" si="3"/>
        <v>0</v>
      </c>
      <c r="N17" s="268">
        <f t="shared" si="3"/>
        <v>0</v>
      </c>
      <c r="O17" s="268">
        <f t="shared" si="4"/>
        <v>0</v>
      </c>
      <c r="P17" s="268">
        <f t="shared" si="4"/>
        <v>0</v>
      </c>
      <c r="Q17" s="268">
        <f t="shared" si="4"/>
        <v>0</v>
      </c>
      <c r="R17" s="268">
        <f t="shared" si="4"/>
        <v>0</v>
      </c>
      <c r="S17" s="268">
        <f t="shared" si="4"/>
        <v>0</v>
      </c>
      <c r="T17" s="268">
        <f t="shared" si="4"/>
        <v>0</v>
      </c>
      <c r="U17" s="268">
        <f t="shared" si="4"/>
        <v>0</v>
      </c>
      <c r="V17" s="268">
        <f t="shared" si="4"/>
        <v>0</v>
      </c>
      <c r="W17" s="268">
        <f t="shared" si="4"/>
        <v>0</v>
      </c>
      <c r="X17" s="268">
        <f t="shared" si="4"/>
        <v>0</v>
      </c>
      <c r="Y17" s="268">
        <f t="shared" si="5"/>
        <v>0</v>
      </c>
      <c r="Z17" s="268">
        <f t="shared" si="5"/>
        <v>0</v>
      </c>
      <c r="AA17" s="268">
        <f t="shared" si="5"/>
        <v>0</v>
      </c>
      <c r="AB17" s="268">
        <f t="shared" si="5"/>
        <v>0</v>
      </c>
      <c r="AC17" s="268">
        <f t="shared" si="5"/>
        <v>0</v>
      </c>
      <c r="AD17" s="268">
        <f t="shared" si="5"/>
        <v>0</v>
      </c>
      <c r="AE17" s="268">
        <f t="shared" si="5"/>
        <v>0</v>
      </c>
      <c r="AF17" s="268">
        <f t="shared" si="5"/>
        <v>0</v>
      </c>
      <c r="AG17" s="268">
        <f t="shared" si="5"/>
        <v>0</v>
      </c>
      <c r="AH17" s="268">
        <f t="shared" si="5"/>
        <v>0</v>
      </c>
      <c r="AI17" s="268">
        <f t="shared" si="5"/>
        <v>0</v>
      </c>
      <c r="AJ17" s="268">
        <f t="shared" si="5"/>
        <v>0</v>
      </c>
      <c r="AK17" s="258">
        <f t="shared" si="7"/>
        <v>0</v>
      </c>
      <c r="AL17" s="251">
        <f>SUM($AK17/$AN5)</f>
        <v>0</v>
      </c>
      <c r="AM17" s="250">
        <f>RANK($AK17,$AK9:$AK53)</f>
        <v>1</v>
      </c>
      <c r="AN17" s="247">
        <f t="shared" si="6"/>
        <v>2</v>
      </c>
      <c r="AO17" s="247">
        <f t="shared" si="6"/>
        <v>2</v>
      </c>
      <c r="AP17" s="247">
        <f t="shared" si="6"/>
        <v>0</v>
      </c>
      <c r="AQ17" s="247">
        <f t="shared" si="6"/>
        <v>8</v>
      </c>
      <c r="AR17" s="247">
        <f t="shared" si="6"/>
        <v>8</v>
      </c>
      <c r="AS17" s="247">
        <f t="shared" si="6"/>
        <v>8</v>
      </c>
      <c r="AT17" s="252">
        <f t="shared" si="8"/>
        <v>23</v>
      </c>
      <c r="AU17" s="253">
        <f t="shared" si="9"/>
        <v>100</v>
      </c>
      <c r="AV17" s="214" t="s">
        <v>886</v>
      </c>
    </row>
    <row r="18" spans="3:48" s="38" customFormat="1" ht="22.5" customHeight="1" thickBot="1" x14ac:dyDescent="0.4">
      <c r="C18" s="243">
        <v>10</v>
      </c>
      <c r="D18" s="267" t="str">
        <f t="shared" si="2"/>
        <v>JosyNovitaPrasetya</v>
      </c>
      <c r="E18" s="268">
        <f t="shared" si="3"/>
        <v>0</v>
      </c>
      <c r="F18" s="268">
        <f t="shared" si="3"/>
        <v>0</v>
      </c>
      <c r="G18" s="268">
        <f t="shared" si="3"/>
        <v>0</v>
      </c>
      <c r="H18" s="268">
        <f t="shared" si="3"/>
        <v>0</v>
      </c>
      <c r="I18" s="268">
        <f t="shared" si="3"/>
        <v>0</v>
      </c>
      <c r="J18" s="268">
        <f t="shared" si="3"/>
        <v>0</v>
      </c>
      <c r="K18" s="268">
        <f t="shared" si="3"/>
        <v>0</v>
      </c>
      <c r="L18" s="268">
        <f t="shared" si="3"/>
        <v>0</v>
      </c>
      <c r="M18" s="268">
        <f t="shared" si="3"/>
        <v>0</v>
      </c>
      <c r="N18" s="268">
        <f t="shared" si="3"/>
        <v>0</v>
      </c>
      <c r="O18" s="268">
        <f t="shared" si="4"/>
        <v>0</v>
      </c>
      <c r="P18" s="268">
        <f t="shared" si="4"/>
        <v>0</v>
      </c>
      <c r="Q18" s="268">
        <f t="shared" si="4"/>
        <v>0</v>
      </c>
      <c r="R18" s="268">
        <f t="shared" si="4"/>
        <v>0</v>
      </c>
      <c r="S18" s="268">
        <f t="shared" si="4"/>
        <v>0</v>
      </c>
      <c r="T18" s="268">
        <f t="shared" si="4"/>
        <v>0</v>
      </c>
      <c r="U18" s="268">
        <f t="shared" si="4"/>
        <v>0</v>
      </c>
      <c r="V18" s="268">
        <f t="shared" si="4"/>
        <v>0</v>
      </c>
      <c r="W18" s="268">
        <f t="shared" si="4"/>
        <v>0</v>
      </c>
      <c r="X18" s="268">
        <f t="shared" si="4"/>
        <v>0</v>
      </c>
      <c r="Y18" s="268">
        <f t="shared" si="5"/>
        <v>0</v>
      </c>
      <c r="Z18" s="268">
        <f t="shared" si="5"/>
        <v>0</v>
      </c>
      <c r="AA18" s="268">
        <f t="shared" si="5"/>
        <v>0</v>
      </c>
      <c r="AB18" s="268">
        <f t="shared" si="5"/>
        <v>0</v>
      </c>
      <c r="AC18" s="268">
        <f t="shared" si="5"/>
        <v>0</v>
      </c>
      <c r="AD18" s="268">
        <f t="shared" si="5"/>
        <v>0</v>
      </c>
      <c r="AE18" s="268">
        <f t="shared" si="5"/>
        <v>0</v>
      </c>
      <c r="AF18" s="268">
        <f t="shared" si="5"/>
        <v>0</v>
      </c>
      <c r="AG18" s="268">
        <f t="shared" si="5"/>
        <v>0</v>
      </c>
      <c r="AH18" s="268">
        <f t="shared" si="5"/>
        <v>0</v>
      </c>
      <c r="AI18" s="268">
        <f t="shared" si="5"/>
        <v>0</v>
      </c>
      <c r="AJ18" s="268">
        <f t="shared" si="5"/>
        <v>0</v>
      </c>
      <c r="AK18" s="258">
        <f t="shared" si="7"/>
        <v>0</v>
      </c>
      <c r="AL18" s="251">
        <f>SUM($AK18/$AN5)</f>
        <v>0</v>
      </c>
      <c r="AM18" s="250">
        <f>RANK($AK18,$AK9:$AK53)</f>
        <v>1</v>
      </c>
      <c r="AN18" s="247">
        <f t="shared" si="6"/>
        <v>14</v>
      </c>
      <c r="AO18" s="247">
        <f t="shared" si="6"/>
        <v>2</v>
      </c>
      <c r="AP18" s="247">
        <f t="shared" si="6"/>
        <v>3</v>
      </c>
      <c r="AQ18" s="247">
        <f t="shared" si="6"/>
        <v>8</v>
      </c>
      <c r="AR18" s="247">
        <f t="shared" si="6"/>
        <v>8</v>
      </c>
      <c r="AS18" s="247">
        <f t="shared" si="6"/>
        <v>8</v>
      </c>
      <c r="AT18" s="252">
        <f t="shared" si="8"/>
        <v>23</v>
      </c>
      <c r="AU18" s="253">
        <f t="shared" si="9"/>
        <v>100</v>
      </c>
      <c r="AV18" s="214" t="s">
        <v>886</v>
      </c>
    </row>
    <row r="19" spans="3:48" s="38" customFormat="1" ht="22.5" customHeight="1" thickBot="1" x14ac:dyDescent="0.4">
      <c r="C19" s="243">
        <v>11</v>
      </c>
      <c r="D19" s="267" t="str">
        <f t="shared" si="2"/>
        <v>KhildaFatiyah</v>
      </c>
      <c r="E19" s="268">
        <f t="shared" ref="E19:N28" si="10">IF($AT$1=1,VLOOKUP($C19,KelasA,E$57),
IF($AT$1=2,VLOOKUP($C19,KelasB,E$57),
IF($AT$1=3,VLOOKUP($C19,KelasC,E$57),
IF($AT$1=4,VLOOKUP($C19,KelasD,E$57),
IF($AT$1=5,VLOOKUP($C19,KelasE,E$57),
IF($AT$1=6,VLOOKUP($C19,KelasF,E$57),
IF($AT$1=7,VLOOKUP($C19,KelasG,E$57),
IF($AT$1=8,VLOOKUP($C19,KelasH,E$57),
IF($AT$1=9,VLOOKUP($C19,KelasI,E$57),
IF($AT$1=10,VLOOKUP($C19,KelasJ,E$57),
IF($AT$1=11,VLOOKUP($C19,KelasK,E$57),
IF($AT$1=12,VLOOKUP($C19,KelasL,E$57),
))))))))))))</f>
        <v>0</v>
      </c>
      <c r="F19" s="268">
        <f t="shared" si="10"/>
        <v>0</v>
      </c>
      <c r="G19" s="268">
        <f t="shared" si="10"/>
        <v>0</v>
      </c>
      <c r="H19" s="268">
        <f t="shared" si="10"/>
        <v>0</v>
      </c>
      <c r="I19" s="268">
        <f t="shared" si="10"/>
        <v>0</v>
      </c>
      <c r="J19" s="268">
        <f t="shared" si="10"/>
        <v>0</v>
      </c>
      <c r="K19" s="268">
        <f t="shared" si="10"/>
        <v>0</v>
      </c>
      <c r="L19" s="268">
        <f t="shared" si="10"/>
        <v>0</v>
      </c>
      <c r="M19" s="268">
        <f t="shared" si="10"/>
        <v>0</v>
      </c>
      <c r="N19" s="268">
        <f t="shared" si="10"/>
        <v>0</v>
      </c>
      <c r="O19" s="268">
        <f t="shared" ref="O19:X28" si="11">IF($AT$1=1,VLOOKUP($C19,KelasA,O$57),
IF($AT$1=2,VLOOKUP($C19,KelasB,O$57),
IF($AT$1=3,VLOOKUP($C19,KelasC,O$57),
IF($AT$1=4,VLOOKUP($C19,KelasD,O$57),
IF($AT$1=5,VLOOKUP($C19,KelasE,O$57),
IF($AT$1=6,VLOOKUP($C19,KelasF,O$57),
IF($AT$1=7,VLOOKUP($C19,KelasG,O$57),
IF($AT$1=8,VLOOKUP($C19,KelasH,O$57),
IF($AT$1=9,VLOOKUP($C19,KelasI,O$57),
IF($AT$1=10,VLOOKUP($C19,KelasJ,O$57),
IF($AT$1=11,VLOOKUP($C19,KelasK,O$57),
IF($AT$1=12,VLOOKUP($C19,KelasL,O$57),
))))))))))))</f>
        <v>0</v>
      </c>
      <c r="P19" s="268">
        <f t="shared" si="11"/>
        <v>0</v>
      </c>
      <c r="Q19" s="268">
        <f t="shared" si="11"/>
        <v>0</v>
      </c>
      <c r="R19" s="268">
        <f t="shared" si="11"/>
        <v>0</v>
      </c>
      <c r="S19" s="268">
        <f t="shared" si="11"/>
        <v>0</v>
      </c>
      <c r="T19" s="268">
        <f t="shared" si="11"/>
        <v>0</v>
      </c>
      <c r="U19" s="268">
        <f t="shared" si="11"/>
        <v>0</v>
      </c>
      <c r="V19" s="268">
        <f t="shared" si="11"/>
        <v>0</v>
      </c>
      <c r="W19" s="268">
        <f t="shared" si="11"/>
        <v>0</v>
      </c>
      <c r="X19" s="268">
        <f t="shared" si="11"/>
        <v>0</v>
      </c>
      <c r="Y19" s="268">
        <f t="shared" ref="Y19:AJ28" si="12">IF($AT$1=1,VLOOKUP($C19,KelasA,Y$57),
IF($AT$1=2,VLOOKUP($C19,KelasB,Y$57),
IF($AT$1=3,VLOOKUP($C19,KelasC,Y$57),
IF($AT$1=4,VLOOKUP($C19,KelasD,Y$57),
IF($AT$1=5,VLOOKUP($C19,KelasE,Y$57),
IF($AT$1=6,VLOOKUP($C19,KelasF,Y$57),
IF($AT$1=7,VLOOKUP($C19,KelasG,Y$57),
IF($AT$1=8,VLOOKUP($C19,KelasH,Y$57),
IF($AT$1=9,VLOOKUP($C19,KelasI,Y$57),
IF($AT$1=10,VLOOKUP($C19,KelasJ,Y$57),
IF($AT$1=11,VLOOKUP($C19,KelasK,Y$57),
IF($AT$1=12,VLOOKUP($C19,KelasL,Y$57),
))))))))))))</f>
        <v>0</v>
      </c>
      <c r="Z19" s="268">
        <f t="shared" si="12"/>
        <v>0</v>
      </c>
      <c r="AA19" s="268">
        <f t="shared" si="12"/>
        <v>0</v>
      </c>
      <c r="AB19" s="268">
        <f t="shared" si="12"/>
        <v>0</v>
      </c>
      <c r="AC19" s="268">
        <f t="shared" si="12"/>
        <v>0</v>
      </c>
      <c r="AD19" s="268">
        <f t="shared" si="12"/>
        <v>0</v>
      </c>
      <c r="AE19" s="268">
        <f t="shared" si="12"/>
        <v>0</v>
      </c>
      <c r="AF19" s="268">
        <f t="shared" si="12"/>
        <v>0</v>
      </c>
      <c r="AG19" s="268">
        <f t="shared" si="12"/>
        <v>0</v>
      </c>
      <c r="AH19" s="268">
        <f t="shared" si="12"/>
        <v>0</v>
      </c>
      <c r="AI19" s="268">
        <f t="shared" si="12"/>
        <v>0</v>
      </c>
      <c r="AJ19" s="268">
        <f t="shared" si="12"/>
        <v>0</v>
      </c>
      <c r="AK19" s="258">
        <f t="shared" si="7"/>
        <v>0</v>
      </c>
      <c r="AL19" s="251">
        <f>SUM($AK19/$AN5)</f>
        <v>0</v>
      </c>
      <c r="AM19" s="250">
        <f>RANK($AK19,$AK9:$AK53)</f>
        <v>1</v>
      </c>
      <c r="AN19" s="247">
        <f t="shared" ref="AN19:AS28" si="13">IF($AT$1=1,VLOOKUP($C19,KelasA,AN$57),
IF($AT$1=2,VLOOKUP($C19,KelasB,AN$57),
IF($AT$1=3,VLOOKUP($C19,KelasC,AN$57),
IF($AT$1=4,VLOOKUP($C19,KelasD,AN$57),
IF($AT$1=5,VLOOKUP($C19,KelasE,AN$57),
IF($AT$1=6,VLOOKUP($C19,KelasF,AN$57),
IF($AT$1=7,VLOOKUP($C19,KelasG,AN$57),
IF($AT$1=8,VLOOKUP($C19,KelasH,AN$57),
IF($AT$1=9,VLOOKUP($C19,KelasI,AN$57),
IF($AT$1=10,VLOOKUP($C19,KelasJ,AN$57),
IF($AT$1=11,VLOOKUP($C19,KelasK,AN$57),
IF($AT$1=12,VLOOKUP($C19,KelasL,AN$57),
))))))))))))</f>
        <v>0</v>
      </c>
      <c r="AO19" s="247">
        <f t="shared" si="13"/>
        <v>2</v>
      </c>
      <c r="AP19" s="247">
        <f t="shared" si="13"/>
        <v>0</v>
      </c>
      <c r="AQ19" s="247">
        <f t="shared" si="13"/>
        <v>8</v>
      </c>
      <c r="AR19" s="247">
        <f t="shared" si="13"/>
        <v>8</v>
      </c>
      <c r="AS19" s="247">
        <f t="shared" si="13"/>
        <v>8</v>
      </c>
      <c r="AT19" s="252">
        <f t="shared" si="8"/>
        <v>23</v>
      </c>
      <c r="AU19" s="253">
        <f t="shared" si="9"/>
        <v>100</v>
      </c>
      <c r="AV19" s="214" t="s">
        <v>886</v>
      </c>
    </row>
    <row r="20" spans="3:48" s="38" customFormat="1" ht="22.5" customHeight="1" thickBot="1" x14ac:dyDescent="0.4">
      <c r="C20" s="243">
        <v>12</v>
      </c>
      <c r="D20" s="267" t="str">
        <f t="shared" si="2"/>
        <v>KhoirunnisaAlawiyah</v>
      </c>
      <c r="E20" s="268">
        <f t="shared" si="10"/>
        <v>0</v>
      </c>
      <c r="F20" s="268">
        <f t="shared" si="10"/>
        <v>0</v>
      </c>
      <c r="G20" s="268">
        <f t="shared" si="10"/>
        <v>0</v>
      </c>
      <c r="H20" s="268">
        <f t="shared" si="10"/>
        <v>0</v>
      </c>
      <c r="I20" s="268">
        <f t="shared" si="10"/>
        <v>0</v>
      </c>
      <c r="J20" s="268">
        <f t="shared" si="10"/>
        <v>0</v>
      </c>
      <c r="K20" s="268">
        <f t="shared" si="10"/>
        <v>0</v>
      </c>
      <c r="L20" s="268">
        <f t="shared" si="10"/>
        <v>0</v>
      </c>
      <c r="M20" s="268">
        <f t="shared" si="10"/>
        <v>0</v>
      </c>
      <c r="N20" s="268">
        <f t="shared" si="10"/>
        <v>0</v>
      </c>
      <c r="O20" s="268">
        <f t="shared" si="11"/>
        <v>0</v>
      </c>
      <c r="P20" s="268">
        <f t="shared" si="11"/>
        <v>0</v>
      </c>
      <c r="Q20" s="268">
        <f t="shared" si="11"/>
        <v>0</v>
      </c>
      <c r="R20" s="268">
        <f t="shared" si="11"/>
        <v>0</v>
      </c>
      <c r="S20" s="268">
        <f t="shared" si="11"/>
        <v>0</v>
      </c>
      <c r="T20" s="268">
        <f t="shared" si="11"/>
        <v>0</v>
      </c>
      <c r="U20" s="268">
        <f t="shared" si="11"/>
        <v>0</v>
      </c>
      <c r="V20" s="268">
        <f t="shared" si="11"/>
        <v>0</v>
      </c>
      <c r="W20" s="268">
        <f t="shared" si="11"/>
        <v>0</v>
      </c>
      <c r="X20" s="268">
        <f t="shared" si="11"/>
        <v>0</v>
      </c>
      <c r="Y20" s="268">
        <f t="shared" si="12"/>
        <v>0</v>
      </c>
      <c r="Z20" s="268">
        <f t="shared" si="12"/>
        <v>0</v>
      </c>
      <c r="AA20" s="268">
        <f t="shared" si="12"/>
        <v>0</v>
      </c>
      <c r="AB20" s="268">
        <f t="shared" si="12"/>
        <v>0</v>
      </c>
      <c r="AC20" s="268">
        <f t="shared" si="12"/>
        <v>0</v>
      </c>
      <c r="AD20" s="268">
        <f t="shared" si="12"/>
        <v>0</v>
      </c>
      <c r="AE20" s="268">
        <f t="shared" si="12"/>
        <v>0</v>
      </c>
      <c r="AF20" s="268">
        <f t="shared" si="12"/>
        <v>0</v>
      </c>
      <c r="AG20" s="268">
        <f t="shared" si="12"/>
        <v>0</v>
      </c>
      <c r="AH20" s="268">
        <f t="shared" si="12"/>
        <v>0</v>
      </c>
      <c r="AI20" s="268">
        <f t="shared" si="12"/>
        <v>0</v>
      </c>
      <c r="AJ20" s="268">
        <f t="shared" si="12"/>
        <v>0</v>
      </c>
      <c r="AK20" s="258">
        <f t="shared" si="7"/>
        <v>0</v>
      </c>
      <c r="AL20" s="251">
        <f>SUM($AK20/$AN5)</f>
        <v>0</v>
      </c>
      <c r="AM20" s="250">
        <f>RANK($AK20,$AK9:$AK53)</f>
        <v>1</v>
      </c>
      <c r="AN20" s="247">
        <f t="shared" si="13"/>
        <v>0</v>
      </c>
      <c r="AO20" s="247">
        <f t="shared" si="13"/>
        <v>2</v>
      </c>
      <c r="AP20" s="247">
        <f t="shared" si="13"/>
        <v>0</v>
      </c>
      <c r="AQ20" s="247">
        <f t="shared" si="13"/>
        <v>8</v>
      </c>
      <c r="AR20" s="247">
        <f t="shared" si="13"/>
        <v>8</v>
      </c>
      <c r="AS20" s="247">
        <f t="shared" si="13"/>
        <v>8</v>
      </c>
      <c r="AT20" s="252">
        <f t="shared" si="8"/>
        <v>23</v>
      </c>
      <c r="AU20" s="253">
        <f t="shared" si="9"/>
        <v>100</v>
      </c>
      <c r="AV20" s="214" t="s">
        <v>886</v>
      </c>
    </row>
    <row r="21" spans="3:48" s="38" customFormat="1" ht="22.5" customHeight="1" thickBot="1" x14ac:dyDescent="0.4">
      <c r="C21" s="243">
        <v>13</v>
      </c>
      <c r="D21" s="267" t="str">
        <f t="shared" si="2"/>
        <v>Lu'luMuslihah</v>
      </c>
      <c r="E21" s="268">
        <f t="shared" si="10"/>
        <v>0</v>
      </c>
      <c r="F21" s="268">
        <f t="shared" si="10"/>
        <v>0</v>
      </c>
      <c r="G21" s="268">
        <f t="shared" si="10"/>
        <v>0</v>
      </c>
      <c r="H21" s="268">
        <f t="shared" si="10"/>
        <v>0</v>
      </c>
      <c r="I21" s="268">
        <f t="shared" si="10"/>
        <v>0</v>
      </c>
      <c r="J21" s="268">
        <f t="shared" si="10"/>
        <v>0</v>
      </c>
      <c r="K21" s="268">
        <f t="shared" si="10"/>
        <v>0</v>
      </c>
      <c r="L21" s="268">
        <f t="shared" si="10"/>
        <v>0</v>
      </c>
      <c r="M21" s="268">
        <f t="shared" si="10"/>
        <v>0</v>
      </c>
      <c r="N21" s="268">
        <f t="shared" si="10"/>
        <v>0</v>
      </c>
      <c r="O21" s="268">
        <f t="shared" si="11"/>
        <v>0</v>
      </c>
      <c r="P21" s="268">
        <f t="shared" si="11"/>
        <v>0</v>
      </c>
      <c r="Q21" s="268">
        <f t="shared" si="11"/>
        <v>0</v>
      </c>
      <c r="R21" s="268">
        <f t="shared" si="11"/>
        <v>0</v>
      </c>
      <c r="S21" s="268">
        <f t="shared" si="11"/>
        <v>0</v>
      </c>
      <c r="T21" s="268">
        <f t="shared" si="11"/>
        <v>0</v>
      </c>
      <c r="U21" s="268">
        <f t="shared" si="11"/>
        <v>0</v>
      </c>
      <c r="V21" s="268">
        <f t="shared" si="11"/>
        <v>0</v>
      </c>
      <c r="W21" s="268">
        <f t="shared" si="11"/>
        <v>0</v>
      </c>
      <c r="X21" s="268">
        <f t="shared" si="11"/>
        <v>0</v>
      </c>
      <c r="Y21" s="268">
        <f t="shared" si="12"/>
        <v>0</v>
      </c>
      <c r="Z21" s="268">
        <f t="shared" si="12"/>
        <v>0</v>
      </c>
      <c r="AA21" s="268">
        <f t="shared" si="12"/>
        <v>0</v>
      </c>
      <c r="AB21" s="268">
        <f t="shared" si="12"/>
        <v>0</v>
      </c>
      <c r="AC21" s="268">
        <f t="shared" si="12"/>
        <v>0</v>
      </c>
      <c r="AD21" s="268">
        <f t="shared" si="12"/>
        <v>0</v>
      </c>
      <c r="AE21" s="268">
        <f t="shared" si="12"/>
        <v>0</v>
      </c>
      <c r="AF21" s="268">
        <f t="shared" si="12"/>
        <v>0</v>
      </c>
      <c r="AG21" s="268">
        <f t="shared" si="12"/>
        <v>0</v>
      </c>
      <c r="AH21" s="268">
        <f t="shared" si="12"/>
        <v>0</v>
      </c>
      <c r="AI21" s="268">
        <f t="shared" si="12"/>
        <v>0</v>
      </c>
      <c r="AJ21" s="268">
        <f t="shared" si="12"/>
        <v>0</v>
      </c>
      <c r="AK21" s="258">
        <f t="shared" si="7"/>
        <v>0</v>
      </c>
      <c r="AL21" s="251">
        <f>SUM($AK21/$AN5)</f>
        <v>0</v>
      </c>
      <c r="AM21" s="250">
        <f>RANK($AK21,$AK9:$AK53)</f>
        <v>1</v>
      </c>
      <c r="AN21" s="247">
        <f t="shared" si="13"/>
        <v>0</v>
      </c>
      <c r="AO21" s="247">
        <f t="shared" si="13"/>
        <v>0</v>
      </c>
      <c r="AP21" s="247">
        <f t="shared" si="13"/>
        <v>0</v>
      </c>
      <c r="AQ21" s="247">
        <f t="shared" si="13"/>
        <v>8</v>
      </c>
      <c r="AR21" s="247">
        <f t="shared" si="13"/>
        <v>8</v>
      </c>
      <c r="AS21" s="247">
        <f t="shared" si="13"/>
        <v>8</v>
      </c>
      <c r="AT21" s="252">
        <f t="shared" si="8"/>
        <v>23</v>
      </c>
      <c r="AU21" s="253">
        <f t="shared" si="9"/>
        <v>100</v>
      </c>
      <c r="AV21" s="214" t="s">
        <v>886</v>
      </c>
    </row>
    <row r="22" spans="3:48" s="38" customFormat="1" ht="22.5" customHeight="1" thickBot="1" x14ac:dyDescent="0.4">
      <c r="C22" s="243">
        <v>14</v>
      </c>
      <c r="D22" s="267" t="str">
        <f t="shared" si="2"/>
        <v>MayherlisLauliaHidayat</v>
      </c>
      <c r="E22" s="268">
        <f t="shared" si="10"/>
        <v>0</v>
      </c>
      <c r="F22" s="268">
        <f t="shared" si="10"/>
        <v>0</v>
      </c>
      <c r="G22" s="268">
        <f t="shared" si="10"/>
        <v>0</v>
      </c>
      <c r="H22" s="268">
        <f t="shared" si="10"/>
        <v>0</v>
      </c>
      <c r="I22" s="268">
        <f t="shared" si="10"/>
        <v>0</v>
      </c>
      <c r="J22" s="268">
        <f t="shared" si="10"/>
        <v>0</v>
      </c>
      <c r="K22" s="268">
        <f t="shared" si="10"/>
        <v>0</v>
      </c>
      <c r="L22" s="268">
        <f t="shared" si="10"/>
        <v>0</v>
      </c>
      <c r="M22" s="268">
        <f t="shared" si="10"/>
        <v>0</v>
      </c>
      <c r="N22" s="268">
        <f t="shared" si="10"/>
        <v>0</v>
      </c>
      <c r="O22" s="268">
        <f t="shared" si="11"/>
        <v>0</v>
      </c>
      <c r="P22" s="268">
        <f t="shared" si="11"/>
        <v>0</v>
      </c>
      <c r="Q22" s="268">
        <f t="shared" si="11"/>
        <v>0</v>
      </c>
      <c r="R22" s="268">
        <f t="shared" si="11"/>
        <v>0</v>
      </c>
      <c r="S22" s="268">
        <f t="shared" si="11"/>
        <v>0</v>
      </c>
      <c r="T22" s="268">
        <f t="shared" si="11"/>
        <v>0</v>
      </c>
      <c r="U22" s="268">
        <f t="shared" si="11"/>
        <v>0</v>
      </c>
      <c r="V22" s="268">
        <f t="shared" si="11"/>
        <v>0</v>
      </c>
      <c r="W22" s="268">
        <f t="shared" si="11"/>
        <v>0</v>
      </c>
      <c r="X22" s="268">
        <f t="shared" si="11"/>
        <v>0</v>
      </c>
      <c r="Y22" s="268">
        <f t="shared" si="12"/>
        <v>0</v>
      </c>
      <c r="Z22" s="268">
        <f t="shared" si="12"/>
        <v>0</v>
      </c>
      <c r="AA22" s="268">
        <f t="shared" si="12"/>
        <v>0</v>
      </c>
      <c r="AB22" s="268">
        <f t="shared" si="12"/>
        <v>0</v>
      </c>
      <c r="AC22" s="268">
        <f t="shared" si="12"/>
        <v>0</v>
      </c>
      <c r="AD22" s="268">
        <f t="shared" si="12"/>
        <v>0</v>
      </c>
      <c r="AE22" s="268">
        <f t="shared" si="12"/>
        <v>0</v>
      </c>
      <c r="AF22" s="268">
        <f t="shared" si="12"/>
        <v>0</v>
      </c>
      <c r="AG22" s="268">
        <f t="shared" si="12"/>
        <v>0</v>
      </c>
      <c r="AH22" s="268">
        <f t="shared" si="12"/>
        <v>0</v>
      </c>
      <c r="AI22" s="268">
        <f t="shared" si="12"/>
        <v>0</v>
      </c>
      <c r="AJ22" s="268">
        <f t="shared" si="12"/>
        <v>0</v>
      </c>
      <c r="AK22" s="258">
        <f t="shared" si="7"/>
        <v>0</v>
      </c>
      <c r="AL22" s="251">
        <f>SUM($AK22/$AN5)</f>
        <v>0</v>
      </c>
      <c r="AM22" s="250">
        <f>RANK($AK22,$AK9:$AK53)</f>
        <v>1</v>
      </c>
      <c r="AN22" s="247">
        <f t="shared" si="13"/>
        <v>0</v>
      </c>
      <c r="AO22" s="247">
        <f t="shared" si="13"/>
        <v>1</v>
      </c>
      <c r="AP22" s="247">
        <f t="shared" si="13"/>
        <v>0</v>
      </c>
      <c r="AQ22" s="247">
        <f t="shared" si="13"/>
        <v>8</v>
      </c>
      <c r="AR22" s="247">
        <f t="shared" si="13"/>
        <v>8</v>
      </c>
      <c r="AS22" s="247">
        <f t="shared" si="13"/>
        <v>8</v>
      </c>
      <c r="AT22" s="252">
        <f t="shared" si="8"/>
        <v>23</v>
      </c>
      <c r="AU22" s="253">
        <f t="shared" si="9"/>
        <v>100</v>
      </c>
      <c r="AV22" s="214" t="s">
        <v>886</v>
      </c>
    </row>
    <row r="23" spans="3:48" s="38" customFormat="1" ht="22.5" customHeight="1" thickBot="1" x14ac:dyDescent="0.4">
      <c r="C23" s="243">
        <v>15</v>
      </c>
      <c r="D23" s="267" t="str">
        <f t="shared" si="2"/>
        <v>MeisinSeptiana Sari</v>
      </c>
      <c r="E23" s="268">
        <f t="shared" si="10"/>
        <v>0</v>
      </c>
      <c r="F23" s="268">
        <f t="shared" si="10"/>
        <v>0</v>
      </c>
      <c r="G23" s="268">
        <f t="shared" si="10"/>
        <v>0</v>
      </c>
      <c r="H23" s="268">
        <f t="shared" si="10"/>
        <v>0</v>
      </c>
      <c r="I23" s="268">
        <f t="shared" si="10"/>
        <v>0</v>
      </c>
      <c r="J23" s="268">
        <f t="shared" si="10"/>
        <v>0</v>
      </c>
      <c r="K23" s="268">
        <f t="shared" si="10"/>
        <v>0</v>
      </c>
      <c r="L23" s="268">
        <f t="shared" si="10"/>
        <v>0</v>
      </c>
      <c r="M23" s="268">
        <f t="shared" si="10"/>
        <v>0</v>
      </c>
      <c r="N23" s="268">
        <f t="shared" si="10"/>
        <v>0</v>
      </c>
      <c r="O23" s="268">
        <f t="shared" si="11"/>
        <v>0</v>
      </c>
      <c r="P23" s="268">
        <f t="shared" si="11"/>
        <v>0</v>
      </c>
      <c r="Q23" s="268">
        <f t="shared" si="11"/>
        <v>0</v>
      </c>
      <c r="R23" s="268">
        <f t="shared" si="11"/>
        <v>0</v>
      </c>
      <c r="S23" s="268">
        <f t="shared" si="11"/>
        <v>0</v>
      </c>
      <c r="T23" s="268">
        <f t="shared" si="11"/>
        <v>0</v>
      </c>
      <c r="U23" s="268">
        <f t="shared" si="11"/>
        <v>0</v>
      </c>
      <c r="V23" s="268">
        <f t="shared" si="11"/>
        <v>0</v>
      </c>
      <c r="W23" s="268">
        <f t="shared" si="11"/>
        <v>0</v>
      </c>
      <c r="X23" s="268">
        <f t="shared" si="11"/>
        <v>0</v>
      </c>
      <c r="Y23" s="268">
        <f t="shared" si="12"/>
        <v>0</v>
      </c>
      <c r="Z23" s="268">
        <f t="shared" si="12"/>
        <v>0</v>
      </c>
      <c r="AA23" s="268">
        <f t="shared" si="12"/>
        <v>0</v>
      </c>
      <c r="AB23" s="268">
        <f t="shared" si="12"/>
        <v>0</v>
      </c>
      <c r="AC23" s="268">
        <f t="shared" si="12"/>
        <v>0</v>
      </c>
      <c r="AD23" s="268">
        <f t="shared" si="12"/>
        <v>0</v>
      </c>
      <c r="AE23" s="268">
        <f t="shared" si="12"/>
        <v>0</v>
      </c>
      <c r="AF23" s="268">
        <f t="shared" si="12"/>
        <v>0</v>
      </c>
      <c r="AG23" s="268">
        <f t="shared" si="12"/>
        <v>0</v>
      </c>
      <c r="AH23" s="268">
        <f t="shared" si="12"/>
        <v>0</v>
      </c>
      <c r="AI23" s="268">
        <f t="shared" si="12"/>
        <v>0</v>
      </c>
      <c r="AJ23" s="268">
        <f t="shared" si="12"/>
        <v>0</v>
      </c>
      <c r="AK23" s="258">
        <f t="shared" si="7"/>
        <v>0</v>
      </c>
      <c r="AL23" s="251">
        <f>SUM($AK23/$AN5)</f>
        <v>0</v>
      </c>
      <c r="AM23" s="250">
        <f>RANK($AK23,$AK9:$AK53)</f>
        <v>1</v>
      </c>
      <c r="AN23" s="247">
        <f t="shared" si="13"/>
        <v>1</v>
      </c>
      <c r="AO23" s="247">
        <f t="shared" si="13"/>
        <v>2</v>
      </c>
      <c r="AP23" s="247">
        <f t="shared" si="13"/>
        <v>0</v>
      </c>
      <c r="AQ23" s="247">
        <f t="shared" si="13"/>
        <v>8</v>
      </c>
      <c r="AR23" s="247">
        <f t="shared" si="13"/>
        <v>8</v>
      </c>
      <c r="AS23" s="247">
        <f t="shared" si="13"/>
        <v>8</v>
      </c>
      <c r="AT23" s="252">
        <f t="shared" si="8"/>
        <v>23</v>
      </c>
      <c r="AU23" s="253">
        <f t="shared" si="9"/>
        <v>100</v>
      </c>
      <c r="AV23" s="214" t="s">
        <v>886</v>
      </c>
    </row>
    <row r="24" spans="3:48" s="38" customFormat="1" ht="22.5" customHeight="1" thickBot="1" x14ac:dyDescent="0.4">
      <c r="C24" s="243">
        <v>16</v>
      </c>
      <c r="D24" s="267" t="str">
        <f t="shared" si="2"/>
        <v>Nina NurAnggraeni</v>
      </c>
      <c r="E24" s="268">
        <f t="shared" si="10"/>
        <v>0</v>
      </c>
      <c r="F24" s="268">
        <f t="shared" si="10"/>
        <v>0</v>
      </c>
      <c r="G24" s="268">
        <f t="shared" si="10"/>
        <v>0</v>
      </c>
      <c r="H24" s="268">
        <f t="shared" si="10"/>
        <v>0</v>
      </c>
      <c r="I24" s="268">
        <f t="shared" si="10"/>
        <v>0</v>
      </c>
      <c r="J24" s="268">
        <f t="shared" si="10"/>
        <v>0</v>
      </c>
      <c r="K24" s="268">
        <f t="shared" si="10"/>
        <v>0</v>
      </c>
      <c r="L24" s="268">
        <f t="shared" si="10"/>
        <v>0</v>
      </c>
      <c r="M24" s="268">
        <f t="shared" si="10"/>
        <v>0</v>
      </c>
      <c r="N24" s="268">
        <f t="shared" si="10"/>
        <v>0</v>
      </c>
      <c r="O24" s="268">
        <f t="shared" si="11"/>
        <v>0</v>
      </c>
      <c r="P24" s="268">
        <f t="shared" si="11"/>
        <v>0</v>
      </c>
      <c r="Q24" s="268">
        <f t="shared" si="11"/>
        <v>0</v>
      </c>
      <c r="R24" s="268">
        <f t="shared" si="11"/>
        <v>0</v>
      </c>
      <c r="S24" s="268">
        <f t="shared" si="11"/>
        <v>0</v>
      </c>
      <c r="T24" s="268">
        <f t="shared" si="11"/>
        <v>0</v>
      </c>
      <c r="U24" s="268">
        <f t="shared" si="11"/>
        <v>0</v>
      </c>
      <c r="V24" s="268">
        <f t="shared" si="11"/>
        <v>0</v>
      </c>
      <c r="W24" s="268">
        <f t="shared" si="11"/>
        <v>0</v>
      </c>
      <c r="X24" s="268">
        <f t="shared" si="11"/>
        <v>0</v>
      </c>
      <c r="Y24" s="268">
        <f t="shared" si="12"/>
        <v>0</v>
      </c>
      <c r="Z24" s="268">
        <f t="shared" si="12"/>
        <v>0</v>
      </c>
      <c r="AA24" s="268">
        <f t="shared" si="12"/>
        <v>0</v>
      </c>
      <c r="AB24" s="268">
        <f t="shared" si="12"/>
        <v>0</v>
      </c>
      <c r="AC24" s="268">
        <f t="shared" si="12"/>
        <v>0</v>
      </c>
      <c r="AD24" s="268">
        <f t="shared" si="12"/>
        <v>0</v>
      </c>
      <c r="AE24" s="268">
        <f t="shared" si="12"/>
        <v>0</v>
      </c>
      <c r="AF24" s="268">
        <f t="shared" si="12"/>
        <v>0</v>
      </c>
      <c r="AG24" s="268">
        <f t="shared" si="12"/>
        <v>0</v>
      </c>
      <c r="AH24" s="268">
        <f t="shared" si="12"/>
        <v>0</v>
      </c>
      <c r="AI24" s="268">
        <f t="shared" si="12"/>
        <v>0</v>
      </c>
      <c r="AJ24" s="268">
        <f t="shared" si="12"/>
        <v>0</v>
      </c>
      <c r="AK24" s="258">
        <f t="shared" si="7"/>
        <v>0</v>
      </c>
      <c r="AL24" s="251">
        <f>SUM($AK24/$AN5)</f>
        <v>0</v>
      </c>
      <c r="AM24" s="250">
        <f>RANK($AK24,$AK9:$AK53)</f>
        <v>1</v>
      </c>
      <c r="AN24" s="247">
        <f t="shared" si="13"/>
        <v>1</v>
      </c>
      <c r="AO24" s="247">
        <f t="shared" si="13"/>
        <v>0</v>
      </c>
      <c r="AP24" s="247">
        <f t="shared" si="13"/>
        <v>0</v>
      </c>
      <c r="AQ24" s="247">
        <f t="shared" si="13"/>
        <v>8</v>
      </c>
      <c r="AR24" s="247">
        <f t="shared" si="13"/>
        <v>8</v>
      </c>
      <c r="AS24" s="247">
        <f t="shared" si="13"/>
        <v>8</v>
      </c>
      <c r="AT24" s="252">
        <f t="shared" si="8"/>
        <v>23</v>
      </c>
      <c r="AU24" s="253">
        <f t="shared" si="9"/>
        <v>100</v>
      </c>
      <c r="AV24" s="214" t="s">
        <v>886</v>
      </c>
    </row>
    <row r="25" spans="3:48" s="38" customFormat="1" ht="22.5" customHeight="1" thickBot="1" x14ac:dyDescent="0.4">
      <c r="C25" s="243">
        <v>17</v>
      </c>
      <c r="D25" s="267" t="str">
        <f t="shared" si="2"/>
        <v>NisaNuraida</v>
      </c>
      <c r="E25" s="268">
        <f t="shared" si="10"/>
        <v>0</v>
      </c>
      <c r="F25" s="268">
        <f t="shared" si="10"/>
        <v>0</v>
      </c>
      <c r="G25" s="268">
        <f t="shared" si="10"/>
        <v>0</v>
      </c>
      <c r="H25" s="268">
        <f t="shared" si="10"/>
        <v>0</v>
      </c>
      <c r="I25" s="268">
        <f t="shared" si="10"/>
        <v>0</v>
      </c>
      <c r="J25" s="268">
        <f t="shared" si="10"/>
        <v>0</v>
      </c>
      <c r="K25" s="268">
        <f t="shared" si="10"/>
        <v>0</v>
      </c>
      <c r="L25" s="268">
        <f t="shared" si="10"/>
        <v>0</v>
      </c>
      <c r="M25" s="268">
        <f t="shared" si="10"/>
        <v>0</v>
      </c>
      <c r="N25" s="268">
        <f t="shared" si="10"/>
        <v>0</v>
      </c>
      <c r="O25" s="268">
        <f t="shared" si="11"/>
        <v>0</v>
      </c>
      <c r="P25" s="268">
        <f t="shared" si="11"/>
        <v>0</v>
      </c>
      <c r="Q25" s="268">
        <f t="shared" si="11"/>
        <v>0</v>
      </c>
      <c r="R25" s="268">
        <f t="shared" si="11"/>
        <v>0</v>
      </c>
      <c r="S25" s="268">
        <f t="shared" si="11"/>
        <v>0</v>
      </c>
      <c r="T25" s="268">
        <f t="shared" si="11"/>
        <v>0</v>
      </c>
      <c r="U25" s="268">
        <f t="shared" si="11"/>
        <v>0</v>
      </c>
      <c r="V25" s="268">
        <f t="shared" si="11"/>
        <v>0</v>
      </c>
      <c r="W25" s="268">
        <f t="shared" si="11"/>
        <v>0</v>
      </c>
      <c r="X25" s="268">
        <f t="shared" si="11"/>
        <v>0</v>
      </c>
      <c r="Y25" s="268">
        <f t="shared" si="12"/>
        <v>0</v>
      </c>
      <c r="Z25" s="268">
        <f t="shared" si="12"/>
        <v>0</v>
      </c>
      <c r="AA25" s="268">
        <f t="shared" si="12"/>
        <v>0</v>
      </c>
      <c r="AB25" s="268">
        <f t="shared" si="12"/>
        <v>0</v>
      </c>
      <c r="AC25" s="268">
        <f t="shared" si="12"/>
        <v>0</v>
      </c>
      <c r="AD25" s="268">
        <f t="shared" si="12"/>
        <v>0</v>
      </c>
      <c r="AE25" s="268">
        <f t="shared" si="12"/>
        <v>0</v>
      </c>
      <c r="AF25" s="268">
        <f t="shared" si="12"/>
        <v>0</v>
      </c>
      <c r="AG25" s="268">
        <f t="shared" si="12"/>
        <v>0</v>
      </c>
      <c r="AH25" s="268">
        <f t="shared" si="12"/>
        <v>0</v>
      </c>
      <c r="AI25" s="268">
        <f t="shared" si="12"/>
        <v>0</v>
      </c>
      <c r="AJ25" s="268">
        <f t="shared" si="12"/>
        <v>0</v>
      </c>
      <c r="AK25" s="258">
        <f t="shared" si="7"/>
        <v>0</v>
      </c>
      <c r="AL25" s="251">
        <f>SUM($AK25/$AN5)</f>
        <v>0</v>
      </c>
      <c r="AM25" s="250">
        <f>RANK($AK25,$AK9:$AK53)</f>
        <v>1</v>
      </c>
      <c r="AN25" s="247">
        <f t="shared" si="13"/>
        <v>2</v>
      </c>
      <c r="AO25" s="247">
        <f t="shared" si="13"/>
        <v>4</v>
      </c>
      <c r="AP25" s="247">
        <f t="shared" si="13"/>
        <v>0</v>
      </c>
      <c r="AQ25" s="247">
        <f t="shared" si="13"/>
        <v>8</v>
      </c>
      <c r="AR25" s="247">
        <f t="shared" si="13"/>
        <v>8</v>
      </c>
      <c r="AS25" s="247">
        <f t="shared" si="13"/>
        <v>8</v>
      </c>
      <c r="AT25" s="252">
        <f t="shared" si="8"/>
        <v>23</v>
      </c>
      <c r="AU25" s="253">
        <f t="shared" si="9"/>
        <v>100</v>
      </c>
      <c r="AV25" s="214" t="s">
        <v>886</v>
      </c>
    </row>
    <row r="26" spans="3:48" s="38" customFormat="1" ht="22.5" customHeight="1" thickBot="1" x14ac:dyDescent="0.4">
      <c r="C26" s="243">
        <v>18</v>
      </c>
      <c r="D26" s="267" t="str">
        <f t="shared" si="2"/>
        <v>NurAzizah</v>
      </c>
      <c r="E26" s="268">
        <f t="shared" si="10"/>
        <v>0</v>
      </c>
      <c r="F26" s="268">
        <f t="shared" si="10"/>
        <v>0</v>
      </c>
      <c r="G26" s="268">
        <f t="shared" si="10"/>
        <v>0</v>
      </c>
      <c r="H26" s="268">
        <f t="shared" si="10"/>
        <v>0</v>
      </c>
      <c r="I26" s="268">
        <f t="shared" si="10"/>
        <v>0</v>
      </c>
      <c r="J26" s="268">
        <f t="shared" si="10"/>
        <v>0</v>
      </c>
      <c r="K26" s="268">
        <f t="shared" si="10"/>
        <v>0</v>
      </c>
      <c r="L26" s="268">
        <f t="shared" si="10"/>
        <v>0</v>
      </c>
      <c r="M26" s="268">
        <f t="shared" si="10"/>
        <v>0</v>
      </c>
      <c r="N26" s="268">
        <f t="shared" si="10"/>
        <v>0</v>
      </c>
      <c r="O26" s="268">
        <f t="shared" si="11"/>
        <v>0</v>
      </c>
      <c r="P26" s="268">
        <f t="shared" si="11"/>
        <v>0</v>
      </c>
      <c r="Q26" s="268">
        <f t="shared" si="11"/>
        <v>0</v>
      </c>
      <c r="R26" s="268">
        <f t="shared" si="11"/>
        <v>0</v>
      </c>
      <c r="S26" s="268">
        <f t="shared" si="11"/>
        <v>0</v>
      </c>
      <c r="T26" s="268">
        <f t="shared" si="11"/>
        <v>0</v>
      </c>
      <c r="U26" s="268">
        <f t="shared" si="11"/>
        <v>0</v>
      </c>
      <c r="V26" s="268">
        <f t="shared" si="11"/>
        <v>0</v>
      </c>
      <c r="W26" s="268">
        <f t="shared" si="11"/>
        <v>0</v>
      </c>
      <c r="X26" s="268">
        <f t="shared" si="11"/>
        <v>0</v>
      </c>
      <c r="Y26" s="268">
        <f t="shared" si="12"/>
        <v>0</v>
      </c>
      <c r="Z26" s="268">
        <f t="shared" si="12"/>
        <v>0</v>
      </c>
      <c r="AA26" s="268">
        <f t="shared" si="12"/>
        <v>0</v>
      </c>
      <c r="AB26" s="268">
        <f t="shared" si="12"/>
        <v>0</v>
      </c>
      <c r="AC26" s="268">
        <f t="shared" si="12"/>
        <v>0</v>
      </c>
      <c r="AD26" s="268">
        <f t="shared" si="12"/>
        <v>0</v>
      </c>
      <c r="AE26" s="268">
        <f t="shared" si="12"/>
        <v>0</v>
      </c>
      <c r="AF26" s="268">
        <f t="shared" si="12"/>
        <v>0</v>
      </c>
      <c r="AG26" s="268">
        <f t="shared" si="12"/>
        <v>0</v>
      </c>
      <c r="AH26" s="268">
        <f t="shared" si="12"/>
        <v>0</v>
      </c>
      <c r="AI26" s="268">
        <f t="shared" si="12"/>
        <v>0</v>
      </c>
      <c r="AJ26" s="268">
        <f t="shared" si="12"/>
        <v>0</v>
      </c>
      <c r="AK26" s="258">
        <f t="shared" si="7"/>
        <v>0</v>
      </c>
      <c r="AL26" s="251">
        <f>SUM($AK26/$AN5)</f>
        <v>0</v>
      </c>
      <c r="AM26" s="250">
        <f>RANK($AK26,$AK9:$AK53)</f>
        <v>1</v>
      </c>
      <c r="AN26" s="247">
        <f t="shared" si="13"/>
        <v>0</v>
      </c>
      <c r="AO26" s="247">
        <f t="shared" si="13"/>
        <v>2</v>
      </c>
      <c r="AP26" s="247">
        <f t="shared" si="13"/>
        <v>0</v>
      </c>
      <c r="AQ26" s="247">
        <f t="shared" si="13"/>
        <v>8</v>
      </c>
      <c r="AR26" s="247">
        <f t="shared" si="13"/>
        <v>8</v>
      </c>
      <c r="AS26" s="247">
        <f t="shared" si="13"/>
        <v>8</v>
      </c>
      <c r="AT26" s="252">
        <f t="shared" si="8"/>
        <v>23</v>
      </c>
      <c r="AU26" s="253">
        <f t="shared" si="9"/>
        <v>100</v>
      </c>
      <c r="AV26" s="214" t="s">
        <v>886</v>
      </c>
    </row>
    <row r="27" spans="3:48" s="38" customFormat="1" ht="22.5" customHeight="1" thickBot="1" x14ac:dyDescent="0.4">
      <c r="C27" s="243">
        <v>19</v>
      </c>
      <c r="D27" s="267" t="str">
        <f t="shared" si="2"/>
        <v>Rani DwiHandayani</v>
      </c>
      <c r="E27" s="268">
        <f t="shared" si="10"/>
        <v>0</v>
      </c>
      <c r="F27" s="268">
        <f t="shared" si="10"/>
        <v>0</v>
      </c>
      <c r="G27" s="268">
        <f t="shared" si="10"/>
        <v>0</v>
      </c>
      <c r="H27" s="268">
        <f t="shared" si="10"/>
        <v>0</v>
      </c>
      <c r="I27" s="268">
        <f t="shared" si="10"/>
        <v>0</v>
      </c>
      <c r="J27" s="268">
        <f t="shared" si="10"/>
        <v>0</v>
      </c>
      <c r="K27" s="268">
        <f t="shared" si="10"/>
        <v>0</v>
      </c>
      <c r="L27" s="268">
        <f t="shared" si="10"/>
        <v>0</v>
      </c>
      <c r="M27" s="268">
        <f t="shared" si="10"/>
        <v>0</v>
      </c>
      <c r="N27" s="268">
        <f t="shared" si="10"/>
        <v>0</v>
      </c>
      <c r="O27" s="268">
        <f t="shared" si="11"/>
        <v>0</v>
      </c>
      <c r="P27" s="268">
        <f t="shared" si="11"/>
        <v>0</v>
      </c>
      <c r="Q27" s="268">
        <f t="shared" si="11"/>
        <v>0</v>
      </c>
      <c r="R27" s="268">
        <f t="shared" si="11"/>
        <v>0</v>
      </c>
      <c r="S27" s="268">
        <f t="shared" si="11"/>
        <v>0</v>
      </c>
      <c r="T27" s="268">
        <f t="shared" si="11"/>
        <v>0</v>
      </c>
      <c r="U27" s="268">
        <f t="shared" si="11"/>
        <v>0</v>
      </c>
      <c r="V27" s="268">
        <f t="shared" si="11"/>
        <v>0</v>
      </c>
      <c r="W27" s="268">
        <f t="shared" si="11"/>
        <v>0</v>
      </c>
      <c r="X27" s="268">
        <f t="shared" si="11"/>
        <v>0</v>
      </c>
      <c r="Y27" s="268">
        <f t="shared" si="12"/>
        <v>0</v>
      </c>
      <c r="Z27" s="268">
        <f t="shared" si="12"/>
        <v>0</v>
      </c>
      <c r="AA27" s="268">
        <f t="shared" si="12"/>
        <v>0</v>
      </c>
      <c r="AB27" s="268">
        <f t="shared" si="12"/>
        <v>0</v>
      </c>
      <c r="AC27" s="268">
        <f t="shared" si="12"/>
        <v>0</v>
      </c>
      <c r="AD27" s="268">
        <f t="shared" si="12"/>
        <v>0</v>
      </c>
      <c r="AE27" s="268">
        <f t="shared" si="12"/>
        <v>0</v>
      </c>
      <c r="AF27" s="268">
        <f t="shared" si="12"/>
        <v>0</v>
      </c>
      <c r="AG27" s="268">
        <f t="shared" si="12"/>
        <v>0</v>
      </c>
      <c r="AH27" s="268">
        <f t="shared" si="12"/>
        <v>0</v>
      </c>
      <c r="AI27" s="268">
        <f t="shared" si="12"/>
        <v>0</v>
      </c>
      <c r="AJ27" s="268">
        <f t="shared" si="12"/>
        <v>0</v>
      </c>
      <c r="AK27" s="258">
        <f t="shared" si="7"/>
        <v>0</v>
      </c>
      <c r="AL27" s="251">
        <f>SUM($AK27/$AN5)</f>
        <v>0</v>
      </c>
      <c r="AM27" s="250">
        <f>RANK($AK27,$AK9:$AK53)</f>
        <v>1</v>
      </c>
      <c r="AN27" s="247">
        <f t="shared" si="13"/>
        <v>4</v>
      </c>
      <c r="AO27" s="247">
        <f t="shared" si="13"/>
        <v>0</v>
      </c>
      <c r="AP27" s="247">
        <f t="shared" si="13"/>
        <v>0</v>
      </c>
      <c r="AQ27" s="247">
        <f t="shared" si="13"/>
        <v>8</v>
      </c>
      <c r="AR27" s="247">
        <f t="shared" si="13"/>
        <v>8</v>
      </c>
      <c r="AS27" s="247">
        <f t="shared" si="13"/>
        <v>8</v>
      </c>
      <c r="AT27" s="252">
        <f t="shared" si="8"/>
        <v>23</v>
      </c>
      <c r="AU27" s="253">
        <f t="shared" si="9"/>
        <v>100</v>
      </c>
      <c r="AV27" s="214" t="s">
        <v>886</v>
      </c>
    </row>
    <row r="28" spans="3:48" s="38" customFormat="1" ht="22.5" customHeight="1" thickBot="1" x14ac:dyDescent="0.4">
      <c r="C28" s="243">
        <v>20</v>
      </c>
      <c r="D28" s="267" t="str">
        <f t="shared" si="2"/>
        <v>Rani Sofiati Fernanda</v>
      </c>
      <c r="E28" s="268">
        <f t="shared" si="10"/>
        <v>0</v>
      </c>
      <c r="F28" s="268">
        <f t="shared" si="10"/>
        <v>0</v>
      </c>
      <c r="G28" s="268">
        <f t="shared" si="10"/>
        <v>0</v>
      </c>
      <c r="H28" s="268">
        <f t="shared" si="10"/>
        <v>0</v>
      </c>
      <c r="I28" s="268">
        <f t="shared" si="10"/>
        <v>0</v>
      </c>
      <c r="J28" s="268">
        <f t="shared" si="10"/>
        <v>0</v>
      </c>
      <c r="K28" s="268">
        <f t="shared" si="10"/>
        <v>0</v>
      </c>
      <c r="L28" s="268">
        <f t="shared" si="10"/>
        <v>0</v>
      </c>
      <c r="M28" s="268">
        <f t="shared" si="10"/>
        <v>0</v>
      </c>
      <c r="N28" s="268">
        <f t="shared" si="10"/>
        <v>0</v>
      </c>
      <c r="O28" s="268">
        <f t="shared" si="11"/>
        <v>0</v>
      </c>
      <c r="P28" s="268">
        <f t="shared" si="11"/>
        <v>0</v>
      </c>
      <c r="Q28" s="268">
        <f t="shared" si="11"/>
        <v>0</v>
      </c>
      <c r="R28" s="268">
        <f t="shared" si="11"/>
        <v>0</v>
      </c>
      <c r="S28" s="268">
        <f t="shared" si="11"/>
        <v>0</v>
      </c>
      <c r="T28" s="268">
        <f t="shared" si="11"/>
        <v>0</v>
      </c>
      <c r="U28" s="268">
        <f t="shared" si="11"/>
        <v>0</v>
      </c>
      <c r="V28" s="268">
        <f t="shared" si="11"/>
        <v>0</v>
      </c>
      <c r="W28" s="268">
        <f t="shared" si="11"/>
        <v>0</v>
      </c>
      <c r="X28" s="268">
        <f t="shared" si="11"/>
        <v>0</v>
      </c>
      <c r="Y28" s="268">
        <f t="shared" si="12"/>
        <v>0</v>
      </c>
      <c r="Z28" s="268">
        <f t="shared" si="12"/>
        <v>0</v>
      </c>
      <c r="AA28" s="268">
        <f t="shared" si="12"/>
        <v>0</v>
      </c>
      <c r="AB28" s="268">
        <f t="shared" si="12"/>
        <v>0</v>
      </c>
      <c r="AC28" s="268">
        <f t="shared" si="12"/>
        <v>0</v>
      </c>
      <c r="AD28" s="268">
        <f t="shared" si="12"/>
        <v>0</v>
      </c>
      <c r="AE28" s="268">
        <f t="shared" si="12"/>
        <v>0</v>
      </c>
      <c r="AF28" s="268">
        <f t="shared" si="12"/>
        <v>0</v>
      </c>
      <c r="AG28" s="268">
        <f t="shared" si="12"/>
        <v>0</v>
      </c>
      <c r="AH28" s="268">
        <f t="shared" si="12"/>
        <v>0</v>
      </c>
      <c r="AI28" s="268">
        <f t="shared" si="12"/>
        <v>0</v>
      </c>
      <c r="AJ28" s="268">
        <f t="shared" si="12"/>
        <v>0</v>
      </c>
      <c r="AK28" s="258">
        <f t="shared" si="7"/>
        <v>0</v>
      </c>
      <c r="AL28" s="251">
        <f>SUM($AK28/$AN5)</f>
        <v>0</v>
      </c>
      <c r="AM28" s="250">
        <f>RANK($AK28,$AK9:$AK53)</f>
        <v>1</v>
      </c>
      <c r="AN28" s="247">
        <f t="shared" si="13"/>
        <v>0</v>
      </c>
      <c r="AO28" s="247">
        <f t="shared" si="13"/>
        <v>6</v>
      </c>
      <c r="AP28" s="247">
        <f t="shared" si="13"/>
        <v>0</v>
      </c>
      <c r="AQ28" s="247">
        <f t="shared" si="13"/>
        <v>8</v>
      </c>
      <c r="AR28" s="247">
        <f t="shared" si="13"/>
        <v>8</v>
      </c>
      <c r="AS28" s="247">
        <f t="shared" si="13"/>
        <v>8</v>
      </c>
      <c r="AT28" s="252">
        <f t="shared" si="8"/>
        <v>23</v>
      </c>
      <c r="AU28" s="253">
        <f t="shared" si="9"/>
        <v>100</v>
      </c>
      <c r="AV28" s="214" t="s">
        <v>886</v>
      </c>
    </row>
    <row r="29" spans="3:48" s="38" customFormat="1" ht="22.5" customHeight="1" thickBot="1" x14ac:dyDescent="0.4">
      <c r="C29" s="243">
        <v>21</v>
      </c>
      <c r="D29" s="267" t="str">
        <f t="shared" si="2"/>
        <v>RusdiantiCahyani</v>
      </c>
      <c r="E29" s="268">
        <f t="shared" ref="E29:N38" si="14">IF($AT$1=1,VLOOKUP($C29,KelasA,E$57),
IF($AT$1=2,VLOOKUP($C29,KelasB,E$57),
IF($AT$1=3,VLOOKUP($C29,KelasC,E$57),
IF($AT$1=4,VLOOKUP($C29,KelasD,E$57),
IF($AT$1=5,VLOOKUP($C29,KelasE,E$57),
IF($AT$1=6,VLOOKUP($C29,KelasF,E$57),
IF($AT$1=7,VLOOKUP($C29,KelasG,E$57),
IF($AT$1=8,VLOOKUP($C29,KelasH,E$57),
IF($AT$1=9,VLOOKUP($C29,KelasI,E$57),
IF($AT$1=10,VLOOKUP($C29,KelasJ,E$57),
IF($AT$1=11,VLOOKUP($C29,KelasK,E$57),
IF($AT$1=12,VLOOKUP($C29,KelasL,E$57),
))))))))))))</f>
        <v>0</v>
      </c>
      <c r="F29" s="268">
        <f t="shared" si="14"/>
        <v>0</v>
      </c>
      <c r="G29" s="268">
        <f t="shared" si="14"/>
        <v>0</v>
      </c>
      <c r="H29" s="268">
        <f t="shared" si="14"/>
        <v>0</v>
      </c>
      <c r="I29" s="268">
        <f t="shared" si="14"/>
        <v>0</v>
      </c>
      <c r="J29" s="268">
        <f t="shared" si="14"/>
        <v>0</v>
      </c>
      <c r="K29" s="268">
        <f t="shared" si="14"/>
        <v>0</v>
      </c>
      <c r="L29" s="268">
        <f t="shared" si="14"/>
        <v>0</v>
      </c>
      <c r="M29" s="268">
        <f t="shared" si="14"/>
        <v>0</v>
      </c>
      <c r="N29" s="268">
        <f t="shared" si="14"/>
        <v>0</v>
      </c>
      <c r="O29" s="268">
        <f t="shared" ref="O29:X38" si="15">IF($AT$1=1,VLOOKUP($C29,KelasA,O$57),
IF($AT$1=2,VLOOKUP($C29,KelasB,O$57),
IF($AT$1=3,VLOOKUP($C29,KelasC,O$57),
IF($AT$1=4,VLOOKUP($C29,KelasD,O$57),
IF($AT$1=5,VLOOKUP($C29,KelasE,O$57),
IF($AT$1=6,VLOOKUP($C29,KelasF,O$57),
IF($AT$1=7,VLOOKUP($C29,KelasG,O$57),
IF($AT$1=8,VLOOKUP($C29,KelasH,O$57),
IF($AT$1=9,VLOOKUP($C29,KelasI,O$57),
IF($AT$1=10,VLOOKUP($C29,KelasJ,O$57),
IF($AT$1=11,VLOOKUP($C29,KelasK,O$57),
IF($AT$1=12,VLOOKUP($C29,KelasL,O$57),
))))))))))))</f>
        <v>0</v>
      </c>
      <c r="P29" s="268">
        <f t="shared" si="15"/>
        <v>0</v>
      </c>
      <c r="Q29" s="268">
        <f t="shared" si="15"/>
        <v>0</v>
      </c>
      <c r="R29" s="268">
        <f t="shared" si="15"/>
        <v>0</v>
      </c>
      <c r="S29" s="268">
        <f t="shared" si="15"/>
        <v>0</v>
      </c>
      <c r="T29" s="268">
        <f t="shared" si="15"/>
        <v>0</v>
      </c>
      <c r="U29" s="268">
        <f t="shared" si="15"/>
        <v>0</v>
      </c>
      <c r="V29" s="268">
        <f t="shared" si="15"/>
        <v>0</v>
      </c>
      <c r="W29" s="268">
        <f t="shared" si="15"/>
        <v>0</v>
      </c>
      <c r="X29" s="268">
        <f t="shared" si="15"/>
        <v>0</v>
      </c>
      <c r="Y29" s="268">
        <f t="shared" ref="Y29:AJ38" si="16">IF($AT$1=1,VLOOKUP($C29,KelasA,Y$57),
IF($AT$1=2,VLOOKUP($C29,KelasB,Y$57),
IF($AT$1=3,VLOOKUP($C29,KelasC,Y$57),
IF($AT$1=4,VLOOKUP($C29,KelasD,Y$57),
IF($AT$1=5,VLOOKUP($C29,KelasE,Y$57),
IF($AT$1=6,VLOOKUP($C29,KelasF,Y$57),
IF($AT$1=7,VLOOKUP($C29,KelasG,Y$57),
IF($AT$1=8,VLOOKUP($C29,KelasH,Y$57),
IF($AT$1=9,VLOOKUP($C29,KelasI,Y$57),
IF($AT$1=10,VLOOKUP($C29,KelasJ,Y$57),
IF($AT$1=11,VLOOKUP($C29,KelasK,Y$57),
IF($AT$1=12,VLOOKUP($C29,KelasL,Y$57),
))))))))))))</f>
        <v>0</v>
      </c>
      <c r="Z29" s="268">
        <f t="shared" si="16"/>
        <v>0</v>
      </c>
      <c r="AA29" s="268">
        <f t="shared" si="16"/>
        <v>0</v>
      </c>
      <c r="AB29" s="268">
        <f t="shared" si="16"/>
        <v>0</v>
      </c>
      <c r="AC29" s="268">
        <f t="shared" si="16"/>
        <v>0</v>
      </c>
      <c r="AD29" s="268">
        <f t="shared" si="16"/>
        <v>0</v>
      </c>
      <c r="AE29" s="268">
        <f t="shared" si="16"/>
        <v>0</v>
      </c>
      <c r="AF29" s="268">
        <f t="shared" si="16"/>
        <v>0</v>
      </c>
      <c r="AG29" s="268">
        <f t="shared" si="16"/>
        <v>0</v>
      </c>
      <c r="AH29" s="268">
        <f t="shared" si="16"/>
        <v>0</v>
      </c>
      <c r="AI29" s="268">
        <f t="shared" si="16"/>
        <v>0</v>
      </c>
      <c r="AJ29" s="268">
        <f t="shared" si="16"/>
        <v>0</v>
      </c>
      <c r="AK29" s="258">
        <f t="shared" si="7"/>
        <v>0</v>
      </c>
      <c r="AL29" s="251">
        <f>SUM($AK29/$AN5)</f>
        <v>0</v>
      </c>
      <c r="AM29" s="250">
        <f>RANK($AK29,$AK9:$AK53)</f>
        <v>1</v>
      </c>
      <c r="AN29" s="247">
        <f t="shared" ref="AN29:AS38" si="17">IF($AT$1=1,VLOOKUP($C29,KelasA,AN$57),
IF($AT$1=2,VLOOKUP($C29,KelasB,AN$57),
IF($AT$1=3,VLOOKUP($C29,KelasC,AN$57),
IF($AT$1=4,VLOOKUP($C29,KelasD,AN$57),
IF($AT$1=5,VLOOKUP($C29,KelasE,AN$57),
IF($AT$1=6,VLOOKUP($C29,KelasF,AN$57),
IF($AT$1=7,VLOOKUP($C29,KelasG,AN$57),
IF($AT$1=8,VLOOKUP($C29,KelasH,AN$57),
IF($AT$1=9,VLOOKUP($C29,KelasI,AN$57),
IF($AT$1=10,VLOOKUP($C29,KelasJ,AN$57),
IF($AT$1=11,VLOOKUP($C29,KelasK,AN$57),
IF($AT$1=12,VLOOKUP($C29,KelasL,AN$57),
))))))))))))</f>
        <v>2</v>
      </c>
      <c r="AO29" s="247">
        <f t="shared" si="17"/>
        <v>1</v>
      </c>
      <c r="AP29" s="247">
        <f t="shared" si="17"/>
        <v>0</v>
      </c>
      <c r="AQ29" s="247">
        <f t="shared" si="17"/>
        <v>8</v>
      </c>
      <c r="AR29" s="247">
        <f t="shared" si="17"/>
        <v>8</v>
      </c>
      <c r="AS29" s="247">
        <f t="shared" si="17"/>
        <v>8</v>
      </c>
      <c r="AT29" s="252">
        <f t="shared" si="8"/>
        <v>23</v>
      </c>
      <c r="AU29" s="253">
        <f t="shared" si="9"/>
        <v>100</v>
      </c>
      <c r="AV29" s="214" t="s">
        <v>886</v>
      </c>
    </row>
    <row r="30" spans="3:48" s="38" customFormat="1" ht="22.5" customHeight="1" thickBot="1" x14ac:dyDescent="0.4">
      <c r="C30" s="243">
        <v>22</v>
      </c>
      <c r="D30" s="267" t="str">
        <f t="shared" si="2"/>
        <v>SaviraWidiastuti</v>
      </c>
      <c r="E30" s="268">
        <f t="shared" si="14"/>
        <v>0</v>
      </c>
      <c r="F30" s="268">
        <f t="shared" si="14"/>
        <v>0</v>
      </c>
      <c r="G30" s="268">
        <f t="shared" si="14"/>
        <v>0</v>
      </c>
      <c r="H30" s="268">
        <f t="shared" si="14"/>
        <v>0</v>
      </c>
      <c r="I30" s="268">
        <f t="shared" si="14"/>
        <v>0</v>
      </c>
      <c r="J30" s="268">
        <f t="shared" si="14"/>
        <v>0</v>
      </c>
      <c r="K30" s="268">
        <f t="shared" si="14"/>
        <v>0</v>
      </c>
      <c r="L30" s="268">
        <f t="shared" si="14"/>
        <v>0</v>
      </c>
      <c r="M30" s="268">
        <f t="shared" si="14"/>
        <v>0</v>
      </c>
      <c r="N30" s="268">
        <f t="shared" si="14"/>
        <v>0</v>
      </c>
      <c r="O30" s="268">
        <f t="shared" si="15"/>
        <v>0</v>
      </c>
      <c r="P30" s="268">
        <f t="shared" si="15"/>
        <v>0</v>
      </c>
      <c r="Q30" s="268">
        <f t="shared" si="15"/>
        <v>0</v>
      </c>
      <c r="R30" s="268">
        <f t="shared" si="15"/>
        <v>0</v>
      </c>
      <c r="S30" s="268">
        <f t="shared" si="15"/>
        <v>0</v>
      </c>
      <c r="T30" s="268">
        <f t="shared" si="15"/>
        <v>0</v>
      </c>
      <c r="U30" s="268">
        <f t="shared" si="15"/>
        <v>0</v>
      </c>
      <c r="V30" s="268">
        <f t="shared" si="15"/>
        <v>0</v>
      </c>
      <c r="W30" s="268">
        <f t="shared" si="15"/>
        <v>0</v>
      </c>
      <c r="X30" s="268">
        <f t="shared" si="15"/>
        <v>0</v>
      </c>
      <c r="Y30" s="268">
        <f t="shared" si="16"/>
        <v>0</v>
      </c>
      <c r="Z30" s="268">
        <f t="shared" si="16"/>
        <v>0</v>
      </c>
      <c r="AA30" s="268">
        <f t="shared" si="16"/>
        <v>0</v>
      </c>
      <c r="AB30" s="268">
        <f t="shared" si="16"/>
        <v>0</v>
      </c>
      <c r="AC30" s="268">
        <f t="shared" si="16"/>
        <v>0</v>
      </c>
      <c r="AD30" s="268">
        <f t="shared" si="16"/>
        <v>0</v>
      </c>
      <c r="AE30" s="268">
        <f t="shared" si="16"/>
        <v>0</v>
      </c>
      <c r="AF30" s="268">
        <f t="shared" si="16"/>
        <v>0</v>
      </c>
      <c r="AG30" s="268">
        <f t="shared" si="16"/>
        <v>0</v>
      </c>
      <c r="AH30" s="268">
        <f t="shared" si="16"/>
        <v>0</v>
      </c>
      <c r="AI30" s="268">
        <f t="shared" si="16"/>
        <v>0</v>
      </c>
      <c r="AJ30" s="268">
        <f t="shared" si="16"/>
        <v>0</v>
      </c>
      <c r="AK30" s="258">
        <f t="shared" si="7"/>
        <v>0</v>
      </c>
      <c r="AL30" s="251">
        <f>SUM($AK30/$AN5)</f>
        <v>0</v>
      </c>
      <c r="AM30" s="250">
        <f>RANK($AK30,$AK9:$AK53)</f>
        <v>1</v>
      </c>
      <c r="AN30" s="247">
        <f t="shared" si="17"/>
        <v>0</v>
      </c>
      <c r="AO30" s="247">
        <f t="shared" si="17"/>
        <v>4</v>
      </c>
      <c r="AP30" s="247">
        <f t="shared" si="17"/>
        <v>0</v>
      </c>
      <c r="AQ30" s="247">
        <f t="shared" si="17"/>
        <v>8</v>
      </c>
      <c r="AR30" s="247">
        <f t="shared" si="17"/>
        <v>8</v>
      </c>
      <c r="AS30" s="247">
        <f t="shared" si="17"/>
        <v>8</v>
      </c>
      <c r="AT30" s="252">
        <f t="shared" si="8"/>
        <v>23</v>
      </c>
      <c r="AU30" s="253">
        <f t="shared" si="9"/>
        <v>100</v>
      </c>
      <c r="AV30" s="214" t="s">
        <v>886</v>
      </c>
    </row>
    <row r="31" spans="3:48" s="38" customFormat="1" ht="22.5" customHeight="1" thickBot="1" x14ac:dyDescent="0.4">
      <c r="C31" s="243">
        <v>23</v>
      </c>
      <c r="D31" s="267" t="str">
        <f t="shared" si="2"/>
        <v>ShofiMaulida</v>
      </c>
      <c r="E31" s="268">
        <f t="shared" si="14"/>
        <v>0</v>
      </c>
      <c r="F31" s="268">
        <f t="shared" si="14"/>
        <v>0</v>
      </c>
      <c r="G31" s="268">
        <f t="shared" si="14"/>
        <v>0</v>
      </c>
      <c r="H31" s="268">
        <f t="shared" si="14"/>
        <v>0</v>
      </c>
      <c r="I31" s="268">
        <f t="shared" si="14"/>
        <v>0</v>
      </c>
      <c r="J31" s="268">
        <f t="shared" si="14"/>
        <v>0</v>
      </c>
      <c r="K31" s="268">
        <f t="shared" si="14"/>
        <v>0</v>
      </c>
      <c r="L31" s="268">
        <f t="shared" si="14"/>
        <v>0</v>
      </c>
      <c r="M31" s="268">
        <f t="shared" si="14"/>
        <v>0</v>
      </c>
      <c r="N31" s="268">
        <f t="shared" si="14"/>
        <v>0</v>
      </c>
      <c r="O31" s="268">
        <f t="shared" si="15"/>
        <v>0</v>
      </c>
      <c r="P31" s="268">
        <f t="shared" si="15"/>
        <v>0</v>
      </c>
      <c r="Q31" s="268">
        <f t="shared" si="15"/>
        <v>0</v>
      </c>
      <c r="R31" s="268">
        <f t="shared" si="15"/>
        <v>0</v>
      </c>
      <c r="S31" s="268">
        <f t="shared" si="15"/>
        <v>0</v>
      </c>
      <c r="T31" s="268">
        <f t="shared" si="15"/>
        <v>0</v>
      </c>
      <c r="U31" s="268">
        <f t="shared" si="15"/>
        <v>0</v>
      </c>
      <c r="V31" s="268">
        <f t="shared" si="15"/>
        <v>0</v>
      </c>
      <c r="W31" s="268">
        <f t="shared" si="15"/>
        <v>0</v>
      </c>
      <c r="X31" s="268">
        <f t="shared" si="15"/>
        <v>0</v>
      </c>
      <c r="Y31" s="268">
        <f t="shared" si="16"/>
        <v>0</v>
      </c>
      <c r="Z31" s="268">
        <f t="shared" si="16"/>
        <v>0</v>
      </c>
      <c r="AA31" s="268">
        <f t="shared" si="16"/>
        <v>0</v>
      </c>
      <c r="AB31" s="268">
        <f t="shared" si="16"/>
        <v>0</v>
      </c>
      <c r="AC31" s="268">
        <f t="shared" si="16"/>
        <v>0</v>
      </c>
      <c r="AD31" s="268">
        <f t="shared" si="16"/>
        <v>0</v>
      </c>
      <c r="AE31" s="268">
        <f t="shared" si="16"/>
        <v>0</v>
      </c>
      <c r="AF31" s="268">
        <f t="shared" si="16"/>
        <v>0</v>
      </c>
      <c r="AG31" s="268">
        <f t="shared" si="16"/>
        <v>0</v>
      </c>
      <c r="AH31" s="268">
        <f t="shared" si="16"/>
        <v>0</v>
      </c>
      <c r="AI31" s="268">
        <f t="shared" si="16"/>
        <v>0</v>
      </c>
      <c r="AJ31" s="268">
        <f t="shared" si="16"/>
        <v>0</v>
      </c>
      <c r="AK31" s="258">
        <f t="shared" si="7"/>
        <v>0</v>
      </c>
      <c r="AL31" s="251">
        <f>SUM($AK31/$AN5)</f>
        <v>0</v>
      </c>
      <c r="AM31" s="250">
        <f>RANK($AK31,$AK9:$AK53)</f>
        <v>1</v>
      </c>
      <c r="AN31" s="247">
        <f t="shared" si="17"/>
        <v>0</v>
      </c>
      <c r="AO31" s="247">
        <f t="shared" si="17"/>
        <v>1</v>
      </c>
      <c r="AP31" s="247">
        <f t="shared" si="17"/>
        <v>0</v>
      </c>
      <c r="AQ31" s="247">
        <f t="shared" si="17"/>
        <v>8</v>
      </c>
      <c r="AR31" s="247">
        <f t="shared" si="17"/>
        <v>8</v>
      </c>
      <c r="AS31" s="247">
        <f t="shared" si="17"/>
        <v>8</v>
      </c>
      <c r="AT31" s="252">
        <f t="shared" si="8"/>
        <v>23</v>
      </c>
      <c r="AU31" s="253">
        <f t="shared" si="9"/>
        <v>100</v>
      </c>
      <c r="AV31" s="214" t="s">
        <v>886</v>
      </c>
    </row>
    <row r="32" spans="3:48" s="38" customFormat="1" ht="22.5" customHeight="1" thickBot="1" x14ac:dyDescent="0.4">
      <c r="C32" s="243">
        <v>24</v>
      </c>
      <c r="D32" s="267" t="str">
        <f t="shared" si="2"/>
        <v>SitaAmaliah</v>
      </c>
      <c r="E32" s="268">
        <f t="shared" si="14"/>
        <v>0</v>
      </c>
      <c r="F32" s="268">
        <f t="shared" si="14"/>
        <v>0</v>
      </c>
      <c r="G32" s="268">
        <f t="shared" si="14"/>
        <v>0</v>
      </c>
      <c r="H32" s="268">
        <f t="shared" si="14"/>
        <v>0</v>
      </c>
      <c r="I32" s="268">
        <f t="shared" si="14"/>
        <v>0</v>
      </c>
      <c r="J32" s="268">
        <f t="shared" si="14"/>
        <v>0</v>
      </c>
      <c r="K32" s="268">
        <f t="shared" si="14"/>
        <v>0</v>
      </c>
      <c r="L32" s="268">
        <f t="shared" si="14"/>
        <v>0</v>
      </c>
      <c r="M32" s="268">
        <f t="shared" si="14"/>
        <v>0</v>
      </c>
      <c r="N32" s="268">
        <f t="shared" si="14"/>
        <v>0</v>
      </c>
      <c r="O32" s="268">
        <f t="shared" si="15"/>
        <v>0</v>
      </c>
      <c r="P32" s="268">
        <f t="shared" si="15"/>
        <v>0</v>
      </c>
      <c r="Q32" s="268">
        <f t="shared" si="15"/>
        <v>0</v>
      </c>
      <c r="R32" s="268">
        <f t="shared" si="15"/>
        <v>0</v>
      </c>
      <c r="S32" s="268">
        <f t="shared" si="15"/>
        <v>0</v>
      </c>
      <c r="T32" s="268">
        <f t="shared" si="15"/>
        <v>0</v>
      </c>
      <c r="U32" s="268">
        <f t="shared" si="15"/>
        <v>0</v>
      </c>
      <c r="V32" s="268">
        <f t="shared" si="15"/>
        <v>0</v>
      </c>
      <c r="W32" s="268">
        <f t="shared" si="15"/>
        <v>0</v>
      </c>
      <c r="X32" s="268">
        <f t="shared" si="15"/>
        <v>0</v>
      </c>
      <c r="Y32" s="268">
        <f t="shared" si="16"/>
        <v>0</v>
      </c>
      <c r="Z32" s="268">
        <f t="shared" si="16"/>
        <v>0</v>
      </c>
      <c r="AA32" s="268">
        <f t="shared" si="16"/>
        <v>0</v>
      </c>
      <c r="AB32" s="268">
        <f t="shared" si="16"/>
        <v>0</v>
      </c>
      <c r="AC32" s="268">
        <f t="shared" si="16"/>
        <v>0</v>
      </c>
      <c r="AD32" s="268">
        <f t="shared" si="16"/>
        <v>0</v>
      </c>
      <c r="AE32" s="268">
        <f t="shared" si="16"/>
        <v>0</v>
      </c>
      <c r="AF32" s="268">
        <f t="shared" si="16"/>
        <v>0</v>
      </c>
      <c r="AG32" s="268">
        <f t="shared" si="16"/>
        <v>0</v>
      </c>
      <c r="AH32" s="268">
        <f t="shared" si="16"/>
        <v>0</v>
      </c>
      <c r="AI32" s="268">
        <f t="shared" si="16"/>
        <v>0</v>
      </c>
      <c r="AJ32" s="268">
        <f t="shared" si="16"/>
        <v>0</v>
      </c>
      <c r="AK32" s="258">
        <f t="shared" si="7"/>
        <v>0</v>
      </c>
      <c r="AL32" s="251">
        <f>SUM($AK32/$AN5)</f>
        <v>0</v>
      </c>
      <c r="AM32" s="250">
        <f>RANK($AK32,$AK9:$AK53)</f>
        <v>1</v>
      </c>
      <c r="AN32" s="247">
        <f t="shared" si="17"/>
        <v>0</v>
      </c>
      <c r="AO32" s="247">
        <f t="shared" si="17"/>
        <v>0</v>
      </c>
      <c r="AP32" s="247">
        <f t="shared" si="17"/>
        <v>0</v>
      </c>
      <c r="AQ32" s="247">
        <f t="shared" si="17"/>
        <v>8</v>
      </c>
      <c r="AR32" s="247">
        <f t="shared" si="17"/>
        <v>8</v>
      </c>
      <c r="AS32" s="247">
        <f t="shared" si="17"/>
        <v>8</v>
      </c>
      <c r="AT32" s="252">
        <f t="shared" si="8"/>
        <v>23</v>
      </c>
      <c r="AU32" s="253">
        <f t="shared" si="9"/>
        <v>100</v>
      </c>
      <c r="AV32" s="214" t="s">
        <v>886</v>
      </c>
    </row>
    <row r="33" spans="3:48" s="38" customFormat="1" ht="22.5" customHeight="1" thickBot="1" x14ac:dyDescent="0.4">
      <c r="C33" s="243">
        <v>25</v>
      </c>
      <c r="D33" s="267" t="str">
        <f t="shared" si="2"/>
        <v>SitiMasitoh</v>
      </c>
      <c r="E33" s="268">
        <f t="shared" si="14"/>
        <v>0</v>
      </c>
      <c r="F33" s="268">
        <f t="shared" si="14"/>
        <v>0</v>
      </c>
      <c r="G33" s="268">
        <f t="shared" si="14"/>
        <v>0</v>
      </c>
      <c r="H33" s="268">
        <f t="shared" si="14"/>
        <v>0</v>
      </c>
      <c r="I33" s="268">
        <f t="shared" si="14"/>
        <v>0</v>
      </c>
      <c r="J33" s="268">
        <f t="shared" si="14"/>
        <v>0</v>
      </c>
      <c r="K33" s="268">
        <f t="shared" si="14"/>
        <v>0</v>
      </c>
      <c r="L33" s="268">
        <f t="shared" si="14"/>
        <v>0</v>
      </c>
      <c r="M33" s="268">
        <f t="shared" si="14"/>
        <v>0</v>
      </c>
      <c r="N33" s="268">
        <f t="shared" si="14"/>
        <v>0</v>
      </c>
      <c r="O33" s="268">
        <f t="shared" si="15"/>
        <v>0</v>
      </c>
      <c r="P33" s="268">
        <f t="shared" si="15"/>
        <v>0</v>
      </c>
      <c r="Q33" s="268">
        <f t="shared" si="15"/>
        <v>0</v>
      </c>
      <c r="R33" s="268">
        <f t="shared" si="15"/>
        <v>0</v>
      </c>
      <c r="S33" s="268">
        <f t="shared" si="15"/>
        <v>0</v>
      </c>
      <c r="T33" s="268">
        <f t="shared" si="15"/>
        <v>0</v>
      </c>
      <c r="U33" s="268">
        <f t="shared" si="15"/>
        <v>0</v>
      </c>
      <c r="V33" s="268">
        <f t="shared" si="15"/>
        <v>0</v>
      </c>
      <c r="W33" s="268">
        <f t="shared" si="15"/>
        <v>0</v>
      </c>
      <c r="X33" s="268">
        <f t="shared" si="15"/>
        <v>0</v>
      </c>
      <c r="Y33" s="268">
        <f t="shared" si="16"/>
        <v>0</v>
      </c>
      <c r="Z33" s="268">
        <f t="shared" si="16"/>
        <v>0</v>
      </c>
      <c r="AA33" s="268">
        <f t="shared" si="16"/>
        <v>0</v>
      </c>
      <c r="AB33" s="268">
        <f t="shared" si="16"/>
        <v>0</v>
      </c>
      <c r="AC33" s="268">
        <f t="shared" si="16"/>
        <v>0</v>
      </c>
      <c r="AD33" s="268">
        <f t="shared" si="16"/>
        <v>0</v>
      </c>
      <c r="AE33" s="268">
        <f t="shared" si="16"/>
        <v>0</v>
      </c>
      <c r="AF33" s="268">
        <f t="shared" si="16"/>
        <v>0</v>
      </c>
      <c r="AG33" s="268">
        <f t="shared" si="16"/>
        <v>0</v>
      </c>
      <c r="AH33" s="268">
        <f t="shared" si="16"/>
        <v>0</v>
      </c>
      <c r="AI33" s="268">
        <f t="shared" si="16"/>
        <v>0</v>
      </c>
      <c r="AJ33" s="268">
        <f t="shared" si="16"/>
        <v>0</v>
      </c>
      <c r="AK33" s="258">
        <f t="shared" si="7"/>
        <v>0</v>
      </c>
      <c r="AL33" s="251">
        <f>SUM($AK33/$AN5)</f>
        <v>0</v>
      </c>
      <c r="AM33" s="250">
        <f>RANK($AK33,$AK9:$AK53)</f>
        <v>1</v>
      </c>
      <c r="AN33" s="247">
        <f t="shared" si="17"/>
        <v>2</v>
      </c>
      <c r="AO33" s="247">
        <f t="shared" si="17"/>
        <v>3</v>
      </c>
      <c r="AP33" s="247">
        <f t="shared" si="17"/>
        <v>0</v>
      </c>
      <c r="AQ33" s="247">
        <f t="shared" si="17"/>
        <v>8</v>
      </c>
      <c r="AR33" s="247">
        <f t="shared" si="17"/>
        <v>8</v>
      </c>
      <c r="AS33" s="247">
        <f t="shared" si="17"/>
        <v>8</v>
      </c>
      <c r="AT33" s="252">
        <f t="shared" si="8"/>
        <v>23</v>
      </c>
      <c r="AU33" s="253">
        <f t="shared" si="9"/>
        <v>100</v>
      </c>
      <c r="AV33" s="214" t="s">
        <v>886</v>
      </c>
    </row>
    <row r="34" spans="3:48" s="38" customFormat="1" ht="22.5" customHeight="1" thickBot="1" x14ac:dyDescent="0.4">
      <c r="C34" s="243">
        <v>26</v>
      </c>
      <c r="D34" s="267" t="str">
        <f t="shared" si="2"/>
        <v>SitiPatimah</v>
      </c>
      <c r="E34" s="268">
        <f t="shared" si="14"/>
        <v>0</v>
      </c>
      <c r="F34" s="268">
        <f t="shared" si="14"/>
        <v>0</v>
      </c>
      <c r="G34" s="268">
        <f t="shared" si="14"/>
        <v>0</v>
      </c>
      <c r="H34" s="268">
        <f t="shared" si="14"/>
        <v>0</v>
      </c>
      <c r="I34" s="268">
        <f t="shared" si="14"/>
        <v>0</v>
      </c>
      <c r="J34" s="268">
        <f t="shared" si="14"/>
        <v>0</v>
      </c>
      <c r="K34" s="268">
        <f t="shared" si="14"/>
        <v>0</v>
      </c>
      <c r="L34" s="268">
        <f t="shared" si="14"/>
        <v>0</v>
      </c>
      <c r="M34" s="268">
        <f t="shared" si="14"/>
        <v>0</v>
      </c>
      <c r="N34" s="268">
        <f t="shared" si="14"/>
        <v>0</v>
      </c>
      <c r="O34" s="268">
        <f t="shared" si="15"/>
        <v>0</v>
      </c>
      <c r="P34" s="268">
        <f t="shared" si="15"/>
        <v>0</v>
      </c>
      <c r="Q34" s="268">
        <f t="shared" si="15"/>
        <v>0</v>
      </c>
      <c r="R34" s="268">
        <f t="shared" si="15"/>
        <v>0</v>
      </c>
      <c r="S34" s="268">
        <f t="shared" si="15"/>
        <v>0</v>
      </c>
      <c r="T34" s="268">
        <f t="shared" si="15"/>
        <v>0</v>
      </c>
      <c r="U34" s="268">
        <f t="shared" si="15"/>
        <v>0</v>
      </c>
      <c r="V34" s="268">
        <f t="shared" si="15"/>
        <v>0</v>
      </c>
      <c r="W34" s="268">
        <f t="shared" si="15"/>
        <v>0</v>
      </c>
      <c r="X34" s="268">
        <f t="shared" si="15"/>
        <v>0</v>
      </c>
      <c r="Y34" s="268">
        <f t="shared" si="16"/>
        <v>0</v>
      </c>
      <c r="Z34" s="268">
        <f t="shared" si="16"/>
        <v>0</v>
      </c>
      <c r="AA34" s="268">
        <f t="shared" si="16"/>
        <v>0</v>
      </c>
      <c r="AB34" s="268">
        <f t="shared" si="16"/>
        <v>0</v>
      </c>
      <c r="AC34" s="268">
        <f t="shared" si="16"/>
        <v>0</v>
      </c>
      <c r="AD34" s="268">
        <f t="shared" si="16"/>
        <v>0</v>
      </c>
      <c r="AE34" s="268">
        <f t="shared" si="16"/>
        <v>0</v>
      </c>
      <c r="AF34" s="268">
        <f t="shared" si="16"/>
        <v>0</v>
      </c>
      <c r="AG34" s="268">
        <f t="shared" si="16"/>
        <v>0</v>
      </c>
      <c r="AH34" s="268">
        <f t="shared" si="16"/>
        <v>0</v>
      </c>
      <c r="AI34" s="268">
        <f t="shared" si="16"/>
        <v>0</v>
      </c>
      <c r="AJ34" s="268">
        <f t="shared" si="16"/>
        <v>0</v>
      </c>
      <c r="AK34" s="258">
        <f t="shared" si="7"/>
        <v>0</v>
      </c>
      <c r="AL34" s="251">
        <f>SUM($AK34/$AN5)</f>
        <v>0</v>
      </c>
      <c r="AM34" s="250">
        <f>RANK($AK34,$AK9:$AK53)</f>
        <v>1</v>
      </c>
      <c r="AN34" s="247">
        <f t="shared" si="17"/>
        <v>4</v>
      </c>
      <c r="AO34" s="247">
        <f t="shared" si="17"/>
        <v>4</v>
      </c>
      <c r="AP34" s="247">
        <f t="shared" si="17"/>
        <v>0</v>
      </c>
      <c r="AQ34" s="247">
        <f t="shared" si="17"/>
        <v>8</v>
      </c>
      <c r="AR34" s="247">
        <f t="shared" si="17"/>
        <v>8</v>
      </c>
      <c r="AS34" s="247">
        <f t="shared" si="17"/>
        <v>8</v>
      </c>
      <c r="AT34" s="252">
        <f t="shared" si="8"/>
        <v>23</v>
      </c>
      <c r="AU34" s="253">
        <f t="shared" si="9"/>
        <v>100</v>
      </c>
      <c r="AV34" s="214" t="s">
        <v>886</v>
      </c>
    </row>
    <row r="35" spans="3:48" s="38" customFormat="1" ht="22.5" customHeight="1" thickBot="1" x14ac:dyDescent="0.4">
      <c r="C35" s="243">
        <v>27</v>
      </c>
      <c r="D35" s="267" t="str">
        <f t="shared" si="2"/>
        <v>SopiahMardiah</v>
      </c>
      <c r="E35" s="268">
        <f t="shared" si="14"/>
        <v>0</v>
      </c>
      <c r="F35" s="268">
        <f t="shared" si="14"/>
        <v>0</v>
      </c>
      <c r="G35" s="268">
        <f t="shared" si="14"/>
        <v>0</v>
      </c>
      <c r="H35" s="268">
        <f t="shared" si="14"/>
        <v>0</v>
      </c>
      <c r="I35" s="268">
        <f t="shared" si="14"/>
        <v>0</v>
      </c>
      <c r="J35" s="268">
        <f t="shared" si="14"/>
        <v>0</v>
      </c>
      <c r="K35" s="268">
        <f t="shared" si="14"/>
        <v>0</v>
      </c>
      <c r="L35" s="268">
        <f t="shared" si="14"/>
        <v>0</v>
      </c>
      <c r="M35" s="268">
        <f t="shared" si="14"/>
        <v>0</v>
      </c>
      <c r="N35" s="268">
        <f t="shared" si="14"/>
        <v>0</v>
      </c>
      <c r="O35" s="268">
        <f t="shared" si="15"/>
        <v>0</v>
      </c>
      <c r="P35" s="268">
        <f t="shared" si="15"/>
        <v>0</v>
      </c>
      <c r="Q35" s="268">
        <f t="shared" si="15"/>
        <v>0</v>
      </c>
      <c r="R35" s="268">
        <f t="shared" si="15"/>
        <v>0</v>
      </c>
      <c r="S35" s="268">
        <f t="shared" si="15"/>
        <v>0</v>
      </c>
      <c r="T35" s="268">
        <f t="shared" si="15"/>
        <v>0</v>
      </c>
      <c r="U35" s="268">
        <f t="shared" si="15"/>
        <v>0</v>
      </c>
      <c r="V35" s="268">
        <f t="shared" si="15"/>
        <v>0</v>
      </c>
      <c r="W35" s="268">
        <f t="shared" si="15"/>
        <v>0</v>
      </c>
      <c r="X35" s="268">
        <f t="shared" si="15"/>
        <v>0</v>
      </c>
      <c r="Y35" s="268">
        <f t="shared" si="16"/>
        <v>0</v>
      </c>
      <c r="Z35" s="268">
        <f t="shared" si="16"/>
        <v>0</v>
      </c>
      <c r="AA35" s="268">
        <f t="shared" si="16"/>
        <v>0</v>
      </c>
      <c r="AB35" s="268">
        <f t="shared" si="16"/>
        <v>0</v>
      </c>
      <c r="AC35" s="268">
        <f t="shared" si="16"/>
        <v>0</v>
      </c>
      <c r="AD35" s="268">
        <f t="shared" si="16"/>
        <v>0</v>
      </c>
      <c r="AE35" s="268">
        <f t="shared" si="16"/>
        <v>0</v>
      </c>
      <c r="AF35" s="268">
        <f t="shared" si="16"/>
        <v>0</v>
      </c>
      <c r="AG35" s="268">
        <f t="shared" si="16"/>
        <v>0</v>
      </c>
      <c r="AH35" s="268">
        <f t="shared" si="16"/>
        <v>0</v>
      </c>
      <c r="AI35" s="268">
        <f t="shared" si="16"/>
        <v>0</v>
      </c>
      <c r="AJ35" s="268">
        <f t="shared" si="16"/>
        <v>0</v>
      </c>
      <c r="AK35" s="258">
        <f t="shared" si="7"/>
        <v>0</v>
      </c>
      <c r="AL35" s="251">
        <f>SUM($AK35/$AN5)</f>
        <v>0</v>
      </c>
      <c r="AM35" s="250">
        <f>RANK($AK35,$AK9:$AK53)</f>
        <v>1</v>
      </c>
      <c r="AN35" s="247">
        <f t="shared" si="17"/>
        <v>4</v>
      </c>
      <c r="AO35" s="247">
        <f t="shared" si="17"/>
        <v>4</v>
      </c>
      <c r="AP35" s="247">
        <f t="shared" si="17"/>
        <v>0</v>
      </c>
      <c r="AQ35" s="247">
        <f t="shared" si="17"/>
        <v>8</v>
      </c>
      <c r="AR35" s="247">
        <f t="shared" si="17"/>
        <v>8</v>
      </c>
      <c r="AS35" s="247">
        <f t="shared" si="17"/>
        <v>8</v>
      </c>
      <c r="AT35" s="252">
        <f t="shared" si="8"/>
        <v>23</v>
      </c>
      <c r="AU35" s="253">
        <f t="shared" si="9"/>
        <v>100</v>
      </c>
      <c r="AV35" s="214" t="s">
        <v>886</v>
      </c>
    </row>
    <row r="36" spans="3:48" s="38" customFormat="1" ht="22.5" customHeight="1" thickBot="1" x14ac:dyDescent="0.4">
      <c r="C36" s="243">
        <v>28</v>
      </c>
      <c r="D36" s="267" t="str">
        <f t="shared" si="2"/>
        <v>Sri Yuningsih</v>
      </c>
      <c r="E36" s="268">
        <f t="shared" si="14"/>
        <v>0</v>
      </c>
      <c r="F36" s="268">
        <f t="shared" si="14"/>
        <v>0</v>
      </c>
      <c r="G36" s="268">
        <f t="shared" si="14"/>
        <v>0</v>
      </c>
      <c r="H36" s="268">
        <f t="shared" si="14"/>
        <v>0</v>
      </c>
      <c r="I36" s="268">
        <f t="shared" si="14"/>
        <v>0</v>
      </c>
      <c r="J36" s="268">
        <f t="shared" si="14"/>
        <v>0</v>
      </c>
      <c r="K36" s="268">
        <f t="shared" si="14"/>
        <v>0</v>
      </c>
      <c r="L36" s="268">
        <f t="shared" si="14"/>
        <v>0</v>
      </c>
      <c r="M36" s="268">
        <f t="shared" si="14"/>
        <v>0</v>
      </c>
      <c r="N36" s="268">
        <f t="shared" si="14"/>
        <v>0</v>
      </c>
      <c r="O36" s="268">
        <f t="shared" si="15"/>
        <v>0</v>
      </c>
      <c r="P36" s="268">
        <f t="shared" si="15"/>
        <v>0</v>
      </c>
      <c r="Q36" s="268">
        <f t="shared" si="15"/>
        <v>0</v>
      </c>
      <c r="R36" s="268">
        <f t="shared" si="15"/>
        <v>0</v>
      </c>
      <c r="S36" s="268">
        <f t="shared" si="15"/>
        <v>0</v>
      </c>
      <c r="T36" s="268">
        <f t="shared" si="15"/>
        <v>0</v>
      </c>
      <c r="U36" s="268">
        <f t="shared" si="15"/>
        <v>0</v>
      </c>
      <c r="V36" s="268">
        <f t="shared" si="15"/>
        <v>0</v>
      </c>
      <c r="W36" s="268">
        <f t="shared" si="15"/>
        <v>0</v>
      </c>
      <c r="X36" s="268">
        <f t="shared" si="15"/>
        <v>0</v>
      </c>
      <c r="Y36" s="268">
        <f t="shared" si="16"/>
        <v>0</v>
      </c>
      <c r="Z36" s="268">
        <f t="shared" si="16"/>
        <v>0</v>
      </c>
      <c r="AA36" s="268">
        <f t="shared" si="16"/>
        <v>0</v>
      </c>
      <c r="AB36" s="268">
        <f t="shared" si="16"/>
        <v>0</v>
      </c>
      <c r="AC36" s="268">
        <f t="shared" si="16"/>
        <v>0</v>
      </c>
      <c r="AD36" s="268">
        <f t="shared" si="16"/>
        <v>0</v>
      </c>
      <c r="AE36" s="268">
        <f t="shared" si="16"/>
        <v>0</v>
      </c>
      <c r="AF36" s="268">
        <f t="shared" si="16"/>
        <v>0</v>
      </c>
      <c r="AG36" s="268">
        <f t="shared" si="16"/>
        <v>0</v>
      </c>
      <c r="AH36" s="268">
        <f t="shared" si="16"/>
        <v>0</v>
      </c>
      <c r="AI36" s="268">
        <f t="shared" si="16"/>
        <v>0</v>
      </c>
      <c r="AJ36" s="268">
        <f t="shared" si="16"/>
        <v>0</v>
      </c>
      <c r="AK36" s="258">
        <f t="shared" si="7"/>
        <v>0</v>
      </c>
      <c r="AL36" s="251">
        <f>SUM($AK36/$AN5)</f>
        <v>0</v>
      </c>
      <c r="AM36" s="250">
        <f>RANK($AK36,$AK9:$AK53)</f>
        <v>1</v>
      </c>
      <c r="AN36" s="247">
        <f t="shared" si="17"/>
        <v>0</v>
      </c>
      <c r="AO36" s="247">
        <f t="shared" si="17"/>
        <v>4</v>
      </c>
      <c r="AP36" s="247">
        <f t="shared" si="17"/>
        <v>0</v>
      </c>
      <c r="AQ36" s="247">
        <f t="shared" si="17"/>
        <v>8</v>
      </c>
      <c r="AR36" s="247">
        <f t="shared" si="17"/>
        <v>8</v>
      </c>
      <c r="AS36" s="247">
        <f t="shared" si="17"/>
        <v>8</v>
      </c>
      <c r="AT36" s="252">
        <f t="shared" si="8"/>
        <v>23</v>
      </c>
      <c r="AU36" s="253">
        <f t="shared" si="9"/>
        <v>100</v>
      </c>
      <c r="AV36" s="214" t="s">
        <v>886</v>
      </c>
    </row>
    <row r="37" spans="3:48" s="38" customFormat="1" ht="22.5" customHeight="1" thickBot="1" x14ac:dyDescent="0.4">
      <c r="C37" s="243">
        <v>29</v>
      </c>
      <c r="D37" s="267" t="str">
        <f t="shared" si="2"/>
        <v>Tiara Fitriany</v>
      </c>
      <c r="E37" s="268">
        <f t="shared" si="14"/>
        <v>0</v>
      </c>
      <c r="F37" s="268">
        <f t="shared" si="14"/>
        <v>0</v>
      </c>
      <c r="G37" s="268">
        <f t="shared" si="14"/>
        <v>0</v>
      </c>
      <c r="H37" s="268">
        <f t="shared" si="14"/>
        <v>0</v>
      </c>
      <c r="I37" s="268">
        <f t="shared" si="14"/>
        <v>0</v>
      </c>
      <c r="J37" s="268">
        <f t="shared" si="14"/>
        <v>0</v>
      </c>
      <c r="K37" s="268">
        <f t="shared" si="14"/>
        <v>0</v>
      </c>
      <c r="L37" s="268">
        <f t="shared" si="14"/>
        <v>0</v>
      </c>
      <c r="M37" s="268">
        <f t="shared" si="14"/>
        <v>0</v>
      </c>
      <c r="N37" s="268">
        <f t="shared" si="14"/>
        <v>0</v>
      </c>
      <c r="O37" s="268">
        <f t="shared" si="15"/>
        <v>0</v>
      </c>
      <c r="P37" s="268">
        <f t="shared" si="15"/>
        <v>0</v>
      </c>
      <c r="Q37" s="268">
        <f t="shared" si="15"/>
        <v>0</v>
      </c>
      <c r="R37" s="268">
        <f t="shared" si="15"/>
        <v>0</v>
      </c>
      <c r="S37" s="268">
        <f t="shared" si="15"/>
        <v>0</v>
      </c>
      <c r="T37" s="268">
        <f t="shared" si="15"/>
        <v>0</v>
      </c>
      <c r="U37" s="268">
        <f t="shared" si="15"/>
        <v>0</v>
      </c>
      <c r="V37" s="268">
        <f t="shared" si="15"/>
        <v>0</v>
      </c>
      <c r="W37" s="268">
        <f t="shared" si="15"/>
        <v>0</v>
      </c>
      <c r="X37" s="268">
        <f t="shared" si="15"/>
        <v>0</v>
      </c>
      <c r="Y37" s="268">
        <f t="shared" si="16"/>
        <v>0</v>
      </c>
      <c r="Z37" s="268">
        <f t="shared" si="16"/>
        <v>0</v>
      </c>
      <c r="AA37" s="268">
        <f t="shared" si="16"/>
        <v>0</v>
      </c>
      <c r="AB37" s="268">
        <f t="shared" si="16"/>
        <v>0</v>
      </c>
      <c r="AC37" s="268">
        <f t="shared" si="16"/>
        <v>0</v>
      </c>
      <c r="AD37" s="268">
        <f t="shared" si="16"/>
        <v>0</v>
      </c>
      <c r="AE37" s="268">
        <f t="shared" si="16"/>
        <v>0</v>
      </c>
      <c r="AF37" s="268">
        <f t="shared" si="16"/>
        <v>0</v>
      </c>
      <c r="AG37" s="268">
        <f t="shared" si="16"/>
        <v>0</v>
      </c>
      <c r="AH37" s="268">
        <f t="shared" si="16"/>
        <v>0</v>
      </c>
      <c r="AI37" s="268">
        <f t="shared" si="16"/>
        <v>0</v>
      </c>
      <c r="AJ37" s="268">
        <f t="shared" si="16"/>
        <v>0</v>
      </c>
      <c r="AK37" s="258">
        <f t="shared" si="7"/>
        <v>0</v>
      </c>
      <c r="AL37" s="251">
        <f>SUM($AK37/$AN5)</f>
        <v>0</v>
      </c>
      <c r="AM37" s="250">
        <f>RANK($AK37,$AK9:$AK53)</f>
        <v>1</v>
      </c>
      <c r="AN37" s="247">
        <f t="shared" si="17"/>
        <v>7</v>
      </c>
      <c r="AO37" s="247">
        <f t="shared" si="17"/>
        <v>19</v>
      </c>
      <c r="AP37" s="247">
        <f t="shared" si="17"/>
        <v>0</v>
      </c>
      <c r="AQ37" s="247">
        <f t="shared" si="17"/>
        <v>8</v>
      </c>
      <c r="AR37" s="247">
        <f t="shared" si="17"/>
        <v>8</v>
      </c>
      <c r="AS37" s="247">
        <f t="shared" si="17"/>
        <v>8</v>
      </c>
      <c r="AT37" s="252">
        <f t="shared" si="8"/>
        <v>23</v>
      </c>
      <c r="AU37" s="253">
        <f t="shared" si="9"/>
        <v>100</v>
      </c>
      <c r="AV37" s="214" t="s">
        <v>886</v>
      </c>
    </row>
    <row r="38" spans="3:48" s="38" customFormat="1" ht="22.5" customHeight="1" thickBot="1" x14ac:dyDescent="0.4">
      <c r="C38" s="243">
        <v>30</v>
      </c>
      <c r="D38" s="267" t="str">
        <f t="shared" si="2"/>
        <v>Tiara Safitri</v>
      </c>
      <c r="E38" s="268">
        <f t="shared" si="14"/>
        <v>0</v>
      </c>
      <c r="F38" s="268">
        <f t="shared" si="14"/>
        <v>0</v>
      </c>
      <c r="G38" s="268">
        <f t="shared" si="14"/>
        <v>0</v>
      </c>
      <c r="H38" s="268">
        <f t="shared" si="14"/>
        <v>0</v>
      </c>
      <c r="I38" s="268">
        <f t="shared" si="14"/>
        <v>0</v>
      </c>
      <c r="J38" s="268">
        <f t="shared" si="14"/>
        <v>0</v>
      </c>
      <c r="K38" s="268">
        <f t="shared" si="14"/>
        <v>0</v>
      </c>
      <c r="L38" s="268">
        <f t="shared" si="14"/>
        <v>0</v>
      </c>
      <c r="M38" s="268">
        <f t="shared" si="14"/>
        <v>0</v>
      </c>
      <c r="N38" s="268">
        <f t="shared" si="14"/>
        <v>0</v>
      </c>
      <c r="O38" s="268">
        <f t="shared" si="15"/>
        <v>0</v>
      </c>
      <c r="P38" s="268">
        <f t="shared" si="15"/>
        <v>0</v>
      </c>
      <c r="Q38" s="268">
        <f t="shared" si="15"/>
        <v>0</v>
      </c>
      <c r="R38" s="268">
        <f t="shared" si="15"/>
        <v>0</v>
      </c>
      <c r="S38" s="268">
        <f t="shared" si="15"/>
        <v>0</v>
      </c>
      <c r="T38" s="268">
        <f t="shared" si="15"/>
        <v>0</v>
      </c>
      <c r="U38" s="268">
        <f t="shared" si="15"/>
        <v>0</v>
      </c>
      <c r="V38" s="268">
        <f t="shared" si="15"/>
        <v>0</v>
      </c>
      <c r="W38" s="268">
        <f t="shared" si="15"/>
        <v>0</v>
      </c>
      <c r="X38" s="268">
        <f t="shared" si="15"/>
        <v>0</v>
      </c>
      <c r="Y38" s="268">
        <f t="shared" si="16"/>
        <v>0</v>
      </c>
      <c r="Z38" s="268">
        <f t="shared" si="16"/>
        <v>0</v>
      </c>
      <c r="AA38" s="268">
        <f t="shared" si="16"/>
        <v>0</v>
      </c>
      <c r="AB38" s="268">
        <f t="shared" si="16"/>
        <v>0</v>
      </c>
      <c r="AC38" s="268">
        <f t="shared" si="16"/>
        <v>0</v>
      </c>
      <c r="AD38" s="268">
        <f t="shared" si="16"/>
        <v>0</v>
      </c>
      <c r="AE38" s="268">
        <f t="shared" si="16"/>
        <v>0</v>
      </c>
      <c r="AF38" s="268">
        <f t="shared" si="16"/>
        <v>0</v>
      </c>
      <c r="AG38" s="268">
        <f t="shared" si="16"/>
        <v>0</v>
      </c>
      <c r="AH38" s="268">
        <f t="shared" si="16"/>
        <v>0</v>
      </c>
      <c r="AI38" s="268">
        <f t="shared" si="16"/>
        <v>0</v>
      </c>
      <c r="AJ38" s="268">
        <f t="shared" si="16"/>
        <v>0</v>
      </c>
      <c r="AK38" s="258">
        <f t="shared" si="7"/>
        <v>0</v>
      </c>
      <c r="AL38" s="251">
        <f>SUM($AK38/$AN5)</f>
        <v>0</v>
      </c>
      <c r="AM38" s="250">
        <f>RANK($AK38,$AK9:$AK53)</f>
        <v>1</v>
      </c>
      <c r="AN38" s="247">
        <f t="shared" si="17"/>
        <v>1</v>
      </c>
      <c r="AO38" s="247">
        <f t="shared" si="17"/>
        <v>2</v>
      </c>
      <c r="AP38" s="247">
        <f t="shared" si="17"/>
        <v>0</v>
      </c>
      <c r="AQ38" s="247">
        <f t="shared" si="17"/>
        <v>8</v>
      </c>
      <c r="AR38" s="247">
        <f t="shared" si="17"/>
        <v>8</v>
      </c>
      <c r="AS38" s="247">
        <f t="shared" si="17"/>
        <v>8</v>
      </c>
      <c r="AT38" s="252">
        <f t="shared" si="8"/>
        <v>23</v>
      </c>
      <c r="AU38" s="253">
        <f t="shared" si="9"/>
        <v>100</v>
      </c>
      <c r="AV38" s="214" t="s">
        <v>886</v>
      </c>
    </row>
    <row r="39" spans="3:48" s="38" customFormat="1" ht="22.5" customHeight="1" thickBot="1" x14ac:dyDescent="0.4">
      <c r="C39" s="243">
        <v>31</v>
      </c>
      <c r="D39" s="267" t="str">
        <f t="shared" si="2"/>
        <v>TsamaraAthaya Zahra</v>
      </c>
      <c r="E39" s="268">
        <f t="shared" ref="E39:N53" si="18">IF($AT$1=1,VLOOKUP($C39,KelasA,E$57),
IF($AT$1=2,VLOOKUP($C39,KelasB,E$57),
IF($AT$1=3,VLOOKUP($C39,KelasC,E$57),
IF($AT$1=4,VLOOKUP($C39,KelasD,E$57),
IF($AT$1=5,VLOOKUP($C39,KelasE,E$57),
IF($AT$1=6,VLOOKUP($C39,KelasF,E$57),
IF($AT$1=7,VLOOKUP($C39,KelasG,E$57),
IF($AT$1=8,VLOOKUP($C39,KelasH,E$57),
IF($AT$1=9,VLOOKUP($C39,KelasI,E$57),
IF($AT$1=10,VLOOKUP($C39,KelasJ,E$57),
IF($AT$1=11,VLOOKUP($C39,KelasK,E$57),
IF($AT$1=12,VLOOKUP($C39,KelasL,E$57),
))))))))))))</f>
        <v>0</v>
      </c>
      <c r="F39" s="268">
        <f t="shared" si="18"/>
        <v>0</v>
      </c>
      <c r="G39" s="268">
        <f t="shared" si="18"/>
        <v>0</v>
      </c>
      <c r="H39" s="268">
        <f t="shared" si="18"/>
        <v>0</v>
      </c>
      <c r="I39" s="268">
        <f t="shared" si="18"/>
        <v>0</v>
      </c>
      <c r="J39" s="268">
        <f t="shared" si="18"/>
        <v>0</v>
      </c>
      <c r="K39" s="268">
        <f t="shared" si="18"/>
        <v>0</v>
      </c>
      <c r="L39" s="268">
        <f t="shared" si="18"/>
        <v>0</v>
      </c>
      <c r="M39" s="268">
        <f t="shared" si="18"/>
        <v>0</v>
      </c>
      <c r="N39" s="268">
        <f t="shared" si="18"/>
        <v>0</v>
      </c>
      <c r="O39" s="268">
        <f t="shared" ref="O39:X53" si="19">IF($AT$1=1,VLOOKUP($C39,KelasA,O$57),
IF($AT$1=2,VLOOKUP($C39,KelasB,O$57),
IF($AT$1=3,VLOOKUP($C39,KelasC,O$57),
IF($AT$1=4,VLOOKUP($C39,KelasD,O$57),
IF($AT$1=5,VLOOKUP($C39,KelasE,O$57),
IF($AT$1=6,VLOOKUP($C39,KelasF,O$57),
IF($AT$1=7,VLOOKUP($C39,KelasG,O$57),
IF($AT$1=8,VLOOKUP($C39,KelasH,O$57),
IF($AT$1=9,VLOOKUP($C39,KelasI,O$57),
IF($AT$1=10,VLOOKUP($C39,KelasJ,O$57),
IF($AT$1=11,VLOOKUP($C39,KelasK,O$57),
IF($AT$1=12,VLOOKUP($C39,KelasL,O$57),
))))))))))))</f>
        <v>0</v>
      </c>
      <c r="P39" s="268">
        <f t="shared" si="19"/>
        <v>0</v>
      </c>
      <c r="Q39" s="268">
        <f t="shared" si="19"/>
        <v>0</v>
      </c>
      <c r="R39" s="268">
        <f t="shared" si="19"/>
        <v>0</v>
      </c>
      <c r="S39" s="268">
        <f t="shared" si="19"/>
        <v>0</v>
      </c>
      <c r="T39" s="268">
        <f t="shared" si="19"/>
        <v>0</v>
      </c>
      <c r="U39" s="268">
        <f t="shared" si="19"/>
        <v>0</v>
      </c>
      <c r="V39" s="268">
        <f t="shared" si="19"/>
        <v>0</v>
      </c>
      <c r="W39" s="268">
        <f t="shared" si="19"/>
        <v>0</v>
      </c>
      <c r="X39" s="268">
        <f t="shared" si="19"/>
        <v>0</v>
      </c>
      <c r="Y39" s="268">
        <f t="shared" ref="Y39:AJ53" si="20">IF($AT$1=1,VLOOKUP($C39,KelasA,Y$57),
IF($AT$1=2,VLOOKUP($C39,KelasB,Y$57),
IF($AT$1=3,VLOOKUP($C39,KelasC,Y$57),
IF($AT$1=4,VLOOKUP($C39,KelasD,Y$57),
IF($AT$1=5,VLOOKUP($C39,KelasE,Y$57),
IF($AT$1=6,VLOOKUP($C39,KelasF,Y$57),
IF($AT$1=7,VLOOKUP($C39,KelasG,Y$57),
IF($AT$1=8,VLOOKUP($C39,KelasH,Y$57),
IF($AT$1=9,VLOOKUP($C39,KelasI,Y$57),
IF($AT$1=10,VLOOKUP($C39,KelasJ,Y$57),
IF($AT$1=11,VLOOKUP($C39,KelasK,Y$57),
IF($AT$1=12,VLOOKUP($C39,KelasL,Y$57),
))))))))))))</f>
        <v>0</v>
      </c>
      <c r="Z39" s="268">
        <f t="shared" si="20"/>
        <v>0</v>
      </c>
      <c r="AA39" s="268">
        <f t="shared" si="20"/>
        <v>0</v>
      </c>
      <c r="AB39" s="268">
        <f t="shared" si="20"/>
        <v>0</v>
      </c>
      <c r="AC39" s="268">
        <f t="shared" si="20"/>
        <v>0</v>
      </c>
      <c r="AD39" s="268">
        <f t="shared" si="20"/>
        <v>0</v>
      </c>
      <c r="AE39" s="268">
        <f t="shared" si="20"/>
        <v>0</v>
      </c>
      <c r="AF39" s="268">
        <f t="shared" si="20"/>
        <v>0</v>
      </c>
      <c r="AG39" s="268">
        <f t="shared" si="20"/>
        <v>0</v>
      </c>
      <c r="AH39" s="268">
        <f t="shared" si="20"/>
        <v>0</v>
      </c>
      <c r="AI39" s="268">
        <f t="shared" si="20"/>
        <v>0</v>
      </c>
      <c r="AJ39" s="268">
        <f t="shared" si="20"/>
        <v>0</v>
      </c>
      <c r="AK39" s="258">
        <f t="shared" si="7"/>
        <v>0</v>
      </c>
      <c r="AL39" s="251">
        <f>SUM($AK39/$AN5)</f>
        <v>0</v>
      </c>
      <c r="AM39" s="250">
        <f>RANK($AK39,$AK9:$AK53)</f>
        <v>1</v>
      </c>
      <c r="AN39" s="247">
        <f t="shared" ref="AN39:AS53" si="21">IF($AT$1=1,VLOOKUP($C39,KelasA,AN$57),
IF($AT$1=2,VLOOKUP($C39,KelasB,AN$57),
IF($AT$1=3,VLOOKUP($C39,KelasC,AN$57),
IF($AT$1=4,VLOOKUP($C39,KelasD,AN$57),
IF($AT$1=5,VLOOKUP($C39,KelasE,AN$57),
IF($AT$1=6,VLOOKUP($C39,KelasF,AN$57),
IF($AT$1=7,VLOOKUP($C39,KelasG,AN$57),
IF($AT$1=8,VLOOKUP($C39,KelasH,AN$57),
IF($AT$1=9,VLOOKUP($C39,KelasI,AN$57),
IF($AT$1=10,VLOOKUP($C39,KelasJ,AN$57),
IF($AT$1=11,VLOOKUP($C39,KelasK,AN$57),
IF($AT$1=12,VLOOKUP($C39,KelasL,AN$57),
))))))))))))</f>
        <v>4</v>
      </c>
      <c r="AO39" s="247">
        <f t="shared" si="21"/>
        <v>6</v>
      </c>
      <c r="AP39" s="247">
        <f t="shared" si="21"/>
        <v>0</v>
      </c>
      <c r="AQ39" s="247">
        <f t="shared" si="21"/>
        <v>8</v>
      </c>
      <c r="AR39" s="247">
        <f t="shared" si="21"/>
        <v>8</v>
      </c>
      <c r="AS39" s="247">
        <f t="shared" si="21"/>
        <v>8</v>
      </c>
      <c r="AT39" s="252">
        <f t="shared" si="8"/>
        <v>23</v>
      </c>
      <c r="AU39" s="253">
        <f t="shared" si="9"/>
        <v>100</v>
      </c>
      <c r="AV39" s="214" t="s">
        <v>886</v>
      </c>
    </row>
    <row r="40" spans="3:48" s="38" customFormat="1" ht="22.5" customHeight="1" thickBot="1" x14ac:dyDescent="0.4">
      <c r="C40" s="243">
        <v>32</v>
      </c>
      <c r="D40" s="267" t="str">
        <f t="shared" si="2"/>
        <v>Yeti Nurhasanah</v>
      </c>
      <c r="E40" s="268">
        <f t="shared" si="18"/>
        <v>0</v>
      </c>
      <c r="F40" s="268">
        <f t="shared" si="18"/>
        <v>0</v>
      </c>
      <c r="G40" s="268">
        <f t="shared" si="18"/>
        <v>0</v>
      </c>
      <c r="H40" s="268">
        <f t="shared" si="18"/>
        <v>0</v>
      </c>
      <c r="I40" s="268">
        <f t="shared" si="18"/>
        <v>0</v>
      </c>
      <c r="J40" s="268">
        <f t="shared" si="18"/>
        <v>0</v>
      </c>
      <c r="K40" s="268">
        <f t="shared" si="18"/>
        <v>0</v>
      </c>
      <c r="L40" s="268">
        <f t="shared" si="18"/>
        <v>0</v>
      </c>
      <c r="M40" s="268">
        <f t="shared" si="18"/>
        <v>0</v>
      </c>
      <c r="N40" s="268">
        <f t="shared" si="18"/>
        <v>0</v>
      </c>
      <c r="O40" s="268">
        <f t="shared" si="19"/>
        <v>0</v>
      </c>
      <c r="P40" s="268">
        <f t="shared" si="19"/>
        <v>0</v>
      </c>
      <c r="Q40" s="268">
        <f t="shared" si="19"/>
        <v>0</v>
      </c>
      <c r="R40" s="268">
        <f t="shared" si="19"/>
        <v>0</v>
      </c>
      <c r="S40" s="268">
        <f t="shared" si="19"/>
        <v>0</v>
      </c>
      <c r="T40" s="268">
        <f t="shared" si="19"/>
        <v>0</v>
      </c>
      <c r="U40" s="268">
        <f t="shared" si="19"/>
        <v>0</v>
      </c>
      <c r="V40" s="268">
        <f t="shared" si="19"/>
        <v>0</v>
      </c>
      <c r="W40" s="268">
        <f t="shared" si="19"/>
        <v>0</v>
      </c>
      <c r="X40" s="268">
        <f t="shared" si="19"/>
        <v>0</v>
      </c>
      <c r="Y40" s="268">
        <f t="shared" si="20"/>
        <v>0</v>
      </c>
      <c r="Z40" s="268">
        <f t="shared" si="20"/>
        <v>0</v>
      </c>
      <c r="AA40" s="268">
        <f t="shared" si="20"/>
        <v>0</v>
      </c>
      <c r="AB40" s="268">
        <f t="shared" si="20"/>
        <v>0</v>
      </c>
      <c r="AC40" s="268">
        <f t="shared" si="20"/>
        <v>0</v>
      </c>
      <c r="AD40" s="268">
        <f t="shared" si="20"/>
        <v>0</v>
      </c>
      <c r="AE40" s="268">
        <f t="shared" si="20"/>
        <v>0</v>
      </c>
      <c r="AF40" s="268">
        <f t="shared" si="20"/>
        <v>0</v>
      </c>
      <c r="AG40" s="268">
        <f t="shared" si="20"/>
        <v>0</v>
      </c>
      <c r="AH40" s="268">
        <f t="shared" si="20"/>
        <v>0</v>
      </c>
      <c r="AI40" s="268">
        <f t="shared" si="20"/>
        <v>0</v>
      </c>
      <c r="AJ40" s="268">
        <f t="shared" si="20"/>
        <v>0</v>
      </c>
      <c r="AK40" s="258">
        <f t="shared" si="7"/>
        <v>0</v>
      </c>
      <c r="AL40" s="251">
        <f t="shared" ref="AL40:AL42" si="22">SUM(AK40/$AN$5)</f>
        <v>0</v>
      </c>
      <c r="AM40" s="250">
        <f t="shared" ref="AM40:AM53" si="23">RANK(AK40,$AK$9:$AK$53)</f>
        <v>1</v>
      </c>
      <c r="AN40" s="247">
        <f t="shared" si="21"/>
        <v>0</v>
      </c>
      <c r="AO40" s="247">
        <f t="shared" si="21"/>
        <v>0</v>
      </c>
      <c r="AP40" s="247">
        <f t="shared" si="21"/>
        <v>0</v>
      </c>
      <c r="AQ40" s="247">
        <f t="shared" si="21"/>
        <v>8</v>
      </c>
      <c r="AR40" s="247">
        <f t="shared" si="21"/>
        <v>8</v>
      </c>
      <c r="AS40" s="247">
        <f t="shared" si="21"/>
        <v>8</v>
      </c>
      <c r="AT40" s="252">
        <f t="shared" si="8"/>
        <v>23</v>
      </c>
      <c r="AU40" s="253">
        <f t="shared" si="9"/>
        <v>100</v>
      </c>
      <c r="AV40" s="214" t="s">
        <v>886</v>
      </c>
    </row>
    <row r="41" spans="3:48" s="38" customFormat="1" ht="22.5" customHeight="1" thickBot="1" x14ac:dyDescent="0.4">
      <c r="C41" s="243">
        <v>33</v>
      </c>
      <c r="D41" s="267" t="str">
        <f t="shared" si="2"/>
        <v>Yulia Rahman</v>
      </c>
      <c r="E41" s="268">
        <f t="shared" si="18"/>
        <v>0</v>
      </c>
      <c r="F41" s="268">
        <f t="shared" si="18"/>
        <v>0</v>
      </c>
      <c r="G41" s="268">
        <f t="shared" si="18"/>
        <v>0</v>
      </c>
      <c r="H41" s="268">
        <f t="shared" si="18"/>
        <v>0</v>
      </c>
      <c r="I41" s="268">
        <f t="shared" si="18"/>
        <v>0</v>
      </c>
      <c r="J41" s="268">
        <f t="shared" si="18"/>
        <v>0</v>
      </c>
      <c r="K41" s="268">
        <f t="shared" si="18"/>
        <v>0</v>
      </c>
      <c r="L41" s="268">
        <f t="shared" si="18"/>
        <v>0</v>
      </c>
      <c r="M41" s="268">
        <f t="shared" si="18"/>
        <v>0</v>
      </c>
      <c r="N41" s="268">
        <f t="shared" si="18"/>
        <v>0</v>
      </c>
      <c r="O41" s="268">
        <f t="shared" si="19"/>
        <v>0</v>
      </c>
      <c r="P41" s="268">
        <f t="shared" si="19"/>
        <v>0</v>
      </c>
      <c r="Q41" s="268">
        <f t="shared" si="19"/>
        <v>0</v>
      </c>
      <c r="R41" s="268">
        <f t="shared" si="19"/>
        <v>0</v>
      </c>
      <c r="S41" s="268">
        <f t="shared" si="19"/>
        <v>0</v>
      </c>
      <c r="T41" s="268">
        <f t="shared" si="19"/>
        <v>0</v>
      </c>
      <c r="U41" s="268">
        <f t="shared" si="19"/>
        <v>0</v>
      </c>
      <c r="V41" s="268">
        <f t="shared" si="19"/>
        <v>0</v>
      </c>
      <c r="W41" s="268">
        <f t="shared" si="19"/>
        <v>0</v>
      </c>
      <c r="X41" s="268">
        <f t="shared" si="19"/>
        <v>0</v>
      </c>
      <c r="Y41" s="268">
        <f t="shared" si="20"/>
        <v>0</v>
      </c>
      <c r="Z41" s="268">
        <f t="shared" si="20"/>
        <v>0</v>
      </c>
      <c r="AA41" s="268">
        <f t="shared" si="20"/>
        <v>0</v>
      </c>
      <c r="AB41" s="268">
        <f t="shared" si="20"/>
        <v>0</v>
      </c>
      <c r="AC41" s="268">
        <f t="shared" si="20"/>
        <v>0</v>
      </c>
      <c r="AD41" s="268">
        <f t="shared" si="20"/>
        <v>0</v>
      </c>
      <c r="AE41" s="268">
        <f t="shared" si="20"/>
        <v>0</v>
      </c>
      <c r="AF41" s="268">
        <f t="shared" si="20"/>
        <v>0</v>
      </c>
      <c r="AG41" s="268">
        <f t="shared" si="20"/>
        <v>0</v>
      </c>
      <c r="AH41" s="268">
        <f t="shared" si="20"/>
        <v>0</v>
      </c>
      <c r="AI41" s="268">
        <f t="shared" si="20"/>
        <v>0</v>
      </c>
      <c r="AJ41" s="268">
        <f t="shared" si="20"/>
        <v>0</v>
      </c>
      <c r="AK41" s="258">
        <f t="shared" si="7"/>
        <v>0</v>
      </c>
      <c r="AL41" s="251">
        <f t="shared" si="22"/>
        <v>0</v>
      </c>
      <c r="AM41" s="250">
        <f t="shared" si="23"/>
        <v>1</v>
      </c>
      <c r="AN41" s="247">
        <f t="shared" si="21"/>
        <v>2</v>
      </c>
      <c r="AO41" s="247">
        <f t="shared" si="21"/>
        <v>7</v>
      </c>
      <c r="AP41" s="247">
        <f t="shared" si="21"/>
        <v>0</v>
      </c>
      <c r="AQ41" s="247">
        <f t="shared" si="21"/>
        <v>8</v>
      </c>
      <c r="AR41" s="247">
        <f t="shared" si="21"/>
        <v>8</v>
      </c>
      <c r="AS41" s="247">
        <f t="shared" si="21"/>
        <v>8</v>
      </c>
      <c r="AT41" s="252">
        <f t="shared" si="8"/>
        <v>23</v>
      </c>
      <c r="AU41" s="253">
        <f t="shared" si="9"/>
        <v>100</v>
      </c>
      <c r="AV41" s="214" t="s">
        <v>886</v>
      </c>
    </row>
    <row r="42" spans="3:48" s="38" customFormat="1" ht="22.5" customHeight="1" thickBot="1" x14ac:dyDescent="0.4">
      <c r="C42" s="243">
        <v>34</v>
      </c>
      <c r="D42" s="267" t="str">
        <f t="shared" si="2"/>
        <v>Yusgie Sevyahasna</v>
      </c>
      <c r="E42" s="268">
        <f t="shared" si="18"/>
        <v>0</v>
      </c>
      <c r="F42" s="268">
        <f t="shared" si="18"/>
        <v>0</v>
      </c>
      <c r="G42" s="268">
        <f t="shared" si="18"/>
        <v>0</v>
      </c>
      <c r="H42" s="268">
        <f t="shared" si="18"/>
        <v>0</v>
      </c>
      <c r="I42" s="268">
        <f t="shared" si="18"/>
        <v>0</v>
      </c>
      <c r="J42" s="268">
        <f t="shared" si="18"/>
        <v>0</v>
      </c>
      <c r="K42" s="268">
        <f t="shared" si="18"/>
        <v>0</v>
      </c>
      <c r="L42" s="268">
        <f t="shared" si="18"/>
        <v>0</v>
      </c>
      <c r="M42" s="268">
        <f t="shared" si="18"/>
        <v>0</v>
      </c>
      <c r="N42" s="268">
        <f t="shared" si="18"/>
        <v>0</v>
      </c>
      <c r="O42" s="268">
        <f t="shared" si="19"/>
        <v>0</v>
      </c>
      <c r="P42" s="268">
        <f t="shared" si="19"/>
        <v>0</v>
      </c>
      <c r="Q42" s="268">
        <f t="shared" si="19"/>
        <v>0</v>
      </c>
      <c r="R42" s="268">
        <f t="shared" si="19"/>
        <v>0</v>
      </c>
      <c r="S42" s="268">
        <f t="shared" si="19"/>
        <v>0</v>
      </c>
      <c r="T42" s="268">
        <f t="shared" si="19"/>
        <v>0</v>
      </c>
      <c r="U42" s="268">
        <f t="shared" si="19"/>
        <v>0</v>
      </c>
      <c r="V42" s="268">
        <f t="shared" si="19"/>
        <v>0</v>
      </c>
      <c r="W42" s="268">
        <f t="shared" si="19"/>
        <v>0</v>
      </c>
      <c r="X42" s="268">
        <f t="shared" si="19"/>
        <v>0</v>
      </c>
      <c r="Y42" s="268">
        <f t="shared" si="20"/>
        <v>0</v>
      </c>
      <c r="Z42" s="268">
        <f t="shared" si="20"/>
        <v>0</v>
      </c>
      <c r="AA42" s="268">
        <f t="shared" si="20"/>
        <v>0</v>
      </c>
      <c r="AB42" s="268">
        <f t="shared" si="20"/>
        <v>0</v>
      </c>
      <c r="AC42" s="268">
        <f t="shared" si="20"/>
        <v>0</v>
      </c>
      <c r="AD42" s="268">
        <f t="shared" si="20"/>
        <v>0</v>
      </c>
      <c r="AE42" s="268">
        <f t="shared" si="20"/>
        <v>0</v>
      </c>
      <c r="AF42" s="268">
        <f t="shared" si="20"/>
        <v>0</v>
      </c>
      <c r="AG42" s="268">
        <f t="shared" si="20"/>
        <v>0</v>
      </c>
      <c r="AH42" s="268">
        <f t="shared" si="20"/>
        <v>0</v>
      </c>
      <c r="AI42" s="268">
        <f t="shared" si="20"/>
        <v>0</v>
      </c>
      <c r="AJ42" s="268">
        <f t="shared" si="20"/>
        <v>0</v>
      </c>
      <c r="AK42" s="258">
        <f t="shared" si="7"/>
        <v>0</v>
      </c>
      <c r="AL42" s="251">
        <f t="shared" si="22"/>
        <v>0</v>
      </c>
      <c r="AM42" s="250">
        <f t="shared" si="23"/>
        <v>1</v>
      </c>
      <c r="AN42" s="247">
        <f t="shared" si="21"/>
        <v>5</v>
      </c>
      <c r="AO42" s="247">
        <f t="shared" si="21"/>
        <v>8</v>
      </c>
      <c r="AP42" s="247">
        <f t="shared" si="21"/>
        <v>0</v>
      </c>
      <c r="AQ42" s="247">
        <f t="shared" si="21"/>
        <v>8</v>
      </c>
      <c r="AR42" s="247">
        <f t="shared" si="21"/>
        <v>8</v>
      </c>
      <c r="AS42" s="247">
        <f t="shared" si="21"/>
        <v>8</v>
      </c>
      <c r="AT42" s="252">
        <f t="shared" si="8"/>
        <v>23</v>
      </c>
      <c r="AU42" s="253">
        <f t="shared" si="9"/>
        <v>100</v>
      </c>
      <c r="AV42" s="214" t="s">
        <v>886</v>
      </c>
    </row>
    <row r="43" spans="3:48" s="38" customFormat="1" ht="21" hidden="1" customHeight="1" thickBot="1" x14ac:dyDescent="0.4">
      <c r="C43" s="243">
        <v>35</v>
      </c>
      <c r="D43" s="267">
        <f t="shared" si="2"/>
        <v>0</v>
      </c>
      <c r="E43" s="268">
        <f t="shared" si="18"/>
        <v>0</v>
      </c>
      <c r="F43" s="268">
        <f t="shared" si="18"/>
        <v>0</v>
      </c>
      <c r="G43" s="268">
        <f t="shared" si="18"/>
        <v>0</v>
      </c>
      <c r="H43" s="268">
        <f t="shared" si="18"/>
        <v>0</v>
      </c>
      <c r="I43" s="268">
        <f t="shared" si="18"/>
        <v>0</v>
      </c>
      <c r="J43" s="268">
        <f t="shared" si="18"/>
        <v>0</v>
      </c>
      <c r="K43" s="268">
        <f t="shared" si="18"/>
        <v>0</v>
      </c>
      <c r="L43" s="268">
        <f t="shared" si="18"/>
        <v>0</v>
      </c>
      <c r="M43" s="268">
        <f t="shared" si="18"/>
        <v>0</v>
      </c>
      <c r="N43" s="268">
        <f t="shared" si="18"/>
        <v>0</v>
      </c>
      <c r="O43" s="268">
        <f t="shared" si="19"/>
        <v>0</v>
      </c>
      <c r="P43" s="268">
        <f t="shared" si="19"/>
        <v>0</v>
      </c>
      <c r="Q43" s="268">
        <f t="shared" si="19"/>
        <v>0</v>
      </c>
      <c r="R43" s="268">
        <f t="shared" si="19"/>
        <v>0</v>
      </c>
      <c r="S43" s="268">
        <f t="shared" si="19"/>
        <v>0</v>
      </c>
      <c r="T43" s="268">
        <f t="shared" si="19"/>
        <v>0</v>
      </c>
      <c r="U43" s="268">
        <f t="shared" si="19"/>
        <v>0</v>
      </c>
      <c r="V43" s="268">
        <f t="shared" si="19"/>
        <v>0</v>
      </c>
      <c r="W43" s="268">
        <f t="shared" si="19"/>
        <v>0</v>
      </c>
      <c r="X43" s="268">
        <f t="shared" si="19"/>
        <v>0</v>
      </c>
      <c r="Y43" s="268">
        <f t="shared" si="20"/>
        <v>0</v>
      </c>
      <c r="Z43" s="268">
        <f t="shared" si="20"/>
        <v>0</v>
      </c>
      <c r="AA43" s="268">
        <f t="shared" si="20"/>
        <v>0</v>
      </c>
      <c r="AB43" s="268">
        <f t="shared" si="20"/>
        <v>0</v>
      </c>
      <c r="AC43" s="268">
        <f t="shared" si="20"/>
        <v>0</v>
      </c>
      <c r="AD43" s="268">
        <f t="shared" si="20"/>
        <v>0</v>
      </c>
      <c r="AE43" s="268">
        <f t="shared" si="20"/>
        <v>0</v>
      </c>
      <c r="AF43" s="268">
        <f t="shared" si="20"/>
        <v>0</v>
      </c>
      <c r="AG43" s="268">
        <f t="shared" si="20"/>
        <v>0</v>
      </c>
      <c r="AH43" s="268">
        <f t="shared" si="20"/>
        <v>0</v>
      </c>
      <c r="AI43" s="268">
        <f t="shared" si="20"/>
        <v>0</v>
      </c>
      <c r="AJ43" s="268">
        <f t="shared" si="20"/>
        <v>0</v>
      </c>
      <c r="AK43" s="258">
        <f t="shared" si="7"/>
        <v>0</v>
      </c>
      <c r="AL43" s="251">
        <f t="shared" ref="AL43" si="24">SUM(AK43/$AN$5)</f>
        <v>0</v>
      </c>
      <c r="AM43" s="250">
        <f t="shared" si="23"/>
        <v>1</v>
      </c>
      <c r="AN43" s="247">
        <f t="shared" si="21"/>
        <v>0</v>
      </c>
      <c r="AO43" s="247">
        <f t="shared" si="21"/>
        <v>0</v>
      </c>
      <c r="AP43" s="247">
        <f t="shared" si="21"/>
        <v>0</v>
      </c>
      <c r="AQ43" s="247">
        <f t="shared" si="21"/>
        <v>0</v>
      </c>
      <c r="AR43" s="247">
        <f t="shared" si="21"/>
        <v>0</v>
      </c>
      <c r="AS43" s="247">
        <f t="shared" si="21"/>
        <v>0</v>
      </c>
      <c r="AT43" s="252">
        <f t="shared" si="8"/>
        <v>23</v>
      </c>
      <c r="AU43" s="253">
        <f t="shared" si="9"/>
        <v>100</v>
      </c>
      <c r="AV43" s="214" t="s">
        <v>886</v>
      </c>
    </row>
    <row r="44" spans="3:48" s="38" customFormat="1" ht="27" hidden="1" thickBot="1" x14ac:dyDescent="0.4">
      <c r="C44" s="243">
        <v>36</v>
      </c>
      <c r="D44" s="267">
        <f t="shared" si="2"/>
        <v>0</v>
      </c>
      <c r="E44" s="268">
        <f t="shared" si="18"/>
        <v>0</v>
      </c>
      <c r="F44" s="268">
        <f t="shared" si="18"/>
        <v>0</v>
      </c>
      <c r="G44" s="268">
        <f t="shared" si="18"/>
        <v>0</v>
      </c>
      <c r="H44" s="268">
        <f t="shared" si="18"/>
        <v>0</v>
      </c>
      <c r="I44" s="268">
        <f t="shared" si="18"/>
        <v>0</v>
      </c>
      <c r="J44" s="268">
        <f t="shared" si="18"/>
        <v>0</v>
      </c>
      <c r="K44" s="268">
        <f t="shared" si="18"/>
        <v>0</v>
      </c>
      <c r="L44" s="268">
        <f t="shared" si="18"/>
        <v>0</v>
      </c>
      <c r="M44" s="268">
        <f t="shared" si="18"/>
        <v>0</v>
      </c>
      <c r="N44" s="268">
        <f t="shared" si="18"/>
        <v>0</v>
      </c>
      <c r="O44" s="268">
        <f t="shared" si="19"/>
        <v>0</v>
      </c>
      <c r="P44" s="268">
        <f t="shared" si="19"/>
        <v>0</v>
      </c>
      <c r="Q44" s="268">
        <f t="shared" si="19"/>
        <v>0</v>
      </c>
      <c r="R44" s="268">
        <f t="shared" si="19"/>
        <v>0</v>
      </c>
      <c r="S44" s="268">
        <f t="shared" si="19"/>
        <v>0</v>
      </c>
      <c r="T44" s="268">
        <f t="shared" si="19"/>
        <v>0</v>
      </c>
      <c r="U44" s="268">
        <f t="shared" si="19"/>
        <v>0</v>
      </c>
      <c r="V44" s="268">
        <f t="shared" si="19"/>
        <v>0</v>
      </c>
      <c r="W44" s="268">
        <f t="shared" si="19"/>
        <v>0</v>
      </c>
      <c r="X44" s="268">
        <f t="shared" si="19"/>
        <v>0</v>
      </c>
      <c r="Y44" s="268">
        <f t="shared" si="20"/>
        <v>0</v>
      </c>
      <c r="Z44" s="268">
        <f t="shared" si="20"/>
        <v>0</v>
      </c>
      <c r="AA44" s="268">
        <f t="shared" si="20"/>
        <v>0</v>
      </c>
      <c r="AB44" s="268">
        <f t="shared" si="20"/>
        <v>0</v>
      </c>
      <c r="AC44" s="268">
        <f t="shared" si="20"/>
        <v>0</v>
      </c>
      <c r="AD44" s="268">
        <f t="shared" si="20"/>
        <v>0</v>
      </c>
      <c r="AE44" s="268">
        <f t="shared" si="20"/>
        <v>0</v>
      </c>
      <c r="AF44" s="268">
        <f t="shared" si="20"/>
        <v>0</v>
      </c>
      <c r="AG44" s="268">
        <f t="shared" si="20"/>
        <v>0</v>
      </c>
      <c r="AH44" s="268">
        <f t="shared" si="20"/>
        <v>0</v>
      </c>
      <c r="AI44" s="268">
        <f t="shared" si="20"/>
        <v>0</v>
      </c>
      <c r="AJ44" s="268">
        <f t="shared" si="20"/>
        <v>0</v>
      </c>
      <c r="AK44" s="258">
        <f t="shared" si="7"/>
        <v>0</v>
      </c>
      <c r="AL44" s="254">
        <f t="shared" ref="AL44:AL53" si="25">SUM(AK44/$AN$5)</f>
        <v>0</v>
      </c>
      <c r="AM44" s="255">
        <f t="shared" si="23"/>
        <v>1</v>
      </c>
      <c r="AN44" s="247">
        <f t="shared" si="21"/>
        <v>0</v>
      </c>
      <c r="AO44" s="247">
        <f t="shared" si="21"/>
        <v>0</v>
      </c>
      <c r="AP44" s="247">
        <f t="shared" si="21"/>
        <v>0</v>
      </c>
      <c r="AQ44" s="247">
        <f t="shared" si="21"/>
        <v>0</v>
      </c>
      <c r="AR44" s="247">
        <f t="shared" si="21"/>
        <v>0</v>
      </c>
      <c r="AS44" s="247">
        <f t="shared" si="21"/>
        <v>0</v>
      </c>
      <c r="AT44" s="252">
        <f t="shared" si="8"/>
        <v>23</v>
      </c>
      <c r="AU44" s="253">
        <f t="shared" si="9"/>
        <v>100</v>
      </c>
      <c r="AV44" s="214" t="s">
        <v>886</v>
      </c>
    </row>
    <row r="45" spans="3:48" s="38" customFormat="1" ht="27" hidden="1" thickBot="1" x14ac:dyDescent="0.4">
      <c r="C45" s="243">
        <v>37</v>
      </c>
      <c r="D45" s="267">
        <f t="shared" si="2"/>
        <v>0</v>
      </c>
      <c r="E45" s="268">
        <f t="shared" si="18"/>
        <v>0</v>
      </c>
      <c r="F45" s="268">
        <f t="shared" si="18"/>
        <v>0</v>
      </c>
      <c r="G45" s="268">
        <f t="shared" si="18"/>
        <v>0</v>
      </c>
      <c r="H45" s="268">
        <f t="shared" si="18"/>
        <v>0</v>
      </c>
      <c r="I45" s="268">
        <f t="shared" si="18"/>
        <v>0</v>
      </c>
      <c r="J45" s="268">
        <f t="shared" si="18"/>
        <v>0</v>
      </c>
      <c r="K45" s="268">
        <f t="shared" si="18"/>
        <v>0</v>
      </c>
      <c r="L45" s="268">
        <f t="shared" si="18"/>
        <v>0</v>
      </c>
      <c r="M45" s="268">
        <f t="shared" si="18"/>
        <v>0</v>
      </c>
      <c r="N45" s="268">
        <f t="shared" si="18"/>
        <v>0</v>
      </c>
      <c r="O45" s="268">
        <f t="shared" si="19"/>
        <v>0</v>
      </c>
      <c r="P45" s="268">
        <f t="shared" si="19"/>
        <v>0</v>
      </c>
      <c r="Q45" s="268">
        <f t="shared" si="19"/>
        <v>0</v>
      </c>
      <c r="R45" s="268">
        <f t="shared" si="19"/>
        <v>0</v>
      </c>
      <c r="S45" s="268">
        <f t="shared" si="19"/>
        <v>0</v>
      </c>
      <c r="T45" s="268">
        <f t="shared" si="19"/>
        <v>0</v>
      </c>
      <c r="U45" s="268">
        <f t="shared" si="19"/>
        <v>0</v>
      </c>
      <c r="V45" s="268">
        <f t="shared" si="19"/>
        <v>0</v>
      </c>
      <c r="W45" s="268">
        <f t="shared" si="19"/>
        <v>0</v>
      </c>
      <c r="X45" s="268">
        <f t="shared" si="19"/>
        <v>0</v>
      </c>
      <c r="Y45" s="268">
        <f t="shared" si="20"/>
        <v>0</v>
      </c>
      <c r="Z45" s="268">
        <f t="shared" si="20"/>
        <v>0</v>
      </c>
      <c r="AA45" s="268">
        <f t="shared" si="20"/>
        <v>0</v>
      </c>
      <c r="AB45" s="268">
        <f t="shared" si="20"/>
        <v>0</v>
      </c>
      <c r="AC45" s="268">
        <f t="shared" si="20"/>
        <v>0</v>
      </c>
      <c r="AD45" s="268">
        <f t="shared" si="20"/>
        <v>0</v>
      </c>
      <c r="AE45" s="268">
        <f t="shared" si="20"/>
        <v>0</v>
      </c>
      <c r="AF45" s="268">
        <f t="shared" si="20"/>
        <v>0</v>
      </c>
      <c r="AG45" s="268">
        <f t="shared" si="20"/>
        <v>0</v>
      </c>
      <c r="AH45" s="268">
        <f t="shared" si="20"/>
        <v>0</v>
      </c>
      <c r="AI45" s="268">
        <f t="shared" si="20"/>
        <v>0</v>
      </c>
      <c r="AJ45" s="268">
        <f t="shared" si="20"/>
        <v>0</v>
      </c>
      <c r="AK45" s="258">
        <f t="shared" si="7"/>
        <v>0</v>
      </c>
      <c r="AL45" s="254">
        <f t="shared" si="25"/>
        <v>0</v>
      </c>
      <c r="AM45" s="255">
        <f t="shared" si="23"/>
        <v>1</v>
      </c>
      <c r="AN45" s="247">
        <f t="shared" si="21"/>
        <v>0</v>
      </c>
      <c r="AO45" s="247">
        <f t="shared" si="21"/>
        <v>0</v>
      </c>
      <c r="AP45" s="247">
        <f t="shared" si="21"/>
        <v>0</v>
      </c>
      <c r="AQ45" s="247">
        <f t="shared" si="21"/>
        <v>0</v>
      </c>
      <c r="AR45" s="247">
        <f t="shared" si="21"/>
        <v>0</v>
      </c>
      <c r="AS45" s="247">
        <f t="shared" si="21"/>
        <v>0</v>
      </c>
      <c r="AT45" s="252">
        <f t="shared" si="8"/>
        <v>23</v>
      </c>
      <c r="AU45" s="253">
        <f t="shared" si="9"/>
        <v>100</v>
      </c>
      <c r="AV45" s="214" t="s">
        <v>886</v>
      </c>
    </row>
    <row r="46" spans="3:48" s="38" customFormat="1" ht="27" hidden="1" thickBot="1" x14ac:dyDescent="0.4">
      <c r="C46" s="243">
        <v>38</v>
      </c>
      <c r="D46" s="267">
        <f t="shared" si="2"/>
        <v>0</v>
      </c>
      <c r="E46" s="268">
        <f t="shared" si="18"/>
        <v>0</v>
      </c>
      <c r="F46" s="268">
        <f t="shared" si="18"/>
        <v>0</v>
      </c>
      <c r="G46" s="268">
        <f t="shared" si="18"/>
        <v>0</v>
      </c>
      <c r="H46" s="268">
        <f t="shared" si="18"/>
        <v>0</v>
      </c>
      <c r="I46" s="268">
        <f t="shared" si="18"/>
        <v>0</v>
      </c>
      <c r="J46" s="268">
        <f t="shared" si="18"/>
        <v>0</v>
      </c>
      <c r="K46" s="268">
        <f t="shared" si="18"/>
        <v>0</v>
      </c>
      <c r="L46" s="268">
        <f t="shared" si="18"/>
        <v>0</v>
      </c>
      <c r="M46" s="268">
        <f t="shared" si="18"/>
        <v>0</v>
      </c>
      <c r="N46" s="268">
        <f t="shared" si="18"/>
        <v>0</v>
      </c>
      <c r="O46" s="268">
        <f t="shared" si="19"/>
        <v>0</v>
      </c>
      <c r="P46" s="268">
        <f t="shared" si="19"/>
        <v>0</v>
      </c>
      <c r="Q46" s="268">
        <f t="shared" si="19"/>
        <v>0</v>
      </c>
      <c r="R46" s="268">
        <f t="shared" si="19"/>
        <v>0</v>
      </c>
      <c r="S46" s="268">
        <f t="shared" si="19"/>
        <v>0</v>
      </c>
      <c r="T46" s="268">
        <f t="shared" si="19"/>
        <v>0</v>
      </c>
      <c r="U46" s="268">
        <f t="shared" si="19"/>
        <v>0</v>
      </c>
      <c r="V46" s="268">
        <f t="shared" si="19"/>
        <v>0</v>
      </c>
      <c r="W46" s="268">
        <f t="shared" si="19"/>
        <v>0</v>
      </c>
      <c r="X46" s="268">
        <f t="shared" si="19"/>
        <v>0</v>
      </c>
      <c r="Y46" s="268">
        <f t="shared" si="20"/>
        <v>0</v>
      </c>
      <c r="Z46" s="268">
        <f t="shared" si="20"/>
        <v>0</v>
      </c>
      <c r="AA46" s="268">
        <f t="shared" si="20"/>
        <v>0</v>
      </c>
      <c r="AB46" s="268">
        <f t="shared" si="20"/>
        <v>0</v>
      </c>
      <c r="AC46" s="268">
        <f t="shared" si="20"/>
        <v>0</v>
      </c>
      <c r="AD46" s="268">
        <f t="shared" si="20"/>
        <v>0</v>
      </c>
      <c r="AE46" s="268">
        <f t="shared" si="20"/>
        <v>0</v>
      </c>
      <c r="AF46" s="268">
        <f t="shared" si="20"/>
        <v>0</v>
      </c>
      <c r="AG46" s="268">
        <f t="shared" si="20"/>
        <v>0</v>
      </c>
      <c r="AH46" s="268">
        <f t="shared" si="20"/>
        <v>0</v>
      </c>
      <c r="AI46" s="268">
        <f t="shared" si="20"/>
        <v>0</v>
      </c>
      <c r="AJ46" s="268">
        <f t="shared" si="20"/>
        <v>0</v>
      </c>
      <c r="AK46" s="258">
        <f t="shared" si="7"/>
        <v>0</v>
      </c>
      <c r="AL46" s="254">
        <f t="shared" si="25"/>
        <v>0</v>
      </c>
      <c r="AM46" s="255">
        <f t="shared" si="23"/>
        <v>1</v>
      </c>
      <c r="AN46" s="247">
        <f t="shared" si="21"/>
        <v>0</v>
      </c>
      <c r="AO46" s="247">
        <f t="shared" si="21"/>
        <v>0</v>
      </c>
      <c r="AP46" s="247">
        <f t="shared" si="21"/>
        <v>0</v>
      </c>
      <c r="AQ46" s="247">
        <f t="shared" si="21"/>
        <v>0</v>
      </c>
      <c r="AR46" s="247">
        <f t="shared" si="21"/>
        <v>0</v>
      </c>
      <c r="AS46" s="247">
        <f t="shared" si="21"/>
        <v>0</v>
      </c>
      <c r="AT46" s="252">
        <f t="shared" si="8"/>
        <v>23</v>
      </c>
      <c r="AU46" s="253">
        <f t="shared" si="9"/>
        <v>100</v>
      </c>
      <c r="AV46" s="214" t="s">
        <v>886</v>
      </c>
    </row>
    <row r="47" spans="3:48" s="38" customFormat="1" ht="27" hidden="1" thickBot="1" x14ac:dyDescent="0.4">
      <c r="C47" s="243">
        <v>39</v>
      </c>
      <c r="D47" s="267">
        <f t="shared" si="2"/>
        <v>0</v>
      </c>
      <c r="E47" s="268">
        <f t="shared" si="18"/>
        <v>0</v>
      </c>
      <c r="F47" s="268">
        <f t="shared" si="18"/>
        <v>0</v>
      </c>
      <c r="G47" s="268">
        <f t="shared" si="18"/>
        <v>0</v>
      </c>
      <c r="H47" s="268">
        <f t="shared" si="18"/>
        <v>0</v>
      </c>
      <c r="I47" s="268">
        <f t="shared" si="18"/>
        <v>0</v>
      </c>
      <c r="J47" s="268">
        <f t="shared" si="18"/>
        <v>0</v>
      </c>
      <c r="K47" s="268">
        <f t="shared" si="18"/>
        <v>0</v>
      </c>
      <c r="L47" s="268">
        <f t="shared" si="18"/>
        <v>0</v>
      </c>
      <c r="M47" s="268">
        <f t="shared" si="18"/>
        <v>0</v>
      </c>
      <c r="N47" s="268">
        <f t="shared" si="18"/>
        <v>0</v>
      </c>
      <c r="O47" s="268">
        <f t="shared" si="19"/>
        <v>0</v>
      </c>
      <c r="P47" s="268">
        <f t="shared" si="19"/>
        <v>0</v>
      </c>
      <c r="Q47" s="268">
        <f t="shared" si="19"/>
        <v>0</v>
      </c>
      <c r="R47" s="268">
        <f t="shared" si="19"/>
        <v>0</v>
      </c>
      <c r="S47" s="268">
        <f t="shared" si="19"/>
        <v>0</v>
      </c>
      <c r="T47" s="268">
        <f t="shared" si="19"/>
        <v>0</v>
      </c>
      <c r="U47" s="268">
        <f t="shared" si="19"/>
        <v>0</v>
      </c>
      <c r="V47" s="268">
        <f t="shared" si="19"/>
        <v>0</v>
      </c>
      <c r="W47" s="268">
        <f t="shared" si="19"/>
        <v>0</v>
      </c>
      <c r="X47" s="268">
        <f t="shared" si="19"/>
        <v>0</v>
      </c>
      <c r="Y47" s="268">
        <f t="shared" si="20"/>
        <v>0</v>
      </c>
      <c r="Z47" s="268">
        <f t="shared" si="20"/>
        <v>0</v>
      </c>
      <c r="AA47" s="268">
        <f t="shared" si="20"/>
        <v>0</v>
      </c>
      <c r="AB47" s="268">
        <f t="shared" si="20"/>
        <v>0</v>
      </c>
      <c r="AC47" s="268">
        <f t="shared" si="20"/>
        <v>0</v>
      </c>
      <c r="AD47" s="268">
        <f t="shared" si="20"/>
        <v>0</v>
      </c>
      <c r="AE47" s="268">
        <f t="shared" si="20"/>
        <v>0</v>
      </c>
      <c r="AF47" s="268">
        <f t="shared" si="20"/>
        <v>0</v>
      </c>
      <c r="AG47" s="268">
        <f t="shared" si="20"/>
        <v>0</v>
      </c>
      <c r="AH47" s="268">
        <f t="shared" si="20"/>
        <v>0</v>
      </c>
      <c r="AI47" s="268">
        <f t="shared" si="20"/>
        <v>0</v>
      </c>
      <c r="AJ47" s="268">
        <f t="shared" si="20"/>
        <v>0</v>
      </c>
      <c r="AK47" s="258">
        <f t="shared" si="7"/>
        <v>0</v>
      </c>
      <c r="AL47" s="254">
        <f t="shared" si="25"/>
        <v>0</v>
      </c>
      <c r="AM47" s="255">
        <f t="shared" si="23"/>
        <v>1</v>
      </c>
      <c r="AN47" s="247">
        <f t="shared" si="21"/>
        <v>0</v>
      </c>
      <c r="AO47" s="247">
        <f t="shared" si="21"/>
        <v>0</v>
      </c>
      <c r="AP47" s="247">
        <f t="shared" si="21"/>
        <v>0</v>
      </c>
      <c r="AQ47" s="247">
        <f t="shared" si="21"/>
        <v>0</v>
      </c>
      <c r="AR47" s="247">
        <f t="shared" si="21"/>
        <v>0</v>
      </c>
      <c r="AS47" s="247">
        <f t="shared" si="21"/>
        <v>0</v>
      </c>
      <c r="AT47" s="252">
        <f t="shared" si="8"/>
        <v>23</v>
      </c>
      <c r="AU47" s="253">
        <f t="shared" si="9"/>
        <v>100</v>
      </c>
      <c r="AV47" s="214" t="s">
        <v>886</v>
      </c>
    </row>
    <row r="48" spans="3:48" s="38" customFormat="1" ht="27" hidden="1" thickBot="1" x14ac:dyDescent="0.4">
      <c r="C48" s="243">
        <v>40</v>
      </c>
      <c r="D48" s="267">
        <f t="shared" si="2"/>
        <v>0</v>
      </c>
      <c r="E48" s="268">
        <f t="shared" si="18"/>
        <v>0</v>
      </c>
      <c r="F48" s="268">
        <f t="shared" si="18"/>
        <v>0</v>
      </c>
      <c r="G48" s="268">
        <f t="shared" si="18"/>
        <v>0</v>
      </c>
      <c r="H48" s="268">
        <f t="shared" si="18"/>
        <v>0</v>
      </c>
      <c r="I48" s="268">
        <f t="shared" si="18"/>
        <v>0</v>
      </c>
      <c r="J48" s="268">
        <f t="shared" si="18"/>
        <v>0</v>
      </c>
      <c r="K48" s="268">
        <f t="shared" si="18"/>
        <v>0</v>
      </c>
      <c r="L48" s="268">
        <f t="shared" si="18"/>
        <v>0</v>
      </c>
      <c r="M48" s="268">
        <f t="shared" si="18"/>
        <v>0</v>
      </c>
      <c r="N48" s="268">
        <f t="shared" si="18"/>
        <v>0</v>
      </c>
      <c r="O48" s="268">
        <f t="shared" si="19"/>
        <v>0</v>
      </c>
      <c r="P48" s="268">
        <f t="shared" si="19"/>
        <v>0</v>
      </c>
      <c r="Q48" s="268">
        <f t="shared" si="19"/>
        <v>0</v>
      </c>
      <c r="R48" s="268">
        <f t="shared" si="19"/>
        <v>0</v>
      </c>
      <c r="S48" s="268">
        <f t="shared" si="19"/>
        <v>0</v>
      </c>
      <c r="T48" s="268">
        <f t="shared" si="19"/>
        <v>0</v>
      </c>
      <c r="U48" s="268">
        <f t="shared" si="19"/>
        <v>0</v>
      </c>
      <c r="V48" s="268">
        <f t="shared" si="19"/>
        <v>0</v>
      </c>
      <c r="W48" s="268">
        <f t="shared" si="19"/>
        <v>0</v>
      </c>
      <c r="X48" s="268">
        <f t="shared" si="19"/>
        <v>0</v>
      </c>
      <c r="Y48" s="268">
        <f t="shared" si="20"/>
        <v>0</v>
      </c>
      <c r="Z48" s="268">
        <f t="shared" si="20"/>
        <v>0</v>
      </c>
      <c r="AA48" s="268">
        <f t="shared" si="20"/>
        <v>0</v>
      </c>
      <c r="AB48" s="268">
        <f t="shared" si="20"/>
        <v>0</v>
      </c>
      <c r="AC48" s="268">
        <f t="shared" si="20"/>
        <v>0</v>
      </c>
      <c r="AD48" s="268">
        <f t="shared" si="20"/>
        <v>0</v>
      </c>
      <c r="AE48" s="268">
        <f t="shared" si="20"/>
        <v>0</v>
      </c>
      <c r="AF48" s="268">
        <f t="shared" si="20"/>
        <v>0</v>
      </c>
      <c r="AG48" s="268">
        <f t="shared" si="20"/>
        <v>0</v>
      </c>
      <c r="AH48" s="268">
        <f t="shared" si="20"/>
        <v>0</v>
      </c>
      <c r="AI48" s="268">
        <f t="shared" si="20"/>
        <v>0</v>
      </c>
      <c r="AJ48" s="268">
        <f t="shared" si="20"/>
        <v>0</v>
      </c>
      <c r="AK48" s="258">
        <f t="shared" si="7"/>
        <v>0</v>
      </c>
      <c r="AL48" s="254">
        <f t="shared" si="25"/>
        <v>0</v>
      </c>
      <c r="AM48" s="255">
        <f t="shared" si="23"/>
        <v>1</v>
      </c>
      <c r="AN48" s="247">
        <f t="shared" si="21"/>
        <v>0</v>
      </c>
      <c r="AO48" s="247">
        <f t="shared" si="21"/>
        <v>0</v>
      </c>
      <c r="AP48" s="247">
        <f t="shared" si="21"/>
        <v>0</v>
      </c>
      <c r="AQ48" s="247">
        <f t="shared" si="21"/>
        <v>0</v>
      </c>
      <c r="AR48" s="247">
        <f t="shared" si="21"/>
        <v>0</v>
      </c>
      <c r="AS48" s="247">
        <f t="shared" si="21"/>
        <v>0</v>
      </c>
      <c r="AT48" s="252">
        <f t="shared" si="8"/>
        <v>23</v>
      </c>
      <c r="AU48" s="253">
        <f t="shared" si="9"/>
        <v>100</v>
      </c>
      <c r="AV48" s="214" t="s">
        <v>886</v>
      </c>
    </row>
    <row r="49" spans="3:48" s="38" customFormat="1" ht="27" hidden="1" thickBot="1" x14ac:dyDescent="0.4">
      <c r="C49" s="243">
        <v>41</v>
      </c>
      <c r="D49" s="267">
        <f t="shared" si="2"/>
        <v>0</v>
      </c>
      <c r="E49" s="268">
        <f t="shared" si="18"/>
        <v>0</v>
      </c>
      <c r="F49" s="268">
        <f t="shared" si="18"/>
        <v>0</v>
      </c>
      <c r="G49" s="268">
        <f t="shared" si="18"/>
        <v>0</v>
      </c>
      <c r="H49" s="268">
        <f t="shared" si="18"/>
        <v>0</v>
      </c>
      <c r="I49" s="268">
        <f t="shared" si="18"/>
        <v>0</v>
      </c>
      <c r="J49" s="268">
        <f t="shared" si="18"/>
        <v>0</v>
      </c>
      <c r="K49" s="268">
        <f t="shared" si="18"/>
        <v>0</v>
      </c>
      <c r="L49" s="268">
        <f t="shared" si="18"/>
        <v>0</v>
      </c>
      <c r="M49" s="268">
        <f t="shared" si="18"/>
        <v>0</v>
      </c>
      <c r="N49" s="268">
        <f t="shared" si="18"/>
        <v>0</v>
      </c>
      <c r="O49" s="268">
        <f t="shared" si="19"/>
        <v>0</v>
      </c>
      <c r="P49" s="268">
        <f t="shared" si="19"/>
        <v>0</v>
      </c>
      <c r="Q49" s="268">
        <f t="shared" si="19"/>
        <v>0</v>
      </c>
      <c r="R49" s="268">
        <f t="shared" si="19"/>
        <v>0</v>
      </c>
      <c r="S49" s="268">
        <f t="shared" si="19"/>
        <v>0</v>
      </c>
      <c r="T49" s="268">
        <f t="shared" si="19"/>
        <v>0</v>
      </c>
      <c r="U49" s="268">
        <f t="shared" si="19"/>
        <v>0</v>
      </c>
      <c r="V49" s="268">
        <f t="shared" si="19"/>
        <v>0</v>
      </c>
      <c r="W49" s="268">
        <f t="shared" si="19"/>
        <v>0</v>
      </c>
      <c r="X49" s="268">
        <f t="shared" si="19"/>
        <v>0</v>
      </c>
      <c r="Y49" s="268">
        <f t="shared" si="20"/>
        <v>0</v>
      </c>
      <c r="Z49" s="268">
        <f t="shared" si="20"/>
        <v>0</v>
      </c>
      <c r="AA49" s="268">
        <f t="shared" si="20"/>
        <v>0</v>
      </c>
      <c r="AB49" s="268">
        <f t="shared" si="20"/>
        <v>0</v>
      </c>
      <c r="AC49" s="268">
        <f t="shared" si="20"/>
        <v>0</v>
      </c>
      <c r="AD49" s="268">
        <f t="shared" si="20"/>
        <v>0</v>
      </c>
      <c r="AE49" s="268">
        <f t="shared" si="20"/>
        <v>0</v>
      </c>
      <c r="AF49" s="268">
        <f t="shared" si="20"/>
        <v>0</v>
      </c>
      <c r="AG49" s="268">
        <f t="shared" si="20"/>
        <v>0</v>
      </c>
      <c r="AH49" s="268">
        <f t="shared" si="20"/>
        <v>0</v>
      </c>
      <c r="AI49" s="268">
        <f t="shared" si="20"/>
        <v>0</v>
      </c>
      <c r="AJ49" s="268">
        <f t="shared" si="20"/>
        <v>0</v>
      </c>
      <c r="AK49" s="258">
        <f t="shared" si="7"/>
        <v>0</v>
      </c>
      <c r="AL49" s="254">
        <f t="shared" si="25"/>
        <v>0</v>
      </c>
      <c r="AM49" s="255">
        <f t="shared" si="23"/>
        <v>1</v>
      </c>
      <c r="AN49" s="247">
        <f t="shared" si="21"/>
        <v>0</v>
      </c>
      <c r="AO49" s="247">
        <f t="shared" si="21"/>
        <v>0</v>
      </c>
      <c r="AP49" s="247">
        <f t="shared" si="21"/>
        <v>0</v>
      </c>
      <c r="AQ49" s="247">
        <f t="shared" si="21"/>
        <v>0</v>
      </c>
      <c r="AR49" s="247">
        <f t="shared" si="21"/>
        <v>0</v>
      </c>
      <c r="AS49" s="247">
        <f t="shared" si="21"/>
        <v>0</v>
      </c>
      <c r="AT49" s="252">
        <f t="shared" si="8"/>
        <v>23</v>
      </c>
      <c r="AU49" s="253">
        <f t="shared" si="9"/>
        <v>100</v>
      </c>
      <c r="AV49" s="214" t="s">
        <v>886</v>
      </c>
    </row>
    <row r="50" spans="3:48" s="38" customFormat="1" ht="27" hidden="1" thickBot="1" x14ac:dyDescent="0.4">
      <c r="C50" s="243">
        <v>42</v>
      </c>
      <c r="D50" s="267">
        <f t="shared" si="2"/>
        <v>0</v>
      </c>
      <c r="E50" s="268">
        <f t="shared" si="18"/>
        <v>0</v>
      </c>
      <c r="F50" s="268">
        <f t="shared" si="18"/>
        <v>0</v>
      </c>
      <c r="G50" s="268">
        <f t="shared" si="18"/>
        <v>0</v>
      </c>
      <c r="H50" s="268">
        <f t="shared" si="18"/>
        <v>0</v>
      </c>
      <c r="I50" s="268">
        <f t="shared" si="18"/>
        <v>0</v>
      </c>
      <c r="J50" s="268">
        <f t="shared" si="18"/>
        <v>0</v>
      </c>
      <c r="K50" s="268">
        <f t="shared" si="18"/>
        <v>0</v>
      </c>
      <c r="L50" s="268">
        <f t="shared" si="18"/>
        <v>0</v>
      </c>
      <c r="M50" s="268">
        <f t="shared" si="18"/>
        <v>0</v>
      </c>
      <c r="N50" s="268">
        <f t="shared" si="18"/>
        <v>0</v>
      </c>
      <c r="O50" s="268">
        <f t="shared" si="19"/>
        <v>0</v>
      </c>
      <c r="P50" s="268">
        <f t="shared" si="19"/>
        <v>0</v>
      </c>
      <c r="Q50" s="268">
        <f t="shared" si="19"/>
        <v>0</v>
      </c>
      <c r="R50" s="268">
        <f t="shared" si="19"/>
        <v>0</v>
      </c>
      <c r="S50" s="268">
        <f t="shared" si="19"/>
        <v>0</v>
      </c>
      <c r="T50" s="268">
        <f t="shared" si="19"/>
        <v>0</v>
      </c>
      <c r="U50" s="268">
        <f t="shared" si="19"/>
        <v>0</v>
      </c>
      <c r="V50" s="268">
        <f t="shared" si="19"/>
        <v>0</v>
      </c>
      <c r="W50" s="268">
        <f t="shared" si="19"/>
        <v>0</v>
      </c>
      <c r="X50" s="268">
        <f t="shared" si="19"/>
        <v>0</v>
      </c>
      <c r="Y50" s="268">
        <f t="shared" si="20"/>
        <v>0</v>
      </c>
      <c r="Z50" s="268">
        <f t="shared" si="20"/>
        <v>0</v>
      </c>
      <c r="AA50" s="268">
        <f t="shared" si="20"/>
        <v>0</v>
      </c>
      <c r="AB50" s="268">
        <f t="shared" si="20"/>
        <v>0</v>
      </c>
      <c r="AC50" s="268">
        <f t="shared" si="20"/>
        <v>0</v>
      </c>
      <c r="AD50" s="268">
        <f t="shared" si="20"/>
        <v>0</v>
      </c>
      <c r="AE50" s="268">
        <f t="shared" si="20"/>
        <v>0</v>
      </c>
      <c r="AF50" s="268">
        <f t="shared" si="20"/>
        <v>0</v>
      </c>
      <c r="AG50" s="268">
        <f t="shared" si="20"/>
        <v>0</v>
      </c>
      <c r="AH50" s="268">
        <f t="shared" si="20"/>
        <v>0</v>
      </c>
      <c r="AI50" s="268">
        <f t="shared" si="20"/>
        <v>0</v>
      </c>
      <c r="AJ50" s="268">
        <f t="shared" si="20"/>
        <v>0</v>
      </c>
      <c r="AK50" s="258">
        <f t="shared" si="7"/>
        <v>0</v>
      </c>
      <c r="AL50" s="254">
        <f t="shared" si="25"/>
        <v>0</v>
      </c>
      <c r="AM50" s="255">
        <f t="shared" si="23"/>
        <v>1</v>
      </c>
      <c r="AN50" s="247">
        <f t="shared" si="21"/>
        <v>0</v>
      </c>
      <c r="AO50" s="247">
        <f t="shared" si="21"/>
        <v>0</v>
      </c>
      <c r="AP50" s="247">
        <f t="shared" si="21"/>
        <v>0</v>
      </c>
      <c r="AQ50" s="247">
        <f t="shared" si="21"/>
        <v>0</v>
      </c>
      <c r="AR50" s="247">
        <f t="shared" si="21"/>
        <v>0</v>
      </c>
      <c r="AS50" s="247">
        <f t="shared" si="21"/>
        <v>0</v>
      </c>
      <c r="AT50" s="252">
        <f t="shared" si="8"/>
        <v>23</v>
      </c>
      <c r="AU50" s="253">
        <f t="shared" si="9"/>
        <v>100</v>
      </c>
      <c r="AV50" s="214" t="s">
        <v>886</v>
      </c>
    </row>
    <row r="51" spans="3:48" s="38" customFormat="1" ht="27" hidden="1" thickBot="1" x14ac:dyDescent="0.4">
      <c r="C51" s="243">
        <v>43</v>
      </c>
      <c r="D51" s="267">
        <f t="shared" si="2"/>
        <v>0</v>
      </c>
      <c r="E51" s="268">
        <f t="shared" si="18"/>
        <v>0</v>
      </c>
      <c r="F51" s="268">
        <f t="shared" si="18"/>
        <v>0</v>
      </c>
      <c r="G51" s="268">
        <f t="shared" si="18"/>
        <v>0</v>
      </c>
      <c r="H51" s="268">
        <f t="shared" si="18"/>
        <v>0</v>
      </c>
      <c r="I51" s="268">
        <f t="shared" si="18"/>
        <v>0</v>
      </c>
      <c r="J51" s="268">
        <f t="shared" si="18"/>
        <v>0</v>
      </c>
      <c r="K51" s="268">
        <f t="shared" si="18"/>
        <v>0</v>
      </c>
      <c r="L51" s="268">
        <f t="shared" si="18"/>
        <v>0</v>
      </c>
      <c r="M51" s="268">
        <f t="shared" si="18"/>
        <v>0</v>
      </c>
      <c r="N51" s="268">
        <f t="shared" si="18"/>
        <v>0</v>
      </c>
      <c r="O51" s="268">
        <f t="shared" si="19"/>
        <v>0</v>
      </c>
      <c r="P51" s="268">
        <f t="shared" si="19"/>
        <v>0</v>
      </c>
      <c r="Q51" s="268">
        <f t="shared" si="19"/>
        <v>0</v>
      </c>
      <c r="R51" s="268">
        <f t="shared" si="19"/>
        <v>0</v>
      </c>
      <c r="S51" s="268">
        <f t="shared" si="19"/>
        <v>0</v>
      </c>
      <c r="T51" s="268">
        <f t="shared" si="19"/>
        <v>0</v>
      </c>
      <c r="U51" s="268">
        <f t="shared" si="19"/>
        <v>0</v>
      </c>
      <c r="V51" s="268">
        <f t="shared" si="19"/>
        <v>0</v>
      </c>
      <c r="W51" s="268">
        <f t="shared" si="19"/>
        <v>0</v>
      </c>
      <c r="X51" s="268">
        <f t="shared" si="19"/>
        <v>0</v>
      </c>
      <c r="Y51" s="268">
        <f t="shared" si="20"/>
        <v>0</v>
      </c>
      <c r="Z51" s="268">
        <f t="shared" si="20"/>
        <v>0</v>
      </c>
      <c r="AA51" s="268">
        <f t="shared" si="20"/>
        <v>0</v>
      </c>
      <c r="AB51" s="268">
        <f t="shared" si="20"/>
        <v>0</v>
      </c>
      <c r="AC51" s="268">
        <f t="shared" si="20"/>
        <v>0</v>
      </c>
      <c r="AD51" s="268">
        <f t="shared" si="20"/>
        <v>0</v>
      </c>
      <c r="AE51" s="268">
        <f t="shared" si="20"/>
        <v>0</v>
      </c>
      <c r="AF51" s="268">
        <f t="shared" si="20"/>
        <v>0</v>
      </c>
      <c r="AG51" s="268">
        <f t="shared" si="20"/>
        <v>0</v>
      </c>
      <c r="AH51" s="268">
        <f t="shared" si="20"/>
        <v>0</v>
      </c>
      <c r="AI51" s="268">
        <f t="shared" si="20"/>
        <v>0</v>
      </c>
      <c r="AJ51" s="268">
        <f t="shared" si="20"/>
        <v>0</v>
      </c>
      <c r="AK51" s="258">
        <f t="shared" si="7"/>
        <v>0</v>
      </c>
      <c r="AL51" s="254">
        <f t="shared" si="25"/>
        <v>0</v>
      </c>
      <c r="AM51" s="255">
        <f t="shared" si="23"/>
        <v>1</v>
      </c>
      <c r="AN51" s="247">
        <f t="shared" si="21"/>
        <v>0</v>
      </c>
      <c r="AO51" s="247">
        <f t="shared" si="21"/>
        <v>0</v>
      </c>
      <c r="AP51" s="247">
        <f t="shared" si="21"/>
        <v>0</v>
      </c>
      <c r="AQ51" s="247">
        <f t="shared" si="21"/>
        <v>0</v>
      </c>
      <c r="AR51" s="247">
        <f t="shared" si="21"/>
        <v>0</v>
      </c>
      <c r="AS51" s="247">
        <f t="shared" si="21"/>
        <v>0</v>
      </c>
      <c r="AT51" s="252">
        <f t="shared" si="8"/>
        <v>23</v>
      </c>
      <c r="AU51" s="253">
        <f t="shared" si="9"/>
        <v>100</v>
      </c>
      <c r="AV51" s="214" t="s">
        <v>886</v>
      </c>
    </row>
    <row r="52" spans="3:48" s="38" customFormat="1" ht="27" hidden="1" thickBot="1" x14ac:dyDescent="0.4">
      <c r="C52" s="243">
        <v>44</v>
      </c>
      <c r="D52" s="267">
        <f t="shared" si="2"/>
        <v>0</v>
      </c>
      <c r="E52" s="268">
        <f t="shared" si="18"/>
        <v>0</v>
      </c>
      <c r="F52" s="268">
        <f t="shared" si="18"/>
        <v>0</v>
      </c>
      <c r="G52" s="268">
        <f t="shared" si="18"/>
        <v>0</v>
      </c>
      <c r="H52" s="268">
        <f t="shared" si="18"/>
        <v>0</v>
      </c>
      <c r="I52" s="268">
        <f t="shared" si="18"/>
        <v>0</v>
      </c>
      <c r="J52" s="268">
        <f t="shared" si="18"/>
        <v>0</v>
      </c>
      <c r="K52" s="268">
        <f t="shared" si="18"/>
        <v>0</v>
      </c>
      <c r="L52" s="268">
        <f t="shared" si="18"/>
        <v>0</v>
      </c>
      <c r="M52" s="268">
        <f t="shared" si="18"/>
        <v>0</v>
      </c>
      <c r="N52" s="268">
        <f t="shared" si="18"/>
        <v>0</v>
      </c>
      <c r="O52" s="268">
        <f t="shared" si="19"/>
        <v>0</v>
      </c>
      <c r="P52" s="268">
        <f t="shared" si="19"/>
        <v>0</v>
      </c>
      <c r="Q52" s="268">
        <f t="shared" si="19"/>
        <v>0</v>
      </c>
      <c r="R52" s="268">
        <f t="shared" si="19"/>
        <v>0</v>
      </c>
      <c r="S52" s="268">
        <f t="shared" si="19"/>
        <v>0</v>
      </c>
      <c r="T52" s="268">
        <f t="shared" si="19"/>
        <v>0</v>
      </c>
      <c r="U52" s="268">
        <f t="shared" si="19"/>
        <v>0</v>
      </c>
      <c r="V52" s="268">
        <f t="shared" si="19"/>
        <v>0</v>
      </c>
      <c r="W52" s="268">
        <f t="shared" si="19"/>
        <v>0</v>
      </c>
      <c r="X52" s="268">
        <f t="shared" si="19"/>
        <v>0</v>
      </c>
      <c r="Y52" s="268">
        <f t="shared" si="20"/>
        <v>0</v>
      </c>
      <c r="Z52" s="268">
        <f t="shared" si="20"/>
        <v>0</v>
      </c>
      <c r="AA52" s="268">
        <f t="shared" si="20"/>
        <v>0</v>
      </c>
      <c r="AB52" s="268">
        <f t="shared" si="20"/>
        <v>0</v>
      </c>
      <c r="AC52" s="268">
        <f t="shared" si="20"/>
        <v>0</v>
      </c>
      <c r="AD52" s="268">
        <f t="shared" si="20"/>
        <v>0</v>
      </c>
      <c r="AE52" s="268">
        <f t="shared" si="20"/>
        <v>0</v>
      </c>
      <c r="AF52" s="268">
        <f t="shared" si="20"/>
        <v>0</v>
      </c>
      <c r="AG52" s="268">
        <f t="shared" si="20"/>
        <v>0</v>
      </c>
      <c r="AH52" s="268">
        <f t="shared" si="20"/>
        <v>0</v>
      </c>
      <c r="AI52" s="268">
        <f t="shared" si="20"/>
        <v>0</v>
      </c>
      <c r="AJ52" s="268">
        <f t="shared" si="20"/>
        <v>0</v>
      </c>
      <c r="AK52" s="258">
        <f t="shared" si="7"/>
        <v>0</v>
      </c>
      <c r="AL52" s="254">
        <f t="shared" si="25"/>
        <v>0</v>
      </c>
      <c r="AM52" s="255">
        <f t="shared" si="23"/>
        <v>1</v>
      </c>
      <c r="AN52" s="247">
        <f t="shared" si="21"/>
        <v>0</v>
      </c>
      <c r="AO52" s="247">
        <f t="shared" si="21"/>
        <v>0</v>
      </c>
      <c r="AP52" s="247">
        <f t="shared" si="21"/>
        <v>0</v>
      </c>
      <c r="AQ52" s="247">
        <f t="shared" si="21"/>
        <v>0</v>
      </c>
      <c r="AR52" s="247">
        <f t="shared" si="21"/>
        <v>0</v>
      </c>
      <c r="AS52" s="247">
        <f t="shared" si="21"/>
        <v>0</v>
      </c>
      <c r="AT52" s="252">
        <f t="shared" si="8"/>
        <v>23</v>
      </c>
      <c r="AU52" s="253">
        <f t="shared" si="9"/>
        <v>100</v>
      </c>
      <c r="AV52" s="214" t="s">
        <v>886</v>
      </c>
    </row>
    <row r="53" spans="3:48" s="38" customFormat="1" ht="27" hidden="1" thickBot="1" x14ac:dyDescent="0.4">
      <c r="C53" s="244">
        <v>45</v>
      </c>
      <c r="D53" s="267">
        <f t="shared" si="2"/>
        <v>0</v>
      </c>
      <c r="E53" s="268">
        <f t="shared" si="18"/>
        <v>0</v>
      </c>
      <c r="F53" s="268">
        <f t="shared" si="18"/>
        <v>0</v>
      </c>
      <c r="G53" s="268">
        <f t="shared" si="18"/>
        <v>0</v>
      </c>
      <c r="H53" s="268">
        <f t="shared" si="18"/>
        <v>0</v>
      </c>
      <c r="I53" s="268">
        <f t="shared" si="18"/>
        <v>0</v>
      </c>
      <c r="J53" s="268">
        <f t="shared" si="18"/>
        <v>0</v>
      </c>
      <c r="K53" s="268">
        <f t="shared" si="18"/>
        <v>0</v>
      </c>
      <c r="L53" s="268">
        <f t="shared" si="18"/>
        <v>0</v>
      </c>
      <c r="M53" s="268">
        <f t="shared" si="18"/>
        <v>0</v>
      </c>
      <c r="N53" s="268">
        <f t="shared" si="18"/>
        <v>0</v>
      </c>
      <c r="O53" s="268">
        <f t="shared" si="19"/>
        <v>0</v>
      </c>
      <c r="P53" s="268">
        <f t="shared" si="19"/>
        <v>0</v>
      </c>
      <c r="Q53" s="268">
        <f t="shared" si="19"/>
        <v>0</v>
      </c>
      <c r="R53" s="268">
        <f t="shared" si="19"/>
        <v>0</v>
      </c>
      <c r="S53" s="268">
        <f t="shared" si="19"/>
        <v>0</v>
      </c>
      <c r="T53" s="268">
        <f t="shared" si="19"/>
        <v>0</v>
      </c>
      <c r="U53" s="268">
        <f t="shared" si="19"/>
        <v>0</v>
      </c>
      <c r="V53" s="268">
        <f t="shared" si="19"/>
        <v>0</v>
      </c>
      <c r="W53" s="268">
        <f t="shared" si="19"/>
        <v>0</v>
      </c>
      <c r="X53" s="268">
        <f t="shared" si="19"/>
        <v>0</v>
      </c>
      <c r="Y53" s="268">
        <f t="shared" si="20"/>
        <v>0</v>
      </c>
      <c r="Z53" s="268">
        <f t="shared" si="20"/>
        <v>0</v>
      </c>
      <c r="AA53" s="268">
        <f t="shared" si="20"/>
        <v>0</v>
      </c>
      <c r="AB53" s="268">
        <f t="shared" si="20"/>
        <v>0</v>
      </c>
      <c r="AC53" s="268">
        <f t="shared" si="20"/>
        <v>0</v>
      </c>
      <c r="AD53" s="268">
        <f t="shared" si="20"/>
        <v>0</v>
      </c>
      <c r="AE53" s="268">
        <f t="shared" si="20"/>
        <v>0</v>
      </c>
      <c r="AF53" s="268">
        <f t="shared" si="20"/>
        <v>0</v>
      </c>
      <c r="AG53" s="268">
        <f t="shared" si="20"/>
        <v>0</v>
      </c>
      <c r="AH53" s="268">
        <f t="shared" si="20"/>
        <v>0</v>
      </c>
      <c r="AI53" s="268">
        <f t="shared" si="20"/>
        <v>0</v>
      </c>
      <c r="AJ53" s="268">
        <f t="shared" si="20"/>
        <v>0</v>
      </c>
      <c r="AK53" s="259">
        <f t="shared" si="7"/>
        <v>0</v>
      </c>
      <c r="AL53" s="215">
        <f t="shared" si="25"/>
        <v>0</v>
      </c>
      <c r="AM53" s="216">
        <f t="shared" si="23"/>
        <v>1</v>
      </c>
      <c r="AN53" s="247">
        <f t="shared" si="21"/>
        <v>0</v>
      </c>
      <c r="AO53" s="247">
        <f t="shared" si="21"/>
        <v>0</v>
      </c>
      <c r="AP53" s="247">
        <f t="shared" si="21"/>
        <v>0</v>
      </c>
      <c r="AQ53" s="247">
        <f t="shared" si="21"/>
        <v>0</v>
      </c>
      <c r="AR53" s="247">
        <f t="shared" si="21"/>
        <v>0</v>
      </c>
      <c r="AS53" s="247">
        <f t="shared" si="21"/>
        <v>0</v>
      </c>
      <c r="AT53" s="217">
        <f t="shared" si="8"/>
        <v>23</v>
      </c>
      <c r="AU53" s="256">
        <f t="shared" si="9"/>
        <v>100</v>
      </c>
      <c r="AV53" s="218" t="s">
        <v>886</v>
      </c>
    </row>
    <row r="54" spans="3:48" s="38" customFormat="1" x14ac:dyDescent="0.35">
      <c r="C54" s="418" t="s">
        <v>889</v>
      </c>
      <c r="D54" s="419"/>
      <c r="E54" s="260">
        <f t="shared" ref="E54:AJ54" si="26">SUM(E9:E53)</f>
        <v>0</v>
      </c>
      <c r="F54" s="260">
        <f t="shared" si="26"/>
        <v>0</v>
      </c>
      <c r="G54" s="260">
        <f t="shared" si="26"/>
        <v>0</v>
      </c>
      <c r="H54" s="260">
        <f t="shared" si="26"/>
        <v>0</v>
      </c>
      <c r="I54" s="260">
        <f t="shared" si="26"/>
        <v>0</v>
      </c>
      <c r="J54" s="260">
        <f t="shared" si="26"/>
        <v>0</v>
      </c>
      <c r="K54" s="260">
        <f t="shared" si="26"/>
        <v>0</v>
      </c>
      <c r="L54" s="260">
        <f t="shared" si="26"/>
        <v>0</v>
      </c>
      <c r="M54" s="260">
        <f t="shared" si="26"/>
        <v>0</v>
      </c>
      <c r="N54" s="260">
        <f t="shared" si="26"/>
        <v>0</v>
      </c>
      <c r="O54" s="260">
        <f t="shared" si="26"/>
        <v>0</v>
      </c>
      <c r="P54" s="260">
        <f t="shared" si="26"/>
        <v>0</v>
      </c>
      <c r="Q54" s="260">
        <f t="shared" si="26"/>
        <v>0</v>
      </c>
      <c r="R54" s="260">
        <f t="shared" si="26"/>
        <v>0</v>
      </c>
      <c r="S54" s="260">
        <f t="shared" si="26"/>
        <v>0</v>
      </c>
      <c r="T54" s="260">
        <f t="shared" si="26"/>
        <v>0</v>
      </c>
      <c r="U54" s="260">
        <f t="shared" si="26"/>
        <v>0</v>
      </c>
      <c r="V54" s="260">
        <f t="shared" si="26"/>
        <v>0</v>
      </c>
      <c r="W54" s="260">
        <f t="shared" si="26"/>
        <v>0</v>
      </c>
      <c r="X54" s="260">
        <f t="shared" si="26"/>
        <v>0</v>
      </c>
      <c r="Y54" s="260">
        <f t="shared" si="26"/>
        <v>0</v>
      </c>
      <c r="Z54" s="260">
        <f t="shared" si="26"/>
        <v>0</v>
      </c>
      <c r="AA54" s="260">
        <f t="shared" si="26"/>
        <v>0</v>
      </c>
      <c r="AB54" s="265">
        <f t="shared" si="26"/>
        <v>0</v>
      </c>
      <c r="AC54" s="265">
        <f t="shared" si="26"/>
        <v>0</v>
      </c>
      <c r="AD54" s="265">
        <f t="shared" si="26"/>
        <v>0</v>
      </c>
      <c r="AE54" s="265">
        <f t="shared" si="26"/>
        <v>0</v>
      </c>
      <c r="AF54" s="265">
        <f t="shared" si="26"/>
        <v>0</v>
      </c>
      <c r="AG54" s="265">
        <f t="shared" si="26"/>
        <v>0</v>
      </c>
      <c r="AH54" s="265">
        <f t="shared" si="26"/>
        <v>0</v>
      </c>
      <c r="AI54" s="265">
        <f t="shared" si="26"/>
        <v>0</v>
      </c>
      <c r="AJ54" s="266">
        <f t="shared" si="26"/>
        <v>0</v>
      </c>
      <c r="AK54" s="280"/>
      <c r="AL54" s="281"/>
      <c r="AM54" s="282"/>
      <c r="AN54" s="283"/>
      <c r="AO54" s="283"/>
      <c r="AP54" s="283"/>
      <c r="AQ54" s="283"/>
      <c r="AR54" s="283"/>
      <c r="AS54" s="283"/>
      <c r="AT54" s="283"/>
      <c r="AU54" s="283"/>
      <c r="AV54" s="284"/>
    </row>
    <row r="55" spans="3:48" s="38" customFormat="1" ht="18.75" thickBot="1" x14ac:dyDescent="0.45">
      <c r="C55" s="416" t="s">
        <v>890</v>
      </c>
      <c r="D55" s="417"/>
      <c r="E55" s="39">
        <f>SUM($E$54/$AN$4)</f>
        <v>0</v>
      </c>
      <c r="F55" s="39">
        <f>SUM($F$54/$AN$4)</f>
        <v>0</v>
      </c>
      <c r="G55" s="39">
        <f>SUM($G$54/$AN$4)</f>
        <v>0</v>
      </c>
      <c r="H55" s="39">
        <f>SUM($H$54/$AN$4)</f>
        <v>0</v>
      </c>
      <c r="I55" s="39">
        <f>SUM($I$54/$AN$4)</f>
        <v>0</v>
      </c>
      <c r="J55" s="39">
        <f>SUM($J$54/$AN$4)</f>
        <v>0</v>
      </c>
      <c r="K55" s="39">
        <f>SUM($K$54/$AN$4)</f>
        <v>0</v>
      </c>
      <c r="L55" s="39">
        <f>SUM($L$54/$AN$4)</f>
        <v>0</v>
      </c>
      <c r="M55" s="39">
        <f>SUM($M$54/$AN$4)</f>
        <v>0</v>
      </c>
      <c r="N55" s="39">
        <f>SUM($N$54/$AN$4)</f>
        <v>0</v>
      </c>
      <c r="O55" s="39">
        <f>SUM($O$54/$AN$4)</f>
        <v>0</v>
      </c>
      <c r="P55" s="39">
        <f>SUM($P$54/$AN$4)</f>
        <v>0</v>
      </c>
      <c r="Q55" s="39">
        <f>SUM($Q$54/$AN$4)</f>
        <v>0</v>
      </c>
      <c r="R55" s="39">
        <f>SUM($R$54/$AN$4)</f>
        <v>0</v>
      </c>
      <c r="S55" s="39">
        <f>SUM($S$54/$AN$4)</f>
        <v>0</v>
      </c>
      <c r="T55" s="39">
        <f>SUM($T$54/$AN$4)</f>
        <v>0</v>
      </c>
      <c r="U55" s="39">
        <f>SUM($U$54/$AN$4)</f>
        <v>0</v>
      </c>
      <c r="V55" s="39">
        <f>SUM($V$54/$AN$4)</f>
        <v>0</v>
      </c>
      <c r="W55" s="39">
        <f>SUM($W$54/$AN$4)</f>
        <v>0</v>
      </c>
      <c r="X55" s="39">
        <f>SUM($X$54/$AN$4)</f>
        <v>0</v>
      </c>
      <c r="Y55" s="39">
        <f>SUM($Y$54/$AN$4)</f>
        <v>0</v>
      </c>
      <c r="Z55" s="39">
        <f>SUM($Z$54/$AN$4)</f>
        <v>0</v>
      </c>
      <c r="AA55" s="39">
        <f>SUM($AA$54/$AN$4)</f>
        <v>0</v>
      </c>
      <c r="AB55" s="39">
        <f>SUM($AB$54/$AN$4)</f>
        <v>0</v>
      </c>
      <c r="AC55" s="39">
        <f t="shared" ref="AC55:AJ55" si="27">SUM(AC54/$AN$4)</f>
        <v>0</v>
      </c>
      <c r="AD55" s="39">
        <f t="shared" si="27"/>
        <v>0</v>
      </c>
      <c r="AE55" s="39">
        <f t="shared" si="27"/>
        <v>0</v>
      </c>
      <c r="AF55" s="39">
        <f t="shared" si="27"/>
        <v>0</v>
      </c>
      <c r="AG55" s="39">
        <f t="shared" si="27"/>
        <v>0</v>
      </c>
      <c r="AH55" s="39">
        <f t="shared" si="27"/>
        <v>0</v>
      </c>
      <c r="AI55" s="39">
        <f t="shared" si="27"/>
        <v>0</v>
      </c>
      <c r="AJ55" s="40">
        <f t="shared" si="27"/>
        <v>0</v>
      </c>
      <c r="AK55" s="285"/>
      <c r="AL55" s="286"/>
      <c r="AM55" s="287"/>
      <c r="AN55" s="288"/>
      <c r="AO55" s="288"/>
      <c r="AP55" s="288"/>
      <c r="AQ55" s="288"/>
      <c r="AR55" s="288"/>
      <c r="AS55" s="288"/>
      <c r="AT55" s="288"/>
      <c r="AU55" s="288"/>
      <c r="AV55" s="289"/>
    </row>
    <row r="56" spans="3:48" s="547" customFormat="1" x14ac:dyDescent="0.35">
      <c r="E56" s="547">
        <v>1</v>
      </c>
      <c r="F56" s="547">
        <v>2</v>
      </c>
      <c r="G56" s="547">
        <v>3</v>
      </c>
      <c r="H56" s="547">
        <v>4</v>
      </c>
      <c r="I56" s="547">
        <v>5</v>
      </c>
      <c r="J56" s="547">
        <v>6</v>
      </c>
      <c r="K56" s="547">
        <v>7</v>
      </c>
      <c r="L56" s="547">
        <v>8</v>
      </c>
      <c r="M56" s="547">
        <v>9</v>
      </c>
      <c r="N56" s="547">
        <v>10</v>
      </c>
      <c r="O56" s="547">
        <v>11</v>
      </c>
      <c r="P56" s="547">
        <v>12</v>
      </c>
      <c r="Q56" s="547">
        <v>13</v>
      </c>
      <c r="R56" s="547">
        <v>14</v>
      </c>
      <c r="S56" s="547">
        <v>15</v>
      </c>
      <c r="T56" s="547">
        <v>16</v>
      </c>
      <c r="U56" s="547">
        <v>17</v>
      </c>
      <c r="V56" s="547">
        <v>18</v>
      </c>
      <c r="W56" s="547">
        <v>19</v>
      </c>
      <c r="X56" s="547">
        <v>20</v>
      </c>
      <c r="Y56" s="547">
        <v>21</v>
      </c>
      <c r="Z56" s="547">
        <v>22</v>
      </c>
      <c r="AA56" s="547">
        <v>23</v>
      </c>
      <c r="AB56" s="547">
        <v>24</v>
      </c>
      <c r="AC56" s="547">
        <v>25</v>
      </c>
      <c r="AD56" s="547">
        <v>26</v>
      </c>
      <c r="AE56" s="547">
        <v>27</v>
      </c>
      <c r="AF56" s="547">
        <v>28</v>
      </c>
      <c r="AG56" s="547">
        <v>29</v>
      </c>
      <c r="AH56" s="547">
        <v>30</v>
      </c>
      <c r="AI56" s="547">
        <v>31</v>
      </c>
      <c r="AJ56" s="547">
        <v>32</v>
      </c>
      <c r="AK56" s="548"/>
      <c r="AL56" s="548"/>
      <c r="AV56" s="549"/>
    </row>
    <row r="57" spans="3:48" s="547" customFormat="1" x14ac:dyDescent="0.35">
      <c r="E57" s="547">
        <v>9</v>
      </c>
      <c r="F57" s="547">
        <v>10</v>
      </c>
      <c r="G57" s="547">
        <v>11</v>
      </c>
      <c r="H57" s="41">
        <v>15</v>
      </c>
      <c r="I57" s="41">
        <v>19</v>
      </c>
      <c r="J57" s="41">
        <v>23</v>
      </c>
      <c r="K57" s="41">
        <v>27</v>
      </c>
      <c r="L57" s="41">
        <v>31</v>
      </c>
      <c r="M57" s="41">
        <v>35</v>
      </c>
      <c r="N57" s="41">
        <v>39</v>
      </c>
      <c r="O57" s="41">
        <v>43</v>
      </c>
      <c r="P57" s="41">
        <v>47</v>
      </c>
      <c r="Q57" s="41">
        <v>51</v>
      </c>
      <c r="R57" s="41">
        <v>55</v>
      </c>
      <c r="S57" s="41">
        <v>59</v>
      </c>
      <c r="T57" s="41">
        <v>63</v>
      </c>
      <c r="U57" s="41">
        <v>67</v>
      </c>
      <c r="V57" s="41">
        <v>71</v>
      </c>
      <c r="W57" s="41">
        <v>75</v>
      </c>
      <c r="X57" s="41">
        <v>79</v>
      </c>
      <c r="Y57" s="41">
        <v>83</v>
      </c>
      <c r="Z57" s="41">
        <v>87</v>
      </c>
      <c r="AA57" s="41">
        <v>91</v>
      </c>
      <c r="AB57" s="41">
        <v>95</v>
      </c>
      <c r="AC57" s="41">
        <v>99</v>
      </c>
      <c r="AD57" s="41">
        <v>103</v>
      </c>
      <c r="AE57" s="41">
        <v>107</v>
      </c>
      <c r="AF57" s="41">
        <v>111</v>
      </c>
      <c r="AG57" s="41">
        <v>115</v>
      </c>
      <c r="AH57" s="41">
        <v>119</v>
      </c>
      <c r="AI57" s="41">
        <v>123</v>
      </c>
      <c r="AJ57" s="41">
        <v>127</v>
      </c>
      <c r="AN57" s="547">
        <v>3</v>
      </c>
      <c r="AO57" s="547">
        <v>4</v>
      </c>
      <c r="AP57" s="547">
        <v>5</v>
      </c>
      <c r="AQ57" s="547">
        <v>6</v>
      </c>
      <c r="AR57" s="547">
        <v>7</v>
      </c>
      <c r="AS57" s="547">
        <v>8</v>
      </c>
    </row>
    <row r="58" spans="3:48" x14ac:dyDescent="0.35">
      <c r="H58" s="41">
        <v>15</v>
      </c>
      <c r="AA58" s="42"/>
      <c r="AK58" s="331"/>
    </row>
    <row r="59" spans="3:48" x14ac:dyDescent="0.35">
      <c r="H59" s="41">
        <v>19</v>
      </c>
      <c r="AA59" s="330"/>
    </row>
    <row r="60" spans="3:48" x14ac:dyDescent="0.35">
      <c r="H60" s="41">
        <v>23</v>
      </c>
    </row>
    <row r="61" spans="3:48" x14ac:dyDescent="0.35">
      <c r="H61" s="41">
        <v>27</v>
      </c>
    </row>
    <row r="62" spans="3:48" x14ac:dyDescent="0.35">
      <c r="H62" s="41">
        <v>31</v>
      </c>
    </row>
    <row r="63" spans="3:48" x14ac:dyDescent="0.35">
      <c r="H63" s="41">
        <v>35</v>
      </c>
    </row>
    <row r="64" spans="3:48" x14ac:dyDescent="0.35">
      <c r="H64" s="41">
        <v>39</v>
      </c>
    </row>
    <row r="65" spans="8:8" x14ac:dyDescent="0.35">
      <c r="H65" s="41">
        <v>43</v>
      </c>
    </row>
    <row r="66" spans="8:8" x14ac:dyDescent="0.35">
      <c r="H66" s="41">
        <v>47</v>
      </c>
    </row>
    <row r="67" spans="8:8" x14ac:dyDescent="0.35">
      <c r="H67" s="41">
        <v>51</v>
      </c>
    </row>
    <row r="68" spans="8:8" x14ac:dyDescent="0.35">
      <c r="H68" s="41">
        <v>55</v>
      </c>
    </row>
    <row r="69" spans="8:8" x14ac:dyDescent="0.35">
      <c r="H69" s="41">
        <v>59</v>
      </c>
    </row>
    <row r="70" spans="8:8" x14ac:dyDescent="0.35">
      <c r="H70" s="41">
        <v>63</v>
      </c>
    </row>
    <row r="71" spans="8:8" x14ac:dyDescent="0.35">
      <c r="H71" s="41">
        <v>67</v>
      </c>
    </row>
    <row r="72" spans="8:8" x14ac:dyDescent="0.35">
      <c r="H72" s="41">
        <v>71</v>
      </c>
    </row>
    <row r="73" spans="8:8" x14ac:dyDescent="0.35">
      <c r="H73" s="41">
        <v>75</v>
      </c>
    </row>
    <row r="74" spans="8:8" x14ac:dyDescent="0.35">
      <c r="H74" s="41">
        <v>79</v>
      </c>
    </row>
    <row r="75" spans="8:8" x14ac:dyDescent="0.35">
      <c r="H75" s="41">
        <v>83</v>
      </c>
    </row>
    <row r="76" spans="8:8" x14ac:dyDescent="0.35">
      <c r="H76" s="41">
        <v>87</v>
      </c>
    </row>
    <row r="77" spans="8:8" x14ac:dyDescent="0.35">
      <c r="H77" s="41">
        <v>91</v>
      </c>
    </row>
    <row r="78" spans="8:8" x14ac:dyDescent="0.35">
      <c r="H78" s="41">
        <v>95</v>
      </c>
    </row>
    <row r="79" spans="8:8" x14ac:dyDescent="0.35">
      <c r="H79" s="41">
        <v>99</v>
      </c>
    </row>
    <row r="80" spans="8:8" x14ac:dyDescent="0.35">
      <c r="H80" s="41">
        <v>103</v>
      </c>
    </row>
    <row r="81" spans="8:8" x14ac:dyDescent="0.35">
      <c r="H81" s="41">
        <v>107</v>
      </c>
    </row>
    <row r="82" spans="8:8" x14ac:dyDescent="0.35">
      <c r="H82" s="41">
        <v>111</v>
      </c>
    </row>
    <row r="83" spans="8:8" x14ac:dyDescent="0.35">
      <c r="H83" s="41">
        <v>115</v>
      </c>
    </row>
    <row r="84" spans="8:8" x14ac:dyDescent="0.35">
      <c r="H84" s="41">
        <v>119</v>
      </c>
    </row>
    <row r="85" spans="8:8" x14ac:dyDescent="0.35">
      <c r="H85" s="41">
        <v>123</v>
      </c>
    </row>
    <row r="86" spans="8:8" x14ac:dyDescent="0.35">
      <c r="H86" s="41">
        <v>127</v>
      </c>
    </row>
  </sheetData>
  <sheetProtection formatCells="0" formatColumns="0" formatRows="0" insertColumns="0" insertRows="0" insertHyperlinks="0" deleteColumns="0" deleteRows="0" sort="0" autoFilter="0" pivotTables="0"/>
  <customSheetViews>
    <customSheetView guid="{D6876842-41DE-4A2D-BA5A-3FB60505F493}" showPageBreaks="1" printArea="1" view="pageBreakPreview">
      <pane ySplit="1" topLeftCell="A2" activePane="bottomLeft" state="frozen"/>
      <selection pane="bottomLeft" activeCell="C2" sqref="C2:AL2"/>
      <pageMargins left="1.38" right="1.41" top="0.39" bottom="0.43" header="0.41" footer="0.46"/>
      <printOptions horizontalCentered="1"/>
      <pageSetup paperSize="5" scale="80" orientation="landscape" horizontalDpi="4294967294" verticalDpi="4294967294" r:id="rId1"/>
    </customSheetView>
    <customSheetView guid="{EAA758B6-7AEC-45F7-937A-E71BA55957BB}" scale="91" showGridLines="0" showRowCol="0" zeroValues="0" printArea="1" view="pageBreakPreview" topLeftCell="B1">
      <pane ySplit="1" topLeftCell="A2" activePane="bottomLeft" state="frozen"/>
      <selection pane="bottomLeft" activeCell="AD51" sqref="AD51"/>
      <pageMargins left="0.53" right="1.41" top="0.39" bottom="0.43" header="0.41" footer="0.46"/>
      <printOptions horizontalCentered="1"/>
      <pageSetup paperSize="5" scale="80" orientation="landscape" horizontalDpi="4294967294" verticalDpi="4294967294" r:id="rId2"/>
    </customSheetView>
    <customSheetView guid="{9E5BF7AF-C1C4-4AED-923E-F8A9FE973BF3}" showPageBreaks="1" showGridLines="0" showRowCol="0" printArea="1" hiddenRows="1" hiddenColumns="1" view="pageBreakPreview" topLeftCell="B2">
      <selection activeCell="E2" sqref="E2:BA2"/>
      <colBreaks count="1" manualBreakCount="1">
        <brk id="54" max="62" man="1"/>
      </colBreaks>
      <pageMargins left="0.70866141732283472" right="0.70866141732283472" top="0.74803149606299213" bottom="0.74803149606299213" header="0.31496062992125984" footer="0.31496062992125984"/>
      <pageSetup paperSize="5" scale="58" orientation="landscape" r:id="rId3"/>
    </customSheetView>
  </customSheetViews>
  <mergeCells count="56">
    <mergeCell ref="T7:T8"/>
    <mergeCell ref="Y7:Y8"/>
    <mergeCell ref="Z7:Z8"/>
    <mergeCell ref="AA7:AA8"/>
    <mergeCell ref="U7:U8"/>
    <mergeCell ref="V7:V8"/>
    <mergeCell ref="W7:W8"/>
    <mergeCell ref="X7:X8"/>
    <mergeCell ref="AI7:AI8"/>
    <mergeCell ref="AJ7:AJ8"/>
    <mergeCell ref="F7:F8"/>
    <mergeCell ref="G7:G8"/>
    <mergeCell ref="H7:H8"/>
    <mergeCell ref="I7:I8"/>
    <mergeCell ref="J7:J8"/>
    <mergeCell ref="K7:K8"/>
    <mergeCell ref="L7:L8"/>
    <mergeCell ref="M7:M8"/>
    <mergeCell ref="N7:N8"/>
    <mergeCell ref="O7:O8"/>
    <mergeCell ref="Q7:Q8"/>
    <mergeCell ref="R7:R8"/>
    <mergeCell ref="P7:P8"/>
    <mergeCell ref="S7:S8"/>
    <mergeCell ref="C55:D55"/>
    <mergeCell ref="C54:D54"/>
    <mergeCell ref="AN3:AP3"/>
    <mergeCell ref="AP4:AU4"/>
    <mergeCell ref="AP5:AU5"/>
    <mergeCell ref="AN5:AO5"/>
    <mergeCell ref="C3:AL3"/>
    <mergeCell ref="D5:D8"/>
    <mergeCell ref="C5:C8"/>
    <mergeCell ref="H5:AJ5"/>
    <mergeCell ref="E7:E8"/>
    <mergeCell ref="AB7:AB8"/>
    <mergeCell ref="AC7:AC8"/>
    <mergeCell ref="AD7:AD8"/>
    <mergeCell ref="AF7:AF8"/>
    <mergeCell ref="AG7:AG8"/>
    <mergeCell ref="C2:AL2"/>
    <mergeCell ref="E5:G5"/>
    <mergeCell ref="AN4:AO4"/>
    <mergeCell ref="AU8:AV8"/>
    <mergeCell ref="AQ6:AQ8"/>
    <mergeCell ref="AP6:AP8"/>
    <mergeCell ref="AT6:AV7"/>
    <mergeCell ref="AS6:AS8"/>
    <mergeCell ref="AR6:AR8"/>
    <mergeCell ref="AO6:AO8"/>
    <mergeCell ref="AN6:AN8"/>
    <mergeCell ref="AM6:AM8"/>
    <mergeCell ref="AK6:AK8"/>
    <mergeCell ref="AL6:AL8"/>
    <mergeCell ref="AE7:AE8"/>
    <mergeCell ref="AH7:AH8"/>
  </mergeCells>
  <phoneticPr fontId="0" type="noConversion"/>
  <conditionalFormatting sqref="E9:AJ53">
    <cfRule type="cellIs" dxfId="5" priority="5" operator="lessThan">
      <formula>#REF!</formula>
    </cfRule>
  </conditionalFormatting>
  <conditionalFormatting sqref="E9:AJ53">
    <cfRule type="cellIs" dxfId="4" priority="2" operator="lessThan">
      <formula>4.5</formula>
    </cfRule>
  </conditionalFormatting>
  <conditionalFormatting sqref="E9:AJ53">
    <cfRule type="cellIs" dxfId="3" priority="1" operator="lessThan">
      <formula>5</formula>
    </cfRule>
  </conditionalFormatting>
  <dataValidations count="1">
    <dataValidation type="custom" allowBlank="1" showInputMessage="1" showErrorMessage="1" errorTitle="Digital Rapot v.4.1" error="Tidak di perbolehkan ..." sqref="C2:AV55">
      <formula1>","</formula1>
    </dataValidation>
  </dataValidations>
  <printOptions horizontalCentered="1"/>
  <pageMargins left="1.38" right="1.41" top="0.39" bottom="0.43" header="0.41" footer="0.46"/>
  <pageSetup paperSize="5" scale="80" orientation="landscape" horizontalDpi="4294967294" verticalDpi="4294967294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7" name="Button 1">
              <controlPr defaultSize="0" print="0" autoFill="0" autoPict="0" macro="[0]!HideColom">
                <anchor moveWithCells="1" sizeWithCells="1">
                  <from>
                    <xdr:col>13</xdr:col>
                    <xdr:colOff>19050</xdr:colOff>
                    <xdr:row>0</xdr:row>
                    <xdr:rowOff>390525</xdr:rowOff>
                  </from>
                  <to>
                    <xdr:col>17</xdr:col>
                    <xdr:colOff>266700</xdr:colOff>
                    <xdr:row>0</xdr:row>
                    <xdr:rowOff>657225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8" name="Button 3">
              <controlPr defaultSize="0" print="0" autoFill="0" autoPict="0" macro="[0]!Top">
                <anchor moveWithCells="1" sizeWithCells="1">
                  <from>
                    <xdr:col>13</xdr:col>
                    <xdr:colOff>19050</xdr:colOff>
                    <xdr:row>0</xdr:row>
                    <xdr:rowOff>85725</xdr:rowOff>
                  </from>
                  <to>
                    <xdr:col>17</xdr:col>
                    <xdr:colOff>266700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9" name="Drop Down 4">
              <controlPr defaultSize="0" autoLine="0" autoPict="0">
                <anchor moveWithCells="1">
                  <from>
                    <xdr:col>18</xdr:col>
                    <xdr:colOff>28575</xdr:colOff>
                    <xdr:row>0</xdr:row>
                    <xdr:rowOff>95250</xdr:rowOff>
                  </from>
                  <to>
                    <xdr:col>21</xdr:col>
                    <xdr:colOff>247650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O611"/>
  <sheetViews>
    <sheetView zoomScale="118" zoomScaleNormal="118" workbookViewId="0">
      <pane xSplit="3" ySplit="6" topLeftCell="DC7" activePane="bottomRight" state="frozen"/>
      <selection pane="topRight" activeCell="D1" sqref="D1"/>
      <selection pane="bottomLeft" activeCell="A7" sqref="A7"/>
      <selection pane="bottomRight" activeCell="A4" sqref="A4:XFD4"/>
    </sheetView>
  </sheetViews>
  <sheetFormatPr defaultRowHeight="15" x14ac:dyDescent="0.25"/>
  <cols>
    <col min="1" max="1" width="3.28515625" style="532" customWidth="1"/>
    <col min="2" max="2" width="9.140625" style="335"/>
    <col min="3" max="3" width="22" style="532" bestFit="1" customWidth="1"/>
    <col min="4" max="9" width="5" style="335" customWidth="1"/>
    <col min="10" max="39" width="7" style="533" customWidth="1"/>
    <col min="40" max="40" width="7" style="534" customWidth="1"/>
    <col min="41" max="43" width="7" style="533" customWidth="1"/>
    <col min="44" max="44" width="7" style="534" customWidth="1"/>
    <col min="45" max="47" width="7" style="533" customWidth="1"/>
    <col min="48" max="48" width="7" style="534" customWidth="1"/>
    <col min="49" max="51" width="7" style="533" customWidth="1"/>
    <col min="52" max="52" width="7" style="534" customWidth="1"/>
    <col min="53" max="55" width="7" style="533" customWidth="1"/>
    <col min="56" max="56" width="7" style="534" customWidth="1"/>
    <col min="57" max="59" width="7" style="533" customWidth="1"/>
    <col min="60" max="60" width="7" style="534" customWidth="1"/>
    <col min="61" max="63" width="7" style="533" customWidth="1"/>
    <col min="64" max="64" width="7" style="534" customWidth="1"/>
    <col min="65" max="67" width="7" style="533" customWidth="1"/>
    <col min="68" max="68" width="7" style="534" customWidth="1"/>
    <col min="69" max="71" width="7" style="533" customWidth="1"/>
    <col min="72" max="72" width="7" style="534" customWidth="1"/>
    <col min="73" max="75" width="7" style="533" customWidth="1"/>
    <col min="76" max="76" width="7" style="534" customWidth="1"/>
    <col min="77" max="79" width="7" style="533" customWidth="1"/>
    <col min="80" max="80" width="7" style="534" customWidth="1"/>
    <col min="81" max="83" width="7" style="533" customWidth="1"/>
    <col min="84" max="84" width="7" style="532" customWidth="1"/>
    <col min="85" max="87" width="7" style="533" customWidth="1"/>
    <col min="88" max="88" width="7" style="532" customWidth="1"/>
    <col min="89" max="91" width="7" style="533" customWidth="1"/>
    <col min="92" max="92" width="7" style="532" customWidth="1"/>
    <col min="93" max="95" width="7" style="533" customWidth="1"/>
    <col min="96" max="96" width="7" style="532" customWidth="1"/>
    <col min="97" max="99" width="7" style="533" customWidth="1"/>
    <col min="100" max="100" width="7" style="532" customWidth="1"/>
    <col min="101" max="103" width="7" style="533" customWidth="1"/>
    <col min="104" max="104" width="7" style="532" customWidth="1"/>
    <col min="105" max="107" width="7" style="533" customWidth="1"/>
    <col min="108" max="108" width="7" style="532" customWidth="1"/>
    <col min="109" max="111" width="7" style="533" customWidth="1"/>
    <col min="112" max="112" width="7" style="532" customWidth="1"/>
    <col min="113" max="115" width="7" style="533" customWidth="1"/>
    <col min="116" max="116" width="7" style="532" customWidth="1"/>
    <col min="117" max="119" width="7" style="533" customWidth="1"/>
    <col min="120" max="130" width="7" style="532" customWidth="1"/>
    <col min="131" max="16384" width="9.140625" style="532"/>
  </cols>
  <sheetData>
    <row r="1" spans="1:171" x14ac:dyDescent="0.25">
      <c r="A1" s="532">
        <v>1</v>
      </c>
      <c r="B1" s="335">
        <f>VLOOKUP(A1,TabelKelas,4)</f>
        <v>0</v>
      </c>
      <c r="EA1" s="533"/>
    </row>
    <row r="3" spans="1:171" ht="54.75" customHeight="1" x14ac:dyDescent="0.25"/>
    <row r="4" spans="1:171" ht="15.75" customHeight="1" x14ac:dyDescent="0.25">
      <c r="J4" s="533">
        <v>1</v>
      </c>
      <c r="K4" s="533">
        <v>2</v>
      </c>
      <c r="L4" s="533">
        <v>3</v>
      </c>
      <c r="P4" s="533">
        <v>4</v>
      </c>
      <c r="T4" s="533">
        <v>5</v>
      </c>
      <c r="X4" s="533">
        <v>6</v>
      </c>
      <c r="AB4" s="533">
        <v>7</v>
      </c>
      <c r="AF4" s="533">
        <v>8</v>
      </c>
      <c r="AJ4" s="533">
        <v>9</v>
      </c>
      <c r="AN4" s="534">
        <v>10</v>
      </c>
      <c r="AR4" s="534">
        <v>11</v>
      </c>
      <c r="AV4" s="534">
        <v>12</v>
      </c>
      <c r="AZ4" s="534">
        <v>13</v>
      </c>
      <c r="BD4" s="534">
        <v>14</v>
      </c>
      <c r="BH4" s="534">
        <v>15</v>
      </c>
      <c r="BL4" s="534">
        <v>16</v>
      </c>
      <c r="BP4" s="534">
        <v>17</v>
      </c>
      <c r="BT4" s="534">
        <v>18</v>
      </c>
      <c r="BX4" s="534">
        <v>19</v>
      </c>
      <c r="CB4" s="534">
        <v>20</v>
      </c>
      <c r="CF4" s="534">
        <v>21</v>
      </c>
      <c r="CJ4" s="534">
        <v>22</v>
      </c>
      <c r="CN4" s="534">
        <v>23</v>
      </c>
      <c r="CR4" s="534">
        <v>24</v>
      </c>
      <c r="CV4" s="534">
        <v>25</v>
      </c>
      <c r="CZ4" s="534">
        <v>26</v>
      </c>
      <c r="DD4" s="534">
        <v>27</v>
      </c>
      <c r="DH4" s="534">
        <v>28</v>
      </c>
      <c r="DL4" s="534">
        <v>29</v>
      </c>
      <c r="DP4" s="534">
        <v>30</v>
      </c>
      <c r="DQ4" s="534">
        <v>31</v>
      </c>
      <c r="DR4" s="534">
        <v>32</v>
      </c>
      <c r="DS4" s="534">
        <v>33</v>
      </c>
      <c r="DT4" s="534">
        <v>34</v>
      </c>
      <c r="DU4" s="534">
        <v>35</v>
      </c>
      <c r="DV4" s="534">
        <v>36</v>
      </c>
      <c r="DW4" s="534">
        <v>37</v>
      </c>
      <c r="DX4" s="534">
        <v>38</v>
      </c>
      <c r="DY4" s="534">
        <v>39</v>
      </c>
      <c r="DZ4" s="534">
        <v>40</v>
      </c>
    </row>
    <row r="5" spans="1:171" ht="20.25" customHeight="1" x14ac:dyDescent="0.25">
      <c r="M5" s="533" t="s">
        <v>8692</v>
      </c>
      <c r="N5" s="533" t="s">
        <v>8693</v>
      </c>
      <c r="O5" s="533" t="s">
        <v>8694</v>
      </c>
      <c r="P5" s="533" t="s">
        <v>8695</v>
      </c>
      <c r="Q5" s="533" t="s">
        <v>8692</v>
      </c>
      <c r="R5" s="533" t="s">
        <v>8693</v>
      </c>
      <c r="S5" s="533" t="s">
        <v>8694</v>
      </c>
      <c r="T5" s="533" t="s">
        <v>8695</v>
      </c>
      <c r="U5" s="533" t="s">
        <v>8692</v>
      </c>
      <c r="V5" s="533" t="s">
        <v>8693</v>
      </c>
      <c r="W5" s="533" t="s">
        <v>8694</v>
      </c>
      <c r="X5" s="533" t="s">
        <v>8695</v>
      </c>
      <c r="Y5" s="533" t="s">
        <v>8692</v>
      </c>
      <c r="Z5" s="533" t="s">
        <v>8693</v>
      </c>
      <c r="AA5" s="533" t="s">
        <v>8694</v>
      </c>
      <c r="AB5" s="533" t="s">
        <v>8695</v>
      </c>
      <c r="AC5" s="533" t="s">
        <v>8692</v>
      </c>
      <c r="AD5" s="533" t="s">
        <v>8693</v>
      </c>
      <c r="AE5" s="533" t="s">
        <v>8694</v>
      </c>
      <c r="AF5" s="533" t="s">
        <v>8695</v>
      </c>
      <c r="AG5" s="533" t="s">
        <v>8692</v>
      </c>
      <c r="AH5" s="533" t="s">
        <v>8693</v>
      </c>
      <c r="AI5" s="533" t="s">
        <v>8694</v>
      </c>
      <c r="AJ5" s="533" t="s">
        <v>8695</v>
      </c>
      <c r="AK5" s="533" t="s">
        <v>8692</v>
      </c>
      <c r="AL5" s="533" t="s">
        <v>8693</v>
      </c>
      <c r="AM5" s="533" t="s">
        <v>8694</v>
      </c>
      <c r="AN5" s="533" t="s">
        <v>8695</v>
      </c>
      <c r="AO5" s="533" t="s">
        <v>8692</v>
      </c>
      <c r="AP5" s="533" t="s">
        <v>8693</v>
      </c>
      <c r="AQ5" s="533" t="s">
        <v>8694</v>
      </c>
      <c r="AR5" s="533" t="s">
        <v>8695</v>
      </c>
      <c r="AS5" s="533" t="s">
        <v>8692</v>
      </c>
      <c r="AT5" s="533" t="s">
        <v>8693</v>
      </c>
      <c r="AU5" s="533" t="s">
        <v>8694</v>
      </c>
      <c r="AV5" s="533" t="s">
        <v>8695</v>
      </c>
      <c r="AW5" s="533" t="s">
        <v>8692</v>
      </c>
      <c r="AX5" s="533" t="s">
        <v>8693</v>
      </c>
      <c r="AY5" s="533" t="s">
        <v>8694</v>
      </c>
      <c r="AZ5" s="533" t="s">
        <v>8695</v>
      </c>
      <c r="BA5" s="533" t="s">
        <v>8692</v>
      </c>
      <c r="BB5" s="533" t="s">
        <v>8693</v>
      </c>
      <c r="BC5" s="533" t="s">
        <v>8694</v>
      </c>
      <c r="BD5" s="533" t="s">
        <v>8695</v>
      </c>
      <c r="BE5" s="533" t="s">
        <v>8692</v>
      </c>
      <c r="BF5" s="533" t="s">
        <v>8693</v>
      </c>
      <c r="BG5" s="533" t="s">
        <v>8694</v>
      </c>
      <c r="BH5" s="533" t="s">
        <v>8695</v>
      </c>
      <c r="BI5" s="533" t="s">
        <v>8692</v>
      </c>
      <c r="BJ5" s="533" t="s">
        <v>8693</v>
      </c>
      <c r="BK5" s="533" t="s">
        <v>8694</v>
      </c>
      <c r="BL5" s="533" t="s">
        <v>8695</v>
      </c>
      <c r="BM5" s="533" t="s">
        <v>8692</v>
      </c>
      <c r="BN5" s="533" t="s">
        <v>8693</v>
      </c>
      <c r="BO5" s="533" t="s">
        <v>8694</v>
      </c>
      <c r="BP5" s="533" t="s">
        <v>8695</v>
      </c>
      <c r="BQ5" s="533" t="s">
        <v>8692</v>
      </c>
      <c r="BR5" s="533" t="s">
        <v>8693</v>
      </c>
      <c r="BS5" s="533" t="s">
        <v>8694</v>
      </c>
      <c r="BT5" s="533" t="s">
        <v>8695</v>
      </c>
      <c r="BU5" s="533" t="s">
        <v>8692</v>
      </c>
      <c r="BV5" s="533" t="s">
        <v>8693</v>
      </c>
      <c r="BW5" s="533" t="s">
        <v>8694</v>
      </c>
      <c r="BX5" s="533" t="s">
        <v>8695</v>
      </c>
      <c r="BY5" s="533" t="s">
        <v>8692</v>
      </c>
      <c r="BZ5" s="533" t="s">
        <v>8693</v>
      </c>
      <c r="CA5" s="533" t="s">
        <v>8694</v>
      </c>
      <c r="CB5" s="533" t="s">
        <v>8695</v>
      </c>
      <c r="CC5" s="533" t="s">
        <v>8692</v>
      </c>
      <c r="CD5" s="533" t="s">
        <v>8693</v>
      </c>
      <c r="CE5" s="533" t="s">
        <v>8694</v>
      </c>
      <c r="CF5" s="533" t="s">
        <v>8695</v>
      </c>
      <c r="CG5" s="533" t="s">
        <v>8692</v>
      </c>
      <c r="CH5" s="533" t="s">
        <v>8693</v>
      </c>
      <c r="CI5" s="533" t="s">
        <v>8694</v>
      </c>
      <c r="CJ5" s="533" t="s">
        <v>8695</v>
      </c>
      <c r="CK5" s="533" t="s">
        <v>8692</v>
      </c>
      <c r="CL5" s="533" t="s">
        <v>8693</v>
      </c>
      <c r="CM5" s="533" t="s">
        <v>8694</v>
      </c>
      <c r="CN5" s="533" t="s">
        <v>8695</v>
      </c>
      <c r="CO5" s="533" t="s">
        <v>8692</v>
      </c>
      <c r="CP5" s="533" t="s">
        <v>8693</v>
      </c>
      <c r="CQ5" s="533" t="s">
        <v>8694</v>
      </c>
      <c r="CR5" s="533" t="s">
        <v>8695</v>
      </c>
      <c r="CS5" s="533" t="s">
        <v>8692</v>
      </c>
      <c r="CT5" s="533" t="s">
        <v>8693</v>
      </c>
      <c r="CU5" s="533" t="s">
        <v>8694</v>
      </c>
      <c r="CV5" s="533" t="s">
        <v>8695</v>
      </c>
      <c r="CW5" s="533" t="s">
        <v>8692</v>
      </c>
      <c r="CX5" s="533" t="s">
        <v>8693</v>
      </c>
      <c r="CY5" s="533" t="s">
        <v>8694</v>
      </c>
      <c r="CZ5" s="533" t="s">
        <v>8695</v>
      </c>
      <c r="DA5" s="533" t="s">
        <v>8692</v>
      </c>
      <c r="DB5" s="533" t="s">
        <v>8693</v>
      </c>
      <c r="DC5" s="533" t="s">
        <v>8694</v>
      </c>
      <c r="DD5" s="533" t="s">
        <v>8695</v>
      </c>
      <c r="DE5" s="533" t="s">
        <v>8692</v>
      </c>
      <c r="DF5" s="533" t="s">
        <v>8693</v>
      </c>
      <c r="DG5" s="533" t="s">
        <v>8694</v>
      </c>
      <c r="DH5" s="535"/>
      <c r="DI5" s="533" t="s">
        <v>8692</v>
      </c>
      <c r="DJ5" s="533" t="s">
        <v>8693</v>
      </c>
      <c r="DK5" s="533" t="s">
        <v>8694</v>
      </c>
      <c r="DL5" s="535"/>
      <c r="DM5" s="533" t="s">
        <v>8692</v>
      </c>
      <c r="DN5" s="533" t="s">
        <v>8693</v>
      </c>
      <c r="DO5" s="533" t="s">
        <v>8694</v>
      </c>
      <c r="DP5" s="535"/>
      <c r="DQ5" s="535"/>
      <c r="DR5" s="535"/>
      <c r="DS5" s="535"/>
      <c r="DT5" s="535"/>
      <c r="DU5" s="535"/>
      <c r="DV5" s="535"/>
      <c r="DW5" s="535"/>
      <c r="DX5" s="535"/>
      <c r="DY5" s="535"/>
      <c r="DZ5" s="535"/>
      <c r="EA5" s="535"/>
      <c r="EB5" s="535"/>
      <c r="EC5" s="535"/>
      <c r="ED5" s="535"/>
      <c r="EE5" s="535"/>
      <c r="EF5" s="535"/>
      <c r="EG5" s="535"/>
      <c r="EH5" s="535"/>
      <c r="EI5" s="535"/>
      <c r="EJ5" s="535"/>
      <c r="EK5" s="535"/>
      <c r="EL5" s="535"/>
      <c r="EM5" s="535"/>
      <c r="EN5" s="535"/>
      <c r="EO5" s="535"/>
      <c r="EP5" s="535"/>
      <c r="EQ5" s="535"/>
      <c r="ER5" s="535"/>
      <c r="ES5" s="535"/>
      <c r="ET5" s="535"/>
      <c r="EU5" s="535"/>
      <c r="EV5" s="535"/>
      <c r="EW5" s="535"/>
      <c r="EX5" s="535"/>
      <c r="EY5" s="535"/>
      <c r="EZ5" s="535"/>
      <c r="FA5" s="535"/>
      <c r="FB5" s="535"/>
      <c r="FC5" s="535"/>
      <c r="FD5" s="535"/>
      <c r="FE5" s="535"/>
      <c r="FF5" s="535"/>
      <c r="FG5" s="535"/>
      <c r="FH5" s="535"/>
      <c r="FI5" s="535"/>
      <c r="FJ5" s="535"/>
      <c r="FK5" s="535"/>
      <c r="FL5" s="535"/>
      <c r="FM5" s="535"/>
      <c r="FN5" s="535"/>
      <c r="FO5" s="535"/>
    </row>
    <row r="6" spans="1:171" s="533" customFormat="1" ht="69.75" customHeight="1" x14ac:dyDescent="0.25">
      <c r="B6" s="334" t="s">
        <v>8671</v>
      </c>
      <c r="C6" s="536" t="s">
        <v>8683</v>
      </c>
      <c r="D6" s="336" t="s">
        <v>2804</v>
      </c>
      <c r="E6" s="336" t="s">
        <v>2040</v>
      </c>
      <c r="F6" s="336" t="s">
        <v>803</v>
      </c>
      <c r="G6" s="336" t="s">
        <v>2041</v>
      </c>
      <c r="H6" s="337" t="s">
        <v>804</v>
      </c>
      <c r="I6" s="337" t="s">
        <v>802</v>
      </c>
      <c r="J6" s="537" t="str">
        <f>IF(AND($A$1=1,$B$1=0),VLOOKUP(J4,JurusanA,2),
IF(AND($A$1=1,$B$1="IPS"),VLOOKUP(J4,JurusanA,2),
IF(AND($A$1=1,$B$1="IPA"),VLOOKUP(J4,JurusanB,2),
IF(AND($A$1=2,$B$1=0),VLOOKUP(J4,JurusanA,2),
IF(AND($A$1=2,$B$1="IPS"),VLOOKUP(J4,JurusanA,2),
IF(AND($A$1=2,$B$1="IPA"),VLOOKUP(J4,JurusanB,2),
IF(AND($A$1=3,$B$1=0),VLOOKUP(J4,JurusanA,2),
IF(AND($A$1=3,$B$1="IPS"),VLOOKUP(J4,JurusanA,2),
IF(AND($A$1=3,$B$1="IPA"),VLOOKUP(J4,JurusanB,2),
IF(AND($A$1=4,$B$1=0),VLOOKUP(J4,JurusanA,2),
IF(AND($A$1=4,$B$1="IPS"),VLOOKUP(J4,JurusanA,2),
IF(AND($A$1=4,$B$1="IPA"),VLOOKUP(J4,JurusanB,2),
IF(AND($A$1=5,$B$1=0),VLOOKUP(J4,JurusanA,2),
IF(AND($A$1=5,$B$1="IPS"),VLOOKUP(J4,JurusanA,2),
IF(AND($A$1=5,$B$1="IPA"),VLOOKUP(J4,JurusanB,2),
IF(AND($A$1=6,$B$1=0),VLOOKUP(J4,JurusanA,2),
IF(AND($A$1=6,$B$1="IPS"),VLOOKUP(J4,JurusanA,2),
IF(AND($A$1=6,$B$1="IPA"),VLOOKUP(J4,JurusanB,2),
IF(AND($A$1=7,$B$1=0),VLOOKUP(J4,JurusanA,2),
IF(AND($A$1=7,$B$1="IPS"),VLOOKUP(J4,JurusanA,2),
IF(AND($A$1=7,$B$1="IPA"),VLOOKUP(J4,JurusanB,2),
IF(AND($A$1=8,$B$1=0),VLOOKUP(J4,JurusanA,2),
IF(AND($A$1=8,$B$1="IPS"),VLOOKUP(J4,JurusanA,2),
IF(AND($A$1=8,$B$1="IPA"),VLOOKUP(J4,JurusanB,2),
IF(AND($A$1=9,$B$1=0),VLOOKUP(J4,JurusanA,2),
IF(AND($A$1=9,$B$1="IPS"),VLOOKUP(J4,JurusanA,2),
IF(AND($A$1=9,$B$1="IPA"),VLOOKUP(J4,JurusanB,2),
IF(AND($A$1=10,$B$1=0),VLOOKUP(J4,JurusanA,2),
IF(AND($A$1=10,$B$1="IPS"),VLOOKUP(J4,JurusanA,2),
IF(AND($A$1=10,$B$1="IPA"),VLOOKUP(J4,JurusanB,2),
IF(AND($A$1=11,$B$1=0),VLOOKUP(J4,JurusanA,2),
IF(AND($A$1=11,$B$1="IPS"),VLOOKUP(J4,JurusanA,2),
IF(AND($A$1=11,$B$1="IPA"),VLOOKUP(J4,JurusanB,2),
IF(AND($A$1=12,$B$1=0),VLOOKUP(J4,JurusanA,2),
IF(AND($A$1=12,$B$1="IPS"),VLOOKUP(J4,JurusanA,2),
IF(AND($A$1=12,$B$1="IPA"),VLOOKUP(J4,JurusanB,2),
))))))))))))))))))))))))))))))))))))</f>
        <v>ArabLisan</v>
      </c>
      <c r="K6" s="537" t="str">
        <f t="shared" ref="K6:DZ6" si="0">IF(AND($A$1=1,$B$1=0),VLOOKUP(K4,JurusanA,2),
IF(AND($A$1=1,$B$1="IPS"),VLOOKUP(K4,JurusanA,2),
IF(AND($A$1=1,$B$1="IPA"),VLOOKUP(K4,JurusanB,2),
IF(AND($A$1=2,$B$1=0),VLOOKUP(K4,JurusanA,2),
IF(AND($A$1=2,$B$1="IPS"),VLOOKUP(K4,JurusanA,2),
IF(AND($A$1=2,$B$1="IPA"),VLOOKUP(K4,JurusanB,2),
IF(AND($A$1=3,$B$1=0),VLOOKUP(K4,JurusanA,2),
IF(AND($A$1=3,$B$1="IPS"),VLOOKUP(K4,JurusanA,2),
IF(AND($A$1=3,$B$1="IPA"),VLOOKUP(K4,JurusanB,2),
IF(AND($A$1=4,$B$1=0),VLOOKUP(K4,JurusanA,2),
IF(AND($A$1=4,$B$1="IPS"),VLOOKUP(K4,JurusanA,2),
IF(AND($A$1=4,$B$1="IPA"),VLOOKUP(K4,JurusanB,2),
IF(AND($A$1=5,$B$1=0),VLOOKUP(K4,JurusanA,2),
IF(AND($A$1=5,$B$1="IPS"),VLOOKUP(K4,JurusanA,2),
IF(AND($A$1=5,$B$1="IPA"),VLOOKUP(K4,JurusanB,2),
IF(AND($A$1=6,$B$1=0),VLOOKUP(K4,JurusanA,2),
IF(AND($A$1=6,$B$1="IPS"),VLOOKUP(K4,JurusanA,2),
IF(AND($A$1=6,$B$1="IPA"),VLOOKUP(K4,JurusanB,2),
IF(AND($A$1=7,$B$1=0),VLOOKUP(K4,JurusanA,2),
IF(AND($A$1=7,$B$1="IPS"),VLOOKUP(K4,JurusanA,2),
IF(AND($A$1=7,$B$1="IPA"),VLOOKUP(K4,JurusanB,2),
IF(AND($A$1=8,$B$1=0),VLOOKUP(K4,JurusanA,2),
IF(AND($A$1=8,$B$1="IPS"),VLOOKUP(K4,JurusanA,2),
IF(AND($A$1=8,$B$1="IPA"),VLOOKUP(K4,JurusanB,2),
IF(AND($A$1=9,$B$1=0),VLOOKUP(K4,JurusanA,2),
IF(AND($A$1=9,$B$1="IPS"),VLOOKUP(K4,JurusanA,2),
IF(AND($A$1=9,$B$1="IPA"),VLOOKUP(K4,JurusanB,2),
IF(AND($A$1=10,$B$1=0),VLOOKUP(K4,JurusanA,2),
IF(AND($A$1=10,$B$1="IPS"),VLOOKUP(K4,JurusanA,2),
IF(AND($A$1=10,$B$1="IPA"),VLOOKUP(K4,JurusanB,2),
IF(AND($A$1=11,$B$1=0),VLOOKUP(K4,JurusanA,2),
IF(AND($A$1=11,$B$1="IPS"),VLOOKUP(K4,JurusanA,2),
IF(AND($A$1=11,$B$1="IPA"),VLOOKUP(K4,JurusanB,2),
IF(AND($A$1=12,$B$1=0),VLOOKUP(K4,JurusanA,2),
IF(AND($A$1=12,$B$1="IPS"),VLOOKUP(K4,JurusanA,2),
IF(AND($A$1=12,$B$1="IPA"),VLOOKUP(K4,JurusanB,2),
))))))))))))))))))))))))))))))))))))</f>
        <v>InggrisLisan</v>
      </c>
      <c r="L6" s="537" t="str">
        <f t="shared" si="0"/>
        <v>FiqhLisan</v>
      </c>
      <c r="M6" s="538" t="str">
        <f>IF(AND($A$1=1,$B$1=0),VLOOKUP(P4,JurusanA,2),
IF(AND($A$1=1,$B$1="IPS"),VLOOKUP(P4,JurusanA,2),
IF(AND($A$1=1,$B$1="IPA"),VLOOKUP(P4,JurusanB,2),
IF(AND($A$1=2,$B$1=0),VLOOKUP(P4,JurusanA,2),
IF(AND($A$1=2,$B$1="IPS"),VLOOKUP(P4,JurusanA,2),
IF(AND($A$1=2,$B$1="IPA"),VLOOKUP(P4,JurusanB,2),
IF(AND($A$1=3,$B$1=0),VLOOKUP(P4,JurusanA,2),
IF(AND($A$1=3,$B$1="IPS"),VLOOKUP(P4,JurusanA,2),
IF(AND($A$1=3,$B$1="IPA"),VLOOKUP(P4,JurusanB,2),
IF(AND($A$1=4,$B$1=0),VLOOKUP(P4,JurusanA,2),
IF(AND($A$1=4,$B$1="IPS"),VLOOKUP(P4,JurusanA,2),
IF(AND($A$1=4,$B$1="IPA"),VLOOKUP(P4,JurusanB,2),
IF(AND($A$1=5,$B$1=0),VLOOKUP(P4,JurusanA,2),
IF(AND($A$1=5,$B$1="IPS"),VLOOKUP(P4,JurusanA,2),
IF(AND($A$1=5,$B$1="IPA"),VLOOKUP(P4,JurusanB,2),
IF(AND($A$1=6,$B$1=0),VLOOKUP(P4,JurusanA,2),
IF(AND($A$1=6,$B$1="IPS"),VLOOKUP(P4,JurusanA,2),
IF(AND($A$1=6,$B$1="IPA"),VLOOKUP(P4,JurusanB,2),
IF(AND($A$1=7,$B$1=0),VLOOKUP(P4,JurusanA,2),
IF(AND($A$1=7,$B$1="IPS"),VLOOKUP(P4,JurusanA,2),
IF(AND($A$1=7,$B$1="IPA"),VLOOKUP(P4,JurusanB,2),
IF(AND($A$1=8,$B$1=0),VLOOKUP(P4,JurusanA,2),
IF(AND($A$1=8,$B$1="IPS"),VLOOKUP(P4,JurusanA,2),
IF(AND($A$1=8,$B$1="IPA"),VLOOKUP(P4,JurusanB,2),
IF(AND($A$1=9,$B$1=0),VLOOKUP(P4,JurusanA,2),
IF(AND($A$1=9,$B$1="IPS"),VLOOKUP(P4,JurusanA,2),
IF(AND($A$1=9,$B$1="IPA"),VLOOKUP(P4,JurusanB,2),
IF(AND($A$1=10,$B$1=0),VLOOKUP(P4,JurusanA,2),
IF(AND($A$1=10,$B$1="IPS"),VLOOKUP(P4,JurusanA,2),
IF(AND($A$1=10,$B$1="IPA"),VLOOKUP(P4,JurusanB,2),
IF(AND($A$1=11,$B$1=0),VLOOKUP(P4,JurusanA,2),
IF(AND($A$1=11,$B$1="IPS"),VLOOKUP(P4,JurusanA,2),
IF(AND($A$1=11,$B$1="IPA"),VLOOKUP(P4,JurusanB,2),
IF(AND($A$1=12,$B$1=0),VLOOKUP(P4,JurusanA,2),
IF(AND($A$1=12,$B$1="IPS"),VLOOKUP(P4,JurusanA,2),
IF(AND($A$1=12,$B$1="IPA"),VLOOKUP(P4,JurusanB,2),
))))))))))))))))))))))))))))))))))))</f>
        <v>UsulFiqh</v>
      </c>
      <c r="N6" s="539"/>
      <c r="O6" s="539"/>
      <c r="P6" s="540"/>
      <c r="Q6" s="538" t="str">
        <f>IF(AND($A$1=1,$B$1=0),VLOOKUP(T4,JurusanA,2),
IF(AND($A$1=1,$B$1="IPS"),VLOOKUP(T4,JurusanA,2),
IF(AND($A$1=1,$B$1="IPA"),VLOOKUP(T4,JurusanB,2),
IF(AND($A$1=2,$B$1=0),VLOOKUP(T4,JurusanA,2),
IF(AND($A$1=2,$B$1="IPS"),VLOOKUP(T4,JurusanA,2),
IF(AND($A$1=2,$B$1="IPA"),VLOOKUP(T4,JurusanB,2),
IF(AND($A$1=3,$B$1=0),VLOOKUP(T4,JurusanA,2),
IF(AND($A$1=3,$B$1="IPS"),VLOOKUP(T4,JurusanA,2),
IF(AND($A$1=3,$B$1="IPA"),VLOOKUP(T4,JurusanB,2),
IF(AND($A$1=4,$B$1=0),VLOOKUP(T4,JurusanA,2),
IF(AND($A$1=4,$B$1="IPS"),VLOOKUP(T4,JurusanA,2),
IF(AND($A$1=4,$B$1="IPA"),VLOOKUP(T4,JurusanB,2),
IF(AND($A$1=5,$B$1=0),VLOOKUP(T4,JurusanA,2),
IF(AND($A$1=5,$B$1="IPS"),VLOOKUP(T4,JurusanA,2),
IF(AND($A$1=5,$B$1="IPA"),VLOOKUP(T4,JurusanB,2),
IF(AND($A$1=6,$B$1=0),VLOOKUP(T4,JurusanA,2),
IF(AND($A$1=6,$B$1="IPS"),VLOOKUP(T4,JurusanA,2),
IF(AND($A$1=6,$B$1="IPA"),VLOOKUP(T4,JurusanB,2),
IF(AND($A$1=7,$B$1=0),VLOOKUP(T4,JurusanA,2),
IF(AND($A$1=7,$B$1="IPS"),VLOOKUP(T4,JurusanA,2),
IF(AND($A$1=7,$B$1="IPA"),VLOOKUP(T4,JurusanB,2),
IF(AND($A$1=8,$B$1=0),VLOOKUP(T4,JurusanA,2),
IF(AND($A$1=8,$B$1="IPS"),VLOOKUP(T4,JurusanA,2),
IF(AND($A$1=8,$B$1="IPA"),VLOOKUP(T4,JurusanB,2),
IF(AND($A$1=9,$B$1=0),VLOOKUP(T4,JurusanA,2),
IF(AND($A$1=9,$B$1="IPS"),VLOOKUP(T4,JurusanA,2),
IF(AND($A$1=9,$B$1="IPA"),VLOOKUP(T4,JurusanB,2),
IF(AND($A$1=10,$B$1=0),VLOOKUP(T4,JurusanA,2),
IF(AND($A$1=10,$B$1="IPS"),VLOOKUP(T4,JurusanA,2),
IF(AND($A$1=10,$B$1="IPA"),VLOOKUP(T4,JurusanB,2),
IF(AND($A$1=11,$B$1=0),VLOOKUP(T4,JurusanA,2),
IF(AND($A$1=11,$B$1="IPS"),VLOOKUP(T4,JurusanA,2),
IF(AND($A$1=11,$B$1="IPA"),VLOOKUP(T4,JurusanB,2),
IF(AND($A$1=12,$B$1=0),VLOOKUP(T4,JurusanA,2),
IF(AND($A$1=12,$B$1="IPS"),VLOOKUP(T4,JurusanA,2),
IF(AND($A$1=12,$B$1="IPA"),VLOOKUP(T4,JurusanB,2),
))))))))))))))))))))))))))))))))))))</f>
        <v>Mutholaah</v>
      </c>
      <c r="R6" s="539"/>
      <c r="S6" s="539"/>
      <c r="T6" s="540"/>
      <c r="U6" s="538" t="str">
        <f>IF(AND($A$1=1,$B$1=0),VLOOKUP(X4,JurusanA,2),
IF(AND($A$1=1,$B$1="IPS"),VLOOKUP(X4,JurusanA,2),
IF(AND($A$1=1,$B$1="IPA"),VLOOKUP(X4,JurusanB,2),
IF(AND($A$1=2,$B$1=0),VLOOKUP(X4,JurusanA,2),
IF(AND($A$1=2,$B$1="IPS"),VLOOKUP(X4,JurusanA,2),
IF(AND($A$1=2,$B$1="IPA"),VLOOKUP(X4,JurusanB,2),
IF(AND($A$1=3,$B$1=0),VLOOKUP(X4,JurusanA,2),
IF(AND($A$1=3,$B$1="IPS"),VLOOKUP(X4,JurusanA,2),
IF(AND($A$1=3,$B$1="IPA"),VLOOKUP(X4,JurusanB,2),
IF(AND($A$1=4,$B$1=0),VLOOKUP(X4,JurusanA,2),
IF(AND($A$1=4,$B$1="IPS"),VLOOKUP(X4,JurusanA,2),
IF(AND($A$1=4,$B$1="IPA"),VLOOKUP(X4,JurusanB,2),
IF(AND($A$1=5,$B$1=0),VLOOKUP(X4,JurusanA,2),
IF(AND($A$1=5,$B$1="IPS"),VLOOKUP(X4,JurusanA,2),
IF(AND($A$1=5,$B$1="IPA"),VLOOKUP(X4,JurusanB,2),
IF(AND($A$1=6,$B$1=0),VLOOKUP(X4,JurusanA,2),
IF(AND($A$1=6,$B$1="IPS"),VLOOKUP(X4,JurusanA,2),
IF(AND($A$1=6,$B$1="IPA"),VLOOKUP(X4,JurusanB,2),
IF(AND($A$1=7,$B$1=0),VLOOKUP(X4,JurusanA,2),
IF(AND($A$1=7,$B$1="IPS"),VLOOKUP(X4,JurusanA,2),
IF(AND($A$1=7,$B$1="IPA"),VLOOKUP(X4,JurusanB,2),
IF(AND($A$1=8,$B$1=0),VLOOKUP(X4,JurusanA,2),
IF(AND($A$1=8,$B$1="IPS"),VLOOKUP(X4,JurusanA,2),
IF(AND($A$1=8,$B$1="IPA"),VLOOKUP(X4,JurusanB,2),
IF(AND($A$1=9,$B$1=0),VLOOKUP(X4,JurusanA,2),
IF(AND($A$1=9,$B$1="IPS"),VLOOKUP(X4,JurusanA,2),
IF(AND($A$1=9,$B$1="IPA"),VLOOKUP(X4,JurusanB,2),
IF(AND($A$1=10,$B$1=0),VLOOKUP(X4,JurusanA,2),
IF(AND($A$1=10,$B$1="IPS"),VLOOKUP(X4,JurusanA,2),
IF(AND($A$1=10,$B$1="IPA"),VLOOKUP(X4,JurusanB,2),
IF(AND($A$1=11,$B$1=0),VLOOKUP(X4,JurusanA,2),
IF(AND($A$1=11,$B$1="IPS"),VLOOKUP(X4,JurusanA,2),
IF(AND($A$1=11,$B$1="IPA"),VLOOKUP(X4,JurusanB,2),
IF(AND($A$1=12,$B$1=0),VLOOKUP(X4,JurusanA,2),
IF(AND($A$1=12,$B$1="IPS"),VLOOKUP(X4,JurusanA,2),
IF(AND($A$1=12,$B$1="IPA"),VLOOKUP(X4,JurusanB,2),
))))))))))))))))))))))))))))))))))))</f>
        <v>Nahwu</v>
      </c>
      <c r="V6" s="539"/>
      <c r="W6" s="539"/>
      <c r="X6" s="540"/>
      <c r="Y6" s="538" t="str">
        <f>IF(AND($A$1=1,$B$1=0),VLOOKUP(AB4,JurusanA,2),
IF(AND($A$1=1,$B$1="IPS"),VLOOKUP(AB4,JurusanA,2),
IF(AND($A$1=1,$B$1="IPA"),VLOOKUP(AB4,JurusanB,2),
IF(AND($A$1=2,$B$1=0),VLOOKUP(AB4,JurusanA,2),
IF(AND($A$1=2,$B$1="IPS"),VLOOKUP(AB4,JurusanA,2),
IF(AND($A$1=2,$B$1="IPA"),VLOOKUP(AB4,JurusanB,2),
IF(AND($A$1=3,$B$1=0),VLOOKUP(AB4,JurusanA,2),
IF(AND($A$1=3,$B$1="IPS"),VLOOKUP(AB4,JurusanA,2),
IF(AND($A$1=3,$B$1="IPA"),VLOOKUP(AB4,JurusanB,2),
IF(AND($A$1=4,$B$1=0),VLOOKUP(AB4,JurusanA,2),
IF(AND($A$1=4,$B$1="IPS"),VLOOKUP(AB4,JurusanA,2),
IF(AND($A$1=4,$B$1="IPA"),VLOOKUP(AB4,JurusanB,2),
IF(AND($A$1=5,$B$1=0),VLOOKUP(AB4,JurusanA,2),
IF(AND($A$1=5,$B$1="IPS"),VLOOKUP(AB4,JurusanA,2),
IF(AND($A$1=5,$B$1="IPA"),VLOOKUP(AB4,JurusanB,2),
IF(AND($A$1=6,$B$1=0),VLOOKUP(AB4,JurusanA,2),
IF(AND($A$1=6,$B$1="IPS"),VLOOKUP(AB4,JurusanA,2),
IF(AND($A$1=6,$B$1="IPA"),VLOOKUP(AB4,JurusanB,2),
IF(AND($A$1=7,$B$1=0),VLOOKUP(AB4,JurusanA,2),
IF(AND($A$1=7,$B$1="IPS"),VLOOKUP(AB4,JurusanA,2),
IF(AND($A$1=7,$B$1="IPA"),VLOOKUP(AB4,JurusanB,2),
IF(AND($A$1=8,$B$1=0),VLOOKUP(AB4,JurusanA,2),
IF(AND($A$1=8,$B$1="IPS"),VLOOKUP(AB4,JurusanA,2),
IF(AND($A$1=8,$B$1="IPA"),VLOOKUP(AB4,JurusanB,2),
IF(AND($A$1=9,$B$1=0),VLOOKUP(AB4,JurusanA,2),
IF(AND($A$1=9,$B$1="IPS"),VLOOKUP(AB4,JurusanA,2),
IF(AND($A$1=9,$B$1="IPA"),VLOOKUP(AB4,JurusanB,2),
IF(AND($A$1=10,$B$1=0),VLOOKUP(AB4,JurusanA,2),
IF(AND($A$1=10,$B$1="IPS"),VLOOKUP(AB4,JurusanA,2),
IF(AND($A$1=10,$B$1="IPA"),VLOOKUP(AB4,JurusanB,2),
IF(AND($A$1=11,$B$1=0),VLOOKUP(AB4,JurusanA,2),
IF(AND($A$1=11,$B$1="IPS"),VLOOKUP(AB4,JurusanA,2),
IF(AND($A$1=11,$B$1="IPA"),VLOOKUP(AB4,JurusanB,2),
IF(AND($A$1=12,$B$1=0),VLOOKUP(AB4,JurusanA,2),
IF(AND($A$1=12,$B$1="IPS"),VLOOKUP(AB4,JurusanA,2),
IF(AND($A$1=12,$B$1="IPA"),VLOOKUP(AB4,JurusanB,2),
))))))))))))))))))))))))))))))))))))</f>
        <v>Tafsir</v>
      </c>
      <c r="Z6" s="539"/>
      <c r="AA6" s="539"/>
      <c r="AB6" s="540"/>
      <c r="AC6" s="538" t="str">
        <f>IF(AND($A$1=1,$B$1=0),VLOOKUP(AF4,JurusanA,2),
IF(AND($A$1=1,$B$1="IPS"),VLOOKUP(AF4,JurusanA,2),
IF(AND($A$1=1,$B$1="IPA"),VLOOKUP(AF4,JurusanB,2),
IF(AND($A$1=2,$B$1=0),VLOOKUP(AF4,JurusanA,2),
IF(AND($A$1=2,$B$1="IPS"),VLOOKUP(AF4,JurusanA,2),
IF(AND($A$1=2,$B$1="IPA"),VLOOKUP(AF4,JurusanB,2),
IF(AND($A$1=3,$B$1=0),VLOOKUP(AF4,JurusanA,2),
IF(AND($A$1=3,$B$1="IPS"),VLOOKUP(AF4,JurusanA,2),
IF(AND($A$1=3,$B$1="IPA"),VLOOKUP(AF4,JurusanB,2),
IF(AND($A$1=4,$B$1=0),VLOOKUP(AF4,JurusanA,2),
IF(AND($A$1=4,$B$1="IPS"),VLOOKUP(AF4,JurusanA,2),
IF(AND($A$1=4,$B$1="IPA"),VLOOKUP(AF4,JurusanB,2),
IF(AND($A$1=5,$B$1=0),VLOOKUP(AF4,JurusanA,2),
IF(AND($A$1=5,$B$1="IPS"),VLOOKUP(AF4,JurusanA,2),
IF(AND($A$1=5,$B$1="IPA"),VLOOKUP(AF4,JurusanB,2),
IF(AND($A$1=6,$B$1=0),VLOOKUP(AF4,JurusanA,2),
IF(AND($A$1=6,$B$1="IPS"),VLOOKUP(AF4,JurusanA,2),
IF(AND($A$1=6,$B$1="IPA"),VLOOKUP(AF4,JurusanB,2),
IF(AND($A$1=7,$B$1=0),VLOOKUP(AF4,JurusanA,2),
IF(AND($A$1=7,$B$1="IPS"),VLOOKUP(AF4,JurusanA,2),
IF(AND($A$1=7,$B$1="IPA"),VLOOKUP(AF4,JurusanB,2),
IF(AND($A$1=8,$B$1=0),VLOOKUP(AF4,JurusanA,2),
IF(AND($A$1=8,$B$1="IPS"),VLOOKUP(AF4,JurusanA,2),
IF(AND($A$1=8,$B$1="IPA"),VLOOKUP(AF4,JurusanB,2),
IF(AND($A$1=9,$B$1=0),VLOOKUP(AF4,JurusanA,2),
IF(AND($A$1=9,$B$1="IPS"),VLOOKUP(AF4,JurusanA,2),
IF(AND($A$1=9,$B$1="IPA"),VLOOKUP(AF4,JurusanB,2),
IF(AND($A$1=10,$B$1=0),VLOOKUP(AF4,JurusanA,2),
IF(AND($A$1=10,$B$1="IPS"),VLOOKUP(AF4,JurusanA,2),
IF(AND($A$1=10,$B$1="IPA"),VLOOKUP(AF4,JurusanB,2),
IF(AND($A$1=11,$B$1=0),VLOOKUP(AF4,JurusanA,2),
IF(AND($A$1=11,$B$1="IPS"),VLOOKUP(AF4,JurusanA,2),
IF(AND($A$1=11,$B$1="IPA"),VLOOKUP(AF4,JurusanB,2),
IF(AND($A$1=12,$B$1=0),VLOOKUP(AF4,JurusanA,2),
IF(AND($A$1=12,$B$1="IPS"),VLOOKUP(AF4,JurusanA,2),
IF(AND($A$1=12,$B$1="IPA"),VLOOKUP(AF4,JurusanB,2),
))))))))))))))))))))))))))))))))))))</f>
        <v>Tarbiyah</v>
      </c>
      <c r="AD6" s="539"/>
      <c r="AE6" s="539"/>
      <c r="AF6" s="540"/>
      <c r="AG6" s="538" t="str">
        <f>IF(AND($A$1=1,$B$1=0),VLOOKUP(AJ4,JurusanA,2),
IF(AND($A$1=1,$B$1="IPS"),VLOOKUP(AJ4,JurusanA,2),
IF(AND($A$1=1,$B$1="IPA"),VLOOKUP(AJ4,JurusanB,2),
IF(AND($A$1=2,$B$1=0),VLOOKUP(AJ4,JurusanA,2),
IF(AND($A$1=2,$B$1="IPS"),VLOOKUP(AJ4,JurusanA,2),
IF(AND($A$1=2,$B$1="IPA"),VLOOKUP(AJ4,JurusanB,2),
IF(AND($A$1=3,$B$1=0),VLOOKUP(AJ4,JurusanA,2),
IF(AND($A$1=3,$B$1="IPS"),VLOOKUP(AJ4,JurusanA,2),
IF(AND($A$1=3,$B$1="IPA"),VLOOKUP(AJ4,JurusanB,2),
IF(AND($A$1=4,$B$1=0),VLOOKUP(AJ4,JurusanA,2),
IF(AND($A$1=4,$B$1="IPS"),VLOOKUP(AJ4,JurusanA,2),
IF(AND($A$1=4,$B$1="IPA"),VLOOKUP(AJ4,JurusanB,2),
IF(AND($A$1=5,$B$1=0),VLOOKUP(AJ4,JurusanA,2),
IF(AND($A$1=5,$B$1="IPS"),VLOOKUP(AJ4,JurusanA,2),
IF(AND($A$1=5,$B$1="IPA"),VLOOKUP(AJ4,JurusanB,2),
IF(AND($A$1=6,$B$1=0),VLOOKUP(AJ4,JurusanA,2),
IF(AND($A$1=6,$B$1="IPS"),VLOOKUP(AJ4,JurusanA,2),
IF(AND($A$1=6,$B$1="IPA"),VLOOKUP(AJ4,JurusanB,2),
IF(AND($A$1=7,$B$1=0),VLOOKUP(AJ4,JurusanA,2),
IF(AND($A$1=7,$B$1="IPS"),VLOOKUP(AJ4,JurusanA,2),
IF(AND($A$1=7,$B$1="IPA"),VLOOKUP(AJ4,JurusanB,2),
IF(AND($A$1=8,$B$1=0),VLOOKUP(AJ4,JurusanA,2),
IF(AND($A$1=8,$B$1="IPS"),VLOOKUP(AJ4,JurusanA,2),
IF(AND($A$1=8,$B$1="IPA"),VLOOKUP(AJ4,JurusanB,2),
IF(AND($A$1=9,$B$1=0),VLOOKUP(AJ4,JurusanA,2),
IF(AND($A$1=9,$B$1="IPS"),VLOOKUP(AJ4,JurusanA,2),
IF(AND($A$1=9,$B$1="IPA"),VLOOKUP(AJ4,JurusanB,2),
IF(AND($A$1=10,$B$1=0),VLOOKUP(AJ4,JurusanA,2),
IF(AND($A$1=10,$B$1="IPS"),VLOOKUP(AJ4,JurusanA,2),
IF(AND($A$1=10,$B$1="IPA"),VLOOKUP(AJ4,JurusanB,2),
IF(AND($A$1=11,$B$1=0),VLOOKUP(AJ4,JurusanA,2),
IF(AND($A$1=11,$B$1="IPS"),VLOOKUP(AJ4,JurusanA,2),
IF(AND($A$1=11,$B$1="IPA"),VLOOKUP(AJ4,JurusanB,2),
IF(AND($A$1=12,$B$1=0),VLOOKUP(AJ4,JurusanA,2),
IF(AND($A$1=12,$B$1="IPS"),VLOOKUP(AJ4,JurusanA,2),
IF(AND($A$1=12,$B$1="IPA"),VLOOKUP(AJ4,JurusanB,2),
))))))))))))))))))))))))))))))))))))</f>
        <v>Balagoh</v>
      </c>
      <c r="AH6" s="539"/>
      <c r="AI6" s="539"/>
      <c r="AJ6" s="540"/>
      <c r="AK6" s="538" t="str">
        <f>IF(AND($A$1=1,$B$1=0),VLOOKUP(AN4,JurusanA,2),
IF(AND($A$1=1,$B$1="IPS"),VLOOKUP(AN4,JurusanA,2),
IF(AND($A$1=1,$B$1="IPA"),VLOOKUP(AN4,JurusanB,2),
IF(AND($A$1=2,$B$1=0),VLOOKUP(AN4,JurusanA,2),
IF(AND($A$1=2,$B$1="IPS"),VLOOKUP(AN4,JurusanA,2),
IF(AND($A$1=2,$B$1="IPA"),VLOOKUP(AN4,JurusanB,2),
IF(AND($A$1=3,$B$1=0),VLOOKUP(AN4,JurusanA,2),
IF(AND($A$1=3,$B$1="IPS"),VLOOKUP(AN4,JurusanA,2),
IF(AND($A$1=3,$B$1="IPA"),VLOOKUP(AN4,JurusanB,2),
IF(AND($A$1=4,$B$1=0),VLOOKUP(AN4,JurusanA,2),
IF(AND($A$1=4,$B$1="IPS"),VLOOKUP(AN4,JurusanA,2),
IF(AND($A$1=4,$B$1="IPA"),VLOOKUP(AN4,JurusanB,2),
IF(AND($A$1=5,$B$1=0),VLOOKUP(AN4,JurusanA,2),
IF(AND($A$1=5,$B$1="IPS"),VLOOKUP(AN4,JurusanA,2),
IF(AND($A$1=5,$B$1="IPA"),VLOOKUP(AN4,JurusanB,2),
IF(AND($A$1=6,$B$1=0),VLOOKUP(AN4,JurusanA,2),
IF(AND($A$1=6,$B$1="IPS"),VLOOKUP(AN4,JurusanA,2),
IF(AND($A$1=6,$B$1="IPA"),VLOOKUP(AN4,JurusanB,2),
IF(AND($A$1=7,$B$1=0),VLOOKUP(AN4,JurusanA,2),
IF(AND($A$1=7,$B$1="IPS"),VLOOKUP(AN4,JurusanA,2),
IF(AND($A$1=7,$B$1="IPA"),VLOOKUP(AN4,JurusanB,2),
IF(AND($A$1=8,$B$1=0),VLOOKUP(AN4,JurusanA,2),
IF(AND($A$1=8,$B$1="IPS"),VLOOKUP(AN4,JurusanA,2),
IF(AND($A$1=8,$B$1="IPA"),VLOOKUP(AN4,JurusanB,2),
IF(AND($A$1=9,$B$1=0),VLOOKUP(AN4,JurusanA,2),
IF(AND($A$1=9,$B$1="IPS"),VLOOKUP(AN4,JurusanA,2),
IF(AND($A$1=9,$B$1="IPA"),VLOOKUP(AN4,JurusanB,2),
IF(AND($A$1=10,$B$1=0),VLOOKUP(AN4,JurusanA,2),
IF(AND($A$1=10,$B$1="IPS"),VLOOKUP(AN4,JurusanA,2),
IF(AND($A$1=10,$B$1="IPA"),VLOOKUP(AN4,JurusanB,2),
IF(AND($A$1=11,$B$1=0),VLOOKUP(AN4,JurusanA,2),
IF(AND($A$1=11,$B$1="IPS"),VLOOKUP(AN4,JurusanA,2),
IF(AND($A$1=11,$B$1="IPA"),VLOOKUP(AN4,JurusanB,2),
IF(AND($A$1=12,$B$1=0),VLOOKUP(AN4,JurusanA,2),
IF(AND($A$1=12,$B$1="IPS"),VLOOKUP(AN4,JurusanA,2),
IF(AND($A$1=12,$B$1="IPA"),VLOOKUP(AN4,JurusanB,2),
))))))))))))))))))))))))))))))))))))</f>
        <v>Hadits</v>
      </c>
      <c r="AL6" s="539"/>
      <c r="AM6" s="539"/>
      <c r="AN6" s="540"/>
      <c r="AO6" s="538" t="str">
        <f>IF(AND($A$1=1,$B$1=0),VLOOKUP(AR4,JurusanA,2),
IF(AND($A$1=1,$B$1="IPS"),VLOOKUP(AR4,JurusanA,2),
IF(AND($A$1=1,$B$1="IPA"),VLOOKUP(AR4,JurusanB,2),
IF(AND($A$1=2,$B$1=0),VLOOKUP(AR4,JurusanA,2),
IF(AND($A$1=2,$B$1="IPS"),VLOOKUP(AR4,JurusanA,2),
IF(AND($A$1=2,$B$1="IPA"),VLOOKUP(AR4,JurusanB,2),
IF(AND($A$1=3,$B$1=0),VLOOKUP(AR4,JurusanA,2),
IF(AND($A$1=3,$B$1="IPS"),VLOOKUP(AR4,JurusanA,2),
IF(AND($A$1=3,$B$1="IPA"),VLOOKUP(AR4,JurusanB,2),
IF(AND($A$1=4,$B$1=0),VLOOKUP(AR4,JurusanA,2),
IF(AND($A$1=4,$B$1="IPS"),VLOOKUP(AR4,JurusanA,2),
IF(AND($A$1=4,$B$1="IPA"),VLOOKUP(AR4,JurusanB,2),
IF(AND($A$1=5,$B$1=0),VLOOKUP(AR4,JurusanA,2),
IF(AND($A$1=5,$B$1="IPS"),VLOOKUP(AR4,JurusanA,2),
IF(AND($A$1=5,$B$1="IPA"),VLOOKUP(AR4,JurusanB,2),
IF(AND($A$1=6,$B$1=0),VLOOKUP(AR4,JurusanA,2),
IF(AND($A$1=6,$B$1="IPS"),VLOOKUP(AR4,JurusanA,2),
IF(AND($A$1=6,$B$1="IPA"),VLOOKUP(AR4,JurusanB,2),
IF(AND($A$1=7,$B$1=0),VLOOKUP(AR4,JurusanA,2),
IF(AND($A$1=7,$B$1="IPS"),VLOOKUP(AR4,JurusanA,2),
IF(AND($A$1=7,$B$1="IPA"),VLOOKUP(AR4,JurusanB,2),
IF(AND($A$1=8,$B$1=0),VLOOKUP(AR4,JurusanA,2),
IF(AND($A$1=8,$B$1="IPS"),VLOOKUP(AR4,JurusanA,2),
IF(AND($A$1=8,$B$1="IPA"),VLOOKUP(AR4,JurusanB,2),
IF(AND($A$1=9,$B$1=0),VLOOKUP(AR4,JurusanA,2),
IF(AND($A$1=9,$B$1="IPS"),VLOOKUP(AR4,JurusanA,2),
IF(AND($A$1=9,$B$1="IPA"),VLOOKUP(AR4,JurusanB,2),
IF(AND($A$1=10,$B$1=0),VLOOKUP(AR4,JurusanA,2),
IF(AND($A$1=10,$B$1="IPS"),VLOOKUP(AR4,JurusanA,2),
IF(AND($A$1=10,$B$1="IPA"),VLOOKUP(AR4,JurusanB,2),
IF(AND($A$1=11,$B$1=0),VLOOKUP(AR4,JurusanA,2),
IF(AND($A$1=11,$B$1="IPS"),VLOOKUP(AR4,JurusanA,2),
IF(AND($A$1=11,$B$1="IPA"),VLOOKUP(AR4,JurusanB,2),
IF(AND($A$1=12,$B$1=0),VLOOKUP(AR4,JurusanA,2),
IF(AND($A$1=12,$B$1="IPS"),VLOOKUP(AR4,JurusanA,2),
IF(AND($A$1=12,$B$1="IPA"),VLOOKUP(AR4,JurusanB,2),
))))))))))))))))))))))))))))))))))))</f>
        <v>Fiqh</v>
      </c>
      <c r="AP6" s="539"/>
      <c r="AQ6" s="539"/>
      <c r="AR6" s="540"/>
      <c r="AS6" s="538" t="str">
        <f>IF(AND($A$1=1,$B$1=0),VLOOKUP(AV4,JurusanA,2),
IF(AND($A$1=1,$B$1="IPS"),VLOOKUP(AV4,JurusanA,2),
IF(AND($A$1=1,$B$1="IPA"),VLOOKUP(AV4,JurusanB,2),
IF(AND($A$1=2,$B$1=0),VLOOKUP(AV4,JurusanA,2),
IF(AND($A$1=2,$B$1="IPS"),VLOOKUP(AV4,JurusanA,2),
IF(AND($A$1=2,$B$1="IPA"),VLOOKUP(AV4,JurusanB,2),
IF(AND($A$1=3,$B$1=0),VLOOKUP(AV4,JurusanA,2),
IF(AND($A$1=3,$B$1="IPS"),VLOOKUP(AV4,JurusanA,2),
IF(AND($A$1=3,$B$1="IPA"),VLOOKUP(AV4,JurusanB,2),
IF(AND($A$1=4,$B$1=0),VLOOKUP(AV4,JurusanA,2),
IF(AND($A$1=4,$B$1="IPS"),VLOOKUP(AV4,JurusanA,2),
IF(AND($A$1=4,$B$1="IPA"),VLOOKUP(AV4,JurusanB,2),
IF(AND($A$1=5,$B$1=0),VLOOKUP(AV4,JurusanA,2),
IF(AND($A$1=5,$B$1="IPS"),VLOOKUP(AV4,JurusanA,2),
IF(AND($A$1=5,$B$1="IPA"),VLOOKUP(AV4,JurusanB,2),
IF(AND($A$1=6,$B$1=0),VLOOKUP(AV4,JurusanA,2),
IF(AND($A$1=6,$B$1="IPS"),VLOOKUP(AV4,JurusanA,2),
IF(AND($A$1=6,$B$1="IPA"),VLOOKUP(AV4,JurusanB,2),
IF(AND($A$1=7,$B$1=0),VLOOKUP(AV4,JurusanA,2),
IF(AND($A$1=7,$B$1="IPS"),VLOOKUP(AV4,JurusanA,2),
IF(AND($A$1=7,$B$1="IPA"),VLOOKUP(AV4,JurusanB,2),
IF(AND($A$1=8,$B$1=0),VLOOKUP(AV4,JurusanA,2),
IF(AND($A$1=8,$B$1="IPS"),VLOOKUP(AV4,JurusanA,2),
IF(AND($A$1=8,$B$1="IPA"),VLOOKUP(AV4,JurusanB,2),
IF(AND($A$1=9,$B$1=0),VLOOKUP(AV4,JurusanA,2),
IF(AND($A$1=9,$B$1="IPS"),VLOOKUP(AV4,JurusanA,2),
IF(AND($A$1=9,$B$1="IPA"),VLOOKUP(AV4,JurusanB,2),
IF(AND($A$1=10,$B$1=0),VLOOKUP(AV4,JurusanA,2),
IF(AND($A$1=10,$B$1="IPS"),VLOOKUP(AV4,JurusanA,2),
IF(AND($A$1=10,$B$1="IPA"),VLOOKUP(AV4,JurusanB,2),
IF(AND($A$1=11,$B$1=0),VLOOKUP(AV4,JurusanA,2),
IF(AND($A$1=11,$B$1="IPS"),VLOOKUP(AV4,JurusanA,2),
IF(AND($A$1=11,$B$1="IPA"),VLOOKUP(AV4,JurusanB,2),
IF(AND($A$1=12,$B$1=0),VLOOKUP(AV4,JurusanA,2),
IF(AND($A$1=12,$B$1="IPS"),VLOOKUP(AV4,JurusanA,2),
IF(AND($A$1=12,$B$1="IPA"),VLOOKUP(AV4,JurusanB,2),
))))))))))))))))))))))))))))))))))))</f>
        <v>Khot</v>
      </c>
      <c r="AT6" s="539"/>
      <c r="AU6" s="539"/>
      <c r="AV6" s="540"/>
      <c r="AW6" s="538" t="str">
        <f>IF(AND($A$1=1,$B$1=0),VLOOKUP(AZ4,JurusanA,2),
IF(AND($A$1=1,$B$1="IPS"),VLOOKUP(AZ4,JurusanA,2),
IF(AND($A$1=1,$B$1="IPA"),VLOOKUP(AZ4,JurusanB,2),
IF(AND($A$1=2,$B$1=0),VLOOKUP(AZ4,JurusanA,2),
IF(AND($A$1=2,$B$1="IPS"),VLOOKUP(AZ4,JurusanA,2),
IF(AND($A$1=2,$B$1="IPA"),VLOOKUP(AZ4,JurusanB,2),
IF(AND($A$1=3,$B$1=0),VLOOKUP(AZ4,JurusanA,2),
IF(AND($A$1=3,$B$1="IPS"),VLOOKUP(AZ4,JurusanA,2),
IF(AND($A$1=3,$B$1="IPA"),VLOOKUP(AZ4,JurusanB,2),
IF(AND($A$1=4,$B$1=0),VLOOKUP(AZ4,JurusanA,2),
IF(AND($A$1=4,$B$1="IPS"),VLOOKUP(AZ4,JurusanA,2),
IF(AND($A$1=4,$B$1="IPA"),VLOOKUP(AZ4,JurusanB,2),
IF(AND($A$1=5,$B$1=0),VLOOKUP(AZ4,JurusanA,2),
IF(AND($A$1=5,$B$1="IPS"),VLOOKUP(AZ4,JurusanA,2),
IF(AND($A$1=5,$B$1="IPA"),VLOOKUP(AZ4,JurusanB,2),
IF(AND($A$1=6,$B$1=0),VLOOKUP(AZ4,JurusanA,2),
IF(AND($A$1=6,$B$1="IPS"),VLOOKUP(AZ4,JurusanA,2),
IF(AND($A$1=6,$B$1="IPA"),VLOOKUP(AZ4,JurusanB,2),
IF(AND($A$1=7,$B$1=0),VLOOKUP(AZ4,JurusanA,2),
IF(AND($A$1=7,$B$1="IPS"),VLOOKUP(AZ4,JurusanA,2),
IF(AND($A$1=7,$B$1="IPA"),VLOOKUP(AZ4,JurusanB,2),
IF(AND($A$1=8,$B$1=0),VLOOKUP(AZ4,JurusanA,2),
IF(AND($A$1=8,$B$1="IPS"),VLOOKUP(AZ4,JurusanA,2),
IF(AND($A$1=8,$B$1="IPA"),VLOOKUP(AZ4,JurusanB,2),
IF(AND($A$1=9,$B$1=0),VLOOKUP(AZ4,JurusanA,2),
IF(AND($A$1=9,$B$1="IPS"),VLOOKUP(AZ4,JurusanA,2),
IF(AND($A$1=9,$B$1="IPA"),VLOOKUP(AZ4,JurusanB,2),
IF(AND($A$1=10,$B$1=0),VLOOKUP(AZ4,JurusanA,2),
IF(AND($A$1=10,$B$1="IPS"),VLOOKUP(AZ4,JurusanA,2),
IF(AND($A$1=10,$B$1="IPA"),VLOOKUP(AZ4,JurusanB,2),
IF(AND($A$1=11,$B$1=0),VLOOKUP(AZ4,JurusanA,2),
IF(AND($A$1=11,$B$1="IPS"),VLOOKUP(AZ4,JurusanA,2),
IF(AND($A$1=11,$B$1="IPA"),VLOOKUP(AZ4,JurusanB,2),
IF(AND($A$1=12,$B$1=0),VLOOKUP(AZ4,JurusanA,2),
IF(AND($A$1=12,$B$1="IPS"),VLOOKUP(AZ4,JurusanA,2),
IF(AND($A$1=12,$B$1="IPA"),VLOOKUP(AZ4,JurusanB,2),
))))))))))))))))))))))))))))))))))))</f>
        <v>Faroid</v>
      </c>
      <c r="AX6" s="539"/>
      <c r="AY6" s="539"/>
      <c r="AZ6" s="540"/>
      <c r="BA6" s="538" t="str">
        <f>IF(AND($A$1=1,$B$1=0),VLOOKUP(BD4,JurusanA,2),
IF(AND($A$1=1,$B$1="IPS"),VLOOKUP(BD4,JurusanA,2),
IF(AND($A$1=1,$B$1="IPA"),VLOOKUP(BD4,JurusanB,2),
IF(AND($A$1=2,$B$1=0),VLOOKUP(BD4,JurusanA,2),
IF(AND($A$1=2,$B$1="IPS"),VLOOKUP(BD4,JurusanA,2),
IF(AND($A$1=2,$B$1="IPA"),VLOOKUP(BD4,JurusanB,2),
IF(AND($A$1=3,$B$1=0),VLOOKUP(BD4,JurusanA,2),
IF(AND($A$1=3,$B$1="IPS"),VLOOKUP(BD4,JurusanA,2),
IF(AND($A$1=3,$B$1="IPA"),VLOOKUP(BD4,JurusanB,2),
IF(AND($A$1=4,$B$1=0),VLOOKUP(BD4,JurusanA,2),
IF(AND($A$1=4,$B$1="IPS"),VLOOKUP(BD4,JurusanA,2),
IF(AND($A$1=4,$B$1="IPA"),VLOOKUP(BD4,JurusanB,2),
IF(AND($A$1=5,$B$1=0),VLOOKUP(BD4,JurusanA,2),
IF(AND($A$1=5,$B$1="IPS"),VLOOKUP(BD4,JurusanA,2),
IF(AND($A$1=5,$B$1="IPA"),VLOOKUP(BD4,JurusanB,2),
IF(AND($A$1=6,$B$1=0),VLOOKUP(BD4,JurusanA,2),
IF(AND($A$1=6,$B$1="IPS"),VLOOKUP(BD4,JurusanA,2),
IF(AND($A$1=6,$B$1="IPA"),VLOOKUP(BD4,JurusanB,2),
IF(AND($A$1=7,$B$1=0),VLOOKUP(BD4,JurusanA,2),
IF(AND($A$1=7,$B$1="IPS"),VLOOKUP(BD4,JurusanA,2),
IF(AND($A$1=7,$B$1="IPA"),VLOOKUP(BD4,JurusanB,2),
IF(AND($A$1=8,$B$1=0),VLOOKUP(BD4,JurusanA,2),
IF(AND($A$1=8,$B$1="IPS"),VLOOKUP(BD4,JurusanA,2),
IF(AND($A$1=8,$B$1="IPA"),VLOOKUP(BD4,JurusanB,2),
IF(AND($A$1=9,$B$1=0),VLOOKUP(BD4,JurusanA,2),
IF(AND($A$1=9,$B$1="IPS"),VLOOKUP(BD4,JurusanA,2),
IF(AND($A$1=9,$B$1="IPA"),VLOOKUP(BD4,JurusanB,2),
IF(AND($A$1=10,$B$1=0),VLOOKUP(BD4,JurusanA,2),
IF(AND($A$1=10,$B$1="IPS"),VLOOKUP(BD4,JurusanA,2),
IF(AND($A$1=10,$B$1="IPA"),VLOOKUP(BD4,JurusanB,2),
IF(AND($A$1=11,$B$1=0),VLOOKUP(BD4,JurusanA,2),
IF(AND($A$1=11,$B$1="IPS"),VLOOKUP(BD4,JurusanA,2),
IF(AND($A$1=11,$B$1="IPA"),VLOOKUP(BD4,JurusanB,2),
IF(AND($A$1=12,$B$1=0),VLOOKUP(BD4,JurusanA,2),
IF(AND($A$1=12,$B$1="IPS"),VLOOKUP(BD4,JurusanA,2),
IF(AND($A$1=12,$B$1="IPA"),VLOOKUP(BD4,JurusanB,2),
))))))))))))))))))))))))))))))))))))</f>
        <v>Mahfudzot</v>
      </c>
      <c r="BB6" s="539"/>
      <c r="BC6" s="539"/>
      <c r="BD6" s="540"/>
      <c r="BE6" s="538" t="str">
        <f>IF(AND($A$1=1,$B$1=0),VLOOKUP(BH4,JurusanA,2),
IF(AND($A$1=1,$B$1="IPS"),VLOOKUP(BH4,JurusanA,2),
IF(AND($A$1=1,$B$1="IPA"),VLOOKUP(BH4,JurusanB,2),
IF(AND($A$1=2,$B$1=0),VLOOKUP(BH4,JurusanA,2),
IF(AND($A$1=2,$B$1="IPS"),VLOOKUP(BH4,JurusanA,2),
IF(AND($A$1=2,$B$1="IPA"),VLOOKUP(BH4,JurusanB,2),
IF(AND($A$1=3,$B$1=0),VLOOKUP(BH4,JurusanA,2),
IF(AND($A$1=3,$B$1="IPS"),VLOOKUP(BH4,JurusanA,2),
IF(AND($A$1=3,$B$1="IPA"),VLOOKUP(BH4,JurusanB,2),
IF(AND($A$1=4,$B$1=0),VLOOKUP(BH4,JurusanA,2),
IF(AND($A$1=4,$B$1="IPS"),VLOOKUP(BH4,JurusanA,2),
IF(AND($A$1=4,$B$1="IPA"),VLOOKUP(BH4,JurusanB,2),
IF(AND($A$1=5,$B$1=0),VLOOKUP(BH4,JurusanA,2),
IF(AND($A$1=5,$B$1="IPS"),VLOOKUP(BH4,JurusanA,2),
IF(AND($A$1=5,$B$1="IPA"),VLOOKUP(BH4,JurusanB,2),
IF(AND($A$1=6,$B$1=0),VLOOKUP(BH4,JurusanA,2),
IF(AND($A$1=6,$B$1="IPS"),VLOOKUP(BH4,JurusanA,2),
IF(AND($A$1=6,$B$1="IPA"),VLOOKUP(BH4,JurusanB,2),
IF(AND($A$1=7,$B$1=0),VLOOKUP(BH4,JurusanA,2),
IF(AND($A$1=7,$B$1="IPS"),VLOOKUP(BH4,JurusanA,2),
IF(AND($A$1=7,$B$1="IPA"),VLOOKUP(BH4,JurusanB,2),
IF(AND($A$1=8,$B$1=0),VLOOKUP(BH4,JurusanA,2),
IF(AND($A$1=8,$B$1="IPS"),VLOOKUP(BH4,JurusanA,2),
IF(AND($A$1=8,$B$1="IPA"),VLOOKUP(BH4,JurusanB,2),
IF(AND($A$1=9,$B$1=0),VLOOKUP(BH4,JurusanA,2),
IF(AND($A$1=9,$B$1="IPS"),VLOOKUP(BH4,JurusanA,2),
IF(AND($A$1=9,$B$1="IPA"),VLOOKUP(BH4,JurusanB,2),
IF(AND($A$1=10,$B$1=0),VLOOKUP(BH4,JurusanA,2),
IF(AND($A$1=10,$B$1="IPS"),VLOOKUP(BH4,JurusanA,2),
IF(AND($A$1=10,$B$1="IPA"),VLOOKUP(BH4,JurusanB,2),
IF(AND($A$1=11,$B$1=0),VLOOKUP(BH4,JurusanA,2),
IF(AND($A$1=11,$B$1="IPS"),VLOOKUP(BH4,JurusanA,2),
IF(AND($A$1=11,$B$1="IPA"),VLOOKUP(BH4,JurusanB,2),
IF(AND($A$1=12,$B$1=0),VLOOKUP(BH4,JurusanA,2),
IF(AND($A$1=12,$B$1="IPS"),VLOOKUP(BH4,JurusanA,2),
IF(AND($A$1=12,$B$1="IPA"),VLOOKUP(BH4,JurusanB,2),
))))))))))))))))))))))))))))))))))))</f>
        <v>Inggris</v>
      </c>
      <c r="BF6" s="539"/>
      <c r="BG6" s="539"/>
      <c r="BH6" s="540"/>
      <c r="BI6" s="538" t="str">
        <f>IF(AND($A$1=1,$B$1=0),VLOOKUP(BL4,JurusanA,2),
IF(AND($A$1=1,$B$1="IPS"),VLOOKUP(BL4,JurusanA,2),
IF(AND($A$1=1,$B$1="IPA"),VLOOKUP(BL4,JurusanB,2),
IF(AND($A$1=2,$B$1=0),VLOOKUP(BL4,JurusanA,2),
IF(AND($A$1=2,$B$1="IPS"),VLOOKUP(BL4,JurusanA,2),
IF(AND($A$1=2,$B$1="IPA"),VLOOKUP(BL4,JurusanB,2),
IF(AND($A$1=3,$B$1=0),VLOOKUP(BL4,JurusanA,2),
IF(AND($A$1=3,$B$1="IPS"),VLOOKUP(BL4,JurusanA,2),
IF(AND($A$1=3,$B$1="IPA"),VLOOKUP(BL4,JurusanB,2),
IF(AND($A$1=4,$B$1=0),VLOOKUP(BL4,JurusanA,2),
IF(AND($A$1=4,$B$1="IPS"),VLOOKUP(BL4,JurusanA,2),
IF(AND($A$1=4,$B$1="IPA"),VLOOKUP(BL4,JurusanB,2),
IF(AND($A$1=5,$B$1=0),VLOOKUP(BL4,JurusanA,2),
IF(AND($A$1=5,$B$1="IPS"),VLOOKUP(BL4,JurusanA,2),
IF(AND($A$1=5,$B$1="IPA"),VLOOKUP(BL4,JurusanB,2),
IF(AND($A$1=6,$B$1=0),VLOOKUP(BL4,JurusanA,2),
IF(AND($A$1=6,$B$1="IPS"),VLOOKUP(BL4,JurusanA,2),
IF(AND($A$1=6,$B$1="IPA"),VLOOKUP(BL4,JurusanB,2),
IF(AND($A$1=7,$B$1=0),VLOOKUP(BL4,JurusanA,2),
IF(AND($A$1=7,$B$1="IPS"),VLOOKUP(BL4,JurusanA,2),
IF(AND($A$1=7,$B$1="IPA"),VLOOKUP(BL4,JurusanB,2),
IF(AND($A$1=8,$B$1=0),VLOOKUP(BL4,JurusanA,2),
IF(AND($A$1=8,$B$1="IPS"),VLOOKUP(BL4,JurusanA,2),
IF(AND($A$1=8,$B$1="IPA"),VLOOKUP(BL4,JurusanB,2),
IF(AND($A$1=9,$B$1=0),VLOOKUP(BL4,JurusanA,2),
IF(AND($A$1=9,$B$1="IPS"),VLOOKUP(BL4,JurusanA,2),
IF(AND($A$1=9,$B$1="IPA"),VLOOKUP(BL4,JurusanB,2),
IF(AND($A$1=10,$B$1=0),VLOOKUP(BL4,JurusanA,2),
IF(AND($A$1=10,$B$1="IPS"),VLOOKUP(BL4,JurusanA,2),
IF(AND($A$1=10,$B$1="IPA"),VLOOKUP(BL4,JurusanB,2),
IF(AND($A$1=11,$B$1=0),VLOOKUP(BL4,JurusanA,2),
IF(AND($A$1=11,$B$1="IPS"),VLOOKUP(BL4,JurusanA,2),
IF(AND($A$1=11,$B$1="IPA"),VLOOKUP(BL4,JurusanB,2),
IF(AND($A$1=12,$B$1=0),VLOOKUP(BL4,JurusanA,2),
IF(AND($A$1=12,$B$1="IPS"),VLOOKUP(BL4,JurusanA,2),
IF(AND($A$1=12,$B$1="IPA"),VLOOKUP(BL4,JurusanB,2),
))))))))))))))))))))))))))))))))))))</f>
        <v>Matematika</v>
      </c>
      <c r="BJ6" s="539"/>
      <c r="BK6" s="539"/>
      <c r="BL6" s="540"/>
      <c r="BM6" s="538" t="str">
        <f>IF(AND($A$1=1,$B$1=0),VLOOKUP(BP4,JurusanA,2),
IF(AND($A$1=1,$B$1="IPS"),VLOOKUP(BP4,JurusanA,2),
IF(AND($A$1=1,$B$1="IPA"),VLOOKUP(BP4,JurusanB,2),
IF(AND($A$1=2,$B$1=0),VLOOKUP(BP4,JurusanA,2),
IF(AND($A$1=2,$B$1="IPS"),VLOOKUP(BP4,JurusanA,2),
IF(AND($A$1=2,$B$1="IPA"),VLOOKUP(BP4,JurusanB,2),
IF(AND($A$1=3,$B$1=0),VLOOKUP(BP4,JurusanA,2),
IF(AND($A$1=3,$B$1="IPS"),VLOOKUP(BP4,JurusanA,2),
IF(AND($A$1=3,$B$1="IPA"),VLOOKUP(BP4,JurusanB,2),
IF(AND($A$1=4,$B$1=0),VLOOKUP(BP4,JurusanA,2),
IF(AND($A$1=4,$B$1="IPS"),VLOOKUP(BP4,JurusanA,2),
IF(AND($A$1=4,$B$1="IPA"),VLOOKUP(BP4,JurusanB,2),
IF(AND($A$1=5,$B$1=0),VLOOKUP(BP4,JurusanA,2),
IF(AND($A$1=5,$B$1="IPS"),VLOOKUP(BP4,JurusanA,2),
IF(AND($A$1=5,$B$1="IPA"),VLOOKUP(BP4,JurusanB,2),
IF(AND($A$1=6,$B$1=0),VLOOKUP(BP4,JurusanA,2),
IF(AND($A$1=6,$B$1="IPS"),VLOOKUP(BP4,JurusanA,2),
IF(AND($A$1=6,$B$1="IPA"),VLOOKUP(BP4,JurusanB,2),
IF(AND($A$1=7,$B$1=0),VLOOKUP(BP4,JurusanA,2),
IF(AND($A$1=7,$B$1="IPS"),VLOOKUP(BP4,JurusanA,2),
IF(AND($A$1=7,$B$1="IPA"),VLOOKUP(BP4,JurusanB,2),
IF(AND($A$1=8,$B$1=0),VLOOKUP(BP4,JurusanA,2),
IF(AND($A$1=8,$B$1="IPS"),VLOOKUP(BP4,JurusanA,2),
IF(AND($A$1=8,$B$1="IPA"),VLOOKUP(BP4,JurusanB,2),
IF(AND($A$1=9,$B$1=0),VLOOKUP(BP4,JurusanA,2),
IF(AND($A$1=9,$B$1="IPS"),VLOOKUP(BP4,JurusanA,2),
IF(AND($A$1=9,$B$1="IPA"),VLOOKUP(BP4,JurusanB,2),
IF(AND($A$1=10,$B$1=0),VLOOKUP(BP4,JurusanA,2),
IF(AND($A$1=10,$B$1="IPS"),VLOOKUP(BP4,JurusanA,2),
IF(AND($A$1=10,$B$1="IPA"),VLOOKUP(BP4,JurusanB,2),
IF(AND($A$1=11,$B$1=0),VLOOKUP(BP4,JurusanA,2),
IF(AND($A$1=11,$B$1="IPS"),VLOOKUP(BP4,JurusanA,2),
IF(AND($A$1=11,$B$1="IPA"),VLOOKUP(BP4,JurusanB,2),
IF(AND($A$1=12,$B$1=0),VLOOKUP(BP4,JurusanA,2),
IF(AND($A$1=12,$B$1="IPS"),VLOOKUP(BP4,JurusanA,2),
IF(AND($A$1=12,$B$1="IPA"),VLOOKUP(BP4,JurusanB,2),
))))))))))))))))))))))))))))))))))))</f>
        <v>Indonesia</v>
      </c>
      <c r="BN6" s="539"/>
      <c r="BO6" s="539"/>
      <c r="BP6" s="540"/>
      <c r="BQ6" s="538" t="str">
        <f>IF(AND($A$1=1,$B$1=0),VLOOKUP(BT4,JurusanA,2),
IF(AND($A$1=1,$B$1="IPS"),VLOOKUP(BT4,JurusanA,2),
IF(AND($A$1=1,$B$1="IPA"),VLOOKUP(BT4,JurusanB,2),
IF(AND($A$1=2,$B$1=0),VLOOKUP(BT4,JurusanA,2),
IF(AND($A$1=2,$B$1="IPS"),VLOOKUP(BT4,JurusanA,2),
IF(AND($A$1=2,$B$1="IPA"),VLOOKUP(BT4,JurusanB,2),
IF(AND($A$1=3,$B$1=0),VLOOKUP(BT4,JurusanA,2),
IF(AND($A$1=3,$B$1="IPS"),VLOOKUP(BT4,JurusanA,2),
IF(AND($A$1=3,$B$1="IPA"),VLOOKUP(BT4,JurusanB,2),
IF(AND($A$1=4,$B$1=0),VLOOKUP(BT4,JurusanA,2),
IF(AND($A$1=4,$B$1="IPS"),VLOOKUP(BT4,JurusanA,2),
IF(AND($A$1=4,$B$1="IPA"),VLOOKUP(BT4,JurusanB,2),
IF(AND($A$1=5,$B$1=0),VLOOKUP(BT4,JurusanA,2),
IF(AND($A$1=5,$B$1="IPS"),VLOOKUP(BT4,JurusanA,2),
IF(AND($A$1=5,$B$1="IPA"),VLOOKUP(BT4,JurusanB,2),
IF(AND($A$1=6,$B$1=0),VLOOKUP(BT4,JurusanA,2),
IF(AND($A$1=6,$B$1="IPS"),VLOOKUP(BT4,JurusanA,2),
IF(AND($A$1=6,$B$1="IPA"),VLOOKUP(BT4,JurusanB,2),
IF(AND($A$1=7,$B$1=0),VLOOKUP(BT4,JurusanA,2),
IF(AND($A$1=7,$B$1="IPS"),VLOOKUP(BT4,JurusanA,2),
IF(AND($A$1=7,$B$1="IPA"),VLOOKUP(BT4,JurusanB,2),
IF(AND($A$1=8,$B$1=0),VLOOKUP(BT4,JurusanA,2),
IF(AND($A$1=8,$B$1="IPS"),VLOOKUP(BT4,JurusanA,2),
IF(AND($A$1=8,$B$1="IPA"),VLOOKUP(BT4,JurusanB,2),
IF(AND($A$1=9,$B$1=0),VLOOKUP(BT4,JurusanA,2),
IF(AND($A$1=9,$B$1="IPS"),VLOOKUP(BT4,JurusanA,2),
IF(AND($A$1=9,$B$1="IPA"),VLOOKUP(BT4,JurusanB,2),
IF(AND($A$1=10,$B$1=0),VLOOKUP(BT4,JurusanA,2),
IF(AND($A$1=10,$B$1="IPS"),VLOOKUP(BT4,JurusanA,2),
IF(AND($A$1=10,$B$1="IPA"),VLOOKUP(BT4,JurusanB,2),
IF(AND($A$1=11,$B$1=0),VLOOKUP(BT4,JurusanA,2),
IF(AND($A$1=11,$B$1="IPS"),VLOOKUP(BT4,JurusanA,2),
IF(AND($A$1=11,$B$1="IPA"),VLOOKUP(BT4,JurusanB,2),
IF(AND($A$1=12,$B$1=0),VLOOKUP(BT4,JurusanA,2),
IF(AND($A$1=12,$B$1="IPS"),VLOOKUP(BT4,JurusanA,2),
IF(AND($A$1=12,$B$1="IPA"),VLOOKUP(BT4,JurusanB,2),
))))))))))))))))))))))))))))))))))))</f>
        <v>Sejarah</v>
      </c>
      <c r="BR6" s="539"/>
      <c r="BS6" s="539"/>
      <c r="BT6" s="540"/>
      <c r="BU6" s="538" t="str">
        <f>IF(AND($A$1=1,$B$1=0),VLOOKUP(BX4,JurusanA,2),
IF(AND($A$1=1,$B$1="IPS"),VLOOKUP(BX4,JurusanA,2),
IF(AND($A$1=1,$B$1="IPA"),VLOOKUP(BX4,JurusanB,2),
IF(AND($A$1=2,$B$1=0),VLOOKUP(BX4,JurusanA,2),
IF(AND($A$1=2,$B$1="IPS"),VLOOKUP(BX4,JurusanA,2),
IF(AND($A$1=2,$B$1="IPA"),VLOOKUP(BX4,JurusanB,2),
IF(AND($A$1=3,$B$1=0),VLOOKUP(BX4,JurusanA,2),
IF(AND($A$1=3,$B$1="IPS"),VLOOKUP(BX4,JurusanA,2),
IF(AND($A$1=3,$B$1="IPA"),VLOOKUP(BX4,JurusanB,2),
IF(AND($A$1=4,$B$1=0),VLOOKUP(BX4,JurusanA,2),
IF(AND($A$1=4,$B$1="IPS"),VLOOKUP(BX4,JurusanA,2),
IF(AND($A$1=4,$B$1="IPA"),VLOOKUP(BX4,JurusanB,2),
IF(AND($A$1=5,$B$1=0),VLOOKUP(BX4,JurusanA,2),
IF(AND($A$1=5,$B$1="IPS"),VLOOKUP(BX4,JurusanA,2),
IF(AND($A$1=5,$B$1="IPA"),VLOOKUP(BX4,JurusanB,2),
IF(AND($A$1=6,$B$1=0),VLOOKUP(BX4,JurusanA,2),
IF(AND($A$1=6,$B$1="IPS"),VLOOKUP(BX4,JurusanA,2),
IF(AND($A$1=6,$B$1="IPA"),VLOOKUP(BX4,JurusanB,2),
IF(AND($A$1=7,$B$1=0),VLOOKUP(BX4,JurusanA,2),
IF(AND($A$1=7,$B$1="IPS"),VLOOKUP(BX4,JurusanA,2),
IF(AND($A$1=7,$B$1="IPA"),VLOOKUP(BX4,JurusanB,2),
IF(AND($A$1=8,$B$1=0),VLOOKUP(BX4,JurusanA,2),
IF(AND($A$1=8,$B$1="IPS"),VLOOKUP(BX4,JurusanA,2),
IF(AND($A$1=8,$B$1="IPA"),VLOOKUP(BX4,JurusanB,2),
IF(AND($A$1=9,$B$1=0),VLOOKUP(BX4,JurusanA,2),
IF(AND($A$1=9,$B$1="IPS"),VLOOKUP(BX4,JurusanA,2),
IF(AND($A$1=9,$B$1="IPA"),VLOOKUP(BX4,JurusanB,2),
IF(AND($A$1=10,$B$1=0),VLOOKUP(BX4,JurusanA,2),
IF(AND($A$1=10,$B$1="IPS"),VLOOKUP(BX4,JurusanA,2),
IF(AND($A$1=10,$B$1="IPA"),VLOOKUP(BX4,JurusanB,2),
IF(AND($A$1=11,$B$1=0),VLOOKUP(BX4,JurusanA,2),
IF(AND($A$1=11,$B$1="IPS"),VLOOKUP(BX4,JurusanA,2),
IF(AND($A$1=11,$B$1="IPA"),VLOOKUP(BX4,JurusanB,2),
IF(AND($A$1=12,$B$1=0),VLOOKUP(BX4,JurusanA,2),
IF(AND($A$1=12,$B$1="IPS"),VLOOKUP(BX4,JurusanA,2),
IF(AND($A$1=12,$B$1="IPA"),VLOOKUP(BX4,JurusanB,2),
))))))))))))))))))))))))))))))))))))</f>
        <v>TIK</v>
      </c>
      <c r="BV6" s="539"/>
      <c r="BW6" s="539"/>
      <c r="BX6" s="540"/>
      <c r="BY6" s="538" t="str">
        <f>IF(AND($A$1=1,$B$1=0),VLOOKUP(CB4,JurusanA,2),
IF(AND($A$1=1,$B$1="IPS"),VLOOKUP(CB4,JurusanA,2),
IF(AND($A$1=1,$B$1="IPA"),VLOOKUP(CB4,JurusanB,2),
IF(AND($A$1=2,$B$1=0),VLOOKUP(CB4,JurusanA,2),
IF(AND($A$1=2,$B$1="IPS"),VLOOKUP(CB4,JurusanA,2),
IF(AND($A$1=2,$B$1="IPA"),VLOOKUP(CB4,JurusanB,2),
IF(AND($A$1=3,$B$1=0),VLOOKUP(CB4,JurusanA,2),
IF(AND($A$1=3,$B$1="IPS"),VLOOKUP(CB4,JurusanA,2),
IF(AND($A$1=3,$B$1="IPA"),VLOOKUP(CB4,JurusanB,2),
IF(AND($A$1=4,$B$1=0),VLOOKUP(CB4,JurusanA,2),
IF(AND($A$1=4,$B$1="IPS"),VLOOKUP(CB4,JurusanA,2),
IF(AND($A$1=4,$B$1="IPA"),VLOOKUP(CB4,JurusanB,2),
IF(AND($A$1=5,$B$1=0),VLOOKUP(CB4,JurusanA,2),
IF(AND($A$1=5,$B$1="IPS"),VLOOKUP(CB4,JurusanA,2),
IF(AND($A$1=5,$B$1="IPA"),VLOOKUP(CB4,JurusanB,2),
IF(AND($A$1=6,$B$1=0),VLOOKUP(CB4,JurusanA,2),
IF(AND($A$1=6,$B$1="IPS"),VLOOKUP(CB4,JurusanA,2),
IF(AND($A$1=6,$B$1="IPA"),VLOOKUP(CB4,JurusanB,2),
IF(AND($A$1=7,$B$1=0),VLOOKUP(CB4,JurusanA,2),
IF(AND($A$1=7,$B$1="IPS"),VLOOKUP(CB4,JurusanA,2),
IF(AND($A$1=7,$B$1="IPA"),VLOOKUP(CB4,JurusanB,2),
IF(AND($A$1=8,$B$1=0),VLOOKUP(CB4,JurusanA,2),
IF(AND($A$1=8,$B$1="IPS"),VLOOKUP(CB4,JurusanA,2),
IF(AND($A$1=8,$B$1="IPA"),VLOOKUP(CB4,JurusanB,2),
IF(AND($A$1=9,$B$1=0),VLOOKUP(CB4,JurusanA,2),
IF(AND($A$1=9,$B$1="IPS"),VLOOKUP(CB4,JurusanA,2),
IF(AND($A$1=9,$B$1="IPA"),VLOOKUP(CB4,JurusanB,2),
IF(AND($A$1=10,$B$1=0),VLOOKUP(CB4,JurusanA,2),
IF(AND($A$1=10,$B$1="IPS"),VLOOKUP(CB4,JurusanA,2),
IF(AND($A$1=10,$B$1="IPA"),VLOOKUP(CB4,JurusanB,2),
IF(AND($A$1=11,$B$1=0),VLOOKUP(CB4,JurusanA,2),
IF(AND($A$1=11,$B$1="IPS"),VLOOKUP(CB4,JurusanA,2),
IF(AND($A$1=11,$B$1="IPA"),VLOOKUP(CB4,JurusanB,2),
IF(AND($A$1=12,$B$1=0),VLOOKUP(CB4,JurusanA,2),
IF(AND($A$1=12,$B$1="IPS"),VLOOKUP(CB4,JurusanA,2),
IF(AND($A$1=12,$B$1="IPA"),VLOOKUP(CB4,JurusanB,2),
))))))))))))))))))))))))))))))))))))</f>
        <v>PKN</v>
      </c>
      <c r="BZ6" s="539"/>
      <c r="CA6" s="539"/>
      <c r="CB6" s="540"/>
      <c r="CC6" s="538" t="str">
        <f>IF(AND($A$1=1,$B$1=0),VLOOKUP(CF4,JurusanA,2),
IF(AND($A$1=1,$B$1="IPS"),VLOOKUP(CF4,JurusanA,2),
IF(AND($A$1=1,$B$1="IPA"),VLOOKUP(CF4,JurusanB,2),
IF(AND($A$1=2,$B$1=0),VLOOKUP(CF4,JurusanA,2),
IF(AND($A$1=2,$B$1="IPS"),VLOOKUP(CF4,JurusanA,2),
IF(AND($A$1=2,$B$1="IPA"),VLOOKUP(CF4,JurusanB,2),
IF(AND($A$1=3,$B$1=0),VLOOKUP(CF4,JurusanA,2),
IF(AND($A$1=3,$B$1="IPS"),VLOOKUP(CF4,JurusanA,2),
IF(AND($A$1=3,$B$1="IPA"),VLOOKUP(CF4,JurusanB,2),
IF(AND($A$1=4,$B$1=0),VLOOKUP(CF4,JurusanA,2),
IF(AND($A$1=4,$B$1="IPS"),VLOOKUP(CF4,JurusanA,2),
IF(AND($A$1=4,$B$1="IPA"),VLOOKUP(CF4,JurusanB,2),
IF(AND($A$1=5,$B$1=0),VLOOKUP(CF4,JurusanA,2),
IF(AND($A$1=5,$B$1="IPS"),VLOOKUP(CF4,JurusanA,2),
IF(AND($A$1=5,$B$1="IPA"),VLOOKUP(CF4,JurusanB,2),
IF(AND($A$1=6,$B$1=0),VLOOKUP(CF4,JurusanA,2),
IF(AND($A$1=6,$B$1="IPS"),VLOOKUP(CF4,JurusanA,2),
IF(AND($A$1=6,$B$1="IPA"),VLOOKUP(CF4,JurusanB,2),
IF(AND($A$1=7,$B$1=0),VLOOKUP(CF4,JurusanA,2),
IF(AND($A$1=7,$B$1="IPS"),VLOOKUP(CF4,JurusanA,2),
IF(AND($A$1=7,$B$1="IPA"),VLOOKUP(CF4,JurusanB,2),
IF(AND($A$1=8,$B$1=0),VLOOKUP(CF4,JurusanA,2),
IF(AND($A$1=8,$B$1="IPS"),VLOOKUP(CF4,JurusanA,2),
IF(AND($A$1=8,$B$1="IPA"),VLOOKUP(CF4,JurusanB,2),
IF(AND($A$1=9,$B$1=0),VLOOKUP(CF4,JurusanA,2),
IF(AND($A$1=9,$B$1="IPS"),VLOOKUP(CF4,JurusanA,2),
IF(AND($A$1=9,$B$1="IPA"),VLOOKUP(CF4,JurusanB,2),
IF(AND($A$1=10,$B$1=0),VLOOKUP(CF4,JurusanA,2),
IF(AND($A$1=10,$B$1="IPS"),VLOOKUP(CF4,JurusanA,2),
IF(AND($A$1=10,$B$1="IPA"),VLOOKUP(CF4,JurusanB,2),
IF(AND($A$1=11,$B$1=0),VLOOKUP(CF4,JurusanA,2),
IF(AND($A$1=11,$B$1="IPS"),VLOOKUP(CF4,JurusanA,2),
IF(AND($A$1=11,$B$1="IPA"),VLOOKUP(CF4,JurusanB,2),
IF(AND($A$1=12,$B$1=0),VLOOKUP(CF4,JurusanA,2),
IF(AND($A$1=12,$B$1="IPS"),VLOOKUP(CF4,JurusanA,2),
IF(AND($A$1=12,$B$1="IPA"),VLOOKUP(CF4,JurusanB,2),
))))))))))))))))))))))))))))))))))))</f>
        <v>Kimia</v>
      </c>
      <c r="CD6" s="539"/>
      <c r="CE6" s="539"/>
      <c r="CF6" s="540"/>
      <c r="CG6" s="538" t="str">
        <f>IF(AND($A$1=1,$B$1=0),VLOOKUP(CJ4,JurusanA,2),
IF(AND($A$1=1,$B$1="IPS"),VLOOKUP(CJ4,JurusanA,2),
IF(AND($A$1=1,$B$1="IPA"),VLOOKUP(CJ4,JurusanB,2),
IF(AND($A$1=2,$B$1=0),VLOOKUP(CJ4,JurusanA,2),
IF(AND($A$1=2,$B$1="IPS"),VLOOKUP(CJ4,JurusanA,2),
IF(AND($A$1=2,$B$1="IPA"),VLOOKUP(CJ4,JurusanB,2),
IF(AND($A$1=3,$B$1=0),VLOOKUP(CJ4,JurusanA,2),
IF(AND($A$1=3,$B$1="IPS"),VLOOKUP(CJ4,JurusanA,2),
IF(AND($A$1=3,$B$1="IPA"),VLOOKUP(CJ4,JurusanB,2),
IF(AND($A$1=4,$B$1=0),VLOOKUP(CJ4,JurusanA,2),
IF(AND($A$1=4,$B$1="IPS"),VLOOKUP(CJ4,JurusanA,2),
IF(AND($A$1=4,$B$1="IPA"),VLOOKUP(CJ4,JurusanB,2),
IF(AND($A$1=5,$B$1=0),VLOOKUP(CJ4,JurusanA,2),
IF(AND($A$1=5,$B$1="IPS"),VLOOKUP(CJ4,JurusanA,2),
IF(AND($A$1=5,$B$1="IPA"),VLOOKUP(CJ4,JurusanB,2),
IF(AND($A$1=6,$B$1=0),VLOOKUP(CJ4,JurusanA,2),
IF(AND($A$1=6,$B$1="IPS"),VLOOKUP(CJ4,JurusanA,2),
IF(AND($A$1=6,$B$1="IPA"),VLOOKUP(CJ4,JurusanB,2),
IF(AND($A$1=7,$B$1=0),VLOOKUP(CJ4,JurusanA,2),
IF(AND($A$1=7,$B$1="IPS"),VLOOKUP(CJ4,JurusanA,2),
IF(AND($A$1=7,$B$1="IPA"),VLOOKUP(CJ4,JurusanB,2),
IF(AND($A$1=8,$B$1=0),VLOOKUP(CJ4,JurusanA,2),
IF(AND($A$1=8,$B$1="IPS"),VLOOKUP(CJ4,JurusanA,2),
IF(AND($A$1=8,$B$1="IPA"),VLOOKUP(CJ4,JurusanB,2),
IF(AND($A$1=9,$B$1=0),VLOOKUP(CJ4,JurusanA,2),
IF(AND($A$1=9,$B$1="IPS"),VLOOKUP(CJ4,JurusanA,2),
IF(AND($A$1=9,$B$1="IPA"),VLOOKUP(CJ4,JurusanB,2),
IF(AND($A$1=10,$B$1=0),VLOOKUP(CJ4,JurusanA,2),
IF(AND($A$1=10,$B$1="IPS"),VLOOKUP(CJ4,JurusanA,2),
IF(AND($A$1=10,$B$1="IPA"),VLOOKUP(CJ4,JurusanB,2),
IF(AND($A$1=11,$B$1=0),VLOOKUP(CJ4,JurusanA,2),
IF(AND($A$1=11,$B$1="IPS"),VLOOKUP(CJ4,JurusanA,2),
IF(AND($A$1=11,$B$1="IPA"),VLOOKUP(CJ4,JurusanB,2),
IF(AND($A$1=12,$B$1=0),VLOOKUP(CJ4,JurusanA,2),
IF(AND($A$1=12,$B$1="IPS"),VLOOKUP(CJ4,JurusanA,2),
IF(AND($A$1=12,$B$1="IPA"),VLOOKUP(CJ4,JurusanB,2),
))))))))))))))))))))))))))))))))))))</f>
        <v>Fisika</v>
      </c>
      <c r="CH6" s="539"/>
      <c r="CI6" s="539"/>
      <c r="CJ6" s="540"/>
      <c r="CK6" s="538" t="str">
        <f>IF(AND($A$1=1,$B$1=0),VLOOKUP(CN4,JurusanA,2),
IF(AND($A$1=1,$B$1="IPS"),VLOOKUP(CN4,JurusanA,2),
IF(AND($A$1=1,$B$1="IPA"),VLOOKUP(CN4,JurusanB,2),
IF(AND($A$1=2,$B$1=0),VLOOKUP(CN4,JurusanA,2),
IF(AND($A$1=2,$B$1="IPS"),VLOOKUP(CN4,JurusanA,2),
IF(AND($A$1=2,$B$1="IPA"),VLOOKUP(CN4,JurusanB,2),
IF(AND($A$1=3,$B$1=0),VLOOKUP(CN4,JurusanA,2),
IF(AND($A$1=3,$B$1="IPS"),VLOOKUP(CN4,JurusanA,2),
IF(AND($A$1=3,$B$1="IPA"),VLOOKUP(CN4,JurusanB,2),
IF(AND($A$1=4,$B$1=0),VLOOKUP(CN4,JurusanA,2),
IF(AND($A$1=4,$B$1="IPS"),VLOOKUP(CN4,JurusanA,2),
IF(AND($A$1=4,$B$1="IPA"),VLOOKUP(CN4,JurusanB,2),
IF(AND($A$1=5,$B$1=0),VLOOKUP(CN4,JurusanA,2),
IF(AND($A$1=5,$B$1="IPS"),VLOOKUP(CN4,JurusanA,2),
IF(AND($A$1=5,$B$1="IPA"),VLOOKUP(CN4,JurusanB,2),
IF(AND($A$1=6,$B$1=0),VLOOKUP(CN4,JurusanA,2),
IF(AND($A$1=6,$B$1="IPS"),VLOOKUP(CN4,JurusanA,2),
IF(AND($A$1=6,$B$1="IPA"),VLOOKUP(CN4,JurusanB,2),
IF(AND($A$1=7,$B$1=0),VLOOKUP(CN4,JurusanA,2),
IF(AND($A$1=7,$B$1="IPS"),VLOOKUP(CN4,JurusanA,2),
IF(AND($A$1=7,$B$1="IPA"),VLOOKUP(CN4,JurusanB,2),
IF(AND($A$1=8,$B$1=0),VLOOKUP(CN4,JurusanA,2),
IF(AND($A$1=8,$B$1="IPS"),VLOOKUP(CN4,JurusanA,2),
IF(AND($A$1=8,$B$1="IPA"),VLOOKUP(CN4,JurusanB,2),
IF(AND($A$1=9,$B$1=0),VLOOKUP(CN4,JurusanA,2),
IF(AND($A$1=9,$B$1="IPS"),VLOOKUP(CN4,JurusanA,2),
IF(AND($A$1=9,$B$1="IPA"),VLOOKUP(CN4,JurusanB,2),
IF(AND($A$1=10,$B$1=0),VLOOKUP(CN4,JurusanA,2),
IF(AND($A$1=10,$B$1="IPS"),VLOOKUP(CN4,JurusanA,2),
IF(AND($A$1=10,$B$1="IPA"),VLOOKUP(CN4,JurusanB,2),
IF(AND($A$1=11,$B$1=0),VLOOKUP(CN4,JurusanA,2),
IF(AND($A$1=11,$B$1="IPS"),VLOOKUP(CN4,JurusanA,2),
IF(AND($A$1=11,$B$1="IPA"),VLOOKUP(CN4,JurusanB,2),
IF(AND($A$1=12,$B$1=0),VLOOKUP(CN4,JurusanA,2),
IF(AND($A$1=12,$B$1="IPS"),VLOOKUP(CN4,JurusanA,2),
IF(AND($A$1=12,$B$1="IPA"),VLOOKUP(CN4,JurusanB,2),
))))))))))))))))))))))))))))))))))))</f>
        <v>BIOLOGI</v>
      </c>
      <c r="CL6" s="539"/>
      <c r="CM6" s="539"/>
      <c r="CN6" s="540"/>
      <c r="CO6" s="538">
        <f>IF(AND($A$1=1,$B$1=0),VLOOKUP(CR4,JurusanA,2),
IF(AND($A$1=1,$B$1="IPS"),VLOOKUP(CR4,JurusanA,2),
IF(AND($A$1=1,$B$1="IPA"),VLOOKUP(CR4,JurusanB,2),
IF(AND($A$1=2,$B$1=0),VLOOKUP(CR4,JurusanA,2),
IF(AND($A$1=2,$B$1="IPS"),VLOOKUP(CR4,JurusanA,2),
IF(AND($A$1=2,$B$1="IPA"),VLOOKUP(CR4,JurusanB,2),
IF(AND($A$1=3,$B$1=0),VLOOKUP(CR4,JurusanA,2),
IF(AND($A$1=3,$B$1="IPS"),VLOOKUP(CR4,JurusanA,2),
IF(AND($A$1=3,$B$1="IPA"),VLOOKUP(CR4,JurusanB,2),
IF(AND($A$1=4,$B$1=0),VLOOKUP(CR4,JurusanA,2),
IF(AND($A$1=4,$B$1="IPS"),VLOOKUP(CR4,JurusanA,2),
IF(AND($A$1=4,$B$1="IPA"),VLOOKUP(CR4,JurusanB,2),
IF(AND($A$1=5,$B$1=0),VLOOKUP(CR4,JurusanA,2),
IF(AND($A$1=5,$B$1="IPS"),VLOOKUP(CR4,JurusanA,2),
IF(AND($A$1=5,$B$1="IPA"),VLOOKUP(CR4,JurusanB,2),
IF(AND($A$1=6,$B$1=0),VLOOKUP(CR4,JurusanA,2),
IF(AND($A$1=6,$B$1="IPS"),VLOOKUP(CR4,JurusanA,2),
IF(AND($A$1=6,$B$1="IPA"),VLOOKUP(CR4,JurusanB,2),
IF(AND($A$1=7,$B$1=0),VLOOKUP(CR4,JurusanA,2),
IF(AND($A$1=7,$B$1="IPS"),VLOOKUP(CR4,JurusanA,2),
IF(AND($A$1=7,$B$1="IPA"),VLOOKUP(CR4,JurusanB,2),
IF(AND($A$1=8,$B$1=0),VLOOKUP(CR4,JurusanA,2),
IF(AND($A$1=8,$B$1="IPS"),VLOOKUP(CR4,JurusanA,2),
IF(AND($A$1=8,$B$1="IPA"),VLOOKUP(CR4,JurusanB,2),
IF(AND($A$1=9,$B$1=0),VLOOKUP(CR4,JurusanA,2),
IF(AND($A$1=9,$B$1="IPS"),VLOOKUP(CR4,JurusanA,2),
IF(AND($A$1=9,$B$1="IPA"),VLOOKUP(CR4,JurusanB,2),
IF(AND($A$1=10,$B$1=0),VLOOKUP(CR4,JurusanA,2),
IF(AND($A$1=10,$B$1="IPS"),VLOOKUP(CR4,JurusanA,2),
IF(AND($A$1=10,$B$1="IPA"),VLOOKUP(CR4,JurusanB,2),
IF(AND($A$1=11,$B$1=0),VLOOKUP(CR4,JurusanA,2),
IF(AND($A$1=11,$B$1="IPS"),VLOOKUP(CR4,JurusanA,2),
IF(AND($A$1=11,$B$1="IPA"),VLOOKUP(CR4,JurusanB,2),
IF(AND($A$1=12,$B$1=0),VLOOKUP(CR4,JurusanA,2),
IF(AND($A$1=12,$B$1="IPS"),VLOOKUP(CR4,JurusanA,2),
IF(AND($A$1=12,$B$1="IPA"),VLOOKUP(CR4,JurusanB,2),
))))))))))))))))))))))))))))))))))))</f>
        <v>0</v>
      </c>
      <c r="CP6" s="539"/>
      <c r="CQ6" s="539"/>
      <c r="CR6" s="540"/>
      <c r="CS6" s="538">
        <f>IF(AND($A$1=1,$B$1=0),VLOOKUP(CV4,JurusanA,2),
IF(AND($A$1=1,$B$1="IPS"),VLOOKUP(CV4,JurusanA,2),
IF(AND($A$1=1,$B$1="IPA"),VLOOKUP(CV4,JurusanB,2),
IF(AND($A$1=2,$B$1=0),VLOOKUP(CV4,JurusanA,2),
IF(AND($A$1=2,$B$1="IPS"),VLOOKUP(CV4,JurusanA,2),
IF(AND($A$1=2,$B$1="IPA"),VLOOKUP(CV4,JurusanB,2),
IF(AND($A$1=3,$B$1=0),VLOOKUP(CV4,JurusanA,2),
IF(AND($A$1=3,$B$1="IPS"),VLOOKUP(CV4,JurusanA,2),
IF(AND($A$1=3,$B$1="IPA"),VLOOKUP(CV4,JurusanB,2),
IF(AND($A$1=4,$B$1=0),VLOOKUP(CV4,JurusanA,2),
IF(AND($A$1=4,$B$1="IPS"),VLOOKUP(CV4,JurusanA,2),
IF(AND($A$1=4,$B$1="IPA"),VLOOKUP(CV4,JurusanB,2),
IF(AND($A$1=5,$B$1=0),VLOOKUP(CV4,JurusanA,2),
IF(AND($A$1=5,$B$1="IPS"),VLOOKUP(CV4,JurusanA,2),
IF(AND($A$1=5,$B$1="IPA"),VLOOKUP(CV4,JurusanB,2),
IF(AND($A$1=6,$B$1=0),VLOOKUP(CV4,JurusanA,2),
IF(AND($A$1=6,$B$1="IPS"),VLOOKUP(CV4,JurusanA,2),
IF(AND($A$1=6,$B$1="IPA"),VLOOKUP(CV4,JurusanB,2),
IF(AND($A$1=7,$B$1=0),VLOOKUP(CV4,JurusanA,2),
IF(AND($A$1=7,$B$1="IPS"),VLOOKUP(CV4,JurusanA,2),
IF(AND($A$1=7,$B$1="IPA"),VLOOKUP(CV4,JurusanB,2),
IF(AND($A$1=8,$B$1=0),VLOOKUP(CV4,JurusanA,2),
IF(AND($A$1=8,$B$1="IPS"),VLOOKUP(CV4,JurusanA,2),
IF(AND($A$1=8,$B$1="IPA"),VLOOKUP(CV4,JurusanB,2),
IF(AND($A$1=9,$B$1=0),VLOOKUP(CV4,JurusanA,2),
IF(AND($A$1=9,$B$1="IPS"),VLOOKUP(CV4,JurusanA,2),
IF(AND($A$1=9,$B$1="IPA"),VLOOKUP(CV4,JurusanB,2),
IF(AND($A$1=10,$B$1=0),VLOOKUP(CV4,JurusanA,2),
IF(AND($A$1=10,$B$1="IPS"),VLOOKUP(CV4,JurusanA,2),
IF(AND($A$1=10,$B$1="IPA"),VLOOKUP(CV4,JurusanB,2),
IF(AND($A$1=11,$B$1=0),VLOOKUP(CV4,JurusanA,2),
IF(AND($A$1=11,$B$1="IPS"),VLOOKUP(CV4,JurusanA,2),
IF(AND($A$1=11,$B$1="IPA"),VLOOKUP(CV4,JurusanB,2),
IF(AND($A$1=12,$B$1=0),VLOOKUP(CV4,JurusanA,2),
IF(AND($A$1=12,$B$1="IPS"),VLOOKUP(CV4,JurusanA,2),
IF(AND($A$1=12,$B$1="IPA"),VLOOKUP(CV4,JurusanB,2),
))))))))))))))))))))))))))))))))))))</f>
        <v>0</v>
      </c>
      <c r="CT6" s="539"/>
      <c r="CU6" s="539"/>
      <c r="CV6" s="540"/>
      <c r="CW6" s="538">
        <f>IF(AND($A$1=1,$B$1=0),VLOOKUP(CZ4,JurusanA,2),
IF(AND($A$1=1,$B$1="IPS"),VLOOKUP(CZ4,JurusanA,2),
IF(AND($A$1=1,$B$1="IPA"),VLOOKUP(CZ4,JurusanB,2),
IF(AND($A$1=2,$B$1=0),VLOOKUP(CZ4,JurusanA,2),
IF(AND($A$1=2,$B$1="IPS"),VLOOKUP(CZ4,JurusanA,2),
IF(AND($A$1=2,$B$1="IPA"),VLOOKUP(CZ4,JurusanB,2),
IF(AND($A$1=3,$B$1=0),VLOOKUP(CZ4,JurusanA,2),
IF(AND($A$1=3,$B$1="IPS"),VLOOKUP(CZ4,JurusanA,2),
IF(AND($A$1=3,$B$1="IPA"),VLOOKUP(CZ4,JurusanB,2),
IF(AND($A$1=4,$B$1=0),VLOOKUP(CZ4,JurusanA,2),
IF(AND($A$1=4,$B$1="IPS"),VLOOKUP(CZ4,JurusanA,2),
IF(AND($A$1=4,$B$1="IPA"),VLOOKUP(CZ4,JurusanB,2),
IF(AND($A$1=5,$B$1=0),VLOOKUP(CZ4,JurusanA,2),
IF(AND($A$1=5,$B$1="IPS"),VLOOKUP(CZ4,JurusanA,2),
IF(AND($A$1=5,$B$1="IPA"),VLOOKUP(CZ4,JurusanB,2),
IF(AND($A$1=6,$B$1=0),VLOOKUP(CZ4,JurusanA,2),
IF(AND($A$1=6,$B$1="IPS"),VLOOKUP(CZ4,JurusanA,2),
IF(AND($A$1=6,$B$1="IPA"),VLOOKUP(CZ4,JurusanB,2),
IF(AND($A$1=7,$B$1=0),VLOOKUP(CZ4,JurusanA,2),
IF(AND($A$1=7,$B$1="IPS"),VLOOKUP(CZ4,JurusanA,2),
IF(AND($A$1=7,$B$1="IPA"),VLOOKUP(CZ4,JurusanB,2),
IF(AND($A$1=8,$B$1=0),VLOOKUP(CZ4,JurusanA,2),
IF(AND($A$1=8,$B$1="IPS"),VLOOKUP(CZ4,JurusanA,2),
IF(AND($A$1=8,$B$1="IPA"),VLOOKUP(CZ4,JurusanB,2),
IF(AND($A$1=9,$B$1=0),VLOOKUP(CZ4,JurusanA,2),
IF(AND($A$1=9,$B$1="IPS"),VLOOKUP(CZ4,JurusanA,2),
IF(AND($A$1=9,$B$1="IPA"),VLOOKUP(CZ4,JurusanB,2),
IF(AND($A$1=10,$B$1=0),VLOOKUP(CZ4,JurusanA,2),
IF(AND($A$1=10,$B$1="IPS"),VLOOKUP(CZ4,JurusanA,2),
IF(AND($A$1=10,$B$1="IPA"),VLOOKUP(CZ4,JurusanB,2),
IF(AND($A$1=11,$B$1=0),VLOOKUP(CZ4,JurusanA,2),
IF(AND($A$1=11,$B$1="IPS"),VLOOKUP(CZ4,JurusanA,2),
IF(AND($A$1=11,$B$1="IPA"),VLOOKUP(CZ4,JurusanB,2),
IF(AND($A$1=12,$B$1=0),VLOOKUP(CZ4,JurusanA,2),
IF(AND($A$1=12,$B$1="IPS"),VLOOKUP(CZ4,JurusanA,2),
IF(AND($A$1=12,$B$1="IPA"),VLOOKUP(CZ4,JurusanB,2),
))))))))))))))))))))))))))))))))))))</f>
        <v>0</v>
      </c>
      <c r="CX6" s="539"/>
      <c r="CY6" s="539"/>
      <c r="CZ6" s="540"/>
      <c r="DA6" s="538">
        <f>IF(AND($A$1=1,$B$1=0),VLOOKUP(DD4,JurusanA,2),
IF(AND($A$1=1,$B$1="IPS"),VLOOKUP(DD4,JurusanA,2),
IF(AND($A$1=1,$B$1="IPA"),VLOOKUP(DD4,JurusanB,2),
IF(AND($A$1=2,$B$1=0),VLOOKUP(DD4,JurusanA,2),
IF(AND($A$1=2,$B$1="IPS"),VLOOKUP(DD4,JurusanA,2),
IF(AND($A$1=2,$B$1="IPA"),VLOOKUP(DD4,JurusanB,2),
IF(AND($A$1=3,$B$1=0),VLOOKUP(DD4,JurusanA,2),
IF(AND($A$1=3,$B$1="IPS"),VLOOKUP(DD4,JurusanA,2),
IF(AND($A$1=3,$B$1="IPA"),VLOOKUP(DD4,JurusanB,2),
IF(AND($A$1=4,$B$1=0),VLOOKUP(DD4,JurusanA,2),
IF(AND($A$1=4,$B$1="IPS"),VLOOKUP(DD4,JurusanA,2),
IF(AND($A$1=4,$B$1="IPA"),VLOOKUP(DD4,JurusanB,2),
IF(AND($A$1=5,$B$1=0),VLOOKUP(DD4,JurusanA,2),
IF(AND($A$1=5,$B$1="IPS"),VLOOKUP(DD4,JurusanA,2),
IF(AND($A$1=5,$B$1="IPA"),VLOOKUP(DD4,JurusanB,2),
IF(AND($A$1=6,$B$1=0),VLOOKUP(DD4,JurusanA,2),
IF(AND($A$1=6,$B$1="IPS"),VLOOKUP(DD4,JurusanA,2),
IF(AND($A$1=6,$B$1="IPA"),VLOOKUP(DD4,JurusanB,2),
IF(AND($A$1=7,$B$1=0),VLOOKUP(DD4,JurusanA,2),
IF(AND($A$1=7,$B$1="IPS"),VLOOKUP(DD4,JurusanA,2),
IF(AND($A$1=7,$B$1="IPA"),VLOOKUP(DD4,JurusanB,2),
IF(AND($A$1=8,$B$1=0),VLOOKUP(DD4,JurusanA,2),
IF(AND($A$1=8,$B$1="IPS"),VLOOKUP(DD4,JurusanA,2),
IF(AND($A$1=8,$B$1="IPA"),VLOOKUP(DD4,JurusanB,2),
IF(AND($A$1=9,$B$1=0),VLOOKUP(DD4,JurusanA,2),
IF(AND($A$1=9,$B$1="IPS"),VLOOKUP(DD4,JurusanA,2),
IF(AND($A$1=9,$B$1="IPA"),VLOOKUP(DD4,JurusanB,2),
IF(AND($A$1=10,$B$1=0),VLOOKUP(DD4,JurusanA,2),
IF(AND($A$1=10,$B$1="IPS"),VLOOKUP(DD4,JurusanA,2),
IF(AND($A$1=10,$B$1="IPA"),VLOOKUP(DD4,JurusanB,2),
IF(AND($A$1=11,$B$1=0),VLOOKUP(DD4,JurusanA,2),
IF(AND($A$1=11,$B$1="IPS"),VLOOKUP(DD4,JurusanA,2),
IF(AND($A$1=11,$B$1="IPA"),VLOOKUP(DD4,JurusanB,2),
IF(AND($A$1=12,$B$1=0),VLOOKUP(DD4,JurusanA,2),
IF(AND($A$1=12,$B$1="IPS"),VLOOKUP(DD4,JurusanA,2),
IF(AND($A$1=12,$B$1="IPA"),VLOOKUP(DD4,JurusanB,2),
))))))))))))))))))))))))))))))))))))</f>
        <v>0</v>
      </c>
      <c r="DB6" s="539"/>
      <c r="DC6" s="539"/>
      <c r="DD6" s="540"/>
      <c r="DE6" s="550"/>
      <c r="DF6" s="550"/>
      <c r="DG6" s="550"/>
      <c r="DH6" s="536">
        <f t="shared" si="0"/>
        <v>0</v>
      </c>
      <c r="DI6" s="550"/>
      <c r="DJ6" s="550"/>
      <c r="DK6" s="550"/>
      <c r="DL6" s="536">
        <f t="shared" si="0"/>
        <v>0</v>
      </c>
      <c r="DM6" s="550"/>
      <c r="DN6" s="550"/>
      <c r="DO6" s="550"/>
      <c r="DP6" s="536">
        <f t="shared" si="0"/>
        <v>0</v>
      </c>
      <c r="DQ6" s="536">
        <f t="shared" si="0"/>
        <v>0</v>
      </c>
      <c r="DR6" s="536">
        <f t="shared" si="0"/>
        <v>0</v>
      </c>
      <c r="DS6" s="536">
        <f t="shared" si="0"/>
        <v>0</v>
      </c>
      <c r="DT6" s="536">
        <f t="shared" si="0"/>
        <v>0</v>
      </c>
      <c r="DU6" s="536">
        <f t="shared" si="0"/>
        <v>0</v>
      </c>
      <c r="DV6" s="536">
        <f t="shared" si="0"/>
        <v>0</v>
      </c>
      <c r="DW6" s="536">
        <f t="shared" si="0"/>
        <v>0</v>
      </c>
      <c r="DX6" s="536">
        <f t="shared" si="0"/>
        <v>0</v>
      </c>
      <c r="DY6" s="536">
        <f t="shared" si="0"/>
        <v>0</v>
      </c>
      <c r="DZ6" s="536">
        <f t="shared" si="0"/>
        <v>0</v>
      </c>
    </row>
    <row r="7" spans="1:171" ht="15" customHeight="1" x14ac:dyDescent="0.25">
      <c r="B7" s="334"/>
      <c r="C7" s="541"/>
      <c r="D7" s="334"/>
      <c r="E7" s="334"/>
      <c r="F7" s="334"/>
      <c r="G7" s="334"/>
      <c r="H7" s="334"/>
      <c r="I7" s="334"/>
      <c r="J7" s="536"/>
      <c r="K7" s="536"/>
      <c r="L7" s="536"/>
      <c r="M7" s="536"/>
      <c r="N7" s="536"/>
      <c r="O7" s="536"/>
      <c r="P7" s="536"/>
      <c r="Q7" s="536"/>
      <c r="R7" s="536"/>
      <c r="S7" s="536"/>
      <c r="T7" s="536"/>
      <c r="U7" s="536"/>
      <c r="V7" s="536"/>
      <c r="W7" s="536"/>
      <c r="X7" s="536"/>
      <c r="Y7" s="536"/>
      <c r="Z7" s="536"/>
      <c r="AA7" s="536"/>
      <c r="AB7" s="536"/>
      <c r="AC7" s="536"/>
      <c r="AD7" s="536"/>
      <c r="AE7" s="536"/>
      <c r="AF7" s="536"/>
      <c r="AG7" s="536"/>
      <c r="AH7" s="536"/>
      <c r="AI7" s="536"/>
      <c r="AJ7" s="536"/>
      <c r="AK7" s="536"/>
      <c r="AL7" s="536"/>
      <c r="AM7" s="536"/>
      <c r="AN7" s="542"/>
      <c r="AO7" s="536"/>
      <c r="AP7" s="536"/>
      <c r="AQ7" s="536"/>
      <c r="AR7" s="542"/>
      <c r="AS7" s="536"/>
      <c r="AT7" s="536"/>
      <c r="AU7" s="536"/>
      <c r="AV7" s="542"/>
      <c r="AW7" s="536"/>
      <c r="AX7" s="536"/>
      <c r="AY7" s="536"/>
      <c r="AZ7" s="542"/>
      <c r="BA7" s="536"/>
      <c r="BB7" s="536"/>
      <c r="BC7" s="536"/>
      <c r="BD7" s="542"/>
      <c r="BE7" s="536"/>
      <c r="BF7" s="536"/>
      <c r="BG7" s="536"/>
      <c r="BH7" s="542"/>
      <c r="BI7" s="536"/>
      <c r="BJ7" s="536"/>
      <c r="BK7" s="536"/>
      <c r="BL7" s="542"/>
      <c r="BM7" s="536"/>
      <c r="BN7" s="536"/>
      <c r="BO7" s="536"/>
      <c r="BP7" s="542"/>
      <c r="BQ7" s="536"/>
      <c r="BR7" s="536"/>
      <c r="BS7" s="536"/>
      <c r="BT7" s="542"/>
      <c r="BU7" s="536"/>
      <c r="BV7" s="536"/>
      <c r="BW7" s="536"/>
      <c r="BX7" s="542"/>
      <c r="BY7" s="536"/>
      <c r="BZ7" s="536"/>
      <c r="CA7" s="536"/>
      <c r="CB7" s="542"/>
      <c r="CC7" s="536"/>
      <c r="CD7" s="536"/>
      <c r="CE7" s="536"/>
      <c r="CF7" s="541"/>
      <c r="CG7" s="536"/>
      <c r="CH7" s="536"/>
      <c r="CI7" s="536"/>
      <c r="CJ7" s="541"/>
      <c r="CK7" s="536"/>
      <c r="CL7" s="536"/>
      <c r="CM7" s="536"/>
      <c r="CN7" s="541"/>
      <c r="CO7" s="536"/>
      <c r="CP7" s="536"/>
      <c r="CQ7" s="536"/>
      <c r="CR7" s="541"/>
      <c r="CS7" s="536"/>
      <c r="CT7" s="536"/>
      <c r="CU7" s="536"/>
      <c r="CV7" s="541"/>
      <c r="CW7" s="536"/>
      <c r="CX7" s="536"/>
      <c r="CY7" s="536"/>
      <c r="CZ7" s="541"/>
      <c r="DA7" s="536"/>
      <c r="DB7" s="536"/>
      <c r="DC7" s="536"/>
      <c r="DD7" s="541"/>
      <c r="DE7" s="536"/>
      <c r="DF7" s="536"/>
      <c r="DG7" s="536"/>
      <c r="DH7" s="541"/>
      <c r="DI7" s="536"/>
      <c r="DJ7" s="536"/>
      <c r="DK7" s="536"/>
      <c r="DL7" s="541"/>
      <c r="DM7" s="536"/>
      <c r="DN7" s="536"/>
      <c r="DO7" s="536"/>
      <c r="DP7" s="541"/>
      <c r="DQ7" s="541"/>
      <c r="DR7" s="541"/>
      <c r="DS7" s="541"/>
      <c r="DT7" s="541"/>
      <c r="DU7" s="541"/>
      <c r="DV7" s="541"/>
      <c r="DW7" s="541"/>
      <c r="DX7" s="541"/>
      <c r="DY7" s="541"/>
      <c r="DZ7" s="541"/>
    </row>
    <row r="8" spans="1:171" s="543" customFormat="1" ht="15" customHeight="1" x14ac:dyDescent="0.25">
      <c r="B8" s="334">
        <v>1</v>
      </c>
      <c r="C8" s="542" t="s">
        <v>8691</v>
      </c>
      <c r="D8" s="544">
        <v>8</v>
      </c>
      <c r="E8" s="544">
        <v>7</v>
      </c>
      <c r="F8" s="544">
        <v>8</v>
      </c>
      <c r="G8" s="544">
        <v>7</v>
      </c>
      <c r="H8" s="544">
        <v>8</v>
      </c>
      <c r="I8" s="544">
        <v>9</v>
      </c>
      <c r="J8" s="546">
        <v>7</v>
      </c>
      <c r="K8" s="546">
        <v>8</v>
      </c>
      <c r="L8" s="546">
        <v>8</v>
      </c>
      <c r="M8" s="546">
        <v>3.6</v>
      </c>
      <c r="N8" s="546">
        <v>5.6</v>
      </c>
      <c r="O8" s="546">
        <v>9</v>
      </c>
      <c r="P8" s="546">
        <f>IF( SUM((M8*(20/100))+(N8*(30/100))+(O8*(50/100))) &gt;=9.3,9.5,
IF(AND( SUM((M8*(20/100))+(N8*(30/100))+(O8*(50/100))) &lt;=9.3, SUM((M8*(20/100))+(N8*(30/100))+(O8*(50/100))) &gt;=8.8),9,
IF(AND( SUM((M8*(20/100))+(N8*(30/100))+(O8*(50/100))) &lt;=8.8, SUM((M8*(20/100))+(N8*(30/100))+(O8*(50/100))) &gt;=8.3),8.5,
IF(AND( SUM((M8*(20/100))+(N8*(30/100))+(O8*(50/100))) &lt;=8.3, SUM((M8*(20/100))+(N8*(30/100))+(O8*(50/100))) &gt;=7.8),8,
IF(AND( SUM((M8*(20/100))+(N8*(30/100))+(O8*(50/100))) &lt;=7.8, SUM((M8*(20/100))+(N8*(30/100))+(O8*(50/100))) &gt;=7.3),7.5,
IF(AND( SUM((M8*(20/100))+(N8*(30/100))+(O8*(50/100))) &lt;=7.3, SUM((M8*(20/100))+(N8*(30/100))+(O8*(50/100))) &gt;=6.8),7,
IF(AND( SUM((M8*(20/100))+(N8*(30/100))+(O8*(50/100))) &lt;=6.8, SUM((M8*(20/100))+(N8*(30/100))+(O8*(50/100))) &gt;=6.3),6.5,
IF(AND( SUM((M8*(20/100))+(N8*(30/100))+(O8*(50/100))) &lt;=6.3, SUM((M8*(20/100))+(N8*(30/100))+(O8*(50/100))) &gt;=5.8),6,
IF(AND( SUM((M8*(20/100))+(N8*(30/100))+(O8*(50/100))) &lt;=5.8, SUM((M8*(20/100))+(N8*(30/100))+(O8*(50/100))) &gt;=5.3),5.5,
IF(AND( SUM((M8*(20/100))+(N8*(30/100))+(O8*(50/100))) &lt;=5.3, SUM((M8*(20/100))+(N8*(30/100))+(O8*(50/100))) &gt;=4.8),5,
IF(AND( SUM((M8*(20/100))+(N8*(30/100))+(O8*(50/100))) &lt;=4.8, SUM((M8*(20/100))+(N8*(30/100))+(O8*(50/100))) &gt;=4.3),4.5,
IF(AND( SUM((M8*(20/100))+(N8*(30/100))+(O8*(50/100))) &lt;=4.3, SUM((M8*(20/100))+(N8*(30/100))+(O8*(50/100))) &gt;=3.8),4,
IF(AND( SUM((M8*(20/100))+(N8*(30/100))+(O8*(50/100))) &lt;=3.8, SUM((M8*(20/100))+(N8*(30/100))+(O8*(50/100))) &gt;=3.5),3.5,0)))))))))))))</f>
        <v>7</v>
      </c>
      <c r="Q8" s="546">
        <v>5</v>
      </c>
      <c r="R8" s="546">
        <v>5</v>
      </c>
      <c r="S8" s="546">
        <v>9</v>
      </c>
      <c r="T8" s="546">
        <f>IF( SUM((Q8*(20/100))+(R8*(30/100))+(S8*(50/100))) &gt;=9.3,9.5,
IF(AND( SUM((Q8*(20/100))+(R8*(30/100))+(S8*(50/100))) &lt;=9.3, SUM((Q8*(20/100))+(R8*(30/100))+(S8*(50/100))) &gt;=8.8),9,
IF(AND( SUM((Q8*(20/100))+(R8*(30/100))+(S8*(50/100))) &lt;=8.8, SUM((Q8*(20/100))+(R8*(30/100))+(S8*(50/100))) &gt;=8.3),8.5,
IF(AND( SUM((Q8*(20/100))+(R8*(30/100))+(S8*(50/100))) &lt;=8.3, SUM((Q8*(20/100))+(R8*(30/100))+(S8*(50/100))) &gt;=7.8),8,
IF(AND( SUM((Q8*(20/100))+(R8*(30/100))+(S8*(50/100))) &lt;=7.8, SUM((Q8*(20/100))+(R8*(30/100))+(S8*(50/100))) &gt;=7.3),7.5,
IF(AND( SUM((Q8*(20/100))+(R8*(30/100))+(S8*(50/100))) &lt;=7.3, SUM((Q8*(20/100))+(R8*(30/100))+(S8*(50/100))) &gt;=6.8),7,
IF(AND( SUM((Q8*(20/100))+(R8*(30/100))+(S8*(50/100))) &lt;=6.8, SUM((Q8*(20/100))+(R8*(30/100))+(S8*(50/100))) &gt;=6.3),6.5,
IF(AND( SUM((Q8*(20/100))+(R8*(30/100))+(S8*(50/100))) &lt;=6.3, SUM((Q8*(20/100))+(R8*(30/100))+(S8*(50/100))) &gt;=5.8),6,
IF(AND( SUM((Q8*(20/100))+(R8*(30/100))+(S8*(50/100))) &lt;=5.8, SUM((Q8*(20/100))+(R8*(30/100))+(S8*(50/100))) &gt;=5.3),5.5,
IF(AND( SUM((Q8*(20/100))+(R8*(30/100))+(S8*(50/100))) &lt;=5.3, SUM((Q8*(20/100))+(R8*(30/100))+(S8*(50/100))) &gt;=4.8),5,
IF(AND( SUM((Q8*(20/100))+(R8*(30/100))+(S8*(50/100))) &lt;=4.8, SUM((Q8*(20/100))+(R8*(30/100))+(S8*(50/100))) &gt;=4.3),4.5,
IF(AND( SUM((Q8*(20/100))+(R8*(30/100))+(S8*(50/100))) &lt;=4.3, SUM((Q8*(20/100))+(R8*(30/100))+(S8*(50/100))) &gt;=3.8),4,
IF(AND( SUM((Q8*(20/100))+(R8*(30/100))+(S8*(50/100))) &lt;=3.8, SUM((Q8*(20/100))+(R8*(30/100))+(S8*(50/100))) &gt;=3.5),3.5,0)))))))))))))</f>
        <v>7</v>
      </c>
      <c r="U8" s="546"/>
      <c r="V8" s="546"/>
      <c r="W8" s="546"/>
      <c r="X8" s="546">
        <f>IF( SUM((U8*(20/100))+(V8*(30/100))+(W8*(50/100))) &gt;=9.3,9.5,
IF(AND( SUM((U8*(20/100))+(V8*(30/100))+(W8*(50/100))) &lt;=9.3, SUM((U8*(20/100))+(V8*(30/100))+(W8*(50/100))) &gt;=8.8),9,
IF(AND( SUM((U8*(20/100))+(V8*(30/100))+(W8*(50/100))) &lt;=8.8, SUM((U8*(20/100))+(V8*(30/100))+(W8*(50/100))) &gt;=8.3),8.5,
IF(AND( SUM((U8*(20/100))+(V8*(30/100))+(W8*(50/100))) &lt;=8.3, SUM((U8*(20/100))+(V8*(30/100))+(W8*(50/100))) &gt;=7.8),8,
IF(AND( SUM((U8*(20/100))+(V8*(30/100))+(W8*(50/100))) &lt;=7.8, SUM((U8*(20/100))+(V8*(30/100))+(W8*(50/100))) &gt;=7.3),7.5,
IF(AND( SUM((U8*(20/100))+(V8*(30/100))+(W8*(50/100))) &lt;=7.3, SUM((U8*(20/100))+(V8*(30/100))+(W8*(50/100))) &gt;=6.8),7,
IF(AND( SUM((U8*(20/100))+(V8*(30/100))+(W8*(50/100))) &lt;=6.8, SUM((U8*(20/100))+(V8*(30/100))+(W8*(50/100))) &gt;=6.3),6.5,
IF(AND( SUM((U8*(20/100))+(V8*(30/100))+(W8*(50/100))) &lt;=6.3, SUM((U8*(20/100))+(V8*(30/100))+(W8*(50/100))) &gt;=5.8),6,
IF(AND( SUM((U8*(20/100))+(V8*(30/100))+(W8*(50/100))) &lt;=5.8, SUM((U8*(20/100))+(V8*(30/100))+(W8*(50/100))) &gt;=5.3),5.5,
IF(AND( SUM((U8*(20/100))+(V8*(30/100))+(W8*(50/100))) &lt;=5.3, SUM((U8*(20/100))+(V8*(30/100))+(W8*(50/100))) &gt;=4.8),5,
IF(AND( SUM((U8*(20/100))+(V8*(30/100))+(W8*(50/100))) &lt;=4.8, SUM((U8*(20/100))+(V8*(30/100))+(W8*(50/100))) &gt;=4.3),4.5,
IF(AND( SUM((U8*(20/100))+(V8*(30/100))+(W8*(50/100))) &lt;=4.3, SUM((U8*(20/100))+(V8*(30/100))+(W8*(50/100))) &gt;=3.8),4,
IF(AND( SUM((U8*(20/100))+(V8*(30/100))+(W8*(50/100))) &lt;=3.8, SUM((U8*(20/100))+(V8*(30/100))+(W8*(50/100))) &gt;=3.5),3.5,0)))))))))))))</f>
        <v>0</v>
      </c>
      <c r="Y8" s="546"/>
      <c r="Z8" s="546"/>
      <c r="AA8" s="546"/>
      <c r="AB8" s="546">
        <f>IF( SUM((Y8*(20/100))+(Z8*(30/100))+(AA8*(50/100))) &gt;=9.3,9.5,
IF(AND( SUM((Y8*(20/100))+(Z8*(30/100))+(AA8*(50/100))) &lt;=9.3, SUM((Y8*(20/100))+(Z8*(30/100))+(AA8*(50/100))) &gt;=8.8),9,
IF(AND( SUM((Y8*(20/100))+(Z8*(30/100))+(AA8*(50/100))) &lt;=8.8, SUM((Y8*(20/100))+(Z8*(30/100))+(AA8*(50/100))) &gt;=8.3),8.5,
IF(AND( SUM((Y8*(20/100))+(Z8*(30/100))+(AA8*(50/100))) &lt;=8.3, SUM((Y8*(20/100))+(Z8*(30/100))+(AA8*(50/100))) &gt;=7.8),8,
IF(AND( SUM((Y8*(20/100))+(Z8*(30/100))+(AA8*(50/100))) &lt;=7.8, SUM((Y8*(20/100))+(Z8*(30/100))+(AA8*(50/100))) &gt;=7.3),7.5,
IF(AND( SUM((Y8*(20/100))+(Z8*(30/100))+(AA8*(50/100))) &lt;=7.3, SUM((Y8*(20/100))+(Z8*(30/100))+(AA8*(50/100))) &gt;=6.8),7,
IF(AND( SUM((Y8*(20/100))+(Z8*(30/100))+(AA8*(50/100))) &lt;=6.8, SUM((Y8*(20/100))+(Z8*(30/100))+(AA8*(50/100))) &gt;=6.3),6.5,
IF(AND( SUM((Y8*(20/100))+(Z8*(30/100))+(AA8*(50/100))) &lt;=6.3, SUM((Y8*(20/100))+(Z8*(30/100))+(AA8*(50/100))) &gt;=5.8),6,
IF(AND( SUM((Y8*(20/100))+(Z8*(30/100))+(AA8*(50/100))) &lt;=5.8, SUM((Y8*(20/100))+(Z8*(30/100))+(AA8*(50/100))) &gt;=5.3),5.5,
IF(AND( SUM((Y8*(20/100))+(Z8*(30/100))+(AA8*(50/100))) &lt;=5.3, SUM((Y8*(20/100))+(Z8*(30/100))+(AA8*(50/100))) &gt;=4.8),5,
IF(AND( SUM((Y8*(20/100))+(Z8*(30/100))+(AA8*(50/100))) &lt;=4.8, SUM((Y8*(20/100))+(Z8*(30/100))+(AA8*(50/100))) &gt;=4.3),4.5,
IF(AND( SUM((Y8*(20/100))+(Z8*(30/100))+(AA8*(50/100))) &lt;=4.3, SUM((Y8*(20/100))+(Z8*(30/100))+(AA8*(50/100))) &gt;=3.8),4,
IF(AND( SUM((Y8*(20/100))+(Z8*(30/100))+(AA8*(50/100))) &lt;=3.8, SUM((Y8*(20/100))+(Z8*(30/100))+(AA8*(50/100))) &gt;=3.5),3.5,0)))))))))))))</f>
        <v>0</v>
      </c>
      <c r="AC8" s="546">
        <v>3.6</v>
      </c>
      <c r="AD8" s="546">
        <v>9</v>
      </c>
      <c r="AE8" s="546"/>
      <c r="AF8" s="546">
        <f>IF( SUM((AC8*(20/100))+(AD8*(30/100))+(AE8*(50/100))) &gt;=9.3,9.5,
IF(AND( SUM((AC8*(20/100))+(AD8*(30/100))+(AE8*(50/100))) &lt;=9.3, SUM((AC8*(20/100))+(AD8*(30/100))+(AE8*(50/100))) &gt;=8.8),9,
IF(AND( SUM((AC8*(20/100))+(AD8*(30/100))+(AE8*(50/100))) &lt;=8.8, SUM((AC8*(20/100))+(AD8*(30/100))+(AE8*(50/100))) &gt;=8.3),8.5,
IF(AND( SUM((AC8*(20/100))+(AD8*(30/100))+(AE8*(50/100))) &lt;=8.3, SUM((AC8*(20/100))+(AD8*(30/100))+(AE8*(50/100))) &gt;=7.8),8,
IF(AND( SUM((AC8*(20/100))+(AD8*(30/100))+(AE8*(50/100))) &lt;=7.8, SUM((AC8*(20/100))+(AD8*(30/100))+(AE8*(50/100))) &gt;=7.3),7.5,
IF(AND( SUM((AC8*(20/100))+(AD8*(30/100))+(AE8*(50/100))) &lt;=7.3, SUM((AC8*(20/100))+(AD8*(30/100))+(AE8*(50/100))) &gt;=6.8),7,
IF(AND( SUM((AC8*(20/100))+(AD8*(30/100))+(AE8*(50/100))) &lt;=6.8, SUM((AC8*(20/100))+(AD8*(30/100))+(AE8*(50/100))) &gt;=6.3),6.5,
IF(AND( SUM((AC8*(20/100))+(AD8*(30/100))+(AE8*(50/100))) &lt;=6.3, SUM((AC8*(20/100))+(AD8*(30/100))+(AE8*(50/100))) &gt;=5.8),6,
IF(AND( SUM((AC8*(20/100))+(AD8*(30/100))+(AE8*(50/100))) &lt;=5.8, SUM((AC8*(20/100))+(AD8*(30/100))+(AE8*(50/100))) &gt;=5.3),5.5,
IF(AND( SUM((AC8*(20/100))+(AD8*(30/100))+(AE8*(50/100))) &lt;=5.3, SUM((AC8*(20/100))+(AD8*(30/100))+(AE8*(50/100))) &gt;=4.8),5,
IF(AND( SUM((AC8*(20/100))+(AD8*(30/100))+(AE8*(50/100))) &lt;=4.8, SUM((AC8*(20/100))+(AD8*(30/100))+(AE8*(50/100))) &gt;=4.3),4.5,
IF(AND( SUM((AC8*(20/100))+(AD8*(30/100))+(AE8*(50/100))) &lt;=4.3, SUM((AC8*(20/100))+(AD8*(30/100))+(AE8*(50/100))) &gt;=3.8),4,
IF(AND( SUM((AC8*(20/100))+(AD8*(30/100))+(AE8*(50/100))) &lt;=3.8, SUM((AC8*(20/100))+(AD8*(30/100))+(AE8*(50/100))) &gt;=3.5),3.5,0)))))))))))))</f>
        <v>0</v>
      </c>
      <c r="AG8" s="546"/>
      <c r="AH8" s="546"/>
      <c r="AI8" s="546"/>
      <c r="AJ8" s="546">
        <f>IF( SUM((AG8*(20/100))+(AH8*(30/100))+(AI8*(50/100))) &gt;=9.3,9.5,
IF(AND( SUM((AG8*(20/100))+(AH8*(30/100))+(AI8*(50/100))) &lt;=9.3, SUM((AG8*(20/100))+(AH8*(30/100))+(AI8*(50/100))) &gt;=8.8),9,
IF(AND( SUM((AG8*(20/100))+(AH8*(30/100))+(AI8*(50/100))) &lt;=8.8, SUM((AG8*(20/100))+(AH8*(30/100))+(AI8*(50/100))) &gt;=8.3),8.5,
IF(AND( SUM((AG8*(20/100))+(AH8*(30/100))+(AI8*(50/100))) &lt;=8.3, SUM((AG8*(20/100))+(AH8*(30/100))+(AI8*(50/100))) &gt;=7.8),8,
IF(AND( SUM((AG8*(20/100))+(AH8*(30/100))+(AI8*(50/100))) &lt;=7.8, SUM((AG8*(20/100))+(AH8*(30/100))+(AI8*(50/100))) &gt;=7.3),7.5,
IF(AND( SUM((AG8*(20/100))+(AH8*(30/100))+(AI8*(50/100))) &lt;=7.3, SUM((AG8*(20/100))+(AH8*(30/100))+(AI8*(50/100))) &gt;=6.8),7,
IF(AND( SUM((AG8*(20/100))+(AH8*(30/100))+(AI8*(50/100))) &lt;=6.8, SUM((AG8*(20/100))+(AH8*(30/100))+(AI8*(50/100))) &gt;=6.3),6.5,
IF(AND( SUM((AG8*(20/100))+(AH8*(30/100))+(AI8*(50/100))) &lt;=6.3, SUM((AG8*(20/100))+(AH8*(30/100))+(AI8*(50/100))) &gt;=5.8),6,
IF(AND( SUM((AG8*(20/100))+(AH8*(30/100))+(AI8*(50/100))) &lt;=5.8, SUM((AG8*(20/100))+(AH8*(30/100))+(AI8*(50/100))) &gt;=5.3),5.5,
IF(AND( SUM((AG8*(20/100))+(AH8*(30/100))+(AI8*(50/100))) &lt;=5.3, SUM((AG8*(20/100))+(AH8*(30/100))+(AI8*(50/100))) &gt;=4.8),5,
IF(AND( SUM((AG8*(20/100))+(AH8*(30/100))+(AI8*(50/100))) &lt;=4.8, SUM((AG8*(20/100))+(AH8*(30/100))+(AI8*(50/100))) &gt;=4.3),4.5,
IF(AND( SUM((AG8*(20/100))+(AH8*(30/100))+(AI8*(50/100))) &lt;=4.3, SUM((AG8*(20/100))+(AH8*(30/100))+(AI8*(50/100))) &gt;=3.8),4,
IF(AND( SUM((AG8*(20/100))+(AH8*(30/100))+(AI8*(50/100))) &lt;=3.8, SUM((AG8*(20/100))+(AH8*(30/100))+(AI8*(50/100))) &gt;=3.5),3.5,0)))))))))))))</f>
        <v>0</v>
      </c>
      <c r="AK8" s="546"/>
      <c r="AL8" s="546"/>
      <c r="AM8" s="546"/>
      <c r="AN8" s="545">
        <f>IF( SUM((AK8*(20/100))+(AL8*(30/100))+(AM8*(50/100))) &gt;=9.3,9.5,
IF(AND( SUM((AK8*(20/100))+(AL8*(30/100))+(AM8*(50/100))) &lt;=9.3, SUM((AK8*(20/100))+(AL8*(30/100))+(AM8*(50/100))) &gt;=8.8),9,
IF(AND( SUM((AK8*(20/100))+(AL8*(30/100))+(AM8*(50/100))) &lt;=8.8, SUM((AK8*(20/100))+(AL8*(30/100))+(AM8*(50/100))) &gt;=8.3),8.5,
IF(AND( SUM((AK8*(20/100))+(AL8*(30/100))+(AM8*(50/100))) &lt;=8.3, SUM((AK8*(20/100))+(AL8*(30/100))+(AM8*(50/100))) &gt;=7.8),8,
IF(AND( SUM((AK8*(20/100))+(AL8*(30/100))+(AM8*(50/100))) &lt;=7.8, SUM((AK8*(20/100))+(AL8*(30/100))+(AM8*(50/100))) &gt;=7.3),7.5,
IF(AND( SUM((AK8*(20/100))+(AL8*(30/100))+(AM8*(50/100))) &lt;=7.3, SUM((AK8*(20/100))+(AL8*(30/100))+(AM8*(50/100))) &gt;=6.8),7,
IF(AND( SUM((AK8*(20/100))+(AL8*(30/100))+(AM8*(50/100))) &lt;=6.8, SUM((AK8*(20/100))+(AL8*(30/100))+(AM8*(50/100))) &gt;=6.3),6.5,
IF(AND( SUM((AK8*(20/100))+(AL8*(30/100))+(AM8*(50/100))) &lt;=6.3, SUM((AK8*(20/100))+(AL8*(30/100))+(AM8*(50/100))) &gt;=5.8),6,
IF(AND( SUM((AK8*(20/100))+(AL8*(30/100))+(AM8*(50/100))) &lt;=5.8, SUM((AK8*(20/100))+(AL8*(30/100))+(AM8*(50/100))) &gt;=5.3),5.5,
IF(AND( SUM((AK8*(20/100))+(AL8*(30/100))+(AM8*(50/100))) &lt;=5.3, SUM((AK8*(20/100))+(AL8*(30/100))+(AM8*(50/100))) &gt;=4.8),5,
IF(AND( SUM((AK8*(20/100))+(AL8*(30/100))+(AM8*(50/100))) &lt;=4.8, SUM((AK8*(20/100))+(AL8*(30/100))+(AM8*(50/100))) &gt;=4.3),4.5,
IF(AND( SUM((AK8*(20/100))+(AL8*(30/100))+(AM8*(50/100))) &lt;=4.3, SUM((AK8*(20/100))+(AL8*(30/100))+(AM8*(50/100))) &gt;=3.8),4,
IF(AND( SUM((AK8*(20/100))+(AL8*(30/100))+(AM8*(50/100))) &lt;=3.8, SUM((AK8*(20/100))+(AL8*(30/100))+(AM8*(50/100))) &gt;=3.5),3.5,0)))))))))))))</f>
        <v>0</v>
      </c>
      <c r="AO8" s="546"/>
      <c r="AP8" s="546"/>
      <c r="AQ8" s="546"/>
      <c r="AR8" s="545">
        <f>IF( SUM((AO8*(20/100))+(AP8*(30/100))+(AQ8*(50/100))) &gt;=9.3,9.5,
IF(AND( SUM((AO8*(20/100))+(AP8*(30/100))+(AQ8*(50/100))) &lt;=9.3, SUM((AO8*(20/100))+(AP8*(30/100))+(AQ8*(50/100))) &gt;=8.8),9,
IF(AND( SUM((AO8*(20/100))+(AP8*(30/100))+(AQ8*(50/100))) &lt;=8.8, SUM((AO8*(20/100))+(AP8*(30/100))+(AQ8*(50/100))) &gt;=8.3),8.5,
IF(AND( SUM((AO8*(20/100))+(AP8*(30/100))+(AQ8*(50/100))) &lt;=8.3, SUM((AO8*(20/100))+(AP8*(30/100))+(AQ8*(50/100))) &gt;=7.8),8,
IF(AND( SUM((AO8*(20/100))+(AP8*(30/100))+(AQ8*(50/100))) &lt;=7.8, SUM((AO8*(20/100))+(AP8*(30/100))+(AQ8*(50/100))) &gt;=7.3),7.5,
IF(AND( SUM((AO8*(20/100))+(AP8*(30/100))+(AQ8*(50/100))) &lt;=7.3, SUM((AO8*(20/100))+(AP8*(30/100))+(AQ8*(50/100))) &gt;=6.8),7,
IF(AND( SUM((AO8*(20/100))+(AP8*(30/100))+(AQ8*(50/100))) &lt;=6.8, SUM((AO8*(20/100))+(AP8*(30/100))+(AQ8*(50/100))) &gt;=6.3),6.5,
IF(AND( SUM((AO8*(20/100))+(AP8*(30/100))+(AQ8*(50/100))) &lt;=6.3, SUM((AO8*(20/100))+(AP8*(30/100))+(AQ8*(50/100))) &gt;=5.8),6,
IF(AND( SUM((AO8*(20/100))+(AP8*(30/100))+(AQ8*(50/100))) &lt;=5.8, SUM((AO8*(20/100))+(AP8*(30/100))+(AQ8*(50/100))) &gt;=5.3),5.5,
IF(AND( SUM((AO8*(20/100))+(AP8*(30/100))+(AQ8*(50/100))) &lt;=5.3, SUM((AO8*(20/100))+(AP8*(30/100))+(AQ8*(50/100))) &gt;=4.8),5,
IF(AND( SUM((AO8*(20/100))+(AP8*(30/100))+(AQ8*(50/100))) &lt;=4.8, SUM((AO8*(20/100))+(AP8*(30/100))+(AQ8*(50/100))) &gt;=4.3),4.5,
IF(AND( SUM((AO8*(20/100))+(AP8*(30/100))+(AQ8*(50/100))) &lt;=4.3, SUM((AO8*(20/100))+(AP8*(30/100))+(AQ8*(50/100))) &gt;=3.8),4,
IF(AND( SUM((AO8*(20/100))+(AP8*(30/100))+(AQ8*(50/100))) &lt;=3.8, SUM((AO8*(20/100))+(AP8*(30/100))+(AQ8*(50/100))) &gt;=3.5),3.5,0)))))))))))))</f>
        <v>0</v>
      </c>
      <c r="AS8" s="546"/>
      <c r="AT8" s="546"/>
      <c r="AU8" s="546"/>
      <c r="AV8" s="545">
        <f>IF( SUM((AS8*(20/100))+(AT8*(30/100))+(AU8*(50/100))) &gt;=9.3,9.5,
IF(AND( SUM((AS8*(20/100))+(AT8*(30/100))+(AU8*(50/100))) &lt;=9.3, SUM((AS8*(20/100))+(AT8*(30/100))+(AU8*(50/100))) &gt;=8.8),9,
IF(AND( SUM((AS8*(20/100))+(AT8*(30/100))+(AU8*(50/100))) &lt;=8.8, SUM((AS8*(20/100))+(AT8*(30/100))+(AU8*(50/100))) &gt;=8.3),8.5,
IF(AND( SUM((AS8*(20/100))+(AT8*(30/100))+(AU8*(50/100))) &lt;=8.3, SUM((AS8*(20/100))+(AT8*(30/100))+(AU8*(50/100))) &gt;=7.8),8,
IF(AND( SUM((AS8*(20/100))+(AT8*(30/100))+(AU8*(50/100))) &lt;=7.8, SUM((AS8*(20/100))+(AT8*(30/100))+(AU8*(50/100))) &gt;=7.3),7.5,
IF(AND( SUM((AS8*(20/100))+(AT8*(30/100))+(AU8*(50/100))) &lt;=7.3, SUM((AS8*(20/100))+(AT8*(30/100))+(AU8*(50/100))) &gt;=6.8),7,
IF(AND( SUM((AS8*(20/100))+(AT8*(30/100))+(AU8*(50/100))) &lt;=6.8, SUM((AS8*(20/100))+(AT8*(30/100))+(AU8*(50/100))) &gt;=6.3),6.5,
IF(AND( SUM((AS8*(20/100))+(AT8*(30/100))+(AU8*(50/100))) &lt;=6.3, SUM((AS8*(20/100))+(AT8*(30/100))+(AU8*(50/100))) &gt;=5.8),6,
IF(AND( SUM((AS8*(20/100))+(AT8*(30/100))+(AU8*(50/100))) &lt;=5.8, SUM((AS8*(20/100))+(AT8*(30/100))+(AU8*(50/100))) &gt;=5.3),5.5,
IF(AND( SUM((AS8*(20/100))+(AT8*(30/100))+(AU8*(50/100))) &lt;=5.3, SUM((AS8*(20/100))+(AT8*(30/100))+(AU8*(50/100))) &gt;=4.8),5,
IF(AND( SUM((AS8*(20/100))+(AT8*(30/100))+(AU8*(50/100))) &lt;=4.8, SUM((AS8*(20/100))+(AT8*(30/100))+(AU8*(50/100))) &gt;=4.3),4.5,
IF(AND( SUM((AS8*(20/100))+(AT8*(30/100))+(AU8*(50/100))) &lt;=4.3, SUM((AS8*(20/100))+(AT8*(30/100))+(AU8*(50/100))) &gt;=3.8),4,
IF(AND( SUM((AS8*(20/100))+(AT8*(30/100))+(AU8*(50/100))) &lt;=3.8, SUM((AS8*(20/100))+(AT8*(30/100))+(AU8*(50/100))) &gt;=3.5),3.5,0)))))))))))))</f>
        <v>0</v>
      </c>
      <c r="AW8" s="546"/>
      <c r="AX8" s="546"/>
      <c r="AY8" s="546"/>
      <c r="AZ8" s="545">
        <f>IF( SUM((AW8*(20/100))+(AX8*(30/100))+(AY8*(50/100))) &gt;=9.3,9.5,
IF(AND( SUM((AW8*(20/100))+(AX8*(30/100))+(AY8*(50/100))) &lt;=9.3, SUM((AW8*(20/100))+(AX8*(30/100))+(AY8*(50/100))) &gt;=8.8),9,
IF(AND( SUM((AW8*(20/100))+(AX8*(30/100))+(AY8*(50/100))) &lt;=8.8, SUM((AW8*(20/100))+(AX8*(30/100))+(AY8*(50/100))) &gt;=8.3),8.5,
IF(AND( SUM((AW8*(20/100))+(AX8*(30/100))+(AY8*(50/100))) &lt;=8.3, SUM((AW8*(20/100))+(AX8*(30/100))+(AY8*(50/100))) &gt;=7.8),8,
IF(AND( SUM((AW8*(20/100))+(AX8*(30/100))+(AY8*(50/100))) &lt;=7.8, SUM((AW8*(20/100))+(AX8*(30/100))+(AY8*(50/100))) &gt;=7.3),7.5,
IF(AND( SUM((AW8*(20/100))+(AX8*(30/100))+(AY8*(50/100))) &lt;=7.3, SUM((AW8*(20/100))+(AX8*(30/100))+(AY8*(50/100))) &gt;=6.8),7,
IF(AND( SUM((AW8*(20/100))+(AX8*(30/100))+(AY8*(50/100))) &lt;=6.8, SUM((AW8*(20/100))+(AX8*(30/100))+(AY8*(50/100))) &gt;=6.3),6.5,
IF(AND( SUM((AW8*(20/100))+(AX8*(30/100))+(AY8*(50/100))) &lt;=6.3, SUM((AW8*(20/100))+(AX8*(30/100))+(AY8*(50/100))) &gt;=5.8),6,
IF(AND( SUM((AW8*(20/100))+(AX8*(30/100))+(AY8*(50/100))) &lt;=5.8, SUM((AW8*(20/100))+(AX8*(30/100))+(AY8*(50/100))) &gt;=5.3),5.5,
IF(AND( SUM((AW8*(20/100))+(AX8*(30/100))+(AY8*(50/100))) &lt;=5.3, SUM((AW8*(20/100))+(AX8*(30/100))+(AY8*(50/100))) &gt;=4.8),5,
IF(AND( SUM((AW8*(20/100))+(AX8*(30/100))+(AY8*(50/100))) &lt;=4.8, SUM((AW8*(20/100))+(AX8*(30/100))+(AY8*(50/100))) &gt;=4.3),4.5,
IF(AND( SUM((AW8*(20/100))+(AX8*(30/100))+(AY8*(50/100))) &lt;=4.3, SUM((AW8*(20/100))+(AX8*(30/100))+(AY8*(50/100))) &gt;=3.8),4,
IF(AND( SUM((AW8*(20/100))+(AX8*(30/100))+(AY8*(50/100))) &lt;=3.8, SUM((AW8*(20/100))+(AX8*(30/100))+(AY8*(50/100))) &gt;=3.5),3.5,0)))))))))))))</f>
        <v>0</v>
      </c>
      <c r="BA8" s="546"/>
      <c r="BB8" s="546"/>
      <c r="BC8" s="546"/>
      <c r="BD8" s="545">
        <f>IF( SUM((BA8*(20/100))+(BB8*(30/100))+(BC8*(50/100))) &gt;=9.3,9.5,
IF(AND( SUM((BA8*(20/100))+(BB8*(30/100))+(BC8*(50/100))) &lt;=9.3, SUM((BA8*(20/100))+(BB8*(30/100))+(BC8*(50/100))) &gt;=8.8),9,
IF(AND( SUM((BA8*(20/100))+(BB8*(30/100))+(BC8*(50/100))) &lt;=8.8, SUM((BA8*(20/100))+(BB8*(30/100))+(BC8*(50/100))) &gt;=8.3),8.5,
IF(AND( SUM((BA8*(20/100))+(BB8*(30/100))+(BC8*(50/100))) &lt;=8.3, SUM((BA8*(20/100))+(BB8*(30/100))+(BC8*(50/100))) &gt;=7.8),8,
IF(AND( SUM((BA8*(20/100))+(BB8*(30/100))+(BC8*(50/100))) &lt;=7.8, SUM((BA8*(20/100))+(BB8*(30/100))+(BC8*(50/100))) &gt;=7.3),7.5,
IF(AND( SUM((BA8*(20/100))+(BB8*(30/100))+(BC8*(50/100))) &lt;=7.3, SUM((BA8*(20/100))+(BB8*(30/100))+(BC8*(50/100))) &gt;=6.8),7,
IF(AND( SUM((BA8*(20/100))+(BB8*(30/100))+(BC8*(50/100))) &lt;=6.8, SUM((BA8*(20/100))+(BB8*(30/100))+(BC8*(50/100))) &gt;=6.3),6.5,
IF(AND( SUM((BA8*(20/100))+(BB8*(30/100))+(BC8*(50/100))) &lt;=6.3, SUM((BA8*(20/100))+(BB8*(30/100))+(BC8*(50/100))) &gt;=5.8),6,
IF(AND( SUM((BA8*(20/100))+(BB8*(30/100))+(BC8*(50/100))) &lt;=5.8, SUM((BA8*(20/100))+(BB8*(30/100))+(BC8*(50/100))) &gt;=5.3),5.5,
IF(AND( SUM((BA8*(20/100))+(BB8*(30/100))+(BC8*(50/100))) &lt;=5.3, SUM((BA8*(20/100))+(BB8*(30/100))+(BC8*(50/100))) &gt;=4.8),5,
IF(AND( SUM((BA8*(20/100))+(BB8*(30/100))+(BC8*(50/100))) &lt;=4.8, SUM((BA8*(20/100))+(BB8*(30/100))+(BC8*(50/100))) &gt;=4.3),4.5,
IF(AND( SUM((BA8*(20/100))+(BB8*(30/100))+(BC8*(50/100))) &lt;=4.3, SUM((BA8*(20/100))+(BB8*(30/100))+(BC8*(50/100))) &gt;=3.8),4,
IF(AND( SUM((BA8*(20/100))+(BB8*(30/100))+(BC8*(50/100))) &lt;=3.8, SUM((BA8*(20/100))+(BB8*(30/100))+(BC8*(50/100))) &gt;=3.5),3.5,0)))))))))))))</f>
        <v>0</v>
      </c>
      <c r="BE8" s="546"/>
      <c r="BF8" s="546"/>
      <c r="BG8" s="546"/>
      <c r="BH8" s="545">
        <f>IF( SUM((BE8*(20/100))+(BF8*(30/100))+(BG8*(50/100))) &gt;=9.3,9.5,
IF(AND( SUM((BE8*(20/100))+(BF8*(30/100))+(BG8*(50/100))) &lt;=9.3, SUM((BE8*(20/100))+(BF8*(30/100))+(BG8*(50/100))) &gt;=8.8),9,
IF(AND( SUM((BE8*(20/100))+(BF8*(30/100))+(BG8*(50/100))) &lt;=8.8, SUM((BE8*(20/100))+(BF8*(30/100))+(BG8*(50/100))) &gt;=8.3),8.5,
IF(AND( SUM((BE8*(20/100))+(BF8*(30/100))+(BG8*(50/100))) &lt;=8.3, SUM((BE8*(20/100))+(BF8*(30/100))+(BG8*(50/100))) &gt;=7.8),8,
IF(AND( SUM((BE8*(20/100))+(BF8*(30/100))+(BG8*(50/100))) &lt;=7.8, SUM((BE8*(20/100))+(BF8*(30/100))+(BG8*(50/100))) &gt;=7.3),7.5,
IF(AND( SUM((BE8*(20/100))+(BF8*(30/100))+(BG8*(50/100))) &lt;=7.3, SUM((BE8*(20/100))+(BF8*(30/100))+(BG8*(50/100))) &gt;=6.8),7,
IF(AND( SUM((BE8*(20/100))+(BF8*(30/100))+(BG8*(50/100))) &lt;=6.8, SUM((BE8*(20/100))+(BF8*(30/100))+(BG8*(50/100))) &gt;=6.3),6.5,
IF(AND( SUM((BE8*(20/100))+(BF8*(30/100))+(BG8*(50/100))) &lt;=6.3, SUM((BE8*(20/100))+(BF8*(30/100))+(BG8*(50/100))) &gt;=5.8),6,
IF(AND( SUM((BE8*(20/100))+(BF8*(30/100))+(BG8*(50/100))) &lt;=5.8, SUM((BE8*(20/100))+(BF8*(30/100))+(BG8*(50/100))) &gt;=5.3),5.5,
IF(AND( SUM((BE8*(20/100))+(BF8*(30/100))+(BG8*(50/100))) &lt;=5.3, SUM((BE8*(20/100))+(BF8*(30/100))+(BG8*(50/100))) &gt;=4.8),5,
IF(AND( SUM((BE8*(20/100))+(BF8*(30/100))+(BG8*(50/100))) &lt;=4.8, SUM((BE8*(20/100))+(BF8*(30/100))+(BG8*(50/100))) &gt;=4.3),4.5,
IF(AND( SUM((BE8*(20/100))+(BF8*(30/100))+(BG8*(50/100))) &lt;=4.3, SUM((BE8*(20/100))+(BF8*(30/100))+(BG8*(50/100))) &gt;=3.8),4,
IF(AND( SUM((BE8*(20/100))+(BF8*(30/100))+(BG8*(50/100))) &lt;=3.8, SUM((BE8*(20/100))+(BF8*(30/100))+(BG8*(50/100))) &gt;=3.5),3.5,0)))))))))))))</f>
        <v>0</v>
      </c>
      <c r="BI8" s="546"/>
      <c r="BJ8" s="546"/>
      <c r="BK8" s="546"/>
      <c r="BL8" s="545">
        <f>IF( SUM((BI8*(20/100))+(BJ8*(30/100))+(BK8*(50/100))) &gt;=9.3,9.5,
IF(AND( SUM((BI8*(20/100))+(BJ8*(30/100))+(BK8*(50/100))) &lt;=9.3, SUM((BI8*(20/100))+(BJ8*(30/100))+(BK8*(50/100))) &gt;=8.8),9,
IF(AND( SUM((BI8*(20/100))+(BJ8*(30/100))+(BK8*(50/100))) &lt;=8.8, SUM((BI8*(20/100))+(BJ8*(30/100))+(BK8*(50/100))) &gt;=8.3),8.5,
IF(AND( SUM((BI8*(20/100))+(BJ8*(30/100))+(BK8*(50/100))) &lt;=8.3, SUM((BI8*(20/100))+(BJ8*(30/100))+(BK8*(50/100))) &gt;=7.8),8,
IF(AND( SUM((BI8*(20/100))+(BJ8*(30/100))+(BK8*(50/100))) &lt;=7.8, SUM((BI8*(20/100))+(BJ8*(30/100))+(BK8*(50/100))) &gt;=7.3),7.5,
IF(AND( SUM((BI8*(20/100))+(BJ8*(30/100))+(BK8*(50/100))) &lt;=7.3, SUM((BI8*(20/100))+(BJ8*(30/100))+(BK8*(50/100))) &gt;=6.8),7,
IF(AND( SUM((BI8*(20/100))+(BJ8*(30/100))+(BK8*(50/100))) &lt;=6.8, SUM((BI8*(20/100))+(BJ8*(30/100))+(BK8*(50/100))) &gt;=6.3),6.5,
IF(AND( SUM((BI8*(20/100))+(BJ8*(30/100))+(BK8*(50/100))) &lt;=6.3, SUM((BI8*(20/100))+(BJ8*(30/100))+(BK8*(50/100))) &gt;=5.8),6,
IF(AND( SUM((BI8*(20/100))+(BJ8*(30/100))+(BK8*(50/100))) &lt;=5.8, SUM((BI8*(20/100))+(BJ8*(30/100))+(BK8*(50/100))) &gt;=5.3),5.5,
IF(AND( SUM((BI8*(20/100))+(BJ8*(30/100))+(BK8*(50/100))) &lt;=5.3, SUM((BI8*(20/100))+(BJ8*(30/100))+(BK8*(50/100))) &gt;=4.8),5,
IF(AND( SUM((BI8*(20/100))+(BJ8*(30/100))+(BK8*(50/100))) &lt;=4.8, SUM((BI8*(20/100))+(BJ8*(30/100))+(BK8*(50/100))) &gt;=4.3),4.5,
IF(AND( SUM((BI8*(20/100))+(BJ8*(30/100))+(BK8*(50/100))) &lt;=4.3, SUM((BI8*(20/100))+(BJ8*(30/100))+(BK8*(50/100))) &gt;=3.8),4,
IF(AND( SUM((BI8*(20/100))+(BJ8*(30/100))+(BK8*(50/100))) &lt;=3.8, SUM((BI8*(20/100))+(BJ8*(30/100))+(BK8*(50/100))) &gt;=3.5),3.5,0)))))))))))))</f>
        <v>0</v>
      </c>
      <c r="BM8" s="546"/>
      <c r="BN8" s="546"/>
      <c r="BO8" s="546"/>
      <c r="BP8" s="545">
        <f>IF( SUM((BM8*(20/100))+(BN8*(30/100))+(BO8*(50/100))) &gt;=9.3,9.5,
IF(AND( SUM((BM8*(20/100))+(BN8*(30/100))+(BO8*(50/100))) &lt;=9.3, SUM((BM8*(20/100))+(BN8*(30/100))+(BO8*(50/100))) &gt;=8.8),9,
IF(AND( SUM((BM8*(20/100))+(BN8*(30/100))+(BO8*(50/100))) &lt;=8.8, SUM((BM8*(20/100))+(BN8*(30/100))+(BO8*(50/100))) &gt;=8.3),8.5,
IF(AND( SUM((BM8*(20/100))+(BN8*(30/100))+(BO8*(50/100))) &lt;=8.3, SUM((BM8*(20/100))+(BN8*(30/100))+(BO8*(50/100))) &gt;=7.8),8,
IF(AND( SUM((BM8*(20/100))+(BN8*(30/100))+(BO8*(50/100))) &lt;=7.8, SUM((BM8*(20/100))+(BN8*(30/100))+(BO8*(50/100))) &gt;=7.3),7.5,
IF(AND( SUM((BM8*(20/100))+(BN8*(30/100))+(BO8*(50/100))) &lt;=7.3, SUM((BM8*(20/100))+(BN8*(30/100))+(BO8*(50/100))) &gt;=6.8),7,
IF(AND( SUM((BM8*(20/100))+(BN8*(30/100))+(BO8*(50/100))) &lt;=6.8, SUM((BM8*(20/100))+(BN8*(30/100))+(BO8*(50/100))) &gt;=6.3),6.5,
IF(AND( SUM((BM8*(20/100))+(BN8*(30/100))+(BO8*(50/100))) &lt;=6.3, SUM((BM8*(20/100))+(BN8*(30/100))+(BO8*(50/100))) &gt;=5.8),6,
IF(AND( SUM((BM8*(20/100))+(BN8*(30/100))+(BO8*(50/100))) &lt;=5.8, SUM((BM8*(20/100))+(BN8*(30/100))+(BO8*(50/100))) &gt;=5.3),5.5,
IF(AND( SUM((BM8*(20/100))+(BN8*(30/100))+(BO8*(50/100))) &lt;=5.3, SUM((BM8*(20/100))+(BN8*(30/100))+(BO8*(50/100))) &gt;=4.8),5,
IF(AND( SUM((BM8*(20/100))+(BN8*(30/100))+(BO8*(50/100))) &lt;=4.8, SUM((BM8*(20/100))+(BN8*(30/100))+(BO8*(50/100))) &gt;=4.3),4.5,
IF(AND( SUM((BM8*(20/100))+(BN8*(30/100))+(BO8*(50/100))) &lt;=4.3, SUM((BM8*(20/100))+(BN8*(30/100))+(BO8*(50/100))) &gt;=3.8),4,
IF(AND( SUM((BM8*(20/100))+(BN8*(30/100))+(BO8*(50/100))) &lt;=3.8, SUM((BM8*(20/100))+(BN8*(30/100))+(BO8*(50/100))) &gt;=3.5),3.5,0)))))))))))))</f>
        <v>0</v>
      </c>
      <c r="BQ8" s="546"/>
      <c r="BR8" s="546"/>
      <c r="BS8" s="546"/>
      <c r="BT8" s="545">
        <f>IF( SUM((BQ8*(20/100))+(BR8*(30/100))+(BS8*(50/100))) &gt;=9.3,9.5,
IF(AND( SUM((BQ8*(20/100))+(BR8*(30/100))+(BS8*(50/100))) &lt;=9.3, SUM((BQ8*(20/100))+(BR8*(30/100))+(BS8*(50/100))) &gt;=8.8),9,
IF(AND( SUM((BQ8*(20/100))+(BR8*(30/100))+(BS8*(50/100))) &lt;=8.8, SUM((BQ8*(20/100))+(BR8*(30/100))+(BS8*(50/100))) &gt;=8.3),8.5,
IF(AND( SUM((BQ8*(20/100))+(BR8*(30/100))+(BS8*(50/100))) &lt;=8.3, SUM((BQ8*(20/100))+(BR8*(30/100))+(BS8*(50/100))) &gt;=7.8),8,
IF(AND( SUM((BQ8*(20/100))+(BR8*(30/100))+(BS8*(50/100))) &lt;=7.8, SUM((BQ8*(20/100))+(BR8*(30/100))+(BS8*(50/100))) &gt;=7.3),7.5,
IF(AND( SUM((BQ8*(20/100))+(BR8*(30/100))+(BS8*(50/100))) &lt;=7.3, SUM((BQ8*(20/100))+(BR8*(30/100))+(BS8*(50/100))) &gt;=6.8),7,
IF(AND( SUM((BQ8*(20/100))+(BR8*(30/100))+(BS8*(50/100))) &lt;=6.8, SUM((BQ8*(20/100))+(BR8*(30/100))+(BS8*(50/100))) &gt;=6.3),6.5,
IF(AND( SUM((BQ8*(20/100))+(BR8*(30/100))+(BS8*(50/100))) &lt;=6.3, SUM((BQ8*(20/100))+(BR8*(30/100))+(BS8*(50/100))) &gt;=5.8),6,
IF(AND( SUM((BQ8*(20/100))+(BR8*(30/100))+(BS8*(50/100))) &lt;=5.8, SUM((BQ8*(20/100))+(BR8*(30/100))+(BS8*(50/100))) &gt;=5.3),5.5,
IF(AND( SUM((BQ8*(20/100))+(BR8*(30/100))+(BS8*(50/100))) &lt;=5.3, SUM((BQ8*(20/100))+(BR8*(30/100))+(BS8*(50/100))) &gt;=4.8),5,
IF(AND( SUM((BQ8*(20/100))+(BR8*(30/100))+(BS8*(50/100))) &lt;=4.8, SUM((BQ8*(20/100))+(BR8*(30/100))+(BS8*(50/100))) &gt;=4.3),4.5,
IF(AND( SUM((BQ8*(20/100))+(BR8*(30/100))+(BS8*(50/100))) &lt;=4.3, SUM((BQ8*(20/100))+(BR8*(30/100))+(BS8*(50/100))) &gt;=3.8),4,
IF(AND( SUM((BQ8*(20/100))+(BR8*(30/100))+(BS8*(50/100))) &lt;=3.8, SUM((BQ8*(20/100))+(BR8*(30/100))+(BS8*(50/100))) &gt;=3.5),3.5,0)))))))))))))</f>
        <v>0</v>
      </c>
      <c r="BU8" s="546"/>
      <c r="BV8" s="546"/>
      <c r="BW8" s="546"/>
      <c r="BX8" s="545">
        <f>IF( SUM((BU8*(20/100))+(BV8*(30/100))+(BW8*(50/100))) &gt;=9.3,9.5,
IF(AND( SUM((BU8*(20/100))+(BV8*(30/100))+(BW8*(50/100))) &lt;=9.3, SUM((BU8*(20/100))+(BV8*(30/100))+(BW8*(50/100))) &gt;=8.8),9,
IF(AND( SUM((BU8*(20/100))+(BV8*(30/100))+(BW8*(50/100))) &lt;=8.8, SUM((BU8*(20/100))+(BV8*(30/100))+(BW8*(50/100))) &gt;=8.3),8.5,
IF(AND( SUM((BU8*(20/100))+(BV8*(30/100))+(BW8*(50/100))) &lt;=8.3, SUM((BU8*(20/100))+(BV8*(30/100))+(BW8*(50/100))) &gt;=7.8),8,
IF(AND( SUM((BU8*(20/100))+(BV8*(30/100))+(BW8*(50/100))) &lt;=7.8, SUM((BU8*(20/100))+(BV8*(30/100))+(BW8*(50/100))) &gt;=7.3),7.5,
IF(AND( SUM((BU8*(20/100))+(BV8*(30/100))+(BW8*(50/100))) &lt;=7.3, SUM((BU8*(20/100))+(BV8*(30/100))+(BW8*(50/100))) &gt;=6.8),7,
IF(AND( SUM((BU8*(20/100))+(BV8*(30/100))+(BW8*(50/100))) &lt;=6.8, SUM((BU8*(20/100))+(BV8*(30/100))+(BW8*(50/100))) &gt;=6.3),6.5,
IF(AND( SUM((BU8*(20/100))+(BV8*(30/100))+(BW8*(50/100))) &lt;=6.3, SUM((BU8*(20/100))+(BV8*(30/100))+(BW8*(50/100))) &gt;=5.8),6,
IF(AND( SUM((BU8*(20/100))+(BV8*(30/100))+(BW8*(50/100))) &lt;=5.8, SUM((BU8*(20/100))+(BV8*(30/100))+(BW8*(50/100))) &gt;=5.3),5.5,
IF(AND( SUM((BU8*(20/100))+(BV8*(30/100))+(BW8*(50/100))) &lt;=5.3, SUM((BU8*(20/100))+(BV8*(30/100))+(BW8*(50/100))) &gt;=4.8),5,
IF(AND( SUM((BU8*(20/100))+(BV8*(30/100))+(BW8*(50/100))) &lt;=4.8, SUM((BU8*(20/100))+(BV8*(30/100))+(BW8*(50/100))) &gt;=4.3),4.5,
IF(AND( SUM((BU8*(20/100))+(BV8*(30/100))+(BW8*(50/100))) &lt;=4.3, SUM((BU8*(20/100))+(BV8*(30/100))+(BW8*(50/100))) &gt;=3.8),4,
IF(AND( SUM((BU8*(20/100))+(BV8*(30/100))+(BW8*(50/100))) &lt;=3.8, SUM((BU8*(20/100))+(BV8*(30/100))+(BW8*(50/100))) &gt;=3.5),3.5,0)))))))))))))</f>
        <v>0</v>
      </c>
      <c r="BY8" s="546"/>
      <c r="BZ8" s="546"/>
      <c r="CA8" s="546"/>
      <c r="CB8" s="545">
        <v>0</v>
      </c>
      <c r="CC8" s="546"/>
      <c r="CD8" s="546"/>
      <c r="CE8" s="546"/>
      <c r="CF8" s="545">
        <f>IF( SUM((CC8*(20/100))+(CD8*(30/100))+(CE8*(50/100))) &gt;=9.3,9.5,
IF(AND( SUM((CC8*(20/100))+(CD8*(30/100))+(CE8*(50/100))) &lt;=9.3, SUM((CC8*(20/100))+(CD8*(30/100))+(CE8*(50/100))) &gt;=8.8),9,
IF(AND( SUM((CC8*(20/100))+(CD8*(30/100))+(CE8*(50/100))) &lt;=8.8, SUM((CC8*(20/100))+(CD8*(30/100))+(CE8*(50/100))) &gt;=8.3),8.5,
IF(AND( SUM((CC8*(20/100))+(CD8*(30/100))+(CE8*(50/100))) &lt;=8.3, SUM((CC8*(20/100))+(CD8*(30/100))+(CE8*(50/100))) &gt;=7.8),8,
IF(AND( SUM((CC8*(20/100))+(CD8*(30/100))+(CE8*(50/100))) &lt;=7.8, SUM((CC8*(20/100))+(CD8*(30/100))+(CE8*(50/100))) &gt;=7.3),7.5,
IF(AND( SUM((CC8*(20/100))+(CD8*(30/100))+(CE8*(50/100))) &lt;=7.3, SUM((CC8*(20/100))+(CD8*(30/100))+(CE8*(50/100))) &gt;=6.8),7,
IF(AND( SUM((CC8*(20/100))+(CD8*(30/100))+(CE8*(50/100))) &lt;=6.8, SUM((CC8*(20/100))+(CD8*(30/100))+(CE8*(50/100))) &gt;=6.3),6.5,
IF(AND( SUM((CC8*(20/100))+(CD8*(30/100))+(CE8*(50/100))) &lt;=6.3, SUM((CC8*(20/100))+(CD8*(30/100))+(CE8*(50/100))) &gt;=5.8),6,
IF(AND( SUM((CC8*(20/100))+(CD8*(30/100))+(CE8*(50/100))) &lt;=5.8, SUM((CC8*(20/100))+(CD8*(30/100))+(CE8*(50/100))) &gt;=5.3),5.5,
IF(AND( SUM((CC8*(20/100))+(CD8*(30/100))+(CE8*(50/100))) &lt;=5.3, SUM((CC8*(20/100))+(CD8*(30/100))+(CE8*(50/100))) &gt;=4.8),5,
IF(AND( SUM((CC8*(20/100))+(CD8*(30/100))+(CE8*(50/100))) &lt;=4.8, SUM((CC8*(20/100))+(CD8*(30/100))+(CE8*(50/100))) &gt;=4.3),4.5,
IF(AND( SUM((CC8*(20/100))+(CD8*(30/100))+(CE8*(50/100))) &lt;=4.3, SUM((CC8*(20/100))+(CD8*(30/100))+(CE8*(50/100))) &gt;=3.8),4,
IF(AND( SUM((CC8*(20/100))+(CD8*(30/100))+(CE8*(50/100))) &lt;=3.8, SUM((CC8*(20/100))+(CD8*(30/100))+(CE8*(50/100))) &gt;=3.5),3.5,0)))))))))))))</f>
        <v>0</v>
      </c>
      <c r="CG8" s="546"/>
      <c r="CH8" s="546"/>
      <c r="CI8" s="546"/>
      <c r="CJ8" s="545">
        <f>IF( SUM((CG8*(20/100))+(CH8*(30/100))+(CI8*(50/100))) &gt;=9.3,9.5,
IF(AND( SUM((CG8*(20/100))+(CH8*(30/100))+(CI8*(50/100))) &lt;=9.3, SUM((CG8*(20/100))+(CH8*(30/100))+(CI8*(50/100))) &gt;=8.8),9,
IF(AND( SUM((CG8*(20/100))+(CH8*(30/100))+(CI8*(50/100))) &lt;=8.8, SUM((CG8*(20/100))+(CH8*(30/100))+(CI8*(50/100))) &gt;=8.3),8.5,
IF(AND( SUM((CG8*(20/100))+(CH8*(30/100))+(CI8*(50/100))) &lt;=8.3, SUM((CG8*(20/100))+(CH8*(30/100))+(CI8*(50/100))) &gt;=7.8),8,
IF(AND( SUM((CG8*(20/100))+(CH8*(30/100))+(CI8*(50/100))) &lt;=7.8, SUM((CG8*(20/100))+(CH8*(30/100))+(CI8*(50/100))) &gt;=7.3),7.5,
IF(AND( SUM((CG8*(20/100))+(CH8*(30/100))+(CI8*(50/100))) &lt;=7.3, SUM((CG8*(20/100))+(CH8*(30/100))+(CI8*(50/100))) &gt;=6.8),7,
IF(AND( SUM((CG8*(20/100))+(CH8*(30/100))+(CI8*(50/100))) &lt;=6.8, SUM((CG8*(20/100))+(CH8*(30/100))+(CI8*(50/100))) &gt;=6.3),6.5,
IF(AND( SUM((CG8*(20/100))+(CH8*(30/100))+(CI8*(50/100))) &lt;=6.3, SUM((CG8*(20/100))+(CH8*(30/100))+(CI8*(50/100))) &gt;=5.8),6,
IF(AND( SUM((CG8*(20/100))+(CH8*(30/100))+(CI8*(50/100))) &lt;=5.8, SUM((CG8*(20/100))+(CH8*(30/100))+(CI8*(50/100))) &gt;=5.3),5.5,
IF(AND( SUM((CG8*(20/100))+(CH8*(30/100))+(CI8*(50/100))) &lt;=5.3, SUM((CG8*(20/100))+(CH8*(30/100))+(CI8*(50/100))) &gt;=4.8),5,
IF(AND( SUM((CG8*(20/100))+(CH8*(30/100))+(CI8*(50/100))) &lt;=4.8, SUM((CG8*(20/100))+(CH8*(30/100))+(CI8*(50/100))) &gt;=4.3),4.5,
IF(AND( SUM((CG8*(20/100))+(CH8*(30/100))+(CI8*(50/100))) &lt;=4.3, SUM((CG8*(20/100))+(CH8*(30/100))+(CI8*(50/100))) &gt;=3.8),4,
IF(AND( SUM((CG8*(20/100))+(CH8*(30/100))+(CI8*(50/100))) &lt;=3.8, SUM((CG8*(20/100))+(CH8*(30/100))+(CI8*(50/100))) &gt;=3.5),3.5,0)))))))))))))</f>
        <v>0</v>
      </c>
      <c r="CK8" s="546"/>
      <c r="CL8" s="546"/>
      <c r="CM8" s="546"/>
      <c r="CN8" s="545">
        <f>IF( SUM((CK8*(20/100))+(CL8*(30/100))+(CM8*(50/100))) &gt;=9.3,9.5,
IF(AND( SUM((CK8*(20/100))+(CL8*(30/100))+(CM8*(50/100))) &lt;=9.3, SUM((CK8*(20/100))+(CL8*(30/100))+(CM8*(50/100))) &gt;=8.8),9,
IF(AND( SUM((CK8*(20/100))+(CL8*(30/100))+(CM8*(50/100))) &lt;=8.8, SUM((CK8*(20/100))+(CL8*(30/100))+(CM8*(50/100))) &gt;=8.3),8.5,
IF(AND( SUM((CK8*(20/100))+(CL8*(30/100))+(CM8*(50/100))) &lt;=8.3, SUM((CK8*(20/100))+(CL8*(30/100))+(CM8*(50/100))) &gt;=7.8),8,
IF(AND( SUM((CK8*(20/100))+(CL8*(30/100))+(CM8*(50/100))) &lt;=7.8, SUM((CK8*(20/100))+(CL8*(30/100))+(CM8*(50/100))) &gt;=7.3),7.5,
IF(AND( SUM((CK8*(20/100))+(CL8*(30/100))+(CM8*(50/100))) &lt;=7.3, SUM((CK8*(20/100))+(CL8*(30/100))+(CM8*(50/100))) &gt;=6.8),7,
IF(AND( SUM((CK8*(20/100))+(CL8*(30/100))+(CM8*(50/100))) &lt;=6.8, SUM((CK8*(20/100))+(CL8*(30/100))+(CM8*(50/100))) &gt;=6.3),6.5,
IF(AND( SUM((CK8*(20/100))+(CL8*(30/100))+(CM8*(50/100))) &lt;=6.3, SUM((CK8*(20/100))+(CL8*(30/100))+(CM8*(50/100))) &gt;=5.8),6,
IF(AND( SUM((CK8*(20/100))+(CL8*(30/100))+(CM8*(50/100))) &lt;=5.8, SUM((CK8*(20/100))+(CL8*(30/100))+(CM8*(50/100))) &gt;=5.3),5.5,
IF(AND( SUM((CK8*(20/100))+(CL8*(30/100))+(CM8*(50/100))) &lt;=5.3, SUM((CK8*(20/100))+(CL8*(30/100))+(CM8*(50/100))) &gt;=4.8),5,
IF(AND( SUM((CK8*(20/100))+(CL8*(30/100))+(CM8*(50/100))) &lt;=4.8, SUM((CK8*(20/100))+(CL8*(30/100))+(CM8*(50/100))) &gt;=4.3),4.5,
IF(AND( SUM((CK8*(20/100))+(CL8*(30/100))+(CM8*(50/100))) &lt;=4.3, SUM((CK8*(20/100))+(CL8*(30/100))+(CM8*(50/100))) &gt;=3.8),4,
IF(AND( SUM((CK8*(20/100))+(CL8*(30/100))+(CM8*(50/100))) &lt;=3.8, SUM((CK8*(20/100))+(CL8*(30/100))+(CM8*(50/100))) &gt;=3.5),3.5,0)))))))))))))</f>
        <v>0</v>
      </c>
      <c r="CO8" s="546"/>
      <c r="CP8" s="546"/>
      <c r="CQ8" s="546"/>
      <c r="CR8" s="545">
        <f>IF( SUM((CO8*(20/100))+(CP8*(30/100))+(CQ8*(50/100))) &gt;=9.3,9.5,
IF(AND( SUM((CO8*(20/100))+(CP8*(30/100))+(CQ8*(50/100))) &lt;=9.3, SUM((CO8*(20/100))+(CP8*(30/100))+(CQ8*(50/100))) &gt;=8.8),9,
IF(AND( SUM((CO8*(20/100))+(CP8*(30/100))+(CQ8*(50/100))) &lt;=8.8, SUM((CO8*(20/100))+(CP8*(30/100))+(CQ8*(50/100))) &gt;=8.3),8.5,
IF(AND( SUM((CO8*(20/100))+(CP8*(30/100))+(CQ8*(50/100))) &lt;=8.3, SUM((CO8*(20/100))+(CP8*(30/100))+(CQ8*(50/100))) &gt;=7.8),8,
IF(AND( SUM((CO8*(20/100))+(CP8*(30/100))+(CQ8*(50/100))) &lt;=7.8, SUM((CO8*(20/100))+(CP8*(30/100))+(CQ8*(50/100))) &gt;=7.3),7.5,
IF(AND( SUM((CO8*(20/100))+(CP8*(30/100))+(CQ8*(50/100))) &lt;=7.3, SUM((CO8*(20/100))+(CP8*(30/100))+(CQ8*(50/100))) &gt;=6.8),7,
IF(AND( SUM((CO8*(20/100))+(CP8*(30/100))+(CQ8*(50/100))) &lt;=6.8, SUM((CO8*(20/100))+(CP8*(30/100))+(CQ8*(50/100))) &gt;=6.3),6.5,
IF(AND( SUM((CO8*(20/100))+(CP8*(30/100))+(CQ8*(50/100))) &lt;=6.3, SUM((CO8*(20/100))+(CP8*(30/100))+(CQ8*(50/100))) &gt;=5.8),6,
IF(AND( SUM((CO8*(20/100))+(CP8*(30/100))+(CQ8*(50/100))) &lt;=5.8, SUM((CO8*(20/100))+(CP8*(30/100))+(CQ8*(50/100))) &gt;=5.3),5.5,
IF(AND( SUM((CO8*(20/100))+(CP8*(30/100))+(CQ8*(50/100))) &lt;=5.3, SUM((CO8*(20/100))+(CP8*(30/100))+(CQ8*(50/100))) &gt;=4.8),5,
IF(AND( SUM((CO8*(20/100))+(CP8*(30/100))+(CQ8*(50/100))) &lt;=4.8, SUM((CO8*(20/100))+(CP8*(30/100))+(CQ8*(50/100))) &gt;=4.3),4.5,
IF(AND( SUM((CO8*(20/100))+(CP8*(30/100))+(CQ8*(50/100))) &lt;=4.3, SUM((CO8*(20/100))+(CP8*(30/100))+(CQ8*(50/100))) &gt;=3.8),4,
IF(AND( SUM((CO8*(20/100))+(CP8*(30/100))+(CQ8*(50/100))) &lt;=3.8, SUM((CO8*(20/100))+(CP8*(30/100))+(CQ8*(50/100))) &gt;=3.5),3.5,0)))))))))))))</f>
        <v>0</v>
      </c>
      <c r="CS8" s="546"/>
      <c r="CT8" s="546"/>
      <c r="CU8" s="546"/>
      <c r="CV8" s="545">
        <f>IF( SUM((CS8*(20/100))+(CT8*(30/100))+(CU8*(50/100))) &gt;=9.3,9.5,
IF(AND( SUM((CS8*(20/100))+(CT8*(30/100))+(CU8*(50/100))) &lt;=9.3, SUM((CS8*(20/100))+(CT8*(30/100))+(CU8*(50/100))) &gt;=8.8),9,
IF(AND( SUM((CS8*(20/100))+(CT8*(30/100))+(CU8*(50/100))) &lt;=8.8, SUM((CS8*(20/100))+(CT8*(30/100))+(CU8*(50/100))) &gt;=8.3),8.5,
IF(AND( SUM((CS8*(20/100))+(CT8*(30/100))+(CU8*(50/100))) &lt;=8.3, SUM((CS8*(20/100))+(CT8*(30/100))+(CU8*(50/100))) &gt;=7.8),8,
IF(AND( SUM((CS8*(20/100))+(CT8*(30/100))+(CU8*(50/100))) &lt;=7.8, SUM((CS8*(20/100))+(CT8*(30/100))+(CU8*(50/100))) &gt;=7.3),7.5,
IF(AND( SUM((CS8*(20/100))+(CT8*(30/100))+(CU8*(50/100))) &lt;=7.3, SUM((CS8*(20/100))+(CT8*(30/100))+(CU8*(50/100))) &gt;=6.8),7,
IF(AND( SUM((CS8*(20/100))+(CT8*(30/100))+(CU8*(50/100))) &lt;=6.8, SUM((CS8*(20/100))+(CT8*(30/100))+(CU8*(50/100))) &gt;=6.3),6.5,
IF(AND( SUM((CS8*(20/100))+(CT8*(30/100))+(CU8*(50/100))) &lt;=6.3, SUM((CS8*(20/100))+(CT8*(30/100))+(CU8*(50/100))) &gt;=5.8),6,
IF(AND( SUM((CS8*(20/100))+(CT8*(30/100))+(CU8*(50/100))) &lt;=5.8, SUM((CS8*(20/100))+(CT8*(30/100))+(CU8*(50/100))) &gt;=5.3),5.5,
IF(AND( SUM((CS8*(20/100))+(CT8*(30/100))+(CU8*(50/100))) &lt;=5.3, SUM((CS8*(20/100))+(CT8*(30/100))+(CU8*(50/100))) &gt;=4.8),5,
IF(AND( SUM((CS8*(20/100))+(CT8*(30/100))+(CU8*(50/100))) &lt;=4.8, SUM((CS8*(20/100))+(CT8*(30/100))+(CU8*(50/100))) &gt;=4.3),4.5,
IF(AND( SUM((CS8*(20/100))+(CT8*(30/100))+(CU8*(50/100))) &lt;=4.3, SUM((CS8*(20/100))+(CT8*(30/100))+(CU8*(50/100))) &gt;=3.8),4,
IF(AND( SUM((CS8*(20/100))+(CT8*(30/100))+(CU8*(50/100))) &lt;=3.8, SUM((CS8*(20/100))+(CT8*(30/100))+(CU8*(50/100))) &gt;=3.5),3.5,0)))))))))))))</f>
        <v>0</v>
      </c>
      <c r="CW8" s="546"/>
      <c r="CX8" s="546"/>
      <c r="CY8" s="546"/>
      <c r="CZ8" s="545">
        <f>IF( SUM((CW8*(20/100))+(CX8*(30/100))+(CY8*(50/100))) &gt;=9.3,9.5,
IF(AND( SUM((CW8*(20/100))+(CX8*(30/100))+(CY8*(50/100))) &lt;=9.3, SUM((CW8*(20/100))+(CX8*(30/100))+(CY8*(50/100))) &gt;=8.8),9,
IF(AND( SUM((CW8*(20/100))+(CX8*(30/100))+(CY8*(50/100))) &lt;=8.8, SUM((CW8*(20/100))+(CX8*(30/100))+(CY8*(50/100))) &gt;=8.3),8.5,
IF(AND( SUM((CW8*(20/100))+(CX8*(30/100))+(CY8*(50/100))) &lt;=8.3, SUM((CW8*(20/100))+(CX8*(30/100))+(CY8*(50/100))) &gt;=7.8),8,
IF(AND( SUM((CW8*(20/100))+(CX8*(30/100))+(CY8*(50/100))) &lt;=7.8, SUM((CW8*(20/100))+(CX8*(30/100))+(CY8*(50/100))) &gt;=7.3),7.5,
IF(AND( SUM((CW8*(20/100))+(CX8*(30/100))+(CY8*(50/100))) &lt;=7.3, SUM((CW8*(20/100))+(CX8*(30/100))+(CY8*(50/100))) &gt;=6.8),7,
IF(AND( SUM((CW8*(20/100))+(CX8*(30/100))+(CY8*(50/100))) &lt;=6.8, SUM((CW8*(20/100))+(CX8*(30/100))+(CY8*(50/100))) &gt;=6.3),6.5,
IF(AND( SUM((CW8*(20/100))+(CX8*(30/100))+(CY8*(50/100))) &lt;=6.3, SUM((CW8*(20/100))+(CX8*(30/100))+(CY8*(50/100))) &gt;=5.8),6,
IF(AND( SUM((CW8*(20/100))+(CX8*(30/100))+(CY8*(50/100))) &lt;=5.8, SUM((CW8*(20/100))+(CX8*(30/100))+(CY8*(50/100))) &gt;=5.3),5.5,
IF(AND( SUM((CW8*(20/100))+(CX8*(30/100))+(CY8*(50/100))) &lt;=5.3, SUM((CW8*(20/100))+(CX8*(30/100))+(CY8*(50/100))) &gt;=4.8),5,
IF(AND( SUM((CW8*(20/100))+(CX8*(30/100))+(CY8*(50/100))) &lt;=4.8, SUM((CW8*(20/100))+(CX8*(30/100))+(CY8*(50/100))) &gt;=4.3),4.5,
IF(AND( SUM((CW8*(20/100))+(CX8*(30/100))+(CY8*(50/100))) &lt;=4.3, SUM((CW8*(20/100))+(CX8*(30/100))+(CY8*(50/100))) &gt;=3.8),4,
IF(AND( SUM((CW8*(20/100))+(CX8*(30/100))+(CY8*(50/100))) &lt;=3.8, SUM((CW8*(20/100))+(CX8*(30/100))+(CY8*(50/100))) &gt;=3.5),3.5,0)))))))))))))</f>
        <v>0</v>
      </c>
      <c r="DA8" s="546"/>
      <c r="DB8" s="546"/>
      <c r="DC8" s="546"/>
      <c r="DD8" s="545">
        <f>IF( SUM((DA8*(20/100))+(DB8*(30/100))+(DC8*(50/100))) &gt;=9.3,9.5,
IF(AND( SUM((DA8*(20/100))+(DB8*(30/100))+(DC8*(50/100))) &lt;=9.3, SUM((DA8*(20/100))+(DB8*(30/100))+(DC8*(50/100))) &gt;=8.8),9,
IF(AND( SUM((DA8*(20/100))+(DB8*(30/100))+(DC8*(50/100))) &lt;=8.8, SUM((DA8*(20/100))+(DB8*(30/100))+(DC8*(50/100))) &gt;=8.3),8.5,
IF(AND( SUM((DA8*(20/100))+(DB8*(30/100))+(DC8*(50/100))) &lt;=8.3, SUM((DA8*(20/100))+(DB8*(30/100))+(DC8*(50/100))) &gt;=7.8),8,
IF(AND( SUM((DA8*(20/100))+(DB8*(30/100))+(DC8*(50/100))) &lt;=7.8, SUM((DA8*(20/100))+(DB8*(30/100))+(DC8*(50/100))) &gt;=7.3),7.5,
IF(AND( SUM((DA8*(20/100))+(DB8*(30/100))+(DC8*(50/100))) &lt;=7.3, SUM((DA8*(20/100))+(DB8*(30/100))+(DC8*(50/100))) &gt;=6.8),7,
IF(AND( SUM((DA8*(20/100))+(DB8*(30/100))+(DC8*(50/100))) &lt;=6.8, SUM((DA8*(20/100))+(DB8*(30/100))+(DC8*(50/100))) &gt;=6.3),6.5,
IF(AND( SUM((DA8*(20/100))+(DB8*(30/100))+(DC8*(50/100))) &lt;=6.3, SUM((DA8*(20/100))+(DB8*(30/100))+(DC8*(50/100))) &gt;=5.8),6,
IF(AND( SUM((DA8*(20/100))+(DB8*(30/100))+(DC8*(50/100))) &lt;=5.8, SUM((DA8*(20/100))+(DB8*(30/100))+(DC8*(50/100))) &gt;=5.3),5.5,
IF(AND( SUM((DA8*(20/100))+(DB8*(30/100))+(DC8*(50/100))) &lt;=5.3, SUM((DA8*(20/100))+(DB8*(30/100))+(DC8*(50/100))) &gt;=4.8),5,
IF(AND( SUM((DA8*(20/100))+(DB8*(30/100))+(DC8*(50/100))) &lt;=4.8, SUM((DA8*(20/100))+(DB8*(30/100))+(DC8*(50/100))) &gt;=4.3),4.5,
IF(AND( SUM((DA8*(20/100))+(DB8*(30/100))+(DC8*(50/100))) &lt;=4.3, SUM((DA8*(20/100))+(DB8*(30/100))+(DC8*(50/100))) &gt;=3.8),4,
IF(AND( SUM((DA8*(20/100))+(DB8*(30/100))+(DC8*(50/100))) &lt;=3.8, SUM((DA8*(20/100))+(DB8*(30/100))+(DC8*(50/100))) &gt;=3.5),3.5,0)))))))))))))</f>
        <v>0</v>
      </c>
      <c r="DE8" s="546"/>
      <c r="DF8" s="546"/>
      <c r="DG8" s="546"/>
      <c r="DH8" s="545">
        <f>IF( SUM((DE8*(20/100))+(DF8*(30/100))+(DG8*(50/100))) &gt;=9.3,9.5,
IF(AND( SUM((DE8*(20/100))+(DF8*(30/100))+(DG8*(50/100))) &lt;=9.3, SUM((DE8*(20/100))+(DF8*(30/100))+(DG8*(50/100))) &gt;=8.8),9,
IF(AND( SUM((DE8*(20/100))+(DF8*(30/100))+(DG8*(50/100))) &lt;=8.8, SUM((DE8*(20/100))+(DF8*(30/100))+(DG8*(50/100))) &gt;=8.3),8.5,
IF(AND( SUM((DE8*(20/100))+(DF8*(30/100))+(DG8*(50/100))) &lt;=8.3, SUM((DE8*(20/100))+(DF8*(30/100))+(DG8*(50/100))) &gt;=7.8),8,
IF(AND( SUM((DE8*(20/100))+(DF8*(30/100))+(DG8*(50/100))) &lt;=7.8, SUM((DE8*(20/100))+(DF8*(30/100))+(DG8*(50/100))) &gt;=7.3),7.5,
IF(AND( SUM((DE8*(20/100))+(DF8*(30/100))+(DG8*(50/100))) &lt;=7.3, SUM((DE8*(20/100))+(DF8*(30/100))+(DG8*(50/100))) &gt;=6.8),7,
IF(AND( SUM((DE8*(20/100))+(DF8*(30/100))+(DG8*(50/100))) &lt;=6.8, SUM((DE8*(20/100))+(DF8*(30/100))+(DG8*(50/100))) &gt;=6.3),6.5,
IF(AND( SUM((DE8*(20/100))+(DF8*(30/100))+(DG8*(50/100))) &lt;=6.3, SUM((DE8*(20/100))+(DF8*(30/100))+(DG8*(50/100))) &gt;=5.8),6,
IF(AND( SUM((DE8*(20/100))+(DF8*(30/100))+(DG8*(50/100))) &lt;=5.8, SUM((DE8*(20/100))+(DF8*(30/100))+(DG8*(50/100))) &gt;=5.3),5.5,
IF(AND( SUM((DE8*(20/100))+(DF8*(30/100))+(DG8*(50/100))) &lt;=5.3, SUM((DE8*(20/100))+(DF8*(30/100))+(DG8*(50/100))) &gt;=4.8),5,
IF(AND( SUM((DE8*(20/100))+(DF8*(30/100))+(DG8*(50/100))) &lt;=4.8, SUM((DE8*(20/100))+(DF8*(30/100))+(DG8*(50/100))) &gt;=4.3),4.5,
IF(AND( SUM((DE8*(20/100))+(DF8*(30/100))+(DG8*(50/100))) &lt;=4.3, SUM((DE8*(20/100))+(DF8*(30/100))+(DG8*(50/100))) &gt;=3.8),4,
IF(AND( SUM((DE8*(20/100))+(DF8*(30/100))+(DG8*(50/100))) &lt;=3.8, SUM((DE8*(20/100))+(DF8*(30/100))+(DG8*(50/100))) &gt;=3.5),3.5,0)))))))))))))</f>
        <v>0</v>
      </c>
      <c r="DI8" s="546"/>
      <c r="DJ8" s="546"/>
      <c r="DK8" s="546"/>
      <c r="DL8" s="545">
        <f>IF( SUM((DI8*(20/100))+(DJ8*(30/100))+(DK8*(50/100))) &gt;=9.3,9.5,
IF(AND( SUM((DI8*(20/100))+(DJ8*(30/100))+(DK8*(50/100))) &lt;=9.3, SUM((DI8*(20/100))+(DJ8*(30/100))+(DK8*(50/100))) &gt;=8.8),9,
IF(AND( SUM((DI8*(20/100))+(DJ8*(30/100))+(DK8*(50/100))) &lt;=8.8, SUM((DI8*(20/100))+(DJ8*(30/100))+(DK8*(50/100))) &gt;=8.3),8.5,
IF(AND( SUM((DI8*(20/100))+(DJ8*(30/100))+(DK8*(50/100))) &lt;=8.3, SUM((DI8*(20/100))+(DJ8*(30/100))+(DK8*(50/100))) &gt;=7.8),8,
IF(AND( SUM((DI8*(20/100))+(DJ8*(30/100))+(DK8*(50/100))) &lt;=7.8, SUM((DI8*(20/100))+(DJ8*(30/100))+(DK8*(50/100))) &gt;=7.3),7.5,
IF(AND( SUM((DI8*(20/100))+(DJ8*(30/100))+(DK8*(50/100))) &lt;=7.3, SUM((DI8*(20/100))+(DJ8*(30/100))+(DK8*(50/100))) &gt;=6.8),7,
IF(AND( SUM((DI8*(20/100))+(DJ8*(30/100))+(DK8*(50/100))) &lt;=6.8, SUM((DI8*(20/100))+(DJ8*(30/100))+(DK8*(50/100))) &gt;=6.3),6.5,
IF(AND( SUM((DI8*(20/100))+(DJ8*(30/100))+(DK8*(50/100))) &lt;=6.3, SUM((DI8*(20/100))+(DJ8*(30/100))+(DK8*(50/100))) &gt;=5.8),6,
IF(AND( SUM((DI8*(20/100))+(DJ8*(30/100))+(DK8*(50/100))) &lt;=5.8, SUM((DI8*(20/100))+(DJ8*(30/100))+(DK8*(50/100))) &gt;=5.3),5.5,
IF(AND( SUM((DI8*(20/100))+(DJ8*(30/100))+(DK8*(50/100))) &lt;=5.3, SUM((DI8*(20/100))+(DJ8*(30/100))+(DK8*(50/100))) &gt;=4.8),5,
IF(AND( SUM((DI8*(20/100))+(DJ8*(30/100))+(DK8*(50/100))) &lt;=4.8, SUM((DI8*(20/100))+(DJ8*(30/100))+(DK8*(50/100))) &gt;=4.3),4.5,
IF(AND( SUM((DI8*(20/100))+(DJ8*(30/100))+(DK8*(50/100))) &lt;=4.3, SUM((DI8*(20/100))+(DJ8*(30/100))+(DK8*(50/100))) &gt;=3.8),4,
IF(AND( SUM((DI8*(20/100))+(DJ8*(30/100))+(DK8*(50/100))) &lt;=3.8, SUM((DI8*(20/100))+(DJ8*(30/100))+(DK8*(50/100))) &gt;=3.5),3.5,0)))))))))))))</f>
        <v>0</v>
      </c>
      <c r="DM8" s="546"/>
      <c r="DN8" s="546"/>
      <c r="DO8" s="546"/>
      <c r="DP8" s="545">
        <f>IF( SUM((DJ8*(20/100))+(DK8*(30/100))+(DL8*(50/100))) &gt;=9.3,9.5,
IF(AND( SUM((DJ8*(20/100))+(DK8*(30/100))+(DL8*(50/100))) &lt;=9.3, SUM((DJ8*(20/100))+(DK8*(30/100))+(DL8*(50/100))) &gt;=8.8),9,
IF(AND( SUM((DJ8*(20/100))+(DK8*(30/100))+(DL8*(50/100))) &lt;=8.8, SUM((DJ8*(20/100))+(DK8*(30/100))+(DL8*(50/100))) &gt;=8.3),8.5,
IF(AND( SUM((DJ8*(20/100))+(DK8*(30/100))+(DL8*(50/100))) &lt;=8.3, SUM((DJ8*(20/100))+(DK8*(30/100))+(DL8*(50/100))) &gt;=7.8),8,
IF(AND( SUM((DJ8*(20/100))+(DK8*(30/100))+(DL8*(50/100))) &lt;=7.8, SUM((DJ8*(20/100))+(DK8*(30/100))+(DL8*(50/100))) &gt;=7.3),7.5,
IF(AND( SUM((DJ8*(20/100))+(DK8*(30/100))+(DL8*(50/100))) &lt;=7.3, SUM((DJ8*(20/100))+(DK8*(30/100))+(DL8*(50/100))) &gt;=6.8),7,
IF(AND( SUM((DJ8*(20/100))+(DK8*(30/100))+(DL8*(50/100))) &lt;=6.8, SUM((DJ8*(20/100))+(DK8*(30/100))+(DL8*(50/100))) &gt;=6.3),6.5,
IF(AND( SUM((DJ8*(20/100))+(DK8*(30/100))+(DL8*(50/100))) &lt;=6.3, SUM((DJ8*(20/100))+(DK8*(30/100))+(DL8*(50/100))) &gt;=5.8),6,
IF(AND( SUM((DJ8*(20/100))+(DK8*(30/100))+(DL8*(50/100))) &lt;=5.8, SUM((DJ8*(20/100))+(DK8*(30/100))+(DL8*(50/100))) &gt;=5.3),5.5,
IF(AND( SUM((DJ8*(20/100))+(DK8*(30/100))+(DL8*(50/100))) &lt;=5.3, SUM((DJ8*(20/100))+(DK8*(30/100))+(DL8*(50/100))) &gt;=4.8),5,
IF(AND( SUM((DJ8*(20/100))+(DK8*(30/100))+(DL8*(50/100))) &lt;=4.8, SUM((DJ8*(20/100))+(DK8*(30/100))+(DL8*(50/100))) &gt;=4.3),4.5,
IF(AND( SUM((DJ8*(20/100))+(DK8*(30/100))+(DL8*(50/100))) &lt;=4.3, SUM((DJ8*(20/100))+(DK8*(30/100))+(DL8*(50/100))) &gt;=3.8),4,
IF(AND( SUM((DJ8*(20/100))+(DK8*(30/100))+(DL8*(50/100))) &lt;=3.8, SUM((DJ8*(20/100))+(DK8*(30/100))+(DL8*(50/100))) &gt;=3.5),3.5,0)))))))))))))</f>
        <v>0</v>
      </c>
      <c r="DQ8" s="545"/>
      <c r="DR8" s="545"/>
      <c r="DS8" s="545"/>
      <c r="DT8" s="545"/>
      <c r="DU8" s="545"/>
      <c r="DV8" s="545"/>
      <c r="DW8" s="545"/>
      <c r="DX8" s="545"/>
      <c r="DY8" s="545"/>
      <c r="DZ8" s="545"/>
    </row>
    <row r="9" spans="1:171" ht="15" customHeight="1" x14ac:dyDescent="0.25">
      <c r="B9" s="334">
        <v>2</v>
      </c>
      <c r="C9" s="541"/>
      <c r="D9" s="334"/>
      <c r="E9" s="334"/>
      <c r="F9" s="334"/>
      <c r="G9" s="334"/>
      <c r="H9" s="334"/>
      <c r="I9" s="334"/>
      <c r="J9" s="536"/>
      <c r="K9" s="536"/>
      <c r="L9" s="536"/>
      <c r="M9" s="536"/>
      <c r="N9" s="536"/>
      <c r="O9" s="536"/>
      <c r="P9" s="536">
        <f t="shared" ref="P9:P72" si="1">IF( SUM((M9*(20/100))+(N9*(30/100))+(O9*(50/100))) &gt;=9.3,9.5,
IF(AND( SUM((M9*(20/100))+(N9*(30/100))+(O9*(50/100))) &lt;=9.3, SUM((M9*(20/100))+(N9*(30/100))+(O9*(50/100))) &gt;=8.8),9,
IF(AND( SUM((M9*(20/100))+(N9*(30/100))+(O9*(50/100))) &lt;=8.8, SUM((M9*(20/100))+(N9*(30/100))+(O9*(50/100))) &gt;=8.3),8.5,
IF(AND( SUM((M9*(20/100))+(N9*(30/100))+(O9*(50/100))) &lt;=8.3, SUM((M9*(20/100))+(N9*(30/100))+(O9*(50/100))) &gt;=7.8),8,
IF(AND( SUM((M9*(20/100))+(N9*(30/100))+(O9*(50/100))) &lt;=7.8, SUM((M9*(20/100))+(N9*(30/100))+(O9*(50/100))) &gt;=7.3),7.5,
IF(AND( SUM((M9*(20/100))+(N9*(30/100))+(O9*(50/100))) &lt;=7.3, SUM((M9*(20/100))+(N9*(30/100))+(O9*(50/100))) &gt;=6.8),7,
IF(AND( SUM((M9*(20/100))+(N9*(30/100))+(O9*(50/100))) &lt;=6.8, SUM((M9*(20/100))+(N9*(30/100))+(O9*(50/100))) &gt;=6.3),6.5,
IF(AND( SUM((M9*(20/100))+(N9*(30/100))+(O9*(50/100))) &lt;=6.3, SUM((M9*(20/100))+(N9*(30/100))+(O9*(50/100))) &gt;=5.8),6,
IF(AND( SUM((M9*(20/100))+(N9*(30/100))+(O9*(50/100))) &lt;=5.8, SUM((M9*(20/100))+(N9*(30/100))+(O9*(50/100))) &gt;=5.3),5.5,
IF(AND( SUM((M9*(20/100))+(N9*(30/100))+(O9*(50/100))) &lt;=5.3, SUM((M9*(20/100))+(N9*(30/100))+(O9*(50/100))) &gt;=4.8),5,
IF(AND( SUM((M9*(20/100))+(N9*(30/100))+(O9*(50/100))) &lt;=4.8, SUM((M9*(20/100))+(N9*(30/100))+(O9*(50/100))) &gt;=4.3),4.5,
IF(AND( SUM((M9*(20/100))+(N9*(30/100))+(O9*(50/100))) &lt;=4.3, SUM((M9*(20/100))+(N9*(30/100))+(O9*(50/100))) &gt;=3.8),4,
IF(AND( SUM((M9*(20/100))+(N9*(30/100))+(O9*(50/100))) &lt;=3.8, SUM((M9*(20/100))+(N9*(30/100))+(O9*(50/100))) &gt;=3.5),3.5,0)))))))))))))</f>
        <v>0</v>
      </c>
      <c r="Q9" s="536"/>
      <c r="R9" s="536"/>
      <c r="S9" s="536"/>
      <c r="T9" s="536">
        <f t="shared" ref="T9:T72" si="2">IF( SUM((Q9*(20/100))+(R9*(30/100))+(S9*(50/100))) &gt;=9.3,9.5,
IF(AND( SUM((Q9*(20/100))+(R9*(30/100))+(S9*(50/100))) &lt;=9.3, SUM((Q9*(20/100))+(R9*(30/100))+(S9*(50/100))) &gt;=8.8),9,
IF(AND( SUM((Q9*(20/100))+(R9*(30/100))+(S9*(50/100))) &lt;=8.8, SUM((Q9*(20/100))+(R9*(30/100))+(S9*(50/100))) &gt;=8.3),8.5,
IF(AND( SUM((Q9*(20/100))+(R9*(30/100))+(S9*(50/100))) &lt;=8.3, SUM((Q9*(20/100))+(R9*(30/100))+(S9*(50/100))) &gt;=7.8),8,
IF(AND( SUM((Q9*(20/100))+(R9*(30/100))+(S9*(50/100))) &lt;=7.8, SUM((Q9*(20/100))+(R9*(30/100))+(S9*(50/100))) &gt;=7.3),7.5,
IF(AND( SUM((Q9*(20/100))+(R9*(30/100))+(S9*(50/100))) &lt;=7.3, SUM((Q9*(20/100))+(R9*(30/100))+(S9*(50/100))) &gt;=6.8),7,
IF(AND( SUM((Q9*(20/100))+(R9*(30/100))+(S9*(50/100))) &lt;=6.8, SUM((Q9*(20/100))+(R9*(30/100))+(S9*(50/100))) &gt;=6.3),6.5,
IF(AND( SUM((Q9*(20/100))+(R9*(30/100))+(S9*(50/100))) &lt;=6.3, SUM((Q9*(20/100))+(R9*(30/100))+(S9*(50/100))) &gt;=5.8),6,
IF(AND( SUM((Q9*(20/100))+(R9*(30/100))+(S9*(50/100))) &lt;=5.8, SUM((Q9*(20/100))+(R9*(30/100))+(S9*(50/100))) &gt;=5.3),5.5,
IF(AND( SUM((Q9*(20/100))+(R9*(30/100))+(S9*(50/100))) &lt;=5.3, SUM((Q9*(20/100))+(R9*(30/100))+(S9*(50/100))) &gt;=4.8),5,
IF(AND( SUM((Q9*(20/100))+(R9*(30/100))+(S9*(50/100))) &lt;=4.8, SUM((Q9*(20/100))+(R9*(30/100))+(S9*(50/100))) &gt;=4.3),4.5,
IF(AND( SUM((Q9*(20/100))+(R9*(30/100))+(S9*(50/100))) &lt;=4.3, SUM((Q9*(20/100))+(R9*(30/100))+(S9*(50/100))) &gt;=3.8),4,
IF(AND( SUM((Q9*(20/100))+(R9*(30/100))+(S9*(50/100))) &lt;=3.8, SUM((Q9*(20/100))+(R9*(30/100))+(S9*(50/100))) &gt;=3.5),3.5,0)))))))))))))</f>
        <v>0</v>
      </c>
      <c r="U9" s="536"/>
      <c r="V9" s="536"/>
      <c r="W9" s="536"/>
      <c r="X9" s="536">
        <f t="shared" ref="X9:X72" si="3">IF( SUM((U9*(20/100))+(V9*(30/100))+(W9*(50/100))) &gt;=9.3,9.5,
IF(AND( SUM((U9*(20/100))+(V9*(30/100))+(W9*(50/100))) &lt;=9.3, SUM((U9*(20/100))+(V9*(30/100))+(W9*(50/100))) &gt;=8.8),9,
IF(AND( SUM((U9*(20/100))+(V9*(30/100))+(W9*(50/100))) &lt;=8.8, SUM((U9*(20/100))+(V9*(30/100))+(W9*(50/100))) &gt;=8.3),8.5,
IF(AND( SUM((U9*(20/100))+(V9*(30/100))+(W9*(50/100))) &lt;=8.3, SUM((U9*(20/100))+(V9*(30/100))+(W9*(50/100))) &gt;=7.8),8,
IF(AND( SUM((U9*(20/100))+(V9*(30/100))+(W9*(50/100))) &lt;=7.8, SUM((U9*(20/100))+(V9*(30/100))+(W9*(50/100))) &gt;=7.3),7.5,
IF(AND( SUM((U9*(20/100))+(V9*(30/100))+(W9*(50/100))) &lt;=7.3, SUM((U9*(20/100))+(V9*(30/100))+(W9*(50/100))) &gt;=6.8),7,
IF(AND( SUM((U9*(20/100))+(V9*(30/100))+(W9*(50/100))) &lt;=6.8, SUM((U9*(20/100))+(V9*(30/100))+(W9*(50/100))) &gt;=6.3),6.5,
IF(AND( SUM((U9*(20/100))+(V9*(30/100))+(W9*(50/100))) &lt;=6.3, SUM((U9*(20/100))+(V9*(30/100))+(W9*(50/100))) &gt;=5.8),6,
IF(AND( SUM((U9*(20/100))+(V9*(30/100))+(W9*(50/100))) &lt;=5.8, SUM((U9*(20/100))+(V9*(30/100))+(W9*(50/100))) &gt;=5.3),5.5,
IF(AND( SUM((U9*(20/100))+(V9*(30/100))+(W9*(50/100))) &lt;=5.3, SUM((U9*(20/100))+(V9*(30/100))+(W9*(50/100))) &gt;=4.8),5,
IF(AND( SUM((U9*(20/100))+(V9*(30/100))+(W9*(50/100))) &lt;=4.8, SUM((U9*(20/100))+(V9*(30/100))+(W9*(50/100))) &gt;=4.3),4.5,
IF(AND( SUM((U9*(20/100))+(V9*(30/100))+(W9*(50/100))) &lt;=4.3, SUM((U9*(20/100))+(V9*(30/100))+(W9*(50/100))) &gt;=3.8),4,
IF(AND( SUM((U9*(20/100))+(V9*(30/100))+(W9*(50/100))) &lt;=3.8, SUM((U9*(20/100))+(V9*(30/100))+(W9*(50/100))) &gt;=3.5),3.5,0)))))))))))))</f>
        <v>0</v>
      </c>
      <c r="Y9" s="536"/>
      <c r="Z9" s="536"/>
      <c r="AA9" s="536"/>
      <c r="AB9" s="536">
        <f t="shared" ref="AB9:AB72" si="4">IF( SUM((Y9*(20/100))+(Z9*(30/100))+(AA9*(50/100))) &gt;=9.3,9.5,
IF(AND( SUM((Y9*(20/100))+(Z9*(30/100))+(AA9*(50/100))) &lt;=9.3, SUM((Y9*(20/100))+(Z9*(30/100))+(AA9*(50/100))) &gt;=8.8),9,
IF(AND( SUM((Y9*(20/100))+(Z9*(30/100))+(AA9*(50/100))) &lt;=8.8, SUM((Y9*(20/100))+(Z9*(30/100))+(AA9*(50/100))) &gt;=8.3),8.5,
IF(AND( SUM((Y9*(20/100))+(Z9*(30/100))+(AA9*(50/100))) &lt;=8.3, SUM((Y9*(20/100))+(Z9*(30/100))+(AA9*(50/100))) &gt;=7.8),8,
IF(AND( SUM((Y9*(20/100))+(Z9*(30/100))+(AA9*(50/100))) &lt;=7.8, SUM((Y9*(20/100))+(Z9*(30/100))+(AA9*(50/100))) &gt;=7.3),7.5,
IF(AND( SUM((Y9*(20/100))+(Z9*(30/100))+(AA9*(50/100))) &lt;=7.3, SUM((Y9*(20/100))+(Z9*(30/100))+(AA9*(50/100))) &gt;=6.8),7,
IF(AND( SUM((Y9*(20/100))+(Z9*(30/100))+(AA9*(50/100))) &lt;=6.8, SUM((Y9*(20/100))+(Z9*(30/100))+(AA9*(50/100))) &gt;=6.3),6.5,
IF(AND( SUM((Y9*(20/100))+(Z9*(30/100))+(AA9*(50/100))) &lt;=6.3, SUM((Y9*(20/100))+(Z9*(30/100))+(AA9*(50/100))) &gt;=5.8),6,
IF(AND( SUM((Y9*(20/100))+(Z9*(30/100))+(AA9*(50/100))) &lt;=5.8, SUM((Y9*(20/100))+(Z9*(30/100))+(AA9*(50/100))) &gt;=5.3),5.5,
IF(AND( SUM((Y9*(20/100))+(Z9*(30/100))+(AA9*(50/100))) &lt;=5.3, SUM((Y9*(20/100))+(Z9*(30/100))+(AA9*(50/100))) &gt;=4.8),5,
IF(AND( SUM((Y9*(20/100))+(Z9*(30/100))+(AA9*(50/100))) &lt;=4.8, SUM((Y9*(20/100))+(Z9*(30/100))+(AA9*(50/100))) &gt;=4.3),4.5,
IF(AND( SUM((Y9*(20/100))+(Z9*(30/100))+(AA9*(50/100))) &lt;=4.3, SUM((Y9*(20/100))+(Z9*(30/100))+(AA9*(50/100))) &gt;=3.8),4,
IF(AND( SUM((Y9*(20/100))+(Z9*(30/100))+(AA9*(50/100))) &lt;=3.8, SUM((Y9*(20/100))+(Z9*(30/100))+(AA9*(50/100))) &gt;=3.5),3.5,0)))))))))))))</f>
        <v>0</v>
      </c>
      <c r="AC9" s="536"/>
      <c r="AD9" s="536"/>
      <c r="AE9" s="536"/>
      <c r="AF9" s="536">
        <f t="shared" ref="AF9:AF72" si="5">IF( SUM((AC9*(20/100))+(AD9*(30/100))+(AE9*(50/100))) &gt;=9.3,9.5,
IF(AND( SUM((AC9*(20/100))+(AD9*(30/100))+(AE9*(50/100))) &lt;=9.3, SUM((AC9*(20/100))+(AD9*(30/100))+(AE9*(50/100))) &gt;=8.8),9,
IF(AND( SUM((AC9*(20/100))+(AD9*(30/100))+(AE9*(50/100))) &lt;=8.8, SUM((AC9*(20/100))+(AD9*(30/100))+(AE9*(50/100))) &gt;=8.3),8.5,
IF(AND( SUM((AC9*(20/100))+(AD9*(30/100))+(AE9*(50/100))) &lt;=8.3, SUM((AC9*(20/100))+(AD9*(30/100))+(AE9*(50/100))) &gt;=7.8),8,
IF(AND( SUM((AC9*(20/100))+(AD9*(30/100))+(AE9*(50/100))) &lt;=7.8, SUM((AC9*(20/100))+(AD9*(30/100))+(AE9*(50/100))) &gt;=7.3),7.5,
IF(AND( SUM((AC9*(20/100))+(AD9*(30/100))+(AE9*(50/100))) &lt;=7.3, SUM((AC9*(20/100))+(AD9*(30/100))+(AE9*(50/100))) &gt;=6.8),7,
IF(AND( SUM((AC9*(20/100))+(AD9*(30/100))+(AE9*(50/100))) &lt;=6.8, SUM((AC9*(20/100))+(AD9*(30/100))+(AE9*(50/100))) &gt;=6.3),6.5,
IF(AND( SUM((AC9*(20/100))+(AD9*(30/100))+(AE9*(50/100))) &lt;=6.3, SUM((AC9*(20/100))+(AD9*(30/100))+(AE9*(50/100))) &gt;=5.8),6,
IF(AND( SUM((AC9*(20/100))+(AD9*(30/100))+(AE9*(50/100))) &lt;=5.8, SUM((AC9*(20/100))+(AD9*(30/100))+(AE9*(50/100))) &gt;=5.3),5.5,
IF(AND( SUM((AC9*(20/100))+(AD9*(30/100))+(AE9*(50/100))) &lt;=5.3, SUM((AC9*(20/100))+(AD9*(30/100))+(AE9*(50/100))) &gt;=4.8),5,
IF(AND( SUM((AC9*(20/100))+(AD9*(30/100))+(AE9*(50/100))) &lt;=4.8, SUM((AC9*(20/100))+(AD9*(30/100))+(AE9*(50/100))) &gt;=4.3),4.5,
IF(AND( SUM((AC9*(20/100))+(AD9*(30/100))+(AE9*(50/100))) &lt;=4.3, SUM((AC9*(20/100))+(AD9*(30/100))+(AE9*(50/100))) &gt;=3.8),4,
IF(AND( SUM((AC9*(20/100))+(AD9*(30/100))+(AE9*(50/100))) &lt;=3.8, SUM((AC9*(20/100))+(AD9*(30/100))+(AE9*(50/100))) &gt;=3.5),3.5,0)))))))))))))</f>
        <v>0</v>
      </c>
      <c r="AG9" s="536"/>
      <c r="AH9" s="536"/>
      <c r="AI9" s="536"/>
      <c r="AJ9" s="536">
        <f t="shared" ref="AJ9:AJ72" si="6">IF( SUM((AG9*(20/100))+(AH9*(30/100))+(AI9*(50/100))) &gt;=9.3,9.5,
IF(AND( SUM((AG9*(20/100))+(AH9*(30/100))+(AI9*(50/100))) &lt;=9.3, SUM((AG9*(20/100))+(AH9*(30/100))+(AI9*(50/100))) &gt;=8.8),9,
IF(AND( SUM((AG9*(20/100))+(AH9*(30/100))+(AI9*(50/100))) &lt;=8.8, SUM((AG9*(20/100))+(AH9*(30/100))+(AI9*(50/100))) &gt;=8.3),8.5,
IF(AND( SUM((AG9*(20/100))+(AH9*(30/100))+(AI9*(50/100))) &lt;=8.3, SUM((AG9*(20/100))+(AH9*(30/100))+(AI9*(50/100))) &gt;=7.8),8,
IF(AND( SUM((AG9*(20/100))+(AH9*(30/100))+(AI9*(50/100))) &lt;=7.8, SUM((AG9*(20/100))+(AH9*(30/100))+(AI9*(50/100))) &gt;=7.3),7.5,
IF(AND( SUM((AG9*(20/100))+(AH9*(30/100))+(AI9*(50/100))) &lt;=7.3, SUM((AG9*(20/100))+(AH9*(30/100))+(AI9*(50/100))) &gt;=6.8),7,
IF(AND( SUM((AG9*(20/100))+(AH9*(30/100))+(AI9*(50/100))) &lt;=6.8, SUM((AG9*(20/100))+(AH9*(30/100))+(AI9*(50/100))) &gt;=6.3),6.5,
IF(AND( SUM((AG9*(20/100))+(AH9*(30/100))+(AI9*(50/100))) &lt;=6.3, SUM((AG9*(20/100))+(AH9*(30/100))+(AI9*(50/100))) &gt;=5.8),6,
IF(AND( SUM((AG9*(20/100))+(AH9*(30/100))+(AI9*(50/100))) &lt;=5.8, SUM((AG9*(20/100))+(AH9*(30/100))+(AI9*(50/100))) &gt;=5.3),5.5,
IF(AND( SUM((AG9*(20/100))+(AH9*(30/100))+(AI9*(50/100))) &lt;=5.3, SUM((AG9*(20/100))+(AH9*(30/100))+(AI9*(50/100))) &gt;=4.8),5,
IF(AND( SUM((AG9*(20/100))+(AH9*(30/100))+(AI9*(50/100))) &lt;=4.8, SUM((AG9*(20/100))+(AH9*(30/100))+(AI9*(50/100))) &gt;=4.3),4.5,
IF(AND( SUM((AG9*(20/100))+(AH9*(30/100))+(AI9*(50/100))) &lt;=4.3, SUM((AG9*(20/100))+(AH9*(30/100))+(AI9*(50/100))) &gt;=3.8),4,
IF(AND( SUM((AG9*(20/100))+(AH9*(30/100))+(AI9*(50/100))) &lt;=3.8, SUM((AG9*(20/100))+(AH9*(30/100))+(AI9*(50/100))) &gt;=3.5),3.5,0)))))))))))))</f>
        <v>0</v>
      </c>
      <c r="AK9" s="536"/>
      <c r="AL9" s="536"/>
      <c r="AM9" s="536"/>
      <c r="AN9" s="542">
        <f t="shared" ref="AN9:AN72" si="7">IF( SUM((AK9*(20/100))+(AL9*(30/100))+(AM9*(50/100))) &gt;=9.3,9.5,
IF(AND( SUM((AK9*(20/100))+(AL9*(30/100))+(AM9*(50/100))) &lt;=9.3, SUM((AK9*(20/100))+(AL9*(30/100))+(AM9*(50/100))) &gt;=8.8),9,
IF(AND( SUM((AK9*(20/100))+(AL9*(30/100))+(AM9*(50/100))) &lt;=8.8, SUM((AK9*(20/100))+(AL9*(30/100))+(AM9*(50/100))) &gt;=8.3),8.5,
IF(AND( SUM((AK9*(20/100))+(AL9*(30/100))+(AM9*(50/100))) &lt;=8.3, SUM((AK9*(20/100))+(AL9*(30/100))+(AM9*(50/100))) &gt;=7.8),8,
IF(AND( SUM((AK9*(20/100))+(AL9*(30/100))+(AM9*(50/100))) &lt;=7.8, SUM((AK9*(20/100))+(AL9*(30/100))+(AM9*(50/100))) &gt;=7.3),7.5,
IF(AND( SUM((AK9*(20/100))+(AL9*(30/100))+(AM9*(50/100))) &lt;=7.3, SUM((AK9*(20/100))+(AL9*(30/100))+(AM9*(50/100))) &gt;=6.8),7,
IF(AND( SUM((AK9*(20/100))+(AL9*(30/100))+(AM9*(50/100))) &lt;=6.8, SUM((AK9*(20/100))+(AL9*(30/100))+(AM9*(50/100))) &gt;=6.3),6.5,
IF(AND( SUM((AK9*(20/100))+(AL9*(30/100))+(AM9*(50/100))) &lt;=6.3, SUM((AK9*(20/100))+(AL9*(30/100))+(AM9*(50/100))) &gt;=5.8),6,
IF(AND( SUM((AK9*(20/100))+(AL9*(30/100))+(AM9*(50/100))) &lt;=5.8, SUM((AK9*(20/100))+(AL9*(30/100))+(AM9*(50/100))) &gt;=5.3),5.5,
IF(AND( SUM((AK9*(20/100))+(AL9*(30/100))+(AM9*(50/100))) &lt;=5.3, SUM((AK9*(20/100))+(AL9*(30/100))+(AM9*(50/100))) &gt;=4.8),5,
IF(AND( SUM((AK9*(20/100))+(AL9*(30/100))+(AM9*(50/100))) &lt;=4.8, SUM((AK9*(20/100))+(AL9*(30/100))+(AM9*(50/100))) &gt;=4.3),4.5,
IF(AND( SUM((AK9*(20/100))+(AL9*(30/100))+(AM9*(50/100))) &lt;=4.3, SUM((AK9*(20/100))+(AL9*(30/100))+(AM9*(50/100))) &gt;=3.8),4,
IF(AND( SUM((AK9*(20/100))+(AL9*(30/100))+(AM9*(50/100))) &lt;=3.8, SUM((AK9*(20/100))+(AL9*(30/100))+(AM9*(50/100))) &gt;=3.5),3.5,0)))))))))))))</f>
        <v>0</v>
      </c>
      <c r="AO9" s="536"/>
      <c r="AP9" s="536"/>
      <c r="AQ9" s="536"/>
      <c r="AR9" s="542">
        <f t="shared" ref="AR9:AR72" si="8">IF( SUM((AO9*(20/100))+(AP9*(30/100))+(AQ9*(50/100))) &gt;=9.3,9.5,
IF(AND( SUM((AO9*(20/100))+(AP9*(30/100))+(AQ9*(50/100))) &lt;=9.3, SUM((AO9*(20/100))+(AP9*(30/100))+(AQ9*(50/100))) &gt;=8.8),9,
IF(AND( SUM((AO9*(20/100))+(AP9*(30/100))+(AQ9*(50/100))) &lt;=8.8, SUM((AO9*(20/100))+(AP9*(30/100))+(AQ9*(50/100))) &gt;=8.3),8.5,
IF(AND( SUM((AO9*(20/100))+(AP9*(30/100))+(AQ9*(50/100))) &lt;=8.3, SUM((AO9*(20/100))+(AP9*(30/100))+(AQ9*(50/100))) &gt;=7.8),8,
IF(AND( SUM((AO9*(20/100))+(AP9*(30/100))+(AQ9*(50/100))) &lt;=7.8, SUM((AO9*(20/100))+(AP9*(30/100))+(AQ9*(50/100))) &gt;=7.3),7.5,
IF(AND( SUM((AO9*(20/100))+(AP9*(30/100))+(AQ9*(50/100))) &lt;=7.3, SUM((AO9*(20/100))+(AP9*(30/100))+(AQ9*(50/100))) &gt;=6.8),7,
IF(AND( SUM((AO9*(20/100))+(AP9*(30/100))+(AQ9*(50/100))) &lt;=6.8, SUM((AO9*(20/100))+(AP9*(30/100))+(AQ9*(50/100))) &gt;=6.3),6.5,
IF(AND( SUM((AO9*(20/100))+(AP9*(30/100))+(AQ9*(50/100))) &lt;=6.3, SUM((AO9*(20/100))+(AP9*(30/100))+(AQ9*(50/100))) &gt;=5.8),6,
IF(AND( SUM((AO9*(20/100))+(AP9*(30/100))+(AQ9*(50/100))) &lt;=5.8, SUM((AO9*(20/100))+(AP9*(30/100))+(AQ9*(50/100))) &gt;=5.3),5.5,
IF(AND( SUM((AO9*(20/100))+(AP9*(30/100))+(AQ9*(50/100))) &lt;=5.3, SUM((AO9*(20/100))+(AP9*(30/100))+(AQ9*(50/100))) &gt;=4.8),5,
IF(AND( SUM((AO9*(20/100))+(AP9*(30/100))+(AQ9*(50/100))) &lt;=4.8, SUM((AO9*(20/100))+(AP9*(30/100))+(AQ9*(50/100))) &gt;=4.3),4.5,
IF(AND( SUM((AO9*(20/100))+(AP9*(30/100))+(AQ9*(50/100))) &lt;=4.3, SUM((AO9*(20/100))+(AP9*(30/100))+(AQ9*(50/100))) &gt;=3.8),4,
IF(AND( SUM((AO9*(20/100))+(AP9*(30/100))+(AQ9*(50/100))) &lt;=3.8, SUM((AO9*(20/100))+(AP9*(30/100))+(AQ9*(50/100))) &gt;=3.5),3.5,0)))))))))))))</f>
        <v>0</v>
      </c>
      <c r="AS9" s="536"/>
      <c r="AT9" s="536"/>
      <c r="AU9" s="536"/>
      <c r="AV9" s="542">
        <f t="shared" ref="AV9:AV72" si="9">IF( SUM((AS9*(20/100))+(AT9*(30/100))+(AU9*(50/100))) &gt;=9.3,9.5,
IF(AND( SUM((AS9*(20/100))+(AT9*(30/100))+(AU9*(50/100))) &lt;=9.3, SUM((AS9*(20/100))+(AT9*(30/100))+(AU9*(50/100))) &gt;=8.8),9,
IF(AND( SUM((AS9*(20/100))+(AT9*(30/100))+(AU9*(50/100))) &lt;=8.8, SUM((AS9*(20/100))+(AT9*(30/100))+(AU9*(50/100))) &gt;=8.3),8.5,
IF(AND( SUM((AS9*(20/100))+(AT9*(30/100))+(AU9*(50/100))) &lt;=8.3, SUM((AS9*(20/100))+(AT9*(30/100))+(AU9*(50/100))) &gt;=7.8),8,
IF(AND( SUM((AS9*(20/100))+(AT9*(30/100))+(AU9*(50/100))) &lt;=7.8, SUM((AS9*(20/100))+(AT9*(30/100))+(AU9*(50/100))) &gt;=7.3),7.5,
IF(AND( SUM((AS9*(20/100))+(AT9*(30/100))+(AU9*(50/100))) &lt;=7.3, SUM((AS9*(20/100))+(AT9*(30/100))+(AU9*(50/100))) &gt;=6.8),7,
IF(AND( SUM((AS9*(20/100))+(AT9*(30/100))+(AU9*(50/100))) &lt;=6.8, SUM((AS9*(20/100))+(AT9*(30/100))+(AU9*(50/100))) &gt;=6.3),6.5,
IF(AND( SUM((AS9*(20/100))+(AT9*(30/100))+(AU9*(50/100))) &lt;=6.3, SUM((AS9*(20/100))+(AT9*(30/100))+(AU9*(50/100))) &gt;=5.8),6,
IF(AND( SUM((AS9*(20/100))+(AT9*(30/100))+(AU9*(50/100))) &lt;=5.8, SUM((AS9*(20/100))+(AT9*(30/100))+(AU9*(50/100))) &gt;=5.3),5.5,
IF(AND( SUM((AS9*(20/100))+(AT9*(30/100))+(AU9*(50/100))) &lt;=5.3, SUM((AS9*(20/100))+(AT9*(30/100))+(AU9*(50/100))) &gt;=4.8),5,
IF(AND( SUM((AS9*(20/100))+(AT9*(30/100))+(AU9*(50/100))) &lt;=4.8, SUM((AS9*(20/100))+(AT9*(30/100))+(AU9*(50/100))) &gt;=4.3),4.5,
IF(AND( SUM((AS9*(20/100))+(AT9*(30/100))+(AU9*(50/100))) &lt;=4.3, SUM((AS9*(20/100))+(AT9*(30/100))+(AU9*(50/100))) &gt;=3.8),4,
IF(AND( SUM((AS9*(20/100))+(AT9*(30/100))+(AU9*(50/100))) &lt;=3.8, SUM((AS9*(20/100))+(AT9*(30/100))+(AU9*(50/100))) &gt;=3.5),3.5,0)))))))))))))</f>
        <v>0</v>
      </c>
      <c r="AW9" s="536"/>
      <c r="AX9" s="536"/>
      <c r="AY9" s="536"/>
      <c r="AZ9" s="542">
        <f t="shared" ref="AZ9:AZ72" si="10">IF( SUM((AW9*(20/100))+(AX9*(30/100))+(AY9*(50/100))) &gt;=9.3,9.5,
IF(AND( SUM((AW9*(20/100))+(AX9*(30/100))+(AY9*(50/100))) &lt;=9.3, SUM((AW9*(20/100))+(AX9*(30/100))+(AY9*(50/100))) &gt;=8.8),9,
IF(AND( SUM((AW9*(20/100))+(AX9*(30/100))+(AY9*(50/100))) &lt;=8.8, SUM((AW9*(20/100))+(AX9*(30/100))+(AY9*(50/100))) &gt;=8.3),8.5,
IF(AND( SUM((AW9*(20/100))+(AX9*(30/100))+(AY9*(50/100))) &lt;=8.3, SUM((AW9*(20/100))+(AX9*(30/100))+(AY9*(50/100))) &gt;=7.8),8,
IF(AND( SUM((AW9*(20/100))+(AX9*(30/100))+(AY9*(50/100))) &lt;=7.8, SUM((AW9*(20/100))+(AX9*(30/100))+(AY9*(50/100))) &gt;=7.3),7.5,
IF(AND( SUM((AW9*(20/100))+(AX9*(30/100))+(AY9*(50/100))) &lt;=7.3, SUM((AW9*(20/100))+(AX9*(30/100))+(AY9*(50/100))) &gt;=6.8),7,
IF(AND( SUM((AW9*(20/100))+(AX9*(30/100))+(AY9*(50/100))) &lt;=6.8, SUM((AW9*(20/100))+(AX9*(30/100))+(AY9*(50/100))) &gt;=6.3),6.5,
IF(AND( SUM((AW9*(20/100))+(AX9*(30/100))+(AY9*(50/100))) &lt;=6.3, SUM((AW9*(20/100))+(AX9*(30/100))+(AY9*(50/100))) &gt;=5.8),6,
IF(AND( SUM((AW9*(20/100))+(AX9*(30/100))+(AY9*(50/100))) &lt;=5.8, SUM((AW9*(20/100))+(AX9*(30/100))+(AY9*(50/100))) &gt;=5.3),5.5,
IF(AND( SUM((AW9*(20/100))+(AX9*(30/100))+(AY9*(50/100))) &lt;=5.3, SUM((AW9*(20/100))+(AX9*(30/100))+(AY9*(50/100))) &gt;=4.8),5,
IF(AND( SUM((AW9*(20/100))+(AX9*(30/100))+(AY9*(50/100))) &lt;=4.8, SUM((AW9*(20/100))+(AX9*(30/100))+(AY9*(50/100))) &gt;=4.3),4.5,
IF(AND( SUM((AW9*(20/100))+(AX9*(30/100))+(AY9*(50/100))) &lt;=4.3, SUM((AW9*(20/100))+(AX9*(30/100))+(AY9*(50/100))) &gt;=3.8),4,
IF(AND( SUM((AW9*(20/100))+(AX9*(30/100))+(AY9*(50/100))) &lt;=3.8, SUM((AW9*(20/100))+(AX9*(30/100))+(AY9*(50/100))) &gt;=3.5),3.5,0)))))))))))))</f>
        <v>0</v>
      </c>
      <c r="BA9" s="536"/>
      <c r="BB9" s="536"/>
      <c r="BC9" s="536"/>
      <c r="BD9" s="542">
        <f t="shared" ref="BD9:BD72" si="11">IF( SUM((BA9*(20/100))+(BB9*(30/100))+(BC9*(50/100))) &gt;=9.3,9.5,
IF(AND( SUM((BA9*(20/100))+(BB9*(30/100))+(BC9*(50/100))) &lt;=9.3, SUM((BA9*(20/100))+(BB9*(30/100))+(BC9*(50/100))) &gt;=8.8),9,
IF(AND( SUM((BA9*(20/100))+(BB9*(30/100))+(BC9*(50/100))) &lt;=8.8, SUM((BA9*(20/100))+(BB9*(30/100))+(BC9*(50/100))) &gt;=8.3),8.5,
IF(AND( SUM((BA9*(20/100))+(BB9*(30/100))+(BC9*(50/100))) &lt;=8.3, SUM((BA9*(20/100))+(BB9*(30/100))+(BC9*(50/100))) &gt;=7.8),8,
IF(AND( SUM((BA9*(20/100))+(BB9*(30/100))+(BC9*(50/100))) &lt;=7.8, SUM((BA9*(20/100))+(BB9*(30/100))+(BC9*(50/100))) &gt;=7.3),7.5,
IF(AND( SUM((BA9*(20/100))+(BB9*(30/100))+(BC9*(50/100))) &lt;=7.3, SUM((BA9*(20/100))+(BB9*(30/100))+(BC9*(50/100))) &gt;=6.8),7,
IF(AND( SUM((BA9*(20/100))+(BB9*(30/100))+(BC9*(50/100))) &lt;=6.8, SUM((BA9*(20/100))+(BB9*(30/100))+(BC9*(50/100))) &gt;=6.3),6.5,
IF(AND( SUM((BA9*(20/100))+(BB9*(30/100))+(BC9*(50/100))) &lt;=6.3, SUM((BA9*(20/100))+(BB9*(30/100))+(BC9*(50/100))) &gt;=5.8),6,
IF(AND( SUM((BA9*(20/100))+(BB9*(30/100))+(BC9*(50/100))) &lt;=5.8, SUM((BA9*(20/100))+(BB9*(30/100))+(BC9*(50/100))) &gt;=5.3),5.5,
IF(AND( SUM((BA9*(20/100))+(BB9*(30/100))+(BC9*(50/100))) &lt;=5.3, SUM((BA9*(20/100))+(BB9*(30/100))+(BC9*(50/100))) &gt;=4.8),5,
IF(AND( SUM((BA9*(20/100))+(BB9*(30/100))+(BC9*(50/100))) &lt;=4.8, SUM((BA9*(20/100))+(BB9*(30/100))+(BC9*(50/100))) &gt;=4.3),4.5,
IF(AND( SUM((BA9*(20/100))+(BB9*(30/100))+(BC9*(50/100))) &lt;=4.3, SUM((BA9*(20/100))+(BB9*(30/100))+(BC9*(50/100))) &gt;=3.8),4,
IF(AND( SUM((BA9*(20/100))+(BB9*(30/100))+(BC9*(50/100))) &lt;=3.8, SUM((BA9*(20/100))+(BB9*(30/100))+(BC9*(50/100))) &gt;=3.5),3.5,0)))))))))))))</f>
        <v>0</v>
      </c>
      <c r="BE9" s="536"/>
      <c r="BF9" s="536"/>
      <c r="BG9" s="536"/>
      <c r="BH9" s="542">
        <f t="shared" ref="BH9:BH72" si="12">IF( SUM((BE9*(20/100))+(BF9*(30/100))+(BG9*(50/100))) &gt;=9.3,9.5,
IF(AND( SUM((BE9*(20/100))+(BF9*(30/100))+(BG9*(50/100))) &lt;=9.3, SUM((BE9*(20/100))+(BF9*(30/100))+(BG9*(50/100))) &gt;=8.8),9,
IF(AND( SUM((BE9*(20/100))+(BF9*(30/100))+(BG9*(50/100))) &lt;=8.8, SUM((BE9*(20/100))+(BF9*(30/100))+(BG9*(50/100))) &gt;=8.3),8.5,
IF(AND( SUM((BE9*(20/100))+(BF9*(30/100))+(BG9*(50/100))) &lt;=8.3, SUM((BE9*(20/100))+(BF9*(30/100))+(BG9*(50/100))) &gt;=7.8),8,
IF(AND( SUM((BE9*(20/100))+(BF9*(30/100))+(BG9*(50/100))) &lt;=7.8, SUM((BE9*(20/100))+(BF9*(30/100))+(BG9*(50/100))) &gt;=7.3),7.5,
IF(AND( SUM((BE9*(20/100))+(BF9*(30/100))+(BG9*(50/100))) &lt;=7.3, SUM((BE9*(20/100))+(BF9*(30/100))+(BG9*(50/100))) &gt;=6.8),7,
IF(AND( SUM((BE9*(20/100))+(BF9*(30/100))+(BG9*(50/100))) &lt;=6.8, SUM((BE9*(20/100))+(BF9*(30/100))+(BG9*(50/100))) &gt;=6.3),6.5,
IF(AND( SUM((BE9*(20/100))+(BF9*(30/100))+(BG9*(50/100))) &lt;=6.3, SUM((BE9*(20/100))+(BF9*(30/100))+(BG9*(50/100))) &gt;=5.8),6,
IF(AND( SUM((BE9*(20/100))+(BF9*(30/100))+(BG9*(50/100))) &lt;=5.8, SUM((BE9*(20/100))+(BF9*(30/100))+(BG9*(50/100))) &gt;=5.3),5.5,
IF(AND( SUM((BE9*(20/100))+(BF9*(30/100))+(BG9*(50/100))) &lt;=5.3, SUM((BE9*(20/100))+(BF9*(30/100))+(BG9*(50/100))) &gt;=4.8),5,
IF(AND( SUM((BE9*(20/100))+(BF9*(30/100))+(BG9*(50/100))) &lt;=4.8, SUM((BE9*(20/100))+(BF9*(30/100))+(BG9*(50/100))) &gt;=4.3),4.5,
IF(AND( SUM((BE9*(20/100))+(BF9*(30/100))+(BG9*(50/100))) &lt;=4.3, SUM((BE9*(20/100))+(BF9*(30/100))+(BG9*(50/100))) &gt;=3.8),4,
IF(AND( SUM((BE9*(20/100))+(BF9*(30/100))+(BG9*(50/100))) &lt;=3.8, SUM((BE9*(20/100))+(BF9*(30/100))+(BG9*(50/100))) &gt;=3.5),3.5,0)))))))))))))</f>
        <v>0</v>
      </c>
      <c r="BI9" s="536"/>
      <c r="BJ9" s="536"/>
      <c r="BK9" s="536"/>
      <c r="BL9" s="542">
        <f t="shared" ref="BL9:BL72" si="13">IF( SUM((BI9*(20/100))+(BJ9*(30/100))+(BK9*(50/100))) &gt;=9.3,9.5,
IF(AND( SUM((BI9*(20/100))+(BJ9*(30/100))+(BK9*(50/100))) &lt;=9.3, SUM((BI9*(20/100))+(BJ9*(30/100))+(BK9*(50/100))) &gt;=8.8),9,
IF(AND( SUM((BI9*(20/100))+(BJ9*(30/100))+(BK9*(50/100))) &lt;=8.8, SUM((BI9*(20/100))+(BJ9*(30/100))+(BK9*(50/100))) &gt;=8.3),8.5,
IF(AND( SUM((BI9*(20/100))+(BJ9*(30/100))+(BK9*(50/100))) &lt;=8.3, SUM((BI9*(20/100))+(BJ9*(30/100))+(BK9*(50/100))) &gt;=7.8),8,
IF(AND( SUM((BI9*(20/100))+(BJ9*(30/100))+(BK9*(50/100))) &lt;=7.8, SUM((BI9*(20/100))+(BJ9*(30/100))+(BK9*(50/100))) &gt;=7.3),7.5,
IF(AND( SUM((BI9*(20/100))+(BJ9*(30/100))+(BK9*(50/100))) &lt;=7.3, SUM((BI9*(20/100))+(BJ9*(30/100))+(BK9*(50/100))) &gt;=6.8),7,
IF(AND( SUM((BI9*(20/100))+(BJ9*(30/100))+(BK9*(50/100))) &lt;=6.8, SUM((BI9*(20/100))+(BJ9*(30/100))+(BK9*(50/100))) &gt;=6.3),6.5,
IF(AND( SUM((BI9*(20/100))+(BJ9*(30/100))+(BK9*(50/100))) &lt;=6.3, SUM((BI9*(20/100))+(BJ9*(30/100))+(BK9*(50/100))) &gt;=5.8),6,
IF(AND( SUM((BI9*(20/100))+(BJ9*(30/100))+(BK9*(50/100))) &lt;=5.8, SUM((BI9*(20/100))+(BJ9*(30/100))+(BK9*(50/100))) &gt;=5.3),5.5,
IF(AND( SUM((BI9*(20/100))+(BJ9*(30/100))+(BK9*(50/100))) &lt;=5.3, SUM((BI9*(20/100))+(BJ9*(30/100))+(BK9*(50/100))) &gt;=4.8),5,
IF(AND( SUM((BI9*(20/100))+(BJ9*(30/100))+(BK9*(50/100))) &lt;=4.8, SUM((BI9*(20/100))+(BJ9*(30/100))+(BK9*(50/100))) &gt;=4.3),4.5,
IF(AND( SUM((BI9*(20/100))+(BJ9*(30/100))+(BK9*(50/100))) &lt;=4.3, SUM((BI9*(20/100))+(BJ9*(30/100))+(BK9*(50/100))) &gt;=3.8),4,
IF(AND( SUM((BI9*(20/100))+(BJ9*(30/100))+(BK9*(50/100))) &lt;=3.8, SUM((BI9*(20/100))+(BJ9*(30/100))+(BK9*(50/100))) &gt;=3.5),3.5,0)))))))))))))</f>
        <v>0</v>
      </c>
      <c r="BM9" s="536"/>
      <c r="BN9" s="536"/>
      <c r="BO9" s="536"/>
      <c r="BP9" s="542">
        <f t="shared" ref="BP9:BP72" si="14">IF( SUM((BM9*(20/100))+(BN9*(30/100))+(BO9*(50/100))) &gt;=9.3,9.5,
IF(AND( SUM((BM9*(20/100))+(BN9*(30/100))+(BO9*(50/100))) &lt;=9.3, SUM((BM9*(20/100))+(BN9*(30/100))+(BO9*(50/100))) &gt;=8.8),9,
IF(AND( SUM((BM9*(20/100))+(BN9*(30/100))+(BO9*(50/100))) &lt;=8.8, SUM((BM9*(20/100))+(BN9*(30/100))+(BO9*(50/100))) &gt;=8.3),8.5,
IF(AND( SUM((BM9*(20/100))+(BN9*(30/100))+(BO9*(50/100))) &lt;=8.3, SUM((BM9*(20/100))+(BN9*(30/100))+(BO9*(50/100))) &gt;=7.8),8,
IF(AND( SUM((BM9*(20/100))+(BN9*(30/100))+(BO9*(50/100))) &lt;=7.8, SUM((BM9*(20/100))+(BN9*(30/100))+(BO9*(50/100))) &gt;=7.3),7.5,
IF(AND( SUM((BM9*(20/100))+(BN9*(30/100))+(BO9*(50/100))) &lt;=7.3, SUM((BM9*(20/100))+(BN9*(30/100))+(BO9*(50/100))) &gt;=6.8),7,
IF(AND( SUM((BM9*(20/100))+(BN9*(30/100))+(BO9*(50/100))) &lt;=6.8, SUM((BM9*(20/100))+(BN9*(30/100))+(BO9*(50/100))) &gt;=6.3),6.5,
IF(AND( SUM((BM9*(20/100))+(BN9*(30/100))+(BO9*(50/100))) &lt;=6.3, SUM((BM9*(20/100))+(BN9*(30/100))+(BO9*(50/100))) &gt;=5.8),6,
IF(AND( SUM((BM9*(20/100))+(BN9*(30/100))+(BO9*(50/100))) &lt;=5.8, SUM((BM9*(20/100))+(BN9*(30/100))+(BO9*(50/100))) &gt;=5.3),5.5,
IF(AND( SUM((BM9*(20/100))+(BN9*(30/100))+(BO9*(50/100))) &lt;=5.3, SUM((BM9*(20/100))+(BN9*(30/100))+(BO9*(50/100))) &gt;=4.8),5,
IF(AND( SUM((BM9*(20/100))+(BN9*(30/100))+(BO9*(50/100))) &lt;=4.8, SUM((BM9*(20/100))+(BN9*(30/100))+(BO9*(50/100))) &gt;=4.3),4.5,
IF(AND( SUM((BM9*(20/100))+(BN9*(30/100))+(BO9*(50/100))) &lt;=4.3, SUM((BM9*(20/100))+(BN9*(30/100))+(BO9*(50/100))) &gt;=3.8),4,
IF(AND( SUM((BM9*(20/100))+(BN9*(30/100))+(BO9*(50/100))) &lt;=3.8, SUM((BM9*(20/100))+(BN9*(30/100))+(BO9*(50/100))) &gt;=3.5),3.5,0)))))))))))))</f>
        <v>0</v>
      </c>
      <c r="BQ9" s="536"/>
      <c r="BR9" s="536"/>
      <c r="BS9" s="536"/>
      <c r="BT9" s="542">
        <f t="shared" ref="BT9:BT72" si="15">IF( SUM((BQ9*(20/100))+(BR9*(30/100))+(BS9*(50/100))) &gt;=9.3,9.5,
IF(AND( SUM((BQ9*(20/100))+(BR9*(30/100))+(BS9*(50/100))) &lt;=9.3, SUM((BQ9*(20/100))+(BR9*(30/100))+(BS9*(50/100))) &gt;=8.8),9,
IF(AND( SUM((BQ9*(20/100))+(BR9*(30/100))+(BS9*(50/100))) &lt;=8.8, SUM((BQ9*(20/100))+(BR9*(30/100))+(BS9*(50/100))) &gt;=8.3),8.5,
IF(AND( SUM((BQ9*(20/100))+(BR9*(30/100))+(BS9*(50/100))) &lt;=8.3, SUM((BQ9*(20/100))+(BR9*(30/100))+(BS9*(50/100))) &gt;=7.8),8,
IF(AND( SUM((BQ9*(20/100))+(BR9*(30/100))+(BS9*(50/100))) &lt;=7.8, SUM((BQ9*(20/100))+(BR9*(30/100))+(BS9*(50/100))) &gt;=7.3),7.5,
IF(AND( SUM((BQ9*(20/100))+(BR9*(30/100))+(BS9*(50/100))) &lt;=7.3, SUM((BQ9*(20/100))+(BR9*(30/100))+(BS9*(50/100))) &gt;=6.8),7,
IF(AND( SUM((BQ9*(20/100))+(BR9*(30/100))+(BS9*(50/100))) &lt;=6.8, SUM((BQ9*(20/100))+(BR9*(30/100))+(BS9*(50/100))) &gt;=6.3),6.5,
IF(AND( SUM((BQ9*(20/100))+(BR9*(30/100))+(BS9*(50/100))) &lt;=6.3, SUM((BQ9*(20/100))+(BR9*(30/100))+(BS9*(50/100))) &gt;=5.8),6,
IF(AND( SUM((BQ9*(20/100))+(BR9*(30/100))+(BS9*(50/100))) &lt;=5.8, SUM((BQ9*(20/100))+(BR9*(30/100))+(BS9*(50/100))) &gt;=5.3),5.5,
IF(AND( SUM((BQ9*(20/100))+(BR9*(30/100))+(BS9*(50/100))) &lt;=5.3, SUM((BQ9*(20/100))+(BR9*(30/100))+(BS9*(50/100))) &gt;=4.8),5,
IF(AND( SUM((BQ9*(20/100))+(BR9*(30/100))+(BS9*(50/100))) &lt;=4.8, SUM((BQ9*(20/100))+(BR9*(30/100))+(BS9*(50/100))) &gt;=4.3),4.5,
IF(AND( SUM((BQ9*(20/100))+(BR9*(30/100))+(BS9*(50/100))) &lt;=4.3, SUM((BQ9*(20/100))+(BR9*(30/100))+(BS9*(50/100))) &gt;=3.8),4,
IF(AND( SUM((BQ9*(20/100))+(BR9*(30/100))+(BS9*(50/100))) &lt;=3.8, SUM((BQ9*(20/100))+(BR9*(30/100))+(BS9*(50/100))) &gt;=3.5),3.5,0)))))))))))))</f>
        <v>0</v>
      </c>
      <c r="BU9" s="536"/>
      <c r="BV9" s="536"/>
      <c r="BW9" s="536"/>
      <c r="BX9" s="542">
        <f t="shared" ref="BX9:BX72" si="16">IF( SUM((BU9*(20/100))+(BV9*(30/100))+(BW9*(50/100))) &gt;=9.3,9.5,
IF(AND( SUM((BU9*(20/100))+(BV9*(30/100))+(BW9*(50/100))) &lt;=9.3, SUM((BU9*(20/100))+(BV9*(30/100))+(BW9*(50/100))) &gt;=8.8),9,
IF(AND( SUM((BU9*(20/100))+(BV9*(30/100))+(BW9*(50/100))) &lt;=8.8, SUM((BU9*(20/100))+(BV9*(30/100))+(BW9*(50/100))) &gt;=8.3),8.5,
IF(AND( SUM((BU9*(20/100))+(BV9*(30/100))+(BW9*(50/100))) &lt;=8.3, SUM((BU9*(20/100))+(BV9*(30/100))+(BW9*(50/100))) &gt;=7.8),8,
IF(AND( SUM((BU9*(20/100))+(BV9*(30/100))+(BW9*(50/100))) &lt;=7.8, SUM((BU9*(20/100))+(BV9*(30/100))+(BW9*(50/100))) &gt;=7.3),7.5,
IF(AND( SUM((BU9*(20/100))+(BV9*(30/100))+(BW9*(50/100))) &lt;=7.3, SUM((BU9*(20/100))+(BV9*(30/100))+(BW9*(50/100))) &gt;=6.8),7,
IF(AND( SUM((BU9*(20/100))+(BV9*(30/100))+(BW9*(50/100))) &lt;=6.8, SUM((BU9*(20/100))+(BV9*(30/100))+(BW9*(50/100))) &gt;=6.3),6.5,
IF(AND( SUM((BU9*(20/100))+(BV9*(30/100))+(BW9*(50/100))) &lt;=6.3, SUM((BU9*(20/100))+(BV9*(30/100))+(BW9*(50/100))) &gt;=5.8),6,
IF(AND( SUM((BU9*(20/100))+(BV9*(30/100))+(BW9*(50/100))) &lt;=5.8, SUM((BU9*(20/100))+(BV9*(30/100))+(BW9*(50/100))) &gt;=5.3),5.5,
IF(AND( SUM((BU9*(20/100))+(BV9*(30/100))+(BW9*(50/100))) &lt;=5.3, SUM((BU9*(20/100))+(BV9*(30/100))+(BW9*(50/100))) &gt;=4.8),5,
IF(AND( SUM((BU9*(20/100))+(BV9*(30/100))+(BW9*(50/100))) &lt;=4.8, SUM((BU9*(20/100))+(BV9*(30/100))+(BW9*(50/100))) &gt;=4.3),4.5,
IF(AND( SUM((BU9*(20/100))+(BV9*(30/100))+(BW9*(50/100))) &lt;=4.3, SUM((BU9*(20/100))+(BV9*(30/100))+(BW9*(50/100))) &gt;=3.8),4,
IF(AND( SUM((BU9*(20/100))+(BV9*(30/100))+(BW9*(50/100))) &lt;=3.8, SUM((BU9*(20/100))+(BV9*(30/100))+(BW9*(50/100))) &gt;=3.5),3.5,0)))))))))))))</f>
        <v>0</v>
      </c>
      <c r="BY9" s="536"/>
      <c r="BZ9" s="536"/>
      <c r="CA9" s="536"/>
      <c r="CB9" s="542">
        <v>0</v>
      </c>
      <c r="CC9" s="536"/>
      <c r="CD9" s="536"/>
      <c r="CE9" s="536"/>
      <c r="CF9" s="541">
        <f t="shared" ref="CF9:CF72" si="17">IF( SUM((CC9*(20/100))+(CD9*(30/100))+(CE9*(50/100))) &gt;=9.3,9.5,
IF(AND( SUM((CC9*(20/100))+(CD9*(30/100))+(CE9*(50/100))) &lt;=9.3, SUM((CC9*(20/100))+(CD9*(30/100))+(CE9*(50/100))) &gt;=8.8),9,
IF(AND( SUM((CC9*(20/100))+(CD9*(30/100))+(CE9*(50/100))) &lt;=8.8, SUM((CC9*(20/100))+(CD9*(30/100))+(CE9*(50/100))) &gt;=8.3),8.5,
IF(AND( SUM((CC9*(20/100))+(CD9*(30/100))+(CE9*(50/100))) &lt;=8.3, SUM((CC9*(20/100))+(CD9*(30/100))+(CE9*(50/100))) &gt;=7.8),8,
IF(AND( SUM((CC9*(20/100))+(CD9*(30/100))+(CE9*(50/100))) &lt;=7.8, SUM((CC9*(20/100))+(CD9*(30/100))+(CE9*(50/100))) &gt;=7.3),7.5,
IF(AND( SUM((CC9*(20/100))+(CD9*(30/100))+(CE9*(50/100))) &lt;=7.3, SUM((CC9*(20/100))+(CD9*(30/100))+(CE9*(50/100))) &gt;=6.8),7,
IF(AND( SUM((CC9*(20/100))+(CD9*(30/100))+(CE9*(50/100))) &lt;=6.8, SUM((CC9*(20/100))+(CD9*(30/100))+(CE9*(50/100))) &gt;=6.3),6.5,
IF(AND( SUM((CC9*(20/100))+(CD9*(30/100))+(CE9*(50/100))) &lt;=6.3, SUM((CC9*(20/100))+(CD9*(30/100))+(CE9*(50/100))) &gt;=5.8),6,
IF(AND( SUM((CC9*(20/100))+(CD9*(30/100))+(CE9*(50/100))) &lt;=5.8, SUM((CC9*(20/100))+(CD9*(30/100))+(CE9*(50/100))) &gt;=5.3),5.5,
IF(AND( SUM((CC9*(20/100))+(CD9*(30/100))+(CE9*(50/100))) &lt;=5.3, SUM((CC9*(20/100))+(CD9*(30/100))+(CE9*(50/100))) &gt;=4.8),5,
IF(AND( SUM((CC9*(20/100))+(CD9*(30/100))+(CE9*(50/100))) &lt;=4.8, SUM((CC9*(20/100))+(CD9*(30/100))+(CE9*(50/100))) &gt;=4.3),4.5,
IF(AND( SUM((CC9*(20/100))+(CD9*(30/100))+(CE9*(50/100))) &lt;=4.3, SUM((CC9*(20/100))+(CD9*(30/100))+(CE9*(50/100))) &gt;=3.8),4,
IF(AND( SUM((CC9*(20/100))+(CD9*(30/100))+(CE9*(50/100))) &lt;=3.8, SUM((CC9*(20/100))+(CD9*(30/100))+(CE9*(50/100))) &gt;=3.5),3.5,0)))))))))))))</f>
        <v>0</v>
      </c>
      <c r="CG9" s="536"/>
      <c r="CH9" s="536"/>
      <c r="CI9" s="536"/>
      <c r="CJ9" s="541">
        <f t="shared" ref="CJ9:CJ72" si="18">IF( SUM((CG9*(20/100))+(CH9*(30/100))+(CI9*(50/100))) &gt;=9.3,9.5,
IF(AND( SUM((CG9*(20/100))+(CH9*(30/100))+(CI9*(50/100))) &lt;=9.3, SUM((CG9*(20/100))+(CH9*(30/100))+(CI9*(50/100))) &gt;=8.8),9,
IF(AND( SUM((CG9*(20/100))+(CH9*(30/100))+(CI9*(50/100))) &lt;=8.8, SUM((CG9*(20/100))+(CH9*(30/100))+(CI9*(50/100))) &gt;=8.3),8.5,
IF(AND( SUM((CG9*(20/100))+(CH9*(30/100))+(CI9*(50/100))) &lt;=8.3, SUM((CG9*(20/100))+(CH9*(30/100))+(CI9*(50/100))) &gt;=7.8),8,
IF(AND( SUM((CG9*(20/100))+(CH9*(30/100))+(CI9*(50/100))) &lt;=7.8, SUM((CG9*(20/100))+(CH9*(30/100))+(CI9*(50/100))) &gt;=7.3),7.5,
IF(AND( SUM((CG9*(20/100))+(CH9*(30/100))+(CI9*(50/100))) &lt;=7.3, SUM((CG9*(20/100))+(CH9*(30/100))+(CI9*(50/100))) &gt;=6.8),7,
IF(AND( SUM((CG9*(20/100))+(CH9*(30/100))+(CI9*(50/100))) &lt;=6.8, SUM((CG9*(20/100))+(CH9*(30/100))+(CI9*(50/100))) &gt;=6.3),6.5,
IF(AND( SUM((CG9*(20/100))+(CH9*(30/100))+(CI9*(50/100))) &lt;=6.3, SUM((CG9*(20/100))+(CH9*(30/100))+(CI9*(50/100))) &gt;=5.8),6,
IF(AND( SUM((CG9*(20/100))+(CH9*(30/100))+(CI9*(50/100))) &lt;=5.8, SUM((CG9*(20/100))+(CH9*(30/100))+(CI9*(50/100))) &gt;=5.3),5.5,
IF(AND( SUM((CG9*(20/100))+(CH9*(30/100))+(CI9*(50/100))) &lt;=5.3, SUM((CG9*(20/100))+(CH9*(30/100))+(CI9*(50/100))) &gt;=4.8),5,
IF(AND( SUM((CG9*(20/100))+(CH9*(30/100))+(CI9*(50/100))) &lt;=4.8, SUM((CG9*(20/100))+(CH9*(30/100))+(CI9*(50/100))) &gt;=4.3),4.5,
IF(AND( SUM((CG9*(20/100))+(CH9*(30/100))+(CI9*(50/100))) &lt;=4.3, SUM((CG9*(20/100))+(CH9*(30/100))+(CI9*(50/100))) &gt;=3.8),4,
IF(AND( SUM((CG9*(20/100))+(CH9*(30/100))+(CI9*(50/100))) &lt;=3.8, SUM((CG9*(20/100))+(CH9*(30/100))+(CI9*(50/100))) &gt;=3.5),3.5,0)))))))))))))</f>
        <v>0</v>
      </c>
      <c r="CK9" s="536"/>
      <c r="CL9" s="536"/>
      <c r="CM9" s="536"/>
      <c r="CN9" s="541">
        <f t="shared" ref="CN9:CN72" si="19">IF( SUM((CK9*(20/100))+(CL9*(30/100))+(CM9*(50/100))) &gt;=9.3,9.5,
IF(AND( SUM((CK9*(20/100))+(CL9*(30/100))+(CM9*(50/100))) &lt;=9.3, SUM((CK9*(20/100))+(CL9*(30/100))+(CM9*(50/100))) &gt;=8.8),9,
IF(AND( SUM((CK9*(20/100))+(CL9*(30/100))+(CM9*(50/100))) &lt;=8.8, SUM((CK9*(20/100))+(CL9*(30/100))+(CM9*(50/100))) &gt;=8.3),8.5,
IF(AND( SUM((CK9*(20/100))+(CL9*(30/100))+(CM9*(50/100))) &lt;=8.3, SUM((CK9*(20/100))+(CL9*(30/100))+(CM9*(50/100))) &gt;=7.8),8,
IF(AND( SUM((CK9*(20/100))+(CL9*(30/100))+(CM9*(50/100))) &lt;=7.8, SUM((CK9*(20/100))+(CL9*(30/100))+(CM9*(50/100))) &gt;=7.3),7.5,
IF(AND( SUM((CK9*(20/100))+(CL9*(30/100))+(CM9*(50/100))) &lt;=7.3, SUM((CK9*(20/100))+(CL9*(30/100))+(CM9*(50/100))) &gt;=6.8),7,
IF(AND( SUM((CK9*(20/100))+(CL9*(30/100))+(CM9*(50/100))) &lt;=6.8, SUM((CK9*(20/100))+(CL9*(30/100))+(CM9*(50/100))) &gt;=6.3),6.5,
IF(AND( SUM((CK9*(20/100))+(CL9*(30/100))+(CM9*(50/100))) &lt;=6.3, SUM((CK9*(20/100))+(CL9*(30/100))+(CM9*(50/100))) &gt;=5.8),6,
IF(AND( SUM((CK9*(20/100))+(CL9*(30/100))+(CM9*(50/100))) &lt;=5.8, SUM((CK9*(20/100))+(CL9*(30/100))+(CM9*(50/100))) &gt;=5.3),5.5,
IF(AND( SUM((CK9*(20/100))+(CL9*(30/100))+(CM9*(50/100))) &lt;=5.3, SUM((CK9*(20/100))+(CL9*(30/100))+(CM9*(50/100))) &gt;=4.8),5,
IF(AND( SUM((CK9*(20/100))+(CL9*(30/100))+(CM9*(50/100))) &lt;=4.8, SUM((CK9*(20/100))+(CL9*(30/100))+(CM9*(50/100))) &gt;=4.3),4.5,
IF(AND( SUM((CK9*(20/100))+(CL9*(30/100))+(CM9*(50/100))) &lt;=4.3, SUM((CK9*(20/100))+(CL9*(30/100))+(CM9*(50/100))) &gt;=3.8),4,
IF(AND( SUM((CK9*(20/100))+(CL9*(30/100))+(CM9*(50/100))) &lt;=3.8, SUM((CK9*(20/100))+(CL9*(30/100))+(CM9*(50/100))) &gt;=3.5),3.5,0)))))))))))))</f>
        <v>0</v>
      </c>
      <c r="CO9" s="536"/>
      <c r="CP9" s="536"/>
      <c r="CQ9" s="536"/>
      <c r="CR9" s="541">
        <f t="shared" ref="CR9:CR72" si="20">IF( SUM((CO9*(20/100))+(CP9*(30/100))+(CQ9*(50/100))) &gt;=9.3,9.5,
IF(AND( SUM((CO9*(20/100))+(CP9*(30/100))+(CQ9*(50/100))) &lt;=9.3, SUM((CO9*(20/100))+(CP9*(30/100))+(CQ9*(50/100))) &gt;=8.8),9,
IF(AND( SUM((CO9*(20/100))+(CP9*(30/100))+(CQ9*(50/100))) &lt;=8.8, SUM((CO9*(20/100))+(CP9*(30/100))+(CQ9*(50/100))) &gt;=8.3),8.5,
IF(AND( SUM((CO9*(20/100))+(CP9*(30/100))+(CQ9*(50/100))) &lt;=8.3, SUM((CO9*(20/100))+(CP9*(30/100))+(CQ9*(50/100))) &gt;=7.8),8,
IF(AND( SUM((CO9*(20/100))+(CP9*(30/100))+(CQ9*(50/100))) &lt;=7.8, SUM((CO9*(20/100))+(CP9*(30/100))+(CQ9*(50/100))) &gt;=7.3),7.5,
IF(AND( SUM((CO9*(20/100))+(CP9*(30/100))+(CQ9*(50/100))) &lt;=7.3, SUM((CO9*(20/100))+(CP9*(30/100))+(CQ9*(50/100))) &gt;=6.8),7,
IF(AND( SUM((CO9*(20/100))+(CP9*(30/100))+(CQ9*(50/100))) &lt;=6.8, SUM((CO9*(20/100))+(CP9*(30/100))+(CQ9*(50/100))) &gt;=6.3),6.5,
IF(AND( SUM((CO9*(20/100))+(CP9*(30/100))+(CQ9*(50/100))) &lt;=6.3, SUM((CO9*(20/100))+(CP9*(30/100))+(CQ9*(50/100))) &gt;=5.8),6,
IF(AND( SUM((CO9*(20/100))+(CP9*(30/100))+(CQ9*(50/100))) &lt;=5.8, SUM((CO9*(20/100))+(CP9*(30/100))+(CQ9*(50/100))) &gt;=5.3),5.5,
IF(AND( SUM((CO9*(20/100))+(CP9*(30/100))+(CQ9*(50/100))) &lt;=5.3, SUM((CO9*(20/100))+(CP9*(30/100))+(CQ9*(50/100))) &gt;=4.8),5,
IF(AND( SUM((CO9*(20/100))+(CP9*(30/100))+(CQ9*(50/100))) &lt;=4.8, SUM((CO9*(20/100))+(CP9*(30/100))+(CQ9*(50/100))) &gt;=4.3),4.5,
IF(AND( SUM((CO9*(20/100))+(CP9*(30/100))+(CQ9*(50/100))) &lt;=4.3, SUM((CO9*(20/100))+(CP9*(30/100))+(CQ9*(50/100))) &gt;=3.8),4,
IF(AND( SUM((CO9*(20/100))+(CP9*(30/100))+(CQ9*(50/100))) &lt;=3.8, SUM((CO9*(20/100))+(CP9*(30/100))+(CQ9*(50/100))) &gt;=3.5),3.5,0)))))))))))))</f>
        <v>0</v>
      </c>
      <c r="CS9" s="536"/>
      <c r="CT9" s="536"/>
      <c r="CU9" s="536"/>
      <c r="CV9" s="541">
        <f t="shared" ref="CV9:CV72" si="21">IF( SUM((CS9*(20/100))+(CT9*(30/100))+(CU9*(50/100))) &gt;=9.3,9.5,
IF(AND( SUM((CS9*(20/100))+(CT9*(30/100))+(CU9*(50/100))) &lt;=9.3, SUM((CS9*(20/100))+(CT9*(30/100))+(CU9*(50/100))) &gt;=8.8),9,
IF(AND( SUM((CS9*(20/100))+(CT9*(30/100))+(CU9*(50/100))) &lt;=8.8, SUM((CS9*(20/100))+(CT9*(30/100))+(CU9*(50/100))) &gt;=8.3),8.5,
IF(AND( SUM((CS9*(20/100))+(CT9*(30/100))+(CU9*(50/100))) &lt;=8.3, SUM((CS9*(20/100))+(CT9*(30/100))+(CU9*(50/100))) &gt;=7.8),8,
IF(AND( SUM((CS9*(20/100))+(CT9*(30/100))+(CU9*(50/100))) &lt;=7.8, SUM((CS9*(20/100))+(CT9*(30/100))+(CU9*(50/100))) &gt;=7.3),7.5,
IF(AND( SUM((CS9*(20/100))+(CT9*(30/100))+(CU9*(50/100))) &lt;=7.3, SUM((CS9*(20/100))+(CT9*(30/100))+(CU9*(50/100))) &gt;=6.8),7,
IF(AND( SUM((CS9*(20/100))+(CT9*(30/100))+(CU9*(50/100))) &lt;=6.8, SUM((CS9*(20/100))+(CT9*(30/100))+(CU9*(50/100))) &gt;=6.3),6.5,
IF(AND( SUM((CS9*(20/100))+(CT9*(30/100))+(CU9*(50/100))) &lt;=6.3, SUM((CS9*(20/100))+(CT9*(30/100))+(CU9*(50/100))) &gt;=5.8),6,
IF(AND( SUM((CS9*(20/100))+(CT9*(30/100))+(CU9*(50/100))) &lt;=5.8, SUM((CS9*(20/100))+(CT9*(30/100))+(CU9*(50/100))) &gt;=5.3),5.5,
IF(AND( SUM((CS9*(20/100))+(CT9*(30/100))+(CU9*(50/100))) &lt;=5.3, SUM((CS9*(20/100))+(CT9*(30/100))+(CU9*(50/100))) &gt;=4.8),5,
IF(AND( SUM((CS9*(20/100))+(CT9*(30/100))+(CU9*(50/100))) &lt;=4.8, SUM((CS9*(20/100))+(CT9*(30/100))+(CU9*(50/100))) &gt;=4.3),4.5,
IF(AND( SUM((CS9*(20/100))+(CT9*(30/100))+(CU9*(50/100))) &lt;=4.3, SUM((CS9*(20/100))+(CT9*(30/100))+(CU9*(50/100))) &gt;=3.8),4,
IF(AND( SUM((CS9*(20/100))+(CT9*(30/100))+(CU9*(50/100))) &lt;=3.8, SUM((CS9*(20/100))+(CT9*(30/100))+(CU9*(50/100))) &gt;=3.5),3.5,0)))))))))))))</f>
        <v>0</v>
      </c>
      <c r="CW9" s="536"/>
      <c r="CX9" s="536"/>
      <c r="CY9" s="536"/>
      <c r="CZ9" s="541">
        <f t="shared" ref="CZ9:CZ72" si="22">IF( SUM((CW9*(20/100))+(CX9*(30/100))+(CY9*(50/100))) &gt;=9.3,9.5,
IF(AND( SUM((CW9*(20/100))+(CX9*(30/100))+(CY9*(50/100))) &lt;=9.3, SUM((CW9*(20/100))+(CX9*(30/100))+(CY9*(50/100))) &gt;=8.8),9,
IF(AND( SUM((CW9*(20/100))+(CX9*(30/100))+(CY9*(50/100))) &lt;=8.8, SUM((CW9*(20/100))+(CX9*(30/100))+(CY9*(50/100))) &gt;=8.3),8.5,
IF(AND( SUM((CW9*(20/100))+(CX9*(30/100))+(CY9*(50/100))) &lt;=8.3, SUM((CW9*(20/100))+(CX9*(30/100))+(CY9*(50/100))) &gt;=7.8),8,
IF(AND( SUM((CW9*(20/100))+(CX9*(30/100))+(CY9*(50/100))) &lt;=7.8, SUM((CW9*(20/100))+(CX9*(30/100))+(CY9*(50/100))) &gt;=7.3),7.5,
IF(AND( SUM((CW9*(20/100))+(CX9*(30/100))+(CY9*(50/100))) &lt;=7.3, SUM((CW9*(20/100))+(CX9*(30/100))+(CY9*(50/100))) &gt;=6.8),7,
IF(AND( SUM((CW9*(20/100))+(CX9*(30/100))+(CY9*(50/100))) &lt;=6.8, SUM((CW9*(20/100))+(CX9*(30/100))+(CY9*(50/100))) &gt;=6.3),6.5,
IF(AND( SUM((CW9*(20/100))+(CX9*(30/100))+(CY9*(50/100))) &lt;=6.3, SUM((CW9*(20/100))+(CX9*(30/100))+(CY9*(50/100))) &gt;=5.8),6,
IF(AND( SUM((CW9*(20/100))+(CX9*(30/100))+(CY9*(50/100))) &lt;=5.8, SUM((CW9*(20/100))+(CX9*(30/100))+(CY9*(50/100))) &gt;=5.3),5.5,
IF(AND( SUM((CW9*(20/100))+(CX9*(30/100))+(CY9*(50/100))) &lt;=5.3, SUM((CW9*(20/100))+(CX9*(30/100))+(CY9*(50/100))) &gt;=4.8),5,
IF(AND( SUM((CW9*(20/100))+(CX9*(30/100))+(CY9*(50/100))) &lt;=4.8, SUM((CW9*(20/100))+(CX9*(30/100))+(CY9*(50/100))) &gt;=4.3),4.5,
IF(AND( SUM((CW9*(20/100))+(CX9*(30/100))+(CY9*(50/100))) &lt;=4.3, SUM((CW9*(20/100))+(CX9*(30/100))+(CY9*(50/100))) &gt;=3.8),4,
IF(AND( SUM((CW9*(20/100))+(CX9*(30/100))+(CY9*(50/100))) &lt;=3.8, SUM((CW9*(20/100))+(CX9*(30/100))+(CY9*(50/100))) &gt;=3.5),3.5,0)))))))))))))</f>
        <v>0</v>
      </c>
      <c r="DA9" s="536"/>
      <c r="DB9" s="536"/>
      <c r="DC9" s="536"/>
      <c r="DD9" s="541">
        <f t="shared" ref="DD9:DD72" si="23">IF( SUM((DA9*(20/100))+(DB9*(30/100))+(DC9*(50/100))) &gt;=9.3,9.5,
IF(AND( SUM((DA9*(20/100))+(DB9*(30/100))+(DC9*(50/100))) &lt;=9.3, SUM((DA9*(20/100))+(DB9*(30/100))+(DC9*(50/100))) &gt;=8.8),9,
IF(AND( SUM((DA9*(20/100))+(DB9*(30/100))+(DC9*(50/100))) &lt;=8.8, SUM((DA9*(20/100))+(DB9*(30/100))+(DC9*(50/100))) &gt;=8.3),8.5,
IF(AND( SUM((DA9*(20/100))+(DB9*(30/100))+(DC9*(50/100))) &lt;=8.3, SUM((DA9*(20/100))+(DB9*(30/100))+(DC9*(50/100))) &gt;=7.8),8,
IF(AND( SUM((DA9*(20/100))+(DB9*(30/100))+(DC9*(50/100))) &lt;=7.8, SUM((DA9*(20/100))+(DB9*(30/100))+(DC9*(50/100))) &gt;=7.3),7.5,
IF(AND( SUM((DA9*(20/100))+(DB9*(30/100))+(DC9*(50/100))) &lt;=7.3, SUM((DA9*(20/100))+(DB9*(30/100))+(DC9*(50/100))) &gt;=6.8),7,
IF(AND( SUM((DA9*(20/100))+(DB9*(30/100))+(DC9*(50/100))) &lt;=6.8, SUM((DA9*(20/100))+(DB9*(30/100))+(DC9*(50/100))) &gt;=6.3),6.5,
IF(AND( SUM((DA9*(20/100))+(DB9*(30/100))+(DC9*(50/100))) &lt;=6.3, SUM((DA9*(20/100))+(DB9*(30/100))+(DC9*(50/100))) &gt;=5.8),6,
IF(AND( SUM((DA9*(20/100))+(DB9*(30/100))+(DC9*(50/100))) &lt;=5.8, SUM((DA9*(20/100))+(DB9*(30/100))+(DC9*(50/100))) &gt;=5.3),5.5,
IF(AND( SUM((DA9*(20/100))+(DB9*(30/100))+(DC9*(50/100))) &lt;=5.3, SUM((DA9*(20/100))+(DB9*(30/100))+(DC9*(50/100))) &gt;=4.8),5,
IF(AND( SUM((DA9*(20/100))+(DB9*(30/100))+(DC9*(50/100))) &lt;=4.8, SUM((DA9*(20/100))+(DB9*(30/100))+(DC9*(50/100))) &gt;=4.3),4.5,
IF(AND( SUM((DA9*(20/100))+(DB9*(30/100))+(DC9*(50/100))) &lt;=4.3, SUM((DA9*(20/100))+(DB9*(30/100))+(DC9*(50/100))) &gt;=3.8),4,
IF(AND( SUM((DA9*(20/100))+(DB9*(30/100))+(DC9*(50/100))) &lt;=3.8, SUM((DA9*(20/100))+(DB9*(30/100))+(DC9*(50/100))) &gt;=3.5),3.5,0)))))))))))))</f>
        <v>0</v>
      </c>
      <c r="DE9" s="536"/>
      <c r="DF9" s="536"/>
      <c r="DG9" s="536"/>
      <c r="DH9" s="541">
        <f t="shared" ref="DH9:DH72" si="24">IF( SUM((DE9*(20/100))+(DF9*(30/100))+(DG9*(50/100))) &gt;=9.3,9.5,
IF(AND( SUM((DE9*(20/100))+(DF9*(30/100))+(DG9*(50/100))) &lt;=9.3, SUM((DE9*(20/100))+(DF9*(30/100))+(DG9*(50/100))) &gt;=8.8),9,
IF(AND( SUM((DE9*(20/100))+(DF9*(30/100))+(DG9*(50/100))) &lt;=8.8, SUM((DE9*(20/100))+(DF9*(30/100))+(DG9*(50/100))) &gt;=8.3),8.5,
IF(AND( SUM((DE9*(20/100))+(DF9*(30/100))+(DG9*(50/100))) &lt;=8.3, SUM((DE9*(20/100))+(DF9*(30/100))+(DG9*(50/100))) &gt;=7.8),8,
IF(AND( SUM((DE9*(20/100))+(DF9*(30/100))+(DG9*(50/100))) &lt;=7.8, SUM((DE9*(20/100))+(DF9*(30/100))+(DG9*(50/100))) &gt;=7.3),7.5,
IF(AND( SUM((DE9*(20/100))+(DF9*(30/100))+(DG9*(50/100))) &lt;=7.3, SUM((DE9*(20/100))+(DF9*(30/100))+(DG9*(50/100))) &gt;=6.8),7,
IF(AND( SUM((DE9*(20/100))+(DF9*(30/100))+(DG9*(50/100))) &lt;=6.8, SUM((DE9*(20/100))+(DF9*(30/100))+(DG9*(50/100))) &gt;=6.3),6.5,
IF(AND( SUM((DE9*(20/100))+(DF9*(30/100))+(DG9*(50/100))) &lt;=6.3, SUM((DE9*(20/100))+(DF9*(30/100))+(DG9*(50/100))) &gt;=5.8),6,
IF(AND( SUM((DE9*(20/100))+(DF9*(30/100))+(DG9*(50/100))) &lt;=5.8, SUM((DE9*(20/100))+(DF9*(30/100))+(DG9*(50/100))) &gt;=5.3),5.5,
IF(AND( SUM((DE9*(20/100))+(DF9*(30/100))+(DG9*(50/100))) &lt;=5.3, SUM((DE9*(20/100))+(DF9*(30/100))+(DG9*(50/100))) &gt;=4.8),5,
IF(AND( SUM((DE9*(20/100))+(DF9*(30/100))+(DG9*(50/100))) &lt;=4.8, SUM((DE9*(20/100))+(DF9*(30/100))+(DG9*(50/100))) &gt;=4.3),4.5,
IF(AND( SUM((DE9*(20/100))+(DF9*(30/100))+(DG9*(50/100))) &lt;=4.3, SUM((DE9*(20/100))+(DF9*(30/100))+(DG9*(50/100))) &gt;=3.8),4,
IF(AND( SUM((DE9*(20/100))+(DF9*(30/100))+(DG9*(50/100))) &lt;=3.8, SUM((DE9*(20/100))+(DF9*(30/100))+(DG9*(50/100))) &gt;=3.5),3.5,0)))))))))))))</f>
        <v>0</v>
      </c>
      <c r="DI9" s="536"/>
      <c r="DJ9" s="536"/>
      <c r="DK9" s="536"/>
      <c r="DL9" s="541">
        <f t="shared" ref="DL9:DL72" si="25">IF( SUM((DI9*(20/100))+(DJ9*(30/100))+(DK9*(50/100))) &gt;=9.3,9.5,
IF(AND( SUM((DI9*(20/100))+(DJ9*(30/100))+(DK9*(50/100))) &lt;=9.3, SUM((DI9*(20/100))+(DJ9*(30/100))+(DK9*(50/100))) &gt;=8.8),9,
IF(AND( SUM((DI9*(20/100))+(DJ9*(30/100))+(DK9*(50/100))) &lt;=8.8, SUM((DI9*(20/100))+(DJ9*(30/100))+(DK9*(50/100))) &gt;=8.3),8.5,
IF(AND( SUM((DI9*(20/100))+(DJ9*(30/100))+(DK9*(50/100))) &lt;=8.3, SUM((DI9*(20/100))+(DJ9*(30/100))+(DK9*(50/100))) &gt;=7.8),8,
IF(AND( SUM((DI9*(20/100))+(DJ9*(30/100))+(DK9*(50/100))) &lt;=7.8, SUM((DI9*(20/100))+(DJ9*(30/100))+(DK9*(50/100))) &gt;=7.3),7.5,
IF(AND( SUM((DI9*(20/100))+(DJ9*(30/100))+(DK9*(50/100))) &lt;=7.3, SUM((DI9*(20/100))+(DJ9*(30/100))+(DK9*(50/100))) &gt;=6.8),7,
IF(AND( SUM((DI9*(20/100))+(DJ9*(30/100))+(DK9*(50/100))) &lt;=6.8, SUM((DI9*(20/100))+(DJ9*(30/100))+(DK9*(50/100))) &gt;=6.3),6.5,
IF(AND( SUM((DI9*(20/100))+(DJ9*(30/100))+(DK9*(50/100))) &lt;=6.3, SUM((DI9*(20/100))+(DJ9*(30/100))+(DK9*(50/100))) &gt;=5.8),6,
IF(AND( SUM((DI9*(20/100))+(DJ9*(30/100))+(DK9*(50/100))) &lt;=5.8, SUM((DI9*(20/100))+(DJ9*(30/100))+(DK9*(50/100))) &gt;=5.3),5.5,
IF(AND( SUM((DI9*(20/100))+(DJ9*(30/100))+(DK9*(50/100))) &lt;=5.3, SUM((DI9*(20/100))+(DJ9*(30/100))+(DK9*(50/100))) &gt;=4.8),5,
IF(AND( SUM((DI9*(20/100))+(DJ9*(30/100))+(DK9*(50/100))) &lt;=4.8, SUM((DI9*(20/100))+(DJ9*(30/100))+(DK9*(50/100))) &gt;=4.3),4.5,
IF(AND( SUM((DI9*(20/100))+(DJ9*(30/100))+(DK9*(50/100))) &lt;=4.3, SUM((DI9*(20/100))+(DJ9*(30/100))+(DK9*(50/100))) &gt;=3.8),4,
IF(AND( SUM((DI9*(20/100))+(DJ9*(30/100))+(DK9*(50/100))) &lt;=3.8, SUM((DI9*(20/100))+(DJ9*(30/100))+(DK9*(50/100))) &gt;=3.5),3.5,0)))))))))))))</f>
        <v>0</v>
      </c>
      <c r="DM9" s="536"/>
      <c r="DN9" s="536"/>
      <c r="DO9" s="536"/>
      <c r="DP9" s="541">
        <f>IF( SUM((DJ9*(20/100))+(DK9*(30/100))+(DL9*(50/100))) &gt;=9.3,9.5,
IF(AND( SUM((DJ9*(20/100))+(DK9*(30/100))+(DL9*(50/100))) &lt;=9.3, SUM((DJ9*(20/100))+(DK9*(30/100))+(DL9*(50/100))) &gt;=8.8),9,
IF(AND( SUM((DJ9*(20/100))+(DK9*(30/100))+(DL9*(50/100))) &lt;=8.8, SUM((DJ9*(20/100))+(DK9*(30/100))+(DL9*(50/100))) &gt;=8.3),8.5,
IF(AND( SUM((DJ9*(20/100))+(DK9*(30/100))+(DL9*(50/100))) &lt;=8.3, SUM((DJ9*(20/100))+(DK9*(30/100))+(DL9*(50/100))) &gt;=7.8),8,
IF(AND( SUM((DJ9*(20/100))+(DK9*(30/100))+(DL9*(50/100))) &lt;=7.8, SUM((DJ9*(20/100))+(DK9*(30/100))+(DL9*(50/100))) &gt;=7.3),7.5,
IF(AND( SUM((DJ9*(20/100))+(DK9*(30/100))+(DL9*(50/100))) &lt;=7.3, SUM((DJ9*(20/100))+(DK9*(30/100))+(DL9*(50/100))) &gt;=6.8),7,
IF(AND( SUM((DJ9*(20/100))+(DK9*(30/100))+(DL9*(50/100))) &lt;=6.8, SUM((DJ9*(20/100))+(DK9*(30/100))+(DL9*(50/100))) &gt;=6.3),6.5,
IF(AND( SUM((DJ9*(20/100))+(DK9*(30/100))+(DL9*(50/100))) &lt;=6.3, SUM((DJ9*(20/100))+(DK9*(30/100))+(DL9*(50/100))) &gt;=5.8),6,
IF(AND( SUM((DJ9*(20/100))+(DK9*(30/100))+(DL9*(50/100))) &lt;=5.8, SUM((DJ9*(20/100))+(DK9*(30/100))+(DL9*(50/100))) &gt;=5.3),5.5,
IF(AND( SUM((DJ9*(20/100))+(DK9*(30/100))+(DL9*(50/100))) &lt;=5.3, SUM((DJ9*(20/100))+(DK9*(30/100))+(DL9*(50/100))) &gt;=4.8),5,
IF(AND( SUM((DJ9*(20/100))+(DK9*(30/100))+(DL9*(50/100))) &lt;=4.8, SUM((DJ9*(20/100))+(DK9*(30/100))+(DL9*(50/100))) &gt;=4.3),4.5,
IF(AND( SUM((DJ9*(20/100))+(DK9*(30/100))+(DL9*(50/100))) &lt;=4.3, SUM((DJ9*(20/100))+(DK9*(30/100))+(DL9*(50/100))) &gt;=3.8),4,
IF(AND( SUM((DJ9*(20/100))+(DK9*(30/100))+(DL9*(50/100))) &lt;=3.8, SUM((DJ9*(20/100))+(DK9*(30/100))+(DL9*(50/100))) &gt;=3.5),3.5,0)))))))))))))</f>
        <v>0</v>
      </c>
      <c r="DQ9" s="541"/>
      <c r="DR9" s="541"/>
      <c r="DS9" s="541"/>
      <c r="DT9" s="541"/>
      <c r="DU9" s="541"/>
      <c r="DV9" s="541"/>
      <c r="DW9" s="541"/>
      <c r="DX9" s="541"/>
      <c r="DY9" s="541"/>
      <c r="DZ9" s="541"/>
    </row>
    <row r="10" spans="1:171" ht="15" customHeight="1" x14ac:dyDescent="0.25">
      <c r="B10" s="334">
        <v>3</v>
      </c>
      <c r="C10" s="541"/>
      <c r="D10" s="334"/>
      <c r="E10" s="334"/>
      <c r="F10" s="334"/>
      <c r="G10" s="334"/>
      <c r="H10" s="334"/>
      <c r="I10" s="334"/>
      <c r="J10" s="536"/>
      <c r="K10" s="536"/>
      <c r="L10" s="536"/>
      <c r="M10" s="536"/>
      <c r="N10" s="536"/>
      <c r="O10" s="536"/>
      <c r="P10" s="536">
        <f t="shared" si="1"/>
        <v>0</v>
      </c>
      <c r="Q10" s="536"/>
      <c r="R10" s="536"/>
      <c r="S10" s="536"/>
      <c r="T10" s="536">
        <f t="shared" si="2"/>
        <v>0</v>
      </c>
      <c r="U10" s="536"/>
      <c r="V10" s="536"/>
      <c r="W10" s="536"/>
      <c r="X10" s="536">
        <f t="shared" si="3"/>
        <v>0</v>
      </c>
      <c r="Y10" s="536"/>
      <c r="Z10" s="536"/>
      <c r="AA10" s="536"/>
      <c r="AB10" s="536">
        <f t="shared" si="4"/>
        <v>0</v>
      </c>
      <c r="AC10" s="536"/>
      <c r="AD10" s="536"/>
      <c r="AE10" s="536"/>
      <c r="AF10" s="536">
        <f t="shared" si="5"/>
        <v>0</v>
      </c>
      <c r="AG10" s="536"/>
      <c r="AH10" s="536"/>
      <c r="AI10" s="536"/>
      <c r="AJ10" s="536">
        <f t="shared" si="6"/>
        <v>0</v>
      </c>
      <c r="AK10" s="536"/>
      <c r="AL10" s="536"/>
      <c r="AM10" s="536"/>
      <c r="AN10" s="542">
        <f t="shared" si="7"/>
        <v>0</v>
      </c>
      <c r="AO10" s="536"/>
      <c r="AP10" s="536"/>
      <c r="AQ10" s="536"/>
      <c r="AR10" s="542">
        <f t="shared" si="8"/>
        <v>0</v>
      </c>
      <c r="AS10" s="536"/>
      <c r="AT10" s="536"/>
      <c r="AU10" s="536"/>
      <c r="AV10" s="542">
        <f t="shared" si="9"/>
        <v>0</v>
      </c>
      <c r="AW10" s="536"/>
      <c r="AX10" s="536"/>
      <c r="AY10" s="536"/>
      <c r="AZ10" s="542">
        <f t="shared" si="10"/>
        <v>0</v>
      </c>
      <c r="BA10" s="536"/>
      <c r="BB10" s="536"/>
      <c r="BC10" s="536"/>
      <c r="BD10" s="542">
        <f t="shared" si="11"/>
        <v>0</v>
      </c>
      <c r="BE10" s="536"/>
      <c r="BF10" s="536"/>
      <c r="BG10" s="536"/>
      <c r="BH10" s="542">
        <f t="shared" si="12"/>
        <v>0</v>
      </c>
      <c r="BI10" s="536"/>
      <c r="BJ10" s="536"/>
      <c r="BK10" s="536"/>
      <c r="BL10" s="542">
        <f t="shared" si="13"/>
        <v>0</v>
      </c>
      <c r="BM10" s="536"/>
      <c r="BN10" s="536"/>
      <c r="BO10" s="536"/>
      <c r="BP10" s="542">
        <f t="shared" si="14"/>
        <v>0</v>
      </c>
      <c r="BQ10" s="536"/>
      <c r="BR10" s="536"/>
      <c r="BS10" s="536"/>
      <c r="BT10" s="542">
        <f t="shared" si="15"/>
        <v>0</v>
      </c>
      <c r="BU10" s="536"/>
      <c r="BV10" s="536"/>
      <c r="BW10" s="536"/>
      <c r="BX10" s="542">
        <f t="shared" si="16"/>
        <v>0</v>
      </c>
      <c r="BY10" s="536"/>
      <c r="BZ10" s="536"/>
      <c r="CA10" s="536"/>
      <c r="CB10" s="542">
        <v>0</v>
      </c>
      <c r="CC10" s="536"/>
      <c r="CD10" s="536"/>
      <c r="CE10" s="536"/>
      <c r="CF10" s="541">
        <f t="shared" si="17"/>
        <v>0</v>
      </c>
      <c r="CG10" s="536"/>
      <c r="CH10" s="536"/>
      <c r="CI10" s="536"/>
      <c r="CJ10" s="541">
        <f t="shared" si="18"/>
        <v>0</v>
      </c>
      <c r="CK10" s="536"/>
      <c r="CL10" s="536"/>
      <c r="CM10" s="536"/>
      <c r="CN10" s="541">
        <f t="shared" si="19"/>
        <v>0</v>
      </c>
      <c r="CO10" s="536"/>
      <c r="CP10" s="536"/>
      <c r="CQ10" s="536"/>
      <c r="CR10" s="541">
        <f t="shared" si="20"/>
        <v>0</v>
      </c>
      <c r="CS10" s="536"/>
      <c r="CT10" s="536"/>
      <c r="CU10" s="536"/>
      <c r="CV10" s="541">
        <f t="shared" si="21"/>
        <v>0</v>
      </c>
      <c r="CW10" s="536"/>
      <c r="CX10" s="536"/>
      <c r="CY10" s="536"/>
      <c r="CZ10" s="541">
        <f t="shared" si="22"/>
        <v>0</v>
      </c>
      <c r="DA10" s="536"/>
      <c r="DB10" s="536"/>
      <c r="DC10" s="536"/>
      <c r="DD10" s="541">
        <f t="shared" si="23"/>
        <v>0</v>
      </c>
      <c r="DE10" s="536"/>
      <c r="DF10" s="536"/>
      <c r="DG10" s="536"/>
      <c r="DH10" s="541">
        <f t="shared" si="24"/>
        <v>0</v>
      </c>
      <c r="DI10" s="536"/>
      <c r="DJ10" s="536"/>
      <c r="DK10" s="536"/>
      <c r="DL10" s="541">
        <f t="shared" si="25"/>
        <v>0</v>
      </c>
      <c r="DM10" s="536"/>
      <c r="DN10" s="536"/>
      <c r="DO10" s="536"/>
      <c r="DP10" s="541">
        <f>IF( SUM((DJ10*(20/100))+(DK10*(30/100))+(DL10*(50/100))) &gt;=9.3,9.5,
IF(AND( SUM((DJ10*(20/100))+(DK10*(30/100))+(DL10*(50/100))) &lt;=9.3, SUM((DJ10*(20/100))+(DK10*(30/100))+(DL10*(50/100))) &gt;=8.8),9,
IF(AND( SUM((DJ10*(20/100))+(DK10*(30/100))+(DL10*(50/100))) &lt;=8.8, SUM((DJ10*(20/100))+(DK10*(30/100))+(DL10*(50/100))) &gt;=8.3),8.5,
IF(AND( SUM((DJ10*(20/100))+(DK10*(30/100))+(DL10*(50/100))) &lt;=8.3, SUM((DJ10*(20/100))+(DK10*(30/100))+(DL10*(50/100))) &gt;=7.8),8,
IF(AND( SUM((DJ10*(20/100))+(DK10*(30/100))+(DL10*(50/100))) &lt;=7.8, SUM((DJ10*(20/100))+(DK10*(30/100))+(DL10*(50/100))) &gt;=7.3),7.5,
IF(AND( SUM((DJ10*(20/100))+(DK10*(30/100))+(DL10*(50/100))) &lt;=7.3, SUM((DJ10*(20/100))+(DK10*(30/100))+(DL10*(50/100))) &gt;=6.8),7,
IF(AND( SUM((DJ10*(20/100))+(DK10*(30/100))+(DL10*(50/100))) &lt;=6.8, SUM((DJ10*(20/100))+(DK10*(30/100))+(DL10*(50/100))) &gt;=6.3),6.5,
IF(AND( SUM((DJ10*(20/100))+(DK10*(30/100))+(DL10*(50/100))) &lt;=6.3, SUM((DJ10*(20/100))+(DK10*(30/100))+(DL10*(50/100))) &gt;=5.8),6,
IF(AND( SUM((DJ10*(20/100))+(DK10*(30/100))+(DL10*(50/100))) &lt;=5.8, SUM((DJ10*(20/100))+(DK10*(30/100))+(DL10*(50/100))) &gt;=5.3),5.5,
IF(AND( SUM((DJ10*(20/100))+(DK10*(30/100))+(DL10*(50/100))) &lt;=5.3, SUM((DJ10*(20/100))+(DK10*(30/100))+(DL10*(50/100))) &gt;=4.8),5,
IF(AND( SUM((DJ10*(20/100))+(DK10*(30/100))+(DL10*(50/100))) &lt;=4.8, SUM((DJ10*(20/100))+(DK10*(30/100))+(DL10*(50/100))) &gt;=4.3),4.5,
IF(AND( SUM((DJ10*(20/100))+(DK10*(30/100))+(DL10*(50/100))) &lt;=4.3, SUM((DJ10*(20/100))+(DK10*(30/100))+(DL10*(50/100))) &gt;=3.8),4,
IF(AND( SUM((DJ10*(20/100))+(DK10*(30/100))+(DL10*(50/100))) &lt;=3.8, SUM((DJ10*(20/100))+(DK10*(30/100))+(DL10*(50/100))) &gt;=3.5),3.5,0)))))))))))))</f>
        <v>0</v>
      </c>
      <c r="DQ10" s="541"/>
      <c r="DR10" s="541"/>
      <c r="DS10" s="541"/>
      <c r="DT10" s="541"/>
      <c r="DU10" s="541"/>
      <c r="DV10" s="541"/>
      <c r="DW10" s="541"/>
      <c r="DX10" s="541"/>
      <c r="DY10" s="541"/>
      <c r="DZ10" s="541"/>
    </row>
    <row r="11" spans="1:171" ht="15" customHeight="1" x14ac:dyDescent="0.25">
      <c r="B11" s="334">
        <v>4</v>
      </c>
      <c r="C11" s="541"/>
      <c r="D11" s="334"/>
      <c r="E11" s="334"/>
      <c r="F11" s="334"/>
      <c r="G11" s="334"/>
      <c r="H11" s="334"/>
      <c r="I11" s="334"/>
      <c r="J11" s="536"/>
      <c r="K11" s="536"/>
      <c r="L11" s="536"/>
      <c r="M11" s="536"/>
      <c r="N11" s="536"/>
      <c r="O11" s="536"/>
      <c r="P11" s="536">
        <f t="shared" si="1"/>
        <v>0</v>
      </c>
      <c r="Q11" s="536"/>
      <c r="R11" s="536"/>
      <c r="S11" s="536"/>
      <c r="T11" s="536">
        <f t="shared" si="2"/>
        <v>0</v>
      </c>
      <c r="U11" s="536"/>
      <c r="V11" s="536"/>
      <c r="W11" s="536"/>
      <c r="X11" s="536">
        <f t="shared" si="3"/>
        <v>0</v>
      </c>
      <c r="Y11" s="536"/>
      <c r="Z11" s="536"/>
      <c r="AA11" s="536"/>
      <c r="AB11" s="536">
        <f t="shared" si="4"/>
        <v>0</v>
      </c>
      <c r="AC11" s="536"/>
      <c r="AD11" s="536"/>
      <c r="AE11" s="536"/>
      <c r="AF11" s="536">
        <f t="shared" si="5"/>
        <v>0</v>
      </c>
      <c r="AG11" s="536"/>
      <c r="AH11" s="536"/>
      <c r="AI11" s="536"/>
      <c r="AJ11" s="536">
        <f t="shared" si="6"/>
        <v>0</v>
      </c>
      <c r="AK11" s="536"/>
      <c r="AL11" s="536"/>
      <c r="AM11" s="536"/>
      <c r="AN11" s="542">
        <f t="shared" si="7"/>
        <v>0</v>
      </c>
      <c r="AO11" s="536"/>
      <c r="AP11" s="536"/>
      <c r="AQ11" s="536"/>
      <c r="AR11" s="542">
        <f t="shared" si="8"/>
        <v>0</v>
      </c>
      <c r="AS11" s="536"/>
      <c r="AT11" s="536"/>
      <c r="AU11" s="536"/>
      <c r="AV11" s="542">
        <f t="shared" si="9"/>
        <v>0</v>
      </c>
      <c r="AW11" s="536"/>
      <c r="AX11" s="536"/>
      <c r="AY11" s="536"/>
      <c r="AZ11" s="542">
        <f t="shared" si="10"/>
        <v>0</v>
      </c>
      <c r="BA11" s="536"/>
      <c r="BB11" s="536"/>
      <c r="BC11" s="536"/>
      <c r="BD11" s="542">
        <f t="shared" si="11"/>
        <v>0</v>
      </c>
      <c r="BE11" s="536"/>
      <c r="BF11" s="536"/>
      <c r="BG11" s="536"/>
      <c r="BH11" s="542">
        <f t="shared" si="12"/>
        <v>0</v>
      </c>
      <c r="BI11" s="536"/>
      <c r="BJ11" s="536"/>
      <c r="BK11" s="536"/>
      <c r="BL11" s="542">
        <f t="shared" si="13"/>
        <v>0</v>
      </c>
      <c r="BM11" s="536"/>
      <c r="BN11" s="536"/>
      <c r="BO11" s="536"/>
      <c r="BP11" s="542">
        <f t="shared" si="14"/>
        <v>0</v>
      </c>
      <c r="BQ11" s="536"/>
      <c r="BR11" s="536"/>
      <c r="BS11" s="536"/>
      <c r="BT11" s="542">
        <f t="shared" si="15"/>
        <v>0</v>
      </c>
      <c r="BU11" s="536"/>
      <c r="BV11" s="536"/>
      <c r="BW11" s="536"/>
      <c r="BX11" s="542">
        <f t="shared" si="16"/>
        <v>0</v>
      </c>
      <c r="BY11" s="536"/>
      <c r="BZ11" s="536"/>
      <c r="CA11" s="536"/>
      <c r="CB11" s="542">
        <v>0</v>
      </c>
      <c r="CC11" s="536"/>
      <c r="CD11" s="536"/>
      <c r="CE11" s="536"/>
      <c r="CF11" s="541">
        <f t="shared" si="17"/>
        <v>0</v>
      </c>
      <c r="CG11" s="536"/>
      <c r="CH11" s="536"/>
      <c r="CI11" s="536"/>
      <c r="CJ11" s="541">
        <f t="shared" si="18"/>
        <v>0</v>
      </c>
      <c r="CK11" s="536"/>
      <c r="CL11" s="536"/>
      <c r="CM11" s="536"/>
      <c r="CN11" s="541">
        <f t="shared" si="19"/>
        <v>0</v>
      </c>
      <c r="CO11" s="536"/>
      <c r="CP11" s="536"/>
      <c r="CQ11" s="536"/>
      <c r="CR11" s="541">
        <f t="shared" si="20"/>
        <v>0</v>
      </c>
      <c r="CS11" s="536"/>
      <c r="CT11" s="536"/>
      <c r="CU11" s="536"/>
      <c r="CV11" s="541">
        <f t="shared" si="21"/>
        <v>0</v>
      </c>
      <c r="CW11" s="536"/>
      <c r="CX11" s="536"/>
      <c r="CY11" s="536"/>
      <c r="CZ11" s="541">
        <f t="shared" si="22"/>
        <v>0</v>
      </c>
      <c r="DA11" s="536"/>
      <c r="DB11" s="536"/>
      <c r="DC11" s="536"/>
      <c r="DD11" s="541">
        <f t="shared" si="23"/>
        <v>0</v>
      </c>
      <c r="DE11" s="536"/>
      <c r="DF11" s="536"/>
      <c r="DG11" s="536"/>
      <c r="DH11" s="541">
        <f t="shared" si="24"/>
        <v>0</v>
      </c>
      <c r="DI11" s="536"/>
      <c r="DJ11" s="536"/>
      <c r="DK11" s="536"/>
      <c r="DL11" s="541">
        <f t="shared" si="25"/>
        <v>0</v>
      </c>
      <c r="DM11" s="536"/>
      <c r="DN11" s="536"/>
      <c r="DO11" s="536"/>
      <c r="DP11" s="541">
        <f>IF( SUM((DJ11*(20/100))+(DK11*(30/100))+(DL11*(50/100))) &gt;=9.3,9.5,
IF(AND( SUM((DJ11*(20/100))+(DK11*(30/100))+(DL11*(50/100))) &lt;=9.3, SUM((DJ11*(20/100))+(DK11*(30/100))+(DL11*(50/100))) &gt;=8.8),9,
IF(AND( SUM((DJ11*(20/100))+(DK11*(30/100))+(DL11*(50/100))) &lt;=8.8, SUM((DJ11*(20/100))+(DK11*(30/100))+(DL11*(50/100))) &gt;=8.3),8.5,
IF(AND( SUM((DJ11*(20/100))+(DK11*(30/100))+(DL11*(50/100))) &lt;=8.3, SUM((DJ11*(20/100))+(DK11*(30/100))+(DL11*(50/100))) &gt;=7.8),8,
IF(AND( SUM((DJ11*(20/100))+(DK11*(30/100))+(DL11*(50/100))) &lt;=7.8, SUM((DJ11*(20/100))+(DK11*(30/100))+(DL11*(50/100))) &gt;=7.3),7.5,
IF(AND( SUM((DJ11*(20/100))+(DK11*(30/100))+(DL11*(50/100))) &lt;=7.3, SUM((DJ11*(20/100))+(DK11*(30/100))+(DL11*(50/100))) &gt;=6.8),7,
IF(AND( SUM((DJ11*(20/100))+(DK11*(30/100))+(DL11*(50/100))) &lt;=6.8, SUM((DJ11*(20/100))+(DK11*(30/100))+(DL11*(50/100))) &gt;=6.3),6.5,
IF(AND( SUM((DJ11*(20/100))+(DK11*(30/100))+(DL11*(50/100))) &lt;=6.3, SUM((DJ11*(20/100))+(DK11*(30/100))+(DL11*(50/100))) &gt;=5.8),6,
IF(AND( SUM((DJ11*(20/100))+(DK11*(30/100))+(DL11*(50/100))) &lt;=5.8, SUM((DJ11*(20/100))+(DK11*(30/100))+(DL11*(50/100))) &gt;=5.3),5.5,
IF(AND( SUM((DJ11*(20/100))+(DK11*(30/100))+(DL11*(50/100))) &lt;=5.3, SUM((DJ11*(20/100))+(DK11*(30/100))+(DL11*(50/100))) &gt;=4.8),5,
IF(AND( SUM((DJ11*(20/100))+(DK11*(30/100))+(DL11*(50/100))) &lt;=4.8, SUM((DJ11*(20/100))+(DK11*(30/100))+(DL11*(50/100))) &gt;=4.3),4.5,
IF(AND( SUM((DJ11*(20/100))+(DK11*(30/100))+(DL11*(50/100))) &lt;=4.3, SUM((DJ11*(20/100))+(DK11*(30/100))+(DL11*(50/100))) &gt;=3.8),4,
IF(AND( SUM((DJ11*(20/100))+(DK11*(30/100))+(DL11*(50/100))) &lt;=3.8, SUM((DJ11*(20/100))+(DK11*(30/100))+(DL11*(50/100))) &gt;=3.5),3.5,0)))))))))))))</f>
        <v>0</v>
      </c>
      <c r="DQ11" s="541"/>
      <c r="DR11" s="541"/>
      <c r="DS11" s="541"/>
      <c r="DT11" s="541"/>
      <c r="DU11" s="541"/>
      <c r="DV11" s="541"/>
      <c r="DW11" s="541"/>
      <c r="DX11" s="541"/>
      <c r="DY11" s="541"/>
      <c r="DZ11" s="541"/>
    </row>
    <row r="12" spans="1:171" ht="15" customHeight="1" x14ac:dyDescent="0.25">
      <c r="B12" s="334">
        <v>5</v>
      </c>
      <c r="C12" s="541"/>
      <c r="D12" s="334"/>
      <c r="E12" s="334"/>
      <c r="F12" s="334"/>
      <c r="G12" s="334"/>
      <c r="H12" s="334"/>
      <c r="I12" s="334"/>
      <c r="J12" s="536"/>
      <c r="K12" s="536"/>
      <c r="L12" s="536"/>
      <c r="M12" s="536"/>
      <c r="N12" s="536"/>
      <c r="O12" s="536"/>
      <c r="P12" s="536">
        <f t="shared" si="1"/>
        <v>0</v>
      </c>
      <c r="Q12" s="536"/>
      <c r="R12" s="536"/>
      <c r="S12" s="536"/>
      <c r="T12" s="536">
        <f t="shared" si="2"/>
        <v>0</v>
      </c>
      <c r="U12" s="536"/>
      <c r="V12" s="536"/>
      <c r="W12" s="536"/>
      <c r="X12" s="536">
        <f t="shared" si="3"/>
        <v>0</v>
      </c>
      <c r="Y12" s="536"/>
      <c r="Z12" s="536"/>
      <c r="AA12" s="536"/>
      <c r="AB12" s="536">
        <f t="shared" si="4"/>
        <v>0</v>
      </c>
      <c r="AC12" s="536"/>
      <c r="AD12" s="536"/>
      <c r="AE12" s="536"/>
      <c r="AF12" s="536">
        <f t="shared" si="5"/>
        <v>0</v>
      </c>
      <c r="AG12" s="536"/>
      <c r="AH12" s="536"/>
      <c r="AI12" s="536"/>
      <c r="AJ12" s="536">
        <f t="shared" si="6"/>
        <v>0</v>
      </c>
      <c r="AK12" s="536"/>
      <c r="AL12" s="536"/>
      <c r="AM12" s="536"/>
      <c r="AN12" s="542">
        <f t="shared" si="7"/>
        <v>0</v>
      </c>
      <c r="AO12" s="536"/>
      <c r="AP12" s="536"/>
      <c r="AQ12" s="536"/>
      <c r="AR12" s="542">
        <f t="shared" si="8"/>
        <v>0</v>
      </c>
      <c r="AS12" s="536"/>
      <c r="AT12" s="536"/>
      <c r="AU12" s="536"/>
      <c r="AV12" s="542">
        <f t="shared" si="9"/>
        <v>0</v>
      </c>
      <c r="AW12" s="536"/>
      <c r="AX12" s="536"/>
      <c r="AY12" s="536"/>
      <c r="AZ12" s="542">
        <f t="shared" si="10"/>
        <v>0</v>
      </c>
      <c r="BA12" s="536"/>
      <c r="BB12" s="536"/>
      <c r="BC12" s="536"/>
      <c r="BD12" s="542">
        <f t="shared" si="11"/>
        <v>0</v>
      </c>
      <c r="BE12" s="536"/>
      <c r="BF12" s="536"/>
      <c r="BG12" s="536"/>
      <c r="BH12" s="542">
        <f t="shared" si="12"/>
        <v>0</v>
      </c>
      <c r="BI12" s="536"/>
      <c r="BJ12" s="536"/>
      <c r="BK12" s="536"/>
      <c r="BL12" s="542">
        <f t="shared" si="13"/>
        <v>0</v>
      </c>
      <c r="BM12" s="536"/>
      <c r="BN12" s="536"/>
      <c r="BO12" s="536"/>
      <c r="BP12" s="542">
        <f t="shared" si="14"/>
        <v>0</v>
      </c>
      <c r="BQ12" s="536"/>
      <c r="BR12" s="536"/>
      <c r="BS12" s="536"/>
      <c r="BT12" s="542">
        <f t="shared" si="15"/>
        <v>0</v>
      </c>
      <c r="BU12" s="536"/>
      <c r="BV12" s="536"/>
      <c r="BW12" s="536"/>
      <c r="BX12" s="542">
        <f t="shared" si="16"/>
        <v>0</v>
      </c>
      <c r="BY12" s="536"/>
      <c r="BZ12" s="536"/>
      <c r="CA12" s="536"/>
      <c r="CB12" s="542">
        <v>0</v>
      </c>
      <c r="CC12" s="536"/>
      <c r="CD12" s="536"/>
      <c r="CE12" s="536"/>
      <c r="CF12" s="541">
        <f t="shared" si="17"/>
        <v>0</v>
      </c>
      <c r="CG12" s="536"/>
      <c r="CH12" s="536"/>
      <c r="CI12" s="536"/>
      <c r="CJ12" s="541">
        <f t="shared" si="18"/>
        <v>0</v>
      </c>
      <c r="CK12" s="536"/>
      <c r="CL12" s="536"/>
      <c r="CM12" s="536"/>
      <c r="CN12" s="541">
        <f t="shared" si="19"/>
        <v>0</v>
      </c>
      <c r="CO12" s="536"/>
      <c r="CP12" s="536"/>
      <c r="CQ12" s="536"/>
      <c r="CR12" s="541">
        <f t="shared" si="20"/>
        <v>0</v>
      </c>
      <c r="CS12" s="536"/>
      <c r="CT12" s="536"/>
      <c r="CU12" s="536"/>
      <c r="CV12" s="541">
        <f t="shared" si="21"/>
        <v>0</v>
      </c>
      <c r="CW12" s="536"/>
      <c r="CX12" s="536"/>
      <c r="CY12" s="536"/>
      <c r="CZ12" s="541">
        <f t="shared" si="22"/>
        <v>0</v>
      </c>
      <c r="DA12" s="536"/>
      <c r="DB12" s="536"/>
      <c r="DC12" s="536"/>
      <c r="DD12" s="541">
        <f t="shared" si="23"/>
        <v>0</v>
      </c>
      <c r="DE12" s="536"/>
      <c r="DF12" s="536"/>
      <c r="DG12" s="536"/>
      <c r="DH12" s="541">
        <f t="shared" si="24"/>
        <v>0</v>
      </c>
      <c r="DI12" s="536"/>
      <c r="DJ12" s="536"/>
      <c r="DK12" s="536"/>
      <c r="DL12" s="541">
        <f t="shared" si="25"/>
        <v>0</v>
      </c>
      <c r="DM12" s="536"/>
      <c r="DN12" s="536"/>
      <c r="DO12" s="536"/>
      <c r="DP12" s="541">
        <f>IF( SUM((DJ12*(20/100))+(DK12*(30/100))+(DL12*(50/100))) &gt;=9.3,9.5,
IF(AND( SUM((DJ12*(20/100))+(DK12*(30/100))+(DL12*(50/100))) &lt;=9.3, SUM((DJ12*(20/100))+(DK12*(30/100))+(DL12*(50/100))) &gt;=8.8),9,
IF(AND( SUM((DJ12*(20/100))+(DK12*(30/100))+(DL12*(50/100))) &lt;=8.8, SUM((DJ12*(20/100))+(DK12*(30/100))+(DL12*(50/100))) &gt;=8.3),8.5,
IF(AND( SUM((DJ12*(20/100))+(DK12*(30/100))+(DL12*(50/100))) &lt;=8.3, SUM((DJ12*(20/100))+(DK12*(30/100))+(DL12*(50/100))) &gt;=7.8),8,
IF(AND( SUM((DJ12*(20/100))+(DK12*(30/100))+(DL12*(50/100))) &lt;=7.8, SUM((DJ12*(20/100))+(DK12*(30/100))+(DL12*(50/100))) &gt;=7.3),7.5,
IF(AND( SUM((DJ12*(20/100))+(DK12*(30/100))+(DL12*(50/100))) &lt;=7.3, SUM((DJ12*(20/100))+(DK12*(30/100))+(DL12*(50/100))) &gt;=6.8),7,
IF(AND( SUM((DJ12*(20/100))+(DK12*(30/100))+(DL12*(50/100))) &lt;=6.8, SUM((DJ12*(20/100))+(DK12*(30/100))+(DL12*(50/100))) &gt;=6.3),6.5,
IF(AND( SUM((DJ12*(20/100))+(DK12*(30/100))+(DL12*(50/100))) &lt;=6.3, SUM((DJ12*(20/100))+(DK12*(30/100))+(DL12*(50/100))) &gt;=5.8),6,
IF(AND( SUM((DJ12*(20/100))+(DK12*(30/100))+(DL12*(50/100))) &lt;=5.8, SUM((DJ12*(20/100))+(DK12*(30/100))+(DL12*(50/100))) &gt;=5.3),5.5,
IF(AND( SUM((DJ12*(20/100))+(DK12*(30/100))+(DL12*(50/100))) &lt;=5.3, SUM((DJ12*(20/100))+(DK12*(30/100))+(DL12*(50/100))) &gt;=4.8),5,
IF(AND( SUM((DJ12*(20/100))+(DK12*(30/100))+(DL12*(50/100))) &lt;=4.8, SUM((DJ12*(20/100))+(DK12*(30/100))+(DL12*(50/100))) &gt;=4.3),4.5,
IF(AND( SUM((DJ12*(20/100))+(DK12*(30/100))+(DL12*(50/100))) &lt;=4.3, SUM((DJ12*(20/100))+(DK12*(30/100))+(DL12*(50/100))) &gt;=3.8),4,
IF(AND( SUM((DJ12*(20/100))+(DK12*(30/100))+(DL12*(50/100))) &lt;=3.8, SUM((DJ12*(20/100))+(DK12*(30/100))+(DL12*(50/100))) &gt;=3.5),3.5,0)))))))))))))</f>
        <v>0</v>
      </c>
      <c r="DQ12" s="541"/>
      <c r="DR12" s="541"/>
      <c r="DS12" s="541"/>
      <c r="DT12" s="541"/>
      <c r="DU12" s="541"/>
      <c r="DV12" s="541"/>
      <c r="DW12" s="541"/>
      <c r="DX12" s="541"/>
      <c r="DY12" s="541"/>
      <c r="DZ12" s="541"/>
    </row>
    <row r="13" spans="1:171" ht="15" customHeight="1" x14ac:dyDescent="0.25">
      <c r="B13" s="334">
        <v>6</v>
      </c>
      <c r="C13" s="541"/>
      <c r="D13" s="334"/>
      <c r="E13" s="334"/>
      <c r="F13" s="334"/>
      <c r="G13" s="334"/>
      <c r="H13" s="334"/>
      <c r="I13" s="334"/>
      <c r="J13" s="536"/>
      <c r="K13" s="536"/>
      <c r="L13" s="536"/>
      <c r="M13" s="536"/>
      <c r="N13" s="536"/>
      <c r="O13" s="536"/>
      <c r="P13" s="536">
        <f t="shared" si="1"/>
        <v>0</v>
      </c>
      <c r="Q13" s="536"/>
      <c r="R13" s="536"/>
      <c r="S13" s="536"/>
      <c r="T13" s="536">
        <f t="shared" si="2"/>
        <v>0</v>
      </c>
      <c r="U13" s="536"/>
      <c r="V13" s="536"/>
      <c r="W13" s="536"/>
      <c r="X13" s="536">
        <f t="shared" si="3"/>
        <v>0</v>
      </c>
      <c r="Y13" s="536"/>
      <c r="Z13" s="536"/>
      <c r="AA13" s="536"/>
      <c r="AB13" s="536">
        <f t="shared" si="4"/>
        <v>0</v>
      </c>
      <c r="AC13" s="536"/>
      <c r="AD13" s="536"/>
      <c r="AE13" s="536"/>
      <c r="AF13" s="536">
        <f t="shared" si="5"/>
        <v>0</v>
      </c>
      <c r="AG13" s="536"/>
      <c r="AH13" s="536"/>
      <c r="AI13" s="536"/>
      <c r="AJ13" s="536">
        <f t="shared" si="6"/>
        <v>0</v>
      </c>
      <c r="AK13" s="536"/>
      <c r="AL13" s="536"/>
      <c r="AM13" s="536"/>
      <c r="AN13" s="542">
        <f t="shared" si="7"/>
        <v>0</v>
      </c>
      <c r="AO13" s="536"/>
      <c r="AP13" s="536"/>
      <c r="AQ13" s="536"/>
      <c r="AR13" s="542">
        <f t="shared" si="8"/>
        <v>0</v>
      </c>
      <c r="AS13" s="536"/>
      <c r="AT13" s="536"/>
      <c r="AU13" s="536"/>
      <c r="AV13" s="542">
        <f t="shared" si="9"/>
        <v>0</v>
      </c>
      <c r="AW13" s="536"/>
      <c r="AX13" s="536"/>
      <c r="AY13" s="536"/>
      <c r="AZ13" s="542">
        <f t="shared" si="10"/>
        <v>0</v>
      </c>
      <c r="BA13" s="536"/>
      <c r="BB13" s="536"/>
      <c r="BC13" s="536"/>
      <c r="BD13" s="542">
        <f t="shared" si="11"/>
        <v>0</v>
      </c>
      <c r="BE13" s="536"/>
      <c r="BF13" s="536"/>
      <c r="BG13" s="536"/>
      <c r="BH13" s="542">
        <f t="shared" si="12"/>
        <v>0</v>
      </c>
      <c r="BI13" s="536"/>
      <c r="BJ13" s="536"/>
      <c r="BK13" s="536"/>
      <c r="BL13" s="542">
        <f t="shared" si="13"/>
        <v>0</v>
      </c>
      <c r="BM13" s="536"/>
      <c r="BN13" s="536"/>
      <c r="BO13" s="536"/>
      <c r="BP13" s="542">
        <f t="shared" si="14"/>
        <v>0</v>
      </c>
      <c r="BQ13" s="536"/>
      <c r="BR13" s="536"/>
      <c r="BS13" s="536"/>
      <c r="BT13" s="542">
        <f t="shared" si="15"/>
        <v>0</v>
      </c>
      <c r="BU13" s="536"/>
      <c r="BV13" s="536"/>
      <c r="BW13" s="536"/>
      <c r="BX13" s="542">
        <f t="shared" si="16"/>
        <v>0</v>
      </c>
      <c r="BY13" s="536"/>
      <c r="BZ13" s="536"/>
      <c r="CA13" s="536"/>
      <c r="CB13" s="542">
        <v>0</v>
      </c>
      <c r="CC13" s="536"/>
      <c r="CD13" s="536"/>
      <c r="CE13" s="536"/>
      <c r="CF13" s="541">
        <f t="shared" si="17"/>
        <v>0</v>
      </c>
      <c r="CG13" s="536"/>
      <c r="CH13" s="536"/>
      <c r="CI13" s="536"/>
      <c r="CJ13" s="541">
        <f t="shared" si="18"/>
        <v>0</v>
      </c>
      <c r="CK13" s="536"/>
      <c r="CL13" s="536"/>
      <c r="CM13" s="536"/>
      <c r="CN13" s="541">
        <f t="shared" si="19"/>
        <v>0</v>
      </c>
      <c r="CO13" s="536"/>
      <c r="CP13" s="536"/>
      <c r="CQ13" s="536"/>
      <c r="CR13" s="541">
        <f t="shared" si="20"/>
        <v>0</v>
      </c>
      <c r="CS13" s="536"/>
      <c r="CT13" s="536"/>
      <c r="CU13" s="536"/>
      <c r="CV13" s="541">
        <f t="shared" si="21"/>
        <v>0</v>
      </c>
      <c r="CW13" s="536"/>
      <c r="CX13" s="536"/>
      <c r="CY13" s="536"/>
      <c r="CZ13" s="541">
        <f t="shared" si="22"/>
        <v>0</v>
      </c>
      <c r="DA13" s="536"/>
      <c r="DB13" s="536"/>
      <c r="DC13" s="536"/>
      <c r="DD13" s="541">
        <f t="shared" si="23"/>
        <v>0</v>
      </c>
      <c r="DE13" s="536"/>
      <c r="DF13" s="536"/>
      <c r="DG13" s="536"/>
      <c r="DH13" s="541">
        <f t="shared" si="24"/>
        <v>0</v>
      </c>
      <c r="DI13" s="536"/>
      <c r="DJ13" s="536"/>
      <c r="DK13" s="536"/>
      <c r="DL13" s="541">
        <f t="shared" si="25"/>
        <v>0</v>
      </c>
      <c r="DM13" s="536"/>
      <c r="DN13" s="536"/>
      <c r="DO13" s="536"/>
      <c r="DP13" s="541">
        <f>IF( SUM((DJ13*(20/100))+(DK13*(30/100))+(DL13*(50/100))) &gt;=9.3,9.5,
IF(AND( SUM((DJ13*(20/100))+(DK13*(30/100))+(DL13*(50/100))) &lt;=9.3, SUM((DJ13*(20/100))+(DK13*(30/100))+(DL13*(50/100))) &gt;=8.8),9,
IF(AND( SUM((DJ13*(20/100))+(DK13*(30/100))+(DL13*(50/100))) &lt;=8.8, SUM((DJ13*(20/100))+(DK13*(30/100))+(DL13*(50/100))) &gt;=8.3),8.5,
IF(AND( SUM((DJ13*(20/100))+(DK13*(30/100))+(DL13*(50/100))) &lt;=8.3, SUM((DJ13*(20/100))+(DK13*(30/100))+(DL13*(50/100))) &gt;=7.8),8,
IF(AND( SUM((DJ13*(20/100))+(DK13*(30/100))+(DL13*(50/100))) &lt;=7.8, SUM((DJ13*(20/100))+(DK13*(30/100))+(DL13*(50/100))) &gt;=7.3),7.5,
IF(AND( SUM((DJ13*(20/100))+(DK13*(30/100))+(DL13*(50/100))) &lt;=7.3, SUM((DJ13*(20/100))+(DK13*(30/100))+(DL13*(50/100))) &gt;=6.8),7,
IF(AND( SUM((DJ13*(20/100))+(DK13*(30/100))+(DL13*(50/100))) &lt;=6.8, SUM((DJ13*(20/100))+(DK13*(30/100))+(DL13*(50/100))) &gt;=6.3),6.5,
IF(AND( SUM((DJ13*(20/100))+(DK13*(30/100))+(DL13*(50/100))) &lt;=6.3, SUM((DJ13*(20/100))+(DK13*(30/100))+(DL13*(50/100))) &gt;=5.8),6,
IF(AND( SUM((DJ13*(20/100))+(DK13*(30/100))+(DL13*(50/100))) &lt;=5.8, SUM((DJ13*(20/100))+(DK13*(30/100))+(DL13*(50/100))) &gt;=5.3),5.5,
IF(AND( SUM((DJ13*(20/100))+(DK13*(30/100))+(DL13*(50/100))) &lt;=5.3, SUM((DJ13*(20/100))+(DK13*(30/100))+(DL13*(50/100))) &gt;=4.8),5,
IF(AND( SUM((DJ13*(20/100))+(DK13*(30/100))+(DL13*(50/100))) &lt;=4.8, SUM((DJ13*(20/100))+(DK13*(30/100))+(DL13*(50/100))) &gt;=4.3),4.5,
IF(AND( SUM((DJ13*(20/100))+(DK13*(30/100))+(DL13*(50/100))) &lt;=4.3, SUM((DJ13*(20/100))+(DK13*(30/100))+(DL13*(50/100))) &gt;=3.8),4,
IF(AND( SUM((DJ13*(20/100))+(DK13*(30/100))+(DL13*(50/100))) &lt;=3.8, SUM((DJ13*(20/100))+(DK13*(30/100))+(DL13*(50/100))) &gt;=3.5),3.5,0)))))))))))))</f>
        <v>0</v>
      </c>
      <c r="DQ13" s="541"/>
      <c r="DR13" s="541"/>
      <c r="DS13" s="541"/>
      <c r="DT13" s="541"/>
      <c r="DU13" s="541"/>
      <c r="DV13" s="541"/>
      <c r="DW13" s="541"/>
      <c r="DX13" s="541"/>
      <c r="DY13" s="541"/>
      <c r="DZ13" s="541"/>
    </row>
    <row r="14" spans="1:171" ht="15" customHeight="1" x14ac:dyDescent="0.25">
      <c r="B14" s="334">
        <v>7</v>
      </c>
      <c r="C14" s="541"/>
      <c r="D14" s="334"/>
      <c r="E14" s="334"/>
      <c r="F14" s="334"/>
      <c r="G14" s="334"/>
      <c r="H14" s="334"/>
      <c r="I14" s="334"/>
      <c r="J14" s="536"/>
      <c r="K14" s="536"/>
      <c r="L14" s="536"/>
      <c r="M14" s="536"/>
      <c r="N14" s="536"/>
      <c r="O14" s="536"/>
      <c r="P14" s="536">
        <f t="shared" si="1"/>
        <v>0</v>
      </c>
      <c r="Q14" s="536"/>
      <c r="R14" s="536"/>
      <c r="S14" s="536"/>
      <c r="T14" s="536">
        <f t="shared" si="2"/>
        <v>0</v>
      </c>
      <c r="U14" s="536"/>
      <c r="V14" s="536"/>
      <c r="W14" s="536"/>
      <c r="X14" s="536">
        <f t="shared" si="3"/>
        <v>0</v>
      </c>
      <c r="Y14" s="536"/>
      <c r="Z14" s="536"/>
      <c r="AA14" s="536"/>
      <c r="AB14" s="536">
        <f t="shared" si="4"/>
        <v>0</v>
      </c>
      <c r="AC14" s="536"/>
      <c r="AD14" s="536"/>
      <c r="AE14" s="536"/>
      <c r="AF14" s="536">
        <f t="shared" si="5"/>
        <v>0</v>
      </c>
      <c r="AG14" s="536"/>
      <c r="AH14" s="536"/>
      <c r="AI14" s="536"/>
      <c r="AJ14" s="536">
        <f t="shared" si="6"/>
        <v>0</v>
      </c>
      <c r="AK14" s="536"/>
      <c r="AL14" s="536"/>
      <c r="AM14" s="536"/>
      <c r="AN14" s="542">
        <f t="shared" si="7"/>
        <v>0</v>
      </c>
      <c r="AO14" s="536"/>
      <c r="AP14" s="536"/>
      <c r="AQ14" s="536"/>
      <c r="AR14" s="542">
        <f t="shared" si="8"/>
        <v>0</v>
      </c>
      <c r="AS14" s="536"/>
      <c r="AT14" s="536"/>
      <c r="AU14" s="536"/>
      <c r="AV14" s="542">
        <f t="shared" si="9"/>
        <v>0</v>
      </c>
      <c r="AW14" s="536"/>
      <c r="AX14" s="536"/>
      <c r="AY14" s="536"/>
      <c r="AZ14" s="542">
        <f t="shared" si="10"/>
        <v>0</v>
      </c>
      <c r="BA14" s="536"/>
      <c r="BB14" s="536"/>
      <c r="BC14" s="536"/>
      <c r="BD14" s="542">
        <f t="shared" si="11"/>
        <v>0</v>
      </c>
      <c r="BE14" s="536"/>
      <c r="BF14" s="536"/>
      <c r="BG14" s="536"/>
      <c r="BH14" s="542">
        <f t="shared" si="12"/>
        <v>0</v>
      </c>
      <c r="BI14" s="536"/>
      <c r="BJ14" s="536"/>
      <c r="BK14" s="536"/>
      <c r="BL14" s="542">
        <f t="shared" si="13"/>
        <v>0</v>
      </c>
      <c r="BM14" s="536"/>
      <c r="BN14" s="536"/>
      <c r="BO14" s="536"/>
      <c r="BP14" s="542">
        <f t="shared" si="14"/>
        <v>0</v>
      </c>
      <c r="BQ14" s="536"/>
      <c r="BR14" s="536"/>
      <c r="BS14" s="536"/>
      <c r="BT14" s="542">
        <f t="shared" si="15"/>
        <v>0</v>
      </c>
      <c r="BU14" s="536"/>
      <c r="BV14" s="536"/>
      <c r="BW14" s="536"/>
      <c r="BX14" s="542">
        <f t="shared" si="16"/>
        <v>0</v>
      </c>
      <c r="BY14" s="536"/>
      <c r="BZ14" s="536"/>
      <c r="CA14" s="536"/>
      <c r="CB14" s="542">
        <v>0</v>
      </c>
      <c r="CC14" s="536"/>
      <c r="CD14" s="536"/>
      <c r="CE14" s="536"/>
      <c r="CF14" s="541">
        <f t="shared" si="17"/>
        <v>0</v>
      </c>
      <c r="CG14" s="536"/>
      <c r="CH14" s="536"/>
      <c r="CI14" s="536"/>
      <c r="CJ14" s="541">
        <f t="shared" si="18"/>
        <v>0</v>
      </c>
      <c r="CK14" s="536"/>
      <c r="CL14" s="536"/>
      <c r="CM14" s="536"/>
      <c r="CN14" s="541">
        <f t="shared" si="19"/>
        <v>0</v>
      </c>
      <c r="CO14" s="536"/>
      <c r="CP14" s="536"/>
      <c r="CQ14" s="536"/>
      <c r="CR14" s="541">
        <f t="shared" si="20"/>
        <v>0</v>
      </c>
      <c r="CS14" s="536"/>
      <c r="CT14" s="536"/>
      <c r="CU14" s="536"/>
      <c r="CV14" s="541">
        <f t="shared" si="21"/>
        <v>0</v>
      </c>
      <c r="CW14" s="536"/>
      <c r="CX14" s="536"/>
      <c r="CY14" s="536"/>
      <c r="CZ14" s="541">
        <f t="shared" si="22"/>
        <v>0</v>
      </c>
      <c r="DA14" s="536"/>
      <c r="DB14" s="536"/>
      <c r="DC14" s="536"/>
      <c r="DD14" s="541">
        <f t="shared" si="23"/>
        <v>0</v>
      </c>
      <c r="DE14" s="536"/>
      <c r="DF14" s="536"/>
      <c r="DG14" s="536"/>
      <c r="DH14" s="541">
        <f t="shared" si="24"/>
        <v>0</v>
      </c>
      <c r="DI14" s="536"/>
      <c r="DJ14" s="536"/>
      <c r="DK14" s="536"/>
      <c r="DL14" s="541">
        <f t="shared" si="25"/>
        <v>0</v>
      </c>
      <c r="DM14" s="536"/>
      <c r="DN14" s="536"/>
      <c r="DO14" s="536"/>
      <c r="DP14" s="541">
        <f>IF( SUM((DJ14*(20/100))+(DK14*(30/100))+(DL14*(50/100))) &gt;=9.3,9.5,
IF(AND( SUM((DJ14*(20/100))+(DK14*(30/100))+(DL14*(50/100))) &lt;=9.3, SUM((DJ14*(20/100))+(DK14*(30/100))+(DL14*(50/100))) &gt;=8.8),9,
IF(AND( SUM((DJ14*(20/100))+(DK14*(30/100))+(DL14*(50/100))) &lt;=8.8, SUM((DJ14*(20/100))+(DK14*(30/100))+(DL14*(50/100))) &gt;=8.3),8.5,
IF(AND( SUM((DJ14*(20/100))+(DK14*(30/100))+(DL14*(50/100))) &lt;=8.3, SUM((DJ14*(20/100))+(DK14*(30/100))+(DL14*(50/100))) &gt;=7.8),8,
IF(AND( SUM((DJ14*(20/100))+(DK14*(30/100))+(DL14*(50/100))) &lt;=7.8, SUM((DJ14*(20/100))+(DK14*(30/100))+(DL14*(50/100))) &gt;=7.3),7.5,
IF(AND( SUM((DJ14*(20/100))+(DK14*(30/100))+(DL14*(50/100))) &lt;=7.3, SUM((DJ14*(20/100))+(DK14*(30/100))+(DL14*(50/100))) &gt;=6.8),7,
IF(AND( SUM((DJ14*(20/100))+(DK14*(30/100))+(DL14*(50/100))) &lt;=6.8, SUM((DJ14*(20/100))+(DK14*(30/100))+(DL14*(50/100))) &gt;=6.3),6.5,
IF(AND( SUM((DJ14*(20/100))+(DK14*(30/100))+(DL14*(50/100))) &lt;=6.3, SUM((DJ14*(20/100))+(DK14*(30/100))+(DL14*(50/100))) &gt;=5.8),6,
IF(AND( SUM((DJ14*(20/100))+(DK14*(30/100))+(DL14*(50/100))) &lt;=5.8, SUM((DJ14*(20/100))+(DK14*(30/100))+(DL14*(50/100))) &gt;=5.3),5.5,
IF(AND( SUM((DJ14*(20/100))+(DK14*(30/100))+(DL14*(50/100))) &lt;=5.3, SUM((DJ14*(20/100))+(DK14*(30/100))+(DL14*(50/100))) &gt;=4.8),5,
IF(AND( SUM((DJ14*(20/100))+(DK14*(30/100))+(DL14*(50/100))) &lt;=4.8, SUM((DJ14*(20/100))+(DK14*(30/100))+(DL14*(50/100))) &gt;=4.3),4.5,
IF(AND( SUM((DJ14*(20/100))+(DK14*(30/100))+(DL14*(50/100))) &lt;=4.3, SUM((DJ14*(20/100))+(DK14*(30/100))+(DL14*(50/100))) &gt;=3.8),4,
IF(AND( SUM((DJ14*(20/100))+(DK14*(30/100))+(DL14*(50/100))) &lt;=3.8, SUM((DJ14*(20/100))+(DK14*(30/100))+(DL14*(50/100))) &gt;=3.5),3.5,0)))))))))))))</f>
        <v>0</v>
      </c>
      <c r="DQ14" s="541"/>
      <c r="DR14" s="541"/>
      <c r="DS14" s="541"/>
      <c r="DT14" s="541"/>
      <c r="DU14" s="541"/>
      <c r="DV14" s="541"/>
      <c r="DW14" s="541"/>
      <c r="DX14" s="541"/>
      <c r="DY14" s="541"/>
      <c r="DZ14" s="541"/>
    </row>
    <row r="15" spans="1:171" ht="15" customHeight="1" x14ac:dyDescent="0.25">
      <c r="B15" s="334">
        <v>8</v>
      </c>
      <c r="C15" s="541"/>
      <c r="D15" s="334"/>
      <c r="E15" s="334"/>
      <c r="F15" s="334"/>
      <c r="G15" s="334"/>
      <c r="H15" s="334"/>
      <c r="I15" s="334"/>
      <c r="J15" s="536"/>
      <c r="K15" s="536"/>
      <c r="L15" s="536"/>
      <c r="M15" s="536"/>
      <c r="N15" s="536"/>
      <c r="O15" s="536"/>
      <c r="P15" s="536">
        <f t="shared" si="1"/>
        <v>0</v>
      </c>
      <c r="Q15" s="536"/>
      <c r="R15" s="536"/>
      <c r="S15" s="536"/>
      <c r="T15" s="536">
        <f t="shared" si="2"/>
        <v>0</v>
      </c>
      <c r="U15" s="536"/>
      <c r="V15" s="536"/>
      <c r="W15" s="536"/>
      <c r="X15" s="536">
        <f t="shared" si="3"/>
        <v>0</v>
      </c>
      <c r="Y15" s="536"/>
      <c r="Z15" s="536"/>
      <c r="AA15" s="536"/>
      <c r="AB15" s="536">
        <f t="shared" si="4"/>
        <v>0</v>
      </c>
      <c r="AC15" s="536"/>
      <c r="AD15" s="536"/>
      <c r="AE15" s="536"/>
      <c r="AF15" s="536">
        <f t="shared" si="5"/>
        <v>0</v>
      </c>
      <c r="AG15" s="536"/>
      <c r="AH15" s="536"/>
      <c r="AI15" s="536"/>
      <c r="AJ15" s="536">
        <f t="shared" si="6"/>
        <v>0</v>
      </c>
      <c r="AK15" s="536"/>
      <c r="AL15" s="536"/>
      <c r="AM15" s="536"/>
      <c r="AN15" s="542">
        <f t="shared" si="7"/>
        <v>0</v>
      </c>
      <c r="AO15" s="536"/>
      <c r="AP15" s="536"/>
      <c r="AQ15" s="536"/>
      <c r="AR15" s="542">
        <f t="shared" si="8"/>
        <v>0</v>
      </c>
      <c r="AS15" s="536"/>
      <c r="AT15" s="536"/>
      <c r="AU15" s="536"/>
      <c r="AV15" s="542">
        <f t="shared" si="9"/>
        <v>0</v>
      </c>
      <c r="AW15" s="536"/>
      <c r="AX15" s="536"/>
      <c r="AY15" s="536"/>
      <c r="AZ15" s="542">
        <f t="shared" si="10"/>
        <v>0</v>
      </c>
      <c r="BA15" s="536"/>
      <c r="BB15" s="536"/>
      <c r="BC15" s="536"/>
      <c r="BD15" s="542">
        <f t="shared" si="11"/>
        <v>0</v>
      </c>
      <c r="BE15" s="536"/>
      <c r="BF15" s="536"/>
      <c r="BG15" s="536"/>
      <c r="BH15" s="542">
        <f t="shared" si="12"/>
        <v>0</v>
      </c>
      <c r="BI15" s="536"/>
      <c r="BJ15" s="536"/>
      <c r="BK15" s="536"/>
      <c r="BL15" s="542">
        <f t="shared" si="13"/>
        <v>0</v>
      </c>
      <c r="BM15" s="536"/>
      <c r="BN15" s="536"/>
      <c r="BO15" s="536"/>
      <c r="BP15" s="542">
        <f t="shared" si="14"/>
        <v>0</v>
      </c>
      <c r="BQ15" s="536"/>
      <c r="BR15" s="536"/>
      <c r="BS15" s="536"/>
      <c r="BT15" s="542">
        <f t="shared" si="15"/>
        <v>0</v>
      </c>
      <c r="BU15" s="536"/>
      <c r="BV15" s="536"/>
      <c r="BW15" s="536"/>
      <c r="BX15" s="542">
        <f t="shared" si="16"/>
        <v>0</v>
      </c>
      <c r="BY15" s="536"/>
      <c r="BZ15" s="536"/>
      <c r="CA15" s="536"/>
      <c r="CB15" s="542">
        <v>0</v>
      </c>
      <c r="CC15" s="536"/>
      <c r="CD15" s="536"/>
      <c r="CE15" s="536"/>
      <c r="CF15" s="541">
        <f t="shared" si="17"/>
        <v>0</v>
      </c>
      <c r="CG15" s="536"/>
      <c r="CH15" s="536"/>
      <c r="CI15" s="536"/>
      <c r="CJ15" s="541">
        <f t="shared" si="18"/>
        <v>0</v>
      </c>
      <c r="CK15" s="536"/>
      <c r="CL15" s="536"/>
      <c r="CM15" s="536"/>
      <c r="CN15" s="541">
        <f t="shared" si="19"/>
        <v>0</v>
      </c>
      <c r="CO15" s="536"/>
      <c r="CP15" s="536"/>
      <c r="CQ15" s="536"/>
      <c r="CR15" s="541">
        <f t="shared" si="20"/>
        <v>0</v>
      </c>
      <c r="CS15" s="536"/>
      <c r="CT15" s="536"/>
      <c r="CU15" s="536"/>
      <c r="CV15" s="541">
        <f t="shared" si="21"/>
        <v>0</v>
      </c>
      <c r="CW15" s="536"/>
      <c r="CX15" s="536"/>
      <c r="CY15" s="536"/>
      <c r="CZ15" s="541">
        <f t="shared" si="22"/>
        <v>0</v>
      </c>
      <c r="DA15" s="536"/>
      <c r="DB15" s="536"/>
      <c r="DC15" s="536"/>
      <c r="DD15" s="541">
        <f t="shared" si="23"/>
        <v>0</v>
      </c>
      <c r="DE15" s="536"/>
      <c r="DF15" s="536"/>
      <c r="DG15" s="536"/>
      <c r="DH15" s="541">
        <f t="shared" si="24"/>
        <v>0</v>
      </c>
      <c r="DI15" s="536"/>
      <c r="DJ15" s="536"/>
      <c r="DK15" s="536"/>
      <c r="DL15" s="541">
        <f t="shared" si="25"/>
        <v>0</v>
      </c>
      <c r="DM15" s="536"/>
      <c r="DN15" s="536"/>
      <c r="DO15" s="536"/>
      <c r="DP15" s="541">
        <f>IF( SUM((DJ15*(20/100))+(DK15*(30/100))+(DL15*(50/100))) &gt;=9.3,9.5,
IF(AND( SUM((DJ15*(20/100))+(DK15*(30/100))+(DL15*(50/100))) &lt;=9.3, SUM((DJ15*(20/100))+(DK15*(30/100))+(DL15*(50/100))) &gt;=8.8),9,
IF(AND( SUM((DJ15*(20/100))+(DK15*(30/100))+(DL15*(50/100))) &lt;=8.8, SUM((DJ15*(20/100))+(DK15*(30/100))+(DL15*(50/100))) &gt;=8.3),8.5,
IF(AND( SUM((DJ15*(20/100))+(DK15*(30/100))+(DL15*(50/100))) &lt;=8.3, SUM((DJ15*(20/100))+(DK15*(30/100))+(DL15*(50/100))) &gt;=7.8),8,
IF(AND( SUM((DJ15*(20/100))+(DK15*(30/100))+(DL15*(50/100))) &lt;=7.8, SUM((DJ15*(20/100))+(DK15*(30/100))+(DL15*(50/100))) &gt;=7.3),7.5,
IF(AND( SUM((DJ15*(20/100))+(DK15*(30/100))+(DL15*(50/100))) &lt;=7.3, SUM((DJ15*(20/100))+(DK15*(30/100))+(DL15*(50/100))) &gt;=6.8),7,
IF(AND( SUM((DJ15*(20/100))+(DK15*(30/100))+(DL15*(50/100))) &lt;=6.8, SUM((DJ15*(20/100))+(DK15*(30/100))+(DL15*(50/100))) &gt;=6.3),6.5,
IF(AND( SUM((DJ15*(20/100))+(DK15*(30/100))+(DL15*(50/100))) &lt;=6.3, SUM((DJ15*(20/100))+(DK15*(30/100))+(DL15*(50/100))) &gt;=5.8),6,
IF(AND( SUM((DJ15*(20/100))+(DK15*(30/100))+(DL15*(50/100))) &lt;=5.8, SUM((DJ15*(20/100))+(DK15*(30/100))+(DL15*(50/100))) &gt;=5.3),5.5,
IF(AND( SUM((DJ15*(20/100))+(DK15*(30/100))+(DL15*(50/100))) &lt;=5.3, SUM((DJ15*(20/100))+(DK15*(30/100))+(DL15*(50/100))) &gt;=4.8),5,
IF(AND( SUM((DJ15*(20/100))+(DK15*(30/100))+(DL15*(50/100))) &lt;=4.8, SUM((DJ15*(20/100))+(DK15*(30/100))+(DL15*(50/100))) &gt;=4.3),4.5,
IF(AND( SUM((DJ15*(20/100))+(DK15*(30/100))+(DL15*(50/100))) &lt;=4.3, SUM((DJ15*(20/100))+(DK15*(30/100))+(DL15*(50/100))) &gt;=3.8),4,
IF(AND( SUM((DJ15*(20/100))+(DK15*(30/100))+(DL15*(50/100))) &lt;=3.8, SUM((DJ15*(20/100))+(DK15*(30/100))+(DL15*(50/100))) &gt;=3.5),3.5,0)))))))))))))</f>
        <v>0</v>
      </c>
      <c r="DQ15" s="541"/>
      <c r="DR15" s="541"/>
      <c r="DS15" s="541"/>
      <c r="DT15" s="541"/>
      <c r="DU15" s="541"/>
      <c r="DV15" s="541"/>
      <c r="DW15" s="541"/>
      <c r="DX15" s="541"/>
      <c r="DY15" s="541"/>
      <c r="DZ15" s="541"/>
    </row>
    <row r="16" spans="1:171" ht="15" customHeight="1" x14ac:dyDescent="0.25">
      <c r="B16" s="334">
        <v>9</v>
      </c>
      <c r="C16" s="541"/>
      <c r="D16" s="334"/>
      <c r="E16" s="334"/>
      <c r="F16" s="334"/>
      <c r="G16" s="334"/>
      <c r="H16" s="334"/>
      <c r="I16" s="334"/>
      <c r="J16" s="536"/>
      <c r="K16" s="536"/>
      <c r="L16" s="536"/>
      <c r="M16" s="536"/>
      <c r="N16" s="536"/>
      <c r="O16" s="536"/>
      <c r="P16" s="536">
        <f t="shared" si="1"/>
        <v>0</v>
      </c>
      <c r="Q16" s="536"/>
      <c r="R16" s="536"/>
      <c r="S16" s="536"/>
      <c r="T16" s="536">
        <f t="shared" si="2"/>
        <v>0</v>
      </c>
      <c r="U16" s="536"/>
      <c r="V16" s="536"/>
      <c r="W16" s="536"/>
      <c r="X16" s="536">
        <f t="shared" si="3"/>
        <v>0</v>
      </c>
      <c r="Y16" s="536"/>
      <c r="Z16" s="536"/>
      <c r="AA16" s="536"/>
      <c r="AB16" s="536">
        <f t="shared" si="4"/>
        <v>0</v>
      </c>
      <c r="AC16" s="536"/>
      <c r="AD16" s="536"/>
      <c r="AE16" s="536"/>
      <c r="AF16" s="536">
        <f t="shared" si="5"/>
        <v>0</v>
      </c>
      <c r="AG16" s="536"/>
      <c r="AH16" s="536"/>
      <c r="AI16" s="536"/>
      <c r="AJ16" s="536">
        <f t="shared" si="6"/>
        <v>0</v>
      </c>
      <c r="AK16" s="536"/>
      <c r="AL16" s="536"/>
      <c r="AM16" s="536"/>
      <c r="AN16" s="542">
        <f t="shared" si="7"/>
        <v>0</v>
      </c>
      <c r="AO16" s="536"/>
      <c r="AP16" s="536"/>
      <c r="AQ16" s="536"/>
      <c r="AR16" s="542">
        <f t="shared" si="8"/>
        <v>0</v>
      </c>
      <c r="AS16" s="536"/>
      <c r="AT16" s="536"/>
      <c r="AU16" s="536"/>
      <c r="AV16" s="542">
        <f t="shared" si="9"/>
        <v>0</v>
      </c>
      <c r="AW16" s="536"/>
      <c r="AX16" s="536"/>
      <c r="AY16" s="536"/>
      <c r="AZ16" s="542">
        <f t="shared" si="10"/>
        <v>0</v>
      </c>
      <c r="BA16" s="536"/>
      <c r="BB16" s="536"/>
      <c r="BC16" s="536"/>
      <c r="BD16" s="542">
        <f t="shared" si="11"/>
        <v>0</v>
      </c>
      <c r="BE16" s="536"/>
      <c r="BF16" s="536"/>
      <c r="BG16" s="536"/>
      <c r="BH16" s="542">
        <f t="shared" si="12"/>
        <v>0</v>
      </c>
      <c r="BI16" s="536"/>
      <c r="BJ16" s="536"/>
      <c r="BK16" s="536"/>
      <c r="BL16" s="542">
        <f t="shared" si="13"/>
        <v>0</v>
      </c>
      <c r="BM16" s="536"/>
      <c r="BN16" s="536"/>
      <c r="BO16" s="536"/>
      <c r="BP16" s="542">
        <f t="shared" si="14"/>
        <v>0</v>
      </c>
      <c r="BQ16" s="536"/>
      <c r="BR16" s="536"/>
      <c r="BS16" s="536"/>
      <c r="BT16" s="542">
        <f t="shared" si="15"/>
        <v>0</v>
      </c>
      <c r="BU16" s="536"/>
      <c r="BV16" s="536"/>
      <c r="BW16" s="536"/>
      <c r="BX16" s="542">
        <f t="shared" si="16"/>
        <v>0</v>
      </c>
      <c r="BY16" s="536"/>
      <c r="BZ16" s="536"/>
      <c r="CA16" s="536"/>
      <c r="CB16" s="542">
        <v>0</v>
      </c>
      <c r="CC16" s="536"/>
      <c r="CD16" s="536"/>
      <c r="CE16" s="536"/>
      <c r="CF16" s="541">
        <f t="shared" si="17"/>
        <v>0</v>
      </c>
      <c r="CG16" s="536"/>
      <c r="CH16" s="536"/>
      <c r="CI16" s="536"/>
      <c r="CJ16" s="541">
        <f t="shared" si="18"/>
        <v>0</v>
      </c>
      <c r="CK16" s="536"/>
      <c r="CL16" s="536"/>
      <c r="CM16" s="536"/>
      <c r="CN16" s="541">
        <f t="shared" si="19"/>
        <v>0</v>
      </c>
      <c r="CO16" s="536"/>
      <c r="CP16" s="536"/>
      <c r="CQ16" s="536"/>
      <c r="CR16" s="541">
        <f t="shared" si="20"/>
        <v>0</v>
      </c>
      <c r="CS16" s="536"/>
      <c r="CT16" s="536"/>
      <c r="CU16" s="536"/>
      <c r="CV16" s="541">
        <f t="shared" si="21"/>
        <v>0</v>
      </c>
      <c r="CW16" s="536"/>
      <c r="CX16" s="536"/>
      <c r="CY16" s="536"/>
      <c r="CZ16" s="541">
        <f t="shared" si="22"/>
        <v>0</v>
      </c>
      <c r="DA16" s="536"/>
      <c r="DB16" s="536"/>
      <c r="DC16" s="536"/>
      <c r="DD16" s="541">
        <f t="shared" si="23"/>
        <v>0</v>
      </c>
      <c r="DE16" s="536"/>
      <c r="DF16" s="536"/>
      <c r="DG16" s="536"/>
      <c r="DH16" s="541">
        <f t="shared" si="24"/>
        <v>0</v>
      </c>
      <c r="DI16" s="536"/>
      <c r="DJ16" s="536"/>
      <c r="DK16" s="536"/>
      <c r="DL16" s="541">
        <f t="shared" si="25"/>
        <v>0</v>
      </c>
      <c r="DM16" s="536"/>
      <c r="DN16" s="536"/>
      <c r="DO16" s="536"/>
      <c r="DP16" s="541">
        <f>IF( SUM((DJ16*(20/100))+(DK16*(30/100))+(DL16*(50/100))) &gt;=9.3,9.5,
IF(AND( SUM((DJ16*(20/100))+(DK16*(30/100))+(DL16*(50/100))) &lt;=9.3, SUM((DJ16*(20/100))+(DK16*(30/100))+(DL16*(50/100))) &gt;=8.8),9,
IF(AND( SUM((DJ16*(20/100))+(DK16*(30/100))+(DL16*(50/100))) &lt;=8.8, SUM((DJ16*(20/100))+(DK16*(30/100))+(DL16*(50/100))) &gt;=8.3),8.5,
IF(AND( SUM((DJ16*(20/100))+(DK16*(30/100))+(DL16*(50/100))) &lt;=8.3, SUM((DJ16*(20/100))+(DK16*(30/100))+(DL16*(50/100))) &gt;=7.8),8,
IF(AND( SUM((DJ16*(20/100))+(DK16*(30/100))+(DL16*(50/100))) &lt;=7.8, SUM((DJ16*(20/100))+(DK16*(30/100))+(DL16*(50/100))) &gt;=7.3),7.5,
IF(AND( SUM((DJ16*(20/100))+(DK16*(30/100))+(DL16*(50/100))) &lt;=7.3, SUM((DJ16*(20/100))+(DK16*(30/100))+(DL16*(50/100))) &gt;=6.8),7,
IF(AND( SUM((DJ16*(20/100))+(DK16*(30/100))+(DL16*(50/100))) &lt;=6.8, SUM((DJ16*(20/100))+(DK16*(30/100))+(DL16*(50/100))) &gt;=6.3),6.5,
IF(AND( SUM((DJ16*(20/100))+(DK16*(30/100))+(DL16*(50/100))) &lt;=6.3, SUM((DJ16*(20/100))+(DK16*(30/100))+(DL16*(50/100))) &gt;=5.8),6,
IF(AND( SUM((DJ16*(20/100))+(DK16*(30/100))+(DL16*(50/100))) &lt;=5.8, SUM((DJ16*(20/100))+(DK16*(30/100))+(DL16*(50/100))) &gt;=5.3),5.5,
IF(AND( SUM((DJ16*(20/100))+(DK16*(30/100))+(DL16*(50/100))) &lt;=5.3, SUM((DJ16*(20/100))+(DK16*(30/100))+(DL16*(50/100))) &gt;=4.8),5,
IF(AND( SUM((DJ16*(20/100))+(DK16*(30/100))+(DL16*(50/100))) &lt;=4.8, SUM((DJ16*(20/100))+(DK16*(30/100))+(DL16*(50/100))) &gt;=4.3),4.5,
IF(AND( SUM((DJ16*(20/100))+(DK16*(30/100))+(DL16*(50/100))) &lt;=4.3, SUM((DJ16*(20/100))+(DK16*(30/100))+(DL16*(50/100))) &gt;=3.8),4,
IF(AND( SUM((DJ16*(20/100))+(DK16*(30/100))+(DL16*(50/100))) &lt;=3.8, SUM((DJ16*(20/100))+(DK16*(30/100))+(DL16*(50/100))) &gt;=3.5),3.5,0)))))))))))))</f>
        <v>0</v>
      </c>
      <c r="DQ16" s="541"/>
      <c r="DR16" s="541"/>
      <c r="DS16" s="541"/>
      <c r="DT16" s="541"/>
      <c r="DU16" s="541"/>
      <c r="DV16" s="541"/>
      <c r="DW16" s="541"/>
      <c r="DX16" s="541"/>
      <c r="DY16" s="541"/>
      <c r="DZ16" s="541"/>
    </row>
    <row r="17" spans="2:130" ht="15" customHeight="1" x14ac:dyDescent="0.25">
      <c r="B17" s="334">
        <v>10</v>
      </c>
      <c r="C17" s="541"/>
      <c r="D17" s="334"/>
      <c r="E17" s="334"/>
      <c r="F17" s="334"/>
      <c r="G17" s="334"/>
      <c r="H17" s="334"/>
      <c r="I17" s="334"/>
      <c r="J17" s="536"/>
      <c r="K17" s="536"/>
      <c r="L17" s="536"/>
      <c r="M17" s="536"/>
      <c r="N17" s="536"/>
      <c r="O17" s="536"/>
      <c r="P17" s="536">
        <f t="shared" si="1"/>
        <v>0</v>
      </c>
      <c r="Q17" s="536"/>
      <c r="R17" s="536"/>
      <c r="S17" s="536"/>
      <c r="T17" s="536">
        <f t="shared" si="2"/>
        <v>0</v>
      </c>
      <c r="U17" s="536"/>
      <c r="V17" s="536"/>
      <c r="W17" s="536"/>
      <c r="X17" s="536">
        <f t="shared" si="3"/>
        <v>0</v>
      </c>
      <c r="Y17" s="536"/>
      <c r="Z17" s="536"/>
      <c r="AA17" s="536"/>
      <c r="AB17" s="536">
        <f t="shared" si="4"/>
        <v>0</v>
      </c>
      <c r="AC17" s="536"/>
      <c r="AD17" s="536"/>
      <c r="AE17" s="536"/>
      <c r="AF17" s="536">
        <f t="shared" si="5"/>
        <v>0</v>
      </c>
      <c r="AG17" s="536"/>
      <c r="AH17" s="536"/>
      <c r="AI17" s="536"/>
      <c r="AJ17" s="536">
        <f t="shared" si="6"/>
        <v>0</v>
      </c>
      <c r="AK17" s="536"/>
      <c r="AL17" s="536"/>
      <c r="AM17" s="536"/>
      <c r="AN17" s="542">
        <f t="shared" si="7"/>
        <v>0</v>
      </c>
      <c r="AO17" s="536"/>
      <c r="AP17" s="536"/>
      <c r="AQ17" s="536"/>
      <c r="AR17" s="542">
        <f t="shared" si="8"/>
        <v>0</v>
      </c>
      <c r="AS17" s="536"/>
      <c r="AT17" s="536"/>
      <c r="AU17" s="536"/>
      <c r="AV17" s="542">
        <f t="shared" si="9"/>
        <v>0</v>
      </c>
      <c r="AW17" s="536"/>
      <c r="AX17" s="536"/>
      <c r="AY17" s="536"/>
      <c r="AZ17" s="542">
        <f t="shared" si="10"/>
        <v>0</v>
      </c>
      <c r="BA17" s="536"/>
      <c r="BB17" s="536"/>
      <c r="BC17" s="536"/>
      <c r="BD17" s="542">
        <f t="shared" si="11"/>
        <v>0</v>
      </c>
      <c r="BE17" s="536"/>
      <c r="BF17" s="536"/>
      <c r="BG17" s="536"/>
      <c r="BH17" s="542">
        <f t="shared" si="12"/>
        <v>0</v>
      </c>
      <c r="BI17" s="536"/>
      <c r="BJ17" s="536"/>
      <c r="BK17" s="536"/>
      <c r="BL17" s="542">
        <f t="shared" si="13"/>
        <v>0</v>
      </c>
      <c r="BM17" s="536"/>
      <c r="BN17" s="536"/>
      <c r="BO17" s="536"/>
      <c r="BP17" s="542">
        <f t="shared" si="14"/>
        <v>0</v>
      </c>
      <c r="BQ17" s="536"/>
      <c r="BR17" s="536"/>
      <c r="BS17" s="536"/>
      <c r="BT17" s="542">
        <f t="shared" si="15"/>
        <v>0</v>
      </c>
      <c r="BU17" s="536"/>
      <c r="BV17" s="536"/>
      <c r="BW17" s="536"/>
      <c r="BX17" s="542">
        <f t="shared" si="16"/>
        <v>0</v>
      </c>
      <c r="BY17" s="536"/>
      <c r="BZ17" s="536"/>
      <c r="CA17" s="536"/>
      <c r="CB17" s="542">
        <v>0</v>
      </c>
      <c r="CC17" s="536"/>
      <c r="CD17" s="536"/>
      <c r="CE17" s="536"/>
      <c r="CF17" s="541">
        <f t="shared" si="17"/>
        <v>0</v>
      </c>
      <c r="CG17" s="536"/>
      <c r="CH17" s="536"/>
      <c r="CI17" s="536"/>
      <c r="CJ17" s="541">
        <f t="shared" si="18"/>
        <v>0</v>
      </c>
      <c r="CK17" s="536"/>
      <c r="CL17" s="536"/>
      <c r="CM17" s="536"/>
      <c r="CN17" s="541">
        <f t="shared" si="19"/>
        <v>0</v>
      </c>
      <c r="CO17" s="536"/>
      <c r="CP17" s="536"/>
      <c r="CQ17" s="536"/>
      <c r="CR17" s="541">
        <f t="shared" si="20"/>
        <v>0</v>
      </c>
      <c r="CS17" s="536"/>
      <c r="CT17" s="536"/>
      <c r="CU17" s="536"/>
      <c r="CV17" s="541">
        <f t="shared" si="21"/>
        <v>0</v>
      </c>
      <c r="CW17" s="536"/>
      <c r="CX17" s="536"/>
      <c r="CY17" s="536"/>
      <c r="CZ17" s="541">
        <f t="shared" si="22"/>
        <v>0</v>
      </c>
      <c r="DA17" s="536"/>
      <c r="DB17" s="536"/>
      <c r="DC17" s="536"/>
      <c r="DD17" s="541">
        <f t="shared" si="23"/>
        <v>0</v>
      </c>
      <c r="DE17" s="536"/>
      <c r="DF17" s="536"/>
      <c r="DG17" s="536"/>
      <c r="DH17" s="541">
        <f t="shared" si="24"/>
        <v>0</v>
      </c>
      <c r="DI17" s="536"/>
      <c r="DJ17" s="536"/>
      <c r="DK17" s="536"/>
      <c r="DL17" s="541">
        <f t="shared" si="25"/>
        <v>0</v>
      </c>
      <c r="DM17" s="536"/>
      <c r="DN17" s="536"/>
      <c r="DO17" s="536"/>
      <c r="DP17" s="541">
        <f>IF( SUM((DJ17*(20/100))+(DK17*(30/100))+(DL17*(50/100))) &gt;=9.3,9.5,
IF(AND( SUM((DJ17*(20/100))+(DK17*(30/100))+(DL17*(50/100))) &lt;=9.3, SUM((DJ17*(20/100))+(DK17*(30/100))+(DL17*(50/100))) &gt;=8.8),9,
IF(AND( SUM((DJ17*(20/100))+(DK17*(30/100))+(DL17*(50/100))) &lt;=8.8, SUM((DJ17*(20/100))+(DK17*(30/100))+(DL17*(50/100))) &gt;=8.3),8.5,
IF(AND( SUM((DJ17*(20/100))+(DK17*(30/100))+(DL17*(50/100))) &lt;=8.3, SUM((DJ17*(20/100))+(DK17*(30/100))+(DL17*(50/100))) &gt;=7.8),8,
IF(AND( SUM((DJ17*(20/100))+(DK17*(30/100))+(DL17*(50/100))) &lt;=7.8, SUM((DJ17*(20/100))+(DK17*(30/100))+(DL17*(50/100))) &gt;=7.3),7.5,
IF(AND( SUM((DJ17*(20/100))+(DK17*(30/100))+(DL17*(50/100))) &lt;=7.3, SUM((DJ17*(20/100))+(DK17*(30/100))+(DL17*(50/100))) &gt;=6.8),7,
IF(AND( SUM((DJ17*(20/100))+(DK17*(30/100))+(DL17*(50/100))) &lt;=6.8, SUM((DJ17*(20/100))+(DK17*(30/100))+(DL17*(50/100))) &gt;=6.3),6.5,
IF(AND( SUM((DJ17*(20/100))+(DK17*(30/100))+(DL17*(50/100))) &lt;=6.3, SUM((DJ17*(20/100))+(DK17*(30/100))+(DL17*(50/100))) &gt;=5.8),6,
IF(AND( SUM((DJ17*(20/100))+(DK17*(30/100))+(DL17*(50/100))) &lt;=5.8, SUM((DJ17*(20/100))+(DK17*(30/100))+(DL17*(50/100))) &gt;=5.3),5.5,
IF(AND( SUM((DJ17*(20/100))+(DK17*(30/100))+(DL17*(50/100))) &lt;=5.3, SUM((DJ17*(20/100))+(DK17*(30/100))+(DL17*(50/100))) &gt;=4.8),5,
IF(AND( SUM((DJ17*(20/100))+(DK17*(30/100))+(DL17*(50/100))) &lt;=4.8, SUM((DJ17*(20/100))+(DK17*(30/100))+(DL17*(50/100))) &gt;=4.3),4.5,
IF(AND( SUM((DJ17*(20/100))+(DK17*(30/100))+(DL17*(50/100))) &lt;=4.3, SUM((DJ17*(20/100))+(DK17*(30/100))+(DL17*(50/100))) &gt;=3.8),4,
IF(AND( SUM((DJ17*(20/100))+(DK17*(30/100))+(DL17*(50/100))) &lt;=3.8, SUM((DJ17*(20/100))+(DK17*(30/100))+(DL17*(50/100))) &gt;=3.5),3.5,0)))))))))))))</f>
        <v>0</v>
      </c>
      <c r="DQ17" s="541"/>
      <c r="DR17" s="541"/>
      <c r="DS17" s="541"/>
      <c r="DT17" s="541"/>
      <c r="DU17" s="541"/>
      <c r="DV17" s="541"/>
      <c r="DW17" s="541"/>
      <c r="DX17" s="541"/>
      <c r="DY17" s="541"/>
      <c r="DZ17" s="541"/>
    </row>
    <row r="18" spans="2:130" ht="15" customHeight="1" x14ac:dyDescent="0.25">
      <c r="B18" s="334">
        <v>11</v>
      </c>
      <c r="C18" s="541"/>
      <c r="D18" s="334"/>
      <c r="E18" s="334"/>
      <c r="F18" s="334"/>
      <c r="G18" s="334"/>
      <c r="H18" s="334"/>
      <c r="I18" s="334"/>
      <c r="J18" s="536"/>
      <c r="K18" s="536"/>
      <c r="L18" s="536"/>
      <c r="M18" s="536"/>
      <c r="N18" s="536"/>
      <c r="O18" s="536"/>
      <c r="P18" s="536">
        <f t="shared" si="1"/>
        <v>0</v>
      </c>
      <c r="Q18" s="536"/>
      <c r="R18" s="536"/>
      <c r="S18" s="536"/>
      <c r="T18" s="536">
        <f t="shared" si="2"/>
        <v>0</v>
      </c>
      <c r="U18" s="536"/>
      <c r="V18" s="536"/>
      <c r="W18" s="536"/>
      <c r="X18" s="536">
        <f t="shared" si="3"/>
        <v>0</v>
      </c>
      <c r="Y18" s="536"/>
      <c r="Z18" s="536"/>
      <c r="AA18" s="536"/>
      <c r="AB18" s="536">
        <f t="shared" si="4"/>
        <v>0</v>
      </c>
      <c r="AC18" s="536"/>
      <c r="AD18" s="536"/>
      <c r="AE18" s="536"/>
      <c r="AF18" s="536">
        <f t="shared" si="5"/>
        <v>0</v>
      </c>
      <c r="AG18" s="536"/>
      <c r="AH18" s="536"/>
      <c r="AI18" s="536"/>
      <c r="AJ18" s="536">
        <f t="shared" si="6"/>
        <v>0</v>
      </c>
      <c r="AK18" s="536"/>
      <c r="AL18" s="536"/>
      <c r="AM18" s="536"/>
      <c r="AN18" s="542">
        <f t="shared" si="7"/>
        <v>0</v>
      </c>
      <c r="AO18" s="536"/>
      <c r="AP18" s="536"/>
      <c r="AQ18" s="536"/>
      <c r="AR18" s="542">
        <f t="shared" si="8"/>
        <v>0</v>
      </c>
      <c r="AS18" s="536"/>
      <c r="AT18" s="536"/>
      <c r="AU18" s="536"/>
      <c r="AV18" s="542">
        <f t="shared" si="9"/>
        <v>0</v>
      </c>
      <c r="AW18" s="536"/>
      <c r="AX18" s="536"/>
      <c r="AY18" s="536"/>
      <c r="AZ18" s="542">
        <f t="shared" si="10"/>
        <v>0</v>
      </c>
      <c r="BA18" s="536"/>
      <c r="BB18" s="536"/>
      <c r="BC18" s="536"/>
      <c r="BD18" s="542">
        <f t="shared" si="11"/>
        <v>0</v>
      </c>
      <c r="BE18" s="536"/>
      <c r="BF18" s="536"/>
      <c r="BG18" s="536"/>
      <c r="BH18" s="542">
        <f t="shared" si="12"/>
        <v>0</v>
      </c>
      <c r="BI18" s="536"/>
      <c r="BJ18" s="536"/>
      <c r="BK18" s="536"/>
      <c r="BL18" s="542">
        <f t="shared" si="13"/>
        <v>0</v>
      </c>
      <c r="BM18" s="536"/>
      <c r="BN18" s="536"/>
      <c r="BO18" s="536"/>
      <c r="BP18" s="542">
        <f t="shared" si="14"/>
        <v>0</v>
      </c>
      <c r="BQ18" s="536"/>
      <c r="BR18" s="536"/>
      <c r="BS18" s="536"/>
      <c r="BT18" s="542">
        <f t="shared" si="15"/>
        <v>0</v>
      </c>
      <c r="BU18" s="536"/>
      <c r="BV18" s="536"/>
      <c r="BW18" s="536"/>
      <c r="BX18" s="542">
        <f t="shared" si="16"/>
        <v>0</v>
      </c>
      <c r="BY18" s="536"/>
      <c r="BZ18" s="536"/>
      <c r="CA18" s="536"/>
      <c r="CB18" s="542">
        <v>0</v>
      </c>
      <c r="CC18" s="536"/>
      <c r="CD18" s="536"/>
      <c r="CE18" s="536"/>
      <c r="CF18" s="541">
        <f t="shared" si="17"/>
        <v>0</v>
      </c>
      <c r="CG18" s="536"/>
      <c r="CH18" s="536"/>
      <c r="CI18" s="536"/>
      <c r="CJ18" s="541">
        <f t="shared" si="18"/>
        <v>0</v>
      </c>
      <c r="CK18" s="536"/>
      <c r="CL18" s="536"/>
      <c r="CM18" s="536"/>
      <c r="CN18" s="541">
        <f t="shared" si="19"/>
        <v>0</v>
      </c>
      <c r="CO18" s="536"/>
      <c r="CP18" s="536"/>
      <c r="CQ18" s="536"/>
      <c r="CR18" s="541">
        <f t="shared" si="20"/>
        <v>0</v>
      </c>
      <c r="CS18" s="536"/>
      <c r="CT18" s="536"/>
      <c r="CU18" s="536"/>
      <c r="CV18" s="541">
        <f t="shared" si="21"/>
        <v>0</v>
      </c>
      <c r="CW18" s="536"/>
      <c r="CX18" s="536"/>
      <c r="CY18" s="536"/>
      <c r="CZ18" s="541">
        <f t="shared" si="22"/>
        <v>0</v>
      </c>
      <c r="DA18" s="536"/>
      <c r="DB18" s="536"/>
      <c r="DC18" s="536"/>
      <c r="DD18" s="541">
        <f t="shared" si="23"/>
        <v>0</v>
      </c>
      <c r="DE18" s="536"/>
      <c r="DF18" s="536"/>
      <c r="DG18" s="536"/>
      <c r="DH18" s="541">
        <f t="shared" si="24"/>
        <v>0</v>
      </c>
      <c r="DI18" s="536"/>
      <c r="DJ18" s="536"/>
      <c r="DK18" s="536"/>
      <c r="DL18" s="541">
        <f t="shared" si="25"/>
        <v>0</v>
      </c>
      <c r="DM18" s="536"/>
      <c r="DN18" s="536"/>
      <c r="DO18" s="536"/>
      <c r="DP18" s="541">
        <f>IF( SUM((DJ18*(20/100))+(DK18*(30/100))+(DL18*(50/100))) &gt;=9.3,9.5,
IF(AND( SUM((DJ18*(20/100))+(DK18*(30/100))+(DL18*(50/100))) &lt;=9.3, SUM((DJ18*(20/100))+(DK18*(30/100))+(DL18*(50/100))) &gt;=8.8),9,
IF(AND( SUM((DJ18*(20/100))+(DK18*(30/100))+(DL18*(50/100))) &lt;=8.8, SUM((DJ18*(20/100))+(DK18*(30/100))+(DL18*(50/100))) &gt;=8.3),8.5,
IF(AND( SUM((DJ18*(20/100))+(DK18*(30/100))+(DL18*(50/100))) &lt;=8.3, SUM((DJ18*(20/100))+(DK18*(30/100))+(DL18*(50/100))) &gt;=7.8),8,
IF(AND( SUM((DJ18*(20/100))+(DK18*(30/100))+(DL18*(50/100))) &lt;=7.8, SUM((DJ18*(20/100))+(DK18*(30/100))+(DL18*(50/100))) &gt;=7.3),7.5,
IF(AND( SUM((DJ18*(20/100))+(DK18*(30/100))+(DL18*(50/100))) &lt;=7.3, SUM((DJ18*(20/100))+(DK18*(30/100))+(DL18*(50/100))) &gt;=6.8),7,
IF(AND( SUM((DJ18*(20/100))+(DK18*(30/100))+(DL18*(50/100))) &lt;=6.8, SUM((DJ18*(20/100))+(DK18*(30/100))+(DL18*(50/100))) &gt;=6.3),6.5,
IF(AND( SUM((DJ18*(20/100))+(DK18*(30/100))+(DL18*(50/100))) &lt;=6.3, SUM((DJ18*(20/100))+(DK18*(30/100))+(DL18*(50/100))) &gt;=5.8),6,
IF(AND( SUM((DJ18*(20/100))+(DK18*(30/100))+(DL18*(50/100))) &lt;=5.8, SUM((DJ18*(20/100))+(DK18*(30/100))+(DL18*(50/100))) &gt;=5.3),5.5,
IF(AND( SUM((DJ18*(20/100))+(DK18*(30/100))+(DL18*(50/100))) &lt;=5.3, SUM((DJ18*(20/100))+(DK18*(30/100))+(DL18*(50/100))) &gt;=4.8),5,
IF(AND( SUM((DJ18*(20/100))+(DK18*(30/100))+(DL18*(50/100))) &lt;=4.8, SUM((DJ18*(20/100))+(DK18*(30/100))+(DL18*(50/100))) &gt;=4.3),4.5,
IF(AND( SUM((DJ18*(20/100))+(DK18*(30/100))+(DL18*(50/100))) &lt;=4.3, SUM((DJ18*(20/100))+(DK18*(30/100))+(DL18*(50/100))) &gt;=3.8),4,
IF(AND( SUM((DJ18*(20/100))+(DK18*(30/100))+(DL18*(50/100))) &lt;=3.8, SUM((DJ18*(20/100))+(DK18*(30/100))+(DL18*(50/100))) &gt;=3.5),3.5,0)))))))))))))</f>
        <v>0</v>
      </c>
      <c r="DQ18" s="541"/>
      <c r="DR18" s="541"/>
      <c r="DS18" s="541"/>
      <c r="DT18" s="541"/>
      <c r="DU18" s="541"/>
      <c r="DV18" s="541"/>
      <c r="DW18" s="541"/>
      <c r="DX18" s="541"/>
      <c r="DY18" s="541"/>
      <c r="DZ18" s="541"/>
    </row>
    <row r="19" spans="2:130" ht="15" customHeight="1" x14ac:dyDescent="0.25">
      <c r="B19" s="334">
        <v>12</v>
      </c>
      <c r="C19" s="541"/>
      <c r="D19" s="334"/>
      <c r="E19" s="334"/>
      <c r="F19" s="334"/>
      <c r="G19" s="334"/>
      <c r="H19" s="334"/>
      <c r="I19" s="334"/>
      <c r="J19" s="536"/>
      <c r="K19" s="536"/>
      <c r="L19" s="536"/>
      <c r="M19" s="536"/>
      <c r="N19" s="536"/>
      <c r="O19" s="536"/>
      <c r="P19" s="536">
        <f t="shared" si="1"/>
        <v>0</v>
      </c>
      <c r="Q19" s="536"/>
      <c r="R19" s="536"/>
      <c r="S19" s="536"/>
      <c r="T19" s="536">
        <f t="shared" si="2"/>
        <v>0</v>
      </c>
      <c r="U19" s="536"/>
      <c r="V19" s="536"/>
      <c r="W19" s="536"/>
      <c r="X19" s="536">
        <f t="shared" si="3"/>
        <v>0</v>
      </c>
      <c r="Y19" s="536"/>
      <c r="Z19" s="536"/>
      <c r="AA19" s="536"/>
      <c r="AB19" s="536">
        <f t="shared" si="4"/>
        <v>0</v>
      </c>
      <c r="AC19" s="536"/>
      <c r="AD19" s="536"/>
      <c r="AE19" s="536"/>
      <c r="AF19" s="536">
        <f t="shared" si="5"/>
        <v>0</v>
      </c>
      <c r="AG19" s="536"/>
      <c r="AH19" s="536"/>
      <c r="AI19" s="536"/>
      <c r="AJ19" s="536">
        <f t="shared" si="6"/>
        <v>0</v>
      </c>
      <c r="AK19" s="536"/>
      <c r="AL19" s="536"/>
      <c r="AM19" s="536"/>
      <c r="AN19" s="542">
        <f t="shared" si="7"/>
        <v>0</v>
      </c>
      <c r="AO19" s="536"/>
      <c r="AP19" s="536"/>
      <c r="AQ19" s="536"/>
      <c r="AR19" s="542">
        <f t="shared" si="8"/>
        <v>0</v>
      </c>
      <c r="AS19" s="536"/>
      <c r="AT19" s="536"/>
      <c r="AU19" s="536"/>
      <c r="AV19" s="542">
        <f t="shared" si="9"/>
        <v>0</v>
      </c>
      <c r="AW19" s="536"/>
      <c r="AX19" s="536"/>
      <c r="AY19" s="536"/>
      <c r="AZ19" s="542">
        <f t="shared" si="10"/>
        <v>0</v>
      </c>
      <c r="BA19" s="536"/>
      <c r="BB19" s="536"/>
      <c r="BC19" s="536"/>
      <c r="BD19" s="542">
        <f t="shared" si="11"/>
        <v>0</v>
      </c>
      <c r="BE19" s="536"/>
      <c r="BF19" s="536"/>
      <c r="BG19" s="536"/>
      <c r="BH19" s="542">
        <f t="shared" si="12"/>
        <v>0</v>
      </c>
      <c r="BI19" s="536"/>
      <c r="BJ19" s="536"/>
      <c r="BK19" s="536"/>
      <c r="BL19" s="542">
        <f t="shared" si="13"/>
        <v>0</v>
      </c>
      <c r="BM19" s="536"/>
      <c r="BN19" s="536"/>
      <c r="BO19" s="536"/>
      <c r="BP19" s="542">
        <f t="shared" si="14"/>
        <v>0</v>
      </c>
      <c r="BQ19" s="536"/>
      <c r="BR19" s="536"/>
      <c r="BS19" s="536"/>
      <c r="BT19" s="542">
        <f t="shared" si="15"/>
        <v>0</v>
      </c>
      <c r="BU19" s="536"/>
      <c r="BV19" s="536"/>
      <c r="BW19" s="536"/>
      <c r="BX19" s="542">
        <f t="shared" si="16"/>
        <v>0</v>
      </c>
      <c r="BY19" s="536"/>
      <c r="BZ19" s="536"/>
      <c r="CA19" s="536"/>
      <c r="CB19" s="542">
        <v>0</v>
      </c>
      <c r="CC19" s="536"/>
      <c r="CD19" s="536"/>
      <c r="CE19" s="536"/>
      <c r="CF19" s="541">
        <f t="shared" si="17"/>
        <v>0</v>
      </c>
      <c r="CG19" s="536"/>
      <c r="CH19" s="536"/>
      <c r="CI19" s="536"/>
      <c r="CJ19" s="541">
        <f t="shared" si="18"/>
        <v>0</v>
      </c>
      <c r="CK19" s="536"/>
      <c r="CL19" s="536"/>
      <c r="CM19" s="536"/>
      <c r="CN19" s="541">
        <f t="shared" si="19"/>
        <v>0</v>
      </c>
      <c r="CO19" s="536"/>
      <c r="CP19" s="536"/>
      <c r="CQ19" s="536"/>
      <c r="CR19" s="541">
        <f t="shared" si="20"/>
        <v>0</v>
      </c>
      <c r="CS19" s="536"/>
      <c r="CT19" s="536"/>
      <c r="CU19" s="536"/>
      <c r="CV19" s="541">
        <f t="shared" si="21"/>
        <v>0</v>
      </c>
      <c r="CW19" s="536"/>
      <c r="CX19" s="536"/>
      <c r="CY19" s="536"/>
      <c r="CZ19" s="541">
        <f t="shared" si="22"/>
        <v>0</v>
      </c>
      <c r="DA19" s="536"/>
      <c r="DB19" s="536"/>
      <c r="DC19" s="536"/>
      <c r="DD19" s="541">
        <f t="shared" si="23"/>
        <v>0</v>
      </c>
      <c r="DE19" s="536"/>
      <c r="DF19" s="536"/>
      <c r="DG19" s="536"/>
      <c r="DH19" s="541">
        <f t="shared" si="24"/>
        <v>0</v>
      </c>
      <c r="DI19" s="536"/>
      <c r="DJ19" s="536"/>
      <c r="DK19" s="536"/>
      <c r="DL19" s="541">
        <f t="shared" si="25"/>
        <v>0</v>
      </c>
      <c r="DM19" s="536"/>
      <c r="DN19" s="536"/>
      <c r="DO19" s="536"/>
      <c r="DP19" s="541">
        <f>IF( SUM((DJ19*(20/100))+(DK19*(30/100))+(DL19*(50/100))) &gt;=9.3,9.5,
IF(AND( SUM((DJ19*(20/100))+(DK19*(30/100))+(DL19*(50/100))) &lt;=9.3, SUM((DJ19*(20/100))+(DK19*(30/100))+(DL19*(50/100))) &gt;=8.8),9,
IF(AND( SUM((DJ19*(20/100))+(DK19*(30/100))+(DL19*(50/100))) &lt;=8.8, SUM((DJ19*(20/100))+(DK19*(30/100))+(DL19*(50/100))) &gt;=8.3),8.5,
IF(AND( SUM((DJ19*(20/100))+(DK19*(30/100))+(DL19*(50/100))) &lt;=8.3, SUM((DJ19*(20/100))+(DK19*(30/100))+(DL19*(50/100))) &gt;=7.8),8,
IF(AND( SUM((DJ19*(20/100))+(DK19*(30/100))+(DL19*(50/100))) &lt;=7.8, SUM((DJ19*(20/100))+(DK19*(30/100))+(DL19*(50/100))) &gt;=7.3),7.5,
IF(AND( SUM((DJ19*(20/100))+(DK19*(30/100))+(DL19*(50/100))) &lt;=7.3, SUM((DJ19*(20/100))+(DK19*(30/100))+(DL19*(50/100))) &gt;=6.8),7,
IF(AND( SUM((DJ19*(20/100))+(DK19*(30/100))+(DL19*(50/100))) &lt;=6.8, SUM((DJ19*(20/100))+(DK19*(30/100))+(DL19*(50/100))) &gt;=6.3),6.5,
IF(AND( SUM((DJ19*(20/100))+(DK19*(30/100))+(DL19*(50/100))) &lt;=6.3, SUM((DJ19*(20/100))+(DK19*(30/100))+(DL19*(50/100))) &gt;=5.8),6,
IF(AND( SUM((DJ19*(20/100))+(DK19*(30/100))+(DL19*(50/100))) &lt;=5.8, SUM((DJ19*(20/100))+(DK19*(30/100))+(DL19*(50/100))) &gt;=5.3),5.5,
IF(AND( SUM((DJ19*(20/100))+(DK19*(30/100))+(DL19*(50/100))) &lt;=5.3, SUM((DJ19*(20/100))+(DK19*(30/100))+(DL19*(50/100))) &gt;=4.8),5,
IF(AND( SUM((DJ19*(20/100))+(DK19*(30/100))+(DL19*(50/100))) &lt;=4.8, SUM((DJ19*(20/100))+(DK19*(30/100))+(DL19*(50/100))) &gt;=4.3),4.5,
IF(AND( SUM((DJ19*(20/100))+(DK19*(30/100))+(DL19*(50/100))) &lt;=4.3, SUM((DJ19*(20/100))+(DK19*(30/100))+(DL19*(50/100))) &gt;=3.8),4,
IF(AND( SUM((DJ19*(20/100))+(DK19*(30/100))+(DL19*(50/100))) &lt;=3.8, SUM((DJ19*(20/100))+(DK19*(30/100))+(DL19*(50/100))) &gt;=3.5),3.5,0)))))))))))))</f>
        <v>0</v>
      </c>
      <c r="DQ19" s="541"/>
      <c r="DR19" s="541"/>
      <c r="DS19" s="541"/>
      <c r="DT19" s="541"/>
      <c r="DU19" s="541"/>
      <c r="DV19" s="541"/>
      <c r="DW19" s="541"/>
      <c r="DX19" s="541"/>
      <c r="DY19" s="541"/>
      <c r="DZ19" s="541"/>
    </row>
    <row r="20" spans="2:130" ht="15" customHeight="1" x14ac:dyDescent="0.25">
      <c r="B20" s="334">
        <v>13</v>
      </c>
      <c r="C20" s="541"/>
      <c r="D20" s="334"/>
      <c r="E20" s="334"/>
      <c r="F20" s="334"/>
      <c r="G20" s="334"/>
      <c r="H20" s="334"/>
      <c r="I20" s="334"/>
      <c r="J20" s="536"/>
      <c r="K20" s="536"/>
      <c r="L20" s="536"/>
      <c r="M20" s="536"/>
      <c r="N20" s="536"/>
      <c r="O20" s="536"/>
      <c r="P20" s="536">
        <f t="shared" si="1"/>
        <v>0</v>
      </c>
      <c r="Q20" s="536"/>
      <c r="R20" s="536"/>
      <c r="S20" s="536"/>
      <c r="T20" s="536">
        <f t="shared" si="2"/>
        <v>0</v>
      </c>
      <c r="U20" s="536"/>
      <c r="V20" s="536"/>
      <c r="W20" s="536"/>
      <c r="X20" s="536">
        <f t="shared" si="3"/>
        <v>0</v>
      </c>
      <c r="Y20" s="536"/>
      <c r="Z20" s="536"/>
      <c r="AA20" s="536"/>
      <c r="AB20" s="536">
        <f t="shared" si="4"/>
        <v>0</v>
      </c>
      <c r="AC20" s="536"/>
      <c r="AD20" s="536"/>
      <c r="AE20" s="536"/>
      <c r="AF20" s="536">
        <f t="shared" si="5"/>
        <v>0</v>
      </c>
      <c r="AG20" s="536"/>
      <c r="AH20" s="536"/>
      <c r="AI20" s="536"/>
      <c r="AJ20" s="536">
        <f t="shared" si="6"/>
        <v>0</v>
      </c>
      <c r="AK20" s="536"/>
      <c r="AL20" s="536"/>
      <c r="AM20" s="536"/>
      <c r="AN20" s="542">
        <f t="shared" si="7"/>
        <v>0</v>
      </c>
      <c r="AO20" s="536"/>
      <c r="AP20" s="536"/>
      <c r="AQ20" s="536"/>
      <c r="AR20" s="542">
        <f t="shared" si="8"/>
        <v>0</v>
      </c>
      <c r="AS20" s="536"/>
      <c r="AT20" s="536"/>
      <c r="AU20" s="536"/>
      <c r="AV20" s="542">
        <f t="shared" si="9"/>
        <v>0</v>
      </c>
      <c r="AW20" s="536"/>
      <c r="AX20" s="536"/>
      <c r="AY20" s="536"/>
      <c r="AZ20" s="542">
        <f t="shared" si="10"/>
        <v>0</v>
      </c>
      <c r="BA20" s="536"/>
      <c r="BB20" s="536"/>
      <c r="BC20" s="536"/>
      <c r="BD20" s="542">
        <f t="shared" si="11"/>
        <v>0</v>
      </c>
      <c r="BE20" s="536"/>
      <c r="BF20" s="536"/>
      <c r="BG20" s="536"/>
      <c r="BH20" s="542">
        <f t="shared" si="12"/>
        <v>0</v>
      </c>
      <c r="BI20" s="536"/>
      <c r="BJ20" s="536"/>
      <c r="BK20" s="536"/>
      <c r="BL20" s="542">
        <f t="shared" si="13"/>
        <v>0</v>
      </c>
      <c r="BM20" s="536"/>
      <c r="BN20" s="536"/>
      <c r="BO20" s="536"/>
      <c r="BP20" s="542">
        <f t="shared" si="14"/>
        <v>0</v>
      </c>
      <c r="BQ20" s="536"/>
      <c r="BR20" s="536"/>
      <c r="BS20" s="536"/>
      <c r="BT20" s="542">
        <f t="shared" si="15"/>
        <v>0</v>
      </c>
      <c r="BU20" s="536"/>
      <c r="BV20" s="536"/>
      <c r="BW20" s="536"/>
      <c r="BX20" s="542">
        <f t="shared" si="16"/>
        <v>0</v>
      </c>
      <c r="BY20" s="536"/>
      <c r="BZ20" s="536"/>
      <c r="CA20" s="536"/>
      <c r="CB20" s="542">
        <v>0</v>
      </c>
      <c r="CC20" s="536"/>
      <c r="CD20" s="536"/>
      <c r="CE20" s="536"/>
      <c r="CF20" s="541">
        <f t="shared" si="17"/>
        <v>0</v>
      </c>
      <c r="CG20" s="536"/>
      <c r="CH20" s="536"/>
      <c r="CI20" s="536"/>
      <c r="CJ20" s="541">
        <f t="shared" si="18"/>
        <v>0</v>
      </c>
      <c r="CK20" s="536"/>
      <c r="CL20" s="536"/>
      <c r="CM20" s="536"/>
      <c r="CN20" s="541">
        <f t="shared" si="19"/>
        <v>0</v>
      </c>
      <c r="CO20" s="536"/>
      <c r="CP20" s="536"/>
      <c r="CQ20" s="536"/>
      <c r="CR20" s="541">
        <f t="shared" si="20"/>
        <v>0</v>
      </c>
      <c r="CS20" s="536"/>
      <c r="CT20" s="536"/>
      <c r="CU20" s="536"/>
      <c r="CV20" s="541">
        <f t="shared" si="21"/>
        <v>0</v>
      </c>
      <c r="CW20" s="536"/>
      <c r="CX20" s="536"/>
      <c r="CY20" s="536"/>
      <c r="CZ20" s="541">
        <f t="shared" si="22"/>
        <v>0</v>
      </c>
      <c r="DA20" s="536"/>
      <c r="DB20" s="536"/>
      <c r="DC20" s="536"/>
      <c r="DD20" s="541">
        <f t="shared" si="23"/>
        <v>0</v>
      </c>
      <c r="DE20" s="536"/>
      <c r="DF20" s="536"/>
      <c r="DG20" s="536"/>
      <c r="DH20" s="541">
        <f t="shared" si="24"/>
        <v>0</v>
      </c>
      <c r="DI20" s="536"/>
      <c r="DJ20" s="536"/>
      <c r="DK20" s="536"/>
      <c r="DL20" s="541">
        <f t="shared" si="25"/>
        <v>0</v>
      </c>
      <c r="DM20" s="536"/>
      <c r="DN20" s="536"/>
      <c r="DO20" s="536"/>
      <c r="DP20" s="541">
        <f>IF( SUM((DJ20*(20/100))+(DK20*(30/100))+(DL20*(50/100))) &gt;=9.3,9.5,
IF(AND( SUM((DJ20*(20/100))+(DK20*(30/100))+(DL20*(50/100))) &lt;=9.3, SUM((DJ20*(20/100))+(DK20*(30/100))+(DL20*(50/100))) &gt;=8.8),9,
IF(AND( SUM((DJ20*(20/100))+(DK20*(30/100))+(DL20*(50/100))) &lt;=8.8, SUM((DJ20*(20/100))+(DK20*(30/100))+(DL20*(50/100))) &gt;=8.3),8.5,
IF(AND( SUM((DJ20*(20/100))+(DK20*(30/100))+(DL20*(50/100))) &lt;=8.3, SUM((DJ20*(20/100))+(DK20*(30/100))+(DL20*(50/100))) &gt;=7.8),8,
IF(AND( SUM((DJ20*(20/100))+(DK20*(30/100))+(DL20*(50/100))) &lt;=7.8, SUM((DJ20*(20/100))+(DK20*(30/100))+(DL20*(50/100))) &gt;=7.3),7.5,
IF(AND( SUM((DJ20*(20/100))+(DK20*(30/100))+(DL20*(50/100))) &lt;=7.3, SUM((DJ20*(20/100))+(DK20*(30/100))+(DL20*(50/100))) &gt;=6.8),7,
IF(AND( SUM((DJ20*(20/100))+(DK20*(30/100))+(DL20*(50/100))) &lt;=6.8, SUM((DJ20*(20/100))+(DK20*(30/100))+(DL20*(50/100))) &gt;=6.3),6.5,
IF(AND( SUM((DJ20*(20/100))+(DK20*(30/100))+(DL20*(50/100))) &lt;=6.3, SUM((DJ20*(20/100))+(DK20*(30/100))+(DL20*(50/100))) &gt;=5.8),6,
IF(AND( SUM((DJ20*(20/100))+(DK20*(30/100))+(DL20*(50/100))) &lt;=5.8, SUM((DJ20*(20/100))+(DK20*(30/100))+(DL20*(50/100))) &gt;=5.3),5.5,
IF(AND( SUM((DJ20*(20/100))+(DK20*(30/100))+(DL20*(50/100))) &lt;=5.3, SUM((DJ20*(20/100))+(DK20*(30/100))+(DL20*(50/100))) &gt;=4.8),5,
IF(AND( SUM((DJ20*(20/100))+(DK20*(30/100))+(DL20*(50/100))) &lt;=4.8, SUM((DJ20*(20/100))+(DK20*(30/100))+(DL20*(50/100))) &gt;=4.3),4.5,
IF(AND( SUM((DJ20*(20/100))+(DK20*(30/100))+(DL20*(50/100))) &lt;=4.3, SUM((DJ20*(20/100))+(DK20*(30/100))+(DL20*(50/100))) &gt;=3.8),4,
IF(AND( SUM((DJ20*(20/100))+(DK20*(30/100))+(DL20*(50/100))) &lt;=3.8, SUM((DJ20*(20/100))+(DK20*(30/100))+(DL20*(50/100))) &gt;=3.5),3.5,0)))))))))))))</f>
        <v>0</v>
      </c>
      <c r="DQ20" s="541"/>
      <c r="DR20" s="541"/>
      <c r="DS20" s="541"/>
      <c r="DT20" s="541"/>
      <c r="DU20" s="541"/>
      <c r="DV20" s="541"/>
      <c r="DW20" s="541"/>
      <c r="DX20" s="541"/>
      <c r="DY20" s="541"/>
      <c r="DZ20" s="541"/>
    </row>
    <row r="21" spans="2:130" ht="15" customHeight="1" x14ac:dyDescent="0.25">
      <c r="B21" s="334">
        <v>14</v>
      </c>
      <c r="C21" s="541"/>
      <c r="D21" s="334"/>
      <c r="E21" s="334"/>
      <c r="F21" s="334"/>
      <c r="G21" s="334"/>
      <c r="H21" s="334"/>
      <c r="I21" s="334"/>
      <c r="J21" s="536"/>
      <c r="K21" s="536"/>
      <c r="L21" s="536"/>
      <c r="M21" s="536"/>
      <c r="N21" s="536"/>
      <c r="O21" s="536"/>
      <c r="P21" s="536">
        <f t="shared" si="1"/>
        <v>0</v>
      </c>
      <c r="Q21" s="536"/>
      <c r="R21" s="536"/>
      <c r="S21" s="536"/>
      <c r="T21" s="536">
        <f t="shared" si="2"/>
        <v>0</v>
      </c>
      <c r="U21" s="536"/>
      <c r="V21" s="536"/>
      <c r="W21" s="536"/>
      <c r="X21" s="536">
        <f t="shared" si="3"/>
        <v>0</v>
      </c>
      <c r="Y21" s="536"/>
      <c r="Z21" s="536"/>
      <c r="AA21" s="536"/>
      <c r="AB21" s="536">
        <f t="shared" si="4"/>
        <v>0</v>
      </c>
      <c r="AC21" s="536"/>
      <c r="AD21" s="536"/>
      <c r="AE21" s="536"/>
      <c r="AF21" s="536">
        <f t="shared" si="5"/>
        <v>0</v>
      </c>
      <c r="AG21" s="536"/>
      <c r="AH21" s="536"/>
      <c r="AI21" s="536"/>
      <c r="AJ21" s="536">
        <f t="shared" si="6"/>
        <v>0</v>
      </c>
      <c r="AK21" s="536"/>
      <c r="AL21" s="536"/>
      <c r="AM21" s="536"/>
      <c r="AN21" s="542">
        <f t="shared" si="7"/>
        <v>0</v>
      </c>
      <c r="AO21" s="536"/>
      <c r="AP21" s="536"/>
      <c r="AQ21" s="536"/>
      <c r="AR21" s="542">
        <f t="shared" si="8"/>
        <v>0</v>
      </c>
      <c r="AS21" s="536"/>
      <c r="AT21" s="536"/>
      <c r="AU21" s="536"/>
      <c r="AV21" s="542">
        <f t="shared" si="9"/>
        <v>0</v>
      </c>
      <c r="AW21" s="536"/>
      <c r="AX21" s="536"/>
      <c r="AY21" s="536"/>
      <c r="AZ21" s="542">
        <f t="shared" si="10"/>
        <v>0</v>
      </c>
      <c r="BA21" s="536"/>
      <c r="BB21" s="536"/>
      <c r="BC21" s="536"/>
      <c r="BD21" s="542">
        <f t="shared" si="11"/>
        <v>0</v>
      </c>
      <c r="BE21" s="536"/>
      <c r="BF21" s="536"/>
      <c r="BG21" s="536"/>
      <c r="BH21" s="542">
        <f t="shared" si="12"/>
        <v>0</v>
      </c>
      <c r="BI21" s="536"/>
      <c r="BJ21" s="536"/>
      <c r="BK21" s="536"/>
      <c r="BL21" s="542">
        <f t="shared" si="13"/>
        <v>0</v>
      </c>
      <c r="BM21" s="536"/>
      <c r="BN21" s="536"/>
      <c r="BO21" s="536"/>
      <c r="BP21" s="542">
        <f t="shared" si="14"/>
        <v>0</v>
      </c>
      <c r="BQ21" s="536"/>
      <c r="BR21" s="536"/>
      <c r="BS21" s="536"/>
      <c r="BT21" s="542">
        <f t="shared" si="15"/>
        <v>0</v>
      </c>
      <c r="BU21" s="536"/>
      <c r="BV21" s="536"/>
      <c r="BW21" s="536"/>
      <c r="BX21" s="542">
        <f t="shared" si="16"/>
        <v>0</v>
      </c>
      <c r="BY21" s="536"/>
      <c r="BZ21" s="536"/>
      <c r="CA21" s="536"/>
      <c r="CB21" s="542">
        <v>0</v>
      </c>
      <c r="CC21" s="536"/>
      <c r="CD21" s="536"/>
      <c r="CE21" s="536"/>
      <c r="CF21" s="541">
        <f t="shared" si="17"/>
        <v>0</v>
      </c>
      <c r="CG21" s="536"/>
      <c r="CH21" s="536"/>
      <c r="CI21" s="536"/>
      <c r="CJ21" s="541">
        <f t="shared" si="18"/>
        <v>0</v>
      </c>
      <c r="CK21" s="536"/>
      <c r="CL21" s="536"/>
      <c r="CM21" s="536"/>
      <c r="CN21" s="541">
        <f t="shared" si="19"/>
        <v>0</v>
      </c>
      <c r="CO21" s="536"/>
      <c r="CP21" s="536"/>
      <c r="CQ21" s="536"/>
      <c r="CR21" s="541">
        <f t="shared" si="20"/>
        <v>0</v>
      </c>
      <c r="CS21" s="536"/>
      <c r="CT21" s="536"/>
      <c r="CU21" s="536"/>
      <c r="CV21" s="541">
        <f t="shared" si="21"/>
        <v>0</v>
      </c>
      <c r="CW21" s="536"/>
      <c r="CX21" s="536"/>
      <c r="CY21" s="536"/>
      <c r="CZ21" s="541">
        <f t="shared" si="22"/>
        <v>0</v>
      </c>
      <c r="DA21" s="536"/>
      <c r="DB21" s="536"/>
      <c r="DC21" s="536"/>
      <c r="DD21" s="541">
        <f t="shared" si="23"/>
        <v>0</v>
      </c>
      <c r="DE21" s="536"/>
      <c r="DF21" s="536"/>
      <c r="DG21" s="536"/>
      <c r="DH21" s="541">
        <f t="shared" si="24"/>
        <v>0</v>
      </c>
      <c r="DI21" s="536"/>
      <c r="DJ21" s="536"/>
      <c r="DK21" s="536"/>
      <c r="DL21" s="541">
        <f t="shared" si="25"/>
        <v>0</v>
      </c>
      <c r="DM21" s="536"/>
      <c r="DN21" s="536"/>
      <c r="DO21" s="536"/>
      <c r="DP21" s="541">
        <f>IF( SUM((DJ21*(20/100))+(DK21*(30/100))+(DL21*(50/100))) &gt;=9.3,9.5,
IF(AND( SUM((DJ21*(20/100))+(DK21*(30/100))+(DL21*(50/100))) &lt;=9.3, SUM((DJ21*(20/100))+(DK21*(30/100))+(DL21*(50/100))) &gt;=8.8),9,
IF(AND( SUM((DJ21*(20/100))+(DK21*(30/100))+(DL21*(50/100))) &lt;=8.8, SUM((DJ21*(20/100))+(DK21*(30/100))+(DL21*(50/100))) &gt;=8.3),8.5,
IF(AND( SUM((DJ21*(20/100))+(DK21*(30/100))+(DL21*(50/100))) &lt;=8.3, SUM((DJ21*(20/100))+(DK21*(30/100))+(DL21*(50/100))) &gt;=7.8),8,
IF(AND( SUM((DJ21*(20/100))+(DK21*(30/100))+(DL21*(50/100))) &lt;=7.8, SUM((DJ21*(20/100))+(DK21*(30/100))+(DL21*(50/100))) &gt;=7.3),7.5,
IF(AND( SUM((DJ21*(20/100))+(DK21*(30/100))+(DL21*(50/100))) &lt;=7.3, SUM((DJ21*(20/100))+(DK21*(30/100))+(DL21*(50/100))) &gt;=6.8),7,
IF(AND( SUM((DJ21*(20/100))+(DK21*(30/100))+(DL21*(50/100))) &lt;=6.8, SUM((DJ21*(20/100))+(DK21*(30/100))+(DL21*(50/100))) &gt;=6.3),6.5,
IF(AND( SUM((DJ21*(20/100))+(DK21*(30/100))+(DL21*(50/100))) &lt;=6.3, SUM((DJ21*(20/100))+(DK21*(30/100))+(DL21*(50/100))) &gt;=5.8),6,
IF(AND( SUM((DJ21*(20/100))+(DK21*(30/100))+(DL21*(50/100))) &lt;=5.8, SUM((DJ21*(20/100))+(DK21*(30/100))+(DL21*(50/100))) &gt;=5.3),5.5,
IF(AND( SUM((DJ21*(20/100))+(DK21*(30/100))+(DL21*(50/100))) &lt;=5.3, SUM((DJ21*(20/100))+(DK21*(30/100))+(DL21*(50/100))) &gt;=4.8),5,
IF(AND( SUM((DJ21*(20/100))+(DK21*(30/100))+(DL21*(50/100))) &lt;=4.8, SUM((DJ21*(20/100))+(DK21*(30/100))+(DL21*(50/100))) &gt;=4.3),4.5,
IF(AND( SUM((DJ21*(20/100))+(DK21*(30/100))+(DL21*(50/100))) &lt;=4.3, SUM((DJ21*(20/100))+(DK21*(30/100))+(DL21*(50/100))) &gt;=3.8),4,
IF(AND( SUM((DJ21*(20/100))+(DK21*(30/100))+(DL21*(50/100))) &lt;=3.8, SUM((DJ21*(20/100))+(DK21*(30/100))+(DL21*(50/100))) &gt;=3.5),3.5,0)))))))))))))</f>
        <v>0</v>
      </c>
      <c r="DQ21" s="541"/>
      <c r="DR21" s="541"/>
      <c r="DS21" s="541"/>
      <c r="DT21" s="541"/>
      <c r="DU21" s="541"/>
      <c r="DV21" s="541"/>
      <c r="DW21" s="541"/>
      <c r="DX21" s="541"/>
      <c r="DY21" s="541"/>
      <c r="DZ21" s="541"/>
    </row>
    <row r="22" spans="2:130" ht="15" customHeight="1" x14ac:dyDescent="0.25">
      <c r="B22" s="334">
        <v>15</v>
      </c>
      <c r="C22" s="541"/>
      <c r="D22" s="334"/>
      <c r="E22" s="334"/>
      <c r="F22" s="334"/>
      <c r="G22" s="334"/>
      <c r="H22" s="334"/>
      <c r="I22" s="334"/>
      <c r="J22" s="536"/>
      <c r="K22" s="536"/>
      <c r="L22" s="536"/>
      <c r="M22" s="536"/>
      <c r="N22" s="536"/>
      <c r="O22" s="536"/>
      <c r="P22" s="536">
        <f t="shared" si="1"/>
        <v>0</v>
      </c>
      <c r="Q22" s="536"/>
      <c r="R22" s="536"/>
      <c r="S22" s="536"/>
      <c r="T22" s="536">
        <f t="shared" si="2"/>
        <v>0</v>
      </c>
      <c r="U22" s="536"/>
      <c r="V22" s="536"/>
      <c r="W22" s="536"/>
      <c r="X22" s="536">
        <f t="shared" si="3"/>
        <v>0</v>
      </c>
      <c r="Y22" s="536"/>
      <c r="Z22" s="536"/>
      <c r="AA22" s="536"/>
      <c r="AB22" s="536">
        <f t="shared" si="4"/>
        <v>0</v>
      </c>
      <c r="AC22" s="536"/>
      <c r="AD22" s="536"/>
      <c r="AE22" s="536"/>
      <c r="AF22" s="536">
        <f t="shared" si="5"/>
        <v>0</v>
      </c>
      <c r="AG22" s="536"/>
      <c r="AH22" s="536"/>
      <c r="AI22" s="536"/>
      <c r="AJ22" s="536">
        <f t="shared" si="6"/>
        <v>0</v>
      </c>
      <c r="AK22" s="536"/>
      <c r="AL22" s="536"/>
      <c r="AM22" s="536"/>
      <c r="AN22" s="542">
        <f t="shared" si="7"/>
        <v>0</v>
      </c>
      <c r="AO22" s="536"/>
      <c r="AP22" s="536"/>
      <c r="AQ22" s="536"/>
      <c r="AR22" s="542">
        <f t="shared" si="8"/>
        <v>0</v>
      </c>
      <c r="AS22" s="536"/>
      <c r="AT22" s="536"/>
      <c r="AU22" s="536"/>
      <c r="AV22" s="542">
        <f t="shared" si="9"/>
        <v>0</v>
      </c>
      <c r="AW22" s="536"/>
      <c r="AX22" s="536"/>
      <c r="AY22" s="536"/>
      <c r="AZ22" s="542">
        <f t="shared" si="10"/>
        <v>0</v>
      </c>
      <c r="BA22" s="536"/>
      <c r="BB22" s="536"/>
      <c r="BC22" s="536"/>
      <c r="BD22" s="542">
        <f t="shared" si="11"/>
        <v>0</v>
      </c>
      <c r="BE22" s="536"/>
      <c r="BF22" s="536"/>
      <c r="BG22" s="536"/>
      <c r="BH22" s="542">
        <f t="shared" si="12"/>
        <v>0</v>
      </c>
      <c r="BI22" s="536"/>
      <c r="BJ22" s="536"/>
      <c r="BK22" s="536"/>
      <c r="BL22" s="542">
        <f t="shared" si="13"/>
        <v>0</v>
      </c>
      <c r="BM22" s="536"/>
      <c r="BN22" s="536"/>
      <c r="BO22" s="536"/>
      <c r="BP22" s="542">
        <f t="shared" si="14"/>
        <v>0</v>
      </c>
      <c r="BQ22" s="536"/>
      <c r="BR22" s="536"/>
      <c r="BS22" s="536"/>
      <c r="BT22" s="542">
        <f t="shared" si="15"/>
        <v>0</v>
      </c>
      <c r="BU22" s="536"/>
      <c r="BV22" s="536"/>
      <c r="BW22" s="536"/>
      <c r="BX22" s="542">
        <f t="shared" si="16"/>
        <v>0</v>
      </c>
      <c r="BY22" s="536"/>
      <c r="BZ22" s="536"/>
      <c r="CA22" s="536"/>
      <c r="CB22" s="542">
        <v>0</v>
      </c>
      <c r="CC22" s="536"/>
      <c r="CD22" s="536"/>
      <c r="CE22" s="536"/>
      <c r="CF22" s="541">
        <f t="shared" si="17"/>
        <v>0</v>
      </c>
      <c r="CG22" s="536"/>
      <c r="CH22" s="536"/>
      <c r="CI22" s="536"/>
      <c r="CJ22" s="541">
        <f t="shared" si="18"/>
        <v>0</v>
      </c>
      <c r="CK22" s="536"/>
      <c r="CL22" s="536"/>
      <c r="CM22" s="536"/>
      <c r="CN22" s="541">
        <f t="shared" si="19"/>
        <v>0</v>
      </c>
      <c r="CO22" s="536"/>
      <c r="CP22" s="536"/>
      <c r="CQ22" s="536"/>
      <c r="CR22" s="541">
        <f t="shared" si="20"/>
        <v>0</v>
      </c>
      <c r="CS22" s="536"/>
      <c r="CT22" s="536"/>
      <c r="CU22" s="536"/>
      <c r="CV22" s="541">
        <f t="shared" si="21"/>
        <v>0</v>
      </c>
      <c r="CW22" s="536"/>
      <c r="CX22" s="536"/>
      <c r="CY22" s="536"/>
      <c r="CZ22" s="541">
        <f t="shared" si="22"/>
        <v>0</v>
      </c>
      <c r="DA22" s="536"/>
      <c r="DB22" s="536"/>
      <c r="DC22" s="536"/>
      <c r="DD22" s="541">
        <f t="shared" si="23"/>
        <v>0</v>
      </c>
      <c r="DE22" s="536"/>
      <c r="DF22" s="536"/>
      <c r="DG22" s="536"/>
      <c r="DH22" s="541">
        <f t="shared" si="24"/>
        <v>0</v>
      </c>
      <c r="DI22" s="536"/>
      <c r="DJ22" s="536"/>
      <c r="DK22" s="536"/>
      <c r="DL22" s="541">
        <f t="shared" si="25"/>
        <v>0</v>
      </c>
      <c r="DM22" s="536"/>
      <c r="DN22" s="536"/>
      <c r="DO22" s="536"/>
      <c r="DP22" s="541">
        <f>IF( SUM((DJ22*(20/100))+(DK22*(30/100))+(DL22*(50/100))) &gt;=9.3,9.5,
IF(AND( SUM((DJ22*(20/100))+(DK22*(30/100))+(DL22*(50/100))) &lt;=9.3, SUM((DJ22*(20/100))+(DK22*(30/100))+(DL22*(50/100))) &gt;=8.8),9,
IF(AND( SUM((DJ22*(20/100))+(DK22*(30/100))+(DL22*(50/100))) &lt;=8.8, SUM((DJ22*(20/100))+(DK22*(30/100))+(DL22*(50/100))) &gt;=8.3),8.5,
IF(AND( SUM((DJ22*(20/100))+(DK22*(30/100))+(DL22*(50/100))) &lt;=8.3, SUM((DJ22*(20/100))+(DK22*(30/100))+(DL22*(50/100))) &gt;=7.8),8,
IF(AND( SUM((DJ22*(20/100))+(DK22*(30/100))+(DL22*(50/100))) &lt;=7.8, SUM((DJ22*(20/100))+(DK22*(30/100))+(DL22*(50/100))) &gt;=7.3),7.5,
IF(AND( SUM((DJ22*(20/100))+(DK22*(30/100))+(DL22*(50/100))) &lt;=7.3, SUM((DJ22*(20/100))+(DK22*(30/100))+(DL22*(50/100))) &gt;=6.8),7,
IF(AND( SUM((DJ22*(20/100))+(DK22*(30/100))+(DL22*(50/100))) &lt;=6.8, SUM((DJ22*(20/100))+(DK22*(30/100))+(DL22*(50/100))) &gt;=6.3),6.5,
IF(AND( SUM((DJ22*(20/100))+(DK22*(30/100))+(DL22*(50/100))) &lt;=6.3, SUM((DJ22*(20/100))+(DK22*(30/100))+(DL22*(50/100))) &gt;=5.8),6,
IF(AND( SUM((DJ22*(20/100))+(DK22*(30/100))+(DL22*(50/100))) &lt;=5.8, SUM((DJ22*(20/100))+(DK22*(30/100))+(DL22*(50/100))) &gt;=5.3),5.5,
IF(AND( SUM((DJ22*(20/100))+(DK22*(30/100))+(DL22*(50/100))) &lt;=5.3, SUM((DJ22*(20/100))+(DK22*(30/100))+(DL22*(50/100))) &gt;=4.8),5,
IF(AND( SUM((DJ22*(20/100))+(DK22*(30/100))+(DL22*(50/100))) &lt;=4.8, SUM((DJ22*(20/100))+(DK22*(30/100))+(DL22*(50/100))) &gt;=4.3),4.5,
IF(AND( SUM((DJ22*(20/100))+(DK22*(30/100))+(DL22*(50/100))) &lt;=4.3, SUM((DJ22*(20/100))+(DK22*(30/100))+(DL22*(50/100))) &gt;=3.8),4,
IF(AND( SUM((DJ22*(20/100))+(DK22*(30/100))+(DL22*(50/100))) &lt;=3.8, SUM((DJ22*(20/100))+(DK22*(30/100))+(DL22*(50/100))) &gt;=3.5),3.5,0)))))))))))))</f>
        <v>0</v>
      </c>
      <c r="DQ22" s="541"/>
      <c r="DR22" s="541"/>
      <c r="DS22" s="541"/>
      <c r="DT22" s="541"/>
      <c r="DU22" s="541"/>
      <c r="DV22" s="541"/>
      <c r="DW22" s="541"/>
      <c r="DX22" s="541"/>
      <c r="DY22" s="541"/>
      <c r="DZ22" s="541"/>
    </row>
    <row r="23" spans="2:130" ht="15" customHeight="1" x14ac:dyDescent="0.25">
      <c r="B23" s="334">
        <v>16</v>
      </c>
      <c r="C23" s="541"/>
      <c r="D23" s="334"/>
      <c r="E23" s="334"/>
      <c r="F23" s="334"/>
      <c r="G23" s="334"/>
      <c r="H23" s="334"/>
      <c r="I23" s="334"/>
      <c r="J23" s="536"/>
      <c r="K23" s="536"/>
      <c r="L23" s="536"/>
      <c r="M23" s="536"/>
      <c r="N23" s="536"/>
      <c r="O23" s="536"/>
      <c r="P23" s="536">
        <f t="shared" si="1"/>
        <v>0</v>
      </c>
      <c r="Q23" s="536"/>
      <c r="R23" s="536"/>
      <c r="S23" s="536"/>
      <c r="T23" s="536">
        <f t="shared" si="2"/>
        <v>0</v>
      </c>
      <c r="U23" s="536"/>
      <c r="V23" s="536"/>
      <c r="W23" s="536"/>
      <c r="X23" s="536">
        <f t="shared" si="3"/>
        <v>0</v>
      </c>
      <c r="Y23" s="536"/>
      <c r="Z23" s="536"/>
      <c r="AA23" s="536"/>
      <c r="AB23" s="536">
        <f t="shared" si="4"/>
        <v>0</v>
      </c>
      <c r="AC23" s="536"/>
      <c r="AD23" s="536"/>
      <c r="AE23" s="536"/>
      <c r="AF23" s="536">
        <f t="shared" si="5"/>
        <v>0</v>
      </c>
      <c r="AG23" s="536"/>
      <c r="AH23" s="536"/>
      <c r="AI23" s="536"/>
      <c r="AJ23" s="536">
        <f t="shared" si="6"/>
        <v>0</v>
      </c>
      <c r="AK23" s="536"/>
      <c r="AL23" s="536"/>
      <c r="AM23" s="536"/>
      <c r="AN23" s="542">
        <f t="shared" si="7"/>
        <v>0</v>
      </c>
      <c r="AO23" s="536"/>
      <c r="AP23" s="536"/>
      <c r="AQ23" s="536"/>
      <c r="AR23" s="542">
        <f t="shared" si="8"/>
        <v>0</v>
      </c>
      <c r="AS23" s="536"/>
      <c r="AT23" s="536"/>
      <c r="AU23" s="536"/>
      <c r="AV23" s="542">
        <f t="shared" si="9"/>
        <v>0</v>
      </c>
      <c r="AW23" s="536"/>
      <c r="AX23" s="536"/>
      <c r="AY23" s="536"/>
      <c r="AZ23" s="542">
        <f t="shared" si="10"/>
        <v>0</v>
      </c>
      <c r="BA23" s="536"/>
      <c r="BB23" s="536"/>
      <c r="BC23" s="536"/>
      <c r="BD23" s="542">
        <f t="shared" si="11"/>
        <v>0</v>
      </c>
      <c r="BE23" s="536"/>
      <c r="BF23" s="536"/>
      <c r="BG23" s="536"/>
      <c r="BH23" s="542">
        <f t="shared" si="12"/>
        <v>0</v>
      </c>
      <c r="BI23" s="536"/>
      <c r="BJ23" s="536"/>
      <c r="BK23" s="536"/>
      <c r="BL23" s="542">
        <f t="shared" si="13"/>
        <v>0</v>
      </c>
      <c r="BM23" s="536"/>
      <c r="BN23" s="536"/>
      <c r="BO23" s="536"/>
      <c r="BP23" s="542">
        <f t="shared" si="14"/>
        <v>0</v>
      </c>
      <c r="BQ23" s="536"/>
      <c r="BR23" s="536"/>
      <c r="BS23" s="536"/>
      <c r="BT23" s="542">
        <f t="shared" si="15"/>
        <v>0</v>
      </c>
      <c r="BU23" s="536"/>
      <c r="BV23" s="536"/>
      <c r="BW23" s="536"/>
      <c r="BX23" s="542">
        <f t="shared" si="16"/>
        <v>0</v>
      </c>
      <c r="BY23" s="536"/>
      <c r="BZ23" s="536"/>
      <c r="CA23" s="536"/>
      <c r="CB23" s="542">
        <v>0</v>
      </c>
      <c r="CC23" s="536"/>
      <c r="CD23" s="536"/>
      <c r="CE23" s="536"/>
      <c r="CF23" s="541">
        <f t="shared" si="17"/>
        <v>0</v>
      </c>
      <c r="CG23" s="536"/>
      <c r="CH23" s="536"/>
      <c r="CI23" s="536"/>
      <c r="CJ23" s="541">
        <f t="shared" si="18"/>
        <v>0</v>
      </c>
      <c r="CK23" s="536"/>
      <c r="CL23" s="536"/>
      <c r="CM23" s="536"/>
      <c r="CN23" s="541">
        <f t="shared" si="19"/>
        <v>0</v>
      </c>
      <c r="CO23" s="536"/>
      <c r="CP23" s="536"/>
      <c r="CQ23" s="536"/>
      <c r="CR23" s="541">
        <f t="shared" si="20"/>
        <v>0</v>
      </c>
      <c r="CS23" s="536"/>
      <c r="CT23" s="536"/>
      <c r="CU23" s="536"/>
      <c r="CV23" s="541">
        <f t="shared" si="21"/>
        <v>0</v>
      </c>
      <c r="CW23" s="536"/>
      <c r="CX23" s="536"/>
      <c r="CY23" s="536"/>
      <c r="CZ23" s="541">
        <f t="shared" si="22"/>
        <v>0</v>
      </c>
      <c r="DA23" s="536"/>
      <c r="DB23" s="536"/>
      <c r="DC23" s="536"/>
      <c r="DD23" s="541">
        <f t="shared" si="23"/>
        <v>0</v>
      </c>
      <c r="DE23" s="536"/>
      <c r="DF23" s="536"/>
      <c r="DG23" s="536"/>
      <c r="DH23" s="541">
        <f t="shared" si="24"/>
        <v>0</v>
      </c>
      <c r="DI23" s="536"/>
      <c r="DJ23" s="536"/>
      <c r="DK23" s="536"/>
      <c r="DL23" s="541">
        <f t="shared" si="25"/>
        <v>0</v>
      </c>
      <c r="DM23" s="536"/>
      <c r="DN23" s="536"/>
      <c r="DO23" s="536"/>
      <c r="DP23" s="541">
        <f>IF( SUM((DJ23*(20/100))+(DK23*(30/100))+(DL23*(50/100))) &gt;=9.3,9.5,
IF(AND( SUM((DJ23*(20/100))+(DK23*(30/100))+(DL23*(50/100))) &lt;=9.3, SUM((DJ23*(20/100))+(DK23*(30/100))+(DL23*(50/100))) &gt;=8.8),9,
IF(AND( SUM((DJ23*(20/100))+(DK23*(30/100))+(DL23*(50/100))) &lt;=8.8, SUM((DJ23*(20/100))+(DK23*(30/100))+(DL23*(50/100))) &gt;=8.3),8.5,
IF(AND( SUM((DJ23*(20/100))+(DK23*(30/100))+(DL23*(50/100))) &lt;=8.3, SUM((DJ23*(20/100))+(DK23*(30/100))+(DL23*(50/100))) &gt;=7.8),8,
IF(AND( SUM((DJ23*(20/100))+(DK23*(30/100))+(DL23*(50/100))) &lt;=7.8, SUM((DJ23*(20/100))+(DK23*(30/100))+(DL23*(50/100))) &gt;=7.3),7.5,
IF(AND( SUM((DJ23*(20/100))+(DK23*(30/100))+(DL23*(50/100))) &lt;=7.3, SUM((DJ23*(20/100))+(DK23*(30/100))+(DL23*(50/100))) &gt;=6.8),7,
IF(AND( SUM((DJ23*(20/100))+(DK23*(30/100))+(DL23*(50/100))) &lt;=6.8, SUM((DJ23*(20/100))+(DK23*(30/100))+(DL23*(50/100))) &gt;=6.3),6.5,
IF(AND( SUM((DJ23*(20/100))+(DK23*(30/100))+(DL23*(50/100))) &lt;=6.3, SUM((DJ23*(20/100))+(DK23*(30/100))+(DL23*(50/100))) &gt;=5.8),6,
IF(AND( SUM((DJ23*(20/100))+(DK23*(30/100))+(DL23*(50/100))) &lt;=5.8, SUM((DJ23*(20/100))+(DK23*(30/100))+(DL23*(50/100))) &gt;=5.3),5.5,
IF(AND( SUM((DJ23*(20/100))+(DK23*(30/100))+(DL23*(50/100))) &lt;=5.3, SUM((DJ23*(20/100))+(DK23*(30/100))+(DL23*(50/100))) &gt;=4.8),5,
IF(AND( SUM((DJ23*(20/100))+(DK23*(30/100))+(DL23*(50/100))) &lt;=4.8, SUM((DJ23*(20/100))+(DK23*(30/100))+(DL23*(50/100))) &gt;=4.3),4.5,
IF(AND( SUM((DJ23*(20/100))+(DK23*(30/100))+(DL23*(50/100))) &lt;=4.3, SUM((DJ23*(20/100))+(DK23*(30/100))+(DL23*(50/100))) &gt;=3.8),4,
IF(AND( SUM((DJ23*(20/100))+(DK23*(30/100))+(DL23*(50/100))) &lt;=3.8, SUM((DJ23*(20/100))+(DK23*(30/100))+(DL23*(50/100))) &gt;=3.5),3.5,0)))))))))))))</f>
        <v>0</v>
      </c>
      <c r="DQ23" s="541"/>
      <c r="DR23" s="541"/>
      <c r="DS23" s="541"/>
      <c r="DT23" s="541"/>
      <c r="DU23" s="541"/>
      <c r="DV23" s="541"/>
      <c r="DW23" s="541"/>
      <c r="DX23" s="541"/>
      <c r="DY23" s="541"/>
      <c r="DZ23" s="541"/>
    </row>
    <row r="24" spans="2:130" ht="15" customHeight="1" x14ac:dyDescent="0.25">
      <c r="B24" s="334">
        <v>17</v>
      </c>
      <c r="C24" s="541"/>
      <c r="D24" s="334"/>
      <c r="E24" s="334"/>
      <c r="F24" s="334"/>
      <c r="G24" s="334"/>
      <c r="H24" s="334"/>
      <c r="I24" s="334"/>
      <c r="J24" s="536"/>
      <c r="K24" s="536"/>
      <c r="L24" s="536"/>
      <c r="M24" s="536"/>
      <c r="N24" s="536"/>
      <c r="O24" s="536"/>
      <c r="P24" s="536">
        <f t="shared" si="1"/>
        <v>0</v>
      </c>
      <c r="Q24" s="536"/>
      <c r="R24" s="536"/>
      <c r="S24" s="536"/>
      <c r="T24" s="536">
        <f t="shared" si="2"/>
        <v>0</v>
      </c>
      <c r="U24" s="536"/>
      <c r="V24" s="536"/>
      <c r="W24" s="536"/>
      <c r="X24" s="536">
        <f t="shared" si="3"/>
        <v>0</v>
      </c>
      <c r="Y24" s="536"/>
      <c r="Z24" s="536"/>
      <c r="AA24" s="536"/>
      <c r="AB24" s="536">
        <f t="shared" si="4"/>
        <v>0</v>
      </c>
      <c r="AC24" s="536"/>
      <c r="AD24" s="536"/>
      <c r="AE24" s="536"/>
      <c r="AF24" s="536">
        <f t="shared" si="5"/>
        <v>0</v>
      </c>
      <c r="AG24" s="536"/>
      <c r="AH24" s="536"/>
      <c r="AI24" s="536"/>
      <c r="AJ24" s="536">
        <f t="shared" si="6"/>
        <v>0</v>
      </c>
      <c r="AK24" s="536"/>
      <c r="AL24" s="536"/>
      <c r="AM24" s="536"/>
      <c r="AN24" s="542">
        <f t="shared" si="7"/>
        <v>0</v>
      </c>
      <c r="AO24" s="536"/>
      <c r="AP24" s="536"/>
      <c r="AQ24" s="536"/>
      <c r="AR24" s="542">
        <f t="shared" si="8"/>
        <v>0</v>
      </c>
      <c r="AS24" s="536"/>
      <c r="AT24" s="536"/>
      <c r="AU24" s="536"/>
      <c r="AV24" s="542">
        <f t="shared" si="9"/>
        <v>0</v>
      </c>
      <c r="AW24" s="536"/>
      <c r="AX24" s="536"/>
      <c r="AY24" s="536"/>
      <c r="AZ24" s="542">
        <f t="shared" si="10"/>
        <v>0</v>
      </c>
      <c r="BA24" s="536"/>
      <c r="BB24" s="536"/>
      <c r="BC24" s="536"/>
      <c r="BD24" s="542">
        <f t="shared" si="11"/>
        <v>0</v>
      </c>
      <c r="BE24" s="536"/>
      <c r="BF24" s="536"/>
      <c r="BG24" s="536"/>
      <c r="BH24" s="542">
        <f t="shared" si="12"/>
        <v>0</v>
      </c>
      <c r="BI24" s="536"/>
      <c r="BJ24" s="536"/>
      <c r="BK24" s="536"/>
      <c r="BL24" s="542">
        <f t="shared" si="13"/>
        <v>0</v>
      </c>
      <c r="BM24" s="536"/>
      <c r="BN24" s="536"/>
      <c r="BO24" s="536"/>
      <c r="BP24" s="542">
        <f t="shared" si="14"/>
        <v>0</v>
      </c>
      <c r="BQ24" s="536"/>
      <c r="BR24" s="536"/>
      <c r="BS24" s="536"/>
      <c r="BT24" s="542">
        <f t="shared" si="15"/>
        <v>0</v>
      </c>
      <c r="BU24" s="536"/>
      <c r="BV24" s="536"/>
      <c r="BW24" s="536"/>
      <c r="BX24" s="542">
        <f t="shared" si="16"/>
        <v>0</v>
      </c>
      <c r="BY24" s="536"/>
      <c r="BZ24" s="536"/>
      <c r="CA24" s="536"/>
      <c r="CB24" s="542">
        <v>0</v>
      </c>
      <c r="CC24" s="536"/>
      <c r="CD24" s="536"/>
      <c r="CE24" s="536"/>
      <c r="CF24" s="541">
        <f t="shared" si="17"/>
        <v>0</v>
      </c>
      <c r="CG24" s="536"/>
      <c r="CH24" s="536"/>
      <c r="CI24" s="536"/>
      <c r="CJ24" s="541">
        <f t="shared" si="18"/>
        <v>0</v>
      </c>
      <c r="CK24" s="536"/>
      <c r="CL24" s="536"/>
      <c r="CM24" s="536"/>
      <c r="CN24" s="541">
        <f t="shared" si="19"/>
        <v>0</v>
      </c>
      <c r="CO24" s="536"/>
      <c r="CP24" s="536"/>
      <c r="CQ24" s="536"/>
      <c r="CR24" s="541">
        <f t="shared" si="20"/>
        <v>0</v>
      </c>
      <c r="CS24" s="536"/>
      <c r="CT24" s="536"/>
      <c r="CU24" s="536"/>
      <c r="CV24" s="541">
        <f t="shared" si="21"/>
        <v>0</v>
      </c>
      <c r="CW24" s="536"/>
      <c r="CX24" s="536"/>
      <c r="CY24" s="536"/>
      <c r="CZ24" s="541">
        <f t="shared" si="22"/>
        <v>0</v>
      </c>
      <c r="DA24" s="536"/>
      <c r="DB24" s="536"/>
      <c r="DC24" s="536"/>
      <c r="DD24" s="541">
        <f t="shared" si="23"/>
        <v>0</v>
      </c>
      <c r="DE24" s="536"/>
      <c r="DF24" s="536"/>
      <c r="DG24" s="536"/>
      <c r="DH24" s="541">
        <f t="shared" si="24"/>
        <v>0</v>
      </c>
      <c r="DI24" s="536"/>
      <c r="DJ24" s="536"/>
      <c r="DK24" s="536"/>
      <c r="DL24" s="541">
        <f t="shared" si="25"/>
        <v>0</v>
      </c>
      <c r="DM24" s="536"/>
      <c r="DN24" s="536"/>
      <c r="DO24" s="536"/>
      <c r="DP24" s="541">
        <f>IF( SUM((DJ24*(20/100))+(DK24*(30/100))+(DL24*(50/100))) &gt;=9.3,9.5,
IF(AND( SUM((DJ24*(20/100))+(DK24*(30/100))+(DL24*(50/100))) &lt;=9.3, SUM((DJ24*(20/100))+(DK24*(30/100))+(DL24*(50/100))) &gt;=8.8),9,
IF(AND( SUM((DJ24*(20/100))+(DK24*(30/100))+(DL24*(50/100))) &lt;=8.8, SUM((DJ24*(20/100))+(DK24*(30/100))+(DL24*(50/100))) &gt;=8.3),8.5,
IF(AND( SUM((DJ24*(20/100))+(DK24*(30/100))+(DL24*(50/100))) &lt;=8.3, SUM((DJ24*(20/100))+(DK24*(30/100))+(DL24*(50/100))) &gt;=7.8),8,
IF(AND( SUM((DJ24*(20/100))+(DK24*(30/100))+(DL24*(50/100))) &lt;=7.8, SUM((DJ24*(20/100))+(DK24*(30/100))+(DL24*(50/100))) &gt;=7.3),7.5,
IF(AND( SUM((DJ24*(20/100))+(DK24*(30/100))+(DL24*(50/100))) &lt;=7.3, SUM((DJ24*(20/100))+(DK24*(30/100))+(DL24*(50/100))) &gt;=6.8),7,
IF(AND( SUM((DJ24*(20/100))+(DK24*(30/100))+(DL24*(50/100))) &lt;=6.8, SUM((DJ24*(20/100))+(DK24*(30/100))+(DL24*(50/100))) &gt;=6.3),6.5,
IF(AND( SUM((DJ24*(20/100))+(DK24*(30/100))+(DL24*(50/100))) &lt;=6.3, SUM((DJ24*(20/100))+(DK24*(30/100))+(DL24*(50/100))) &gt;=5.8),6,
IF(AND( SUM((DJ24*(20/100))+(DK24*(30/100))+(DL24*(50/100))) &lt;=5.8, SUM((DJ24*(20/100))+(DK24*(30/100))+(DL24*(50/100))) &gt;=5.3),5.5,
IF(AND( SUM((DJ24*(20/100))+(DK24*(30/100))+(DL24*(50/100))) &lt;=5.3, SUM((DJ24*(20/100))+(DK24*(30/100))+(DL24*(50/100))) &gt;=4.8),5,
IF(AND( SUM((DJ24*(20/100))+(DK24*(30/100))+(DL24*(50/100))) &lt;=4.8, SUM((DJ24*(20/100))+(DK24*(30/100))+(DL24*(50/100))) &gt;=4.3),4.5,
IF(AND( SUM((DJ24*(20/100))+(DK24*(30/100))+(DL24*(50/100))) &lt;=4.3, SUM((DJ24*(20/100))+(DK24*(30/100))+(DL24*(50/100))) &gt;=3.8),4,
IF(AND( SUM((DJ24*(20/100))+(DK24*(30/100))+(DL24*(50/100))) &lt;=3.8, SUM((DJ24*(20/100))+(DK24*(30/100))+(DL24*(50/100))) &gt;=3.5),3.5,0)))))))))))))</f>
        <v>0</v>
      </c>
      <c r="DQ24" s="541"/>
      <c r="DR24" s="541"/>
      <c r="DS24" s="541"/>
      <c r="DT24" s="541"/>
      <c r="DU24" s="541"/>
      <c r="DV24" s="541"/>
      <c r="DW24" s="541"/>
      <c r="DX24" s="541"/>
      <c r="DY24" s="541"/>
      <c r="DZ24" s="541"/>
    </row>
    <row r="25" spans="2:130" ht="15" customHeight="1" x14ac:dyDescent="0.25">
      <c r="B25" s="334">
        <v>18</v>
      </c>
      <c r="C25" s="541"/>
      <c r="D25" s="334"/>
      <c r="E25" s="334"/>
      <c r="F25" s="334"/>
      <c r="G25" s="334"/>
      <c r="H25" s="334"/>
      <c r="I25" s="334"/>
      <c r="J25" s="536"/>
      <c r="K25" s="536"/>
      <c r="L25" s="536"/>
      <c r="M25" s="536"/>
      <c r="N25" s="536"/>
      <c r="O25" s="536"/>
      <c r="P25" s="536">
        <f t="shared" si="1"/>
        <v>0</v>
      </c>
      <c r="Q25" s="536"/>
      <c r="R25" s="536"/>
      <c r="S25" s="536"/>
      <c r="T25" s="536">
        <f t="shared" si="2"/>
        <v>0</v>
      </c>
      <c r="U25" s="536"/>
      <c r="V25" s="536"/>
      <c r="W25" s="536"/>
      <c r="X25" s="536">
        <f t="shared" si="3"/>
        <v>0</v>
      </c>
      <c r="Y25" s="536"/>
      <c r="Z25" s="536"/>
      <c r="AA25" s="536"/>
      <c r="AB25" s="536">
        <f t="shared" si="4"/>
        <v>0</v>
      </c>
      <c r="AC25" s="536"/>
      <c r="AD25" s="536"/>
      <c r="AE25" s="536"/>
      <c r="AF25" s="536">
        <f t="shared" si="5"/>
        <v>0</v>
      </c>
      <c r="AG25" s="536"/>
      <c r="AH25" s="536"/>
      <c r="AI25" s="536"/>
      <c r="AJ25" s="536">
        <f t="shared" si="6"/>
        <v>0</v>
      </c>
      <c r="AK25" s="536"/>
      <c r="AL25" s="536"/>
      <c r="AM25" s="536"/>
      <c r="AN25" s="542">
        <f t="shared" si="7"/>
        <v>0</v>
      </c>
      <c r="AO25" s="536"/>
      <c r="AP25" s="536"/>
      <c r="AQ25" s="536"/>
      <c r="AR25" s="542">
        <f t="shared" si="8"/>
        <v>0</v>
      </c>
      <c r="AS25" s="536"/>
      <c r="AT25" s="536"/>
      <c r="AU25" s="536"/>
      <c r="AV25" s="542">
        <f t="shared" si="9"/>
        <v>0</v>
      </c>
      <c r="AW25" s="536"/>
      <c r="AX25" s="536"/>
      <c r="AY25" s="536"/>
      <c r="AZ25" s="542">
        <f t="shared" si="10"/>
        <v>0</v>
      </c>
      <c r="BA25" s="536"/>
      <c r="BB25" s="536"/>
      <c r="BC25" s="536"/>
      <c r="BD25" s="542">
        <f t="shared" si="11"/>
        <v>0</v>
      </c>
      <c r="BE25" s="536"/>
      <c r="BF25" s="536"/>
      <c r="BG25" s="536"/>
      <c r="BH25" s="542">
        <f t="shared" si="12"/>
        <v>0</v>
      </c>
      <c r="BI25" s="536"/>
      <c r="BJ25" s="536"/>
      <c r="BK25" s="536"/>
      <c r="BL25" s="542">
        <f t="shared" si="13"/>
        <v>0</v>
      </c>
      <c r="BM25" s="536"/>
      <c r="BN25" s="536"/>
      <c r="BO25" s="536"/>
      <c r="BP25" s="542">
        <f t="shared" si="14"/>
        <v>0</v>
      </c>
      <c r="BQ25" s="536"/>
      <c r="BR25" s="536"/>
      <c r="BS25" s="536"/>
      <c r="BT25" s="542">
        <f t="shared" si="15"/>
        <v>0</v>
      </c>
      <c r="BU25" s="536"/>
      <c r="BV25" s="536"/>
      <c r="BW25" s="536"/>
      <c r="BX25" s="542">
        <f t="shared" si="16"/>
        <v>0</v>
      </c>
      <c r="BY25" s="536"/>
      <c r="BZ25" s="536"/>
      <c r="CA25" s="536"/>
      <c r="CB25" s="542">
        <v>0</v>
      </c>
      <c r="CC25" s="536"/>
      <c r="CD25" s="536"/>
      <c r="CE25" s="536"/>
      <c r="CF25" s="541">
        <f t="shared" si="17"/>
        <v>0</v>
      </c>
      <c r="CG25" s="536"/>
      <c r="CH25" s="536"/>
      <c r="CI25" s="536"/>
      <c r="CJ25" s="541">
        <f t="shared" si="18"/>
        <v>0</v>
      </c>
      <c r="CK25" s="536"/>
      <c r="CL25" s="536"/>
      <c r="CM25" s="536"/>
      <c r="CN25" s="541">
        <f t="shared" si="19"/>
        <v>0</v>
      </c>
      <c r="CO25" s="536"/>
      <c r="CP25" s="536"/>
      <c r="CQ25" s="536"/>
      <c r="CR25" s="541">
        <f t="shared" si="20"/>
        <v>0</v>
      </c>
      <c r="CS25" s="536"/>
      <c r="CT25" s="536"/>
      <c r="CU25" s="536"/>
      <c r="CV25" s="541">
        <f t="shared" si="21"/>
        <v>0</v>
      </c>
      <c r="CW25" s="536"/>
      <c r="CX25" s="536"/>
      <c r="CY25" s="536"/>
      <c r="CZ25" s="541">
        <f t="shared" si="22"/>
        <v>0</v>
      </c>
      <c r="DA25" s="536"/>
      <c r="DB25" s="536"/>
      <c r="DC25" s="536"/>
      <c r="DD25" s="541">
        <f t="shared" si="23"/>
        <v>0</v>
      </c>
      <c r="DE25" s="536"/>
      <c r="DF25" s="536"/>
      <c r="DG25" s="536"/>
      <c r="DH25" s="541">
        <f t="shared" si="24"/>
        <v>0</v>
      </c>
      <c r="DI25" s="536"/>
      <c r="DJ25" s="536"/>
      <c r="DK25" s="536"/>
      <c r="DL25" s="541">
        <f t="shared" si="25"/>
        <v>0</v>
      </c>
      <c r="DM25" s="536"/>
      <c r="DN25" s="536"/>
      <c r="DO25" s="536"/>
      <c r="DP25" s="541">
        <f>IF( SUM((DJ25*(20/100))+(DK25*(30/100))+(DL25*(50/100))) &gt;=9.3,9.5,
IF(AND( SUM((DJ25*(20/100))+(DK25*(30/100))+(DL25*(50/100))) &lt;=9.3, SUM((DJ25*(20/100))+(DK25*(30/100))+(DL25*(50/100))) &gt;=8.8),9,
IF(AND( SUM((DJ25*(20/100))+(DK25*(30/100))+(DL25*(50/100))) &lt;=8.8, SUM((DJ25*(20/100))+(DK25*(30/100))+(DL25*(50/100))) &gt;=8.3),8.5,
IF(AND( SUM((DJ25*(20/100))+(DK25*(30/100))+(DL25*(50/100))) &lt;=8.3, SUM((DJ25*(20/100))+(DK25*(30/100))+(DL25*(50/100))) &gt;=7.8),8,
IF(AND( SUM((DJ25*(20/100))+(DK25*(30/100))+(DL25*(50/100))) &lt;=7.8, SUM((DJ25*(20/100))+(DK25*(30/100))+(DL25*(50/100))) &gt;=7.3),7.5,
IF(AND( SUM((DJ25*(20/100))+(DK25*(30/100))+(DL25*(50/100))) &lt;=7.3, SUM((DJ25*(20/100))+(DK25*(30/100))+(DL25*(50/100))) &gt;=6.8),7,
IF(AND( SUM((DJ25*(20/100))+(DK25*(30/100))+(DL25*(50/100))) &lt;=6.8, SUM((DJ25*(20/100))+(DK25*(30/100))+(DL25*(50/100))) &gt;=6.3),6.5,
IF(AND( SUM((DJ25*(20/100))+(DK25*(30/100))+(DL25*(50/100))) &lt;=6.3, SUM((DJ25*(20/100))+(DK25*(30/100))+(DL25*(50/100))) &gt;=5.8),6,
IF(AND( SUM((DJ25*(20/100))+(DK25*(30/100))+(DL25*(50/100))) &lt;=5.8, SUM((DJ25*(20/100))+(DK25*(30/100))+(DL25*(50/100))) &gt;=5.3),5.5,
IF(AND( SUM((DJ25*(20/100))+(DK25*(30/100))+(DL25*(50/100))) &lt;=5.3, SUM((DJ25*(20/100))+(DK25*(30/100))+(DL25*(50/100))) &gt;=4.8),5,
IF(AND( SUM((DJ25*(20/100))+(DK25*(30/100))+(DL25*(50/100))) &lt;=4.8, SUM((DJ25*(20/100))+(DK25*(30/100))+(DL25*(50/100))) &gt;=4.3),4.5,
IF(AND( SUM((DJ25*(20/100))+(DK25*(30/100))+(DL25*(50/100))) &lt;=4.3, SUM((DJ25*(20/100))+(DK25*(30/100))+(DL25*(50/100))) &gt;=3.8),4,
IF(AND( SUM((DJ25*(20/100))+(DK25*(30/100))+(DL25*(50/100))) &lt;=3.8, SUM((DJ25*(20/100))+(DK25*(30/100))+(DL25*(50/100))) &gt;=3.5),3.5,0)))))))))))))</f>
        <v>0</v>
      </c>
      <c r="DQ25" s="541"/>
      <c r="DR25" s="541"/>
      <c r="DS25" s="541"/>
      <c r="DT25" s="541"/>
      <c r="DU25" s="541"/>
      <c r="DV25" s="541"/>
      <c r="DW25" s="541"/>
      <c r="DX25" s="541"/>
      <c r="DY25" s="541"/>
      <c r="DZ25" s="541"/>
    </row>
    <row r="26" spans="2:130" ht="15" customHeight="1" x14ac:dyDescent="0.25">
      <c r="B26" s="334">
        <v>19</v>
      </c>
      <c r="C26" s="541"/>
      <c r="D26" s="334"/>
      <c r="E26" s="334"/>
      <c r="F26" s="334"/>
      <c r="G26" s="334"/>
      <c r="H26" s="334"/>
      <c r="I26" s="334"/>
      <c r="J26" s="536"/>
      <c r="K26" s="536"/>
      <c r="L26" s="536"/>
      <c r="M26" s="536"/>
      <c r="N26" s="536"/>
      <c r="O26" s="536"/>
      <c r="P26" s="536">
        <f t="shared" si="1"/>
        <v>0</v>
      </c>
      <c r="Q26" s="536"/>
      <c r="R26" s="536"/>
      <c r="S26" s="536"/>
      <c r="T26" s="536">
        <f t="shared" si="2"/>
        <v>0</v>
      </c>
      <c r="U26" s="536"/>
      <c r="V26" s="536"/>
      <c r="W26" s="536"/>
      <c r="X26" s="536">
        <f t="shared" si="3"/>
        <v>0</v>
      </c>
      <c r="Y26" s="536"/>
      <c r="Z26" s="536"/>
      <c r="AA26" s="536"/>
      <c r="AB26" s="536">
        <f t="shared" si="4"/>
        <v>0</v>
      </c>
      <c r="AC26" s="536"/>
      <c r="AD26" s="536"/>
      <c r="AE26" s="536"/>
      <c r="AF26" s="536">
        <f t="shared" si="5"/>
        <v>0</v>
      </c>
      <c r="AG26" s="536"/>
      <c r="AH26" s="536"/>
      <c r="AI26" s="536"/>
      <c r="AJ26" s="536">
        <f t="shared" si="6"/>
        <v>0</v>
      </c>
      <c r="AK26" s="536"/>
      <c r="AL26" s="536"/>
      <c r="AM26" s="536"/>
      <c r="AN26" s="542">
        <f t="shared" si="7"/>
        <v>0</v>
      </c>
      <c r="AO26" s="536"/>
      <c r="AP26" s="536"/>
      <c r="AQ26" s="536"/>
      <c r="AR26" s="542">
        <f t="shared" si="8"/>
        <v>0</v>
      </c>
      <c r="AS26" s="536"/>
      <c r="AT26" s="536"/>
      <c r="AU26" s="536"/>
      <c r="AV26" s="542">
        <f t="shared" si="9"/>
        <v>0</v>
      </c>
      <c r="AW26" s="536"/>
      <c r="AX26" s="536"/>
      <c r="AY26" s="536"/>
      <c r="AZ26" s="542">
        <f t="shared" si="10"/>
        <v>0</v>
      </c>
      <c r="BA26" s="536"/>
      <c r="BB26" s="536"/>
      <c r="BC26" s="536"/>
      <c r="BD26" s="542">
        <f t="shared" si="11"/>
        <v>0</v>
      </c>
      <c r="BE26" s="536"/>
      <c r="BF26" s="536"/>
      <c r="BG26" s="536"/>
      <c r="BH26" s="542">
        <f t="shared" si="12"/>
        <v>0</v>
      </c>
      <c r="BI26" s="536"/>
      <c r="BJ26" s="536"/>
      <c r="BK26" s="536"/>
      <c r="BL26" s="542">
        <f t="shared" si="13"/>
        <v>0</v>
      </c>
      <c r="BM26" s="536"/>
      <c r="BN26" s="536"/>
      <c r="BO26" s="536"/>
      <c r="BP26" s="542">
        <f t="shared" si="14"/>
        <v>0</v>
      </c>
      <c r="BQ26" s="536"/>
      <c r="BR26" s="536"/>
      <c r="BS26" s="536"/>
      <c r="BT26" s="542">
        <f t="shared" si="15"/>
        <v>0</v>
      </c>
      <c r="BU26" s="536"/>
      <c r="BV26" s="536"/>
      <c r="BW26" s="536"/>
      <c r="BX26" s="542">
        <f t="shared" si="16"/>
        <v>0</v>
      </c>
      <c r="BY26" s="536"/>
      <c r="BZ26" s="536"/>
      <c r="CA26" s="536"/>
      <c r="CB26" s="542">
        <v>0</v>
      </c>
      <c r="CC26" s="536"/>
      <c r="CD26" s="536"/>
      <c r="CE26" s="536"/>
      <c r="CF26" s="541">
        <f t="shared" si="17"/>
        <v>0</v>
      </c>
      <c r="CG26" s="536"/>
      <c r="CH26" s="536"/>
      <c r="CI26" s="536"/>
      <c r="CJ26" s="541">
        <f t="shared" si="18"/>
        <v>0</v>
      </c>
      <c r="CK26" s="536"/>
      <c r="CL26" s="536"/>
      <c r="CM26" s="536"/>
      <c r="CN26" s="541">
        <f t="shared" si="19"/>
        <v>0</v>
      </c>
      <c r="CO26" s="536"/>
      <c r="CP26" s="536"/>
      <c r="CQ26" s="536"/>
      <c r="CR26" s="541">
        <f t="shared" si="20"/>
        <v>0</v>
      </c>
      <c r="CS26" s="536"/>
      <c r="CT26" s="536"/>
      <c r="CU26" s="536"/>
      <c r="CV26" s="541">
        <f t="shared" si="21"/>
        <v>0</v>
      </c>
      <c r="CW26" s="536"/>
      <c r="CX26" s="536"/>
      <c r="CY26" s="536"/>
      <c r="CZ26" s="541">
        <f t="shared" si="22"/>
        <v>0</v>
      </c>
      <c r="DA26" s="536"/>
      <c r="DB26" s="536"/>
      <c r="DC26" s="536"/>
      <c r="DD26" s="541">
        <f t="shared" si="23"/>
        <v>0</v>
      </c>
      <c r="DE26" s="536"/>
      <c r="DF26" s="536"/>
      <c r="DG26" s="536"/>
      <c r="DH26" s="541">
        <f t="shared" si="24"/>
        <v>0</v>
      </c>
      <c r="DI26" s="536"/>
      <c r="DJ26" s="536"/>
      <c r="DK26" s="536"/>
      <c r="DL26" s="541">
        <f t="shared" si="25"/>
        <v>0</v>
      </c>
      <c r="DM26" s="536"/>
      <c r="DN26" s="536"/>
      <c r="DO26" s="536"/>
      <c r="DP26" s="541">
        <f>IF( SUM((DJ26*(20/100))+(DK26*(30/100))+(DL26*(50/100))) &gt;=9.3,9.5,
IF(AND( SUM((DJ26*(20/100))+(DK26*(30/100))+(DL26*(50/100))) &lt;=9.3, SUM((DJ26*(20/100))+(DK26*(30/100))+(DL26*(50/100))) &gt;=8.8),9,
IF(AND( SUM((DJ26*(20/100))+(DK26*(30/100))+(DL26*(50/100))) &lt;=8.8, SUM((DJ26*(20/100))+(DK26*(30/100))+(DL26*(50/100))) &gt;=8.3),8.5,
IF(AND( SUM((DJ26*(20/100))+(DK26*(30/100))+(DL26*(50/100))) &lt;=8.3, SUM((DJ26*(20/100))+(DK26*(30/100))+(DL26*(50/100))) &gt;=7.8),8,
IF(AND( SUM((DJ26*(20/100))+(DK26*(30/100))+(DL26*(50/100))) &lt;=7.8, SUM((DJ26*(20/100))+(DK26*(30/100))+(DL26*(50/100))) &gt;=7.3),7.5,
IF(AND( SUM((DJ26*(20/100))+(DK26*(30/100))+(DL26*(50/100))) &lt;=7.3, SUM((DJ26*(20/100))+(DK26*(30/100))+(DL26*(50/100))) &gt;=6.8),7,
IF(AND( SUM((DJ26*(20/100))+(DK26*(30/100))+(DL26*(50/100))) &lt;=6.8, SUM((DJ26*(20/100))+(DK26*(30/100))+(DL26*(50/100))) &gt;=6.3),6.5,
IF(AND( SUM((DJ26*(20/100))+(DK26*(30/100))+(DL26*(50/100))) &lt;=6.3, SUM((DJ26*(20/100))+(DK26*(30/100))+(DL26*(50/100))) &gt;=5.8),6,
IF(AND( SUM((DJ26*(20/100))+(DK26*(30/100))+(DL26*(50/100))) &lt;=5.8, SUM((DJ26*(20/100))+(DK26*(30/100))+(DL26*(50/100))) &gt;=5.3),5.5,
IF(AND( SUM((DJ26*(20/100))+(DK26*(30/100))+(DL26*(50/100))) &lt;=5.3, SUM((DJ26*(20/100))+(DK26*(30/100))+(DL26*(50/100))) &gt;=4.8),5,
IF(AND( SUM((DJ26*(20/100))+(DK26*(30/100))+(DL26*(50/100))) &lt;=4.8, SUM((DJ26*(20/100))+(DK26*(30/100))+(DL26*(50/100))) &gt;=4.3),4.5,
IF(AND( SUM((DJ26*(20/100))+(DK26*(30/100))+(DL26*(50/100))) &lt;=4.3, SUM((DJ26*(20/100))+(DK26*(30/100))+(DL26*(50/100))) &gt;=3.8),4,
IF(AND( SUM((DJ26*(20/100))+(DK26*(30/100))+(DL26*(50/100))) &lt;=3.8, SUM((DJ26*(20/100))+(DK26*(30/100))+(DL26*(50/100))) &gt;=3.5),3.5,0)))))))))))))</f>
        <v>0</v>
      </c>
      <c r="DQ26" s="541"/>
      <c r="DR26" s="541"/>
      <c r="DS26" s="541"/>
      <c r="DT26" s="541"/>
      <c r="DU26" s="541"/>
      <c r="DV26" s="541"/>
      <c r="DW26" s="541"/>
      <c r="DX26" s="541"/>
      <c r="DY26" s="541"/>
      <c r="DZ26" s="541"/>
    </row>
    <row r="27" spans="2:130" ht="15" customHeight="1" x14ac:dyDescent="0.25">
      <c r="B27" s="334">
        <v>20</v>
      </c>
      <c r="C27" s="541"/>
      <c r="D27" s="334"/>
      <c r="E27" s="334"/>
      <c r="F27" s="334"/>
      <c r="G27" s="334"/>
      <c r="H27" s="334"/>
      <c r="I27" s="334"/>
      <c r="J27" s="536"/>
      <c r="K27" s="536"/>
      <c r="L27" s="536"/>
      <c r="M27" s="536"/>
      <c r="N27" s="536"/>
      <c r="O27" s="536"/>
      <c r="P27" s="536">
        <f t="shared" si="1"/>
        <v>0</v>
      </c>
      <c r="Q27" s="536"/>
      <c r="R27" s="536"/>
      <c r="S27" s="536"/>
      <c r="T27" s="536">
        <f t="shared" si="2"/>
        <v>0</v>
      </c>
      <c r="U27" s="536"/>
      <c r="V27" s="536"/>
      <c r="W27" s="536"/>
      <c r="X27" s="536">
        <f t="shared" si="3"/>
        <v>0</v>
      </c>
      <c r="Y27" s="536"/>
      <c r="Z27" s="536"/>
      <c r="AA27" s="536"/>
      <c r="AB27" s="536">
        <f t="shared" si="4"/>
        <v>0</v>
      </c>
      <c r="AC27" s="536"/>
      <c r="AD27" s="536"/>
      <c r="AE27" s="536"/>
      <c r="AF27" s="536">
        <f t="shared" si="5"/>
        <v>0</v>
      </c>
      <c r="AG27" s="536"/>
      <c r="AH27" s="536"/>
      <c r="AI27" s="536"/>
      <c r="AJ27" s="536">
        <f t="shared" si="6"/>
        <v>0</v>
      </c>
      <c r="AK27" s="536"/>
      <c r="AL27" s="536"/>
      <c r="AM27" s="536"/>
      <c r="AN27" s="542">
        <f t="shared" si="7"/>
        <v>0</v>
      </c>
      <c r="AO27" s="536"/>
      <c r="AP27" s="536"/>
      <c r="AQ27" s="536"/>
      <c r="AR27" s="542">
        <f t="shared" si="8"/>
        <v>0</v>
      </c>
      <c r="AS27" s="536"/>
      <c r="AT27" s="536"/>
      <c r="AU27" s="536"/>
      <c r="AV27" s="542">
        <f t="shared" si="9"/>
        <v>0</v>
      </c>
      <c r="AW27" s="536"/>
      <c r="AX27" s="536"/>
      <c r="AY27" s="536"/>
      <c r="AZ27" s="542">
        <f t="shared" si="10"/>
        <v>0</v>
      </c>
      <c r="BA27" s="536"/>
      <c r="BB27" s="536"/>
      <c r="BC27" s="536"/>
      <c r="BD27" s="542">
        <f t="shared" si="11"/>
        <v>0</v>
      </c>
      <c r="BE27" s="536"/>
      <c r="BF27" s="536"/>
      <c r="BG27" s="536"/>
      <c r="BH27" s="542">
        <f t="shared" si="12"/>
        <v>0</v>
      </c>
      <c r="BI27" s="536"/>
      <c r="BJ27" s="536"/>
      <c r="BK27" s="536"/>
      <c r="BL27" s="542">
        <f t="shared" si="13"/>
        <v>0</v>
      </c>
      <c r="BM27" s="536"/>
      <c r="BN27" s="536"/>
      <c r="BO27" s="536"/>
      <c r="BP27" s="542">
        <f t="shared" si="14"/>
        <v>0</v>
      </c>
      <c r="BQ27" s="536"/>
      <c r="BR27" s="536"/>
      <c r="BS27" s="536"/>
      <c r="BT27" s="542">
        <f t="shared" si="15"/>
        <v>0</v>
      </c>
      <c r="BU27" s="536"/>
      <c r="BV27" s="536"/>
      <c r="BW27" s="536"/>
      <c r="BX27" s="542">
        <f t="shared" si="16"/>
        <v>0</v>
      </c>
      <c r="BY27" s="536"/>
      <c r="BZ27" s="536"/>
      <c r="CA27" s="536"/>
      <c r="CB27" s="542">
        <v>0</v>
      </c>
      <c r="CC27" s="536"/>
      <c r="CD27" s="536"/>
      <c r="CE27" s="536"/>
      <c r="CF27" s="541">
        <f t="shared" si="17"/>
        <v>0</v>
      </c>
      <c r="CG27" s="536"/>
      <c r="CH27" s="536"/>
      <c r="CI27" s="536"/>
      <c r="CJ27" s="541">
        <f t="shared" si="18"/>
        <v>0</v>
      </c>
      <c r="CK27" s="536"/>
      <c r="CL27" s="536"/>
      <c r="CM27" s="536"/>
      <c r="CN27" s="541">
        <f t="shared" si="19"/>
        <v>0</v>
      </c>
      <c r="CO27" s="536"/>
      <c r="CP27" s="536"/>
      <c r="CQ27" s="536"/>
      <c r="CR27" s="541">
        <f t="shared" si="20"/>
        <v>0</v>
      </c>
      <c r="CS27" s="536"/>
      <c r="CT27" s="536"/>
      <c r="CU27" s="536"/>
      <c r="CV27" s="541">
        <f t="shared" si="21"/>
        <v>0</v>
      </c>
      <c r="CW27" s="536"/>
      <c r="CX27" s="536"/>
      <c r="CY27" s="536"/>
      <c r="CZ27" s="541">
        <f t="shared" si="22"/>
        <v>0</v>
      </c>
      <c r="DA27" s="536"/>
      <c r="DB27" s="536"/>
      <c r="DC27" s="536"/>
      <c r="DD27" s="541">
        <f t="shared" si="23"/>
        <v>0</v>
      </c>
      <c r="DE27" s="536"/>
      <c r="DF27" s="536"/>
      <c r="DG27" s="536"/>
      <c r="DH27" s="541">
        <f t="shared" si="24"/>
        <v>0</v>
      </c>
      <c r="DI27" s="536"/>
      <c r="DJ27" s="536"/>
      <c r="DK27" s="536"/>
      <c r="DL27" s="541">
        <f t="shared" si="25"/>
        <v>0</v>
      </c>
      <c r="DM27" s="536"/>
      <c r="DN27" s="536"/>
      <c r="DO27" s="536"/>
      <c r="DP27" s="541">
        <f>IF( SUM((DJ27*(20/100))+(DK27*(30/100))+(DL27*(50/100))) &gt;=9.3,9.5,
IF(AND( SUM((DJ27*(20/100))+(DK27*(30/100))+(DL27*(50/100))) &lt;=9.3, SUM((DJ27*(20/100))+(DK27*(30/100))+(DL27*(50/100))) &gt;=8.8),9,
IF(AND( SUM((DJ27*(20/100))+(DK27*(30/100))+(DL27*(50/100))) &lt;=8.8, SUM((DJ27*(20/100))+(DK27*(30/100))+(DL27*(50/100))) &gt;=8.3),8.5,
IF(AND( SUM((DJ27*(20/100))+(DK27*(30/100))+(DL27*(50/100))) &lt;=8.3, SUM((DJ27*(20/100))+(DK27*(30/100))+(DL27*(50/100))) &gt;=7.8),8,
IF(AND( SUM((DJ27*(20/100))+(DK27*(30/100))+(DL27*(50/100))) &lt;=7.8, SUM((DJ27*(20/100))+(DK27*(30/100))+(DL27*(50/100))) &gt;=7.3),7.5,
IF(AND( SUM((DJ27*(20/100))+(DK27*(30/100))+(DL27*(50/100))) &lt;=7.3, SUM((DJ27*(20/100))+(DK27*(30/100))+(DL27*(50/100))) &gt;=6.8),7,
IF(AND( SUM((DJ27*(20/100))+(DK27*(30/100))+(DL27*(50/100))) &lt;=6.8, SUM((DJ27*(20/100))+(DK27*(30/100))+(DL27*(50/100))) &gt;=6.3),6.5,
IF(AND( SUM((DJ27*(20/100))+(DK27*(30/100))+(DL27*(50/100))) &lt;=6.3, SUM((DJ27*(20/100))+(DK27*(30/100))+(DL27*(50/100))) &gt;=5.8),6,
IF(AND( SUM((DJ27*(20/100))+(DK27*(30/100))+(DL27*(50/100))) &lt;=5.8, SUM((DJ27*(20/100))+(DK27*(30/100))+(DL27*(50/100))) &gt;=5.3),5.5,
IF(AND( SUM((DJ27*(20/100))+(DK27*(30/100))+(DL27*(50/100))) &lt;=5.3, SUM((DJ27*(20/100))+(DK27*(30/100))+(DL27*(50/100))) &gt;=4.8),5,
IF(AND( SUM((DJ27*(20/100))+(DK27*(30/100))+(DL27*(50/100))) &lt;=4.8, SUM((DJ27*(20/100))+(DK27*(30/100))+(DL27*(50/100))) &gt;=4.3),4.5,
IF(AND( SUM((DJ27*(20/100))+(DK27*(30/100))+(DL27*(50/100))) &lt;=4.3, SUM((DJ27*(20/100))+(DK27*(30/100))+(DL27*(50/100))) &gt;=3.8),4,
IF(AND( SUM((DJ27*(20/100))+(DK27*(30/100))+(DL27*(50/100))) &lt;=3.8, SUM((DJ27*(20/100))+(DK27*(30/100))+(DL27*(50/100))) &gt;=3.5),3.5,0)))))))))))))</f>
        <v>0</v>
      </c>
      <c r="DQ27" s="541"/>
      <c r="DR27" s="541"/>
      <c r="DS27" s="541"/>
      <c r="DT27" s="541"/>
      <c r="DU27" s="541"/>
      <c r="DV27" s="541"/>
      <c r="DW27" s="541"/>
      <c r="DX27" s="541"/>
      <c r="DY27" s="541"/>
      <c r="DZ27" s="541"/>
    </row>
    <row r="28" spans="2:130" ht="15" customHeight="1" x14ac:dyDescent="0.25">
      <c r="B28" s="334">
        <v>21</v>
      </c>
      <c r="C28" s="541"/>
      <c r="D28" s="334"/>
      <c r="E28" s="334"/>
      <c r="F28" s="334"/>
      <c r="G28" s="334"/>
      <c r="H28" s="334"/>
      <c r="I28" s="334"/>
      <c r="J28" s="536"/>
      <c r="K28" s="536"/>
      <c r="L28" s="536"/>
      <c r="M28" s="536"/>
      <c r="N28" s="536"/>
      <c r="O28" s="536"/>
      <c r="P28" s="536">
        <f t="shared" si="1"/>
        <v>0</v>
      </c>
      <c r="Q28" s="536"/>
      <c r="R28" s="536"/>
      <c r="S28" s="536"/>
      <c r="T28" s="536">
        <f t="shared" si="2"/>
        <v>0</v>
      </c>
      <c r="U28" s="536"/>
      <c r="V28" s="536"/>
      <c r="W28" s="536"/>
      <c r="X28" s="536">
        <f t="shared" si="3"/>
        <v>0</v>
      </c>
      <c r="Y28" s="536"/>
      <c r="Z28" s="536"/>
      <c r="AA28" s="536"/>
      <c r="AB28" s="536">
        <f t="shared" si="4"/>
        <v>0</v>
      </c>
      <c r="AC28" s="536"/>
      <c r="AD28" s="536"/>
      <c r="AE28" s="536"/>
      <c r="AF28" s="536">
        <f t="shared" si="5"/>
        <v>0</v>
      </c>
      <c r="AG28" s="536"/>
      <c r="AH28" s="536"/>
      <c r="AI28" s="536"/>
      <c r="AJ28" s="536">
        <f t="shared" si="6"/>
        <v>0</v>
      </c>
      <c r="AK28" s="536"/>
      <c r="AL28" s="536"/>
      <c r="AM28" s="536"/>
      <c r="AN28" s="542">
        <f t="shared" si="7"/>
        <v>0</v>
      </c>
      <c r="AO28" s="536"/>
      <c r="AP28" s="536"/>
      <c r="AQ28" s="536"/>
      <c r="AR28" s="542">
        <f t="shared" si="8"/>
        <v>0</v>
      </c>
      <c r="AS28" s="536"/>
      <c r="AT28" s="536"/>
      <c r="AU28" s="536"/>
      <c r="AV28" s="542">
        <f t="shared" si="9"/>
        <v>0</v>
      </c>
      <c r="AW28" s="536"/>
      <c r="AX28" s="536"/>
      <c r="AY28" s="536"/>
      <c r="AZ28" s="542">
        <f t="shared" si="10"/>
        <v>0</v>
      </c>
      <c r="BA28" s="536"/>
      <c r="BB28" s="536"/>
      <c r="BC28" s="536"/>
      <c r="BD28" s="542">
        <f t="shared" si="11"/>
        <v>0</v>
      </c>
      <c r="BE28" s="536"/>
      <c r="BF28" s="536"/>
      <c r="BG28" s="536"/>
      <c r="BH28" s="542">
        <f t="shared" si="12"/>
        <v>0</v>
      </c>
      <c r="BI28" s="536"/>
      <c r="BJ28" s="536"/>
      <c r="BK28" s="536"/>
      <c r="BL28" s="542">
        <f t="shared" si="13"/>
        <v>0</v>
      </c>
      <c r="BM28" s="536"/>
      <c r="BN28" s="536"/>
      <c r="BO28" s="536"/>
      <c r="BP28" s="542">
        <f t="shared" si="14"/>
        <v>0</v>
      </c>
      <c r="BQ28" s="536"/>
      <c r="BR28" s="536"/>
      <c r="BS28" s="536"/>
      <c r="BT28" s="542">
        <f t="shared" si="15"/>
        <v>0</v>
      </c>
      <c r="BU28" s="536"/>
      <c r="BV28" s="536"/>
      <c r="BW28" s="536"/>
      <c r="BX28" s="542">
        <f t="shared" si="16"/>
        <v>0</v>
      </c>
      <c r="BY28" s="536"/>
      <c r="BZ28" s="536"/>
      <c r="CA28" s="536"/>
      <c r="CB28" s="542">
        <v>0</v>
      </c>
      <c r="CC28" s="536"/>
      <c r="CD28" s="536"/>
      <c r="CE28" s="536"/>
      <c r="CF28" s="541">
        <f t="shared" si="17"/>
        <v>0</v>
      </c>
      <c r="CG28" s="536"/>
      <c r="CH28" s="536"/>
      <c r="CI28" s="536"/>
      <c r="CJ28" s="541">
        <f t="shared" si="18"/>
        <v>0</v>
      </c>
      <c r="CK28" s="536"/>
      <c r="CL28" s="536"/>
      <c r="CM28" s="536"/>
      <c r="CN28" s="541">
        <f t="shared" si="19"/>
        <v>0</v>
      </c>
      <c r="CO28" s="536"/>
      <c r="CP28" s="536"/>
      <c r="CQ28" s="536"/>
      <c r="CR28" s="541">
        <f t="shared" si="20"/>
        <v>0</v>
      </c>
      <c r="CS28" s="536"/>
      <c r="CT28" s="536"/>
      <c r="CU28" s="536"/>
      <c r="CV28" s="541">
        <f t="shared" si="21"/>
        <v>0</v>
      </c>
      <c r="CW28" s="536"/>
      <c r="CX28" s="536"/>
      <c r="CY28" s="536"/>
      <c r="CZ28" s="541">
        <f t="shared" si="22"/>
        <v>0</v>
      </c>
      <c r="DA28" s="536"/>
      <c r="DB28" s="536"/>
      <c r="DC28" s="536"/>
      <c r="DD28" s="541">
        <f t="shared" si="23"/>
        <v>0</v>
      </c>
      <c r="DE28" s="536"/>
      <c r="DF28" s="536"/>
      <c r="DG28" s="536"/>
      <c r="DH28" s="541">
        <f t="shared" si="24"/>
        <v>0</v>
      </c>
      <c r="DI28" s="536"/>
      <c r="DJ28" s="536"/>
      <c r="DK28" s="536"/>
      <c r="DL28" s="541">
        <f t="shared" si="25"/>
        <v>0</v>
      </c>
      <c r="DM28" s="536"/>
      <c r="DN28" s="536"/>
      <c r="DO28" s="536"/>
      <c r="DP28" s="541">
        <f>IF( SUM((DJ28*(20/100))+(DK28*(30/100))+(DL28*(50/100))) &gt;=9.3,9.5,
IF(AND( SUM((DJ28*(20/100))+(DK28*(30/100))+(DL28*(50/100))) &lt;=9.3, SUM((DJ28*(20/100))+(DK28*(30/100))+(DL28*(50/100))) &gt;=8.8),9,
IF(AND( SUM((DJ28*(20/100))+(DK28*(30/100))+(DL28*(50/100))) &lt;=8.8, SUM((DJ28*(20/100))+(DK28*(30/100))+(DL28*(50/100))) &gt;=8.3),8.5,
IF(AND( SUM((DJ28*(20/100))+(DK28*(30/100))+(DL28*(50/100))) &lt;=8.3, SUM((DJ28*(20/100))+(DK28*(30/100))+(DL28*(50/100))) &gt;=7.8),8,
IF(AND( SUM((DJ28*(20/100))+(DK28*(30/100))+(DL28*(50/100))) &lt;=7.8, SUM((DJ28*(20/100))+(DK28*(30/100))+(DL28*(50/100))) &gt;=7.3),7.5,
IF(AND( SUM((DJ28*(20/100))+(DK28*(30/100))+(DL28*(50/100))) &lt;=7.3, SUM((DJ28*(20/100))+(DK28*(30/100))+(DL28*(50/100))) &gt;=6.8),7,
IF(AND( SUM((DJ28*(20/100))+(DK28*(30/100))+(DL28*(50/100))) &lt;=6.8, SUM((DJ28*(20/100))+(DK28*(30/100))+(DL28*(50/100))) &gt;=6.3),6.5,
IF(AND( SUM((DJ28*(20/100))+(DK28*(30/100))+(DL28*(50/100))) &lt;=6.3, SUM((DJ28*(20/100))+(DK28*(30/100))+(DL28*(50/100))) &gt;=5.8),6,
IF(AND( SUM((DJ28*(20/100))+(DK28*(30/100))+(DL28*(50/100))) &lt;=5.8, SUM((DJ28*(20/100))+(DK28*(30/100))+(DL28*(50/100))) &gt;=5.3),5.5,
IF(AND( SUM((DJ28*(20/100))+(DK28*(30/100))+(DL28*(50/100))) &lt;=5.3, SUM((DJ28*(20/100))+(DK28*(30/100))+(DL28*(50/100))) &gt;=4.8),5,
IF(AND( SUM((DJ28*(20/100))+(DK28*(30/100))+(DL28*(50/100))) &lt;=4.8, SUM((DJ28*(20/100))+(DK28*(30/100))+(DL28*(50/100))) &gt;=4.3),4.5,
IF(AND( SUM((DJ28*(20/100))+(DK28*(30/100))+(DL28*(50/100))) &lt;=4.3, SUM((DJ28*(20/100))+(DK28*(30/100))+(DL28*(50/100))) &gt;=3.8),4,
IF(AND( SUM((DJ28*(20/100))+(DK28*(30/100))+(DL28*(50/100))) &lt;=3.8, SUM((DJ28*(20/100))+(DK28*(30/100))+(DL28*(50/100))) &gt;=3.5),3.5,0)))))))))))))</f>
        <v>0</v>
      </c>
      <c r="DQ28" s="541"/>
      <c r="DR28" s="541"/>
      <c r="DS28" s="541"/>
      <c r="DT28" s="541"/>
      <c r="DU28" s="541"/>
      <c r="DV28" s="541"/>
      <c r="DW28" s="541"/>
      <c r="DX28" s="541"/>
      <c r="DY28" s="541"/>
      <c r="DZ28" s="541"/>
    </row>
    <row r="29" spans="2:130" ht="15" customHeight="1" x14ac:dyDescent="0.25">
      <c r="B29" s="334">
        <v>22</v>
      </c>
      <c r="C29" s="541"/>
      <c r="D29" s="334"/>
      <c r="E29" s="334"/>
      <c r="F29" s="334"/>
      <c r="G29" s="334"/>
      <c r="H29" s="334"/>
      <c r="I29" s="334"/>
      <c r="J29" s="536"/>
      <c r="K29" s="536"/>
      <c r="L29" s="536"/>
      <c r="M29" s="536"/>
      <c r="N29" s="536"/>
      <c r="O29" s="536"/>
      <c r="P29" s="536">
        <f t="shared" si="1"/>
        <v>0</v>
      </c>
      <c r="Q29" s="536"/>
      <c r="R29" s="536"/>
      <c r="S29" s="536"/>
      <c r="T29" s="536">
        <f t="shared" si="2"/>
        <v>0</v>
      </c>
      <c r="U29" s="536"/>
      <c r="V29" s="536"/>
      <c r="W29" s="536"/>
      <c r="X29" s="536">
        <f t="shared" si="3"/>
        <v>0</v>
      </c>
      <c r="Y29" s="536"/>
      <c r="Z29" s="536"/>
      <c r="AA29" s="536"/>
      <c r="AB29" s="536">
        <f t="shared" si="4"/>
        <v>0</v>
      </c>
      <c r="AC29" s="536"/>
      <c r="AD29" s="536"/>
      <c r="AE29" s="536"/>
      <c r="AF29" s="536">
        <f t="shared" si="5"/>
        <v>0</v>
      </c>
      <c r="AG29" s="536"/>
      <c r="AH29" s="536"/>
      <c r="AI29" s="536"/>
      <c r="AJ29" s="536">
        <f t="shared" si="6"/>
        <v>0</v>
      </c>
      <c r="AK29" s="536"/>
      <c r="AL29" s="536"/>
      <c r="AM29" s="536"/>
      <c r="AN29" s="542">
        <f t="shared" si="7"/>
        <v>0</v>
      </c>
      <c r="AO29" s="536"/>
      <c r="AP29" s="536"/>
      <c r="AQ29" s="536"/>
      <c r="AR29" s="542">
        <f t="shared" si="8"/>
        <v>0</v>
      </c>
      <c r="AS29" s="536"/>
      <c r="AT29" s="536"/>
      <c r="AU29" s="536"/>
      <c r="AV29" s="542">
        <f t="shared" si="9"/>
        <v>0</v>
      </c>
      <c r="AW29" s="536"/>
      <c r="AX29" s="536"/>
      <c r="AY29" s="536"/>
      <c r="AZ29" s="542">
        <f t="shared" si="10"/>
        <v>0</v>
      </c>
      <c r="BA29" s="536"/>
      <c r="BB29" s="536"/>
      <c r="BC29" s="536"/>
      <c r="BD29" s="542">
        <f t="shared" si="11"/>
        <v>0</v>
      </c>
      <c r="BE29" s="536"/>
      <c r="BF29" s="536"/>
      <c r="BG29" s="536"/>
      <c r="BH29" s="542">
        <f t="shared" si="12"/>
        <v>0</v>
      </c>
      <c r="BI29" s="536"/>
      <c r="BJ29" s="536"/>
      <c r="BK29" s="536"/>
      <c r="BL29" s="542">
        <f t="shared" si="13"/>
        <v>0</v>
      </c>
      <c r="BM29" s="536"/>
      <c r="BN29" s="536"/>
      <c r="BO29" s="536"/>
      <c r="BP29" s="542">
        <f t="shared" si="14"/>
        <v>0</v>
      </c>
      <c r="BQ29" s="536"/>
      <c r="BR29" s="536"/>
      <c r="BS29" s="536"/>
      <c r="BT29" s="542">
        <f t="shared" si="15"/>
        <v>0</v>
      </c>
      <c r="BU29" s="536"/>
      <c r="BV29" s="536"/>
      <c r="BW29" s="536"/>
      <c r="BX29" s="542">
        <f t="shared" si="16"/>
        <v>0</v>
      </c>
      <c r="BY29" s="536"/>
      <c r="BZ29" s="536"/>
      <c r="CA29" s="536"/>
      <c r="CB29" s="542">
        <v>0</v>
      </c>
      <c r="CC29" s="536"/>
      <c r="CD29" s="536"/>
      <c r="CE29" s="536"/>
      <c r="CF29" s="541">
        <f t="shared" si="17"/>
        <v>0</v>
      </c>
      <c r="CG29" s="536"/>
      <c r="CH29" s="536"/>
      <c r="CI29" s="536"/>
      <c r="CJ29" s="541">
        <f t="shared" si="18"/>
        <v>0</v>
      </c>
      <c r="CK29" s="536"/>
      <c r="CL29" s="536"/>
      <c r="CM29" s="536"/>
      <c r="CN29" s="541">
        <f t="shared" si="19"/>
        <v>0</v>
      </c>
      <c r="CO29" s="536"/>
      <c r="CP29" s="536"/>
      <c r="CQ29" s="536"/>
      <c r="CR29" s="541">
        <f t="shared" si="20"/>
        <v>0</v>
      </c>
      <c r="CS29" s="536"/>
      <c r="CT29" s="536"/>
      <c r="CU29" s="536"/>
      <c r="CV29" s="541">
        <f t="shared" si="21"/>
        <v>0</v>
      </c>
      <c r="CW29" s="536"/>
      <c r="CX29" s="536"/>
      <c r="CY29" s="536"/>
      <c r="CZ29" s="541">
        <f t="shared" si="22"/>
        <v>0</v>
      </c>
      <c r="DA29" s="536"/>
      <c r="DB29" s="536"/>
      <c r="DC29" s="536"/>
      <c r="DD29" s="541">
        <f t="shared" si="23"/>
        <v>0</v>
      </c>
      <c r="DE29" s="536"/>
      <c r="DF29" s="536"/>
      <c r="DG29" s="536"/>
      <c r="DH29" s="541">
        <f t="shared" si="24"/>
        <v>0</v>
      </c>
      <c r="DI29" s="536"/>
      <c r="DJ29" s="536"/>
      <c r="DK29" s="536"/>
      <c r="DL29" s="541">
        <f t="shared" si="25"/>
        <v>0</v>
      </c>
      <c r="DM29" s="536"/>
      <c r="DN29" s="536"/>
      <c r="DO29" s="536"/>
      <c r="DP29" s="541">
        <f>IF( SUM((DJ29*(20/100))+(DK29*(30/100))+(DL29*(50/100))) &gt;=9.3,9.5,
IF(AND( SUM((DJ29*(20/100))+(DK29*(30/100))+(DL29*(50/100))) &lt;=9.3, SUM((DJ29*(20/100))+(DK29*(30/100))+(DL29*(50/100))) &gt;=8.8),9,
IF(AND( SUM((DJ29*(20/100))+(DK29*(30/100))+(DL29*(50/100))) &lt;=8.8, SUM((DJ29*(20/100))+(DK29*(30/100))+(DL29*(50/100))) &gt;=8.3),8.5,
IF(AND( SUM((DJ29*(20/100))+(DK29*(30/100))+(DL29*(50/100))) &lt;=8.3, SUM((DJ29*(20/100))+(DK29*(30/100))+(DL29*(50/100))) &gt;=7.8),8,
IF(AND( SUM((DJ29*(20/100))+(DK29*(30/100))+(DL29*(50/100))) &lt;=7.8, SUM((DJ29*(20/100))+(DK29*(30/100))+(DL29*(50/100))) &gt;=7.3),7.5,
IF(AND( SUM((DJ29*(20/100))+(DK29*(30/100))+(DL29*(50/100))) &lt;=7.3, SUM((DJ29*(20/100))+(DK29*(30/100))+(DL29*(50/100))) &gt;=6.8),7,
IF(AND( SUM((DJ29*(20/100))+(DK29*(30/100))+(DL29*(50/100))) &lt;=6.8, SUM((DJ29*(20/100))+(DK29*(30/100))+(DL29*(50/100))) &gt;=6.3),6.5,
IF(AND( SUM((DJ29*(20/100))+(DK29*(30/100))+(DL29*(50/100))) &lt;=6.3, SUM((DJ29*(20/100))+(DK29*(30/100))+(DL29*(50/100))) &gt;=5.8),6,
IF(AND( SUM((DJ29*(20/100))+(DK29*(30/100))+(DL29*(50/100))) &lt;=5.8, SUM((DJ29*(20/100))+(DK29*(30/100))+(DL29*(50/100))) &gt;=5.3),5.5,
IF(AND( SUM((DJ29*(20/100))+(DK29*(30/100))+(DL29*(50/100))) &lt;=5.3, SUM((DJ29*(20/100))+(DK29*(30/100))+(DL29*(50/100))) &gt;=4.8),5,
IF(AND( SUM((DJ29*(20/100))+(DK29*(30/100))+(DL29*(50/100))) &lt;=4.8, SUM((DJ29*(20/100))+(DK29*(30/100))+(DL29*(50/100))) &gt;=4.3),4.5,
IF(AND( SUM((DJ29*(20/100))+(DK29*(30/100))+(DL29*(50/100))) &lt;=4.3, SUM((DJ29*(20/100))+(DK29*(30/100))+(DL29*(50/100))) &gt;=3.8),4,
IF(AND( SUM((DJ29*(20/100))+(DK29*(30/100))+(DL29*(50/100))) &lt;=3.8, SUM((DJ29*(20/100))+(DK29*(30/100))+(DL29*(50/100))) &gt;=3.5),3.5,0)))))))))))))</f>
        <v>0</v>
      </c>
      <c r="DQ29" s="541"/>
      <c r="DR29" s="541"/>
      <c r="DS29" s="541"/>
      <c r="DT29" s="541"/>
      <c r="DU29" s="541"/>
      <c r="DV29" s="541"/>
      <c r="DW29" s="541"/>
      <c r="DX29" s="541"/>
      <c r="DY29" s="541"/>
      <c r="DZ29" s="541"/>
    </row>
    <row r="30" spans="2:130" ht="15" customHeight="1" x14ac:dyDescent="0.25">
      <c r="B30" s="334">
        <v>23</v>
      </c>
      <c r="C30" s="541"/>
      <c r="D30" s="334"/>
      <c r="E30" s="334"/>
      <c r="F30" s="334"/>
      <c r="G30" s="334"/>
      <c r="H30" s="334"/>
      <c r="I30" s="334"/>
      <c r="J30" s="536"/>
      <c r="K30" s="536"/>
      <c r="L30" s="536"/>
      <c r="M30" s="536"/>
      <c r="N30" s="536"/>
      <c r="O30" s="536"/>
      <c r="P30" s="536">
        <f t="shared" si="1"/>
        <v>0</v>
      </c>
      <c r="Q30" s="536"/>
      <c r="R30" s="536"/>
      <c r="S30" s="536"/>
      <c r="T30" s="536">
        <f t="shared" si="2"/>
        <v>0</v>
      </c>
      <c r="U30" s="536"/>
      <c r="V30" s="536"/>
      <c r="W30" s="536"/>
      <c r="X30" s="536">
        <f t="shared" si="3"/>
        <v>0</v>
      </c>
      <c r="Y30" s="536"/>
      <c r="Z30" s="536"/>
      <c r="AA30" s="536"/>
      <c r="AB30" s="536">
        <f t="shared" si="4"/>
        <v>0</v>
      </c>
      <c r="AC30" s="536"/>
      <c r="AD30" s="536"/>
      <c r="AE30" s="536"/>
      <c r="AF30" s="536">
        <f t="shared" si="5"/>
        <v>0</v>
      </c>
      <c r="AG30" s="536"/>
      <c r="AH30" s="536"/>
      <c r="AI30" s="536"/>
      <c r="AJ30" s="536">
        <f t="shared" si="6"/>
        <v>0</v>
      </c>
      <c r="AK30" s="536"/>
      <c r="AL30" s="536"/>
      <c r="AM30" s="536"/>
      <c r="AN30" s="542">
        <f t="shared" si="7"/>
        <v>0</v>
      </c>
      <c r="AO30" s="536"/>
      <c r="AP30" s="536"/>
      <c r="AQ30" s="536"/>
      <c r="AR30" s="542">
        <f t="shared" si="8"/>
        <v>0</v>
      </c>
      <c r="AS30" s="536"/>
      <c r="AT30" s="536"/>
      <c r="AU30" s="536"/>
      <c r="AV30" s="542">
        <f t="shared" si="9"/>
        <v>0</v>
      </c>
      <c r="AW30" s="536"/>
      <c r="AX30" s="536"/>
      <c r="AY30" s="536"/>
      <c r="AZ30" s="542">
        <f t="shared" si="10"/>
        <v>0</v>
      </c>
      <c r="BA30" s="536"/>
      <c r="BB30" s="536"/>
      <c r="BC30" s="536"/>
      <c r="BD30" s="542">
        <f t="shared" si="11"/>
        <v>0</v>
      </c>
      <c r="BE30" s="536"/>
      <c r="BF30" s="536"/>
      <c r="BG30" s="536"/>
      <c r="BH30" s="542">
        <f t="shared" si="12"/>
        <v>0</v>
      </c>
      <c r="BI30" s="536"/>
      <c r="BJ30" s="536"/>
      <c r="BK30" s="536"/>
      <c r="BL30" s="542">
        <f t="shared" si="13"/>
        <v>0</v>
      </c>
      <c r="BM30" s="536"/>
      <c r="BN30" s="536"/>
      <c r="BO30" s="536"/>
      <c r="BP30" s="542">
        <f t="shared" si="14"/>
        <v>0</v>
      </c>
      <c r="BQ30" s="536"/>
      <c r="BR30" s="536"/>
      <c r="BS30" s="536"/>
      <c r="BT30" s="542">
        <f t="shared" si="15"/>
        <v>0</v>
      </c>
      <c r="BU30" s="536"/>
      <c r="BV30" s="536"/>
      <c r="BW30" s="536"/>
      <c r="BX30" s="542">
        <f t="shared" si="16"/>
        <v>0</v>
      </c>
      <c r="BY30" s="536"/>
      <c r="BZ30" s="536"/>
      <c r="CA30" s="536"/>
      <c r="CB30" s="542">
        <v>0</v>
      </c>
      <c r="CC30" s="536"/>
      <c r="CD30" s="536"/>
      <c r="CE30" s="536"/>
      <c r="CF30" s="541">
        <f t="shared" si="17"/>
        <v>0</v>
      </c>
      <c r="CG30" s="536"/>
      <c r="CH30" s="536"/>
      <c r="CI30" s="536"/>
      <c r="CJ30" s="541">
        <f t="shared" si="18"/>
        <v>0</v>
      </c>
      <c r="CK30" s="536"/>
      <c r="CL30" s="536"/>
      <c r="CM30" s="536"/>
      <c r="CN30" s="541">
        <f t="shared" si="19"/>
        <v>0</v>
      </c>
      <c r="CO30" s="536"/>
      <c r="CP30" s="536"/>
      <c r="CQ30" s="536"/>
      <c r="CR30" s="541">
        <f t="shared" si="20"/>
        <v>0</v>
      </c>
      <c r="CS30" s="536"/>
      <c r="CT30" s="536"/>
      <c r="CU30" s="536"/>
      <c r="CV30" s="541">
        <f t="shared" si="21"/>
        <v>0</v>
      </c>
      <c r="CW30" s="536"/>
      <c r="CX30" s="536"/>
      <c r="CY30" s="536"/>
      <c r="CZ30" s="541">
        <f t="shared" si="22"/>
        <v>0</v>
      </c>
      <c r="DA30" s="536"/>
      <c r="DB30" s="536"/>
      <c r="DC30" s="536"/>
      <c r="DD30" s="541">
        <f t="shared" si="23"/>
        <v>0</v>
      </c>
      <c r="DE30" s="536"/>
      <c r="DF30" s="536"/>
      <c r="DG30" s="536"/>
      <c r="DH30" s="541">
        <f t="shared" si="24"/>
        <v>0</v>
      </c>
      <c r="DI30" s="536"/>
      <c r="DJ30" s="536"/>
      <c r="DK30" s="536"/>
      <c r="DL30" s="541">
        <f t="shared" si="25"/>
        <v>0</v>
      </c>
      <c r="DM30" s="536"/>
      <c r="DN30" s="536"/>
      <c r="DO30" s="536"/>
      <c r="DP30" s="541">
        <f>IF( SUM((DJ30*(20/100))+(DK30*(30/100))+(DL30*(50/100))) &gt;=9.3,9.5,
IF(AND( SUM((DJ30*(20/100))+(DK30*(30/100))+(DL30*(50/100))) &lt;=9.3, SUM((DJ30*(20/100))+(DK30*(30/100))+(DL30*(50/100))) &gt;=8.8),9,
IF(AND( SUM((DJ30*(20/100))+(DK30*(30/100))+(DL30*(50/100))) &lt;=8.8, SUM((DJ30*(20/100))+(DK30*(30/100))+(DL30*(50/100))) &gt;=8.3),8.5,
IF(AND( SUM((DJ30*(20/100))+(DK30*(30/100))+(DL30*(50/100))) &lt;=8.3, SUM((DJ30*(20/100))+(DK30*(30/100))+(DL30*(50/100))) &gt;=7.8),8,
IF(AND( SUM((DJ30*(20/100))+(DK30*(30/100))+(DL30*(50/100))) &lt;=7.8, SUM((DJ30*(20/100))+(DK30*(30/100))+(DL30*(50/100))) &gt;=7.3),7.5,
IF(AND( SUM((DJ30*(20/100))+(DK30*(30/100))+(DL30*(50/100))) &lt;=7.3, SUM((DJ30*(20/100))+(DK30*(30/100))+(DL30*(50/100))) &gt;=6.8),7,
IF(AND( SUM((DJ30*(20/100))+(DK30*(30/100))+(DL30*(50/100))) &lt;=6.8, SUM((DJ30*(20/100))+(DK30*(30/100))+(DL30*(50/100))) &gt;=6.3),6.5,
IF(AND( SUM((DJ30*(20/100))+(DK30*(30/100))+(DL30*(50/100))) &lt;=6.3, SUM((DJ30*(20/100))+(DK30*(30/100))+(DL30*(50/100))) &gt;=5.8),6,
IF(AND( SUM((DJ30*(20/100))+(DK30*(30/100))+(DL30*(50/100))) &lt;=5.8, SUM((DJ30*(20/100))+(DK30*(30/100))+(DL30*(50/100))) &gt;=5.3),5.5,
IF(AND( SUM((DJ30*(20/100))+(DK30*(30/100))+(DL30*(50/100))) &lt;=5.3, SUM((DJ30*(20/100))+(DK30*(30/100))+(DL30*(50/100))) &gt;=4.8),5,
IF(AND( SUM((DJ30*(20/100))+(DK30*(30/100))+(DL30*(50/100))) &lt;=4.8, SUM((DJ30*(20/100))+(DK30*(30/100))+(DL30*(50/100))) &gt;=4.3),4.5,
IF(AND( SUM((DJ30*(20/100))+(DK30*(30/100))+(DL30*(50/100))) &lt;=4.3, SUM((DJ30*(20/100))+(DK30*(30/100))+(DL30*(50/100))) &gt;=3.8),4,
IF(AND( SUM((DJ30*(20/100))+(DK30*(30/100))+(DL30*(50/100))) &lt;=3.8, SUM((DJ30*(20/100))+(DK30*(30/100))+(DL30*(50/100))) &gt;=3.5),3.5,0)))))))))))))</f>
        <v>0</v>
      </c>
      <c r="DQ30" s="541"/>
      <c r="DR30" s="541"/>
      <c r="DS30" s="541"/>
      <c r="DT30" s="541"/>
      <c r="DU30" s="541"/>
      <c r="DV30" s="541"/>
      <c r="DW30" s="541"/>
      <c r="DX30" s="541"/>
      <c r="DY30" s="541"/>
      <c r="DZ30" s="541"/>
    </row>
    <row r="31" spans="2:130" ht="15" customHeight="1" x14ac:dyDescent="0.25">
      <c r="B31" s="334">
        <v>24</v>
      </c>
      <c r="C31" s="541"/>
      <c r="D31" s="334"/>
      <c r="E31" s="334"/>
      <c r="F31" s="334"/>
      <c r="G31" s="334"/>
      <c r="H31" s="334"/>
      <c r="I31" s="334"/>
      <c r="J31" s="536"/>
      <c r="K31" s="536"/>
      <c r="L31" s="536"/>
      <c r="M31" s="536"/>
      <c r="N31" s="536"/>
      <c r="O31" s="536"/>
      <c r="P31" s="536">
        <f t="shared" si="1"/>
        <v>0</v>
      </c>
      <c r="Q31" s="536"/>
      <c r="R31" s="536"/>
      <c r="S31" s="536"/>
      <c r="T31" s="536">
        <f t="shared" si="2"/>
        <v>0</v>
      </c>
      <c r="U31" s="536"/>
      <c r="V31" s="536"/>
      <c r="W31" s="536"/>
      <c r="X31" s="536">
        <f t="shared" si="3"/>
        <v>0</v>
      </c>
      <c r="Y31" s="536"/>
      <c r="Z31" s="536"/>
      <c r="AA31" s="536"/>
      <c r="AB31" s="536">
        <f t="shared" si="4"/>
        <v>0</v>
      </c>
      <c r="AC31" s="536"/>
      <c r="AD31" s="536"/>
      <c r="AE31" s="536"/>
      <c r="AF31" s="536">
        <f t="shared" si="5"/>
        <v>0</v>
      </c>
      <c r="AG31" s="536"/>
      <c r="AH31" s="536"/>
      <c r="AI31" s="536"/>
      <c r="AJ31" s="536">
        <f t="shared" si="6"/>
        <v>0</v>
      </c>
      <c r="AK31" s="536"/>
      <c r="AL31" s="536"/>
      <c r="AM31" s="536"/>
      <c r="AN31" s="542">
        <f t="shared" si="7"/>
        <v>0</v>
      </c>
      <c r="AO31" s="536"/>
      <c r="AP31" s="536"/>
      <c r="AQ31" s="536"/>
      <c r="AR31" s="542">
        <f t="shared" si="8"/>
        <v>0</v>
      </c>
      <c r="AS31" s="536"/>
      <c r="AT31" s="536"/>
      <c r="AU31" s="536"/>
      <c r="AV31" s="542">
        <f t="shared" si="9"/>
        <v>0</v>
      </c>
      <c r="AW31" s="536"/>
      <c r="AX31" s="536"/>
      <c r="AY31" s="536"/>
      <c r="AZ31" s="542">
        <f t="shared" si="10"/>
        <v>0</v>
      </c>
      <c r="BA31" s="536"/>
      <c r="BB31" s="536"/>
      <c r="BC31" s="536"/>
      <c r="BD31" s="542">
        <f t="shared" si="11"/>
        <v>0</v>
      </c>
      <c r="BE31" s="536"/>
      <c r="BF31" s="536"/>
      <c r="BG31" s="536"/>
      <c r="BH31" s="542">
        <f t="shared" si="12"/>
        <v>0</v>
      </c>
      <c r="BI31" s="536"/>
      <c r="BJ31" s="536"/>
      <c r="BK31" s="536"/>
      <c r="BL31" s="542">
        <f t="shared" si="13"/>
        <v>0</v>
      </c>
      <c r="BM31" s="536"/>
      <c r="BN31" s="536"/>
      <c r="BO31" s="536"/>
      <c r="BP31" s="542">
        <f t="shared" si="14"/>
        <v>0</v>
      </c>
      <c r="BQ31" s="536"/>
      <c r="BR31" s="536"/>
      <c r="BS31" s="536"/>
      <c r="BT31" s="542">
        <f t="shared" si="15"/>
        <v>0</v>
      </c>
      <c r="BU31" s="536"/>
      <c r="BV31" s="536"/>
      <c r="BW31" s="536"/>
      <c r="BX31" s="542">
        <f t="shared" si="16"/>
        <v>0</v>
      </c>
      <c r="BY31" s="536"/>
      <c r="BZ31" s="536"/>
      <c r="CA31" s="536"/>
      <c r="CB31" s="542">
        <v>0</v>
      </c>
      <c r="CC31" s="536"/>
      <c r="CD31" s="536"/>
      <c r="CE31" s="536"/>
      <c r="CF31" s="541">
        <f t="shared" si="17"/>
        <v>0</v>
      </c>
      <c r="CG31" s="536"/>
      <c r="CH31" s="536"/>
      <c r="CI31" s="536"/>
      <c r="CJ31" s="541">
        <f t="shared" si="18"/>
        <v>0</v>
      </c>
      <c r="CK31" s="536"/>
      <c r="CL31" s="536"/>
      <c r="CM31" s="536"/>
      <c r="CN31" s="541">
        <f t="shared" si="19"/>
        <v>0</v>
      </c>
      <c r="CO31" s="536"/>
      <c r="CP31" s="536"/>
      <c r="CQ31" s="536"/>
      <c r="CR31" s="541">
        <f t="shared" si="20"/>
        <v>0</v>
      </c>
      <c r="CS31" s="536"/>
      <c r="CT31" s="536"/>
      <c r="CU31" s="536"/>
      <c r="CV31" s="541">
        <f t="shared" si="21"/>
        <v>0</v>
      </c>
      <c r="CW31" s="536"/>
      <c r="CX31" s="536"/>
      <c r="CY31" s="536"/>
      <c r="CZ31" s="541">
        <f t="shared" si="22"/>
        <v>0</v>
      </c>
      <c r="DA31" s="536"/>
      <c r="DB31" s="536"/>
      <c r="DC31" s="536"/>
      <c r="DD31" s="541">
        <f t="shared" si="23"/>
        <v>0</v>
      </c>
      <c r="DE31" s="536"/>
      <c r="DF31" s="536"/>
      <c r="DG31" s="536"/>
      <c r="DH31" s="541">
        <f t="shared" si="24"/>
        <v>0</v>
      </c>
      <c r="DI31" s="536"/>
      <c r="DJ31" s="536"/>
      <c r="DK31" s="536"/>
      <c r="DL31" s="541">
        <f t="shared" si="25"/>
        <v>0</v>
      </c>
      <c r="DM31" s="536"/>
      <c r="DN31" s="536"/>
      <c r="DO31" s="536"/>
      <c r="DP31" s="541">
        <f>IF( SUM((DJ31*(20/100))+(DK31*(30/100))+(DL31*(50/100))) &gt;=9.3,9.5,
IF(AND( SUM((DJ31*(20/100))+(DK31*(30/100))+(DL31*(50/100))) &lt;=9.3, SUM((DJ31*(20/100))+(DK31*(30/100))+(DL31*(50/100))) &gt;=8.8),9,
IF(AND( SUM((DJ31*(20/100))+(DK31*(30/100))+(DL31*(50/100))) &lt;=8.8, SUM((DJ31*(20/100))+(DK31*(30/100))+(DL31*(50/100))) &gt;=8.3),8.5,
IF(AND( SUM((DJ31*(20/100))+(DK31*(30/100))+(DL31*(50/100))) &lt;=8.3, SUM((DJ31*(20/100))+(DK31*(30/100))+(DL31*(50/100))) &gt;=7.8),8,
IF(AND( SUM((DJ31*(20/100))+(DK31*(30/100))+(DL31*(50/100))) &lt;=7.8, SUM((DJ31*(20/100))+(DK31*(30/100))+(DL31*(50/100))) &gt;=7.3),7.5,
IF(AND( SUM((DJ31*(20/100))+(DK31*(30/100))+(DL31*(50/100))) &lt;=7.3, SUM((DJ31*(20/100))+(DK31*(30/100))+(DL31*(50/100))) &gt;=6.8),7,
IF(AND( SUM((DJ31*(20/100))+(DK31*(30/100))+(DL31*(50/100))) &lt;=6.8, SUM((DJ31*(20/100))+(DK31*(30/100))+(DL31*(50/100))) &gt;=6.3),6.5,
IF(AND( SUM((DJ31*(20/100))+(DK31*(30/100))+(DL31*(50/100))) &lt;=6.3, SUM((DJ31*(20/100))+(DK31*(30/100))+(DL31*(50/100))) &gt;=5.8),6,
IF(AND( SUM((DJ31*(20/100))+(DK31*(30/100))+(DL31*(50/100))) &lt;=5.8, SUM((DJ31*(20/100))+(DK31*(30/100))+(DL31*(50/100))) &gt;=5.3),5.5,
IF(AND( SUM((DJ31*(20/100))+(DK31*(30/100))+(DL31*(50/100))) &lt;=5.3, SUM((DJ31*(20/100))+(DK31*(30/100))+(DL31*(50/100))) &gt;=4.8),5,
IF(AND( SUM((DJ31*(20/100))+(DK31*(30/100))+(DL31*(50/100))) &lt;=4.8, SUM((DJ31*(20/100))+(DK31*(30/100))+(DL31*(50/100))) &gt;=4.3),4.5,
IF(AND( SUM((DJ31*(20/100))+(DK31*(30/100))+(DL31*(50/100))) &lt;=4.3, SUM((DJ31*(20/100))+(DK31*(30/100))+(DL31*(50/100))) &gt;=3.8),4,
IF(AND( SUM((DJ31*(20/100))+(DK31*(30/100))+(DL31*(50/100))) &lt;=3.8, SUM((DJ31*(20/100))+(DK31*(30/100))+(DL31*(50/100))) &gt;=3.5),3.5,0)))))))))))))</f>
        <v>0</v>
      </c>
      <c r="DQ31" s="541"/>
      <c r="DR31" s="541"/>
      <c r="DS31" s="541"/>
      <c r="DT31" s="541"/>
      <c r="DU31" s="541"/>
      <c r="DV31" s="541"/>
      <c r="DW31" s="541"/>
      <c r="DX31" s="541"/>
      <c r="DY31" s="541"/>
      <c r="DZ31" s="541"/>
    </row>
    <row r="32" spans="2:130" ht="15" customHeight="1" x14ac:dyDescent="0.25">
      <c r="B32" s="334">
        <v>25</v>
      </c>
      <c r="C32" s="541"/>
      <c r="D32" s="334"/>
      <c r="E32" s="334"/>
      <c r="F32" s="334"/>
      <c r="G32" s="334"/>
      <c r="H32" s="334"/>
      <c r="I32" s="334"/>
      <c r="J32" s="536"/>
      <c r="K32" s="536"/>
      <c r="L32" s="536"/>
      <c r="M32" s="536"/>
      <c r="N32" s="536"/>
      <c r="O32" s="536"/>
      <c r="P32" s="536">
        <f t="shared" si="1"/>
        <v>0</v>
      </c>
      <c r="Q32" s="536"/>
      <c r="R32" s="536"/>
      <c r="S32" s="536"/>
      <c r="T32" s="536">
        <f t="shared" si="2"/>
        <v>0</v>
      </c>
      <c r="U32" s="536"/>
      <c r="V32" s="536"/>
      <c r="W32" s="536"/>
      <c r="X32" s="536">
        <f t="shared" si="3"/>
        <v>0</v>
      </c>
      <c r="Y32" s="536"/>
      <c r="Z32" s="536"/>
      <c r="AA32" s="536"/>
      <c r="AB32" s="536">
        <f t="shared" si="4"/>
        <v>0</v>
      </c>
      <c r="AC32" s="536"/>
      <c r="AD32" s="536"/>
      <c r="AE32" s="536"/>
      <c r="AF32" s="536">
        <f t="shared" si="5"/>
        <v>0</v>
      </c>
      <c r="AG32" s="536"/>
      <c r="AH32" s="536"/>
      <c r="AI32" s="536"/>
      <c r="AJ32" s="536">
        <f t="shared" si="6"/>
        <v>0</v>
      </c>
      <c r="AK32" s="536"/>
      <c r="AL32" s="536"/>
      <c r="AM32" s="536"/>
      <c r="AN32" s="542">
        <f t="shared" si="7"/>
        <v>0</v>
      </c>
      <c r="AO32" s="536"/>
      <c r="AP32" s="536"/>
      <c r="AQ32" s="536"/>
      <c r="AR32" s="542">
        <f t="shared" si="8"/>
        <v>0</v>
      </c>
      <c r="AS32" s="536"/>
      <c r="AT32" s="536"/>
      <c r="AU32" s="536"/>
      <c r="AV32" s="542">
        <f t="shared" si="9"/>
        <v>0</v>
      </c>
      <c r="AW32" s="536"/>
      <c r="AX32" s="536"/>
      <c r="AY32" s="536"/>
      <c r="AZ32" s="542">
        <f t="shared" si="10"/>
        <v>0</v>
      </c>
      <c r="BA32" s="536"/>
      <c r="BB32" s="536"/>
      <c r="BC32" s="536"/>
      <c r="BD32" s="542">
        <f t="shared" si="11"/>
        <v>0</v>
      </c>
      <c r="BE32" s="536"/>
      <c r="BF32" s="536"/>
      <c r="BG32" s="536"/>
      <c r="BH32" s="542">
        <f t="shared" si="12"/>
        <v>0</v>
      </c>
      <c r="BI32" s="536"/>
      <c r="BJ32" s="536"/>
      <c r="BK32" s="536"/>
      <c r="BL32" s="542">
        <f t="shared" si="13"/>
        <v>0</v>
      </c>
      <c r="BM32" s="536"/>
      <c r="BN32" s="536"/>
      <c r="BO32" s="536"/>
      <c r="BP32" s="542">
        <f t="shared" si="14"/>
        <v>0</v>
      </c>
      <c r="BQ32" s="536"/>
      <c r="BR32" s="536"/>
      <c r="BS32" s="536"/>
      <c r="BT32" s="542">
        <f t="shared" si="15"/>
        <v>0</v>
      </c>
      <c r="BU32" s="536"/>
      <c r="BV32" s="536"/>
      <c r="BW32" s="536"/>
      <c r="BX32" s="542">
        <f t="shared" si="16"/>
        <v>0</v>
      </c>
      <c r="BY32" s="536"/>
      <c r="BZ32" s="536"/>
      <c r="CA32" s="536"/>
      <c r="CB32" s="542">
        <v>0</v>
      </c>
      <c r="CC32" s="536"/>
      <c r="CD32" s="536"/>
      <c r="CE32" s="536"/>
      <c r="CF32" s="541">
        <f t="shared" si="17"/>
        <v>0</v>
      </c>
      <c r="CG32" s="536"/>
      <c r="CH32" s="536"/>
      <c r="CI32" s="536"/>
      <c r="CJ32" s="541">
        <f t="shared" si="18"/>
        <v>0</v>
      </c>
      <c r="CK32" s="536"/>
      <c r="CL32" s="536"/>
      <c r="CM32" s="536"/>
      <c r="CN32" s="541">
        <f t="shared" si="19"/>
        <v>0</v>
      </c>
      <c r="CO32" s="536"/>
      <c r="CP32" s="536"/>
      <c r="CQ32" s="536"/>
      <c r="CR32" s="541">
        <f t="shared" si="20"/>
        <v>0</v>
      </c>
      <c r="CS32" s="536"/>
      <c r="CT32" s="536"/>
      <c r="CU32" s="536"/>
      <c r="CV32" s="541">
        <f t="shared" si="21"/>
        <v>0</v>
      </c>
      <c r="CW32" s="536"/>
      <c r="CX32" s="536"/>
      <c r="CY32" s="536"/>
      <c r="CZ32" s="541">
        <f t="shared" si="22"/>
        <v>0</v>
      </c>
      <c r="DA32" s="536"/>
      <c r="DB32" s="536"/>
      <c r="DC32" s="536"/>
      <c r="DD32" s="541">
        <f t="shared" si="23"/>
        <v>0</v>
      </c>
      <c r="DE32" s="536"/>
      <c r="DF32" s="536"/>
      <c r="DG32" s="536"/>
      <c r="DH32" s="541">
        <f t="shared" si="24"/>
        <v>0</v>
      </c>
      <c r="DI32" s="536"/>
      <c r="DJ32" s="536"/>
      <c r="DK32" s="536"/>
      <c r="DL32" s="541">
        <f t="shared" si="25"/>
        <v>0</v>
      </c>
      <c r="DM32" s="536"/>
      <c r="DN32" s="536"/>
      <c r="DO32" s="536"/>
      <c r="DP32" s="541">
        <f>IF( SUM((DJ32*(20/100))+(DK32*(30/100))+(DL32*(50/100))) &gt;=9.3,9.5,
IF(AND( SUM((DJ32*(20/100))+(DK32*(30/100))+(DL32*(50/100))) &lt;=9.3, SUM((DJ32*(20/100))+(DK32*(30/100))+(DL32*(50/100))) &gt;=8.8),9,
IF(AND( SUM((DJ32*(20/100))+(DK32*(30/100))+(DL32*(50/100))) &lt;=8.8, SUM((DJ32*(20/100))+(DK32*(30/100))+(DL32*(50/100))) &gt;=8.3),8.5,
IF(AND( SUM((DJ32*(20/100))+(DK32*(30/100))+(DL32*(50/100))) &lt;=8.3, SUM((DJ32*(20/100))+(DK32*(30/100))+(DL32*(50/100))) &gt;=7.8),8,
IF(AND( SUM((DJ32*(20/100))+(DK32*(30/100))+(DL32*(50/100))) &lt;=7.8, SUM((DJ32*(20/100))+(DK32*(30/100))+(DL32*(50/100))) &gt;=7.3),7.5,
IF(AND( SUM((DJ32*(20/100))+(DK32*(30/100))+(DL32*(50/100))) &lt;=7.3, SUM((DJ32*(20/100))+(DK32*(30/100))+(DL32*(50/100))) &gt;=6.8),7,
IF(AND( SUM((DJ32*(20/100))+(DK32*(30/100))+(DL32*(50/100))) &lt;=6.8, SUM((DJ32*(20/100))+(DK32*(30/100))+(DL32*(50/100))) &gt;=6.3),6.5,
IF(AND( SUM((DJ32*(20/100))+(DK32*(30/100))+(DL32*(50/100))) &lt;=6.3, SUM((DJ32*(20/100))+(DK32*(30/100))+(DL32*(50/100))) &gt;=5.8),6,
IF(AND( SUM((DJ32*(20/100))+(DK32*(30/100))+(DL32*(50/100))) &lt;=5.8, SUM((DJ32*(20/100))+(DK32*(30/100))+(DL32*(50/100))) &gt;=5.3),5.5,
IF(AND( SUM((DJ32*(20/100))+(DK32*(30/100))+(DL32*(50/100))) &lt;=5.3, SUM((DJ32*(20/100))+(DK32*(30/100))+(DL32*(50/100))) &gt;=4.8),5,
IF(AND( SUM((DJ32*(20/100))+(DK32*(30/100))+(DL32*(50/100))) &lt;=4.8, SUM((DJ32*(20/100))+(DK32*(30/100))+(DL32*(50/100))) &gt;=4.3),4.5,
IF(AND( SUM((DJ32*(20/100))+(DK32*(30/100))+(DL32*(50/100))) &lt;=4.3, SUM((DJ32*(20/100))+(DK32*(30/100))+(DL32*(50/100))) &gt;=3.8),4,
IF(AND( SUM((DJ32*(20/100))+(DK32*(30/100))+(DL32*(50/100))) &lt;=3.8, SUM((DJ32*(20/100))+(DK32*(30/100))+(DL32*(50/100))) &gt;=3.5),3.5,0)))))))))))))</f>
        <v>0</v>
      </c>
      <c r="DQ32" s="541"/>
      <c r="DR32" s="541"/>
      <c r="DS32" s="541"/>
      <c r="DT32" s="541"/>
      <c r="DU32" s="541"/>
      <c r="DV32" s="541"/>
      <c r="DW32" s="541"/>
      <c r="DX32" s="541"/>
      <c r="DY32" s="541"/>
      <c r="DZ32" s="541"/>
    </row>
    <row r="33" spans="2:130" ht="15" customHeight="1" x14ac:dyDescent="0.25">
      <c r="B33" s="334">
        <v>26</v>
      </c>
      <c r="C33" s="541"/>
      <c r="D33" s="334"/>
      <c r="E33" s="334"/>
      <c r="F33" s="334"/>
      <c r="G33" s="334"/>
      <c r="H33" s="334"/>
      <c r="I33" s="334"/>
      <c r="J33" s="536"/>
      <c r="K33" s="536"/>
      <c r="L33" s="536"/>
      <c r="M33" s="536"/>
      <c r="N33" s="536"/>
      <c r="O33" s="536"/>
      <c r="P33" s="536">
        <f t="shared" si="1"/>
        <v>0</v>
      </c>
      <c r="Q33" s="536"/>
      <c r="R33" s="536"/>
      <c r="S33" s="536"/>
      <c r="T33" s="536">
        <f t="shared" si="2"/>
        <v>0</v>
      </c>
      <c r="U33" s="536"/>
      <c r="V33" s="536"/>
      <c r="W33" s="536"/>
      <c r="X33" s="536">
        <f t="shared" si="3"/>
        <v>0</v>
      </c>
      <c r="Y33" s="536"/>
      <c r="Z33" s="536"/>
      <c r="AA33" s="536"/>
      <c r="AB33" s="536">
        <f t="shared" si="4"/>
        <v>0</v>
      </c>
      <c r="AC33" s="536"/>
      <c r="AD33" s="536"/>
      <c r="AE33" s="536"/>
      <c r="AF33" s="536">
        <f t="shared" si="5"/>
        <v>0</v>
      </c>
      <c r="AG33" s="536"/>
      <c r="AH33" s="536"/>
      <c r="AI33" s="536"/>
      <c r="AJ33" s="536">
        <f t="shared" si="6"/>
        <v>0</v>
      </c>
      <c r="AK33" s="536"/>
      <c r="AL33" s="536"/>
      <c r="AM33" s="536"/>
      <c r="AN33" s="542">
        <f t="shared" si="7"/>
        <v>0</v>
      </c>
      <c r="AO33" s="536"/>
      <c r="AP33" s="536"/>
      <c r="AQ33" s="536"/>
      <c r="AR33" s="542">
        <f t="shared" si="8"/>
        <v>0</v>
      </c>
      <c r="AS33" s="536"/>
      <c r="AT33" s="536"/>
      <c r="AU33" s="536"/>
      <c r="AV33" s="542">
        <f t="shared" si="9"/>
        <v>0</v>
      </c>
      <c r="AW33" s="536"/>
      <c r="AX33" s="536"/>
      <c r="AY33" s="536"/>
      <c r="AZ33" s="542">
        <f t="shared" si="10"/>
        <v>0</v>
      </c>
      <c r="BA33" s="536"/>
      <c r="BB33" s="536"/>
      <c r="BC33" s="536"/>
      <c r="BD33" s="542">
        <f t="shared" si="11"/>
        <v>0</v>
      </c>
      <c r="BE33" s="536"/>
      <c r="BF33" s="536"/>
      <c r="BG33" s="536"/>
      <c r="BH33" s="542">
        <f t="shared" si="12"/>
        <v>0</v>
      </c>
      <c r="BI33" s="536"/>
      <c r="BJ33" s="536"/>
      <c r="BK33" s="536"/>
      <c r="BL33" s="542">
        <f t="shared" si="13"/>
        <v>0</v>
      </c>
      <c r="BM33" s="536"/>
      <c r="BN33" s="536"/>
      <c r="BO33" s="536"/>
      <c r="BP33" s="542">
        <f t="shared" si="14"/>
        <v>0</v>
      </c>
      <c r="BQ33" s="536"/>
      <c r="BR33" s="536"/>
      <c r="BS33" s="536"/>
      <c r="BT33" s="542">
        <f t="shared" si="15"/>
        <v>0</v>
      </c>
      <c r="BU33" s="536"/>
      <c r="BV33" s="536"/>
      <c r="BW33" s="536"/>
      <c r="BX33" s="542">
        <f t="shared" si="16"/>
        <v>0</v>
      </c>
      <c r="BY33" s="536"/>
      <c r="BZ33" s="536"/>
      <c r="CA33" s="536"/>
      <c r="CB33" s="542">
        <v>0</v>
      </c>
      <c r="CC33" s="536"/>
      <c r="CD33" s="536"/>
      <c r="CE33" s="536"/>
      <c r="CF33" s="541">
        <f t="shared" si="17"/>
        <v>0</v>
      </c>
      <c r="CG33" s="536"/>
      <c r="CH33" s="536"/>
      <c r="CI33" s="536"/>
      <c r="CJ33" s="541">
        <f t="shared" si="18"/>
        <v>0</v>
      </c>
      <c r="CK33" s="536"/>
      <c r="CL33" s="536"/>
      <c r="CM33" s="536"/>
      <c r="CN33" s="541">
        <f t="shared" si="19"/>
        <v>0</v>
      </c>
      <c r="CO33" s="536"/>
      <c r="CP33" s="536"/>
      <c r="CQ33" s="536"/>
      <c r="CR33" s="541">
        <f t="shared" si="20"/>
        <v>0</v>
      </c>
      <c r="CS33" s="536"/>
      <c r="CT33" s="536"/>
      <c r="CU33" s="536"/>
      <c r="CV33" s="541">
        <f t="shared" si="21"/>
        <v>0</v>
      </c>
      <c r="CW33" s="536"/>
      <c r="CX33" s="536"/>
      <c r="CY33" s="536"/>
      <c r="CZ33" s="541">
        <f t="shared" si="22"/>
        <v>0</v>
      </c>
      <c r="DA33" s="536"/>
      <c r="DB33" s="536"/>
      <c r="DC33" s="536"/>
      <c r="DD33" s="541">
        <f t="shared" si="23"/>
        <v>0</v>
      </c>
      <c r="DE33" s="536"/>
      <c r="DF33" s="536"/>
      <c r="DG33" s="536"/>
      <c r="DH33" s="541">
        <f t="shared" si="24"/>
        <v>0</v>
      </c>
      <c r="DI33" s="536"/>
      <c r="DJ33" s="536"/>
      <c r="DK33" s="536"/>
      <c r="DL33" s="541">
        <f t="shared" si="25"/>
        <v>0</v>
      </c>
      <c r="DM33" s="536"/>
      <c r="DN33" s="536"/>
      <c r="DO33" s="536"/>
      <c r="DP33" s="541">
        <f>IF( SUM((DJ33*(20/100))+(DK33*(30/100))+(DL33*(50/100))) &gt;=9.3,9.5,
IF(AND( SUM((DJ33*(20/100))+(DK33*(30/100))+(DL33*(50/100))) &lt;=9.3, SUM((DJ33*(20/100))+(DK33*(30/100))+(DL33*(50/100))) &gt;=8.8),9,
IF(AND( SUM((DJ33*(20/100))+(DK33*(30/100))+(DL33*(50/100))) &lt;=8.8, SUM((DJ33*(20/100))+(DK33*(30/100))+(DL33*(50/100))) &gt;=8.3),8.5,
IF(AND( SUM((DJ33*(20/100))+(DK33*(30/100))+(DL33*(50/100))) &lt;=8.3, SUM((DJ33*(20/100))+(DK33*(30/100))+(DL33*(50/100))) &gt;=7.8),8,
IF(AND( SUM((DJ33*(20/100))+(DK33*(30/100))+(DL33*(50/100))) &lt;=7.8, SUM((DJ33*(20/100))+(DK33*(30/100))+(DL33*(50/100))) &gt;=7.3),7.5,
IF(AND( SUM((DJ33*(20/100))+(DK33*(30/100))+(DL33*(50/100))) &lt;=7.3, SUM((DJ33*(20/100))+(DK33*(30/100))+(DL33*(50/100))) &gt;=6.8),7,
IF(AND( SUM((DJ33*(20/100))+(DK33*(30/100))+(DL33*(50/100))) &lt;=6.8, SUM((DJ33*(20/100))+(DK33*(30/100))+(DL33*(50/100))) &gt;=6.3),6.5,
IF(AND( SUM((DJ33*(20/100))+(DK33*(30/100))+(DL33*(50/100))) &lt;=6.3, SUM((DJ33*(20/100))+(DK33*(30/100))+(DL33*(50/100))) &gt;=5.8),6,
IF(AND( SUM((DJ33*(20/100))+(DK33*(30/100))+(DL33*(50/100))) &lt;=5.8, SUM((DJ33*(20/100))+(DK33*(30/100))+(DL33*(50/100))) &gt;=5.3),5.5,
IF(AND( SUM((DJ33*(20/100))+(DK33*(30/100))+(DL33*(50/100))) &lt;=5.3, SUM((DJ33*(20/100))+(DK33*(30/100))+(DL33*(50/100))) &gt;=4.8),5,
IF(AND( SUM((DJ33*(20/100))+(DK33*(30/100))+(DL33*(50/100))) &lt;=4.8, SUM((DJ33*(20/100))+(DK33*(30/100))+(DL33*(50/100))) &gt;=4.3),4.5,
IF(AND( SUM((DJ33*(20/100))+(DK33*(30/100))+(DL33*(50/100))) &lt;=4.3, SUM((DJ33*(20/100))+(DK33*(30/100))+(DL33*(50/100))) &gt;=3.8),4,
IF(AND( SUM((DJ33*(20/100))+(DK33*(30/100))+(DL33*(50/100))) &lt;=3.8, SUM((DJ33*(20/100))+(DK33*(30/100))+(DL33*(50/100))) &gt;=3.5),3.5,0)))))))))))))</f>
        <v>0</v>
      </c>
      <c r="DQ33" s="541"/>
      <c r="DR33" s="541"/>
      <c r="DS33" s="541"/>
      <c r="DT33" s="541"/>
      <c r="DU33" s="541"/>
      <c r="DV33" s="541"/>
      <c r="DW33" s="541"/>
      <c r="DX33" s="541"/>
      <c r="DY33" s="541"/>
      <c r="DZ33" s="541"/>
    </row>
    <row r="34" spans="2:130" ht="15" customHeight="1" x14ac:dyDescent="0.25">
      <c r="B34" s="334">
        <v>27</v>
      </c>
      <c r="C34" s="541"/>
      <c r="D34" s="334"/>
      <c r="E34" s="334"/>
      <c r="F34" s="334"/>
      <c r="G34" s="334"/>
      <c r="H34" s="334"/>
      <c r="I34" s="334"/>
      <c r="J34" s="536"/>
      <c r="K34" s="536"/>
      <c r="L34" s="536"/>
      <c r="M34" s="536"/>
      <c r="N34" s="536"/>
      <c r="O34" s="536"/>
      <c r="P34" s="536">
        <f t="shared" si="1"/>
        <v>0</v>
      </c>
      <c r="Q34" s="536"/>
      <c r="R34" s="536"/>
      <c r="S34" s="536"/>
      <c r="T34" s="536">
        <f t="shared" si="2"/>
        <v>0</v>
      </c>
      <c r="U34" s="536"/>
      <c r="V34" s="536"/>
      <c r="W34" s="536"/>
      <c r="X34" s="536">
        <f t="shared" si="3"/>
        <v>0</v>
      </c>
      <c r="Y34" s="536"/>
      <c r="Z34" s="536"/>
      <c r="AA34" s="536"/>
      <c r="AB34" s="536">
        <f t="shared" si="4"/>
        <v>0</v>
      </c>
      <c r="AC34" s="536"/>
      <c r="AD34" s="536"/>
      <c r="AE34" s="536"/>
      <c r="AF34" s="536">
        <f t="shared" si="5"/>
        <v>0</v>
      </c>
      <c r="AG34" s="536"/>
      <c r="AH34" s="536"/>
      <c r="AI34" s="536"/>
      <c r="AJ34" s="536">
        <f t="shared" si="6"/>
        <v>0</v>
      </c>
      <c r="AK34" s="536"/>
      <c r="AL34" s="536"/>
      <c r="AM34" s="536"/>
      <c r="AN34" s="542">
        <f t="shared" si="7"/>
        <v>0</v>
      </c>
      <c r="AO34" s="536"/>
      <c r="AP34" s="536"/>
      <c r="AQ34" s="536"/>
      <c r="AR34" s="542">
        <f t="shared" si="8"/>
        <v>0</v>
      </c>
      <c r="AS34" s="536"/>
      <c r="AT34" s="536"/>
      <c r="AU34" s="536"/>
      <c r="AV34" s="542">
        <f t="shared" si="9"/>
        <v>0</v>
      </c>
      <c r="AW34" s="536"/>
      <c r="AX34" s="536"/>
      <c r="AY34" s="536"/>
      <c r="AZ34" s="542">
        <f t="shared" si="10"/>
        <v>0</v>
      </c>
      <c r="BA34" s="536"/>
      <c r="BB34" s="536"/>
      <c r="BC34" s="536"/>
      <c r="BD34" s="542">
        <f t="shared" si="11"/>
        <v>0</v>
      </c>
      <c r="BE34" s="536"/>
      <c r="BF34" s="536"/>
      <c r="BG34" s="536"/>
      <c r="BH34" s="542">
        <f t="shared" si="12"/>
        <v>0</v>
      </c>
      <c r="BI34" s="536"/>
      <c r="BJ34" s="536"/>
      <c r="BK34" s="536"/>
      <c r="BL34" s="542">
        <f t="shared" si="13"/>
        <v>0</v>
      </c>
      <c r="BM34" s="536"/>
      <c r="BN34" s="536"/>
      <c r="BO34" s="536"/>
      <c r="BP34" s="542">
        <f t="shared" si="14"/>
        <v>0</v>
      </c>
      <c r="BQ34" s="536"/>
      <c r="BR34" s="536"/>
      <c r="BS34" s="536"/>
      <c r="BT34" s="542">
        <f t="shared" si="15"/>
        <v>0</v>
      </c>
      <c r="BU34" s="536"/>
      <c r="BV34" s="536"/>
      <c r="BW34" s="536"/>
      <c r="BX34" s="542">
        <f t="shared" si="16"/>
        <v>0</v>
      </c>
      <c r="BY34" s="536"/>
      <c r="BZ34" s="536"/>
      <c r="CA34" s="536"/>
      <c r="CB34" s="542">
        <v>0</v>
      </c>
      <c r="CC34" s="536"/>
      <c r="CD34" s="536"/>
      <c r="CE34" s="536"/>
      <c r="CF34" s="541">
        <f t="shared" si="17"/>
        <v>0</v>
      </c>
      <c r="CG34" s="536"/>
      <c r="CH34" s="536"/>
      <c r="CI34" s="536"/>
      <c r="CJ34" s="541">
        <f t="shared" si="18"/>
        <v>0</v>
      </c>
      <c r="CK34" s="536"/>
      <c r="CL34" s="536"/>
      <c r="CM34" s="536"/>
      <c r="CN34" s="541">
        <f t="shared" si="19"/>
        <v>0</v>
      </c>
      <c r="CO34" s="536"/>
      <c r="CP34" s="536"/>
      <c r="CQ34" s="536"/>
      <c r="CR34" s="541">
        <f t="shared" si="20"/>
        <v>0</v>
      </c>
      <c r="CS34" s="536"/>
      <c r="CT34" s="536"/>
      <c r="CU34" s="536"/>
      <c r="CV34" s="541">
        <f t="shared" si="21"/>
        <v>0</v>
      </c>
      <c r="CW34" s="536"/>
      <c r="CX34" s="536"/>
      <c r="CY34" s="536"/>
      <c r="CZ34" s="541">
        <f t="shared" si="22"/>
        <v>0</v>
      </c>
      <c r="DA34" s="536"/>
      <c r="DB34" s="536"/>
      <c r="DC34" s="536"/>
      <c r="DD34" s="541">
        <f t="shared" si="23"/>
        <v>0</v>
      </c>
      <c r="DE34" s="536"/>
      <c r="DF34" s="536"/>
      <c r="DG34" s="536"/>
      <c r="DH34" s="541">
        <f t="shared" si="24"/>
        <v>0</v>
      </c>
      <c r="DI34" s="536"/>
      <c r="DJ34" s="536"/>
      <c r="DK34" s="536"/>
      <c r="DL34" s="541">
        <f t="shared" si="25"/>
        <v>0</v>
      </c>
      <c r="DM34" s="536"/>
      <c r="DN34" s="536"/>
      <c r="DO34" s="536"/>
      <c r="DP34" s="541">
        <f>IF( SUM((DJ34*(20/100))+(DK34*(30/100))+(DL34*(50/100))) &gt;=9.3,9.5,
IF(AND( SUM((DJ34*(20/100))+(DK34*(30/100))+(DL34*(50/100))) &lt;=9.3, SUM((DJ34*(20/100))+(DK34*(30/100))+(DL34*(50/100))) &gt;=8.8),9,
IF(AND( SUM((DJ34*(20/100))+(DK34*(30/100))+(DL34*(50/100))) &lt;=8.8, SUM((DJ34*(20/100))+(DK34*(30/100))+(DL34*(50/100))) &gt;=8.3),8.5,
IF(AND( SUM((DJ34*(20/100))+(DK34*(30/100))+(DL34*(50/100))) &lt;=8.3, SUM((DJ34*(20/100))+(DK34*(30/100))+(DL34*(50/100))) &gt;=7.8),8,
IF(AND( SUM((DJ34*(20/100))+(DK34*(30/100))+(DL34*(50/100))) &lt;=7.8, SUM((DJ34*(20/100))+(DK34*(30/100))+(DL34*(50/100))) &gt;=7.3),7.5,
IF(AND( SUM((DJ34*(20/100))+(DK34*(30/100))+(DL34*(50/100))) &lt;=7.3, SUM((DJ34*(20/100))+(DK34*(30/100))+(DL34*(50/100))) &gt;=6.8),7,
IF(AND( SUM((DJ34*(20/100))+(DK34*(30/100))+(DL34*(50/100))) &lt;=6.8, SUM((DJ34*(20/100))+(DK34*(30/100))+(DL34*(50/100))) &gt;=6.3),6.5,
IF(AND( SUM((DJ34*(20/100))+(DK34*(30/100))+(DL34*(50/100))) &lt;=6.3, SUM((DJ34*(20/100))+(DK34*(30/100))+(DL34*(50/100))) &gt;=5.8),6,
IF(AND( SUM((DJ34*(20/100))+(DK34*(30/100))+(DL34*(50/100))) &lt;=5.8, SUM((DJ34*(20/100))+(DK34*(30/100))+(DL34*(50/100))) &gt;=5.3),5.5,
IF(AND( SUM((DJ34*(20/100))+(DK34*(30/100))+(DL34*(50/100))) &lt;=5.3, SUM((DJ34*(20/100))+(DK34*(30/100))+(DL34*(50/100))) &gt;=4.8),5,
IF(AND( SUM((DJ34*(20/100))+(DK34*(30/100))+(DL34*(50/100))) &lt;=4.8, SUM((DJ34*(20/100))+(DK34*(30/100))+(DL34*(50/100))) &gt;=4.3),4.5,
IF(AND( SUM((DJ34*(20/100))+(DK34*(30/100))+(DL34*(50/100))) &lt;=4.3, SUM((DJ34*(20/100))+(DK34*(30/100))+(DL34*(50/100))) &gt;=3.8),4,
IF(AND( SUM((DJ34*(20/100))+(DK34*(30/100))+(DL34*(50/100))) &lt;=3.8, SUM((DJ34*(20/100))+(DK34*(30/100))+(DL34*(50/100))) &gt;=3.5),3.5,0)))))))))))))</f>
        <v>0</v>
      </c>
      <c r="DQ34" s="541"/>
      <c r="DR34" s="541"/>
      <c r="DS34" s="541"/>
      <c r="DT34" s="541"/>
      <c r="DU34" s="541"/>
      <c r="DV34" s="541"/>
      <c r="DW34" s="541"/>
      <c r="DX34" s="541"/>
      <c r="DY34" s="541"/>
      <c r="DZ34" s="541"/>
    </row>
    <row r="35" spans="2:130" ht="15" customHeight="1" x14ac:dyDescent="0.25">
      <c r="B35" s="334">
        <v>28</v>
      </c>
      <c r="C35" s="541"/>
      <c r="D35" s="334"/>
      <c r="E35" s="334"/>
      <c r="F35" s="334"/>
      <c r="G35" s="334"/>
      <c r="H35" s="334"/>
      <c r="I35" s="334"/>
      <c r="J35" s="536"/>
      <c r="K35" s="536"/>
      <c r="L35" s="536"/>
      <c r="M35" s="536"/>
      <c r="N35" s="536"/>
      <c r="O35" s="536"/>
      <c r="P35" s="536">
        <f t="shared" si="1"/>
        <v>0</v>
      </c>
      <c r="Q35" s="536"/>
      <c r="R35" s="536"/>
      <c r="S35" s="536"/>
      <c r="T35" s="536">
        <f t="shared" si="2"/>
        <v>0</v>
      </c>
      <c r="U35" s="536"/>
      <c r="V35" s="536"/>
      <c r="W35" s="536"/>
      <c r="X35" s="536">
        <f t="shared" si="3"/>
        <v>0</v>
      </c>
      <c r="Y35" s="536"/>
      <c r="Z35" s="536"/>
      <c r="AA35" s="536"/>
      <c r="AB35" s="536">
        <f t="shared" si="4"/>
        <v>0</v>
      </c>
      <c r="AC35" s="536"/>
      <c r="AD35" s="536"/>
      <c r="AE35" s="536"/>
      <c r="AF35" s="536">
        <f t="shared" si="5"/>
        <v>0</v>
      </c>
      <c r="AG35" s="536"/>
      <c r="AH35" s="536"/>
      <c r="AI35" s="536"/>
      <c r="AJ35" s="536">
        <f t="shared" si="6"/>
        <v>0</v>
      </c>
      <c r="AK35" s="536"/>
      <c r="AL35" s="536"/>
      <c r="AM35" s="536"/>
      <c r="AN35" s="542">
        <f t="shared" si="7"/>
        <v>0</v>
      </c>
      <c r="AO35" s="536"/>
      <c r="AP35" s="536"/>
      <c r="AQ35" s="536"/>
      <c r="AR35" s="542">
        <f t="shared" si="8"/>
        <v>0</v>
      </c>
      <c r="AS35" s="536"/>
      <c r="AT35" s="536"/>
      <c r="AU35" s="536"/>
      <c r="AV35" s="542">
        <f t="shared" si="9"/>
        <v>0</v>
      </c>
      <c r="AW35" s="536"/>
      <c r="AX35" s="536"/>
      <c r="AY35" s="536"/>
      <c r="AZ35" s="542">
        <f t="shared" si="10"/>
        <v>0</v>
      </c>
      <c r="BA35" s="536"/>
      <c r="BB35" s="536"/>
      <c r="BC35" s="536"/>
      <c r="BD35" s="542">
        <f t="shared" si="11"/>
        <v>0</v>
      </c>
      <c r="BE35" s="536"/>
      <c r="BF35" s="536"/>
      <c r="BG35" s="536"/>
      <c r="BH35" s="542">
        <f t="shared" si="12"/>
        <v>0</v>
      </c>
      <c r="BI35" s="536"/>
      <c r="BJ35" s="536"/>
      <c r="BK35" s="536"/>
      <c r="BL35" s="542">
        <f t="shared" si="13"/>
        <v>0</v>
      </c>
      <c r="BM35" s="536"/>
      <c r="BN35" s="536"/>
      <c r="BO35" s="536"/>
      <c r="BP35" s="542">
        <f t="shared" si="14"/>
        <v>0</v>
      </c>
      <c r="BQ35" s="536"/>
      <c r="BR35" s="536"/>
      <c r="BS35" s="536"/>
      <c r="BT35" s="542">
        <f t="shared" si="15"/>
        <v>0</v>
      </c>
      <c r="BU35" s="536"/>
      <c r="BV35" s="536"/>
      <c r="BW35" s="536"/>
      <c r="BX35" s="542">
        <f t="shared" si="16"/>
        <v>0</v>
      </c>
      <c r="BY35" s="536"/>
      <c r="BZ35" s="536"/>
      <c r="CA35" s="536"/>
      <c r="CB35" s="542">
        <v>0</v>
      </c>
      <c r="CC35" s="536"/>
      <c r="CD35" s="536"/>
      <c r="CE35" s="536"/>
      <c r="CF35" s="541">
        <f t="shared" si="17"/>
        <v>0</v>
      </c>
      <c r="CG35" s="536"/>
      <c r="CH35" s="536"/>
      <c r="CI35" s="536"/>
      <c r="CJ35" s="541">
        <f t="shared" si="18"/>
        <v>0</v>
      </c>
      <c r="CK35" s="536"/>
      <c r="CL35" s="536"/>
      <c r="CM35" s="536"/>
      <c r="CN35" s="541">
        <f t="shared" si="19"/>
        <v>0</v>
      </c>
      <c r="CO35" s="536"/>
      <c r="CP35" s="536"/>
      <c r="CQ35" s="536"/>
      <c r="CR35" s="541">
        <f t="shared" si="20"/>
        <v>0</v>
      </c>
      <c r="CS35" s="536"/>
      <c r="CT35" s="536"/>
      <c r="CU35" s="536"/>
      <c r="CV35" s="541">
        <f t="shared" si="21"/>
        <v>0</v>
      </c>
      <c r="CW35" s="536"/>
      <c r="CX35" s="536"/>
      <c r="CY35" s="536"/>
      <c r="CZ35" s="541">
        <f t="shared" si="22"/>
        <v>0</v>
      </c>
      <c r="DA35" s="536"/>
      <c r="DB35" s="536"/>
      <c r="DC35" s="536"/>
      <c r="DD35" s="541">
        <f t="shared" si="23"/>
        <v>0</v>
      </c>
      <c r="DE35" s="536"/>
      <c r="DF35" s="536"/>
      <c r="DG35" s="536"/>
      <c r="DH35" s="541">
        <f t="shared" si="24"/>
        <v>0</v>
      </c>
      <c r="DI35" s="536"/>
      <c r="DJ35" s="536"/>
      <c r="DK35" s="536"/>
      <c r="DL35" s="541">
        <f t="shared" si="25"/>
        <v>0</v>
      </c>
      <c r="DM35" s="536"/>
      <c r="DN35" s="536"/>
      <c r="DO35" s="536"/>
      <c r="DP35" s="541">
        <f>IF( SUM((DJ35*(20/100))+(DK35*(30/100))+(DL35*(50/100))) &gt;=9.3,9.5,
IF(AND( SUM((DJ35*(20/100))+(DK35*(30/100))+(DL35*(50/100))) &lt;=9.3, SUM((DJ35*(20/100))+(DK35*(30/100))+(DL35*(50/100))) &gt;=8.8),9,
IF(AND( SUM((DJ35*(20/100))+(DK35*(30/100))+(DL35*(50/100))) &lt;=8.8, SUM((DJ35*(20/100))+(DK35*(30/100))+(DL35*(50/100))) &gt;=8.3),8.5,
IF(AND( SUM((DJ35*(20/100))+(DK35*(30/100))+(DL35*(50/100))) &lt;=8.3, SUM((DJ35*(20/100))+(DK35*(30/100))+(DL35*(50/100))) &gt;=7.8),8,
IF(AND( SUM((DJ35*(20/100))+(DK35*(30/100))+(DL35*(50/100))) &lt;=7.8, SUM((DJ35*(20/100))+(DK35*(30/100))+(DL35*(50/100))) &gt;=7.3),7.5,
IF(AND( SUM((DJ35*(20/100))+(DK35*(30/100))+(DL35*(50/100))) &lt;=7.3, SUM((DJ35*(20/100))+(DK35*(30/100))+(DL35*(50/100))) &gt;=6.8),7,
IF(AND( SUM((DJ35*(20/100))+(DK35*(30/100))+(DL35*(50/100))) &lt;=6.8, SUM((DJ35*(20/100))+(DK35*(30/100))+(DL35*(50/100))) &gt;=6.3),6.5,
IF(AND( SUM((DJ35*(20/100))+(DK35*(30/100))+(DL35*(50/100))) &lt;=6.3, SUM((DJ35*(20/100))+(DK35*(30/100))+(DL35*(50/100))) &gt;=5.8),6,
IF(AND( SUM((DJ35*(20/100))+(DK35*(30/100))+(DL35*(50/100))) &lt;=5.8, SUM((DJ35*(20/100))+(DK35*(30/100))+(DL35*(50/100))) &gt;=5.3),5.5,
IF(AND( SUM((DJ35*(20/100))+(DK35*(30/100))+(DL35*(50/100))) &lt;=5.3, SUM((DJ35*(20/100))+(DK35*(30/100))+(DL35*(50/100))) &gt;=4.8),5,
IF(AND( SUM((DJ35*(20/100))+(DK35*(30/100))+(DL35*(50/100))) &lt;=4.8, SUM((DJ35*(20/100))+(DK35*(30/100))+(DL35*(50/100))) &gt;=4.3),4.5,
IF(AND( SUM((DJ35*(20/100))+(DK35*(30/100))+(DL35*(50/100))) &lt;=4.3, SUM((DJ35*(20/100))+(DK35*(30/100))+(DL35*(50/100))) &gt;=3.8),4,
IF(AND( SUM((DJ35*(20/100))+(DK35*(30/100))+(DL35*(50/100))) &lt;=3.8, SUM((DJ35*(20/100))+(DK35*(30/100))+(DL35*(50/100))) &gt;=3.5),3.5,0)))))))))))))</f>
        <v>0</v>
      </c>
      <c r="DQ35" s="541"/>
      <c r="DR35" s="541"/>
      <c r="DS35" s="541"/>
      <c r="DT35" s="541"/>
      <c r="DU35" s="541"/>
      <c r="DV35" s="541"/>
      <c r="DW35" s="541"/>
      <c r="DX35" s="541"/>
      <c r="DY35" s="541"/>
      <c r="DZ35" s="541"/>
    </row>
    <row r="36" spans="2:130" ht="15" customHeight="1" x14ac:dyDescent="0.25">
      <c r="B36" s="334">
        <v>29</v>
      </c>
      <c r="C36" s="541"/>
      <c r="D36" s="334"/>
      <c r="E36" s="334"/>
      <c r="F36" s="334"/>
      <c r="G36" s="334"/>
      <c r="H36" s="334"/>
      <c r="I36" s="334"/>
      <c r="J36" s="536"/>
      <c r="K36" s="536"/>
      <c r="L36" s="536"/>
      <c r="M36" s="536"/>
      <c r="N36" s="536"/>
      <c r="O36" s="536"/>
      <c r="P36" s="536">
        <f t="shared" si="1"/>
        <v>0</v>
      </c>
      <c r="Q36" s="536"/>
      <c r="R36" s="536"/>
      <c r="S36" s="536"/>
      <c r="T36" s="536">
        <f t="shared" si="2"/>
        <v>0</v>
      </c>
      <c r="U36" s="536"/>
      <c r="V36" s="536"/>
      <c r="W36" s="536"/>
      <c r="X36" s="536">
        <f t="shared" si="3"/>
        <v>0</v>
      </c>
      <c r="Y36" s="536"/>
      <c r="Z36" s="536"/>
      <c r="AA36" s="536"/>
      <c r="AB36" s="536">
        <f t="shared" si="4"/>
        <v>0</v>
      </c>
      <c r="AC36" s="536"/>
      <c r="AD36" s="536"/>
      <c r="AE36" s="536"/>
      <c r="AF36" s="536">
        <f t="shared" si="5"/>
        <v>0</v>
      </c>
      <c r="AG36" s="536"/>
      <c r="AH36" s="536"/>
      <c r="AI36" s="536"/>
      <c r="AJ36" s="536">
        <f t="shared" si="6"/>
        <v>0</v>
      </c>
      <c r="AK36" s="536"/>
      <c r="AL36" s="536"/>
      <c r="AM36" s="536"/>
      <c r="AN36" s="542">
        <f t="shared" si="7"/>
        <v>0</v>
      </c>
      <c r="AO36" s="536"/>
      <c r="AP36" s="536"/>
      <c r="AQ36" s="536"/>
      <c r="AR36" s="542">
        <f t="shared" si="8"/>
        <v>0</v>
      </c>
      <c r="AS36" s="536"/>
      <c r="AT36" s="536"/>
      <c r="AU36" s="536"/>
      <c r="AV36" s="542">
        <f t="shared" si="9"/>
        <v>0</v>
      </c>
      <c r="AW36" s="536"/>
      <c r="AX36" s="536"/>
      <c r="AY36" s="536"/>
      <c r="AZ36" s="542">
        <f t="shared" si="10"/>
        <v>0</v>
      </c>
      <c r="BA36" s="536"/>
      <c r="BB36" s="536"/>
      <c r="BC36" s="536"/>
      <c r="BD36" s="542">
        <f t="shared" si="11"/>
        <v>0</v>
      </c>
      <c r="BE36" s="536"/>
      <c r="BF36" s="536"/>
      <c r="BG36" s="536"/>
      <c r="BH36" s="542">
        <f t="shared" si="12"/>
        <v>0</v>
      </c>
      <c r="BI36" s="536"/>
      <c r="BJ36" s="536"/>
      <c r="BK36" s="536"/>
      <c r="BL36" s="542">
        <f t="shared" si="13"/>
        <v>0</v>
      </c>
      <c r="BM36" s="536"/>
      <c r="BN36" s="536"/>
      <c r="BO36" s="536"/>
      <c r="BP36" s="542">
        <f t="shared" si="14"/>
        <v>0</v>
      </c>
      <c r="BQ36" s="536"/>
      <c r="BR36" s="536"/>
      <c r="BS36" s="536"/>
      <c r="BT36" s="542">
        <f t="shared" si="15"/>
        <v>0</v>
      </c>
      <c r="BU36" s="536"/>
      <c r="BV36" s="536"/>
      <c r="BW36" s="536"/>
      <c r="BX36" s="542">
        <f t="shared" si="16"/>
        <v>0</v>
      </c>
      <c r="BY36" s="536"/>
      <c r="BZ36" s="536"/>
      <c r="CA36" s="536"/>
      <c r="CB36" s="542">
        <v>0</v>
      </c>
      <c r="CC36" s="536"/>
      <c r="CD36" s="536"/>
      <c r="CE36" s="536"/>
      <c r="CF36" s="541">
        <f t="shared" si="17"/>
        <v>0</v>
      </c>
      <c r="CG36" s="536"/>
      <c r="CH36" s="536"/>
      <c r="CI36" s="536"/>
      <c r="CJ36" s="541">
        <f t="shared" si="18"/>
        <v>0</v>
      </c>
      <c r="CK36" s="536"/>
      <c r="CL36" s="536"/>
      <c r="CM36" s="536"/>
      <c r="CN36" s="541">
        <f t="shared" si="19"/>
        <v>0</v>
      </c>
      <c r="CO36" s="536"/>
      <c r="CP36" s="536"/>
      <c r="CQ36" s="536"/>
      <c r="CR36" s="541">
        <f t="shared" si="20"/>
        <v>0</v>
      </c>
      <c r="CS36" s="536"/>
      <c r="CT36" s="536"/>
      <c r="CU36" s="536"/>
      <c r="CV36" s="541">
        <f t="shared" si="21"/>
        <v>0</v>
      </c>
      <c r="CW36" s="536"/>
      <c r="CX36" s="536"/>
      <c r="CY36" s="536"/>
      <c r="CZ36" s="541">
        <f t="shared" si="22"/>
        <v>0</v>
      </c>
      <c r="DA36" s="536"/>
      <c r="DB36" s="536"/>
      <c r="DC36" s="536"/>
      <c r="DD36" s="541">
        <f t="shared" si="23"/>
        <v>0</v>
      </c>
      <c r="DE36" s="536"/>
      <c r="DF36" s="536"/>
      <c r="DG36" s="536"/>
      <c r="DH36" s="541">
        <f t="shared" si="24"/>
        <v>0</v>
      </c>
      <c r="DI36" s="536"/>
      <c r="DJ36" s="536"/>
      <c r="DK36" s="536"/>
      <c r="DL36" s="541">
        <f t="shared" si="25"/>
        <v>0</v>
      </c>
      <c r="DM36" s="536"/>
      <c r="DN36" s="536"/>
      <c r="DO36" s="536"/>
      <c r="DP36" s="541">
        <f>IF( SUM((DJ36*(20/100))+(DK36*(30/100))+(DL36*(50/100))) &gt;=9.3,9.5,
IF(AND( SUM((DJ36*(20/100))+(DK36*(30/100))+(DL36*(50/100))) &lt;=9.3, SUM((DJ36*(20/100))+(DK36*(30/100))+(DL36*(50/100))) &gt;=8.8),9,
IF(AND( SUM((DJ36*(20/100))+(DK36*(30/100))+(DL36*(50/100))) &lt;=8.8, SUM((DJ36*(20/100))+(DK36*(30/100))+(DL36*(50/100))) &gt;=8.3),8.5,
IF(AND( SUM((DJ36*(20/100))+(DK36*(30/100))+(DL36*(50/100))) &lt;=8.3, SUM((DJ36*(20/100))+(DK36*(30/100))+(DL36*(50/100))) &gt;=7.8),8,
IF(AND( SUM((DJ36*(20/100))+(DK36*(30/100))+(DL36*(50/100))) &lt;=7.8, SUM((DJ36*(20/100))+(DK36*(30/100))+(DL36*(50/100))) &gt;=7.3),7.5,
IF(AND( SUM((DJ36*(20/100))+(DK36*(30/100))+(DL36*(50/100))) &lt;=7.3, SUM((DJ36*(20/100))+(DK36*(30/100))+(DL36*(50/100))) &gt;=6.8),7,
IF(AND( SUM((DJ36*(20/100))+(DK36*(30/100))+(DL36*(50/100))) &lt;=6.8, SUM((DJ36*(20/100))+(DK36*(30/100))+(DL36*(50/100))) &gt;=6.3),6.5,
IF(AND( SUM((DJ36*(20/100))+(DK36*(30/100))+(DL36*(50/100))) &lt;=6.3, SUM((DJ36*(20/100))+(DK36*(30/100))+(DL36*(50/100))) &gt;=5.8),6,
IF(AND( SUM((DJ36*(20/100))+(DK36*(30/100))+(DL36*(50/100))) &lt;=5.8, SUM((DJ36*(20/100))+(DK36*(30/100))+(DL36*(50/100))) &gt;=5.3),5.5,
IF(AND( SUM((DJ36*(20/100))+(DK36*(30/100))+(DL36*(50/100))) &lt;=5.3, SUM((DJ36*(20/100))+(DK36*(30/100))+(DL36*(50/100))) &gt;=4.8),5,
IF(AND( SUM((DJ36*(20/100))+(DK36*(30/100))+(DL36*(50/100))) &lt;=4.8, SUM((DJ36*(20/100))+(DK36*(30/100))+(DL36*(50/100))) &gt;=4.3),4.5,
IF(AND( SUM((DJ36*(20/100))+(DK36*(30/100))+(DL36*(50/100))) &lt;=4.3, SUM((DJ36*(20/100))+(DK36*(30/100))+(DL36*(50/100))) &gt;=3.8),4,
IF(AND( SUM((DJ36*(20/100))+(DK36*(30/100))+(DL36*(50/100))) &lt;=3.8, SUM((DJ36*(20/100))+(DK36*(30/100))+(DL36*(50/100))) &gt;=3.5),3.5,0)))))))))))))</f>
        <v>0</v>
      </c>
      <c r="DQ36" s="541"/>
      <c r="DR36" s="541"/>
      <c r="DS36" s="541"/>
      <c r="DT36" s="541"/>
      <c r="DU36" s="541"/>
      <c r="DV36" s="541"/>
      <c r="DW36" s="541"/>
      <c r="DX36" s="541"/>
      <c r="DY36" s="541"/>
      <c r="DZ36" s="541"/>
    </row>
    <row r="37" spans="2:130" ht="15" customHeight="1" x14ac:dyDescent="0.25">
      <c r="B37" s="334">
        <v>30</v>
      </c>
      <c r="C37" s="541"/>
      <c r="D37" s="334"/>
      <c r="E37" s="334"/>
      <c r="F37" s="334"/>
      <c r="G37" s="334"/>
      <c r="H37" s="334"/>
      <c r="I37" s="334"/>
      <c r="J37" s="536"/>
      <c r="K37" s="536"/>
      <c r="L37" s="536"/>
      <c r="M37" s="536"/>
      <c r="N37" s="536"/>
      <c r="O37" s="536"/>
      <c r="P37" s="536">
        <f t="shared" si="1"/>
        <v>0</v>
      </c>
      <c r="Q37" s="536"/>
      <c r="R37" s="536"/>
      <c r="S37" s="536"/>
      <c r="T37" s="536">
        <f t="shared" si="2"/>
        <v>0</v>
      </c>
      <c r="U37" s="536"/>
      <c r="V37" s="536"/>
      <c r="W37" s="536"/>
      <c r="X37" s="536">
        <f t="shared" si="3"/>
        <v>0</v>
      </c>
      <c r="Y37" s="536"/>
      <c r="Z37" s="536"/>
      <c r="AA37" s="536"/>
      <c r="AB37" s="536">
        <f t="shared" si="4"/>
        <v>0</v>
      </c>
      <c r="AC37" s="536"/>
      <c r="AD37" s="536"/>
      <c r="AE37" s="536"/>
      <c r="AF37" s="536">
        <f t="shared" si="5"/>
        <v>0</v>
      </c>
      <c r="AG37" s="536"/>
      <c r="AH37" s="536"/>
      <c r="AI37" s="536"/>
      <c r="AJ37" s="536">
        <f t="shared" si="6"/>
        <v>0</v>
      </c>
      <c r="AK37" s="536"/>
      <c r="AL37" s="536"/>
      <c r="AM37" s="536"/>
      <c r="AN37" s="542">
        <f t="shared" si="7"/>
        <v>0</v>
      </c>
      <c r="AO37" s="536"/>
      <c r="AP37" s="536"/>
      <c r="AQ37" s="536"/>
      <c r="AR37" s="542">
        <f t="shared" si="8"/>
        <v>0</v>
      </c>
      <c r="AS37" s="536"/>
      <c r="AT37" s="536"/>
      <c r="AU37" s="536"/>
      <c r="AV37" s="542">
        <f t="shared" si="9"/>
        <v>0</v>
      </c>
      <c r="AW37" s="536"/>
      <c r="AX37" s="536"/>
      <c r="AY37" s="536"/>
      <c r="AZ37" s="542">
        <f t="shared" si="10"/>
        <v>0</v>
      </c>
      <c r="BA37" s="536"/>
      <c r="BB37" s="536"/>
      <c r="BC37" s="536"/>
      <c r="BD37" s="542">
        <f t="shared" si="11"/>
        <v>0</v>
      </c>
      <c r="BE37" s="536"/>
      <c r="BF37" s="536"/>
      <c r="BG37" s="536"/>
      <c r="BH37" s="542">
        <f t="shared" si="12"/>
        <v>0</v>
      </c>
      <c r="BI37" s="536"/>
      <c r="BJ37" s="536"/>
      <c r="BK37" s="536"/>
      <c r="BL37" s="542">
        <f t="shared" si="13"/>
        <v>0</v>
      </c>
      <c r="BM37" s="536"/>
      <c r="BN37" s="536"/>
      <c r="BO37" s="536"/>
      <c r="BP37" s="542">
        <f t="shared" si="14"/>
        <v>0</v>
      </c>
      <c r="BQ37" s="536"/>
      <c r="BR37" s="536"/>
      <c r="BS37" s="536"/>
      <c r="BT37" s="542">
        <f t="shared" si="15"/>
        <v>0</v>
      </c>
      <c r="BU37" s="536"/>
      <c r="BV37" s="536"/>
      <c r="BW37" s="536"/>
      <c r="BX37" s="542">
        <f t="shared" si="16"/>
        <v>0</v>
      </c>
      <c r="BY37" s="536"/>
      <c r="BZ37" s="536"/>
      <c r="CA37" s="536"/>
      <c r="CB37" s="542">
        <v>0</v>
      </c>
      <c r="CC37" s="536"/>
      <c r="CD37" s="536"/>
      <c r="CE37" s="536"/>
      <c r="CF37" s="541">
        <f t="shared" si="17"/>
        <v>0</v>
      </c>
      <c r="CG37" s="536"/>
      <c r="CH37" s="536"/>
      <c r="CI37" s="536"/>
      <c r="CJ37" s="541">
        <f t="shared" si="18"/>
        <v>0</v>
      </c>
      <c r="CK37" s="536"/>
      <c r="CL37" s="536"/>
      <c r="CM37" s="536"/>
      <c r="CN37" s="541">
        <f t="shared" si="19"/>
        <v>0</v>
      </c>
      <c r="CO37" s="536"/>
      <c r="CP37" s="536"/>
      <c r="CQ37" s="536"/>
      <c r="CR37" s="541">
        <f t="shared" si="20"/>
        <v>0</v>
      </c>
      <c r="CS37" s="536"/>
      <c r="CT37" s="536"/>
      <c r="CU37" s="536"/>
      <c r="CV37" s="541">
        <f t="shared" si="21"/>
        <v>0</v>
      </c>
      <c r="CW37" s="536"/>
      <c r="CX37" s="536"/>
      <c r="CY37" s="536"/>
      <c r="CZ37" s="541">
        <f t="shared" si="22"/>
        <v>0</v>
      </c>
      <c r="DA37" s="536"/>
      <c r="DB37" s="536"/>
      <c r="DC37" s="536"/>
      <c r="DD37" s="541">
        <f t="shared" si="23"/>
        <v>0</v>
      </c>
      <c r="DE37" s="536"/>
      <c r="DF37" s="536"/>
      <c r="DG37" s="536"/>
      <c r="DH37" s="541">
        <f t="shared" si="24"/>
        <v>0</v>
      </c>
      <c r="DI37" s="536"/>
      <c r="DJ37" s="536"/>
      <c r="DK37" s="536"/>
      <c r="DL37" s="541">
        <f t="shared" si="25"/>
        <v>0</v>
      </c>
      <c r="DM37" s="536"/>
      <c r="DN37" s="536"/>
      <c r="DO37" s="536"/>
      <c r="DP37" s="541">
        <f>IF( SUM((DJ37*(20/100))+(DK37*(30/100))+(DL37*(50/100))) &gt;=9.3,9.5,
IF(AND( SUM((DJ37*(20/100))+(DK37*(30/100))+(DL37*(50/100))) &lt;=9.3, SUM((DJ37*(20/100))+(DK37*(30/100))+(DL37*(50/100))) &gt;=8.8),9,
IF(AND( SUM((DJ37*(20/100))+(DK37*(30/100))+(DL37*(50/100))) &lt;=8.8, SUM((DJ37*(20/100))+(DK37*(30/100))+(DL37*(50/100))) &gt;=8.3),8.5,
IF(AND( SUM((DJ37*(20/100))+(DK37*(30/100))+(DL37*(50/100))) &lt;=8.3, SUM((DJ37*(20/100))+(DK37*(30/100))+(DL37*(50/100))) &gt;=7.8),8,
IF(AND( SUM((DJ37*(20/100))+(DK37*(30/100))+(DL37*(50/100))) &lt;=7.8, SUM((DJ37*(20/100))+(DK37*(30/100))+(DL37*(50/100))) &gt;=7.3),7.5,
IF(AND( SUM((DJ37*(20/100))+(DK37*(30/100))+(DL37*(50/100))) &lt;=7.3, SUM((DJ37*(20/100))+(DK37*(30/100))+(DL37*(50/100))) &gt;=6.8),7,
IF(AND( SUM((DJ37*(20/100))+(DK37*(30/100))+(DL37*(50/100))) &lt;=6.8, SUM((DJ37*(20/100))+(DK37*(30/100))+(DL37*(50/100))) &gt;=6.3),6.5,
IF(AND( SUM((DJ37*(20/100))+(DK37*(30/100))+(DL37*(50/100))) &lt;=6.3, SUM((DJ37*(20/100))+(DK37*(30/100))+(DL37*(50/100))) &gt;=5.8),6,
IF(AND( SUM((DJ37*(20/100))+(DK37*(30/100))+(DL37*(50/100))) &lt;=5.8, SUM((DJ37*(20/100))+(DK37*(30/100))+(DL37*(50/100))) &gt;=5.3),5.5,
IF(AND( SUM((DJ37*(20/100))+(DK37*(30/100))+(DL37*(50/100))) &lt;=5.3, SUM((DJ37*(20/100))+(DK37*(30/100))+(DL37*(50/100))) &gt;=4.8),5,
IF(AND( SUM((DJ37*(20/100))+(DK37*(30/100))+(DL37*(50/100))) &lt;=4.8, SUM((DJ37*(20/100))+(DK37*(30/100))+(DL37*(50/100))) &gt;=4.3),4.5,
IF(AND( SUM((DJ37*(20/100))+(DK37*(30/100))+(DL37*(50/100))) &lt;=4.3, SUM((DJ37*(20/100))+(DK37*(30/100))+(DL37*(50/100))) &gt;=3.8),4,
IF(AND( SUM((DJ37*(20/100))+(DK37*(30/100))+(DL37*(50/100))) &lt;=3.8, SUM((DJ37*(20/100))+(DK37*(30/100))+(DL37*(50/100))) &gt;=3.5),3.5,0)))))))))))))</f>
        <v>0</v>
      </c>
      <c r="DQ37" s="541"/>
      <c r="DR37" s="541"/>
      <c r="DS37" s="541"/>
      <c r="DT37" s="541"/>
      <c r="DU37" s="541"/>
      <c r="DV37" s="541"/>
      <c r="DW37" s="541"/>
      <c r="DX37" s="541"/>
      <c r="DY37" s="541"/>
      <c r="DZ37" s="541"/>
    </row>
    <row r="38" spans="2:130" ht="15" customHeight="1" x14ac:dyDescent="0.25">
      <c r="B38" s="334">
        <v>31</v>
      </c>
      <c r="C38" s="541"/>
      <c r="D38" s="334"/>
      <c r="E38" s="334"/>
      <c r="F38" s="334"/>
      <c r="G38" s="334"/>
      <c r="H38" s="334"/>
      <c r="I38" s="334"/>
      <c r="J38" s="536"/>
      <c r="K38" s="536"/>
      <c r="L38" s="536"/>
      <c r="M38" s="536"/>
      <c r="N38" s="536"/>
      <c r="O38" s="536"/>
      <c r="P38" s="536">
        <f t="shared" si="1"/>
        <v>0</v>
      </c>
      <c r="Q38" s="536"/>
      <c r="R38" s="536"/>
      <c r="S38" s="536"/>
      <c r="T38" s="536">
        <f t="shared" si="2"/>
        <v>0</v>
      </c>
      <c r="U38" s="536"/>
      <c r="V38" s="536"/>
      <c r="W38" s="536"/>
      <c r="X38" s="536">
        <f t="shared" si="3"/>
        <v>0</v>
      </c>
      <c r="Y38" s="536"/>
      <c r="Z38" s="536"/>
      <c r="AA38" s="536"/>
      <c r="AB38" s="536">
        <f t="shared" si="4"/>
        <v>0</v>
      </c>
      <c r="AC38" s="536"/>
      <c r="AD38" s="536"/>
      <c r="AE38" s="536"/>
      <c r="AF38" s="536">
        <f t="shared" si="5"/>
        <v>0</v>
      </c>
      <c r="AG38" s="536"/>
      <c r="AH38" s="536"/>
      <c r="AI38" s="536"/>
      <c r="AJ38" s="536">
        <f t="shared" si="6"/>
        <v>0</v>
      </c>
      <c r="AK38" s="536"/>
      <c r="AL38" s="536"/>
      <c r="AM38" s="536"/>
      <c r="AN38" s="542">
        <f t="shared" si="7"/>
        <v>0</v>
      </c>
      <c r="AO38" s="536"/>
      <c r="AP38" s="536"/>
      <c r="AQ38" s="536"/>
      <c r="AR38" s="542">
        <f t="shared" si="8"/>
        <v>0</v>
      </c>
      <c r="AS38" s="536"/>
      <c r="AT38" s="536"/>
      <c r="AU38" s="536"/>
      <c r="AV38" s="542">
        <f t="shared" si="9"/>
        <v>0</v>
      </c>
      <c r="AW38" s="536"/>
      <c r="AX38" s="536"/>
      <c r="AY38" s="536"/>
      <c r="AZ38" s="542">
        <f t="shared" si="10"/>
        <v>0</v>
      </c>
      <c r="BA38" s="536"/>
      <c r="BB38" s="536"/>
      <c r="BC38" s="536"/>
      <c r="BD38" s="542">
        <f t="shared" si="11"/>
        <v>0</v>
      </c>
      <c r="BE38" s="536"/>
      <c r="BF38" s="536"/>
      <c r="BG38" s="536"/>
      <c r="BH38" s="542">
        <f t="shared" si="12"/>
        <v>0</v>
      </c>
      <c r="BI38" s="536"/>
      <c r="BJ38" s="536"/>
      <c r="BK38" s="536"/>
      <c r="BL38" s="542">
        <f t="shared" si="13"/>
        <v>0</v>
      </c>
      <c r="BM38" s="536"/>
      <c r="BN38" s="536"/>
      <c r="BO38" s="536"/>
      <c r="BP38" s="542">
        <f t="shared" si="14"/>
        <v>0</v>
      </c>
      <c r="BQ38" s="536"/>
      <c r="BR38" s="536"/>
      <c r="BS38" s="536"/>
      <c r="BT38" s="542">
        <f t="shared" si="15"/>
        <v>0</v>
      </c>
      <c r="BU38" s="536"/>
      <c r="BV38" s="536"/>
      <c r="BW38" s="536"/>
      <c r="BX38" s="542">
        <f t="shared" si="16"/>
        <v>0</v>
      </c>
      <c r="BY38" s="536"/>
      <c r="BZ38" s="536"/>
      <c r="CA38" s="536"/>
      <c r="CB38" s="542">
        <v>0</v>
      </c>
      <c r="CC38" s="536"/>
      <c r="CD38" s="536"/>
      <c r="CE38" s="536"/>
      <c r="CF38" s="541">
        <f t="shared" si="17"/>
        <v>0</v>
      </c>
      <c r="CG38" s="536"/>
      <c r="CH38" s="536"/>
      <c r="CI38" s="536"/>
      <c r="CJ38" s="541">
        <f t="shared" si="18"/>
        <v>0</v>
      </c>
      <c r="CK38" s="536"/>
      <c r="CL38" s="536"/>
      <c r="CM38" s="536"/>
      <c r="CN38" s="541">
        <f t="shared" si="19"/>
        <v>0</v>
      </c>
      <c r="CO38" s="536"/>
      <c r="CP38" s="536"/>
      <c r="CQ38" s="536"/>
      <c r="CR38" s="541">
        <f t="shared" si="20"/>
        <v>0</v>
      </c>
      <c r="CS38" s="536"/>
      <c r="CT38" s="536"/>
      <c r="CU38" s="536"/>
      <c r="CV38" s="541">
        <f t="shared" si="21"/>
        <v>0</v>
      </c>
      <c r="CW38" s="536"/>
      <c r="CX38" s="536"/>
      <c r="CY38" s="536"/>
      <c r="CZ38" s="541">
        <f t="shared" si="22"/>
        <v>0</v>
      </c>
      <c r="DA38" s="536"/>
      <c r="DB38" s="536"/>
      <c r="DC38" s="536"/>
      <c r="DD38" s="541">
        <f t="shared" si="23"/>
        <v>0</v>
      </c>
      <c r="DE38" s="536"/>
      <c r="DF38" s="536"/>
      <c r="DG38" s="536"/>
      <c r="DH38" s="541">
        <f t="shared" si="24"/>
        <v>0</v>
      </c>
      <c r="DI38" s="536"/>
      <c r="DJ38" s="536"/>
      <c r="DK38" s="536"/>
      <c r="DL38" s="541">
        <f t="shared" si="25"/>
        <v>0</v>
      </c>
      <c r="DM38" s="536"/>
      <c r="DN38" s="536"/>
      <c r="DO38" s="536"/>
      <c r="DP38" s="541">
        <f>IF( SUM((DJ38*(20/100))+(DK38*(30/100))+(DL38*(50/100))) &gt;=9.3,9.5,
IF(AND( SUM((DJ38*(20/100))+(DK38*(30/100))+(DL38*(50/100))) &lt;=9.3, SUM((DJ38*(20/100))+(DK38*(30/100))+(DL38*(50/100))) &gt;=8.8),9,
IF(AND( SUM((DJ38*(20/100))+(DK38*(30/100))+(DL38*(50/100))) &lt;=8.8, SUM((DJ38*(20/100))+(DK38*(30/100))+(DL38*(50/100))) &gt;=8.3),8.5,
IF(AND( SUM((DJ38*(20/100))+(DK38*(30/100))+(DL38*(50/100))) &lt;=8.3, SUM((DJ38*(20/100))+(DK38*(30/100))+(DL38*(50/100))) &gt;=7.8),8,
IF(AND( SUM((DJ38*(20/100))+(DK38*(30/100))+(DL38*(50/100))) &lt;=7.8, SUM((DJ38*(20/100))+(DK38*(30/100))+(DL38*(50/100))) &gt;=7.3),7.5,
IF(AND( SUM((DJ38*(20/100))+(DK38*(30/100))+(DL38*(50/100))) &lt;=7.3, SUM((DJ38*(20/100))+(DK38*(30/100))+(DL38*(50/100))) &gt;=6.8),7,
IF(AND( SUM((DJ38*(20/100))+(DK38*(30/100))+(DL38*(50/100))) &lt;=6.8, SUM((DJ38*(20/100))+(DK38*(30/100))+(DL38*(50/100))) &gt;=6.3),6.5,
IF(AND( SUM((DJ38*(20/100))+(DK38*(30/100))+(DL38*(50/100))) &lt;=6.3, SUM((DJ38*(20/100))+(DK38*(30/100))+(DL38*(50/100))) &gt;=5.8),6,
IF(AND( SUM((DJ38*(20/100))+(DK38*(30/100))+(DL38*(50/100))) &lt;=5.8, SUM((DJ38*(20/100))+(DK38*(30/100))+(DL38*(50/100))) &gt;=5.3),5.5,
IF(AND( SUM((DJ38*(20/100))+(DK38*(30/100))+(DL38*(50/100))) &lt;=5.3, SUM((DJ38*(20/100))+(DK38*(30/100))+(DL38*(50/100))) &gt;=4.8),5,
IF(AND( SUM((DJ38*(20/100))+(DK38*(30/100))+(DL38*(50/100))) &lt;=4.8, SUM((DJ38*(20/100))+(DK38*(30/100))+(DL38*(50/100))) &gt;=4.3),4.5,
IF(AND( SUM((DJ38*(20/100))+(DK38*(30/100))+(DL38*(50/100))) &lt;=4.3, SUM((DJ38*(20/100))+(DK38*(30/100))+(DL38*(50/100))) &gt;=3.8),4,
IF(AND( SUM((DJ38*(20/100))+(DK38*(30/100))+(DL38*(50/100))) &lt;=3.8, SUM((DJ38*(20/100))+(DK38*(30/100))+(DL38*(50/100))) &gt;=3.5),3.5,0)))))))))))))</f>
        <v>0</v>
      </c>
      <c r="DQ38" s="541"/>
      <c r="DR38" s="541"/>
      <c r="DS38" s="541"/>
      <c r="DT38" s="541"/>
      <c r="DU38" s="541"/>
      <c r="DV38" s="541"/>
      <c r="DW38" s="541"/>
      <c r="DX38" s="541"/>
      <c r="DY38" s="541"/>
      <c r="DZ38" s="541"/>
    </row>
    <row r="39" spans="2:130" ht="15" customHeight="1" x14ac:dyDescent="0.25">
      <c r="B39" s="334">
        <v>32</v>
      </c>
      <c r="C39" s="541"/>
      <c r="D39" s="334"/>
      <c r="E39" s="334"/>
      <c r="F39" s="334"/>
      <c r="G39" s="334"/>
      <c r="H39" s="334"/>
      <c r="I39" s="334"/>
      <c r="J39" s="536"/>
      <c r="K39" s="536"/>
      <c r="L39" s="536"/>
      <c r="M39" s="536"/>
      <c r="N39" s="536"/>
      <c r="O39" s="536"/>
      <c r="P39" s="536">
        <f t="shared" si="1"/>
        <v>0</v>
      </c>
      <c r="Q39" s="536"/>
      <c r="R39" s="536"/>
      <c r="S39" s="536"/>
      <c r="T39" s="536">
        <f t="shared" si="2"/>
        <v>0</v>
      </c>
      <c r="U39" s="536"/>
      <c r="V39" s="536"/>
      <c r="W39" s="536"/>
      <c r="X39" s="536">
        <f t="shared" si="3"/>
        <v>0</v>
      </c>
      <c r="Y39" s="536"/>
      <c r="Z39" s="536"/>
      <c r="AA39" s="536"/>
      <c r="AB39" s="536">
        <f t="shared" si="4"/>
        <v>0</v>
      </c>
      <c r="AC39" s="536"/>
      <c r="AD39" s="536"/>
      <c r="AE39" s="536"/>
      <c r="AF39" s="536">
        <f t="shared" si="5"/>
        <v>0</v>
      </c>
      <c r="AG39" s="536"/>
      <c r="AH39" s="536"/>
      <c r="AI39" s="536"/>
      <c r="AJ39" s="536">
        <f t="shared" si="6"/>
        <v>0</v>
      </c>
      <c r="AK39" s="536"/>
      <c r="AL39" s="536"/>
      <c r="AM39" s="536"/>
      <c r="AN39" s="542">
        <f t="shared" si="7"/>
        <v>0</v>
      </c>
      <c r="AO39" s="536"/>
      <c r="AP39" s="536"/>
      <c r="AQ39" s="536"/>
      <c r="AR39" s="542">
        <f t="shared" si="8"/>
        <v>0</v>
      </c>
      <c r="AS39" s="536"/>
      <c r="AT39" s="536"/>
      <c r="AU39" s="536"/>
      <c r="AV39" s="542">
        <f t="shared" si="9"/>
        <v>0</v>
      </c>
      <c r="AW39" s="536"/>
      <c r="AX39" s="536"/>
      <c r="AY39" s="536"/>
      <c r="AZ39" s="542">
        <f t="shared" si="10"/>
        <v>0</v>
      </c>
      <c r="BA39" s="536"/>
      <c r="BB39" s="536"/>
      <c r="BC39" s="536"/>
      <c r="BD39" s="542">
        <f t="shared" si="11"/>
        <v>0</v>
      </c>
      <c r="BE39" s="536"/>
      <c r="BF39" s="536"/>
      <c r="BG39" s="536"/>
      <c r="BH39" s="542">
        <f t="shared" si="12"/>
        <v>0</v>
      </c>
      <c r="BI39" s="536"/>
      <c r="BJ39" s="536"/>
      <c r="BK39" s="536"/>
      <c r="BL39" s="542">
        <f t="shared" si="13"/>
        <v>0</v>
      </c>
      <c r="BM39" s="536"/>
      <c r="BN39" s="536"/>
      <c r="BO39" s="536"/>
      <c r="BP39" s="542">
        <f t="shared" si="14"/>
        <v>0</v>
      </c>
      <c r="BQ39" s="536"/>
      <c r="BR39" s="536"/>
      <c r="BS39" s="536"/>
      <c r="BT39" s="542">
        <f t="shared" si="15"/>
        <v>0</v>
      </c>
      <c r="BU39" s="536"/>
      <c r="BV39" s="536"/>
      <c r="BW39" s="536"/>
      <c r="BX39" s="542">
        <f t="shared" si="16"/>
        <v>0</v>
      </c>
      <c r="BY39" s="536"/>
      <c r="BZ39" s="536"/>
      <c r="CA39" s="536"/>
      <c r="CB39" s="542">
        <v>0</v>
      </c>
      <c r="CC39" s="536"/>
      <c r="CD39" s="536"/>
      <c r="CE39" s="536"/>
      <c r="CF39" s="541">
        <f t="shared" si="17"/>
        <v>0</v>
      </c>
      <c r="CG39" s="536"/>
      <c r="CH39" s="536"/>
      <c r="CI39" s="536"/>
      <c r="CJ39" s="541">
        <f t="shared" si="18"/>
        <v>0</v>
      </c>
      <c r="CK39" s="536"/>
      <c r="CL39" s="536"/>
      <c r="CM39" s="536"/>
      <c r="CN39" s="541">
        <f t="shared" si="19"/>
        <v>0</v>
      </c>
      <c r="CO39" s="536"/>
      <c r="CP39" s="536"/>
      <c r="CQ39" s="536"/>
      <c r="CR39" s="541">
        <f t="shared" si="20"/>
        <v>0</v>
      </c>
      <c r="CS39" s="536"/>
      <c r="CT39" s="536"/>
      <c r="CU39" s="536"/>
      <c r="CV39" s="541">
        <f t="shared" si="21"/>
        <v>0</v>
      </c>
      <c r="CW39" s="536"/>
      <c r="CX39" s="536"/>
      <c r="CY39" s="536"/>
      <c r="CZ39" s="541">
        <f t="shared" si="22"/>
        <v>0</v>
      </c>
      <c r="DA39" s="536"/>
      <c r="DB39" s="536"/>
      <c r="DC39" s="536"/>
      <c r="DD39" s="541">
        <f t="shared" si="23"/>
        <v>0</v>
      </c>
      <c r="DE39" s="536"/>
      <c r="DF39" s="536"/>
      <c r="DG39" s="536"/>
      <c r="DH39" s="541">
        <f t="shared" si="24"/>
        <v>0</v>
      </c>
      <c r="DI39" s="536"/>
      <c r="DJ39" s="536"/>
      <c r="DK39" s="536"/>
      <c r="DL39" s="541">
        <f t="shared" si="25"/>
        <v>0</v>
      </c>
      <c r="DM39" s="536"/>
      <c r="DN39" s="536"/>
      <c r="DO39" s="536"/>
      <c r="DP39" s="541">
        <f>IF( SUM((DJ39*(20/100))+(DK39*(30/100))+(DL39*(50/100))) &gt;=9.3,9.5,
IF(AND( SUM((DJ39*(20/100))+(DK39*(30/100))+(DL39*(50/100))) &lt;=9.3, SUM((DJ39*(20/100))+(DK39*(30/100))+(DL39*(50/100))) &gt;=8.8),9,
IF(AND( SUM((DJ39*(20/100))+(DK39*(30/100))+(DL39*(50/100))) &lt;=8.8, SUM((DJ39*(20/100))+(DK39*(30/100))+(DL39*(50/100))) &gt;=8.3),8.5,
IF(AND( SUM((DJ39*(20/100))+(DK39*(30/100))+(DL39*(50/100))) &lt;=8.3, SUM((DJ39*(20/100))+(DK39*(30/100))+(DL39*(50/100))) &gt;=7.8),8,
IF(AND( SUM((DJ39*(20/100))+(DK39*(30/100))+(DL39*(50/100))) &lt;=7.8, SUM((DJ39*(20/100))+(DK39*(30/100))+(DL39*(50/100))) &gt;=7.3),7.5,
IF(AND( SUM((DJ39*(20/100))+(DK39*(30/100))+(DL39*(50/100))) &lt;=7.3, SUM((DJ39*(20/100))+(DK39*(30/100))+(DL39*(50/100))) &gt;=6.8),7,
IF(AND( SUM((DJ39*(20/100))+(DK39*(30/100))+(DL39*(50/100))) &lt;=6.8, SUM((DJ39*(20/100))+(DK39*(30/100))+(DL39*(50/100))) &gt;=6.3),6.5,
IF(AND( SUM((DJ39*(20/100))+(DK39*(30/100))+(DL39*(50/100))) &lt;=6.3, SUM((DJ39*(20/100))+(DK39*(30/100))+(DL39*(50/100))) &gt;=5.8),6,
IF(AND( SUM((DJ39*(20/100))+(DK39*(30/100))+(DL39*(50/100))) &lt;=5.8, SUM((DJ39*(20/100))+(DK39*(30/100))+(DL39*(50/100))) &gt;=5.3),5.5,
IF(AND( SUM((DJ39*(20/100))+(DK39*(30/100))+(DL39*(50/100))) &lt;=5.3, SUM((DJ39*(20/100))+(DK39*(30/100))+(DL39*(50/100))) &gt;=4.8),5,
IF(AND( SUM((DJ39*(20/100))+(DK39*(30/100))+(DL39*(50/100))) &lt;=4.8, SUM((DJ39*(20/100))+(DK39*(30/100))+(DL39*(50/100))) &gt;=4.3),4.5,
IF(AND( SUM((DJ39*(20/100))+(DK39*(30/100))+(DL39*(50/100))) &lt;=4.3, SUM((DJ39*(20/100))+(DK39*(30/100))+(DL39*(50/100))) &gt;=3.8),4,
IF(AND( SUM((DJ39*(20/100))+(DK39*(30/100))+(DL39*(50/100))) &lt;=3.8, SUM((DJ39*(20/100))+(DK39*(30/100))+(DL39*(50/100))) &gt;=3.5),3.5,0)))))))))))))</f>
        <v>0</v>
      </c>
      <c r="DQ39" s="541"/>
      <c r="DR39" s="541"/>
      <c r="DS39" s="541"/>
      <c r="DT39" s="541"/>
      <c r="DU39" s="541"/>
      <c r="DV39" s="541"/>
      <c r="DW39" s="541"/>
      <c r="DX39" s="541"/>
      <c r="DY39" s="541"/>
      <c r="DZ39" s="541"/>
    </row>
    <row r="40" spans="2:130" ht="15" customHeight="1" x14ac:dyDescent="0.25">
      <c r="B40" s="334">
        <v>33</v>
      </c>
      <c r="C40" s="541"/>
      <c r="D40" s="334"/>
      <c r="E40" s="334"/>
      <c r="F40" s="334"/>
      <c r="G40" s="334"/>
      <c r="H40" s="334"/>
      <c r="I40" s="334"/>
      <c r="J40" s="536"/>
      <c r="K40" s="536"/>
      <c r="L40" s="536"/>
      <c r="M40" s="536"/>
      <c r="N40" s="536"/>
      <c r="O40" s="536"/>
      <c r="P40" s="536">
        <f t="shared" si="1"/>
        <v>0</v>
      </c>
      <c r="Q40" s="536"/>
      <c r="R40" s="536"/>
      <c r="S40" s="536"/>
      <c r="T40" s="536">
        <f t="shared" si="2"/>
        <v>0</v>
      </c>
      <c r="U40" s="536"/>
      <c r="V40" s="536"/>
      <c r="W40" s="536"/>
      <c r="X40" s="536">
        <f t="shared" si="3"/>
        <v>0</v>
      </c>
      <c r="Y40" s="536"/>
      <c r="Z40" s="536"/>
      <c r="AA40" s="536"/>
      <c r="AB40" s="536">
        <f t="shared" si="4"/>
        <v>0</v>
      </c>
      <c r="AC40" s="536"/>
      <c r="AD40" s="536"/>
      <c r="AE40" s="536"/>
      <c r="AF40" s="536">
        <f t="shared" si="5"/>
        <v>0</v>
      </c>
      <c r="AG40" s="536"/>
      <c r="AH40" s="536"/>
      <c r="AI40" s="536"/>
      <c r="AJ40" s="536">
        <f t="shared" si="6"/>
        <v>0</v>
      </c>
      <c r="AK40" s="536"/>
      <c r="AL40" s="536"/>
      <c r="AM40" s="536"/>
      <c r="AN40" s="542">
        <f t="shared" si="7"/>
        <v>0</v>
      </c>
      <c r="AO40" s="536"/>
      <c r="AP40" s="536"/>
      <c r="AQ40" s="536"/>
      <c r="AR40" s="542">
        <f t="shared" si="8"/>
        <v>0</v>
      </c>
      <c r="AS40" s="536"/>
      <c r="AT40" s="536"/>
      <c r="AU40" s="536"/>
      <c r="AV40" s="542">
        <f t="shared" si="9"/>
        <v>0</v>
      </c>
      <c r="AW40" s="536"/>
      <c r="AX40" s="536"/>
      <c r="AY40" s="536"/>
      <c r="AZ40" s="542">
        <f t="shared" si="10"/>
        <v>0</v>
      </c>
      <c r="BA40" s="536"/>
      <c r="BB40" s="536"/>
      <c r="BC40" s="536"/>
      <c r="BD40" s="542">
        <f t="shared" si="11"/>
        <v>0</v>
      </c>
      <c r="BE40" s="536"/>
      <c r="BF40" s="536"/>
      <c r="BG40" s="536"/>
      <c r="BH40" s="542">
        <f t="shared" si="12"/>
        <v>0</v>
      </c>
      <c r="BI40" s="536"/>
      <c r="BJ40" s="536"/>
      <c r="BK40" s="536"/>
      <c r="BL40" s="542">
        <f t="shared" si="13"/>
        <v>0</v>
      </c>
      <c r="BM40" s="536"/>
      <c r="BN40" s="536"/>
      <c r="BO40" s="536"/>
      <c r="BP40" s="542">
        <f t="shared" si="14"/>
        <v>0</v>
      </c>
      <c r="BQ40" s="536"/>
      <c r="BR40" s="536"/>
      <c r="BS40" s="536"/>
      <c r="BT40" s="542">
        <f t="shared" si="15"/>
        <v>0</v>
      </c>
      <c r="BU40" s="536"/>
      <c r="BV40" s="536"/>
      <c r="BW40" s="536"/>
      <c r="BX40" s="542">
        <f t="shared" si="16"/>
        <v>0</v>
      </c>
      <c r="BY40" s="536"/>
      <c r="BZ40" s="536"/>
      <c r="CA40" s="536"/>
      <c r="CB40" s="542">
        <v>0</v>
      </c>
      <c r="CC40" s="536"/>
      <c r="CD40" s="536"/>
      <c r="CE40" s="536"/>
      <c r="CF40" s="541">
        <f t="shared" si="17"/>
        <v>0</v>
      </c>
      <c r="CG40" s="536"/>
      <c r="CH40" s="536"/>
      <c r="CI40" s="536"/>
      <c r="CJ40" s="541">
        <f t="shared" si="18"/>
        <v>0</v>
      </c>
      <c r="CK40" s="536"/>
      <c r="CL40" s="536"/>
      <c r="CM40" s="536"/>
      <c r="CN40" s="541">
        <f t="shared" si="19"/>
        <v>0</v>
      </c>
      <c r="CO40" s="536"/>
      <c r="CP40" s="536"/>
      <c r="CQ40" s="536"/>
      <c r="CR40" s="541">
        <f t="shared" si="20"/>
        <v>0</v>
      </c>
      <c r="CS40" s="536"/>
      <c r="CT40" s="536"/>
      <c r="CU40" s="536"/>
      <c r="CV40" s="541">
        <f t="shared" si="21"/>
        <v>0</v>
      </c>
      <c r="CW40" s="536"/>
      <c r="CX40" s="536"/>
      <c r="CY40" s="536"/>
      <c r="CZ40" s="541">
        <f t="shared" si="22"/>
        <v>0</v>
      </c>
      <c r="DA40" s="536"/>
      <c r="DB40" s="536"/>
      <c r="DC40" s="536"/>
      <c r="DD40" s="541">
        <f t="shared" si="23"/>
        <v>0</v>
      </c>
      <c r="DE40" s="536"/>
      <c r="DF40" s="536"/>
      <c r="DG40" s="536"/>
      <c r="DH40" s="541">
        <f t="shared" si="24"/>
        <v>0</v>
      </c>
      <c r="DI40" s="536"/>
      <c r="DJ40" s="536"/>
      <c r="DK40" s="536"/>
      <c r="DL40" s="541">
        <f t="shared" si="25"/>
        <v>0</v>
      </c>
      <c r="DM40" s="536"/>
      <c r="DN40" s="536"/>
      <c r="DO40" s="536"/>
      <c r="DP40" s="541">
        <f>IF( SUM((DJ40*(20/100))+(DK40*(30/100))+(DL40*(50/100))) &gt;=9.3,9.5,
IF(AND( SUM((DJ40*(20/100))+(DK40*(30/100))+(DL40*(50/100))) &lt;=9.3, SUM((DJ40*(20/100))+(DK40*(30/100))+(DL40*(50/100))) &gt;=8.8),9,
IF(AND( SUM((DJ40*(20/100))+(DK40*(30/100))+(DL40*(50/100))) &lt;=8.8, SUM((DJ40*(20/100))+(DK40*(30/100))+(DL40*(50/100))) &gt;=8.3),8.5,
IF(AND( SUM((DJ40*(20/100))+(DK40*(30/100))+(DL40*(50/100))) &lt;=8.3, SUM((DJ40*(20/100))+(DK40*(30/100))+(DL40*(50/100))) &gt;=7.8),8,
IF(AND( SUM((DJ40*(20/100))+(DK40*(30/100))+(DL40*(50/100))) &lt;=7.8, SUM((DJ40*(20/100))+(DK40*(30/100))+(DL40*(50/100))) &gt;=7.3),7.5,
IF(AND( SUM((DJ40*(20/100))+(DK40*(30/100))+(DL40*(50/100))) &lt;=7.3, SUM((DJ40*(20/100))+(DK40*(30/100))+(DL40*(50/100))) &gt;=6.8),7,
IF(AND( SUM((DJ40*(20/100))+(DK40*(30/100))+(DL40*(50/100))) &lt;=6.8, SUM((DJ40*(20/100))+(DK40*(30/100))+(DL40*(50/100))) &gt;=6.3),6.5,
IF(AND( SUM((DJ40*(20/100))+(DK40*(30/100))+(DL40*(50/100))) &lt;=6.3, SUM((DJ40*(20/100))+(DK40*(30/100))+(DL40*(50/100))) &gt;=5.8),6,
IF(AND( SUM((DJ40*(20/100))+(DK40*(30/100))+(DL40*(50/100))) &lt;=5.8, SUM((DJ40*(20/100))+(DK40*(30/100))+(DL40*(50/100))) &gt;=5.3),5.5,
IF(AND( SUM((DJ40*(20/100))+(DK40*(30/100))+(DL40*(50/100))) &lt;=5.3, SUM((DJ40*(20/100))+(DK40*(30/100))+(DL40*(50/100))) &gt;=4.8),5,
IF(AND( SUM((DJ40*(20/100))+(DK40*(30/100))+(DL40*(50/100))) &lt;=4.8, SUM((DJ40*(20/100))+(DK40*(30/100))+(DL40*(50/100))) &gt;=4.3),4.5,
IF(AND( SUM((DJ40*(20/100))+(DK40*(30/100))+(DL40*(50/100))) &lt;=4.3, SUM((DJ40*(20/100))+(DK40*(30/100))+(DL40*(50/100))) &gt;=3.8),4,
IF(AND( SUM((DJ40*(20/100))+(DK40*(30/100))+(DL40*(50/100))) &lt;=3.8, SUM((DJ40*(20/100))+(DK40*(30/100))+(DL40*(50/100))) &gt;=3.5),3.5,0)))))))))))))</f>
        <v>0</v>
      </c>
      <c r="DQ40" s="541"/>
      <c r="DR40" s="541"/>
      <c r="DS40" s="541"/>
      <c r="DT40" s="541"/>
      <c r="DU40" s="541"/>
      <c r="DV40" s="541"/>
      <c r="DW40" s="541"/>
      <c r="DX40" s="541"/>
      <c r="DY40" s="541"/>
      <c r="DZ40" s="541"/>
    </row>
    <row r="41" spans="2:130" ht="15" customHeight="1" x14ac:dyDescent="0.25">
      <c r="B41" s="334">
        <v>34</v>
      </c>
      <c r="C41" s="541"/>
      <c r="D41" s="334"/>
      <c r="E41" s="334"/>
      <c r="F41" s="334"/>
      <c r="G41" s="334"/>
      <c r="H41" s="334"/>
      <c r="I41" s="334"/>
      <c r="J41" s="536"/>
      <c r="K41" s="536"/>
      <c r="L41" s="536"/>
      <c r="M41" s="536"/>
      <c r="N41" s="536"/>
      <c r="O41" s="536"/>
      <c r="P41" s="536">
        <f t="shared" si="1"/>
        <v>0</v>
      </c>
      <c r="Q41" s="536"/>
      <c r="R41" s="536"/>
      <c r="S41" s="536"/>
      <c r="T41" s="536">
        <f t="shared" si="2"/>
        <v>0</v>
      </c>
      <c r="U41" s="536"/>
      <c r="V41" s="536"/>
      <c r="W41" s="536"/>
      <c r="X41" s="536">
        <f t="shared" si="3"/>
        <v>0</v>
      </c>
      <c r="Y41" s="536"/>
      <c r="Z41" s="536"/>
      <c r="AA41" s="536"/>
      <c r="AB41" s="536">
        <f t="shared" si="4"/>
        <v>0</v>
      </c>
      <c r="AC41" s="536"/>
      <c r="AD41" s="536"/>
      <c r="AE41" s="536"/>
      <c r="AF41" s="536">
        <f t="shared" si="5"/>
        <v>0</v>
      </c>
      <c r="AG41" s="536"/>
      <c r="AH41" s="536"/>
      <c r="AI41" s="536"/>
      <c r="AJ41" s="536">
        <f t="shared" si="6"/>
        <v>0</v>
      </c>
      <c r="AK41" s="536"/>
      <c r="AL41" s="536"/>
      <c r="AM41" s="536"/>
      <c r="AN41" s="542">
        <f t="shared" si="7"/>
        <v>0</v>
      </c>
      <c r="AO41" s="536"/>
      <c r="AP41" s="536"/>
      <c r="AQ41" s="536"/>
      <c r="AR41" s="542">
        <f t="shared" si="8"/>
        <v>0</v>
      </c>
      <c r="AS41" s="536"/>
      <c r="AT41" s="536"/>
      <c r="AU41" s="536"/>
      <c r="AV41" s="542">
        <f t="shared" si="9"/>
        <v>0</v>
      </c>
      <c r="AW41" s="536"/>
      <c r="AX41" s="536"/>
      <c r="AY41" s="536"/>
      <c r="AZ41" s="542">
        <f t="shared" si="10"/>
        <v>0</v>
      </c>
      <c r="BA41" s="536"/>
      <c r="BB41" s="536"/>
      <c r="BC41" s="536"/>
      <c r="BD41" s="542">
        <f t="shared" si="11"/>
        <v>0</v>
      </c>
      <c r="BE41" s="536"/>
      <c r="BF41" s="536"/>
      <c r="BG41" s="536"/>
      <c r="BH41" s="542">
        <f t="shared" si="12"/>
        <v>0</v>
      </c>
      <c r="BI41" s="536"/>
      <c r="BJ41" s="536"/>
      <c r="BK41" s="536"/>
      <c r="BL41" s="542">
        <f t="shared" si="13"/>
        <v>0</v>
      </c>
      <c r="BM41" s="536"/>
      <c r="BN41" s="536"/>
      <c r="BO41" s="536"/>
      <c r="BP41" s="542">
        <f t="shared" si="14"/>
        <v>0</v>
      </c>
      <c r="BQ41" s="536"/>
      <c r="BR41" s="536"/>
      <c r="BS41" s="536"/>
      <c r="BT41" s="542">
        <f t="shared" si="15"/>
        <v>0</v>
      </c>
      <c r="BU41" s="536"/>
      <c r="BV41" s="536"/>
      <c r="BW41" s="536"/>
      <c r="BX41" s="542">
        <f t="shared" si="16"/>
        <v>0</v>
      </c>
      <c r="BY41" s="536"/>
      <c r="BZ41" s="536"/>
      <c r="CA41" s="536"/>
      <c r="CB41" s="542">
        <v>0</v>
      </c>
      <c r="CC41" s="536"/>
      <c r="CD41" s="536"/>
      <c r="CE41" s="536"/>
      <c r="CF41" s="541">
        <f t="shared" si="17"/>
        <v>0</v>
      </c>
      <c r="CG41" s="536"/>
      <c r="CH41" s="536"/>
      <c r="CI41" s="536"/>
      <c r="CJ41" s="541">
        <f t="shared" si="18"/>
        <v>0</v>
      </c>
      <c r="CK41" s="536"/>
      <c r="CL41" s="536"/>
      <c r="CM41" s="536"/>
      <c r="CN41" s="541">
        <f t="shared" si="19"/>
        <v>0</v>
      </c>
      <c r="CO41" s="536"/>
      <c r="CP41" s="536"/>
      <c r="CQ41" s="536"/>
      <c r="CR41" s="541">
        <f t="shared" si="20"/>
        <v>0</v>
      </c>
      <c r="CS41" s="536"/>
      <c r="CT41" s="536"/>
      <c r="CU41" s="536"/>
      <c r="CV41" s="541">
        <f t="shared" si="21"/>
        <v>0</v>
      </c>
      <c r="CW41" s="536"/>
      <c r="CX41" s="536"/>
      <c r="CY41" s="536"/>
      <c r="CZ41" s="541">
        <f t="shared" si="22"/>
        <v>0</v>
      </c>
      <c r="DA41" s="536"/>
      <c r="DB41" s="536"/>
      <c r="DC41" s="536"/>
      <c r="DD41" s="541">
        <f t="shared" si="23"/>
        <v>0</v>
      </c>
      <c r="DE41" s="536"/>
      <c r="DF41" s="536"/>
      <c r="DG41" s="536"/>
      <c r="DH41" s="541">
        <f t="shared" si="24"/>
        <v>0</v>
      </c>
      <c r="DI41" s="536"/>
      <c r="DJ41" s="536"/>
      <c r="DK41" s="536"/>
      <c r="DL41" s="541">
        <f t="shared" si="25"/>
        <v>0</v>
      </c>
      <c r="DM41" s="536"/>
      <c r="DN41" s="536"/>
      <c r="DO41" s="536"/>
      <c r="DP41" s="541">
        <f>IF( SUM((DJ41*(20/100))+(DK41*(30/100))+(DL41*(50/100))) &gt;=9.3,9.5,
IF(AND( SUM((DJ41*(20/100))+(DK41*(30/100))+(DL41*(50/100))) &lt;=9.3, SUM((DJ41*(20/100))+(DK41*(30/100))+(DL41*(50/100))) &gt;=8.8),9,
IF(AND( SUM((DJ41*(20/100))+(DK41*(30/100))+(DL41*(50/100))) &lt;=8.8, SUM((DJ41*(20/100))+(DK41*(30/100))+(DL41*(50/100))) &gt;=8.3),8.5,
IF(AND( SUM((DJ41*(20/100))+(DK41*(30/100))+(DL41*(50/100))) &lt;=8.3, SUM((DJ41*(20/100))+(DK41*(30/100))+(DL41*(50/100))) &gt;=7.8),8,
IF(AND( SUM((DJ41*(20/100))+(DK41*(30/100))+(DL41*(50/100))) &lt;=7.8, SUM((DJ41*(20/100))+(DK41*(30/100))+(DL41*(50/100))) &gt;=7.3),7.5,
IF(AND( SUM((DJ41*(20/100))+(DK41*(30/100))+(DL41*(50/100))) &lt;=7.3, SUM((DJ41*(20/100))+(DK41*(30/100))+(DL41*(50/100))) &gt;=6.8),7,
IF(AND( SUM((DJ41*(20/100))+(DK41*(30/100))+(DL41*(50/100))) &lt;=6.8, SUM((DJ41*(20/100))+(DK41*(30/100))+(DL41*(50/100))) &gt;=6.3),6.5,
IF(AND( SUM((DJ41*(20/100))+(DK41*(30/100))+(DL41*(50/100))) &lt;=6.3, SUM((DJ41*(20/100))+(DK41*(30/100))+(DL41*(50/100))) &gt;=5.8),6,
IF(AND( SUM((DJ41*(20/100))+(DK41*(30/100))+(DL41*(50/100))) &lt;=5.8, SUM((DJ41*(20/100))+(DK41*(30/100))+(DL41*(50/100))) &gt;=5.3),5.5,
IF(AND( SUM((DJ41*(20/100))+(DK41*(30/100))+(DL41*(50/100))) &lt;=5.3, SUM((DJ41*(20/100))+(DK41*(30/100))+(DL41*(50/100))) &gt;=4.8),5,
IF(AND( SUM((DJ41*(20/100))+(DK41*(30/100))+(DL41*(50/100))) &lt;=4.8, SUM((DJ41*(20/100))+(DK41*(30/100))+(DL41*(50/100))) &gt;=4.3),4.5,
IF(AND( SUM((DJ41*(20/100))+(DK41*(30/100))+(DL41*(50/100))) &lt;=4.3, SUM((DJ41*(20/100))+(DK41*(30/100))+(DL41*(50/100))) &gt;=3.8),4,
IF(AND( SUM((DJ41*(20/100))+(DK41*(30/100))+(DL41*(50/100))) &lt;=3.8, SUM((DJ41*(20/100))+(DK41*(30/100))+(DL41*(50/100))) &gt;=3.5),3.5,0)))))))))))))</f>
        <v>0</v>
      </c>
      <c r="DQ41" s="541"/>
      <c r="DR41" s="541"/>
      <c r="DS41" s="541"/>
      <c r="DT41" s="541"/>
      <c r="DU41" s="541"/>
      <c r="DV41" s="541"/>
      <c r="DW41" s="541"/>
      <c r="DX41" s="541"/>
      <c r="DY41" s="541"/>
      <c r="DZ41" s="541"/>
    </row>
    <row r="42" spans="2:130" ht="15" customHeight="1" x14ac:dyDescent="0.25">
      <c r="B42" s="334">
        <v>35</v>
      </c>
      <c r="C42" s="541"/>
      <c r="D42" s="334"/>
      <c r="E42" s="334"/>
      <c r="F42" s="334"/>
      <c r="G42" s="334"/>
      <c r="H42" s="334"/>
      <c r="I42" s="334"/>
      <c r="J42" s="536"/>
      <c r="K42" s="536"/>
      <c r="L42" s="536"/>
      <c r="M42" s="536"/>
      <c r="N42" s="536"/>
      <c r="O42" s="536"/>
      <c r="P42" s="536">
        <f t="shared" si="1"/>
        <v>0</v>
      </c>
      <c r="Q42" s="536"/>
      <c r="R42" s="536"/>
      <c r="S42" s="536"/>
      <c r="T42" s="536">
        <f t="shared" si="2"/>
        <v>0</v>
      </c>
      <c r="U42" s="536"/>
      <c r="V42" s="536"/>
      <c r="W42" s="536"/>
      <c r="X42" s="536">
        <f t="shared" si="3"/>
        <v>0</v>
      </c>
      <c r="Y42" s="536"/>
      <c r="Z42" s="536"/>
      <c r="AA42" s="536"/>
      <c r="AB42" s="536">
        <f t="shared" si="4"/>
        <v>0</v>
      </c>
      <c r="AC42" s="536"/>
      <c r="AD42" s="536"/>
      <c r="AE42" s="536"/>
      <c r="AF42" s="536">
        <f t="shared" si="5"/>
        <v>0</v>
      </c>
      <c r="AG42" s="536"/>
      <c r="AH42" s="536"/>
      <c r="AI42" s="536"/>
      <c r="AJ42" s="536">
        <f t="shared" si="6"/>
        <v>0</v>
      </c>
      <c r="AK42" s="536"/>
      <c r="AL42" s="536"/>
      <c r="AM42" s="536"/>
      <c r="AN42" s="542">
        <f t="shared" si="7"/>
        <v>0</v>
      </c>
      <c r="AO42" s="536"/>
      <c r="AP42" s="536"/>
      <c r="AQ42" s="536"/>
      <c r="AR42" s="542">
        <f t="shared" si="8"/>
        <v>0</v>
      </c>
      <c r="AS42" s="536"/>
      <c r="AT42" s="536"/>
      <c r="AU42" s="536"/>
      <c r="AV42" s="542">
        <f t="shared" si="9"/>
        <v>0</v>
      </c>
      <c r="AW42" s="536"/>
      <c r="AX42" s="536"/>
      <c r="AY42" s="536"/>
      <c r="AZ42" s="542">
        <f t="shared" si="10"/>
        <v>0</v>
      </c>
      <c r="BA42" s="536"/>
      <c r="BB42" s="536"/>
      <c r="BC42" s="536"/>
      <c r="BD42" s="542">
        <f t="shared" si="11"/>
        <v>0</v>
      </c>
      <c r="BE42" s="536"/>
      <c r="BF42" s="536"/>
      <c r="BG42" s="536"/>
      <c r="BH42" s="542">
        <f t="shared" si="12"/>
        <v>0</v>
      </c>
      <c r="BI42" s="536"/>
      <c r="BJ42" s="536"/>
      <c r="BK42" s="536"/>
      <c r="BL42" s="542">
        <f t="shared" si="13"/>
        <v>0</v>
      </c>
      <c r="BM42" s="536"/>
      <c r="BN42" s="536"/>
      <c r="BO42" s="536"/>
      <c r="BP42" s="542">
        <f t="shared" si="14"/>
        <v>0</v>
      </c>
      <c r="BQ42" s="536"/>
      <c r="BR42" s="536"/>
      <c r="BS42" s="536"/>
      <c r="BT42" s="542">
        <f t="shared" si="15"/>
        <v>0</v>
      </c>
      <c r="BU42" s="536"/>
      <c r="BV42" s="536"/>
      <c r="BW42" s="536"/>
      <c r="BX42" s="542">
        <f t="shared" si="16"/>
        <v>0</v>
      </c>
      <c r="BY42" s="536"/>
      <c r="BZ42" s="536"/>
      <c r="CA42" s="536"/>
      <c r="CB42" s="542">
        <v>0</v>
      </c>
      <c r="CC42" s="536"/>
      <c r="CD42" s="536"/>
      <c r="CE42" s="536"/>
      <c r="CF42" s="541">
        <f t="shared" si="17"/>
        <v>0</v>
      </c>
      <c r="CG42" s="536"/>
      <c r="CH42" s="536"/>
      <c r="CI42" s="536"/>
      <c r="CJ42" s="541">
        <f t="shared" si="18"/>
        <v>0</v>
      </c>
      <c r="CK42" s="536"/>
      <c r="CL42" s="536"/>
      <c r="CM42" s="536"/>
      <c r="CN42" s="541">
        <f t="shared" si="19"/>
        <v>0</v>
      </c>
      <c r="CO42" s="536"/>
      <c r="CP42" s="536"/>
      <c r="CQ42" s="536"/>
      <c r="CR42" s="541">
        <f t="shared" si="20"/>
        <v>0</v>
      </c>
      <c r="CS42" s="536"/>
      <c r="CT42" s="536"/>
      <c r="CU42" s="536"/>
      <c r="CV42" s="541">
        <f t="shared" si="21"/>
        <v>0</v>
      </c>
      <c r="CW42" s="536"/>
      <c r="CX42" s="536"/>
      <c r="CY42" s="536"/>
      <c r="CZ42" s="541">
        <f t="shared" si="22"/>
        <v>0</v>
      </c>
      <c r="DA42" s="536"/>
      <c r="DB42" s="536"/>
      <c r="DC42" s="536"/>
      <c r="DD42" s="541">
        <f t="shared" si="23"/>
        <v>0</v>
      </c>
      <c r="DE42" s="536"/>
      <c r="DF42" s="536"/>
      <c r="DG42" s="536"/>
      <c r="DH42" s="541">
        <f t="shared" si="24"/>
        <v>0</v>
      </c>
      <c r="DI42" s="536"/>
      <c r="DJ42" s="536"/>
      <c r="DK42" s="536"/>
      <c r="DL42" s="541">
        <f t="shared" si="25"/>
        <v>0</v>
      </c>
      <c r="DM42" s="536"/>
      <c r="DN42" s="536"/>
      <c r="DO42" s="536"/>
      <c r="DP42" s="541">
        <f>IF( SUM((DJ42*(20/100))+(DK42*(30/100))+(DL42*(50/100))) &gt;=9.3,9.5,
IF(AND( SUM((DJ42*(20/100))+(DK42*(30/100))+(DL42*(50/100))) &lt;=9.3, SUM((DJ42*(20/100))+(DK42*(30/100))+(DL42*(50/100))) &gt;=8.8),9,
IF(AND( SUM((DJ42*(20/100))+(DK42*(30/100))+(DL42*(50/100))) &lt;=8.8, SUM((DJ42*(20/100))+(DK42*(30/100))+(DL42*(50/100))) &gt;=8.3),8.5,
IF(AND( SUM((DJ42*(20/100))+(DK42*(30/100))+(DL42*(50/100))) &lt;=8.3, SUM((DJ42*(20/100))+(DK42*(30/100))+(DL42*(50/100))) &gt;=7.8),8,
IF(AND( SUM((DJ42*(20/100))+(DK42*(30/100))+(DL42*(50/100))) &lt;=7.8, SUM((DJ42*(20/100))+(DK42*(30/100))+(DL42*(50/100))) &gt;=7.3),7.5,
IF(AND( SUM((DJ42*(20/100))+(DK42*(30/100))+(DL42*(50/100))) &lt;=7.3, SUM((DJ42*(20/100))+(DK42*(30/100))+(DL42*(50/100))) &gt;=6.8),7,
IF(AND( SUM((DJ42*(20/100))+(DK42*(30/100))+(DL42*(50/100))) &lt;=6.8, SUM((DJ42*(20/100))+(DK42*(30/100))+(DL42*(50/100))) &gt;=6.3),6.5,
IF(AND( SUM((DJ42*(20/100))+(DK42*(30/100))+(DL42*(50/100))) &lt;=6.3, SUM((DJ42*(20/100))+(DK42*(30/100))+(DL42*(50/100))) &gt;=5.8),6,
IF(AND( SUM((DJ42*(20/100))+(DK42*(30/100))+(DL42*(50/100))) &lt;=5.8, SUM((DJ42*(20/100))+(DK42*(30/100))+(DL42*(50/100))) &gt;=5.3),5.5,
IF(AND( SUM((DJ42*(20/100))+(DK42*(30/100))+(DL42*(50/100))) &lt;=5.3, SUM((DJ42*(20/100))+(DK42*(30/100))+(DL42*(50/100))) &gt;=4.8),5,
IF(AND( SUM((DJ42*(20/100))+(DK42*(30/100))+(DL42*(50/100))) &lt;=4.8, SUM((DJ42*(20/100))+(DK42*(30/100))+(DL42*(50/100))) &gt;=4.3),4.5,
IF(AND( SUM((DJ42*(20/100))+(DK42*(30/100))+(DL42*(50/100))) &lt;=4.3, SUM((DJ42*(20/100))+(DK42*(30/100))+(DL42*(50/100))) &gt;=3.8),4,
IF(AND( SUM((DJ42*(20/100))+(DK42*(30/100))+(DL42*(50/100))) &lt;=3.8, SUM((DJ42*(20/100))+(DK42*(30/100))+(DL42*(50/100))) &gt;=3.5),3.5,0)))))))))))))</f>
        <v>0</v>
      </c>
      <c r="DQ42" s="541"/>
      <c r="DR42" s="541"/>
      <c r="DS42" s="541"/>
      <c r="DT42" s="541"/>
      <c r="DU42" s="541"/>
      <c r="DV42" s="541"/>
      <c r="DW42" s="541"/>
      <c r="DX42" s="541"/>
      <c r="DY42" s="541"/>
      <c r="DZ42" s="541"/>
    </row>
    <row r="43" spans="2:130" ht="15" customHeight="1" x14ac:dyDescent="0.25">
      <c r="B43" s="334">
        <v>36</v>
      </c>
      <c r="C43" s="541"/>
      <c r="D43" s="334"/>
      <c r="E43" s="334"/>
      <c r="F43" s="334"/>
      <c r="G43" s="334"/>
      <c r="H43" s="334"/>
      <c r="I43" s="334"/>
      <c r="J43" s="536"/>
      <c r="K43" s="536"/>
      <c r="L43" s="536"/>
      <c r="M43" s="536"/>
      <c r="N43" s="536"/>
      <c r="O43" s="536"/>
      <c r="P43" s="536">
        <f t="shared" si="1"/>
        <v>0</v>
      </c>
      <c r="Q43" s="536"/>
      <c r="R43" s="536"/>
      <c r="S43" s="536"/>
      <c r="T43" s="536">
        <f t="shared" si="2"/>
        <v>0</v>
      </c>
      <c r="U43" s="536"/>
      <c r="V43" s="536"/>
      <c r="W43" s="536"/>
      <c r="X43" s="536">
        <f t="shared" si="3"/>
        <v>0</v>
      </c>
      <c r="Y43" s="536"/>
      <c r="Z43" s="536"/>
      <c r="AA43" s="536"/>
      <c r="AB43" s="536">
        <f t="shared" si="4"/>
        <v>0</v>
      </c>
      <c r="AC43" s="536"/>
      <c r="AD43" s="536"/>
      <c r="AE43" s="536"/>
      <c r="AF43" s="536">
        <f t="shared" si="5"/>
        <v>0</v>
      </c>
      <c r="AG43" s="536"/>
      <c r="AH43" s="536"/>
      <c r="AI43" s="536"/>
      <c r="AJ43" s="536">
        <f t="shared" si="6"/>
        <v>0</v>
      </c>
      <c r="AK43" s="536"/>
      <c r="AL43" s="536"/>
      <c r="AM43" s="536"/>
      <c r="AN43" s="542">
        <f t="shared" si="7"/>
        <v>0</v>
      </c>
      <c r="AO43" s="536"/>
      <c r="AP43" s="536"/>
      <c r="AQ43" s="536"/>
      <c r="AR43" s="542">
        <f t="shared" si="8"/>
        <v>0</v>
      </c>
      <c r="AS43" s="536"/>
      <c r="AT43" s="536"/>
      <c r="AU43" s="536"/>
      <c r="AV43" s="542">
        <f t="shared" si="9"/>
        <v>0</v>
      </c>
      <c r="AW43" s="536"/>
      <c r="AX43" s="536"/>
      <c r="AY43" s="536"/>
      <c r="AZ43" s="542">
        <f t="shared" si="10"/>
        <v>0</v>
      </c>
      <c r="BA43" s="536"/>
      <c r="BB43" s="536"/>
      <c r="BC43" s="536"/>
      <c r="BD43" s="542">
        <f t="shared" si="11"/>
        <v>0</v>
      </c>
      <c r="BE43" s="536"/>
      <c r="BF43" s="536"/>
      <c r="BG43" s="536"/>
      <c r="BH43" s="542">
        <f t="shared" si="12"/>
        <v>0</v>
      </c>
      <c r="BI43" s="536"/>
      <c r="BJ43" s="536"/>
      <c r="BK43" s="536"/>
      <c r="BL43" s="542">
        <f t="shared" si="13"/>
        <v>0</v>
      </c>
      <c r="BM43" s="536"/>
      <c r="BN43" s="536"/>
      <c r="BO43" s="536"/>
      <c r="BP43" s="542">
        <f t="shared" si="14"/>
        <v>0</v>
      </c>
      <c r="BQ43" s="536"/>
      <c r="BR43" s="536"/>
      <c r="BS43" s="536"/>
      <c r="BT43" s="542">
        <f t="shared" si="15"/>
        <v>0</v>
      </c>
      <c r="BU43" s="536"/>
      <c r="BV43" s="536"/>
      <c r="BW43" s="536"/>
      <c r="BX43" s="542">
        <f t="shared" si="16"/>
        <v>0</v>
      </c>
      <c r="BY43" s="536"/>
      <c r="BZ43" s="536"/>
      <c r="CA43" s="536"/>
      <c r="CB43" s="542">
        <v>0</v>
      </c>
      <c r="CC43" s="536"/>
      <c r="CD43" s="536"/>
      <c r="CE43" s="536"/>
      <c r="CF43" s="541">
        <f t="shared" si="17"/>
        <v>0</v>
      </c>
      <c r="CG43" s="536"/>
      <c r="CH43" s="536"/>
      <c r="CI43" s="536"/>
      <c r="CJ43" s="541">
        <f t="shared" si="18"/>
        <v>0</v>
      </c>
      <c r="CK43" s="536"/>
      <c r="CL43" s="536"/>
      <c r="CM43" s="536"/>
      <c r="CN43" s="541">
        <f t="shared" si="19"/>
        <v>0</v>
      </c>
      <c r="CO43" s="536"/>
      <c r="CP43" s="536"/>
      <c r="CQ43" s="536"/>
      <c r="CR43" s="541">
        <f t="shared" si="20"/>
        <v>0</v>
      </c>
      <c r="CS43" s="536"/>
      <c r="CT43" s="536"/>
      <c r="CU43" s="536"/>
      <c r="CV43" s="541">
        <f t="shared" si="21"/>
        <v>0</v>
      </c>
      <c r="CW43" s="536"/>
      <c r="CX43" s="536"/>
      <c r="CY43" s="536"/>
      <c r="CZ43" s="541">
        <f t="shared" si="22"/>
        <v>0</v>
      </c>
      <c r="DA43" s="536"/>
      <c r="DB43" s="536"/>
      <c r="DC43" s="536"/>
      <c r="DD43" s="541">
        <f t="shared" si="23"/>
        <v>0</v>
      </c>
      <c r="DE43" s="536"/>
      <c r="DF43" s="536"/>
      <c r="DG43" s="536"/>
      <c r="DH43" s="541">
        <f t="shared" si="24"/>
        <v>0</v>
      </c>
      <c r="DI43" s="536"/>
      <c r="DJ43" s="536"/>
      <c r="DK43" s="536"/>
      <c r="DL43" s="541">
        <f t="shared" si="25"/>
        <v>0</v>
      </c>
      <c r="DM43" s="536"/>
      <c r="DN43" s="536"/>
      <c r="DO43" s="536"/>
      <c r="DP43" s="541">
        <f>IF( SUM((DJ43*(20/100))+(DK43*(30/100))+(DL43*(50/100))) &gt;=9.3,9.5,
IF(AND( SUM((DJ43*(20/100))+(DK43*(30/100))+(DL43*(50/100))) &lt;=9.3, SUM((DJ43*(20/100))+(DK43*(30/100))+(DL43*(50/100))) &gt;=8.8),9,
IF(AND( SUM((DJ43*(20/100))+(DK43*(30/100))+(DL43*(50/100))) &lt;=8.8, SUM((DJ43*(20/100))+(DK43*(30/100))+(DL43*(50/100))) &gt;=8.3),8.5,
IF(AND( SUM((DJ43*(20/100))+(DK43*(30/100))+(DL43*(50/100))) &lt;=8.3, SUM((DJ43*(20/100))+(DK43*(30/100))+(DL43*(50/100))) &gt;=7.8),8,
IF(AND( SUM((DJ43*(20/100))+(DK43*(30/100))+(DL43*(50/100))) &lt;=7.8, SUM((DJ43*(20/100))+(DK43*(30/100))+(DL43*(50/100))) &gt;=7.3),7.5,
IF(AND( SUM((DJ43*(20/100))+(DK43*(30/100))+(DL43*(50/100))) &lt;=7.3, SUM((DJ43*(20/100))+(DK43*(30/100))+(DL43*(50/100))) &gt;=6.8),7,
IF(AND( SUM((DJ43*(20/100))+(DK43*(30/100))+(DL43*(50/100))) &lt;=6.8, SUM((DJ43*(20/100))+(DK43*(30/100))+(DL43*(50/100))) &gt;=6.3),6.5,
IF(AND( SUM((DJ43*(20/100))+(DK43*(30/100))+(DL43*(50/100))) &lt;=6.3, SUM((DJ43*(20/100))+(DK43*(30/100))+(DL43*(50/100))) &gt;=5.8),6,
IF(AND( SUM((DJ43*(20/100))+(DK43*(30/100))+(DL43*(50/100))) &lt;=5.8, SUM((DJ43*(20/100))+(DK43*(30/100))+(DL43*(50/100))) &gt;=5.3),5.5,
IF(AND( SUM((DJ43*(20/100))+(DK43*(30/100))+(DL43*(50/100))) &lt;=5.3, SUM((DJ43*(20/100))+(DK43*(30/100))+(DL43*(50/100))) &gt;=4.8),5,
IF(AND( SUM((DJ43*(20/100))+(DK43*(30/100))+(DL43*(50/100))) &lt;=4.8, SUM((DJ43*(20/100))+(DK43*(30/100))+(DL43*(50/100))) &gt;=4.3),4.5,
IF(AND( SUM((DJ43*(20/100))+(DK43*(30/100))+(DL43*(50/100))) &lt;=4.3, SUM((DJ43*(20/100))+(DK43*(30/100))+(DL43*(50/100))) &gt;=3.8),4,
IF(AND( SUM((DJ43*(20/100))+(DK43*(30/100))+(DL43*(50/100))) &lt;=3.8, SUM((DJ43*(20/100))+(DK43*(30/100))+(DL43*(50/100))) &gt;=3.5),3.5,0)))))))))))))</f>
        <v>0</v>
      </c>
      <c r="DQ43" s="541"/>
      <c r="DR43" s="541"/>
      <c r="DS43" s="541"/>
      <c r="DT43" s="541"/>
      <c r="DU43" s="541"/>
      <c r="DV43" s="541"/>
      <c r="DW43" s="541"/>
      <c r="DX43" s="541"/>
      <c r="DY43" s="541"/>
      <c r="DZ43" s="541"/>
    </row>
    <row r="44" spans="2:130" ht="15" customHeight="1" x14ac:dyDescent="0.25">
      <c r="B44" s="334">
        <v>37</v>
      </c>
      <c r="C44" s="541"/>
      <c r="D44" s="334"/>
      <c r="E44" s="334"/>
      <c r="F44" s="334"/>
      <c r="G44" s="334"/>
      <c r="H44" s="334"/>
      <c r="I44" s="334"/>
      <c r="J44" s="536"/>
      <c r="K44" s="536"/>
      <c r="L44" s="536"/>
      <c r="M44" s="536"/>
      <c r="N44" s="536"/>
      <c r="O44" s="536"/>
      <c r="P44" s="536">
        <f t="shared" si="1"/>
        <v>0</v>
      </c>
      <c r="Q44" s="536"/>
      <c r="R44" s="536"/>
      <c r="S44" s="536"/>
      <c r="T44" s="536">
        <f t="shared" si="2"/>
        <v>0</v>
      </c>
      <c r="U44" s="536"/>
      <c r="V44" s="536"/>
      <c r="W44" s="536"/>
      <c r="X44" s="536">
        <f t="shared" si="3"/>
        <v>0</v>
      </c>
      <c r="Y44" s="536"/>
      <c r="Z44" s="536"/>
      <c r="AA44" s="536"/>
      <c r="AB44" s="536">
        <f t="shared" si="4"/>
        <v>0</v>
      </c>
      <c r="AC44" s="536"/>
      <c r="AD44" s="536"/>
      <c r="AE44" s="536"/>
      <c r="AF44" s="536">
        <f t="shared" si="5"/>
        <v>0</v>
      </c>
      <c r="AG44" s="536"/>
      <c r="AH44" s="536"/>
      <c r="AI44" s="536"/>
      <c r="AJ44" s="536">
        <f t="shared" si="6"/>
        <v>0</v>
      </c>
      <c r="AK44" s="536"/>
      <c r="AL44" s="536"/>
      <c r="AM44" s="536"/>
      <c r="AN44" s="542">
        <f t="shared" si="7"/>
        <v>0</v>
      </c>
      <c r="AO44" s="536"/>
      <c r="AP44" s="536"/>
      <c r="AQ44" s="536"/>
      <c r="AR44" s="542">
        <f t="shared" si="8"/>
        <v>0</v>
      </c>
      <c r="AS44" s="536"/>
      <c r="AT44" s="536"/>
      <c r="AU44" s="536"/>
      <c r="AV44" s="542">
        <f t="shared" si="9"/>
        <v>0</v>
      </c>
      <c r="AW44" s="536"/>
      <c r="AX44" s="536"/>
      <c r="AY44" s="536"/>
      <c r="AZ44" s="542">
        <f t="shared" si="10"/>
        <v>0</v>
      </c>
      <c r="BA44" s="536"/>
      <c r="BB44" s="536"/>
      <c r="BC44" s="536"/>
      <c r="BD44" s="542">
        <f t="shared" si="11"/>
        <v>0</v>
      </c>
      <c r="BE44" s="536"/>
      <c r="BF44" s="536"/>
      <c r="BG44" s="536"/>
      <c r="BH44" s="542">
        <f t="shared" si="12"/>
        <v>0</v>
      </c>
      <c r="BI44" s="536"/>
      <c r="BJ44" s="536"/>
      <c r="BK44" s="536"/>
      <c r="BL44" s="542">
        <f t="shared" si="13"/>
        <v>0</v>
      </c>
      <c r="BM44" s="536"/>
      <c r="BN44" s="536"/>
      <c r="BO44" s="536"/>
      <c r="BP44" s="542">
        <f t="shared" si="14"/>
        <v>0</v>
      </c>
      <c r="BQ44" s="536"/>
      <c r="BR44" s="536"/>
      <c r="BS44" s="536"/>
      <c r="BT44" s="542">
        <f t="shared" si="15"/>
        <v>0</v>
      </c>
      <c r="BU44" s="536"/>
      <c r="BV44" s="536"/>
      <c r="BW44" s="536"/>
      <c r="BX44" s="542">
        <f t="shared" si="16"/>
        <v>0</v>
      </c>
      <c r="BY44" s="536"/>
      <c r="BZ44" s="536"/>
      <c r="CA44" s="536"/>
      <c r="CB44" s="542">
        <v>0</v>
      </c>
      <c r="CC44" s="536"/>
      <c r="CD44" s="536"/>
      <c r="CE44" s="536"/>
      <c r="CF44" s="541">
        <f t="shared" si="17"/>
        <v>0</v>
      </c>
      <c r="CG44" s="536"/>
      <c r="CH44" s="536"/>
      <c r="CI44" s="536"/>
      <c r="CJ44" s="541">
        <f t="shared" si="18"/>
        <v>0</v>
      </c>
      <c r="CK44" s="536"/>
      <c r="CL44" s="536"/>
      <c r="CM44" s="536"/>
      <c r="CN44" s="541">
        <f t="shared" si="19"/>
        <v>0</v>
      </c>
      <c r="CO44" s="536"/>
      <c r="CP44" s="536"/>
      <c r="CQ44" s="536"/>
      <c r="CR44" s="541">
        <f t="shared" si="20"/>
        <v>0</v>
      </c>
      <c r="CS44" s="536"/>
      <c r="CT44" s="536"/>
      <c r="CU44" s="536"/>
      <c r="CV44" s="541">
        <f t="shared" si="21"/>
        <v>0</v>
      </c>
      <c r="CW44" s="536"/>
      <c r="CX44" s="536"/>
      <c r="CY44" s="536"/>
      <c r="CZ44" s="541">
        <f t="shared" si="22"/>
        <v>0</v>
      </c>
      <c r="DA44" s="536"/>
      <c r="DB44" s="536"/>
      <c r="DC44" s="536"/>
      <c r="DD44" s="541">
        <f t="shared" si="23"/>
        <v>0</v>
      </c>
      <c r="DE44" s="536"/>
      <c r="DF44" s="536"/>
      <c r="DG44" s="536"/>
      <c r="DH44" s="541">
        <f t="shared" si="24"/>
        <v>0</v>
      </c>
      <c r="DI44" s="536"/>
      <c r="DJ44" s="536"/>
      <c r="DK44" s="536"/>
      <c r="DL44" s="541">
        <f t="shared" si="25"/>
        <v>0</v>
      </c>
      <c r="DM44" s="536"/>
      <c r="DN44" s="536"/>
      <c r="DO44" s="536"/>
      <c r="DP44" s="541">
        <f>IF( SUM((DJ44*(20/100))+(DK44*(30/100))+(DL44*(50/100))) &gt;=9.3,9.5,
IF(AND( SUM((DJ44*(20/100))+(DK44*(30/100))+(DL44*(50/100))) &lt;=9.3, SUM((DJ44*(20/100))+(DK44*(30/100))+(DL44*(50/100))) &gt;=8.8),9,
IF(AND( SUM((DJ44*(20/100))+(DK44*(30/100))+(DL44*(50/100))) &lt;=8.8, SUM((DJ44*(20/100))+(DK44*(30/100))+(DL44*(50/100))) &gt;=8.3),8.5,
IF(AND( SUM((DJ44*(20/100))+(DK44*(30/100))+(DL44*(50/100))) &lt;=8.3, SUM((DJ44*(20/100))+(DK44*(30/100))+(DL44*(50/100))) &gt;=7.8),8,
IF(AND( SUM((DJ44*(20/100))+(DK44*(30/100))+(DL44*(50/100))) &lt;=7.8, SUM((DJ44*(20/100))+(DK44*(30/100))+(DL44*(50/100))) &gt;=7.3),7.5,
IF(AND( SUM((DJ44*(20/100))+(DK44*(30/100))+(DL44*(50/100))) &lt;=7.3, SUM((DJ44*(20/100))+(DK44*(30/100))+(DL44*(50/100))) &gt;=6.8),7,
IF(AND( SUM((DJ44*(20/100))+(DK44*(30/100))+(DL44*(50/100))) &lt;=6.8, SUM((DJ44*(20/100))+(DK44*(30/100))+(DL44*(50/100))) &gt;=6.3),6.5,
IF(AND( SUM((DJ44*(20/100))+(DK44*(30/100))+(DL44*(50/100))) &lt;=6.3, SUM((DJ44*(20/100))+(DK44*(30/100))+(DL44*(50/100))) &gt;=5.8),6,
IF(AND( SUM((DJ44*(20/100))+(DK44*(30/100))+(DL44*(50/100))) &lt;=5.8, SUM((DJ44*(20/100))+(DK44*(30/100))+(DL44*(50/100))) &gt;=5.3),5.5,
IF(AND( SUM((DJ44*(20/100))+(DK44*(30/100))+(DL44*(50/100))) &lt;=5.3, SUM((DJ44*(20/100))+(DK44*(30/100))+(DL44*(50/100))) &gt;=4.8),5,
IF(AND( SUM((DJ44*(20/100))+(DK44*(30/100))+(DL44*(50/100))) &lt;=4.8, SUM((DJ44*(20/100))+(DK44*(30/100))+(DL44*(50/100))) &gt;=4.3),4.5,
IF(AND( SUM((DJ44*(20/100))+(DK44*(30/100))+(DL44*(50/100))) &lt;=4.3, SUM((DJ44*(20/100))+(DK44*(30/100))+(DL44*(50/100))) &gt;=3.8),4,
IF(AND( SUM((DJ44*(20/100))+(DK44*(30/100))+(DL44*(50/100))) &lt;=3.8, SUM((DJ44*(20/100))+(DK44*(30/100))+(DL44*(50/100))) &gt;=3.5),3.5,0)))))))))))))</f>
        <v>0</v>
      </c>
      <c r="DQ44" s="541"/>
      <c r="DR44" s="541"/>
      <c r="DS44" s="541"/>
      <c r="DT44" s="541"/>
      <c r="DU44" s="541"/>
      <c r="DV44" s="541"/>
      <c r="DW44" s="541"/>
      <c r="DX44" s="541"/>
      <c r="DY44" s="541"/>
      <c r="DZ44" s="541"/>
    </row>
    <row r="45" spans="2:130" ht="15" customHeight="1" x14ac:dyDescent="0.25">
      <c r="B45" s="334">
        <v>38</v>
      </c>
      <c r="C45" s="541"/>
      <c r="D45" s="334"/>
      <c r="E45" s="334"/>
      <c r="F45" s="334"/>
      <c r="G45" s="334"/>
      <c r="H45" s="334"/>
      <c r="I45" s="334"/>
      <c r="J45" s="536"/>
      <c r="K45" s="536"/>
      <c r="L45" s="536"/>
      <c r="M45" s="536"/>
      <c r="N45" s="536"/>
      <c r="O45" s="536"/>
      <c r="P45" s="536">
        <f t="shared" si="1"/>
        <v>0</v>
      </c>
      <c r="Q45" s="536"/>
      <c r="R45" s="536"/>
      <c r="S45" s="536"/>
      <c r="T45" s="536">
        <f t="shared" si="2"/>
        <v>0</v>
      </c>
      <c r="U45" s="536"/>
      <c r="V45" s="536"/>
      <c r="W45" s="536"/>
      <c r="X45" s="536">
        <f t="shared" si="3"/>
        <v>0</v>
      </c>
      <c r="Y45" s="536"/>
      <c r="Z45" s="536"/>
      <c r="AA45" s="536"/>
      <c r="AB45" s="536">
        <f t="shared" si="4"/>
        <v>0</v>
      </c>
      <c r="AC45" s="536"/>
      <c r="AD45" s="536"/>
      <c r="AE45" s="536"/>
      <c r="AF45" s="536">
        <f t="shared" si="5"/>
        <v>0</v>
      </c>
      <c r="AG45" s="536"/>
      <c r="AH45" s="536"/>
      <c r="AI45" s="536"/>
      <c r="AJ45" s="536">
        <f t="shared" si="6"/>
        <v>0</v>
      </c>
      <c r="AK45" s="536"/>
      <c r="AL45" s="536"/>
      <c r="AM45" s="536"/>
      <c r="AN45" s="542">
        <f t="shared" si="7"/>
        <v>0</v>
      </c>
      <c r="AO45" s="536"/>
      <c r="AP45" s="536"/>
      <c r="AQ45" s="536"/>
      <c r="AR45" s="542">
        <f t="shared" si="8"/>
        <v>0</v>
      </c>
      <c r="AS45" s="536"/>
      <c r="AT45" s="536"/>
      <c r="AU45" s="536"/>
      <c r="AV45" s="542">
        <f t="shared" si="9"/>
        <v>0</v>
      </c>
      <c r="AW45" s="536"/>
      <c r="AX45" s="536"/>
      <c r="AY45" s="536"/>
      <c r="AZ45" s="542">
        <f t="shared" si="10"/>
        <v>0</v>
      </c>
      <c r="BA45" s="536"/>
      <c r="BB45" s="536"/>
      <c r="BC45" s="536"/>
      <c r="BD45" s="542">
        <f t="shared" si="11"/>
        <v>0</v>
      </c>
      <c r="BE45" s="536"/>
      <c r="BF45" s="536"/>
      <c r="BG45" s="536"/>
      <c r="BH45" s="542">
        <f t="shared" si="12"/>
        <v>0</v>
      </c>
      <c r="BI45" s="536"/>
      <c r="BJ45" s="536"/>
      <c r="BK45" s="536"/>
      <c r="BL45" s="542">
        <f t="shared" si="13"/>
        <v>0</v>
      </c>
      <c r="BM45" s="536"/>
      <c r="BN45" s="536"/>
      <c r="BO45" s="536"/>
      <c r="BP45" s="542">
        <f t="shared" si="14"/>
        <v>0</v>
      </c>
      <c r="BQ45" s="536"/>
      <c r="BR45" s="536"/>
      <c r="BS45" s="536"/>
      <c r="BT45" s="542">
        <f t="shared" si="15"/>
        <v>0</v>
      </c>
      <c r="BU45" s="536"/>
      <c r="BV45" s="536"/>
      <c r="BW45" s="536"/>
      <c r="BX45" s="542">
        <f t="shared" si="16"/>
        <v>0</v>
      </c>
      <c r="BY45" s="536"/>
      <c r="BZ45" s="536"/>
      <c r="CA45" s="536"/>
      <c r="CB45" s="542">
        <v>0</v>
      </c>
      <c r="CC45" s="536"/>
      <c r="CD45" s="536"/>
      <c r="CE45" s="536"/>
      <c r="CF45" s="541">
        <f t="shared" si="17"/>
        <v>0</v>
      </c>
      <c r="CG45" s="536"/>
      <c r="CH45" s="536"/>
      <c r="CI45" s="536"/>
      <c r="CJ45" s="541">
        <f t="shared" si="18"/>
        <v>0</v>
      </c>
      <c r="CK45" s="536"/>
      <c r="CL45" s="536"/>
      <c r="CM45" s="536"/>
      <c r="CN45" s="541">
        <f t="shared" si="19"/>
        <v>0</v>
      </c>
      <c r="CO45" s="536"/>
      <c r="CP45" s="536"/>
      <c r="CQ45" s="536"/>
      <c r="CR45" s="541">
        <f t="shared" si="20"/>
        <v>0</v>
      </c>
      <c r="CS45" s="536"/>
      <c r="CT45" s="536"/>
      <c r="CU45" s="536"/>
      <c r="CV45" s="541">
        <f t="shared" si="21"/>
        <v>0</v>
      </c>
      <c r="CW45" s="536"/>
      <c r="CX45" s="536"/>
      <c r="CY45" s="536"/>
      <c r="CZ45" s="541">
        <f t="shared" si="22"/>
        <v>0</v>
      </c>
      <c r="DA45" s="536"/>
      <c r="DB45" s="536"/>
      <c r="DC45" s="536"/>
      <c r="DD45" s="541">
        <f t="shared" si="23"/>
        <v>0</v>
      </c>
      <c r="DE45" s="536"/>
      <c r="DF45" s="536"/>
      <c r="DG45" s="536"/>
      <c r="DH45" s="541">
        <f t="shared" si="24"/>
        <v>0</v>
      </c>
      <c r="DI45" s="536"/>
      <c r="DJ45" s="536"/>
      <c r="DK45" s="536"/>
      <c r="DL45" s="541">
        <f t="shared" si="25"/>
        <v>0</v>
      </c>
      <c r="DM45" s="536"/>
      <c r="DN45" s="536"/>
      <c r="DO45" s="536"/>
      <c r="DP45" s="541">
        <f>IF( SUM((DJ45*(20/100))+(DK45*(30/100))+(DL45*(50/100))) &gt;=9.3,9.5,
IF(AND( SUM((DJ45*(20/100))+(DK45*(30/100))+(DL45*(50/100))) &lt;=9.3, SUM((DJ45*(20/100))+(DK45*(30/100))+(DL45*(50/100))) &gt;=8.8),9,
IF(AND( SUM((DJ45*(20/100))+(DK45*(30/100))+(DL45*(50/100))) &lt;=8.8, SUM((DJ45*(20/100))+(DK45*(30/100))+(DL45*(50/100))) &gt;=8.3),8.5,
IF(AND( SUM((DJ45*(20/100))+(DK45*(30/100))+(DL45*(50/100))) &lt;=8.3, SUM((DJ45*(20/100))+(DK45*(30/100))+(DL45*(50/100))) &gt;=7.8),8,
IF(AND( SUM((DJ45*(20/100))+(DK45*(30/100))+(DL45*(50/100))) &lt;=7.8, SUM((DJ45*(20/100))+(DK45*(30/100))+(DL45*(50/100))) &gt;=7.3),7.5,
IF(AND( SUM((DJ45*(20/100))+(DK45*(30/100))+(DL45*(50/100))) &lt;=7.3, SUM((DJ45*(20/100))+(DK45*(30/100))+(DL45*(50/100))) &gt;=6.8),7,
IF(AND( SUM((DJ45*(20/100))+(DK45*(30/100))+(DL45*(50/100))) &lt;=6.8, SUM((DJ45*(20/100))+(DK45*(30/100))+(DL45*(50/100))) &gt;=6.3),6.5,
IF(AND( SUM((DJ45*(20/100))+(DK45*(30/100))+(DL45*(50/100))) &lt;=6.3, SUM((DJ45*(20/100))+(DK45*(30/100))+(DL45*(50/100))) &gt;=5.8),6,
IF(AND( SUM((DJ45*(20/100))+(DK45*(30/100))+(DL45*(50/100))) &lt;=5.8, SUM((DJ45*(20/100))+(DK45*(30/100))+(DL45*(50/100))) &gt;=5.3),5.5,
IF(AND( SUM((DJ45*(20/100))+(DK45*(30/100))+(DL45*(50/100))) &lt;=5.3, SUM((DJ45*(20/100))+(DK45*(30/100))+(DL45*(50/100))) &gt;=4.8),5,
IF(AND( SUM((DJ45*(20/100))+(DK45*(30/100))+(DL45*(50/100))) &lt;=4.8, SUM((DJ45*(20/100))+(DK45*(30/100))+(DL45*(50/100))) &gt;=4.3),4.5,
IF(AND( SUM((DJ45*(20/100))+(DK45*(30/100))+(DL45*(50/100))) &lt;=4.3, SUM((DJ45*(20/100))+(DK45*(30/100))+(DL45*(50/100))) &gt;=3.8),4,
IF(AND( SUM((DJ45*(20/100))+(DK45*(30/100))+(DL45*(50/100))) &lt;=3.8, SUM((DJ45*(20/100))+(DK45*(30/100))+(DL45*(50/100))) &gt;=3.5),3.5,0)))))))))))))</f>
        <v>0</v>
      </c>
      <c r="DQ45" s="541"/>
      <c r="DR45" s="541"/>
      <c r="DS45" s="541"/>
      <c r="DT45" s="541"/>
      <c r="DU45" s="541"/>
      <c r="DV45" s="541"/>
      <c r="DW45" s="541"/>
      <c r="DX45" s="541"/>
      <c r="DY45" s="541"/>
      <c r="DZ45" s="541"/>
    </row>
    <row r="46" spans="2:130" ht="15" customHeight="1" x14ac:dyDescent="0.25">
      <c r="B46" s="334">
        <v>39</v>
      </c>
      <c r="C46" s="541"/>
      <c r="D46" s="334"/>
      <c r="E46" s="334"/>
      <c r="F46" s="334"/>
      <c r="G46" s="334"/>
      <c r="H46" s="334"/>
      <c r="I46" s="334"/>
      <c r="J46" s="536"/>
      <c r="K46" s="536"/>
      <c r="L46" s="536"/>
      <c r="M46" s="536"/>
      <c r="N46" s="536"/>
      <c r="O46" s="536"/>
      <c r="P46" s="536">
        <f t="shared" si="1"/>
        <v>0</v>
      </c>
      <c r="Q46" s="536"/>
      <c r="R46" s="536"/>
      <c r="S46" s="536"/>
      <c r="T46" s="536">
        <f t="shared" si="2"/>
        <v>0</v>
      </c>
      <c r="U46" s="536"/>
      <c r="V46" s="536"/>
      <c r="W46" s="536"/>
      <c r="X46" s="536">
        <f t="shared" si="3"/>
        <v>0</v>
      </c>
      <c r="Y46" s="536"/>
      <c r="Z46" s="536"/>
      <c r="AA46" s="536"/>
      <c r="AB46" s="536">
        <f t="shared" si="4"/>
        <v>0</v>
      </c>
      <c r="AC46" s="536"/>
      <c r="AD46" s="536"/>
      <c r="AE46" s="536"/>
      <c r="AF46" s="536">
        <f t="shared" si="5"/>
        <v>0</v>
      </c>
      <c r="AG46" s="536"/>
      <c r="AH46" s="536"/>
      <c r="AI46" s="536"/>
      <c r="AJ46" s="536">
        <f t="shared" si="6"/>
        <v>0</v>
      </c>
      <c r="AK46" s="536"/>
      <c r="AL46" s="536"/>
      <c r="AM46" s="536"/>
      <c r="AN46" s="542">
        <f t="shared" si="7"/>
        <v>0</v>
      </c>
      <c r="AO46" s="536"/>
      <c r="AP46" s="536"/>
      <c r="AQ46" s="536"/>
      <c r="AR46" s="542">
        <f t="shared" si="8"/>
        <v>0</v>
      </c>
      <c r="AS46" s="536"/>
      <c r="AT46" s="536"/>
      <c r="AU46" s="536"/>
      <c r="AV46" s="542">
        <f t="shared" si="9"/>
        <v>0</v>
      </c>
      <c r="AW46" s="536"/>
      <c r="AX46" s="536"/>
      <c r="AY46" s="536"/>
      <c r="AZ46" s="542">
        <f t="shared" si="10"/>
        <v>0</v>
      </c>
      <c r="BA46" s="536"/>
      <c r="BB46" s="536"/>
      <c r="BC46" s="536"/>
      <c r="BD46" s="542">
        <f t="shared" si="11"/>
        <v>0</v>
      </c>
      <c r="BE46" s="536"/>
      <c r="BF46" s="536"/>
      <c r="BG46" s="536"/>
      <c r="BH46" s="542">
        <f t="shared" si="12"/>
        <v>0</v>
      </c>
      <c r="BI46" s="536"/>
      <c r="BJ46" s="536"/>
      <c r="BK46" s="536"/>
      <c r="BL46" s="542">
        <f t="shared" si="13"/>
        <v>0</v>
      </c>
      <c r="BM46" s="536"/>
      <c r="BN46" s="536"/>
      <c r="BO46" s="536"/>
      <c r="BP46" s="542">
        <f t="shared" si="14"/>
        <v>0</v>
      </c>
      <c r="BQ46" s="536"/>
      <c r="BR46" s="536"/>
      <c r="BS46" s="536"/>
      <c r="BT46" s="542">
        <f t="shared" si="15"/>
        <v>0</v>
      </c>
      <c r="BU46" s="536"/>
      <c r="BV46" s="536"/>
      <c r="BW46" s="536"/>
      <c r="BX46" s="542">
        <f t="shared" si="16"/>
        <v>0</v>
      </c>
      <c r="BY46" s="536"/>
      <c r="BZ46" s="536"/>
      <c r="CA46" s="536"/>
      <c r="CB46" s="542">
        <v>0</v>
      </c>
      <c r="CC46" s="536"/>
      <c r="CD46" s="536"/>
      <c r="CE46" s="536"/>
      <c r="CF46" s="541">
        <f t="shared" si="17"/>
        <v>0</v>
      </c>
      <c r="CG46" s="536"/>
      <c r="CH46" s="536"/>
      <c r="CI46" s="536"/>
      <c r="CJ46" s="541">
        <f t="shared" si="18"/>
        <v>0</v>
      </c>
      <c r="CK46" s="536"/>
      <c r="CL46" s="536"/>
      <c r="CM46" s="536"/>
      <c r="CN46" s="541">
        <f t="shared" si="19"/>
        <v>0</v>
      </c>
      <c r="CO46" s="536"/>
      <c r="CP46" s="536"/>
      <c r="CQ46" s="536"/>
      <c r="CR46" s="541">
        <f t="shared" si="20"/>
        <v>0</v>
      </c>
      <c r="CS46" s="536"/>
      <c r="CT46" s="536"/>
      <c r="CU46" s="536"/>
      <c r="CV46" s="541">
        <f t="shared" si="21"/>
        <v>0</v>
      </c>
      <c r="CW46" s="536"/>
      <c r="CX46" s="536"/>
      <c r="CY46" s="536"/>
      <c r="CZ46" s="541">
        <f t="shared" si="22"/>
        <v>0</v>
      </c>
      <c r="DA46" s="536"/>
      <c r="DB46" s="536"/>
      <c r="DC46" s="536"/>
      <c r="DD46" s="541">
        <f t="shared" si="23"/>
        <v>0</v>
      </c>
      <c r="DE46" s="536"/>
      <c r="DF46" s="536"/>
      <c r="DG46" s="536"/>
      <c r="DH46" s="541">
        <f t="shared" si="24"/>
        <v>0</v>
      </c>
      <c r="DI46" s="536"/>
      <c r="DJ46" s="536"/>
      <c r="DK46" s="536"/>
      <c r="DL46" s="541">
        <f t="shared" si="25"/>
        <v>0</v>
      </c>
      <c r="DM46" s="536"/>
      <c r="DN46" s="536"/>
      <c r="DO46" s="536"/>
      <c r="DP46" s="541">
        <f>IF( SUM((DJ46*(20/100))+(DK46*(30/100))+(DL46*(50/100))) &gt;=9.3,9.5,
IF(AND( SUM((DJ46*(20/100))+(DK46*(30/100))+(DL46*(50/100))) &lt;=9.3, SUM((DJ46*(20/100))+(DK46*(30/100))+(DL46*(50/100))) &gt;=8.8),9,
IF(AND( SUM((DJ46*(20/100))+(DK46*(30/100))+(DL46*(50/100))) &lt;=8.8, SUM((DJ46*(20/100))+(DK46*(30/100))+(DL46*(50/100))) &gt;=8.3),8.5,
IF(AND( SUM((DJ46*(20/100))+(DK46*(30/100))+(DL46*(50/100))) &lt;=8.3, SUM((DJ46*(20/100))+(DK46*(30/100))+(DL46*(50/100))) &gt;=7.8),8,
IF(AND( SUM((DJ46*(20/100))+(DK46*(30/100))+(DL46*(50/100))) &lt;=7.8, SUM((DJ46*(20/100))+(DK46*(30/100))+(DL46*(50/100))) &gt;=7.3),7.5,
IF(AND( SUM((DJ46*(20/100))+(DK46*(30/100))+(DL46*(50/100))) &lt;=7.3, SUM((DJ46*(20/100))+(DK46*(30/100))+(DL46*(50/100))) &gt;=6.8),7,
IF(AND( SUM((DJ46*(20/100))+(DK46*(30/100))+(DL46*(50/100))) &lt;=6.8, SUM((DJ46*(20/100))+(DK46*(30/100))+(DL46*(50/100))) &gt;=6.3),6.5,
IF(AND( SUM((DJ46*(20/100))+(DK46*(30/100))+(DL46*(50/100))) &lt;=6.3, SUM((DJ46*(20/100))+(DK46*(30/100))+(DL46*(50/100))) &gt;=5.8),6,
IF(AND( SUM((DJ46*(20/100))+(DK46*(30/100))+(DL46*(50/100))) &lt;=5.8, SUM((DJ46*(20/100))+(DK46*(30/100))+(DL46*(50/100))) &gt;=5.3),5.5,
IF(AND( SUM((DJ46*(20/100))+(DK46*(30/100))+(DL46*(50/100))) &lt;=5.3, SUM((DJ46*(20/100))+(DK46*(30/100))+(DL46*(50/100))) &gt;=4.8),5,
IF(AND( SUM((DJ46*(20/100))+(DK46*(30/100))+(DL46*(50/100))) &lt;=4.8, SUM((DJ46*(20/100))+(DK46*(30/100))+(DL46*(50/100))) &gt;=4.3),4.5,
IF(AND( SUM((DJ46*(20/100))+(DK46*(30/100))+(DL46*(50/100))) &lt;=4.3, SUM((DJ46*(20/100))+(DK46*(30/100))+(DL46*(50/100))) &gt;=3.8),4,
IF(AND( SUM((DJ46*(20/100))+(DK46*(30/100))+(DL46*(50/100))) &lt;=3.8, SUM((DJ46*(20/100))+(DK46*(30/100))+(DL46*(50/100))) &gt;=3.5),3.5,0)))))))))))))</f>
        <v>0</v>
      </c>
      <c r="DQ46" s="541"/>
      <c r="DR46" s="541"/>
      <c r="DS46" s="541"/>
      <c r="DT46" s="541"/>
      <c r="DU46" s="541"/>
      <c r="DV46" s="541"/>
      <c r="DW46" s="541"/>
      <c r="DX46" s="541"/>
      <c r="DY46" s="541"/>
      <c r="DZ46" s="541"/>
    </row>
    <row r="47" spans="2:130" ht="15" customHeight="1" x14ac:dyDescent="0.25">
      <c r="B47" s="334">
        <v>40</v>
      </c>
      <c r="C47" s="541"/>
      <c r="D47" s="334"/>
      <c r="E47" s="334"/>
      <c r="F47" s="334"/>
      <c r="G47" s="334"/>
      <c r="H47" s="334"/>
      <c r="I47" s="334"/>
      <c r="J47" s="536"/>
      <c r="K47" s="536"/>
      <c r="L47" s="536"/>
      <c r="M47" s="536"/>
      <c r="N47" s="536"/>
      <c r="O47" s="536"/>
      <c r="P47" s="536">
        <f t="shared" si="1"/>
        <v>0</v>
      </c>
      <c r="Q47" s="536"/>
      <c r="R47" s="536"/>
      <c r="S47" s="536"/>
      <c r="T47" s="536">
        <f t="shared" si="2"/>
        <v>0</v>
      </c>
      <c r="U47" s="536"/>
      <c r="V47" s="536"/>
      <c r="W47" s="536"/>
      <c r="X47" s="536">
        <f t="shared" si="3"/>
        <v>0</v>
      </c>
      <c r="Y47" s="536"/>
      <c r="Z47" s="536"/>
      <c r="AA47" s="536"/>
      <c r="AB47" s="536">
        <f t="shared" si="4"/>
        <v>0</v>
      </c>
      <c r="AC47" s="536"/>
      <c r="AD47" s="536"/>
      <c r="AE47" s="536"/>
      <c r="AF47" s="536">
        <f t="shared" si="5"/>
        <v>0</v>
      </c>
      <c r="AG47" s="536"/>
      <c r="AH47" s="536"/>
      <c r="AI47" s="536"/>
      <c r="AJ47" s="536">
        <f t="shared" si="6"/>
        <v>0</v>
      </c>
      <c r="AK47" s="536"/>
      <c r="AL47" s="536"/>
      <c r="AM47" s="536"/>
      <c r="AN47" s="542">
        <f t="shared" si="7"/>
        <v>0</v>
      </c>
      <c r="AO47" s="536"/>
      <c r="AP47" s="536"/>
      <c r="AQ47" s="536"/>
      <c r="AR47" s="542">
        <f t="shared" si="8"/>
        <v>0</v>
      </c>
      <c r="AS47" s="536"/>
      <c r="AT47" s="536"/>
      <c r="AU47" s="536"/>
      <c r="AV47" s="542">
        <f t="shared" si="9"/>
        <v>0</v>
      </c>
      <c r="AW47" s="536"/>
      <c r="AX47" s="536"/>
      <c r="AY47" s="536"/>
      <c r="AZ47" s="542">
        <f t="shared" si="10"/>
        <v>0</v>
      </c>
      <c r="BA47" s="536"/>
      <c r="BB47" s="536"/>
      <c r="BC47" s="536"/>
      <c r="BD47" s="542">
        <f t="shared" si="11"/>
        <v>0</v>
      </c>
      <c r="BE47" s="536"/>
      <c r="BF47" s="536"/>
      <c r="BG47" s="536"/>
      <c r="BH47" s="542">
        <f t="shared" si="12"/>
        <v>0</v>
      </c>
      <c r="BI47" s="536"/>
      <c r="BJ47" s="536"/>
      <c r="BK47" s="536"/>
      <c r="BL47" s="542">
        <f t="shared" si="13"/>
        <v>0</v>
      </c>
      <c r="BM47" s="536"/>
      <c r="BN47" s="536"/>
      <c r="BO47" s="536"/>
      <c r="BP47" s="542">
        <f t="shared" si="14"/>
        <v>0</v>
      </c>
      <c r="BQ47" s="536"/>
      <c r="BR47" s="536"/>
      <c r="BS47" s="536"/>
      <c r="BT47" s="542">
        <f t="shared" si="15"/>
        <v>0</v>
      </c>
      <c r="BU47" s="536"/>
      <c r="BV47" s="536"/>
      <c r="BW47" s="536"/>
      <c r="BX47" s="542">
        <f t="shared" si="16"/>
        <v>0</v>
      </c>
      <c r="BY47" s="536"/>
      <c r="BZ47" s="536"/>
      <c r="CA47" s="536"/>
      <c r="CB47" s="542">
        <v>0</v>
      </c>
      <c r="CC47" s="536"/>
      <c r="CD47" s="536"/>
      <c r="CE47" s="536"/>
      <c r="CF47" s="541">
        <f t="shared" si="17"/>
        <v>0</v>
      </c>
      <c r="CG47" s="536"/>
      <c r="CH47" s="536"/>
      <c r="CI47" s="536"/>
      <c r="CJ47" s="541">
        <f t="shared" si="18"/>
        <v>0</v>
      </c>
      <c r="CK47" s="536"/>
      <c r="CL47" s="536"/>
      <c r="CM47" s="536"/>
      <c r="CN47" s="541">
        <f t="shared" si="19"/>
        <v>0</v>
      </c>
      <c r="CO47" s="536"/>
      <c r="CP47" s="536"/>
      <c r="CQ47" s="536"/>
      <c r="CR47" s="541">
        <f t="shared" si="20"/>
        <v>0</v>
      </c>
      <c r="CS47" s="536"/>
      <c r="CT47" s="536"/>
      <c r="CU47" s="536"/>
      <c r="CV47" s="541">
        <f t="shared" si="21"/>
        <v>0</v>
      </c>
      <c r="CW47" s="536"/>
      <c r="CX47" s="536"/>
      <c r="CY47" s="536"/>
      <c r="CZ47" s="541">
        <f t="shared" si="22"/>
        <v>0</v>
      </c>
      <c r="DA47" s="536"/>
      <c r="DB47" s="536"/>
      <c r="DC47" s="536"/>
      <c r="DD47" s="541">
        <f t="shared" si="23"/>
        <v>0</v>
      </c>
      <c r="DE47" s="536"/>
      <c r="DF47" s="536"/>
      <c r="DG47" s="536"/>
      <c r="DH47" s="541">
        <f t="shared" si="24"/>
        <v>0</v>
      </c>
      <c r="DI47" s="536"/>
      <c r="DJ47" s="536"/>
      <c r="DK47" s="536"/>
      <c r="DL47" s="541">
        <f t="shared" si="25"/>
        <v>0</v>
      </c>
      <c r="DM47" s="536"/>
      <c r="DN47" s="536"/>
      <c r="DO47" s="536"/>
      <c r="DP47" s="541">
        <f>IF( SUM((DJ47*(20/100))+(DK47*(30/100))+(DL47*(50/100))) &gt;=9.3,9.5,
IF(AND( SUM((DJ47*(20/100))+(DK47*(30/100))+(DL47*(50/100))) &lt;=9.3, SUM((DJ47*(20/100))+(DK47*(30/100))+(DL47*(50/100))) &gt;=8.8),9,
IF(AND( SUM((DJ47*(20/100))+(DK47*(30/100))+(DL47*(50/100))) &lt;=8.8, SUM((DJ47*(20/100))+(DK47*(30/100))+(DL47*(50/100))) &gt;=8.3),8.5,
IF(AND( SUM((DJ47*(20/100))+(DK47*(30/100))+(DL47*(50/100))) &lt;=8.3, SUM((DJ47*(20/100))+(DK47*(30/100))+(DL47*(50/100))) &gt;=7.8),8,
IF(AND( SUM((DJ47*(20/100))+(DK47*(30/100))+(DL47*(50/100))) &lt;=7.8, SUM((DJ47*(20/100))+(DK47*(30/100))+(DL47*(50/100))) &gt;=7.3),7.5,
IF(AND( SUM((DJ47*(20/100))+(DK47*(30/100))+(DL47*(50/100))) &lt;=7.3, SUM((DJ47*(20/100))+(DK47*(30/100))+(DL47*(50/100))) &gt;=6.8),7,
IF(AND( SUM((DJ47*(20/100))+(DK47*(30/100))+(DL47*(50/100))) &lt;=6.8, SUM((DJ47*(20/100))+(DK47*(30/100))+(DL47*(50/100))) &gt;=6.3),6.5,
IF(AND( SUM((DJ47*(20/100))+(DK47*(30/100))+(DL47*(50/100))) &lt;=6.3, SUM((DJ47*(20/100))+(DK47*(30/100))+(DL47*(50/100))) &gt;=5.8),6,
IF(AND( SUM((DJ47*(20/100))+(DK47*(30/100))+(DL47*(50/100))) &lt;=5.8, SUM((DJ47*(20/100))+(DK47*(30/100))+(DL47*(50/100))) &gt;=5.3),5.5,
IF(AND( SUM((DJ47*(20/100))+(DK47*(30/100))+(DL47*(50/100))) &lt;=5.3, SUM((DJ47*(20/100))+(DK47*(30/100))+(DL47*(50/100))) &gt;=4.8),5,
IF(AND( SUM((DJ47*(20/100))+(DK47*(30/100))+(DL47*(50/100))) &lt;=4.8, SUM((DJ47*(20/100))+(DK47*(30/100))+(DL47*(50/100))) &gt;=4.3),4.5,
IF(AND( SUM((DJ47*(20/100))+(DK47*(30/100))+(DL47*(50/100))) &lt;=4.3, SUM((DJ47*(20/100))+(DK47*(30/100))+(DL47*(50/100))) &gt;=3.8),4,
IF(AND( SUM((DJ47*(20/100))+(DK47*(30/100))+(DL47*(50/100))) &lt;=3.8, SUM((DJ47*(20/100))+(DK47*(30/100))+(DL47*(50/100))) &gt;=3.5),3.5,0)))))))))))))</f>
        <v>0</v>
      </c>
      <c r="DQ47" s="541"/>
      <c r="DR47" s="541"/>
      <c r="DS47" s="541"/>
      <c r="DT47" s="541"/>
      <c r="DU47" s="541"/>
      <c r="DV47" s="541"/>
      <c r="DW47" s="541"/>
      <c r="DX47" s="541"/>
      <c r="DY47" s="541"/>
      <c r="DZ47" s="541"/>
    </row>
    <row r="48" spans="2:130" ht="15" customHeight="1" x14ac:dyDescent="0.25">
      <c r="B48" s="334">
        <v>41</v>
      </c>
      <c r="C48" s="541"/>
      <c r="D48" s="334"/>
      <c r="E48" s="334"/>
      <c r="F48" s="334"/>
      <c r="G48" s="334"/>
      <c r="H48" s="334"/>
      <c r="I48" s="334"/>
      <c r="J48" s="536"/>
      <c r="K48" s="536"/>
      <c r="L48" s="536"/>
      <c r="M48" s="536"/>
      <c r="N48" s="536"/>
      <c r="O48" s="536"/>
      <c r="P48" s="536">
        <f t="shared" si="1"/>
        <v>0</v>
      </c>
      <c r="Q48" s="536"/>
      <c r="R48" s="536"/>
      <c r="S48" s="536"/>
      <c r="T48" s="536">
        <f t="shared" si="2"/>
        <v>0</v>
      </c>
      <c r="U48" s="536"/>
      <c r="V48" s="536"/>
      <c r="W48" s="536"/>
      <c r="X48" s="536">
        <f t="shared" si="3"/>
        <v>0</v>
      </c>
      <c r="Y48" s="536"/>
      <c r="Z48" s="536"/>
      <c r="AA48" s="536"/>
      <c r="AB48" s="536">
        <f t="shared" si="4"/>
        <v>0</v>
      </c>
      <c r="AC48" s="536"/>
      <c r="AD48" s="536"/>
      <c r="AE48" s="536"/>
      <c r="AF48" s="536">
        <f t="shared" si="5"/>
        <v>0</v>
      </c>
      <c r="AG48" s="536"/>
      <c r="AH48" s="536"/>
      <c r="AI48" s="536"/>
      <c r="AJ48" s="536">
        <f t="shared" si="6"/>
        <v>0</v>
      </c>
      <c r="AK48" s="536"/>
      <c r="AL48" s="536"/>
      <c r="AM48" s="536"/>
      <c r="AN48" s="542">
        <f t="shared" si="7"/>
        <v>0</v>
      </c>
      <c r="AO48" s="536"/>
      <c r="AP48" s="536"/>
      <c r="AQ48" s="536"/>
      <c r="AR48" s="542">
        <f t="shared" si="8"/>
        <v>0</v>
      </c>
      <c r="AS48" s="536"/>
      <c r="AT48" s="536"/>
      <c r="AU48" s="536"/>
      <c r="AV48" s="542">
        <f t="shared" si="9"/>
        <v>0</v>
      </c>
      <c r="AW48" s="536"/>
      <c r="AX48" s="536"/>
      <c r="AY48" s="536"/>
      <c r="AZ48" s="542">
        <f t="shared" si="10"/>
        <v>0</v>
      </c>
      <c r="BA48" s="536"/>
      <c r="BB48" s="536"/>
      <c r="BC48" s="536"/>
      <c r="BD48" s="542">
        <f t="shared" si="11"/>
        <v>0</v>
      </c>
      <c r="BE48" s="536"/>
      <c r="BF48" s="536"/>
      <c r="BG48" s="536"/>
      <c r="BH48" s="542">
        <f t="shared" si="12"/>
        <v>0</v>
      </c>
      <c r="BI48" s="536"/>
      <c r="BJ48" s="536"/>
      <c r="BK48" s="536"/>
      <c r="BL48" s="542">
        <f t="shared" si="13"/>
        <v>0</v>
      </c>
      <c r="BM48" s="536"/>
      <c r="BN48" s="536"/>
      <c r="BO48" s="536"/>
      <c r="BP48" s="542">
        <f t="shared" si="14"/>
        <v>0</v>
      </c>
      <c r="BQ48" s="536"/>
      <c r="BR48" s="536"/>
      <c r="BS48" s="536"/>
      <c r="BT48" s="542">
        <f t="shared" si="15"/>
        <v>0</v>
      </c>
      <c r="BU48" s="536"/>
      <c r="BV48" s="536"/>
      <c r="BW48" s="536"/>
      <c r="BX48" s="542">
        <f t="shared" si="16"/>
        <v>0</v>
      </c>
      <c r="BY48" s="536"/>
      <c r="BZ48" s="536"/>
      <c r="CA48" s="536"/>
      <c r="CB48" s="542">
        <v>0</v>
      </c>
      <c r="CC48" s="536"/>
      <c r="CD48" s="536"/>
      <c r="CE48" s="536"/>
      <c r="CF48" s="541">
        <f t="shared" si="17"/>
        <v>0</v>
      </c>
      <c r="CG48" s="536"/>
      <c r="CH48" s="536"/>
      <c r="CI48" s="536"/>
      <c r="CJ48" s="541">
        <f t="shared" si="18"/>
        <v>0</v>
      </c>
      <c r="CK48" s="536"/>
      <c r="CL48" s="536"/>
      <c r="CM48" s="536"/>
      <c r="CN48" s="541">
        <f t="shared" si="19"/>
        <v>0</v>
      </c>
      <c r="CO48" s="536"/>
      <c r="CP48" s="536"/>
      <c r="CQ48" s="536"/>
      <c r="CR48" s="541">
        <f t="shared" si="20"/>
        <v>0</v>
      </c>
      <c r="CS48" s="536"/>
      <c r="CT48" s="536"/>
      <c r="CU48" s="536"/>
      <c r="CV48" s="541">
        <f t="shared" si="21"/>
        <v>0</v>
      </c>
      <c r="CW48" s="536"/>
      <c r="CX48" s="536"/>
      <c r="CY48" s="536"/>
      <c r="CZ48" s="541">
        <f t="shared" si="22"/>
        <v>0</v>
      </c>
      <c r="DA48" s="536"/>
      <c r="DB48" s="536"/>
      <c r="DC48" s="536"/>
      <c r="DD48" s="541">
        <f t="shared" si="23"/>
        <v>0</v>
      </c>
      <c r="DE48" s="536"/>
      <c r="DF48" s="536"/>
      <c r="DG48" s="536"/>
      <c r="DH48" s="541">
        <f t="shared" si="24"/>
        <v>0</v>
      </c>
      <c r="DI48" s="536"/>
      <c r="DJ48" s="536"/>
      <c r="DK48" s="536"/>
      <c r="DL48" s="541">
        <f t="shared" si="25"/>
        <v>0</v>
      </c>
      <c r="DM48" s="536"/>
      <c r="DN48" s="536"/>
      <c r="DO48" s="536"/>
      <c r="DP48" s="541">
        <f>IF( SUM((DJ48*(20/100))+(DK48*(30/100))+(DL48*(50/100))) &gt;=9.3,9.5,
IF(AND( SUM((DJ48*(20/100))+(DK48*(30/100))+(DL48*(50/100))) &lt;=9.3, SUM((DJ48*(20/100))+(DK48*(30/100))+(DL48*(50/100))) &gt;=8.8),9,
IF(AND( SUM((DJ48*(20/100))+(DK48*(30/100))+(DL48*(50/100))) &lt;=8.8, SUM((DJ48*(20/100))+(DK48*(30/100))+(DL48*(50/100))) &gt;=8.3),8.5,
IF(AND( SUM((DJ48*(20/100))+(DK48*(30/100))+(DL48*(50/100))) &lt;=8.3, SUM((DJ48*(20/100))+(DK48*(30/100))+(DL48*(50/100))) &gt;=7.8),8,
IF(AND( SUM((DJ48*(20/100))+(DK48*(30/100))+(DL48*(50/100))) &lt;=7.8, SUM((DJ48*(20/100))+(DK48*(30/100))+(DL48*(50/100))) &gt;=7.3),7.5,
IF(AND( SUM((DJ48*(20/100))+(DK48*(30/100))+(DL48*(50/100))) &lt;=7.3, SUM((DJ48*(20/100))+(DK48*(30/100))+(DL48*(50/100))) &gt;=6.8),7,
IF(AND( SUM((DJ48*(20/100))+(DK48*(30/100))+(DL48*(50/100))) &lt;=6.8, SUM((DJ48*(20/100))+(DK48*(30/100))+(DL48*(50/100))) &gt;=6.3),6.5,
IF(AND( SUM((DJ48*(20/100))+(DK48*(30/100))+(DL48*(50/100))) &lt;=6.3, SUM((DJ48*(20/100))+(DK48*(30/100))+(DL48*(50/100))) &gt;=5.8),6,
IF(AND( SUM((DJ48*(20/100))+(DK48*(30/100))+(DL48*(50/100))) &lt;=5.8, SUM((DJ48*(20/100))+(DK48*(30/100))+(DL48*(50/100))) &gt;=5.3),5.5,
IF(AND( SUM((DJ48*(20/100))+(DK48*(30/100))+(DL48*(50/100))) &lt;=5.3, SUM((DJ48*(20/100))+(DK48*(30/100))+(DL48*(50/100))) &gt;=4.8),5,
IF(AND( SUM((DJ48*(20/100))+(DK48*(30/100))+(DL48*(50/100))) &lt;=4.8, SUM((DJ48*(20/100))+(DK48*(30/100))+(DL48*(50/100))) &gt;=4.3),4.5,
IF(AND( SUM((DJ48*(20/100))+(DK48*(30/100))+(DL48*(50/100))) &lt;=4.3, SUM((DJ48*(20/100))+(DK48*(30/100))+(DL48*(50/100))) &gt;=3.8),4,
IF(AND( SUM((DJ48*(20/100))+(DK48*(30/100))+(DL48*(50/100))) &lt;=3.8, SUM((DJ48*(20/100))+(DK48*(30/100))+(DL48*(50/100))) &gt;=3.5),3.5,0)))))))))))))</f>
        <v>0</v>
      </c>
      <c r="DQ48" s="541"/>
      <c r="DR48" s="541"/>
      <c r="DS48" s="541"/>
      <c r="DT48" s="541"/>
      <c r="DU48" s="541"/>
      <c r="DV48" s="541"/>
      <c r="DW48" s="541"/>
      <c r="DX48" s="541"/>
      <c r="DY48" s="541"/>
      <c r="DZ48" s="541"/>
    </row>
    <row r="49" spans="2:130" ht="15" customHeight="1" x14ac:dyDescent="0.25">
      <c r="B49" s="334">
        <v>42</v>
      </c>
      <c r="C49" s="541"/>
      <c r="D49" s="334"/>
      <c r="E49" s="334"/>
      <c r="F49" s="334"/>
      <c r="G49" s="334"/>
      <c r="H49" s="334"/>
      <c r="I49" s="334"/>
      <c r="J49" s="536"/>
      <c r="K49" s="536"/>
      <c r="L49" s="536"/>
      <c r="M49" s="536"/>
      <c r="N49" s="536"/>
      <c r="O49" s="536"/>
      <c r="P49" s="536">
        <f t="shared" si="1"/>
        <v>0</v>
      </c>
      <c r="Q49" s="536"/>
      <c r="R49" s="536"/>
      <c r="S49" s="536"/>
      <c r="T49" s="536">
        <f t="shared" si="2"/>
        <v>0</v>
      </c>
      <c r="U49" s="536"/>
      <c r="V49" s="536"/>
      <c r="W49" s="536"/>
      <c r="X49" s="536">
        <f t="shared" si="3"/>
        <v>0</v>
      </c>
      <c r="Y49" s="536"/>
      <c r="Z49" s="536"/>
      <c r="AA49" s="536"/>
      <c r="AB49" s="536">
        <f t="shared" si="4"/>
        <v>0</v>
      </c>
      <c r="AC49" s="536"/>
      <c r="AD49" s="536"/>
      <c r="AE49" s="536"/>
      <c r="AF49" s="536">
        <f t="shared" si="5"/>
        <v>0</v>
      </c>
      <c r="AG49" s="536"/>
      <c r="AH49" s="536"/>
      <c r="AI49" s="536"/>
      <c r="AJ49" s="536">
        <f t="shared" si="6"/>
        <v>0</v>
      </c>
      <c r="AK49" s="536"/>
      <c r="AL49" s="536"/>
      <c r="AM49" s="536"/>
      <c r="AN49" s="542">
        <f t="shared" si="7"/>
        <v>0</v>
      </c>
      <c r="AO49" s="536"/>
      <c r="AP49" s="536"/>
      <c r="AQ49" s="536"/>
      <c r="AR49" s="542">
        <f t="shared" si="8"/>
        <v>0</v>
      </c>
      <c r="AS49" s="536"/>
      <c r="AT49" s="536"/>
      <c r="AU49" s="536"/>
      <c r="AV49" s="542">
        <f t="shared" si="9"/>
        <v>0</v>
      </c>
      <c r="AW49" s="536"/>
      <c r="AX49" s="536"/>
      <c r="AY49" s="536"/>
      <c r="AZ49" s="542">
        <f t="shared" si="10"/>
        <v>0</v>
      </c>
      <c r="BA49" s="536"/>
      <c r="BB49" s="536"/>
      <c r="BC49" s="536"/>
      <c r="BD49" s="542">
        <f t="shared" si="11"/>
        <v>0</v>
      </c>
      <c r="BE49" s="536"/>
      <c r="BF49" s="536"/>
      <c r="BG49" s="536"/>
      <c r="BH49" s="542">
        <f t="shared" si="12"/>
        <v>0</v>
      </c>
      <c r="BI49" s="536"/>
      <c r="BJ49" s="536"/>
      <c r="BK49" s="536"/>
      <c r="BL49" s="542">
        <f t="shared" si="13"/>
        <v>0</v>
      </c>
      <c r="BM49" s="536"/>
      <c r="BN49" s="536"/>
      <c r="BO49" s="536"/>
      <c r="BP49" s="542">
        <f t="shared" si="14"/>
        <v>0</v>
      </c>
      <c r="BQ49" s="536"/>
      <c r="BR49" s="536"/>
      <c r="BS49" s="536"/>
      <c r="BT49" s="542">
        <f t="shared" si="15"/>
        <v>0</v>
      </c>
      <c r="BU49" s="536"/>
      <c r="BV49" s="536"/>
      <c r="BW49" s="536"/>
      <c r="BX49" s="542">
        <f t="shared" si="16"/>
        <v>0</v>
      </c>
      <c r="BY49" s="536"/>
      <c r="BZ49" s="536"/>
      <c r="CA49" s="536"/>
      <c r="CB49" s="542">
        <v>0</v>
      </c>
      <c r="CC49" s="536"/>
      <c r="CD49" s="536"/>
      <c r="CE49" s="536"/>
      <c r="CF49" s="541">
        <f t="shared" si="17"/>
        <v>0</v>
      </c>
      <c r="CG49" s="536"/>
      <c r="CH49" s="536"/>
      <c r="CI49" s="536"/>
      <c r="CJ49" s="541">
        <f t="shared" si="18"/>
        <v>0</v>
      </c>
      <c r="CK49" s="536"/>
      <c r="CL49" s="536"/>
      <c r="CM49" s="536"/>
      <c r="CN49" s="541">
        <f t="shared" si="19"/>
        <v>0</v>
      </c>
      <c r="CO49" s="536"/>
      <c r="CP49" s="536"/>
      <c r="CQ49" s="536"/>
      <c r="CR49" s="541">
        <f t="shared" si="20"/>
        <v>0</v>
      </c>
      <c r="CS49" s="536"/>
      <c r="CT49" s="536"/>
      <c r="CU49" s="536"/>
      <c r="CV49" s="541">
        <f t="shared" si="21"/>
        <v>0</v>
      </c>
      <c r="CW49" s="536"/>
      <c r="CX49" s="536"/>
      <c r="CY49" s="536"/>
      <c r="CZ49" s="541">
        <f t="shared" si="22"/>
        <v>0</v>
      </c>
      <c r="DA49" s="536"/>
      <c r="DB49" s="536"/>
      <c r="DC49" s="536"/>
      <c r="DD49" s="541">
        <f t="shared" si="23"/>
        <v>0</v>
      </c>
      <c r="DE49" s="536"/>
      <c r="DF49" s="536"/>
      <c r="DG49" s="536"/>
      <c r="DH49" s="541">
        <f t="shared" si="24"/>
        <v>0</v>
      </c>
      <c r="DI49" s="536"/>
      <c r="DJ49" s="536"/>
      <c r="DK49" s="536"/>
      <c r="DL49" s="541">
        <f t="shared" si="25"/>
        <v>0</v>
      </c>
      <c r="DM49" s="536"/>
      <c r="DN49" s="536"/>
      <c r="DO49" s="536"/>
      <c r="DP49" s="541">
        <f>IF( SUM((DJ49*(20/100))+(DK49*(30/100))+(DL49*(50/100))) &gt;=9.3,9.5,
IF(AND( SUM((DJ49*(20/100))+(DK49*(30/100))+(DL49*(50/100))) &lt;=9.3, SUM((DJ49*(20/100))+(DK49*(30/100))+(DL49*(50/100))) &gt;=8.8),9,
IF(AND( SUM((DJ49*(20/100))+(DK49*(30/100))+(DL49*(50/100))) &lt;=8.8, SUM((DJ49*(20/100))+(DK49*(30/100))+(DL49*(50/100))) &gt;=8.3),8.5,
IF(AND( SUM((DJ49*(20/100))+(DK49*(30/100))+(DL49*(50/100))) &lt;=8.3, SUM((DJ49*(20/100))+(DK49*(30/100))+(DL49*(50/100))) &gt;=7.8),8,
IF(AND( SUM((DJ49*(20/100))+(DK49*(30/100))+(DL49*(50/100))) &lt;=7.8, SUM((DJ49*(20/100))+(DK49*(30/100))+(DL49*(50/100))) &gt;=7.3),7.5,
IF(AND( SUM((DJ49*(20/100))+(DK49*(30/100))+(DL49*(50/100))) &lt;=7.3, SUM((DJ49*(20/100))+(DK49*(30/100))+(DL49*(50/100))) &gt;=6.8),7,
IF(AND( SUM((DJ49*(20/100))+(DK49*(30/100))+(DL49*(50/100))) &lt;=6.8, SUM((DJ49*(20/100))+(DK49*(30/100))+(DL49*(50/100))) &gt;=6.3),6.5,
IF(AND( SUM((DJ49*(20/100))+(DK49*(30/100))+(DL49*(50/100))) &lt;=6.3, SUM((DJ49*(20/100))+(DK49*(30/100))+(DL49*(50/100))) &gt;=5.8),6,
IF(AND( SUM((DJ49*(20/100))+(DK49*(30/100))+(DL49*(50/100))) &lt;=5.8, SUM((DJ49*(20/100))+(DK49*(30/100))+(DL49*(50/100))) &gt;=5.3),5.5,
IF(AND( SUM((DJ49*(20/100))+(DK49*(30/100))+(DL49*(50/100))) &lt;=5.3, SUM((DJ49*(20/100))+(DK49*(30/100))+(DL49*(50/100))) &gt;=4.8),5,
IF(AND( SUM((DJ49*(20/100))+(DK49*(30/100))+(DL49*(50/100))) &lt;=4.8, SUM((DJ49*(20/100))+(DK49*(30/100))+(DL49*(50/100))) &gt;=4.3),4.5,
IF(AND( SUM((DJ49*(20/100))+(DK49*(30/100))+(DL49*(50/100))) &lt;=4.3, SUM((DJ49*(20/100))+(DK49*(30/100))+(DL49*(50/100))) &gt;=3.8),4,
IF(AND( SUM((DJ49*(20/100))+(DK49*(30/100))+(DL49*(50/100))) &lt;=3.8, SUM((DJ49*(20/100))+(DK49*(30/100))+(DL49*(50/100))) &gt;=3.5),3.5,0)))))))))))))</f>
        <v>0</v>
      </c>
      <c r="DQ49" s="541"/>
      <c r="DR49" s="541"/>
      <c r="DS49" s="541"/>
      <c r="DT49" s="541"/>
      <c r="DU49" s="541"/>
      <c r="DV49" s="541"/>
      <c r="DW49" s="541"/>
      <c r="DX49" s="541"/>
      <c r="DY49" s="541"/>
      <c r="DZ49" s="541"/>
    </row>
    <row r="50" spans="2:130" ht="15" customHeight="1" x14ac:dyDescent="0.25">
      <c r="B50" s="334">
        <v>43</v>
      </c>
      <c r="C50" s="541"/>
      <c r="D50" s="334"/>
      <c r="E50" s="334"/>
      <c r="F50" s="334"/>
      <c r="G50" s="334"/>
      <c r="H50" s="334"/>
      <c r="I50" s="334"/>
      <c r="J50" s="536"/>
      <c r="K50" s="536"/>
      <c r="L50" s="536"/>
      <c r="M50" s="536"/>
      <c r="N50" s="536"/>
      <c r="O50" s="536"/>
      <c r="P50" s="536">
        <f t="shared" si="1"/>
        <v>0</v>
      </c>
      <c r="Q50" s="536"/>
      <c r="R50" s="536"/>
      <c r="S50" s="536"/>
      <c r="T50" s="536">
        <f t="shared" si="2"/>
        <v>0</v>
      </c>
      <c r="U50" s="536"/>
      <c r="V50" s="536"/>
      <c r="W50" s="536"/>
      <c r="X50" s="536">
        <f t="shared" si="3"/>
        <v>0</v>
      </c>
      <c r="Y50" s="536"/>
      <c r="Z50" s="536"/>
      <c r="AA50" s="536"/>
      <c r="AB50" s="536">
        <f t="shared" si="4"/>
        <v>0</v>
      </c>
      <c r="AC50" s="536"/>
      <c r="AD50" s="536"/>
      <c r="AE50" s="536"/>
      <c r="AF50" s="536">
        <f t="shared" si="5"/>
        <v>0</v>
      </c>
      <c r="AG50" s="536"/>
      <c r="AH50" s="536"/>
      <c r="AI50" s="536"/>
      <c r="AJ50" s="536">
        <f t="shared" si="6"/>
        <v>0</v>
      </c>
      <c r="AK50" s="536"/>
      <c r="AL50" s="536"/>
      <c r="AM50" s="536"/>
      <c r="AN50" s="542">
        <f t="shared" si="7"/>
        <v>0</v>
      </c>
      <c r="AO50" s="536"/>
      <c r="AP50" s="536"/>
      <c r="AQ50" s="536"/>
      <c r="AR50" s="542">
        <f t="shared" si="8"/>
        <v>0</v>
      </c>
      <c r="AS50" s="536"/>
      <c r="AT50" s="536"/>
      <c r="AU50" s="536"/>
      <c r="AV50" s="542">
        <f t="shared" si="9"/>
        <v>0</v>
      </c>
      <c r="AW50" s="536"/>
      <c r="AX50" s="536"/>
      <c r="AY50" s="536"/>
      <c r="AZ50" s="542">
        <f t="shared" si="10"/>
        <v>0</v>
      </c>
      <c r="BA50" s="536"/>
      <c r="BB50" s="536"/>
      <c r="BC50" s="536"/>
      <c r="BD50" s="542">
        <f t="shared" si="11"/>
        <v>0</v>
      </c>
      <c r="BE50" s="536"/>
      <c r="BF50" s="536"/>
      <c r="BG50" s="536"/>
      <c r="BH50" s="542">
        <f t="shared" si="12"/>
        <v>0</v>
      </c>
      <c r="BI50" s="536"/>
      <c r="BJ50" s="536"/>
      <c r="BK50" s="536"/>
      <c r="BL50" s="542">
        <f t="shared" si="13"/>
        <v>0</v>
      </c>
      <c r="BM50" s="536"/>
      <c r="BN50" s="536"/>
      <c r="BO50" s="536"/>
      <c r="BP50" s="542">
        <f t="shared" si="14"/>
        <v>0</v>
      </c>
      <c r="BQ50" s="536"/>
      <c r="BR50" s="536"/>
      <c r="BS50" s="536"/>
      <c r="BT50" s="542">
        <f t="shared" si="15"/>
        <v>0</v>
      </c>
      <c r="BU50" s="536"/>
      <c r="BV50" s="536"/>
      <c r="BW50" s="536"/>
      <c r="BX50" s="542">
        <f t="shared" si="16"/>
        <v>0</v>
      </c>
      <c r="BY50" s="536"/>
      <c r="BZ50" s="536"/>
      <c r="CA50" s="536"/>
      <c r="CB50" s="542">
        <v>0</v>
      </c>
      <c r="CC50" s="536"/>
      <c r="CD50" s="536"/>
      <c r="CE50" s="536"/>
      <c r="CF50" s="541">
        <f t="shared" si="17"/>
        <v>0</v>
      </c>
      <c r="CG50" s="536"/>
      <c r="CH50" s="536"/>
      <c r="CI50" s="536"/>
      <c r="CJ50" s="541">
        <f t="shared" si="18"/>
        <v>0</v>
      </c>
      <c r="CK50" s="536"/>
      <c r="CL50" s="536"/>
      <c r="CM50" s="536"/>
      <c r="CN50" s="541">
        <f t="shared" si="19"/>
        <v>0</v>
      </c>
      <c r="CO50" s="536"/>
      <c r="CP50" s="536"/>
      <c r="CQ50" s="536"/>
      <c r="CR50" s="541">
        <f t="shared" si="20"/>
        <v>0</v>
      </c>
      <c r="CS50" s="536"/>
      <c r="CT50" s="536"/>
      <c r="CU50" s="536"/>
      <c r="CV50" s="541">
        <f t="shared" si="21"/>
        <v>0</v>
      </c>
      <c r="CW50" s="536"/>
      <c r="CX50" s="536"/>
      <c r="CY50" s="536"/>
      <c r="CZ50" s="541">
        <f t="shared" si="22"/>
        <v>0</v>
      </c>
      <c r="DA50" s="536"/>
      <c r="DB50" s="536"/>
      <c r="DC50" s="536"/>
      <c r="DD50" s="541">
        <f t="shared" si="23"/>
        <v>0</v>
      </c>
      <c r="DE50" s="536"/>
      <c r="DF50" s="536"/>
      <c r="DG50" s="536"/>
      <c r="DH50" s="541">
        <f t="shared" si="24"/>
        <v>0</v>
      </c>
      <c r="DI50" s="536"/>
      <c r="DJ50" s="536"/>
      <c r="DK50" s="536"/>
      <c r="DL50" s="541">
        <f t="shared" si="25"/>
        <v>0</v>
      </c>
      <c r="DM50" s="536"/>
      <c r="DN50" s="536"/>
      <c r="DO50" s="536"/>
      <c r="DP50" s="541">
        <f>IF( SUM((DJ50*(20/100))+(DK50*(30/100))+(DL50*(50/100))) &gt;=9.3,9.5,
IF(AND( SUM((DJ50*(20/100))+(DK50*(30/100))+(DL50*(50/100))) &lt;=9.3, SUM((DJ50*(20/100))+(DK50*(30/100))+(DL50*(50/100))) &gt;=8.8),9,
IF(AND( SUM((DJ50*(20/100))+(DK50*(30/100))+(DL50*(50/100))) &lt;=8.8, SUM((DJ50*(20/100))+(DK50*(30/100))+(DL50*(50/100))) &gt;=8.3),8.5,
IF(AND( SUM((DJ50*(20/100))+(DK50*(30/100))+(DL50*(50/100))) &lt;=8.3, SUM((DJ50*(20/100))+(DK50*(30/100))+(DL50*(50/100))) &gt;=7.8),8,
IF(AND( SUM((DJ50*(20/100))+(DK50*(30/100))+(DL50*(50/100))) &lt;=7.8, SUM((DJ50*(20/100))+(DK50*(30/100))+(DL50*(50/100))) &gt;=7.3),7.5,
IF(AND( SUM((DJ50*(20/100))+(DK50*(30/100))+(DL50*(50/100))) &lt;=7.3, SUM((DJ50*(20/100))+(DK50*(30/100))+(DL50*(50/100))) &gt;=6.8),7,
IF(AND( SUM((DJ50*(20/100))+(DK50*(30/100))+(DL50*(50/100))) &lt;=6.8, SUM((DJ50*(20/100))+(DK50*(30/100))+(DL50*(50/100))) &gt;=6.3),6.5,
IF(AND( SUM((DJ50*(20/100))+(DK50*(30/100))+(DL50*(50/100))) &lt;=6.3, SUM((DJ50*(20/100))+(DK50*(30/100))+(DL50*(50/100))) &gt;=5.8),6,
IF(AND( SUM((DJ50*(20/100))+(DK50*(30/100))+(DL50*(50/100))) &lt;=5.8, SUM((DJ50*(20/100))+(DK50*(30/100))+(DL50*(50/100))) &gt;=5.3),5.5,
IF(AND( SUM((DJ50*(20/100))+(DK50*(30/100))+(DL50*(50/100))) &lt;=5.3, SUM((DJ50*(20/100))+(DK50*(30/100))+(DL50*(50/100))) &gt;=4.8),5,
IF(AND( SUM((DJ50*(20/100))+(DK50*(30/100))+(DL50*(50/100))) &lt;=4.8, SUM((DJ50*(20/100))+(DK50*(30/100))+(DL50*(50/100))) &gt;=4.3),4.5,
IF(AND( SUM((DJ50*(20/100))+(DK50*(30/100))+(DL50*(50/100))) &lt;=4.3, SUM((DJ50*(20/100))+(DK50*(30/100))+(DL50*(50/100))) &gt;=3.8),4,
IF(AND( SUM((DJ50*(20/100))+(DK50*(30/100))+(DL50*(50/100))) &lt;=3.8, SUM((DJ50*(20/100))+(DK50*(30/100))+(DL50*(50/100))) &gt;=3.5),3.5,0)))))))))))))</f>
        <v>0</v>
      </c>
      <c r="DQ50" s="541"/>
      <c r="DR50" s="541"/>
      <c r="DS50" s="541"/>
      <c r="DT50" s="541"/>
      <c r="DU50" s="541"/>
      <c r="DV50" s="541"/>
      <c r="DW50" s="541"/>
      <c r="DX50" s="541"/>
      <c r="DY50" s="541"/>
      <c r="DZ50" s="541"/>
    </row>
    <row r="51" spans="2:130" ht="15" customHeight="1" x14ac:dyDescent="0.25">
      <c r="B51" s="334">
        <v>44</v>
      </c>
      <c r="C51" s="541"/>
      <c r="D51" s="334"/>
      <c r="E51" s="334"/>
      <c r="F51" s="334"/>
      <c r="G51" s="334"/>
      <c r="H51" s="334"/>
      <c r="I51" s="334"/>
      <c r="J51" s="536"/>
      <c r="K51" s="536"/>
      <c r="L51" s="536"/>
      <c r="M51" s="536"/>
      <c r="N51" s="536"/>
      <c r="O51" s="536"/>
      <c r="P51" s="536">
        <f t="shared" si="1"/>
        <v>0</v>
      </c>
      <c r="Q51" s="536"/>
      <c r="R51" s="536"/>
      <c r="S51" s="536"/>
      <c r="T51" s="536">
        <f t="shared" si="2"/>
        <v>0</v>
      </c>
      <c r="U51" s="536"/>
      <c r="V51" s="536"/>
      <c r="W51" s="536"/>
      <c r="X51" s="536">
        <f t="shared" si="3"/>
        <v>0</v>
      </c>
      <c r="Y51" s="536"/>
      <c r="Z51" s="536"/>
      <c r="AA51" s="536"/>
      <c r="AB51" s="536">
        <f t="shared" si="4"/>
        <v>0</v>
      </c>
      <c r="AC51" s="536"/>
      <c r="AD51" s="536"/>
      <c r="AE51" s="536"/>
      <c r="AF51" s="536">
        <f t="shared" si="5"/>
        <v>0</v>
      </c>
      <c r="AG51" s="536"/>
      <c r="AH51" s="536"/>
      <c r="AI51" s="536"/>
      <c r="AJ51" s="536">
        <f t="shared" si="6"/>
        <v>0</v>
      </c>
      <c r="AK51" s="536"/>
      <c r="AL51" s="536"/>
      <c r="AM51" s="536"/>
      <c r="AN51" s="542">
        <f t="shared" si="7"/>
        <v>0</v>
      </c>
      <c r="AO51" s="536"/>
      <c r="AP51" s="536"/>
      <c r="AQ51" s="536"/>
      <c r="AR51" s="542">
        <f t="shared" si="8"/>
        <v>0</v>
      </c>
      <c r="AS51" s="536"/>
      <c r="AT51" s="536"/>
      <c r="AU51" s="536"/>
      <c r="AV51" s="542">
        <f t="shared" si="9"/>
        <v>0</v>
      </c>
      <c r="AW51" s="536"/>
      <c r="AX51" s="536"/>
      <c r="AY51" s="536"/>
      <c r="AZ51" s="542">
        <f t="shared" si="10"/>
        <v>0</v>
      </c>
      <c r="BA51" s="536"/>
      <c r="BB51" s="536"/>
      <c r="BC51" s="536"/>
      <c r="BD51" s="542">
        <f t="shared" si="11"/>
        <v>0</v>
      </c>
      <c r="BE51" s="536"/>
      <c r="BF51" s="536"/>
      <c r="BG51" s="536"/>
      <c r="BH51" s="542">
        <f t="shared" si="12"/>
        <v>0</v>
      </c>
      <c r="BI51" s="536"/>
      <c r="BJ51" s="536"/>
      <c r="BK51" s="536"/>
      <c r="BL51" s="542">
        <f t="shared" si="13"/>
        <v>0</v>
      </c>
      <c r="BM51" s="536"/>
      <c r="BN51" s="536"/>
      <c r="BO51" s="536"/>
      <c r="BP51" s="542">
        <f t="shared" si="14"/>
        <v>0</v>
      </c>
      <c r="BQ51" s="536"/>
      <c r="BR51" s="536"/>
      <c r="BS51" s="536"/>
      <c r="BT51" s="542">
        <f t="shared" si="15"/>
        <v>0</v>
      </c>
      <c r="BU51" s="536"/>
      <c r="BV51" s="536"/>
      <c r="BW51" s="536"/>
      <c r="BX51" s="542">
        <f t="shared" si="16"/>
        <v>0</v>
      </c>
      <c r="BY51" s="536"/>
      <c r="BZ51" s="536"/>
      <c r="CA51" s="536"/>
      <c r="CB51" s="542">
        <v>0</v>
      </c>
      <c r="CC51" s="536"/>
      <c r="CD51" s="536"/>
      <c r="CE51" s="536"/>
      <c r="CF51" s="541">
        <f t="shared" si="17"/>
        <v>0</v>
      </c>
      <c r="CG51" s="536"/>
      <c r="CH51" s="536"/>
      <c r="CI51" s="536"/>
      <c r="CJ51" s="541">
        <f t="shared" si="18"/>
        <v>0</v>
      </c>
      <c r="CK51" s="536"/>
      <c r="CL51" s="536"/>
      <c r="CM51" s="536"/>
      <c r="CN51" s="541">
        <f t="shared" si="19"/>
        <v>0</v>
      </c>
      <c r="CO51" s="536"/>
      <c r="CP51" s="536"/>
      <c r="CQ51" s="536"/>
      <c r="CR51" s="541">
        <f t="shared" si="20"/>
        <v>0</v>
      </c>
      <c r="CS51" s="536"/>
      <c r="CT51" s="536"/>
      <c r="CU51" s="536"/>
      <c r="CV51" s="541">
        <f t="shared" si="21"/>
        <v>0</v>
      </c>
      <c r="CW51" s="536"/>
      <c r="CX51" s="536"/>
      <c r="CY51" s="536"/>
      <c r="CZ51" s="541">
        <f t="shared" si="22"/>
        <v>0</v>
      </c>
      <c r="DA51" s="536"/>
      <c r="DB51" s="536"/>
      <c r="DC51" s="536"/>
      <c r="DD51" s="541">
        <f t="shared" si="23"/>
        <v>0</v>
      </c>
      <c r="DE51" s="536"/>
      <c r="DF51" s="536"/>
      <c r="DG51" s="536"/>
      <c r="DH51" s="541">
        <f t="shared" si="24"/>
        <v>0</v>
      </c>
      <c r="DI51" s="536"/>
      <c r="DJ51" s="536"/>
      <c r="DK51" s="536"/>
      <c r="DL51" s="541">
        <f t="shared" si="25"/>
        <v>0</v>
      </c>
      <c r="DM51" s="536"/>
      <c r="DN51" s="536"/>
      <c r="DO51" s="536"/>
      <c r="DP51" s="541">
        <f>IF( SUM((DJ51*(20/100))+(DK51*(30/100))+(DL51*(50/100))) &gt;=9.3,9.5,
IF(AND( SUM((DJ51*(20/100))+(DK51*(30/100))+(DL51*(50/100))) &lt;=9.3, SUM((DJ51*(20/100))+(DK51*(30/100))+(DL51*(50/100))) &gt;=8.8),9,
IF(AND( SUM((DJ51*(20/100))+(DK51*(30/100))+(DL51*(50/100))) &lt;=8.8, SUM((DJ51*(20/100))+(DK51*(30/100))+(DL51*(50/100))) &gt;=8.3),8.5,
IF(AND( SUM((DJ51*(20/100))+(DK51*(30/100))+(DL51*(50/100))) &lt;=8.3, SUM((DJ51*(20/100))+(DK51*(30/100))+(DL51*(50/100))) &gt;=7.8),8,
IF(AND( SUM((DJ51*(20/100))+(DK51*(30/100))+(DL51*(50/100))) &lt;=7.8, SUM((DJ51*(20/100))+(DK51*(30/100))+(DL51*(50/100))) &gt;=7.3),7.5,
IF(AND( SUM((DJ51*(20/100))+(DK51*(30/100))+(DL51*(50/100))) &lt;=7.3, SUM((DJ51*(20/100))+(DK51*(30/100))+(DL51*(50/100))) &gt;=6.8),7,
IF(AND( SUM((DJ51*(20/100))+(DK51*(30/100))+(DL51*(50/100))) &lt;=6.8, SUM((DJ51*(20/100))+(DK51*(30/100))+(DL51*(50/100))) &gt;=6.3),6.5,
IF(AND( SUM((DJ51*(20/100))+(DK51*(30/100))+(DL51*(50/100))) &lt;=6.3, SUM((DJ51*(20/100))+(DK51*(30/100))+(DL51*(50/100))) &gt;=5.8),6,
IF(AND( SUM((DJ51*(20/100))+(DK51*(30/100))+(DL51*(50/100))) &lt;=5.8, SUM((DJ51*(20/100))+(DK51*(30/100))+(DL51*(50/100))) &gt;=5.3),5.5,
IF(AND( SUM((DJ51*(20/100))+(DK51*(30/100))+(DL51*(50/100))) &lt;=5.3, SUM((DJ51*(20/100))+(DK51*(30/100))+(DL51*(50/100))) &gt;=4.8),5,
IF(AND( SUM((DJ51*(20/100))+(DK51*(30/100))+(DL51*(50/100))) &lt;=4.8, SUM((DJ51*(20/100))+(DK51*(30/100))+(DL51*(50/100))) &gt;=4.3),4.5,
IF(AND( SUM((DJ51*(20/100))+(DK51*(30/100))+(DL51*(50/100))) &lt;=4.3, SUM((DJ51*(20/100))+(DK51*(30/100))+(DL51*(50/100))) &gt;=3.8),4,
IF(AND( SUM((DJ51*(20/100))+(DK51*(30/100))+(DL51*(50/100))) &lt;=3.8, SUM((DJ51*(20/100))+(DK51*(30/100))+(DL51*(50/100))) &gt;=3.5),3.5,0)))))))))))))</f>
        <v>0</v>
      </c>
      <c r="DQ51" s="541"/>
      <c r="DR51" s="541"/>
      <c r="DS51" s="541"/>
      <c r="DT51" s="541"/>
      <c r="DU51" s="541"/>
      <c r="DV51" s="541"/>
      <c r="DW51" s="541"/>
      <c r="DX51" s="541"/>
      <c r="DY51" s="541"/>
      <c r="DZ51" s="541"/>
    </row>
    <row r="52" spans="2:130" ht="15" customHeight="1" x14ac:dyDescent="0.25">
      <c r="B52" s="334">
        <v>45</v>
      </c>
      <c r="C52" s="541"/>
      <c r="D52" s="334"/>
      <c r="E52" s="334"/>
      <c r="F52" s="334"/>
      <c r="G52" s="334"/>
      <c r="H52" s="334"/>
      <c r="I52" s="334"/>
      <c r="J52" s="536"/>
      <c r="K52" s="536"/>
      <c r="L52" s="536"/>
      <c r="M52" s="536"/>
      <c r="N52" s="536"/>
      <c r="O52" s="536"/>
      <c r="P52" s="536">
        <f t="shared" si="1"/>
        <v>0</v>
      </c>
      <c r="Q52" s="536"/>
      <c r="R52" s="536"/>
      <c r="S52" s="536"/>
      <c r="T52" s="536">
        <f t="shared" si="2"/>
        <v>0</v>
      </c>
      <c r="U52" s="536"/>
      <c r="V52" s="536"/>
      <c r="W52" s="536"/>
      <c r="X52" s="536">
        <f t="shared" si="3"/>
        <v>0</v>
      </c>
      <c r="Y52" s="536"/>
      <c r="Z52" s="536"/>
      <c r="AA52" s="536"/>
      <c r="AB52" s="536">
        <f t="shared" si="4"/>
        <v>0</v>
      </c>
      <c r="AC52" s="536"/>
      <c r="AD52" s="536"/>
      <c r="AE52" s="536"/>
      <c r="AF52" s="536">
        <f t="shared" si="5"/>
        <v>0</v>
      </c>
      <c r="AG52" s="536"/>
      <c r="AH52" s="536"/>
      <c r="AI52" s="536"/>
      <c r="AJ52" s="536">
        <f t="shared" si="6"/>
        <v>0</v>
      </c>
      <c r="AK52" s="536"/>
      <c r="AL52" s="536"/>
      <c r="AM52" s="536"/>
      <c r="AN52" s="542">
        <f t="shared" si="7"/>
        <v>0</v>
      </c>
      <c r="AO52" s="536"/>
      <c r="AP52" s="536"/>
      <c r="AQ52" s="536"/>
      <c r="AR52" s="542">
        <f t="shared" si="8"/>
        <v>0</v>
      </c>
      <c r="AS52" s="536"/>
      <c r="AT52" s="536"/>
      <c r="AU52" s="536"/>
      <c r="AV52" s="542">
        <f t="shared" si="9"/>
        <v>0</v>
      </c>
      <c r="AW52" s="536"/>
      <c r="AX52" s="536"/>
      <c r="AY52" s="536"/>
      <c r="AZ52" s="542">
        <f t="shared" si="10"/>
        <v>0</v>
      </c>
      <c r="BA52" s="536"/>
      <c r="BB52" s="536"/>
      <c r="BC52" s="536"/>
      <c r="BD52" s="542">
        <f t="shared" si="11"/>
        <v>0</v>
      </c>
      <c r="BE52" s="536"/>
      <c r="BF52" s="536"/>
      <c r="BG52" s="536"/>
      <c r="BH52" s="542">
        <f t="shared" si="12"/>
        <v>0</v>
      </c>
      <c r="BI52" s="536"/>
      <c r="BJ52" s="536"/>
      <c r="BK52" s="536"/>
      <c r="BL52" s="542">
        <f t="shared" si="13"/>
        <v>0</v>
      </c>
      <c r="BM52" s="536"/>
      <c r="BN52" s="536"/>
      <c r="BO52" s="536"/>
      <c r="BP52" s="542">
        <f t="shared" si="14"/>
        <v>0</v>
      </c>
      <c r="BQ52" s="536"/>
      <c r="BR52" s="536"/>
      <c r="BS52" s="536"/>
      <c r="BT52" s="542">
        <f t="shared" si="15"/>
        <v>0</v>
      </c>
      <c r="BU52" s="536"/>
      <c r="BV52" s="536"/>
      <c r="BW52" s="536"/>
      <c r="BX52" s="542">
        <f t="shared" si="16"/>
        <v>0</v>
      </c>
      <c r="BY52" s="536"/>
      <c r="BZ52" s="536"/>
      <c r="CA52" s="536"/>
      <c r="CB52" s="542">
        <v>0</v>
      </c>
      <c r="CC52" s="536"/>
      <c r="CD52" s="536"/>
      <c r="CE52" s="536"/>
      <c r="CF52" s="541">
        <f t="shared" si="17"/>
        <v>0</v>
      </c>
      <c r="CG52" s="536"/>
      <c r="CH52" s="536"/>
      <c r="CI52" s="536"/>
      <c r="CJ52" s="541">
        <f t="shared" si="18"/>
        <v>0</v>
      </c>
      <c r="CK52" s="536"/>
      <c r="CL52" s="536"/>
      <c r="CM52" s="536"/>
      <c r="CN52" s="541">
        <f t="shared" si="19"/>
        <v>0</v>
      </c>
      <c r="CO52" s="536"/>
      <c r="CP52" s="536"/>
      <c r="CQ52" s="536"/>
      <c r="CR52" s="541">
        <f t="shared" si="20"/>
        <v>0</v>
      </c>
      <c r="CS52" s="536"/>
      <c r="CT52" s="536"/>
      <c r="CU52" s="536"/>
      <c r="CV52" s="541">
        <f t="shared" si="21"/>
        <v>0</v>
      </c>
      <c r="CW52" s="536"/>
      <c r="CX52" s="536"/>
      <c r="CY52" s="536"/>
      <c r="CZ52" s="541">
        <f t="shared" si="22"/>
        <v>0</v>
      </c>
      <c r="DA52" s="536"/>
      <c r="DB52" s="536"/>
      <c r="DC52" s="536"/>
      <c r="DD52" s="541">
        <f t="shared" si="23"/>
        <v>0</v>
      </c>
      <c r="DE52" s="536"/>
      <c r="DF52" s="536"/>
      <c r="DG52" s="536"/>
      <c r="DH52" s="541">
        <f t="shared" si="24"/>
        <v>0</v>
      </c>
      <c r="DI52" s="536"/>
      <c r="DJ52" s="536"/>
      <c r="DK52" s="536"/>
      <c r="DL52" s="541">
        <f t="shared" si="25"/>
        <v>0</v>
      </c>
      <c r="DM52" s="536"/>
      <c r="DN52" s="536"/>
      <c r="DO52" s="536"/>
      <c r="DP52" s="541">
        <f>IF( SUM((DJ52*(20/100))+(DK52*(30/100))+(DL52*(50/100))) &gt;=9.3,9.5,
IF(AND( SUM((DJ52*(20/100))+(DK52*(30/100))+(DL52*(50/100))) &lt;=9.3, SUM((DJ52*(20/100))+(DK52*(30/100))+(DL52*(50/100))) &gt;=8.8),9,
IF(AND( SUM((DJ52*(20/100))+(DK52*(30/100))+(DL52*(50/100))) &lt;=8.8, SUM((DJ52*(20/100))+(DK52*(30/100))+(DL52*(50/100))) &gt;=8.3),8.5,
IF(AND( SUM((DJ52*(20/100))+(DK52*(30/100))+(DL52*(50/100))) &lt;=8.3, SUM((DJ52*(20/100))+(DK52*(30/100))+(DL52*(50/100))) &gt;=7.8),8,
IF(AND( SUM((DJ52*(20/100))+(DK52*(30/100))+(DL52*(50/100))) &lt;=7.8, SUM((DJ52*(20/100))+(DK52*(30/100))+(DL52*(50/100))) &gt;=7.3),7.5,
IF(AND( SUM((DJ52*(20/100))+(DK52*(30/100))+(DL52*(50/100))) &lt;=7.3, SUM((DJ52*(20/100))+(DK52*(30/100))+(DL52*(50/100))) &gt;=6.8),7,
IF(AND( SUM((DJ52*(20/100))+(DK52*(30/100))+(DL52*(50/100))) &lt;=6.8, SUM((DJ52*(20/100))+(DK52*(30/100))+(DL52*(50/100))) &gt;=6.3),6.5,
IF(AND( SUM((DJ52*(20/100))+(DK52*(30/100))+(DL52*(50/100))) &lt;=6.3, SUM((DJ52*(20/100))+(DK52*(30/100))+(DL52*(50/100))) &gt;=5.8),6,
IF(AND( SUM((DJ52*(20/100))+(DK52*(30/100))+(DL52*(50/100))) &lt;=5.8, SUM((DJ52*(20/100))+(DK52*(30/100))+(DL52*(50/100))) &gt;=5.3),5.5,
IF(AND( SUM((DJ52*(20/100))+(DK52*(30/100))+(DL52*(50/100))) &lt;=5.3, SUM((DJ52*(20/100))+(DK52*(30/100))+(DL52*(50/100))) &gt;=4.8),5,
IF(AND( SUM((DJ52*(20/100))+(DK52*(30/100))+(DL52*(50/100))) &lt;=4.8, SUM((DJ52*(20/100))+(DK52*(30/100))+(DL52*(50/100))) &gt;=4.3),4.5,
IF(AND( SUM((DJ52*(20/100))+(DK52*(30/100))+(DL52*(50/100))) &lt;=4.3, SUM((DJ52*(20/100))+(DK52*(30/100))+(DL52*(50/100))) &gt;=3.8),4,
IF(AND( SUM((DJ52*(20/100))+(DK52*(30/100))+(DL52*(50/100))) &lt;=3.8, SUM((DJ52*(20/100))+(DK52*(30/100))+(DL52*(50/100))) &gt;=3.5),3.5,0)))))))))))))</f>
        <v>0</v>
      </c>
      <c r="DQ52" s="541"/>
      <c r="DR52" s="541"/>
      <c r="DS52" s="541"/>
      <c r="DT52" s="541"/>
      <c r="DU52" s="541"/>
      <c r="DV52" s="541"/>
      <c r="DW52" s="541"/>
      <c r="DX52" s="541"/>
      <c r="DY52" s="541"/>
      <c r="DZ52" s="541"/>
    </row>
    <row r="53" spans="2:130" ht="15" customHeight="1" x14ac:dyDescent="0.25">
      <c r="B53" s="334">
        <v>46</v>
      </c>
      <c r="C53" s="541"/>
      <c r="D53" s="334"/>
      <c r="E53" s="334"/>
      <c r="F53" s="334"/>
      <c r="G53" s="334"/>
      <c r="H53" s="334"/>
      <c r="I53" s="334"/>
      <c r="J53" s="536"/>
      <c r="K53" s="536"/>
      <c r="L53" s="536"/>
      <c r="M53" s="536"/>
      <c r="N53" s="536"/>
      <c r="O53" s="536"/>
      <c r="P53" s="536">
        <f t="shared" si="1"/>
        <v>0</v>
      </c>
      <c r="Q53" s="536"/>
      <c r="R53" s="536"/>
      <c r="S53" s="536"/>
      <c r="T53" s="536">
        <f t="shared" si="2"/>
        <v>0</v>
      </c>
      <c r="U53" s="536"/>
      <c r="V53" s="536"/>
      <c r="W53" s="536"/>
      <c r="X53" s="536">
        <f t="shared" si="3"/>
        <v>0</v>
      </c>
      <c r="Y53" s="536"/>
      <c r="Z53" s="536"/>
      <c r="AA53" s="536"/>
      <c r="AB53" s="536">
        <f t="shared" si="4"/>
        <v>0</v>
      </c>
      <c r="AC53" s="536"/>
      <c r="AD53" s="536"/>
      <c r="AE53" s="536"/>
      <c r="AF53" s="536">
        <f t="shared" si="5"/>
        <v>0</v>
      </c>
      <c r="AG53" s="536"/>
      <c r="AH53" s="536"/>
      <c r="AI53" s="536"/>
      <c r="AJ53" s="536">
        <f t="shared" si="6"/>
        <v>0</v>
      </c>
      <c r="AK53" s="536"/>
      <c r="AL53" s="536"/>
      <c r="AM53" s="536"/>
      <c r="AN53" s="542">
        <f t="shared" si="7"/>
        <v>0</v>
      </c>
      <c r="AO53" s="536"/>
      <c r="AP53" s="536"/>
      <c r="AQ53" s="536"/>
      <c r="AR53" s="542">
        <f t="shared" si="8"/>
        <v>0</v>
      </c>
      <c r="AS53" s="536"/>
      <c r="AT53" s="536"/>
      <c r="AU53" s="536"/>
      <c r="AV53" s="542">
        <f t="shared" si="9"/>
        <v>0</v>
      </c>
      <c r="AW53" s="536"/>
      <c r="AX53" s="536"/>
      <c r="AY53" s="536"/>
      <c r="AZ53" s="542">
        <f t="shared" si="10"/>
        <v>0</v>
      </c>
      <c r="BA53" s="536"/>
      <c r="BB53" s="536"/>
      <c r="BC53" s="536"/>
      <c r="BD53" s="542">
        <f t="shared" si="11"/>
        <v>0</v>
      </c>
      <c r="BE53" s="536"/>
      <c r="BF53" s="536"/>
      <c r="BG53" s="536"/>
      <c r="BH53" s="542">
        <f t="shared" si="12"/>
        <v>0</v>
      </c>
      <c r="BI53" s="536"/>
      <c r="BJ53" s="536"/>
      <c r="BK53" s="536"/>
      <c r="BL53" s="542">
        <f t="shared" si="13"/>
        <v>0</v>
      </c>
      <c r="BM53" s="536"/>
      <c r="BN53" s="536"/>
      <c r="BO53" s="536"/>
      <c r="BP53" s="542">
        <f t="shared" si="14"/>
        <v>0</v>
      </c>
      <c r="BQ53" s="536"/>
      <c r="BR53" s="536"/>
      <c r="BS53" s="536"/>
      <c r="BT53" s="542">
        <f t="shared" si="15"/>
        <v>0</v>
      </c>
      <c r="BU53" s="536"/>
      <c r="BV53" s="536"/>
      <c r="BW53" s="536"/>
      <c r="BX53" s="542">
        <f t="shared" si="16"/>
        <v>0</v>
      </c>
      <c r="BY53" s="536"/>
      <c r="BZ53" s="536"/>
      <c r="CA53" s="536"/>
      <c r="CB53" s="542">
        <v>0</v>
      </c>
      <c r="CC53" s="536"/>
      <c r="CD53" s="536"/>
      <c r="CE53" s="536"/>
      <c r="CF53" s="541">
        <f t="shared" si="17"/>
        <v>0</v>
      </c>
      <c r="CG53" s="536"/>
      <c r="CH53" s="536"/>
      <c r="CI53" s="536"/>
      <c r="CJ53" s="541">
        <f t="shared" si="18"/>
        <v>0</v>
      </c>
      <c r="CK53" s="536"/>
      <c r="CL53" s="536"/>
      <c r="CM53" s="536"/>
      <c r="CN53" s="541">
        <f t="shared" si="19"/>
        <v>0</v>
      </c>
      <c r="CO53" s="536"/>
      <c r="CP53" s="536"/>
      <c r="CQ53" s="536"/>
      <c r="CR53" s="541">
        <f t="shared" si="20"/>
        <v>0</v>
      </c>
      <c r="CS53" s="536"/>
      <c r="CT53" s="536"/>
      <c r="CU53" s="536"/>
      <c r="CV53" s="541">
        <f t="shared" si="21"/>
        <v>0</v>
      </c>
      <c r="CW53" s="536"/>
      <c r="CX53" s="536"/>
      <c r="CY53" s="536"/>
      <c r="CZ53" s="541">
        <f t="shared" si="22"/>
        <v>0</v>
      </c>
      <c r="DA53" s="536"/>
      <c r="DB53" s="536"/>
      <c r="DC53" s="536"/>
      <c r="DD53" s="541">
        <f t="shared" si="23"/>
        <v>0</v>
      </c>
      <c r="DE53" s="536"/>
      <c r="DF53" s="536"/>
      <c r="DG53" s="536"/>
      <c r="DH53" s="541">
        <f t="shared" si="24"/>
        <v>0</v>
      </c>
      <c r="DI53" s="536"/>
      <c r="DJ53" s="536"/>
      <c r="DK53" s="536"/>
      <c r="DL53" s="541">
        <f t="shared" si="25"/>
        <v>0</v>
      </c>
      <c r="DM53" s="536"/>
      <c r="DN53" s="536"/>
      <c r="DO53" s="536"/>
      <c r="DP53" s="541">
        <f>IF( SUM((DJ53*(20/100))+(DK53*(30/100))+(DL53*(50/100))) &gt;=9.3,9.5,
IF(AND( SUM((DJ53*(20/100))+(DK53*(30/100))+(DL53*(50/100))) &lt;=9.3, SUM((DJ53*(20/100))+(DK53*(30/100))+(DL53*(50/100))) &gt;=8.8),9,
IF(AND( SUM((DJ53*(20/100))+(DK53*(30/100))+(DL53*(50/100))) &lt;=8.8, SUM((DJ53*(20/100))+(DK53*(30/100))+(DL53*(50/100))) &gt;=8.3),8.5,
IF(AND( SUM((DJ53*(20/100))+(DK53*(30/100))+(DL53*(50/100))) &lt;=8.3, SUM((DJ53*(20/100))+(DK53*(30/100))+(DL53*(50/100))) &gt;=7.8),8,
IF(AND( SUM((DJ53*(20/100))+(DK53*(30/100))+(DL53*(50/100))) &lt;=7.8, SUM((DJ53*(20/100))+(DK53*(30/100))+(DL53*(50/100))) &gt;=7.3),7.5,
IF(AND( SUM((DJ53*(20/100))+(DK53*(30/100))+(DL53*(50/100))) &lt;=7.3, SUM((DJ53*(20/100))+(DK53*(30/100))+(DL53*(50/100))) &gt;=6.8),7,
IF(AND( SUM((DJ53*(20/100))+(DK53*(30/100))+(DL53*(50/100))) &lt;=6.8, SUM((DJ53*(20/100))+(DK53*(30/100))+(DL53*(50/100))) &gt;=6.3),6.5,
IF(AND( SUM((DJ53*(20/100))+(DK53*(30/100))+(DL53*(50/100))) &lt;=6.3, SUM((DJ53*(20/100))+(DK53*(30/100))+(DL53*(50/100))) &gt;=5.8),6,
IF(AND( SUM((DJ53*(20/100))+(DK53*(30/100))+(DL53*(50/100))) &lt;=5.8, SUM((DJ53*(20/100))+(DK53*(30/100))+(DL53*(50/100))) &gt;=5.3),5.5,
IF(AND( SUM((DJ53*(20/100))+(DK53*(30/100))+(DL53*(50/100))) &lt;=5.3, SUM((DJ53*(20/100))+(DK53*(30/100))+(DL53*(50/100))) &gt;=4.8),5,
IF(AND( SUM((DJ53*(20/100))+(DK53*(30/100))+(DL53*(50/100))) &lt;=4.8, SUM((DJ53*(20/100))+(DK53*(30/100))+(DL53*(50/100))) &gt;=4.3),4.5,
IF(AND( SUM((DJ53*(20/100))+(DK53*(30/100))+(DL53*(50/100))) &lt;=4.3, SUM((DJ53*(20/100))+(DK53*(30/100))+(DL53*(50/100))) &gt;=3.8),4,
IF(AND( SUM((DJ53*(20/100))+(DK53*(30/100))+(DL53*(50/100))) &lt;=3.8, SUM((DJ53*(20/100))+(DK53*(30/100))+(DL53*(50/100))) &gt;=3.5),3.5,0)))))))))))))</f>
        <v>0</v>
      </c>
      <c r="DQ53" s="541"/>
      <c r="DR53" s="541"/>
      <c r="DS53" s="541"/>
      <c r="DT53" s="541"/>
      <c r="DU53" s="541"/>
      <c r="DV53" s="541"/>
      <c r="DW53" s="541"/>
      <c r="DX53" s="541"/>
      <c r="DY53" s="541"/>
      <c r="DZ53" s="541"/>
    </row>
    <row r="54" spans="2:130" ht="15" customHeight="1" x14ac:dyDescent="0.25">
      <c r="B54" s="334">
        <v>47</v>
      </c>
      <c r="C54" s="541"/>
      <c r="D54" s="334"/>
      <c r="E54" s="334"/>
      <c r="F54" s="334"/>
      <c r="G54" s="334"/>
      <c r="H54" s="334"/>
      <c r="I54" s="334"/>
      <c r="J54" s="536"/>
      <c r="K54" s="536"/>
      <c r="L54" s="536"/>
      <c r="M54" s="536"/>
      <c r="N54" s="536"/>
      <c r="O54" s="536"/>
      <c r="P54" s="536">
        <f t="shared" si="1"/>
        <v>0</v>
      </c>
      <c r="Q54" s="536"/>
      <c r="R54" s="536"/>
      <c r="S54" s="536"/>
      <c r="T54" s="536">
        <f t="shared" si="2"/>
        <v>0</v>
      </c>
      <c r="U54" s="536"/>
      <c r="V54" s="536"/>
      <c r="W54" s="536"/>
      <c r="X54" s="536">
        <f t="shared" si="3"/>
        <v>0</v>
      </c>
      <c r="Y54" s="536"/>
      <c r="Z54" s="536"/>
      <c r="AA54" s="536"/>
      <c r="AB54" s="536">
        <f t="shared" si="4"/>
        <v>0</v>
      </c>
      <c r="AC54" s="536"/>
      <c r="AD54" s="536"/>
      <c r="AE54" s="536"/>
      <c r="AF54" s="536">
        <f t="shared" si="5"/>
        <v>0</v>
      </c>
      <c r="AG54" s="536"/>
      <c r="AH54" s="536"/>
      <c r="AI54" s="536"/>
      <c r="AJ54" s="536">
        <f t="shared" si="6"/>
        <v>0</v>
      </c>
      <c r="AK54" s="536"/>
      <c r="AL54" s="536"/>
      <c r="AM54" s="536"/>
      <c r="AN54" s="542">
        <f t="shared" si="7"/>
        <v>0</v>
      </c>
      <c r="AO54" s="536"/>
      <c r="AP54" s="536"/>
      <c r="AQ54" s="536"/>
      <c r="AR54" s="542">
        <f t="shared" si="8"/>
        <v>0</v>
      </c>
      <c r="AS54" s="536"/>
      <c r="AT54" s="536"/>
      <c r="AU54" s="536"/>
      <c r="AV54" s="542">
        <f t="shared" si="9"/>
        <v>0</v>
      </c>
      <c r="AW54" s="536"/>
      <c r="AX54" s="536"/>
      <c r="AY54" s="536"/>
      <c r="AZ54" s="542">
        <f t="shared" si="10"/>
        <v>0</v>
      </c>
      <c r="BA54" s="536"/>
      <c r="BB54" s="536"/>
      <c r="BC54" s="536"/>
      <c r="BD54" s="542">
        <f t="shared" si="11"/>
        <v>0</v>
      </c>
      <c r="BE54" s="536"/>
      <c r="BF54" s="536"/>
      <c r="BG54" s="536"/>
      <c r="BH54" s="542">
        <f t="shared" si="12"/>
        <v>0</v>
      </c>
      <c r="BI54" s="536"/>
      <c r="BJ54" s="536"/>
      <c r="BK54" s="536"/>
      <c r="BL54" s="542">
        <f t="shared" si="13"/>
        <v>0</v>
      </c>
      <c r="BM54" s="536"/>
      <c r="BN54" s="536"/>
      <c r="BO54" s="536"/>
      <c r="BP54" s="542">
        <f t="shared" si="14"/>
        <v>0</v>
      </c>
      <c r="BQ54" s="536"/>
      <c r="BR54" s="536"/>
      <c r="BS54" s="536"/>
      <c r="BT54" s="542">
        <f t="shared" si="15"/>
        <v>0</v>
      </c>
      <c r="BU54" s="536"/>
      <c r="BV54" s="536"/>
      <c r="BW54" s="536"/>
      <c r="BX54" s="542">
        <f t="shared" si="16"/>
        <v>0</v>
      </c>
      <c r="BY54" s="536"/>
      <c r="BZ54" s="536"/>
      <c r="CA54" s="536"/>
      <c r="CB54" s="542">
        <v>0</v>
      </c>
      <c r="CC54" s="536"/>
      <c r="CD54" s="536"/>
      <c r="CE54" s="536"/>
      <c r="CF54" s="541">
        <f t="shared" si="17"/>
        <v>0</v>
      </c>
      <c r="CG54" s="536"/>
      <c r="CH54" s="536"/>
      <c r="CI54" s="536"/>
      <c r="CJ54" s="541">
        <f t="shared" si="18"/>
        <v>0</v>
      </c>
      <c r="CK54" s="536"/>
      <c r="CL54" s="536"/>
      <c r="CM54" s="536"/>
      <c r="CN54" s="541">
        <f t="shared" si="19"/>
        <v>0</v>
      </c>
      <c r="CO54" s="536"/>
      <c r="CP54" s="536"/>
      <c r="CQ54" s="536"/>
      <c r="CR54" s="541">
        <f t="shared" si="20"/>
        <v>0</v>
      </c>
      <c r="CS54" s="536"/>
      <c r="CT54" s="536"/>
      <c r="CU54" s="536"/>
      <c r="CV54" s="541">
        <f t="shared" si="21"/>
        <v>0</v>
      </c>
      <c r="CW54" s="536"/>
      <c r="CX54" s="536"/>
      <c r="CY54" s="536"/>
      <c r="CZ54" s="541">
        <f t="shared" si="22"/>
        <v>0</v>
      </c>
      <c r="DA54" s="536"/>
      <c r="DB54" s="536"/>
      <c r="DC54" s="536"/>
      <c r="DD54" s="541">
        <f t="shared" si="23"/>
        <v>0</v>
      </c>
      <c r="DE54" s="536"/>
      <c r="DF54" s="536"/>
      <c r="DG54" s="536"/>
      <c r="DH54" s="541">
        <f t="shared" si="24"/>
        <v>0</v>
      </c>
      <c r="DI54" s="536"/>
      <c r="DJ54" s="536"/>
      <c r="DK54" s="536"/>
      <c r="DL54" s="541">
        <f t="shared" si="25"/>
        <v>0</v>
      </c>
      <c r="DM54" s="536"/>
      <c r="DN54" s="536"/>
      <c r="DO54" s="536"/>
      <c r="DP54" s="541">
        <f>IF( SUM((DJ54*(20/100))+(DK54*(30/100))+(DL54*(50/100))) &gt;=9.3,9.5,
IF(AND( SUM((DJ54*(20/100))+(DK54*(30/100))+(DL54*(50/100))) &lt;=9.3, SUM((DJ54*(20/100))+(DK54*(30/100))+(DL54*(50/100))) &gt;=8.8),9,
IF(AND( SUM((DJ54*(20/100))+(DK54*(30/100))+(DL54*(50/100))) &lt;=8.8, SUM((DJ54*(20/100))+(DK54*(30/100))+(DL54*(50/100))) &gt;=8.3),8.5,
IF(AND( SUM((DJ54*(20/100))+(DK54*(30/100))+(DL54*(50/100))) &lt;=8.3, SUM((DJ54*(20/100))+(DK54*(30/100))+(DL54*(50/100))) &gt;=7.8),8,
IF(AND( SUM((DJ54*(20/100))+(DK54*(30/100))+(DL54*(50/100))) &lt;=7.8, SUM((DJ54*(20/100))+(DK54*(30/100))+(DL54*(50/100))) &gt;=7.3),7.5,
IF(AND( SUM((DJ54*(20/100))+(DK54*(30/100))+(DL54*(50/100))) &lt;=7.3, SUM((DJ54*(20/100))+(DK54*(30/100))+(DL54*(50/100))) &gt;=6.8),7,
IF(AND( SUM((DJ54*(20/100))+(DK54*(30/100))+(DL54*(50/100))) &lt;=6.8, SUM((DJ54*(20/100))+(DK54*(30/100))+(DL54*(50/100))) &gt;=6.3),6.5,
IF(AND( SUM((DJ54*(20/100))+(DK54*(30/100))+(DL54*(50/100))) &lt;=6.3, SUM((DJ54*(20/100))+(DK54*(30/100))+(DL54*(50/100))) &gt;=5.8),6,
IF(AND( SUM((DJ54*(20/100))+(DK54*(30/100))+(DL54*(50/100))) &lt;=5.8, SUM((DJ54*(20/100))+(DK54*(30/100))+(DL54*(50/100))) &gt;=5.3),5.5,
IF(AND( SUM((DJ54*(20/100))+(DK54*(30/100))+(DL54*(50/100))) &lt;=5.3, SUM((DJ54*(20/100))+(DK54*(30/100))+(DL54*(50/100))) &gt;=4.8),5,
IF(AND( SUM((DJ54*(20/100))+(DK54*(30/100))+(DL54*(50/100))) &lt;=4.8, SUM((DJ54*(20/100))+(DK54*(30/100))+(DL54*(50/100))) &gt;=4.3),4.5,
IF(AND( SUM((DJ54*(20/100))+(DK54*(30/100))+(DL54*(50/100))) &lt;=4.3, SUM((DJ54*(20/100))+(DK54*(30/100))+(DL54*(50/100))) &gt;=3.8),4,
IF(AND( SUM((DJ54*(20/100))+(DK54*(30/100))+(DL54*(50/100))) &lt;=3.8, SUM((DJ54*(20/100))+(DK54*(30/100))+(DL54*(50/100))) &gt;=3.5),3.5,0)))))))))))))</f>
        <v>0</v>
      </c>
      <c r="DQ54" s="541"/>
      <c r="DR54" s="541"/>
      <c r="DS54" s="541"/>
      <c r="DT54" s="541"/>
      <c r="DU54" s="541"/>
      <c r="DV54" s="541"/>
      <c r="DW54" s="541"/>
      <c r="DX54" s="541"/>
      <c r="DY54" s="541"/>
      <c r="DZ54" s="541"/>
    </row>
    <row r="55" spans="2:130" ht="15" customHeight="1" x14ac:dyDescent="0.25">
      <c r="B55" s="334">
        <v>48</v>
      </c>
      <c r="C55" s="541"/>
      <c r="D55" s="334"/>
      <c r="E55" s="334"/>
      <c r="F55" s="334"/>
      <c r="G55" s="334"/>
      <c r="H55" s="334"/>
      <c r="I55" s="334"/>
      <c r="J55" s="536"/>
      <c r="K55" s="536"/>
      <c r="L55" s="536"/>
      <c r="M55" s="536"/>
      <c r="N55" s="536"/>
      <c r="O55" s="536"/>
      <c r="P55" s="536">
        <f t="shared" si="1"/>
        <v>0</v>
      </c>
      <c r="Q55" s="536"/>
      <c r="R55" s="536"/>
      <c r="S55" s="536"/>
      <c r="T55" s="536">
        <f t="shared" si="2"/>
        <v>0</v>
      </c>
      <c r="U55" s="536"/>
      <c r="V55" s="536"/>
      <c r="W55" s="536"/>
      <c r="X55" s="536">
        <f t="shared" si="3"/>
        <v>0</v>
      </c>
      <c r="Y55" s="536"/>
      <c r="Z55" s="536"/>
      <c r="AA55" s="536"/>
      <c r="AB55" s="536">
        <f t="shared" si="4"/>
        <v>0</v>
      </c>
      <c r="AC55" s="536"/>
      <c r="AD55" s="536"/>
      <c r="AE55" s="536"/>
      <c r="AF55" s="536">
        <f t="shared" si="5"/>
        <v>0</v>
      </c>
      <c r="AG55" s="536"/>
      <c r="AH55" s="536"/>
      <c r="AI55" s="536"/>
      <c r="AJ55" s="536">
        <f t="shared" si="6"/>
        <v>0</v>
      </c>
      <c r="AK55" s="536"/>
      <c r="AL55" s="536"/>
      <c r="AM55" s="536"/>
      <c r="AN55" s="542">
        <f t="shared" si="7"/>
        <v>0</v>
      </c>
      <c r="AO55" s="536"/>
      <c r="AP55" s="536"/>
      <c r="AQ55" s="536"/>
      <c r="AR55" s="542">
        <f t="shared" si="8"/>
        <v>0</v>
      </c>
      <c r="AS55" s="536"/>
      <c r="AT55" s="536"/>
      <c r="AU55" s="536"/>
      <c r="AV55" s="542">
        <f t="shared" si="9"/>
        <v>0</v>
      </c>
      <c r="AW55" s="536"/>
      <c r="AX55" s="536"/>
      <c r="AY55" s="536"/>
      <c r="AZ55" s="542">
        <f t="shared" si="10"/>
        <v>0</v>
      </c>
      <c r="BA55" s="536"/>
      <c r="BB55" s="536"/>
      <c r="BC55" s="536"/>
      <c r="BD55" s="542">
        <f t="shared" si="11"/>
        <v>0</v>
      </c>
      <c r="BE55" s="536"/>
      <c r="BF55" s="536"/>
      <c r="BG55" s="536"/>
      <c r="BH55" s="542">
        <f t="shared" si="12"/>
        <v>0</v>
      </c>
      <c r="BI55" s="536"/>
      <c r="BJ55" s="536"/>
      <c r="BK55" s="536"/>
      <c r="BL55" s="542">
        <f t="shared" si="13"/>
        <v>0</v>
      </c>
      <c r="BM55" s="536"/>
      <c r="BN55" s="536"/>
      <c r="BO55" s="536"/>
      <c r="BP55" s="542">
        <f t="shared" si="14"/>
        <v>0</v>
      </c>
      <c r="BQ55" s="536"/>
      <c r="BR55" s="536"/>
      <c r="BS55" s="536"/>
      <c r="BT55" s="542">
        <f t="shared" si="15"/>
        <v>0</v>
      </c>
      <c r="BU55" s="536"/>
      <c r="BV55" s="536"/>
      <c r="BW55" s="536"/>
      <c r="BX55" s="542">
        <f t="shared" si="16"/>
        <v>0</v>
      </c>
      <c r="BY55" s="536"/>
      <c r="BZ55" s="536"/>
      <c r="CA55" s="536"/>
      <c r="CB55" s="542">
        <v>0</v>
      </c>
      <c r="CC55" s="536"/>
      <c r="CD55" s="536"/>
      <c r="CE55" s="536"/>
      <c r="CF55" s="541">
        <f t="shared" si="17"/>
        <v>0</v>
      </c>
      <c r="CG55" s="536"/>
      <c r="CH55" s="536"/>
      <c r="CI55" s="536"/>
      <c r="CJ55" s="541">
        <f t="shared" si="18"/>
        <v>0</v>
      </c>
      <c r="CK55" s="536"/>
      <c r="CL55" s="536"/>
      <c r="CM55" s="536"/>
      <c r="CN55" s="541">
        <f t="shared" si="19"/>
        <v>0</v>
      </c>
      <c r="CO55" s="536"/>
      <c r="CP55" s="536"/>
      <c r="CQ55" s="536"/>
      <c r="CR55" s="541">
        <f t="shared" si="20"/>
        <v>0</v>
      </c>
      <c r="CS55" s="536"/>
      <c r="CT55" s="536"/>
      <c r="CU55" s="536"/>
      <c r="CV55" s="541">
        <f t="shared" si="21"/>
        <v>0</v>
      </c>
      <c r="CW55" s="536"/>
      <c r="CX55" s="536"/>
      <c r="CY55" s="536"/>
      <c r="CZ55" s="541">
        <f t="shared" si="22"/>
        <v>0</v>
      </c>
      <c r="DA55" s="536"/>
      <c r="DB55" s="536"/>
      <c r="DC55" s="536"/>
      <c r="DD55" s="541">
        <f t="shared" si="23"/>
        <v>0</v>
      </c>
      <c r="DE55" s="536"/>
      <c r="DF55" s="536"/>
      <c r="DG55" s="536"/>
      <c r="DH55" s="541">
        <f t="shared" si="24"/>
        <v>0</v>
      </c>
      <c r="DI55" s="536"/>
      <c r="DJ55" s="536"/>
      <c r="DK55" s="536"/>
      <c r="DL55" s="541">
        <f t="shared" si="25"/>
        <v>0</v>
      </c>
      <c r="DM55" s="536"/>
      <c r="DN55" s="536"/>
      <c r="DO55" s="536"/>
      <c r="DP55" s="541">
        <f>IF( SUM((DJ55*(20/100))+(DK55*(30/100))+(DL55*(50/100))) &gt;=9.3,9.5,
IF(AND( SUM((DJ55*(20/100))+(DK55*(30/100))+(DL55*(50/100))) &lt;=9.3, SUM((DJ55*(20/100))+(DK55*(30/100))+(DL55*(50/100))) &gt;=8.8),9,
IF(AND( SUM((DJ55*(20/100))+(DK55*(30/100))+(DL55*(50/100))) &lt;=8.8, SUM((DJ55*(20/100))+(DK55*(30/100))+(DL55*(50/100))) &gt;=8.3),8.5,
IF(AND( SUM((DJ55*(20/100))+(DK55*(30/100))+(DL55*(50/100))) &lt;=8.3, SUM((DJ55*(20/100))+(DK55*(30/100))+(DL55*(50/100))) &gt;=7.8),8,
IF(AND( SUM((DJ55*(20/100))+(DK55*(30/100))+(DL55*(50/100))) &lt;=7.8, SUM((DJ55*(20/100))+(DK55*(30/100))+(DL55*(50/100))) &gt;=7.3),7.5,
IF(AND( SUM((DJ55*(20/100))+(DK55*(30/100))+(DL55*(50/100))) &lt;=7.3, SUM((DJ55*(20/100))+(DK55*(30/100))+(DL55*(50/100))) &gt;=6.8),7,
IF(AND( SUM((DJ55*(20/100))+(DK55*(30/100))+(DL55*(50/100))) &lt;=6.8, SUM((DJ55*(20/100))+(DK55*(30/100))+(DL55*(50/100))) &gt;=6.3),6.5,
IF(AND( SUM((DJ55*(20/100))+(DK55*(30/100))+(DL55*(50/100))) &lt;=6.3, SUM((DJ55*(20/100))+(DK55*(30/100))+(DL55*(50/100))) &gt;=5.8),6,
IF(AND( SUM((DJ55*(20/100))+(DK55*(30/100))+(DL55*(50/100))) &lt;=5.8, SUM((DJ55*(20/100))+(DK55*(30/100))+(DL55*(50/100))) &gt;=5.3),5.5,
IF(AND( SUM((DJ55*(20/100))+(DK55*(30/100))+(DL55*(50/100))) &lt;=5.3, SUM((DJ55*(20/100))+(DK55*(30/100))+(DL55*(50/100))) &gt;=4.8),5,
IF(AND( SUM((DJ55*(20/100))+(DK55*(30/100))+(DL55*(50/100))) &lt;=4.8, SUM((DJ55*(20/100))+(DK55*(30/100))+(DL55*(50/100))) &gt;=4.3),4.5,
IF(AND( SUM((DJ55*(20/100))+(DK55*(30/100))+(DL55*(50/100))) &lt;=4.3, SUM((DJ55*(20/100))+(DK55*(30/100))+(DL55*(50/100))) &gt;=3.8),4,
IF(AND( SUM((DJ55*(20/100))+(DK55*(30/100))+(DL55*(50/100))) &lt;=3.8, SUM((DJ55*(20/100))+(DK55*(30/100))+(DL55*(50/100))) &gt;=3.5),3.5,0)))))))))))))</f>
        <v>0</v>
      </c>
      <c r="DQ55" s="541"/>
      <c r="DR55" s="541"/>
      <c r="DS55" s="541"/>
      <c r="DT55" s="541"/>
      <c r="DU55" s="541"/>
      <c r="DV55" s="541"/>
      <c r="DW55" s="541"/>
      <c r="DX55" s="541"/>
      <c r="DY55" s="541"/>
      <c r="DZ55" s="541"/>
    </row>
    <row r="56" spans="2:130" ht="15" customHeight="1" x14ac:dyDescent="0.25">
      <c r="B56" s="334">
        <v>49</v>
      </c>
      <c r="C56" s="541"/>
      <c r="D56" s="334"/>
      <c r="E56" s="334"/>
      <c r="F56" s="334"/>
      <c r="G56" s="334"/>
      <c r="H56" s="334"/>
      <c r="I56" s="334"/>
      <c r="J56" s="536"/>
      <c r="K56" s="536"/>
      <c r="L56" s="536"/>
      <c r="M56" s="536"/>
      <c r="N56" s="536"/>
      <c r="O56" s="536"/>
      <c r="P56" s="536">
        <f t="shared" si="1"/>
        <v>0</v>
      </c>
      <c r="Q56" s="536"/>
      <c r="R56" s="536"/>
      <c r="S56" s="536"/>
      <c r="T56" s="536">
        <f t="shared" si="2"/>
        <v>0</v>
      </c>
      <c r="U56" s="536"/>
      <c r="V56" s="536"/>
      <c r="W56" s="536"/>
      <c r="X56" s="536">
        <f t="shared" si="3"/>
        <v>0</v>
      </c>
      <c r="Y56" s="536"/>
      <c r="Z56" s="536"/>
      <c r="AA56" s="536"/>
      <c r="AB56" s="536">
        <f t="shared" si="4"/>
        <v>0</v>
      </c>
      <c r="AC56" s="536"/>
      <c r="AD56" s="536"/>
      <c r="AE56" s="536"/>
      <c r="AF56" s="536">
        <f t="shared" si="5"/>
        <v>0</v>
      </c>
      <c r="AG56" s="536"/>
      <c r="AH56" s="536"/>
      <c r="AI56" s="536"/>
      <c r="AJ56" s="536">
        <f t="shared" si="6"/>
        <v>0</v>
      </c>
      <c r="AK56" s="536"/>
      <c r="AL56" s="536"/>
      <c r="AM56" s="536"/>
      <c r="AN56" s="542">
        <f t="shared" si="7"/>
        <v>0</v>
      </c>
      <c r="AO56" s="536"/>
      <c r="AP56" s="536"/>
      <c r="AQ56" s="536"/>
      <c r="AR56" s="542">
        <f t="shared" si="8"/>
        <v>0</v>
      </c>
      <c r="AS56" s="536"/>
      <c r="AT56" s="536"/>
      <c r="AU56" s="536"/>
      <c r="AV56" s="542">
        <f t="shared" si="9"/>
        <v>0</v>
      </c>
      <c r="AW56" s="536"/>
      <c r="AX56" s="536"/>
      <c r="AY56" s="536"/>
      <c r="AZ56" s="542">
        <f t="shared" si="10"/>
        <v>0</v>
      </c>
      <c r="BA56" s="536"/>
      <c r="BB56" s="536"/>
      <c r="BC56" s="536"/>
      <c r="BD56" s="542">
        <f t="shared" si="11"/>
        <v>0</v>
      </c>
      <c r="BE56" s="536"/>
      <c r="BF56" s="536"/>
      <c r="BG56" s="536"/>
      <c r="BH56" s="542">
        <f t="shared" si="12"/>
        <v>0</v>
      </c>
      <c r="BI56" s="536"/>
      <c r="BJ56" s="536"/>
      <c r="BK56" s="536"/>
      <c r="BL56" s="542">
        <f t="shared" si="13"/>
        <v>0</v>
      </c>
      <c r="BM56" s="536"/>
      <c r="BN56" s="536"/>
      <c r="BO56" s="536"/>
      <c r="BP56" s="542">
        <f t="shared" si="14"/>
        <v>0</v>
      </c>
      <c r="BQ56" s="536"/>
      <c r="BR56" s="536"/>
      <c r="BS56" s="536"/>
      <c r="BT56" s="542">
        <f t="shared" si="15"/>
        <v>0</v>
      </c>
      <c r="BU56" s="536"/>
      <c r="BV56" s="536"/>
      <c r="BW56" s="536"/>
      <c r="BX56" s="542">
        <f t="shared" si="16"/>
        <v>0</v>
      </c>
      <c r="BY56" s="536"/>
      <c r="BZ56" s="536"/>
      <c r="CA56" s="536"/>
      <c r="CB56" s="542">
        <v>0</v>
      </c>
      <c r="CC56" s="536"/>
      <c r="CD56" s="536"/>
      <c r="CE56" s="536"/>
      <c r="CF56" s="541">
        <f t="shared" si="17"/>
        <v>0</v>
      </c>
      <c r="CG56" s="536"/>
      <c r="CH56" s="536"/>
      <c r="CI56" s="536"/>
      <c r="CJ56" s="541">
        <f t="shared" si="18"/>
        <v>0</v>
      </c>
      <c r="CK56" s="536"/>
      <c r="CL56" s="536"/>
      <c r="CM56" s="536"/>
      <c r="CN56" s="541">
        <f t="shared" si="19"/>
        <v>0</v>
      </c>
      <c r="CO56" s="536"/>
      <c r="CP56" s="536"/>
      <c r="CQ56" s="536"/>
      <c r="CR56" s="541">
        <f t="shared" si="20"/>
        <v>0</v>
      </c>
      <c r="CS56" s="536"/>
      <c r="CT56" s="536"/>
      <c r="CU56" s="536"/>
      <c r="CV56" s="541">
        <f t="shared" si="21"/>
        <v>0</v>
      </c>
      <c r="CW56" s="536"/>
      <c r="CX56" s="536"/>
      <c r="CY56" s="536"/>
      <c r="CZ56" s="541">
        <f t="shared" si="22"/>
        <v>0</v>
      </c>
      <c r="DA56" s="536"/>
      <c r="DB56" s="536"/>
      <c r="DC56" s="536"/>
      <c r="DD56" s="541">
        <f t="shared" si="23"/>
        <v>0</v>
      </c>
      <c r="DE56" s="536"/>
      <c r="DF56" s="536"/>
      <c r="DG56" s="536"/>
      <c r="DH56" s="541">
        <f t="shared" si="24"/>
        <v>0</v>
      </c>
      <c r="DI56" s="536"/>
      <c r="DJ56" s="536"/>
      <c r="DK56" s="536"/>
      <c r="DL56" s="541">
        <f t="shared" si="25"/>
        <v>0</v>
      </c>
      <c r="DM56" s="536"/>
      <c r="DN56" s="536"/>
      <c r="DO56" s="536"/>
      <c r="DP56" s="541">
        <f>IF( SUM((DJ56*(20/100))+(DK56*(30/100))+(DL56*(50/100))) &gt;=9.3,9.5,
IF(AND( SUM((DJ56*(20/100))+(DK56*(30/100))+(DL56*(50/100))) &lt;=9.3, SUM((DJ56*(20/100))+(DK56*(30/100))+(DL56*(50/100))) &gt;=8.8),9,
IF(AND( SUM((DJ56*(20/100))+(DK56*(30/100))+(DL56*(50/100))) &lt;=8.8, SUM((DJ56*(20/100))+(DK56*(30/100))+(DL56*(50/100))) &gt;=8.3),8.5,
IF(AND( SUM((DJ56*(20/100))+(DK56*(30/100))+(DL56*(50/100))) &lt;=8.3, SUM((DJ56*(20/100))+(DK56*(30/100))+(DL56*(50/100))) &gt;=7.8),8,
IF(AND( SUM((DJ56*(20/100))+(DK56*(30/100))+(DL56*(50/100))) &lt;=7.8, SUM((DJ56*(20/100))+(DK56*(30/100))+(DL56*(50/100))) &gt;=7.3),7.5,
IF(AND( SUM((DJ56*(20/100))+(DK56*(30/100))+(DL56*(50/100))) &lt;=7.3, SUM((DJ56*(20/100))+(DK56*(30/100))+(DL56*(50/100))) &gt;=6.8),7,
IF(AND( SUM((DJ56*(20/100))+(DK56*(30/100))+(DL56*(50/100))) &lt;=6.8, SUM((DJ56*(20/100))+(DK56*(30/100))+(DL56*(50/100))) &gt;=6.3),6.5,
IF(AND( SUM((DJ56*(20/100))+(DK56*(30/100))+(DL56*(50/100))) &lt;=6.3, SUM((DJ56*(20/100))+(DK56*(30/100))+(DL56*(50/100))) &gt;=5.8),6,
IF(AND( SUM((DJ56*(20/100))+(DK56*(30/100))+(DL56*(50/100))) &lt;=5.8, SUM((DJ56*(20/100))+(DK56*(30/100))+(DL56*(50/100))) &gt;=5.3),5.5,
IF(AND( SUM((DJ56*(20/100))+(DK56*(30/100))+(DL56*(50/100))) &lt;=5.3, SUM((DJ56*(20/100))+(DK56*(30/100))+(DL56*(50/100))) &gt;=4.8),5,
IF(AND( SUM((DJ56*(20/100))+(DK56*(30/100))+(DL56*(50/100))) &lt;=4.8, SUM((DJ56*(20/100))+(DK56*(30/100))+(DL56*(50/100))) &gt;=4.3),4.5,
IF(AND( SUM((DJ56*(20/100))+(DK56*(30/100))+(DL56*(50/100))) &lt;=4.3, SUM((DJ56*(20/100))+(DK56*(30/100))+(DL56*(50/100))) &gt;=3.8),4,
IF(AND( SUM((DJ56*(20/100))+(DK56*(30/100))+(DL56*(50/100))) &lt;=3.8, SUM((DJ56*(20/100))+(DK56*(30/100))+(DL56*(50/100))) &gt;=3.5),3.5,0)))))))))))))</f>
        <v>0</v>
      </c>
      <c r="DQ56" s="541"/>
      <c r="DR56" s="541"/>
      <c r="DS56" s="541"/>
      <c r="DT56" s="541"/>
      <c r="DU56" s="541"/>
      <c r="DV56" s="541"/>
      <c r="DW56" s="541"/>
      <c r="DX56" s="541"/>
      <c r="DY56" s="541"/>
      <c r="DZ56" s="541"/>
    </row>
    <row r="57" spans="2:130" ht="15" customHeight="1" x14ac:dyDescent="0.25">
      <c r="B57" s="334">
        <v>50</v>
      </c>
      <c r="C57" s="541"/>
      <c r="D57" s="334"/>
      <c r="E57" s="334"/>
      <c r="F57" s="334"/>
      <c r="G57" s="334"/>
      <c r="H57" s="334"/>
      <c r="I57" s="334"/>
      <c r="J57" s="536"/>
      <c r="K57" s="536"/>
      <c r="L57" s="536"/>
      <c r="M57" s="536"/>
      <c r="N57" s="536"/>
      <c r="O57" s="536"/>
      <c r="P57" s="536">
        <f t="shared" si="1"/>
        <v>0</v>
      </c>
      <c r="Q57" s="536"/>
      <c r="R57" s="536"/>
      <c r="S57" s="536"/>
      <c r="T57" s="536">
        <f t="shared" si="2"/>
        <v>0</v>
      </c>
      <c r="U57" s="536"/>
      <c r="V57" s="536"/>
      <c r="W57" s="536"/>
      <c r="X57" s="536">
        <f t="shared" si="3"/>
        <v>0</v>
      </c>
      <c r="Y57" s="536"/>
      <c r="Z57" s="536"/>
      <c r="AA57" s="536"/>
      <c r="AB57" s="536">
        <f t="shared" si="4"/>
        <v>0</v>
      </c>
      <c r="AC57" s="536"/>
      <c r="AD57" s="536"/>
      <c r="AE57" s="536"/>
      <c r="AF57" s="536">
        <f t="shared" si="5"/>
        <v>0</v>
      </c>
      <c r="AG57" s="536"/>
      <c r="AH57" s="536"/>
      <c r="AI57" s="536"/>
      <c r="AJ57" s="536">
        <f t="shared" si="6"/>
        <v>0</v>
      </c>
      <c r="AK57" s="536"/>
      <c r="AL57" s="536"/>
      <c r="AM57" s="536"/>
      <c r="AN57" s="542">
        <f t="shared" si="7"/>
        <v>0</v>
      </c>
      <c r="AO57" s="536"/>
      <c r="AP57" s="536"/>
      <c r="AQ57" s="536"/>
      <c r="AR57" s="542">
        <f t="shared" si="8"/>
        <v>0</v>
      </c>
      <c r="AS57" s="536"/>
      <c r="AT57" s="536"/>
      <c r="AU57" s="536"/>
      <c r="AV57" s="542">
        <f t="shared" si="9"/>
        <v>0</v>
      </c>
      <c r="AW57" s="536"/>
      <c r="AX57" s="536"/>
      <c r="AY57" s="536"/>
      <c r="AZ57" s="542">
        <f t="shared" si="10"/>
        <v>0</v>
      </c>
      <c r="BA57" s="536"/>
      <c r="BB57" s="536"/>
      <c r="BC57" s="536"/>
      <c r="BD57" s="542">
        <f t="shared" si="11"/>
        <v>0</v>
      </c>
      <c r="BE57" s="536"/>
      <c r="BF57" s="536"/>
      <c r="BG57" s="536"/>
      <c r="BH57" s="542">
        <f t="shared" si="12"/>
        <v>0</v>
      </c>
      <c r="BI57" s="536"/>
      <c r="BJ57" s="536"/>
      <c r="BK57" s="536"/>
      <c r="BL57" s="542">
        <f t="shared" si="13"/>
        <v>0</v>
      </c>
      <c r="BM57" s="536"/>
      <c r="BN57" s="536"/>
      <c r="BO57" s="536"/>
      <c r="BP57" s="542">
        <f t="shared" si="14"/>
        <v>0</v>
      </c>
      <c r="BQ57" s="536"/>
      <c r="BR57" s="536"/>
      <c r="BS57" s="536"/>
      <c r="BT57" s="542">
        <f t="shared" si="15"/>
        <v>0</v>
      </c>
      <c r="BU57" s="536"/>
      <c r="BV57" s="536"/>
      <c r="BW57" s="536"/>
      <c r="BX57" s="542">
        <f t="shared" si="16"/>
        <v>0</v>
      </c>
      <c r="BY57" s="536"/>
      <c r="BZ57" s="536"/>
      <c r="CA57" s="536"/>
      <c r="CB57" s="542">
        <v>0</v>
      </c>
      <c r="CC57" s="536"/>
      <c r="CD57" s="536"/>
      <c r="CE57" s="536"/>
      <c r="CF57" s="541">
        <f t="shared" si="17"/>
        <v>0</v>
      </c>
      <c r="CG57" s="536"/>
      <c r="CH57" s="536"/>
      <c r="CI57" s="536"/>
      <c r="CJ57" s="541">
        <f t="shared" si="18"/>
        <v>0</v>
      </c>
      <c r="CK57" s="536"/>
      <c r="CL57" s="536"/>
      <c r="CM57" s="536"/>
      <c r="CN57" s="541">
        <f t="shared" si="19"/>
        <v>0</v>
      </c>
      <c r="CO57" s="536"/>
      <c r="CP57" s="536"/>
      <c r="CQ57" s="536"/>
      <c r="CR57" s="541">
        <f t="shared" si="20"/>
        <v>0</v>
      </c>
      <c r="CS57" s="536"/>
      <c r="CT57" s="536"/>
      <c r="CU57" s="536"/>
      <c r="CV57" s="541">
        <f t="shared" si="21"/>
        <v>0</v>
      </c>
      <c r="CW57" s="536"/>
      <c r="CX57" s="536"/>
      <c r="CY57" s="536"/>
      <c r="CZ57" s="541">
        <f t="shared" si="22"/>
        <v>0</v>
      </c>
      <c r="DA57" s="536"/>
      <c r="DB57" s="536"/>
      <c r="DC57" s="536"/>
      <c r="DD57" s="541">
        <f t="shared" si="23"/>
        <v>0</v>
      </c>
      <c r="DE57" s="536"/>
      <c r="DF57" s="536"/>
      <c r="DG57" s="536"/>
      <c r="DH57" s="541">
        <f t="shared" si="24"/>
        <v>0</v>
      </c>
      <c r="DI57" s="536"/>
      <c r="DJ57" s="536"/>
      <c r="DK57" s="536"/>
      <c r="DL57" s="541">
        <f t="shared" si="25"/>
        <v>0</v>
      </c>
      <c r="DM57" s="536"/>
      <c r="DN57" s="536"/>
      <c r="DO57" s="536"/>
      <c r="DP57" s="541">
        <f>IF( SUM((DJ57*(20/100))+(DK57*(30/100))+(DL57*(50/100))) &gt;=9.3,9.5,
IF(AND( SUM((DJ57*(20/100))+(DK57*(30/100))+(DL57*(50/100))) &lt;=9.3, SUM((DJ57*(20/100))+(DK57*(30/100))+(DL57*(50/100))) &gt;=8.8),9,
IF(AND( SUM((DJ57*(20/100))+(DK57*(30/100))+(DL57*(50/100))) &lt;=8.8, SUM((DJ57*(20/100))+(DK57*(30/100))+(DL57*(50/100))) &gt;=8.3),8.5,
IF(AND( SUM((DJ57*(20/100))+(DK57*(30/100))+(DL57*(50/100))) &lt;=8.3, SUM((DJ57*(20/100))+(DK57*(30/100))+(DL57*(50/100))) &gt;=7.8),8,
IF(AND( SUM((DJ57*(20/100))+(DK57*(30/100))+(DL57*(50/100))) &lt;=7.8, SUM((DJ57*(20/100))+(DK57*(30/100))+(DL57*(50/100))) &gt;=7.3),7.5,
IF(AND( SUM((DJ57*(20/100))+(DK57*(30/100))+(DL57*(50/100))) &lt;=7.3, SUM((DJ57*(20/100))+(DK57*(30/100))+(DL57*(50/100))) &gt;=6.8),7,
IF(AND( SUM((DJ57*(20/100))+(DK57*(30/100))+(DL57*(50/100))) &lt;=6.8, SUM((DJ57*(20/100))+(DK57*(30/100))+(DL57*(50/100))) &gt;=6.3),6.5,
IF(AND( SUM((DJ57*(20/100))+(DK57*(30/100))+(DL57*(50/100))) &lt;=6.3, SUM((DJ57*(20/100))+(DK57*(30/100))+(DL57*(50/100))) &gt;=5.8),6,
IF(AND( SUM((DJ57*(20/100))+(DK57*(30/100))+(DL57*(50/100))) &lt;=5.8, SUM((DJ57*(20/100))+(DK57*(30/100))+(DL57*(50/100))) &gt;=5.3),5.5,
IF(AND( SUM((DJ57*(20/100))+(DK57*(30/100))+(DL57*(50/100))) &lt;=5.3, SUM((DJ57*(20/100))+(DK57*(30/100))+(DL57*(50/100))) &gt;=4.8),5,
IF(AND( SUM((DJ57*(20/100))+(DK57*(30/100))+(DL57*(50/100))) &lt;=4.8, SUM((DJ57*(20/100))+(DK57*(30/100))+(DL57*(50/100))) &gt;=4.3),4.5,
IF(AND( SUM((DJ57*(20/100))+(DK57*(30/100))+(DL57*(50/100))) &lt;=4.3, SUM((DJ57*(20/100))+(DK57*(30/100))+(DL57*(50/100))) &gt;=3.8),4,
IF(AND( SUM((DJ57*(20/100))+(DK57*(30/100))+(DL57*(50/100))) &lt;=3.8, SUM((DJ57*(20/100))+(DK57*(30/100))+(DL57*(50/100))) &gt;=3.5),3.5,0)))))))))))))</f>
        <v>0</v>
      </c>
      <c r="DQ57" s="541"/>
      <c r="DR57" s="541"/>
      <c r="DS57" s="541"/>
      <c r="DT57" s="541"/>
      <c r="DU57" s="541"/>
      <c r="DV57" s="541"/>
      <c r="DW57" s="541"/>
      <c r="DX57" s="541"/>
      <c r="DY57" s="541"/>
      <c r="DZ57" s="541"/>
    </row>
    <row r="58" spans="2:130" ht="15" customHeight="1" x14ac:dyDescent="0.25">
      <c r="B58" s="334">
        <v>1</v>
      </c>
      <c r="C58" s="541"/>
      <c r="D58" s="334"/>
      <c r="E58" s="334"/>
      <c r="F58" s="334"/>
      <c r="G58" s="334"/>
      <c r="H58" s="334"/>
      <c r="I58" s="334"/>
      <c r="J58" s="536"/>
      <c r="K58" s="536"/>
      <c r="L58" s="536"/>
      <c r="M58" s="536"/>
      <c r="N58" s="536"/>
      <c r="O58" s="536"/>
      <c r="P58" s="536">
        <f t="shared" si="1"/>
        <v>0</v>
      </c>
      <c r="Q58" s="536"/>
      <c r="R58" s="536"/>
      <c r="S58" s="536"/>
      <c r="T58" s="536">
        <f t="shared" si="2"/>
        <v>0</v>
      </c>
      <c r="U58" s="536"/>
      <c r="V58" s="536"/>
      <c r="W58" s="536"/>
      <c r="X58" s="536">
        <f t="shared" si="3"/>
        <v>0</v>
      </c>
      <c r="Y58" s="536"/>
      <c r="Z58" s="536"/>
      <c r="AA58" s="536"/>
      <c r="AB58" s="536">
        <f t="shared" si="4"/>
        <v>0</v>
      </c>
      <c r="AC58" s="536"/>
      <c r="AD58" s="536"/>
      <c r="AE58" s="536"/>
      <c r="AF58" s="536">
        <f t="shared" si="5"/>
        <v>0</v>
      </c>
      <c r="AG58" s="536"/>
      <c r="AH58" s="536"/>
      <c r="AI58" s="536"/>
      <c r="AJ58" s="536">
        <f t="shared" si="6"/>
        <v>0</v>
      </c>
      <c r="AK58" s="536"/>
      <c r="AL58" s="536"/>
      <c r="AM58" s="536"/>
      <c r="AN58" s="542">
        <f t="shared" si="7"/>
        <v>0</v>
      </c>
      <c r="AO58" s="536"/>
      <c r="AP58" s="536"/>
      <c r="AQ58" s="536"/>
      <c r="AR58" s="542">
        <f t="shared" si="8"/>
        <v>0</v>
      </c>
      <c r="AS58" s="536"/>
      <c r="AT58" s="536"/>
      <c r="AU58" s="536"/>
      <c r="AV58" s="542">
        <f t="shared" si="9"/>
        <v>0</v>
      </c>
      <c r="AW58" s="536"/>
      <c r="AX58" s="536"/>
      <c r="AY58" s="536"/>
      <c r="AZ58" s="542">
        <f t="shared" si="10"/>
        <v>0</v>
      </c>
      <c r="BA58" s="536"/>
      <c r="BB58" s="536"/>
      <c r="BC58" s="536"/>
      <c r="BD58" s="542">
        <f t="shared" si="11"/>
        <v>0</v>
      </c>
      <c r="BE58" s="536"/>
      <c r="BF58" s="536"/>
      <c r="BG58" s="536"/>
      <c r="BH58" s="542">
        <f t="shared" si="12"/>
        <v>0</v>
      </c>
      <c r="BI58" s="536"/>
      <c r="BJ58" s="536"/>
      <c r="BK58" s="536"/>
      <c r="BL58" s="542">
        <f t="shared" si="13"/>
        <v>0</v>
      </c>
      <c r="BM58" s="536"/>
      <c r="BN58" s="536"/>
      <c r="BO58" s="536"/>
      <c r="BP58" s="542">
        <f t="shared" si="14"/>
        <v>0</v>
      </c>
      <c r="BQ58" s="536"/>
      <c r="BR58" s="536"/>
      <c r="BS58" s="536"/>
      <c r="BT58" s="542">
        <f t="shared" si="15"/>
        <v>0</v>
      </c>
      <c r="BU58" s="536"/>
      <c r="BV58" s="536"/>
      <c r="BW58" s="536"/>
      <c r="BX58" s="542">
        <f t="shared" si="16"/>
        <v>0</v>
      </c>
      <c r="BY58" s="536"/>
      <c r="BZ58" s="536"/>
      <c r="CA58" s="536"/>
      <c r="CB58" s="542">
        <v>0</v>
      </c>
      <c r="CC58" s="536"/>
      <c r="CD58" s="536"/>
      <c r="CE58" s="536"/>
      <c r="CF58" s="541">
        <f t="shared" si="17"/>
        <v>0</v>
      </c>
      <c r="CG58" s="536"/>
      <c r="CH58" s="536"/>
      <c r="CI58" s="536"/>
      <c r="CJ58" s="541">
        <f t="shared" si="18"/>
        <v>0</v>
      </c>
      <c r="CK58" s="536"/>
      <c r="CL58" s="536"/>
      <c r="CM58" s="536"/>
      <c r="CN58" s="541">
        <f t="shared" si="19"/>
        <v>0</v>
      </c>
      <c r="CO58" s="536"/>
      <c r="CP58" s="536"/>
      <c r="CQ58" s="536"/>
      <c r="CR58" s="541">
        <f t="shared" si="20"/>
        <v>0</v>
      </c>
      <c r="CS58" s="536"/>
      <c r="CT58" s="536"/>
      <c r="CU58" s="536"/>
      <c r="CV58" s="541">
        <f t="shared" si="21"/>
        <v>0</v>
      </c>
      <c r="CW58" s="536"/>
      <c r="CX58" s="536"/>
      <c r="CY58" s="536"/>
      <c r="CZ58" s="541">
        <f t="shared" si="22"/>
        <v>0</v>
      </c>
      <c r="DA58" s="536"/>
      <c r="DB58" s="536"/>
      <c r="DC58" s="536"/>
      <c r="DD58" s="541">
        <f t="shared" si="23"/>
        <v>0</v>
      </c>
      <c r="DE58" s="536"/>
      <c r="DF58" s="536"/>
      <c r="DG58" s="536"/>
      <c r="DH58" s="541">
        <f t="shared" si="24"/>
        <v>0</v>
      </c>
      <c r="DI58" s="536"/>
      <c r="DJ58" s="536"/>
      <c r="DK58" s="536"/>
      <c r="DL58" s="541">
        <f t="shared" si="25"/>
        <v>0</v>
      </c>
      <c r="DM58" s="536"/>
      <c r="DN58" s="536"/>
      <c r="DO58" s="536"/>
      <c r="DP58" s="541">
        <f>IF( SUM((DJ58*(20/100))+(DK58*(30/100))+(DL58*(50/100))) &gt;=9.3,9.5,
IF(AND( SUM((DJ58*(20/100))+(DK58*(30/100))+(DL58*(50/100))) &lt;=9.3, SUM((DJ58*(20/100))+(DK58*(30/100))+(DL58*(50/100))) &gt;=8.8),9,
IF(AND( SUM((DJ58*(20/100))+(DK58*(30/100))+(DL58*(50/100))) &lt;=8.8, SUM((DJ58*(20/100))+(DK58*(30/100))+(DL58*(50/100))) &gt;=8.3),8.5,
IF(AND( SUM((DJ58*(20/100))+(DK58*(30/100))+(DL58*(50/100))) &lt;=8.3, SUM((DJ58*(20/100))+(DK58*(30/100))+(DL58*(50/100))) &gt;=7.8),8,
IF(AND( SUM((DJ58*(20/100))+(DK58*(30/100))+(DL58*(50/100))) &lt;=7.8, SUM((DJ58*(20/100))+(DK58*(30/100))+(DL58*(50/100))) &gt;=7.3),7.5,
IF(AND( SUM((DJ58*(20/100))+(DK58*(30/100))+(DL58*(50/100))) &lt;=7.3, SUM((DJ58*(20/100))+(DK58*(30/100))+(DL58*(50/100))) &gt;=6.8),7,
IF(AND( SUM((DJ58*(20/100))+(DK58*(30/100))+(DL58*(50/100))) &lt;=6.8, SUM((DJ58*(20/100))+(DK58*(30/100))+(DL58*(50/100))) &gt;=6.3),6.5,
IF(AND( SUM((DJ58*(20/100))+(DK58*(30/100))+(DL58*(50/100))) &lt;=6.3, SUM((DJ58*(20/100))+(DK58*(30/100))+(DL58*(50/100))) &gt;=5.8),6,
IF(AND( SUM((DJ58*(20/100))+(DK58*(30/100))+(DL58*(50/100))) &lt;=5.8, SUM((DJ58*(20/100))+(DK58*(30/100))+(DL58*(50/100))) &gt;=5.3),5.5,
IF(AND( SUM((DJ58*(20/100))+(DK58*(30/100))+(DL58*(50/100))) &lt;=5.3, SUM((DJ58*(20/100))+(DK58*(30/100))+(DL58*(50/100))) &gt;=4.8),5,
IF(AND( SUM((DJ58*(20/100))+(DK58*(30/100))+(DL58*(50/100))) &lt;=4.8, SUM((DJ58*(20/100))+(DK58*(30/100))+(DL58*(50/100))) &gt;=4.3),4.5,
IF(AND( SUM((DJ58*(20/100))+(DK58*(30/100))+(DL58*(50/100))) &lt;=4.3, SUM((DJ58*(20/100))+(DK58*(30/100))+(DL58*(50/100))) &gt;=3.8),4,
IF(AND( SUM((DJ58*(20/100))+(DK58*(30/100))+(DL58*(50/100))) &lt;=3.8, SUM((DJ58*(20/100))+(DK58*(30/100))+(DL58*(50/100))) &gt;=3.5),3.5,0)))))))))))))</f>
        <v>0</v>
      </c>
      <c r="DQ58" s="541"/>
      <c r="DR58" s="541"/>
      <c r="DS58" s="541"/>
      <c r="DT58" s="541"/>
      <c r="DU58" s="541"/>
      <c r="DV58" s="541"/>
      <c r="DW58" s="541"/>
      <c r="DX58" s="541"/>
      <c r="DY58" s="541"/>
      <c r="DZ58" s="541"/>
    </row>
    <row r="59" spans="2:130" ht="15" customHeight="1" x14ac:dyDescent="0.25">
      <c r="B59" s="334">
        <v>2</v>
      </c>
      <c r="C59" s="541"/>
      <c r="D59" s="334"/>
      <c r="E59" s="334"/>
      <c r="F59" s="334"/>
      <c r="G59" s="334"/>
      <c r="H59" s="334"/>
      <c r="I59" s="334"/>
      <c r="J59" s="536"/>
      <c r="K59" s="536"/>
      <c r="L59" s="536"/>
      <c r="M59" s="536"/>
      <c r="N59" s="536"/>
      <c r="O59" s="536"/>
      <c r="P59" s="536">
        <f t="shared" si="1"/>
        <v>0</v>
      </c>
      <c r="Q59" s="536"/>
      <c r="R59" s="536"/>
      <c r="S59" s="536"/>
      <c r="T59" s="536">
        <f t="shared" si="2"/>
        <v>0</v>
      </c>
      <c r="U59" s="536"/>
      <c r="V59" s="536"/>
      <c r="W59" s="536"/>
      <c r="X59" s="536">
        <f t="shared" si="3"/>
        <v>0</v>
      </c>
      <c r="Y59" s="536"/>
      <c r="Z59" s="536"/>
      <c r="AA59" s="536"/>
      <c r="AB59" s="536">
        <f t="shared" si="4"/>
        <v>0</v>
      </c>
      <c r="AC59" s="536"/>
      <c r="AD59" s="536"/>
      <c r="AE59" s="536"/>
      <c r="AF59" s="536">
        <f t="shared" si="5"/>
        <v>0</v>
      </c>
      <c r="AG59" s="536"/>
      <c r="AH59" s="536"/>
      <c r="AI59" s="536"/>
      <c r="AJ59" s="536">
        <f t="shared" si="6"/>
        <v>0</v>
      </c>
      <c r="AK59" s="536"/>
      <c r="AL59" s="536"/>
      <c r="AM59" s="536"/>
      <c r="AN59" s="542">
        <f t="shared" si="7"/>
        <v>0</v>
      </c>
      <c r="AO59" s="536"/>
      <c r="AP59" s="536"/>
      <c r="AQ59" s="536"/>
      <c r="AR59" s="542">
        <f t="shared" si="8"/>
        <v>0</v>
      </c>
      <c r="AS59" s="536"/>
      <c r="AT59" s="536"/>
      <c r="AU59" s="536"/>
      <c r="AV59" s="542">
        <f t="shared" si="9"/>
        <v>0</v>
      </c>
      <c r="AW59" s="536"/>
      <c r="AX59" s="536"/>
      <c r="AY59" s="536"/>
      <c r="AZ59" s="542">
        <f t="shared" si="10"/>
        <v>0</v>
      </c>
      <c r="BA59" s="536"/>
      <c r="BB59" s="536"/>
      <c r="BC59" s="536"/>
      <c r="BD59" s="542">
        <f t="shared" si="11"/>
        <v>0</v>
      </c>
      <c r="BE59" s="536"/>
      <c r="BF59" s="536"/>
      <c r="BG59" s="536"/>
      <c r="BH59" s="542">
        <f t="shared" si="12"/>
        <v>0</v>
      </c>
      <c r="BI59" s="536"/>
      <c r="BJ59" s="536"/>
      <c r="BK59" s="536"/>
      <c r="BL59" s="542">
        <f t="shared" si="13"/>
        <v>0</v>
      </c>
      <c r="BM59" s="536"/>
      <c r="BN59" s="536"/>
      <c r="BO59" s="536"/>
      <c r="BP59" s="542">
        <f t="shared" si="14"/>
        <v>0</v>
      </c>
      <c r="BQ59" s="536"/>
      <c r="BR59" s="536"/>
      <c r="BS59" s="536"/>
      <c r="BT59" s="542">
        <f t="shared" si="15"/>
        <v>0</v>
      </c>
      <c r="BU59" s="536"/>
      <c r="BV59" s="536"/>
      <c r="BW59" s="536"/>
      <c r="BX59" s="542">
        <f t="shared" si="16"/>
        <v>0</v>
      </c>
      <c r="BY59" s="536"/>
      <c r="BZ59" s="536"/>
      <c r="CA59" s="536"/>
      <c r="CB59" s="542">
        <v>0</v>
      </c>
      <c r="CC59" s="536"/>
      <c r="CD59" s="536"/>
      <c r="CE59" s="536"/>
      <c r="CF59" s="541">
        <f t="shared" si="17"/>
        <v>0</v>
      </c>
      <c r="CG59" s="536"/>
      <c r="CH59" s="536"/>
      <c r="CI59" s="536"/>
      <c r="CJ59" s="541">
        <f t="shared" si="18"/>
        <v>0</v>
      </c>
      <c r="CK59" s="536"/>
      <c r="CL59" s="536"/>
      <c r="CM59" s="536"/>
      <c r="CN59" s="541">
        <f t="shared" si="19"/>
        <v>0</v>
      </c>
      <c r="CO59" s="536"/>
      <c r="CP59" s="536"/>
      <c r="CQ59" s="536"/>
      <c r="CR59" s="541">
        <f t="shared" si="20"/>
        <v>0</v>
      </c>
      <c r="CS59" s="536"/>
      <c r="CT59" s="536"/>
      <c r="CU59" s="536"/>
      <c r="CV59" s="541">
        <f t="shared" si="21"/>
        <v>0</v>
      </c>
      <c r="CW59" s="536"/>
      <c r="CX59" s="536"/>
      <c r="CY59" s="536"/>
      <c r="CZ59" s="541">
        <f t="shared" si="22"/>
        <v>0</v>
      </c>
      <c r="DA59" s="536"/>
      <c r="DB59" s="536"/>
      <c r="DC59" s="536"/>
      <c r="DD59" s="541">
        <f t="shared" si="23"/>
        <v>0</v>
      </c>
      <c r="DE59" s="536"/>
      <c r="DF59" s="536"/>
      <c r="DG59" s="536"/>
      <c r="DH59" s="541">
        <f t="shared" si="24"/>
        <v>0</v>
      </c>
      <c r="DI59" s="536"/>
      <c r="DJ59" s="536"/>
      <c r="DK59" s="536"/>
      <c r="DL59" s="541">
        <f t="shared" si="25"/>
        <v>0</v>
      </c>
      <c r="DM59" s="536"/>
      <c r="DN59" s="536"/>
      <c r="DO59" s="536"/>
      <c r="DP59" s="541">
        <f>IF( SUM((DJ59*(20/100))+(DK59*(30/100))+(DL59*(50/100))) &gt;=9.3,9.5,
IF(AND( SUM((DJ59*(20/100))+(DK59*(30/100))+(DL59*(50/100))) &lt;=9.3, SUM((DJ59*(20/100))+(DK59*(30/100))+(DL59*(50/100))) &gt;=8.8),9,
IF(AND( SUM((DJ59*(20/100))+(DK59*(30/100))+(DL59*(50/100))) &lt;=8.8, SUM((DJ59*(20/100))+(DK59*(30/100))+(DL59*(50/100))) &gt;=8.3),8.5,
IF(AND( SUM((DJ59*(20/100))+(DK59*(30/100))+(DL59*(50/100))) &lt;=8.3, SUM((DJ59*(20/100))+(DK59*(30/100))+(DL59*(50/100))) &gt;=7.8),8,
IF(AND( SUM((DJ59*(20/100))+(DK59*(30/100))+(DL59*(50/100))) &lt;=7.8, SUM((DJ59*(20/100))+(DK59*(30/100))+(DL59*(50/100))) &gt;=7.3),7.5,
IF(AND( SUM((DJ59*(20/100))+(DK59*(30/100))+(DL59*(50/100))) &lt;=7.3, SUM((DJ59*(20/100))+(DK59*(30/100))+(DL59*(50/100))) &gt;=6.8),7,
IF(AND( SUM((DJ59*(20/100))+(DK59*(30/100))+(DL59*(50/100))) &lt;=6.8, SUM((DJ59*(20/100))+(DK59*(30/100))+(DL59*(50/100))) &gt;=6.3),6.5,
IF(AND( SUM((DJ59*(20/100))+(DK59*(30/100))+(DL59*(50/100))) &lt;=6.3, SUM((DJ59*(20/100))+(DK59*(30/100))+(DL59*(50/100))) &gt;=5.8),6,
IF(AND( SUM((DJ59*(20/100))+(DK59*(30/100))+(DL59*(50/100))) &lt;=5.8, SUM((DJ59*(20/100))+(DK59*(30/100))+(DL59*(50/100))) &gt;=5.3),5.5,
IF(AND( SUM((DJ59*(20/100))+(DK59*(30/100))+(DL59*(50/100))) &lt;=5.3, SUM((DJ59*(20/100))+(DK59*(30/100))+(DL59*(50/100))) &gt;=4.8),5,
IF(AND( SUM((DJ59*(20/100))+(DK59*(30/100))+(DL59*(50/100))) &lt;=4.8, SUM((DJ59*(20/100))+(DK59*(30/100))+(DL59*(50/100))) &gt;=4.3),4.5,
IF(AND( SUM((DJ59*(20/100))+(DK59*(30/100))+(DL59*(50/100))) &lt;=4.3, SUM((DJ59*(20/100))+(DK59*(30/100))+(DL59*(50/100))) &gt;=3.8),4,
IF(AND( SUM((DJ59*(20/100))+(DK59*(30/100))+(DL59*(50/100))) &lt;=3.8, SUM((DJ59*(20/100))+(DK59*(30/100))+(DL59*(50/100))) &gt;=3.5),3.5,0)))))))))))))</f>
        <v>0</v>
      </c>
      <c r="DQ59" s="541"/>
      <c r="DR59" s="541"/>
      <c r="DS59" s="541"/>
      <c r="DT59" s="541"/>
      <c r="DU59" s="541"/>
      <c r="DV59" s="541"/>
      <c r="DW59" s="541"/>
      <c r="DX59" s="541"/>
      <c r="DY59" s="541"/>
      <c r="DZ59" s="541"/>
    </row>
    <row r="60" spans="2:130" ht="15" customHeight="1" x14ac:dyDescent="0.25">
      <c r="B60" s="334">
        <v>3</v>
      </c>
      <c r="C60" s="541"/>
      <c r="D60" s="334"/>
      <c r="E60" s="334"/>
      <c r="F60" s="334"/>
      <c r="G60" s="334"/>
      <c r="H60" s="334"/>
      <c r="I60" s="334"/>
      <c r="J60" s="536"/>
      <c r="K60" s="536"/>
      <c r="L60" s="536"/>
      <c r="M60" s="536"/>
      <c r="N60" s="536"/>
      <c r="O60" s="536"/>
      <c r="P60" s="536">
        <f t="shared" si="1"/>
        <v>0</v>
      </c>
      <c r="Q60" s="536"/>
      <c r="R60" s="536"/>
      <c r="S60" s="536"/>
      <c r="T60" s="536">
        <f t="shared" si="2"/>
        <v>0</v>
      </c>
      <c r="U60" s="536"/>
      <c r="V60" s="536"/>
      <c r="W60" s="536"/>
      <c r="X60" s="536">
        <f t="shared" si="3"/>
        <v>0</v>
      </c>
      <c r="Y60" s="536"/>
      <c r="Z60" s="536"/>
      <c r="AA60" s="536"/>
      <c r="AB60" s="536">
        <f t="shared" si="4"/>
        <v>0</v>
      </c>
      <c r="AC60" s="536"/>
      <c r="AD60" s="536"/>
      <c r="AE60" s="536"/>
      <c r="AF60" s="536">
        <f t="shared" si="5"/>
        <v>0</v>
      </c>
      <c r="AG60" s="536"/>
      <c r="AH60" s="536"/>
      <c r="AI60" s="536"/>
      <c r="AJ60" s="536">
        <f t="shared" si="6"/>
        <v>0</v>
      </c>
      <c r="AK60" s="536"/>
      <c r="AL60" s="536"/>
      <c r="AM60" s="536"/>
      <c r="AN60" s="542">
        <f t="shared" si="7"/>
        <v>0</v>
      </c>
      <c r="AO60" s="536"/>
      <c r="AP60" s="536"/>
      <c r="AQ60" s="536"/>
      <c r="AR60" s="542">
        <f t="shared" si="8"/>
        <v>0</v>
      </c>
      <c r="AS60" s="536"/>
      <c r="AT60" s="536"/>
      <c r="AU60" s="536"/>
      <c r="AV60" s="542">
        <f t="shared" si="9"/>
        <v>0</v>
      </c>
      <c r="AW60" s="536"/>
      <c r="AX60" s="536"/>
      <c r="AY60" s="536"/>
      <c r="AZ60" s="542">
        <f t="shared" si="10"/>
        <v>0</v>
      </c>
      <c r="BA60" s="536"/>
      <c r="BB60" s="536"/>
      <c r="BC60" s="536"/>
      <c r="BD60" s="542">
        <f t="shared" si="11"/>
        <v>0</v>
      </c>
      <c r="BE60" s="536"/>
      <c r="BF60" s="536"/>
      <c r="BG60" s="536"/>
      <c r="BH60" s="542">
        <f t="shared" si="12"/>
        <v>0</v>
      </c>
      <c r="BI60" s="536"/>
      <c r="BJ60" s="536"/>
      <c r="BK60" s="536"/>
      <c r="BL60" s="542">
        <f t="shared" si="13"/>
        <v>0</v>
      </c>
      <c r="BM60" s="536"/>
      <c r="BN60" s="536"/>
      <c r="BO60" s="536"/>
      <c r="BP60" s="542">
        <f t="shared" si="14"/>
        <v>0</v>
      </c>
      <c r="BQ60" s="536"/>
      <c r="BR60" s="536"/>
      <c r="BS60" s="536"/>
      <c r="BT60" s="542">
        <f t="shared" si="15"/>
        <v>0</v>
      </c>
      <c r="BU60" s="536"/>
      <c r="BV60" s="536"/>
      <c r="BW60" s="536"/>
      <c r="BX60" s="542">
        <f t="shared" si="16"/>
        <v>0</v>
      </c>
      <c r="BY60" s="536"/>
      <c r="BZ60" s="536"/>
      <c r="CA60" s="536"/>
      <c r="CB60" s="542">
        <v>0</v>
      </c>
      <c r="CC60" s="536"/>
      <c r="CD60" s="536"/>
      <c r="CE60" s="536"/>
      <c r="CF60" s="541">
        <f t="shared" si="17"/>
        <v>0</v>
      </c>
      <c r="CG60" s="536"/>
      <c r="CH60" s="536"/>
      <c r="CI60" s="536"/>
      <c r="CJ60" s="541">
        <f t="shared" si="18"/>
        <v>0</v>
      </c>
      <c r="CK60" s="536"/>
      <c r="CL60" s="536"/>
      <c r="CM60" s="536"/>
      <c r="CN60" s="541">
        <f t="shared" si="19"/>
        <v>0</v>
      </c>
      <c r="CO60" s="536"/>
      <c r="CP60" s="536"/>
      <c r="CQ60" s="536"/>
      <c r="CR60" s="541">
        <f t="shared" si="20"/>
        <v>0</v>
      </c>
      <c r="CS60" s="536"/>
      <c r="CT60" s="536"/>
      <c r="CU60" s="536"/>
      <c r="CV60" s="541">
        <f t="shared" si="21"/>
        <v>0</v>
      </c>
      <c r="CW60" s="536"/>
      <c r="CX60" s="536"/>
      <c r="CY60" s="536"/>
      <c r="CZ60" s="541">
        <f t="shared" si="22"/>
        <v>0</v>
      </c>
      <c r="DA60" s="536"/>
      <c r="DB60" s="536"/>
      <c r="DC60" s="536"/>
      <c r="DD60" s="541">
        <f t="shared" si="23"/>
        <v>0</v>
      </c>
      <c r="DE60" s="536"/>
      <c r="DF60" s="536"/>
      <c r="DG60" s="536"/>
      <c r="DH60" s="541">
        <f t="shared" si="24"/>
        <v>0</v>
      </c>
      <c r="DI60" s="536"/>
      <c r="DJ60" s="536"/>
      <c r="DK60" s="536"/>
      <c r="DL60" s="541">
        <f t="shared" si="25"/>
        <v>0</v>
      </c>
      <c r="DM60" s="536"/>
      <c r="DN60" s="536"/>
      <c r="DO60" s="536"/>
      <c r="DP60" s="541">
        <f>IF( SUM((DJ60*(20/100))+(DK60*(30/100))+(DL60*(50/100))) &gt;=9.3,9.5,
IF(AND( SUM((DJ60*(20/100))+(DK60*(30/100))+(DL60*(50/100))) &lt;=9.3, SUM((DJ60*(20/100))+(DK60*(30/100))+(DL60*(50/100))) &gt;=8.8),9,
IF(AND( SUM((DJ60*(20/100))+(DK60*(30/100))+(DL60*(50/100))) &lt;=8.8, SUM((DJ60*(20/100))+(DK60*(30/100))+(DL60*(50/100))) &gt;=8.3),8.5,
IF(AND( SUM((DJ60*(20/100))+(DK60*(30/100))+(DL60*(50/100))) &lt;=8.3, SUM((DJ60*(20/100))+(DK60*(30/100))+(DL60*(50/100))) &gt;=7.8),8,
IF(AND( SUM((DJ60*(20/100))+(DK60*(30/100))+(DL60*(50/100))) &lt;=7.8, SUM((DJ60*(20/100))+(DK60*(30/100))+(DL60*(50/100))) &gt;=7.3),7.5,
IF(AND( SUM((DJ60*(20/100))+(DK60*(30/100))+(DL60*(50/100))) &lt;=7.3, SUM((DJ60*(20/100))+(DK60*(30/100))+(DL60*(50/100))) &gt;=6.8),7,
IF(AND( SUM((DJ60*(20/100))+(DK60*(30/100))+(DL60*(50/100))) &lt;=6.8, SUM((DJ60*(20/100))+(DK60*(30/100))+(DL60*(50/100))) &gt;=6.3),6.5,
IF(AND( SUM((DJ60*(20/100))+(DK60*(30/100))+(DL60*(50/100))) &lt;=6.3, SUM((DJ60*(20/100))+(DK60*(30/100))+(DL60*(50/100))) &gt;=5.8),6,
IF(AND( SUM((DJ60*(20/100))+(DK60*(30/100))+(DL60*(50/100))) &lt;=5.8, SUM((DJ60*(20/100))+(DK60*(30/100))+(DL60*(50/100))) &gt;=5.3),5.5,
IF(AND( SUM((DJ60*(20/100))+(DK60*(30/100))+(DL60*(50/100))) &lt;=5.3, SUM((DJ60*(20/100))+(DK60*(30/100))+(DL60*(50/100))) &gt;=4.8),5,
IF(AND( SUM((DJ60*(20/100))+(DK60*(30/100))+(DL60*(50/100))) &lt;=4.8, SUM((DJ60*(20/100))+(DK60*(30/100))+(DL60*(50/100))) &gt;=4.3),4.5,
IF(AND( SUM((DJ60*(20/100))+(DK60*(30/100))+(DL60*(50/100))) &lt;=4.3, SUM((DJ60*(20/100))+(DK60*(30/100))+(DL60*(50/100))) &gt;=3.8),4,
IF(AND( SUM((DJ60*(20/100))+(DK60*(30/100))+(DL60*(50/100))) &lt;=3.8, SUM((DJ60*(20/100))+(DK60*(30/100))+(DL60*(50/100))) &gt;=3.5),3.5,0)))))))))))))</f>
        <v>0</v>
      </c>
      <c r="DQ60" s="541"/>
      <c r="DR60" s="541"/>
      <c r="DS60" s="541"/>
      <c r="DT60" s="541"/>
      <c r="DU60" s="541"/>
      <c r="DV60" s="541"/>
      <c r="DW60" s="541"/>
      <c r="DX60" s="541"/>
      <c r="DY60" s="541"/>
      <c r="DZ60" s="541"/>
    </row>
    <row r="61" spans="2:130" ht="15" customHeight="1" x14ac:dyDescent="0.25">
      <c r="B61" s="334">
        <v>4</v>
      </c>
      <c r="C61" s="541"/>
      <c r="D61" s="334"/>
      <c r="E61" s="334"/>
      <c r="F61" s="334"/>
      <c r="G61" s="334"/>
      <c r="H61" s="334"/>
      <c r="I61" s="334"/>
      <c r="J61" s="536"/>
      <c r="K61" s="536"/>
      <c r="L61" s="536"/>
      <c r="M61" s="536"/>
      <c r="N61" s="536"/>
      <c r="O61" s="536"/>
      <c r="P61" s="536">
        <f t="shared" si="1"/>
        <v>0</v>
      </c>
      <c r="Q61" s="536"/>
      <c r="R61" s="536"/>
      <c r="S61" s="536"/>
      <c r="T61" s="536">
        <f t="shared" si="2"/>
        <v>0</v>
      </c>
      <c r="U61" s="536"/>
      <c r="V61" s="536"/>
      <c r="W61" s="536"/>
      <c r="X61" s="536">
        <f t="shared" si="3"/>
        <v>0</v>
      </c>
      <c r="Y61" s="536"/>
      <c r="Z61" s="536"/>
      <c r="AA61" s="536"/>
      <c r="AB61" s="536">
        <f t="shared" si="4"/>
        <v>0</v>
      </c>
      <c r="AC61" s="536"/>
      <c r="AD61" s="536"/>
      <c r="AE61" s="536"/>
      <c r="AF61" s="536">
        <f t="shared" si="5"/>
        <v>0</v>
      </c>
      <c r="AG61" s="536"/>
      <c r="AH61" s="536"/>
      <c r="AI61" s="536"/>
      <c r="AJ61" s="536">
        <f t="shared" si="6"/>
        <v>0</v>
      </c>
      <c r="AK61" s="536"/>
      <c r="AL61" s="536"/>
      <c r="AM61" s="536"/>
      <c r="AN61" s="542">
        <f t="shared" si="7"/>
        <v>0</v>
      </c>
      <c r="AO61" s="536"/>
      <c r="AP61" s="536"/>
      <c r="AQ61" s="536"/>
      <c r="AR61" s="542">
        <f t="shared" si="8"/>
        <v>0</v>
      </c>
      <c r="AS61" s="536"/>
      <c r="AT61" s="536"/>
      <c r="AU61" s="536"/>
      <c r="AV61" s="542">
        <f t="shared" si="9"/>
        <v>0</v>
      </c>
      <c r="AW61" s="536"/>
      <c r="AX61" s="536"/>
      <c r="AY61" s="536"/>
      <c r="AZ61" s="542">
        <f t="shared" si="10"/>
        <v>0</v>
      </c>
      <c r="BA61" s="536"/>
      <c r="BB61" s="536"/>
      <c r="BC61" s="536"/>
      <c r="BD61" s="542">
        <f t="shared" si="11"/>
        <v>0</v>
      </c>
      <c r="BE61" s="536"/>
      <c r="BF61" s="536"/>
      <c r="BG61" s="536"/>
      <c r="BH61" s="542">
        <f t="shared" si="12"/>
        <v>0</v>
      </c>
      <c r="BI61" s="536"/>
      <c r="BJ61" s="536"/>
      <c r="BK61" s="536"/>
      <c r="BL61" s="542">
        <f t="shared" si="13"/>
        <v>0</v>
      </c>
      <c r="BM61" s="536"/>
      <c r="BN61" s="536"/>
      <c r="BO61" s="536"/>
      <c r="BP61" s="542">
        <f t="shared" si="14"/>
        <v>0</v>
      </c>
      <c r="BQ61" s="536"/>
      <c r="BR61" s="536"/>
      <c r="BS61" s="536"/>
      <c r="BT61" s="542">
        <f t="shared" si="15"/>
        <v>0</v>
      </c>
      <c r="BU61" s="536"/>
      <c r="BV61" s="536"/>
      <c r="BW61" s="536"/>
      <c r="BX61" s="542">
        <f t="shared" si="16"/>
        <v>0</v>
      </c>
      <c r="BY61" s="536"/>
      <c r="BZ61" s="536"/>
      <c r="CA61" s="536"/>
      <c r="CB61" s="542">
        <v>0</v>
      </c>
      <c r="CC61" s="536"/>
      <c r="CD61" s="536"/>
      <c r="CE61" s="536"/>
      <c r="CF61" s="541">
        <f t="shared" si="17"/>
        <v>0</v>
      </c>
      <c r="CG61" s="536"/>
      <c r="CH61" s="536"/>
      <c r="CI61" s="536"/>
      <c r="CJ61" s="541">
        <f t="shared" si="18"/>
        <v>0</v>
      </c>
      <c r="CK61" s="536"/>
      <c r="CL61" s="536"/>
      <c r="CM61" s="536"/>
      <c r="CN61" s="541">
        <f t="shared" si="19"/>
        <v>0</v>
      </c>
      <c r="CO61" s="536"/>
      <c r="CP61" s="536"/>
      <c r="CQ61" s="536"/>
      <c r="CR61" s="541">
        <f t="shared" si="20"/>
        <v>0</v>
      </c>
      <c r="CS61" s="536"/>
      <c r="CT61" s="536"/>
      <c r="CU61" s="536"/>
      <c r="CV61" s="541">
        <f t="shared" si="21"/>
        <v>0</v>
      </c>
      <c r="CW61" s="536"/>
      <c r="CX61" s="536"/>
      <c r="CY61" s="536"/>
      <c r="CZ61" s="541">
        <f t="shared" si="22"/>
        <v>0</v>
      </c>
      <c r="DA61" s="536"/>
      <c r="DB61" s="536"/>
      <c r="DC61" s="536"/>
      <c r="DD61" s="541">
        <f t="shared" si="23"/>
        <v>0</v>
      </c>
      <c r="DE61" s="536"/>
      <c r="DF61" s="536"/>
      <c r="DG61" s="536"/>
      <c r="DH61" s="541">
        <f t="shared" si="24"/>
        <v>0</v>
      </c>
      <c r="DI61" s="536"/>
      <c r="DJ61" s="536"/>
      <c r="DK61" s="536"/>
      <c r="DL61" s="541">
        <f t="shared" si="25"/>
        <v>0</v>
      </c>
      <c r="DM61" s="536"/>
      <c r="DN61" s="536"/>
      <c r="DO61" s="536"/>
      <c r="DP61" s="541">
        <f>IF( SUM((DJ61*(20/100))+(DK61*(30/100))+(DL61*(50/100))) &gt;=9.3,9.5,
IF(AND( SUM((DJ61*(20/100))+(DK61*(30/100))+(DL61*(50/100))) &lt;=9.3, SUM((DJ61*(20/100))+(DK61*(30/100))+(DL61*(50/100))) &gt;=8.8),9,
IF(AND( SUM((DJ61*(20/100))+(DK61*(30/100))+(DL61*(50/100))) &lt;=8.8, SUM((DJ61*(20/100))+(DK61*(30/100))+(DL61*(50/100))) &gt;=8.3),8.5,
IF(AND( SUM((DJ61*(20/100))+(DK61*(30/100))+(DL61*(50/100))) &lt;=8.3, SUM((DJ61*(20/100))+(DK61*(30/100))+(DL61*(50/100))) &gt;=7.8),8,
IF(AND( SUM((DJ61*(20/100))+(DK61*(30/100))+(DL61*(50/100))) &lt;=7.8, SUM((DJ61*(20/100))+(DK61*(30/100))+(DL61*(50/100))) &gt;=7.3),7.5,
IF(AND( SUM((DJ61*(20/100))+(DK61*(30/100))+(DL61*(50/100))) &lt;=7.3, SUM((DJ61*(20/100))+(DK61*(30/100))+(DL61*(50/100))) &gt;=6.8),7,
IF(AND( SUM((DJ61*(20/100))+(DK61*(30/100))+(DL61*(50/100))) &lt;=6.8, SUM((DJ61*(20/100))+(DK61*(30/100))+(DL61*(50/100))) &gt;=6.3),6.5,
IF(AND( SUM((DJ61*(20/100))+(DK61*(30/100))+(DL61*(50/100))) &lt;=6.3, SUM((DJ61*(20/100))+(DK61*(30/100))+(DL61*(50/100))) &gt;=5.8),6,
IF(AND( SUM((DJ61*(20/100))+(DK61*(30/100))+(DL61*(50/100))) &lt;=5.8, SUM((DJ61*(20/100))+(DK61*(30/100))+(DL61*(50/100))) &gt;=5.3),5.5,
IF(AND( SUM((DJ61*(20/100))+(DK61*(30/100))+(DL61*(50/100))) &lt;=5.3, SUM((DJ61*(20/100))+(DK61*(30/100))+(DL61*(50/100))) &gt;=4.8),5,
IF(AND( SUM((DJ61*(20/100))+(DK61*(30/100))+(DL61*(50/100))) &lt;=4.8, SUM((DJ61*(20/100))+(DK61*(30/100))+(DL61*(50/100))) &gt;=4.3),4.5,
IF(AND( SUM((DJ61*(20/100))+(DK61*(30/100))+(DL61*(50/100))) &lt;=4.3, SUM((DJ61*(20/100))+(DK61*(30/100))+(DL61*(50/100))) &gt;=3.8),4,
IF(AND( SUM((DJ61*(20/100))+(DK61*(30/100))+(DL61*(50/100))) &lt;=3.8, SUM((DJ61*(20/100))+(DK61*(30/100))+(DL61*(50/100))) &gt;=3.5),3.5,0)))))))))))))</f>
        <v>0</v>
      </c>
      <c r="DQ61" s="541"/>
      <c r="DR61" s="541"/>
      <c r="DS61" s="541"/>
      <c r="DT61" s="541"/>
      <c r="DU61" s="541"/>
      <c r="DV61" s="541"/>
      <c r="DW61" s="541"/>
      <c r="DX61" s="541"/>
      <c r="DY61" s="541"/>
      <c r="DZ61" s="541"/>
    </row>
    <row r="62" spans="2:130" ht="15" customHeight="1" x14ac:dyDescent="0.25">
      <c r="B62" s="334">
        <v>5</v>
      </c>
      <c r="C62" s="541"/>
      <c r="D62" s="334"/>
      <c r="E62" s="334"/>
      <c r="F62" s="334"/>
      <c r="G62" s="334"/>
      <c r="H62" s="334"/>
      <c r="I62" s="334"/>
      <c r="J62" s="536"/>
      <c r="K62" s="536"/>
      <c r="L62" s="536"/>
      <c r="M62" s="536"/>
      <c r="N62" s="536"/>
      <c r="O62" s="536"/>
      <c r="P62" s="536">
        <f t="shared" si="1"/>
        <v>0</v>
      </c>
      <c r="Q62" s="536"/>
      <c r="R62" s="536"/>
      <c r="S62" s="536"/>
      <c r="T62" s="536">
        <f t="shared" si="2"/>
        <v>0</v>
      </c>
      <c r="U62" s="536"/>
      <c r="V62" s="536"/>
      <c r="W62" s="536"/>
      <c r="X62" s="536">
        <f t="shared" si="3"/>
        <v>0</v>
      </c>
      <c r="Y62" s="536"/>
      <c r="Z62" s="536"/>
      <c r="AA62" s="536"/>
      <c r="AB62" s="536">
        <f t="shared" si="4"/>
        <v>0</v>
      </c>
      <c r="AC62" s="536"/>
      <c r="AD62" s="536"/>
      <c r="AE62" s="536"/>
      <c r="AF62" s="536">
        <f t="shared" si="5"/>
        <v>0</v>
      </c>
      <c r="AG62" s="536"/>
      <c r="AH62" s="536"/>
      <c r="AI62" s="536"/>
      <c r="AJ62" s="536">
        <f t="shared" si="6"/>
        <v>0</v>
      </c>
      <c r="AK62" s="536"/>
      <c r="AL62" s="536"/>
      <c r="AM62" s="536"/>
      <c r="AN62" s="542">
        <f t="shared" si="7"/>
        <v>0</v>
      </c>
      <c r="AO62" s="536"/>
      <c r="AP62" s="536"/>
      <c r="AQ62" s="536"/>
      <c r="AR62" s="542">
        <f t="shared" si="8"/>
        <v>0</v>
      </c>
      <c r="AS62" s="536"/>
      <c r="AT62" s="536"/>
      <c r="AU62" s="536"/>
      <c r="AV62" s="542">
        <f t="shared" si="9"/>
        <v>0</v>
      </c>
      <c r="AW62" s="536"/>
      <c r="AX62" s="536"/>
      <c r="AY62" s="536"/>
      <c r="AZ62" s="542">
        <f t="shared" si="10"/>
        <v>0</v>
      </c>
      <c r="BA62" s="536"/>
      <c r="BB62" s="536"/>
      <c r="BC62" s="536"/>
      <c r="BD62" s="542">
        <f t="shared" si="11"/>
        <v>0</v>
      </c>
      <c r="BE62" s="536"/>
      <c r="BF62" s="536"/>
      <c r="BG62" s="536"/>
      <c r="BH62" s="542">
        <f t="shared" si="12"/>
        <v>0</v>
      </c>
      <c r="BI62" s="536"/>
      <c r="BJ62" s="536"/>
      <c r="BK62" s="536"/>
      <c r="BL62" s="542">
        <f t="shared" si="13"/>
        <v>0</v>
      </c>
      <c r="BM62" s="536"/>
      <c r="BN62" s="536"/>
      <c r="BO62" s="536"/>
      <c r="BP62" s="542">
        <f t="shared" si="14"/>
        <v>0</v>
      </c>
      <c r="BQ62" s="536"/>
      <c r="BR62" s="536"/>
      <c r="BS62" s="536"/>
      <c r="BT62" s="542">
        <f t="shared" si="15"/>
        <v>0</v>
      </c>
      <c r="BU62" s="536"/>
      <c r="BV62" s="536"/>
      <c r="BW62" s="536"/>
      <c r="BX62" s="542">
        <f t="shared" si="16"/>
        <v>0</v>
      </c>
      <c r="BY62" s="536"/>
      <c r="BZ62" s="536"/>
      <c r="CA62" s="536"/>
      <c r="CB62" s="542">
        <v>0</v>
      </c>
      <c r="CC62" s="536"/>
      <c r="CD62" s="536"/>
      <c r="CE62" s="536"/>
      <c r="CF62" s="541">
        <f t="shared" si="17"/>
        <v>0</v>
      </c>
      <c r="CG62" s="536"/>
      <c r="CH62" s="536"/>
      <c r="CI62" s="536"/>
      <c r="CJ62" s="541">
        <f t="shared" si="18"/>
        <v>0</v>
      </c>
      <c r="CK62" s="536"/>
      <c r="CL62" s="536"/>
      <c r="CM62" s="536"/>
      <c r="CN62" s="541">
        <f t="shared" si="19"/>
        <v>0</v>
      </c>
      <c r="CO62" s="536"/>
      <c r="CP62" s="536"/>
      <c r="CQ62" s="536"/>
      <c r="CR62" s="541">
        <f t="shared" si="20"/>
        <v>0</v>
      </c>
      <c r="CS62" s="536"/>
      <c r="CT62" s="536"/>
      <c r="CU62" s="536"/>
      <c r="CV62" s="541">
        <f t="shared" si="21"/>
        <v>0</v>
      </c>
      <c r="CW62" s="536"/>
      <c r="CX62" s="536"/>
      <c r="CY62" s="536"/>
      <c r="CZ62" s="541">
        <f t="shared" si="22"/>
        <v>0</v>
      </c>
      <c r="DA62" s="536"/>
      <c r="DB62" s="536"/>
      <c r="DC62" s="536"/>
      <c r="DD62" s="541">
        <f t="shared" si="23"/>
        <v>0</v>
      </c>
      <c r="DE62" s="536"/>
      <c r="DF62" s="536"/>
      <c r="DG62" s="536"/>
      <c r="DH62" s="541">
        <f t="shared" si="24"/>
        <v>0</v>
      </c>
      <c r="DI62" s="536"/>
      <c r="DJ62" s="536"/>
      <c r="DK62" s="536"/>
      <c r="DL62" s="541">
        <f t="shared" si="25"/>
        <v>0</v>
      </c>
      <c r="DM62" s="536"/>
      <c r="DN62" s="536"/>
      <c r="DO62" s="536"/>
      <c r="DP62" s="541">
        <f>IF( SUM((DJ62*(20/100))+(DK62*(30/100))+(DL62*(50/100))) &gt;=9.3,9.5,
IF(AND( SUM((DJ62*(20/100))+(DK62*(30/100))+(DL62*(50/100))) &lt;=9.3, SUM((DJ62*(20/100))+(DK62*(30/100))+(DL62*(50/100))) &gt;=8.8),9,
IF(AND( SUM((DJ62*(20/100))+(DK62*(30/100))+(DL62*(50/100))) &lt;=8.8, SUM((DJ62*(20/100))+(DK62*(30/100))+(DL62*(50/100))) &gt;=8.3),8.5,
IF(AND( SUM((DJ62*(20/100))+(DK62*(30/100))+(DL62*(50/100))) &lt;=8.3, SUM((DJ62*(20/100))+(DK62*(30/100))+(DL62*(50/100))) &gt;=7.8),8,
IF(AND( SUM((DJ62*(20/100))+(DK62*(30/100))+(DL62*(50/100))) &lt;=7.8, SUM((DJ62*(20/100))+(DK62*(30/100))+(DL62*(50/100))) &gt;=7.3),7.5,
IF(AND( SUM((DJ62*(20/100))+(DK62*(30/100))+(DL62*(50/100))) &lt;=7.3, SUM((DJ62*(20/100))+(DK62*(30/100))+(DL62*(50/100))) &gt;=6.8),7,
IF(AND( SUM((DJ62*(20/100))+(DK62*(30/100))+(DL62*(50/100))) &lt;=6.8, SUM((DJ62*(20/100))+(DK62*(30/100))+(DL62*(50/100))) &gt;=6.3),6.5,
IF(AND( SUM((DJ62*(20/100))+(DK62*(30/100))+(DL62*(50/100))) &lt;=6.3, SUM((DJ62*(20/100))+(DK62*(30/100))+(DL62*(50/100))) &gt;=5.8),6,
IF(AND( SUM((DJ62*(20/100))+(DK62*(30/100))+(DL62*(50/100))) &lt;=5.8, SUM((DJ62*(20/100))+(DK62*(30/100))+(DL62*(50/100))) &gt;=5.3),5.5,
IF(AND( SUM((DJ62*(20/100))+(DK62*(30/100))+(DL62*(50/100))) &lt;=5.3, SUM((DJ62*(20/100))+(DK62*(30/100))+(DL62*(50/100))) &gt;=4.8),5,
IF(AND( SUM((DJ62*(20/100))+(DK62*(30/100))+(DL62*(50/100))) &lt;=4.8, SUM((DJ62*(20/100))+(DK62*(30/100))+(DL62*(50/100))) &gt;=4.3),4.5,
IF(AND( SUM((DJ62*(20/100))+(DK62*(30/100))+(DL62*(50/100))) &lt;=4.3, SUM((DJ62*(20/100))+(DK62*(30/100))+(DL62*(50/100))) &gt;=3.8),4,
IF(AND( SUM((DJ62*(20/100))+(DK62*(30/100))+(DL62*(50/100))) &lt;=3.8, SUM((DJ62*(20/100))+(DK62*(30/100))+(DL62*(50/100))) &gt;=3.5),3.5,0)))))))))))))</f>
        <v>0</v>
      </c>
      <c r="DQ62" s="541"/>
      <c r="DR62" s="541"/>
      <c r="DS62" s="541"/>
      <c r="DT62" s="541"/>
      <c r="DU62" s="541"/>
      <c r="DV62" s="541"/>
      <c r="DW62" s="541"/>
      <c r="DX62" s="541"/>
      <c r="DY62" s="541"/>
      <c r="DZ62" s="541"/>
    </row>
    <row r="63" spans="2:130" ht="15" customHeight="1" x14ac:dyDescent="0.25">
      <c r="B63" s="334">
        <v>6</v>
      </c>
      <c r="C63" s="541"/>
      <c r="D63" s="334"/>
      <c r="E63" s="334"/>
      <c r="F63" s="334"/>
      <c r="G63" s="334"/>
      <c r="H63" s="334"/>
      <c r="I63" s="334"/>
      <c r="J63" s="536"/>
      <c r="K63" s="536"/>
      <c r="L63" s="536"/>
      <c r="M63" s="536"/>
      <c r="N63" s="536"/>
      <c r="O63" s="536"/>
      <c r="P63" s="536">
        <f t="shared" si="1"/>
        <v>0</v>
      </c>
      <c r="Q63" s="536"/>
      <c r="R63" s="536"/>
      <c r="S63" s="536"/>
      <c r="T63" s="536">
        <f t="shared" si="2"/>
        <v>0</v>
      </c>
      <c r="U63" s="536"/>
      <c r="V63" s="536"/>
      <c r="W63" s="536"/>
      <c r="X63" s="536">
        <f t="shared" si="3"/>
        <v>0</v>
      </c>
      <c r="Y63" s="536"/>
      <c r="Z63" s="536"/>
      <c r="AA63" s="536"/>
      <c r="AB63" s="536">
        <f t="shared" si="4"/>
        <v>0</v>
      </c>
      <c r="AC63" s="536"/>
      <c r="AD63" s="536"/>
      <c r="AE63" s="536"/>
      <c r="AF63" s="536">
        <f t="shared" si="5"/>
        <v>0</v>
      </c>
      <c r="AG63" s="536"/>
      <c r="AH63" s="536"/>
      <c r="AI63" s="536"/>
      <c r="AJ63" s="536">
        <f t="shared" si="6"/>
        <v>0</v>
      </c>
      <c r="AK63" s="536"/>
      <c r="AL63" s="536"/>
      <c r="AM63" s="536"/>
      <c r="AN63" s="542">
        <f t="shared" si="7"/>
        <v>0</v>
      </c>
      <c r="AO63" s="536"/>
      <c r="AP63" s="536"/>
      <c r="AQ63" s="536"/>
      <c r="AR63" s="542">
        <f t="shared" si="8"/>
        <v>0</v>
      </c>
      <c r="AS63" s="536"/>
      <c r="AT63" s="536"/>
      <c r="AU63" s="536"/>
      <c r="AV63" s="542">
        <f t="shared" si="9"/>
        <v>0</v>
      </c>
      <c r="AW63" s="536"/>
      <c r="AX63" s="536"/>
      <c r="AY63" s="536"/>
      <c r="AZ63" s="542">
        <f t="shared" si="10"/>
        <v>0</v>
      </c>
      <c r="BA63" s="536"/>
      <c r="BB63" s="536"/>
      <c r="BC63" s="536"/>
      <c r="BD63" s="542">
        <f t="shared" si="11"/>
        <v>0</v>
      </c>
      <c r="BE63" s="536"/>
      <c r="BF63" s="536"/>
      <c r="BG63" s="536"/>
      <c r="BH63" s="542">
        <f t="shared" si="12"/>
        <v>0</v>
      </c>
      <c r="BI63" s="536"/>
      <c r="BJ63" s="536"/>
      <c r="BK63" s="536"/>
      <c r="BL63" s="542">
        <f t="shared" si="13"/>
        <v>0</v>
      </c>
      <c r="BM63" s="536"/>
      <c r="BN63" s="536"/>
      <c r="BO63" s="536"/>
      <c r="BP63" s="542">
        <f t="shared" si="14"/>
        <v>0</v>
      </c>
      <c r="BQ63" s="536"/>
      <c r="BR63" s="536"/>
      <c r="BS63" s="536"/>
      <c r="BT63" s="542">
        <f t="shared" si="15"/>
        <v>0</v>
      </c>
      <c r="BU63" s="536"/>
      <c r="BV63" s="536"/>
      <c r="BW63" s="536"/>
      <c r="BX63" s="542">
        <f t="shared" si="16"/>
        <v>0</v>
      </c>
      <c r="BY63" s="536"/>
      <c r="BZ63" s="536"/>
      <c r="CA63" s="536"/>
      <c r="CB63" s="542">
        <v>0</v>
      </c>
      <c r="CC63" s="536"/>
      <c r="CD63" s="536"/>
      <c r="CE63" s="536"/>
      <c r="CF63" s="541">
        <f t="shared" si="17"/>
        <v>0</v>
      </c>
      <c r="CG63" s="536"/>
      <c r="CH63" s="536"/>
      <c r="CI63" s="536"/>
      <c r="CJ63" s="541">
        <f t="shared" si="18"/>
        <v>0</v>
      </c>
      <c r="CK63" s="536"/>
      <c r="CL63" s="536"/>
      <c r="CM63" s="536"/>
      <c r="CN63" s="541">
        <f t="shared" si="19"/>
        <v>0</v>
      </c>
      <c r="CO63" s="536"/>
      <c r="CP63" s="536"/>
      <c r="CQ63" s="536"/>
      <c r="CR63" s="541">
        <f t="shared" si="20"/>
        <v>0</v>
      </c>
      <c r="CS63" s="536"/>
      <c r="CT63" s="536"/>
      <c r="CU63" s="536"/>
      <c r="CV63" s="541">
        <f t="shared" si="21"/>
        <v>0</v>
      </c>
      <c r="CW63" s="536"/>
      <c r="CX63" s="536"/>
      <c r="CY63" s="536"/>
      <c r="CZ63" s="541">
        <f t="shared" si="22"/>
        <v>0</v>
      </c>
      <c r="DA63" s="536"/>
      <c r="DB63" s="536"/>
      <c r="DC63" s="536"/>
      <c r="DD63" s="541">
        <f t="shared" si="23"/>
        <v>0</v>
      </c>
      <c r="DE63" s="536"/>
      <c r="DF63" s="536"/>
      <c r="DG63" s="536"/>
      <c r="DH63" s="541">
        <f t="shared" si="24"/>
        <v>0</v>
      </c>
      <c r="DI63" s="536"/>
      <c r="DJ63" s="536"/>
      <c r="DK63" s="536"/>
      <c r="DL63" s="541">
        <f t="shared" si="25"/>
        <v>0</v>
      </c>
      <c r="DM63" s="536"/>
      <c r="DN63" s="536"/>
      <c r="DO63" s="536"/>
      <c r="DP63" s="541">
        <f>IF( SUM((DJ63*(20/100))+(DK63*(30/100))+(DL63*(50/100))) &gt;=9.3,9.5,
IF(AND( SUM((DJ63*(20/100))+(DK63*(30/100))+(DL63*(50/100))) &lt;=9.3, SUM((DJ63*(20/100))+(DK63*(30/100))+(DL63*(50/100))) &gt;=8.8),9,
IF(AND( SUM((DJ63*(20/100))+(DK63*(30/100))+(DL63*(50/100))) &lt;=8.8, SUM((DJ63*(20/100))+(DK63*(30/100))+(DL63*(50/100))) &gt;=8.3),8.5,
IF(AND( SUM((DJ63*(20/100))+(DK63*(30/100))+(DL63*(50/100))) &lt;=8.3, SUM((DJ63*(20/100))+(DK63*(30/100))+(DL63*(50/100))) &gt;=7.8),8,
IF(AND( SUM((DJ63*(20/100))+(DK63*(30/100))+(DL63*(50/100))) &lt;=7.8, SUM((DJ63*(20/100))+(DK63*(30/100))+(DL63*(50/100))) &gt;=7.3),7.5,
IF(AND( SUM((DJ63*(20/100))+(DK63*(30/100))+(DL63*(50/100))) &lt;=7.3, SUM((DJ63*(20/100))+(DK63*(30/100))+(DL63*(50/100))) &gt;=6.8),7,
IF(AND( SUM((DJ63*(20/100))+(DK63*(30/100))+(DL63*(50/100))) &lt;=6.8, SUM((DJ63*(20/100))+(DK63*(30/100))+(DL63*(50/100))) &gt;=6.3),6.5,
IF(AND( SUM((DJ63*(20/100))+(DK63*(30/100))+(DL63*(50/100))) &lt;=6.3, SUM((DJ63*(20/100))+(DK63*(30/100))+(DL63*(50/100))) &gt;=5.8),6,
IF(AND( SUM((DJ63*(20/100))+(DK63*(30/100))+(DL63*(50/100))) &lt;=5.8, SUM((DJ63*(20/100))+(DK63*(30/100))+(DL63*(50/100))) &gt;=5.3),5.5,
IF(AND( SUM((DJ63*(20/100))+(DK63*(30/100))+(DL63*(50/100))) &lt;=5.3, SUM((DJ63*(20/100))+(DK63*(30/100))+(DL63*(50/100))) &gt;=4.8),5,
IF(AND( SUM((DJ63*(20/100))+(DK63*(30/100))+(DL63*(50/100))) &lt;=4.8, SUM((DJ63*(20/100))+(DK63*(30/100))+(DL63*(50/100))) &gt;=4.3),4.5,
IF(AND( SUM((DJ63*(20/100))+(DK63*(30/100))+(DL63*(50/100))) &lt;=4.3, SUM((DJ63*(20/100))+(DK63*(30/100))+(DL63*(50/100))) &gt;=3.8),4,
IF(AND( SUM((DJ63*(20/100))+(DK63*(30/100))+(DL63*(50/100))) &lt;=3.8, SUM((DJ63*(20/100))+(DK63*(30/100))+(DL63*(50/100))) &gt;=3.5),3.5,0)))))))))))))</f>
        <v>0</v>
      </c>
      <c r="DQ63" s="541"/>
      <c r="DR63" s="541"/>
      <c r="DS63" s="541"/>
      <c r="DT63" s="541"/>
      <c r="DU63" s="541"/>
      <c r="DV63" s="541"/>
      <c r="DW63" s="541"/>
      <c r="DX63" s="541"/>
      <c r="DY63" s="541"/>
      <c r="DZ63" s="541"/>
    </row>
    <row r="64" spans="2:130" ht="15" customHeight="1" x14ac:dyDescent="0.25">
      <c r="B64" s="334">
        <v>7</v>
      </c>
      <c r="C64" s="541"/>
      <c r="D64" s="334"/>
      <c r="E64" s="334"/>
      <c r="F64" s="334"/>
      <c r="G64" s="334"/>
      <c r="H64" s="334"/>
      <c r="I64" s="334"/>
      <c r="J64" s="536"/>
      <c r="K64" s="536"/>
      <c r="L64" s="536"/>
      <c r="M64" s="536"/>
      <c r="N64" s="536"/>
      <c r="O64" s="536"/>
      <c r="P64" s="536">
        <f t="shared" si="1"/>
        <v>0</v>
      </c>
      <c r="Q64" s="536"/>
      <c r="R64" s="536"/>
      <c r="S64" s="536"/>
      <c r="T64" s="536">
        <f t="shared" si="2"/>
        <v>0</v>
      </c>
      <c r="U64" s="536"/>
      <c r="V64" s="536"/>
      <c r="W64" s="536"/>
      <c r="X64" s="536">
        <f t="shared" si="3"/>
        <v>0</v>
      </c>
      <c r="Y64" s="536"/>
      <c r="Z64" s="536"/>
      <c r="AA64" s="536"/>
      <c r="AB64" s="536">
        <f t="shared" si="4"/>
        <v>0</v>
      </c>
      <c r="AC64" s="536"/>
      <c r="AD64" s="536"/>
      <c r="AE64" s="536"/>
      <c r="AF64" s="536">
        <f t="shared" si="5"/>
        <v>0</v>
      </c>
      <c r="AG64" s="536"/>
      <c r="AH64" s="536"/>
      <c r="AI64" s="536"/>
      <c r="AJ64" s="536">
        <f t="shared" si="6"/>
        <v>0</v>
      </c>
      <c r="AK64" s="536"/>
      <c r="AL64" s="536"/>
      <c r="AM64" s="536"/>
      <c r="AN64" s="542">
        <f t="shared" si="7"/>
        <v>0</v>
      </c>
      <c r="AO64" s="536"/>
      <c r="AP64" s="536"/>
      <c r="AQ64" s="536"/>
      <c r="AR64" s="542">
        <f t="shared" si="8"/>
        <v>0</v>
      </c>
      <c r="AS64" s="536"/>
      <c r="AT64" s="536"/>
      <c r="AU64" s="536"/>
      <c r="AV64" s="542">
        <f t="shared" si="9"/>
        <v>0</v>
      </c>
      <c r="AW64" s="536"/>
      <c r="AX64" s="536"/>
      <c r="AY64" s="536"/>
      <c r="AZ64" s="542">
        <f t="shared" si="10"/>
        <v>0</v>
      </c>
      <c r="BA64" s="536"/>
      <c r="BB64" s="536"/>
      <c r="BC64" s="536"/>
      <c r="BD64" s="542">
        <f t="shared" si="11"/>
        <v>0</v>
      </c>
      <c r="BE64" s="536"/>
      <c r="BF64" s="536"/>
      <c r="BG64" s="536"/>
      <c r="BH64" s="542">
        <f t="shared" si="12"/>
        <v>0</v>
      </c>
      <c r="BI64" s="536"/>
      <c r="BJ64" s="536"/>
      <c r="BK64" s="536"/>
      <c r="BL64" s="542">
        <f t="shared" si="13"/>
        <v>0</v>
      </c>
      <c r="BM64" s="536"/>
      <c r="BN64" s="536"/>
      <c r="BO64" s="536"/>
      <c r="BP64" s="542">
        <f t="shared" si="14"/>
        <v>0</v>
      </c>
      <c r="BQ64" s="536"/>
      <c r="BR64" s="536"/>
      <c r="BS64" s="536"/>
      <c r="BT64" s="542">
        <f t="shared" si="15"/>
        <v>0</v>
      </c>
      <c r="BU64" s="536"/>
      <c r="BV64" s="536"/>
      <c r="BW64" s="536"/>
      <c r="BX64" s="542">
        <f t="shared" si="16"/>
        <v>0</v>
      </c>
      <c r="BY64" s="536"/>
      <c r="BZ64" s="536"/>
      <c r="CA64" s="536"/>
      <c r="CB64" s="542">
        <v>0</v>
      </c>
      <c r="CC64" s="536"/>
      <c r="CD64" s="536"/>
      <c r="CE64" s="536"/>
      <c r="CF64" s="541">
        <f t="shared" si="17"/>
        <v>0</v>
      </c>
      <c r="CG64" s="536"/>
      <c r="CH64" s="536"/>
      <c r="CI64" s="536"/>
      <c r="CJ64" s="541">
        <f t="shared" si="18"/>
        <v>0</v>
      </c>
      <c r="CK64" s="536"/>
      <c r="CL64" s="536"/>
      <c r="CM64" s="536"/>
      <c r="CN64" s="541">
        <f t="shared" si="19"/>
        <v>0</v>
      </c>
      <c r="CO64" s="536"/>
      <c r="CP64" s="536"/>
      <c r="CQ64" s="536"/>
      <c r="CR64" s="541">
        <f t="shared" si="20"/>
        <v>0</v>
      </c>
      <c r="CS64" s="536"/>
      <c r="CT64" s="536"/>
      <c r="CU64" s="536"/>
      <c r="CV64" s="541">
        <f t="shared" si="21"/>
        <v>0</v>
      </c>
      <c r="CW64" s="536"/>
      <c r="CX64" s="536"/>
      <c r="CY64" s="536"/>
      <c r="CZ64" s="541">
        <f t="shared" si="22"/>
        <v>0</v>
      </c>
      <c r="DA64" s="536"/>
      <c r="DB64" s="536"/>
      <c r="DC64" s="536"/>
      <c r="DD64" s="541">
        <f t="shared" si="23"/>
        <v>0</v>
      </c>
      <c r="DE64" s="536"/>
      <c r="DF64" s="536"/>
      <c r="DG64" s="536"/>
      <c r="DH64" s="541">
        <f t="shared" si="24"/>
        <v>0</v>
      </c>
      <c r="DI64" s="536"/>
      <c r="DJ64" s="536"/>
      <c r="DK64" s="536"/>
      <c r="DL64" s="541">
        <f t="shared" si="25"/>
        <v>0</v>
      </c>
      <c r="DM64" s="536"/>
      <c r="DN64" s="536"/>
      <c r="DO64" s="536"/>
      <c r="DP64" s="541">
        <f>IF( SUM((DJ64*(20/100))+(DK64*(30/100))+(DL64*(50/100))) &gt;=9.3,9.5,
IF(AND( SUM((DJ64*(20/100))+(DK64*(30/100))+(DL64*(50/100))) &lt;=9.3, SUM((DJ64*(20/100))+(DK64*(30/100))+(DL64*(50/100))) &gt;=8.8),9,
IF(AND( SUM((DJ64*(20/100))+(DK64*(30/100))+(DL64*(50/100))) &lt;=8.8, SUM((DJ64*(20/100))+(DK64*(30/100))+(DL64*(50/100))) &gt;=8.3),8.5,
IF(AND( SUM((DJ64*(20/100))+(DK64*(30/100))+(DL64*(50/100))) &lt;=8.3, SUM((DJ64*(20/100))+(DK64*(30/100))+(DL64*(50/100))) &gt;=7.8),8,
IF(AND( SUM((DJ64*(20/100))+(DK64*(30/100))+(DL64*(50/100))) &lt;=7.8, SUM((DJ64*(20/100))+(DK64*(30/100))+(DL64*(50/100))) &gt;=7.3),7.5,
IF(AND( SUM((DJ64*(20/100))+(DK64*(30/100))+(DL64*(50/100))) &lt;=7.3, SUM((DJ64*(20/100))+(DK64*(30/100))+(DL64*(50/100))) &gt;=6.8),7,
IF(AND( SUM((DJ64*(20/100))+(DK64*(30/100))+(DL64*(50/100))) &lt;=6.8, SUM((DJ64*(20/100))+(DK64*(30/100))+(DL64*(50/100))) &gt;=6.3),6.5,
IF(AND( SUM((DJ64*(20/100))+(DK64*(30/100))+(DL64*(50/100))) &lt;=6.3, SUM((DJ64*(20/100))+(DK64*(30/100))+(DL64*(50/100))) &gt;=5.8),6,
IF(AND( SUM((DJ64*(20/100))+(DK64*(30/100))+(DL64*(50/100))) &lt;=5.8, SUM((DJ64*(20/100))+(DK64*(30/100))+(DL64*(50/100))) &gt;=5.3),5.5,
IF(AND( SUM((DJ64*(20/100))+(DK64*(30/100))+(DL64*(50/100))) &lt;=5.3, SUM((DJ64*(20/100))+(DK64*(30/100))+(DL64*(50/100))) &gt;=4.8),5,
IF(AND( SUM((DJ64*(20/100))+(DK64*(30/100))+(DL64*(50/100))) &lt;=4.8, SUM((DJ64*(20/100))+(DK64*(30/100))+(DL64*(50/100))) &gt;=4.3),4.5,
IF(AND( SUM((DJ64*(20/100))+(DK64*(30/100))+(DL64*(50/100))) &lt;=4.3, SUM((DJ64*(20/100))+(DK64*(30/100))+(DL64*(50/100))) &gt;=3.8),4,
IF(AND( SUM((DJ64*(20/100))+(DK64*(30/100))+(DL64*(50/100))) &lt;=3.8, SUM((DJ64*(20/100))+(DK64*(30/100))+(DL64*(50/100))) &gt;=3.5),3.5,0)))))))))))))</f>
        <v>0</v>
      </c>
      <c r="DQ64" s="541"/>
      <c r="DR64" s="541"/>
      <c r="DS64" s="541"/>
      <c r="DT64" s="541"/>
      <c r="DU64" s="541"/>
      <c r="DV64" s="541"/>
      <c r="DW64" s="541"/>
      <c r="DX64" s="541"/>
      <c r="DY64" s="541"/>
      <c r="DZ64" s="541"/>
    </row>
    <row r="65" spans="2:130" ht="15" customHeight="1" x14ac:dyDescent="0.25">
      <c r="B65" s="334">
        <v>8</v>
      </c>
      <c r="C65" s="541"/>
      <c r="D65" s="334"/>
      <c r="E65" s="334"/>
      <c r="F65" s="334"/>
      <c r="G65" s="334"/>
      <c r="H65" s="334"/>
      <c r="I65" s="334"/>
      <c r="J65" s="536"/>
      <c r="K65" s="536"/>
      <c r="L65" s="536"/>
      <c r="M65" s="536"/>
      <c r="N65" s="536"/>
      <c r="O65" s="536"/>
      <c r="P65" s="536">
        <f t="shared" si="1"/>
        <v>0</v>
      </c>
      <c r="Q65" s="536"/>
      <c r="R65" s="536"/>
      <c r="S65" s="536"/>
      <c r="T65" s="536">
        <f t="shared" si="2"/>
        <v>0</v>
      </c>
      <c r="U65" s="536"/>
      <c r="V65" s="536"/>
      <c r="W65" s="536"/>
      <c r="X65" s="536">
        <f t="shared" si="3"/>
        <v>0</v>
      </c>
      <c r="Y65" s="536"/>
      <c r="Z65" s="536"/>
      <c r="AA65" s="536"/>
      <c r="AB65" s="536">
        <f t="shared" si="4"/>
        <v>0</v>
      </c>
      <c r="AC65" s="536"/>
      <c r="AD65" s="536"/>
      <c r="AE65" s="536"/>
      <c r="AF65" s="536">
        <f t="shared" si="5"/>
        <v>0</v>
      </c>
      <c r="AG65" s="536"/>
      <c r="AH65" s="536"/>
      <c r="AI65" s="536"/>
      <c r="AJ65" s="536">
        <f t="shared" si="6"/>
        <v>0</v>
      </c>
      <c r="AK65" s="536"/>
      <c r="AL65" s="536"/>
      <c r="AM65" s="536"/>
      <c r="AN65" s="542">
        <f t="shared" si="7"/>
        <v>0</v>
      </c>
      <c r="AO65" s="536"/>
      <c r="AP65" s="536"/>
      <c r="AQ65" s="536"/>
      <c r="AR65" s="542">
        <f t="shared" si="8"/>
        <v>0</v>
      </c>
      <c r="AS65" s="536"/>
      <c r="AT65" s="536"/>
      <c r="AU65" s="536"/>
      <c r="AV65" s="542">
        <f t="shared" si="9"/>
        <v>0</v>
      </c>
      <c r="AW65" s="536"/>
      <c r="AX65" s="536"/>
      <c r="AY65" s="536"/>
      <c r="AZ65" s="542">
        <f t="shared" si="10"/>
        <v>0</v>
      </c>
      <c r="BA65" s="536"/>
      <c r="BB65" s="536"/>
      <c r="BC65" s="536"/>
      <c r="BD65" s="542">
        <f t="shared" si="11"/>
        <v>0</v>
      </c>
      <c r="BE65" s="536"/>
      <c r="BF65" s="536"/>
      <c r="BG65" s="536"/>
      <c r="BH65" s="542">
        <f t="shared" si="12"/>
        <v>0</v>
      </c>
      <c r="BI65" s="536"/>
      <c r="BJ65" s="536"/>
      <c r="BK65" s="536"/>
      <c r="BL65" s="542">
        <f t="shared" si="13"/>
        <v>0</v>
      </c>
      <c r="BM65" s="536"/>
      <c r="BN65" s="536"/>
      <c r="BO65" s="536"/>
      <c r="BP65" s="542">
        <f t="shared" si="14"/>
        <v>0</v>
      </c>
      <c r="BQ65" s="536"/>
      <c r="BR65" s="536"/>
      <c r="BS65" s="536"/>
      <c r="BT65" s="542">
        <f t="shared" si="15"/>
        <v>0</v>
      </c>
      <c r="BU65" s="536"/>
      <c r="BV65" s="536"/>
      <c r="BW65" s="536"/>
      <c r="BX65" s="542">
        <f t="shared" si="16"/>
        <v>0</v>
      </c>
      <c r="BY65" s="536"/>
      <c r="BZ65" s="536"/>
      <c r="CA65" s="536"/>
      <c r="CB65" s="542">
        <v>0</v>
      </c>
      <c r="CC65" s="536"/>
      <c r="CD65" s="536"/>
      <c r="CE65" s="536"/>
      <c r="CF65" s="541">
        <f t="shared" si="17"/>
        <v>0</v>
      </c>
      <c r="CG65" s="536"/>
      <c r="CH65" s="536"/>
      <c r="CI65" s="536"/>
      <c r="CJ65" s="541">
        <f t="shared" si="18"/>
        <v>0</v>
      </c>
      <c r="CK65" s="536"/>
      <c r="CL65" s="536"/>
      <c r="CM65" s="536"/>
      <c r="CN65" s="541">
        <f t="shared" si="19"/>
        <v>0</v>
      </c>
      <c r="CO65" s="536"/>
      <c r="CP65" s="536"/>
      <c r="CQ65" s="536"/>
      <c r="CR65" s="541">
        <f t="shared" si="20"/>
        <v>0</v>
      </c>
      <c r="CS65" s="536"/>
      <c r="CT65" s="536"/>
      <c r="CU65" s="536"/>
      <c r="CV65" s="541">
        <f t="shared" si="21"/>
        <v>0</v>
      </c>
      <c r="CW65" s="536"/>
      <c r="CX65" s="536"/>
      <c r="CY65" s="536"/>
      <c r="CZ65" s="541">
        <f t="shared" si="22"/>
        <v>0</v>
      </c>
      <c r="DA65" s="536"/>
      <c r="DB65" s="536"/>
      <c r="DC65" s="536"/>
      <c r="DD65" s="541">
        <f t="shared" si="23"/>
        <v>0</v>
      </c>
      <c r="DE65" s="536"/>
      <c r="DF65" s="536"/>
      <c r="DG65" s="536"/>
      <c r="DH65" s="541">
        <f t="shared" si="24"/>
        <v>0</v>
      </c>
      <c r="DI65" s="536"/>
      <c r="DJ65" s="536"/>
      <c r="DK65" s="536"/>
      <c r="DL65" s="541">
        <f t="shared" si="25"/>
        <v>0</v>
      </c>
      <c r="DM65" s="536"/>
      <c r="DN65" s="536"/>
      <c r="DO65" s="536"/>
      <c r="DP65" s="541">
        <f>IF( SUM((DJ65*(20/100))+(DK65*(30/100))+(DL65*(50/100))) &gt;=9.3,9.5,
IF(AND( SUM((DJ65*(20/100))+(DK65*(30/100))+(DL65*(50/100))) &lt;=9.3, SUM((DJ65*(20/100))+(DK65*(30/100))+(DL65*(50/100))) &gt;=8.8),9,
IF(AND( SUM((DJ65*(20/100))+(DK65*(30/100))+(DL65*(50/100))) &lt;=8.8, SUM((DJ65*(20/100))+(DK65*(30/100))+(DL65*(50/100))) &gt;=8.3),8.5,
IF(AND( SUM((DJ65*(20/100))+(DK65*(30/100))+(DL65*(50/100))) &lt;=8.3, SUM((DJ65*(20/100))+(DK65*(30/100))+(DL65*(50/100))) &gt;=7.8),8,
IF(AND( SUM((DJ65*(20/100))+(DK65*(30/100))+(DL65*(50/100))) &lt;=7.8, SUM((DJ65*(20/100))+(DK65*(30/100))+(DL65*(50/100))) &gt;=7.3),7.5,
IF(AND( SUM((DJ65*(20/100))+(DK65*(30/100))+(DL65*(50/100))) &lt;=7.3, SUM((DJ65*(20/100))+(DK65*(30/100))+(DL65*(50/100))) &gt;=6.8),7,
IF(AND( SUM((DJ65*(20/100))+(DK65*(30/100))+(DL65*(50/100))) &lt;=6.8, SUM((DJ65*(20/100))+(DK65*(30/100))+(DL65*(50/100))) &gt;=6.3),6.5,
IF(AND( SUM((DJ65*(20/100))+(DK65*(30/100))+(DL65*(50/100))) &lt;=6.3, SUM((DJ65*(20/100))+(DK65*(30/100))+(DL65*(50/100))) &gt;=5.8),6,
IF(AND( SUM((DJ65*(20/100))+(DK65*(30/100))+(DL65*(50/100))) &lt;=5.8, SUM((DJ65*(20/100))+(DK65*(30/100))+(DL65*(50/100))) &gt;=5.3),5.5,
IF(AND( SUM((DJ65*(20/100))+(DK65*(30/100))+(DL65*(50/100))) &lt;=5.3, SUM((DJ65*(20/100))+(DK65*(30/100))+(DL65*(50/100))) &gt;=4.8),5,
IF(AND( SUM((DJ65*(20/100))+(DK65*(30/100))+(DL65*(50/100))) &lt;=4.8, SUM((DJ65*(20/100))+(DK65*(30/100))+(DL65*(50/100))) &gt;=4.3),4.5,
IF(AND( SUM((DJ65*(20/100))+(DK65*(30/100))+(DL65*(50/100))) &lt;=4.3, SUM((DJ65*(20/100))+(DK65*(30/100))+(DL65*(50/100))) &gt;=3.8),4,
IF(AND( SUM((DJ65*(20/100))+(DK65*(30/100))+(DL65*(50/100))) &lt;=3.8, SUM((DJ65*(20/100))+(DK65*(30/100))+(DL65*(50/100))) &gt;=3.5),3.5,0)))))))))))))</f>
        <v>0</v>
      </c>
      <c r="DQ65" s="541"/>
      <c r="DR65" s="541"/>
      <c r="DS65" s="541"/>
      <c r="DT65" s="541"/>
      <c r="DU65" s="541"/>
      <c r="DV65" s="541"/>
      <c r="DW65" s="541"/>
      <c r="DX65" s="541"/>
      <c r="DY65" s="541"/>
      <c r="DZ65" s="541"/>
    </row>
    <row r="66" spans="2:130" ht="15" customHeight="1" x14ac:dyDescent="0.25">
      <c r="B66" s="334">
        <v>9</v>
      </c>
      <c r="C66" s="541"/>
      <c r="D66" s="334"/>
      <c r="E66" s="334"/>
      <c r="F66" s="334"/>
      <c r="G66" s="334"/>
      <c r="H66" s="334"/>
      <c r="I66" s="334"/>
      <c r="J66" s="536"/>
      <c r="K66" s="536"/>
      <c r="L66" s="536"/>
      <c r="M66" s="536"/>
      <c r="N66" s="536"/>
      <c r="O66" s="536"/>
      <c r="P66" s="536">
        <f t="shared" si="1"/>
        <v>0</v>
      </c>
      <c r="Q66" s="536"/>
      <c r="R66" s="536"/>
      <c r="S66" s="536"/>
      <c r="T66" s="536">
        <f t="shared" si="2"/>
        <v>0</v>
      </c>
      <c r="U66" s="536"/>
      <c r="V66" s="536"/>
      <c r="W66" s="536"/>
      <c r="X66" s="536">
        <f t="shared" si="3"/>
        <v>0</v>
      </c>
      <c r="Y66" s="536"/>
      <c r="Z66" s="536"/>
      <c r="AA66" s="536"/>
      <c r="AB66" s="536">
        <f t="shared" si="4"/>
        <v>0</v>
      </c>
      <c r="AC66" s="536"/>
      <c r="AD66" s="536"/>
      <c r="AE66" s="536"/>
      <c r="AF66" s="536">
        <f t="shared" si="5"/>
        <v>0</v>
      </c>
      <c r="AG66" s="536"/>
      <c r="AH66" s="536"/>
      <c r="AI66" s="536"/>
      <c r="AJ66" s="536">
        <f t="shared" si="6"/>
        <v>0</v>
      </c>
      <c r="AK66" s="536"/>
      <c r="AL66" s="536"/>
      <c r="AM66" s="536"/>
      <c r="AN66" s="542">
        <f t="shared" si="7"/>
        <v>0</v>
      </c>
      <c r="AO66" s="536"/>
      <c r="AP66" s="536"/>
      <c r="AQ66" s="536"/>
      <c r="AR66" s="542">
        <f t="shared" si="8"/>
        <v>0</v>
      </c>
      <c r="AS66" s="536"/>
      <c r="AT66" s="536"/>
      <c r="AU66" s="536"/>
      <c r="AV66" s="542">
        <f t="shared" si="9"/>
        <v>0</v>
      </c>
      <c r="AW66" s="536"/>
      <c r="AX66" s="536"/>
      <c r="AY66" s="536"/>
      <c r="AZ66" s="542">
        <f t="shared" si="10"/>
        <v>0</v>
      </c>
      <c r="BA66" s="536"/>
      <c r="BB66" s="536"/>
      <c r="BC66" s="536"/>
      <c r="BD66" s="542">
        <f t="shared" si="11"/>
        <v>0</v>
      </c>
      <c r="BE66" s="536"/>
      <c r="BF66" s="536"/>
      <c r="BG66" s="536"/>
      <c r="BH66" s="542">
        <f t="shared" si="12"/>
        <v>0</v>
      </c>
      <c r="BI66" s="536"/>
      <c r="BJ66" s="536"/>
      <c r="BK66" s="536"/>
      <c r="BL66" s="542">
        <f t="shared" si="13"/>
        <v>0</v>
      </c>
      <c r="BM66" s="536"/>
      <c r="BN66" s="536"/>
      <c r="BO66" s="536"/>
      <c r="BP66" s="542">
        <f t="shared" si="14"/>
        <v>0</v>
      </c>
      <c r="BQ66" s="536"/>
      <c r="BR66" s="536"/>
      <c r="BS66" s="536"/>
      <c r="BT66" s="542">
        <f t="shared" si="15"/>
        <v>0</v>
      </c>
      <c r="BU66" s="536"/>
      <c r="BV66" s="536"/>
      <c r="BW66" s="536"/>
      <c r="BX66" s="542">
        <f t="shared" si="16"/>
        <v>0</v>
      </c>
      <c r="BY66" s="536"/>
      <c r="BZ66" s="536"/>
      <c r="CA66" s="536"/>
      <c r="CB66" s="542">
        <v>0</v>
      </c>
      <c r="CC66" s="536"/>
      <c r="CD66" s="536"/>
      <c r="CE66" s="536"/>
      <c r="CF66" s="541">
        <f t="shared" si="17"/>
        <v>0</v>
      </c>
      <c r="CG66" s="536"/>
      <c r="CH66" s="536"/>
      <c r="CI66" s="536"/>
      <c r="CJ66" s="541">
        <f t="shared" si="18"/>
        <v>0</v>
      </c>
      <c r="CK66" s="536"/>
      <c r="CL66" s="536"/>
      <c r="CM66" s="536"/>
      <c r="CN66" s="541">
        <f t="shared" si="19"/>
        <v>0</v>
      </c>
      <c r="CO66" s="536"/>
      <c r="CP66" s="536"/>
      <c r="CQ66" s="536"/>
      <c r="CR66" s="541">
        <f t="shared" si="20"/>
        <v>0</v>
      </c>
      <c r="CS66" s="536"/>
      <c r="CT66" s="536"/>
      <c r="CU66" s="536"/>
      <c r="CV66" s="541">
        <f t="shared" si="21"/>
        <v>0</v>
      </c>
      <c r="CW66" s="536"/>
      <c r="CX66" s="536"/>
      <c r="CY66" s="536"/>
      <c r="CZ66" s="541">
        <f t="shared" si="22"/>
        <v>0</v>
      </c>
      <c r="DA66" s="536"/>
      <c r="DB66" s="536"/>
      <c r="DC66" s="536"/>
      <c r="DD66" s="541">
        <f t="shared" si="23"/>
        <v>0</v>
      </c>
      <c r="DE66" s="536"/>
      <c r="DF66" s="536"/>
      <c r="DG66" s="536"/>
      <c r="DH66" s="541">
        <f t="shared" si="24"/>
        <v>0</v>
      </c>
      <c r="DI66" s="536"/>
      <c r="DJ66" s="536"/>
      <c r="DK66" s="536"/>
      <c r="DL66" s="541">
        <f t="shared" si="25"/>
        <v>0</v>
      </c>
      <c r="DM66" s="536"/>
      <c r="DN66" s="536"/>
      <c r="DO66" s="536"/>
      <c r="DP66" s="541">
        <f>IF( SUM((DJ66*(20/100))+(DK66*(30/100))+(DL66*(50/100))) &gt;=9.3,9.5,
IF(AND( SUM((DJ66*(20/100))+(DK66*(30/100))+(DL66*(50/100))) &lt;=9.3, SUM((DJ66*(20/100))+(DK66*(30/100))+(DL66*(50/100))) &gt;=8.8),9,
IF(AND( SUM((DJ66*(20/100))+(DK66*(30/100))+(DL66*(50/100))) &lt;=8.8, SUM((DJ66*(20/100))+(DK66*(30/100))+(DL66*(50/100))) &gt;=8.3),8.5,
IF(AND( SUM((DJ66*(20/100))+(DK66*(30/100))+(DL66*(50/100))) &lt;=8.3, SUM((DJ66*(20/100))+(DK66*(30/100))+(DL66*(50/100))) &gt;=7.8),8,
IF(AND( SUM((DJ66*(20/100))+(DK66*(30/100))+(DL66*(50/100))) &lt;=7.8, SUM((DJ66*(20/100))+(DK66*(30/100))+(DL66*(50/100))) &gt;=7.3),7.5,
IF(AND( SUM((DJ66*(20/100))+(DK66*(30/100))+(DL66*(50/100))) &lt;=7.3, SUM((DJ66*(20/100))+(DK66*(30/100))+(DL66*(50/100))) &gt;=6.8),7,
IF(AND( SUM((DJ66*(20/100))+(DK66*(30/100))+(DL66*(50/100))) &lt;=6.8, SUM((DJ66*(20/100))+(DK66*(30/100))+(DL66*(50/100))) &gt;=6.3),6.5,
IF(AND( SUM((DJ66*(20/100))+(DK66*(30/100))+(DL66*(50/100))) &lt;=6.3, SUM((DJ66*(20/100))+(DK66*(30/100))+(DL66*(50/100))) &gt;=5.8),6,
IF(AND( SUM((DJ66*(20/100))+(DK66*(30/100))+(DL66*(50/100))) &lt;=5.8, SUM((DJ66*(20/100))+(DK66*(30/100))+(DL66*(50/100))) &gt;=5.3),5.5,
IF(AND( SUM((DJ66*(20/100))+(DK66*(30/100))+(DL66*(50/100))) &lt;=5.3, SUM((DJ66*(20/100))+(DK66*(30/100))+(DL66*(50/100))) &gt;=4.8),5,
IF(AND( SUM((DJ66*(20/100))+(DK66*(30/100))+(DL66*(50/100))) &lt;=4.8, SUM((DJ66*(20/100))+(DK66*(30/100))+(DL66*(50/100))) &gt;=4.3),4.5,
IF(AND( SUM((DJ66*(20/100))+(DK66*(30/100))+(DL66*(50/100))) &lt;=4.3, SUM((DJ66*(20/100))+(DK66*(30/100))+(DL66*(50/100))) &gt;=3.8),4,
IF(AND( SUM((DJ66*(20/100))+(DK66*(30/100))+(DL66*(50/100))) &lt;=3.8, SUM((DJ66*(20/100))+(DK66*(30/100))+(DL66*(50/100))) &gt;=3.5),3.5,0)))))))))))))</f>
        <v>0</v>
      </c>
      <c r="DQ66" s="541"/>
      <c r="DR66" s="541"/>
      <c r="DS66" s="541"/>
      <c r="DT66" s="541"/>
      <c r="DU66" s="541"/>
      <c r="DV66" s="541"/>
      <c r="DW66" s="541"/>
      <c r="DX66" s="541"/>
      <c r="DY66" s="541"/>
      <c r="DZ66" s="541"/>
    </row>
    <row r="67" spans="2:130" ht="15" customHeight="1" x14ac:dyDescent="0.25">
      <c r="B67" s="334">
        <v>10</v>
      </c>
      <c r="C67" s="541"/>
      <c r="D67" s="334"/>
      <c r="E67" s="334"/>
      <c r="F67" s="334"/>
      <c r="G67" s="334"/>
      <c r="H67" s="334"/>
      <c r="I67" s="334"/>
      <c r="J67" s="536"/>
      <c r="K67" s="536"/>
      <c r="L67" s="536"/>
      <c r="M67" s="536"/>
      <c r="N67" s="536"/>
      <c r="O67" s="536"/>
      <c r="P67" s="536">
        <f t="shared" si="1"/>
        <v>0</v>
      </c>
      <c r="Q67" s="536"/>
      <c r="R67" s="536"/>
      <c r="S67" s="536"/>
      <c r="T67" s="536">
        <f t="shared" si="2"/>
        <v>0</v>
      </c>
      <c r="U67" s="536"/>
      <c r="V67" s="536"/>
      <c r="W67" s="536"/>
      <c r="X67" s="536">
        <f t="shared" si="3"/>
        <v>0</v>
      </c>
      <c r="Y67" s="536"/>
      <c r="Z67" s="536"/>
      <c r="AA67" s="536"/>
      <c r="AB67" s="536">
        <f t="shared" si="4"/>
        <v>0</v>
      </c>
      <c r="AC67" s="536"/>
      <c r="AD67" s="536"/>
      <c r="AE67" s="536"/>
      <c r="AF67" s="536">
        <f t="shared" si="5"/>
        <v>0</v>
      </c>
      <c r="AG67" s="536"/>
      <c r="AH67" s="536"/>
      <c r="AI67" s="536"/>
      <c r="AJ67" s="536">
        <f t="shared" si="6"/>
        <v>0</v>
      </c>
      <c r="AK67" s="536"/>
      <c r="AL67" s="536"/>
      <c r="AM67" s="536"/>
      <c r="AN67" s="542">
        <f t="shared" si="7"/>
        <v>0</v>
      </c>
      <c r="AO67" s="536"/>
      <c r="AP67" s="536"/>
      <c r="AQ67" s="536"/>
      <c r="AR67" s="542">
        <f t="shared" si="8"/>
        <v>0</v>
      </c>
      <c r="AS67" s="536"/>
      <c r="AT67" s="536"/>
      <c r="AU67" s="536"/>
      <c r="AV67" s="542">
        <f t="shared" si="9"/>
        <v>0</v>
      </c>
      <c r="AW67" s="536"/>
      <c r="AX67" s="536"/>
      <c r="AY67" s="536"/>
      <c r="AZ67" s="542">
        <f t="shared" si="10"/>
        <v>0</v>
      </c>
      <c r="BA67" s="536"/>
      <c r="BB67" s="536"/>
      <c r="BC67" s="536"/>
      <c r="BD67" s="542">
        <f t="shared" si="11"/>
        <v>0</v>
      </c>
      <c r="BE67" s="536"/>
      <c r="BF67" s="536"/>
      <c r="BG67" s="536"/>
      <c r="BH67" s="542">
        <f t="shared" si="12"/>
        <v>0</v>
      </c>
      <c r="BI67" s="536"/>
      <c r="BJ67" s="536"/>
      <c r="BK67" s="536"/>
      <c r="BL67" s="542">
        <f t="shared" si="13"/>
        <v>0</v>
      </c>
      <c r="BM67" s="536"/>
      <c r="BN67" s="536"/>
      <c r="BO67" s="536"/>
      <c r="BP67" s="542">
        <f t="shared" si="14"/>
        <v>0</v>
      </c>
      <c r="BQ67" s="536"/>
      <c r="BR67" s="536"/>
      <c r="BS67" s="536"/>
      <c r="BT67" s="542">
        <f t="shared" si="15"/>
        <v>0</v>
      </c>
      <c r="BU67" s="536"/>
      <c r="BV67" s="536"/>
      <c r="BW67" s="536"/>
      <c r="BX67" s="542">
        <f t="shared" si="16"/>
        <v>0</v>
      </c>
      <c r="BY67" s="536"/>
      <c r="BZ67" s="536"/>
      <c r="CA67" s="536"/>
      <c r="CB67" s="542">
        <v>0</v>
      </c>
      <c r="CC67" s="536"/>
      <c r="CD67" s="536"/>
      <c r="CE67" s="536"/>
      <c r="CF67" s="541">
        <f t="shared" si="17"/>
        <v>0</v>
      </c>
      <c r="CG67" s="536"/>
      <c r="CH67" s="536"/>
      <c r="CI67" s="536"/>
      <c r="CJ67" s="541">
        <f t="shared" si="18"/>
        <v>0</v>
      </c>
      <c r="CK67" s="536"/>
      <c r="CL67" s="536"/>
      <c r="CM67" s="536"/>
      <c r="CN67" s="541">
        <f t="shared" si="19"/>
        <v>0</v>
      </c>
      <c r="CO67" s="536"/>
      <c r="CP67" s="536"/>
      <c r="CQ67" s="536"/>
      <c r="CR67" s="541">
        <f t="shared" si="20"/>
        <v>0</v>
      </c>
      <c r="CS67" s="536"/>
      <c r="CT67" s="536"/>
      <c r="CU67" s="536"/>
      <c r="CV67" s="541">
        <f t="shared" si="21"/>
        <v>0</v>
      </c>
      <c r="CW67" s="536"/>
      <c r="CX67" s="536"/>
      <c r="CY67" s="536"/>
      <c r="CZ67" s="541">
        <f t="shared" si="22"/>
        <v>0</v>
      </c>
      <c r="DA67" s="536"/>
      <c r="DB67" s="536"/>
      <c r="DC67" s="536"/>
      <c r="DD67" s="541">
        <f t="shared" si="23"/>
        <v>0</v>
      </c>
      <c r="DE67" s="536"/>
      <c r="DF67" s="536"/>
      <c r="DG67" s="536"/>
      <c r="DH67" s="541">
        <f t="shared" si="24"/>
        <v>0</v>
      </c>
      <c r="DI67" s="536"/>
      <c r="DJ67" s="536"/>
      <c r="DK67" s="536"/>
      <c r="DL67" s="541">
        <f t="shared" si="25"/>
        <v>0</v>
      </c>
      <c r="DM67" s="536"/>
      <c r="DN67" s="536"/>
      <c r="DO67" s="536"/>
      <c r="DP67" s="541">
        <f>IF( SUM((DJ67*(20/100))+(DK67*(30/100))+(DL67*(50/100))) &gt;=9.3,9.5,
IF(AND( SUM((DJ67*(20/100))+(DK67*(30/100))+(DL67*(50/100))) &lt;=9.3, SUM((DJ67*(20/100))+(DK67*(30/100))+(DL67*(50/100))) &gt;=8.8),9,
IF(AND( SUM((DJ67*(20/100))+(DK67*(30/100))+(DL67*(50/100))) &lt;=8.8, SUM((DJ67*(20/100))+(DK67*(30/100))+(DL67*(50/100))) &gt;=8.3),8.5,
IF(AND( SUM((DJ67*(20/100))+(DK67*(30/100))+(DL67*(50/100))) &lt;=8.3, SUM((DJ67*(20/100))+(DK67*(30/100))+(DL67*(50/100))) &gt;=7.8),8,
IF(AND( SUM((DJ67*(20/100))+(DK67*(30/100))+(DL67*(50/100))) &lt;=7.8, SUM((DJ67*(20/100))+(DK67*(30/100))+(DL67*(50/100))) &gt;=7.3),7.5,
IF(AND( SUM((DJ67*(20/100))+(DK67*(30/100))+(DL67*(50/100))) &lt;=7.3, SUM((DJ67*(20/100))+(DK67*(30/100))+(DL67*(50/100))) &gt;=6.8),7,
IF(AND( SUM((DJ67*(20/100))+(DK67*(30/100))+(DL67*(50/100))) &lt;=6.8, SUM((DJ67*(20/100))+(DK67*(30/100))+(DL67*(50/100))) &gt;=6.3),6.5,
IF(AND( SUM((DJ67*(20/100))+(DK67*(30/100))+(DL67*(50/100))) &lt;=6.3, SUM((DJ67*(20/100))+(DK67*(30/100))+(DL67*(50/100))) &gt;=5.8),6,
IF(AND( SUM((DJ67*(20/100))+(DK67*(30/100))+(DL67*(50/100))) &lt;=5.8, SUM((DJ67*(20/100))+(DK67*(30/100))+(DL67*(50/100))) &gt;=5.3),5.5,
IF(AND( SUM((DJ67*(20/100))+(DK67*(30/100))+(DL67*(50/100))) &lt;=5.3, SUM((DJ67*(20/100))+(DK67*(30/100))+(DL67*(50/100))) &gt;=4.8),5,
IF(AND( SUM((DJ67*(20/100))+(DK67*(30/100))+(DL67*(50/100))) &lt;=4.8, SUM((DJ67*(20/100))+(DK67*(30/100))+(DL67*(50/100))) &gt;=4.3),4.5,
IF(AND( SUM((DJ67*(20/100))+(DK67*(30/100))+(DL67*(50/100))) &lt;=4.3, SUM((DJ67*(20/100))+(DK67*(30/100))+(DL67*(50/100))) &gt;=3.8),4,
IF(AND( SUM((DJ67*(20/100))+(DK67*(30/100))+(DL67*(50/100))) &lt;=3.8, SUM((DJ67*(20/100))+(DK67*(30/100))+(DL67*(50/100))) &gt;=3.5),3.5,0)))))))))))))</f>
        <v>0</v>
      </c>
      <c r="DQ67" s="541"/>
      <c r="DR67" s="541"/>
      <c r="DS67" s="541"/>
      <c r="DT67" s="541"/>
      <c r="DU67" s="541"/>
      <c r="DV67" s="541"/>
      <c r="DW67" s="541"/>
      <c r="DX67" s="541"/>
      <c r="DY67" s="541"/>
      <c r="DZ67" s="541"/>
    </row>
    <row r="68" spans="2:130" ht="15" customHeight="1" x14ac:dyDescent="0.25">
      <c r="B68" s="334">
        <v>11</v>
      </c>
      <c r="C68" s="541"/>
      <c r="D68" s="334"/>
      <c r="E68" s="334"/>
      <c r="F68" s="334"/>
      <c r="G68" s="334"/>
      <c r="H68" s="334"/>
      <c r="I68" s="334"/>
      <c r="J68" s="536"/>
      <c r="K68" s="536"/>
      <c r="L68" s="536"/>
      <c r="M68" s="536"/>
      <c r="N68" s="536"/>
      <c r="O68" s="536"/>
      <c r="P68" s="536">
        <f t="shared" si="1"/>
        <v>0</v>
      </c>
      <c r="Q68" s="536"/>
      <c r="R68" s="536"/>
      <c r="S68" s="536"/>
      <c r="T68" s="536">
        <f t="shared" si="2"/>
        <v>0</v>
      </c>
      <c r="U68" s="536"/>
      <c r="V68" s="536"/>
      <c r="W68" s="536"/>
      <c r="X68" s="536">
        <f t="shared" si="3"/>
        <v>0</v>
      </c>
      <c r="Y68" s="536"/>
      <c r="Z68" s="536"/>
      <c r="AA68" s="536"/>
      <c r="AB68" s="536">
        <f t="shared" si="4"/>
        <v>0</v>
      </c>
      <c r="AC68" s="536"/>
      <c r="AD68" s="536"/>
      <c r="AE68" s="536"/>
      <c r="AF68" s="536">
        <f t="shared" si="5"/>
        <v>0</v>
      </c>
      <c r="AG68" s="536"/>
      <c r="AH68" s="536"/>
      <c r="AI68" s="536"/>
      <c r="AJ68" s="536">
        <f t="shared" si="6"/>
        <v>0</v>
      </c>
      <c r="AK68" s="536"/>
      <c r="AL68" s="536"/>
      <c r="AM68" s="536"/>
      <c r="AN68" s="542">
        <f t="shared" si="7"/>
        <v>0</v>
      </c>
      <c r="AO68" s="536"/>
      <c r="AP68" s="536"/>
      <c r="AQ68" s="536"/>
      <c r="AR68" s="542">
        <f t="shared" si="8"/>
        <v>0</v>
      </c>
      <c r="AS68" s="536"/>
      <c r="AT68" s="536"/>
      <c r="AU68" s="536"/>
      <c r="AV68" s="542">
        <f t="shared" si="9"/>
        <v>0</v>
      </c>
      <c r="AW68" s="536"/>
      <c r="AX68" s="536"/>
      <c r="AY68" s="536"/>
      <c r="AZ68" s="542">
        <f t="shared" si="10"/>
        <v>0</v>
      </c>
      <c r="BA68" s="536"/>
      <c r="BB68" s="536"/>
      <c r="BC68" s="536"/>
      <c r="BD68" s="542">
        <f t="shared" si="11"/>
        <v>0</v>
      </c>
      <c r="BE68" s="536"/>
      <c r="BF68" s="536"/>
      <c r="BG68" s="536"/>
      <c r="BH68" s="542">
        <f t="shared" si="12"/>
        <v>0</v>
      </c>
      <c r="BI68" s="536"/>
      <c r="BJ68" s="536"/>
      <c r="BK68" s="536"/>
      <c r="BL68" s="542">
        <f t="shared" si="13"/>
        <v>0</v>
      </c>
      <c r="BM68" s="536"/>
      <c r="BN68" s="536"/>
      <c r="BO68" s="536"/>
      <c r="BP68" s="542">
        <f t="shared" si="14"/>
        <v>0</v>
      </c>
      <c r="BQ68" s="536"/>
      <c r="BR68" s="536"/>
      <c r="BS68" s="536"/>
      <c r="BT68" s="542">
        <f t="shared" si="15"/>
        <v>0</v>
      </c>
      <c r="BU68" s="536"/>
      <c r="BV68" s="536"/>
      <c r="BW68" s="536"/>
      <c r="BX68" s="542">
        <f t="shared" si="16"/>
        <v>0</v>
      </c>
      <c r="BY68" s="536"/>
      <c r="BZ68" s="536"/>
      <c r="CA68" s="536"/>
      <c r="CB68" s="542">
        <v>0</v>
      </c>
      <c r="CC68" s="536"/>
      <c r="CD68" s="536"/>
      <c r="CE68" s="536"/>
      <c r="CF68" s="541">
        <f t="shared" si="17"/>
        <v>0</v>
      </c>
      <c r="CG68" s="536"/>
      <c r="CH68" s="536"/>
      <c r="CI68" s="536"/>
      <c r="CJ68" s="541">
        <f t="shared" si="18"/>
        <v>0</v>
      </c>
      <c r="CK68" s="536"/>
      <c r="CL68" s="536"/>
      <c r="CM68" s="536"/>
      <c r="CN68" s="541">
        <f t="shared" si="19"/>
        <v>0</v>
      </c>
      <c r="CO68" s="536"/>
      <c r="CP68" s="536"/>
      <c r="CQ68" s="536"/>
      <c r="CR68" s="541">
        <f t="shared" si="20"/>
        <v>0</v>
      </c>
      <c r="CS68" s="536"/>
      <c r="CT68" s="536"/>
      <c r="CU68" s="536"/>
      <c r="CV68" s="541">
        <f t="shared" si="21"/>
        <v>0</v>
      </c>
      <c r="CW68" s="536"/>
      <c r="CX68" s="536"/>
      <c r="CY68" s="536"/>
      <c r="CZ68" s="541">
        <f t="shared" si="22"/>
        <v>0</v>
      </c>
      <c r="DA68" s="536"/>
      <c r="DB68" s="536"/>
      <c r="DC68" s="536"/>
      <c r="DD68" s="541">
        <f t="shared" si="23"/>
        <v>0</v>
      </c>
      <c r="DE68" s="536"/>
      <c r="DF68" s="536"/>
      <c r="DG68" s="536"/>
      <c r="DH68" s="541">
        <f t="shared" si="24"/>
        <v>0</v>
      </c>
      <c r="DI68" s="536"/>
      <c r="DJ68" s="536"/>
      <c r="DK68" s="536"/>
      <c r="DL68" s="541">
        <f t="shared" si="25"/>
        <v>0</v>
      </c>
      <c r="DM68" s="536"/>
      <c r="DN68" s="536"/>
      <c r="DO68" s="536"/>
      <c r="DP68" s="541">
        <f>IF( SUM((DJ68*(20/100))+(DK68*(30/100))+(DL68*(50/100))) &gt;=9.3,9.5,
IF(AND( SUM((DJ68*(20/100))+(DK68*(30/100))+(DL68*(50/100))) &lt;=9.3, SUM((DJ68*(20/100))+(DK68*(30/100))+(DL68*(50/100))) &gt;=8.8),9,
IF(AND( SUM((DJ68*(20/100))+(DK68*(30/100))+(DL68*(50/100))) &lt;=8.8, SUM((DJ68*(20/100))+(DK68*(30/100))+(DL68*(50/100))) &gt;=8.3),8.5,
IF(AND( SUM((DJ68*(20/100))+(DK68*(30/100))+(DL68*(50/100))) &lt;=8.3, SUM((DJ68*(20/100))+(DK68*(30/100))+(DL68*(50/100))) &gt;=7.8),8,
IF(AND( SUM((DJ68*(20/100))+(DK68*(30/100))+(DL68*(50/100))) &lt;=7.8, SUM((DJ68*(20/100))+(DK68*(30/100))+(DL68*(50/100))) &gt;=7.3),7.5,
IF(AND( SUM((DJ68*(20/100))+(DK68*(30/100))+(DL68*(50/100))) &lt;=7.3, SUM((DJ68*(20/100))+(DK68*(30/100))+(DL68*(50/100))) &gt;=6.8),7,
IF(AND( SUM((DJ68*(20/100))+(DK68*(30/100))+(DL68*(50/100))) &lt;=6.8, SUM((DJ68*(20/100))+(DK68*(30/100))+(DL68*(50/100))) &gt;=6.3),6.5,
IF(AND( SUM((DJ68*(20/100))+(DK68*(30/100))+(DL68*(50/100))) &lt;=6.3, SUM((DJ68*(20/100))+(DK68*(30/100))+(DL68*(50/100))) &gt;=5.8),6,
IF(AND( SUM((DJ68*(20/100))+(DK68*(30/100))+(DL68*(50/100))) &lt;=5.8, SUM((DJ68*(20/100))+(DK68*(30/100))+(DL68*(50/100))) &gt;=5.3),5.5,
IF(AND( SUM((DJ68*(20/100))+(DK68*(30/100))+(DL68*(50/100))) &lt;=5.3, SUM((DJ68*(20/100))+(DK68*(30/100))+(DL68*(50/100))) &gt;=4.8),5,
IF(AND( SUM((DJ68*(20/100))+(DK68*(30/100))+(DL68*(50/100))) &lt;=4.8, SUM((DJ68*(20/100))+(DK68*(30/100))+(DL68*(50/100))) &gt;=4.3),4.5,
IF(AND( SUM((DJ68*(20/100))+(DK68*(30/100))+(DL68*(50/100))) &lt;=4.3, SUM((DJ68*(20/100))+(DK68*(30/100))+(DL68*(50/100))) &gt;=3.8),4,
IF(AND( SUM((DJ68*(20/100))+(DK68*(30/100))+(DL68*(50/100))) &lt;=3.8, SUM((DJ68*(20/100))+(DK68*(30/100))+(DL68*(50/100))) &gt;=3.5),3.5,0)))))))))))))</f>
        <v>0</v>
      </c>
      <c r="DQ68" s="541"/>
      <c r="DR68" s="541"/>
      <c r="DS68" s="541"/>
      <c r="DT68" s="541"/>
      <c r="DU68" s="541"/>
      <c r="DV68" s="541"/>
      <c r="DW68" s="541"/>
      <c r="DX68" s="541"/>
      <c r="DY68" s="541"/>
      <c r="DZ68" s="541"/>
    </row>
    <row r="69" spans="2:130" ht="15" customHeight="1" x14ac:dyDescent="0.25">
      <c r="B69" s="334">
        <v>12</v>
      </c>
      <c r="C69" s="541"/>
      <c r="D69" s="334"/>
      <c r="E69" s="334"/>
      <c r="F69" s="334"/>
      <c r="G69" s="334"/>
      <c r="H69" s="334"/>
      <c r="I69" s="334"/>
      <c r="J69" s="536"/>
      <c r="K69" s="536"/>
      <c r="L69" s="536"/>
      <c r="M69" s="536"/>
      <c r="N69" s="536"/>
      <c r="O69" s="536"/>
      <c r="P69" s="536">
        <f t="shared" si="1"/>
        <v>0</v>
      </c>
      <c r="Q69" s="536"/>
      <c r="R69" s="536"/>
      <c r="S69" s="536"/>
      <c r="T69" s="536">
        <f t="shared" si="2"/>
        <v>0</v>
      </c>
      <c r="U69" s="536"/>
      <c r="V69" s="536"/>
      <c r="W69" s="536"/>
      <c r="X69" s="536">
        <f t="shared" si="3"/>
        <v>0</v>
      </c>
      <c r="Y69" s="536"/>
      <c r="Z69" s="536"/>
      <c r="AA69" s="536"/>
      <c r="AB69" s="536">
        <f t="shared" si="4"/>
        <v>0</v>
      </c>
      <c r="AC69" s="536"/>
      <c r="AD69" s="536"/>
      <c r="AE69" s="536"/>
      <c r="AF69" s="536">
        <f t="shared" si="5"/>
        <v>0</v>
      </c>
      <c r="AG69" s="536"/>
      <c r="AH69" s="536"/>
      <c r="AI69" s="536"/>
      <c r="AJ69" s="536">
        <f t="shared" si="6"/>
        <v>0</v>
      </c>
      <c r="AK69" s="536"/>
      <c r="AL69" s="536"/>
      <c r="AM69" s="536"/>
      <c r="AN69" s="542">
        <f t="shared" si="7"/>
        <v>0</v>
      </c>
      <c r="AO69" s="536"/>
      <c r="AP69" s="536"/>
      <c r="AQ69" s="536"/>
      <c r="AR69" s="542">
        <f t="shared" si="8"/>
        <v>0</v>
      </c>
      <c r="AS69" s="536"/>
      <c r="AT69" s="536"/>
      <c r="AU69" s="536"/>
      <c r="AV69" s="542">
        <f t="shared" si="9"/>
        <v>0</v>
      </c>
      <c r="AW69" s="536"/>
      <c r="AX69" s="536"/>
      <c r="AY69" s="536"/>
      <c r="AZ69" s="542">
        <f t="shared" si="10"/>
        <v>0</v>
      </c>
      <c r="BA69" s="536"/>
      <c r="BB69" s="536"/>
      <c r="BC69" s="536"/>
      <c r="BD69" s="542">
        <f t="shared" si="11"/>
        <v>0</v>
      </c>
      <c r="BE69" s="536"/>
      <c r="BF69" s="536"/>
      <c r="BG69" s="536"/>
      <c r="BH69" s="542">
        <f t="shared" si="12"/>
        <v>0</v>
      </c>
      <c r="BI69" s="536"/>
      <c r="BJ69" s="536"/>
      <c r="BK69" s="536"/>
      <c r="BL69" s="542">
        <f t="shared" si="13"/>
        <v>0</v>
      </c>
      <c r="BM69" s="536"/>
      <c r="BN69" s="536"/>
      <c r="BO69" s="536"/>
      <c r="BP69" s="542">
        <f t="shared" si="14"/>
        <v>0</v>
      </c>
      <c r="BQ69" s="536"/>
      <c r="BR69" s="536"/>
      <c r="BS69" s="536"/>
      <c r="BT69" s="542">
        <f t="shared" si="15"/>
        <v>0</v>
      </c>
      <c r="BU69" s="536"/>
      <c r="BV69" s="536"/>
      <c r="BW69" s="536"/>
      <c r="BX69" s="542">
        <f t="shared" si="16"/>
        <v>0</v>
      </c>
      <c r="BY69" s="536"/>
      <c r="BZ69" s="536"/>
      <c r="CA69" s="536"/>
      <c r="CB69" s="542">
        <v>0</v>
      </c>
      <c r="CC69" s="536"/>
      <c r="CD69" s="536"/>
      <c r="CE69" s="536"/>
      <c r="CF69" s="541">
        <f t="shared" si="17"/>
        <v>0</v>
      </c>
      <c r="CG69" s="536"/>
      <c r="CH69" s="536"/>
      <c r="CI69" s="536"/>
      <c r="CJ69" s="541">
        <f t="shared" si="18"/>
        <v>0</v>
      </c>
      <c r="CK69" s="536"/>
      <c r="CL69" s="536"/>
      <c r="CM69" s="536"/>
      <c r="CN69" s="541">
        <f t="shared" si="19"/>
        <v>0</v>
      </c>
      <c r="CO69" s="536"/>
      <c r="CP69" s="536"/>
      <c r="CQ69" s="536"/>
      <c r="CR69" s="541">
        <f t="shared" si="20"/>
        <v>0</v>
      </c>
      <c r="CS69" s="536"/>
      <c r="CT69" s="536"/>
      <c r="CU69" s="536"/>
      <c r="CV69" s="541">
        <f t="shared" si="21"/>
        <v>0</v>
      </c>
      <c r="CW69" s="536"/>
      <c r="CX69" s="536"/>
      <c r="CY69" s="536"/>
      <c r="CZ69" s="541">
        <f t="shared" si="22"/>
        <v>0</v>
      </c>
      <c r="DA69" s="536"/>
      <c r="DB69" s="536"/>
      <c r="DC69" s="536"/>
      <c r="DD69" s="541">
        <f t="shared" si="23"/>
        <v>0</v>
      </c>
      <c r="DE69" s="536"/>
      <c r="DF69" s="536"/>
      <c r="DG69" s="536"/>
      <c r="DH69" s="541">
        <f t="shared" si="24"/>
        <v>0</v>
      </c>
      <c r="DI69" s="536"/>
      <c r="DJ69" s="536"/>
      <c r="DK69" s="536"/>
      <c r="DL69" s="541">
        <f t="shared" si="25"/>
        <v>0</v>
      </c>
      <c r="DM69" s="536"/>
      <c r="DN69" s="536"/>
      <c r="DO69" s="536"/>
      <c r="DP69" s="541">
        <f>IF( SUM((DJ69*(20/100))+(DK69*(30/100))+(DL69*(50/100))) &gt;=9.3,9.5,
IF(AND( SUM((DJ69*(20/100))+(DK69*(30/100))+(DL69*(50/100))) &lt;=9.3, SUM((DJ69*(20/100))+(DK69*(30/100))+(DL69*(50/100))) &gt;=8.8),9,
IF(AND( SUM((DJ69*(20/100))+(DK69*(30/100))+(DL69*(50/100))) &lt;=8.8, SUM((DJ69*(20/100))+(DK69*(30/100))+(DL69*(50/100))) &gt;=8.3),8.5,
IF(AND( SUM((DJ69*(20/100))+(DK69*(30/100))+(DL69*(50/100))) &lt;=8.3, SUM((DJ69*(20/100))+(DK69*(30/100))+(DL69*(50/100))) &gt;=7.8),8,
IF(AND( SUM((DJ69*(20/100))+(DK69*(30/100))+(DL69*(50/100))) &lt;=7.8, SUM((DJ69*(20/100))+(DK69*(30/100))+(DL69*(50/100))) &gt;=7.3),7.5,
IF(AND( SUM((DJ69*(20/100))+(DK69*(30/100))+(DL69*(50/100))) &lt;=7.3, SUM((DJ69*(20/100))+(DK69*(30/100))+(DL69*(50/100))) &gt;=6.8),7,
IF(AND( SUM((DJ69*(20/100))+(DK69*(30/100))+(DL69*(50/100))) &lt;=6.8, SUM((DJ69*(20/100))+(DK69*(30/100))+(DL69*(50/100))) &gt;=6.3),6.5,
IF(AND( SUM((DJ69*(20/100))+(DK69*(30/100))+(DL69*(50/100))) &lt;=6.3, SUM((DJ69*(20/100))+(DK69*(30/100))+(DL69*(50/100))) &gt;=5.8),6,
IF(AND( SUM((DJ69*(20/100))+(DK69*(30/100))+(DL69*(50/100))) &lt;=5.8, SUM((DJ69*(20/100))+(DK69*(30/100))+(DL69*(50/100))) &gt;=5.3),5.5,
IF(AND( SUM((DJ69*(20/100))+(DK69*(30/100))+(DL69*(50/100))) &lt;=5.3, SUM((DJ69*(20/100))+(DK69*(30/100))+(DL69*(50/100))) &gt;=4.8),5,
IF(AND( SUM((DJ69*(20/100))+(DK69*(30/100))+(DL69*(50/100))) &lt;=4.8, SUM((DJ69*(20/100))+(DK69*(30/100))+(DL69*(50/100))) &gt;=4.3),4.5,
IF(AND( SUM((DJ69*(20/100))+(DK69*(30/100))+(DL69*(50/100))) &lt;=4.3, SUM((DJ69*(20/100))+(DK69*(30/100))+(DL69*(50/100))) &gt;=3.8),4,
IF(AND( SUM((DJ69*(20/100))+(DK69*(30/100))+(DL69*(50/100))) &lt;=3.8, SUM((DJ69*(20/100))+(DK69*(30/100))+(DL69*(50/100))) &gt;=3.5),3.5,0)))))))))))))</f>
        <v>0</v>
      </c>
      <c r="DQ69" s="541"/>
      <c r="DR69" s="541"/>
      <c r="DS69" s="541"/>
      <c r="DT69" s="541"/>
      <c r="DU69" s="541"/>
      <c r="DV69" s="541"/>
      <c r="DW69" s="541"/>
      <c r="DX69" s="541"/>
      <c r="DY69" s="541"/>
      <c r="DZ69" s="541"/>
    </row>
    <row r="70" spans="2:130" ht="15" customHeight="1" x14ac:dyDescent="0.25">
      <c r="B70" s="334">
        <v>13</v>
      </c>
      <c r="C70" s="541"/>
      <c r="D70" s="334"/>
      <c r="E70" s="334"/>
      <c r="F70" s="334"/>
      <c r="G70" s="334"/>
      <c r="H70" s="334"/>
      <c r="I70" s="334"/>
      <c r="J70" s="536"/>
      <c r="K70" s="536"/>
      <c r="L70" s="536"/>
      <c r="M70" s="536"/>
      <c r="N70" s="536"/>
      <c r="O70" s="536"/>
      <c r="P70" s="536">
        <f t="shared" si="1"/>
        <v>0</v>
      </c>
      <c r="Q70" s="536"/>
      <c r="R70" s="536"/>
      <c r="S70" s="536"/>
      <c r="T70" s="536">
        <f t="shared" si="2"/>
        <v>0</v>
      </c>
      <c r="U70" s="536"/>
      <c r="V70" s="536"/>
      <c r="W70" s="536"/>
      <c r="X70" s="536">
        <f t="shared" si="3"/>
        <v>0</v>
      </c>
      <c r="Y70" s="536"/>
      <c r="Z70" s="536"/>
      <c r="AA70" s="536"/>
      <c r="AB70" s="536">
        <f t="shared" si="4"/>
        <v>0</v>
      </c>
      <c r="AC70" s="536"/>
      <c r="AD70" s="536"/>
      <c r="AE70" s="536"/>
      <c r="AF70" s="536">
        <f t="shared" si="5"/>
        <v>0</v>
      </c>
      <c r="AG70" s="536"/>
      <c r="AH70" s="536"/>
      <c r="AI70" s="536"/>
      <c r="AJ70" s="536">
        <f t="shared" si="6"/>
        <v>0</v>
      </c>
      <c r="AK70" s="536"/>
      <c r="AL70" s="536"/>
      <c r="AM70" s="536"/>
      <c r="AN70" s="542">
        <f t="shared" si="7"/>
        <v>0</v>
      </c>
      <c r="AO70" s="536"/>
      <c r="AP70" s="536"/>
      <c r="AQ70" s="536"/>
      <c r="AR70" s="542">
        <f t="shared" si="8"/>
        <v>0</v>
      </c>
      <c r="AS70" s="536"/>
      <c r="AT70" s="536"/>
      <c r="AU70" s="536"/>
      <c r="AV70" s="542">
        <f t="shared" si="9"/>
        <v>0</v>
      </c>
      <c r="AW70" s="536"/>
      <c r="AX70" s="536"/>
      <c r="AY70" s="536"/>
      <c r="AZ70" s="542">
        <f t="shared" si="10"/>
        <v>0</v>
      </c>
      <c r="BA70" s="536"/>
      <c r="BB70" s="536"/>
      <c r="BC70" s="536"/>
      <c r="BD70" s="542">
        <f t="shared" si="11"/>
        <v>0</v>
      </c>
      <c r="BE70" s="536"/>
      <c r="BF70" s="536"/>
      <c r="BG70" s="536"/>
      <c r="BH70" s="542">
        <f t="shared" si="12"/>
        <v>0</v>
      </c>
      <c r="BI70" s="536"/>
      <c r="BJ70" s="536"/>
      <c r="BK70" s="536"/>
      <c r="BL70" s="542">
        <f t="shared" si="13"/>
        <v>0</v>
      </c>
      <c r="BM70" s="536"/>
      <c r="BN70" s="536"/>
      <c r="BO70" s="536"/>
      <c r="BP70" s="542">
        <f t="shared" si="14"/>
        <v>0</v>
      </c>
      <c r="BQ70" s="536"/>
      <c r="BR70" s="536"/>
      <c r="BS70" s="536"/>
      <c r="BT70" s="542">
        <f t="shared" si="15"/>
        <v>0</v>
      </c>
      <c r="BU70" s="536"/>
      <c r="BV70" s="536"/>
      <c r="BW70" s="536"/>
      <c r="BX70" s="542">
        <f t="shared" si="16"/>
        <v>0</v>
      </c>
      <c r="BY70" s="536"/>
      <c r="BZ70" s="536"/>
      <c r="CA70" s="536"/>
      <c r="CB70" s="542">
        <v>0</v>
      </c>
      <c r="CC70" s="536"/>
      <c r="CD70" s="536"/>
      <c r="CE70" s="536"/>
      <c r="CF70" s="541">
        <f t="shared" si="17"/>
        <v>0</v>
      </c>
      <c r="CG70" s="536"/>
      <c r="CH70" s="536"/>
      <c r="CI70" s="536"/>
      <c r="CJ70" s="541">
        <f t="shared" si="18"/>
        <v>0</v>
      </c>
      <c r="CK70" s="536"/>
      <c r="CL70" s="536"/>
      <c r="CM70" s="536"/>
      <c r="CN70" s="541">
        <f t="shared" si="19"/>
        <v>0</v>
      </c>
      <c r="CO70" s="536"/>
      <c r="CP70" s="536"/>
      <c r="CQ70" s="536"/>
      <c r="CR70" s="541">
        <f t="shared" si="20"/>
        <v>0</v>
      </c>
      <c r="CS70" s="536"/>
      <c r="CT70" s="536"/>
      <c r="CU70" s="536"/>
      <c r="CV70" s="541">
        <f t="shared" si="21"/>
        <v>0</v>
      </c>
      <c r="CW70" s="536"/>
      <c r="CX70" s="536"/>
      <c r="CY70" s="536"/>
      <c r="CZ70" s="541">
        <f t="shared" si="22"/>
        <v>0</v>
      </c>
      <c r="DA70" s="536"/>
      <c r="DB70" s="536"/>
      <c r="DC70" s="536"/>
      <c r="DD70" s="541">
        <f t="shared" si="23"/>
        <v>0</v>
      </c>
      <c r="DE70" s="536"/>
      <c r="DF70" s="536"/>
      <c r="DG70" s="536"/>
      <c r="DH70" s="541">
        <f t="shared" si="24"/>
        <v>0</v>
      </c>
      <c r="DI70" s="536"/>
      <c r="DJ70" s="536"/>
      <c r="DK70" s="536"/>
      <c r="DL70" s="541">
        <f t="shared" si="25"/>
        <v>0</v>
      </c>
      <c r="DM70" s="536"/>
      <c r="DN70" s="536"/>
      <c r="DO70" s="536"/>
      <c r="DP70" s="541">
        <f>IF( SUM((DJ70*(20/100))+(DK70*(30/100))+(DL70*(50/100))) &gt;=9.3,9.5,
IF(AND( SUM((DJ70*(20/100))+(DK70*(30/100))+(DL70*(50/100))) &lt;=9.3, SUM((DJ70*(20/100))+(DK70*(30/100))+(DL70*(50/100))) &gt;=8.8),9,
IF(AND( SUM((DJ70*(20/100))+(DK70*(30/100))+(DL70*(50/100))) &lt;=8.8, SUM((DJ70*(20/100))+(DK70*(30/100))+(DL70*(50/100))) &gt;=8.3),8.5,
IF(AND( SUM((DJ70*(20/100))+(DK70*(30/100))+(DL70*(50/100))) &lt;=8.3, SUM((DJ70*(20/100))+(DK70*(30/100))+(DL70*(50/100))) &gt;=7.8),8,
IF(AND( SUM((DJ70*(20/100))+(DK70*(30/100))+(DL70*(50/100))) &lt;=7.8, SUM((DJ70*(20/100))+(DK70*(30/100))+(DL70*(50/100))) &gt;=7.3),7.5,
IF(AND( SUM((DJ70*(20/100))+(DK70*(30/100))+(DL70*(50/100))) &lt;=7.3, SUM((DJ70*(20/100))+(DK70*(30/100))+(DL70*(50/100))) &gt;=6.8),7,
IF(AND( SUM((DJ70*(20/100))+(DK70*(30/100))+(DL70*(50/100))) &lt;=6.8, SUM((DJ70*(20/100))+(DK70*(30/100))+(DL70*(50/100))) &gt;=6.3),6.5,
IF(AND( SUM((DJ70*(20/100))+(DK70*(30/100))+(DL70*(50/100))) &lt;=6.3, SUM((DJ70*(20/100))+(DK70*(30/100))+(DL70*(50/100))) &gt;=5.8),6,
IF(AND( SUM((DJ70*(20/100))+(DK70*(30/100))+(DL70*(50/100))) &lt;=5.8, SUM((DJ70*(20/100))+(DK70*(30/100))+(DL70*(50/100))) &gt;=5.3),5.5,
IF(AND( SUM((DJ70*(20/100))+(DK70*(30/100))+(DL70*(50/100))) &lt;=5.3, SUM((DJ70*(20/100))+(DK70*(30/100))+(DL70*(50/100))) &gt;=4.8),5,
IF(AND( SUM((DJ70*(20/100))+(DK70*(30/100))+(DL70*(50/100))) &lt;=4.8, SUM((DJ70*(20/100))+(DK70*(30/100))+(DL70*(50/100))) &gt;=4.3),4.5,
IF(AND( SUM((DJ70*(20/100))+(DK70*(30/100))+(DL70*(50/100))) &lt;=4.3, SUM((DJ70*(20/100))+(DK70*(30/100))+(DL70*(50/100))) &gt;=3.8),4,
IF(AND( SUM((DJ70*(20/100))+(DK70*(30/100))+(DL70*(50/100))) &lt;=3.8, SUM((DJ70*(20/100))+(DK70*(30/100))+(DL70*(50/100))) &gt;=3.5),3.5,0)))))))))))))</f>
        <v>0</v>
      </c>
      <c r="DQ70" s="541"/>
      <c r="DR70" s="541"/>
      <c r="DS70" s="541"/>
      <c r="DT70" s="541"/>
      <c r="DU70" s="541"/>
      <c r="DV70" s="541"/>
      <c r="DW70" s="541"/>
      <c r="DX70" s="541"/>
      <c r="DY70" s="541"/>
      <c r="DZ70" s="541"/>
    </row>
    <row r="71" spans="2:130" ht="15" customHeight="1" x14ac:dyDescent="0.25">
      <c r="B71" s="334">
        <v>14</v>
      </c>
      <c r="C71" s="541"/>
      <c r="D71" s="334"/>
      <c r="E71" s="334"/>
      <c r="F71" s="334"/>
      <c r="G71" s="334"/>
      <c r="H71" s="334"/>
      <c r="I71" s="334"/>
      <c r="J71" s="536"/>
      <c r="K71" s="536"/>
      <c r="L71" s="536"/>
      <c r="M71" s="536"/>
      <c r="N71" s="536"/>
      <c r="O71" s="536"/>
      <c r="P71" s="536">
        <f t="shared" si="1"/>
        <v>0</v>
      </c>
      <c r="Q71" s="536"/>
      <c r="R71" s="536"/>
      <c r="S71" s="536"/>
      <c r="T71" s="536">
        <f t="shared" si="2"/>
        <v>0</v>
      </c>
      <c r="U71" s="536"/>
      <c r="V71" s="536"/>
      <c r="W71" s="536"/>
      <c r="X71" s="536">
        <f t="shared" si="3"/>
        <v>0</v>
      </c>
      <c r="Y71" s="536"/>
      <c r="Z71" s="536"/>
      <c r="AA71" s="536"/>
      <c r="AB71" s="536">
        <f t="shared" si="4"/>
        <v>0</v>
      </c>
      <c r="AC71" s="536"/>
      <c r="AD71" s="536"/>
      <c r="AE71" s="536"/>
      <c r="AF71" s="536">
        <f t="shared" si="5"/>
        <v>0</v>
      </c>
      <c r="AG71" s="536"/>
      <c r="AH71" s="536"/>
      <c r="AI71" s="536"/>
      <c r="AJ71" s="536">
        <f t="shared" si="6"/>
        <v>0</v>
      </c>
      <c r="AK71" s="536"/>
      <c r="AL71" s="536"/>
      <c r="AM71" s="536"/>
      <c r="AN71" s="542">
        <f t="shared" si="7"/>
        <v>0</v>
      </c>
      <c r="AO71" s="536"/>
      <c r="AP71" s="536"/>
      <c r="AQ71" s="536"/>
      <c r="AR71" s="542">
        <f t="shared" si="8"/>
        <v>0</v>
      </c>
      <c r="AS71" s="536"/>
      <c r="AT71" s="536"/>
      <c r="AU71" s="536"/>
      <c r="AV71" s="542">
        <f t="shared" si="9"/>
        <v>0</v>
      </c>
      <c r="AW71" s="536"/>
      <c r="AX71" s="536"/>
      <c r="AY71" s="536"/>
      <c r="AZ71" s="542">
        <f t="shared" si="10"/>
        <v>0</v>
      </c>
      <c r="BA71" s="536"/>
      <c r="BB71" s="536"/>
      <c r="BC71" s="536"/>
      <c r="BD71" s="542">
        <f t="shared" si="11"/>
        <v>0</v>
      </c>
      <c r="BE71" s="536"/>
      <c r="BF71" s="536"/>
      <c r="BG71" s="536"/>
      <c r="BH71" s="542">
        <f t="shared" si="12"/>
        <v>0</v>
      </c>
      <c r="BI71" s="536"/>
      <c r="BJ71" s="536"/>
      <c r="BK71" s="536"/>
      <c r="BL71" s="542">
        <f t="shared" si="13"/>
        <v>0</v>
      </c>
      <c r="BM71" s="536"/>
      <c r="BN71" s="536"/>
      <c r="BO71" s="536"/>
      <c r="BP71" s="542">
        <f t="shared" si="14"/>
        <v>0</v>
      </c>
      <c r="BQ71" s="536"/>
      <c r="BR71" s="536"/>
      <c r="BS71" s="536"/>
      <c r="BT71" s="542">
        <f t="shared" si="15"/>
        <v>0</v>
      </c>
      <c r="BU71" s="536"/>
      <c r="BV71" s="536"/>
      <c r="BW71" s="536"/>
      <c r="BX71" s="542">
        <f t="shared" si="16"/>
        <v>0</v>
      </c>
      <c r="BY71" s="536"/>
      <c r="BZ71" s="536"/>
      <c r="CA71" s="536"/>
      <c r="CB71" s="542">
        <v>0</v>
      </c>
      <c r="CC71" s="536"/>
      <c r="CD71" s="536"/>
      <c r="CE71" s="536"/>
      <c r="CF71" s="541">
        <f t="shared" si="17"/>
        <v>0</v>
      </c>
      <c r="CG71" s="536"/>
      <c r="CH71" s="536"/>
      <c r="CI71" s="536"/>
      <c r="CJ71" s="541">
        <f t="shared" si="18"/>
        <v>0</v>
      </c>
      <c r="CK71" s="536"/>
      <c r="CL71" s="536"/>
      <c r="CM71" s="536"/>
      <c r="CN71" s="541">
        <f t="shared" si="19"/>
        <v>0</v>
      </c>
      <c r="CO71" s="536"/>
      <c r="CP71" s="536"/>
      <c r="CQ71" s="536"/>
      <c r="CR71" s="541">
        <f t="shared" si="20"/>
        <v>0</v>
      </c>
      <c r="CS71" s="536"/>
      <c r="CT71" s="536"/>
      <c r="CU71" s="536"/>
      <c r="CV71" s="541">
        <f t="shared" si="21"/>
        <v>0</v>
      </c>
      <c r="CW71" s="536"/>
      <c r="CX71" s="536"/>
      <c r="CY71" s="536"/>
      <c r="CZ71" s="541">
        <f t="shared" si="22"/>
        <v>0</v>
      </c>
      <c r="DA71" s="536"/>
      <c r="DB71" s="536"/>
      <c r="DC71" s="536"/>
      <c r="DD71" s="541">
        <f t="shared" si="23"/>
        <v>0</v>
      </c>
      <c r="DE71" s="536"/>
      <c r="DF71" s="536"/>
      <c r="DG71" s="536"/>
      <c r="DH71" s="541">
        <f t="shared" si="24"/>
        <v>0</v>
      </c>
      <c r="DI71" s="536"/>
      <c r="DJ71" s="536"/>
      <c r="DK71" s="536"/>
      <c r="DL71" s="541">
        <f t="shared" si="25"/>
        <v>0</v>
      </c>
      <c r="DM71" s="536"/>
      <c r="DN71" s="536"/>
      <c r="DO71" s="536"/>
      <c r="DP71" s="541">
        <f>IF( SUM((DJ71*(20/100))+(DK71*(30/100))+(DL71*(50/100))) &gt;=9.3,9.5,
IF(AND( SUM((DJ71*(20/100))+(DK71*(30/100))+(DL71*(50/100))) &lt;=9.3, SUM((DJ71*(20/100))+(DK71*(30/100))+(DL71*(50/100))) &gt;=8.8),9,
IF(AND( SUM((DJ71*(20/100))+(DK71*(30/100))+(DL71*(50/100))) &lt;=8.8, SUM((DJ71*(20/100))+(DK71*(30/100))+(DL71*(50/100))) &gt;=8.3),8.5,
IF(AND( SUM((DJ71*(20/100))+(DK71*(30/100))+(DL71*(50/100))) &lt;=8.3, SUM((DJ71*(20/100))+(DK71*(30/100))+(DL71*(50/100))) &gt;=7.8),8,
IF(AND( SUM((DJ71*(20/100))+(DK71*(30/100))+(DL71*(50/100))) &lt;=7.8, SUM((DJ71*(20/100))+(DK71*(30/100))+(DL71*(50/100))) &gt;=7.3),7.5,
IF(AND( SUM((DJ71*(20/100))+(DK71*(30/100))+(DL71*(50/100))) &lt;=7.3, SUM((DJ71*(20/100))+(DK71*(30/100))+(DL71*(50/100))) &gt;=6.8),7,
IF(AND( SUM((DJ71*(20/100))+(DK71*(30/100))+(DL71*(50/100))) &lt;=6.8, SUM((DJ71*(20/100))+(DK71*(30/100))+(DL71*(50/100))) &gt;=6.3),6.5,
IF(AND( SUM((DJ71*(20/100))+(DK71*(30/100))+(DL71*(50/100))) &lt;=6.3, SUM((DJ71*(20/100))+(DK71*(30/100))+(DL71*(50/100))) &gt;=5.8),6,
IF(AND( SUM((DJ71*(20/100))+(DK71*(30/100))+(DL71*(50/100))) &lt;=5.8, SUM((DJ71*(20/100))+(DK71*(30/100))+(DL71*(50/100))) &gt;=5.3),5.5,
IF(AND( SUM((DJ71*(20/100))+(DK71*(30/100))+(DL71*(50/100))) &lt;=5.3, SUM((DJ71*(20/100))+(DK71*(30/100))+(DL71*(50/100))) &gt;=4.8),5,
IF(AND( SUM((DJ71*(20/100))+(DK71*(30/100))+(DL71*(50/100))) &lt;=4.8, SUM((DJ71*(20/100))+(DK71*(30/100))+(DL71*(50/100))) &gt;=4.3),4.5,
IF(AND( SUM((DJ71*(20/100))+(DK71*(30/100))+(DL71*(50/100))) &lt;=4.3, SUM((DJ71*(20/100))+(DK71*(30/100))+(DL71*(50/100))) &gt;=3.8),4,
IF(AND( SUM((DJ71*(20/100))+(DK71*(30/100))+(DL71*(50/100))) &lt;=3.8, SUM((DJ71*(20/100))+(DK71*(30/100))+(DL71*(50/100))) &gt;=3.5),3.5,0)))))))))))))</f>
        <v>0</v>
      </c>
      <c r="DQ71" s="541"/>
      <c r="DR71" s="541"/>
      <c r="DS71" s="541"/>
      <c r="DT71" s="541"/>
      <c r="DU71" s="541"/>
      <c r="DV71" s="541"/>
      <c r="DW71" s="541"/>
      <c r="DX71" s="541"/>
      <c r="DY71" s="541"/>
      <c r="DZ71" s="541"/>
    </row>
    <row r="72" spans="2:130" ht="15" customHeight="1" x14ac:dyDescent="0.25">
      <c r="B72" s="334">
        <v>15</v>
      </c>
      <c r="C72" s="541"/>
      <c r="D72" s="334"/>
      <c r="E72" s="334"/>
      <c r="F72" s="334"/>
      <c r="G72" s="334"/>
      <c r="H72" s="334"/>
      <c r="I72" s="334"/>
      <c r="J72" s="536"/>
      <c r="K72" s="536"/>
      <c r="L72" s="536"/>
      <c r="M72" s="536"/>
      <c r="N72" s="536"/>
      <c r="O72" s="536"/>
      <c r="P72" s="536">
        <f t="shared" si="1"/>
        <v>0</v>
      </c>
      <c r="Q72" s="536"/>
      <c r="R72" s="536"/>
      <c r="S72" s="536"/>
      <c r="T72" s="536">
        <f t="shared" si="2"/>
        <v>0</v>
      </c>
      <c r="U72" s="536"/>
      <c r="V72" s="536"/>
      <c r="W72" s="536"/>
      <c r="X72" s="536">
        <f t="shared" si="3"/>
        <v>0</v>
      </c>
      <c r="Y72" s="536"/>
      <c r="Z72" s="536"/>
      <c r="AA72" s="536"/>
      <c r="AB72" s="536">
        <f t="shared" si="4"/>
        <v>0</v>
      </c>
      <c r="AC72" s="536"/>
      <c r="AD72" s="536"/>
      <c r="AE72" s="536"/>
      <c r="AF72" s="536">
        <f t="shared" si="5"/>
        <v>0</v>
      </c>
      <c r="AG72" s="536"/>
      <c r="AH72" s="536"/>
      <c r="AI72" s="536"/>
      <c r="AJ72" s="536">
        <f t="shared" si="6"/>
        <v>0</v>
      </c>
      <c r="AK72" s="536"/>
      <c r="AL72" s="536"/>
      <c r="AM72" s="536"/>
      <c r="AN72" s="542">
        <f t="shared" si="7"/>
        <v>0</v>
      </c>
      <c r="AO72" s="536"/>
      <c r="AP72" s="536"/>
      <c r="AQ72" s="536"/>
      <c r="AR72" s="542">
        <f t="shared" si="8"/>
        <v>0</v>
      </c>
      <c r="AS72" s="536"/>
      <c r="AT72" s="536"/>
      <c r="AU72" s="536"/>
      <c r="AV72" s="542">
        <f t="shared" si="9"/>
        <v>0</v>
      </c>
      <c r="AW72" s="536"/>
      <c r="AX72" s="536"/>
      <c r="AY72" s="536"/>
      <c r="AZ72" s="542">
        <f t="shared" si="10"/>
        <v>0</v>
      </c>
      <c r="BA72" s="536"/>
      <c r="BB72" s="536"/>
      <c r="BC72" s="536"/>
      <c r="BD72" s="542">
        <f t="shared" si="11"/>
        <v>0</v>
      </c>
      <c r="BE72" s="536"/>
      <c r="BF72" s="536"/>
      <c r="BG72" s="536"/>
      <c r="BH72" s="542">
        <f t="shared" si="12"/>
        <v>0</v>
      </c>
      <c r="BI72" s="536"/>
      <c r="BJ72" s="536"/>
      <c r="BK72" s="536"/>
      <c r="BL72" s="542">
        <f t="shared" si="13"/>
        <v>0</v>
      </c>
      <c r="BM72" s="536"/>
      <c r="BN72" s="536"/>
      <c r="BO72" s="536"/>
      <c r="BP72" s="542">
        <f t="shared" si="14"/>
        <v>0</v>
      </c>
      <c r="BQ72" s="536"/>
      <c r="BR72" s="536"/>
      <c r="BS72" s="536"/>
      <c r="BT72" s="542">
        <f t="shared" si="15"/>
        <v>0</v>
      </c>
      <c r="BU72" s="536"/>
      <c r="BV72" s="536"/>
      <c r="BW72" s="536"/>
      <c r="BX72" s="542">
        <f t="shared" si="16"/>
        <v>0</v>
      </c>
      <c r="BY72" s="536"/>
      <c r="BZ72" s="536"/>
      <c r="CA72" s="536"/>
      <c r="CB72" s="542">
        <v>0</v>
      </c>
      <c r="CC72" s="536"/>
      <c r="CD72" s="536"/>
      <c r="CE72" s="536"/>
      <c r="CF72" s="541">
        <f t="shared" si="17"/>
        <v>0</v>
      </c>
      <c r="CG72" s="536"/>
      <c r="CH72" s="536"/>
      <c r="CI72" s="536"/>
      <c r="CJ72" s="541">
        <f t="shared" si="18"/>
        <v>0</v>
      </c>
      <c r="CK72" s="536"/>
      <c r="CL72" s="536"/>
      <c r="CM72" s="536"/>
      <c r="CN72" s="541">
        <f t="shared" si="19"/>
        <v>0</v>
      </c>
      <c r="CO72" s="536"/>
      <c r="CP72" s="536"/>
      <c r="CQ72" s="536"/>
      <c r="CR72" s="541">
        <f t="shared" si="20"/>
        <v>0</v>
      </c>
      <c r="CS72" s="536"/>
      <c r="CT72" s="536"/>
      <c r="CU72" s="536"/>
      <c r="CV72" s="541">
        <f t="shared" si="21"/>
        <v>0</v>
      </c>
      <c r="CW72" s="536"/>
      <c r="CX72" s="536"/>
      <c r="CY72" s="536"/>
      <c r="CZ72" s="541">
        <f t="shared" si="22"/>
        <v>0</v>
      </c>
      <c r="DA72" s="536"/>
      <c r="DB72" s="536"/>
      <c r="DC72" s="536"/>
      <c r="DD72" s="541">
        <f t="shared" si="23"/>
        <v>0</v>
      </c>
      <c r="DE72" s="536"/>
      <c r="DF72" s="536"/>
      <c r="DG72" s="536"/>
      <c r="DH72" s="541">
        <f t="shared" si="24"/>
        <v>0</v>
      </c>
      <c r="DI72" s="536"/>
      <c r="DJ72" s="536"/>
      <c r="DK72" s="536"/>
      <c r="DL72" s="541">
        <f t="shared" si="25"/>
        <v>0</v>
      </c>
      <c r="DM72" s="536"/>
      <c r="DN72" s="536"/>
      <c r="DO72" s="536"/>
      <c r="DP72" s="541">
        <f>IF( SUM((DJ72*(20/100))+(DK72*(30/100))+(DL72*(50/100))) &gt;=9.3,9.5,
IF(AND( SUM((DJ72*(20/100))+(DK72*(30/100))+(DL72*(50/100))) &lt;=9.3, SUM((DJ72*(20/100))+(DK72*(30/100))+(DL72*(50/100))) &gt;=8.8),9,
IF(AND( SUM((DJ72*(20/100))+(DK72*(30/100))+(DL72*(50/100))) &lt;=8.8, SUM((DJ72*(20/100))+(DK72*(30/100))+(DL72*(50/100))) &gt;=8.3),8.5,
IF(AND( SUM((DJ72*(20/100))+(DK72*(30/100))+(DL72*(50/100))) &lt;=8.3, SUM((DJ72*(20/100))+(DK72*(30/100))+(DL72*(50/100))) &gt;=7.8),8,
IF(AND( SUM((DJ72*(20/100))+(DK72*(30/100))+(DL72*(50/100))) &lt;=7.8, SUM((DJ72*(20/100))+(DK72*(30/100))+(DL72*(50/100))) &gt;=7.3),7.5,
IF(AND( SUM((DJ72*(20/100))+(DK72*(30/100))+(DL72*(50/100))) &lt;=7.3, SUM((DJ72*(20/100))+(DK72*(30/100))+(DL72*(50/100))) &gt;=6.8),7,
IF(AND( SUM((DJ72*(20/100))+(DK72*(30/100))+(DL72*(50/100))) &lt;=6.8, SUM((DJ72*(20/100))+(DK72*(30/100))+(DL72*(50/100))) &gt;=6.3),6.5,
IF(AND( SUM((DJ72*(20/100))+(DK72*(30/100))+(DL72*(50/100))) &lt;=6.3, SUM((DJ72*(20/100))+(DK72*(30/100))+(DL72*(50/100))) &gt;=5.8),6,
IF(AND( SUM((DJ72*(20/100))+(DK72*(30/100))+(DL72*(50/100))) &lt;=5.8, SUM((DJ72*(20/100))+(DK72*(30/100))+(DL72*(50/100))) &gt;=5.3),5.5,
IF(AND( SUM((DJ72*(20/100))+(DK72*(30/100))+(DL72*(50/100))) &lt;=5.3, SUM((DJ72*(20/100))+(DK72*(30/100))+(DL72*(50/100))) &gt;=4.8),5,
IF(AND( SUM((DJ72*(20/100))+(DK72*(30/100))+(DL72*(50/100))) &lt;=4.8, SUM((DJ72*(20/100))+(DK72*(30/100))+(DL72*(50/100))) &gt;=4.3),4.5,
IF(AND( SUM((DJ72*(20/100))+(DK72*(30/100))+(DL72*(50/100))) &lt;=4.3, SUM((DJ72*(20/100))+(DK72*(30/100))+(DL72*(50/100))) &gt;=3.8),4,
IF(AND( SUM((DJ72*(20/100))+(DK72*(30/100))+(DL72*(50/100))) &lt;=3.8, SUM((DJ72*(20/100))+(DK72*(30/100))+(DL72*(50/100))) &gt;=3.5),3.5,0)))))))))))))</f>
        <v>0</v>
      </c>
      <c r="DQ72" s="541"/>
      <c r="DR72" s="541"/>
      <c r="DS72" s="541"/>
      <c r="DT72" s="541"/>
      <c r="DU72" s="541"/>
      <c r="DV72" s="541"/>
      <c r="DW72" s="541"/>
      <c r="DX72" s="541"/>
      <c r="DY72" s="541"/>
      <c r="DZ72" s="541"/>
    </row>
    <row r="73" spans="2:130" ht="15" customHeight="1" x14ac:dyDescent="0.25">
      <c r="B73" s="334">
        <v>16</v>
      </c>
      <c r="C73" s="541"/>
      <c r="D73" s="334"/>
      <c r="E73" s="334"/>
      <c r="F73" s="334"/>
      <c r="G73" s="334"/>
      <c r="H73" s="334"/>
      <c r="I73" s="334"/>
      <c r="J73" s="536"/>
      <c r="K73" s="536"/>
      <c r="L73" s="536"/>
      <c r="M73" s="536"/>
      <c r="N73" s="536"/>
      <c r="O73" s="536"/>
      <c r="P73" s="536">
        <f t="shared" ref="P73:P136" si="26">IF( SUM((M73*(20/100))+(N73*(30/100))+(O73*(50/100))) &gt;=9.3,9.5,
IF(AND( SUM((M73*(20/100))+(N73*(30/100))+(O73*(50/100))) &lt;=9.3, SUM((M73*(20/100))+(N73*(30/100))+(O73*(50/100))) &gt;=8.8),9,
IF(AND( SUM((M73*(20/100))+(N73*(30/100))+(O73*(50/100))) &lt;=8.8, SUM((M73*(20/100))+(N73*(30/100))+(O73*(50/100))) &gt;=8.3),8.5,
IF(AND( SUM((M73*(20/100))+(N73*(30/100))+(O73*(50/100))) &lt;=8.3, SUM((M73*(20/100))+(N73*(30/100))+(O73*(50/100))) &gt;=7.8),8,
IF(AND( SUM((M73*(20/100))+(N73*(30/100))+(O73*(50/100))) &lt;=7.8, SUM((M73*(20/100))+(N73*(30/100))+(O73*(50/100))) &gt;=7.3),7.5,
IF(AND( SUM((M73*(20/100))+(N73*(30/100))+(O73*(50/100))) &lt;=7.3, SUM((M73*(20/100))+(N73*(30/100))+(O73*(50/100))) &gt;=6.8),7,
IF(AND( SUM((M73*(20/100))+(N73*(30/100))+(O73*(50/100))) &lt;=6.8, SUM((M73*(20/100))+(N73*(30/100))+(O73*(50/100))) &gt;=6.3),6.5,
IF(AND( SUM((M73*(20/100))+(N73*(30/100))+(O73*(50/100))) &lt;=6.3, SUM((M73*(20/100))+(N73*(30/100))+(O73*(50/100))) &gt;=5.8),6,
IF(AND( SUM((M73*(20/100))+(N73*(30/100))+(O73*(50/100))) &lt;=5.8, SUM((M73*(20/100))+(N73*(30/100))+(O73*(50/100))) &gt;=5.3),5.5,
IF(AND( SUM((M73*(20/100))+(N73*(30/100))+(O73*(50/100))) &lt;=5.3, SUM((M73*(20/100))+(N73*(30/100))+(O73*(50/100))) &gt;=4.8),5,
IF(AND( SUM((M73*(20/100))+(N73*(30/100))+(O73*(50/100))) &lt;=4.8, SUM((M73*(20/100))+(N73*(30/100))+(O73*(50/100))) &gt;=4.3),4.5,
IF(AND( SUM((M73*(20/100))+(N73*(30/100))+(O73*(50/100))) &lt;=4.3, SUM((M73*(20/100))+(N73*(30/100))+(O73*(50/100))) &gt;=3.8),4,
IF(AND( SUM((M73*(20/100))+(N73*(30/100))+(O73*(50/100))) &lt;=3.8, SUM((M73*(20/100))+(N73*(30/100))+(O73*(50/100))) &gt;=3.5),3.5,0)))))))))))))</f>
        <v>0</v>
      </c>
      <c r="Q73" s="536"/>
      <c r="R73" s="536"/>
      <c r="S73" s="536"/>
      <c r="T73" s="536">
        <f t="shared" ref="T73:T136" si="27">IF( SUM((Q73*(20/100))+(R73*(30/100))+(S73*(50/100))) &gt;=9.3,9.5,
IF(AND( SUM((Q73*(20/100))+(R73*(30/100))+(S73*(50/100))) &lt;=9.3, SUM((Q73*(20/100))+(R73*(30/100))+(S73*(50/100))) &gt;=8.8),9,
IF(AND( SUM((Q73*(20/100))+(R73*(30/100))+(S73*(50/100))) &lt;=8.8, SUM((Q73*(20/100))+(R73*(30/100))+(S73*(50/100))) &gt;=8.3),8.5,
IF(AND( SUM((Q73*(20/100))+(R73*(30/100))+(S73*(50/100))) &lt;=8.3, SUM((Q73*(20/100))+(R73*(30/100))+(S73*(50/100))) &gt;=7.8),8,
IF(AND( SUM((Q73*(20/100))+(R73*(30/100))+(S73*(50/100))) &lt;=7.8, SUM((Q73*(20/100))+(R73*(30/100))+(S73*(50/100))) &gt;=7.3),7.5,
IF(AND( SUM((Q73*(20/100))+(R73*(30/100))+(S73*(50/100))) &lt;=7.3, SUM((Q73*(20/100))+(R73*(30/100))+(S73*(50/100))) &gt;=6.8),7,
IF(AND( SUM((Q73*(20/100))+(R73*(30/100))+(S73*(50/100))) &lt;=6.8, SUM((Q73*(20/100))+(R73*(30/100))+(S73*(50/100))) &gt;=6.3),6.5,
IF(AND( SUM((Q73*(20/100))+(R73*(30/100))+(S73*(50/100))) &lt;=6.3, SUM((Q73*(20/100))+(R73*(30/100))+(S73*(50/100))) &gt;=5.8),6,
IF(AND( SUM((Q73*(20/100))+(R73*(30/100))+(S73*(50/100))) &lt;=5.8, SUM((Q73*(20/100))+(R73*(30/100))+(S73*(50/100))) &gt;=5.3),5.5,
IF(AND( SUM((Q73*(20/100))+(R73*(30/100))+(S73*(50/100))) &lt;=5.3, SUM((Q73*(20/100))+(R73*(30/100))+(S73*(50/100))) &gt;=4.8),5,
IF(AND( SUM((Q73*(20/100))+(R73*(30/100))+(S73*(50/100))) &lt;=4.8, SUM((Q73*(20/100))+(R73*(30/100))+(S73*(50/100))) &gt;=4.3),4.5,
IF(AND( SUM((Q73*(20/100))+(R73*(30/100))+(S73*(50/100))) &lt;=4.3, SUM((Q73*(20/100))+(R73*(30/100))+(S73*(50/100))) &gt;=3.8),4,
IF(AND( SUM((Q73*(20/100))+(R73*(30/100))+(S73*(50/100))) &lt;=3.8, SUM((Q73*(20/100))+(R73*(30/100))+(S73*(50/100))) &gt;=3.5),3.5,0)))))))))))))</f>
        <v>0</v>
      </c>
      <c r="U73" s="536"/>
      <c r="V73" s="536"/>
      <c r="W73" s="536"/>
      <c r="X73" s="536">
        <f t="shared" ref="X73:X136" si="28">IF( SUM((U73*(20/100))+(V73*(30/100))+(W73*(50/100))) &gt;=9.3,9.5,
IF(AND( SUM((U73*(20/100))+(V73*(30/100))+(W73*(50/100))) &lt;=9.3, SUM((U73*(20/100))+(V73*(30/100))+(W73*(50/100))) &gt;=8.8),9,
IF(AND( SUM((U73*(20/100))+(V73*(30/100))+(W73*(50/100))) &lt;=8.8, SUM((U73*(20/100))+(V73*(30/100))+(W73*(50/100))) &gt;=8.3),8.5,
IF(AND( SUM((U73*(20/100))+(V73*(30/100))+(W73*(50/100))) &lt;=8.3, SUM((U73*(20/100))+(V73*(30/100))+(W73*(50/100))) &gt;=7.8),8,
IF(AND( SUM((U73*(20/100))+(V73*(30/100))+(W73*(50/100))) &lt;=7.8, SUM((U73*(20/100))+(V73*(30/100))+(W73*(50/100))) &gt;=7.3),7.5,
IF(AND( SUM((U73*(20/100))+(V73*(30/100))+(W73*(50/100))) &lt;=7.3, SUM((U73*(20/100))+(V73*(30/100))+(W73*(50/100))) &gt;=6.8),7,
IF(AND( SUM((U73*(20/100))+(V73*(30/100))+(W73*(50/100))) &lt;=6.8, SUM((U73*(20/100))+(V73*(30/100))+(W73*(50/100))) &gt;=6.3),6.5,
IF(AND( SUM((U73*(20/100))+(V73*(30/100))+(W73*(50/100))) &lt;=6.3, SUM((U73*(20/100))+(V73*(30/100))+(W73*(50/100))) &gt;=5.8),6,
IF(AND( SUM((U73*(20/100))+(V73*(30/100))+(W73*(50/100))) &lt;=5.8, SUM((U73*(20/100))+(V73*(30/100))+(W73*(50/100))) &gt;=5.3),5.5,
IF(AND( SUM((U73*(20/100))+(V73*(30/100))+(W73*(50/100))) &lt;=5.3, SUM((U73*(20/100))+(V73*(30/100))+(W73*(50/100))) &gt;=4.8),5,
IF(AND( SUM((U73*(20/100))+(V73*(30/100))+(W73*(50/100))) &lt;=4.8, SUM((U73*(20/100))+(V73*(30/100))+(W73*(50/100))) &gt;=4.3),4.5,
IF(AND( SUM((U73*(20/100))+(V73*(30/100))+(W73*(50/100))) &lt;=4.3, SUM((U73*(20/100))+(V73*(30/100))+(W73*(50/100))) &gt;=3.8),4,
IF(AND( SUM((U73*(20/100))+(V73*(30/100))+(W73*(50/100))) &lt;=3.8, SUM((U73*(20/100))+(V73*(30/100))+(W73*(50/100))) &gt;=3.5),3.5,0)))))))))))))</f>
        <v>0</v>
      </c>
      <c r="Y73" s="536"/>
      <c r="Z73" s="536"/>
      <c r="AA73" s="536"/>
      <c r="AB73" s="536">
        <f t="shared" ref="AB73:AB136" si="29">IF( SUM((Y73*(20/100))+(Z73*(30/100))+(AA73*(50/100))) &gt;=9.3,9.5,
IF(AND( SUM((Y73*(20/100))+(Z73*(30/100))+(AA73*(50/100))) &lt;=9.3, SUM((Y73*(20/100))+(Z73*(30/100))+(AA73*(50/100))) &gt;=8.8),9,
IF(AND( SUM((Y73*(20/100))+(Z73*(30/100))+(AA73*(50/100))) &lt;=8.8, SUM((Y73*(20/100))+(Z73*(30/100))+(AA73*(50/100))) &gt;=8.3),8.5,
IF(AND( SUM((Y73*(20/100))+(Z73*(30/100))+(AA73*(50/100))) &lt;=8.3, SUM((Y73*(20/100))+(Z73*(30/100))+(AA73*(50/100))) &gt;=7.8),8,
IF(AND( SUM((Y73*(20/100))+(Z73*(30/100))+(AA73*(50/100))) &lt;=7.8, SUM((Y73*(20/100))+(Z73*(30/100))+(AA73*(50/100))) &gt;=7.3),7.5,
IF(AND( SUM((Y73*(20/100))+(Z73*(30/100))+(AA73*(50/100))) &lt;=7.3, SUM((Y73*(20/100))+(Z73*(30/100))+(AA73*(50/100))) &gt;=6.8),7,
IF(AND( SUM((Y73*(20/100))+(Z73*(30/100))+(AA73*(50/100))) &lt;=6.8, SUM((Y73*(20/100))+(Z73*(30/100))+(AA73*(50/100))) &gt;=6.3),6.5,
IF(AND( SUM((Y73*(20/100))+(Z73*(30/100))+(AA73*(50/100))) &lt;=6.3, SUM((Y73*(20/100))+(Z73*(30/100))+(AA73*(50/100))) &gt;=5.8),6,
IF(AND( SUM((Y73*(20/100))+(Z73*(30/100))+(AA73*(50/100))) &lt;=5.8, SUM((Y73*(20/100))+(Z73*(30/100))+(AA73*(50/100))) &gt;=5.3),5.5,
IF(AND( SUM((Y73*(20/100))+(Z73*(30/100))+(AA73*(50/100))) &lt;=5.3, SUM((Y73*(20/100))+(Z73*(30/100))+(AA73*(50/100))) &gt;=4.8),5,
IF(AND( SUM((Y73*(20/100))+(Z73*(30/100))+(AA73*(50/100))) &lt;=4.8, SUM((Y73*(20/100))+(Z73*(30/100))+(AA73*(50/100))) &gt;=4.3),4.5,
IF(AND( SUM((Y73*(20/100))+(Z73*(30/100))+(AA73*(50/100))) &lt;=4.3, SUM((Y73*(20/100))+(Z73*(30/100))+(AA73*(50/100))) &gt;=3.8),4,
IF(AND( SUM((Y73*(20/100))+(Z73*(30/100))+(AA73*(50/100))) &lt;=3.8, SUM((Y73*(20/100))+(Z73*(30/100))+(AA73*(50/100))) &gt;=3.5),3.5,0)))))))))))))</f>
        <v>0</v>
      </c>
      <c r="AC73" s="536"/>
      <c r="AD73" s="536"/>
      <c r="AE73" s="536"/>
      <c r="AF73" s="536">
        <f t="shared" ref="AF73:AF136" si="30">IF( SUM((AC73*(20/100))+(AD73*(30/100))+(AE73*(50/100))) &gt;=9.3,9.5,
IF(AND( SUM((AC73*(20/100))+(AD73*(30/100))+(AE73*(50/100))) &lt;=9.3, SUM((AC73*(20/100))+(AD73*(30/100))+(AE73*(50/100))) &gt;=8.8),9,
IF(AND( SUM((AC73*(20/100))+(AD73*(30/100))+(AE73*(50/100))) &lt;=8.8, SUM((AC73*(20/100))+(AD73*(30/100))+(AE73*(50/100))) &gt;=8.3),8.5,
IF(AND( SUM((AC73*(20/100))+(AD73*(30/100))+(AE73*(50/100))) &lt;=8.3, SUM((AC73*(20/100))+(AD73*(30/100))+(AE73*(50/100))) &gt;=7.8),8,
IF(AND( SUM((AC73*(20/100))+(AD73*(30/100))+(AE73*(50/100))) &lt;=7.8, SUM((AC73*(20/100))+(AD73*(30/100))+(AE73*(50/100))) &gt;=7.3),7.5,
IF(AND( SUM((AC73*(20/100))+(AD73*(30/100))+(AE73*(50/100))) &lt;=7.3, SUM((AC73*(20/100))+(AD73*(30/100))+(AE73*(50/100))) &gt;=6.8),7,
IF(AND( SUM((AC73*(20/100))+(AD73*(30/100))+(AE73*(50/100))) &lt;=6.8, SUM((AC73*(20/100))+(AD73*(30/100))+(AE73*(50/100))) &gt;=6.3),6.5,
IF(AND( SUM((AC73*(20/100))+(AD73*(30/100))+(AE73*(50/100))) &lt;=6.3, SUM((AC73*(20/100))+(AD73*(30/100))+(AE73*(50/100))) &gt;=5.8),6,
IF(AND( SUM((AC73*(20/100))+(AD73*(30/100))+(AE73*(50/100))) &lt;=5.8, SUM((AC73*(20/100))+(AD73*(30/100))+(AE73*(50/100))) &gt;=5.3),5.5,
IF(AND( SUM((AC73*(20/100))+(AD73*(30/100))+(AE73*(50/100))) &lt;=5.3, SUM((AC73*(20/100))+(AD73*(30/100))+(AE73*(50/100))) &gt;=4.8),5,
IF(AND( SUM((AC73*(20/100))+(AD73*(30/100))+(AE73*(50/100))) &lt;=4.8, SUM((AC73*(20/100))+(AD73*(30/100))+(AE73*(50/100))) &gt;=4.3),4.5,
IF(AND( SUM((AC73*(20/100))+(AD73*(30/100))+(AE73*(50/100))) &lt;=4.3, SUM((AC73*(20/100))+(AD73*(30/100))+(AE73*(50/100))) &gt;=3.8),4,
IF(AND( SUM((AC73*(20/100))+(AD73*(30/100))+(AE73*(50/100))) &lt;=3.8, SUM((AC73*(20/100))+(AD73*(30/100))+(AE73*(50/100))) &gt;=3.5),3.5,0)))))))))))))</f>
        <v>0</v>
      </c>
      <c r="AG73" s="536"/>
      <c r="AH73" s="536"/>
      <c r="AI73" s="536"/>
      <c r="AJ73" s="536">
        <f t="shared" ref="AJ73:AJ136" si="31">IF( SUM((AG73*(20/100))+(AH73*(30/100))+(AI73*(50/100))) &gt;=9.3,9.5,
IF(AND( SUM((AG73*(20/100))+(AH73*(30/100))+(AI73*(50/100))) &lt;=9.3, SUM((AG73*(20/100))+(AH73*(30/100))+(AI73*(50/100))) &gt;=8.8),9,
IF(AND( SUM((AG73*(20/100))+(AH73*(30/100))+(AI73*(50/100))) &lt;=8.8, SUM((AG73*(20/100))+(AH73*(30/100))+(AI73*(50/100))) &gt;=8.3),8.5,
IF(AND( SUM((AG73*(20/100))+(AH73*(30/100))+(AI73*(50/100))) &lt;=8.3, SUM((AG73*(20/100))+(AH73*(30/100))+(AI73*(50/100))) &gt;=7.8),8,
IF(AND( SUM((AG73*(20/100))+(AH73*(30/100))+(AI73*(50/100))) &lt;=7.8, SUM((AG73*(20/100))+(AH73*(30/100))+(AI73*(50/100))) &gt;=7.3),7.5,
IF(AND( SUM((AG73*(20/100))+(AH73*(30/100))+(AI73*(50/100))) &lt;=7.3, SUM((AG73*(20/100))+(AH73*(30/100))+(AI73*(50/100))) &gt;=6.8),7,
IF(AND( SUM((AG73*(20/100))+(AH73*(30/100))+(AI73*(50/100))) &lt;=6.8, SUM((AG73*(20/100))+(AH73*(30/100))+(AI73*(50/100))) &gt;=6.3),6.5,
IF(AND( SUM((AG73*(20/100))+(AH73*(30/100))+(AI73*(50/100))) &lt;=6.3, SUM((AG73*(20/100))+(AH73*(30/100))+(AI73*(50/100))) &gt;=5.8),6,
IF(AND( SUM((AG73*(20/100))+(AH73*(30/100))+(AI73*(50/100))) &lt;=5.8, SUM((AG73*(20/100))+(AH73*(30/100))+(AI73*(50/100))) &gt;=5.3),5.5,
IF(AND( SUM((AG73*(20/100))+(AH73*(30/100))+(AI73*(50/100))) &lt;=5.3, SUM((AG73*(20/100))+(AH73*(30/100))+(AI73*(50/100))) &gt;=4.8),5,
IF(AND( SUM((AG73*(20/100))+(AH73*(30/100))+(AI73*(50/100))) &lt;=4.8, SUM((AG73*(20/100))+(AH73*(30/100))+(AI73*(50/100))) &gt;=4.3),4.5,
IF(AND( SUM((AG73*(20/100))+(AH73*(30/100))+(AI73*(50/100))) &lt;=4.3, SUM((AG73*(20/100))+(AH73*(30/100))+(AI73*(50/100))) &gt;=3.8),4,
IF(AND( SUM((AG73*(20/100))+(AH73*(30/100))+(AI73*(50/100))) &lt;=3.8, SUM((AG73*(20/100))+(AH73*(30/100))+(AI73*(50/100))) &gt;=3.5),3.5,0)))))))))))))</f>
        <v>0</v>
      </c>
      <c r="AK73" s="536"/>
      <c r="AL73" s="536"/>
      <c r="AM73" s="536"/>
      <c r="AN73" s="542">
        <f t="shared" ref="AN73:AN136" si="32">IF( SUM((AK73*(20/100))+(AL73*(30/100))+(AM73*(50/100))) &gt;=9.3,9.5,
IF(AND( SUM((AK73*(20/100))+(AL73*(30/100))+(AM73*(50/100))) &lt;=9.3, SUM((AK73*(20/100))+(AL73*(30/100))+(AM73*(50/100))) &gt;=8.8),9,
IF(AND( SUM((AK73*(20/100))+(AL73*(30/100))+(AM73*(50/100))) &lt;=8.8, SUM((AK73*(20/100))+(AL73*(30/100))+(AM73*(50/100))) &gt;=8.3),8.5,
IF(AND( SUM((AK73*(20/100))+(AL73*(30/100))+(AM73*(50/100))) &lt;=8.3, SUM((AK73*(20/100))+(AL73*(30/100))+(AM73*(50/100))) &gt;=7.8),8,
IF(AND( SUM((AK73*(20/100))+(AL73*(30/100))+(AM73*(50/100))) &lt;=7.8, SUM((AK73*(20/100))+(AL73*(30/100))+(AM73*(50/100))) &gt;=7.3),7.5,
IF(AND( SUM((AK73*(20/100))+(AL73*(30/100))+(AM73*(50/100))) &lt;=7.3, SUM((AK73*(20/100))+(AL73*(30/100))+(AM73*(50/100))) &gt;=6.8),7,
IF(AND( SUM((AK73*(20/100))+(AL73*(30/100))+(AM73*(50/100))) &lt;=6.8, SUM((AK73*(20/100))+(AL73*(30/100))+(AM73*(50/100))) &gt;=6.3),6.5,
IF(AND( SUM((AK73*(20/100))+(AL73*(30/100))+(AM73*(50/100))) &lt;=6.3, SUM((AK73*(20/100))+(AL73*(30/100))+(AM73*(50/100))) &gt;=5.8),6,
IF(AND( SUM((AK73*(20/100))+(AL73*(30/100))+(AM73*(50/100))) &lt;=5.8, SUM((AK73*(20/100))+(AL73*(30/100))+(AM73*(50/100))) &gt;=5.3),5.5,
IF(AND( SUM((AK73*(20/100))+(AL73*(30/100))+(AM73*(50/100))) &lt;=5.3, SUM((AK73*(20/100))+(AL73*(30/100))+(AM73*(50/100))) &gt;=4.8),5,
IF(AND( SUM((AK73*(20/100))+(AL73*(30/100))+(AM73*(50/100))) &lt;=4.8, SUM((AK73*(20/100))+(AL73*(30/100))+(AM73*(50/100))) &gt;=4.3),4.5,
IF(AND( SUM((AK73*(20/100))+(AL73*(30/100))+(AM73*(50/100))) &lt;=4.3, SUM((AK73*(20/100))+(AL73*(30/100))+(AM73*(50/100))) &gt;=3.8),4,
IF(AND( SUM((AK73*(20/100))+(AL73*(30/100))+(AM73*(50/100))) &lt;=3.8, SUM((AK73*(20/100))+(AL73*(30/100))+(AM73*(50/100))) &gt;=3.5),3.5,0)))))))))))))</f>
        <v>0</v>
      </c>
      <c r="AO73" s="536"/>
      <c r="AP73" s="536"/>
      <c r="AQ73" s="536"/>
      <c r="AR73" s="542">
        <f t="shared" ref="AR73:AR136" si="33">IF( SUM((AO73*(20/100))+(AP73*(30/100))+(AQ73*(50/100))) &gt;=9.3,9.5,
IF(AND( SUM((AO73*(20/100))+(AP73*(30/100))+(AQ73*(50/100))) &lt;=9.3, SUM((AO73*(20/100))+(AP73*(30/100))+(AQ73*(50/100))) &gt;=8.8),9,
IF(AND( SUM((AO73*(20/100))+(AP73*(30/100))+(AQ73*(50/100))) &lt;=8.8, SUM((AO73*(20/100))+(AP73*(30/100))+(AQ73*(50/100))) &gt;=8.3),8.5,
IF(AND( SUM((AO73*(20/100))+(AP73*(30/100))+(AQ73*(50/100))) &lt;=8.3, SUM((AO73*(20/100))+(AP73*(30/100))+(AQ73*(50/100))) &gt;=7.8),8,
IF(AND( SUM((AO73*(20/100))+(AP73*(30/100))+(AQ73*(50/100))) &lt;=7.8, SUM((AO73*(20/100))+(AP73*(30/100))+(AQ73*(50/100))) &gt;=7.3),7.5,
IF(AND( SUM((AO73*(20/100))+(AP73*(30/100))+(AQ73*(50/100))) &lt;=7.3, SUM((AO73*(20/100))+(AP73*(30/100))+(AQ73*(50/100))) &gt;=6.8),7,
IF(AND( SUM((AO73*(20/100))+(AP73*(30/100))+(AQ73*(50/100))) &lt;=6.8, SUM((AO73*(20/100))+(AP73*(30/100))+(AQ73*(50/100))) &gt;=6.3),6.5,
IF(AND( SUM((AO73*(20/100))+(AP73*(30/100))+(AQ73*(50/100))) &lt;=6.3, SUM((AO73*(20/100))+(AP73*(30/100))+(AQ73*(50/100))) &gt;=5.8),6,
IF(AND( SUM((AO73*(20/100))+(AP73*(30/100))+(AQ73*(50/100))) &lt;=5.8, SUM((AO73*(20/100))+(AP73*(30/100))+(AQ73*(50/100))) &gt;=5.3),5.5,
IF(AND( SUM((AO73*(20/100))+(AP73*(30/100))+(AQ73*(50/100))) &lt;=5.3, SUM((AO73*(20/100))+(AP73*(30/100))+(AQ73*(50/100))) &gt;=4.8),5,
IF(AND( SUM((AO73*(20/100))+(AP73*(30/100))+(AQ73*(50/100))) &lt;=4.8, SUM((AO73*(20/100))+(AP73*(30/100))+(AQ73*(50/100))) &gt;=4.3),4.5,
IF(AND( SUM((AO73*(20/100))+(AP73*(30/100))+(AQ73*(50/100))) &lt;=4.3, SUM((AO73*(20/100))+(AP73*(30/100))+(AQ73*(50/100))) &gt;=3.8),4,
IF(AND( SUM((AO73*(20/100))+(AP73*(30/100))+(AQ73*(50/100))) &lt;=3.8, SUM((AO73*(20/100))+(AP73*(30/100))+(AQ73*(50/100))) &gt;=3.5),3.5,0)))))))))))))</f>
        <v>0</v>
      </c>
      <c r="AS73" s="536"/>
      <c r="AT73" s="536"/>
      <c r="AU73" s="536"/>
      <c r="AV73" s="542">
        <f t="shared" ref="AV73:AV136" si="34">IF( SUM((AS73*(20/100))+(AT73*(30/100))+(AU73*(50/100))) &gt;=9.3,9.5,
IF(AND( SUM((AS73*(20/100))+(AT73*(30/100))+(AU73*(50/100))) &lt;=9.3, SUM((AS73*(20/100))+(AT73*(30/100))+(AU73*(50/100))) &gt;=8.8),9,
IF(AND( SUM((AS73*(20/100))+(AT73*(30/100))+(AU73*(50/100))) &lt;=8.8, SUM((AS73*(20/100))+(AT73*(30/100))+(AU73*(50/100))) &gt;=8.3),8.5,
IF(AND( SUM((AS73*(20/100))+(AT73*(30/100))+(AU73*(50/100))) &lt;=8.3, SUM((AS73*(20/100))+(AT73*(30/100))+(AU73*(50/100))) &gt;=7.8),8,
IF(AND( SUM((AS73*(20/100))+(AT73*(30/100))+(AU73*(50/100))) &lt;=7.8, SUM((AS73*(20/100))+(AT73*(30/100))+(AU73*(50/100))) &gt;=7.3),7.5,
IF(AND( SUM((AS73*(20/100))+(AT73*(30/100))+(AU73*(50/100))) &lt;=7.3, SUM((AS73*(20/100))+(AT73*(30/100))+(AU73*(50/100))) &gt;=6.8),7,
IF(AND( SUM((AS73*(20/100))+(AT73*(30/100))+(AU73*(50/100))) &lt;=6.8, SUM((AS73*(20/100))+(AT73*(30/100))+(AU73*(50/100))) &gt;=6.3),6.5,
IF(AND( SUM((AS73*(20/100))+(AT73*(30/100))+(AU73*(50/100))) &lt;=6.3, SUM((AS73*(20/100))+(AT73*(30/100))+(AU73*(50/100))) &gt;=5.8),6,
IF(AND( SUM((AS73*(20/100))+(AT73*(30/100))+(AU73*(50/100))) &lt;=5.8, SUM((AS73*(20/100))+(AT73*(30/100))+(AU73*(50/100))) &gt;=5.3),5.5,
IF(AND( SUM((AS73*(20/100))+(AT73*(30/100))+(AU73*(50/100))) &lt;=5.3, SUM((AS73*(20/100))+(AT73*(30/100))+(AU73*(50/100))) &gt;=4.8),5,
IF(AND( SUM((AS73*(20/100))+(AT73*(30/100))+(AU73*(50/100))) &lt;=4.8, SUM((AS73*(20/100))+(AT73*(30/100))+(AU73*(50/100))) &gt;=4.3),4.5,
IF(AND( SUM((AS73*(20/100))+(AT73*(30/100))+(AU73*(50/100))) &lt;=4.3, SUM((AS73*(20/100))+(AT73*(30/100))+(AU73*(50/100))) &gt;=3.8),4,
IF(AND( SUM((AS73*(20/100))+(AT73*(30/100))+(AU73*(50/100))) &lt;=3.8, SUM((AS73*(20/100))+(AT73*(30/100))+(AU73*(50/100))) &gt;=3.5),3.5,0)))))))))))))</f>
        <v>0</v>
      </c>
      <c r="AW73" s="536"/>
      <c r="AX73" s="536"/>
      <c r="AY73" s="536"/>
      <c r="AZ73" s="542">
        <f t="shared" ref="AZ73:AZ136" si="35">IF( SUM((AW73*(20/100))+(AX73*(30/100))+(AY73*(50/100))) &gt;=9.3,9.5,
IF(AND( SUM((AW73*(20/100))+(AX73*(30/100))+(AY73*(50/100))) &lt;=9.3, SUM((AW73*(20/100))+(AX73*(30/100))+(AY73*(50/100))) &gt;=8.8),9,
IF(AND( SUM((AW73*(20/100))+(AX73*(30/100))+(AY73*(50/100))) &lt;=8.8, SUM((AW73*(20/100))+(AX73*(30/100))+(AY73*(50/100))) &gt;=8.3),8.5,
IF(AND( SUM((AW73*(20/100))+(AX73*(30/100))+(AY73*(50/100))) &lt;=8.3, SUM((AW73*(20/100))+(AX73*(30/100))+(AY73*(50/100))) &gt;=7.8),8,
IF(AND( SUM((AW73*(20/100))+(AX73*(30/100))+(AY73*(50/100))) &lt;=7.8, SUM((AW73*(20/100))+(AX73*(30/100))+(AY73*(50/100))) &gt;=7.3),7.5,
IF(AND( SUM((AW73*(20/100))+(AX73*(30/100))+(AY73*(50/100))) &lt;=7.3, SUM((AW73*(20/100))+(AX73*(30/100))+(AY73*(50/100))) &gt;=6.8),7,
IF(AND( SUM((AW73*(20/100))+(AX73*(30/100))+(AY73*(50/100))) &lt;=6.8, SUM((AW73*(20/100))+(AX73*(30/100))+(AY73*(50/100))) &gt;=6.3),6.5,
IF(AND( SUM((AW73*(20/100))+(AX73*(30/100))+(AY73*(50/100))) &lt;=6.3, SUM((AW73*(20/100))+(AX73*(30/100))+(AY73*(50/100))) &gt;=5.8),6,
IF(AND( SUM((AW73*(20/100))+(AX73*(30/100))+(AY73*(50/100))) &lt;=5.8, SUM((AW73*(20/100))+(AX73*(30/100))+(AY73*(50/100))) &gt;=5.3),5.5,
IF(AND( SUM((AW73*(20/100))+(AX73*(30/100))+(AY73*(50/100))) &lt;=5.3, SUM((AW73*(20/100))+(AX73*(30/100))+(AY73*(50/100))) &gt;=4.8),5,
IF(AND( SUM((AW73*(20/100))+(AX73*(30/100))+(AY73*(50/100))) &lt;=4.8, SUM((AW73*(20/100))+(AX73*(30/100))+(AY73*(50/100))) &gt;=4.3),4.5,
IF(AND( SUM((AW73*(20/100))+(AX73*(30/100))+(AY73*(50/100))) &lt;=4.3, SUM((AW73*(20/100))+(AX73*(30/100))+(AY73*(50/100))) &gt;=3.8),4,
IF(AND( SUM((AW73*(20/100))+(AX73*(30/100))+(AY73*(50/100))) &lt;=3.8, SUM((AW73*(20/100))+(AX73*(30/100))+(AY73*(50/100))) &gt;=3.5),3.5,0)))))))))))))</f>
        <v>0</v>
      </c>
      <c r="BA73" s="536"/>
      <c r="BB73" s="536"/>
      <c r="BC73" s="536"/>
      <c r="BD73" s="542">
        <f t="shared" ref="BD73:BD136" si="36">IF( SUM((BA73*(20/100))+(BB73*(30/100))+(BC73*(50/100))) &gt;=9.3,9.5,
IF(AND( SUM((BA73*(20/100))+(BB73*(30/100))+(BC73*(50/100))) &lt;=9.3, SUM((BA73*(20/100))+(BB73*(30/100))+(BC73*(50/100))) &gt;=8.8),9,
IF(AND( SUM((BA73*(20/100))+(BB73*(30/100))+(BC73*(50/100))) &lt;=8.8, SUM((BA73*(20/100))+(BB73*(30/100))+(BC73*(50/100))) &gt;=8.3),8.5,
IF(AND( SUM((BA73*(20/100))+(BB73*(30/100))+(BC73*(50/100))) &lt;=8.3, SUM((BA73*(20/100))+(BB73*(30/100))+(BC73*(50/100))) &gt;=7.8),8,
IF(AND( SUM((BA73*(20/100))+(BB73*(30/100))+(BC73*(50/100))) &lt;=7.8, SUM((BA73*(20/100))+(BB73*(30/100))+(BC73*(50/100))) &gt;=7.3),7.5,
IF(AND( SUM((BA73*(20/100))+(BB73*(30/100))+(BC73*(50/100))) &lt;=7.3, SUM((BA73*(20/100))+(BB73*(30/100))+(BC73*(50/100))) &gt;=6.8),7,
IF(AND( SUM((BA73*(20/100))+(BB73*(30/100))+(BC73*(50/100))) &lt;=6.8, SUM((BA73*(20/100))+(BB73*(30/100))+(BC73*(50/100))) &gt;=6.3),6.5,
IF(AND( SUM((BA73*(20/100))+(BB73*(30/100))+(BC73*(50/100))) &lt;=6.3, SUM((BA73*(20/100))+(BB73*(30/100))+(BC73*(50/100))) &gt;=5.8),6,
IF(AND( SUM((BA73*(20/100))+(BB73*(30/100))+(BC73*(50/100))) &lt;=5.8, SUM((BA73*(20/100))+(BB73*(30/100))+(BC73*(50/100))) &gt;=5.3),5.5,
IF(AND( SUM((BA73*(20/100))+(BB73*(30/100))+(BC73*(50/100))) &lt;=5.3, SUM((BA73*(20/100))+(BB73*(30/100))+(BC73*(50/100))) &gt;=4.8),5,
IF(AND( SUM((BA73*(20/100))+(BB73*(30/100))+(BC73*(50/100))) &lt;=4.8, SUM((BA73*(20/100))+(BB73*(30/100))+(BC73*(50/100))) &gt;=4.3),4.5,
IF(AND( SUM((BA73*(20/100))+(BB73*(30/100))+(BC73*(50/100))) &lt;=4.3, SUM((BA73*(20/100))+(BB73*(30/100))+(BC73*(50/100))) &gt;=3.8),4,
IF(AND( SUM((BA73*(20/100))+(BB73*(30/100))+(BC73*(50/100))) &lt;=3.8, SUM((BA73*(20/100))+(BB73*(30/100))+(BC73*(50/100))) &gt;=3.5),3.5,0)))))))))))))</f>
        <v>0</v>
      </c>
      <c r="BE73" s="536"/>
      <c r="BF73" s="536"/>
      <c r="BG73" s="536"/>
      <c r="BH73" s="542">
        <f t="shared" ref="BH73:BH136" si="37">IF( SUM((BE73*(20/100))+(BF73*(30/100))+(BG73*(50/100))) &gt;=9.3,9.5,
IF(AND( SUM((BE73*(20/100))+(BF73*(30/100))+(BG73*(50/100))) &lt;=9.3, SUM((BE73*(20/100))+(BF73*(30/100))+(BG73*(50/100))) &gt;=8.8),9,
IF(AND( SUM((BE73*(20/100))+(BF73*(30/100))+(BG73*(50/100))) &lt;=8.8, SUM((BE73*(20/100))+(BF73*(30/100))+(BG73*(50/100))) &gt;=8.3),8.5,
IF(AND( SUM((BE73*(20/100))+(BF73*(30/100))+(BG73*(50/100))) &lt;=8.3, SUM((BE73*(20/100))+(BF73*(30/100))+(BG73*(50/100))) &gt;=7.8),8,
IF(AND( SUM((BE73*(20/100))+(BF73*(30/100))+(BG73*(50/100))) &lt;=7.8, SUM((BE73*(20/100))+(BF73*(30/100))+(BG73*(50/100))) &gt;=7.3),7.5,
IF(AND( SUM((BE73*(20/100))+(BF73*(30/100))+(BG73*(50/100))) &lt;=7.3, SUM((BE73*(20/100))+(BF73*(30/100))+(BG73*(50/100))) &gt;=6.8),7,
IF(AND( SUM((BE73*(20/100))+(BF73*(30/100))+(BG73*(50/100))) &lt;=6.8, SUM((BE73*(20/100))+(BF73*(30/100))+(BG73*(50/100))) &gt;=6.3),6.5,
IF(AND( SUM((BE73*(20/100))+(BF73*(30/100))+(BG73*(50/100))) &lt;=6.3, SUM((BE73*(20/100))+(BF73*(30/100))+(BG73*(50/100))) &gt;=5.8),6,
IF(AND( SUM((BE73*(20/100))+(BF73*(30/100))+(BG73*(50/100))) &lt;=5.8, SUM((BE73*(20/100))+(BF73*(30/100))+(BG73*(50/100))) &gt;=5.3),5.5,
IF(AND( SUM((BE73*(20/100))+(BF73*(30/100))+(BG73*(50/100))) &lt;=5.3, SUM((BE73*(20/100))+(BF73*(30/100))+(BG73*(50/100))) &gt;=4.8),5,
IF(AND( SUM((BE73*(20/100))+(BF73*(30/100))+(BG73*(50/100))) &lt;=4.8, SUM((BE73*(20/100))+(BF73*(30/100))+(BG73*(50/100))) &gt;=4.3),4.5,
IF(AND( SUM((BE73*(20/100))+(BF73*(30/100))+(BG73*(50/100))) &lt;=4.3, SUM((BE73*(20/100))+(BF73*(30/100))+(BG73*(50/100))) &gt;=3.8),4,
IF(AND( SUM((BE73*(20/100))+(BF73*(30/100))+(BG73*(50/100))) &lt;=3.8, SUM((BE73*(20/100))+(BF73*(30/100))+(BG73*(50/100))) &gt;=3.5),3.5,0)))))))))))))</f>
        <v>0</v>
      </c>
      <c r="BI73" s="536"/>
      <c r="BJ73" s="536"/>
      <c r="BK73" s="536"/>
      <c r="BL73" s="542">
        <f t="shared" ref="BL73:BL136" si="38">IF( SUM((BI73*(20/100))+(BJ73*(30/100))+(BK73*(50/100))) &gt;=9.3,9.5,
IF(AND( SUM((BI73*(20/100))+(BJ73*(30/100))+(BK73*(50/100))) &lt;=9.3, SUM((BI73*(20/100))+(BJ73*(30/100))+(BK73*(50/100))) &gt;=8.8),9,
IF(AND( SUM((BI73*(20/100))+(BJ73*(30/100))+(BK73*(50/100))) &lt;=8.8, SUM((BI73*(20/100))+(BJ73*(30/100))+(BK73*(50/100))) &gt;=8.3),8.5,
IF(AND( SUM((BI73*(20/100))+(BJ73*(30/100))+(BK73*(50/100))) &lt;=8.3, SUM((BI73*(20/100))+(BJ73*(30/100))+(BK73*(50/100))) &gt;=7.8),8,
IF(AND( SUM((BI73*(20/100))+(BJ73*(30/100))+(BK73*(50/100))) &lt;=7.8, SUM((BI73*(20/100))+(BJ73*(30/100))+(BK73*(50/100))) &gt;=7.3),7.5,
IF(AND( SUM((BI73*(20/100))+(BJ73*(30/100))+(BK73*(50/100))) &lt;=7.3, SUM((BI73*(20/100))+(BJ73*(30/100))+(BK73*(50/100))) &gt;=6.8),7,
IF(AND( SUM((BI73*(20/100))+(BJ73*(30/100))+(BK73*(50/100))) &lt;=6.8, SUM((BI73*(20/100))+(BJ73*(30/100))+(BK73*(50/100))) &gt;=6.3),6.5,
IF(AND( SUM((BI73*(20/100))+(BJ73*(30/100))+(BK73*(50/100))) &lt;=6.3, SUM((BI73*(20/100))+(BJ73*(30/100))+(BK73*(50/100))) &gt;=5.8),6,
IF(AND( SUM((BI73*(20/100))+(BJ73*(30/100))+(BK73*(50/100))) &lt;=5.8, SUM((BI73*(20/100))+(BJ73*(30/100))+(BK73*(50/100))) &gt;=5.3),5.5,
IF(AND( SUM((BI73*(20/100))+(BJ73*(30/100))+(BK73*(50/100))) &lt;=5.3, SUM((BI73*(20/100))+(BJ73*(30/100))+(BK73*(50/100))) &gt;=4.8),5,
IF(AND( SUM((BI73*(20/100))+(BJ73*(30/100))+(BK73*(50/100))) &lt;=4.8, SUM((BI73*(20/100))+(BJ73*(30/100))+(BK73*(50/100))) &gt;=4.3),4.5,
IF(AND( SUM((BI73*(20/100))+(BJ73*(30/100))+(BK73*(50/100))) &lt;=4.3, SUM((BI73*(20/100))+(BJ73*(30/100))+(BK73*(50/100))) &gt;=3.8),4,
IF(AND( SUM((BI73*(20/100))+(BJ73*(30/100))+(BK73*(50/100))) &lt;=3.8, SUM((BI73*(20/100))+(BJ73*(30/100))+(BK73*(50/100))) &gt;=3.5),3.5,0)))))))))))))</f>
        <v>0</v>
      </c>
      <c r="BM73" s="536"/>
      <c r="BN73" s="536"/>
      <c r="BO73" s="536"/>
      <c r="BP73" s="542">
        <f t="shared" ref="BP73:BP136" si="39">IF( SUM((BM73*(20/100))+(BN73*(30/100))+(BO73*(50/100))) &gt;=9.3,9.5,
IF(AND( SUM((BM73*(20/100))+(BN73*(30/100))+(BO73*(50/100))) &lt;=9.3, SUM((BM73*(20/100))+(BN73*(30/100))+(BO73*(50/100))) &gt;=8.8),9,
IF(AND( SUM((BM73*(20/100))+(BN73*(30/100))+(BO73*(50/100))) &lt;=8.8, SUM((BM73*(20/100))+(BN73*(30/100))+(BO73*(50/100))) &gt;=8.3),8.5,
IF(AND( SUM((BM73*(20/100))+(BN73*(30/100))+(BO73*(50/100))) &lt;=8.3, SUM((BM73*(20/100))+(BN73*(30/100))+(BO73*(50/100))) &gt;=7.8),8,
IF(AND( SUM((BM73*(20/100))+(BN73*(30/100))+(BO73*(50/100))) &lt;=7.8, SUM((BM73*(20/100))+(BN73*(30/100))+(BO73*(50/100))) &gt;=7.3),7.5,
IF(AND( SUM((BM73*(20/100))+(BN73*(30/100))+(BO73*(50/100))) &lt;=7.3, SUM((BM73*(20/100))+(BN73*(30/100))+(BO73*(50/100))) &gt;=6.8),7,
IF(AND( SUM((BM73*(20/100))+(BN73*(30/100))+(BO73*(50/100))) &lt;=6.8, SUM((BM73*(20/100))+(BN73*(30/100))+(BO73*(50/100))) &gt;=6.3),6.5,
IF(AND( SUM((BM73*(20/100))+(BN73*(30/100))+(BO73*(50/100))) &lt;=6.3, SUM((BM73*(20/100))+(BN73*(30/100))+(BO73*(50/100))) &gt;=5.8),6,
IF(AND( SUM((BM73*(20/100))+(BN73*(30/100))+(BO73*(50/100))) &lt;=5.8, SUM((BM73*(20/100))+(BN73*(30/100))+(BO73*(50/100))) &gt;=5.3),5.5,
IF(AND( SUM((BM73*(20/100))+(BN73*(30/100))+(BO73*(50/100))) &lt;=5.3, SUM((BM73*(20/100))+(BN73*(30/100))+(BO73*(50/100))) &gt;=4.8),5,
IF(AND( SUM((BM73*(20/100))+(BN73*(30/100))+(BO73*(50/100))) &lt;=4.8, SUM((BM73*(20/100))+(BN73*(30/100))+(BO73*(50/100))) &gt;=4.3),4.5,
IF(AND( SUM((BM73*(20/100))+(BN73*(30/100))+(BO73*(50/100))) &lt;=4.3, SUM((BM73*(20/100))+(BN73*(30/100))+(BO73*(50/100))) &gt;=3.8),4,
IF(AND( SUM((BM73*(20/100))+(BN73*(30/100))+(BO73*(50/100))) &lt;=3.8, SUM((BM73*(20/100))+(BN73*(30/100))+(BO73*(50/100))) &gt;=3.5),3.5,0)))))))))))))</f>
        <v>0</v>
      </c>
      <c r="BQ73" s="536"/>
      <c r="BR73" s="536"/>
      <c r="BS73" s="536"/>
      <c r="BT73" s="542">
        <f t="shared" ref="BT73:BT136" si="40">IF( SUM((BQ73*(20/100))+(BR73*(30/100))+(BS73*(50/100))) &gt;=9.3,9.5,
IF(AND( SUM((BQ73*(20/100))+(BR73*(30/100))+(BS73*(50/100))) &lt;=9.3, SUM((BQ73*(20/100))+(BR73*(30/100))+(BS73*(50/100))) &gt;=8.8),9,
IF(AND( SUM((BQ73*(20/100))+(BR73*(30/100))+(BS73*(50/100))) &lt;=8.8, SUM((BQ73*(20/100))+(BR73*(30/100))+(BS73*(50/100))) &gt;=8.3),8.5,
IF(AND( SUM((BQ73*(20/100))+(BR73*(30/100))+(BS73*(50/100))) &lt;=8.3, SUM((BQ73*(20/100))+(BR73*(30/100))+(BS73*(50/100))) &gt;=7.8),8,
IF(AND( SUM((BQ73*(20/100))+(BR73*(30/100))+(BS73*(50/100))) &lt;=7.8, SUM((BQ73*(20/100))+(BR73*(30/100))+(BS73*(50/100))) &gt;=7.3),7.5,
IF(AND( SUM((BQ73*(20/100))+(BR73*(30/100))+(BS73*(50/100))) &lt;=7.3, SUM((BQ73*(20/100))+(BR73*(30/100))+(BS73*(50/100))) &gt;=6.8),7,
IF(AND( SUM((BQ73*(20/100))+(BR73*(30/100))+(BS73*(50/100))) &lt;=6.8, SUM((BQ73*(20/100))+(BR73*(30/100))+(BS73*(50/100))) &gt;=6.3),6.5,
IF(AND( SUM((BQ73*(20/100))+(BR73*(30/100))+(BS73*(50/100))) &lt;=6.3, SUM((BQ73*(20/100))+(BR73*(30/100))+(BS73*(50/100))) &gt;=5.8),6,
IF(AND( SUM((BQ73*(20/100))+(BR73*(30/100))+(BS73*(50/100))) &lt;=5.8, SUM((BQ73*(20/100))+(BR73*(30/100))+(BS73*(50/100))) &gt;=5.3),5.5,
IF(AND( SUM((BQ73*(20/100))+(BR73*(30/100))+(BS73*(50/100))) &lt;=5.3, SUM((BQ73*(20/100))+(BR73*(30/100))+(BS73*(50/100))) &gt;=4.8),5,
IF(AND( SUM((BQ73*(20/100))+(BR73*(30/100))+(BS73*(50/100))) &lt;=4.8, SUM((BQ73*(20/100))+(BR73*(30/100))+(BS73*(50/100))) &gt;=4.3),4.5,
IF(AND( SUM((BQ73*(20/100))+(BR73*(30/100))+(BS73*(50/100))) &lt;=4.3, SUM((BQ73*(20/100))+(BR73*(30/100))+(BS73*(50/100))) &gt;=3.8),4,
IF(AND( SUM((BQ73*(20/100))+(BR73*(30/100))+(BS73*(50/100))) &lt;=3.8, SUM((BQ73*(20/100))+(BR73*(30/100))+(BS73*(50/100))) &gt;=3.5),3.5,0)))))))))))))</f>
        <v>0</v>
      </c>
      <c r="BU73" s="536"/>
      <c r="BV73" s="536"/>
      <c r="BW73" s="536"/>
      <c r="BX73" s="542">
        <f t="shared" ref="BX73:BX136" si="41">IF( SUM((BU73*(20/100))+(BV73*(30/100))+(BW73*(50/100))) &gt;=9.3,9.5,
IF(AND( SUM((BU73*(20/100))+(BV73*(30/100))+(BW73*(50/100))) &lt;=9.3, SUM((BU73*(20/100))+(BV73*(30/100))+(BW73*(50/100))) &gt;=8.8),9,
IF(AND( SUM((BU73*(20/100))+(BV73*(30/100))+(BW73*(50/100))) &lt;=8.8, SUM((BU73*(20/100))+(BV73*(30/100))+(BW73*(50/100))) &gt;=8.3),8.5,
IF(AND( SUM((BU73*(20/100))+(BV73*(30/100))+(BW73*(50/100))) &lt;=8.3, SUM((BU73*(20/100))+(BV73*(30/100))+(BW73*(50/100))) &gt;=7.8),8,
IF(AND( SUM((BU73*(20/100))+(BV73*(30/100))+(BW73*(50/100))) &lt;=7.8, SUM((BU73*(20/100))+(BV73*(30/100))+(BW73*(50/100))) &gt;=7.3),7.5,
IF(AND( SUM((BU73*(20/100))+(BV73*(30/100))+(BW73*(50/100))) &lt;=7.3, SUM((BU73*(20/100))+(BV73*(30/100))+(BW73*(50/100))) &gt;=6.8),7,
IF(AND( SUM((BU73*(20/100))+(BV73*(30/100))+(BW73*(50/100))) &lt;=6.8, SUM((BU73*(20/100))+(BV73*(30/100))+(BW73*(50/100))) &gt;=6.3),6.5,
IF(AND( SUM((BU73*(20/100))+(BV73*(30/100))+(BW73*(50/100))) &lt;=6.3, SUM((BU73*(20/100))+(BV73*(30/100))+(BW73*(50/100))) &gt;=5.8),6,
IF(AND( SUM((BU73*(20/100))+(BV73*(30/100))+(BW73*(50/100))) &lt;=5.8, SUM((BU73*(20/100))+(BV73*(30/100))+(BW73*(50/100))) &gt;=5.3),5.5,
IF(AND( SUM((BU73*(20/100))+(BV73*(30/100))+(BW73*(50/100))) &lt;=5.3, SUM((BU73*(20/100))+(BV73*(30/100))+(BW73*(50/100))) &gt;=4.8),5,
IF(AND( SUM((BU73*(20/100))+(BV73*(30/100))+(BW73*(50/100))) &lt;=4.8, SUM((BU73*(20/100))+(BV73*(30/100))+(BW73*(50/100))) &gt;=4.3),4.5,
IF(AND( SUM((BU73*(20/100))+(BV73*(30/100))+(BW73*(50/100))) &lt;=4.3, SUM((BU73*(20/100))+(BV73*(30/100))+(BW73*(50/100))) &gt;=3.8),4,
IF(AND( SUM((BU73*(20/100))+(BV73*(30/100))+(BW73*(50/100))) &lt;=3.8, SUM((BU73*(20/100))+(BV73*(30/100))+(BW73*(50/100))) &gt;=3.5),3.5,0)))))))))))))</f>
        <v>0</v>
      </c>
      <c r="BY73" s="536"/>
      <c r="BZ73" s="536"/>
      <c r="CA73" s="536"/>
      <c r="CB73" s="542">
        <v>0</v>
      </c>
      <c r="CC73" s="536"/>
      <c r="CD73" s="536"/>
      <c r="CE73" s="536"/>
      <c r="CF73" s="541">
        <f t="shared" ref="CF73:CF136" si="42">IF( SUM((CC73*(20/100))+(CD73*(30/100))+(CE73*(50/100))) &gt;=9.3,9.5,
IF(AND( SUM((CC73*(20/100))+(CD73*(30/100))+(CE73*(50/100))) &lt;=9.3, SUM((CC73*(20/100))+(CD73*(30/100))+(CE73*(50/100))) &gt;=8.8),9,
IF(AND( SUM((CC73*(20/100))+(CD73*(30/100))+(CE73*(50/100))) &lt;=8.8, SUM((CC73*(20/100))+(CD73*(30/100))+(CE73*(50/100))) &gt;=8.3),8.5,
IF(AND( SUM((CC73*(20/100))+(CD73*(30/100))+(CE73*(50/100))) &lt;=8.3, SUM((CC73*(20/100))+(CD73*(30/100))+(CE73*(50/100))) &gt;=7.8),8,
IF(AND( SUM((CC73*(20/100))+(CD73*(30/100))+(CE73*(50/100))) &lt;=7.8, SUM((CC73*(20/100))+(CD73*(30/100))+(CE73*(50/100))) &gt;=7.3),7.5,
IF(AND( SUM((CC73*(20/100))+(CD73*(30/100))+(CE73*(50/100))) &lt;=7.3, SUM((CC73*(20/100))+(CD73*(30/100))+(CE73*(50/100))) &gt;=6.8),7,
IF(AND( SUM((CC73*(20/100))+(CD73*(30/100))+(CE73*(50/100))) &lt;=6.8, SUM((CC73*(20/100))+(CD73*(30/100))+(CE73*(50/100))) &gt;=6.3),6.5,
IF(AND( SUM((CC73*(20/100))+(CD73*(30/100))+(CE73*(50/100))) &lt;=6.3, SUM((CC73*(20/100))+(CD73*(30/100))+(CE73*(50/100))) &gt;=5.8),6,
IF(AND( SUM((CC73*(20/100))+(CD73*(30/100))+(CE73*(50/100))) &lt;=5.8, SUM((CC73*(20/100))+(CD73*(30/100))+(CE73*(50/100))) &gt;=5.3),5.5,
IF(AND( SUM((CC73*(20/100))+(CD73*(30/100))+(CE73*(50/100))) &lt;=5.3, SUM((CC73*(20/100))+(CD73*(30/100))+(CE73*(50/100))) &gt;=4.8),5,
IF(AND( SUM((CC73*(20/100))+(CD73*(30/100))+(CE73*(50/100))) &lt;=4.8, SUM((CC73*(20/100))+(CD73*(30/100))+(CE73*(50/100))) &gt;=4.3),4.5,
IF(AND( SUM((CC73*(20/100))+(CD73*(30/100))+(CE73*(50/100))) &lt;=4.3, SUM((CC73*(20/100))+(CD73*(30/100))+(CE73*(50/100))) &gt;=3.8),4,
IF(AND( SUM((CC73*(20/100))+(CD73*(30/100))+(CE73*(50/100))) &lt;=3.8, SUM((CC73*(20/100))+(CD73*(30/100))+(CE73*(50/100))) &gt;=3.5),3.5,0)))))))))))))</f>
        <v>0</v>
      </c>
      <c r="CG73" s="536"/>
      <c r="CH73" s="536"/>
      <c r="CI73" s="536"/>
      <c r="CJ73" s="541">
        <f t="shared" ref="CJ73:CJ136" si="43">IF( SUM((CG73*(20/100))+(CH73*(30/100))+(CI73*(50/100))) &gt;=9.3,9.5,
IF(AND( SUM((CG73*(20/100))+(CH73*(30/100))+(CI73*(50/100))) &lt;=9.3, SUM((CG73*(20/100))+(CH73*(30/100))+(CI73*(50/100))) &gt;=8.8),9,
IF(AND( SUM((CG73*(20/100))+(CH73*(30/100))+(CI73*(50/100))) &lt;=8.8, SUM((CG73*(20/100))+(CH73*(30/100))+(CI73*(50/100))) &gt;=8.3),8.5,
IF(AND( SUM((CG73*(20/100))+(CH73*(30/100))+(CI73*(50/100))) &lt;=8.3, SUM((CG73*(20/100))+(CH73*(30/100))+(CI73*(50/100))) &gt;=7.8),8,
IF(AND( SUM((CG73*(20/100))+(CH73*(30/100))+(CI73*(50/100))) &lt;=7.8, SUM((CG73*(20/100))+(CH73*(30/100))+(CI73*(50/100))) &gt;=7.3),7.5,
IF(AND( SUM((CG73*(20/100))+(CH73*(30/100))+(CI73*(50/100))) &lt;=7.3, SUM((CG73*(20/100))+(CH73*(30/100))+(CI73*(50/100))) &gt;=6.8),7,
IF(AND( SUM((CG73*(20/100))+(CH73*(30/100))+(CI73*(50/100))) &lt;=6.8, SUM((CG73*(20/100))+(CH73*(30/100))+(CI73*(50/100))) &gt;=6.3),6.5,
IF(AND( SUM((CG73*(20/100))+(CH73*(30/100))+(CI73*(50/100))) &lt;=6.3, SUM((CG73*(20/100))+(CH73*(30/100))+(CI73*(50/100))) &gt;=5.8),6,
IF(AND( SUM((CG73*(20/100))+(CH73*(30/100))+(CI73*(50/100))) &lt;=5.8, SUM((CG73*(20/100))+(CH73*(30/100))+(CI73*(50/100))) &gt;=5.3),5.5,
IF(AND( SUM((CG73*(20/100))+(CH73*(30/100))+(CI73*(50/100))) &lt;=5.3, SUM((CG73*(20/100))+(CH73*(30/100))+(CI73*(50/100))) &gt;=4.8),5,
IF(AND( SUM((CG73*(20/100))+(CH73*(30/100))+(CI73*(50/100))) &lt;=4.8, SUM((CG73*(20/100))+(CH73*(30/100))+(CI73*(50/100))) &gt;=4.3),4.5,
IF(AND( SUM((CG73*(20/100))+(CH73*(30/100))+(CI73*(50/100))) &lt;=4.3, SUM((CG73*(20/100))+(CH73*(30/100))+(CI73*(50/100))) &gt;=3.8),4,
IF(AND( SUM((CG73*(20/100))+(CH73*(30/100))+(CI73*(50/100))) &lt;=3.8, SUM((CG73*(20/100))+(CH73*(30/100))+(CI73*(50/100))) &gt;=3.5),3.5,0)))))))))))))</f>
        <v>0</v>
      </c>
      <c r="CK73" s="536"/>
      <c r="CL73" s="536"/>
      <c r="CM73" s="536"/>
      <c r="CN73" s="541">
        <f t="shared" ref="CN73:CN136" si="44">IF( SUM((CK73*(20/100))+(CL73*(30/100))+(CM73*(50/100))) &gt;=9.3,9.5,
IF(AND( SUM((CK73*(20/100))+(CL73*(30/100))+(CM73*(50/100))) &lt;=9.3, SUM((CK73*(20/100))+(CL73*(30/100))+(CM73*(50/100))) &gt;=8.8),9,
IF(AND( SUM((CK73*(20/100))+(CL73*(30/100))+(CM73*(50/100))) &lt;=8.8, SUM((CK73*(20/100))+(CL73*(30/100))+(CM73*(50/100))) &gt;=8.3),8.5,
IF(AND( SUM((CK73*(20/100))+(CL73*(30/100))+(CM73*(50/100))) &lt;=8.3, SUM((CK73*(20/100))+(CL73*(30/100))+(CM73*(50/100))) &gt;=7.8),8,
IF(AND( SUM((CK73*(20/100))+(CL73*(30/100))+(CM73*(50/100))) &lt;=7.8, SUM((CK73*(20/100))+(CL73*(30/100))+(CM73*(50/100))) &gt;=7.3),7.5,
IF(AND( SUM((CK73*(20/100))+(CL73*(30/100))+(CM73*(50/100))) &lt;=7.3, SUM((CK73*(20/100))+(CL73*(30/100))+(CM73*(50/100))) &gt;=6.8),7,
IF(AND( SUM((CK73*(20/100))+(CL73*(30/100))+(CM73*(50/100))) &lt;=6.8, SUM((CK73*(20/100))+(CL73*(30/100))+(CM73*(50/100))) &gt;=6.3),6.5,
IF(AND( SUM((CK73*(20/100))+(CL73*(30/100))+(CM73*(50/100))) &lt;=6.3, SUM((CK73*(20/100))+(CL73*(30/100))+(CM73*(50/100))) &gt;=5.8),6,
IF(AND( SUM((CK73*(20/100))+(CL73*(30/100))+(CM73*(50/100))) &lt;=5.8, SUM((CK73*(20/100))+(CL73*(30/100))+(CM73*(50/100))) &gt;=5.3),5.5,
IF(AND( SUM((CK73*(20/100))+(CL73*(30/100))+(CM73*(50/100))) &lt;=5.3, SUM((CK73*(20/100))+(CL73*(30/100))+(CM73*(50/100))) &gt;=4.8),5,
IF(AND( SUM((CK73*(20/100))+(CL73*(30/100))+(CM73*(50/100))) &lt;=4.8, SUM((CK73*(20/100))+(CL73*(30/100))+(CM73*(50/100))) &gt;=4.3),4.5,
IF(AND( SUM((CK73*(20/100))+(CL73*(30/100))+(CM73*(50/100))) &lt;=4.3, SUM((CK73*(20/100))+(CL73*(30/100))+(CM73*(50/100))) &gt;=3.8),4,
IF(AND( SUM((CK73*(20/100))+(CL73*(30/100))+(CM73*(50/100))) &lt;=3.8, SUM((CK73*(20/100))+(CL73*(30/100))+(CM73*(50/100))) &gt;=3.5),3.5,0)))))))))))))</f>
        <v>0</v>
      </c>
      <c r="CO73" s="536"/>
      <c r="CP73" s="536"/>
      <c r="CQ73" s="536"/>
      <c r="CR73" s="541">
        <f t="shared" ref="CR73:CR136" si="45">IF( SUM((CO73*(20/100))+(CP73*(30/100))+(CQ73*(50/100))) &gt;=9.3,9.5,
IF(AND( SUM((CO73*(20/100))+(CP73*(30/100))+(CQ73*(50/100))) &lt;=9.3, SUM((CO73*(20/100))+(CP73*(30/100))+(CQ73*(50/100))) &gt;=8.8),9,
IF(AND( SUM((CO73*(20/100))+(CP73*(30/100))+(CQ73*(50/100))) &lt;=8.8, SUM((CO73*(20/100))+(CP73*(30/100))+(CQ73*(50/100))) &gt;=8.3),8.5,
IF(AND( SUM((CO73*(20/100))+(CP73*(30/100))+(CQ73*(50/100))) &lt;=8.3, SUM((CO73*(20/100))+(CP73*(30/100))+(CQ73*(50/100))) &gt;=7.8),8,
IF(AND( SUM((CO73*(20/100))+(CP73*(30/100))+(CQ73*(50/100))) &lt;=7.8, SUM((CO73*(20/100))+(CP73*(30/100))+(CQ73*(50/100))) &gt;=7.3),7.5,
IF(AND( SUM((CO73*(20/100))+(CP73*(30/100))+(CQ73*(50/100))) &lt;=7.3, SUM((CO73*(20/100))+(CP73*(30/100))+(CQ73*(50/100))) &gt;=6.8),7,
IF(AND( SUM((CO73*(20/100))+(CP73*(30/100))+(CQ73*(50/100))) &lt;=6.8, SUM((CO73*(20/100))+(CP73*(30/100))+(CQ73*(50/100))) &gt;=6.3),6.5,
IF(AND( SUM((CO73*(20/100))+(CP73*(30/100))+(CQ73*(50/100))) &lt;=6.3, SUM((CO73*(20/100))+(CP73*(30/100))+(CQ73*(50/100))) &gt;=5.8),6,
IF(AND( SUM((CO73*(20/100))+(CP73*(30/100))+(CQ73*(50/100))) &lt;=5.8, SUM((CO73*(20/100))+(CP73*(30/100))+(CQ73*(50/100))) &gt;=5.3),5.5,
IF(AND( SUM((CO73*(20/100))+(CP73*(30/100))+(CQ73*(50/100))) &lt;=5.3, SUM((CO73*(20/100))+(CP73*(30/100))+(CQ73*(50/100))) &gt;=4.8),5,
IF(AND( SUM((CO73*(20/100))+(CP73*(30/100))+(CQ73*(50/100))) &lt;=4.8, SUM((CO73*(20/100))+(CP73*(30/100))+(CQ73*(50/100))) &gt;=4.3),4.5,
IF(AND( SUM((CO73*(20/100))+(CP73*(30/100))+(CQ73*(50/100))) &lt;=4.3, SUM((CO73*(20/100))+(CP73*(30/100))+(CQ73*(50/100))) &gt;=3.8),4,
IF(AND( SUM((CO73*(20/100))+(CP73*(30/100))+(CQ73*(50/100))) &lt;=3.8, SUM((CO73*(20/100))+(CP73*(30/100))+(CQ73*(50/100))) &gt;=3.5),3.5,0)))))))))))))</f>
        <v>0</v>
      </c>
      <c r="CS73" s="536"/>
      <c r="CT73" s="536"/>
      <c r="CU73" s="536"/>
      <c r="CV73" s="541">
        <f t="shared" ref="CV73:CV136" si="46">IF( SUM((CS73*(20/100))+(CT73*(30/100))+(CU73*(50/100))) &gt;=9.3,9.5,
IF(AND( SUM((CS73*(20/100))+(CT73*(30/100))+(CU73*(50/100))) &lt;=9.3, SUM((CS73*(20/100))+(CT73*(30/100))+(CU73*(50/100))) &gt;=8.8),9,
IF(AND( SUM((CS73*(20/100))+(CT73*(30/100))+(CU73*(50/100))) &lt;=8.8, SUM((CS73*(20/100))+(CT73*(30/100))+(CU73*(50/100))) &gt;=8.3),8.5,
IF(AND( SUM((CS73*(20/100))+(CT73*(30/100))+(CU73*(50/100))) &lt;=8.3, SUM((CS73*(20/100))+(CT73*(30/100))+(CU73*(50/100))) &gt;=7.8),8,
IF(AND( SUM((CS73*(20/100))+(CT73*(30/100))+(CU73*(50/100))) &lt;=7.8, SUM((CS73*(20/100))+(CT73*(30/100))+(CU73*(50/100))) &gt;=7.3),7.5,
IF(AND( SUM((CS73*(20/100))+(CT73*(30/100))+(CU73*(50/100))) &lt;=7.3, SUM((CS73*(20/100))+(CT73*(30/100))+(CU73*(50/100))) &gt;=6.8),7,
IF(AND( SUM((CS73*(20/100))+(CT73*(30/100))+(CU73*(50/100))) &lt;=6.8, SUM((CS73*(20/100))+(CT73*(30/100))+(CU73*(50/100))) &gt;=6.3),6.5,
IF(AND( SUM((CS73*(20/100))+(CT73*(30/100))+(CU73*(50/100))) &lt;=6.3, SUM((CS73*(20/100))+(CT73*(30/100))+(CU73*(50/100))) &gt;=5.8),6,
IF(AND( SUM((CS73*(20/100))+(CT73*(30/100))+(CU73*(50/100))) &lt;=5.8, SUM((CS73*(20/100))+(CT73*(30/100))+(CU73*(50/100))) &gt;=5.3),5.5,
IF(AND( SUM((CS73*(20/100))+(CT73*(30/100))+(CU73*(50/100))) &lt;=5.3, SUM((CS73*(20/100))+(CT73*(30/100))+(CU73*(50/100))) &gt;=4.8),5,
IF(AND( SUM((CS73*(20/100))+(CT73*(30/100))+(CU73*(50/100))) &lt;=4.8, SUM((CS73*(20/100))+(CT73*(30/100))+(CU73*(50/100))) &gt;=4.3),4.5,
IF(AND( SUM((CS73*(20/100))+(CT73*(30/100))+(CU73*(50/100))) &lt;=4.3, SUM((CS73*(20/100))+(CT73*(30/100))+(CU73*(50/100))) &gt;=3.8),4,
IF(AND( SUM((CS73*(20/100))+(CT73*(30/100))+(CU73*(50/100))) &lt;=3.8, SUM((CS73*(20/100))+(CT73*(30/100))+(CU73*(50/100))) &gt;=3.5),3.5,0)))))))))))))</f>
        <v>0</v>
      </c>
      <c r="CW73" s="536"/>
      <c r="CX73" s="536"/>
      <c r="CY73" s="536"/>
      <c r="CZ73" s="541">
        <f t="shared" ref="CZ73:CZ136" si="47">IF( SUM((CW73*(20/100))+(CX73*(30/100))+(CY73*(50/100))) &gt;=9.3,9.5,
IF(AND( SUM((CW73*(20/100))+(CX73*(30/100))+(CY73*(50/100))) &lt;=9.3, SUM((CW73*(20/100))+(CX73*(30/100))+(CY73*(50/100))) &gt;=8.8),9,
IF(AND( SUM((CW73*(20/100))+(CX73*(30/100))+(CY73*(50/100))) &lt;=8.8, SUM((CW73*(20/100))+(CX73*(30/100))+(CY73*(50/100))) &gt;=8.3),8.5,
IF(AND( SUM((CW73*(20/100))+(CX73*(30/100))+(CY73*(50/100))) &lt;=8.3, SUM((CW73*(20/100))+(CX73*(30/100))+(CY73*(50/100))) &gt;=7.8),8,
IF(AND( SUM((CW73*(20/100))+(CX73*(30/100))+(CY73*(50/100))) &lt;=7.8, SUM((CW73*(20/100))+(CX73*(30/100))+(CY73*(50/100))) &gt;=7.3),7.5,
IF(AND( SUM((CW73*(20/100))+(CX73*(30/100))+(CY73*(50/100))) &lt;=7.3, SUM((CW73*(20/100))+(CX73*(30/100))+(CY73*(50/100))) &gt;=6.8),7,
IF(AND( SUM((CW73*(20/100))+(CX73*(30/100))+(CY73*(50/100))) &lt;=6.8, SUM((CW73*(20/100))+(CX73*(30/100))+(CY73*(50/100))) &gt;=6.3),6.5,
IF(AND( SUM((CW73*(20/100))+(CX73*(30/100))+(CY73*(50/100))) &lt;=6.3, SUM((CW73*(20/100))+(CX73*(30/100))+(CY73*(50/100))) &gt;=5.8),6,
IF(AND( SUM((CW73*(20/100))+(CX73*(30/100))+(CY73*(50/100))) &lt;=5.8, SUM((CW73*(20/100))+(CX73*(30/100))+(CY73*(50/100))) &gt;=5.3),5.5,
IF(AND( SUM((CW73*(20/100))+(CX73*(30/100))+(CY73*(50/100))) &lt;=5.3, SUM((CW73*(20/100))+(CX73*(30/100))+(CY73*(50/100))) &gt;=4.8),5,
IF(AND( SUM((CW73*(20/100))+(CX73*(30/100))+(CY73*(50/100))) &lt;=4.8, SUM((CW73*(20/100))+(CX73*(30/100))+(CY73*(50/100))) &gt;=4.3),4.5,
IF(AND( SUM((CW73*(20/100))+(CX73*(30/100))+(CY73*(50/100))) &lt;=4.3, SUM((CW73*(20/100))+(CX73*(30/100))+(CY73*(50/100))) &gt;=3.8),4,
IF(AND( SUM((CW73*(20/100))+(CX73*(30/100))+(CY73*(50/100))) &lt;=3.8, SUM((CW73*(20/100))+(CX73*(30/100))+(CY73*(50/100))) &gt;=3.5),3.5,0)))))))))))))</f>
        <v>0</v>
      </c>
      <c r="DA73" s="536"/>
      <c r="DB73" s="536"/>
      <c r="DC73" s="536"/>
      <c r="DD73" s="541">
        <f t="shared" ref="DD73:DD136" si="48">IF( SUM((DA73*(20/100))+(DB73*(30/100))+(DC73*(50/100))) &gt;=9.3,9.5,
IF(AND( SUM((DA73*(20/100))+(DB73*(30/100))+(DC73*(50/100))) &lt;=9.3, SUM((DA73*(20/100))+(DB73*(30/100))+(DC73*(50/100))) &gt;=8.8),9,
IF(AND( SUM((DA73*(20/100))+(DB73*(30/100))+(DC73*(50/100))) &lt;=8.8, SUM((DA73*(20/100))+(DB73*(30/100))+(DC73*(50/100))) &gt;=8.3),8.5,
IF(AND( SUM((DA73*(20/100))+(DB73*(30/100))+(DC73*(50/100))) &lt;=8.3, SUM((DA73*(20/100))+(DB73*(30/100))+(DC73*(50/100))) &gt;=7.8),8,
IF(AND( SUM((DA73*(20/100))+(DB73*(30/100))+(DC73*(50/100))) &lt;=7.8, SUM((DA73*(20/100))+(DB73*(30/100))+(DC73*(50/100))) &gt;=7.3),7.5,
IF(AND( SUM((DA73*(20/100))+(DB73*(30/100))+(DC73*(50/100))) &lt;=7.3, SUM((DA73*(20/100))+(DB73*(30/100))+(DC73*(50/100))) &gt;=6.8),7,
IF(AND( SUM((DA73*(20/100))+(DB73*(30/100))+(DC73*(50/100))) &lt;=6.8, SUM((DA73*(20/100))+(DB73*(30/100))+(DC73*(50/100))) &gt;=6.3),6.5,
IF(AND( SUM((DA73*(20/100))+(DB73*(30/100))+(DC73*(50/100))) &lt;=6.3, SUM((DA73*(20/100))+(DB73*(30/100))+(DC73*(50/100))) &gt;=5.8),6,
IF(AND( SUM((DA73*(20/100))+(DB73*(30/100))+(DC73*(50/100))) &lt;=5.8, SUM((DA73*(20/100))+(DB73*(30/100))+(DC73*(50/100))) &gt;=5.3),5.5,
IF(AND( SUM((DA73*(20/100))+(DB73*(30/100))+(DC73*(50/100))) &lt;=5.3, SUM((DA73*(20/100))+(DB73*(30/100))+(DC73*(50/100))) &gt;=4.8),5,
IF(AND( SUM((DA73*(20/100))+(DB73*(30/100))+(DC73*(50/100))) &lt;=4.8, SUM((DA73*(20/100))+(DB73*(30/100))+(DC73*(50/100))) &gt;=4.3),4.5,
IF(AND( SUM((DA73*(20/100))+(DB73*(30/100))+(DC73*(50/100))) &lt;=4.3, SUM((DA73*(20/100))+(DB73*(30/100))+(DC73*(50/100))) &gt;=3.8),4,
IF(AND( SUM((DA73*(20/100))+(DB73*(30/100))+(DC73*(50/100))) &lt;=3.8, SUM((DA73*(20/100))+(DB73*(30/100))+(DC73*(50/100))) &gt;=3.5),3.5,0)))))))))))))</f>
        <v>0</v>
      </c>
      <c r="DE73" s="536"/>
      <c r="DF73" s="536"/>
      <c r="DG73" s="536"/>
      <c r="DH73" s="541">
        <f t="shared" ref="DH73:DH136" si="49">IF( SUM((DE73*(20/100))+(DF73*(30/100))+(DG73*(50/100))) &gt;=9.3,9.5,
IF(AND( SUM((DE73*(20/100))+(DF73*(30/100))+(DG73*(50/100))) &lt;=9.3, SUM((DE73*(20/100))+(DF73*(30/100))+(DG73*(50/100))) &gt;=8.8),9,
IF(AND( SUM((DE73*(20/100))+(DF73*(30/100))+(DG73*(50/100))) &lt;=8.8, SUM((DE73*(20/100))+(DF73*(30/100))+(DG73*(50/100))) &gt;=8.3),8.5,
IF(AND( SUM((DE73*(20/100))+(DF73*(30/100))+(DG73*(50/100))) &lt;=8.3, SUM((DE73*(20/100))+(DF73*(30/100))+(DG73*(50/100))) &gt;=7.8),8,
IF(AND( SUM((DE73*(20/100))+(DF73*(30/100))+(DG73*(50/100))) &lt;=7.8, SUM((DE73*(20/100))+(DF73*(30/100))+(DG73*(50/100))) &gt;=7.3),7.5,
IF(AND( SUM((DE73*(20/100))+(DF73*(30/100))+(DG73*(50/100))) &lt;=7.3, SUM((DE73*(20/100))+(DF73*(30/100))+(DG73*(50/100))) &gt;=6.8),7,
IF(AND( SUM((DE73*(20/100))+(DF73*(30/100))+(DG73*(50/100))) &lt;=6.8, SUM((DE73*(20/100))+(DF73*(30/100))+(DG73*(50/100))) &gt;=6.3),6.5,
IF(AND( SUM((DE73*(20/100))+(DF73*(30/100))+(DG73*(50/100))) &lt;=6.3, SUM((DE73*(20/100))+(DF73*(30/100))+(DG73*(50/100))) &gt;=5.8),6,
IF(AND( SUM((DE73*(20/100))+(DF73*(30/100))+(DG73*(50/100))) &lt;=5.8, SUM((DE73*(20/100))+(DF73*(30/100))+(DG73*(50/100))) &gt;=5.3),5.5,
IF(AND( SUM((DE73*(20/100))+(DF73*(30/100))+(DG73*(50/100))) &lt;=5.3, SUM((DE73*(20/100))+(DF73*(30/100))+(DG73*(50/100))) &gt;=4.8),5,
IF(AND( SUM((DE73*(20/100))+(DF73*(30/100))+(DG73*(50/100))) &lt;=4.8, SUM((DE73*(20/100))+(DF73*(30/100))+(DG73*(50/100))) &gt;=4.3),4.5,
IF(AND( SUM((DE73*(20/100))+(DF73*(30/100))+(DG73*(50/100))) &lt;=4.3, SUM((DE73*(20/100))+(DF73*(30/100))+(DG73*(50/100))) &gt;=3.8),4,
IF(AND( SUM((DE73*(20/100))+(DF73*(30/100))+(DG73*(50/100))) &lt;=3.8, SUM((DE73*(20/100))+(DF73*(30/100))+(DG73*(50/100))) &gt;=3.5),3.5,0)))))))))))))</f>
        <v>0</v>
      </c>
      <c r="DI73" s="536"/>
      <c r="DJ73" s="536"/>
      <c r="DK73" s="536"/>
      <c r="DL73" s="541">
        <f t="shared" ref="DL73:DL136" si="50">IF( SUM((DI73*(20/100))+(DJ73*(30/100))+(DK73*(50/100))) &gt;=9.3,9.5,
IF(AND( SUM((DI73*(20/100))+(DJ73*(30/100))+(DK73*(50/100))) &lt;=9.3, SUM((DI73*(20/100))+(DJ73*(30/100))+(DK73*(50/100))) &gt;=8.8),9,
IF(AND( SUM((DI73*(20/100))+(DJ73*(30/100))+(DK73*(50/100))) &lt;=8.8, SUM((DI73*(20/100))+(DJ73*(30/100))+(DK73*(50/100))) &gt;=8.3),8.5,
IF(AND( SUM((DI73*(20/100))+(DJ73*(30/100))+(DK73*(50/100))) &lt;=8.3, SUM((DI73*(20/100))+(DJ73*(30/100))+(DK73*(50/100))) &gt;=7.8),8,
IF(AND( SUM((DI73*(20/100))+(DJ73*(30/100))+(DK73*(50/100))) &lt;=7.8, SUM((DI73*(20/100))+(DJ73*(30/100))+(DK73*(50/100))) &gt;=7.3),7.5,
IF(AND( SUM((DI73*(20/100))+(DJ73*(30/100))+(DK73*(50/100))) &lt;=7.3, SUM((DI73*(20/100))+(DJ73*(30/100))+(DK73*(50/100))) &gt;=6.8),7,
IF(AND( SUM((DI73*(20/100))+(DJ73*(30/100))+(DK73*(50/100))) &lt;=6.8, SUM((DI73*(20/100))+(DJ73*(30/100))+(DK73*(50/100))) &gt;=6.3),6.5,
IF(AND( SUM((DI73*(20/100))+(DJ73*(30/100))+(DK73*(50/100))) &lt;=6.3, SUM((DI73*(20/100))+(DJ73*(30/100))+(DK73*(50/100))) &gt;=5.8),6,
IF(AND( SUM((DI73*(20/100))+(DJ73*(30/100))+(DK73*(50/100))) &lt;=5.8, SUM((DI73*(20/100))+(DJ73*(30/100))+(DK73*(50/100))) &gt;=5.3),5.5,
IF(AND( SUM((DI73*(20/100))+(DJ73*(30/100))+(DK73*(50/100))) &lt;=5.3, SUM((DI73*(20/100))+(DJ73*(30/100))+(DK73*(50/100))) &gt;=4.8),5,
IF(AND( SUM((DI73*(20/100))+(DJ73*(30/100))+(DK73*(50/100))) &lt;=4.8, SUM((DI73*(20/100))+(DJ73*(30/100))+(DK73*(50/100))) &gt;=4.3),4.5,
IF(AND( SUM((DI73*(20/100))+(DJ73*(30/100))+(DK73*(50/100))) &lt;=4.3, SUM((DI73*(20/100))+(DJ73*(30/100))+(DK73*(50/100))) &gt;=3.8),4,
IF(AND( SUM((DI73*(20/100))+(DJ73*(30/100))+(DK73*(50/100))) &lt;=3.8, SUM((DI73*(20/100))+(DJ73*(30/100))+(DK73*(50/100))) &gt;=3.5),3.5,0)))))))))))))</f>
        <v>0</v>
      </c>
      <c r="DM73" s="536"/>
      <c r="DN73" s="536"/>
      <c r="DO73" s="536"/>
      <c r="DP73" s="541">
        <f>IF( SUM((DJ73*(20/100))+(DK73*(30/100))+(DL73*(50/100))) &gt;=9.3,9.5,
IF(AND( SUM((DJ73*(20/100))+(DK73*(30/100))+(DL73*(50/100))) &lt;=9.3, SUM((DJ73*(20/100))+(DK73*(30/100))+(DL73*(50/100))) &gt;=8.8),9,
IF(AND( SUM((DJ73*(20/100))+(DK73*(30/100))+(DL73*(50/100))) &lt;=8.8, SUM((DJ73*(20/100))+(DK73*(30/100))+(DL73*(50/100))) &gt;=8.3),8.5,
IF(AND( SUM((DJ73*(20/100))+(DK73*(30/100))+(DL73*(50/100))) &lt;=8.3, SUM((DJ73*(20/100))+(DK73*(30/100))+(DL73*(50/100))) &gt;=7.8),8,
IF(AND( SUM((DJ73*(20/100))+(DK73*(30/100))+(DL73*(50/100))) &lt;=7.8, SUM((DJ73*(20/100))+(DK73*(30/100))+(DL73*(50/100))) &gt;=7.3),7.5,
IF(AND( SUM((DJ73*(20/100))+(DK73*(30/100))+(DL73*(50/100))) &lt;=7.3, SUM((DJ73*(20/100))+(DK73*(30/100))+(DL73*(50/100))) &gt;=6.8),7,
IF(AND( SUM((DJ73*(20/100))+(DK73*(30/100))+(DL73*(50/100))) &lt;=6.8, SUM((DJ73*(20/100))+(DK73*(30/100))+(DL73*(50/100))) &gt;=6.3),6.5,
IF(AND( SUM((DJ73*(20/100))+(DK73*(30/100))+(DL73*(50/100))) &lt;=6.3, SUM((DJ73*(20/100))+(DK73*(30/100))+(DL73*(50/100))) &gt;=5.8),6,
IF(AND( SUM((DJ73*(20/100))+(DK73*(30/100))+(DL73*(50/100))) &lt;=5.8, SUM((DJ73*(20/100))+(DK73*(30/100))+(DL73*(50/100))) &gt;=5.3),5.5,
IF(AND( SUM((DJ73*(20/100))+(DK73*(30/100))+(DL73*(50/100))) &lt;=5.3, SUM((DJ73*(20/100))+(DK73*(30/100))+(DL73*(50/100))) &gt;=4.8),5,
IF(AND( SUM((DJ73*(20/100))+(DK73*(30/100))+(DL73*(50/100))) &lt;=4.8, SUM((DJ73*(20/100))+(DK73*(30/100))+(DL73*(50/100))) &gt;=4.3),4.5,
IF(AND( SUM((DJ73*(20/100))+(DK73*(30/100))+(DL73*(50/100))) &lt;=4.3, SUM((DJ73*(20/100))+(DK73*(30/100))+(DL73*(50/100))) &gt;=3.8),4,
IF(AND( SUM((DJ73*(20/100))+(DK73*(30/100))+(DL73*(50/100))) &lt;=3.8, SUM((DJ73*(20/100))+(DK73*(30/100))+(DL73*(50/100))) &gt;=3.5),3.5,0)))))))))))))</f>
        <v>0</v>
      </c>
      <c r="DQ73" s="541"/>
      <c r="DR73" s="541"/>
      <c r="DS73" s="541"/>
      <c r="DT73" s="541"/>
      <c r="DU73" s="541"/>
      <c r="DV73" s="541"/>
      <c r="DW73" s="541"/>
      <c r="DX73" s="541"/>
      <c r="DY73" s="541"/>
      <c r="DZ73" s="541"/>
    </row>
    <row r="74" spans="2:130" ht="15" customHeight="1" x14ac:dyDescent="0.25">
      <c r="B74" s="334">
        <v>17</v>
      </c>
      <c r="C74" s="541"/>
      <c r="D74" s="334"/>
      <c r="E74" s="334"/>
      <c r="F74" s="334"/>
      <c r="G74" s="334"/>
      <c r="H74" s="334"/>
      <c r="I74" s="334"/>
      <c r="J74" s="536"/>
      <c r="K74" s="536"/>
      <c r="L74" s="536"/>
      <c r="M74" s="536"/>
      <c r="N74" s="536"/>
      <c r="O74" s="536"/>
      <c r="P74" s="536">
        <f t="shared" si="26"/>
        <v>0</v>
      </c>
      <c r="Q74" s="536"/>
      <c r="R74" s="536"/>
      <c r="S74" s="536"/>
      <c r="T74" s="536">
        <f t="shared" si="27"/>
        <v>0</v>
      </c>
      <c r="U74" s="536"/>
      <c r="V74" s="536"/>
      <c r="W74" s="536"/>
      <c r="X74" s="536">
        <f t="shared" si="28"/>
        <v>0</v>
      </c>
      <c r="Y74" s="536"/>
      <c r="Z74" s="536"/>
      <c r="AA74" s="536"/>
      <c r="AB74" s="536">
        <f t="shared" si="29"/>
        <v>0</v>
      </c>
      <c r="AC74" s="536"/>
      <c r="AD74" s="536"/>
      <c r="AE74" s="536"/>
      <c r="AF74" s="536">
        <f t="shared" si="30"/>
        <v>0</v>
      </c>
      <c r="AG74" s="536"/>
      <c r="AH74" s="536"/>
      <c r="AI74" s="536"/>
      <c r="AJ74" s="536">
        <f t="shared" si="31"/>
        <v>0</v>
      </c>
      <c r="AK74" s="536"/>
      <c r="AL74" s="536"/>
      <c r="AM74" s="536"/>
      <c r="AN74" s="542">
        <f t="shared" si="32"/>
        <v>0</v>
      </c>
      <c r="AO74" s="536"/>
      <c r="AP74" s="536"/>
      <c r="AQ74" s="536"/>
      <c r="AR74" s="542">
        <f t="shared" si="33"/>
        <v>0</v>
      </c>
      <c r="AS74" s="536"/>
      <c r="AT74" s="536"/>
      <c r="AU74" s="536"/>
      <c r="AV74" s="542">
        <f t="shared" si="34"/>
        <v>0</v>
      </c>
      <c r="AW74" s="536"/>
      <c r="AX74" s="536"/>
      <c r="AY74" s="536"/>
      <c r="AZ74" s="542">
        <f t="shared" si="35"/>
        <v>0</v>
      </c>
      <c r="BA74" s="536"/>
      <c r="BB74" s="536"/>
      <c r="BC74" s="536"/>
      <c r="BD74" s="542">
        <f t="shared" si="36"/>
        <v>0</v>
      </c>
      <c r="BE74" s="536"/>
      <c r="BF74" s="536"/>
      <c r="BG74" s="536"/>
      <c r="BH74" s="542">
        <f t="shared" si="37"/>
        <v>0</v>
      </c>
      <c r="BI74" s="536"/>
      <c r="BJ74" s="536"/>
      <c r="BK74" s="536"/>
      <c r="BL74" s="542">
        <f t="shared" si="38"/>
        <v>0</v>
      </c>
      <c r="BM74" s="536"/>
      <c r="BN74" s="536"/>
      <c r="BO74" s="536"/>
      <c r="BP74" s="542">
        <f t="shared" si="39"/>
        <v>0</v>
      </c>
      <c r="BQ74" s="536"/>
      <c r="BR74" s="536"/>
      <c r="BS74" s="536"/>
      <c r="BT74" s="542">
        <f t="shared" si="40"/>
        <v>0</v>
      </c>
      <c r="BU74" s="536"/>
      <c r="BV74" s="536"/>
      <c r="BW74" s="536"/>
      <c r="BX74" s="542">
        <f t="shared" si="41"/>
        <v>0</v>
      </c>
      <c r="BY74" s="536"/>
      <c r="BZ74" s="536"/>
      <c r="CA74" s="536"/>
      <c r="CB74" s="542">
        <v>0</v>
      </c>
      <c r="CC74" s="536"/>
      <c r="CD74" s="536"/>
      <c r="CE74" s="536"/>
      <c r="CF74" s="541">
        <f t="shared" si="42"/>
        <v>0</v>
      </c>
      <c r="CG74" s="536"/>
      <c r="CH74" s="536"/>
      <c r="CI74" s="536"/>
      <c r="CJ74" s="541">
        <f t="shared" si="43"/>
        <v>0</v>
      </c>
      <c r="CK74" s="536"/>
      <c r="CL74" s="536"/>
      <c r="CM74" s="536"/>
      <c r="CN74" s="541">
        <f t="shared" si="44"/>
        <v>0</v>
      </c>
      <c r="CO74" s="536"/>
      <c r="CP74" s="536"/>
      <c r="CQ74" s="536"/>
      <c r="CR74" s="541">
        <f t="shared" si="45"/>
        <v>0</v>
      </c>
      <c r="CS74" s="536"/>
      <c r="CT74" s="536"/>
      <c r="CU74" s="536"/>
      <c r="CV74" s="541">
        <f t="shared" si="46"/>
        <v>0</v>
      </c>
      <c r="CW74" s="536"/>
      <c r="CX74" s="536"/>
      <c r="CY74" s="536"/>
      <c r="CZ74" s="541">
        <f t="shared" si="47"/>
        <v>0</v>
      </c>
      <c r="DA74" s="536"/>
      <c r="DB74" s="536"/>
      <c r="DC74" s="536"/>
      <c r="DD74" s="541">
        <f t="shared" si="48"/>
        <v>0</v>
      </c>
      <c r="DE74" s="536"/>
      <c r="DF74" s="536"/>
      <c r="DG74" s="536"/>
      <c r="DH74" s="541">
        <f t="shared" si="49"/>
        <v>0</v>
      </c>
      <c r="DI74" s="536"/>
      <c r="DJ74" s="536"/>
      <c r="DK74" s="536"/>
      <c r="DL74" s="541">
        <f t="shared" si="50"/>
        <v>0</v>
      </c>
      <c r="DM74" s="536"/>
      <c r="DN74" s="536"/>
      <c r="DO74" s="536"/>
      <c r="DP74" s="541">
        <f>IF( SUM((DJ74*(20/100))+(DK74*(30/100))+(DL74*(50/100))) &gt;=9.3,9.5,
IF(AND( SUM((DJ74*(20/100))+(DK74*(30/100))+(DL74*(50/100))) &lt;=9.3, SUM((DJ74*(20/100))+(DK74*(30/100))+(DL74*(50/100))) &gt;=8.8),9,
IF(AND( SUM((DJ74*(20/100))+(DK74*(30/100))+(DL74*(50/100))) &lt;=8.8, SUM((DJ74*(20/100))+(DK74*(30/100))+(DL74*(50/100))) &gt;=8.3),8.5,
IF(AND( SUM((DJ74*(20/100))+(DK74*(30/100))+(DL74*(50/100))) &lt;=8.3, SUM((DJ74*(20/100))+(DK74*(30/100))+(DL74*(50/100))) &gt;=7.8),8,
IF(AND( SUM((DJ74*(20/100))+(DK74*(30/100))+(DL74*(50/100))) &lt;=7.8, SUM((DJ74*(20/100))+(DK74*(30/100))+(DL74*(50/100))) &gt;=7.3),7.5,
IF(AND( SUM((DJ74*(20/100))+(DK74*(30/100))+(DL74*(50/100))) &lt;=7.3, SUM((DJ74*(20/100))+(DK74*(30/100))+(DL74*(50/100))) &gt;=6.8),7,
IF(AND( SUM((DJ74*(20/100))+(DK74*(30/100))+(DL74*(50/100))) &lt;=6.8, SUM((DJ74*(20/100))+(DK74*(30/100))+(DL74*(50/100))) &gt;=6.3),6.5,
IF(AND( SUM((DJ74*(20/100))+(DK74*(30/100))+(DL74*(50/100))) &lt;=6.3, SUM((DJ74*(20/100))+(DK74*(30/100))+(DL74*(50/100))) &gt;=5.8),6,
IF(AND( SUM((DJ74*(20/100))+(DK74*(30/100))+(DL74*(50/100))) &lt;=5.8, SUM((DJ74*(20/100))+(DK74*(30/100))+(DL74*(50/100))) &gt;=5.3),5.5,
IF(AND( SUM((DJ74*(20/100))+(DK74*(30/100))+(DL74*(50/100))) &lt;=5.3, SUM((DJ74*(20/100))+(DK74*(30/100))+(DL74*(50/100))) &gt;=4.8),5,
IF(AND( SUM((DJ74*(20/100))+(DK74*(30/100))+(DL74*(50/100))) &lt;=4.8, SUM((DJ74*(20/100))+(DK74*(30/100))+(DL74*(50/100))) &gt;=4.3),4.5,
IF(AND( SUM((DJ74*(20/100))+(DK74*(30/100))+(DL74*(50/100))) &lt;=4.3, SUM((DJ74*(20/100))+(DK74*(30/100))+(DL74*(50/100))) &gt;=3.8),4,
IF(AND( SUM((DJ74*(20/100))+(DK74*(30/100))+(DL74*(50/100))) &lt;=3.8, SUM((DJ74*(20/100))+(DK74*(30/100))+(DL74*(50/100))) &gt;=3.5),3.5,0)))))))))))))</f>
        <v>0</v>
      </c>
      <c r="DQ74" s="541"/>
      <c r="DR74" s="541"/>
      <c r="DS74" s="541"/>
      <c r="DT74" s="541"/>
      <c r="DU74" s="541"/>
      <c r="DV74" s="541"/>
      <c r="DW74" s="541"/>
      <c r="DX74" s="541"/>
      <c r="DY74" s="541"/>
      <c r="DZ74" s="541"/>
    </row>
    <row r="75" spans="2:130" ht="15" customHeight="1" x14ac:dyDescent="0.25">
      <c r="B75" s="334">
        <v>18</v>
      </c>
      <c r="C75" s="541"/>
      <c r="D75" s="334"/>
      <c r="E75" s="334"/>
      <c r="F75" s="334"/>
      <c r="G75" s="334"/>
      <c r="H75" s="334"/>
      <c r="I75" s="334"/>
      <c r="J75" s="536"/>
      <c r="K75" s="536"/>
      <c r="L75" s="536"/>
      <c r="M75" s="536"/>
      <c r="N75" s="536"/>
      <c r="O75" s="536"/>
      <c r="P75" s="536">
        <f t="shared" si="26"/>
        <v>0</v>
      </c>
      <c r="Q75" s="536"/>
      <c r="R75" s="536"/>
      <c r="S75" s="536"/>
      <c r="T75" s="536">
        <f t="shared" si="27"/>
        <v>0</v>
      </c>
      <c r="U75" s="536"/>
      <c r="V75" s="536"/>
      <c r="W75" s="536"/>
      <c r="X75" s="536">
        <f t="shared" si="28"/>
        <v>0</v>
      </c>
      <c r="Y75" s="536"/>
      <c r="Z75" s="536"/>
      <c r="AA75" s="536"/>
      <c r="AB75" s="536">
        <f t="shared" si="29"/>
        <v>0</v>
      </c>
      <c r="AC75" s="536"/>
      <c r="AD75" s="536"/>
      <c r="AE75" s="536"/>
      <c r="AF75" s="536">
        <f t="shared" si="30"/>
        <v>0</v>
      </c>
      <c r="AG75" s="536"/>
      <c r="AH75" s="536"/>
      <c r="AI75" s="536"/>
      <c r="AJ75" s="536">
        <f t="shared" si="31"/>
        <v>0</v>
      </c>
      <c r="AK75" s="536"/>
      <c r="AL75" s="536"/>
      <c r="AM75" s="536"/>
      <c r="AN75" s="542">
        <f t="shared" si="32"/>
        <v>0</v>
      </c>
      <c r="AO75" s="536"/>
      <c r="AP75" s="536"/>
      <c r="AQ75" s="536"/>
      <c r="AR75" s="542">
        <f t="shared" si="33"/>
        <v>0</v>
      </c>
      <c r="AS75" s="536"/>
      <c r="AT75" s="536"/>
      <c r="AU75" s="536"/>
      <c r="AV75" s="542">
        <f t="shared" si="34"/>
        <v>0</v>
      </c>
      <c r="AW75" s="536"/>
      <c r="AX75" s="536"/>
      <c r="AY75" s="536"/>
      <c r="AZ75" s="542">
        <f t="shared" si="35"/>
        <v>0</v>
      </c>
      <c r="BA75" s="536"/>
      <c r="BB75" s="536"/>
      <c r="BC75" s="536"/>
      <c r="BD75" s="542">
        <f t="shared" si="36"/>
        <v>0</v>
      </c>
      <c r="BE75" s="536"/>
      <c r="BF75" s="536"/>
      <c r="BG75" s="536"/>
      <c r="BH75" s="542">
        <f t="shared" si="37"/>
        <v>0</v>
      </c>
      <c r="BI75" s="536"/>
      <c r="BJ75" s="536"/>
      <c r="BK75" s="536"/>
      <c r="BL75" s="542">
        <f t="shared" si="38"/>
        <v>0</v>
      </c>
      <c r="BM75" s="536"/>
      <c r="BN75" s="536"/>
      <c r="BO75" s="536"/>
      <c r="BP75" s="542">
        <f t="shared" si="39"/>
        <v>0</v>
      </c>
      <c r="BQ75" s="536"/>
      <c r="BR75" s="536"/>
      <c r="BS75" s="536"/>
      <c r="BT75" s="542">
        <f t="shared" si="40"/>
        <v>0</v>
      </c>
      <c r="BU75" s="536"/>
      <c r="BV75" s="536"/>
      <c r="BW75" s="536"/>
      <c r="BX75" s="542">
        <f t="shared" si="41"/>
        <v>0</v>
      </c>
      <c r="BY75" s="536"/>
      <c r="BZ75" s="536"/>
      <c r="CA75" s="536"/>
      <c r="CB75" s="542">
        <v>0</v>
      </c>
      <c r="CC75" s="536"/>
      <c r="CD75" s="536"/>
      <c r="CE75" s="536"/>
      <c r="CF75" s="541">
        <f t="shared" si="42"/>
        <v>0</v>
      </c>
      <c r="CG75" s="536"/>
      <c r="CH75" s="536"/>
      <c r="CI75" s="536"/>
      <c r="CJ75" s="541">
        <f t="shared" si="43"/>
        <v>0</v>
      </c>
      <c r="CK75" s="536"/>
      <c r="CL75" s="536"/>
      <c r="CM75" s="536"/>
      <c r="CN75" s="541">
        <f t="shared" si="44"/>
        <v>0</v>
      </c>
      <c r="CO75" s="536"/>
      <c r="CP75" s="536"/>
      <c r="CQ75" s="536"/>
      <c r="CR75" s="541">
        <f t="shared" si="45"/>
        <v>0</v>
      </c>
      <c r="CS75" s="536"/>
      <c r="CT75" s="536"/>
      <c r="CU75" s="536"/>
      <c r="CV75" s="541">
        <f t="shared" si="46"/>
        <v>0</v>
      </c>
      <c r="CW75" s="536"/>
      <c r="CX75" s="536"/>
      <c r="CY75" s="536"/>
      <c r="CZ75" s="541">
        <f t="shared" si="47"/>
        <v>0</v>
      </c>
      <c r="DA75" s="536"/>
      <c r="DB75" s="536"/>
      <c r="DC75" s="536"/>
      <c r="DD75" s="541">
        <f t="shared" si="48"/>
        <v>0</v>
      </c>
      <c r="DE75" s="536"/>
      <c r="DF75" s="536"/>
      <c r="DG75" s="536"/>
      <c r="DH75" s="541">
        <f t="shared" si="49"/>
        <v>0</v>
      </c>
      <c r="DI75" s="536"/>
      <c r="DJ75" s="536"/>
      <c r="DK75" s="536"/>
      <c r="DL75" s="541">
        <f t="shared" si="50"/>
        <v>0</v>
      </c>
      <c r="DM75" s="536"/>
      <c r="DN75" s="536"/>
      <c r="DO75" s="536"/>
      <c r="DP75" s="541">
        <f>IF( SUM((DJ75*(20/100))+(DK75*(30/100))+(DL75*(50/100))) &gt;=9.3,9.5,
IF(AND( SUM((DJ75*(20/100))+(DK75*(30/100))+(DL75*(50/100))) &lt;=9.3, SUM((DJ75*(20/100))+(DK75*(30/100))+(DL75*(50/100))) &gt;=8.8),9,
IF(AND( SUM((DJ75*(20/100))+(DK75*(30/100))+(DL75*(50/100))) &lt;=8.8, SUM((DJ75*(20/100))+(DK75*(30/100))+(DL75*(50/100))) &gt;=8.3),8.5,
IF(AND( SUM((DJ75*(20/100))+(DK75*(30/100))+(DL75*(50/100))) &lt;=8.3, SUM((DJ75*(20/100))+(DK75*(30/100))+(DL75*(50/100))) &gt;=7.8),8,
IF(AND( SUM((DJ75*(20/100))+(DK75*(30/100))+(DL75*(50/100))) &lt;=7.8, SUM((DJ75*(20/100))+(DK75*(30/100))+(DL75*(50/100))) &gt;=7.3),7.5,
IF(AND( SUM((DJ75*(20/100))+(DK75*(30/100))+(DL75*(50/100))) &lt;=7.3, SUM((DJ75*(20/100))+(DK75*(30/100))+(DL75*(50/100))) &gt;=6.8),7,
IF(AND( SUM((DJ75*(20/100))+(DK75*(30/100))+(DL75*(50/100))) &lt;=6.8, SUM((DJ75*(20/100))+(DK75*(30/100))+(DL75*(50/100))) &gt;=6.3),6.5,
IF(AND( SUM((DJ75*(20/100))+(DK75*(30/100))+(DL75*(50/100))) &lt;=6.3, SUM((DJ75*(20/100))+(DK75*(30/100))+(DL75*(50/100))) &gt;=5.8),6,
IF(AND( SUM((DJ75*(20/100))+(DK75*(30/100))+(DL75*(50/100))) &lt;=5.8, SUM((DJ75*(20/100))+(DK75*(30/100))+(DL75*(50/100))) &gt;=5.3),5.5,
IF(AND( SUM((DJ75*(20/100))+(DK75*(30/100))+(DL75*(50/100))) &lt;=5.3, SUM((DJ75*(20/100))+(DK75*(30/100))+(DL75*(50/100))) &gt;=4.8),5,
IF(AND( SUM((DJ75*(20/100))+(DK75*(30/100))+(DL75*(50/100))) &lt;=4.8, SUM((DJ75*(20/100))+(DK75*(30/100))+(DL75*(50/100))) &gt;=4.3),4.5,
IF(AND( SUM((DJ75*(20/100))+(DK75*(30/100))+(DL75*(50/100))) &lt;=4.3, SUM((DJ75*(20/100))+(DK75*(30/100))+(DL75*(50/100))) &gt;=3.8),4,
IF(AND( SUM((DJ75*(20/100))+(DK75*(30/100))+(DL75*(50/100))) &lt;=3.8, SUM((DJ75*(20/100))+(DK75*(30/100))+(DL75*(50/100))) &gt;=3.5),3.5,0)))))))))))))</f>
        <v>0</v>
      </c>
      <c r="DQ75" s="541"/>
      <c r="DR75" s="541"/>
      <c r="DS75" s="541"/>
      <c r="DT75" s="541"/>
      <c r="DU75" s="541"/>
      <c r="DV75" s="541"/>
      <c r="DW75" s="541"/>
      <c r="DX75" s="541"/>
      <c r="DY75" s="541"/>
      <c r="DZ75" s="541"/>
    </row>
    <row r="76" spans="2:130" ht="15" customHeight="1" x14ac:dyDescent="0.25">
      <c r="B76" s="334">
        <v>19</v>
      </c>
      <c r="C76" s="541"/>
      <c r="D76" s="334"/>
      <c r="E76" s="334"/>
      <c r="F76" s="334"/>
      <c r="G76" s="334"/>
      <c r="H76" s="334"/>
      <c r="I76" s="334"/>
      <c r="J76" s="536"/>
      <c r="K76" s="536"/>
      <c r="L76" s="536"/>
      <c r="M76" s="536"/>
      <c r="N76" s="536"/>
      <c r="O76" s="536"/>
      <c r="P76" s="536">
        <f t="shared" si="26"/>
        <v>0</v>
      </c>
      <c r="Q76" s="536"/>
      <c r="R76" s="536"/>
      <c r="S76" s="536"/>
      <c r="T76" s="536">
        <f t="shared" si="27"/>
        <v>0</v>
      </c>
      <c r="U76" s="536"/>
      <c r="V76" s="536"/>
      <c r="W76" s="536"/>
      <c r="X76" s="536">
        <f t="shared" si="28"/>
        <v>0</v>
      </c>
      <c r="Y76" s="536"/>
      <c r="Z76" s="536"/>
      <c r="AA76" s="536"/>
      <c r="AB76" s="536">
        <f t="shared" si="29"/>
        <v>0</v>
      </c>
      <c r="AC76" s="536"/>
      <c r="AD76" s="536"/>
      <c r="AE76" s="536"/>
      <c r="AF76" s="536">
        <f t="shared" si="30"/>
        <v>0</v>
      </c>
      <c r="AG76" s="536"/>
      <c r="AH76" s="536"/>
      <c r="AI76" s="536"/>
      <c r="AJ76" s="536">
        <f t="shared" si="31"/>
        <v>0</v>
      </c>
      <c r="AK76" s="536"/>
      <c r="AL76" s="536"/>
      <c r="AM76" s="536"/>
      <c r="AN76" s="542">
        <f t="shared" si="32"/>
        <v>0</v>
      </c>
      <c r="AO76" s="536"/>
      <c r="AP76" s="536"/>
      <c r="AQ76" s="536"/>
      <c r="AR76" s="542">
        <f t="shared" si="33"/>
        <v>0</v>
      </c>
      <c r="AS76" s="536"/>
      <c r="AT76" s="536"/>
      <c r="AU76" s="536"/>
      <c r="AV76" s="542">
        <f t="shared" si="34"/>
        <v>0</v>
      </c>
      <c r="AW76" s="536"/>
      <c r="AX76" s="536"/>
      <c r="AY76" s="536"/>
      <c r="AZ76" s="542">
        <f t="shared" si="35"/>
        <v>0</v>
      </c>
      <c r="BA76" s="536"/>
      <c r="BB76" s="536"/>
      <c r="BC76" s="536"/>
      <c r="BD76" s="542">
        <f t="shared" si="36"/>
        <v>0</v>
      </c>
      <c r="BE76" s="536"/>
      <c r="BF76" s="536"/>
      <c r="BG76" s="536"/>
      <c r="BH76" s="542">
        <f t="shared" si="37"/>
        <v>0</v>
      </c>
      <c r="BI76" s="536"/>
      <c r="BJ76" s="536"/>
      <c r="BK76" s="536"/>
      <c r="BL76" s="542">
        <f t="shared" si="38"/>
        <v>0</v>
      </c>
      <c r="BM76" s="536"/>
      <c r="BN76" s="536"/>
      <c r="BO76" s="536"/>
      <c r="BP76" s="542">
        <f t="shared" si="39"/>
        <v>0</v>
      </c>
      <c r="BQ76" s="536"/>
      <c r="BR76" s="536"/>
      <c r="BS76" s="536"/>
      <c r="BT76" s="542">
        <f t="shared" si="40"/>
        <v>0</v>
      </c>
      <c r="BU76" s="536"/>
      <c r="BV76" s="536"/>
      <c r="BW76" s="536"/>
      <c r="BX76" s="542">
        <f t="shared" si="41"/>
        <v>0</v>
      </c>
      <c r="BY76" s="536"/>
      <c r="BZ76" s="536"/>
      <c r="CA76" s="536"/>
      <c r="CB76" s="542">
        <v>0</v>
      </c>
      <c r="CC76" s="536"/>
      <c r="CD76" s="536"/>
      <c r="CE76" s="536"/>
      <c r="CF76" s="541">
        <f t="shared" si="42"/>
        <v>0</v>
      </c>
      <c r="CG76" s="536"/>
      <c r="CH76" s="536"/>
      <c r="CI76" s="536"/>
      <c r="CJ76" s="541">
        <f t="shared" si="43"/>
        <v>0</v>
      </c>
      <c r="CK76" s="536"/>
      <c r="CL76" s="536"/>
      <c r="CM76" s="536"/>
      <c r="CN76" s="541">
        <f t="shared" si="44"/>
        <v>0</v>
      </c>
      <c r="CO76" s="536"/>
      <c r="CP76" s="536"/>
      <c r="CQ76" s="536"/>
      <c r="CR76" s="541">
        <f t="shared" si="45"/>
        <v>0</v>
      </c>
      <c r="CS76" s="536"/>
      <c r="CT76" s="536"/>
      <c r="CU76" s="536"/>
      <c r="CV76" s="541">
        <f t="shared" si="46"/>
        <v>0</v>
      </c>
      <c r="CW76" s="536"/>
      <c r="CX76" s="536"/>
      <c r="CY76" s="536"/>
      <c r="CZ76" s="541">
        <f t="shared" si="47"/>
        <v>0</v>
      </c>
      <c r="DA76" s="536"/>
      <c r="DB76" s="536"/>
      <c r="DC76" s="536"/>
      <c r="DD76" s="541">
        <f t="shared" si="48"/>
        <v>0</v>
      </c>
      <c r="DE76" s="536"/>
      <c r="DF76" s="536"/>
      <c r="DG76" s="536"/>
      <c r="DH76" s="541">
        <f t="shared" si="49"/>
        <v>0</v>
      </c>
      <c r="DI76" s="536"/>
      <c r="DJ76" s="536"/>
      <c r="DK76" s="536"/>
      <c r="DL76" s="541">
        <f t="shared" si="50"/>
        <v>0</v>
      </c>
      <c r="DM76" s="536"/>
      <c r="DN76" s="536"/>
      <c r="DO76" s="536"/>
      <c r="DP76" s="541">
        <f>IF( SUM((DJ76*(20/100))+(DK76*(30/100))+(DL76*(50/100))) &gt;=9.3,9.5,
IF(AND( SUM((DJ76*(20/100))+(DK76*(30/100))+(DL76*(50/100))) &lt;=9.3, SUM((DJ76*(20/100))+(DK76*(30/100))+(DL76*(50/100))) &gt;=8.8),9,
IF(AND( SUM((DJ76*(20/100))+(DK76*(30/100))+(DL76*(50/100))) &lt;=8.8, SUM((DJ76*(20/100))+(DK76*(30/100))+(DL76*(50/100))) &gt;=8.3),8.5,
IF(AND( SUM((DJ76*(20/100))+(DK76*(30/100))+(DL76*(50/100))) &lt;=8.3, SUM((DJ76*(20/100))+(DK76*(30/100))+(DL76*(50/100))) &gt;=7.8),8,
IF(AND( SUM((DJ76*(20/100))+(DK76*(30/100))+(DL76*(50/100))) &lt;=7.8, SUM((DJ76*(20/100))+(DK76*(30/100))+(DL76*(50/100))) &gt;=7.3),7.5,
IF(AND( SUM((DJ76*(20/100))+(DK76*(30/100))+(DL76*(50/100))) &lt;=7.3, SUM((DJ76*(20/100))+(DK76*(30/100))+(DL76*(50/100))) &gt;=6.8),7,
IF(AND( SUM((DJ76*(20/100))+(DK76*(30/100))+(DL76*(50/100))) &lt;=6.8, SUM((DJ76*(20/100))+(DK76*(30/100))+(DL76*(50/100))) &gt;=6.3),6.5,
IF(AND( SUM((DJ76*(20/100))+(DK76*(30/100))+(DL76*(50/100))) &lt;=6.3, SUM((DJ76*(20/100))+(DK76*(30/100))+(DL76*(50/100))) &gt;=5.8),6,
IF(AND( SUM((DJ76*(20/100))+(DK76*(30/100))+(DL76*(50/100))) &lt;=5.8, SUM((DJ76*(20/100))+(DK76*(30/100))+(DL76*(50/100))) &gt;=5.3),5.5,
IF(AND( SUM((DJ76*(20/100))+(DK76*(30/100))+(DL76*(50/100))) &lt;=5.3, SUM((DJ76*(20/100))+(DK76*(30/100))+(DL76*(50/100))) &gt;=4.8),5,
IF(AND( SUM((DJ76*(20/100))+(DK76*(30/100))+(DL76*(50/100))) &lt;=4.8, SUM((DJ76*(20/100))+(DK76*(30/100))+(DL76*(50/100))) &gt;=4.3),4.5,
IF(AND( SUM((DJ76*(20/100))+(DK76*(30/100))+(DL76*(50/100))) &lt;=4.3, SUM((DJ76*(20/100))+(DK76*(30/100))+(DL76*(50/100))) &gt;=3.8),4,
IF(AND( SUM((DJ76*(20/100))+(DK76*(30/100))+(DL76*(50/100))) &lt;=3.8, SUM((DJ76*(20/100))+(DK76*(30/100))+(DL76*(50/100))) &gt;=3.5),3.5,0)))))))))))))</f>
        <v>0</v>
      </c>
      <c r="DQ76" s="541"/>
      <c r="DR76" s="541"/>
      <c r="DS76" s="541"/>
      <c r="DT76" s="541"/>
      <c r="DU76" s="541"/>
      <c r="DV76" s="541"/>
      <c r="DW76" s="541"/>
      <c r="DX76" s="541"/>
      <c r="DY76" s="541"/>
      <c r="DZ76" s="541"/>
    </row>
    <row r="77" spans="2:130" ht="15" customHeight="1" x14ac:dyDescent="0.25">
      <c r="B77" s="334">
        <v>20</v>
      </c>
      <c r="C77" s="541"/>
      <c r="D77" s="334"/>
      <c r="E77" s="334"/>
      <c r="F77" s="334"/>
      <c r="G77" s="334"/>
      <c r="H77" s="334"/>
      <c r="I77" s="334"/>
      <c r="J77" s="536"/>
      <c r="K77" s="536"/>
      <c r="L77" s="536"/>
      <c r="M77" s="536"/>
      <c r="N77" s="536"/>
      <c r="O77" s="536"/>
      <c r="P77" s="536">
        <f t="shared" si="26"/>
        <v>0</v>
      </c>
      <c r="Q77" s="536"/>
      <c r="R77" s="536"/>
      <c r="S77" s="536"/>
      <c r="T77" s="536">
        <f t="shared" si="27"/>
        <v>0</v>
      </c>
      <c r="U77" s="536"/>
      <c r="V77" s="536"/>
      <c r="W77" s="536"/>
      <c r="X77" s="536">
        <f t="shared" si="28"/>
        <v>0</v>
      </c>
      <c r="Y77" s="536"/>
      <c r="Z77" s="536"/>
      <c r="AA77" s="536"/>
      <c r="AB77" s="536">
        <f t="shared" si="29"/>
        <v>0</v>
      </c>
      <c r="AC77" s="536"/>
      <c r="AD77" s="536"/>
      <c r="AE77" s="536"/>
      <c r="AF77" s="536">
        <f t="shared" si="30"/>
        <v>0</v>
      </c>
      <c r="AG77" s="536"/>
      <c r="AH77" s="536"/>
      <c r="AI77" s="536"/>
      <c r="AJ77" s="536">
        <f t="shared" si="31"/>
        <v>0</v>
      </c>
      <c r="AK77" s="536"/>
      <c r="AL77" s="536"/>
      <c r="AM77" s="536"/>
      <c r="AN77" s="542">
        <f t="shared" si="32"/>
        <v>0</v>
      </c>
      <c r="AO77" s="536"/>
      <c r="AP77" s="536"/>
      <c r="AQ77" s="536"/>
      <c r="AR77" s="542">
        <f t="shared" si="33"/>
        <v>0</v>
      </c>
      <c r="AS77" s="536"/>
      <c r="AT77" s="536"/>
      <c r="AU77" s="536"/>
      <c r="AV77" s="542">
        <f t="shared" si="34"/>
        <v>0</v>
      </c>
      <c r="AW77" s="536"/>
      <c r="AX77" s="536"/>
      <c r="AY77" s="536"/>
      <c r="AZ77" s="542">
        <f t="shared" si="35"/>
        <v>0</v>
      </c>
      <c r="BA77" s="536"/>
      <c r="BB77" s="536"/>
      <c r="BC77" s="536"/>
      <c r="BD77" s="542">
        <f t="shared" si="36"/>
        <v>0</v>
      </c>
      <c r="BE77" s="536"/>
      <c r="BF77" s="536"/>
      <c r="BG77" s="536"/>
      <c r="BH77" s="542">
        <f t="shared" si="37"/>
        <v>0</v>
      </c>
      <c r="BI77" s="536"/>
      <c r="BJ77" s="536"/>
      <c r="BK77" s="536"/>
      <c r="BL77" s="542">
        <f t="shared" si="38"/>
        <v>0</v>
      </c>
      <c r="BM77" s="536"/>
      <c r="BN77" s="536"/>
      <c r="BO77" s="536"/>
      <c r="BP77" s="542">
        <f t="shared" si="39"/>
        <v>0</v>
      </c>
      <c r="BQ77" s="536"/>
      <c r="BR77" s="536"/>
      <c r="BS77" s="536"/>
      <c r="BT77" s="542">
        <f t="shared" si="40"/>
        <v>0</v>
      </c>
      <c r="BU77" s="536"/>
      <c r="BV77" s="536"/>
      <c r="BW77" s="536"/>
      <c r="BX77" s="542">
        <f t="shared" si="41"/>
        <v>0</v>
      </c>
      <c r="BY77" s="536"/>
      <c r="BZ77" s="536"/>
      <c r="CA77" s="536"/>
      <c r="CB77" s="542">
        <v>0</v>
      </c>
      <c r="CC77" s="536"/>
      <c r="CD77" s="536"/>
      <c r="CE77" s="536"/>
      <c r="CF77" s="541">
        <f t="shared" si="42"/>
        <v>0</v>
      </c>
      <c r="CG77" s="536"/>
      <c r="CH77" s="536"/>
      <c r="CI77" s="536"/>
      <c r="CJ77" s="541">
        <f t="shared" si="43"/>
        <v>0</v>
      </c>
      <c r="CK77" s="536"/>
      <c r="CL77" s="536"/>
      <c r="CM77" s="536"/>
      <c r="CN77" s="541">
        <f t="shared" si="44"/>
        <v>0</v>
      </c>
      <c r="CO77" s="536"/>
      <c r="CP77" s="536"/>
      <c r="CQ77" s="536"/>
      <c r="CR77" s="541">
        <f t="shared" si="45"/>
        <v>0</v>
      </c>
      <c r="CS77" s="536"/>
      <c r="CT77" s="536"/>
      <c r="CU77" s="536"/>
      <c r="CV77" s="541">
        <f t="shared" si="46"/>
        <v>0</v>
      </c>
      <c r="CW77" s="536"/>
      <c r="CX77" s="536"/>
      <c r="CY77" s="536"/>
      <c r="CZ77" s="541">
        <f t="shared" si="47"/>
        <v>0</v>
      </c>
      <c r="DA77" s="536"/>
      <c r="DB77" s="536"/>
      <c r="DC77" s="536"/>
      <c r="DD77" s="541">
        <f t="shared" si="48"/>
        <v>0</v>
      </c>
      <c r="DE77" s="536"/>
      <c r="DF77" s="536"/>
      <c r="DG77" s="536"/>
      <c r="DH77" s="541">
        <f t="shared" si="49"/>
        <v>0</v>
      </c>
      <c r="DI77" s="536"/>
      <c r="DJ77" s="536"/>
      <c r="DK77" s="536"/>
      <c r="DL77" s="541">
        <f t="shared" si="50"/>
        <v>0</v>
      </c>
      <c r="DM77" s="536"/>
      <c r="DN77" s="536"/>
      <c r="DO77" s="536"/>
      <c r="DP77" s="541">
        <f>IF( SUM((DJ77*(20/100))+(DK77*(30/100))+(DL77*(50/100))) &gt;=9.3,9.5,
IF(AND( SUM((DJ77*(20/100))+(DK77*(30/100))+(DL77*(50/100))) &lt;=9.3, SUM((DJ77*(20/100))+(DK77*(30/100))+(DL77*(50/100))) &gt;=8.8),9,
IF(AND( SUM((DJ77*(20/100))+(DK77*(30/100))+(DL77*(50/100))) &lt;=8.8, SUM((DJ77*(20/100))+(DK77*(30/100))+(DL77*(50/100))) &gt;=8.3),8.5,
IF(AND( SUM((DJ77*(20/100))+(DK77*(30/100))+(DL77*(50/100))) &lt;=8.3, SUM((DJ77*(20/100))+(DK77*(30/100))+(DL77*(50/100))) &gt;=7.8),8,
IF(AND( SUM((DJ77*(20/100))+(DK77*(30/100))+(DL77*(50/100))) &lt;=7.8, SUM((DJ77*(20/100))+(DK77*(30/100))+(DL77*(50/100))) &gt;=7.3),7.5,
IF(AND( SUM((DJ77*(20/100))+(DK77*(30/100))+(DL77*(50/100))) &lt;=7.3, SUM((DJ77*(20/100))+(DK77*(30/100))+(DL77*(50/100))) &gt;=6.8),7,
IF(AND( SUM((DJ77*(20/100))+(DK77*(30/100))+(DL77*(50/100))) &lt;=6.8, SUM((DJ77*(20/100))+(DK77*(30/100))+(DL77*(50/100))) &gt;=6.3),6.5,
IF(AND( SUM((DJ77*(20/100))+(DK77*(30/100))+(DL77*(50/100))) &lt;=6.3, SUM((DJ77*(20/100))+(DK77*(30/100))+(DL77*(50/100))) &gt;=5.8),6,
IF(AND( SUM((DJ77*(20/100))+(DK77*(30/100))+(DL77*(50/100))) &lt;=5.8, SUM((DJ77*(20/100))+(DK77*(30/100))+(DL77*(50/100))) &gt;=5.3),5.5,
IF(AND( SUM((DJ77*(20/100))+(DK77*(30/100))+(DL77*(50/100))) &lt;=5.3, SUM((DJ77*(20/100))+(DK77*(30/100))+(DL77*(50/100))) &gt;=4.8),5,
IF(AND( SUM((DJ77*(20/100))+(DK77*(30/100))+(DL77*(50/100))) &lt;=4.8, SUM((DJ77*(20/100))+(DK77*(30/100))+(DL77*(50/100))) &gt;=4.3),4.5,
IF(AND( SUM((DJ77*(20/100))+(DK77*(30/100))+(DL77*(50/100))) &lt;=4.3, SUM((DJ77*(20/100))+(DK77*(30/100))+(DL77*(50/100))) &gt;=3.8),4,
IF(AND( SUM((DJ77*(20/100))+(DK77*(30/100))+(DL77*(50/100))) &lt;=3.8, SUM((DJ77*(20/100))+(DK77*(30/100))+(DL77*(50/100))) &gt;=3.5),3.5,0)))))))))))))</f>
        <v>0</v>
      </c>
      <c r="DQ77" s="541"/>
      <c r="DR77" s="541"/>
      <c r="DS77" s="541"/>
      <c r="DT77" s="541"/>
      <c r="DU77" s="541"/>
      <c r="DV77" s="541"/>
      <c r="DW77" s="541"/>
      <c r="DX77" s="541"/>
      <c r="DY77" s="541"/>
      <c r="DZ77" s="541"/>
    </row>
    <row r="78" spans="2:130" ht="15" customHeight="1" x14ac:dyDescent="0.25">
      <c r="B78" s="334">
        <v>21</v>
      </c>
      <c r="C78" s="541"/>
      <c r="D78" s="334"/>
      <c r="E78" s="334"/>
      <c r="F78" s="334"/>
      <c r="G78" s="334"/>
      <c r="H78" s="334"/>
      <c r="I78" s="334"/>
      <c r="J78" s="536"/>
      <c r="K78" s="536"/>
      <c r="L78" s="536"/>
      <c r="M78" s="536"/>
      <c r="N78" s="536"/>
      <c r="O78" s="536"/>
      <c r="P78" s="536">
        <f t="shared" si="26"/>
        <v>0</v>
      </c>
      <c r="Q78" s="536"/>
      <c r="R78" s="536"/>
      <c r="S78" s="536"/>
      <c r="T78" s="536">
        <f t="shared" si="27"/>
        <v>0</v>
      </c>
      <c r="U78" s="536"/>
      <c r="V78" s="536"/>
      <c r="W78" s="536"/>
      <c r="X78" s="536">
        <f t="shared" si="28"/>
        <v>0</v>
      </c>
      <c r="Y78" s="536"/>
      <c r="Z78" s="536"/>
      <c r="AA78" s="536"/>
      <c r="AB78" s="536">
        <f t="shared" si="29"/>
        <v>0</v>
      </c>
      <c r="AC78" s="536"/>
      <c r="AD78" s="536"/>
      <c r="AE78" s="536"/>
      <c r="AF78" s="536">
        <f t="shared" si="30"/>
        <v>0</v>
      </c>
      <c r="AG78" s="536"/>
      <c r="AH78" s="536"/>
      <c r="AI78" s="536"/>
      <c r="AJ78" s="536">
        <f t="shared" si="31"/>
        <v>0</v>
      </c>
      <c r="AK78" s="536"/>
      <c r="AL78" s="536"/>
      <c r="AM78" s="536"/>
      <c r="AN78" s="542">
        <f t="shared" si="32"/>
        <v>0</v>
      </c>
      <c r="AO78" s="536"/>
      <c r="AP78" s="536"/>
      <c r="AQ78" s="536"/>
      <c r="AR78" s="542">
        <f t="shared" si="33"/>
        <v>0</v>
      </c>
      <c r="AS78" s="536"/>
      <c r="AT78" s="536"/>
      <c r="AU78" s="536"/>
      <c r="AV78" s="542">
        <f t="shared" si="34"/>
        <v>0</v>
      </c>
      <c r="AW78" s="536"/>
      <c r="AX78" s="536"/>
      <c r="AY78" s="536"/>
      <c r="AZ78" s="542">
        <f t="shared" si="35"/>
        <v>0</v>
      </c>
      <c r="BA78" s="536"/>
      <c r="BB78" s="536"/>
      <c r="BC78" s="536"/>
      <c r="BD78" s="542">
        <f t="shared" si="36"/>
        <v>0</v>
      </c>
      <c r="BE78" s="536"/>
      <c r="BF78" s="536"/>
      <c r="BG78" s="536"/>
      <c r="BH78" s="542">
        <f t="shared" si="37"/>
        <v>0</v>
      </c>
      <c r="BI78" s="536"/>
      <c r="BJ78" s="536"/>
      <c r="BK78" s="536"/>
      <c r="BL78" s="542">
        <f t="shared" si="38"/>
        <v>0</v>
      </c>
      <c r="BM78" s="536"/>
      <c r="BN78" s="536"/>
      <c r="BO78" s="536"/>
      <c r="BP78" s="542">
        <f t="shared" si="39"/>
        <v>0</v>
      </c>
      <c r="BQ78" s="536"/>
      <c r="BR78" s="536"/>
      <c r="BS78" s="536"/>
      <c r="BT78" s="542">
        <f t="shared" si="40"/>
        <v>0</v>
      </c>
      <c r="BU78" s="536"/>
      <c r="BV78" s="536"/>
      <c r="BW78" s="536"/>
      <c r="BX78" s="542">
        <f t="shared" si="41"/>
        <v>0</v>
      </c>
      <c r="BY78" s="536"/>
      <c r="BZ78" s="536"/>
      <c r="CA78" s="536"/>
      <c r="CB78" s="542">
        <v>0</v>
      </c>
      <c r="CC78" s="536"/>
      <c r="CD78" s="536"/>
      <c r="CE78" s="536"/>
      <c r="CF78" s="541">
        <f t="shared" si="42"/>
        <v>0</v>
      </c>
      <c r="CG78" s="536"/>
      <c r="CH78" s="536"/>
      <c r="CI78" s="536"/>
      <c r="CJ78" s="541">
        <f t="shared" si="43"/>
        <v>0</v>
      </c>
      <c r="CK78" s="536"/>
      <c r="CL78" s="536"/>
      <c r="CM78" s="536"/>
      <c r="CN78" s="541">
        <f t="shared" si="44"/>
        <v>0</v>
      </c>
      <c r="CO78" s="536"/>
      <c r="CP78" s="536"/>
      <c r="CQ78" s="536"/>
      <c r="CR78" s="541">
        <f t="shared" si="45"/>
        <v>0</v>
      </c>
      <c r="CS78" s="536"/>
      <c r="CT78" s="536"/>
      <c r="CU78" s="536"/>
      <c r="CV78" s="541">
        <f t="shared" si="46"/>
        <v>0</v>
      </c>
      <c r="CW78" s="536"/>
      <c r="CX78" s="536"/>
      <c r="CY78" s="536"/>
      <c r="CZ78" s="541">
        <f t="shared" si="47"/>
        <v>0</v>
      </c>
      <c r="DA78" s="536"/>
      <c r="DB78" s="536"/>
      <c r="DC78" s="536"/>
      <c r="DD78" s="541">
        <f t="shared" si="48"/>
        <v>0</v>
      </c>
      <c r="DE78" s="536"/>
      <c r="DF78" s="536"/>
      <c r="DG78" s="536"/>
      <c r="DH78" s="541">
        <f t="shared" si="49"/>
        <v>0</v>
      </c>
      <c r="DI78" s="536"/>
      <c r="DJ78" s="536"/>
      <c r="DK78" s="536"/>
      <c r="DL78" s="541">
        <f t="shared" si="50"/>
        <v>0</v>
      </c>
      <c r="DM78" s="536"/>
      <c r="DN78" s="536"/>
      <c r="DO78" s="536"/>
      <c r="DP78" s="541">
        <f>IF( SUM((DJ78*(20/100))+(DK78*(30/100))+(DL78*(50/100))) &gt;=9.3,9.5,
IF(AND( SUM((DJ78*(20/100))+(DK78*(30/100))+(DL78*(50/100))) &lt;=9.3, SUM((DJ78*(20/100))+(DK78*(30/100))+(DL78*(50/100))) &gt;=8.8),9,
IF(AND( SUM((DJ78*(20/100))+(DK78*(30/100))+(DL78*(50/100))) &lt;=8.8, SUM((DJ78*(20/100))+(DK78*(30/100))+(DL78*(50/100))) &gt;=8.3),8.5,
IF(AND( SUM((DJ78*(20/100))+(DK78*(30/100))+(DL78*(50/100))) &lt;=8.3, SUM((DJ78*(20/100))+(DK78*(30/100))+(DL78*(50/100))) &gt;=7.8),8,
IF(AND( SUM((DJ78*(20/100))+(DK78*(30/100))+(DL78*(50/100))) &lt;=7.8, SUM((DJ78*(20/100))+(DK78*(30/100))+(DL78*(50/100))) &gt;=7.3),7.5,
IF(AND( SUM((DJ78*(20/100))+(DK78*(30/100))+(DL78*(50/100))) &lt;=7.3, SUM((DJ78*(20/100))+(DK78*(30/100))+(DL78*(50/100))) &gt;=6.8),7,
IF(AND( SUM((DJ78*(20/100))+(DK78*(30/100))+(DL78*(50/100))) &lt;=6.8, SUM((DJ78*(20/100))+(DK78*(30/100))+(DL78*(50/100))) &gt;=6.3),6.5,
IF(AND( SUM((DJ78*(20/100))+(DK78*(30/100))+(DL78*(50/100))) &lt;=6.3, SUM((DJ78*(20/100))+(DK78*(30/100))+(DL78*(50/100))) &gt;=5.8),6,
IF(AND( SUM((DJ78*(20/100))+(DK78*(30/100))+(DL78*(50/100))) &lt;=5.8, SUM((DJ78*(20/100))+(DK78*(30/100))+(DL78*(50/100))) &gt;=5.3),5.5,
IF(AND( SUM((DJ78*(20/100))+(DK78*(30/100))+(DL78*(50/100))) &lt;=5.3, SUM((DJ78*(20/100))+(DK78*(30/100))+(DL78*(50/100))) &gt;=4.8),5,
IF(AND( SUM((DJ78*(20/100))+(DK78*(30/100))+(DL78*(50/100))) &lt;=4.8, SUM((DJ78*(20/100))+(DK78*(30/100))+(DL78*(50/100))) &gt;=4.3),4.5,
IF(AND( SUM((DJ78*(20/100))+(DK78*(30/100))+(DL78*(50/100))) &lt;=4.3, SUM((DJ78*(20/100))+(DK78*(30/100))+(DL78*(50/100))) &gt;=3.8),4,
IF(AND( SUM((DJ78*(20/100))+(DK78*(30/100))+(DL78*(50/100))) &lt;=3.8, SUM((DJ78*(20/100))+(DK78*(30/100))+(DL78*(50/100))) &gt;=3.5),3.5,0)))))))))))))</f>
        <v>0</v>
      </c>
      <c r="DQ78" s="541"/>
      <c r="DR78" s="541"/>
      <c r="DS78" s="541"/>
      <c r="DT78" s="541"/>
      <c r="DU78" s="541"/>
      <c r="DV78" s="541"/>
      <c r="DW78" s="541"/>
      <c r="DX78" s="541"/>
      <c r="DY78" s="541"/>
      <c r="DZ78" s="541"/>
    </row>
    <row r="79" spans="2:130" ht="15" customHeight="1" x14ac:dyDescent="0.25">
      <c r="B79" s="334">
        <v>22</v>
      </c>
      <c r="C79" s="541"/>
      <c r="D79" s="334"/>
      <c r="E79" s="334"/>
      <c r="F79" s="334"/>
      <c r="G79" s="334"/>
      <c r="H79" s="334"/>
      <c r="I79" s="334"/>
      <c r="J79" s="536"/>
      <c r="K79" s="536"/>
      <c r="L79" s="536"/>
      <c r="M79" s="536"/>
      <c r="N79" s="536"/>
      <c r="O79" s="536"/>
      <c r="P79" s="536">
        <f t="shared" si="26"/>
        <v>0</v>
      </c>
      <c r="Q79" s="536"/>
      <c r="R79" s="536"/>
      <c r="S79" s="536"/>
      <c r="T79" s="536">
        <f t="shared" si="27"/>
        <v>0</v>
      </c>
      <c r="U79" s="536"/>
      <c r="V79" s="536"/>
      <c r="W79" s="536"/>
      <c r="X79" s="536">
        <f t="shared" si="28"/>
        <v>0</v>
      </c>
      <c r="Y79" s="536"/>
      <c r="Z79" s="536"/>
      <c r="AA79" s="536"/>
      <c r="AB79" s="536">
        <f t="shared" si="29"/>
        <v>0</v>
      </c>
      <c r="AC79" s="536"/>
      <c r="AD79" s="536"/>
      <c r="AE79" s="536"/>
      <c r="AF79" s="536">
        <f t="shared" si="30"/>
        <v>0</v>
      </c>
      <c r="AG79" s="536"/>
      <c r="AH79" s="536"/>
      <c r="AI79" s="536"/>
      <c r="AJ79" s="536">
        <f t="shared" si="31"/>
        <v>0</v>
      </c>
      <c r="AK79" s="536"/>
      <c r="AL79" s="536"/>
      <c r="AM79" s="536"/>
      <c r="AN79" s="542">
        <f t="shared" si="32"/>
        <v>0</v>
      </c>
      <c r="AO79" s="536"/>
      <c r="AP79" s="536"/>
      <c r="AQ79" s="536"/>
      <c r="AR79" s="542">
        <f t="shared" si="33"/>
        <v>0</v>
      </c>
      <c r="AS79" s="536"/>
      <c r="AT79" s="536"/>
      <c r="AU79" s="536"/>
      <c r="AV79" s="542">
        <f t="shared" si="34"/>
        <v>0</v>
      </c>
      <c r="AW79" s="536"/>
      <c r="AX79" s="536"/>
      <c r="AY79" s="536"/>
      <c r="AZ79" s="542">
        <f t="shared" si="35"/>
        <v>0</v>
      </c>
      <c r="BA79" s="536"/>
      <c r="BB79" s="536"/>
      <c r="BC79" s="536"/>
      <c r="BD79" s="542">
        <f t="shared" si="36"/>
        <v>0</v>
      </c>
      <c r="BE79" s="536"/>
      <c r="BF79" s="536"/>
      <c r="BG79" s="536"/>
      <c r="BH79" s="542">
        <f t="shared" si="37"/>
        <v>0</v>
      </c>
      <c r="BI79" s="536"/>
      <c r="BJ79" s="536"/>
      <c r="BK79" s="536"/>
      <c r="BL79" s="542">
        <f t="shared" si="38"/>
        <v>0</v>
      </c>
      <c r="BM79" s="536"/>
      <c r="BN79" s="536"/>
      <c r="BO79" s="536"/>
      <c r="BP79" s="542">
        <f t="shared" si="39"/>
        <v>0</v>
      </c>
      <c r="BQ79" s="536"/>
      <c r="BR79" s="536"/>
      <c r="BS79" s="536"/>
      <c r="BT79" s="542">
        <f t="shared" si="40"/>
        <v>0</v>
      </c>
      <c r="BU79" s="536"/>
      <c r="BV79" s="536"/>
      <c r="BW79" s="536"/>
      <c r="BX79" s="542">
        <f t="shared" si="41"/>
        <v>0</v>
      </c>
      <c r="BY79" s="536"/>
      <c r="BZ79" s="536"/>
      <c r="CA79" s="536"/>
      <c r="CB79" s="542">
        <v>0</v>
      </c>
      <c r="CC79" s="536"/>
      <c r="CD79" s="536"/>
      <c r="CE79" s="536"/>
      <c r="CF79" s="541">
        <f t="shared" si="42"/>
        <v>0</v>
      </c>
      <c r="CG79" s="536"/>
      <c r="CH79" s="536"/>
      <c r="CI79" s="536"/>
      <c r="CJ79" s="541">
        <f t="shared" si="43"/>
        <v>0</v>
      </c>
      <c r="CK79" s="536"/>
      <c r="CL79" s="536"/>
      <c r="CM79" s="536"/>
      <c r="CN79" s="541">
        <f t="shared" si="44"/>
        <v>0</v>
      </c>
      <c r="CO79" s="536"/>
      <c r="CP79" s="536"/>
      <c r="CQ79" s="536"/>
      <c r="CR79" s="541">
        <f t="shared" si="45"/>
        <v>0</v>
      </c>
      <c r="CS79" s="536"/>
      <c r="CT79" s="536"/>
      <c r="CU79" s="536"/>
      <c r="CV79" s="541">
        <f t="shared" si="46"/>
        <v>0</v>
      </c>
      <c r="CW79" s="536"/>
      <c r="CX79" s="536"/>
      <c r="CY79" s="536"/>
      <c r="CZ79" s="541">
        <f t="shared" si="47"/>
        <v>0</v>
      </c>
      <c r="DA79" s="536"/>
      <c r="DB79" s="536"/>
      <c r="DC79" s="536"/>
      <c r="DD79" s="541">
        <f t="shared" si="48"/>
        <v>0</v>
      </c>
      <c r="DE79" s="536"/>
      <c r="DF79" s="536"/>
      <c r="DG79" s="536"/>
      <c r="DH79" s="541">
        <f t="shared" si="49"/>
        <v>0</v>
      </c>
      <c r="DI79" s="536"/>
      <c r="DJ79" s="536"/>
      <c r="DK79" s="536"/>
      <c r="DL79" s="541">
        <f t="shared" si="50"/>
        <v>0</v>
      </c>
      <c r="DM79" s="536"/>
      <c r="DN79" s="536"/>
      <c r="DO79" s="536"/>
      <c r="DP79" s="541">
        <f>IF( SUM((DJ79*(20/100))+(DK79*(30/100))+(DL79*(50/100))) &gt;=9.3,9.5,
IF(AND( SUM((DJ79*(20/100))+(DK79*(30/100))+(DL79*(50/100))) &lt;=9.3, SUM((DJ79*(20/100))+(DK79*(30/100))+(DL79*(50/100))) &gt;=8.8),9,
IF(AND( SUM((DJ79*(20/100))+(DK79*(30/100))+(DL79*(50/100))) &lt;=8.8, SUM((DJ79*(20/100))+(DK79*(30/100))+(DL79*(50/100))) &gt;=8.3),8.5,
IF(AND( SUM((DJ79*(20/100))+(DK79*(30/100))+(DL79*(50/100))) &lt;=8.3, SUM((DJ79*(20/100))+(DK79*(30/100))+(DL79*(50/100))) &gt;=7.8),8,
IF(AND( SUM((DJ79*(20/100))+(DK79*(30/100))+(DL79*(50/100))) &lt;=7.8, SUM((DJ79*(20/100))+(DK79*(30/100))+(DL79*(50/100))) &gt;=7.3),7.5,
IF(AND( SUM((DJ79*(20/100))+(DK79*(30/100))+(DL79*(50/100))) &lt;=7.3, SUM((DJ79*(20/100))+(DK79*(30/100))+(DL79*(50/100))) &gt;=6.8),7,
IF(AND( SUM((DJ79*(20/100))+(DK79*(30/100))+(DL79*(50/100))) &lt;=6.8, SUM((DJ79*(20/100))+(DK79*(30/100))+(DL79*(50/100))) &gt;=6.3),6.5,
IF(AND( SUM((DJ79*(20/100))+(DK79*(30/100))+(DL79*(50/100))) &lt;=6.3, SUM((DJ79*(20/100))+(DK79*(30/100))+(DL79*(50/100))) &gt;=5.8),6,
IF(AND( SUM((DJ79*(20/100))+(DK79*(30/100))+(DL79*(50/100))) &lt;=5.8, SUM((DJ79*(20/100))+(DK79*(30/100))+(DL79*(50/100))) &gt;=5.3),5.5,
IF(AND( SUM((DJ79*(20/100))+(DK79*(30/100))+(DL79*(50/100))) &lt;=5.3, SUM((DJ79*(20/100))+(DK79*(30/100))+(DL79*(50/100))) &gt;=4.8),5,
IF(AND( SUM((DJ79*(20/100))+(DK79*(30/100))+(DL79*(50/100))) &lt;=4.8, SUM((DJ79*(20/100))+(DK79*(30/100))+(DL79*(50/100))) &gt;=4.3),4.5,
IF(AND( SUM((DJ79*(20/100))+(DK79*(30/100))+(DL79*(50/100))) &lt;=4.3, SUM((DJ79*(20/100))+(DK79*(30/100))+(DL79*(50/100))) &gt;=3.8),4,
IF(AND( SUM((DJ79*(20/100))+(DK79*(30/100))+(DL79*(50/100))) &lt;=3.8, SUM((DJ79*(20/100))+(DK79*(30/100))+(DL79*(50/100))) &gt;=3.5),3.5,0)))))))))))))</f>
        <v>0</v>
      </c>
      <c r="DQ79" s="541"/>
      <c r="DR79" s="541"/>
      <c r="DS79" s="541"/>
      <c r="DT79" s="541"/>
      <c r="DU79" s="541"/>
      <c r="DV79" s="541"/>
      <c r="DW79" s="541"/>
      <c r="DX79" s="541"/>
      <c r="DY79" s="541"/>
      <c r="DZ79" s="541"/>
    </row>
    <row r="80" spans="2:130" ht="15" customHeight="1" x14ac:dyDescent="0.25">
      <c r="B80" s="334">
        <v>23</v>
      </c>
      <c r="C80" s="541"/>
      <c r="D80" s="334"/>
      <c r="E80" s="334"/>
      <c r="F80" s="334"/>
      <c r="G80" s="334"/>
      <c r="H80" s="334"/>
      <c r="I80" s="334"/>
      <c r="J80" s="536"/>
      <c r="K80" s="536"/>
      <c r="L80" s="536"/>
      <c r="M80" s="536"/>
      <c r="N80" s="536"/>
      <c r="O80" s="536"/>
      <c r="P80" s="536">
        <f t="shared" si="26"/>
        <v>0</v>
      </c>
      <c r="Q80" s="536"/>
      <c r="R80" s="536"/>
      <c r="S80" s="536"/>
      <c r="T80" s="536">
        <f t="shared" si="27"/>
        <v>0</v>
      </c>
      <c r="U80" s="536"/>
      <c r="V80" s="536"/>
      <c r="W80" s="536"/>
      <c r="X80" s="536">
        <f t="shared" si="28"/>
        <v>0</v>
      </c>
      <c r="Y80" s="536"/>
      <c r="Z80" s="536"/>
      <c r="AA80" s="536"/>
      <c r="AB80" s="536">
        <f t="shared" si="29"/>
        <v>0</v>
      </c>
      <c r="AC80" s="536"/>
      <c r="AD80" s="536"/>
      <c r="AE80" s="536"/>
      <c r="AF80" s="536">
        <f t="shared" si="30"/>
        <v>0</v>
      </c>
      <c r="AG80" s="536"/>
      <c r="AH80" s="536"/>
      <c r="AI80" s="536"/>
      <c r="AJ80" s="536">
        <f t="shared" si="31"/>
        <v>0</v>
      </c>
      <c r="AK80" s="536"/>
      <c r="AL80" s="536"/>
      <c r="AM80" s="536"/>
      <c r="AN80" s="542">
        <f t="shared" si="32"/>
        <v>0</v>
      </c>
      <c r="AO80" s="536"/>
      <c r="AP80" s="536"/>
      <c r="AQ80" s="536"/>
      <c r="AR80" s="542">
        <f t="shared" si="33"/>
        <v>0</v>
      </c>
      <c r="AS80" s="536"/>
      <c r="AT80" s="536"/>
      <c r="AU80" s="536"/>
      <c r="AV80" s="542">
        <f t="shared" si="34"/>
        <v>0</v>
      </c>
      <c r="AW80" s="536"/>
      <c r="AX80" s="536"/>
      <c r="AY80" s="536"/>
      <c r="AZ80" s="542">
        <f t="shared" si="35"/>
        <v>0</v>
      </c>
      <c r="BA80" s="536"/>
      <c r="BB80" s="536"/>
      <c r="BC80" s="536"/>
      <c r="BD80" s="542">
        <f t="shared" si="36"/>
        <v>0</v>
      </c>
      <c r="BE80" s="536"/>
      <c r="BF80" s="536"/>
      <c r="BG80" s="536"/>
      <c r="BH80" s="542">
        <f t="shared" si="37"/>
        <v>0</v>
      </c>
      <c r="BI80" s="536"/>
      <c r="BJ80" s="536"/>
      <c r="BK80" s="536"/>
      <c r="BL80" s="542">
        <f t="shared" si="38"/>
        <v>0</v>
      </c>
      <c r="BM80" s="536"/>
      <c r="BN80" s="536"/>
      <c r="BO80" s="536"/>
      <c r="BP80" s="542">
        <f t="shared" si="39"/>
        <v>0</v>
      </c>
      <c r="BQ80" s="536"/>
      <c r="BR80" s="536"/>
      <c r="BS80" s="536"/>
      <c r="BT80" s="542">
        <f t="shared" si="40"/>
        <v>0</v>
      </c>
      <c r="BU80" s="536"/>
      <c r="BV80" s="536"/>
      <c r="BW80" s="536"/>
      <c r="BX80" s="542">
        <f t="shared" si="41"/>
        <v>0</v>
      </c>
      <c r="BY80" s="536"/>
      <c r="BZ80" s="536"/>
      <c r="CA80" s="536"/>
      <c r="CB80" s="542">
        <v>0</v>
      </c>
      <c r="CC80" s="536"/>
      <c r="CD80" s="536"/>
      <c r="CE80" s="536"/>
      <c r="CF80" s="541">
        <f t="shared" si="42"/>
        <v>0</v>
      </c>
      <c r="CG80" s="536"/>
      <c r="CH80" s="536"/>
      <c r="CI80" s="536"/>
      <c r="CJ80" s="541">
        <f t="shared" si="43"/>
        <v>0</v>
      </c>
      <c r="CK80" s="536"/>
      <c r="CL80" s="536"/>
      <c r="CM80" s="536"/>
      <c r="CN80" s="541">
        <f t="shared" si="44"/>
        <v>0</v>
      </c>
      <c r="CO80" s="536"/>
      <c r="CP80" s="536"/>
      <c r="CQ80" s="536"/>
      <c r="CR80" s="541">
        <f t="shared" si="45"/>
        <v>0</v>
      </c>
      <c r="CS80" s="536"/>
      <c r="CT80" s="536"/>
      <c r="CU80" s="536"/>
      <c r="CV80" s="541">
        <f t="shared" si="46"/>
        <v>0</v>
      </c>
      <c r="CW80" s="536"/>
      <c r="CX80" s="536"/>
      <c r="CY80" s="536"/>
      <c r="CZ80" s="541">
        <f t="shared" si="47"/>
        <v>0</v>
      </c>
      <c r="DA80" s="536"/>
      <c r="DB80" s="536"/>
      <c r="DC80" s="536"/>
      <c r="DD80" s="541">
        <f t="shared" si="48"/>
        <v>0</v>
      </c>
      <c r="DE80" s="536"/>
      <c r="DF80" s="536"/>
      <c r="DG80" s="536"/>
      <c r="DH80" s="541">
        <f t="shared" si="49"/>
        <v>0</v>
      </c>
      <c r="DI80" s="536"/>
      <c r="DJ80" s="536"/>
      <c r="DK80" s="536"/>
      <c r="DL80" s="541">
        <f t="shared" si="50"/>
        <v>0</v>
      </c>
      <c r="DM80" s="536"/>
      <c r="DN80" s="536"/>
      <c r="DO80" s="536"/>
      <c r="DP80" s="541">
        <f>IF( SUM((DJ80*(20/100))+(DK80*(30/100))+(DL80*(50/100))) &gt;=9.3,9.5,
IF(AND( SUM((DJ80*(20/100))+(DK80*(30/100))+(DL80*(50/100))) &lt;=9.3, SUM((DJ80*(20/100))+(DK80*(30/100))+(DL80*(50/100))) &gt;=8.8),9,
IF(AND( SUM((DJ80*(20/100))+(DK80*(30/100))+(DL80*(50/100))) &lt;=8.8, SUM((DJ80*(20/100))+(DK80*(30/100))+(DL80*(50/100))) &gt;=8.3),8.5,
IF(AND( SUM((DJ80*(20/100))+(DK80*(30/100))+(DL80*(50/100))) &lt;=8.3, SUM((DJ80*(20/100))+(DK80*(30/100))+(DL80*(50/100))) &gt;=7.8),8,
IF(AND( SUM((DJ80*(20/100))+(DK80*(30/100))+(DL80*(50/100))) &lt;=7.8, SUM((DJ80*(20/100))+(DK80*(30/100))+(DL80*(50/100))) &gt;=7.3),7.5,
IF(AND( SUM((DJ80*(20/100))+(DK80*(30/100))+(DL80*(50/100))) &lt;=7.3, SUM((DJ80*(20/100))+(DK80*(30/100))+(DL80*(50/100))) &gt;=6.8),7,
IF(AND( SUM((DJ80*(20/100))+(DK80*(30/100))+(DL80*(50/100))) &lt;=6.8, SUM((DJ80*(20/100))+(DK80*(30/100))+(DL80*(50/100))) &gt;=6.3),6.5,
IF(AND( SUM((DJ80*(20/100))+(DK80*(30/100))+(DL80*(50/100))) &lt;=6.3, SUM((DJ80*(20/100))+(DK80*(30/100))+(DL80*(50/100))) &gt;=5.8),6,
IF(AND( SUM((DJ80*(20/100))+(DK80*(30/100))+(DL80*(50/100))) &lt;=5.8, SUM((DJ80*(20/100))+(DK80*(30/100))+(DL80*(50/100))) &gt;=5.3),5.5,
IF(AND( SUM((DJ80*(20/100))+(DK80*(30/100))+(DL80*(50/100))) &lt;=5.3, SUM((DJ80*(20/100))+(DK80*(30/100))+(DL80*(50/100))) &gt;=4.8),5,
IF(AND( SUM((DJ80*(20/100))+(DK80*(30/100))+(DL80*(50/100))) &lt;=4.8, SUM((DJ80*(20/100))+(DK80*(30/100))+(DL80*(50/100))) &gt;=4.3),4.5,
IF(AND( SUM((DJ80*(20/100))+(DK80*(30/100))+(DL80*(50/100))) &lt;=4.3, SUM((DJ80*(20/100))+(DK80*(30/100))+(DL80*(50/100))) &gt;=3.8),4,
IF(AND( SUM((DJ80*(20/100))+(DK80*(30/100))+(DL80*(50/100))) &lt;=3.8, SUM((DJ80*(20/100))+(DK80*(30/100))+(DL80*(50/100))) &gt;=3.5),3.5,0)))))))))))))</f>
        <v>0</v>
      </c>
      <c r="DQ80" s="541"/>
      <c r="DR80" s="541"/>
      <c r="DS80" s="541"/>
      <c r="DT80" s="541"/>
      <c r="DU80" s="541"/>
      <c r="DV80" s="541"/>
      <c r="DW80" s="541"/>
      <c r="DX80" s="541"/>
      <c r="DY80" s="541"/>
      <c r="DZ80" s="541"/>
    </row>
    <row r="81" spans="2:130" ht="15" customHeight="1" x14ac:dyDescent="0.25">
      <c r="B81" s="334">
        <v>24</v>
      </c>
      <c r="C81" s="541"/>
      <c r="D81" s="334"/>
      <c r="E81" s="334"/>
      <c r="F81" s="334"/>
      <c r="G81" s="334"/>
      <c r="H81" s="334"/>
      <c r="I81" s="334"/>
      <c r="J81" s="536"/>
      <c r="K81" s="536"/>
      <c r="L81" s="536"/>
      <c r="M81" s="536"/>
      <c r="N81" s="536"/>
      <c r="O81" s="536"/>
      <c r="P81" s="536">
        <f t="shared" si="26"/>
        <v>0</v>
      </c>
      <c r="Q81" s="536"/>
      <c r="R81" s="536"/>
      <c r="S81" s="536"/>
      <c r="T81" s="536">
        <f t="shared" si="27"/>
        <v>0</v>
      </c>
      <c r="U81" s="536"/>
      <c r="V81" s="536"/>
      <c r="W81" s="536"/>
      <c r="X81" s="536">
        <f t="shared" si="28"/>
        <v>0</v>
      </c>
      <c r="Y81" s="536"/>
      <c r="Z81" s="536"/>
      <c r="AA81" s="536"/>
      <c r="AB81" s="536">
        <f t="shared" si="29"/>
        <v>0</v>
      </c>
      <c r="AC81" s="536"/>
      <c r="AD81" s="536"/>
      <c r="AE81" s="536"/>
      <c r="AF81" s="536">
        <f t="shared" si="30"/>
        <v>0</v>
      </c>
      <c r="AG81" s="536"/>
      <c r="AH81" s="536"/>
      <c r="AI81" s="536"/>
      <c r="AJ81" s="536">
        <f t="shared" si="31"/>
        <v>0</v>
      </c>
      <c r="AK81" s="536"/>
      <c r="AL81" s="536"/>
      <c r="AM81" s="536"/>
      <c r="AN81" s="542">
        <f t="shared" si="32"/>
        <v>0</v>
      </c>
      <c r="AO81" s="536"/>
      <c r="AP81" s="536"/>
      <c r="AQ81" s="536"/>
      <c r="AR81" s="542">
        <f t="shared" si="33"/>
        <v>0</v>
      </c>
      <c r="AS81" s="536"/>
      <c r="AT81" s="536"/>
      <c r="AU81" s="536"/>
      <c r="AV81" s="542">
        <f t="shared" si="34"/>
        <v>0</v>
      </c>
      <c r="AW81" s="536"/>
      <c r="AX81" s="536"/>
      <c r="AY81" s="536"/>
      <c r="AZ81" s="542">
        <f t="shared" si="35"/>
        <v>0</v>
      </c>
      <c r="BA81" s="536"/>
      <c r="BB81" s="536"/>
      <c r="BC81" s="536"/>
      <c r="BD81" s="542">
        <f t="shared" si="36"/>
        <v>0</v>
      </c>
      <c r="BE81" s="536"/>
      <c r="BF81" s="536"/>
      <c r="BG81" s="536"/>
      <c r="BH81" s="542">
        <f t="shared" si="37"/>
        <v>0</v>
      </c>
      <c r="BI81" s="536"/>
      <c r="BJ81" s="536"/>
      <c r="BK81" s="536"/>
      <c r="BL81" s="542">
        <f t="shared" si="38"/>
        <v>0</v>
      </c>
      <c r="BM81" s="536"/>
      <c r="BN81" s="536"/>
      <c r="BO81" s="536"/>
      <c r="BP81" s="542">
        <f t="shared" si="39"/>
        <v>0</v>
      </c>
      <c r="BQ81" s="536"/>
      <c r="BR81" s="536"/>
      <c r="BS81" s="536"/>
      <c r="BT81" s="542">
        <f t="shared" si="40"/>
        <v>0</v>
      </c>
      <c r="BU81" s="536"/>
      <c r="BV81" s="536"/>
      <c r="BW81" s="536"/>
      <c r="BX81" s="542">
        <f t="shared" si="41"/>
        <v>0</v>
      </c>
      <c r="BY81" s="536"/>
      <c r="BZ81" s="536"/>
      <c r="CA81" s="536"/>
      <c r="CB81" s="542">
        <v>0</v>
      </c>
      <c r="CC81" s="536"/>
      <c r="CD81" s="536"/>
      <c r="CE81" s="536"/>
      <c r="CF81" s="541">
        <f t="shared" si="42"/>
        <v>0</v>
      </c>
      <c r="CG81" s="536"/>
      <c r="CH81" s="536"/>
      <c r="CI81" s="536"/>
      <c r="CJ81" s="541">
        <f t="shared" si="43"/>
        <v>0</v>
      </c>
      <c r="CK81" s="536"/>
      <c r="CL81" s="536"/>
      <c r="CM81" s="536"/>
      <c r="CN81" s="541">
        <f t="shared" si="44"/>
        <v>0</v>
      </c>
      <c r="CO81" s="536"/>
      <c r="CP81" s="536"/>
      <c r="CQ81" s="536"/>
      <c r="CR81" s="541">
        <f t="shared" si="45"/>
        <v>0</v>
      </c>
      <c r="CS81" s="536"/>
      <c r="CT81" s="536"/>
      <c r="CU81" s="536"/>
      <c r="CV81" s="541">
        <f t="shared" si="46"/>
        <v>0</v>
      </c>
      <c r="CW81" s="536"/>
      <c r="CX81" s="536"/>
      <c r="CY81" s="536"/>
      <c r="CZ81" s="541">
        <f t="shared" si="47"/>
        <v>0</v>
      </c>
      <c r="DA81" s="536"/>
      <c r="DB81" s="536"/>
      <c r="DC81" s="536"/>
      <c r="DD81" s="541">
        <f t="shared" si="48"/>
        <v>0</v>
      </c>
      <c r="DE81" s="536"/>
      <c r="DF81" s="536"/>
      <c r="DG81" s="536"/>
      <c r="DH81" s="541">
        <f t="shared" si="49"/>
        <v>0</v>
      </c>
      <c r="DI81" s="536"/>
      <c r="DJ81" s="536"/>
      <c r="DK81" s="536"/>
      <c r="DL81" s="541">
        <f t="shared" si="50"/>
        <v>0</v>
      </c>
      <c r="DM81" s="536"/>
      <c r="DN81" s="536"/>
      <c r="DO81" s="536"/>
      <c r="DP81" s="541">
        <f>IF( SUM((DJ81*(20/100))+(DK81*(30/100))+(DL81*(50/100))) &gt;=9.3,9.5,
IF(AND( SUM((DJ81*(20/100))+(DK81*(30/100))+(DL81*(50/100))) &lt;=9.3, SUM((DJ81*(20/100))+(DK81*(30/100))+(DL81*(50/100))) &gt;=8.8),9,
IF(AND( SUM((DJ81*(20/100))+(DK81*(30/100))+(DL81*(50/100))) &lt;=8.8, SUM((DJ81*(20/100))+(DK81*(30/100))+(DL81*(50/100))) &gt;=8.3),8.5,
IF(AND( SUM((DJ81*(20/100))+(DK81*(30/100))+(DL81*(50/100))) &lt;=8.3, SUM((DJ81*(20/100))+(DK81*(30/100))+(DL81*(50/100))) &gt;=7.8),8,
IF(AND( SUM((DJ81*(20/100))+(DK81*(30/100))+(DL81*(50/100))) &lt;=7.8, SUM((DJ81*(20/100))+(DK81*(30/100))+(DL81*(50/100))) &gt;=7.3),7.5,
IF(AND( SUM((DJ81*(20/100))+(DK81*(30/100))+(DL81*(50/100))) &lt;=7.3, SUM((DJ81*(20/100))+(DK81*(30/100))+(DL81*(50/100))) &gt;=6.8),7,
IF(AND( SUM((DJ81*(20/100))+(DK81*(30/100))+(DL81*(50/100))) &lt;=6.8, SUM((DJ81*(20/100))+(DK81*(30/100))+(DL81*(50/100))) &gt;=6.3),6.5,
IF(AND( SUM((DJ81*(20/100))+(DK81*(30/100))+(DL81*(50/100))) &lt;=6.3, SUM((DJ81*(20/100))+(DK81*(30/100))+(DL81*(50/100))) &gt;=5.8),6,
IF(AND( SUM((DJ81*(20/100))+(DK81*(30/100))+(DL81*(50/100))) &lt;=5.8, SUM((DJ81*(20/100))+(DK81*(30/100))+(DL81*(50/100))) &gt;=5.3),5.5,
IF(AND( SUM((DJ81*(20/100))+(DK81*(30/100))+(DL81*(50/100))) &lt;=5.3, SUM((DJ81*(20/100))+(DK81*(30/100))+(DL81*(50/100))) &gt;=4.8),5,
IF(AND( SUM((DJ81*(20/100))+(DK81*(30/100))+(DL81*(50/100))) &lt;=4.8, SUM((DJ81*(20/100))+(DK81*(30/100))+(DL81*(50/100))) &gt;=4.3),4.5,
IF(AND( SUM((DJ81*(20/100))+(DK81*(30/100))+(DL81*(50/100))) &lt;=4.3, SUM((DJ81*(20/100))+(DK81*(30/100))+(DL81*(50/100))) &gt;=3.8),4,
IF(AND( SUM((DJ81*(20/100))+(DK81*(30/100))+(DL81*(50/100))) &lt;=3.8, SUM((DJ81*(20/100))+(DK81*(30/100))+(DL81*(50/100))) &gt;=3.5),3.5,0)))))))))))))</f>
        <v>0</v>
      </c>
      <c r="DQ81" s="541"/>
      <c r="DR81" s="541"/>
      <c r="DS81" s="541"/>
      <c r="DT81" s="541"/>
      <c r="DU81" s="541"/>
      <c r="DV81" s="541"/>
      <c r="DW81" s="541"/>
      <c r="DX81" s="541"/>
      <c r="DY81" s="541"/>
      <c r="DZ81" s="541"/>
    </row>
    <row r="82" spans="2:130" ht="15" customHeight="1" x14ac:dyDescent="0.25">
      <c r="B82" s="334">
        <v>25</v>
      </c>
      <c r="C82" s="541"/>
      <c r="D82" s="334"/>
      <c r="E82" s="334"/>
      <c r="F82" s="334"/>
      <c r="G82" s="334"/>
      <c r="H82" s="334"/>
      <c r="I82" s="334"/>
      <c r="J82" s="536"/>
      <c r="K82" s="536"/>
      <c r="L82" s="536"/>
      <c r="M82" s="536"/>
      <c r="N82" s="536"/>
      <c r="O82" s="536"/>
      <c r="P82" s="536">
        <f t="shared" si="26"/>
        <v>0</v>
      </c>
      <c r="Q82" s="536"/>
      <c r="R82" s="536"/>
      <c r="S82" s="536"/>
      <c r="T82" s="536">
        <f t="shared" si="27"/>
        <v>0</v>
      </c>
      <c r="U82" s="536"/>
      <c r="V82" s="536"/>
      <c r="W82" s="536"/>
      <c r="X82" s="536">
        <f t="shared" si="28"/>
        <v>0</v>
      </c>
      <c r="Y82" s="536"/>
      <c r="Z82" s="536"/>
      <c r="AA82" s="536"/>
      <c r="AB82" s="536">
        <f t="shared" si="29"/>
        <v>0</v>
      </c>
      <c r="AC82" s="536"/>
      <c r="AD82" s="536"/>
      <c r="AE82" s="536"/>
      <c r="AF82" s="536">
        <f t="shared" si="30"/>
        <v>0</v>
      </c>
      <c r="AG82" s="536"/>
      <c r="AH82" s="536"/>
      <c r="AI82" s="536"/>
      <c r="AJ82" s="536">
        <f t="shared" si="31"/>
        <v>0</v>
      </c>
      <c r="AK82" s="536"/>
      <c r="AL82" s="536"/>
      <c r="AM82" s="536"/>
      <c r="AN82" s="542">
        <f t="shared" si="32"/>
        <v>0</v>
      </c>
      <c r="AO82" s="536"/>
      <c r="AP82" s="536"/>
      <c r="AQ82" s="536"/>
      <c r="AR82" s="542">
        <f t="shared" si="33"/>
        <v>0</v>
      </c>
      <c r="AS82" s="536"/>
      <c r="AT82" s="536"/>
      <c r="AU82" s="536"/>
      <c r="AV82" s="542">
        <f t="shared" si="34"/>
        <v>0</v>
      </c>
      <c r="AW82" s="536"/>
      <c r="AX82" s="536"/>
      <c r="AY82" s="536"/>
      <c r="AZ82" s="542">
        <f t="shared" si="35"/>
        <v>0</v>
      </c>
      <c r="BA82" s="536"/>
      <c r="BB82" s="536"/>
      <c r="BC82" s="536"/>
      <c r="BD82" s="542">
        <f t="shared" si="36"/>
        <v>0</v>
      </c>
      <c r="BE82" s="536"/>
      <c r="BF82" s="536"/>
      <c r="BG82" s="536"/>
      <c r="BH82" s="542">
        <f t="shared" si="37"/>
        <v>0</v>
      </c>
      <c r="BI82" s="536"/>
      <c r="BJ82" s="536"/>
      <c r="BK82" s="536"/>
      <c r="BL82" s="542">
        <f t="shared" si="38"/>
        <v>0</v>
      </c>
      <c r="BM82" s="536"/>
      <c r="BN82" s="536"/>
      <c r="BO82" s="536"/>
      <c r="BP82" s="542">
        <f t="shared" si="39"/>
        <v>0</v>
      </c>
      <c r="BQ82" s="536"/>
      <c r="BR82" s="536"/>
      <c r="BS82" s="536"/>
      <c r="BT82" s="542">
        <f t="shared" si="40"/>
        <v>0</v>
      </c>
      <c r="BU82" s="536"/>
      <c r="BV82" s="536"/>
      <c r="BW82" s="536"/>
      <c r="BX82" s="542">
        <f t="shared" si="41"/>
        <v>0</v>
      </c>
      <c r="BY82" s="536"/>
      <c r="BZ82" s="536"/>
      <c r="CA82" s="536"/>
      <c r="CB82" s="542">
        <v>0</v>
      </c>
      <c r="CC82" s="536"/>
      <c r="CD82" s="536"/>
      <c r="CE82" s="536"/>
      <c r="CF82" s="541">
        <f t="shared" si="42"/>
        <v>0</v>
      </c>
      <c r="CG82" s="536"/>
      <c r="CH82" s="536"/>
      <c r="CI82" s="536"/>
      <c r="CJ82" s="541">
        <f t="shared" si="43"/>
        <v>0</v>
      </c>
      <c r="CK82" s="536"/>
      <c r="CL82" s="536"/>
      <c r="CM82" s="536"/>
      <c r="CN82" s="541">
        <f t="shared" si="44"/>
        <v>0</v>
      </c>
      <c r="CO82" s="536"/>
      <c r="CP82" s="536"/>
      <c r="CQ82" s="536"/>
      <c r="CR82" s="541">
        <f t="shared" si="45"/>
        <v>0</v>
      </c>
      <c r="CS82" s="536"/>
      <c r="CT82" s="536"/>
      <c r="CU82" s="536"/>
      <c r="CV82" s="541">
        <f t="shared" si="46"/>
        <v>0</v>
      </c>
      <c r="CW82" s="536"/>
      <c r="CX82" s="536"/>
      <c r="CY82" s="536"/>
      <c r="CZ82" s="541">
        <f t="shared" si="47"/>
        <v>0</v>
      </c>
      <c r="DA82" s="536"/>
      <c r="DB82" s="536"/>
      <c r="DC82" s="536"/>
      <c r="DD82" s="541">
        <f t="shared" si="48"/>
        <v>0</v>
      </c>
      <c r="DE82" s="536"/>
      <c r="DF82" s="536"/>
      <c r="DG82" s="536"/>
      <c r="DH82" s="541">
        <f t="shared" si="49"/>
        <v>0</v>
      </c>
      <c r="DI82" s="536"/>
      <c r="DJ82" s="536"/>
      <c r="DK82" s="536"/>
      <c r="DL82" s="541">
        <f t="shared" si="50"/>
        <v>0</v>
      </c>
      <c r="DM82" s="536"/>
      <c r="DN82" s="536"/>
      <c r="DO82" s="536"/>
      <c r="DP82" s="541">
        <f>IF( SUM((DJ82*(20/100))+(DK82*(30/100))+(DL82*(50/100))) &gt;=9.3,9.5,
IF(AND( SUM((DJ82*(20/100))+(DK82*(30/100))+(DL82*(50/100))) &lt;=9.3, SUM((DJ82*(20/100))+(DK82*(30/100))+(DL82*(50/100))) &gt;=8.8),9,
IF(AND( SUM((DJ82*(20/100))+(DK82*(30/100))+(DL82*(50/100))) &lt;=8.8, SUM((DJ82*(20/100))+(DK82*(30/100))+(DL82*(50/100))) &gt;=8.3),8.5,
IF(AND( SUM((DJ82*(20/100))+(DK82*(30/100))+(DL82*(50/100))) &lt;=8.3, SUM((DJ82*(20/100))+(DK82*(30/100))+(DL82*(50/100))) &gt;=7.8),8,
IF(AND( SUM((DJ82*(20/100))+(DK82*(30/100))+(DL82*(50/100))) &lt;=7.8, SUM((DJ82*(20/100))+(DK82*(30/100))+(DL82*(50/100))) &gt;=7.3),7.5,
IF(AND( SUM((DJ82*(20/100))+(DK82*(30/100))+(DL82*(50/100))) &lt;=7.3, SUM((DJ82*(20/100))+(DK82*(30/100))+(DL82*(50/100))) &gt;=6.8),7,
IF(AND( SUM((DJ82*(20/100))+(DK82*(30/100))+(DL82*(50/100))) &lt;=6.8, SUM((DJ82*(20/100))+(DK82*(30/100))+(DL82*(50/100))) &gt;=6.3),6.5,
IF(AND( SUM((DJ82*(20/100))+(DK82*(30/100))+(DL82*(50/100))) &lt;=6.3, SUM((DJ82*(20/100))+(DK82*(30/100))+(DL82*(50/100))) &gt;=5.8),6,
IF(AND( SUM((DJ82*(20/100))+(DK82*(30/100))+(DL82*(50/100))) &lt;=5.8, SUM((DJ82*(20/100))+(DK82*(30/100))+(DL82*(50/100))) &gt;=5.3),5.5,
IF(AND( SUM((DJ82*(20/100))+(DK82*(30/100))+(DL82*(50/100))) &lt;=5.3, SUM((DJ82*(20/100))+(DK82*(30/100))+(DL82*(50/100))) &gt;=4.8),5,
IF(AND( SUM((DJ82*(20/100))+(DK82*(30/100))+(DL82*(50/100))) &lt;=4.8, SUM((DJ82*(20/100))+(DK82*(30/100))+(DL82*(50/100))) &gt;=4.3),4.5,
IF(AND( SUM((DJ82*(20/100))+(DK82*(30/100))+(DL82*(50/100))) &lt;=4.3, SUM((DJ82*(20/100))+(DK82*(30/100))+(DL82*(50/100))) &gt;=3.8),4,
IF(AND( SUM((DJ82*(20/100))+(DK82*(30/100))+(DL82*(50/100))) &lt;=3.8, SUM((DJ82*(20/100))+(DK82*(30/100))+(DL82*(50/100))) &gt;=3.5),3.5,0)))))))))))))</f>
        <v>0</v>
      </c>
      <c r="DQ82" s="541"/>
      <c r="DR82" s="541"/>
      <c r="DS82" s="541"/>
      <c r="DT82" s="541"/>
      <c r="DU82" s="541"/>
      <c r="DV82" s="541"/>
      <c r="DW82" s="541"/>
      <c r="DX82" s="541"/>
      <c r="DY82" s="541"/>
      <c r="DZ82" s="541"/>
    </row>
    <row r="83" spans="2:130" ht="15" customHeight="1" x14ac:dyDescent="0.25">
      <c r="B83" s="334">
        <v>26</v>
      </c>
      <c r="C83" s="541"/>
      <c r="D83" s="334"/>
      <c r="E83" s="334"/>
      <c r="F83" s="334"/>
      <c r="G83" s="334"/>
      <c r="H83" s="334"/>
      <c r="I83" s="334"/>
      <c r="J83" s="536"/>
      <c r="K83" s="536"/>
      <c r="L83" s="536"/>
      <c r="M83" s="536"/>
      <c r="N83" s="536"/>
      <c r="O83" s="536"/>
      <c r="P83" s="536">
        <f t="shared" si="26"/>
        <v>0</v>
      </c>
      <c r="Q83" s="536"/>
      <c r="R83" s="536"/>
      <c r="S83" s="536"/>
      <c r="T83" s="536">
        <f t="shared" si="27"/>
        <v>0</v>
      </c>
      <c r="U83" s="536"/>
      <c r="V83" s="536"/>
      <c r="W83" s="536"/>
      <c r="X83" s="536">
        <f t="shared" si="28"/>
        <v>0</v>
      </c>
      <c r="Y83" s="536"/>
      <c r="Z83" s="536"/>
      <c r="AA83" s="536"/>
      <c r="AB83" s="536">
        <f t="shared" si="29"/>
        <v>0</v>
      </c>
      <c r="AC83" s="536"/>
      <c r="AD83" s="536"/>
      <c r="AE83" s="536"/>
      <c r="AF83" s="536">
        <f t="shared" si="30"/>
        <v>0</v>
      </c>
      <c r="AG83" s="536"/>
      <c r="AH83" s="536"/>
      <c r="AI83" s="536"/>
      <c r="AJ83" s="536">
        <f t="shared" si="31"/>
        <v>0</v>
      </c>
      <c r="AK83" s="536"/>
      <c r="AL83" s="536"/>
      <c r="AM83" s="536"/>
      <c r="AN83" s="542">
        <f t="shared" si="32"/>
        <v>0</v>
      </c>
      <c r="AO83" s="536"/>
      <c r="AP83" s="536"/>
      <c r="AQ83" s="536"/>
      <c r="AR83" s="542">
        <f t="shared" si="33"/>
        <v>0</v>
      </c>
      <c r="AS83" s="536"/>
      <c r="AT83" s="536"/>
      <c r="AU83" s="536"/>
      <c r="AV83" s="542">
        <f t="shared" si="34"/>
        <v>0</v>
      </c>
      <c r="AW83" s="536"/>
      <c r="AX83" s="536"/>
      <c r="AY83" s="536"/>
      <c r="AZ83" s="542">
        <f t="shared" si="35"/>
        <v>0</v>
      </c>
      <c r="BA83" s="536"/>
      <c r="BB83" s="536"/>
      <c r="BC83" s="536"/>
      <c r="BD83" s="542">
        <f t="shared" si="36"/>
        <v>0</v>
      </c>
      <c r="BE83" s="536"/>
      <c r="BF83" s="536"/>
      <c r="BG83" s="536"/>
      <c r="BH83" s="542">
        <f t="shared" si="37"/>
        <v>0</v>
      </c>
      <c r="BI83" s="536"/>
      <c r="BJ83" s="536"/>
      <c r="BK83" s="536"/>
      <c r="BL83" s="542">
        <f t="shared" si="38"/>
        <v>0</v>
      </c>
      <c r="BM83" s="536"/>
      <c r="BN83" s="536"/>
      <c r="BO83" s="536"/>
      <c r="BP83" s="542">
        <f t="shared" si="39"/>
        <v>0</v>
      </c>
      <c r="BQ83" s="536"/>
      <c r="BR83" s="536"/>
      <c r="BS83" s="536"/>
      <c r="BT83" s="542">
        <f t="shared" si="40"/>
        <v>0</v>
      </c>
      <c r="BU83" s="536"/>
      <c r="BV83" s="536"/>
      <c r="BW83" s="536"/>
      <c r="BX83" s="542">
        <f t="shared" si="41"/>
        <v>0</v>
      </c>
      <c r="BY83" s="536"/>
      <c r="BZ83" s="536"/>
      <c r="CA83" s="536"/>
      <c r="CB83" s="542">
        <v>0</v>
      </c>
      <c r="CC83" s="536"/>
      <c r="CD83" s="536"/>
      <c r="CE83" s="536"/>
      <c r="CF83" s="541">
        <f t="shared" si="42"/>
        <v>0</v>
      </c>
      <c r="CG83" s="536"/>
      <c r="CH83" s="536"/>
      <c r="CI83" s="536"/>
      <c r="CJ83" s="541">
        <f t="shared" si="43"/>
        <v>0</v>
      </c>
      <c r="CK83" s="536"/>
      <c r="CL83" s="536"/>
      <c r="CM83" s="536"/>
      <c r="CN83" s="541">
        <f t="shared" si="44"/>
        <v>0</v>
      </c>
      <c r="CO83" s="536"/>
      <c r="CP83" s="536"/>
      <c r="CQ83" s="536"/>
      <c r="CR83" s="541">
        <f t="shared" si="45"/>
        <v>0</v>
      </c>
      <c r="CS83" s="536"/>
      <c r="CT83" s="536"/>
      <c r="CU83" s="536"/>
      <c r="CV83" s="541">
        <f t="shared" si="46"/>
        <v>0</v>
      </c>
      <c r="CW83" s="536"/>
      <c r="CX83" s="536"/>
      <c r="CY83" s="536"/>
      <c r="CZ83" s="541">
        <f t="shared" si="47"/>
        <v>0</v>
      </c>
      <c r="DA83" s="536"/>
      <c r="DB83" s="536"/>
      <c r="DC83" s="536"/>
      <c r="DD83" s="541">
        <f t="shared" si="48"/>
        <v>0</v>
      </c>
      <c r="DE83" s="536"/>
      <c r="DF83" s="536"/>
      <c r="DG83" s="536"/>
      <c r="DH83" s="541">
        <f t="shared" si="49"/>
        <v>0</v>
      </c>
      <c r="DI83" s="536"/>
      <c r="DJ83" s="536"/>
      <c r="DK83" s="536"/>
      <c r="DL83" s="541">
        <f t="shared" si="50"/>
        <v>0</v>
      </c>
      <c r="DM83" s="536"/>
      <c r="DN83" s="536"/>
      <c r="DO83" s="536"/>
      <c r="DP83" s="541">
        <f>IF( SUM((DJ83*(20/100))+(DK83*(30/100))+(DL83*(50/100))) &gt;=9.3,9.5,
IF(AND( SUM((DJ83*(20/100))+(DK83*(30/100))+(DL83*(50/100))) &lt;=9.3, SUM((DJ83*(20/100))+(DK83*(30/100))+(DL83*(50/100))) &gt;=8.8),9,
IF(AND( SUM((DJ83*(20/100))+(DK83*(30/100))+(DL83*(50/100))) &lt;=8.8, SUM((DJ83*(20/100))+(DK83*(30/100))+(DL83*(50/100))) &gt;=8.3),8.5,
IF(AND( SUM((DJ83*(20/100))+(DK83*(30/100))+(DL83*(50/100))) &lt;=8.3, SUM((DJ83*(20/100))+(DK83*(30/100))+(DL83*(50/100))) &gt;=7.8),8,
IF(AND( SUM((DJ83*(20/100))+(DK83*(30/100))+(DL83*(50/100))) &lt;=7.8, SUM((DJ83*(20/100))+(DK83*(30/100))+(DL83*(50/100))) &gt;=7.3),7.5,
IF(AND( SUM((DJ83*(20/100))+(DK83*(30/100))+(DL83*(50/100))) &lt;=7.3, SUM((DJ83*(20/100))+(DK83*(30/100))+(DL83*(50/100))) &gt;=6.8),7,
IF(AND( SUM((DJ83*(20/100))+(DK83*(30/100))+(DL83*(50/100))) &lt;=6.8, SUM((DJ83*(20/100))+(DK83*(30/100))+(DL83*(50/100))) &gt;=6.3),6.5,
IF(AND( SUM((DJ83*(20/100))+(DK83*(30/100))+(DL83*(50/100))) &lt;=6.3, SUM((DJ83*(20/100))+(DK83*(30/100))+(DL83*(50/100))) &gt;=5.8),6,
IF(AND( SUM((DJ83*(20/100))+(DK83*(30/100))+(DL83*(50/100))) &lt;=5.8, SUM((DJ83*(20/100))+(DK83*(30/100))+(DL83*(50/100))) &gt;=5.3),5.5,
IF(AND( SUM((DJ83*(20/100))+(DK83*(30/100))+(DL83*(50/100))) &lt;=5.3, SUM((DJ83*(20/100))+(DK83*(30/100))+(DL83*(50/100))) &gt;=4.8),5,
IF(AND( SUM((DJ83*(20/100))+(DK83*(30/100))+(DL83*(50/100))) &lt;=4.8, SUM((DJ83*(20/100))+(DK83*(30/100))+(DL83*(50/100))) &gt;=4.3),4.5,
IF(AND( SUM((DJ83*(20/100))+(DK83*(30/100))+(DL83*(50/100))) &lt;=4.3, SUM((DJ83*(20/100))+(DK83*(30/100))+(DL83*(50/100))) &gt;=3.8),4,
IF(AND( SUM((DJ83*(20/100))+(DK83*(30/100))+(DL83*(50/100))) &lt;=3.8, SUM((DJ83*(20/100))+(DK83*(30/100))+(DL83*(50/100))) &gt;=3.5),3.5,0)))))))))))))</f>
        <v>0</v>
      </c>
      <c r="DQ83" s="541"/>
      <c r="DR83" s="541"/>
      <c r="DS83" s="541"/>
      <c r="DT83" s="541"/>
      <c r="DU83" s="541"/>
      <c r="DV83" s="541"/>
      <c r="DW83" s="541"/>
      <c r="DX83" s="541"/>
      <c r="DY83" s="541"/>
      <c r="DZ83" s="541"/>
    </row>
    <row r="84" spans="2:130" ht="15" customHeight="1" x14ac:dyDescent="0.25">
      <c r="B84" s="334">
        <v>27</v>
      </c>
      <c r="C84" s="541"/>
      <c r="D84" s="334"/>
      <c r="E84" s="334"/>
      <c r="F84" s="334"/>
      <c r="G84" s="334"/>
      <c r="H84" s="334"/>
      <c r="I84" s="334"/>
      <c r="J84" s="536"/>
      <c r="K84" s="536"/>
      <c r="L84" s="536"/>
      <c r="M84" s="536"/>
      <c r="N84" s="536"/>
      <c r="O84" s="536"/>
      <c r="P84" s="536">
        <f t="shared" si="26"/>
        <v>0</v>
      </c>
      <c r="Q84" s="536"/>
      <c r="R84" s="536"/>
      <c r="S84" s="536"/>
      <c r="T84" s="536">
        <f t="shared" si="27"/>
        <v>0</v>
      </c>
      <c r="U84" s="536"/>
      <c r="V84" s="536"/>
      <c r="W84" s="536"/>
      <c r="X84" s="536">
        <f t="shared" si="28"/>
        <v>0</v>
      </c>
      <c r="Y84" s="536"/>
      <c r="Z84" s="536"/>
      <c r="AA84" s="536"/>
      <c r="AB84" s="536">
        <f t="shared" si="29"/>
        <v>0</v>
      </c>
      <c r="AC84" s="536"/>
      <c r="AD84" s="536"/>
      <c r="AE84" s="536"/>
      <c r="AF84" s="536">
        <f t="shared" si="30"/>
        <v>0</v>
      </c>
      <c r="AG84" s="536"/>
      <c r="AH84" s="536"/>
      <c r="AI84" s="536"/>
      <c r="AJ84" s="536">
        <f t="shared" si="31"/>
        <v>0</v>
      </c>
      <c r="AK84" s="536"/>
      <c r="AL84" s="536"/>
      <c r="AM84" s="536"/>
      <c r="AN84" s="542">
        <f t="shared" si="32"/>
        <v>0</v>
      </c>
      <c r="AO84" s="536"/>
      <c r="AP84" s="536"/>
      <c r="AQ84" s="536"/>
      <c r="AR84" s="542">
        <f t="shared" si="33"/>
        <v>0</v>
      </c>
      <c r="AS84" s="536"/>
      <c r="AT84" s="536"/>
      <c r="AU84" s="536"/>
      <c r="AV84" s="542">
        <f t="shared" si="34"/>
        <v>0</v>
      </c>
      <c r="AW84" s="536"/>
      <c r="AX84" s="536"/>
      <c r="AY84" s="536"/>
      <c r="AZ84" s="542">
        <f t="shared" si="35"/>
        <v>0</v>
      </c>
      <c r="BA84" s="536"/>
      <c r="BB84" s="536"/>
      <c r="BC84" s="536"/>
      <c r="BD84" s="542">
        <f t="shared" si="36"/>
        <v>0</v>
      </c>
      <c r="BE84" s="536"/>
      <c r="BF84" s="536"/>
      <c r="BG84" s="536"/>
      <c r="BH84" s="542">
        <f t="shared" si="37"/>
        <v>0</v>
      </c>
      <c r="BI84" s="536"/>
      <c r="BJ84" s="536"/>
      <c r="BK84" s="536"/>
      <c r="BL84" s="542">
        <f t="shared" si="38"/>
        <v>0</v>
      </c>
      <c r="BM84" s="536"/>
      <c r="BN84" s="536"/>
      <c r="BO84" s="536"/>
      <c r="BP84" s="542">
        <f t="shared" si="39"/>
        <v>0</v>
      </c>
      <c r="BQ84" s="536"/>
      <c r="BR84" s="536"/>
      <c r="BS84" s="536"/>
      <c r="BT84" s="542">
        <f t="shared" si="40"/>
        <v>0</v>
      </c>
      <c r="BU84" s="536"/>
      <c r="BV84" s="536"/>
      <c r="BW84" s="536"/>
      <c r="BX84" s="542">
        <f t="shared" si="41"/>
        <v>0</v>
      </c>
      <c r="BY84" s="536"/>
      <c r="BZ84" s="536"/>
      <c r="CA84" s="536"/>
      <c r="CB84" s="542">
        <v>0</v>
      </c>
      <c r="CC84" s="536"/>
      <c r="CD84" s="536"/>
      <c r="CE84" s="536"/>
      <c r="CF84" s="541">
        <f t="shared" si="42"/>
        <v>0</v>
      </c>
      <c r="CG84" s="536"/>
      <c r="CH84" s="536"/>
      <c r="CI84" s="536"/>
      <c r="CJ84" s="541">
        <f t="shared" si="43"/>
        <v>0</v>
      </c>
      <c r="CK84" s="536"/>
      <c r="CL84" s="536"/>
      <c r="CM84" s="536"/>
      <c r="CN84" s="541">
        <f t="shared" si="44"/>
        <v>0</v>
      </c>
      <c r="CO84" s="536"/>
      <c r="CP84" s="536"/>
      <c r="CQ84" s="536"/>
      <c r="CR84" s="541">
        <f t="shared" si="45"/>
        <v>0</v>
      </c>
      <c r="CS84" s="536"/>
      <c r="CT84" s="536"/>
      <c r="CU84" s="536"/>
      <c r="CV84" s="541">
        <f t="shared" si="46"/>
        <v>0</v>
      </c>
      <c r="CW84" s="536"/>
      <c r="CX84" s="536"/>
      <c r="CY84" s="536"/>
      <c r="CZ84" s="541">
        <f t="shared" si="47"/>
        <v>0</v>
      </c>
      <c r="DA84" s="536"/>
      <c r="DB84" s="536"/>
      <c r="DC84" s="536"/>
      <c r="DD84" s="541">
        <f t="shared" si="48"/>
        <v>0</v>
      </c>
      <c r="DE84" s="536"/>
      <c r="DF84" s="536"/>
      <c r="DG84" s="536"/>
      <c r="DH84" s="541">
        <f t="shared" si="49"/>
        <v>0</v>
      </c>
      <c r="DI84" s="536"/>
      <c r="DJ84" s="536"/>
      <c r="DK84" s="536"/>
      <c r="DL84" s="541">
        <f t="shared" si="50"/>
        <v>0</v>
      </c>
      <c r="DM84" s="536"/>
      <c r="DN84" s="536"/>
      <c r="DO84" s="536"/>
      <c r="DP84" s="541">
        <f>IF( SUM((DJ84*(20/100))+(DK84*(30/100))+(DL84*(50/100))) &gt;=9.3,9.5,
IF(AND( SUM((DJ84*(20/100))+(DK84*(30/100))+(DL84*(50/100))) &lt;=9.3, SUM((DJ84*(20/100))+(DK84*(30/100))+(DL84*(50/100))) &gt;=8.8),9,
IF(AND( SUM((DJ84*(20/100))+(DK84*(30/100))+(DL84*(50/100))) &lt;=8.8, SUM((DJ84*(20/100))+(DK84*(30/100))+(DL84*(50/100))) &gt;=8.3),8.5,
IF(AND( SUM((DJ84*(20/100))+(DK84*(30/100))+(DL84*(50/100))) &lt;=8.3, SUM((DJ84*(20/100))+(DK84*(30/100))+(DL84*(50/100))) &gt;=7.8),8,
IF(AND( SUM((DJ84*(20/100))+(DK84*(30/100))+(DL84*(50/100))) &lt;=7.8, SUM((DJ84*(20/100))+(DK84*(30/100))+(DL84*(50/100))) &gt;=7.3),7.5,
IF(AND( SUM((DJ84*(20/100))+(DK84*(30/100))+(DL84*(50/100))) &lt;=7.3, SUM((DJ84*(20/100))+(DK84*(30/100))+(DL84*(50/100))) &gt;=6.8),7,
IF(AND( SUM((DJ84*(20/100))+(DK84*(30/100))+(DL84*(50/100))) &lt;=6.8, SUM((DJ84*(20/100))+(DK84*(30/100))+(DL84*(50/100))) &gt;=6.3),6.5,
IF(AND( SUM((DJ84*(20/100))+(DK84*(30/100))+(DL84*(50/100))) &lt;=6.3, SUM((DJ84*(20/100))+(DK84*(30/100))+(DL84*(50/100))) &gt;=5.8),6,
IF(AND( SUM((DJ84*(20/100))+(DK84*(30/100))+(DL84*(50/100))) &lt;=5.8, SUM((DJ84*(20/100))+(DK84*(30/100))+(DL84*(50/100))) &gt;=5.3),5.5,
IF(AND( SUM((DJ84*(20/100))+(DK84*(30/100))+(DL84*(50/100))) &lt;=5.3, SUM((DJ84*(20/100))+(DK84*(30/100))+(DL84*(50/100))) &gt;=4.8),5,
IF(AND( SUM((DJ84*(20/100))+(DK84*(30/100))+(DL84*(50/100))) &lt;=4.8, SUM((DJ84*(20/100))+(DK84*(30/100))+(DL84*(50/100))) &gt;=4.3),4.5,
IF(AND( SUM((DJ84*(20/100))+(DK84*(30/100))+(DL84*(50/100))) &lt;=4.3, SUM((DJ84*(20/100))+(DK84*(30/100))+(DL84*(50/100))) &gt;=3.8),4,
IF(AND( SUM((DJ84*(20/100))+(DK84*(30/100))+(DL84*(50/100))) &lt;=3.8, SUM((DJ84*(20/100))+(DK84*(30/100))+(DL84*(50/100))) &gt;=3.5),3.5,0)))))))))))))</f>
        <v>0</v>
      </c>
      <c r="DQ84" s="541"/>
      <c r="DR84" s="541"/>
      <c r="DS84" s="541"/>
      <c r="DT84" s="541"/>
      <c r="DU84" s="541"/>
      <c r="DV84" s="541"/>
      <c r="DW84" s="541"/>
      <c r="DX84" s="541"/>
      <c r="DY84" s="541"/>
      <c r="DZ84" s="541"/>
    </row>
    <row r="85" spans="2:130" ht="15" customHeight="1" x14ac:dyDescent="0.25">
      <c r="B85" s="334">
        <v>28</v>
      </c>
      <c r="C85" s="541"/>
      <c r="D85" s="334"/>
      <c r="E85" s="334"/>
      <c r="F85" s="334"/>
      <c r="G85" s="334"/>
      <c r="H85" s="334"/>
      <c r="I85" s="334"/>
      <c r="J85" s="536"/>
      <c r="K85" s="536"/>
      <c r="L85" s="536"/>
      <c r="M85" s="536"/>
      <c r="N85" s="536"/>
      <c r="O85" s="536"/>
      <c r="P85" s="536">
        <f t="shared" si="26"/>
        <v>0</v>
      </c>
      <c r="Q85" s="536"/>
      <c r="R85" s="536"/>
      <c r="S85" s="536"/>
      <c r="T85" s="536">
        <f t="shared" si="27"/>
        <v>0</v>
      </c>
      <c r="U85" s="536"/>
      <c r="V85" s="536"/>
      <c r="W85" s="536"/>
      <c r="X85" s="536">
        <f t="shared" si="28"/>
        <v>0</v>
      </c>
      <c r="Y85" s="536"/>
      <c r="Z85" s="536"/>
      <c r="AA85" s="536"/>
      <c r="AB85" s="536">
        <f t="shared" si="29"/>
        <v>0</v>
      </c>
      <c r="AC85" s="536"/>
      <c r="AD85" s="536"/>
      <c r="AE85" s="536"/>
      <c r="AF85" s="536">
        <f t="shared" si="30"/>
        <v>0</v>
      </c>
      <c r="AG85" s="536"/>
      <c r="AH85" s="536"/>
      <c r="AI85" s="536"/>
      <c r="AJ85" s="536">
        <f t="shared" si="31"/>
        <v>0</v>
      </c>
      <c r="AK85" s="536"/>
      <c r="AL85" s="536"/>
      <c r="AM85" s="536"/>
      <c r="AN85" s="542">
        <f t="shared" si="32"/>
        <v>0</v>
      </c>
      <c r="AO85" s="536"/>
      <c r="AP85" s="536"/>
      <c r="AQ85" s="536"/>
      <c r="AR85" s="542">
        <f t="shared" si="33"/>
        <v>0</v>
      </c>
      <c r="AS85" s="536"/>
      <c r="AT85" s="536"/>
      <c r="AU85" s="536"/>
      <c r="AV85" s="542">
        <f t="shared" si="34"/>
        <v>0</v>
      </c>
      <c r="AW85" s="536"/>
      <c r="AX85" s="536"/>
      <c r="AY85" s="536"/>
      <c r="AZ85" s="542">
        <f t="shared" si="35"/>
        <v>0</v>
      </c>
      <c r="BA85" s="536"/>
      <c r="BB85" s="536"/>
      <c r="BC85" s="536"/>
      <c r="BD85" s="542">
        <f t="shared" si="36"/>
        <v>0</v>
      </c>
      <c r="BE85" s="536"/>
      <c r="BF85" s="536"/>
      <c r="BG85" s="536"/>
      <c r="BH85" s="542">
        <f t="shared" si="37"/>
        <v>0</v>
      </c>
      <c r="BI85" s="536"/>
      <c r="BJ85" s="536"/>
      <c r="BK85" s="536"/>
      <c r="BL85" s="542">
        <f t="shared" si="38"/>
        <v>0</v>
      </c>
      <c r="BM85" s="536"/>
      <c r="BN85" s="536"/>
      <c r="BO85" s="536"/>
      <c r="BP85" s="542">
        <f t="shared" si="39"/>
        <v>0</v>
      </c>
      <c r="BQ85" s="536"/>
      <c r="BR85" s="536"/>
      <c r="BS85" s="536"/>
      <c r="BT85" s="542">
        <f t="shared" si="40"/>
        <v>0</v>
      </c>
      <c r="BU85" s="536"/>
      <c r="BV85" s="536"/>
      <c r="BW85" s="536"/>
      <c r="BX85" s="542">
        <f t="shared" si="41"/>
        <v>0</v>
      </c>
      <c r="BY85" s="536"/>
      <c r="BZ85" s="536"/>
      <c r="CA85" s="536"/>
      <c r="CB85" s="542">
        <v>0</v>
      </c>
      <c r="CC85" s="536"/>
      <c r="CD85" s="536"/>
      <c r="CE85" s="536"/>
      <c r="CF85" s="541">
        <f t="shared" si="42"/>
        <v>0</v>
      </c>
      <c r="CG85" s="536"/>
      <c r="CH85" s="536"/>
      <c r="CI85" s="536"/>
      <c r="CJ85" s="541">
        <f t="shared" si="43"/>
        <v>0</v>
      </c>
      <c r="CK85" s="536"/>
      <c r="CL85" s="536"/>
      <c r="CM85" s="536"/>
      <c r="CN85" s="541">
        <f t="shared" si="44"/>
        <v>0</v>
      </c>
      <c r="CO85" s="536"/>
      <c r="CP85" s="536"/>
      <c r="CQ85" s="536"/>
      <c r="CR85" s="541">
        <f t="shared" si="45"/>
        <v>0</v>
      </c>
      <c r="CS85" s="536"/>
      <c r="CT85" s="536"/>
      <c r="CU85" s="536"/>
      <c r="CV85" s="541">
        <f t="shared" si="46"/>
        <v>0</v>
      </c>
      <c r="CW85" s="536"/>
      <c r="CX85" s="536"/>
      <c r="CY85" s="536"/>
      <c r="CZ85" s="541">
        <f t="shared" si="47"/>
        <v>0</v>
      </c>
      <c r="DA85" s="536"/>
      <c r="DB85" s="536"/>
      <c r="DC85" s="536"/>
      <c r="DD85" s="541">
        <f t="shared" si="48"/>
        <v>0</v>
      </c>
      <c r="DE85" s="536"/>
      <c r="DF85" s="536"/>
      <c r="DG85" s="536"/>
      <c r="DH85" s="541">
        <f t="shared" si="49"/>
        <v>0</v>
      </c>
      <c r="DI85" s="536"/>
      <c r="DJ85" s="536"/>
      <c r="DK85" s="536"/>
      <c r="DL85" s="541">
        <f t="shared" si="50"/>
        <v>0</v>
      </c>
      <c r="DM85" s="536"/>
      <c r="DN85" s="536"/>
      <c r="DO85" s="536"/>
      <c r="DP85" s="541">
        <f>IF( SUM((DJ85*(20/100))+(DK85*(30/100))+(DL85*(50/100))) &gt;=9.3,9.5,
IF(AND( SUM((DJ85*(20/100))+(DK85*(30/100))+(DL85*(50/100))) &lt;=9.3, SUM((DJ85*(20/100))+(DK85*(30/100))+(DL85*(50/100))) &gt;=8.8),9,
IF(AND( SUM((DJ85*(20/100))+(DK85*(30/100))+(DL85*(50/100))) &lt;=8.8, SUM((DJ85*(20/100))+(DK85*(30/100))+(DL85*(50/100))) &gt;=8.3),8.5,
IF(AND( SUM((DJ85*(20/100))+(DK85*(30/100))+(DL85*(50/100))) &lt;=8.3, SUM((DJ85*(20/100))+(DK85*(30/100))+(DL85*(50/100))) &gt;=7.8),8,
IF(AND( SUM((DJ85*(20/100))+(DK85*(30/100))+(DL85*(50/100))) &lt;=7.8, SUM((DJ85*(20/100))+(DK85*(30/100))+(DL85*(50/100))) &gt;=7.3),7.5,
IF(AND( SUM((DJ85*(20/100))+(DK85*(30/100))+(DL85*(50/100))) &lt;=7.3, SUM((DJ85*(20/100))+(DK85*(30/100))+(DL85*(50/100))) &gt;=6.8),7,
IF(AND( SUM((DJ85*(20/100))+(DK85*(30/100))+(DL85*(50/100))) &lt;=6.8, SUM((DJ85*(20/100))+(DK85*(30/100))+(DL85*(50/100))) &gt;=6.3),6.5,
IF(AND( SUM((DJ85*(20/100))+(DK85*(30/100))+(DL85*(50/100))) &lt;=6.3, SUM((DJ85*(20/100))+(DK85*(30/100))+(DL85*(50/100))) &gt;=5.8),6,
IF(AND( SUM((DJ85*(20/100))+(DK85*(30/100))+(DL85*(50/100))) &lt;=5.8, SUM((DJ85*(20/100))+(DK85*(30/100))+(DL85*(50/100))) &gt;=5.3),5.5,
IF(AND( SUM((DJ85*(20/100))+(DK85*(30/100))+(DL85*(50/100))) &lt;=5.3, SUM((DJ85*(20/100))+(DK85*(30/100))+(DL85*(50/100))) &gt;=4.8),5,
IF(AND( SUM((DJ85*(20/100))+(DK85*(30/100))+(DL85*(50/100))) &lt;=4.8, SUM((DJ85*(20/100))+(DK85*(30/100))+(DL85*(50/100))) &gt;=4.3),4.5,
IF(AND( SUM((DJ85*(20/100))+(DK85*(30/100))+(DL85*(50/100))) &lt;=4.3, SUM((DJ85*(20/100))+(DK85*(30/100))+(DL85*(50/100))) &gt;=3.8),4,
IF(AND( SUM((DJ85*(20/100))+(DK85*(30/100))+(DL85*(50/100))) &lt;=3.8, SUM((DJ85*(20/100))+(DK85*(30/100))+(DL85*(50/100))) &gt;=3.5),3.5,0)))))))))))))</f>
        <v>0</v>
      </c>
      <c r="DQ85" s="541"/>
      <c r="DR85" s="541"/>
      <c r="DS85" s="541"/>
      <c r="DT85" s="541"/>
      <c r="DU85" s="541"/>
      <c r="DV85" s="541"/>
      <c r="DW85" s="541"/>
      <c r="DX85" s="541"/>
      <c r="DY85" s="541"/>
      <c r="DZ85" s="541"/>
    </row>
    <row r="86" spans="2:130" ht="15" customHeight="1" x14ac:dyDescent="0.25">
      <c r="B86" s="334">
        <v>29</v>
      </c>
      <c r="C86" s="541"/>
      <c r="D86" s="334"/>
      <c r="E86" s="334"/>
      <c r="F86" s="334"/>
      <c r="G86" s="334"/>
      <c r="H86" s="334"/>
      <c r="I86" s="334"/>
      <c r="J86" s="536"/>
      <c r="K86" s="536"/>
      <c r="L86" s="536"/>
      <c r="M86" s="536"/>
      <c r="N86" s="536"/>
      <c r="O86" s="536"/>
      <c r="P86" s="536">
        <f t="shared" si="26"/>
        <v>0</v>
      </c>
      <c r="Q86" s="536"/>
      <c r="R86" s="536"/>
      <c r="S86" s="536"/>
      <c r="T86" s="536">
        <f t="shared" si="27"/>
        <v>0</v>
      </c>
      <c r="U86" s="536"/>
      <c r="V86" s="536"/>
      <c r="W86" s="536"/>
      <c r="X86" s="536">
        <f t="shared" si="28"/>
        <v>0</v>
      </c>
      <c r="Y86" s="536"/>
      <c r="Z86" s="536"/>
      <c r="AA86" s="536"/>
      <c r="AB86" s="536">
        <f t="shared" si="29"/>
        <v>0</v>
      </c>
      <c r="AC86" s="536"/>
      <c r="AD86" s="536"/>
      <c r="AE86" s="536"/>
      <c r="AF86" s="536">
        <f t="shared" si="30"/>
        <v>0</v>
      </c>
      <c r="AG86" s="536"/>
      <c r="AH86" s="536"/>
      <c r="AI86" s="536"/>
      <c r="AJ86" s="536">
        <f t="shared" si="31"/>
        <v>0</v>
      </c>
      <c r="AK86" s="536"/>
      <c r="AL86" s="536"/>
      <c r="AM86" s="536"/>
      <c r="AN86" s="542">
        <f t="shared" si="32"/>
        <v>0</v>
      </c>
      <c r="AO86" s="536"/>
      <c r="AP86" s="536"/>
      <c r="AQ86" s="536"/>
      <c r="AR86" s="542">
        <f t="shared" si="33"/>
        <v>0</v>
      </c>
      <c r="AS86" s="536"/>
      <c r="AT86" s="536"/>
      <c r="AU86" s="536"/>
      <c r="AV86" s="542">
        <f t="shared" si="34"/>
        <v>0</v>
      </c>
      <c r="AW86" s="536"/>
      <c r="AX86" s="536"/>
      <c r="AY86" s="536"/>
      <c r="AZ86" s="542">
        <f t="shared" si="35"/>
        <v>0</v>
      </c>
      <c r="BA86" s="536"/>
      <c r="BB86" s="536"/>
      <c r="BC86" s="536"/>
      <c r="BD86" s="542">
        <f t="shared" si="36"/>
        <v>0</v>
      </c>
      <c r="BE86" s="536"/>
      <c r="BF86" s="536"/>
      <c r="BG86" s="536"/>
      <c r="BH86" s="542">
        <f t="shared" si="37"/>
        <v>0</v>
      </c>
      <c r="BI86" s="536"/>
      <c r="BJ86" s="536"/>
      <c r="BK86" s="536"/>
      <c r="BL86" s="542">
        <f t="shared" si="38"/>
        <v>0</v>
      </c>
      <c r="BM86" s="536"/>
      <c r="BN86" s="536"/>
      <c r="BO86" s="536"/>
      <c r="BP86" s="542">
        <f t="shared" si="39"/>
        <v>0</v>
      </c>
      <c r="BQ86" s="536"/>
      <c r="BR86" s="536"/>
      <c r="BS86" s="536"/>
      <c r="BT86" s="542">
        <f t="shared" si="40"/>
        <v>0</v>
      </c>
      <c r="BU86" s="536"/>
      <c r="BV86" s="536"/>
      <c r="BW86" s="536"/>
      <c r="BX86" s="542">
        <f t="shared" si="41"/>
        <v>0</v>
      </c>
      <c r="BY86" s="536"/>
      <c r="BZ86" s="536"/>
      <c r="CA86" s="536"/>
      <c r="CB86" s="542">
        <v>0</v>
      </c>
      <c r="CC86" s="536"/>
      <c r="CD86" s="536"/>
      <c r="CE86" s="536"/>
      <c r="CF86" s="541">
        <f t="shared" si="42"/>
        <v>0</v>
      </c>
      <c r="CG86" s="536"/>
      <c r="CH86" s="536"/>
      <c r="CI86" s="536"/>
      <c r="CJ86" s="541">
        <f t="shared" si="43"/>
        <v>0</v>
      </c>
      <c r="CK86" s="536"/>
      <c r="CL86" s="536"/>
      <c r="CM86" s="536"/>
      <c r="CN86" s="541">
        <f t="shared" si="44"/>
        <v>0</v>
      </c>
      <c r="CO86" s="536"/>
      <c r="CP86" s="536"/>
      <c r="CQ86" s="536"/>
      <c r="CR86" s="541">
        <f t="shared" si="45"/>
        <v>0</v>
      </c>
      <c r="CS86" s="536"/>
      <c r="CT86" s="536"/>
      <c r="CU86" s="536"/>
      <c r="CV86" s="541">
        <f t="shared" si="46"/>
        <v>0</v>
      </c>
      <c r="CW86" s="536"/>
      <c r="CX86" s="536"/>
      <c r="CY86" s="536"/>
      <c r="CZ86" s="541">
        <f t="shared" si="47"/>
        <v>0</v>
      </c>
      <c r="DA86" s="536"/>
      <c r="DB86" s="536"/>
      <c r="DC86" s="536"/>
      <c r="DD86" s="541">
        <f t="shared" si="48"/>
        <v>0</v>
      </c>
      <c r="DE86" s="536"/>
      <c r="DF86" s="536"/>
      <c r="DG86" s="536"/>
      <c r="DH86" s="541">
        <f t="shared" si="49"/>
        <v>0</v>
      </c>
      <c r="DI86" s="536"/>
      <c r="DJ86" s="536"/>
      <c r="DK86" s="536"/>
      <c r="DL86" s="541">
        <f t="shared" si="50"/>
        <v>0</v>
      </c>
      <c r="DM86" s="536"/>
      <c r="DN86" s="536"/>
      <c r="DO86" s="536"/>
      <c r="DP86" s="541">
        <f>IF( SUM((DJ86*(20/100))+(DK86*(30/100))+(DL86*(50/100))) &gt;=9.3,9.5,
IF(AND( SUM((DJ86*(20/100))+(DK86*(30/100))+(DL86*(50/100))) &lt;=9.3, SUM((DJ86*(20/100))+(DK86*(30/100))+(DL86*(50/100))) &gt;=8.8),9,
IF(AND( SUM((DJ86*(20/100))+(DK86*(30/100))+(DL86*(50/100))) &lt;=8.8, SUM((DJ86*(20/100))+(DK86*(30/100))+(DL86*(50/100))) &gt;=8.3),8.5,
IF(AND( SUM((DJ86*(20/100))+(DK86*(30/100))+(DL86*(50/100))) &lt;=8.3, SUM((DJ86*(20/100))+(DK86*(30/100))+(DL86*(50/100))) &gt;=7.8),8,
IF(AND( SUM((DJ86*(20/100))+(DK86*(30/100))+(DL86*(50/100))) &lt;=7.8, SUM((DJ86*(20/100))+(DK86*(30/100))+(DL86*(50/100))) &gt;=7.3),7.5,
IF(AND( SUM((DJ86*(20/100))+(DK86*(30/100))+(DL86*(50/100))) &lt;=7.3, SUM((DJ86*(20/100))+(DK86*(30/100))+(DL86*(50/100))) &gt;=6.8),7,
IF(AND( SUM((DJ86*(20/100))+(DK86*(30/100))+(DL86*(50/100))) &lt;=6.8, SUM((DJ86*(20/100))+(DK86*(30/100))+(DL86*(50/100))) &gt;=6.3),6.5,
IF(AND( SUM((DJ86*(20/100))+(DK86*(30/100))+(DL86*(50/100))) &lt;=6.3, SUM((DJ86*(20/100))+(DK86*(30/100))+(DL86*(50/100))) &gt;=5.8),6,
IF(AND( SUM((DJ86*(20/100))+(DK86*(30/100))+(DL86*(50/100))) &lt;=5.8, SUM((DJ86*(20/100))+(DK86*(30/100))+(DL86*(50/100))) &gt;=5.3),5.5,
IF(AND( SUM((DJ86*(20/100))+(DK86*(30/100))+(DL86*(50/100))) &lt;=5.3, SUM((DJ86*(20/100))+(DK86*(30/100))+(DL86*(50/100))) &gt;=4.8),5,
IF(AND( SUM((DJ86*(20/100))+(DK86*(30/100))+(DL86*(50/100))) &lt;=4.8, SUM((DJ86*(20/100))+(DK86*(30/100))+(DL86*(50/100))) &gt;=4.3),4.5,
IF(AND( SUM((DJ86*(20/100))+(DK86*(30/100))+(DL86*(50/100))) &lt;=4.3, SUM((DJ86*(20/100))+(DK86*(30/100))+(DL86*(50/100))) &gt;=3.8),4,
IF(AND( SUM((DJ86*(20/100))+(DK86*(30/100))+(DL86*(50/100))) &lt;=3.8, SUM((DJ86*(20/100))+(DK86*(30/100))+(DL86*(50/100))) &gt;=3.5),3.5,0)))))))))))))</f>
        <v>0</v>
      </c>
      <c r="DQ86" s="541"/>
      <c r="DR86" s="541"/>
      <c r="DS86" s="541"/>
      <c r="DT86" s="541"/>
      <c r="DU86" s="541"/>
      <c r="DV86" s="541"/>
      <c r="DW86" s="541"/>
      <c r="DX86" s="541"/>
      <c r="DY86" s="541"/>
      <c r="DZ86" s="541"/>
    </row>
    <row r="87" spans="2:130" ht="15" customHeight="1" x14ac:dyDescent="0.25">
      <c r="B87" s="334">
        <v>30</v>
      </c>
      <c r="C87" s="541"/>
      <c r="D87" s="334"/>
      <c r="E87" s="334"/>
      <c r="F87" s="334"/>
      <c r="G87" s="334"/>
      <c r="H87" s="334"/>
      <c r="I87" s="334"/>
      <c r="J87" s="536"/>
      <c r="K87" s="536"/>
      <c r="L87" s="536"/>
      <c r="M87" s="536"/>
      <c r="N87" s="536"/>
      <c r="O87" s="536"/>
      <c r="P87" s="536">
        <f t="shared" si="26"/>
        <v>0</v>
      </c>
      <c r="Q87" s="536"/>
      <c r="R87" s="536"/>
      <c r="S87" s="536"/>
      <c r="T87" s="536">
        <f t="shared" si="27"/>
        <v>0</v>
      </c>
      <c r="U87" s="536"/>
      <c r="V87" s="536"/>
      <c r="W87" s="536"/>
      <c r="X87" s="536">
        <f t="shared" si="28"/>
        <v>0</v>
      </c>
      <c r="Y87" s="536"/>
      <c r="Z87" s="536"/>
      <c r="AA87" s="536"/>
      <c r="AB87" s="536">
        <f t="shared" si="29"/>
        <v>0</v>
      </c>
      <c r="AC87" s="536"/>
      <c r="AD87" s="536"/>
      <c r="AE87" s="536"/>
      <c r="AF87" s="536">
        <f t="shared" si="30"/>
        <v>0</v>
      </c>
      <c r="AG87" s="536"/>
      <c r="AH87" s="536"/>
      <c r="AI87" s="536"/>
      <c r="AJ87" s="536">
        <f t="shared" si="31"/>
        <v>0</v>
      </c>
      <c r="AK87" s="536"/>
      <c r="AL87" s="536"/>
      <c r="AM87" s="536"/>
      <c r="AN87" s="542">
        <f t="shared" si="32"/>
        <v>0</v>
      </c>
      <c r="AO87" s="536"/>
      <c r="AP87" s="536"/>
      <c r="AQ87" s="536"/>
      <c r="AR87" s="542">
        <f t="shared" si="33"/>
        <v>0</v>
      </c>
      <c r="AS87" s="536"/>
      <c r="AT87" s="536"/>
      <c r="AU87" s="536"/>
      <c r="AV87" s="542">
        <f t="shared" si="34"/>
        <v>0</v>
      </c>
      <c r="AW87" s="536"/>
      <c r="AX87" s="536"/>
      <c r="AY87" s="536"/>
      <c r="AZ87" s="542">
        <f t="shared" si="35"/>
        <v>0</v>
      </c>
      <c r="BA87" s="536"/>
      <c r="BB87" s="536"/>
      <c r="BC87" s="536"/>
      <c r="BD87" s="542">
        <f t="shared" si="36"/>
        <v>0</v>
      </c>
      <c r="BE87" s="536"/>
      <c r="BF87" s="536"/>
      <c r="BG87" s="536"/>
      <c r="BH87" s="542">
        <f t="shared" si="37"/>
        <v>0</v>
      </c>
      <c r="BI87" s="536"/>
      <c r="BJ87" s="536"/>
      <c r="BK87" s="536"/>
      <c r="BL87" s="542">
        <f t="shared" si="38"/>
        <v>0</v>
      </c>
      <c r="BM87" s="536"/>
      <c r="BN87" s="536"/>
      <c r="BO87" s="536"/>
      <c r="BP87" s="542">
        <f t="shared" si="39"/>
        <v>0</v>
      </c>
      <c r="BQ87" s="536"/>
      <c r="BR87" s="536"/>
      <c r="BS87" s="536"/>
      <c r="BT87" s="542">
        <f t="shared" si="40"/>
        <v>0</v>
      </c>
      <c r="BU87" s="536"/>
      <c r="BV87" s="536"/>
      <c r="BW87" s="536"/>
      <c r="BX87" s="542">
        <f t="shared" si="41"/>
        <v>0</v>
      </c>
      <c r="BY87" s="536"/>
      <c r="BZ87" s="536"/>
      <c r="CA87" s="536"/>
      <c r="CB87" s="542">
        <v>0</v>
      </c>
      <c r="CC87" s="536"/>
      <c r="CD87" s="536"/>
      <c r="CE87" s="536"/>
      <c r="CF87" s="541">
        <f t="shared" si="42"/>
        <v>0</v>
      </c>
      <c r="CG87" s="536"/>
      <c r="CH87" s="536"/>
      <c r="CI87" s="536"/>
      <c r="CJ87" s="541">
        <f t="shared" si="43"/>
        <v>0</v>
      </c>
      <c r="CK87" s="536"/>
      <c r="CL87" s="536"/>
      <c r="CM87" s="536"/>
      <c r="CN87" s="541">
        <f t="shared" si="44"/>
        <v>0</v>
      </c>
      <c r="CO87" s="536"/>
      <c r="CP87" s="536"/>
      <c r="CQ87" s="536"/>
      <c r="CR87" s="541">
        <f t="shared" si="45"/>
        <v>0</v>
      </c>
      <c r="CS87" s="536"/>
      <c r="CT87" s="536"/>
      <c r="CU87" s="536"/>
      <c r="CV87" s="541">
        <f t="shared" si="46"/>
        <v>0</v>
      </c>
      <c r="CW87" s="536"/>
      <c r="CX87" s="536"/>
      <c r="CY87" s="536"/>
      <c r="CZ87" s="541">
        <f t="shared" si="47"/>
        <v>0</v>
      </c>
      <c r="DA87" s="536"/>
      <c r="DB87" s="536"/>
      <c r="DC87" s="536"/>
      <c r="DD87" s="541">
        <f t="shared" si="48"/>
        <v>0</v>
      </c>
      <c r="DE87" s="536"/>
      <c r="DF87" s="536"/>
      <c r="DG87" s="536"/>
      <c r="DH87" s="541">
        <f t="shared" si="49"/>
        <v>0</v>
      </c>
      <c r="DI87" s="536"/>
      <c r="DJ87" s="536"/>
      <c r="DK87" s="536"/>
      <c r="DL87" s="541">
        <f t="shared" si="50"/>
        <v>0</v>
      </c>
      <c r="DM87" s="536"/>
      <c r="DN87" s="536"/>
      <c r="DO87" s="536"/>
      <c r="DP87" s="541">
        <f>IF( SUM((DJ87*(20/100))+(DK87*(30/100))+(DL87*(50/100))) &gt;=9.3,9.5,
IF(AND( SUM((DJ87*(20/100))+(DK87*(30/100))+(DL87*(50/100))) &lt;=9.3, SUM((DJ87*(20/100))+(DK87*(30/100))+(DL87*(50/100))) &gt;=8.8),9,
IF(AND( SUM((DJ87*(20/100))+(DK87*(30/100))+(DL87*(50/100))) &lt;=8.8, SUM((DJ87*(20/100))+(DK87*(30/100))+(DL87*(50/100))) &gt;=8.3),8.5,
IF(AND( SUM((DJ87*(20/100))+(DK87*(30/100))+(DL87*(50/100))) &lt;=8.3, SUM((DJ87*(20/100))+(DK87*(30/100))+(DL87*(50/100))) &gt;=7.8),8,
IF(AND( SUM((DJ87*(20/100))+(DK87*(30/100))+(DL87*(50/100))) &lt;=7.8, SUM((DJ87*(20/100))+(DK87*(30/100))+(DL87*(50/100))) &gt;=7.3),7.5,
IF(AND( SUM((DJ87*(20/100))+(DK87*(30/100))+(DL87*(50/100))) &lt;=7.3, SUM((DJ87*(20/100))+(DK87*(30/100))+(DL87*(50/100))) &gt;=6.8),7,
IF(AND( SUM((DJ87*(20/100))+(DK87*(30/100))+(DL87*(50/100))) &lt;=6.8, SUM((DJ87*(20/100))+(DK87*(30/100))+(DL87*(50/100))) &gt;=6.3),6.5,
IF(AND( SUM((DJ87*(20/100))+(DK87*(30/100))+(DL87*(50/100))) &lt;=6.3, SUM((DJ87*(20/100))+(DK87*(30/100))+(DL87*(50/100))) &gt;=5.8),6,
IF(AND( SUM((DJ87*(20/100))+(DK87*(30/100))+(DL87*(50/100))) &lt;=5.8, SUM((DJ87*(20/100))+(DK87*(30/100))+(DL87*(50/100))) &gt;=5.3),5.5,
IF(AND( SUM((DJ87*(20/100))+(DK87*(30/100))+(DL87*(50/100))) &lt;=5.3, SUM((DJ87*(20/100))+(DK87*(30/100))+(DL87*(50/100))) &gt;=4.8),5,
IF(AND( SUM((DJ87*(20/100))+(DK87*(30/100))+(DL87*(50/100))) &lt;=4.8, SUM((DJ87*(20/100))+(DK87*(30/100))+(DL87*(50/100))) &gt;=4.3),4.5,
IF(AND( SUM((DJ87*(20/100))+(DK87*(30/100))+(DL87*(50/100))) &lt;=4.3, SUM((DJ87*(20/100))+(DK87*(30/100))+(DL87*(50/100))) &gt;=3.8),4,
IF(AND( SUM((DJ87*(20/100))+(DK87*(30/100))+(DL87*(50/100))) &lt;=3.8, SUM((DJ87*(20/100))+(DK87*(30/100))+(DL87*(50/100))) &gt;=3.5),3.5,0)))))))))))))</f>
        <v>0</v>
      </c>
      <c r="DQ87" s="541"/>
      <c r="DR87" s="541"/>
      <c r="DS87" s="541"/>
      <c r="DT87" s="541"/>
      <c r="DU87" s="541"/>
      <c r="DV87" s="541"/>
      <c r="DW87" s="541"/>
      <c r="DX87" s="541"/>
      <c r="DY87" s="541"/>
      <c r="DZ87" s="541"/>
    </row>
    <row r="88" spans="2:130" ht="15" customHeight="1" x14ac:dyDescent="0.25">
      <c r="B88" s="334">
        <v>31</v>
      </c>
      <c r="C88" s="541"/>
      <c r="D88" s="334"/>
      <c r="E88" s="334"/>
      <c r="F88" s="334"/>
      <c r="G88" s="334"/>
      <c r="H88" s="334"/>
      <c r="I88" s="334"/>
      <c r="J88" s="536"/>
      <c r="K88" s="536"/>
      <c r="L88" s="536"/>
      <c r="M88" s="536"/>
      <c r="N88" s="536"/>
      <c r="O88" s="536"/>
      <c r="P88" s="536">
        <f t="shared" si="26"/>
        <v>0</v>
      </c>
      <c r="Q88" s="536"/>
      <c r="R88" s="536"/>
      <c r="S88" s="536"/>
      <c r="T88" s="536">
        <f t="shared" si="27"/>
        <v>0</v>
      </c>
      <c r="U88" s="536"/>
      <c r="V88" s="536"/>
      <c r="W88" s="536"/>
      <c r="X88" s="536">
        <f t="shared" si="28"/>
        <v>0</v>
      </c>
      <c r="Y88" s="536"/>
      <c r="Z88" s="536"/>
      <c r="AA88" s="536"/>
      <c r="AB88" s="536">
        <f t="shared" si="29"/>
        <v>0</v>
      </c>
      <c r="AC88" s="536"/>
      <c r="AD88" s="536"/>
      <c r="AE88" s="536"/>
      <c r="AF88" s="536">
        <f t="shared" si="30"/>
        <v>0</v>
      </c>
      <c r="AG88" s="536"/>
      <c r="AH88" s="536"/>
      <c r="AI88" s="536"/>
      <c r="AJ88" s="536">
        <f t="shared" si="31"/>
        <v>0</v>
      </c>
      <c r="AK88" s="536"/>
      <c r="AL88" s="536"/>
      <c r="AM88" s="536"/>
      <c r="AN88" s="542">
        <f t="shared" si="32"/>
        <v>0</v>
      </c>
      <c r="AO88" s="536"/>
      <c r="AP88" s="536"/>
      <c r="AQ88" s="536"/>
      <c r="AR88" s="542">
        <f t="shared" si="33"/>
        <v>0</v>
      </c>
      <c r="AS88" s="536"/>
      <c r="AT88" s="536"/>
      <c r="AU88" s="536"/>
      <c r="AV88" s="542">
        <f t="shared" si="34"/>
        <v>0</v>
      </c>
      <c r="AW88" s="536"/>
      <c r="AX88" s="536"/>
      <c r="AY88" s="536"/>
      <c r="AZ88" s="542">
        <f t="shared" si="35"/>
        <v>0</v>
      </c>
      <c r="BA88" s="536"/>
      <c r="BB88" s="536"/>
      <c r="BC88" s="536"/>
      <c r="BD88" s="542">
        <f t="shared" si="36"/>
        <v>0</v>
      </c>
      <c r="BE88" s="536"/>
      <c r="BF88" s="536"/>
      <c r="BG88" s="536"/>
      <c r="BH88" s="542">
        <f t="shared" si="37"/>
        <v>0</v>
      </c>
      <c r="BI88" s="536"/>
      <c r="BJ88" s="536"/>
      <c r="BK88" s="536"/>
      <c r="BL88" s="542">
        <f t="shared" si="38"/>
        <v>0</v>
      </c>
      <c r="BM88" s="536"/>
      <c r="BN88" s="536"/>
      <c r="BO88" s="536"/>
      <c r="BP88" s="542">
        <f t="shared" si="39"/>
        <v>0</v>
      </c>
      <c r="BQ88" s="536"/>
      <c r="BR88" s="536"/>
      <c r="BS88" s="536"/>
      <c r="BT88" s="542">
        <f t="shared" si="40"/>
        <v>0</v>
      </c>
      <c r="BU88" s="536"/>
      <c r="BV88" s="536"/>
      <c r="BW88" s="536"/>
      <c r="BX88" s="542">
        <f t="shared" si="41"/>
        <v>0</v>
      </c>
      <c r="BY88" s="536"/>
      <c r="BZ88" s="536"/>
      <c r="CA88" s="536"/>
      <c r="CB88" s="542">
        <v>0</v>
      </c>
      <c r="CC88" s="536"/>
      <c r="CD88" s="536"/>
      <c r="CE88" s="536"/>
      <c r="CF88" s="541">
        <f t="shared" si="42"/>
        <v>0</v>
      </c>
      <c r="CG88" s="536"/>
      <c r="CH88" s="536"/>
      <c r="CI88" s="536"/>
      <c r="CJ88" s="541">
        <f t="shared" si="43"/>
        <v>0</v>
      </c>
      <c r="CK88" s="536"/>
      <c r="CL88" s="536"/>
      <c r="CM88" s="536"/>
      <c r="CN88" s="541">
        <f t="shared" si="44"/>
        <v>0</v>
      </c>
      <c r="CO88" s="536"/>
      <c r="CP88" s="536"/>
      <c r="CQ88" s="536"/>
      <c r="CR88" s="541">
        <f t="shared" si="45"/>
        <v>0</v>
      </c>
      <c r="CS88" s="536"/>
      <c r="CT88" s="536"/>
      <c r="CU88" s="536"/>
      <c r="CV88" s="541">
        <f t="shared" si="46"/>
        <v>0</v>
      </c>
      <c r="CW88" s="536"/>
      <c r="CX88" s="536"/>
      <c r="CY88" s="536"/>
      <c r="CZ88" s="541">
        <f t="shared" si="47"/>
        <v>0</v>
      </c>
      <c r="DA88" s="536"/>
      <c r="DB88" s="536"/>
      <c r="DC88" s="536"/>
      <c r="DD88" s="541">
        <f t="shared" si="48"/>
        <v>0</v>
      </c>
      <c r="DE88" s="536"/>
      <c r="DF88" s="536"/>
      <c r="DG88" s="536"/>
      <c r="DH88" s="541">
        <f t="shared" si="49"/>
        <v>0</v>
      </c>
      <c r="DI88" s="536"/>
      <c r="DJ88" s="536"/>
      <c r="DK88" s="536"/>
      <c r="DL88" s="541">
        <f t="shared" si="50"/>
        <v>0</v>
      </c>
      <c r="DM88" s="536"/>
      <c r="DN88" s="536"/>
      <c r="DO88" s="536"/>
      <c r="DP88" s="541">
        <f>IF( SUM((DJ88*(20/100))+(DK88*(30/100))+(DL88*(50/100))) &gt;=9.3,9.5,
IF(AND( SUM((DJ88*(20/100))+(DK88*(30/100))+(DL88*(50/100))) &lt;=9.3, SUM((DJ88*(20/100))+(DK88*(30/100))+(DL88*(50/100))) &gt;=8.8),9,
IF(AND( SUM((DJ88*(20/100))+(DK88*(30/100))+(DL88*(50/100))) &lt;=8.8, SUM((DJ88*(20/100))+(DK88*(30/100))+(DL88*(50/100))) &gt;=8.3),8.5,
IF(AND( SUM((DJ88*(20/100))+(DK88*(30/100))+(DL88*(50/100))) &lt;=8.3, SUM((DJ88*(20/100))+(DK88*(30/100))+(DL88*(50/100))) &gt;=7.8),8,
IF(AND( SUM((DJ88*(20/100))+(DK88*(30/100))+(DL88*(50/100))) &lt;=7.8, SUM((DJ88*(20/100))+(DK88*(30/100))+(DL88*(50/100))) &gt;=7.3),7.5,
IF(AND( SUM((DJ88*(20/100))+(DK88*(30/100))+(DL88*(50/100))) &lt;=7.3, SUM((DJ88*(20/100))+(DK88*(30/100))+(DL88*(50/100))) &gt;=6.8),7,
IF(AND( SUM((DJ88*(20/100))+(DK88*(30/100))+(DL88*(50/100))) &lt;=6.8, SUM((DJ88*(20/100))+(DK88*(30/100))+(DL88*(50/100))) &gt;=6.3),6.5,
IF(AND( SUM((DJ88*(20/100))+(DK88*(30/100))+(DL88*(50/100))) &lt;=6.3, SUM((DJ88*(20/100))+(DK88*(30/100))+(DL88*(50/100))) &gt;=5.8),6,
IF(AND( SUM((DJ88*(20/100))+(DK88*(30/100))+(DL88*(50/100))) &lt;=5.8, SUM((DJ88*(20/100))+(DK88*(30/100))+(DL88*(50/100))) &gt;=5.3),5.5,
IF(AND( SUM((DJ88*(20/100))+(DK88*(30/100))+(DL88*(50/100))) &lt;=5.3, SUM((DJ88*(20/100))+(DK88*(30/100))+(DL88*(50/100))) &gt;=4.8),5,
IF(AND( SUM((DJ88*(20/100))+(DK88*(30/100))+(DL88*(50/100))) &lt;=4.8, SUM((DJ88*(20/100))+(DK88*(30/100))+(DL88*(50/100))) &gt;=4.3),4.5,
IF(AND( SUM((DJ88*(20/100))+(DK88*(30/100))+(DL88*(50/100))) &lt;=4.3, SUM((DJ88*(20/100))+(DK88*(30/100))+(DL88*(50/100))) &gt;=3.8),4,
IF(AND( SUM((DJ88*(20/100))+(DK88*(30/100))+(DL88*(50/100))) &lt;=3.8, SUM((DJ88*(20/100))+(DK88*(30/100))+(DL88*(50/100))) &gt;=3.5),3.5,0)))))))))))))</f>
        <v>0</v>
      </c>
      <c r="DQ88" s="541"/>
      <c r="DR88" s="541"/>
      <c r="DS88" s="541"/>
      <c r="DT88" s="541"/>
      <c r="DU88" s="541"/>
      <c r="DV88" s="541"/>
      <c r="DW88" s="541"/>
      <c r="DX88" s="541"/>
      <c r="DY88" s="541"/>
      <c r="DZ88" s="541"/>
    </row>
    <row r="89" spans="2:130" ht="15" customHeight="1" x14ac:dyDescent="0.25">
      <c r="B89" s="334">
        <v>32</v>
      </c>
      <c r="C89" s="541"/>
      <c r="D89" s="334"/>
      <c r="E89" s="334"/>
      <c r="F89" s="334"/>
      <c r="G89" s="334"/>
      <c r="H89" s="334"/>
      <c r="I89" s="334"/>
      <c r="J89" s="536"/>
      <c r="K89" s="536"/>
      <c r="L89" s="536"/>
      <c r="M89" s="536"/>
      <c r="N89" s="536"/>
      <c r="O89" s="536"/>
      <c r="P89" s="536">
        <f t="shared" si="26"/>
        <v>0</v>
      </c>
      <c r="Q89" s="536"/>
      <c r="R89" s="536"/>
      <c r="S89" s="536"/>
      <c r="T89" s="536">
        <f t="shared" si="27"/>
        <v>0</v>
      </c>
      <c r="U89" s="536"/>
      <c r="V89" s="536"/>
      <c r="W89" s="536"/>
      <c r="X89" s="536">
        <f t="shared" si="28"/>
        <v>0</v>
      </c>
      <c r="Y89" s="536"/>
      <c r="Z89" s="536"/>
      <c r="AA89" s="536"/>
      <c r="AB89" s="536">
        <f t="shared" si="29"/>
        <v>0</v>
      </c>
      <c r="AC89" s="536"/>
      <c r="AD89" s="536"/>
      <c r="AE89" s="536"/>
      <c r="AF89" s="536">
        <f t="shared" si="30"/>
        <v>0</v>
      </c>
      <c r="AG89" s="536"/>
      <c r="AH89" s="536"/>
      <c r="AI89" s="536"/>
      <c r="AJ89" s="536">
        <f t="shared" si="31"/>
        <v>0</v>
      </c>
      <c r="AK89" s="536"/>
      <c r="AL89" s="536"/>
      <c r="AM89" s="536"/>
      <c r="AN89" s="542">
        <f t="shared" si="32"/>
        <v>0</v>
      </c>
      <c r="AO89" s="536"/>
      <c r="AP89" s="536"/>
      <c r="AQ89" s="536"/>
      <c r="AR89" s="542">
        <f t="shared" si="33"/>
        <v>0</v>
      </c>
      <c r="AS89" s="536"/>
      <c r="AT89" s="536"/>
      <c r="AU89" s="536"/>
      <c r="AV89" s="542">
        <f t="shared" si="34"/>
        <v>0</v>
      </c>
      <c r="AW89" s="536"/>
      <c r="AX89" s="536"/>
      <c r="AY89" s="536"/>
      <c r="AZ89" s="542">
        <f t="shared" si="35"/>
        <v>0</v>
      </c>
      <c r="BA89" s="536"/>
      <c r="BB89" s="536"/>
      <c r="BC89" s="536"/>
      <c r="BD89" s="542">
        <f t="shared" si="36"/>
        <v>0</v>
      </c>
      <c r="BE89" s="536"/>
      <c r="BF89" s="536"/>
      <c r="BG89" s="536"/>
      <c r="BH89" s="542">
        <f t="shared" si="37"/>
        <v>0</v>
      </c>
      <c r="BI89" s="536"/>
      <c r="BJ89" s="536"/>
      <c r="BK89" s="536"/>
      <c r="BL89" s="542">
        <f t="shared" si="38"/>
        <v>0</v>
      </c>
      <c r="BM89" s="536"/>
      <c r="BN89" s="536"/>
      <c r="BO89" s="536"/>
      <c r="BP89" s="542">
        <f t="shared" si="39"/>
        <v>0</v>
      </c>
      <c r="BQ89" s="536"/>
      <c r="BR89" s="536"/>
      <c r="BS89" s="536"/>
      <c r="BT89" s="542">
        <f t="shared" si="40"/>
        <v>0</v>
      </c>
      <c r="BU89" s="536"/>
      <c r="BV89" s="536"/>
      <c r="BW89" s="536"/>
      <c r="BX89" s="542">
        <f t="shared" si="41"/>
        <v>0</v>
      </c>
      <c r="BY89" s="536"/>
      <c r="BZ89" s="536"/>
      <c r="CA89" s="536"/>
      <c r="CB89" s="542">
        <v>0</v>
      </c>
      <c r="CC89" s="536"/>
      <c r="CD89" s="536"/>
      <c r="CE89" s="536"/>
      <c r="CF89" s="541">
        <f t="shared" si="42"/>
        <v>0</v>
      </c>
      <c r="CG89" s="536"/>
      <c r="CH89" s="536"/>
      <c r="CI89" s="536"/>
      <c r="CJ89" s="541">
        <f t="shared" si="43"/>
        <v>0</v>
      </c>
      <c r="CK89" s="536"/>
      <c r="CL89" s="536"/>
      <c r="CM89" s="536"/>
      <c r="CN89" s="541">
        <f t="shared" si="44"/>
        <v>0</v>
      </c>
      <c r="CO89" s="536"/>
      <c r="CP89" s="536"/>
      <c r="CQ89" s="536"/>
      <c r="CR89" s="541">
        <f t="shared" si="45"/>
        <v>0</v>
      </c>
      <c r="CS89" s="536"/>
      <c r="CT89" s="536"/>
      <c r="CU89" s="536"/>
      <c r="CV89" s="541">
        <f t="shared" si="46"/>
        <v>0</v>
      </c>
      <c r="CW89" s="536"/>
      <c r="CX89" s="536"/>
      <c r="CY89" s="536"/>
      <c r="CZ89" s="541">
        <f t="shared" si="47"/>
        <v>0</v>
      </c>
      <c r="DA89" s="536"/>
      <c r="DB89" s="536"/>
      <c r="DC89" s="536"/>
      <c r="DD89" s="541">
        <f t="shared" si="48"/>
        <v>0</v>
      </c>
      <c r="DE89" s="536"/>
      <c r="DF89" s="536"/>
      <c r="DG89" s="536"/>
      <c r="DH89" s="541">
        <f t="shared" si="49"/>
        <v>0</v>
      </c>
      <c r="DI89" s="536"/>
      <c r="DJ89" s="536"/>
      <c r="DK89" s="536"/>
      <c r="DL89" s="541">
        <f t="shared" si="50"/>
        <v>0</v>
      </c>
      <c r="DM89" s="536"/>
      <c r="DN89" s="536"/>
      <c r="DO89" s="536"/>
      <c r="DP89" s="541">
        <f>IF( SUM((DJ89*(20/100))+(DK89*(30/100))+(DL89*(50/100))) &gt;=9.3,9.5,
IF(AND( SUM((DJ89*(20/100))+(DK89*(30/100))+(DL89*(50/100))) &lt;=9.3, SUM((DJ89*(20/100))+(DK89*(30/100))+(DL89*(50/100))) &gt;=8.8),9,
IF(AND( SUM((DJ89*(20/100))+(DK89*(30/100))+(DL89*(50/100))) &lt;=8.8, SUM((DJ89*(20/100))+(DK89*(30/100))+(DL89*(50/100))) &gt;=8.3),8.5,
IF(AND( SUM((DJ89*(20/100))+(DK89*(30/100))+(DL89*(50/100))) &lt;=8.3, SUM((DJ89*(20/100))+(DK89*(30/100))+(DL89*(50/100))) &gt;=7.8),8,
IF(AND( SUM((DJ89*(20/100))+(DK89*(30/100))+(DL89*(50/100))) &lt;=7.8, SUM((DJ89*(20/100))+(DK89*(30/100))+(DL89*(50/100))) &gt;=7.3),7.5,
IF(AND( SUM((DJ89*(20/100))+(DK89*(30/100))+(DL89*(50/100))) &lt;=7.3, SUM((DJ89*(20/100))+(DK89*(30/100))+(DL89*(50/100))) &gt;=6.8),7,
IF(AND( SUM((DJ89*(20/100))+(DK89*(30/100))+(DL89*(50/100))) &lt;=6.8, SUM((DJ89*(20/100))+(DK89*(30/100))+(DL89*(50/100))) &gt;=6.3),6.5,
IF(AND( SUM((DJ89*(20/100))+(DK89*(30/100))+(DL89*(50/100))) &lt;=6.3, SUM((DJ89*(20/100))+(DK89*(30/100))+(DL89*(50/100))) &gt;=5.8),6,
IF(AND( SUM((DJ89*(20/100))+(DK89*(30/100))+(DL89*(50/100))) &lt;=5.8, SUM((DJ89*(20/100))+(DK89*(30/100))+(DL89*(50/100))) &gt;=5.3),5.5,
IF(AND( SUM((DJ89*(20/100))+(DK89*(30/100))+(DL89*(50/100))) &lt;=5.3, SUM((DJ89*(20/100))+(DK89*(30/100))+(DL89*(50/100))) &gt;=4.8),5,
IF(AND( SUM((DJ89*(20/100))+(DK89*(30/100))+(DL89*(50/100))) &lt;=4.8, SUM((DJ89*(20/100))+(DK89*(30/100))+(DL89*(50/100))) &gt;=4.3),4.5,
IF(AND( SUM((DJ89*(20/100))+(DK89*(30/100))+(DL89*(50/100))) &lt;=4.3, SUM((DJ89*(20/100))+(DK89*(30/100))+(DL89*(50/100))) &gt;=3.8),4,
IF(AND( SUM((DJ89*(20/100))+(DK89*(30/100))+(DL89*(50/100))) &lt;=3.8, SUM((DJ89*(20/100))+(DK89*(30/100))+(DL89*(50/100))) &gt;=3.5),3.5,0)))))))))))))</f>
        <v>0</v>
      </c>
      <c r="DQ89" s="541"/>
      <c r="DR89" s="541"/>
      <c r="DS89" s="541"/>
      <c r="DT89" s="541"/>
      <c r="DU89" s="541"/>
      <c r="DV89" s="541"/>
      <c r="DW89" s="541"/>
      <c r="DX89" s="541"/>
      <c r="DY89" s="541"/>
      <c r="DZ89" s="541"/>
    </row>
    <row r="90" spans="2:130" ht="15" customHeight="1" x14ac:dyDescent="0.25">
      <c r="B90" s="334">
        <v>33</v>
      </c>
      <c r="C90" s="541"/>
      <c r="D90" s="334"/>
      <c r="E90" s="334"/>
      <c r="F90" s="334"/>
      <c r="G90" s="334"/>
      <c r="H90" s="334"/>
      <c r="I90" s="334"/>
      <c r="J90" s="536"/>
      <c r="K90" s="536"/>
      <c r="L90" s="536"/>
      <c r="M90" s="536"/>
      <c r="N90" s="536"/>
      <c r="O90" s="536"/>
      <c r="P90" s="536">
        <f t="shared" si="26"/>
        <v>0</v>
      </c>
      <c r="Q90" s="536"/>
      <c r="R90" s="536"/>
      <c r="S90" s="536"/>
      <c r="T90" s="536">
        <f t="shared" si="27"/>
        <v>0</v>
      </c>
      <c r="U90" s="536"/>
      <c r="V90" s="536"/>
      <c r="W90" s="536"/>
      <c r="X90" s="536">
        <f t="shared" si="28"/>
        <v>0</v>
      </c>
      <c r="Y90" s="536"/>
      <c r="Z90" s="536"/>
      <c r="AA90" s="536"/>
      <c r="AB90" s="536">
        <f t="shared" si="29"/>
        <v>0</v>
      </c>
      <c r="AC90" s="536"/>
      <c r="AD90" s="536"/>
      <c r="AE90" s="536"/>
      <c r="AF90" s="536">
        <f t="shared" si="30"/>
        <v>0</v>
      </c>
      <c r="AG90" s="536"/>
      <c r="AH90" s="536"/>
      <c r="AI90" s="536"/>
      <c r="AJ90" s="536">
        <f t="shared" si="31"/>
        <v>0</v>
      </c>
      <c r="AK90" s="536"/>
      <c r="AL90" s="536"/>
      <c r="AM90" s="536"/>
      <c r="AN90" s="542">
        <f t="shared" si="32"/>
        <v>0</v>
      </c>
      <c r="AO90" s="536"/>
      <c r="AP90" s="536"/>
      <c r="AQ90" s="536"/>
      <c r="AR90" s="542">
        <f t="shared" si="33"/>
        <v>0</v>
      </c>
      <c r="AS90" s="536"/>
      <c r="AT90" s="536"/>
      <c r="AU90" s="536"/>
      <c r="AV90" s="542">
        <f t="shared" si="34"/>
        <v>0</v>
      </c>
      <c r="AW90" s="536"/>
      <c r="AX90" s="536"/>
      <c r="AY90" s="536"/>
      <c r="AZ90" s="542">
        <f t="shared" si="35"/>
        <v>0</v>
      </c>
      <c r="BA90" s="536"/>
      <c r="BB90" s="536"/>
      <c r="BC90" s="536"/>
      <c r="BD90" s="542">
        <f t="shared" si="36"/>
        <v>0</v>
      </c>
      <c r="BE90" s="536"/>
      <c r="BF90" s="536"/>
      <c r="BG90" s="536"/>
      <c r="BH90" s="542">
        <f t="shared" si="37"/>
        <v>0</v>
      </c>
      <c r="BI90" s="536"/>
      <c r="BJ90" s="536"/>
      <c r="BK90" s="536"/>
      <c r="BL90" s="542">
        <f t="shared" si="38"/>
        <v>0</v>
      </c>
      <c r="BM90" s="536"/>
      <c r="BN90" s="536"/>
      <c r="BO90" s="536"/>
      <c r="BP90" s="542">
        <f t="shared" si="39"/>
        <v>0</v>
      </c>
      <c r="BQ90" s="536"/>
      <c r="BR90" s="536"/>
      <c r="BS90" s="536"/>
      <c r="BT90" s="542">
        <f t="shared" si="40"/>
        <v>0</v>
      </c>
      <c r="BU90" s="536"/>
      <c r="BV90" s="536"/>
      <c r="BW90" s="536"/>
      <c r="BX90" s="542">
        <f t="shared" si="41"/>
        <v>0</v>
      </c>
      <c r="BY90" s="536"/>
      <c r="BZ90" s="536"/>
      <c r="CA90" s="536"/>
      <c r="CB90" s="542">
        <v>0</v>
      </c>
      <c r="CC90" s="536"/>
      <c r="CD90" s="536"/>
      <c r="CE90" s="536"/>
      <c r="CF90" s="541">
        <f t="shared" si="42"/>
        <v>0</v>
      </c>
      <c r="CG90" s="536"/>
      <c r="CH90" s="536"/>
      <c r="CI90" s="536"/>
      <c r="CJ90" s="541">
        <f t="shared" si="43"/>
        <v>0</v>
      </c>
      <c r="CK90" s="536"/>
      <c r="CL90" s="536"/>
      <c r="CM90" s="536"/>
      <c r="CN90" s="541">
        <f t="shared" si="44"/>
        <v>0</v>
      </c>
      <c r="CO90" s="536"/>
      <c r="CP90" s="536"/>
      <c r="CQ90" s="536"/>
      <c r="CR90" s="541">
        <f t="shared" si="45"/>
        <v>0</v>
      </c>
      <c r="CS90" s="536"/>
      <c r="CT90" s="536"/>
      <c r="CU90" s="536"/>
      <c r="CV90" s="541">
        <f t="shared" si="46"/>
        <v>0</v>
      </c>
      <c r="CW90" s="536"/>
      <c r="CX90" s="536"/>
      <c r="CY90" s="536"/>
      <c r="CZ90" s="541">
        <f t="shared" si="47"/>
        <v>0</v>
      </c>
      <c r="DA90" s="536"/>
      <c r="DB90" s="536"/>
      <c r="DC90" s="536"/>
      <c r="DD90" s="541">
        <f t="shared" si="48"/>
        <v>0</v>
      </c>
      <c r="DE90" s="536"/>
      <c r="DF90" s="536"/>
      <c r="DG90" s="536"/>
      <c r="DH90" s="541">
        <f t="shared" si="49"/>
        <v>0</v>
      </c>
      <c r="DI90" s="536"/>
      <c r="DJ90" s="536"/>
      <c r="DK90" s="536"/>
      <c r="DL90" s="541">
        <f t="shared" si="50"/>
        <v>0</v>
      </c>
      <c r="DM90" s="536"/>
      <c r="DN90" s="536"/>
      <c r="DO90" s="536"/>
      <c r="DP90" s="541">
        <f>IF( SUM((DJ90*(20/100))+(DK90*(30/100))+(DL90*(50/100))) &gt;=9.3,9.5,
IF(AND( SUM((DJ90*(20/100))+(DK90*(30/100))+(DL90*(50/100))) &lt;=9.3, SUM((DJ90*(20/100))+(DK90*(30/100))+(DL90*(50/100))) &gt;=8.8),9,
IF(AND( SUM((DJ90*(20/100))+(DK90*(30/100))+(DL90*(50/100))) &lt;=8.8, SUM((DJ90*(20/100))+(DK90*(30/100))+(DL90*(50/100))) &gt;=8.3),8.5,
IF(AND( SUM((DJ90*(20/100))+(DK90*(30/100))+(DL90*(50/100))) &lt;=8.3, SUM((DJ90*(20/100))+(DK90*(30/100))+(DL90*(50/100))) &gt;=7.8),8,
IF(AND( SUM((DJ90*(20/100))+(DK90*(30/100))+(DL90*(50/100))) &lt;=7.8, SUM((DJ90*(20/100))+(DK90*(30/100))+(DL90*(50/100))) &gt;=7.3),7.5,
IF(AND( SUM((DJ90*(20/100))+(DK90*(30/100))+(DL90*(50/100))) &lt;=7.3, SUM((DJ90*(20/100))+(DK90*(30/100))+(DL90*(50/100))) &gt;=6.8),7,
IF(AND( SUM((DJ90*(20/100))+(DK90*(30/100))+(DL90*(50/100))) &lt;=6.8, SUM((DJ90*(20/100))+(DK90*(30/100))+(DL90*(50/100))) &gt;=6.3),6.5,
IF(AND( SUM((DJ90*(20/100))+(DK90*(30/100))+(DL90*(50/100))) &lt;=6.3, SUM((DJ90*(20/100))+(DK90*(30/100))+(DL90*(50/100))) &gt;=5.8),6,
IF(AND( SUM((DJ90*(20/100))+(DK90*(30/100))+(DL90*(50/100))) &lt;=5.8, SUM((DJ90*(20/100))+(DK90*(30/100))+(DL90*(50/100))) &gt;=5.3),5.5,
IF(AND( SUM((DJ90*(20/100))+(DK90*(30/100))+(DL90*(50/100))) &lt;=5.3, SUM((DJ90*(20/100))+(DK90*(30/100))+(DL90*(50/100))) &gt;=4.8),5,
IF(AND( SUM((DJ90*(20/100))+(DK90*(30/100))+(DL90*(50/100))) &lt;=4.8, SUM((DJ90*(20/100))+(DK90*(30/100))+(DL90*(50/100))) &gt;=4.3),4.5,
IF(AND( SUM((DJ90*(20/100))+(DK90*(30/100))+(DL90*(50/100))) &lt;=4.3, SUM((DJ90*(20/100))+(DK90*(30/100))+(DL90*(50/100))) &gt;=3.8),4,
IF(AND( SUM((DJ90*(20/100))+(DK90*(30/100))+(DL90*(50/100))) &lt;=3.8, SUM((DJ90*(20/100))+(DK90*(30/100))+(DL90*(50/100))) &gt;=3.5),3.5,0)))))))))))))</f>
        <v>0</v>
      </c>
      <c r="DQ90" s="541"/>
      <c r="DR90" s="541"/>
      <c r="DS90" s="541"/>
      <c r="DT90" s="541"/>
      <c r="DU90" s="541"/>
      <c r="DV90" s="541"/>
      <c r="DW90" s="541"/>
      <c r="DX90" s="541"/>
      <c r="DY90" s="541"/>
      <c r="DZ90" s="541"/>
    </row>
    <row r="91" spans="2:130" ht="15" customHeight="1" x14ac:dyDescent="0.25">
      <c r="B91" s="334">
        <v>34</v>
      </c>
      <c r="C91" s="541"/>
      <c r="D91" s="334"/>
      <c r="E91" s="334"/>
      <c r="F91" s="334"/>
      <c r="G91" s="334"/>
      <c r="H91" s="334"/>
      <c r="I91" s="334"/>
      <c r="J91" s="536"/>
      <c r="K91" s="536"/>
      <c r="L91" s="536"/>
      <c r="M91" s="536"/>
      <c r="N91" s="536"/>
      <c r="O91" s="536"/>
      <c r="P91" s="536">
        <f t="shared" si="26"/>
        <v>0</v>
      </c>
      <c r="Q91" s="536"/>
      <c r="R91" s="536"/>
      <c r="S91" s="536"/>
      <c r="T91" s="536">
        <f t="shared" si="27"/>
        <v>0</v>
      </c>
      <c r="U91" s="536"/>
      <c r="V91" s="536"/>
      <c r="W91" s="536"/>
      <c r="X91" s="536">
        <f t="shared" si="28"/>
        <v>0</v>
      </c>
      <c r="Y91" s="536"/>
      <c r="Z91" s="536"/>
      <c r="AA91" s="536"/>
      <c r="AB91" s="536">
        <f t="shared" si="29"/>
        <v>0</v>
      </c>
      <c r="AC91" s="536"/>
      <c r="AD91" s="536"/>
      <c r="AE91" s="536"/>
      <c r="AF91" s="536">
        <f t="shared" si="30"/>
        <v>0</v>
      </c>
      <c r="AG91" s="536"/>
      <c r="AH91" s="536"/>
      <c r="AI91" s="536"/>
      <c r="AJ91" s="536">
        <f t="shared" si="31"/>
        <v>0</v>
      </c>
      <c r="AK91" s="536"/>
      <c r="AL91" s="536"/>
      <c r="AM91" s="536"/>
      <c r="AN91" s="542">
        <f t="shared" si="32"/>
        <v>0</v>
      </c>
      <c r="AO91" s="536"/>
      <c r="AP91" s="536"/>
      <c r="AQ91" s="536"/>
      <c r="AR91" s="542">
        <f t="shared" si="33"/>
        <v>0</v>
      </c>
      <c r="AS91" s="536"/>
      <c r="AT91" s="536"/>
      <c r="AU91" s="536"/>
      <c r="AV91" s="542">
        <f t="shared" si="34"/>
        <v>0</v>
      </c>
      <c r="AW91" s="536"/>
      <c r="AX91" s="536"/>
      <c r="AY91" s="536"/>
      <c r="AZ91" s="542">
        <f t="shared" si="35"/>
        <v>0</v>
      </c>
      <c r="BA91" s="536"/>
      <c r="BB91" s="536"/>
      <c r="BC91" s="536"/>
      <c r="BD91" s="542">
        <f t="shared" si="36"/>
        <v>0</v>
      </c>
      <c r="BE91" s="536"/>
      <c r="BF91" s="536"/>
      <c r="BG91" s="536"/>
      <c r="BH91" s="542">
        <f t="shared" si="37"/>
        <v>0</v>
      </c>
      <c r="BI91" s="536"/>
      <c r="BJ91" s="536"/>
      <c r="BK91" s="536"/>
      <c r="BL91" s="542">
        <f t="shared" si="38"/>
        <v>0</v>
      </c>
      <c r="BM91" s="536"/>
      <c r="BN91" s="536"/>
      <c r="BO91" s="536"/>
      <c r="BP91" s="542">
        <f t="shared" si="39"/>
        <v>0</v>
      </c>
      <c r="BQ91" s="536"/>
      <c r="BR91" s="536"/>
      <c r="BS91" s="536"/>
      <c r="BT91" s="542">
        <f t="shared" si="40"/>
        <v>0</v>
      </c>
      <c r="BU91" s="536"/>
      <c r="BV91" s="536"/>
      <c r="BW91" s="536"/>
      <c r="BX91" s="542">
        <f t="shared" si="41"/>
        <v>0</v>
      </c>
      <c r="BY91" s="536"/>
      <c r="BZ91" s="536"/>
      <c r="CA91" s="536"/>
      <c r="CB91" s="542">
        <v>0</v>
      </c>
      <c r="CC91" s="536"/>
      <c r="CD91" s="536"/>
      <c r="CE91" s="536"/>
      <c r="CF91" s="541">
        <f t="shared" si="42"/>
        <v>0</v>
      </c>
      <c r="CG91" s="536"/>
      <c r="CH91" s="536"/>
      <c r="CI91" s="536"/>
      <c r="CJ91" s="541">
        <f t="shared" si="43"/>
        <v>0</v>
      </c>
      <c r="CK91" s="536"/>
      <c r="CL91" s="536"/>
      <c r="CM91" s="536"/>
      <c r="CN91" s="541">
        <f t="shared" si="44"/>
        <v>0</v>
      </c>
      <c r="CO91" s="536"/>
      <c r="CP91" s="536"/>
      <c r="CQ91" s="536"/>
      <c r="CR91" s="541">
        <f t="shared" si="45"/>
        <v>0</v>
      </c>
      <c r="CS91" s="536"/>
      <c r="CT91" s="536"/>
      <c r="CU91" s="536"/>
      <c r="CV91" s="541">
        <f t="shared" si="46"/>
        <v>0</v>
      </c>
      <c r="CW91" s="536"/>
      <c r="CX91" s="536"/>
      <c r="CY91" s="536"/>
      <c r="CZ91" s="541">
        <f t="shared" si="47"/>
        <v>0</v>
      </c>
      <c r="DA91" s="536"/>
      <c r="DB91" s="536"/>
      <c r="DC91" s="536"/>
      <c r="DD91" s="541">
        <f t="shared" si="48"/>
        <v>0</v>
      </c>
      <c r="DE91" s="536"/>
      <c r="DF91" s="536"/>
      <c r="DG91" s="536"/>
      <c r="DH91" s="541">
        <f t="shared" si="49"/>
        <v>0</v>
      </c>
      <c r="DI91" s="536"/>
      <c r="DJ91" s="536"/>
      <c r="DK91" s="536"/>
      <c r="DL91" s="541">
        <f t="shared" si="50"/>
        <v>0</v>
      </c>
      <c r="DM91" s="536"/>
      <c r="DN91" s="536"/>
      <c r="DO91" s="536"/>
      <c r="DP91" s="541">
        <f>IF( SUM((DJ91*(20/100))+(DK91*(30/100))+(DL91*(50/100))) &gt;=9.3,9.5,
IF(AND( SUM((DJ91*(20/100))+(DK91*(30/100))+(DL91*(50/100))) &lt;=9.3, SUM((DJ91*(20/100))+(DK91*(30/100))+(DL91*(50/100))) &gt;=8.8),9,
IF(AND( SUM((DJ91*(20/100))+(DK91*(30/100))+(DL91*(50/100))) &lt;=8.8, SUM((DJ91*(20/100))+(DK91*(30/100))+(DL91*(50/100))) &gt;=8.3),8.5,
IF(AND( SUM((DJ91*(20/100))+(DK91*(30/100))+(DL91*(50/100))) &lt;=8.3, SUM((DJ91*(20/100))+(DK91*(30/100))+(DL91*(50/100))) &gt;=7.8),8,
IF(AND( SUM((DJ91*(20/100))+(DK91*(30/100))+(DL91*(50/100))) &lt;=7.8, SUM((DJ91*(20/100))+(DK91*(30/100))+(DL91*(50/100))) &gt;=7.3),7.5,
IF(AND( SUM((DJ91*(20/100))+(DK91*(30/100))+(DL91*(50/100))) &lt;=7.3, SUM((DJ91*(20/100))+(DK91*(30/100))+(DL91*(50/100))) &gt;=6.8),7,
IF(AND( SUM((DJ91*(20/100))+(DK91*(30/100))+(DL91*(50/100))) &lt;=6.8, SUM((DJ91*(20/100))+(DK91*(30/100))+(DL91*(50/100))) &gt;=6.3),6.5,
IF(AND( SUM((DJ91*(20/100))+(DK91*(30/100))+(DL91*(50/100))) &lt;=6.3, SUM((DJ91*(20/100))+(DK91*(30/100))+(DL91*(50/100))) &gt;=5.8),6,
IF(AND( SUM((DJ91*(20/100))+(DK91*(30/100))+(DL91*(50/100))) &lt;=5.8, SUM((DJ91*(20/100))+(DK91*(30/100))+(DL91*(50/100))) &gt;=5.3),5.5,
IF(AND( SUM((DJ91*(20/100))+(DK91*(30/100))+(DL91*(50/100))) &lt;=5.3, SUM((DJ91*(20/100))+(DK91*(30/100))+(DL91*(50/100))) &gt;=4.8),5,
IF(AND( SUM((DJ91*(20/100))+(DK91*(30/100))+(DL91*(50/100))) &lt;=4.8, SUM((DJ91*(20/100))+(DK91*(30/100))+(DL91*(50/100))) &gt;=4.3),4.5,
IF(AND( SUM((DJ91*(20/100))+(DK91*(30/100))+(DL91*(50/100))) &lt;=4.3, SUM((DJ91*(20/100))+(DK91*(30/100))+(DL91*(50/100))) &gt;=3.8),4,
IF(AND( SUM((DJ91*(20/100))+(DK91*(30/100))+(DL91*(50/100))) &lt;=3.8, SUM((DJ91*(20/100))+(DK91*(30/100))+(DL91*(50/100))) &gt;=3.5),3.5,0)))))))))))))</f>
        <v>0</v>
      </c>
      <c r="DQ91" s="541"/>
      <c r="DR91" s="541"/>
      <c r="DS91" s="541"/>
      <c r="DT91" s="541"/>
      <c r="DU91" s="541"/>
      <c r="DV91" s="541"/>
      <c r="DW91" s="541"/>
      <c r="DX91" s="541"/>
      <c r="DY91" s="541"/>
      <c r="DZ91" s="541"/>
    </row>
    <row r="92" spans="2:130" ht="15" customHeight="1" x14ac:dyDescent="0.25">
      <c r="B92" s="334">
        <v>35</v>
      </c>
      <c r="C92" s="541"/>
      <c r="D92" s="334"/>
      <c r="E92" s="334"/>
      <c r="F92" s="334"/>
      <c r="G92" s="334"/>
      <c r="H92" s="334"/>
      <c r="I92" s="334"/>
      <c r="J92" s="536"/>
      <c r="K92" s="536"/>
      <c r="L92" s="536"/>
      <c r="M92" s="536"/>
      <c r="N92" s="536"/>
      <c r="O92" s="536"/>
      <c r="P92" s="536">
        <f t="shared" si="26"/>
        <v>0</v>
      </c>
      <c r="Q92" s="536"/>
      <c r="R92" s="536"/>
      <c r="S92" s="536"/>
      <c r="T92" s="536">
        <f t="shared" si="27"/>
        <v>0</v>
      </c>
      <c r="U92" s="536"/>
      <c r="V92" s="536"/>
      <c r="W92" s="536"/>
      <c r="X92" s="536">
        <f t="shared" si="28"/>
        <v>0</v>
      </c>
      <c r="Y92" s="536"/>
      <c r="Z92" s="536"/>
      <c r="AA92" s="536"/>
      <c r="AB92" s="536">
        <f t="shared" si="29"/>
        <v>0</v>
      </c>
      <c r="AC92" s="536"/>
      <c r="AD92" s="536"/>
      <c r="AE92" s="536"/>
      <c r="AF92" s="536">
        <f t="shared" si="30"/>
        <v>0</v>
      </c>
      <c r="AG92" s="536"/>
      <c r="AH92" s="536"/>
      <c r="AI92" s="536"/>
      <c r="AJ92" s="536">
        <f t="shared" si="31"/>
        <v>0</v>
      </c>
      <c r="AK92" s="536"/>
      <c r="AL92" s="536"/>
      <c r="AM92" s="536"/>
      <c r="AN92" s="542">
        <f t="shared" si="32"/>
        <v>0</v>
      </c>
      <c r="AO92" s="536"/>
      <c r="AP92" s="536"/>
      <c r="AQ92" s="536"/>
      <c r="AR92" s="542">
        <f t="shared" si="33"/>
        <v>0</v>
      </c>
      <c r="AS92" s="536"/>
      <c r="AT92" s="536"/>
      <c r="AU92" s="536"/>
      <c r="AV92" s="542">
        <f t="shared" si="34"/>
        <v>0</v>
      </c>
      <c r="AW92" s="536"/>
      <c r="AX92" s="536"/>
      <c r="AY92" s="536"/>
      <c r="AZ92" s="542">
        <f t="shared" si="35"/>
        <v>0</v>
      </c>
      <c r="BA92" s="536"/>
      <c r="BB92" s="536"/>
      <c r="BC92" s="536"/>
      <c r="BD92" s="542">
        <f t="shared" si="36"/>
        <v>0</v>
      </c>
      <c r="BE92" s="536"/>
      <c r="BF92" s="536"/>
      <c r="BG92" s="536"/>
      <c r="BH92" s="542">
        <f t="shared" si="37"/>
        <v>0</v>
      </c>
      <c r="BI92" s="536"/>
      <c r="BJ92" s="536"/>
      <c r="BK92" s="536"/>
      <c r="BL92" s="542">
        <f t="shared" si="38"/>
        <v>0</v>
      </c>
      <c r="BM92" s="536"/>
      <c r="BN92" s="536"/>
      <c r="BO92" s="536"/>
      <c r="BP92" s="542">
        <f t="shared" si="39"/>
        <v>0</v>
      </c>
      <c r="BQ92" s="536"/>
      <c r="BR92" s="536"/>
      <c r="BS92" s="536"/>
      <c r="BT92" s="542">
        <f t="shared" si="40"/>
        <v>0</v>
      </c>
      <c r="BU92" s="536"/>
      <c r="BV92" s="536"/>
      <c r="BW92" s="536"/>
      <c r="BX92" s="542">
        <f t="shared" si="41"/>
        <v>0</v>
      </c>
      <c r="BY92" s="536"/>
      <c r="BZ92" s="536"/>
      <c r="CA92" s="536"/>
      <c r="CB92" s="542">
        <v>0</v>
      </c>
      <c r="CC92" s="536"/>
      <c r="CD92" s="536"/>
      <c r="CE92" s="536"/>
      <c r="CF92" s="541">
        <f t="shared" si="42"/>
        <v>0</v>
      </c>
      <c r="CG92" s="536"/>
      <c r="CH92" s="536"/>
      <c r="CI92" s="536"/>
      <c r="CJ92" s="541">
        <f t="shared" si="43"/>
        <v>0</v>
      </c>
      <c r="CK92" s="536"/>
      <c r="CL92" s="536"/>
      <c r="CM92" s="536"/>
      <c r="CN92" s="541">
        <f t="shared" si="44"/>
        <v>0</v>
      </c>
      <c r="CO92" s="536"/>
      <c r="CP92" s="536"/>
      <c r="CQ92" s="536"/>
      <c r="CR92" s="541">
        <f t="shared" si="45"/>
        <v>0</v>
      </c>
      <c r="CS92" s="536"/>
      <c r="CT92" s="536"/>
      <c r="CU92" s="536"/>
      <c r="CV92" s="541">
        <f t="shared" si="46"/>
        <v>0</v>
      </c>
      <c r="CW92" s="536"/>
      <c r="CX92" s="536"/>
      <c r="CY92" s="536"/>
      <c r="CZ92" s="541">
        <f t="shared" si="47"/>
        <v>0</v>
      </c>
      <c r="DA92" s="536"/>
      <c r="DB92" s="536"/>
      <c r="DC92" s="536"/>
      <c r="DD92" s="541">
        <f t="shared" si="48"/>
        <v>0</v>
      </c>
      <c r="DE92" s="536"/>
      <c r="DF92" s="536"/>
      <c r="DG92" s="536"/>
      <c r="DH92" s="541">
        <f t="shared" si="49"/>
        <v>0</v>
      </c>
      <c r="DI92" s="536"/>
      <c r="DJ92" s="536"/>
      <c r="DK92" s="536"/>
      <c r="DL92" s="541">
        <f t="shared" si="50"/>
        <v>0</v>
      </c>
      <c r="DM92" s="536"/>
      <c r="DN92" s="536"/>
      <c r="DO92" s="536"/>
      <c r="DP92" s="541">
        <f>IF( SUM((DJ92*(20/100))+(DK92*(30/100))+(DL92*(50/100))) &gt;=9.3,9.5,
IF(AND( SUM((DJ92*(20/100))+(DK92*(30/100))+(DL92*(50/100))) &lt;=9.3, SUM((DJ92*(20/100))+(DK92*(30/100))+(DL92*(50/100))) &gt;=8.8),9,
IF(AND( SUM((DJ92*(20/100))+(DK92*(30/100))+(DL92*(50/100))) &lt;=8.8, SUM((DJ92*(20/100))+(DK92*(30/100))+(DL92*(50/100))) &gt;=8.3),8.5,
IF(AND( SUM((DJ92*(20/100))+(DK92*(30/100))+(DL92*(50/100))) &lt;=8.3, SUM((DJ92*(20/100))+(DK92*(30/100))+(DL92*(50/100))) &gt;=7.8),8,
IF(AND( SUM((DJ92*(20/100))+(DK92*(30/100))+(DL92*(50/100))) &lt;=7.8, SUM((DJ92*(20/100))+(DK92*(30/100))+(DL92*(50/100))) &gt;=7.3),7.5,
IF(AND( SUM((DJ92*(20/100))+(DK92*(30/100))+(DL92*(50/100))) &lt;=7.3, SUM((DJ92*(20/100))+(DK92*(30/100))+(DL92*(50/100))) &gt;=6.8),7,
IF(AND( SUM((DJ92*(20/100))+(DK92*(30/100))+(DL92*(50/100))) &lt;=6.8, SUM((DJ92*(20/100))+(DK92*(30/100))+(DL92*(50/100))) &gt;=6.3),6.5,
IF(AND( SUM((DJ92*(20/100))+(DK92*(30/100))+(DL92*(50/100))) &lt;=6.3, SUM((DJ92*(20/100))+(DK92*(30/100))+(DL92*(50/100))) &gt;=5.8),6,
IF(AND( SUM((DJ92*(20/100))+(DK92*(30/100))+(DL92*(50/100))) &lt;=5.8, SUM((DJ92*(20/100))+(DK92*(30/100))+(DL92*(50/100))) &gt;=5.3),5.5,
IF(AND( SUM((DJ92*(20/100))+(DK92*(30/100))+(DL92*(50/100))) &lt;=5.3, SUM((DJ92*(20/100))+(DK92*(30/100))+(DL92*(50/100))) &gt;=4.8),5,
IF(AND( SUM((DJ92*(20/100))+(DK92*(30/100))+(DL92*(50/100))) &lt;=4.8, SUM((DJ92*(20/100))+(DK92*(30/100))+(DL92*(50/100))) &gt;=4.3),4.5,
IF(AND( SUM((DJ92*(20/100))+(DK92*(30/100))+(DL92*(50/100))) &lt;=4.3, SUM((DJ92*(20/100))+(DK92*(30/100))+(DL92*(50/100))) &gt;=3.8),4,
IF(AND( SUM((DJ92*(20/100))+(DK92*(30/100))+(DL92*(50/100))) &lt;=3.8, SUM((DJ92*(20/100))+(DK92*(30/100))+(DL92*(50/100))) &gt;=3.5),3.5,0)))))))))))))</f>
        <v>0</v>
      </c>
      <c r="DQ92" s="541"/>
      <c r="DR92" s="541"/>
      <c r="DS92" s="541"/>
      <c r="DT92" s="541"/>
      <c r="DU92" s="541"/>
      <c r="DV92" s="541"/>
      <c r="DW92" s="541"/>
      <c r="DX92" s="541"/>
      <c r="DY92" s="541"/>
      <c r="DZ92" s="541"/>
    </row>
    <row r="93" spans="2:130" ht="15" customHeight="1" x14ac:dyDescent="0.25">
      <c r="B93" s="334">
        <v>36</v>
      </c>
      <c r="C93" s="541"/>
      <c r="D93" s="334"/>
      <c r="E93" s="334"/>
      <c r="F93" s="334"/>
      <c r="G93" s="334"/>
      <c r="H93" s="334"/>
      <c r="I93" s="334"/>
      <c r="J93" s="536"/>
      <c r="K93" s="536"/>
      <c r="L93" s="536"/>
      <c r="M93" s="536"/>
      <c r="N93" s="536"/>
      <c r="O93" s="536"/>
      <c r="P93" s="536">
        <f t="shared" si="26"/>
        <v>0</v>
      </c>
      <c r="Q93" s="536"/>
      <c r="R93" s="536"/>
      <c r="S93" s="536"/>
      <c r="T93" s="536">
        <f t="shared" si="27"/>
        <v>0</v>
      </c>
      <c r="U93" s="536"/>
      <c r="V93" s="536"/>
      <c r="W93" s="536"/>
      <c r="X93" s="536">
        <f t="shared" si="28"/>
        <v>0</v>
      </c>
      <c r="Y93" s="536"/>
      <c r="Z93" s="536"/>
      <c r="AA93" s="536"/>
      <c r="AB93" s="536">
        <f t="shared" si="29"/>
        <v>0</v>
      </c>
      <c r="AC93" s="536"/>
      <c r="AD93" s="536"/>
      <c r="AE93" s="536"/>
      <c r="AF93" s="536">
        <f t="shared" si="30"/>
        <v>0</v>
      </c>
      <c r="AG93" s="536"/>
      <c r="AH93" s="536"/>
      <c r="AI93" s="536"/>
      <c r="AJ93" s="536">
        <f t="shared" si="31"/>
        <v>0</v>
      </c>
      <c r="AK93" s="536"/>
      <c r="AL93" s="536"/>
      <c r="AM93" s="536"/>
      <c r="AN93" s="542">
        <f t="shared" si="32"/>
        <v>0</v>
      </c>
      <c r="AO93" s="536"/>
      <c r="AP93" s="536"/>
      <c r="AQ93" s="536"/>
      <c r="AR93" s="542">
        <f t="shared" si="33"/>
        <v>0</v>
      </c>
      <c r="AS93" s="536"/>
      <c r="AT93" s="536"/>
      <c r="AU93" s="536"/>
      <c r="AV93" s="542">
        <f t="shared" si="34"/>
        <v>0</v>
      </c>
      <c r="AW93" s="536"/>
      <c r="AX93" s="536"/>
      <c r="AY93" s="536"/>
      <c r="AZ93" s="542">
        <f t="shared" si="35"/>
        <v>0</v>
      </c>
      <c r="BA93" s="536"/>
      <c r="BB93" s="536"/>
      <c r="BC93" s="536"/>
      <c r="BD93" s="542">
        <f t="shared" si="36"/>
        <v>0</v>
      </c>
      <c r="BE93" s="536"/>
      <c r="BF93" s="536"/>
      <c r="BG93" s="536"/>
      <c r="BH93" s="542">
        <f t="shared" si="37"/>
        <v>0</v>
      </c>
      <c r="BI93" s="536"/>
      <c r="BJ93" s="536"/>
      <c r="BK93" s="536"/>
      <c r="BL93" s="542">
        <f t="shared" si="38"/>
        <v>0</v>
      </c>
      <c r="BM93" s="536"/>
      <c r="BN93" s="536"/>
      <c r="BO93" s="536"/>
      <c r="BP93" s="542">
        <f t="shared" si="39"/>
        <v>0</v>
      </c>
      <c r="BQ93" s="536"/>
      <c r="BR93" s="536"/>
      <c r="BS93" s="536"/>
      <c r="BT93" s="542">
        <f t="shared" si="40"/>
        <v>0</v>
      </c>
      <c r="BU93" s="536"/>
      <c r="BV93" s="536"/>
      <c r="BW93" s="536"/>
      <c r="BX93" s="542">
        <f t="shared" si="41"/>
        <v>0</v>
      </c>
      <c r="BY93" s="536"/>
      <c r="BZ93" s="536"/>
      <c r="CA93" s="536"/>
      <c r="CB93" s="542">
        <v>0</v>
      </c>
      <c r="CC93" s="536"/>
      <c r="CD93" s="536"/>
      <c r="CE93" s="536"/>
      <c r="CF93" s="541">
        <f t="shared" si="42"/>
        <v>0</v>
      </c>
      <c r="CG93" s="536"/>
      <c r="CH93" s="536"/>
      <c r="CI93" s="536"/>
      <c r="CJ93" s="541">
        <f t="shared" si="43"/>
        <v>0</v>
      </c>
      <c r="CK93" s="536"/>
      <c r="CL93" s="536"/>
      <c r="CM93" s="536"/>
      <c r="CN93" s="541">
        <f t="shared" si="44"/>
        <v>0</v>
      </c>
      <c r="CO93" s="536"/>
      <c r="CP93" s="536"/>
      <c r="CQ93" s="536"/>
      <c r="CR93" s="541">
        <f t="shared" si="45"/>
        <v>0</v>
      </c>
      <c r="CS93" s="536"/>
      <c r="CT93" s="536"/>
      <c r="CU93" s="536"/>
      <c r="CV93" s="541">
        <f t="shared" si="46"/>
        <v>0</v>
      </c>
      <c r="CW93" s="536"/>
      <c r="CX93" s="536"/>
      <c r="CY93" s="536"/>
      <c r="CZ93" s="541">
        <f t="shared" si="47"/>
        <v>0</v>
      </c>
      <c r="DA93" s="536"/>
      <c r="DB93" s="536"/>
      <c r="DC93" s="536"/>
      <c r="DD93" s="541">
        <f t="shared" si="48"/>
        <v>0</v>
      </c>
      <c r="DE93" s="536"/>
      <c r="DF93" s="536"/>
      <c r="DG93" s="536"/>
      <c r="DH93" s="541">
        <f t="shared" si="49"/>
        <v>0</v>
      </c>
      <c r="DI93" s="536"/>
      <c r="DJ93" s="536"/>
      <c r="DK93" s="536"/>
      <c r="DL93" s="541">
        <f t="shared" si="50"/>
        <v>0</v>
      </c>
      <c r="DM93" s="536"/>
      <c r="DN93" s="536"/>
      <c r="DO93" s="536"/>
      <c r="DP93" s="541">
        <f>IF( SUM((DJ93*(20/100))+(DK93*(30/100))+(DL93*(50/100))) &gt;=9.3,9.5,
IF(AND( SUM((DJ93*(20/100))+(DK93*(30/100))+(DL93*(50/100))) &lt;=9.3, SUM((DJ93*(20/100))+(DK93*(30/100))+(DL93*(50/100))) &gt;=8.8),9,
IF(AND( SUM((DJ93*(20/100))+(DK93*(30/100))+(DL93*(50/100))) &lt;=8.8, SUM((DJ93*(20/100))+(DK93*(30/100))+(DL93*(50/100))) &gt;=8.3),8.5,
IF(AND( SUM((DJ93*(20/100))+(DK93*(30/100))+(DL93*(50/100))) &lt;=8.3, SUM((DJ93*(20/100))+(DK93*(30/100))+(DL93*(50/100))) &gt;=7.8),8,
IF(AND( SUM((DJ93*(20/100))+(DK93*(30/100))+(DL93*(50/100))) &lt;=7.8, SUM((DJ93*(20/100))+(DK93*(30/100))+(DL93*(50/100))) &gt;=7.3),7.5,
IF(AND( SUM((DJ93*(20/100))+(DK93*(30/100))+(DL93*(50/100))) &lt;=7.3, SUM((DJ93*(20/100))+(DK93*(30/100))+(DL93*(50/100))) &gt;=6.8),7,
IF(AND( SUM((DJ93*(20/100))+(DK93*(30/100))+(DL93*(50/100))) &lt;=6.8, SUM((DJ93*(20/100))+(DK93*(30/100))+(DL93*(50/100))) &gt;=6.3),6.5,
IF(AND( SUM((DJ93*(20/100))+(DK93*(30/100))+(DL93*(50/100))) &lt;=6.3, SUM((DJ93*(20/100))+(DK93*(30/100))+(DL93*(50/100))) &gt;=5.8),6,
IF(AND( SUM((DJ93*(20/100))+(DK93*(30/100))+(DL93*(50/100))) &lt;=5.8, SUM((DJ93*(20/100))+(DK93*(30/100))+(DL93*(50/100))) &gt;=5.3),5.5,
IF(AND( SUM((DJ93*(20/100))+(DK93*(30/100))+(DL93*(50/100))) &lt;=5.3, SUM((DJ93*(20/100))+(DK93*(30/100))+(DL93*(50/100))) &gt;=4.8),5,
IF(AND( SUM((DJ93*(20/100))+(DK93*(30/100))+(DL93*(50/100))) &lt;=4.8, SUM((DJ93*(20/100))+(DK93*(30/100))+(DL93*(50/100))) &gt;=4.3),4.5,
IF(AND( SUM((DJ93*(20/100))+(DK93*(30/100))+(DL93*(50/100))) &lt;=4.3, SUM((DJ93*(20/100))+(DK93*(30/100))+(DL93*(50/100))) &gt;=3.8),4,
IF(AND( SUM((DJ93*(20/100))+(DK93*(30/100))+(DL93*(50/100))) &lt;=3.8, SUM((DJ93*(20/100))+(DK93*(30/100))+(DL93*(50/100))) &gt;=3.5),3.5,0)))))))))))))</f>
        <v>0</v>
      </c>
      <c r="DQ93" s="541"/>
      <c r="DR93" s="541"/>
      <c r="DS93" s="541"/>
      <c r="DT93" s="541"/>
      <c r="DU93" s="541"/>
      <c r="DV93" s="541"/>
      <c r="DW93" s="541"/>
      <c r="DX93" s="541"/>
      <c r="DY93" s="541"/>
      <c r="DZ93" s="541"/>
    </row>
    <row r="94" spans="2:130" x14ac:dyDescent="0.25">
      <c r="B94" s="334">
        <v>37</v>
      </c>
      <c r="C94" s="541"/>
      <c r="D94" s="334"/>
      <c r="E94" s="334"/>
      <c r="F94" s="334"/>
      <c r="G94" s="334"/>
      <c r="H94" s="334"/>
      <c r="I94" s="334"/>
      <c r="J94" s="536"/>
      <c r="K94" s="536"/>
      <c r="L94" s="536"/>
      <c r="M94" s="536"/>
      <c r="N94" s="536"/>
      <c r="O94" s="536"/>
      <c r="P94" s="536">
        <f t="shared" si="26"/>
        <v>0</v>
      </c>
      <c r="Q94" s="536"/>
      <c r="R94" s="536"/>
      <c r="S94" s="536"/>
      <c r="T94" s="536">
        <f t="shared" si="27"/>
        <v>0</v>
      </c>
      <c r="U94" s="536"/>
      <c r="V94" s="536"/>
      <c r="W94" s="536"/>
      <c r="X94" s="536">
        <f t="shared" si="28"/>
        <v>0</v>
      </c>
      <c r="Y94" s="536"/>
      <c r="Z94" s="536"/>
      <c r="AA94" s="536"/>
      <c r="AB94" s="536">
        <f t="shared" si="29"/>
        <v>0</v>
      </c>
      <c r="AC94" s="536"/>
      <c r="AD94" s="536"/>
      <c r="AE94" s="536"/>
      <c r="AF94" s="536">
        <f t="shared" si="30"/>
        <v>0</v>
      </c>
      <c r="AG94" s="536"/>
      <c r="AH94" s="536"/>
      <c r="AI94" s="536"/>
      <c r="AJ94" s="536">
        <f t="shared" si="31"/>
        <v>0</v>
      </c>
      <c r="AK94" s="536"/>
      <c r="AL94" s="536"/>
      <c r="AM94" s="536"/>
      <c r="AN94" s="542">
        <f t="shared" si="32"/>
        <v>0</v>
      </c>
      <c r="AO94" s="536"/>
      <c r="AP94" s="536"/>
      <c r="AQ94" s="536"/>
      <c r="AR94" s="542">
        <f t="shared" si="33"/>
        <v>0</v>
      </c>
      <c r="AS94" s="536"/>
      <c r="AT94" s="536"/>
      <c r="AU94" s="536"/>
      <c r="AV94" s="542">
        <f t="shared" si="34"/>
        <v>0</v>
      </c>
      <c r="AW94" s="536"/>
      <c r="AX94" s="536"/>
      <c r="AY94" s="536"/>
      <c r="AZ94" s="542">
        <f t="shared" si="35"/>
        <v>0</v>
      </c>
      <c r="BA94" s="536"/>
      <c r="BB94" s="536"/>
      <c r="BC94" s="536"/>
      <c r="BD94" s="542">
        <f t="shared" si="36"/>
        <v>0</v>
      </c>
      <c r="BE94" s="536"/>
      <c r="BF94" s="536"/>
      <c r="BG94" s="536"/>
      <c r="BH94" s="542">
        <f t="shared" si="37"/>
        <v>0</v>
      </c>
      <c r="BI94" s="536"/>
      <c r="BJ94" s="536"/>
      <c r="BK94" s="536"/>
      <c r="BL94" s="542">
        <f t="shared" si="38"/>
        <v>0</v>
      </c>
      <c r="BM94" s="536"/>
      <c r="BN94" s="536"/>
      <c r="BO94" s="536"/>
      <c r="BP94" s="542">
        <f t="shared" si="39"/>
        <v>0</v>
      </c>
      <c r="BQ94" s="536"/>
      <c r="BR94" s="536"/>
      <c r="BS94" s="536"/>
      <c r="BT94" s="542">
        <f t="shared" si="40"/>
        <v>0</v>
      </c>
      <c r="BU94" s="536"/>
      <c r="BV94" s="536"/>
      <c r="BW94" s="536"/>
      <c r="BX94" s="542">
        <f t="shared" si="41"/>
        <v>0</v>
      </c>
      <c r="BY94" s="536"/>
      <c r="BZ94" s="536"/>
      <c r="CA94" s="536"/>
      <c r="CB94" s="542">
        <v>0</v>
      </c>
      <c r="CC94" s="536"/>
      <c r="CD94" s="536"/>
      <c r="CE94" s="536"/>
      <c r="CF94" s="541">
        <f t="shared" si="42"/>
        <v>0</v>
      </c>
      <c r="CG94" s="536"/>
      <c r="CH94" s="536"/>
      <c r="CI94" s="536"/>
      <c r="CJ94" s="541">
        <f t="shared" si="43"/>
        <v>0</v>
      </c>
      <c r="CK94" s="536"/>
      <c r="CL94" s="536"/>
      <c r="CM94" s="536"/>
      <c r="CN94" s="541">
        <f t="shared" si="44"/>
        <v>0</v>
      </c>
      <c r="CO94" s="536"/>
      <c r="CP94" s="536"/>
      <c r="CQ94" s="536"/>
      <c r="CR94" s="541">
        <f t="shared" si="45"/>
        <v>0</v>
      </c>
      <c r="CS94" s="536"/>
      <c r="CT94" s="536"/>
      <c r="CU94" s="536"/>
      <c r="CV94" s="541">
        <f t="shared" si="46"/>
        <v>0</v>
      </c>
      <c r="CW94" s="536"/>
      <c r="CX94" s="536"/>
      <c r="CY94" s="536"/>
      <c r="CZ94" s="541">
        <f t="shared" si="47"/>
        <v>0</v>
      </c>
      <c r="DA94" s="536"/>
      <c r="DB94" s="536"/>
      <c r="DC94" s="536"/>
      <c r="DD94" s="541">
        <f t="shared" si="48"/>
        <v>0</v>
      </c>
      <c r="DE94" s="536"/>
      <c r="DF94" s="536"/>
      <c r="DG94" s="536"/>
      <c r="DH94" s="541">
        <f t="shared" si="49"/>
        <v>0</v>
      </c>
      <c r="DI94" s="536"/>
      <c r="DJ94" s="536"/>
      <c r="DK94" s="536"/>
      <c r="DL94" s="541">
        <f t="shared" si="50"/>
        <v>0</v>
      </c>
      <c r="DM94" s="536"/>
      <c r="DN94" s="536"/>
      <c r="DO94" s="536"/>
      <c r="DP94" s="541">
        <f>IF( SUM((DJ94*(20/100))+(DK94*(30/100))+(DL94*(50/100))) &gt;=9.3,9.5,
IF(AND( SUM((DJ94*(20/100))+(DK94*(30/100))+(DL94*(50/100))) &lt;=9.3, SUM((DJ94*(20/100))+(DK94*(30/100))+(DL94*(50/100))) &gt;=8.8),9,
IF(AND( SUM((DJ94*(20/100))+(DK94*(30/100))+(DL94*(50/100))) &lt;=8.8, SUM((DJ94*(20/100))+(DK94*(30/100))+(DL94*(50/100))) &gt;=8.3),8.5,
IF(AND( SUM((DJ94*(20/100))+(DK94*(30/100))+(DL94*(50/100))) &lt;=8.3, SUM((DJ94*(20/100))+(DK94*(30/100))+(DL94*(50/100))) &gt;=7.8),8,
IF(AND( SUM((DJ94*(20/100))+(DK94*(30/100))+(DL94*(50/100))) &lt;=7.8, SUM((DJ94*(20/100))+(DK94*(30/100))+(DL94*(50/100))) &gt;=7.3),7.5,
IF(AND( SUM((DJ94*(20/100))+(DK94*(30/100))+(DL94*(50/100))) &lt;=7.3, SUM((DJ94*(20/100))+(DK94*(30/100))+(DL94*(50/100))) &gt;=6.8),7,
IF(AND( SUM((DJ94*(20/100))+(DK94*(30/100))+(DL94*(50/100))) &lt;=6.8, SUM((DJ94*(20/100))+(DK94*(30/100))+(DL94*(50/100))) &gt;=6.3),6.5,
IF(AND( SUM((DJ94*(20/100))+(DK94*(30/100))+(DL94*(50/100))) &lt;=6.3, SUM((DJ94*(20/100))+(DK94*(30/100))+(DL94*(50/100))) &gt;=5.8),6,
IF(AND( SUM((DJ94*(20/100))+(DK94*(30/100))+(DL94*(50/100))) &lt;=5.8, SUM((DJ94*(20/100))+(DK94*(30/100))+(DL94*(50/100))) &gt;=5.3),5.5,
IF(AND( SUM((DJ94*(20/100))+(DK94*(30/100))+(DL94*(50/100))) &lt;=5.3, SUM((DJ94*(20/100))+(DK94*(30/100))+(DL94*(50/100))) &gt;=4.8),5,
IF(AND( SUM((DJ94*(20/100))+(DK94*(30/100))+(DL94*(50/100))) &lt;=4.8, SUM((DJ94*(20/100))+(DK94*(30/100))+(DL94*(50/100))) &gt;=4.3),4.5,
IF(AND( SUM((DJ94*(20/100))+(DK94*(30/100))+(DL94*(50/100))) &lt;=4.3, SUM((DJ94*(20/100))+(DK94*(30/100))+(DL94*(50/100))) &gt;=3.8),4,
IF(AND( SUM((DJ94*(20/100))+(DK94*(30/100))+(DL94*(50/100))) &lt;=3.8, SUM((DJ94*(20/100))+(DK94*(30/100))+(DL94*(50/100))) &gt;=3.5),3.5,0)))))))))))))</f>
        <v>0</v>
      </c>
      <c r="DQ94" s="541"/>
      <c r="DR94" s="541"/>
      <c r="DS94" s="541"/>
      <c r="DT94" s="541"/>
      <c r="DU94" s="541"/>
      <c r="DV94" s="541"/>
      <c r="DW94" s="541"/>
      <c r="DX94" s="541"/>
      <c r="DY94" s="541"/>
      <c r="DZ94" s="541"/>
    </row>
    <row r="95" spans="2:130" x14ac:dyDescent="0.25">
      <c r="B95" s="334">
        <v>38</v>
      </c>
      <c r="C95" s="541"/>
      <c r="D95" s="334"/>
      <c r="E95" s="334"/>
      <c r="F95" s="334"/>
      <c r="G95" s="334"/>
      <c r="H95" s="334"/>
      <c r="I95" s="334"/>
      <c r="J95" s="536"/>
      <c r="K95" s="536"/>
      <c r="L95" s="536"/>
      <c r="M95" s="536"/>
      <c r="N95" s="536"/>
      <c r="O95" s="536"/>
      <c r="P95" s="536">
        <f t="shared" si="26"/>
        <v>0</v>
      </c>
      <c r="Q95" s="536"/>
      <c r="R95" s="536"/>
      <c r="S95" s="536"/>
      <c r="T95" s="536">
        <f t="shared" si="27"/>
        <v>0</v>
      </c>
      <c r="U95" s="536"/>
      <c r="V95" s="536"/>
      <c r="W95" s="536"/>
      <c r="X95" s="536">
        <f t="shared" si="28"/>
        <v>0</v>
      </c>
      <c r="Y95" s="536"/>
      <c r="Z95" s="536"/>
      <c r="AA95" s="536"/>
      <c r="AB95" s="536">
        <f t="shared" si="29"/>
        <v>0</v>
      </c>
      <c r="AC95" s="536"/>
      <c r="AD95" s="536"/>
      <c r="AE95" s="536"/>
      <c r="AF95" s="536">
        <f t="shared" si="30"/>
        <v>0</v>
      </c>
      <c r="AG95" s="536"/>
      <c r="AH95" s="536"/>
      <c r="AI95" s="536"/>
      <c r="AJ95" s="536">
        <f t="shared" si="31"/>
        <v>0</v>
      </c>
      <c r="AK95" s="536"/>
      <c r="AL95" s="536"/>
      <c r="AM95" s="536"/>
      <c r="AN95" s="542">
        <f t="shared" si="32"/>
        <v>0</v>
      </c>
      <c r="AO95" s="536"/>
      <c r="AP95" s="536"/>
      <c r="AQ95" s="536"/>
      <c r="AR95" s="542">
        <f t="shared" si="33"/>
        <v>0</v>
      </c>
      <c r="AS95" s="536"/>
      <c r="AT95" s="536"/>
      <c r="AU95" s="536"/>
      <c r="AV95" s="542">
        <f t="shared" si="34"/>
        <v>0</v>
      </c>
      <c r="AW95" s="536"/>
      <c r="AX95" s="536"/>
      <c r="AY95" s="536"/>
      <c r="AZ95" s="542">
        <f t="shared" si="35"/>
        <v>0</v>
      </c>
      <c r="BA95" s="536"/>
      <c r="BB95" s="536"/>
      <c r="BC95" s="536"/>
      <c r="BD95" s="542">
        <f t="shared" si="36"/>
        <v>0</v>
      </c>
      <c r="BE95" s="536"/>
      <c r="BF95" s="536"/>
      <c r="BG95" s="536"/>
      <c r="BH95" s="542">
        <f t="shared" si="37"/>
        <v>0</v>
      </c>
      <c r="BI95" s="536"/>
      <c r="BJ95" s="536"/>
      <c r="BK95" s="536"/>
      <c r="BL95" s="542">
        <f t="shared" si="38"/>
        <v>0</v>
      </c>
      <c r="BM95" s="536"/>
      <c r="BN95" s="536"/>
      <c r="BO95" s="536"/>
      <c r="BP95" s="542">
        <f t="shared" si="39"/>
        <v>0</v>
      </c>
      <c r="BQ95" s="536"/>
      <c r="BR95" s="536"/>
      <c r="BS95" s="536"/>
      <c r="BT95" s="542">
        <f t="shared" si="40"/>
        <v>0</v>
      </c>
      <c r="BU95" s="536"/>
      <c r="BV95" s="536"/>
      <c r="BW95" s="536"/>
      <c r="BX95" s="542">
        <f t="shared" si="41"/>
        <v>0</v>
      </c>
      <c r="BY95" s="536"/>
      <c r="BZ95" s="536"/>
      <c r="CA95" s="536"/>
      <c r="CB95" s="542">
        <v>0</v>
      </c>
      <c r="CC95" s="536"/>
      <c r="CD95" s="536"/>
      <c r="CE95" s="536"/>
      <c r="CF95" s="541">
        <f t="shared" si="42"/>
        <v>0</v>
      </c>
      <c r="CG95" s="536"/>
      <c r="CH95" s="536"/>
      <c r="CI95" s="536"/>
      <c r="CJ95" s="541">
        <f t="shared" si="43"/>
        <v>0</v>
      </c>
      <c r="CK95" s="536"/>
      <c r="CL95" s="536"/>
      <c r="CM95" s="536"/>
      <c r="CN95" s="541">
        <f t="shared" si="44"/>
        <v>0</v>
      </c>
      <c r="CO95" s="536"/>
      <c r="CP95" s="536"/>
      <c r="CQ95" s="536"/>
      <c r="CR95" s="541">
        <f t="shared" si="45"/>
        <v>0</v>
      </c>
      <c r="CS95" s="536"/>
      <c r="CT95" s="536"/>
      <c r="CU95" s="536"/>
      <c r="CV95" s="541">
        <f t="shared" si="46"/>
        <v>0</v>
      </c>
      <c r="CW95" s="536"/>
      <c r="CX95" s="536"/>
      <c r="CY95" s="536"/>
      <c r="CZ95" s="541">
        <f t="shared" si="47"/>
        <v>0</v>
      </c>
      <c r="DA95" s="536"/>
      <c r="DB95" s="536"/>
      <c r="DC95" s="536"/>
      <c r="DD95" s="541">
        <f t="shared" si="48"/>
        <v>0</v>
      </c>
      <c r="DE95" s="536"/>
      <c r="DF95" s="536"/>
      <c r="DG95" s="536"/>
      <c r="DH95" s="541">
        <f t="shared" si="49"/>
        <v>0</v>
      </c>
      <c r="DI95" s="536"/>
      <c r="DJ95" s="536"/>
      <c r="DK95" s="536"/>
      <c r="DL95" s="541">
        <f t="shared" si="50"/>
        <v>0</v>
      </c>
      <c r="DM95" s="536"/>
      <c r="DN95" s="536"/>
      <c r="DO95" s="536"/>
      <c r="DP95" s="541">
        <f>IF( SUM((DJ95*(20/100))+(DK95*(30/100))+(DL95*(50/100))) &gt;=9.3,9.5,
IF(AND( SUM((DJ95*(20/100))+(DK95*(30/100))+(DL95*(50/100))) &lt;=9.3, SUM((DJ95*(20/100))+(DK95*(30/100))+(DL95*(50/100))) &gt;=8.8),9,
IF(AND( SUM((DJ95*(20/100))+(DK95*(30/100))+(DL95*(50/100))) &lt;=8.8, SUM((DJ95*(20/100))+(DK95*(30/100))+(DL95*(50/100))) &gt;=8.3),8.5,
IF(AND( SUM((DJ95*(20/100))+(DK95*(30/100))+(DL95*(50/100))) &lt;=8.3, SUM((DJ95*(20/100))+(DK95*(30/100))+(DL95*(50/100))) &gt;=7.8),8,
IF(AND( SUM((DJ95*(20/100))+(DK95*(30/100))+(DL95*(50/100))) &lt;=7.8, SUM((DJ95*(20/100))+(DK95*(30/100))+(DL95*(50/100))) &gt;=7.3),7.5,
IF(AND( SUM((DJ95*(20/100))+(DK95*(30/100))+(DL95*(50/100))) &lt;=7.3, SUM((DJ95*(20/100))+(DK95*(30/100))+(DL95*(50/100))) &gt;=6.8),7,
IF(AND( SUM((DJ95*(20/100))+(DK95*(30/100))+(DL95*(50/100))) &lt;=6.8, SUM((DJ95*(20/100))+(DK95*(30/100))+(DL95*(50/100))) &gt;=6.3),6.5,
IF(AND( SUM((DJ95*(20/100))+(DK95*(30/100))+(DL95*(50/100))) &lt;=6.3, SUM((DJ95*(20/100))+(DK95*(30/100))+(DL95*(50/100))) &gt;=5.8),6,
IF(AND( SUM((DJ95*(20/100))+(DK95*(30/100))+(DL95*(50/100))) &lt;=5.8, SUM((DJ95*(20/100))+(DK95*(30/100))+(DL95*(50/100))) &gt;=5.3),5.5,
IF(AND( SUM((DJ95*(20/100))+(DK95*(30/100))+(DL95*(50/100))) &lt;=5.3, SUM((DJ95*(20/100))+(DK95*(30/100))+(DL95*(50/100))) &gt;=4.8),5,
IF(AND( SUM((DJ95*(20/100))+(DK95*(30/100))+(DL95*(50/100))) &lt;=4.8, SUM((DJ95*(20/100))+(DK95*(30/100))+(DL95*(50/100))) &gt;=4.3),4.5,
IF(AND( SUM((DJ95*(20/100))+(DK95*(30/100))+(DL95*(50/100))) &lt;=4.3, SUM((DJ95*(20/100))+(DK95*(30/100))+(DL95*(50/100))) &gt;=3.8),4,
IF(AND( SUM((DJ95*(20/100))+(DK95*(30/100))+(DL95*(50/100))) &lt;=3.8, SUM((DJ95*(20/100))+(DK95*(30/100))+(DL95*(50/100))) &gt;=3.5),3.5,0)))))))))))))</f>
        <v>0</v>
      </c>
      <c r="DQ95" s="541"/>
      <c r="DR95" s="541"/>
      <c r="DS95" s="541"/>
      <c r="DT95" s="541"/>
      <c r="DU95" s="541"/>
      <c r="DV95" s="541"/>
      <c r="DW95" s="541"/>
      <c r="DX95" s="541"/>
      <c r="DY95" s="541"/>
      <c r="DZ95" s="541"/>
    </row>
    <row r="96" spans="2:130" x14ac:dyDescent="0.25">
      <c r="B96" s="334">
        <v>39</v>
      </c>
      <c r="C96" s="541"/>
      <c r="D96" s="334"/>
      <c r="E96" s="334"/>
      <c r="F96" s="334"/>
      <c r="G96" s="334"/>
      <c r="H96" s="334"/>
      <c r="I96" s="334"/>
      <c r="J96" s="536"/>
      <c r="K96" s="536"/>
      <c r="L96" s="536"/>
      <c r="M96" s="536"/>
      <c r="N96" s="536"/>
      <c r="O96" s="536"/>
      <c r="P96" s="536">
        <f t="shared" si="26"/>
        <v>0</v>
      </c>
      <c r="Q96" s="536"/>
      <c r="R96" s="536"/>
      <c r="S96" s="536"/>
      <c r="T96" s="536">
        <f t="shared" si="27"/>
        <v>0</v>
      </c>
      <c r="U96" s="536"/>
      <c r="V96" s="536"/>
      <c r="W96" s="536"/>
      <c r="X96" s="536">
        <f t="shared" si="28"/>
        <v>0</v>
      </c>
      <c r="Y96" s="536"/>
      <c r="Z96" s="536"/>
      <c r="AA96" s="536"/>
      <c r="AB96" s="536">
        <f t="shared" si="29"/>
        <v>0</v>
      </c>
      <c r="AC96" s="536"/>
      <c r="AD96" s="536"/>
      <c r="AE96" s="536"/>
      <c r="AF96" s="536">
        <f t="shared" si="30"/>
        <v>0</v>
      </c>
      <c r="AG96" s="536"/>
      <c r="AH96" s="536"/>
      <c r="AI96" s="536"/>
      <c r="AJ96" s="536">
        <f t="shared" si="31"/>
        <v>0</v>
      </c>
      <c r="AK96" s="536"/>
      <c r="AL96" s="536"/>
      <c r="AM96" s="536"/>
      <c r="AN96" s="542">
        <f t="shared" si="32"/>
        <v>0</v>
      </c>
      <c r="AO96" s="536"/>
      <c r="AP96" s="536"/>
      <c r="AQ96" s="536"/>
      <c r="AR96" s="542">
        <f t="shared" si="33"/>
        <v>0</v>
      </c>
      <c r="AS96" s="536"/>
      <c r="AT96" s="536"/>
      <c r="AU96" s="536"/>
      <c r="AV96" s="542">
        <f t="shared" si="34"/>
        <v>0</v>
      </c>
      <c r="AW96" s="536"/>
      <c r="AX96" s="536"/>
      <c r="AY96" s="536"/>
      <c r="AZ96" s="542">
        <f t="shared" si="35"/>
        <v>0</v>
      </c>
      <c r="BA96" s="536"/>
      <c r="BB96" s="536"/>
      <c r="BC96" s="536"/>
      <c r="BD96" s="542">
        <f t="shared" si="36"/>
        <v>0</v>
      </c>
      <c r="BE96" s="536"/>
      <c r="BF96" s="536"/>
      <c r="BG96" s="536"/>
      <c r="BH96" s="542">
        <f t="shared" si="37"/>
        <v>0</v>
      </c>
      <c r="BI96" s="536"/>
      <c r="BJ96" s="536"/>
      <c r="BK96" s="536"/>
      <c r="BL96" s="542">
        <f t="shared" si="38"/>
        <v>0</v>
      </c>
      <c r="BM96" s="536"/>
      <c r="BN96" s="536"/>
      <c r="BO96" s="536"/>
      <c r="BP96" s="542">
        <f t="shared" si="39"/>
        <v>0</v>
      </c>
      <c r="BQ96" s="536"/>
      <c r="BR96" s="536"/>
      <c r="BS96" s="536"/>
      <c r="BT96" s="542">
        <f t="shared" si="40"/>
        <v>0</v>
      </c>
      <c r="BU96" s="536"/>
      <c r="BV96" s="536"/>
      <c r="BW96" s="536"/>
      <c r="BX96" s="542">
        <f t="shared" si="41"/>
        <v>0</v>
      </c>
      <c r="BY96" s="536"/>
      <c r="BZ96" s="536"/>
      <c r="CA96" s="536"/>
      <c r="CB96" s="542">
        <v>0</v>
      </c>
      <c r="CC96" s="536"/>
      <c r="CD96" s="536"/>
      <c r="CE96" s="536"/>
      <c r="CF96" s="541">
        <f t="shared" si="42"/>
        <v>0</v>
      </c>
      <c r="CG96" s="536"/>
      <c r="CH96" s="536"/>
      <c r="CI96" s="536"/>
      <c r="CJ96" s="541">
        <f t="shared" si="43"/>
        <v>0</v>
      </c>
      <c r="CK96" s="536"/>
      <c r="CL96" s="536"/>
      <c r="CM96" s="536"/>
      <c r="CN96" s="541">
        <f t="shared" si="44"/>
        <v>0</v>
      </c>
      <c r="CO96" s="536"/>
      <c r="CP96" s="536"/>
      <c r="CQ96" s="536"/>
      <c r="CR96" s="541">
        <f t="shared" si="45"/>
        <v>0</v>
      </c>
      <c r="CS96" s="536"/>
      <c r="CT96" s="536"/>
      <c r="CU96" s="536"/>
      <c r="CV96" s="541">
        <f t="shared" si="46"/>
        <v>0</v>
      </c>
      <c r="CW96" s="536"/>
      <c r="CX96" s="536"/>
      <c r="CY96" s="536"/>
      <c r="CZ96" s="541">
        <f t="shared" si="47"/>
        <v>0</v>
      </c>
      <c r="DA96" s="536"/>
      <c r="DB96" s="536"/>
      <c r="DC96" s="536"/>
      <c r="DD96" s="541">
        <f t="shared" si="48"/>
        <v>0</v>
      </c>
      <c r="DE96" s="536"/>
      <c r="DF96" s="536"/>
      <c r="DG96" s="536"/>
      <c r="DH96" s="541">
        <f t="shared" si="49"/>
        <v>0</v>
      </c>
      <c r="DI96" s="536"/>
      <c r="DJ96" s="536"/>
      <c r="DK96" s="536"/>
      <c r="DL96" s="541">
        <f t="shared" si="50"/>
        <v>0</v>
      </c>
      <c r="DM96" s="536"/>
      <c r="DN96" s="536"/>
      <c r="DO96" s="536"/>
      <c r="DP96" s="541">
        <f>IF( SUM((DJ96*(20/100))+(DK96*(30/100))+(DL96*(50/100))) &gt;=9.3,9.5,
IF(AND( SUM((DJ96*(20/100))+(DK96*(30/100))+(DL96*(50/100))) &lt;=9.3, SUM((DJ96*(20/100))+(DK96*(30/100))+(DL96*(50/100))) &gt;=8.8),9,
IF(AND( SUM((DJ96*(20/100))+(DK96*(30/100))+(DL96*(50/100))) &lt;=8.8, SUM((DJ96*(20/100))+(DK96*(30/100))+(DL96*(50/100))) &gt;=8.3),8.5,
IF(AND( SUM((DJ96*(20/100))+(DK96*(30/100))+(DL96*(50/100))) &lt;=8.3, SUM((DJ96*(20/100))+(DK96*(30/100))+(DL96*(50/100))) &gt;=7.8),8,
IF(AND( SUM((DJ96*(20/100))+(DK96*(30/100))+(DL96*(50/100))) &lt;=7.8, SUM((DJ96*(20/100))+(DK96*(30/100))+(DL96*(50/100))) &gt;=7.3),7.5,
IF(AND( SUM((DJ96*(20/100))+(DK96*(30/100))+(DL96*(50/100))) &lt;=7.3, SUM((DJ96*(20/100))+(DK96*(30/100))+(DL96*(50/100))) &gt;=6.8),7,
IF(AND( SUM((DJ96*(20/100))+(DK96*(30/100))+(DL96*(50/100))) &lt;=6.8, SUM((DJ96*(20/100))+(DK96*(30/100))+(DL96*(50/100))) &gt;=6.3),6.5,
IF(AND( SUM((DJ96*(20/100))+(DK96*(30/100))+(DL96*(50/100))) &lt;=6.3, SUM((DJ96*(20/100))+(DK96*(30/100))+(DL96*(50/100))) &gt;=5.8),6,
IF(AND( SUM((DJ96*(20/100))+(DK96*(30/100))+(DL96*(50/100))) &lt;=5.8, SUM((DJ96*(20/100))+(DK96*(30/100))+(DL96*(50/100))) &gt;=5.3),5.5,
IF(AND( SUM((DJ96*(20/100))+(DK96*(30/100))+(DL96*(50/100))) &lt;=5.3, SUM((DJ96*(20/100))+(DK96*(30/100))+(DL96*(50/100))) &gt;=4.8),5,
IF(AND( SUM((DJ96*(20/100))+(DK96*(30/100))+(DL96*(50/100))) &lt;=4.8, SUM((DJ96*(20/100))+(DK96*(30/100))+(DL96*(50/100))) &gt;=4.3),4.5,
IF(AND( SUM((DJ96*(20/100))+(DK96*(30/100))+(DL96*(50/100))) &lt;=4.3, SUM((DJ96*(20/100))+(DK96*(30/100))+(DL96*(50/100))) &gt;=3.8),4,
IF(AND( SUM((DJ96*(20/100))+(DK96*(30/100))+(DL96*(50/100))) &lt;=3.8, SUM((DJ96*(20/100))+(DK96*(30/100))+(DL96*(50/100))) &gt;=3.5),3.5,0)))))))))))))</f>
        <v>0</v>
      </c>
      <c r="DQ96" s="541"/>
      <c r="DR96" s="541"/>
      <c r="DS96" s="541"/>
      <c r="DT96" s="541"/>
      <c r="DU96" s="541"/>
      <c r="DV96" s="541"/>
      <c r="DW96" s="541"/>
      <c r="DX96" s="541"/>
      <c r="DY96" s="541"/>
      <c r="DZ96" s="541"/>
    </row>
    <row r="97" spans="2:130" x14ac:dyDescent="0.25">
      <c r="B97" s="334">
        <v>40</v>
      </c>
      <c r="C97" s="541"/>
      <c r="D97" s="334"/>
      <c r="E97" s="334"/>
      <c r="F97" s="334"/>
      <c r="G97" s="334"/>
      <c r="H97" s="334"/>
      <c r="I97" s="334"/>
      <c r="J97" s="536"/>
      <c r="K97" s="536"/>
      <c r="L97" s="536"/>
      <c r="M97" s="536"/>
      <c r="N97" s="536"/>
      <c r="O97" s="536"/>
      <c r="P97" s="536">
        <f t="shared" si="26"/>
        <v>0</v>
      </c>
      <c r="Q97" s="536"/>
      <c r="R97" s="536"/>
      <c r="S97" s="536"/>
      <c r="T97" s="536">
        <f t="shared" si="27"/>
        <v>0</v>
      </c>
      <c r="U97" s="536"/>
      <c r="V97" s="536"/>
      <c r="W97" s="536"/>
      <c r="X97" s="536">
        <f t="shared" si="28"/>
        <v>0</v>
      </c>
      <c r="Y97" s="536"/>
      <c r="Z97" s="536"/>
      <c r="AA97" s="536"/>
      <c r="AB97" s="536">
        <f t="shared" si="29"/>
        <v>0</v>
      </c>
      <c r="AC97" s="536"/>
      <c r="AD97" s="536"/>
      <c r="AE97" s="536"/>
      <c r="AF97" s="536">
        <f t="shared" si="30"/>
        <v>0</v>
      </c>
      <c r="AG97" s="536"/>
      <c r="AH97" s="536"/>
      <c r="AI97" s="536"/>
      <c r="AJ97" s="536">
        <f t="shared" si="31"/>
        <v>0</v>
      </c>
      <c r="AK97" s="536"/>
      <c r="AL97" s="536"/>
      <c r="AM97" s="536"/>
      <c r="AN97" s="542">
        <f t="shared" si="32"/>
        <v>0</v>
      </c>
      <c r="AO97" s="536"/>
      <c r="AP97" s="536"/>
      <c r="AQ97" s="536"/>
      <c r="AR97" s="542">
        <f t="shared" si="33"/>
        <v>0</v>
      </c>
      <c r="AS97" s="536"/>
      <c r="AT97" s="536"/>
      <c r="AU97" s="536"/>
      <c r="AV97" s="542">
        <f t="shared" si="34"/>
        <v>0</v>
      </c>
      <c r="AW97" s="536"/>
      <c r="AX97" s="536"/>
      <c r="AY97" s="536"/>
      <c r="AZ97" s="542">
        <f t="shared" si="35"/>
        <v>0</v>
      </c>
      <c r="BA97" s="536"/>
      <c r="BB97" s="536"/>
      <c r="BC97" s="536"/>
      <c r="BD97" s="542">
        <f t="shared" si="36"/>
        <v>0</v>
      </c>
      <c r="BE97" s="536"/>
      <c r="BF97" s="536"/>
      <c r="BG97" s="536"/>
      <c r="BH97" s="542">
        <f t="shared" si="37"/>
        <v>0</v>
      </c>
      <c r="BI97" s="536"/>
      <c r="BJ97" s="536"/>
      <c r="BK97" s="536"/>
      <c r="BL97" s="542">
        <f t="shared" si="38"/>
        <v>0</v>
      </c>
      <c r="BM97" s="536"/>
      <c r="BN97" s="536"/>
      <c r="BO97" s="536"/>
      <c r="BP97" s="542">
        <f t="shared" si="39"/>
        <v>0</v>
      </c>
      <c r="BQ97" s="536"/>
      <c r="BR97" s="536"/>
      <c r="BS97" s="536"/>
      <c r="BT97" s="542">
        <f t="shared" si="40"/>
        <v>0</v>
      </c>
      <c r="BU97" s="536"/>
      <c r="BV97" s="536"/>
      <c r="BW97" s="536"/>
      <c r="BX97" s="542">
        <f t="shared" si="41"/>
        <v>0</v>
      </c>
      <c r="BY97" s="536"/>
      <c r="BZ97" s="536"/>
      <c r="CA97" s="536"/>
      <c r="CB97" s="542">
        <v>0</v>
      </c>
      <c r="CC97" s="536"/>
      <c r="CD97" s="536"/>
      <c r="CE97" s="536"/>
      <c r="CF97" s="541">
        <f t="shared" si="42"/>
        <v>0</v>
      </c>
      <c r="CG97" s="536"/>
      <c r="CH97" s="536"/>
      <c r="CI97" s="536"/>
      <c r="CJ97" s="541">
        <f t="shared" si="43"/>
        <v>0</v>
      </c>
      <c r="CK97" s="536"/>
      <c r="CL97" s="536"/>
      <c r="CM97" s="536"/>
      <c r="CN97" s="541">
        <f t="shared" si="44"/>
        <v>0</v>
      </c>
      <c r="CO97" s="536"/>
      <c r="CP97" s="536"/>
      <c r="CQ97" s="536"/>
      <c r="CR97" s="541">
        <f t="shared" si="45"/>
        <v>0</v>
      </c>
      <c r="CS97" s="536"/>
      <c r="CT97" s="536"/>
      <c r="CU97" s="536"/>
      <c r="CV97" s="541">
        <f t="shared" si="46"/>
        <v>0</v>
      </c>
      <c r="CW97" s="536"/>
      <c r="CX97" s="536"/>
      <c r="CY97" s="536"/>
      <c r="CZ97" s="541">
        <f t="shared" si="47"/>
        <v>0</v>
      </c>
      <c r="DA97" s="536"/>
      <c r="DB97" s="536"/>
      <c r="DC97" s="536"/>
      <c r="DD97" s="541">
        <f t="shared" si="48"/>
        <v>0</v>
      </c>
      <c r="DE97" s="536"/>
      <c r="DF97" s="536"/>
      <c r="DG97" s="536"/>
      <c r="DH97" s="541">
        <f t="shared" si="49"/>
        <v>0</v>
      </c>
      <c r="DI97" s="536"/>
      <c r="DJ97" s="536"/>
      <c r="DK97" s="536"/>
      <c r="DL97" s="541">
        <f t="shared" si="50"/>
        <v>0</v>
      </c>
      <c r="DM97" s="536"/>
      <c r="DN97" s="536"/>
      <c r="DO97" s="536"/>
      <c r="DP97" s="541">
        <f>IF( SUM((DJ97*(20/100))+(DK97*(30/100))+(DL97*(50/100))) &gt;=9.3,9.5,
IF(AND( SUM((DJ97*(20/100))+(DK97*(30/100))+(DL97*(50/100))) &lt;=9.3, SUM((DJ97*(20/100))+(DK97*(30/100))+(DL97*(50/100))) &gt;=8.8),9,
IF(AND( SUM((DJ97*(20/100))+(DK97*(30/100))+(DL97*(50/100))) &lt;=8.8, SUM((DJ97*(20/100))+(DK97*(30/100))+(DL97*(50/100))) &gt;=8.3),8.5,
IF(AND( SUM((DJ97*(20/100))+(DK97*(30/100))+(DL97*(50/100))) &lt;=8.3, SUM((DJ97*(20/100))+(DK97*(30/100))+(DL97*(50/100))) &gt;=7.8),8,
IF(AND( SUM((DJ97*(20/100))+(DK97*(30/100))+(DL97*(50/100))) &lt;=7.8, SUM((DJ97*(20/100))+(DK97*(30/100))+(DL97*(50/100))) &gt;=7.3),7.5,
IF(AND( SUM((DJ97*(20/100))+(DK97*(30/100))+(DL97*(50/100))) &lt;=7.3, SUM((DJ97*(20/100))+(DK97*(30/100))+(DL97*(50/100))) &gt;=6.8),7,
IF(AND( SUM((DJ97*(20/100))+(DK97*(30/100))+(DL97*(50/100))) &lt;=6.8, SUM((DJ97*(20/100))+(DK97*(30/100))+(DL97*(50/100))) &gt;=6.3),6.5,
IF(AND( SUM((DJ97*(20/100))+(DK97*(30/100))+(DL97*(50/100))) &lt;=6.3, SUM((DJ97*(20/100))+(DK97*(30/100))+(DL97*(50/100))) &gt;=5.8),6,
IF(AND( SUM((DJ97*(20/100))+(DK97*(30/100))+(DL97*(50/100))) &lt;=5.8, SUM((DJ97*(20/100))+(DK97*(30/100))+(DL97*(50/100))) &gt;=5.3),5.5,
IF(AND( SUM((DJ97*(20/100))+(DK97*(30/100))+(DL97*(50/100))) &lt;=5.3, SUM((DJ97*(20/100))+(DK97*(30/100))+(DL97*(50/100))) &gt;=4.8),5,
IF(AND( SUM((DJ97*(20/100))+(DK97*(30/100))+(DL97*(50/100))) &lt;=4.8, SUM((DJ97*(20/100))+(DK97*(30/100))+(DL97*(50/100))) &gt;=4.3),4.5,
IF(AND( SUM((DJ97*(20/100))+(DK97*(30/100))+(DL97*(50/100))) &lt;=4.3, SUM((DJ97*(20/100))+(DK97*(30/100))+(DL97*(50/100))) &gt;=3.8),4,
IF(AND( SUM((DJ97*(20/100))+(DK97*(30/100))+(DL97*(50/100))) &lt;=3.8, SUM((DJ97*(20/100))+(DK97*(30/100))+(DL97*(50/100))) &gt;=3.5),3.5,0)))))))))))))</f>
        <v>0</v>
      </c>
      <c r="DQ97" s="541"/>
      <c r="DR97" s="541"/>
      <c r="DS97" s="541"/>
      <c r="DT97" s="541"/>
      <c r="DU97" s="541"/>
      <c r="DV97" s="541"/>
      <c r="DW97" s="541"/>
      <c r="DX97" s="541"/>
      <c r="DY97" s="541"/>
      <c r="DZ97" s="541"/>
    </row>
    <row r="98" spans="2:130" x14ac:dyDescent="0.25">
      <c r="B98" s="334">
        <v>41</v>
      </c>
      <c r="C98" s="541"/>
      <c r="D98" s="334"/>
      <c r="E98" s="334"/>
      <c r="F98" s="334"/>
      <c r="G98" s="334"/>
      <c r="H98" s="334"/>
      <c r="I98" s="334"/>
      <c r="J98" s="536"/>
      <c r="K98" s="536"/>
      <c r="L98" s="536"/>
      <c r="M98" s="536"/>
      <c r="N98" s="536"/>
      <c r="O98" s="536"/>
      <c r="P98" s="536">
        <f t="shared" si="26"/>
        <v>0</v>
      </c>
      <c r="Q98" s="536"/>
      <c r="R98" s="536"/>
      <c r="S98" s="536"/>
      <c r="T98" s="536">
        <f t="shared" si="27"/>
        <v>0</v>
      </c>
      <c r="U98" s="536"/>
      <c r="V98" s="536"/>
      <c r="W98" s="536"/>
      <c r="X98" s="536">
        <f t="shared" si="28"/>
        <v>0</v>
      </c>
      <c r="Y98" s="536"/>
      <c r="Z98" s="536"/>
      <c r="AA98" s="536"/>
      <c r="AB98" s="536">
        <f t="shared" si="29"/>
        <v>0</v>
      </c>
      <c r="AC98" s="536"/>
      <c r="AD98" s="536"/>
      <c r="AE98" s="536"/>
      <c r="AF98" s="536">
        <f t="shared" si="30"/>
        <v>0</v>
      </c>
      <c r="AG98" s="536"/>
      <c r="AH98" s="536"/>
      <c r="AI98" s="536"/>
      <c r="AJ98" s="536">
        <f t="shared" si="31"/>
        <v>0</v>
      </c>
      <c r="AK98" s="536"/>
      <c r="AL98" s="536"/>
      <c r="AM98" s="536"/>
      <c r="AN98" s="542">
        <f t="shared" si="32"/>
        <v>0</v>
      </c>
      <c r="AO98" s="536"/>
      <c r="AP98" s="536"/>
      <c r="AQ98" s="536"/>
      <c r="AR98" s="542">
        <f t="shared" si="33"/>
        <v>0</v>
      </c>
      <c r="AS98" s="536"/>
      <c r="AT98" s="536"/>
      <c r="AU98" s="536"/>
      <c r="AV98" s="542">
        <f t="shared" si="34"/>
        <v>0</v>
      </c>
      <c r="AW98" s="536"/>
      <c r="AX98" s="536"/>
      <c r="AY98" s="536"/>
      <c r="AZ98" s="542">
        <f t="shared" si="35"/>
        <v>0</v>
      </c>
      <c r="BA98" s="536"/>
      <c r="BB98" s="536"/>
      <c r="BC98" s="536"/>
      <c r="BD98" s="542">
        <f t="shared" si="36"/>
        <v>0</v>
      </c>
      <c r="BE98" s="536"/>
      <c r="BF98" s="536"/>
      <c r="BG98" s="536"/>
      <c r="BH98" s="542">
        <f t="shared" si="37"/>
        <v>0</v>
      </c>
      <c r="BI98" s="536"/>
      <c r="BJ98" s="536"/>
      <c r="BK98" s="536"/>
      <c r="BL98" s="542">
        <f t="shared" si="38"/>
        <v>0</v>
      </c>
      <c r="BM98" s="536"/>
      <c r="BN98" s="536"/>
      <c r="BO98" s="536"/>
      <c r="BP98" s="542">
        <f t="shared" si="39"/>
        <v>0</v>
      </c>
      <c r="BQ98" s="536"/>
      <c r="BR98" s="536"/>
      <c r="BS98" s="536"/>
      <c r="BT98" s="542">
        <f t="shared" si="40"/>
        <v>0</v>
      </c>
      <c r="BU98" s="536"/>
      <c r="BV98" s="536"/>
      <c r="BW98" s="536"/>
      <c r="BX98" s="542">
        <f t="shared" si="41"/>
        <v>0</v>
      </c>
      <c r="BY98" s="536"/>
      <c r="BZ98" s="536"/>
      <c r="CA98" s="536"/>
      <c r="CB98" s="542">
        <v>0</v>
      </c>
      <c r="CC98" s="536"/>
      <c r="CD98" s="536"/>
      <c r="CE98" s="536"/>
      <c r="CF98" s="541">
        <f t="shared" si="42"/>
        <v>0</v>
      </c>
      <c r="CG98" s="536"/>
      <c r="CH98" s="536"/>
      <c r="CI98" s="536"/>
      <c r="CJ98" s="541">
        <f t="shared" si="43"/>
        <v>0</v>
      </c>
      <c r="CK98" s="536"/>
      <c r="CL98" s="536"/>
      <c r="CM98" s="536"/>
      <c r="CN98" s="541">
        <f t="shared" si="44"/>
        <v>0</v>
      </c>
      <c r="CO98" s="536"/>
      <c r="CP98" s="536"/>
      <c r="CQ98" s="536"/>
      <c r="CR98" s="541">
        <f t="shared" si="45"/>
        <v>0</v>
      </c>
      <c r="CS98" s="536"/>
      <c r="CT98" s="536"/>
      <c r="CU98" s="536"/>
      <c r="CV98" s="541">
        <f t="shared" si="46"/>
        <v>0</v>
      </c>
      <c r="CW98" s="536"/>
      <c r="CX98" s="536"/>
      <c r="CY98" s="536"/>
      <c r="CZ98" s="541">
        <f t="shared" si="47"/>
        <v>0</v>
      </c>
      <c r="DA98" s="536"/>
      <c r="DB98" s="536"/>
      <c r="DC98" s="536"/>
      <c r="DD98" s="541">
        <f t="shared" si="48"/>
        <v>0</v>
      </c>
      <c r="DE98" s="536"/>
      <c r="DF98" s="536"/>
      <c r="DG98" s="536"/>
      <c r="DH98" s="541">
        <f t="shared" si="49"/>
        <v>0</v>
      </c>
      <c r="DI98" s="536"/>
      <c r="DJ98" s="536"/>
      <c r="DK98" s="536"/>
      <c r="DL98" s="541">
        <f t="shared" si="50"/>
        <v>0</v>
      </c>
      <c r="DM98" s="536"/>
      <c r="DN98" s="536"/>
      <c r="DO98" s="536"/>
      <c r="DP98" s="541">
        <f>IF( SUM((DJ98*(20/100))+(DK98*(30/100))+(DL98*(50/100))) &gt;=9.3,9.5,
IF(AND( SUM((DJ98*(20/100))+(DK98*(30/100))+(DL98*(50/100))) &lt;=9.3, SUM((DJ98*(20/100))+(DK98*(30/100))+(DL98*(50/100))) &gt;=8.8),9,
IF(AND( SUM((DJ98*(20/100))+(DK98*(30/100))+(DL98*(50/100))) &lt;=8.8, SUM((DJ98*(20/100))+(DK98*(30/100))+(DL98*(50/100))) &gt;=8.3),8.5,
IF(AND( SUM((DJ98*(20/100))+(DK98*(30/100))+(DL98*(50/100))) &lt;=8.3, SUM((DJ98*(20/100))+(DK98*(30/100))+(DL98*(50/100))) &gt;=7.8),8,
IF(AND( SUM((DJ98*(20/100))+(DK98*(30/100))+(DL98*(50/100))) &lt;=7.8, SUM((DJ98*(20/100))+(DK98*(30/100))+(DL98*(50/100))) &gt;=7.3),7.5,
IF(AND( SUM((DJ98*(20/100))+(DK98*(30/100))+(DL98*(50/100))) &lt;=7.3, SUM((DJ98*(20/100))+(DK98*(30/100))+(DL98*(50/100))) &gt;=6.8),7,
IF(AND( SUM((DJ98*(20/100))+(DK98*(30/100))+(DL98*(50/100))) &lt;=6.8, SUM((DJ98*(20/100))+(DK98*(30/100))+(DL98*(50/100))) &gt;=6.3),6.5,
IF(AND( SUM((DJ98*(20/100))+(DK98*(30/100))+(DL98*(50/100))) &lt;=6.3, SUM((DJ98*(20/100))+(DK98*(30/100))+(DL98*(50/100))) &gt;=5.8),6,
IF(AND( SUM((DJ98*(20/100))+(DK98*(30/100))+(DL98*(50/100))) &lt;=5.8, SUM((DJ98*(20/100))+(DK98*(30/100))+(DL98*(50/100))) &gt;=5.3),5.5,
IF(AND( SUM((DJ98*(20/100))+(DK98*(30/100))+(DL98*(50/100))) &lt;=5.3, SUM((DJ98*(20/100))+(DK98*(30/100))+(DL98*(50/100))) &gt;=4.8),5,
IF(AND( SUM((DJ98*(20/100))+(DK98*(30/100))+(DL98*(50/100))) &lt;=4.8, SUM((DJ98*(20/100))+(DK98*(30/100))+(DL98*(50/100))) &gt;=4.3),4.5,
IF(AND( SUM((DJ98*(20/100))+(DK98*(30/100))+(DL98*(50/100))) &lt;=4.3, SUM((DJ98*(20/100))+(DK98*(30/100))+(DL98*(50/100))) &gt;=3.8),4,
IF(AND( SUM((DJ98*(20/100))+(DK98*(30/100))+(DL98*(50/100))) &lt;=3.8, SUM((DJ98*(20/100))+(DK98*(30/100))+(DL98*(50/100))) &gt;=3.5),3.5,0)))))))))))))</f>
        <v>0</v>
      </c>
      <c r="DQ98" s="541"/>
      <c r="DR98" s="541"/>
      <c r="DS98" s="541"/>
      <c r="DT98" s="541"/>
      <c r="DU98" s="541"/>
      <c r="DV98" s="541"/>
      <c r="DW98" s="541"/>
      <c r="DX98" s="541"/>
      <c r="DY98" s="541"/>
      <c r="DZ98" s="541"/>
    </row>
    <row r="99" spans="2:130" x14ac:dyDescent="0.25">
      <c r="B99" s="334">
        <v>42</v>
      </c>
      <c r="C99" s="541"/>
      <c r="D99" s="334"/>
      <c r="E99" s="334"/>
      <c r="F99" s="334"/>
      <c r="G99" s="334"/>
      <c r="H99" s="334"/>
      <c r="I99" s="334"/>
      <c r="J99" s="536"/>
      <c r="K99" s="536"/>
      <c r="L99" s="536"/>
      <c r="M99" s="536"/>
      <c r="N99" s="536"/>
      <c r="O99" s="536"/>
      <c r="P99" s="536">
        <f t="shared" si="26"/>
        <v>0</v>
      </c>
      <c r="Q99" s="536"/>
      <c r="R99" s="536"/>
      <c r="S99" s="536"/>
      <c r="T99" s="536">
        <f t="shared" si="27"/>
        <v>0</v>
      </c>
      <c r="U99" s="536"/>
      <c r="V99" s="536"/>
      <c r="W99" s="536"/>
      <c r="X99" s="536">
        <f t="shared" si="28"/>
        <v>0</v>
      </c>
      <c r="Y99" s="536"/>
      <c r="Z99" s="536"/>
      <c r="AA99" s="536"/>
      <c r="AB99" s="536">
        <f t="shared" si="29"/>
        <v>0</v>
      </c>
      <c r="AC99" s="536"/>
      <c r="AD99" s="536"/>
      <c r="AE99" s="536"/>
      <c r="AF99" s="536">
        <f t="shared" si="30"/>
        <v>0</v>
      </c>
      <c r="AG99" s="536"/>
      <c r="AH99" s="536"/>
      <c r="AI99" s="536"/>
      <c r="AJ99" s="536">
        <f t="shared" si="31"/>
        <v>0</v>
      </c>
      <c r="AK99" s="536"/>
      <c r="AL99" s="536"/>
      <c r="AM99" s="536"/>
      <c r="AN99" s="542">
        <f t="shared" si="32"/>
        <v>0</v>
      </c>
      <c r="AO99" s="536"/>
      <c r="AP99" s="536"/>
      <c r="AQ99" s="536"/>
      <c r="AR99" s="542">
        <f t="shared" si="33"/>
        <v>0</v>
      </c>
      <c r="AS99" s="536"/>
      <c r="AT99" s="536"/>
      <c r="AU99" s="536"/>
      <c r="AV99" s="542">
        <f t="shared" si="34"/>
        <v>0</v>
      </c>
      <c r="AW99" s="536"/>
      <c r="AX99" s="536"/>
      <c r="AY99" s="536"/>
      <c r="AZ99" s="542">
        <f t="shared" si="35"/>
        <v>0</v>
      </c>
      <c r="BA99" s="536"/>
      <c r="BB99" s="536"/>
      <c r="BC99" s="536"/>
      <c r="BD99" s="542">
        <f t="shared" si="36"/>
        <v>0</v>
      </c>
      <c r="BE99" s="536"/>
      <c r="BF99" s="536"/>
      <c r="BG99" s="536"/>
      <c r="BH99" s="542">
        <f t="shared" si="37"/>
        <v>0</v>
      </c>
      <c r="BI99" s="536"/>
      <c r="BJ99" s="536"/>
      <c r="BK99" s="536"/>
      <c r="BL99" s="542">
        <f t="shared" si="38"/>
        <v>0</v>
      </c>
      <c r="BM99" s="536"/>
      <c r="BN99" s="536"/>
      <c r="BO99" s="536"/>
      <c r="BP99" s="542">
        <f t="shared" si="39"/>
        <v>0</v>
      </c>
      <c r="BQ99" s="536"/>
      <c r="BR99" s="536"/>
      <c r="BS99" s="536"/>
      <c r="BT99" s="542">
        <f t="shared" si="40"/>
        <v>0</v>
      </c>
      <c r="BU99" s="536"/>
      <c r="BV99" s="536"/>
      <c r="BW99" s="536"/>
      <c r="BX99" s="542">
        <f t="shared" si="41"/>
        <v>0</v>
      </c>
      <c r="BY99" s="536"/>
      <c r="BZ99" s="536"/>
      <c r="CA99" s="536"/>
      <c r="CB99" s="542">
        <v>0</v>
      </c>
      <c r="CC99" s="536"/>
      <c r="CD99" s="536"/>
      <c r="CE99" s="536"/>
      <c r="CF99" s="541">
        <f t="shared" si="42"/>
        <v>0</v>
      </c>
      <c r="CG99" s="536"/>
      <c r="CH99" s="536"/>
      <c r="CI99" s="536"/>
      <c r="CJ99" s="541">
        <f t="shared" si="43"/>
        <v>0</v>
      </c>
      <c r="CK99" s="536"/>
      <c r="CL99" s="536"/>
      <c r="CM99" s="536"/>
      <c r="CN99" s="541">
        <f t="shared" si="44"/>
        <v>0</v>
      </c>
      <c r="CO99" s="536"/>
      <c r="CP99" s="536"/>
      <c r="CQ99" s="536"/>
      <c r="CR99" s="541">
        <f t="shared" si="45"/>
        <v>0</v>
      </c>
      <c r="CS99" s="536"/>
      <c r="CT99" s="536"/>
      <c r="CU99" s="536"/>
      <c r="CV99" s="541">
        <f t="shared" si="46"/>
        <v>0</v>
      </c>
      <c r="CW99" s="536"/>
      <c r="CX99" s="536"/>
      <c r="CY99" s="536"/>
      <c r="CZ99" s="541">
        <f t="shared" si="47"/>
        <v>0</v>
      </c>
      <c r="DA99" s="536"/>
      <c r="DB99" s="536"/>
      <c r="DC99" s="536"/>
      <c r="DD99" s="541">
        <f t="shared" si="48"/>
        <v>0</v>
      </c>
      <c r="DE99" s="536"/>
      <c r="DF99" s="536"/>
      <c r="DG99" s="536"/>
      <c r="DH99" s="541">
        <f t="shared" si="49"/>
        <v>0</v>
      </c>
      <c r="DI99" s="536"/>
      <c r="DJ99" s="536"/>
      <c r="DK99" s="536"/>
      <c r="DL99" s="541">
        <f t="shared" si="50"/>
        <v>0</v>
      </c>
      <c r="DM99" s="536"/>
      <c r="DN99" s="536"/>
      <c r="DO99" s="536"/>
      <c r="DP99" s="541">
        <f>IF( SUM((DJ99*(20/100))+(DK99*(30/100))+(DL99*(50/100))) &gt;=9.3,9.5,
IF(AND( SUM((DJ99*(20/100))+(DK99*(30/100))+(DL99*(50/100))) &lt;=9.3, SUM((DJ99*(20/100))+(DK99*(30/100))+(DL99*(50/100))) &gt;=8.8),9,
IF(AND( SUM((DJ99*(20/100))+(DK99*(30/100))+(DL99*(50/100))) &lt;=8.8, SUM((DJ99*(20/100))+(DK99*(30/100))+(DL99*(50/100))) &gt;=8.3),8.5,
IF(AND( SUM((DJ99*(20/100))+(DK99*(30/100))+(DL99*(50/100))) &lt;=8.3, SUM((DJ99*(20/100))+(DK99*(30/100))+(DL99*(50/100))) &gt;=7.8),8,
IF(AND( SUM((DJ99*(20/100))+(DK99*(30/100))+(DL99*(50/100))) &lt;=7.8, SUM((DJ99*(20/100))+(DK99*(30/100))+(DL99*(50/100))) &gt;=7.3),7.5,
IF(AND( SUM((DJ99*(20/100))+(DK99*(30/100))+(DL99*(50/100))) &lt;=7.3, SUM((DJ99*(20/100))+(DK99*(30/100))+(DL99*(50/100))) &gt;=6.8),7,
IF(AND( SUM((DJ99*(20/100))+(DK99*(30/100))+(DL99*(50/100))) &lt;=6.8, SUM((DJ99*(20/100))+(DK99*(30/100))+(DL99*(50/100))) &gt;=6.3),6.5,
IF(AND( SUM((DJ99*(20/100))+(DK99*(30/100))+(DL99*(50/100))) &lt;=6.3, SUM((DJ99*(20/100))+(DK99*(30/100))+(DL99*(50/100))) &gt;=5.8),6,
IF(AND( SUM((DJ99*(20/100))+(DK99*(30/100))+(DL99*(50/100))) &lt;=5.8, SUM((DJ99*(20/100))+(DK99*(30/100))+(DL99*(50/100))) &gt;=5.3),5.5,
IF(AND( SUM((DJ99*(20/100))+(DK99*(30/100))+(DL99*(50/100))) &lt;=5.3, SUM((DJ99*(20/100))+(DK99*(30/100))+(DL99*(50/100))) &gt;=4.8),5,
IF(AND( SUM((DJ99*(20/100))+(DK99*(30/100))+(DL99*(50/100))) &lt;=4.8, SUM((DJ99*(20/100))+(DK99*(30/100))+(DL99*(50/100))) &gt;=4.3),4.5,
IF(AND( SUM((DJ99*(20/100))+(DK99*(30/100))+(DL99*(50/100))) &lt;=4.3, SUM((DJ99*(20/100))+(DK99*(30/100))+(DL99*(50/100))) &gt;=3.8),4,
IF(AND( SUM((DJ99*(20/100))+(DK99*(30/100))+(DL99*(50/100))) &lt;=3.8, SUM((DJ99*(20/100))+(DK99*(30/100))+(DL99*(50/100))) &gt;=3.5),3.5,0)))))))))))))</f>
        <v>0</v>
      </c>
      <c r="DQ99" s="541"/>
      <c r="DR99" s="541"/>
      <c r="DS99" s="541"/>
      <c r="DT99" s="541"/>
      <c r="DU99" s="541"/>
      <c r="DV99" s="541"/>
      <c r="DW99" s="541"/>
      <c r="DX99" s="541"/>
      <c r="DY99" s="541"/>
      <c r="DZ99" s="541"/>
    </row>
    <row r="100" spans="2:130" x14ac:dyDescent="0.25">
      <c r="B100" s="334">
        <v>43</v>
      </c>
      <c r="C100" s="541"/>
      <c r="D100" s="334"/>
      <c r="E100" s="334"/>
      <c r="F100" s="334"/>
      <c r="G100" s="334"/>
      <c r="H100" s="334"/>
      <c r="I100" s="334"/>
      <c r="J100" s="536"/>
      <c r="K100" s="536"/>
      <c r="L100" s="536"/>
      <c r="M100" s="536"/>
      <c r="N100" s="536"/>
      <c r="O100" s="536"/>
      <c r="P100" s="536">
        <f t="shared" si="26"/>
        <v>0</v>
      </c>
      <c r="Q100" s="536"/>
      <c r="R100" s="536"/>
      <c r="S100" s="536"/>
      <c r="T100" s="536">
        <f t="shared" si="27"/>
        <v>0</v>
      </c>
      <c r="U100" s="536"/>
      <c r="V100" s="536"/>
      <c r="W100" s="536"/>
      <c r="X100" s="536">
        <f t="shared" si="28"/>
        <v>0</v>
      </c>
      <c r="Y100" s="536"/>
      <c r="Z100" s="536"/>
      <c r="AA100" s="536"/>
      <c r="AB100" s="536">
        <f t="shared" si="29"/>
        <v>0</v>
      </c>
      <c r="AC100" s="536"/>
      <c r="AD100" s="536"/>
      <c r="AE100" s="536"/>
      <c r="AF100" s="536">
        <f t="shared" si="30"/>
        <v>0</v>
      </c>
      <c r="AG100" s="536"/>
      <c r="AH100" s="536"/>
      <c r="AI100" s="536"/>
      <c r="AJ100" s="536">
        <f t="shared" si="31"/>
        <v>0</v>
      </c>
      <c r="AK100" s="536"/>
      <c r="AL100" s="536"/>
      <c r="AM100" s="536"/>
      <c r="AN100" s="542">
        <f t="shared" si="32"/>
        <v>0</v>
      </c>
      <c r="AO100" s="536"/>
      <c r="AP100" s="536"/>
      <c r="AQ100" s="536"/>
      <c r="AR100" s="542">
        <f t="shared" si="33"/>
        <v>0</v>
      </c>
      <c r="AS100" s="536"/>
      <c r="AT100" s="536"/>
      <c r="AU100" s="536"/>
      <c r="AV100" s="542">
        <f t="shared" si="34"/>
        <v>0</v>
      </c>
      <c r="AW100" s="536"/>
      <c r="AX100" s="536"/>
      <c r="AY100" s="536"/>
      <c r="AZ100" s="542">
        <f t="shared" si="35"/>
        <v>0</v>
      </c>
      <c r="BA100" s="536"/>
      <c r="BB100" s="536"/>
      <c r="BC100" s="536"/>
      <c r="BD100" s="542">
        <f t="shared" si="36"/>
        <v>0</v>
      </c>
      <c r="BE100" s="536"/>
      <c r="BF100" s="536"/>
      <c r="BG100" s="536"/>
      <c r="BH100" s="542">
        <f t="shared" si="37"/>
        <v>0</v>
      </c>
      <c r="BI100" s="536"/>
      <c r="BJ100" s="536"/>
      <c r="BK100" s="536"/>
      <c r="BL100" s="542">
        <f t="shared" si="38"/>
        <v>0</v>
      </c>
      <c r="BM100" s="536"/>
      <c r="BN100" s="536"/>
      <c r="BO100" s="536"/>
      <c r="BP100" s="542">
        <f t="shared" si="39"/>
        <v>0</v>
      </c>
      <c r="BQ100" s="536"/>
      <c r="BR100" s="536"/>
      <c r="BS100" s="536"/>
      <c r="BT100" s="542">
        <f t="shared" si="40"/>
        <v>0</v>
      </c>
      <c r="BU100" s="536"/>
      <c r="BV100" s="536"/>
      <c r="BW100" s="536"/>
      <c r="BX100" s="542">
        <f t="shared" si="41"/>
        <v>0</v>
      </c>
      <c r="BY100" s="536"/>
      <c r="BZ100" s="536"/>
      <c r="CA100" s="536"/>
      <c r="CB100" s="542">
        <v>0</v>
      </c>
      <c r="CC100" s="536"/>
      <c r="CD100" s="536"/>
      <c r="CE100" s="536"/>
      <c r="CF100" s="541">
        <f t="shared" si="42"/>
        <v>0</v>
      </c>
      <c r="CG100" s="536"/>
      <c r="CH100" s="536"/>
      <c r="CI100" s="536"/>
      <c r="CJ100" s="541">
        <f t="shared" si="43"/>
        <v>0</v>
      </c>
      <c r="CK100" s="536"/>
      <c r="CL100" s="536"/>
      <c r="CM100" s="536"/>
      <c r="CN100" s="541">
        <f t="shared" si="44"/>
        <v>0</v>
      </c>
      <c r="CO100" s="536"/>
      <c r="CP100" s="536"/>
      <c r="CQ100" s="536"/>
      <c r="CR100" s="541">
        <f t="shared" si="45"/>
        <v>0</v>
      </c>
      <c r="CS100" s="536"/>
      <c r="CT100" s="536"/>
      <c r="CU100" s="536"/>
      <c r="CV100" s="541">
        <f t="shared" si="46"/>
        <v>0</v>
      </c>
      <c r="CW100" s="536"/>
      <c r="CX100" s="536"/>
      <c r="CY100" s="536"/>
      <c r="CZ100" s="541">
        <f t="shared" si="47"/>
        <v>0</v>
      </c>
      <c r="DA100" s="536"/>
      <c r="DB100" s="536"/>
      <c r="DC100" s="536"/>
      <c r="DD100" s="541">
        <f t="shared" si="48"/>
        <v>0</v>
      </c>
      <c r="DE100" s="536"/>
      <c r="DF100" s="536"/>
      <c r="DG100" s="536"/>
      <c r="DH100" s="541">
        <f t="shared" si="49"/>
        <v>0</v>
      </c>
      <c r="DI100" s="536"/>
      <c r="DJ100" s="536"/>
      <c r="DK100" s="536"/>
      <c r="DL100" s="541">
        <f t="shared" si="50"/>
        <v>0</v>
      </c>
      <c r="DM100" s="536"/>
      <c r="DN100" s="536"/>
      <c r="DO100" s="536"/>
      <c r="DP100" s="541">
        <f>IF( SUM((DJ100*(20/100))+(DK100*(30/100))+(DL100*(50/100))) &gt;=9.3,9.5,
IF(AND( SUM((DJ100*(20/100))+(DK100*(30/100))+(DL100*(50/100))) &lt;=9.3, SUM((DJ100*(20/100))+(DK100*(30/100))+(DL100*(50/100))) &gt;=8.8),9,
IF(AND( SUM((DJ100*(20/100))+(DK100*(30/100))+(DL100*(50/100))) &lt;=8.8, SUM((DJ100*(20/100))+(DK100*(30/100))+(DL100*(50/100))) &gt;=8.3),8.5,
IF(AND( SUM((DJ100*(20/100))+(DK100*(30/100))+(DL100*(50/100))) &lt;=8.3, SUM((DJ100*(20/100))+(DK100*(30/100))+(DL100*(50/100))) &gt;=7.8),8,
IF(AND( SUM((DJ100*(20/100))+(DK100*(30/100))+(DL100*(50/100))) &lt;=7.8, SUM((DJ100*(20/100))+(DK100*(30/100))+(DL100*(50/100))) &gt;=7.3),7.5,
IF(AND( SUM((DJ100*(20/100))+(DK100*(30/100))+(DL100*(50/100))) &lt;=7.3, SUM((DJ100*(20/100))+(DK100*(30/100))+(DL100*(50/100))) &gt;=6.8),7,
IF(AND( SUM((DJ100*(20/100))+(DK100*(30/100))+(DL100*(50/100))) &lt;=6.8, SUM((DJ100*(20/100))+(DK100*(30/100))+(DL100*(50/100))) &gt;=6.3),6.5,
IF(AND( SUM((DJ100*(20/100))+(DK100*(30/100))+(DL100*(50/100))) &lt;=6.3, SUM((DJ100*(20/100))+(DK100*(30/100))+(DL100*(50/100))) &gt;=5.8),6,
IF(AND( SUM((DJ100*(20/100))+(DK100*(30/100))+(DL100*(50/100))) &lt;=5.8, SUM((DJ100*(20/100))+(DK100*(30/100))+(DL100*(50/100))) &gt;=5.3),5.5,
IF(AND( SUM((DJ100*(20/100))+(DK100*(30/100))+(DL100*(50/100))) &lt;=5.3, SUM((DJ100*(20/100))+(DK100*(30/100))+(DL100*(50/100))) &gt;=4.8),5,
IF(AND( SUM((DJ100*(20/100))+(DK100*(30/100))+(DL100*(50/100))) &lt;=4.8, SUM((DJ100*(20/100))+(DK100*(30/100))+(DL100*(50/100))) &gt;=4.3),4.5,
IF(AND( SUM((DJ100*(20/100))+(DK100*(30/100))+(DL100*(50/100))) &lt;=4.3, SUM((DJ100*(20/100))+(DK100*(30/100))+(DL100*(50/100))) &gt;=3.8),4,
IF(AND( SUM((DJ100*(20/100))+(DK100*(30/100))+(DL100*(50/100))) &lt;=3.8, SUM((DJ100*(20/100))+(DK100*(30/100))+(DL100*(50/100))) &gt;=3.5),3.5,0)))))))))))))</f>
        <v>0</v>
      </c>
      <c r="DQ100" s="541"/>
      <c r="DR100" s="541"/>
      <c r="DS100" s="541"/>
      <c r="DT100" s="541"/>
      <c r="DU100" s="541"/>
      <c r="DV100" s="541"/>
      <c r="DW100" s="541"/>
      <c r="DX100" s="541"/>
      <c r="DY100" s="541"/>
      <c r="DZ100" s="541"/>
    </row>
    <row r="101" spans="2:130" x14ac:dyDescent="0.25">
      <c r="B101" s="334">
        <v>44</v>
      </c>
      <c r="C101" s="541"/>
      <c r="D101" s="334"/>
      <c r="E101" s="334"/>
      <c r="F101" s="334"/>
      <c r="G101" s="334"/>
      <c r="H101" s="334"/>
      <c r="I101" s="334"/>
      <c r="J101" s="536"/>
      <c r="K101" s="536"/>
      <c r="L101" s="536"/>
      <c r="M101" s="536"/>
      <c r="N101" s="536"/>
      <c r="O101" s="536"/>
      <c r="P101" s="536">
        <f t="shared" si="26"/>
        <v>0</v>
      </c>
      <c r="Q101" s="536"/>
      <c r="R101" s="536"/>
      <c r="S101" s="536"/>
      <c r="T101" s="536">
        <f t="shared" si="27"/>
        <v>0</v>
      </c>
      <c r="U101" s="536"/>
      <c r="V101" s="536"/>
      <c r="W101" s="536"/>
      <c r="X101" s="536">
        <f t="shared" si="28"/>
        <v>0</v>
      </c>
      <c r="Y101" s="536"/>
      <c r="Z101" s="536"/>
      <c r="AA101" s="536"/>
      <c r="AB101" s="536">
        <f t="shared" si="29"/>
        <v>0</v>
      </c>
      <c r="AC101" s="536"/>
      <c r="AD101" s="536"/>
      <c r="AE101" s="536"/>
      <c r="AF101" s="536">
        <f t="shared" si="30"/>
        <v>0</v>
      </c>
      <c r="AG101" s="536"/>
      <c r="AH101" s="536"/>
      <c r="AI101" s="536"/>
      <c r="AJ101" s="536">
        <f t="shared" si="31"/>
        <v>0</v>
      </c>
      <c r="AK101" s="536"/>
      <c r="AL101" s="536"/>
      <c r="AM101" s="536"/>
      <c r="AN101" s="542">
        <f t="shared" si="32"/>
        <v>0</v>
      </c>
      <c r="AO101" s="536"/>
      <c r="AP101" s="536"/>
      <c r="AQ101" s="536"/>
      <c r="AR101" s="542">
        <f t="shared" si="33"/>
        <v>0</v>
      </c>
      <c r="AS101" s="536"/>
      <c r="AT101" s="536"/>
      <c r="AU101" s="536"/>
      <c r="AV101" s="542">
        <f t="shared" si="34"/>
        <v>0</v>
      </c>
      <c r="AW101" s="536"/>
      <c r="AX101" s="536"/>
      <c r="AY101" s="536"/>
      <c r="AZ101" s="542">
        <f t="shared" si="35"/>
        <v>0</v>
      </c>
      <c r="BA101" s="536"/>
      <c r="BB101" s="536"/>
      <c r="BC101" s="536"/>
      <c r="BD101" s="542">
        <f t="shared" si="36"/>
        <v>0</v>
      </c>
      <c r="BE101" s="536"/>
      <c r="BF101" s="536"/>
      <c r="BG101" s="536"/>
      <c r="BH101" s="542">
        <f t="shared" si="37"/>
        <v>0</v>
      </c>
      <c r="BI101" s="536"/>
      <c r="BJ101" s="536"/>
      <c r="BK101" s="536"/>
      <c r="BL101" s="542">
        <f t="shared" si="38"/>
        <v>0</v>
      </c>
      <c r="BM101" s="536"/>
      <c r="BN101" s="536"/>
      <c r="BO101" s="536"/>
      <c r="BP101" s="542">
        <f t="shared" si="39"/>
        <v>0</v>
      </c>
      <c r="BQ101" s="536"/>
      <c r="BR101" s="536"/>
      <c r="BS101" s="536"/>
      <c r="BT101" s="542">
        <f t="shared" si="40"/>
        <v>0</v>
      </c>
      <c r="BU101" s="536"/>
      <c r="BV101" s="536"/>
      <c r="BW101" s="536"/>
      <c r="BX101" s="542">
        <f t="shared" si="41"/>
        <v>0</v>
      </c>
      <c r="BY101" s="536"/>
      <c r="BZ101" s="536"/>
      <c r="CA101" s="536"/>
      <c r="CB101" s="542">
        <v>0</v>
      </c>
      <c r="CC101" s="536"/>
      <c r="CD101" s="536"/>
      <c r="CE101" s="536"/>
      <c r="CF101" s="541">
        <f t="shared" si="42"/>
        <v>0</v>
      </c>
      <c r="CG101" s="536"/>
      <c r="CH101" s="536"/>
      <c r="CI101" s="536"/>
      <c r="CJ101" s="541">
        <f t="shared" si="43"/>
        <v>0</v>
      </c>
      <c r="CK101" s="536"/>
      <c r="CL101" s="536"/>
      <c r="CM101" s="536"/>
      <c r="CN101" s="541">
        <f t="shared" si="44"/>
        <v>0</v>
      </c>
      <c r="CO101" s="536"/>
      <c r="CP101" s="536"/>
      <c r="CQ101" s="536"/>
      <c r="CR101" s="541">
        <f t="shared" si="45"/>
        <v>0</v>
      </c>
      <c r="CS101" s="536"/>
      <c r="CT101" s="536"/>
      <c r="CU101" s="536"/>
      <c r="CV101" s="541">
        <f t="shared" si="46"/>
        <v>0</v>
      </c>
      <c r="CW101" s="536"/>
      <c r="CX101" s="536"/>
      <c r="CY101" s="536"/>
      <c r="CZ101" s="541">
        <f t="shared" si="47"/>
        <v>0</v>
      </c>
      <c r="DA101" s="536"/>
      <c r="DB101" s="536"/>
      <c r="DC101" s="536"/>
      <c r="DD101" s="541">
        <f t="shared" si="48"/>
        <v>0</v>
      </c>
      <c r="DE101" s="536"/>
      <c r="DF101" s="536"/>
      <c r="DG101" s="536"/>
      <c r="DH101" s="541">
        <f t="shared" si="49"/>
        <v>0</v>
      </c>
      <c r="DI101" s="536"/>
      <c r="DJ101" s="536"/>
      <c r="DK101" s="536"/>
      <c r="DL101" s="541">
        <f t="shared" si="50"/>
        <v>0</v>
      </c>
      <c r="DM101" s="536"/>
      <c r="DN101" s="536"/>
      <c r="DO101" s="536"/>
      <c r="DP101" s="541">
        <f>IF( SUM((DJ101*(20/100))+(DK101*(30/100))+(DL101*(50/100))) &gt;=9.3,9.5,
IF(AND( SUM((DJ101*(20/100))+(DK101*(30/100))+(DL101*(50/100))) &lt;=9.3, SUM((DJ101*(20/100))+(DK101*(30/100))+(DL101*(50/100))) &gt;=8.8),9,
IF(AND( SUM((DJ101*(20/100))+(DK101*(30/100))+(DL101*(50/100))) &lt;=8.8, SUM((DJ101*(20/100))+(DK101*(30/100))+(DL101*(50/100))) &gt;=8.3),8.5,
IF(AND( SUM((DJ101*(20/100))+(DK101*(30/100))+(DL101*(50/100))) &lt;=8.3, SUM((DJ101*(20/100))+(DK101*(30/100))+(DL101*(50/100))) &gt;=7.8),8,
IF(AND( SUM((DJ101*(20/100))+(DK101*(30/100))+(DL101*(50/100))) &lt;=7.8, SUM((DJ101*(20/100))+(DK101*(30/100))+(DL101*(50/100))) &gt;=7.3),7.5,
IF(AND( SUM((DJ101*(20/100))+(DK101*(30/100))+(DL101*(50/100))) &lt;=7.3, SUM((DJ101*(20/100))+(DK101*(30/100))+(DL101*(50/100))) &gt;=6.8),7,
IF(AND( SUM((DJ101*(20/100))+(DK101*(30/100))+(DL101*(50/100))) &lt;=6.8, SUM((DJ101*(20/100))+(DK101*(30/100))+(DL101*(50/100))) &gt;=6.3),6.5,
IF(AND( SUM((DJ101*(20/100))+(DK101*(30/100))+(DL101*(50/100))) &lt;=6.3, SUM((DJ101*(20/100))+(DK101*(30/100))+(DL101*(50/100))) &gt;=5.8),6,
IF(AND( SUM((DJ101*(20/100))+(DK101*(30/100))+(DL101*(50/100))) &lt;=5.8, SUM((DJ101*(20/100))+(DK101*(30/100))+(DL101*(50/100))) &gt;=5.3),5.5,
IF(AND( SUM((DJ101*(20/100))+(DK101*(30/100))+(DL101*(50/100))) &lt;=5.3, SUM((DJ101*(20/100))+(DK101*(30/100))+(DL101*(50/100))) &gt;=4.8),5,
IF(AND( SUM((DJ101*(20/100))+(DK101*(30/100))+(DL101*(50/100))) &lt;=4.8, SUM((DJ101*(20/100))+(DK101*(30/100))+(DL101*(50/100))) &gt;=4.3),4.5,
IF(AND( SUM((DJ101*(20/100))+(DK101*(30/100))+(DL101*(50/100))) &lt;=4.3, SUM((DJ101*(20/100))+(DK101*(30/100))+(DL101*(50/100))) &gt;=3.8),4,
IF(AND( SUM((DJ101*(20/100))+(DK101*(30/100))+(DL101*(50/100))) &lt;=3.8, SUM((DJ101*(20/100))+(DK101*(30/100))+(DL101*(50/100))) &gt;=3.5),3.5,0)))))))))))))</f>
        <v>0</v>
      </c>
      <c r="DQ101" s="541"/>
      <c r="DR101" s="541"/>
      <c r="DS101" s="541"/>
      <c r="DT101" s="541"/>
      <c r="DU101" s="541"/>
      <c r="DV101" s="541"/>
      <c r="DW101" s="541"/>
      <c r="DX101" s="541"/>
      <c r="DY101" s="541"/>
      <c r="DZ101" s="541"/>
    </row>
    <row r="102" spans="2:130" x14ac:dyDescent="0.25">
      <c r="B102" s="334">
        <v>45</v>
      </c>
      <c r="C102" s="541"/>
      <c r="D102" s="334"/>
      <c r="E102" s="334"/>
      <c r="F102" s="334"/>
      <c r="G102" s="334"/>
      <c r="H102" s="334"/>
      <c r="I102" s="334"/>
      <c r="J102" s="536"/>
      <c r="K102" s="536"/>
      <c r="L102" s="536"/>
      <c r="M102" s="536"/>
      <c r="N102" s="536"/>
      <c r="O102" s="536"/>
      <c r="P102" s="536">
        <f t="shared" si="26"/>
        <v>0</v>
      </c>
      <c r="Q102" s="536"/>
      <c r="R102" s="536"/>
      <c r="S102" s="536"/>
      <c r="T102" s="536">
        <f t="shared" si="27"/>
        <v>0</v>
      </c>
      <c r="U102" s="536"/>
      <c r="V102" s="536"/>
      <c r="W102" s="536"/>
      <c r="X102" s="536">
        <f t="shared" si="28"/>
        <v>0</v>
      </c>
      <c r="Y102" s="536"/>
      <c r="Z102" s="536"/>
      <c r="AA102" s="536"/>
      <c r="AB102" s="536">
        <f t="shared" si="29"/>
        <v>0</v>
      </c>
      <c r="AC102" s="536"/>
      <c r="AD102" s="536"/>
      <c r="AE102" s="536"/>
      <c r="AF102" s="536">
        <f t="shared" si="30"/>
        <v>0</v>
      </c>
      <c r="AG102" s="536"/>
      <c r="AH102" s="536"/>
      <c r="AI102" s="536"/>
      <c r="AJ102" s="536">
        <f t="shared" si="31"/>
        <v>0</v>
      </c>
      <c r="AK102" s="536"/>
      <c r="AL102" s="536"/>
      <c r="AM102" s="536"/>
      <c r="AN102" s="542">
        <f t="shared" si="32"/>
        <v>0</v>
      </c>
      <c r="AO102" s="536"/>
      <c r="AP102" s="536"/>
      <c r="AQ102" s="536"/>
      <c r="AR102" s="542">
        <f t="shared" si="33"/>
        <v>0</v>
      </c>
      <c r="AS102" s="536"/>
      <c r="AT102" s="536"/>
      <c r="AU102" s="536"/>
      <c r="AV102" s="542">
        <f t="shared" si="34"/>
        <v>0</v>
      </c>
      <c r="AW102" s="536"/>
      <c r="AX102" s="536"/>
      <c r="AY102" s="536"/>
      <c r="AZ102" s="542">
        <f t="shared" si="35"/>
        <v>0</v>
      </c>
      <c r="BA102" s="536"/>
      <c r="BB102" s="536"/>
      <c r="BC102" s="536"/>
      <c r="BD102" s="542">
        <f t="shared" si="36"/>
        <v>0</v>
      </c>
      <c r="BE102" s="536"/>
      <c r="BF102" s="536"/>
      <c r="BG102" s="536"/>
      <c r="BH102" s="542">
        <f t="shared" si="37"/>
        <v>0</v>
      </c>
      <c r="BI102" s="536"/>
      <c r="BJ102" s="536"/>
      <c r="BK102" s="536"/>
      <c r="BL102" s="542">
        <f t="shared" si="38"/>
        <v>0</v>
      </c>
      <c r="BM102" s="536"/>
      <c r="BN102" s="536"/>
      <c r="BO102" s="536"/>
      <c r="BP102" s="542">
        <f t="shared" si="39"/>
        <v>0</v>
      </c>
      <c r="BQ102" s="536"/>
      <c r="BR102" s="536"/>
      <c r="BS102" s="536"/>
      <c r="BT102" s="542">
        <f t="shared" si="40"/>
        <v>0</v>
      </c>
      <c r="BU102" s="536"/>
      <c r="BV102" s="536"/>
      <c r="BW102" s="536"/>
      <c r="BX102" s="542">
        <f t="shared" si="41"/>
        <v>0</v>
      </c>
      <c r="BY102" s="536"/>
      <c r="BZ102" s="536"/>
      <c r="CA102" s="536"/>
      <c r="CB102" s="542">
        <v>0</v>
      </c>
      <c r="CC102" s="536"/>
      <c r="CD102" s="536"/>
      <c r="CE102" s="536"/>
      <c r="CF102" s="541">
        <f t="shared" si="42"/>
        <v>0</v>
      </c>
      <c r="CG102" s="536"/>
      <c r="CH102" s="536"/>
      <c r="CI102" s="536"/>
      <c r="CJ102" s="541">
        <f t="shared" si="43"/>
        <v>0</v>
      </c>
      <c r="CK102" s="536"/>
      <c r="CL102" s="536"/>
      <c r="CM102" s="536"/>
      <c r="CN102" s="541">
        <f t="shared" si="44"/>
        <v>0</v>
      </c>
      <c r="CO102" s="536"/>
      <c r="CP102" s="536"/>
      <c r="CQ102" s="536"/>
      <c r="CR102" s="541">
        <f t="shared" si="45"/>
        <v>0</v>
      </c>
      <c r="CS102" s="536"/>
      <c r="CT102" s="536"/>
      <c r="CU102" s="536"/>
      <c r="CV102" s="541">
        <f t="shared" si="46"/>
        <v>0</v>
      </c>
      <c r="CW102" s="536"/>
      <c r="CX102" s="536"/>
      <c r="CY102" s="536"/>
      <c r="CZ102" s="541">
        <f t="shared" si="47"/>
        <v>0</v>
      </c>
      <c r="DA102" s="536"/>
      <c r="DB102" s="536"/>
      <c r="DC102" s="536"/>
      <c r="DD102" s="541">
        <f t="shared" si="48"/>
        <v>0</v>
      </c>
      <c r="DE102" s="536"/>
      <c r="DF102" s="536"/>
      <c r="DG102" s="536"/>
      <c r="DH102" s="541">
        <f t="shared" si="49"/>
        <v>0</v>
      </c>
      <c r="DI102" s="536"/>
      <c r="DJ102" s="536"/>
      <c r="DK102" s="536"/>
      <c r="DL102" s="541">
        <f t="shared" si="50"/>
        <v>0</v>
      </c>
      <c r="DM102" s="536"/>
      <c r="DN102" s="536"/>
      <c r="DO102" s="536"/>
      <c r="DP102" s="541">
        <f>IF( SUM((DJ102*(20/100))+(DK102*(30/100))+(DL102*(50/100))) &gt;=9.3,9.5,
IF(AND( SUM((DJ102*(20/100))+(DK102*(30/100))+(DL102*(50/100))) &lt;=9.3, SUM((DJ102*(20/100))+(DK102*(30/100))+(DL102*(50/100))) &gt;=8.8),9,
IF(AND( SUM((DJ102*(20/100))+(DK102*(30/100))+(DL102*(50/100))) &lt;=8.8, SUM((DJ102*(20/100))+(DK102*(30/100))+(DL102*(50/100))) &gt;=8.3),8.5,
IF(AND( SUM((DJ102*(20/100))+(DK102*(30/100))+(DL102*(50/100))) &lt;=8.3, SUM((DJ102*(20/100))+(DK102*(30/100))+(DL102*(50/100))) &gt;=7.8),8,
IF(AND( SUM((DJ102*(20/100))+(DK102*(30/100))+(DL102*(50/100))) &lt;=7.8, SUM((DJ102*(20/100))+(DK102*(30/100))+(DL102*(50/100))) &gt;=7.3),7.5,
IF(AND( SUM((DJ102*(20/100))+(DK102*(30/100))+(DL102*(50/100))) &lt;=7.3, SUM((DJ102*(20/100))+(DK102*(30/100))+(DL102*(50/100))) &gt;=6.8),7,
IF(AND( SUM((DJ102*(20/100))+(DK102*(30/100))+(DL102*(50/100))) &lt;=6.8, SUM((DJ102*(20/100))+(DK102*(30/100))+(DL102*(50/100))) &gt;=6.3),6.5,
IF(AND( SUM((DJ102*(20/100))+(DK102*(30/100))+(DL102*(50/100))) &lt;=6.3, SUM((DJ102*(20/100))+(DK102*(30/100))+(DL102*(50/100))) &gt;=5.8),6,
IF(AND( SUM((DJ102*(20/100))+(DK102*(30/100))+(DL102*(50/100))) &lt;=5.8, SUM((DJ102*(20/100))+(DK102*(30/100))+(DL102*(50/100))) &gt;=5.3),5.5,
IF(AND( SUM((DJ102*(20/100))+(DK102*(30/100))+(DL102*(50/100))) &lt;=5.3, SUM((DJ102*(20/100))+(DK102*(30/100))+(DL102*(50/100))) &gt;=4.8),5,
IF(AND( SUM((DJ102*(20/100))+(DK102*(30/100))+(DL102*(50/100))) &lt;=4.8, SUM((DJ102*(20/100))+(DK102*(30/100))+(DL102*(50/100))) &gt;=4.3),4.5,
IF(AND( SUM((DJ102*(20/100))+(DK102*(30/100))+(DL102*(50/100))) &lt;=4.3, SUM((DJ102*(20/100))+(DK102*(30/100))+(DL102*(50/100))) &gt;=3.8),4,
IF(AND( SUM((DJ102*(20/100))+(DK102*(30/100))+(DL102*(50/100))) &lt;=3.8, SUM((DJ102*(20/100))+(DK102*(30/100))+(DL102*(50/100))) &gt;=3.5),3.5,0)))))))))))))</f>
        <v>0</v>
      </c>
      <c r="DQ102" s="541"/>
      <c r="DR102" s="541"/>
      <c r="DS102" s="541"/>
      <c r="DT102" s="541"/>
      <c r="DU102" s="541"/>
      <c r="DV102" s="541"/>
      <c r="DW102" s="541"/>
      <c r="DX102" s="541"/>
      <c r="DY102" s="541"/>
      <c r="DZ102" s="541"/>
    </row>
    <row r="103" spans="2:130" x14ac:dyDescent="0.25">
      <c r="B103" s="334">
        <v>46</v>
      </c>
      <c r="C103" s="541"/>
      <c r="D103" s="334"/>
      <c r="E103" s="334"/>
      <c r="F103" s="334"/>
      <c r="G103" s="334"/>
      <c r="H103" s="334"/>
      <c r="I103" s="334"/>
      <c r="J103" s="536"/>
      <c r="K103" s="536"/>
      <c r="L103" s="536"/>
      <c r="M103" s="536"/>
      <c r="N103" s="536"/>
      <c r="O103" s="536"/>
      <c r="P103" s="536">
        <f t="shared" si="26"/>
        <v>0</v>
      </c>
      <c r="Q103" s="536"/>
      <c r="R103" s="536"/>
      <c r="S103" s="536"/>
      <c r="T103" s="536">
        <f t="shared" si="27"/>
        <v>0</v>
      </c>
      <c r="U103" s="536"/>
      <c r="V103" s="536"/>
      <c r="W103" s="536"/>
      <c r="X103" s="536">
        <f t="shared" si="28"/>
        <v>0</v>
      </c>
      <c r="Y103" s="536"/>
      <c r="Z103" s="536"/>
      <c r="AA103" s="536"/>
      <c r="AB103" s="536">
        <f t="shared" si="29"/>
        <v>0</v>
      </c>
      <c r="AC103" s="536"/>
      <c r="AD103" s="536"/>
      <c r="AE103" s="536"/>
      <c r="AF103" s="536">
        <f t="shared" si="30"/>
        <v>0</v>
      </c>
      <c r="AG103" s="536"/>
      <c r="AH103" s="536"/>
      <c r="AI103" s="536"/>
      <c r="AJ103" s="536">
        <f t="shared" si="31"/>
        <v>0</v>
      </c>
      <c r="AK103" s="536"/>
      <c r="AL103" s="536"/>
      <c r="AM103" s="536"/>
      <c r="AN103" s="542">
        <f t="shared" si="32"/>
        <v>0</v>
      </c>
      <c r="AO103" s="536"/>
      <c r="AP103" s="536"/>
      <c r="AQ103" s="536"/>
      <c r="AR103" s="542">
        <f t="shared" si="33"/>
        <v>0</v>
      </c>
      <c r="AS103" s="536"/>
      <c r="AT103" s="536"/>
      <c r="AU103" s="536"/>
      <c r="AV103" s="542">
        <f t="shared" si="34"/>
        <v>0</v>
      </c>
      <c r="AW103" s="536"/>
      <c r="AX103" s="536"/>
      <c r="AY103" s="536"/>
      <c r="AZ103" s="542">
        <f t="shared" si="35"/>
        <v>0</v>
      </c>
      <c r="BA103" s="536"/>
      <c r="BB103" s="536"/>
      <c r="BC103" s="536"/>
      <c r="BD103" s="542">
        <f t="shared" si="36"/>
        <v>0</v>
      </c>
      <c r="BE103" s="536"/>
      <c r="BF103" s="536"/>
      <c r="BG103" s="536"/>
      <c r="BH103" s="542">
        <f t="shared" si="37"/>
        <v>0</v>
      </c>
      <c r="BI103" s="536"/>
      <c r="BJ103" s="536"/>
      <c r="BK103" s="536"/>
      <c r="BL103" s="542">
        <f t="shared" si="38"/>
        <v>0</v>
      </c>
      <c r="BM103" s="536"/>
      <c r="BN103" s="536"/>
      <c r="BO103" s="536"/>
      <c r="BP103" s="542">
        <f t="shared" si="39"/>
        <v>0</v>
      </c>
      <c r="BQ103" s="536"/>
      <c r="BR103" s="536"/>
      <c r="BS103" s="536"/>
      <c r="BT103" s="542">
        <f t="shared" si="40"/>
        <v>0</v>
      </c>
      <c r="BU103" s="536"/>
      <c r="BV103" s="536"/>
      <c r="BW103" s="536"/>
      <c r="BX103" s="542">
        <f t="shared" si="41"/>
        <v>0</v>
      </c>
      <c r="BY103" s="536"/>
      <c r="BZ103" s="536"/>
      <c r="CA103" s="536"/>
      <c r="CB103" s="542">
        <v>0</v>
      </c>
      <c r="CC103" s="536"/>
      <c r="CD103" s="536"/>
      <c r="CE103" s="536"/>
      <c r="CF103" s="541">
        <f t="shared" si="42"/>
        <v>0</v>
      </c>
      <c r="CG103" s="536"/>
      <c r="CH103" s="536"/>
      <c r="CI103" s="536"/>
      <c r="CJ103" s="541">
        <f t="shared" si="43"/>
        <v>0</v>
      </c>
      <c r="CK103" s="536"/>
      <c r="CL103" s="536"/>
      <c r="CM103" s="536"/>
      <c r="CN103" s="541">
        <f t="shared" si="44"/>
        <v>0</v>
      </c>
      <c r="CO103" s="536"/>
      <c r="CP103" s="536"/>
      <c r="CQ103" s="536"/>
      <c r="CR103" s="541">
        <f t="shared" si="45"/>
        <v>0</v>
      </c>
      <c r="CS103" s="536"/>
      <c r="CT103" s="536"/>
      <c r="CU103" s="536"/>
      <c r="CV103" s="541">
        <f t="shared" si="46"/>
        <v>0</v>
      </c>
      <c r="CW103" s="536"/>
      <c r="CX103" s="536"/>
      <c r="CY103" s="536"/>
      <c r="CZ103" s="541">
        <f t="shared" si="47"/>
        <v>0</v>
      </c>
      <c r="DA103" s="536"/>
      <c r="DB103" s="536"/>
      <c r="DC103" s="536"/>
      <c r="DD103" s="541">
        <f t="shared" si="48"/>
        <v>0</v>
      </c>
      <c r="DE103" s="536"/>
      <c r="DF103" s="536"/>
      <c r="DG103" s="536"/>
      <c r="DH103" s="541">
        <f t="shared" si="49"/>
        <v>0</v>
      </c>
      <c r="DI103" s="536"/>
      <c r="DJ103" s="536"/>
      <c r="DK103" s="536"/>
      <c r="DL103" s="541">
        <f t="shared" si="50"/>
        <v>0</v>
      </c>
      <c r="DM103" s="536"/>
      <c r="DN103" s="536"/>
      <c r="DO103" s="536"/>
      <c r="DP103" s="541">
        <f>IF( SUM((DJ103*(20/100))+(DK103*(30/100))+(DL103*(50/100))) &gt;=9.3,9.5,
IF(AND( SUM((DJ103*(20/100))+(DK103*(30/100))+(DL103*(50/100))) &lt;=9.3, SUM((DJ103*(20/100))+(DK103*(30/100))+(DL103*(50/100))) &gt;=8.8),9,
IF(AND( SUM((DJ103*(20/100))+(DK103*(30/100))+(DL103*(50/100))) &lt;=8.8, SUM((DJ103*(20/100))+(DK103*(30/100))+(DL103*(50/100))) &gt;=8.3),8.5,
IF(AND( SUM((DJ103*(20/100))+(DK103*(30/100))+(DL103*(50/100))) &lt;=8.3, SUM((DJ103*(20/100))+(DK103*(30/100))+(DL103*(50/100))) &gt;=7.8),8,
IF(AND( SUM((DJ103*(20/100))+(DK103*(30/100))+(DL103*(50/100))) &lt;=7.8, SUM((DJ103*(20/100))+(DK103*(30/100))+(DL103*(50/100))) &gt;=7.3),7.5,
IF(AND( SUM((DJ103*(20/100))+(DK103*(30/100))+(DL103*(50/100))) &lt;=7.3, SUM((DJ103*(20/100))+(DK103*(30/100))+(DL103*(50/100))) &gt;=6.8),7,
IF(AND( SUM((DJ103*(20/100))+(DK103*(30/100))+(DL103*(50/100))) &lt;=6.8, SUM((DJ103*(20/100))+(DK103*(30/100))+(DL103*(50/100))) &gt;=6.3),6.5,
IF(AND( SUM((DJ103*(20/100))+(DK103*(30/100))+(DL103*(50/100))) &lt;=6.3, SUM((DJ103*(20/100))+(DK103*(30/100))+(DL103*(50/100))) &gt;=5.8),6,
IF(AND( SUM((DJ103*(20/100))+(DK103*(30/100))+(DL103*(50/100))) &lt;=5.8, SUM((DJ103*(20/100))+(DK103*(30/100))+(DL103*(50/100))) &gt;=5.3),5.5,
IF(AND( SUM((DJ103*(20/100))+(DK103*(30/100))+(DL103*(50/100))) &lt;=5.3, SUM((DJ103*(20/100))+(DK103*(30/100))+(DL103*(50/100))) &gt;=4.8),5,
IF(AND( SUM((DJ103*(20/100))+(DK103*(30/100))+(DL103*(50/100))) &lt;=4.8, SUM((DJ103*(20/100))+(DK103*(30/100))+(DL103*(50/100))) &gt;=4.3),4.5,
IF(AND( SUM((DJ103*(20/100))+(DK103*(30/100))+(DL103*(50/100))) &lt;=4.3, SUM((DJ103*(20/100))+(DK103*(30/100))+(DL103*(50/100))) &gt;=3.8),4,
IF(AND( SUM((DJ103*(20/100))+(DK103*(30/100))+(DL103*(50/100))) &lt;=3.8, SUM((DJ103*(20/100))+(DK103*(30/100))+(DL103*(50/100))) &gt;=3.5),3.5,0)))))))))))))</f>
        <v>0</v>
      </c>
      <c r="DQ103" s="541"/>
      <c r="DR103" s="541"/>
      <c r="DS103" s="541"/>
      <c r="DT103" s="541"/>
      <c r="DU103" s="541"/>
      <c r="DV103" s="541"/>
      <c r="DW103" s="541"/>
      <c r="DX103" s="541"/>
      <c r="DY103" s="541"/>
      <c r="DZ103" s="541"/>
    </row>
    <row r="104" spans="2:130" x14ac:dyDescent="0.25">
      <c r="B104" s="334">
        <v>47</v>
      </c>
      <c r="C104" s="541"/>
      <c r="D104" s="334"/>
      <c r="E104" s="334"/>
      <c r="F104" s="334"/>
      <c r="G104" s="334"/>
      <c r="H104" s="334"/>
      <c r="I104" s="334"/>
      <c r="J104" s="536"/>
      <c r="K104" s="536"/>
      <c r="L104" s="536"/>
      <c r="M104" s="536"/>
      <c r="N104" s="536"/>
      <c r="O104" s="536"/>
      <c r="P104" s="536">
        <f t="shared" si="26"/>
        <v>0</v>
      </c>
      <c r="Q104" s="536"/>
      <c r="R104" s="536"/>
      <c r="S104" s="536"/>
      <c r="T104" s="536">
        <f t="shared" si="27"/>
        <v>0</v>
      </c>
      <c r="U104" s="536"/>
      <c r="V104" s="536"/>
      <c r="W104" s="536"/>
      <c r="X104" s="536">
        <f t="shared" si="28"/>
        <v>0</v>
      </c>
      <c r="Y104" s="536"/>
      <c r="Z104" s="536"/>
      <c r="AA104" s="536"/>
      <c r="AB104" s="536">
        <f t="shared" si="29"/>
        <v>0</v>
      </c>
      <c r="AC104" s="536"/>
      <c r="AD104" s="536"/>
      <c r="AE104" s="536"/>
      <c r="AF104" s="536">
        <f t="shared" si="30"/>
        <v>0</v>
      </c>
      <c r="AG104" s="536"/>
      <c r="AH104" s="536"/>
      <c r="AI104" s="536"/>
      <c r="AJ104" s="536">
        <f t="shared" si="31"/>
        <v>0</v>
      </c>
      <c r="AK104" s="536"/>
      <c r="AL104" s="536"/>
      <c r="AM104" s="536"/>
      <c r="AN104" s="542">
        <f t="shared" si="32"/>
        <v>0</v>
      </c>
      <c r="AO104" s="536"/>
      <c r="AP104" s="536"/>
      <c r="AQ104" s="536"/>
      <c r="AR104" s="542">
        <f t="shared" si="33"/>
        <v>0</v>
      </c>
      <c r="AS104" s="536"/>
      <c r="AT104" s="536"/>
      <c r="AU104" s="536"/>
      <c r="AV104" s="542">
        <f t="shared" si="34"/>
        <v>0</v>
      </c>
      <c r="AW104" s="536"/>
      <c r="AX104" s="536"/>
      <c r="AY104" s="536"/>
      <c r="AZ104" s="542">
        <f t="shared" si="35"/>
        <v>0</v>
      </c>
      <c r="BA104" s="536"/>
      <c r="BB104" s="536"/>
      <c r="BC104" s="536"/>
      <c r="BD104" s="542">
        <f t="shared" si="36"/>
        <v>0</v>
      </c>
      <c r="BE104" s="536"/>
      <c r="BF104" s="536"/>
      <c r="BG104" s="536"/>
      <c r="BH104" s="542">
        <f t="shared" si="37"/>
        <v>0</v>
      </c>
      <c r="BI104" s="536"/>
      <c r="BJ104" s="536"/>
      <c r="BK104" s="536"/>
      <c r="BL104" s="542">
        <f t="shared" si="38"/>
        <v>0</v>
      </c>
      <c r="BM104" s="536"/>
      <c r="BN104" s="536"/>
      <c r="BO104" s="536"/>
      <c r="BP104" s="542">
        <f t="shared" si="39"/>
        <v>0</v>
      </c>
      <c r="BQ104" s="536"/>
      <c r="BR104" s="536"/>
      <c r="BS104" s="536"/>
      <c r="BT104" s="542">
        <f t="shared" si="40"/>
        <v>0</v>
      </c>
      <c r="BU104" s="536"/>
      <c r="BV104" s="536"/>
      <c r="BW104" s="536"/>
      <c r="BX104" s="542">
        <f t="shared" si="41"/>
        <v>0</v>
      </c>
      <c r="BY104" s="536"/>
      <c r="BZ104" s="536"/>
      <c r="CA104" s="536"/>
      <c r="CB104" s="542">
        <v>0</v>
      </c>
      <c r="CC104" s="536"/>
      <c r="CD104" s="536"/>
      <c r="CE104" s="536"/>
      <c r="CF104" s="541">
        <f t="shared" si="42"/>
        <v>0</v>
      </c>
      <c r="CG104" s="536"/>
      <c r="CH104" s="536"/>
      <c r="CI104" s="536"/>
      <c r="CJ104" s="541">
        <f t="shared" si="43"/>
        <v>0</v>
      </c>
      <c r="CK104" s="536"/>
      <c r="CL104" s="536"/>
      <c r="CM104" s="536"/>
      <c r="CN104" s="541">
        <f t="shared" si="44"/>
        <v>0</v>
      </c>
      <c r="CO104" s="536"/>
      <c r="CP104" s="536"/>
      <c r="CQ104" s="536"/>
      <c r="CR104" s="541">
        <f t="shared" si="45"/>
        <v>0</v>
      </c>
      <c r="CS104" s="536"/>
      <c r="CT104" s="536"/>
      <c r="CU104" s="536"/>
      <c r="CV104" s="541">
        <f t="shared" si="46"/>
        <v>0</v>
      </c>
      <c r="CW104" s="536"/>
      <c r="CX104" s="536"/>
      <c r="CY104" s="536"/>
      <c r="CZ104" s="541">
        <f t="shared" si="47"/>
        <v>0</v>
      </c>
      <c r="DA104" s="536"/>
      <c r="DB104" s="536"/>
      <c r="DC104" s="536"/>
      <c r="DD104" s="541">
        <f t="shared" si="48"/>
        <v>0</v>
      </c>
      <c r="DE104" s="536"/>
      <c r="DF104" s="536"/>
      <c r="DG104" s="536"/>
      <c r="DH104" s="541">
        <f t="shared" si="49"/>
        <v>0</v>
      </c>
      <c r="DI104" s="536"/>
      <c r="DJ104" s="536"/>
      <c r="DK104" s="536"/>
      <c r="DL104" s="541">
        <f t="shared" si="50"/>
        <v>0</v>
      </c>
      <c r="DM104" s="536"/>
      <c r="DN104" s="536"/>
      <c r="DO104" s="536"/>
      <c r="DP104" s="541">
        <f>IF( SUM((DJ104*(20/100))+(DK104*(30/100))+(DL104*(50/100))) &gt;=9.3,9.5,
IF(AND( SUM((DJ104*(20/100))+(DK104*(30/100))+(DL104*(50/100))) &lt;=9.3, SUM((DJ104*(20/100))+(DK104*(30/100))+(DL104*(50/100))) &gt;=8.8),9,
IF(AND( SUM((DJ104*(20/100))+(DK104*(30/100))+(DL104*(50/100))) &lt;=8.8, SUM((DJ104*(20/100))+(DK104*(30/100))+(DL104*(50/100))) &gt;=8.3),8.5,
IF(AND( SUM((DJ104*(20/100))+(DK104*(30/100))+(DL104*(50/100))) &lt;=8.3, SUM((DJ104*(20/100))+(DK104*(30/100))+(DL104*(50/100))) &gt;=7.8),8,
IF(AND( SUM((DJ104*(20/100))+(DK104*(30/100))+(DL104*(50/100))) &lt;=7.8, SUM((DJ104*(20/100))+(DK104*(30/100))+(DL104*(50/100))) &gt;=7.3),7.5,
IF(AND( SUM((DJ104*(20/100))+(DK104*(30/100))+(DL104*(50/100))) &lt;=7.3, SUM((DJ104*(20/100))+(DK104*(30/100))+(DL104*(50/100))) &gt;=6.8),7,
IF(AND( SUM((DJ104*(20/100))+(DK104*(30/100))+(DL104*(50/100))) &lt;=6.8, SUM((DJ104*(20/100))+(DK104*(30/100))+(DL104*(50/100))) &gt;=6.3),6.5,
IF(AND( SUM((DJ104*(20/100))+(DK104*(30/100))+(DL104*(50/100))) &lt;=6.3, SUM((DJ104*(20/100))+(DK104*(30/100))+(DL104*(50/100))) &gt;=5.8),6,
IF(AND( SUM((DJ104*(20/100))+(DK104*(30/100))+(DL104*(50/100))) &lt;=5.8, SUM((DJ104*(20/100))+(DK104*(30/100))+(DL104*(50/100))) &gt;=5.3),5.5,
IF(AND( SUM((DJ104*(20/100))+(DK104*(30/100))+(DL104*(50/100))) &lt;=5.3, SUM((DJ104*(20/100))+(DK104*(30/100))+(DL104*(50/100))) &gt;=4.8),5,
IF(AND( SUM((DJ104*(20/100))+(DK104*(30/100))+(DL104*(50/100))) &lt;=4.8, SUM((DJ104*(20/100))+(DK104*(30/100))+(DL104*(50/100))) &gt;=4.3),4.5,
IF(AND( SUM((DJ104*(20/100))+(DK104*(30/100))+(DL104*(50/100))) &lt;=4.3, SUM((DJ104*(20/100))+(DK104*(30/100))+(DL104*(50/100))) &gt;=3.8),4,
IF(AND( SUM((DJ104*(20/100))+(DK104*(30/100))+(DL104*(50/100))) &lt;=3.8, SUM((DJ104*(20/100))+(DK104*(30/100))+(DL104*(50/100))) &gt;=3.5),3.5,0)))))))))))))</f>
        <v>0</v>
      </c>
      <c r="DQ104" s="541"/>
      <c r="DR104" s="541"/>
      <c r="DS104" s="541"/>
      <c r="DT104" s="541"/>
      <c r="DU104" s="541"/>
      <c r="DV104" s="541"/>
      <c r="DW104" s="541"/>
      <c r="DX104" s="541"/>
      <c r="DY104" s="541"/>
      <c r="DZ104" s="541"/>
    </row>
    <row r="105" spans="2:130" x14ac:dyDescent="0.25">
      <c r="B105" s="334">
        <v>48</v>
      </c>
      <c r="C105" s="541"/>
      <c r="D105" s="334"/>
      <c r="E105" s="334"/>
      <c r="F105" s="334"/>
      <c r="G105" s="334"/>
      <c r="H105" s="334"/>
      <c r="I105" s="334"/>
      <c r="J105" s="536"/>
      <c r="K105" s="536"/>
      <c r="L105" s="536"/>
      <c r="M105" s="536"/>
      <c r="N105" s="536"/>
      <c r="O105" s="536"/>
      <c r="P105" s="536">
        <f t="shared" si="26"/>
        <v>0</v>
      </c>
      <c r="Q105" s="536"/>
      <c r="R105" s="536"/>
      <c r="S105" s="536"/>
      <c r="T105" s="536">
        <f t="shared" si="27"/>
        <v>0</v>
      </c>
      <c r="U105" s="536"/>
      <c r="V105" s="536"/>
      <c r="W105" s="536"/>
      <c r="X105" s="536">
        <f t="shared" si="28"/>
        <v>0</v>
      </c>
      <c r="Y105" s="536"/>
      <c r="Z105" s="536"/>
      <c r="AA105" s="536"/>
      <c r="AB105" s="536">
        <f t="shared" si="29"/>
        <v>0</v>
      </c>
      <c r="AC105" s="536"/>
      <c r="AD105" s="536"/>
      <c r="AE105" s="536"/>
      <c r="AF105" s="536">
        <f t="shared" si="30"/>
        <v>0</v>
      </c>
      <c r="AG105" s="536"/>
      <c r="AH105" s="536"/>
      <c r="AI105" s="536"/>
      <c r="AJ105" s="536">
        <f t="shared" si="31"/>
        <v>0</v>
      </c>
      <c r="AK105" s="536"/>
      <c r="AL105" s="536"/>
      <c r="AM105" s="536"/>
      <c r="AN105" s="542">
        <f t="shared" si="32"/>
        <v>0</v>
      </c>
      <c r="AO105" s="536"/>
      <c r="AP105" s="536"/>
      <c r="AQ105" s="536"/>
      <c r="AR105" s="542">
        <f t="shared" si="33"/>
        <v>0</v>
      </c>
      <c r="AS105" s="536"/>
      <c r="AT105" s="536"/>
      <c r="AU105" s="536"/>
      <c r="AV105" s="542">
        <f t="shared" si="34"/>
        <v>0</v>
      </c>
      <c r="AW105" s="536"/>
      <c r="AX105" s="536"/>
      <c r="AY105" s="536"/>
      <c r="AZ105" s="542">
        <f t="shared" si="35"/>
        <v>0</v>
      </c>
      <c r="BA105" s="536"/>
      <c r="BB105" s="536"/>
      <c r="BC105" s="536"/>
      <c r="BD105" s="542">
        <f t="shared" si="36"/>
        <v>0</v>
      </c>
      <c r="BE105" s="536"/>
      <c r="BF105" s="536"/>
      <c r="BG105" s="536"/>
      <c r="BH105" s="542">
        <f t="shared" si="37"/>
        <v>0</v>
      </c>
      <c r="BI105" s="536"/>
      <c r="BJ105" s="536"/>
      <c r="BK105" s="536"/>
      <c r="BL105" s="542">
        <f t="shared" si="38"/>
        <v>0</v>
      </c>
      <c r="BM105" s="536"/>
      <c r="BN105" s="536"/>
      <c r="BO105" s="536"/>
      <c r="BP105" s="542">
        <f t="shared" si="39"/>
        <v>0</v>
      </c>
      <c r="BQ105" s="536"/>
      <c r="BR105" s="536"/>
      <c r="BS105" s="536"/>
      <c r="BT105" s="542">
        <f t="shared" si="40"/>
        <v>0</v>
      </c>
      <c r="BU105" s="536"/>
      <c r="BV105" s="536"/>
      <c r="BW105" s="536"/>
      <c r="BX105" s="542">
        <f t="shared" si="41"/>
        <v>0</v>
      </c>
      <c r="BY105" s="536"/>
      <c r="BZ105" s="536"/>
      <c r="CA105" s="536"/>
      <c r="CB105" s="542">
        <v>0</v>
      </c>
      <c r="CC105" s="536"/>
      <c r="CD105" s="536"/>
      <c r="CE105" s="536"/>
      <c r="CF105" s="541">
        <f t="shared" si="42"/>
        <v>0</v>
      </c>
      <c r="CG105" s="536"/>
      <c r="CH105" s="536"/>
      <c r="CI105" s="536"/>
      <c r="CJ105" s="541">
        <f t="shared" si="43"/>
        <v>0</v>
      </c>
      <c r="CK105" s="536"/>
      <c r="CL105" s="536"/>
      <c r="CM105" s="536"/>
      <c r="CN105" s="541">
        <f t="shared" si="44"/>
        <v>0</v>
      </c>
      <c r="CO105" s="536"/>
      <c r="CP105" s="536"/>
      <c r="CQ105" s="536"/>
      <c r="CR105" s="541">
        <f t="shared" si="45"/>
        <v>0</v>
      </c>
      <c r="CS105" s="536"/>
      <c r="CT105" s="536"/>
      <c r="CU105" s="536"/>
      <c r="CV105" s="541">
        <f t="shared" si="46"/>
        <v>0</v>
      </c>
      <c r="CW105" s="536"/>
      <c r="CX105" s="536"/>
      <c r="CY105" s="536"/>
      <c r="CZ105" s="541">
        <f t="shared" si="47"/>
        <v>0</v>
      </c>
      <c r="DA105" s="536"/>
      <c r="DB105" s="536"/>
      <c r="DC105" s="536"/>
      <c r="DD105" s="541">
        <f t="shared" si="48"/>
        <v>0</v>
      </c>
      <c r="DE105" s="536"/>
      <c r="DF105" s="536"/>
      <c r="DG105" s="536"/>
      <c r="DH105" s="541">
        <f t="shared" si="49"/>
        <v>0</v>
      </c>
      <c r="DI105" s="536"/>
      <c r="DJ105" s="536"/>
      <c r="DK105" s="536"/>
      <c r="DL105" s="541">
        <f t="shared" si="50"/>
        <v>0</v>
      </c>
      <c r="DM105" s="536"/>
      <c r="DN105" s="536"/>
      <c r="DO105" s="536"/>
      <c r="DP105" s="541">
        <f>IF( SUM((DJ105*(20/100))+(DK105*(30/100))+(DL105*(50/100))) &gt;=9.3,9.5,
IF(AND( SUM((DJ105*(20/100))+(DK105*(30/100))+(DL105*(50/100))) &lt;=9.3, SUM((DJ105*(20/100))+(DK105*(30/100))+(DL105*(50/100))) &gt;=8.8),9,
IF(AND( SUM((DJ105*(20/100))+(DK105*(30/100))+(DL105*(50/100))) &lt;=8.8, SUM((DJ105*(20/100))+(DK105*(30/100))+(DL105*(50/100))) &gt;=8.3),8.5,
IF(AND( SUM((DJ105*(20/100))+(DK105*(30/100))+(DL105*(50/100))) &lt;=8.3, SUM((DJ105*(20/100))+(DK105*(30/100))+(DL105*(50/100))) &gt;=7.8),8,
IF(AND( SUM((DJ105*(20/100))+(DK105*(30/100))+(DL105*(50/100))) &lt;=7.8, SUM((DJ105*(20/100))+(DK105*(30/100))+(DL105*(50/100))) &gt;=7.3),7.5,
IF(AND( SUM((DJ105*(20/100))+(DK105*(30/100))+(DL105*(50/100))) &lt;=7.3, SUM((DJ105*(20/100))+(DK105*(30/100))+(DL105*(50/100))) &gt;=6.8),7,
IF(AND( SUM((DJ105*(20/100))+(DK105*(30/100))+(DL105*(50/100))) &lt;=6.8, SUM((DJ105*(20/100))+(DK105*(30/100))+(DL105*(50/100))) &gt;=6.3),6.5,
IF(AND( SUM((DJ105*(20/100))+(DK105*(30/100))+(DL105*(50/100))) &lt;=6.3, SUM((DJ105*(20/100))+(DK105*(30/100))+(DL105*(50/100))) &gt;=5.8),6,
IF(AND( SUM((DJ105*(20/100))+(DK105*(30/100))+(DL105*(50/100))) &lt;=5.8, SUM((DJ105*(20/100))+(DK105*(30/100))+(DL105*(50/100))) &gt;=5.3),5.5,
IF(AND( SUM((DJ105*(20/100))+(DK105*(30/100))+(DL105*(50/100))) &lt;=5.3, SUM((DJ105*(20/100))+(DK105*(30/100))+(DL105*(50/100))) &gt;=4.8),5,
IF(AND( SUM((DJ105*(20/100))+(DK105*(30/100))+(DL105*(50/100))) &lt;=4.8, SUM((DJ105*(20/100))+(DK105*(30/100))+(DL105*(50/100))) &gt;=4.3),4.5,
IF(AND( SUM((DJ105*(20/100))+(DK105*(30/100))+(DL105*(50/100))) &lt;=4.3, SUM((DJ105*(20/100))+(DK105*(30/100))+(DL105*(50/100))) &gt;=3.8),4,
IF(AND( SUM((DJ105*(20/100))+(DK105*(30/100))+(DL105*(50/100))) &lt;=3.8, SUM((DJ105*(20/100))+(DK105*(30/100))+(DL105*(50/100))) &gt;=3.5),3.5,0)))))))))))))</f>
        <v>0</v>
      </c>
      <c r="DQ105" s="541"/>
      <c r="DR105" s="541"/>
      <c r="DS105" s="541"/>
      <c r="DT105" s="541"/>
      <c r="DU105" s="541"/>
      <c r="DV105" s="541"/>
      <c r="DW105" s="541"/>
      <c r="DX105" s="541"/>
      <c r="DY105" s="541"/>
      <c r="DZ105" s="541"/>
    </row>
    <row r="106" spans="2:130" x14ac:dyDescent="0.25">
      <c r="B106" s="334">
        <v>49</v>
      </c>
      <c r="C106" s="541"/>
      <c r="D106" s="334"/>
      <c r="E106" s="334"/>
      <c r="F106" s="334"/>
      <c r="G106" s="334"/>
      <c r="H106" s="334"/>
      <c r="I106" s="334"/>
      <c r="J106" s="536"/>
      <c r="K106" s="536"/>
      <c r="L106" s="536"/>
      <c r="M106" s="536"/>
      <c r="N106" s="536"/>
      <c r="O106" s="536"/>
      <c r="P106" s="536">
        <f t="shared" si="26"/>
        <v>0</v>
      </c>
      <c r="Q106" s="536"/>
      <c r="R106" s="536"/>
      <c r="S106" s="536"/>
      <c r="T106" s="536">
        <f t="shared" si="27"/>
        <v>0</v>
      </c>
      <c r="U106" s="536"/>
      <c r="V106" s="536"/>
      <c r="W106" s="536"/>
      <c r="X106" s="536">
        <f t="shared" si="28"/>
        <v>0</v>
      </c>
      <c r="Y106" s="536"/>
      <c r="Z106" s="536"/>
      <c r="AA106" s="536"/>
      <c r="AB106" s="536">
        <f t="shared" si="29"/>
        <v>0</v>
      </c>
      <c r="AC106" s="536"/>
      <c r="AD106" s="536"/>
      <c r="AE106" s="536"/>
      <c r="AF106" s="536">
        <f t="shared" si="30"/>
        <v>0</v>
      </c>
      <c r="AG106" s="536"/>
      <c r="AH106" s="536"/>
      <c r="AI106" s="536"/>
      <c r="AJ106" s="536">
        <f t="shared" si="31"/>
        <v>0</v>
      </c>
      <c r="AK106" s="536"/>
      <c r="AL106" s="536"/>
      <c r="AM106" s="536"/>
      <c r="AN106" s="542">
        <f t="shared" si="32"/>
        <v>0</v>
      </c>
      <c r="AO106" s="536"/>
      <c r="AP106" s="536"/>
      <c r="AQ106" s="536"/>
      <c r="AR106" s="542">
        <f t="shared" si="33"/>
        <v>0</v>
      </c>
      <c r="AS106" s="536"/>
      <c r="AT106" s="536"/>
      <c r="AU106" s="536"/>
      <c r="AV106" s="542">
        <f t="shared" si="34"/>
        <v>0</v>
      </c>
      <c r="AW106" s="536"/>
      <c r="AX106" s="536"/>
      <c r="AY106" s="536"/>
      <c r="AZ106" s="542">
        <f t="shared" si="35"/>
        <v>0</v>
      </c>
      <c r="BA106" s="536"/>
      <c r="BB106" s="536"/>
      <c r="BC106" s="536"/>
      <c r="BD106" s="542">
        <f t="shared" si="36"/>
        <v>0</v>
      </c>
      <c r="BE106" s="536"/>
      <c r="BF106" s="536"/>
      <c r="BG106" s="536"/>
      <c r="BH106" s="542">
        <f t="shared" si="37"/>
        <v>0</v>
      </c>
      <c r="BI106" s="536"/>
      <c r="BJ106" s="536"/>
      <c r="BK106" s="536"/>
      <c r="BL106" s="542">
        <f t="shared" si="38"/>
        <v>0</v>
      </c>
      <c r="BM106" s="536"/>
      <c r="BN106" s="536"/>
      <c r="BO106" s="536"/>
      <c r="BP106" s="542">
        <f t="shared" si="39"/>
        <v>0</v>
      </c>
      <c r="BQ106" s="536"/>
      <c r="BR106" s="536"/>
      <c r="BS106" s="536"/>
      <c r="BT106" s="542">
        <f t="shared" si="40"/>
        <v>0</v>
      </c>
      <c r="BU106" s="536"/>
      <c r="BV106" s="536"/>
      <c r="BW106" s="536"/>
      <c r="BX106" s="542">
        <f t="shared" si="41"/>
        <v>0</v>
      </c>
      <c r="BY106" s="536"/>
      <c r="BZ106" s="536"/>
      <c r="CA106" s="536"/>
      <c r="CB106" s="542">
        <v>0</v>
      </c>
      <c r="CC106" s="536"/>
      <c r="CD106" s="536"/>
      <c r="CE106" s="536"/>
      <c r="CF106" s="541">
        <f t="shared" si="42"/>
        <v>0</v>
      </c>
      <c r="CG106" s="536"/>
      <c r="CH106" s="536"/>
      <c r="CI106" s="536"/>
      <c r="CJ106" s="541">
        <f t="shared" si="43"/>
        <v>0</v>
      </c>
      <c r="CK106" s="536"/>
      <c r="CL106" s="536"/>
      <c r="CM106" s="536"/>
      <c r="CN106" s="541">
        <f t="shared" si="44"/>
        <v>0</v>
      </c>
      <c r="CO106" s="536"/>
      <c r="CP106" s="536"/>
      <c r="CQ106" s="536"/>
      <c r="CR106" s="541">
        <f t="shared" si="45"/>
        <v>0</v>
      </c>
      <c r="CS106" s="536"/>
      <c r="CT106" s="536"/>
      <c r="CU106" s="536"/>
      <c r="CV106" s="541">
        <f t="shared" si="46"/>
        <v>0</v>
      </c>
      <c r="CW106" s="536"/>
      <c r="CX106" s="536"/>
      <c r="CY106" s="536"/>
      <c r="CZ106" s="541">
        <f t="shared" si="47"/>
        <v>0</v>
      </c>
      <c r="DA106" s="536"/>
      <c r="DB106" s="536"/>
      <c r="DC106" s="536"/>
      <c r="DD106" s="541">
        <f t="shared" si="48"/>
        <v>0</v>
      </c>
      <c r="DE106" s="536"/>
      <c r="DF106" s="536"/>
      <c r="DG106" s="536"/>
      <c r="DH106" s="541">
        <f t="shared" si="49"/>
        <v>0</v>
      </c>
      <c r="DI106" s="536"/>
      <c r="DJ106" s="536"/>
      <c r="DK106" s="536"/>
      <c r="DL106" s="541">
        <f t="shared" si="50"/>
        <v>0</v>
      </c>
      <c r="DM106" s="536"/>
      <c r="DN106" s="536"/>
      <c r="DO106" s="536"/>
      <c r="DP106" s="541">
        <f>IF( SUM((DJ106*(20/100))+(DK106*(30/100))+(DL106*(50/100))) &gt;=9.3,9.5,
IF(AND( SUM((DJ106*(20/100))+(DK106*(30/100))+(DL106*(50/100))) &lt;=9.3, SUM((DJ106*(20/100))+(DK106*(30/100))+(DL106*(50/100))) &gt;=8.8),9,
IF(AND( SUM((DJ106*(20/100))+(DK106*(30/100))+(DL106*(50/100))) &lt;=8.8, SUM((DJ106*(20/100))+(DK106*(30/100))+(DL106*(50/100))) &gt;=8.3),8.5,
IF(AND( SUM((DJ106*(20/100))+(DK106*(30/100))+(DL106*(50/100))) &lt;=8.3, SUM((DJ106*(20/100))+(DK106*(30/100))+(DL106*(50/100))) &gt;=7.8),8,
IF(AND( SUM((DJ106*(20/100))+(DK106*(30/100))+(DL106*(50/100))) &lt;=7.8, SUM((DJ106*(20/100))+(DK106*(30/100))+(DL106*(50/100))) &gt;=7.3),7.5,
IF(AND( SUM((DJ106*(20/100))+(DK106*(30/100))+(DL106*(50/100))) &lt;=7.3, SUM((DJ106*(20/100))+(DK106*(30/100))+(DL106*(50/100))) &gt;=6.8),7,
IF(AND( SUM((DJ106*(20/100))+(DK106*(30/100))+(DL106*(50/100))) &lt;=6.8, SUM((DJ106*(20/100))+(DK106*(30/100))+(DL106*(50/100))) &gt;=6.3),6.5,
IF(AND( SUM((DJ106*(20/100))+(DK106*(30/100))+(DL106*(50/100))) &lt;=6.3, SUM((DJ106*(20/100))+(DK106*(30/100))+(DL106*(50/100))) &gt;=5.8),6,
IF(AND( SUM((DJ106*(20/100))+(DK106*(30/100))+(DL106*(50/100))) &lt;=5.8, SUM((DJ106*(20/100))+(DK106*(30/100))+(DL106*(50/100))) &gt;=5.3),5.5,
IF(AND( SUM((DJ106*(20/100))+(DK106*(30/100))+(DL106*(50/100))) &lt;=5.3, SUM((DJ106*(20/100))+(DK106*(30/100))+(DL106*(50/100))) &gt;=4.8),5,
IF(AND( SUM((DJ106*(20/100))+(DK106*(30/100))+(DL106*(50/100))) &lt;=4.8, SUM((DJ106*(20/100))+(DK106*(30/100))+(DL106*(50/100))) &gt;=4.3),4.5,
IF(AND( SUM((DJ106*(20/100))+(DK106*(30/100))+(DL106*(50/100))) &lt;=4.3, SUM((DJ106*(20/100))+(DK106*(30/100))+(DL106*(50/100))) &gt;=3.8),4,
IF(AND( SUM((DJ106*(20/100))+(DK106*(30/100))+(DL106*(50/100))) &lt;=3.8, SUM((DJ106*(20/100))+(DK106*(30/100))+(DL106*(50/100))) &gt;=3.5),3.5,0)))))))))))))</f>
        <v>0</v>
      </c>
      <c r="DQ106" s="541"/>
      <c r="DR106" s="541"/>
      <c r="DS106" s="541"/>
      <c r="DT106" s="541"/>
      <c r="DU106" s="541"/>
      <c r="DV106" s="541"/>
      <c r="DW106" s="541"/>
      <c r="DX106" s="541"/>
      <c r="DY106" s="541"/>
      <c r="DZ106" s="541"/>
    </row>
    <row r="107" spans="2:130" x14ac:dyDescent="0.25">
      <c r="B107" s="334">
        <v>50</v>
      </c>
      <c r="C107" s="541"/>
      <c r="D107" s="334"/>
      <c r="E107" s="334"/>
      <c r="F107" s="334"/>
      <c r="G107" s="334"/>
      <c r="H107" s="334"/>
      <c r="I107" s="334"/>
      <c r="J107" s="536"/>
      <c r="K107" s="536"/>
      <c r="L107" s="536"/>
      <c r="M107" s="536"/>
      <c r="N107" s="536"/>
      <c r="O107" s="536"/>
      <c r="P107" s="536">
        <f t="shared" si="26"/>
        <v>0</v>
      </c>
      <c r="Q107" s="536"/>
      <c r="R107" s="536"/>
      <c r="S107" s="536"/>
      <c r="T107" s="536">
        <f t="shared" si="27"/>
        <v>0</v>
      </c>
      <c r="U107" s="536"/>
      <c r="V107" s="536"/>
      <c r="W107" s="536"/>
      <c r="X107" s="536">
        <f t="shared" si="28"/>
        <v>0</v>
      </c>
      <c r="Y107" s="536"/>
      <c r="Z107" s="536"/>
      <c r="AA107" s="536"/>
      <c r="AB107" s="536">
        <f t="shared" si="29"/>
        <v>0</v>
      </c>
      <c r="AC107" s="536"/>
      <c r="AD107" s="536"/>
      <c r="AE107" s="536"/>
      <c r="AF107" s="536">
        <f t="shared" si="30"/>
        <v>0</v>
      </c>
      <c r="AG107" s="536"/>
      <c r="AH107" s="536"/>
      <c r="AI107" s="536"/>
      <c r="AJ107" s="536">
        <f t="shared" si="31"/>
        <v>0</v>
      </c>
      <c r="AK107" s="536"/>
      <c r="AL107" s="536"/>
      <c r="AM107" s="536"/>
      <c r="AN107" s="542">
        <f t="shared" si="32"/>
        <v>0</v>
      </c>
      <c r="AO107" s="536"/>
      <c r="AP107" s="536"/>
      <c r="AQ107" s="536"/>
      <c r="AR107" s="542">
        <f t="shared" si="33"/>
        <v>0</v>
      </c>
      <c r="AS107" s="536"/>
      <c r="AT107" s="536"/>
      <c r="AU107" s="536"/>
      <c r="AV107" s="542">
        <f t="shared" si="34"/>
        <v>0</v>
      </c>
      <c r="AW107" s="536"/>
      <c r="AX107" s="536"/>
      <c r="AY107" s="536"/>
      <c r="AZ107" s="542">
        <f t="shared" si="35"/>
        <v>0</v>
      </c>
      <c r="BA107" s="536"/>
      <c r="BB107" s="536"/>
      <c r="BC107" s="536"/>
      <c r="BD107" s="542">
        <f t="shared" si="36"/>
        <v>0</v>
      </c>
      <c r="BE107" s="536"/>
      <c r="BF107" s="536"/>
      <c r="BG107" s="536"/>
      <c r="BH107" s="542">
        <f t="shared" si="37"/>
        <v>0</v>
      </c>
      <c r="BI107" s="536"/>
      <c r="BJ107" s="536"/>
      <c r="BK107" s="536"/>
      <c r="BL107" s="542">
        <f t="shared" si="38"/>
        <v>0</v>
      </c>
      <c r="BM107" s="536"/>
      <c r="BN107" s="536"/>
      <c r="BO107" s="536"/>
      <c r="BP107" s="542">
        <f t="shared" si="39"/>
        <v>0</v>
      </c>
      <c r="BQ107" s="536"/>
      <c r="BR107" s="536"/>
      <c r="BS107" s="536"/>
      <c r="BT107" s="542">
        <f t="shared" si="40"/>
        <v>0</v>
      </c>
      <c r="BU107" s="536"/>
      <c r="BV107" s="536"/>
      <c r="BW107" s="536"/>
      <c r="BX107" s="542">
        <f t="shared" si="41"/>
        <v>0</v>
      </c>
      <c r="BY107" s="536"/>
      <c r="BZ107" s="536"/>
      <c r="CA107" s="536"/>
      <c r="CB107" s="542">
        <v>0</v>
      </c>
      <c r="CC107" s="536"/>
      <c r="CD107" s="536"/>
      <c r="CE107" s="536"/>
      <c r="CF107" s="541">
        <f t="shared" si="42"/>
        <v>0</v>
      </c>
      <c r="CG107" s="536"/>
      <c r="CH107" s="536"/>
      <c r="CI107" s="536"/>
      <c r="CJ107" s="541">
        <f t="shared" si="43"/>
        <v>0</v>
      </c>
      <c r="CK107" s="536"/>
      <c r="CL107" s="536"/>
      <c r="CM107" s="536"/>
      <c r="CN107" s="541">
        <f t="shared" si="44"/>
        <v>0</v>
      </c>
      <c r="CO107" s="536"/>
      <c r="CP107" s="536"/>
      <c r="CQ107" s="536"/>
      <c r="CR107" s="541">
        <f t="shared" si="45"/>
        <v>0</v>
      </c>
      <c r="CS107" s="536"/>
      <c r="CT107" s="536"/>
      <c r="CU107" s="536"/>
      <c r="CV107" s="541">
        <f t="shared" si="46"/>
        <v>0</v>
      </c>
      <c r="CW107" s="536"/>
      <c r="CX107" s="536"/>
      <c r="CY107" s="536"/>
      <c r="CZ107" s="541">
        <f t="shared" si="47"/>
        <v>0</v>
      </c>
      <c r="DA107" s="536"/>
      <c r="DB107" s="536"/>
      <c r="DC107" s="536"/>
      <c r="DD107" s="541">
        <f t="shared" si="48"/>
        <v>0</v>
      </c>
      <c r="DE107" s="536"/>
      <c r="DF107" s="536"/>
      <c r="DG107" s="536"/>
      <c r="DH107" s="541">
        <f t="shared" si="49"/>
        <v>0</v>
      </c>
      <c r="DI107" s="536"/>
      <c r="DJ107" s="536"/>
      <c r="DK107" s="536"/>
      <c r="DL107" s="541">
        <f t="shared" si="50"/>
        <v>0</v>
      </c>
      <c r="DM107" s="536"/>
      <c r="DN107" s="536"/>
      <c r="DO107" s="536"/>
      <c r="DP107" s="541">
        <f>IF( SUM((DJ107*(20/100))+(DK107*(30/100))+(DL107*(50/100))) &gt;=9.3,9.5,
IF(AND( SUM((DJ107*(20/100))+(DK107*(30/100))+(DL107*(50/100))) &lt;=9.3, SUM((DJ107*(20/100))+(DK107*(30/100))+(DL107*(50/100))) &gt;=8.8),9,
IF(AND( SUM((DJ107*(20/100))+(DK107*(30/100))+(DL107*(50/100))) &lt;=8.8, SUM((DJ107*(20/100))+(DK107*(30/100))+(DL107*(50/100))) &gt;=8.3),8.5,
IF(AND( SUM((DJ107*(20/100))+(DK107*(30/100))+(DL107*(50/100))) &lt;=8.3, SUM((DJ107*(20/100))+(DK107*(30/100))+(DL107*(50/100))) &gt;=7.8),8,
IF(AND( SUM((DJ107*(20/100))+(DK107*(30/100))+(DL107*(50/100))) &lt;=7.8, SUM((DJ107*(20/100))+(DK107*(30/100))+(DL107*(50/100))) &gt;=7.3),7.5,
IF(AND( SUM((DJ107*(20/100))+(DK107*(30/100))+(DL107*(50/100))) &lt;=7.3, SUM((DJ107*(20/100))+(DK107*(30/100))+(DL107*(50/100))) &gt;=6.8),7,
IF(AND( SUM((DJ107*(20/100))+(DK107*(30/100))+(DL107*(50/100))) &lt;=6.8, SUM((DJ107*(20/100))+(DK107*(30/100))+(DL107*(50/100))) &gt;=6.3),6.5,
IF(AND( SUM((DJ107*(20/100))+(DK107*(30/100))+(DL107*(50/100))) &lt;=6.3, SUM((DJ107*(20/100))+(DK107*(30/100))+(DL107*(50/100))) &gt;=5.8),6,
IF(AND( SUM((DJ107*(20/100))+(DK107*(30/100))+(DL107*(50/100))) &lt;=5.8, SUM((DJ107*(20/100))+(DK107*(30/100))+(DL107*(50/100))) &gt;=5.3),5.5,
IF(AND( SUM((DJ107*(20/100))+(DK107*(30/100))+(DL107*(50/100))) &lt;=5.3, SUM((DJ107*(20/100))+(DK107*(30/100))+(DL107*(50/100))) &gt;=4.8),5,
IF(AND( SUM((DJ107*(20/100))+(DK107*(30/100))+(DL107*(50/100))) &lt;=4.8, SUM((DJ107*(20/100))+(DK107*(30/100))+(DL107*(50/100))) &gt;=4.3),4.5,
IF(AND( SUM((DJ107*(20/100))+(DK107*(30/100))+(DL107*(50/100))) &lt;=4.3, SUM((DJ107*(20/100))+(DK107*(30/100))+(DL107*(50/100))) &gt;=3.8),4,
IF(AND( SUM((DJ107*(20/100))+(DK107*(30/100))+(DL107*(50/100))) &lt;=3.8, SUM((DJ107*(20/100))+(DK107*(30/100))+(DL107*(50/100))) &gt;=3.5),3.5,0)))))))))))))</f>
        <v>0</v>
      </c>
      <c r="DQ107" s="541"/>
      <c r="DR107" s="541"/>
      <c r="DS107" s="541"/>
      <c r="DT107" s="541"/>
      <c r="DU107" s="541"/>
      <c r="DV107" s="541"/>
      <c r="DW107" s="541"/>
      <c r="DX107" s="541"/>
      <c r="DY107" s="541"/>
      <c r="DZ107" s="541"/>
    </row>
    <row r="108" spans="2:130" x14ac:dyDescent="0.25">
      <c r="B108" s="334">
        <v>1</v>
      </c>
      <c r="C108" s="541"/>
      <c r="D108" s="334"/>
      <c r="E108" s="334"/>
      <c r="F108" s="334"/>
      <c r="G108" s="334"/>
      <c r="H108" s="334"/>
      <c r="I108" s="334"/>
      <c r="J108" s="536"/>
      <c r="K108" s="536"/>
      <c r="L108" s="536"/>
      <c r="M108" s="536"/>
      <c r="N108" s="536"/>
      <c r="O108" s="536"/>
      <c r="P108" s="536">
        <f t="shared" si="26"/>
        <v>0</v>
      </c>
      <c r="Q108" s="536"/>
      <c r="R108" s="536"/>
      <c r="S108" s="536"/>
      <c r="T108" s="536">
        <f t="shared" si="27"/>
        <v>0</v>
      </c>
      <c r="U108" s="536"/>
      <c r="V108" s="536"/>
      <c r="W108" s="536"/>
      <c r="X108" s="536">
        <f t="shared" si="28"/>
        <v>0</v>
      </c>
      <c r="Y108" s="536"/>
      <c r="Z108" s="536"/>
      <c r="AA108" s="536"/>
      <c r="AB108" s="536">
        <f t="shared" si="29"/>
        <v>0</v>
      </c>
      <c r="AC108" s="536"/>
      <c r="AD108" s="536"/>
      <c r="AE108" s="536"/>
      <c r="AF108" s="536">
        <f t="shared" si="30"/>
        <v>0</v>
      </c>
      <c r="AG108" s="536"/>
      <c r="AH108" s="536"/>
      <c r="AI108" s="536"/>
      <c r="AJ108" s="536">
        <f t="shared" si="31"/>
        <v>0</v>
      </c>
      <c r="AK108" s="536"/>
      <c r="AL108" s="536"/>
      <c r="AM108" s="536"/>
      <c r="AN108" s="542">
        <f t="shared" si="32"/>
        <v>0</v>
      </c>
      <c r="AO108" s="536"/>
      <c r="AP108" s="536"/>
      <c r="AQ108" s="536"/>
      <c r="AR108" s="542">
        <f t="shared" si="33"/>
        <v>0</v>
      </c>
      <c r="AS108" s="536"/>
      <c r="AT108" s="536"/>
      <c r="AU108" s="536"/>
      <c r="AV108" s="542">
        <f t="shared" si="34"/>
        <v>0</v>
      </c>
      <c r="AW108" s="536"/>
      <c r="AX108" s="536"/>
      <c r="AY108" s="536"/>
      <c r="AZ108" s="542">
        <f t="shared" si="35"/>
        <v>0</v>
      </c>
      <c r="BA108" s="536"/>
      <c r="BB108" s="536"/>
      <c r="BC108" s="536"/>
      <c r="BD108" s="542">
        <f t="shared" si="36"/>
        <v>0</v>
      </c>
      <c r="BE108" s="536"/>
      <c r="BF108" s="536"/>
      <c r="BG108" s="536"/>
      <c r="BH108" s="542">
        <f t="shared" si="37"/>
        <v>0</v>
      </c>
      <c r="BI108" s="536"/>
      <c r="BJ108" s="536"/>
      <c r="BK108" s="536"/>
      <c r="BL108" s="542">
        <f t="shared" si="38"/>
        <v>0</v>
      </c>
      <c r="BM108" s="536"/>
      <c r="BN108" s="536"/>
      <c r="BO108" s="536"/>
      <c r="BP108" s="542">
        <f t="shared" si="39"/>
        <v>0</v>
      </c>
      <c r="BQ108" s="536"/>
      <c r="BR108" s="536"/>
      <c r="BS108" s="536"/>
      <c r="BT108" s="542">
        <f t="shared" si="40"/>
        <v>0</v>
      </c>
      <c r="BU108" s="536"/>
      <c r="BV108" s="536"/>
      <c r="BW108" s="536"/>
      <c r="BX108" s="542">
        <f t="shared" si="41"/>
        <v>0</v>
      </c>
      <c r="BY108" s="536"/>
      <c r="BZ108" s="536"/>
      <c r="CA108" s="536"/>
      <c r="CB108" s="542">
        <v>0</v>
      </c>
      <c r="CC108" s="536"/>
      <c r="CD108" s="536"/>
      <c r="CE108" s="536"/>
      <c r="CF108" s="541">
        <f t="shared" si="42"/>
        <v>0</v>
      </c>
      <c r="CG108" s="536"/>
      <c r="CH108" s="536"/>
      <c r="CI108" s="536"/>
      <c r="CJ108" s="541">
        <f t="shared" si="43"/>
        <v>0</v>
      </c>
      <c r="CK108" s="536"/>
      <c r="CL108" s="536"/>
      <c r="CM108" s="536"/>
      <c r="CN108" s="541">
        <f t="shared" si="44"/>
        <v>0</v>
      </c>
      <c r="CO108" s="536"/>
      <c r="CP108" s="536"/>
      <c r="CQ108" s="536"/>
      <c r="CR108" s="541">
        <f t="shared" si="45"/>
        <v>0</v>
      </c>
      <c r="CS108" s="536"/>
      <c r="CT108" s="536"/>
      <c r="CU108" s="536"/>
      <c r="CV108" s="541">
        <f t="shared" si="46"/>
        <v>0</v>
      </c>
      <c r="CW108" s="536"/>
      <c r="CX108" s="536"/>
      <c r="CY108" s="536"/>
      <c r="CZ108" s="541">
        <f t="shared" si="47"/>
        <v>0</v>
      </c>
      <c r="DA108" s="536"/>
      <c r="DB108" s="536"/>
      <c r="DC108" s="536"/>
      <c r="DD108" s="541">
        <f t="shared" si="48"/>
        <v>0</v>
      </c>
      <c r="DE108" s="536"/>
      <c r="DF108" s="536"/>
      <c r="DG108" s="536"/>
      <c r="DH108" s="541">
        <f t="shared" si="49"/>
        <v>0</v>
      </c>
      <c r="DI108" s="536"/>
      <c r="DJ108" s="536"/>
      <c r="DK108" s="536"/>
      <c r="DL108" s="541">
        <f t="shared" si="50"/>
        <v>0</v>
      </c>
      <c r="DM108" s="536"/>
      <c r="DN108" s="536"/>
      <c r="DO108" s="536"/>
      <c r="DP108" s="541">
        <f>IF( SUM((DJ108*(20/100))+(DK108*(30/100))+(DL108*(50/100))) &gt;=9.3,9.5,
IF(AND( SUM((DJ108*(20/100))+(DK108*(30/100))+(DL108*(50/100))) &lt;=9.3, SUM((DJ108*(20/100))+(DK108*(30/100))+(DL108*(50/100))) &gt;=8.8),9,
IF(AND( SUM((DJ108*(20/100))+(DK108*(30/100))+(DL108*(50/100))) &lt;=8.8, SUM((DJ108*(20/100))+(DK108*(30/100))+(DL108*(50/100))) &gt;=8.3),8.5,
IF(AND( SUM((DJ108*(20/100))+(DK108*(30/100))+(DL108*(50/100))) &lt;=8.3, SUM((DJ108*(20/100))+(DK108*(30/100))+(DL108*(50/100))) &gt;=7.8),8,
IF(AND( SUM((DJ108*(20/100))+(DK108*(30/100))+(DL108*(50/100))) &lt;=7.8, SUM((DJ108*(20/100))+(DK108*(30/100))+(DL108*(50/100))) &gt;=7.3),7.5,
IF(AND( SUM((DJ108*(20/100))+(DK108*(30/100))+(DL108*(50/100))) &lt;=7.3, SUM((DJ108*(20/100))+(DK108*(30/100))+(DL108*(50/100))) &gt;=6.8),7,
IF(AND( SUM((DJ108*(20/100))+(DK108*(30/100))+(DL108*(50/100))) &lt;=6.8, SUM((DJ108*(20/100))+(DK108*(30/100))+(DL108*(50/100))) &gt;=6.3),6.5,
IF(AND( SUM((DJ108*(20/100))+(DK108*(30/100))+(DL108*(50/100))) &lt;=6.3, SUM((DJ108*(20/100))+(DK108*(30/100))+(DL108*(50/100))) &gt;=5.8),6,
IF(AND( SUM((DJ108*(20/100))+(DK108*(30/100))+(DL108*(50/100))) &lt;=5.8, SUM((DJ108*(20/100))+(DK108*(30/100))+(DL108*(50/100))) &gt;=5.3),5.5,
IF(AND( SUM((DJ108*(20/100))+(DK108*(30/100))+(DL108*(50/100))) &lt;=5.3, SUM((DJ108*(20/100))+(DK108*(30/100))+(DL108*(50/100))) &gt;=4.8),5,
IF(AND( SUM((DJ108*(20/100))+(DK108*(30/100))+(DL108*(50/100))) &lt;=4.8, SUM((DJ108*(20/100))+(DK108*(30/100))+(DL108*(50/100))) &gt;=4.3),4.5,
IF(AND( SUM((DJ108*(20/100))+(DK108*(30/100))+(DL108*(50/100))) &lt;=4.3, SUM((DJ108*(20/100))+(DK108*(30/100))+(DL108*(50/100))) &gt;=3.8),4,
IF(AND( SUM((DJ108*(20/100))+(DK108*(30/100))+(DL108*(50/100))) &lt;=3.8, SUM((DJ108*(20/100))+(DK108*(30/100))+(DL108*(50/100))) &gt;=3.5),3.5,0)))))))))))))</f>
        <v>0</v>
      </c>
      <c r="DQ108" s="541"/>
      <c r="DR108" s="541"/>
      <c r="DS108" s="541"/>
      <c r="DT108" s="541"/>
      <c r="DU108" s="541"/>
      <c r="DV108" s="541"/>
      <c r="DW108" s="541"/>
      <c r="DX108" s="541"/>
      <c r="DY108" s="541"/>
      <c r="DZ108" s="541"/>
    </row>
    <row r="109" spans="2:130" x14ac:dyDescent="0.25">
      <c r="B109" s="334">
        <v>2</v>
      </c>
      <c r="C109" s="541"/>
      <c r="D109" s="334"/>
      <c r="E109" s="334"/>
      <c r="F109" s="334"/>
      <c r="G109" s="334"/>
      <c r="H109" s="334"/>
      <c r="I109" s="334"/>
      <c r="J109" s="536"/>
      <c r="K109" s="536"/>
      <c r="L109" s="536"/>
      <c r="M109" s="536"/>
      <c r="N109" s="536"/>
      <c r="O109" s="536"/>
      <c r="P109" s="536">
        <f t="shared" si="26"/>
        <v>0</v>
      </c>
      <c r="Q109" s="536"/>
      <c r="R109" s="536"/>
      <c r="S109" s="536"/>
      <c r="T109" s="536">
        <f t="shared" si="27"/>
        <v>0</v>
      </c>
      <c r="U109" s="536"/>
      <c r="V109" s="536"/>
      <c r="W109" s="536"/>
      <c r="X109" s="536">
        <f t="shared" si="28"/>
        <v>0</v>
      </c>
      <c r="Y109" s="536"/>
      <c r="Z109" s="536"/>
      <c r="AA109" s="536"/>
      <c r="AB109" s="536">
        <f t="shared" si="29"/>
        <v>0</v>
      </c>
      <c r="AC109" s="536"/>
      <c r="AD109" s="536"/>
      <c r="AE109" s="536"/>
      <c r="AF109" s="536">
        <f t="shared" si="30"/>
        <v>0</v>
      </c>
      <c r="AG109" s="536"/>
      <c r="AH109" s="536"/>
      <c r="AI109" s="536"/>
      <c r="AJ109" s="536">
        <f t="shared" si="31"/>
        <v>0</v>
      </c>
      <c r="AK109" s="536"/>
      <c r="AL109" s="536"/>
      <c r="AM109" s="536"/>
      <c r="AN109" s="542">
        <f t="shared" si="32"/>
        <v>0</v>
      </c>
      <c r="AO109" s="536"/>
      <c r="AP109" s="536"/>
      <c r="AQ109" s="536"/>
      <c r="AR109" s="542">
        <f t="shared" si="33"/>
        <v>0</v>
      </c>
      <c r="AS109" s="536"/>
      <c r="AT109" s="536"/>
      <c r="AU109" s="536"/>
      <c r="AV109" s="542">
        <f t="shared" si="34"/>
        <v>0</v>
      </c>
      <c r="AW109" s="536"/>
      <c r="AX109" s="536"/>
      <c r="AY109" s="536"/>
      <c r="AZ109" s="542">
        <f t="shared" si="35"/>
        <v>0</v>
      </c>
      <c r="BA109" s="536"/>
      <c r="BB109" s="536"/>
      <c r="BC109" s="536"/>
      <c r="BD109" s="542">
        <f t="shared" si="36"/>
        <v>0</v>
      </c>
      <c r="BE109" s="536"/>
      <c r="BF109" s="536"/>
      <c r="BG109" s="536"/>
      <c r="BH109" s="542">
        <f t="shared" si="37"/>
        <v>0</v>
      </c>
      <c r="BI109" s="536"/>
      <c r="BJ109" s="536"/>
      <c r="BK109" s="536"/>
      <c r="BL109" s="542">
        <f t="shared" si="38"/>
        <v>0</v>
      </c>
      <c r="BM109" s="536"/>
      <c r="BN109" s="536"/>
      <c r="BO109" s="536"/>
      <c r="BP109" s="542">
        <f t="shared" si="39"/>
        <v>0</v>
      </c>
      <c r="BQ109" s="536"/>
      <c r="BR109" s="536"/>
      <c r="BS109" s="536"/>
      <c r="BT109" s="542">
        <f t="shared" si="40"/>
        <v>0</v>
      </c>
      <c r="BU109" s="536"/>
      <c r="BV109" s="536"/>
      <c r="BW109" s="536"/>
      <c r="BX109" s="542">
        <f t="shared" si="41"/>
        <v>0</v>
      </c>
      <c r="BY109" s="536"/>
      <c r="BZ109" s="536"/>
      <c r="CA109" s="536"/>
      <c r="CB109" s="542">
        <v>0</v>
      </c>
      <c r="CC109" s="536"/>
      <c r="CD109" s="536"/>
      <c r="CE109" s="536"/>
      <c r="CF109" s="541">
        <f t="shared" si="42"/>
        <v>0</v>
      </c>
      <c r="CG109" s="536"/>
      <c r="CH109" s="536"/>
      <c r="CI109" s="536"/>
      <c r="CJ109" s="541">
        <f t="shared" si="43"/>
        <v>0</v>
      </c>
      <c r="CK109" s="536"/>
      <c r="CL109" s="536"/>
      <c r="CM109" s="536"/>
      <c r="CN109" s="541">
        <f t="shared" si="44"/>
        <v>0</v>
      </c>
      <c r="CO109" s="536"/>
      <c r="CP109" s="536"/>
      <c r="CQ109" s="536"/>
      <c r="CR109" s="541">
        <f t="shared" si="45"/>
        <v>0</v>
      </c>
      <c r="CS109" s="536"/>
      <c r="CT109" s="536"/>
      <c r="CU109" s="536"/>
      <c r="CV109" s="541">
        <f t="shared" si="46"/>
        <v>0</v>
      </c>
      <c r="CW109" s="536"/>
      <c r="CX109" s="536"/>
      <c r="CY109" s="536"/>
      <c r="CZ109" s="541">
        <f t="shared" si="47"/>
        <v>0</v>
      </c>
      <c r="DA109" s="536"/>
      <c r="DB109" s="536"/>
      <c r="DC109" s="536"/>
      <c r="DD109" s="541">
        <f t="shared" si="48"/>
        <v>0</v>
      </c>
      <c r="DE109" s="536"/>
      <c r="DF109" s="536"/>
      <c r="DG109" s="536"/>
      <c r="DH109" s="541">
        <f t="shared" si="49"/>
        <v>0</v>
      </c>
      <c r="DI109" s="536"/>
      <c r="DJ109" s="536"/>
      <c r="DK109" s="536"/>
      <c r="DL109" s="541">
        <f t="shared" si="50"/>
        <v>0</v>
      </c>
      <c r="DM109" s="536"/>
      <c r="DN109" s="536"/>
      <c r="DO109" s="536"/>
      <c r="DP109" s="541">
        <f>IF( SUM((DJ109*(20/100))+(DK109*(30/100))+(DL109*(50/100))) &gt;=9.3,9.5,
IF(AND( SUM((DJ109*(20/100))+(DK109*(30/100))+(DL109*(50/100))) &lt;=9.3, SUM((DJ109*(20/100))+(DK109*(30/100))+(DL109*(50/100))) &gt;=8.8),9,
IF(AND( SUM((DJ109*(20/100))+(DK109*(30/100))+(DL109*(50/100))) &lt;=8.8, SUM((DJ109*(20/100))+(DK109*(30/100))+(DL109*(50/100))) &gt;=8.3),8.5,
IF(AND( SUM((DJ109*(20/100))+(DK109*(30/100))+(DL109*(50/100))) &lt;=8.3, SUM((DJ109*(20/100))+(DK109*(30/100))+(DL109*(50/100))) &gt;=7.8),8,
IF(AND( SUM((DJ109*(20/100))+(DK109*(30/100))+(DL109*(50/100))) &lt;=7.8, SUM((DJ109*(20/100))+(DK109*(30/100))+(DL109*(50/100))) &gt;=7.3),7.5,
IF(AND( SUM((DJ109*(20/100))+(DK109*(30/100))+(DL109*(50/100))) &lt;=7.3, SUM((DJ109*(20/100))+(DK109*(30/100))+(DL109*(50/100))) &gt;=6.8),7,
IF(AND( SUM((DJ109*(20/100))+(DK109*(30/100))+(DL109*(50/100))) &lt;=6.8, SUM((DJ109*(20/100))+(DK109*(30/100))+(DL109*(50/100))) &gt;=6.3),6.5,
IF(AND( SUM((DJ109*(20/100))+(DK109*(30/100))+(DL109*(50/100))) &lt;=6.3, SUM((DJ109*(20/100))+(DK109*(30/100))+(DL109*(50/100))) &gt;=5.8),6,
IF(AND( SUM((DJ109*(20/100))+(DK109*(30/100))+(DL109*(50/100))) &lt;=5.8, SUM((DJ109*(20/100))+(DK109*(30/100))+(DL109*(50/100))) &gt;=5.3),5.5,
IF(AND( SUM((DJ109*(20/100))+(DK109*(30/100))+(DL109*(50/100))) &lt;=5.3, SUM((DJ109*(20/100))+(DK109*(30/100))+(DL109*(50/100))) &gt;=4.8),5,
IF(AND( SUM((DJ109*(20/100))+(DK109*(30/100))+(DL109*(50/100))) &lt;=4.8, SUM((DJ109*(20/100))+(DK109*(30/100))+(DL109*(50/100))) &gt;=4.3),4.5,
IF(AND( SUM((DJ109*(20/100))+(DK109*(30/100))+(DL109*(50/100))) &lt;=4.3, SUM((DJ109*(20/100))+(DK109*(30/100))+(DL109*(50/100))) &gt;=3.8),4,
IF(AND( SUM((DJ109*(20/100))+(DK109*(30/100))+(DL109*(50/100))) &lt;=3.8, SUM((DJ109*(20/100))+(DK109*(30/100))+(DL109*(50/100))) &gt;=3.5),3.5,0)))))))))))))</f>
        <v>0</v>
      </c>
      <c r="DQ109" s="541"/>
      <c r="DR109" s="541"/>
      <c r="DS109" s="541"/>
      <c r="DT109" s="541"/>
      <c r="DU109" s="541"/>
      <c r="DV109" s="541"/>
      <c r="DW109" s="541"/>
      <c r="DX109" s="541"/>
      <c r="DY109" s="541"/>
      <c r="DZ109" s="541"/>
    </row>
    <row r="110" spans="2:130" x14ac:dyDescent="0.25">
      <c r="B110" s="334">
        <v>3</v>
      </c>
      <c r="C110" s="541"/>
      <c r="D110" s="334"/>
      <c r="E110" s="334"/>
      <c r="F110" s="334"/>
      <c r="G110" s="334"/>
      <c r="H110" s="334"/>
      <c r="I110" s="334"/>
      <c r="J110" s="536"/>
      <c r="K110" s="536"/>
      <c r="L110" s="536"/>
      <c r="M110" s="536"/>
      <c r="N110" s="536"/>
      <c r="O110" s="536"/>
      <c r="P110" s="536">
        <f t="shared" si="26"/>
        <v>0</v>
      </c>
      <c r="Q110" s="536"/>
      <c r="R110" s="536"/>
      <c r="S110" s="536"/>
      <c r="T110" s="536">
        <f t="shared" si="27"/>
        <v>0</v>
      </c>
      <c r="U110" s="536"/>
      <c r="V110" s="536"/>
      <c r="W110" s="536"/>
      <c r="X110" s="536">
        <f t="shared" si="28"/>
        <v>0</v>
      </c>
      <c r="Y110" s="536"/>
      <c r="Z110" s="536"/>
      <c r="AA110" s="536"/>
      <c r="AB110" s="536">
        <f t="shared" si="29"/>
        <v>0</v>
      </c>
      <c r="AC110" s="536"/>
      <c r="AD110" s="536"/>
      <c r="AE110" s="536"/>
      <c r="AF110" s="536">
        <f t="shared" si="30"/>
        <v>0</v>
      </c>
      <c r="AG110" s="536"/>
      <c r="AH110" s="536"/>
      <c r="AI110" s="536"/>
      <c r="AJ110" s="536">
        <f t="shared" si="31"/>
        <v>0</v>
      </c>
      <c r="AK110" s="536"/>
      <c r="AL110" s="536"/>
      <c r="AM110" s="536"/>
      <c r="AN110" s="542">
        <f t="shared" si="32"/>
        <v>0</v>
      </c>
      <c r="AO110" s="536"/>
      <c r="AP110" s="536"/>
      <c r="AQ110" s="536"/>
      <c r="AR110" s="542">
        <f t="shared" si="33"/>
        <v>0</v>
      </c>
      <c r="AS110" s="536"/>
      <c r="AT110" s="536"/>
      <c r="AU110" s="536"/>
      <c r="AV110" s="542">
        <f t="shared" si="34"/>
        <v>0</v>
      </c>
      <c r="AW110" s="536"/>
      <c r="AX110" s="536"/>
      <c r="AY110" s="536"/>
      <c r="AZ110" s="542">
        <f t="shared" si="35"/>
        <v>0</v>
      </c>
      <c r="BA110" s="536"/>
      <c r="BB110" s="536"/>
      <c r="BC110" s="536"/>
      <c r="BD110" s="542">
        <f t="shared" si="36"/>
        <v>0</v>
      </c>
      <c r="BE110" s="536"/>
      <c r="BF110" s="536"/>
      <c r="BG110" s="536"/>
      <c r="BH110" s="542">
        <f t="shared" si="37"/>
        <v>0</v>
      </c>
      <c r="BI110" s="536"/>
      <c r="BJ110" s="536"/>
      <c r="BK110" s="536"/>
      <c r="BL110" s="542">
        <f t="shared" si="38"/>
        <v>0</v>
      </c>
      <c r="BM110" s="536"/>
      <c r="BN110" s="536"/>
      <c r="BO110" s="536"/>
      <c r="BP110" s="542">
        <f t="shared" si="39"/>
        <v>0</v>
      </c>
      <c r="BQ110" s="536"/>
      <c r="BR110" s="536"/>
      <c r="BS110" s="536"/>
      <c r="BT110" s="542">
        <f t="shared" si="40"/>
        <v>0</v>
      </c>
      <c r="BU110" s="536"/>
      <c r="BV110" s="536"/>
      <c r="BW110" s="536"/>
      <c r="BX110" s="542">
        <f t="shared" si="41"/>
        <v>0</v>
      </c>
      <c r="BY110" s="536"/>
      <c r="BZ110" s="536"/>
      <c r="CA110" s="536"/>
      <c r="CB110" s="542">
        <v>0</v>
      </c>
      <c r="CC110" s="536"/>
      <c r="CD110" s="536"/>
      <c r="CE110" s="536"/>
      <c r="CF110" s="541">
        <f t="shared" si="42"/>
        <v>0</v>
      </c>
      <c r="CG110" s="536"/>
      <c r="CH110" s="536"/>
      <c r="CI110" s="536"/>
      <c r="CJ110" s="541">
        <f t="shared" si="43"/>
        <v>0</v>
      </c>
      <c r="CK110" s="536"/>
      <c r="CL110" s="536"/>
      <c r="CM110" s="536"/>
      <c r="CN110" s="541">
        <f t="shared" si="44"/>
        <v>0</v>
      </c>
      <c r="CO110" s="536"/>
      <c r="CP110" s="536"/>
      <c r="CQ110" s="536"/>
      <c r="CR110" s="541">
        <f t="shared" si="45"/>
        <v>0</v>
      </c>
      <c r="CS110" s="536"/>
      <c r="CT110" s="536"/>
      <c r="CU110" s="536"/>
      <c r="CV110" s="541">
        <f t="shared" si="46"/>
        <v>0</v>
      </c>
      <c r="CW110" s="536"/>
      <c r="CX110" s="536"/>
      <c r="CY110" s="536"/>
      <c r="CZ110" s="541">
        <f t="shared" si="47"/>
        <v>0</v>
      </c>
      <c r="DA110" s="536"/>
      <c r="DB110" s="536"/>
      <c r="DC110" s="536"/>
      <c r="DD110" s="541">
        <f t="shared" si="48"/>
        <v>0</v>
      </c>
      <c r="DE110" s="536"/>
      <c r="DF110" s="536"/>
      <c r="DG110" s="536"/>
      <c r="DH110" s="541">
        <f t="shared" si="49"/>
        <v>0</v>
      </c>
      <c r="DI110" s="536"/>
      <c r="DJ110" s="536"/>
      <c r="DK110" s="536"/>
      <c r="DL110" s="541">
        <f t="shared" si="50"/>
        <v>0</v>
      </c>
      <c r="DM110" s="536"/>
      <c r="DN110" s="536"/>
      <c r="DO110" s="536"/>
      <c r="DP110" s="541">
        <f>IF( SUM((DJ110*(20/100))+(DK110*(30/100))+(DL110*(50/100))) &gt;=9.3,9.5,
IF(AND( SUM((DJ110*(20/100))+(DK110*(30/100))+(DL110*(50/100))) &lt;=9.3, SUM((DJ110*(20/100))+(DK110*(30/100))+(DL110*(50/100))) &gt;=8.8),9,
IF(AND( SUM((DJ110*(20/100))+(DK110*(30/100))+(DL110*(50/100))) &lt;=8.8, SUM((DJ110*(20/100))+(DK110*(30/100))+(DL110*(50/100))) &gt;=8.3),8.5,
IF(AND( SUM((DJ110*(20/100))+(DK110*(30/100))+(DL110*(50/100))) &lt;=8.3, SUM((DJ110*(20/100))+(DK110*(30/100))+(DL110*(50/100))) &gt;=7.8),8,
IF(AND( SUM((DJ110*(20/100))+(DK110*(30/100))+(DL110*(50/100))) &lt;=7.8, SUM((DJ110*(20/100))+(DK110*(30/100))+(DL110*(50/100))) &gt;=7.3),7.5,
IF(AND( SUM((DJ110*(20/100))+(DK110*(30/100))+(DL110*(50/100))) &lt;=7.3, SUM((DJ110*(20/100))+(DK110*(30/100))+(DL110*(50/100))) &gt;=6.8),7,
IF(AND( SUM((DJ110*(20/100))+(DK110*(30/100))+(DL110*(50/100))) &lt;=6.8, SUM((DJ110*(20/100))+(DK110*(30/100))+(DL110*(50/100))) &gt;=6.3),6.5,
IF(AND( SUM((DJ110*(20/100))+(DK110*(30/100))+(DL110*(50/100))) &lt;=6.3, SUM((DJ110*(20/100))+(DK110*(30/100))+(DL110*(50/100))) &gt;=5.8),6,
IF(AND( SUM((DJ110*(20/100))+(DK110*(30/100))+(DL110*(50/100))) &lt;=5.8, SUM((DJ110*(20/100))+(DK110*(30/100))+(DL110*(50/100))) &gt;=5.3),5.5,
IF(AND( SUM((DJ110*(20/100))+(DK110*(30/100))+(DL110*(50/100))) &lt;=5.3, SUM((DJ110*(20/100))+(DK110*(30/100))+(DL110*(50/100))) &gt;=4.8),5,
IF(AND( SUM((DJ110*(20/100))+(DK110*(30/100))+(DL110*(50/100))) &lt;=4.8, SUM((DJ110*(20/100))+(DK110*(30/100))+(DL110*(50/100))) &gt;=4.3),4.5,
IF(AND( SUM((DJ110*(20/100))+(DK110*(30/100))+(DL110*(50/100))) &lt;=4.3, SUM((DJ110*(20/100))+(DK110*(30/100))+(DL110*(50/100))) &gt;=3.8),4,
IF(AND( SUM((DJ110*(20/100))+(DK110*(30/100))+(DL110*(50/100))) &lt;=3.8, SUM((DJ110*(20/100))+(DK110*(30/100))+(DL110*(50/100))) &gt;=3.5),3.5,0)))))))))))))</f>
        <v>0</v>
      </c>
      <c r="DQ110" s="541"/>
      <c r="DR110" s="541"/>
      <c r="DS110" s="541"/>
      <c r="DT110" s="541"/>
      <c r="DU110" s="541"/>
      <c r="DV110" s="541"/>
      <c r="DW110" s="541"/>
      <c r="DX110" s="541"/>
      <c r="DY110" s="541"/>
      <c r="DZ110" s="541"/>
    </row>
    <row r="111" spans="2:130" x14ac:dyDescent="0.25">
      <c r="B111" s="334">
        <v>4</v>
      </c>
      <c r="C111" s="541"/>
      <c r="D111" s="334"/>
      <c r="E111" s="334"/>
      <c r="F111" s="334"/>
      <c r="G111" s="334"/>
      <c r="H111" s="334"/>
      <c r="I111" s="334"/>
      <c r="J111" s="536"/>
      <c r="K111" s="536"/>
      <c r="L111" s="536"/>
      <c r="M111" s="536"/>
      <c r="N111" s="536"/>
      <c r="O111" s="536"/>
      <c r="P111" s="536">
        <f t="shared" si="26"/>
        <v>0</v>
      </c>
      <c r="Q111" s="536"/>
      <c r="R111" s="536"/>
      <c r="S111" s="536"/>
      <c r="T111" s="536">
        <f t="shared" si="27"/>
        <v>0</v>
      </c>
      <c r="U111" s="536"/>
      <c r="V111" s="536"/>
      <c r="W111" s="536"/>
      <c r="X111" s="536">
        <f t="shared" si="28"/>
        <v>0</v>
      </c>
      <c r="Y111" s="536"/>
      <c r="Z111" s="536"/>
      <c r="AA111" s="536"/>
      <c r="AB111" s="536">
        <f t="shared" si="29"/>
        <v>0</v>
      </c>
      <c r="AC111" s="536"/>
      <c r="AD111" s="536"/>
      <c r="AE111" s="536"/>
      <c r="AF111" s="536">
        <f t="shared" si="30"/>
        <v>0</v>
      </c>
      <c r="AG111" s="536"/>
      <c r="AH111" s="536"/>
      <c r="AI111" s="536"/>
      <c r="AJ111" s="536">
        <f t="shared" si="31"/>
        <v>0</v>
      </c>
      <c r="AK111" s="536"/>
      <c r="AL111" s="536"/>
      <c r="AM111" s="536"/>
      <c r="AN111" s="542">
        <f t="shared" si="32"/>
        <v>0</v>
      </c>
      <c r="AO111" s="536"/>
      <c r="AP111" s="536"/>
      <c r="AQ111" s="536"/>
      <c r="AR111" s="542">
        <f t="shared" si="33"/>
        <v>0</v>
      </c>
      <c r="AS111" s="536"/>
      <c r="AT111" s="536"/>
      <c r="AU111" s="536"/>
      <c r="AV111" s="542">
        <f t="shared" si="34"/>
        <v>0</v>
      </c>
      <c r="AW111" s="536"/>
      <c r="AX111" s="536"/>
      <c r="AY111" s="536"/>
      <c r="AZ111" s="542">
        <f t="shared" si="35"/>
        <v>0</v>
      </c>
      <c r="BA111" s="536"/>
      <c r="BB111" s="536"/>
      <c r="BC111" s="536"/>
      <c r="BD111" s="542">
        <f t="shared" si="36"/>
        <v>0</v>
      </c>
      <c r="BE111" s="536"/>
      <c r="BF111" s="536"/>
      <c r="BG111" s="536"/>
      <c r="BH111" s="542">
        <f t="shared" si="37"/>
        <v>0</v>
      </c>
      <c r="BI111" s="536"/>
      <c r="BJ111" s="536"/>
      <c r="BK111" s="536"/>
      <c r="BL111" s="542">
        <f t="shared" si="38"/>
        <v>0</v>
      </c>
      <c r="BM111" s="536"/>
      <c r="BN111" s="536"/>
      <c r="BO111" s="536"/>
      <c r="BP111" s="542">
        <f t="shared" si="39"/>
        <v>0</v>
      </c>
      <c r="BQ111" s="536"/>
      <c r="BR111" s="536"/>
      <c r="BS111" s="536"/>
      <c r="BT111" s="542">
        <f t="shared" si="40"/>
        <v>0</v>
      </c>
      <c r="BU111" s="536"/>
      <c r="BV111" s="536"/>
      <c r="BW111" s="536"/>
      <c r="BX111" s="542">
        <f t="shared" si="41"/>
        <v>0</v>
      </c>
      <c r="BY111" s="536"/>
      <c r="BZ111" s="536"/>
      <c r="CA111" s="536"/>
      <c r="CB111" s="542">
        <v>0</v>
      </c>
      <c r="CC111" s="536"/>
      <c r="CD111" s="536"/>
      <c r="CE111" s="536"/>
      <c r="CF111" s="541">
        <f t="shared" si="42"/>
        <v>0</v>
      </c>
      <c r="CG111" s="536"/>
      <c r="CH111" s="536"/>
      <c r="CI111" s="536"/>
      <c r="CJ111" s="541">
        <f t="shared" si="43"/>
        <v>0</v>
      </c>
      <c r="CK111" s="536"/>
      <c r="CL111" s="536"/>
      <c r="CM111" s="536"/>
      <c r="CN111" s="541">
        <f t="shared" si="44"/>
        <v>0</v>
      </c>
      <c r="CO111" s="536"/>
      <c r="CP111" s="536"/>
      <c r="CQ111" s="536"/>
      <c r="CR111" s="541">
        <f t="shared" si="45"/>
        <v>0</v>
      </c>
      <c r="CS111" s="536"/>
      <c r="CT111" s="536"/>
      <c r="CU111" s="536"/>
      <c r="CV111" s="541">
        <f t="shared" si="46"/>
        <v>0</v>
      </c>
      <c r="CW111" s="536"/>
      <c r="CX111" s="536"/>
      <c r="CY111" s="536"/>
      <c r="CZ111" s="541">
        <f t="shared" si="47"/>
        <v>0</v>
      </c>
      <c r="DA111" s="536"/>
      <c r="DB111" s="536"/>
      <c r="DC111" s="536"/>
      <c r="DD111" s="541">
        <f t="shared" si="48"/>
        <v>0</v>
      </c>
      <c r="DE111" s="536"/>
      <c r="DF111" s="536"/>
      <c r="DG111" s="536"/>
      <c r="DH111" s="541">
        <f t="shared" si="49"/>
        <v>0</v>
      </c>
      <c r="DI111" s="536"/>
      <c r="DJ111" s="536"/>
      <c r="DK111" s="536"/>
      <c r="DL111" s="541">
        <f t="shared" si="50"/>
        <v>0</v>
      </c>
      <c r="DM111" s="536"/>
      <c r="DN111" s="536"/>
      <c r="DO111" s="536"/>
      <c r="DP111" s="541">
        <f>IF( SUM((DJ111*(20/100))+(DK111*(30/100))+(DL111*(50/100))) &gt;=9.3,9.5,
IF(AND( SUM((DJ111*(20/100))+(DK111*(30/100))+(DL111*(50/100))) &lt;=9.3, SUM((DJ111*(20/100))+(DK111*(30/100))+(DL111*(50/100))) &gt;=8.8),9,
IF(AND( SUM((DJ111*(20/100))+(DK111*(30/100))+(DL111*(50/100))) &lt;=8.8, SUM((DJ111*(20/100))+(DK111*(30/100))+(DL111*(50/100))) &gt;=8.3),8.5,
IF(AND( SUM((DJ111*(20/100))+(DK111*(30/100))+(DL111*(50/100))) &lt;=8.3, SUM((DJ111*(20/100))+(DK111*(30/100))+(DL111*(50/100))) &gt;=7.8),8,
IF(AND( SUM((DJ111*(20/100))+(DK111*(30/100))+(DL111*(50/100))) &lt;=7.8, SUM((DJ111*(20/100))+(DK111*(30/100))+(DL111*(50/100))) &gt;=7.3),7.5,
IF(AND( SUM((DJ111*(20/100))+(DK111*(30/100))+(DL111*(50/100))) &lt;=7.3, SUM((DJ111*(20/100))+(DK111*(30/100))+(DL111*(50/100))) &gt;=6.8),7,
IF(AND( SUM((DJ111*(20/100))+(DK111*(30/100))+(DL111*(50/100))) &lt;=6.8, SUM((DJ111*(20/100))+(DK111*(30/100))+(DL111*(50/100))) &gt;=6.3),6.5,
IF(AND( SUM((DJ111*(20/100))+(DK111*(30/100))+(DL111*(50/100))) &lt;=6.3, SUM((DJ111*(20/100))+(DK111*(30/100))+(DL111*(50/100))) &gt;=5.8),6,
IF(AND( SUM((DJ111*(20/100))+(DK111*(30/100))+(DL111*(50/100))) &lt;=5.8, SUM((DJ111*(20/100))+(DK111*(30/100))+(DL111*(50/100))) &gt;=5.3),5.5,
IF(AND( SUM((DJ111*(20/100))+(DK111*(30/100))+(DL111*(50/100))) &lt;=5.3, SUM((DJ111*(20/100))+(DK111*(30/100))+(DL111*(50/100))) &gt;=4.8),5,
IF(AND( SUM((DJ111*(20/100))+(DK111*(30/100))+(DL111*(50/100))) &lt;=4.8, SUM((DJ111*(20/100))+(DK111*(30/100))+(DL111*(50/100))) &gt;=4.3),4.5,
IF(AND( SUM((DJ111*(20/100))+(DK111*(30/100))+(DL111*(50/100))) &lt;=4.3, SUM((DJ111*(20/100))+(DK111*(30/100))+(DL111*(50/100))) &gt;=3.8),4,
IF(AND( SUM((DJ111*(20/100))+(DK111*(30/100))+(DL111*(50/100))) &lt;=3.8, SUM((DJ111*(20/100))+(DK111*(30/100))+(DL111*(50/100))) &gt;=3.5),3.5,0)))))))))))))</f>
        <v>0</v>
      </c>
      <c r="DQ111" s="541"/>
      <c r="DR111" s="541"/>
      <c r="DS111" s="541"/>
      <c r="DT111" s="541"/>
      <c r="DU111" s="541"/>
      <c r="DV111" s="541"/>
      <c r="DW111" s="541"/>
      <c r="DX111" s="541"/>
      <c r="DY111" s="541"/>
      <c r="DZ111" s="541"/>
    </row>
    <row r="112" spans="2:130" x14ac:dyDescent="0.25">
      <c r="B112" s="334">
        <v>5</v>
      </c>
      <c r="C112" s="541"/>
      <c r="D112" s="334"/>
      <c r="E112" s="334"/>
      <c r="F112" s="334"/>
      <c r="G112" s="334"/>
      <c r="H112" s="334"/>
      <c r="I112" s="334"/>
      <c r="J112" s="536"/>
      <c r="K112" s="536"/>
      <c r="L112" s="536"/>
      <c r="M112" s="536"/>
      <c r="N112" s="536"/>
      <c r="O112" s="536"/>
      <c r="P112" s="536">
        <f t="shared" si="26"/>
        <v>0</v>
      </c>
      <c r="Q112" s="536"/>
      <c r="R112" s="536"/>
      <c r="S112" s="536"/>
      <c r="T112" s="536">
        <f t="shared" si="27"/>
        <v>0</v>
      </c>
      <c r="U112" s="536"/>
      <c r="V112" s="536"/>
      <c r="W112" s="536"/>
      <c r="X112" s="536">
        <f t="shared" si="28"/>
        <v>0</v>
      </c>
      <c r="Y112" s="536"/>
      <c r="Z112" s="536"/>
      <c r="AA112" s="536"/>
      <c r="AB112" s="536">
        <f t="shared" si="29"/>
        <v>0</v>
      </c>
      <c r="AC112" s="536"/>
      <c r="AD112" s="536"/>
      <c r="AE112" s="536"/>
      <c r="AF112" s="536">
        <f t="shared" si="30"/>
        <v>0</v>
      </c>
      <c r="AG112" s="536"/>
      <c r="AH112" s="536"/>
      <c r="AI112" s="536"/>
      <c r="AJ112" s="536">
        <f t="shared" si="31"/>
        <v>0</v>
      </c>
      <c r="AK112" s="536"/>
      <c r="AL112" s="536"/>
      <c r="AM112" s="536"/>
      <c r="AN112" s="542">
        <f t="shared" si="32"/>
        <v>0</v>
      </c>
      <c r="AO112" s="536"/>
      <c r="AP112" s="536"/>
      <c r="AQ112" s="536"/>
      <c r="AR112" s="542">
        <f t="shared" si="33"/>
        <v>0</v>
      </c>
      <c r="AS112" s="536"/>
      <c r="AT112" s="536"/>
      <c r="AU112" s="536"/>
      <c r="AV112" s="542">
        <f t="shared" si="34"/>
        <v>0</v>
      </c>
      <c r="AW112" s="536"/>
      <c r="AX112" s="536"/>
      <c r="AY112" s="536"/>
      <c r="AZ112" s="542">
        <f t="shared" si="35"/>
        <v>0</v>
      </c>
      <c r="BA112" s="536"/>
      <c r="BB112" s="536"/>
      <c r="BC112" s="536"/>
      <c r="BD112" s="542">
        <f t="shared" si="36"/>
        <v>0</v>
      </c>
      <c r="BE112" s="536"/>
      <c r="BF112" s="536"/>
      <c r="BG112" s="536"/>
      <c r="BH112" s="542">
        <f t="shared" si="37"/>
        <v>0</v>
      </c>
      <c r="BI112" s="536"/>
      <c r="BJ112" s="536"/>
      <c r="BK112" s="536"/>
      <c r="BL112" s="542">
        <f t="shared" si="38"/>
        <v>0</v>
      </c>
      <c r="BM112" s="536"/>
      <c r="BN112" s="536"/>
      <c r="BO112" s="536"/>
      <c r="BP112" s="542">
        <f t="shared" si="39"/>
        <v>0</v>
      </c>
      <c r="BQ112" s="536"/>
      <c r="BR112" s="536"/>
      <c r="BS112" s="536"/>
      <c r="BT112" s="542">
        <f t="shared" si="40"/>
        <v>0</v>
      </c>
      <c r="BU112" s="536"/>
      <c r="BV112" s="536"/>
      <c r="BW112" s="536"/>
      <c r="BX112" s="542">
        <f t="shared" si="41"/>
        <v>0</v>
      </c>
      <c r="BY112" s="536"/>
      <c r="BZ112" s="536"/>
      <c r="CA112" s="536"/>
      <c r="CB112" s="542">
        <v>0</v>
      </c>
      <c r="CC112" s="536"/>
      <c r="CD112" s="536"/>
      <c r="CE112" s="536"/>
      <c r="CF112" s="541">
        <f t="shared" si="42"/>
        <v>0</v>
      </c>
      <c r="CG112" s="536"/>
      <c r="CH112" s="536"/>
      <c r="CI112" s="536"/>
      <c r="CJ112" s="541">
        <f t="shared" si="43"/>
        <v>0</v>
      </c>
      <c r="CK112" s="536"/>
      <c r="CL112" s="536"/>
      <c r="CM112" s="536"/>
      <c r="CN112" s="541">
        <f t="shared" si="44"/>
        <v>0</v>
      </c>
      <c r="CO112" s="536"/>
      <c r="CP112" s="536"/>
      <c r="CQ112" s="536"/>
      <c r="CR112" s="541">
        <f t="shared" si="45"/>
        <v>0</v>
      </c>
      <c r="CS112" s="536"/>
      <c r="CT112" s="536"/>
      <c r="CU112" s="536"/>
      <c r="CV112" s="541">
        <f t="shared" si="46"/>
        <v>0</v>
      </c>
      <c r="CW112" s="536"/>
      <c r="CX112" s="536"/>
      <c r="CY112" s="536"/>
      <c r="CZ112" s="541">
        <f t="shared" si="47"/>
        <v>0</v>
      </c>
      <c r="DA112" s="536"/>
      <c r="DB112" s="536"/>
      <c r="DC112" s="536"/>
      <c r="DD112" s="541">
        <f t="shared" si="48"/>
        <v>0</v>
      </c>
      <c r="DE112" s="536"/>
      <c r="DF112" s="536"/>
      <c r="DG112" s="536"/>
      <c r="DH112" s="541">
        <f t="shared" si="49"/>
        <v>0</v>
      </c>
      <c r="DI112" s="536"/>
      <c r="DJ112" s="536"/>
      <c r="DK112" s="536"/>
      <c r="DL112" s="541">
        <f t="shared" si="50"/>
        <v>0</v>
      </c>
      <c r="DM112" s="536"/>
      <c r="DN112" s="536"/>
      <c r="DO112" s="536"/>
      <c r="DP112" s="541">
        <f>IF( SUM((DJ112*(20/100))+(DK112*(30/100))+(DL112*(50/100))) &gt;=9.3,9.5,
IF(AND( SUM((DJ112*(20/100))+(DK112*(30/100))+(DL112*(50/100))) &lt;=9.3, SUM((DJ112*(20/100))+(DK112*(30/100))+(DL112*(50/100))) &gt;=8.8),9,
IF(AND( SUM((DJ112*(20/100))+(DK112*(30/100))+(DL112*(50/100))) &lt;=8.8, SUM((DJ112*(20/100))+(DK112*(30/100))+(DL112*(50/100))) &gt;=8.3),8.5,
IF(AND( SUM((DJ112*(20/100))+(DK112*(30/100))+(DL112*(50/100))) &lt;=8.3, SUM((DJ112*(20/100))+(DK112*(30/100))+(DL112*(50/100))) &gt;=7.8),8,
IF(AND( SUM((DJ112*(20/100))+(DK112*(30/100))+(DL112*(50/100))) &lt;=7.8, SUM((DJ112*(20/100))+(DK112*(30/100))+(DL112*(50/100))) &gt;=7.3),7.5,
IF(AND( SUM((DJ112*(20/100))+(DK112*(30/100))+(DL112*(50/100))) &lt;=7.3, SUM((DJ112*(20/100))+(DK112*(30/100))+(DL112*(50/100))) &gt;=6.8),7,
IF(AND( SUM((DJ112*(20/100))+(DK112*(30/100))+(DL112*(50/100))) &lt;=6.8, SUM((DJ112*(20/100))+(DK112*(30/100))+(DL112*(50/100))) &gt;=6.3),6.5,
IF(AND( SUM((DJ112*(20/100))+(DK112*(30/100))+(DL112*(50/100))) &lt;=6.3, SUM((DJ112*(20/100))+(DK112*(30/100))+(DL112*(50/100))) &gt;=5.8),6,
IF(AND( SUM((DJ112*(20/100))+(DK112*(30/100))+(DL112*(50/100))) &lt;=5.8, SUM((DJ112*(20/100))+(DK112*(30/100))+(DL112*(50/100))) &gt;=5.3),5.5,
IF(AND( SUM((DJ112*(20/100))+(DK112*(30/100))+(DL112*(50/100))) &lt;=5.3, SUM((DJ112*(20/100))+(DK112*(30/100))+(DL112*(50/100))) &gt;=4.8),5,
IF(AND( SUM((DJ112*(20/100))+(DK112*(30/100))+(DL112*(50/100))) &lt;=4.8, SUM((DJ112*(20/100))+(DK112*(30/100))+(DL112*(50/100))) &gt;=4.3),4.5,
IF(AND( SUM((DJ112*(20/100))+(DK112*(30/100))+(DL112*(50/100))) &lt;=4.3, SUM((DJ112*(20/100))+(DK112*(30/100))+(DL112*(50/100))) &gt;=3.8),4,
IF(AND( SUM((DJ112*(20/100))+(DK112*(30/100))+(DL112*(50/100))) &lt;=3.8, SUM((DJ112*(20/100))+(DK112*(30/100))+(DL112*(50/100))) &gt;=3.5),3.5,0)))))))))))))</f>
        <v>0</v>
      </c>
      <c r="DQ112" s="541"/>
      <c r="DR112" s="541"/>
      <c r="DS112" s="541"/>
      <c r="DT112" s="541"/>
      <c r="DU112" s="541"/>
      <c r="DV112" s="541"/>
      <c r="DW112" s="541"/>
      <c r="DX112" s="541"/>
      <c r="DY112" s="541"/>
      <c r="DZ112" s="541"/>
    </row>
    <row r="113" spans="2:130" x14ac:dyDescent="0.25">
      <c r="B113" s="334">
        <v>6</v>
      </c>
      <c r="C113" s="541"/>
      <c r="D113" s="334"/>
      <c r="E113" s="334"/>
      <c r="F113" s="334"/>
      <c r="G113" s="334"/>
      <c r="H113" s="334"/>
      <c r="I113" s="334"/>
      <c r="J113" s="536"/>
      <c r="K113" s="536"/>
      <c r="L113" s="536"/>
      <c r="M113" s="536"/>
      <c r="N113" s="536"/>
      <c r="O113" s="536"/>
      <c r="P113" s="536">
        <f t="shared" si="26"/>
        <v>0</v>
      </c>
      <c r="Q113" s="536"/>
      <c r="R113" s="536"/>
      <c r="S113" s="536"/>
      <c r="T113" s="536">
        <f t="shared" si="27"/>
        <v>0</v>
      </c>
      <c r="U113" s="536"/>
      <c r="V113" s="536"/>
      <c r="W113" s="536"/>
      <c r="X113" s="536">
        <f t="shared" si="28"/>
        <v>0</v>
      </c>
      <c r="Y113" s="536"/>
      <c r="Z113" s="536"/>
      <c r="AA113" s="536"/>
      <c r="AB113" s="536">
        <f t="shared" si="29"/>
        <v>0</v>
      </c>
      <c r="AC113" s="536"/>
      <c r="AD113" s="536"/>
      <c r="AE113" s="536"/>
      <c r="AF113" s="536">
        <f t="shared" si="30"/>
        <v>0</v>
      </c>
      <c r="AG113" s="536"/>
      <c r="AH113" s="536"/>
      <c r="AI113" s="536"/>
      <c r="AJ113" s="536">
        <f t="shared" si="31"/>
        <v>0</v>
      </c>
      <c r="AK113" s="536"/>
      <c r="AL113" s="536"/>
      <c r="AM113" s="536"/>
      <c r="AN113" s="542">
        <f t="shared" si="32"/>
        <v>0</v>
      </c>
      <c r="AO113" s="536"/>
      <c r="AP113" s="536"/>
      <c r="AQ113" s="536"/>
      <c r="AR113" s="542">
        <f t="shared" si="33"/>
        <v>0</v>
      </c>
      <c r="AS113" s="536"/>
      <c r="AT113" s="536"/>
      <c r="AU113" s="536"/>
      <c r="AV113" s="542">
        <f t="shared" si="34"/>
        <v>0</v>
      </c>
      <c r="AW113" s="536"/>
      <c r="AX113" s="536"/>
      <c r="AY113" s="536"/>
      <c r="AZ113" s="542">
        <f t="shared" si="35"/>
        <v>0</v>
      </c>
      <c r="BA113" s="536"/>
      <c r="BB113" s="536"/>
      <c r="BC113" s="536"/>
      <c r="BD113" s="542">
        <f t="shared" si="36"/>
        <v>0</v>
      </c>
      <c r="BE113" s="536"/>
      <c r="BF113" s="536"/>
      <c r="BG113" s="536"/>
      <c r="BH113" s="542">
        <f t="shared" si="37"/>
        <v>0</v>
      </c>
      <c r="BI113" s="536"/>
      <c r="BJ113" s="536"/>
      <c r="BK113" s="536"/>
      <c r="BL113" s="542">
        <f t="shared" si="38"/>
        <v>0</v>
      </c>
      <c r="BM113" s="536"/>
      <c r="BN113" s="536"/>
      <c r="BO113" s="536"/>
      <c r="BP113" s="542">
        <f t="shared" si="39"/>
        <v>0</v>
      </c>
      <c r="BQ113" s="536"/>
      <c r="BR113" s="536"/>
      <c r="BS113" s="536"/>
      <c r="BT113" s="542">
        <f t="shared" si="40"/>
        <v>0</v>
      </c>
      <c r="BU113" s="536"/>
      <c r="BV113" s="536"/>
      <c r="BW113" s="536"/>
      <c r="BX113" s="542">
        <f t="shared" si="41"/>
        <v>0</v>
      </c>
      <c r="BY113" s="536"/>
      <c r="BZ113" s="536"/>
      <c r="CA113" s="536"/>
      <c r="CB113" s="542">
        <v>0</v>
      </c>
      <c r="CC113" s="536"/>
      <c r="CD113" s="536"/>
      <c r="CE113" s="536"/>
      <c r="CF113" s="541">
        <f t="shared" si="42"/>
        <v>0</v>
      </c>
      <c r="CG113" s="536"/>
      <c r="CH113" s="536"/>
      <c r="CI113" s="536"/>
      <c r="CJ113" s="541">
        <f t="shared" si="43"/>
        <v>0</v>
      </c>
      <c r="CK113" s="536"/>
      <c r="CL113" s="536"/>
      <c r="CM113" s="536"/>
      <c r="CN113" s="541">
        <f t="shared" si="44"/>
        <v>0</v>
      </c>
      <c r="CO113" s="536"/>
      <c r="CP113" s="536"/>
      <c r="CQ113" s="536"/>
      <c r="CR113" s="541">
        <f t="shared" si="45"/>
        <v>0</v>
      </c>
      <c r="CS113" s="536"/>
      <c r="CT113" s="536"/>
      <c r="CU113" s="536"/>
      <c r="CV113" s="541">
        <f t="shared" si="46"/>
        <v>0</v>
      </c>
      <c r="CW113" s="536"/>
      <c r="CX113" s="536"/>
      <c r="CY113" s="536"/>
      <c r="CZ113" s="541">
        <f t="shared" si="47"/>
        <v>0</v>
      </c>
      <c r="DA113" s="536"/>
      <c r="DB113" s="536"/>
      <c r="DC113" s="536"/>
      <c r="DD113" s="541">
        <f t="shared" si="48"/>
        <v>0</v>
      </c>
      <c r="DE113" s="536"/>
      <c r="DF113" s="536"/>
      <c r="DG113" s="536"/>
      <c r="DH113" s="541">
        <f t="shared" si="49"/>
        <v>0</v>
      </c>
      <c r="DI113" s="536"/>
      <c r="DJ113" s="536"/>
      <c r="DK113" s="536"/>
      <c r="DL113" s="541">
        <f t="shared" si="50"/>
        <v>0</v>
      </c>
      <c r="DM113" s="536"/>
      <c r="DN113" s="536"/>
      <c r="DO113" s="536"/>
      <c r="DP113" s="541">
        <f>IF( SUM((DJ113*(20/100))+(DK113*(30/100))+(DL113*(50/100))) &gt;=9.3,9.5,
IF(AND( SUM((DJ113*(20/100))+(DK113*(30/100))+(DL113*(50/100))) &lt;=9.3, SUM((DJ113*(20/100))+(DK113*(30/100))+(DL113*(50/100))) &gt;=8.8),9,
IF(AND( SUM((DJ113*(20/100))+(DK113*(30/100))+(DL113*(50/100))) &lt;=8.8, SUM((DJ113*(20/100))+(DK113*(30/100))+(DL113*(50/100))) &gt;=8.3),8.5,
IF(AND( SUM((DJ113*(20/100))+(DK113*(30/100))+(DL113*(50/100))) &lt;=8.3, SUM((DJ113*(20/100))+(DK113*(30/100))+(DL113*(50/100))) &gt;=7.8),8,
IF(AND( SUM((DJ113*(20/100))+(DK113*(30/100))+(DL113*(50/100))) &lt;=7.8, SUM((DJ113*(20/100))+(DK113*(30/100))+(DL113*(50/100))) &gt;=7.3),7.5,
IF(AND( SUM((DJ113*(20/100))+(DK113*(30/100))+(DL113*(50/100))) &lt;=7.3, SUM((DJ113*(20/100))+(DK113*(30/100))+(DL113*(50/100))) &gt;=6.8),7,
IF(AND( SUM((DJ113*(20/100))+(DK113*(30/100))+(DL113*(50/100))) &lt;=6.8, SUM((DJ113*(20/100))+(DK113*(30/100))+(DL113*(50/100))) &gt;=6.3),6.5,
IF(AND( SUM((DJ113*(20/100))+(DK113*(30/100))+(DL113*(50/100))) &lt;=6.3, SUM((DJ113*(20/100))+(DK113*(30/100))+(DL113*(50/100))) &gt;=5.8),6,
IF(AND( SUM((DJ113*(20/100))+(DK113*(30/100))+(DL113*(50/100))) &lt;=5.8, SUM((DJ113*(20/100))+(DK113*(30/100))+(DL113*(50/100))) &gt;=5.3),5.5,
IF(AND( SUM((DJ113*(20/100))+(DK113*(30/100))+(DL113*(50/100))) &lt;=5.3, SUM((DJ113*(20/100))+(DK113*(30/100))+(DL113*(50/100))) &gt;=4.8),5,
IF(AND( SUM((DJ113*(20/100))+(DK113*(30/100))+(DL113*(50/100))) &lt;=4.8, SUM((DJ113*(20/100))+(DK113*(30/100))+(DL113*(50/100))) &gt;=4.3),4.5,
IF(AND( SUM((DJ113*(20/100))+(DK113*(30/100))+(DL113*(50/100))) &lt;=4.3, SUM((DJ113*(20/100))+(DK113*(30/100))+(DL113*(50/100))) &gt;=3.8),4,
IF(AND( SUM((DJ113*(20/100))+(DK113*(30/100))+(DL113*(50/100))) &lt;=3.8, SUM((DJ113*(20/100))+(DK113*(30/100))+(DL113*(50/100))) &gt;=3.5),3.5,0)))))))))))))</f>
        <v>0</v>
      </c>
      <c r="DQ113" s="541"/>
      <c r="DR113" s="541"/>
      <c r="DS113" s="541"/>
      <c r="DT113" s="541"/>
      <c r="DU113" s="541"/>
      <c r="DV113" s="541"/>
      <c r="DW113" s="541"/>
      <c r="DX113" s="541"/>
      <c r="DY113" s="541"/>
      <c r="DZ113" s="541"/>
    </row>
    <row r="114" spans="2:130" x14ac:dyDescent="0.25">
      <c r="B114" s="334">
        <v>7</v>
      </c>
      <c r="C114" s="541"/>
      <c r="D114" s="334"/>
      <c r="E114" s="334"/>
      <c r="F114" s="334"/>
      <c r="G114" s="334"/>
      <c r="H114" s="334"/>
      <c r="I114" s="334"/>
      <c r="J114" s="536"/>
      <c r="K114" s="536"/>
      <c r="L114" s="536"/>
      <c r="M114" s="536"/>
      <c r="N114" s="536"/>
      <c r="O114" s="536"/>
      <c r="P114" s="536">
        <f t="shared" si="26"/>
        <v>0</v>
      </c>
      <c r="Q114" s="536"/>
      <c r="R114" s="536"/>
      <c r="S114" s="536"/>
      <c r="T114" s="536">
        <f t="shared" si="27"/>
        <v>0</v>
      </c>
      <c r="U114" s="536"/>
      <c r="V114" s="536"/>
      <c r="W114" s="536"/>
      <c r="X114" s="536">
        <f t="shared" si="28"/>
        <v>0</v>
      </c>
      <c r="Y114" s="536"/>
      <c r="Z114" s="536"/>
      <c r="AA114" s="536"/>
      <c r="AB114" s="536">
        <f t="shared" si="29"/>
        <v>0</v>
      </c>
      <c r="AC114" s="536"/>
      <c r="AD114" s="536"/>
      <c r="AE114" s="536"/>
      <c r="AF114" s="536">
        <f t="shared" si="30"/>
        <v>0</v>
      </c>
      <c r="AG114" s="536"/>
      <c r="AH114" s="536"/>
      <c r="AI114" s="536"/>
      <c r="AJ114" s="536">
        <f t="shared" si="31"/>
        <v>0</v>
      </c>
      <c r="AK114" s="536"/>
      <c r="AL114" s="536"/>
      <c r="AM114" s="536"/>
      <c r="AN114" s="542">
        <f t="shared" si="32"/>
        <v>0</v>
      </c>
      <c r="AO114" s="536"/>
      <c r="AP114" s="536"/>
      <c r="AQ114" s="536"/>
      <c r="AR114" s="542">
        <f t="shared" si="33"/>
        <v>0</v>
      </c>
      <c r="AS114" s="536"/>
      <c r="AT114" s="536"/>
      <c r="AU114" s="536"/>
      <c r="AV114" s="542">
        <f t="shared" si="34"/>
        <v>0</v>
      </c>
      <c r="AW114" s="536"/>
      <c r="AX114" s="536"/>
      <c r="AY114" s="536"/>
      <c r="AZ114" s="542">
        <f t="shared" si="35"/>
        <v>0</v>
      </c>
      <c r="BA114" s="536"/>
      <c r="BB114" s="536"/>
      <c r="BC114" s="536"/>
      <c r="BD114" s="542">
        <f t="shared" si="36"/>
        <v>0</v>
      </c>
      <c r="BE114" s="536"/>
      <c r="BF114" s="536"/>
      <c r="BG114" s="536"/>
      <c r="BH114" s="542">
        <f t="shared" si="37"/>
        <v>0</v>
      </c>
      <c r="BI114" s="536"/>
      <c r="BJ114" s="536"/>
      <c r="BK114" s="536"/>
      <c r="BL114" s="542">
        <f t="shared" si="38"/>
        <v>0</v>
      </c>
      <c r="BM114" s="536"/>
      <c r="BN114" s="536"/>
      <c r="BO114" s="536"/>
      <c r="BP114" s="542">
        <f t="shared" si="39"/>
        <v>0</v>
      </c>
      <c r="BQ114" s="536"/>
      <c r="BR114" s="536"/>
      <c r="BS114" s="536"/>
      <c r="BT114" s="542">
        <f t="shared" si="40"/>
        <v>0</v>
      </c>
      <c r="BU114" s="536"/>
      <c r="BV114" s="536"/>
      <c r="BW114" s="536"/>
      <c r="BX114" s="542">
        <f t="shared" si="41"/>
        <v>0</v>
      </c>
      <c r="BY114" s="536"/>
      <c r="BZ114" s="536"/>
      <c r="CA114" s="536"/>
      <c r="CB114" s="542">
        <v>0</v>
      </c>
      <c r="CC114" s="536"/>
      <c r="CD114" s="536"/>
      <c r="CE114" s="536"/>
      <c r="CF114" s="541">
        <f t="shared" si="42"/>
        <v>0</v>
      </c>
      <c r="CG114" s="536"/>
      <c r="CH114" s="536"/>
      <c r="CI114" s="536"/>
      <c r="CJ114" s="541">
        <f t="shared" si="43"/>
        <v>0</v>
      </c>
      <c r="CK114" s="536"/>
      <c r="CL114" s="536"/>
      <c r="CM114" s="536"/>
      <c r="CN114" s="541">
        <f t="shared" si="44"/>
        <v>0</v>
      </c>
      <c r="CO114" s="536"/>
      <c r="CP114" s="536"/>
      <c r="CQ114" s="536"/>
      <c r="CR114" s="541">
        <f t="shared" si="45"/>
        <v>0</v>
      </c>
      <c r="CS114" s="536"/>
      <c r="CT114" s="536"/>
      <c r="CU114" s="536"/>
      <c r="CV114" s="541">
        <f t="shared" si="46"/>
        <v>0</v>
      </c>
      <c r="CW114" s="536"/>
      <c r="CX114" s="536"/>
      <c r="CY114" s="536"/>
      <c r="CZ114" s="541">
        <f t="shared" si="47"/>
        <v>0</v>
      </c>
      <c r="DA114" s="536"/>
      <c r="DB114" s="536"/>
      <c r="DC114" s="536"/>
      <c r="DD114" s="541">
        <f t="shared" si="48"/>
        <v>0</v>
      </c>
      <c r="DE114" s="536"/>
      <c r="DF114" s="536"/>
      <c r="DG114" s="536"/>
      <c r="DH114" s="541">
        <f t="shared" si="49"/>
        <v>0</v>
      </c>
      <c r="DI114" s="536"/>
      <c r="DJ114" s="536"/>
      <c r="DK114" s="536"/>
      <c r="DL114" s="541">
        <f t="shared" si="50"/>
        <v>0</v>
      </c>
      <c r="DM114" s="536"/>
      <c r="DN114" s="536"/>
      <c r="DO114" s="536"/>
      <c r="DP114" s="541">
        <f>IF( SUM((DJ114*(20/100))+(DK114*(30/100))+(DL114*(50/100))) &gt;=9.3,9.5,
IF(AND( SUM((DJ114*(20/100))+(DK114*(30/100))+(DL114*(50/100))) &lt;=9.3, SUM((DJ114*(20/100))+(DK114*(30/100))+(DL114*(50/100))) &gt;=8.8),9,
IF(AND( SUM((DJ114*(20/100))+(DK114*(30/100))+(DL114*(50/100))) &lt;=8.8, SUM((DJ114*(20/100))+(DK114*(30/100))+(DL114*(50/100))) &gt;=8.3),8.5,
IF(AND( SUM((DJ114*(20/100))+(DK114*(30/100))+(DL114*(50/100))) &lt;=8.3, SUM((DJ114*(20/100))+(DK114*(30/100))+(DL114*(50/100))) &gt;=7.8),8,
IF(AND( SUM((DJ114*(20/100))+(DK114*(30/100))+(DL114*(50/100))) &lt;=7.8, SUM((DJ114*(20/100))+(DK114*(30/100))+(DL114*(50/100))) &gt;=7.3),7.5,
IF(AND( SUM((DJ114*(20/100))+(DK114*(30/100))+(DL114*(50/100))) &lt;=7.3, SUM((DJ114*(20/100))+(DK114*(30/100))+(DL114*(50/100))) &gt;=6.8),7,
IF(AND( SUM((DJ114*(20/100))+(DK114*(30/100))+(DL114*(50/100))) &lt;=6.8, SUM((DJ114*(20/100))+(DK114*(30/100))+(DL114*(50/100))) &gt;=6.3),6.5,
IF(AND( SUM((DJ114*(20/100))+(DK114*(30/100))+(DL114*(50/100))) &lt;=6.3, SUM((DJ114*(20/100))+(DK114*(30/100))+(DL114*(50/100))) &gt;=5.8),6,
IF(AND( SUM((DJ114*(20/100))+(DK114*(30/100))+(DL114*(50/100))) &lt;=5.8, SUM((DJ114*(20/100))+(DK114*(30/100))+(DL114*(50/100))) &gt;=5.3),5.5,
IF(AND( SUM((DJ114*(20/100))+(DK114*(30/100))+(DL114*(50/100))) &lt;=5.3, SUM((DJ114*(20/100))+(DK114*(30/100))+(DL114*(50/100))) &gt;=4.8),5,
IF(AND( SUM((DJ114*(20/100))+(DK114*(30/100))+(DL114*(50/100))) &lt;=4.8, SUM((DJ114*(20/100))+(DK114*(30/100))+(DL114*(50/100))) &gt;=4.3),4.5,
IF(AND( SUM((DJ114*(20/100))+(DK114*(30/100))+(DL114*(50/100))) &lt;=4.3, SUM((DJ114*(20/100))+(DK114*(30/100))+(DL114*(50/100))) &gt;=3.8),4,
IF(AND( SUM((DJ114*(20/100))+(DK114*(30/100))+(DL114*(50/100))) &lt;=3.8, SUM((DJ114*(20/100))+(DK114*(30/100))+(DL114*(50/100))) &gt;=3.5),3.5,0)))))))))))))</f>
        <v>0</v>
      </c>
      <c r="DQ114" s="541"/>
      <c r="DR114" s="541"/>
      <c r="DS114" s="541"/>
      <c r="DT114" s="541"/>
      <c r="DU114" s="541"/>
      <c r="DV114" s="541"/>
      <c r="DW114" s="541"/>
      <c r="DX114" s="541"/>
      <c r="DY114" s="541"/>
      <c r="DZ114" s="541"/>
    </row>
    <row r="115" spans="2:130" x14ac:dyDescent="0.25">
      <c r="B115" s="334">
        <v>8</v>
      </c>
      <c r="C115" s="541"/>
      <c r="D115" s="334"/>
      <c r="E115" s="334"/>
      <c r="F115" s="334"/>
      <c r="G115" s="334"/>
      <c r="H115" s="334"/>
      <c r="I115" s="334"/>
      <c r="J115" s="536"/>
      <c r="K115" s="536"/>
      <c r="L115" s="536"/>
      <c r="M115" s="536"/>
      <c r="N115" s="536"/>
      <c r="O115" s="536"/>
      <c r="P115" s="536">
        <f t="shared" si="26"/>
        <v>0</v>
      </c>
      <c r="Q115" s="536"/>
      <c r="R115" s="536"/>
      <c r="S115" s="536"/>
      <c r="T115" s="536">
        <f t="shared" si="27"/>
        <v>0</v>
      </c>
      <c r="U115" s="536"/>
      <c r="V115" s="536"/>
      <c r="W115" s="536"/>
      <c r="X115" s="536">
        <f t="shared" si="28"/>
        <v>0</v>
      </c>
      <c r="Y115" s="536"/>
      <c r="Z115" s="536"/>
      <c r="AA115" s="536"/>
      <c r="AB115" s="536">
        <f t="shared" si="29"/>
        <v>0</v>
      </c>
      <c r="AC115" s="536"/>
      <c r="AD115" s="536"/>
      <c r="AE115" s="536"/>
      <c r="AF115" s="536">
        <f t="shared" si="30"/>
        <v>0</v>
      </c>
      <c r="AG115" s="536"/>
      <c r="AH115" s="536"/>
      <c r="AI115" s="536"/>
      <c r="AJ115" s="536">
        <f t="shared" si="31"/>
        <v>0</v>
      </c>
      <c r="AK115" s="536"/>
      <c r="AL115" s="536"/>
      <c r="AM115" s="536"/>
      <c r="AN115" s="542">
        <f t="shared" si="32"/>
        <v>0</v>
      </c>
      <c r="AO115" s="536"/>
      <c r="AP115" s="536"/>
      <c r="AQ115" s="536"/>
      <c r="AR115" s="542">
        <f t="shared" si="33"/>
        <v>0</v>
      </c>
      <c r="AS115" s="536"/>
      <c r="AT115" s="536"/>
      <c r="AU115" s="536"/>
      <c r="AV115" s="542">
        <f t="shared" si="34"/>
        <v>0</v>
      </c>
      <c r="AW115" s="536"/>
      <c r="AX115" s="536"/>
      <c r="AY115" s="536"/>
      <c r="AZ115" s="542">
        <f t="shared" si="35"/>
        <v>0</v>
      </c>
      <c r="BA115" s="536"/>
      <c r="BB115" s="536"/>
      <c r="BC115" s="536"/>
      <c r="BD115" s="542">
        <f t="shared" si="36"/>
        <v>0</v>
      </c>
      <c r="BE115" s="536"/>
      <c r="BF115" s="536"/>
      <c r="BG115" s="536"/>
      <c r="BH115" s="542">
        <f t="shared" si="37"/>
        <v>0</v>
      </c>
      <c r="BI115" s="536"/>
      <c r="BJ115" s="536"/>
      <c r="BK115" s="536"/>
      <c r="BL115" s="542">
        <f t="shared" si="38"/>
        <v>0</v>
      </c>
      <c r="BM115" s="536"/>
      <c r="BN115" s="536"/>
      <c r="BO115" s="536"/>
      <c r="BP115" s="542">
        <f t="shared" si="39"/>
        <v>0</v>
      </c>
      <c r="BQ115" s="536"/>
      <c r="BR115" s="536"/>
      <c r="BS115" s="536"/>
      <c r="BT115" s="542">
        <f t="shared" si="40"/>
        <v>0</v>
      </c>
      <c r="BU115" s="536"/>
      <c r="BV115" s="536"/>
      <c r="BW115" s="536"/>
      <c r="BX115" s="542">
        <f t="shared" si="41"/>
        <v>0</v>
      </c>
      <c r="BY115" s="536"/>
      <c r="BZ115" s="536"/>
      <c r="CA115" s="536"/>
      <c r="CB115" s="542">
        <v>0</v>
      </c>
      <c r="CC115" s="536"/>
      <c r="CD115" s="536"/>
      <c r="CE115" s="536"/>
      <c r="CF115" s="541">
        <f t="shared" si="42"/>
        <v>0</v>
      </c>
      <c r="CG115" s="536"/>
      <c r="CH115" s="536"/>
      <c r="CI115" s="536"/>
      <c r="CJ115" s="541">
        <f t="shared" si="43"/>
        <v>0</v>
      </c>
      <c r="CK115" s="536"/>
      <c r="CL115" s="536"/>
      <c r="CM115" s="536"/>
      <c r="CN115" s="541">
        <f t="shared" si="44"/>
        <v>0</v>
      </c>
      <c r="CO115" s="536"/>
      <c r="CP115" s="536"/>
      <c r="CQ115" s="536"/>
      <c r="CR115" s="541">
        <f t="shared" si="45"/>
        <v>0</v>
      </c>
      <c r="CS115" s="536"/>
      <c r="CT115" s="536"/>
      <c r="CU115" s="536"/>
      <c r="CV115" s="541">
        <f t="shared" si="46"/>
        <v>0</v>
      </c>
      <c r="CW115" s="536"/>
      <c r="CX115" s="536"/>
      <c r="CY115" s="536"/>
      <c r="CZ115" s="541">
        <f t="shared" si="47"/>
        <v>0</v>
      </c>
      <c r="DA115" s="536"/>
      <c r="DB115" s="536"/>
      <c r="DC115" s="536"/>
      <c r="DD115" s="541">
        <f t="shared" si="48"/>
        <v>0</v>
      </c>
      <c r="DE115" s="536"/>
      <c r="DF115" s="536"/>
      <c r="DG115" s="536"/>
      <c r="DH115" s="541">
        <f t="shared" si="49"/>
        <v>0</v>
      </c>
      <c r="DI115" s="536"/>
      <c r="DJ115" s="536"/>
      <c r="DK115" s="536"/>
      <c r="DL115" s="541">
        <f t="shared" si="50"/>
        <v>0</v>
      </c>
      <c r="DM115" s="536"/>
      <c r="DN115" s="536"/>
      <c r="DO115" s="536"/>
      <c r="DP115" s="541">
        <f>IF( SUM((DJ115*(20/100))+(DK115*(30/100))+(DL115*(50/100))) &gt;=9.3,9.5,
IF(AND( SUM((DJ115*(20/100))+(DK115*(30/100))+(DL115*(50/100))) &lt;=9.3, SUM((DJ115*(20/100))+(DK115*(30/100))+(DL115*(50/100))) &gt;=8.8),9,
IF(AND( SUM((DJ115*(20/100))+(DK115*(30/100))+(DL115*(50/100))) &lt;=8.8, SUM((DJ115*(20/100))+(DK115*(30/100))+(DL115*(50/100))) &gt;=8.3),8.5,
IF(AND( SUM((DJ115*(20/100))+(DK115*(30/100))+(DL115*(50/100))) &lt;=8.3, SUM((DJ115*(20/100))+(DK115*(30/100))+(DL115*(50/100))) &gt;=7.8),8,
IF(AND( SUM((DJ115*(20/100))+(DK115*(30/100))+(DL115*(50/100))) &lt;=7.8, SUM((DJ115*(20/100))+(DK115*(30/100))+(DL115*(50/100))) &gt;=7.3),7.5,
IF(AND( SUM((DJ115*(20/100))+(DK115*(30/100))+(DL115*(50/100))) &lt;=7.3, SUM((DJ115*(20/100))+(DK115*(30/100))+(DL115*(50/100))) &gt;=6.8),7,
IF(AND( SUM((DJ115*(20/100))+(DK115*(30/100))+(DL115*(50/100))) &lt;=6.8, SUM((DJ115*(20/100))+(DK115*(30/100))+(DL115*(50/100))) &gt;=6.3),6.5,
IF(AND( SUM((DJ115*(20/100))+(DK115*(30/100))+(DL115*(50/100))) &lt;=6.3, SUM((DJ115*(20/100))+(DK115*(30/100))+(DL115*(50/100))) &gt;=5.8),6,
IF(AND( SUM((DJ115*(20/100))+(DK115*(30/100))+(DL115*(50/100))) &lt;=5.8, SUM((DJ115*(20/100))+(DK115*(30/100))+(DL115*(50/100))) &gt;=5.3),5.5,
IF(AND( SUM((DJ115*(20/100))+(DK115*(30/100))+(DL115*(50/100))) &lt;=5.3, SUM((DJ115*(20/100))+(DK115*(30/100))+(DL115*(50/100))) &gt;=4.8),5,
IF(AND( SUM((DJ115*(20/100))+(DK115*(30/100))+(DL115*(50/100))) &lt;=4.8, SUM((DJ115*(20/100))+(DK115*(30/100))+(DL115*(50/100))) &gt;=4.3),4.5,
IF(AND( SUM((DJ115*(20/100))+(DK115*(30/100))+(DL115*(50/100))) &lt;=4.3, SUM((DJ115*(20/100))+(DK115*(30/100))+(DL115*(50/100))) &gt;=3.8),4,
IF(AND( SUM((DJ115*(20/100))+(DK115*(30/100))+(DL115*(50/100))) &lt;=3.8, SUM((DJ115*(20/100))+(DK115*(30/100))+(DL115*(50/100))) &gt;=3.5),3.5,0)))))))))))))</f>
        <v>0</v>
      </c>
      <c r="DQ115" s="541"/>
      <c r="DR115" s="541"/>
      <c r="DS115" s="541"/>
      <c r="DT115" s="541"/>
      <c r="DU115" s="541"/>
      <c r="DV115" s="541"/>
      <c r="DW115" s="541"/>
      <c r="DX115" s="541"/>
      <c r="DY115" s="541"/>
      <c r="DZ115" s="541"/>
    </row>
    <row r="116" spans="2:130" x14ac:dyDescent="0.25">
      <c r="B116" s="334">
        <v>9</v>
      </c>
      <c r="C116" s="541"/>
      <c r="D116" s="334"/>
      <c r="E116" s="334"/>
      <c r="F116" s="334"/>
      <c r="G116" s="334"/>
      <c r="H116" s="334"/>
      <c r="I116" s="334"/>
      <c r="J116" s="536"/>
      <c r="K116" s="536"/>
      <c r="L116" s="536"/>
      <c r="M116" s="536"/>
      <c r="N116" s="536"/>
      <c r="O116" s="536"/>
      <c r="P116" s="536">
        <f t="shared" si="26"/>
        <v>0</v>
      </c>
      <c r="Q116" s="536"/>
      <c r="R116" s="536"/>
      <c r="S116" s="536"/>
      <c r="T116" s="536">
        <f t="shared" si="27"/>
        <v>0</v>
      </c>
      <c r="U116" s="536"/>
      <c r="V116" s="536"/>
      <c r="W116" s="536"/>
      <c r="X116" s="536">
        <f t="shared" si="28"/>
        <v>0</v>
      </c>
      <c r="Y116" s="536"/>
      <c r="Z116" s="536"/>
      <c r="AA116" s="536"/>
      <c r="AB116" s="536">
        <f t="shared" si="29"/>
        <v>0</v>
      </c>
      <c r="AC116" s="536"/>
      <c r="AD116" s="536"/>
      <c r="AE116" s="536"/>
      <c r="AF116" s="536">
        <f t="shared" si="30"/>
        <v>0</v>
      </c>
      <c r="AG116" s="536"/>
      <c r="AH116" s="536"/>
      <c r="AI116" s="536"/>
      <c r="AJ116" s="536">
        <f t="shared" si="31"/>
        <v>0</v>
      </c>
      <c r="AK116" s="536"/>
      <c r="AL116" s="536"/>
      <c r="AM116" s="536"/>
      <c r="AN116" s="542">
        <f t="shared" si="32"/>
        <v>0</v>
      </c>
      <c r="AO116" s="536"/>
      <c r="AP116" s="536"/>
      <c r="AQ116" s="536"/>
      <c r="AR116" s="542">
        <f t="shared" si="33"/>
        <v>0</v>
      </c>
      <c r="AS116" s="536"/>
      <c r="AT116" s="536"/>
      <c r="AU116" s="536"/>
      <c r="AV116" s="542">
        <f t="shared" si="34"/>
        <v>0</v>
      </c>
      <c r="AW116" s="536"/>
      <c r="AX116" s="536"/>
      <c r="AY116" s="536"/>
      <c r="AZ116" s="542">
        <f t="shared" si="35"/>
        <v>0</v>
      </c>
      <c r="BA116" s="536"/>
      <c r="BB116" s="536"/>
      <c r="BC116" s="536"/>
      <c r="BD116" s="542">
        <f t="shared" si="36"/>
        <v>0</v>
      </c>
      <c r="BE116" s="536"/>
      <c r="BF116" s="536"/>
      <c r="BG116" s="536"/>
      <c r="BH116" s="542">
        <f t="shared" si="37"/>
        <v>0</v>
      </c>
      <c r="BI116" s="536"/>
      <c r="BJ116" s="536"/>
      <c r="BK116" s="536"/>
      <c r="BL116" s="542">
        <f t="shared" si="38"/>
        <v>0</v>
      </c>
      <c r="BM116" s="536"/>
      <c r="BN116" s="536"/>
      <c r="BO116" s="536"/>
      <c r="BP116" s="542">
        <f t="shared" si="39"/>
        <v>0</v>
      </c>
      <c r="BQ116" s="536"/>
      <c r="BR116" s="536"/>
      <c r="BS116" s="536"/>
      <c r="BT116" s="542">
        <f t="shared" si="40"/>
        <v>0</v>
      </c>
      <c r="BU116" s="536"/>
      <c r="BV116" s="536"/>
      <c r="BW116" s="536"/>
      <c r="BX116" s="542">
        <f t="shared" si="41"/>
        <v>0</v>
      </c>
      <c r="BY116" s="536"/>
      <c r="BZ116" s="536"/>
      <c r="CA116" s="536"/>
      <c r="CB116" s="542">
        <v>0</v>
      </c>
      <c r="CC116" s="536"/>
      <c r="CD116" s="536"/>
      <c r="CE116" s="536"/>
      <c r="CF116" s="541">
        <f t="shared" si="42"/>
        <v>0</v>
      </c>
      <c r="CG116" s="536"/>
      <c r="CH116" s="536"/>
      <c r="CI116" s="536"/>
      <c r="CJ116" s="541">
        <f t="shared" si="43"/>
        <v>0</v>
      </c>
      <c r="CK116" s="536"/>
      <c r="CL116" s="536"/>
      <c r="CM116" s="536"/>
      <c r="CN116" s="541">
        <f t="shared" si="44"/>
        <v>0</v>
      </c>
      <c r="CO116" s="536"/>
      <c r="CP116" s="536"/>
      <c r="CQ116" s="536"/>
      <c r="CR116" s="541">
        <f t="shared" si="45"/>
        <v>0</v>
      </c>
      <c r="CS116" s="536"/>
      <c r="CT116" s="536"/>
      <c r="CU116" s="536"/>
      <c r="CV116" s="541">
        <f t="shared" si="46"/>
        <v>0</v>
      </c>
      <c r="CW116" s="536"/>
      <c r="CX116" s="536"/>
      <c r="CY116" s="536"/>
      <c r="CZ116" s="541">
        <f t="shared" si="47"/>
        <v>0</v>
      </c>
      <c r="DA116" s="536"/>
      <c r="DB116" s="536"/>
      <c r="DC116" s="536"/>
      <c r="DD116" s="541">
        <f t="shared" si="48"/>
        <v>0</v>
      </c>
      <c r="DE116" s="536"/>
      <c r="DF116" s="536"/>
      <c r="DG116" s="536"/>
      <c r="DH116" s="541">
        <f t="shared" si="49"/>
        <v>0</v>
      </c>
      <c r="DI116" s="536"/>
      <c r="DJ116" s="536"/>
      <c r="DK116" s="536"/>
      <c r="DL116" s="541">
        <f t="shared" si="50"/>
        <v>0</v>
      </c>
      <c r="DM116" s="536"/>
      <c r="DN116" s="536"/>
      <c r="DO116" s="536"/>
      <c r="DP116" s="541">
        <f>IF( SUM((DJ116*(20/100))+(DK116*(30/100))+(DL116*(50/100))) &gt;=9.3,9.5,
IF(AND( SUM((DJ116*(20/100))+(DK116*(30/100))+(DL116*(50/100))) &lt;=9.3, SUM((DJ116*(20/100))+(DK116*(30/100))+(DL116*(50/100))) &gt;=8.8),9,
IF(AND( SUM((DJ116*(20/100))+(DK116*(30/100))+(DL116*(50/100))) &lt;=8.8, SUM((DJ116*(20/100))+(DK116*(30/100))+(DL116*(50/100))) &gt;=8.3),8.5,
IF(AND( SUM((DJ116*(20/100))+(DK116*(30/100))+(DL116*(50/100))) &lt;=8.3, SUM((DJ116*(20/100))+(DK116*(30/100))+(DL116*(50/100))) &gt;=7.8),8,
IF(AND( SUM((DJ116*(20/100))+(DK116*(30/100))+(DL116*(50/100))) &lt;=7.8, SUM((DJ116*(20/100))+(DK116*(30/100))+(DL116*(50/100))) &gt;=7.3),7.5,
IF(AND( SUM((DJ116*(20/100))+(DK116*(30/100))+(DL116*(50/100))) &lt;=7.3, SUM((DJ116*(20/100))+(DK116*(30/100))+(DL116*(50/100))) &gt;=6.8),7,
IF(AND( SUM((DJ116*(20/100))+(DK116*(30/100))+(DL116*(50/100))) &lt;=6.8, SUM((DJ116*(20/100))+(DK116*(30/100))+(DL116*(50/100))) &gt;=6.3),6.5,
IF(AND( SUM((DJ116*(20/100))+(DK116*(30/100))+(DL116*(50/100))) &lt;=6.3, SUM((DJ116*(20/100))+(DK116*(30/100))+(DL116*(50/100))) &gt;=5.8),6,
IF(AND( SUM((DJ116*(20/100))+(DK116*(30/100))+(DL116*(50/100))) &lt;=5.8, SUM((DJ116*(20/100))+(DK116*(30/100))+(DL116*(50/100))) &gt;=5.3),5.5,
IF(AND( SUM((DJ116*(20/100))+(DK116*(30/100))+(DL116*(50/100))) &lt;=5.3, SUM((DJ116*(20/100))+(DK116*(30/100))+(DL116*(50/100))) &gt;=4.8),5,
IF(AND( SUM((DJ116*(20/100))+(DK116*(30/100))+(DL116*(50/100))) &lt;=4.8, SUM((DJ116*(20/100))+(DK116*(30/100))+(DL116*(50/100))) &gt;=4.3),4.5,
IF(AND( SUM((DJ116*(20/100))+(DK116*(30/100))+(DL116*(50/100))) &lt;=4.3, SUM((DJ116*(20/100))+(DK116*(30/100))+(DL116*(50/100))) &gt;=3.8),4,
IF(AND( SUM((DJ116*(20/100))+(DK116*(30/100))+(DL116*(50/100))) &lt;=3.8, SUM((DJ116*(20/100))+(DK116*(30/100))+(DL116*(50/100))) &gt;=3.5),3.5,0)))))))))))))</f>
        <v>0</v>
      </c>
      <c r="DQ116" s="541"/>
      <c r="DR116" s="541"/>
      <c r="DS116" s="541"/>
      <c r="DT116" s="541"/>
      <c r="DU116" s="541"/>
      <c r="DV116" s="541"/>
      <c r="DW116" s="541"/>
      <c r="DX116" s="541"/>
      <c r="DY116" s="541"/>
      <c r="DZ116" s="541"/>
    </row>
    <row r="117" spans="2:130" x14ac:dyDescent="0.25">
      <c r="B117" s="334">
        <v>10</v>
      </c>
      <c r="C117" s="541"/>
      <c r="D117" s="334"/>
      <c r="E117" s="334"/>
      <c r="F117" s="334"/>
      <c r="G117" s="334"/>
      <c r="H117" s="334"/>
      <c r="I117" s="334"/>
      <c r="J117" s="536"/>
      <c r="K117" s="536"/>
      <c r="L117" s="536"/>
      <c r="M117" s="536"/>
      <c r="N117" s="536"/>
      <c r="O117" s="536"/>
      <c r="P117" s="536">
        <f t="shared" si="26"/>
        <v>0</v>
      </c>
      <c r="Q117" s="536"/>
      <c r="R117" s="536"/>
      <c r="S117" s="536"/>
      <c r="T117" s="536">
        <f t="shared" si="27"/>
        <v>0</v>
      </c>
      <c r="U117" s="536"/>
      <c r="V117" s="536"/>
      <c r="W117" s="536"/>
      <c r="X117" s="536">
        <f t="shared" si="28"/>
        <v>0</v>
      </c>
      <c r="Y117" s="536"/>
      <c r="Z117" s="536"/>
      <c r="AA117" s="536"/>
      <c r="AB117" s="536">
        <f t="shared" si="29"/>
        <v>0</v>
      </c>
      <c r="AC117" s="536"/>
      <c r="AD117" s="536"/>
      <c r="AE117" s="536"/>
      <c r="AF117" s="536">
        <f t="shared" si="30"/>
        <v>0</v>
      </c>
      <c r="AG117" s="536"/>
      <c r="AH117" s="536"/>
      <c r="AI117" s="536"/>
      <c r="AJ117" s="536">
        <f t="shared" si="31"/>
        <v>0</v>
      </c>
      <c r="AK117" s="536"/>
      <c r="AL117" s="536"/>
      <c r="AM117" s="536"/>
      <c r="AN117" s="542">
        <f t="shared" si="32"/>
        <v>0</v>
      </c>
      <c r="AO117" s="536"/>
      <c r="AP117" s="536"/>
      <c r="AQ117" s="536"/>
      <c r="AR117" s="542">
        <f t="shared" si="33"/>
        <v>0</v>
      </c>
      <c r="AS117" s="536"/>
      <c r="AT117" s="536"/>
      <c r="AU117" s="536"/>
      <c r="AV117" s="542">
        <f t="shared" si="34"/>
        <v>0</v>
      </c>
      <c r="AW117" s="536"/>
      <c r="AX117" s="536"/>
      <c r="AY117" s="536"/>
      <c r="AZ117" s="542">
        <f t="shared" si="35"/>
        <v>0</v>
      </c>
      <c r="BA117" s="536"/>
      <c r="BB117" s="536"/>
      <c r="BC117" s="536"/>
      <c r="BD117" s="542">
        <f t="shared" si="36"/>
        <v>0</v>
      </c>
      <c r="BE117" s="536"/>
      <c r="BF117" s="536"/>
      <c r="BG117" s="536"/>
      <c r="BH117" s="542">
        <f t="shared" si="37"/>
        <v>0</v>
      </c>
      <c r="BI117" s="536"/>
      <c r="BJ117" s="536"/>
      <c r="BK117" s="536"/>
      <c r="BL117" s="542">
        <f t="shared" si="38"/>
        <v>0</v>
      </c>
      <c r="BM117" s="536"/>
      <c r="BN117" s="536"/>
      <c r="BO117" s="536"/>
      <c r="BP117" s="542">
        <f t="shared" si="39"/>
        <v>0</v>
      </c>
      <c r="BQ117" s="536"/>
      <c r="BR117" s="536"/>
      <c r="BS117" s="536"/>
      <c r="BT117" s="542">
        <f t="shared" si="40"/>
        <v>0</v>
      </c>
      <c r="BU117" s="536"/>
      <c r="BV117" s="536"/>
      <c r="BW117" s="536"/>
      <c r="BX117" s="542">
        <f t="shared" si="41"/>
        <v>0</v>
      </c>
      <c r="BY117" s="536"/>
      <c r="BZ117" s="536"/>
      <c r="CA117" s="536"/>
      <c r="CB117" s="542">
        <v>0</v>
      </c>
      <c r="CC117" s="536"/>
      <c r="CD117" s="536"/>
      <c r="CE117" s="536"/>
      <c r="CF117" s="541">
        <f t="shared" si="42"/>
        <v>0</v>
      </c>
      <c r="CG117" s="536"/>
      <c r="CH117" s="536"/>
      <c r="CI117" s="536"/>
      <c r="CJ117" s="541">
        <f t="shared" si="43"/>
        <v>0</v>
      </c>
      <c r="CK117" s="536"/>
      <c r="CL117" s="536"/>
      <c r="CM117" s="536"/>
      <c r="CN117" s="541">
        <f t="shared" si="44"/>
        <v>0</v>
      </c>
      <c r="CO117" s="536"/>
      <c r="CP117" s="536"/>
      <c r="CQ117" s="536"/>
      <c r="CR117" s="541">
        <f t="shared" si="45"/>
        <v>0</v>
      </c>
      <c r="CS117" s="536"/>
      <c r="CT117" s="536"/>
      <c r="CU117" s="536"/>
      <c r="CV117" s="541">
        <f t="shared" si="46"/>
        <v>0</v>
      </c>
      <c r="CW117" s="536"/>
      <c r="CX117" s="536"/>
      <c r="CY117" s="536"/>
      <c r="CZ117" s="541">
        <f t="shared" si="47"/>
        <v>0</v>
      </c>
      <c r="DA117" s="536"/>
      <c r="DB117" s="536"/>
      <c r="DC117" s="536"/>
      <c r="DD117" s="541">
        <f t="shared" si="48"/>
        <v>0</v>
      </c>
      <c r="DE117" s="536"/>
      <c r="DF117" s="536"/>
      <c r="DG117" s="536"/>
      <c r="DH117" s="541">
        <f t="shared" si="49"/>
        <v>0</v>
      </c>
      <c r="DI117" s="536"/>
      <c r="DJ117" s="536"/>
      <c r="DK117" s="536"/>
      <c r="DL117" s="541">
        <f t="shared" si="50"/>
        <v>0</v>
      </c>
      <c r="DM117" s="536"/>
      <c r="DN117" s="536"/>
      <c r="DO117" s="536"/>
      <c r="DP117" s="541">
        <f>IF( SUM((DJ117*(20/100))+(DK117*(30/100))+(DL117*(50/100))) &gt;=9.3,9.5,
IF(AND( SUM((DJ117*(20/100))+(DK117*(30/100))+(DL117*(50/100))) &lt;=9.3, SUM((DJ117*(20/100))+(DK117*(30/100))+(DL117*(50/100))) &gt;=8.8),9,
IF(AND( SUM((DJ117*(20/100))+(DK117*(30/100))+(DL117*(50/100))) &lt;=8.8, SUM((DJ117*(20/100))+(DK117*(30/100))+(DL117*(50/100))) &gt;=8.3),8.5,
IF(AND( SUM((DJ117*(20/100))+(DK117*(30/100))+(DL117*(50/100))) &lt;=8.3, SUM((DJ117*(20/100))+(DK117*(30/100))+(DL117*(50/100))) &gt;=7.8),8,
IF(AND( SUM((DJ117*(20/100))+(DK117*(30/100))+(DL117*(50/100))) &lt;=7.8, SUM((DJ117*(20/100))+(DK117*(30/100))+(DL117*(50/100))) &gt;=7.3),7.5,
IF(AND( SUM((DJ117*(20/100))+(DK117*(30/100))+(DL117*(50/100))) &lt;=7.3, SUM((DJ117*(20/100))+(DK117*(30/100))+(DL117*(50/100))) &gt;=6.8),7,
IF(AND( SUM((DJ117*(20/100))+(DK117*(30/100))+(DL117*(50/100))) &lt;=6.8, SUM((DJ117*(20/100))+(DK117*(30/100))+(DL117*(50/100))) &gt;=6.3),6.5,
IF(AND( SUM((DJ117*(20/100))+(DK117*(30/100))+(DL117*(50/100))) &lt;=6.3, SUM((DJ117*(20/100))+(DK117*(30/100))+(DL117*(50/100))) &gt;=5.8),6,
IF(AND( SUM((DJ117*(20/100))+(DK117*(30/100))+(DL117*(50/100))) &lt;=5.8, SUM((DJ117*(20/100))+(DK117*(30/100))+(DL117*(50/100))) &gt;=5.3),5.5,
IF(AND( SUM((DJ117*(20/100))+(DK117*(30/100))+(DL117*(50/100))) &lt;=5.3, SUM((DJ117*(20/100))+(DK117*(30/100))+(DL117*(50/100))) &gt;=4.8),5,
IF(AND( SUM((DJ117*(20/100))+(DK117*(30/100))+(DL117*(50/100))) &lt;=4.8, SUM((DJ117*(20/100))+(DK117*(30/100))+(DL117*(50/100))) &gt;=4.3),4.5,
IF(AND( SUM((DJ117*(20/100))+(DK117*(30/100))+(DL117*(50/100))) &lt;=4.3, SUM((DJ117*(20/100))+(DK117*(30/100))+(DL117*(50/100))) &gt;=3.8),4,
IF(AND( SUM((DJ117*(20/100))+(DK117*(30/100))+(DL117*(50/100))) &lt;=3.8, SUM((DJ117*(20/100))+(DK117*(30/100))+(DL117*(50/100))) &gt;=3.5),3.5,0)))))))))))))</f>
        <v>0</v>
      </c>
      <c r="DQ117" s="541"/>
      <c r="DR117" s="541"/>
      <c r="DS117" s="541"/>
      <c r="DT117" s="541"/>
      <c r="DU117" s="541"/>
      <c r="DV117" s="541"/>
      <c r="DW117" s="541"/>
      <c r="DX117" s="541"/>
      <c r="DY117" s="541"/>
      <c r="DZ117" s="541"/>
    </row>
    <row r="118" spans="2:130" x14ac:dyDescent="0.25">
      <c r="B118" s="334">
        <v>11</v>
      </c>
      <c r="C118" s="541"/>
      <c r="D118" s="334"/>
      <c r="E118" s="334"/>
      <c r="F118" s="334"/>
      <c r="G118" s="334"/>
      <c r="H118" s="334"/>
      <c r="I118" s="334"/>
      <c r="J118" s="536"/>
      <c r="K118" s="536"/>
      <c r="L118" s="536"/>
      <c r="M118" s="536"/>
      <c r="N118" s="536"/>
      <c r="O118" s="536"/>
      <c r="P118" s="536">
        <f t="shared" si="26"/>
        <v>0</v>
      </c>
      <c r="Q118" s="536"/>
      <c r="R118" s="536"/>
      <c r="S118" s="536"/>
      <c r="T118" s="536">
        <f t="shared" si="27"/>
        <v>0</v>
      </c>
      <c r="U118" s="536"/>
      <c r="V118" s="536"/>
      <c r="W118" s="536"/>
      <c r="X118" s="536">
        <f t="shared" si="28"/>
        <v>0</v>
      </c>
      <c r="Y118" s="536"/>
      <c r="Z118" s="536"/>
      <c r="AA118" s="536"/>
      <c r="AB118" s="536">
        <f t="shared" si="29"/>
        <v>0</v>
      </c>
      <c r="AC118" s="536"/>
      <c r="AD118" s="536"/>
      <c r="AE118" s="536"/>
      <c r="AF118" s="536">
        <f t="shared" si="30"/>
        <v>0</v>
      </c>
      <c r="AG118" s="536"/>
      <c r="AH118" s="536"/>
      <c r="AI118" s="536"/>
      <c r="AJ118" s="536">
        <f t="shared" si="31"/>
        <v>0</v>
      </c>
      <c r="AK118" s="536"/>
      <c r="AL118" s="536"/>
      <c r="AM118" s="536"/>
      <c r="AN118" s="542">
        <f t="shared" si="32"/>
        <v>0</v>
      </c>
      <c r="AO118" s="536"/>
      <c r="AP118" s="536"/>
      <c r="AQ118" s="536"/>
      <c r="AR118" s="542">
        <f t="shared" si="33"/>
        <v>0</v>
      </c>
      <c r="AS118" s="536"/>
      <c r="AT118" s="536"/>
      <c r="AU118" s="536"/>
      <c r="AV118" s="542">
        <f t="shared" si="34"/>
        <v>0</v>
      </c>
      <c r="AW118" s="536"/>
      <c r="AX118" s="536"/>
      <c r="AY118" s="536"/>
      <c r="AZ118" s="542">
        <f t="shared" si="35"/>
        <v>0</v>
      </c>
      <c r="BA118" s="536"/>
      <c r="BB118" s="536"/>
      <c r="BC118" s="536"/>
      <c r="BD118" s="542">
        <f t="shared" si="36"/>
        <v>0</v>
      </c>
      <c r="BE118" s="536"/>
      <c r="BF118" s="536"/>
      <c r="BG118" s="536"/>
      <c r="BH118" s="542">
        <f t="shared" si="37"/>
        <v>0</v>
      </c>
      <c r="BI118" s="536"/>
      <c r="BJ118" s="536"/>
      <c r="BK118" s="536"/>
      <c r="BL118" s="542">
        <f t="shared" si="38"/>
        <v>0</v>
      </c>
      <c r="BM118" s="536"/>
      <c r="BN118" s="536"/>
      <c r="BO118" s="536"/>
      <c r="BP118" s="542">
        <f t="shared" si="39"/>
        <v>0</v>
      </c>
      <c r="BQ118" s="536"/>
      <c r="BR118" s="536"/>
      <c r="BS118" s="536"/>
      <c r="BT118" s="542">
        <f t="shared" si="40"/>
        <v>0</v>
      </c>
      <c r="BU118" s="536"/>
      <c r="BV118" s="536"/>
      <c r="BW118" s="536"/>
      <c r="BX118" s="542">
        <f t="shared" si="41"/>
        <v>0</v>
      </c>
      <c r="BY118" s="536"/>
      <c r="BZ118" s="536"/>
      <c r="CA118" s="536"/>
      <c r="CB118" s="542">
        <v>0</v>
      </c>
      <c r="CC118" s="536"/>
      <c r="CD118" s="536"/>
      <c r="CE118" s="536"/>
      <c r="CF118" s="541">
        <f t="shared" si="42"/>
        <v>0</v>
      </c>
      <c r="CG118" s="536"/>
      <c r="CH118" s="536"/>
      <c r="CI118" s="536"/>
      <c r="CJ118" s="541">
        <f t="shared" si="43"/>
        <v>0</v>
      </c>
      <c r="CK118" s="536"/>
      <c r="CL118" s="536"/>
      <c r="CM118" s="536"/>
      <c r="CN118" s="541">
        <f t="shared" si="44"/>
        <v>0</v>
      </c>
      <c r="CO118" s="536"/>
      <c r="CP118" s="536"/>
      <c r="CQ118" s="536"/>
      <c r="CR118" s="541">
        <f t="shared" si="45"/>
        <v>0</v>
      </c>
      <c r="CS118" s="536"/>
      <c r="CT118" s="536"/>
      <c r="CU118" s="536"/>
      <c r="CV118" s="541">
        <f t="shared" si="46"/>
        <v>0</v>
      </c>
      <c r="CW118" s="536"/>
      <c r="CX118" s="536"/>
      <c r="CY118" s="536"/>
      <c r="CZ118" s="541">
        <f t="shared" si="47"/>
        <v>0</v>
      </c>
      <c r="DA118" s="536"/>
      <c r="DB118" s="536"/>
      <c r="DC118" s="536"/>
      <c r="DD118" s="541">
        <f t="shared" si="48"/>
        <v>0</v>
      </c>
      <c r="DE118" s="536"/>
      <c r="DF118" s="536"/>
      <c r="DG118" s="536"/>
      <c r="DH118" s="541">
        <f t="shared" si="49"/>
        <v>0</v>
      </c>
      <c r="DI118" s="536"/>
      <c r="DJ118" s="536"/>
      <c r="DK118" s="536"/>
      <c r="DL118" s="541">
        <f t="shared" si="50"/>
        <v>0</v>
      </c>
      <c r="DM118" s="536"/>
      <c r="DN118" s="536"/>
      <c r="DO118" s="536"/>
      <c r="DP118" s="541">
        <f>IF( SUM((DJ118*(20/100))+(DK118*(30/100))+(DL118*(50/100))) &gt;=9.3,9.5,
IF(AND( SUM((DJ118*(20/100))+(DK118*(30/100))+(DL118*(50/100))) &lt;=9.3, SUM((DJ118*(20/100))+(DK118*(30/100))+(DL118*(50/100))) &gt;=8.8),9,
IF(AND( SUM((DJ118*(20/100))+(DK118*(30/100))+(DL118*(50/100))) &lt;=8.8, SUM((DJ118*(20/100))+(DK118*(30/100))+(DL118*(50/100))) &gt;=8.3),8.5,
IF(AND( SUM((DJ118*(20/100))+(DK118*(30/100))+(DL118*(50/100))) &lt;=8.3, SUM((DJ118*(20/100))+(DK118*(30/100))+(DL118*(50/100))) &gt;=7.8),8,
IF(AND( SUM((DJ118*(20/100))+(DK118*(30/100))+(DL118*(50/100))) &lt;=7.8, SUM((DJ118*(20/100))+(DK118*(30/100))+(DL118*(50/100))) &gt;=7.3),7.5,
IF(AND( SUM((DJ118*(20/100))+(DK118*(30/100))+(DL118*(50/100))) &lt;=7.3, SUM((DJ118*(20/100))+(DK118*(30/100))+(DL118*(50/100))) &gt;=6.8),7,
IF(AND( SUM((DJ118*(20/100))+(DK118*(30/100))+(DL118*(50/100))) &lt;=6.8, SUM((DJ118*(20/100))+(DK118*(30/100))+(DL118*(50/100))) &gt;=6.3),6.5,
IF(AND( SUM((DJ118*(20/100))+(DK118*(30/100))+(DL118*(50/100))) &lt;=6.3, SUM((DJ118*(20/100))+(DK118*(30/100))+(DL118*(50/100))) &gt;=5.8),6,
IF(AND( SUM((DJ118*(20/100))+(DK118*(30/100))+(DL118*(50/100))) &lt;=5.8, SUM((DJ118*(20/100))+(DK118*(30/100))+(DL118*(50/100))) &gt;=5.3),5.5,
IF(AND( SUM((DJ118*(20/100))+(DK118*(30/100))+(DL118*(50/100))) &lt;=5.3, SUM((DJ118*(20/100))+(DK118*(30/100))+(DL118*(50/100))) &gt;=4.8),5,
IF(AND( SUM((DJ118*(20/100))+(DK118*(30/100))+(DL118*(50/100))) &lt;=4.8, SUM((DJ118*(20/100))+(DK118*(30/100))+(DL118*(50/100))) &gt;=4.3),4.5,
IF(AND( SUM((DJ118*(20/100))+(DK118*(30/100))+(DL118*(50/100))) &lt;=4.3, SUM((DJ118*(20/100))+(DK118*(30/100))+(DL118*(50/100))) &gt;=3.8),4,
IF(AND( SUM((DJ118*(20/100))+(DK118*(30/100))+(DL118*(50/100))) &lt;=3.8, SUM((DJ118*(20/100))+(DK118*(30/100))+(DL118*(50/100))) &gt;=3.5),3.5,0)))))))))))))</f>
        <v>0</v>
      </c>
      <c r="DQ118" s="541"/>
      <c r="DR118" s="541"/>
      <c r="DS118" s="541"/>
      <c r="DT118" s="541"/>
      <c r="DU118" s="541"/>
      <c r="DV118" s="541"/>
      <c r="DW118" s="541"/>
      <c r="DX118" s="541"/>
      <c r="DY118" s="541"/>
      <c r="DZ118" s="541"/>
    </row>
    <row r="119" spans="2:130" x14ac:dyDescent="0.25">
      <c r="B119" s="334">
        <v>12</v>
      </c>
      <c r="C119" s="541"/>
      <c r="D119" s="334"/>
      <c r="E119" s="334"/>
      <c r="F119" s="334"/>
      <c r="G119" s="334"/>
      <c r="H119" s="334"/>
      <c r="I119" s="334"/>
      <c r="J119" s="536"/>
      <c r="K119" s="536"/>
      <c r="L119" s="536"/>
      <c r="M119" s="536"/>
      <c r="N119" s="536"/>
      <c r="O119" s="536"/>
      <c r="P119" s="536">
        <f t="shared" si="26"/>
        <v>0</v>
      </c>
      <c r="Q119" s="536"/>
      <c r="R119" s="536"/>
      <c r="S119" s="536"/>
      <c r="T119" s="536">
        <f t="shared" si="27"/>
        <v>0</v>
      </c>
      <c r="U119" s="536"/>
      <c r="V119" s="536"/>
      <c r="W119" s="536"/>
      <c r="X119" s="536">
        <f t="shared" si="28"/>
        <v>0</v>
      </c>
      <c r="Y119" s="536"/>
      <c r="Z119" s="536"/>
      <c r="AA119" s="536"/>
      <c r="AB119" s="536">
        <f t="shared" si="29"/>
        <v>0</v>
      </c>
      <c r="AC119" s="536"/>
      <c r="AD119" s="536"/>
      <c r="AE119" s="536"/>
      <c r="AF119" s="536">
        <f t="shared" si="30"/>
        <v>0</v>
      </c>
      <c r="AG119" s="536"/>
      <c r="AH119" s="536"/>
      <c r="AI119" s="536"/>
      <c r="AJ119" s="536">
        <f t="shared" si="31"/>
        <v>0</v>
      </c>
      <c r="AK119" s="536"/>
      <c r="AL119" s="536"/>
      <c r="AM119" s="536"/>
      <c r="AN119" s="542">
        <f t="shared" si="32"/>
        <v>0</v>
      </c>
      <c r="AO119" s="536"/>
      <c r="AP119" s="536"/>
      <c r="AQ119" s="536"/>
      <c r="AR119" s="542">
        <f t="shared" si="33"/>
        <v>0</v>
      </c>
      <c r="AS119" s="536"/>
      <c r="AT119" s="536"/>
      <c r="AU119" s="536"/>
      <c r="AV119" s="542">
        <f t="shared" si="34"/>
        <v>0</v>
      </c>
      <c r="AW119" s="536"/>
      <c r="AX119" s="536"/>
      <c r="AY119" s="536"/>
      <c r="AZ119" s="542">
        <f t="shared" si="35"/>
        <v>0</v>
      </c>
      <c r="BA119" s="536"/>
      <c r="BB119" s="536"/>
      <c r="BC119" s="536"/>
      <c r="BD119" s="542">
        <f t="shared" si="36"/>
        <v>0</v>
      </c>
      <c r="BE119" s="536"/>
      <c r="BF119" s="536"/>
      <c r="BG119" s="536"/>
      <c r="BH119" s="542">
        <f t="shared" si="37"/>
        <v>0</v>
      </c>
      <c r="BI119" s="536"/>
      <c r="BJ119" s="536"/>
      <c r="BK119" s="536"/>
      <c r="BL119" s="542">
        <f t="shared" si="38"/>
        <v>0</v>
      </c>
      <c r="BM119" s="536"/>
      <c r="BN119" s="536"/>
      <c r="BO119" s="536"/>
      <c r="BP119" s="542">
        <f t="shared" si="39"/>
        <v>0</v>
      </c>
      <c r="BQ119" s="536"/>
      <c r="BR119" s="536"/>
      <c r="BS119" s="536"/>
      <c r="BT119" s="542">
        <f t="shared" si="40"/>
        <v>0</v>
      </c>
      <c r="BU119" s="536"/>
      <c r="BV119" s="536"/>
      <c r="BW119" s="536"/>
      <c r="BX119" s="542">
        <f t="shared" si="41"/>
        <v>0</v>
      </c>
      <c r="BY119" s="536"/>
      <c r="BZ119" s="536"/>
      <c r="CA119" s="536"/>
      <c r="CB119" s="542">
        <v>0</v>
      </c>
      <c r="CC119" s="536"/>
      <c r="CD119" s="536"/>
      <c r="CE119" s="536"/>
      <c r="CF119" s="541">
        <f t="shared" si="42"/>
        <v>0</v>
      </c>
      <c r="CG119" s="536"/>
      <c r="CH119" s="536"/>
      <c r="CI119" s="536"/>
      <c r="CJ119" s="541">
        <f t="shared" si="43"/>
        <v>0</v>
      </c>
      <c r="CK119" s="536"/>
      <c r="CL119" s="536"/>
      <c r="CM119" s="536"/>
      <c r="CN119" s="541">
        <f t="shared" si="44"/>
        <v>0</v>
      </c>
      <c r="CO119" s="536"/>
      <c r="CP119" s="536"/>
      <c r="CQ119" s="536"/>
      <c r="CR119" s="541">
        <f t="shared" si="45"/>
        <v>0</v>
      </c>
      <c r="CS119" s="536"/>
      <c r="CT119" s="536"/>
      <c r="CU119" s="536"/>
      <c r="CV119" s="541">
        <f t="shared" si="46"/>
        <v>0</v>
      </c>
      <c r="CW119" s="536"/>
      <c r="CX119" s="536"/>
      <c r="CY119" s="536"/>
      <c r="CZ119" s="541">
        <f t="shared" si="47"/>
        <v>0</v>
      </c>
      <c r="DA119" s="536"/>
      <c r="DB119" s="536"/>
      <c r="DC119" s="536"/>
      <c r="DD119" s="541">
        <f t="shared" si="48"/>
        <v>0</v>
      </c>
      <c r="DE119" s="536"/>
      <c r="DF119" s="536"/>
      <c r="DG119" s="536"/>
      <c r="DH119" s="541">
        <f t="shared" si="49"/>
        <v>0</v>
      </c>
      <c r="DI119" s="536"/>
      <c r="DJ119" s="536"/>
      <c r="DK119" s="536"/>
      <c r="DL119" s="541">
        <f t="shared" si="50"/>
        <v>0</v>
      </c>
      <c r="DM119" s="536"/>
      <c r="DN119" s="536"/>
      <c r="DO119" s="536"/>
      <c r="DP119" s="541">
        <f>IF( SUM((DJ119*(20/100))+(DK119*(30/100))+(DL119*(50/100))) &gt;=9.3,9.5,
IF(AND( SUM((DJ119*(20/100))+(DK119*(30/100))+(DL119*(50/100))) &lt;=9.3, SUM((DJ119*(20/100))+(DK119*(30/100))+(DL119*(50/100))) &gt;=8.8),9,
IF(AND( SUM((DJ119*(20/100))+(DK119*(30/100))+(DL119*(50/100))) &lt;=8.8, SUM((DJ119*(20/100))+(DK119*(30/100))+(DL119*(50/100))) &gt;=8.3),8.5,
IF(AND( SUM((DJ119*(20/100))+(DK119*(30/100))+(DL119*(50/100))) &lt;=8.3, SUM((DJ119*(20/100))+(DK119*(30/100))+(DL119*(50/100))) &gt;=7.8),8,
IF(AND( SUM((DJ119*(20/100))+(DK119*(30/100))+(DL119*(50/100))) &lt;=7.8, SUM((DJ119*(20/100))+(DK119*(30/100))+(DL119*(50/100))) &gt;=7.3),7.5,
IF(AND( SUM((DJ119*(20/100))+(DK119*(30/100))+(DL119*(50/100))) &lt;=7.3, SUM((DJ119*(20/100))+(DK119*(30/100))+(DL119*(50/100))) &gt;=6.8),7,
IF(AND( SUM((DJ119*(20/100))+(DK119*(30/100))+(DL119*(50/100))) &lt;=6.8, SUM((DJ119*(20/100))+(DK119*(30/100))+(DL119*(50/100))) &gt;=6.3),6.5,
IF(AND( SUM((DJ119*(20/100))+(DK119*(30/100))+(DL119*(50/100))) &lt;=6.3, SUM((DJ119*(20/100))+(DK119*(30/100))+(DL119*(50/100))) &gt;=5.8),6,
IF(AND( SUM((DJ119*(20/100))+(DK119*(30/100))+(DL119*(50/100))) &lt;=5.8, SUM((DJ119*(20/100))+(DK119*(30/100))+(DL119*(50/100))) &gt;=5.3),5.5,
IF(AND( SUM((DJ119*(20/100))+(DK119*(30/100))+(DL119*(50/100))) &lt;=5.3, SUM((DJ119*(20/100))+(DK119*(30/100))+(DL119*(50/100))) &gt;=4.8),5,
IF(AND( SUM((DJ119*(20/100))+(DK119*(30/100))+(DL119*(50/100))) &lt;=4.8, SUM((DJ119*(20/100))+(DK119*(30/100))+(DL119*(50/100))) &gt;=4.3),4.5,
IF(AND( SUM((DJ119*(20/100))+(DK119*(30/100))+(DL119*(50/100))) &lt;=4.3, SUM((DJ119*(20/100))+(DK119*(30/100))+(DL119*(50/100))) &gt;=3.8),4,
IF(AND( SUM((DJ119*(20/100))+(DK119*(30/100))+(DL119*(50/100))) &lt;=3.8, SUM((DJ119*(20/100))+(DK119*(30/100))+(DL119*(50/100))) &gt;=3.5),3.5,0)))))))))))))</f>
        <v>0</v>
      </c>
      <c r="DQ119" s="541"/>
      <c r="DR119" s="541"/>
      <c r="DS119" s="541"/>
      <c r="DT119" s="541"/>
      <c r="DU119" s="541"/>
      <c r="DV119" s="541"/>
      <c r="DW119" s="541"/>
      <c r="DX119" s="541"/>
      <c r="DY119" s="541"/>
      <c r="DZ119" s="541"/>
    </row>
    <row r="120" spans="2:130" x14ac:dyDescent="0.25">
      <c r="B120" s="334">
        <v>13</v>
      </c>
      <c r="C120" s="541"/>
      <c r="D120" s="334"/>
      <c r="E120" s="334"/>
      <c r="F120" s="334"/>
      <c r="G120" s="334"/>
      <c r="H120" s="334"/>
      <c r="I120" s="334"/>
      <c r="J120" s="536"/>
      <c r="K120" s="536"/>
      <c r="L120" s="536"/>
      <c r="M120" s="536"/>
      <c r="N120" s="536"/>
      <c r="O120" s="536"/>
      <c r="P120" s="536">
        <f t="shared" si="26"/>
        <v>0</v>
      </c>
      <c r="Q120" s="536"/>
      <c r="R120" s="536"/>
      <c r="S120" s="536"/>
      <c r="T120" s="536">
        <f t="shared" si="27"/>
        <v>0</v>
      </c>
      <c r="U120" s="536"/>
      <c r="V120" s="536"/>
      <c r="W120" s="536"/>
      <c r="X120" s="536">
        <f t="shared" si="28"/>
        <v>0</v>
      </c>
      <c r="Y120" s="536"/>
      <c r="Z120" s="536"/>
      <c r="AA120" s="536"/>
      <c r="AB120" s="536">
        <f t="shared" si="29"/>
        <v>0</v>
      </c>
      <c r="AC120" s="536"/>
      <c r="AD120" s="536"/>
      <c r="AE120" s="536"/>
      <c r="AF120" s="536">
        <f t="shared" si="30"/>
        <v>0</v>
      </c>
      <c r="AG120" s="536"/>
      <c r="AH120" s="536"/>
      <c r="AI120" s="536"/>
      <c r="AJ120" s="536">
        <f t="shared" si="31"/>
        <v>0</v>
      </c>
      <c r="AK120" s="536"/>
      <c r="AL120" s="536"/>
      <c r="AM120" s="536"/>
      <c r="AN120" s="542">
        <f t="shared" si="32"/>
        <v>0</v>
      </c>
      <c r="AO120" s="536"/>
      <c r="AP120" s="536"/>
      <c r="AQ120" s="536"/>
      <c r="AR120" s="542">
        <f t="shared" si="33"/>
        <v>0</v>
      </c>
      <c r="AS120" s="536"/>
      <c r="AT120" s="536"/>
      <c r="AU120" s="536"/>
      <c r="AV120" s="542">
        <f t="shared" si="34"/>
        <v>0</v>
      </c>
      <c r="AW120" s="536"/>
      <c r="AX120" s="536"/>
      <c r="AY120" s="536"/>
      <c r="AZ120" s="542">
        <f t="shared" si="35"/>
        <v>0</v>
      </c>
      <c r="BA120" s="536"/>
      <c r="BB120" s="536"/>
      <c r="BC120" s="536"/>
      <c r="BD120" s="542">
        <f t="shared" si="36"/>
        <v>0</v>
      </c>
      <c r="BE120" s="536"/>
      <c r="BF120" s="536"/>
      <c r="BG120" s="536"/>
      <c r="BH120" s="542">
        <f t="shared" si="37"/>
        <v>0</v>
      </c>
      <c r="BI120" s="536"/>
      <c r="BJ120" s="536"/>
      <c r="BK120" s="536"/>
      <c r="BL120" s="542">
        <f t="shared" si="38"/>
        <v>0</v>
      </c>
      <c r="BM120" s="536"/>
      <c r="BN120" s="536"/>
      <c r="BO120" s="536"/>
      <c r="BP120" s="542">
        <f t="shared" si="39"/>
        <v>0</v>
      </c>
      <c r="BQ120" s="536"/>
      <c r="BR120" s="536"/>
      <c r="BS120" s="536"/>
      <c r="BT120" s="542">
        <f t="shared" si="40"/>
        <v>0</v>
      </c>
      <c r="BU120" s="536"/>
      <c r="BV120" s="536"/>
      <c r="BW120" s="536"/>
      <c r="BX120" s="542">
        <f t="shared" si="41"/>
        <v>0</v>
      </c>
      <c r="BY120" s="536"/>
      <c r="BZ120" s="536"/>
      <c r="CA120" s="536"/>
      <c r="CB120" s="542">
        <v>0</v>
      </c>
      <c r="CC120" s="536"/>
      <c r="CD120" s="536"/>
      <c r="CE120" s="536"/>
      <c r="CF120" s="541">
        <f t="shared" si="42"/>
        <v>0</v>
      </c>
      <c r="CG120" s="536"/>
      <c r="CH120" s="536"/>
      <c r="CI120" s="536"/>
      <c r="CJ120" s="541">
        <f t="shared" si="43"/>
        <v>0</v>
      </c>
      <c r="CK120" s="536"/>
      <c r="CL120" s="536"/>
      <c r="CM120" s="536"/>
      <c r="CN120" s="541">
        <f t="shared" si="44"/>
        <v>0</v>
      </c>
      <c r="CO120" s="536"/>
      <c r="CP120" s="536"/>
      <c r="CQ120" s="536"/>
      <c r="CR120" s="541">
        <f t="shared" si="45"/>
        <v>0</v>
      </c>
      <c r="CS120" s="536"/>
      <c r="CT120" s="536"/>
      <c r="CU120" s="536"/>
      <c r="CV120" s="541">
        <f t="shared" si="46"/>
        <v>0</v>
      </c>
      <c r="CW120" s="536"/>
      <c r="CX120" s="536"/>
      <c r="CY120" s="536"/>
      <c r="CZ120" s="541">
        <f t="shared" si="47"/>
        <v>0</v>
      </c>
      <c r="DA120" s="536"/>
      <c r="DB120" s="536"/>
      <c r="DC120" s="536"/>
      <c r="DD120" s="541">
        <f t="shared" si="48"/>
        <v>0</v>
      </c>
      <c r="DE120" s="536"/>
      <c r="DF120" s="536"/>
      <c r="DG120" s="536"/>
      <c r="DH120" s="541">
        <f t="shared" si="49"/>
        <v>0</v>
      </c>
      <c r="DI120" s="536"/>
      <c r="DJ120" s="536"/>
      <c r="DK120" s="536"/>
      <c r="DL120" s="541">
        <f t="shared" si="50"/>
        <v>0</v>
      </c>
      <c r="DM120" s="536"/>
      <c r="DN120" s="536"/>
      <c r="DO120" s="536"/>
      <c r="DP120" s="541">
        <f>IF( SUM((DJ120*(20/100))+(DK120*(30/100))+(DL120*(50/100))) &gt;=9.3,9.5,
IF(AND( SUM((DJ120*(20/100))+(DK120*(30/100))+(DL120*(50/100))) &lt;=9.3, SUM((DJ120*(20/100))+(DK120*(30/100))+(DL120*(50/100))) &gt;=8.8),9,
IF(AND( SUM((DJ120*(20/100))+(DK120*(30/100))+(DL120*(50/100))) &lt;=8.8, SUM((DJ120*(20/100))+(DK120*(30/100))+(DL120*(50/100))) &gt;=8.3),8.5,
IF(AND( SUM((DJ120*(20/100))+(DK120*(30/100))+(DL120*(50/100))) &lt;=8.3, SUM((DJ120*(20/100))+(DK120*(30/100))+(DL120*(50/100))) &gt;=7.8),8,
IF(AND( SUM((DJ120*(20/100))+(DK120*(30/100))+(DL120*(50/100))) &lt;=7.8, SUM((DJ120*(20/100))+(DK120*(30/100))+(DL120*(50/100))) &gt;=7.3),7.5,
IF(AND( SUM((DJ120*(20/100))+(DK120*(30/100))+(DL120*(50/100))) &lt;=7.3, SUM((DJ120*(20/100))+(DK120*(30/100))+(DL120*(50/100))) &gt;=6.8),7,
IF(AND( SUM((DJ120*(20/100))+(DK120*(30/100))+(DL120*(50/100))) &lt;=6.8, SUM((DJ120*(20/100))+(DK120*(30/100))+(DL120*(50/100))) &gt;=6.3),6.5,
IF(AND( SUM((DJ120*(20/100))+(DK120*(30/100))+(DL120*(50/100))) &lt;=6.3, SUM((DJ120*(20/100))+(DK120*(30/100))+(DL120*(50/100))) &gt;=5.8),6,
IF(AND( SUM((DJ120*(20/100))+(DK120*(30/100))+(DL120*(50/100))) &lt;=5.8, SUM((DJ120*(20/100))+(DK120*(30/100))+(DL120*(50/100))) &gt;=5.3),5.5,
IF(AND( SUM((DJ120*(20/100))+(DK120*(30/100))+(DL120*(50/100))) &lt;=5.3, SUM((DJ120*(20/100))+(DK120*(30/100))+(DL120*(50/100))) &gt;=4.8),5,
IF(AND( SUM((DJ120*(20/100))+(DK120*(30/100))+(DL120*(50/100))) &lt;=4.8, SUM((DJ120*(20/100))+(DK120*(30/100))+(DL120*(50/100))) &gt;=4.3),4.5,
IF(AND( SUM((DJ120*(20/100))+(DK120*(30/100))+(DL120*(50/100))) &lt;=4.3, SUM((DJ120*(20/100))+(DK120*(30/100))+(DL120*(50/100))) &gt;=3.8),4,
IF(AND( SUM((DJ120*(20/100))+(DK120*(30/100))+(DL120*(50/100))) &lt;=3.8, SUM((DJ120*(20/100))+(DK120*(30/100))+(DL120*(50/100))) &gt;=3.5),3.5,0)))))))))))))</f>
        <v>0</v>
      </c>
      <c r="DQ120" s="541"/>
      <c r="DR120" s="541"/>
      <c r="DS120" s="541"/>
      <c r="DT120" s="541"/>
      <c r="DU120" s="541"/>
      <c r="DV120" s="541"/>
      <c r="DW120" s="541"/>
      <c r="DX120" s="541"/>
      <c r="DY120" s="541"/>
      <c r="DZ120" s="541"/>
    </row>
    <row r="121" spans="2:130" x14ac:dyDescent="0.25">
      <c r="B121" s="334">
        <v>14</v>
      </c>
      <c r="C121" s="541"/>
      <c r="D121" s="334"/>
      <c r="E121" s="334"/>
      <c r="F121" s="334"/>
      <c r="G121" s="334"/>
      <c r="H121" s="334"/>
      <c r="I121" s="334"/>
      <c r="J121" s="536"/>
      <c r="K121" s="536"/>
      <c r="L121" s="536"/>
      <c r="M121" s="536"/>
      <c r="N121" s="536"/>
      <c r="O121" s="536"/>
      <c r="P121" s="536">
        <f t="shared" si="26"/>
        <v>0</v>
      </c>
      <c r="Q121" s="536"/>
      <c r="R121" s="536"/>
      <c r="S121" s="536"/>
      <c r="T121" s="536">
        <f t="shared" si="27"/>
        <v>0</v>
      </c>
      <c r="U121" s="536"/>
      <c r="V121" s="536"/>
      <c r="W121" s="536"/>
      <c r="X121" s="536">
        <f t="shared" si="28"/>
        <v>0</v>
      </c>
      <c r="Y121" s="536"/>
      <c r="Z121" s="536"/>
      <c r="AA121" s="536"/>
      <c r="AB121" s="536">
        <f t="shared" si="29"/>
        <v>0</v>
      </c>
      <c r="AC121" s="536"/>
      <c r="AD121" s="536"/>
      <c r="AE121" s="536"/>
      <c r="AF121" s="536">
        <f t="shared" si="30"/>
        <v>0</v>
      </c>
      <c r="AG121" s="536"/>
      <c r="AH121" s="536"/>
      <c r="AI121" s="536"/>
      <c r="AJ121" s="536">
        <f t="shared" si="31"/>
        <v>0</v>
      </c>
      <c r="AK121" s="536"/>
      <c r="AL121" s="536"/>
      <c r="AM121" s="536"/>
      <c r="AN121" s="542">
        <f t="shared" si="32"/>
        <v>0</v>
      </c>
      <c r="AO121" s="536"/>
      <c r="AP121" s="536"/>
      <c r="AQ121" s="536"/>
      <c r="AR121" s="542">
        <f t="shared" si="33"/>
        <v>0</v>
      </c>
      <c r="AS121" s="536"/>
      <c r="AT121" s="536"/>
      <c r="AU121" s="536"/>
      <c r="AV121" s="542">
        <f t="shared" si="34"/>
        <v>0</v>
      </c>
      <c r="AW121" s="536"/>
      <c r="AX121" s="536"/>
      <c r="AY121" s="536"/>
      <c r="AZ121" s="542">
        <f t="shared" si="35"/>
        <v>0</v>
      </c>
      <c r="BA121" s="536"/>
      <c r="BB121" s="536"/>
      <c r="BC121" s="536"/>
      <c r="BD121" s="542">
        <f t="shared" si="36"/>
        <v>0</v>
      </c>
      <c r="BE121" s="536"/>
      <c r="BF121" s="536"/>
      <c r="BG121" s="536"/>
      <c r="BH121" s="542">
        <f t="shared" si="37"/>
        <v>0</v>
      </c>
      <c r="BI121" s="536"/>
      <c r="BJ121" s="536"/>
      <c r="BK121" s="536"/>
      <c r="BL121" s="542">
        <f t="shared" si="38"/>
        <v>0</v>
      </c>
      <c r="BM121" s="536"/>
      <c r="BN121" s="536"/>
      <c r="BO121" s="536"/>
      <c r="BP121" s="542">
        <f t="shared" si="39"/>
        <v>0</v>
      </c>
      <c r="BQ121" s="536"/>
      <c r="BR121" s="536"/>
      <c r="BS121" s="536"/>
      <c r="BT121" s="542">
        <f t="shared" si="40"/>
        <v>0</v>
      </c>
      <c r="BU121" s="536"/>
      <c r="BV121" s="536"/>
      <c r="BW121" s="536"/>
      <c r="BX121" s="542">
        <f t="shared" si="41"/>
        <v>0</v>
      </c>
      <c r="BY121" s="536"/>
      <c r="BZ121" s="536"/>
      <c r="CA121" s="536"/>
      <c r="CB121" s="542">
        <v>0</v>
      </c>
      <c r="CC121" s="536"/>
      <c r="CD121" s="536"/>
      <c r="CE121" s="536"/>
      <c r="CF121" s="541">
        <f t="shared" si="42"/>
        <v>0</v>
      </c>
      <c r="CG121" s="536"/>
      <c r="CH121" s="536"/>
      <c r="CI121" s="536"/>
      <c r="CJ121" s="541">
        <f t="shared" si="43"/>
        <v>0</v>
      </c>
      <c r="CK121" s="536"/>
      <c r="CL121" s="536"/>
      <c r="CM121" s="536"/>
      <c r="CN121" s="541">
        <f t="shared" si="44"/>
        <v>0</v>
      </c>
      <c r="CO121" s="536"/>
      <c r="CP121" s="536"/>
      <c r="CQ121" s="536"/>
      <c r="CR121" s="541">
        <f t="shared" si="45"/>
        <v>0</v>
      </c>
      <c r="CS121" s="536"/>
      <c r="CT121" s="536"/>
      <c r="CU121" s="536"/>
      <c r="CV121" s="541">
        <f t="shared" si="46"/>
        <v>0</v>
      </c>
      <c r="CW121" s="536"/>
      <c r="CX121" s="536"/>
      <c r="CY121" s="536"/>
      <c r="CZ121" s="541">
        <f t="shared" si="47"/>
        <v>0</v>
      </c>
      <c r="DA121" s="536"/>
      <c r="DB121" s="536"/>
      <c r="DC121" s="536"/>
      <c r="DD121" s="541">
        <f t="shared" si="48"/>
        <v>0</v>
      </c>
      <c r="DE121" s="536"/>
      <c r="DF121" s="536"/>
      <c r="DG121" s="536"/>
      <c r="DH121" s="541">
        <f t="shared" si="49"/>
        <v>0</v>
      </c>
      <c r="DI121" s="536"/>
      <c r="DJ121" s="536"/>
      <c r="DK121" s="536"/>
      <c r="DL121" s="541">
        <f t="shared" si="50"/>
        <v>0</v>
      </c>
      <c r="DM121" s="536"/>
      <c r="DN121" s="536"/>
      <c r="DO121" s="536"/>
      <c r="DP121" s="541">
        <f>IF( SUM((DJ121*(20/100))+(DK121*(30/100))+(DL121*(50/100))) &gt;=9.3,9.5,
IF(AND( SUM((DJ121*(20/100))+(DK121*(30/100))+(DL121*(50/100))) &lt;=9.3, SUM((DJ121*(20/100))+(DK121*(30/100))+(DL121*(50/100))) &gt;=8.8),9,
IF(AND( SUM((DJ121*(20/100))+(DK121*(30/100))+(DL121*(50/100))) &lt;=8.8, SUM((DJ121*(20/100))+(DK121*(30/100))+(DL121*(50/100))) &gt;=8.3),8.5,
IF(AND( SUM((DJ121*(20/100))+(DK121*(30/100))+(DL121*(50/100))) &lt;=8.3, SUM((DJ121*(20/100))+(DK121*(30/100))+(DL121*(50/100))) &gt;=7.8),8,
IF(AND( SUM((DJ121*(20/100))+(DK121*(30/100))+(DL121*(50/100))) &lt;=7.8, SUM((DJ121*(20/100))+(DK121*(30/100))+(DL121*(50/100))) &gt;=7.3),7.5,
IF(AND( SUM((DJ121*(20/100))+(DK121*(30/100))+(DL121*(50/100))) &lt;=7.3, SUM((DJ121*(20/100))+(DK121*(30/100))+(DL121*(50/100))) &gt;=6.8),7,
IF(AND( SUM((DJ121*(20/100))+(DK121*(30/100))+(DL121*(50/100))) &lt;=6.8, SUM((DJ121*(20/100))+(DK121*(30/100))+(DL121*(50/100))) &gt;=6.3),6.5,
IF(AND( SUM((DJ121*(20/100))+(DK121*(30/100))+(DL121*(50/100))) &lt;=6.3, SUM((DJ121*(20/100))+(DK121*(30/100))+(DL121*(50/100))) &gt;=5.8),6,
IF(AND( SUM((DJ121*(20/100))+(DK121*(30/100))+(DL121*(50/100))) &lt;=5.8, SUM((DJ121*(20/100))+(DK121*(30/100))+(DL121*(50/100))) &gt;=5.3),5.5,
IF(AND( SUM((DJ121*(20/100))+(DK121*(30/100))+(DL121*(50/100))) &lt;=5.3, SUM((DJ121*(20/100))+(DK121*(30/100))+(DL121*(50/100))) &gt;=4.8),5,
IF(AND( SUM((DJ121*(20/100))+(DK121*(30/100))+(DL121*(50/100))) &lt;=4.8, SUM((DJ121*(20/100))+(DK121*(30/100))+(DL121*(50/100))) &gt;=4.3),4.5,
IF(AND( SUM((DJ121*(20/100))+(DK121*(30/100))+(DL121*(50/100))) &lt;=4.3, SUM((DJ121*(20/100))+(DK121*(30/100))+(DL121*(50/100))) &gt;=3.8),4,
IF(AND( SUM((DJ121*(20/100))+(DK121*(30/100))+(DL121*(50/100))) &lt;=3.8, SUM((DJ121*(20/100))+(DK121*(30/100))+(DL121*(50/100))) &gt;=3.5),3.5,0)))))))))))))</f>
        <v>0</v>
      </c>
      <c r="DQ121" s="541"/>
      <c r="DR121" s="541"/>
      <c r="DS121" s="541"/>
      <c r="DT121" s="541"/>
      <c r="DU121" s="541"/>
      <c r="DV121" s="541"/>
      <c r="DW121" s="541"/>
      <c r="DX121" s="541"/>
      <c r="DY121" s="541"/>
      <c r="DZ121" s="541"/>
    </row>
    <row r="122" spans="2:130" x14ac:dyDescent="0.25">
      <c r="B122" s="334">
        <v>15</v>
      </c>
      <c r="C122" s="541"/>
      <c r="D122" s="334"/>
      <c r="E122" s="334"/>
      <c r="F122" s="334"/>
      <c r="G122" s="334"/>
      <c r="H122" s="334"/>
      <c r="I122" s="334"/>
      <c r="J122" s="536"/>
      <c r="K122" s="536"/>
      <c r="L122" s="536"/>
      <c r="M122" s="536"/>
      <c r="N122" s="536"/>
      <c r="O122" s="536"/>
      <c r="P122" s="536">
        <f t="shared" si="26"/>
        <v>0</v>
      </c>
      <c r="Q122" s="536"/>
      <c r="R122" s="536"/>
      <c r="S122" s="536"/>
      <c r="T122" s="536">
        <f t="shared" si="27"/>
        <v>0</v>
      </c>
      <c r="U122" s="536"/>
      <c r="V122" s="536"/>
      <c r="W122" s="536"/>
      <c r="X122" s="536">
        <f t="shared" si="28"/>
        <v>0</v>
      </c>
      <c r="Y122" s="536"/>
      <c r="Z122" s="536"/>
      <c r="AA122" s="536"/>
      <c r="AB122" s="536">
        <f t="shared" si="29"/>
        <v>0</v>
      </c>
      <c r="AC122" s="536"/>
      <c r="AD122" s="536"/>
      <c r="AE122" s="536"/>
      <c r="AF122" s="536">
        <f t="shared" si="30"/>
        <v>0</v>
      </c>
      <c r="AG122" s="536"/>
      <c r="AH122" s="536"/>
      <c r="AI122" s="536"/>
      <c r="AJ122" s="536">
        <f t="shared" si="31"/>
        <v>0</v>
      </c>
      <c r="AK122" s="536"/>
      <c r="AL122" s="536"/>
      <c r="AM122" s="536"/>
      <c r="AN122" s="542">
        <f t="shared" si="32"/>
        <v>0</v>
      </c>
      <c r="AO122" s="536"/>
      <c r="AP122" s="536"/>
      <c r="AQ122" s="536"/>
      <c r="AR122" s="542">
        <f t="shared" si="33"/>
        <v>0</v>
      </c>
      <c r="AS122" s="536"/>
      <c r="AT122" s="536"/>
      <c r="AU122" s="536"/>
      <c r="AV122" s="542">
        <f t="shared" si="34"/>
        <v>0</v>
      </c>
      <c r="AW122" s="536"/>
      <c r="AX122" s="536"/>
      <c r="AY122" s="536"/>
      <c r="AZ122" s="542">
        <f t="shared" si="35"/>
        <v>0</v>
      </c>
      <c r="BA122" s="536"/>
      <c r="BB122" s="536"/>
      <c r="BC122" s="536"/>
      <c r="BD122" s="542">
        <f t="shared" si="36"/>
        <v>0</v>
      </c>
      <c r="BE122" s="536"/>
      <c r="BF122" s="536"/>
      <c r="BG122" s="536"/>
      <c r="BH122" s="542">
        <f t="shared" si="37"/>
        <v>0</v>
      </c>
      <c r="BI122" s="536"/>
      <c r="BJ122" s="536"/>
      <c r="BK122" s="536"/>
      <c r="BL122" s="542">
        <f t="shared" si="38"/>
        <v>0</v>
      </c>
      <c r="BM122" s="536"/>
      <c r="BN122" s="536"/>
      <c r="BO122" s="536"/>
      <c r="BP122" s="542">
        <f t="shared" si="39"/>
        <v>0</v>
      </c>
      <c r="BQ122" s="536"/>
      <c r="BR122" s="536"/>
      <c r="BS122" s="536"/>
      <c r="BT122" s="542">
        <f t="shared" si="40"/>
        <v>0</v>
      </c>
      <c r="BU122" s="536"/>
      <c r="BV122" s="536"/>
      <c r="BW122" s="536"/>
      <c r="BX122" s="542">
        <f t="shared" si="41"/>
        <v>0</v>
      </c>
      <c r="BY122" s="536"/>
      <c r="BZ122" s="536"/>
      <c r="CA122" s="536"/>
      <c r="CB122" s="542">
        <v>0</v>
      </c>
      <c r="CC122" s="536"/>
      <c r="CD122" s="536"/>
      <c r="CE122" s="536"/>
      <c r="CF122" s="541">
        <f t="shared" si="42"/>
        <v>0</v>
      </c>
      <c r="CG122" s="536"/>
      <c r="CH122" s="536"/>
      <c r="CI122" s="536"/>
      <c r="CJ122" s="541">
        <f t="shared" si="43"/>
        <v>0</v>
      </c>
      <c r="CK122" s="536"/>
      <c r="CL122" s="536"/>
      <c r="CM122" s="536"/>
      <c r="CN122" s="541">
        <f t="shared" si="44"/>
        <v>0</v>
      </c>
      <c r="CO122" s="536"/>
      <c r="CP122" s="536"/>
      <c r="CQ122" s="536"/>
      <c r="CR122" s="541">
        <f t="shared" si="45"/>
        <v>0</v>
      </c>
      <c r="CS122" s="536"/>
      <c r="CT122" s="536"/>
      <c r="CU122" s="536"/>
      <c r="CV122" s="541">
        <f t="shared" si="46"/>
        <v>0</v>
      </c>
      <c r="CW122" s="536"/>
      <c r="CX122" s="536"/>
      <c r="CY122" s="536"/>
      <c r="CZ122" s="541">
        <f t="shared" si="47"/>
        <v>0</v>
      </c>
      <c r="DA122" s="536"/>
      <c r="DB122" s="536"/>
      <c r="DC122" s="536"/>
      <c r="DD122" s="541">
        <f t="shared" si="48"/>
        <v>0</v>
      </c>
      <c r="DE122" s="536"/>
      <c r="DF122" s="536"/>
      <c r="DG122" s="536"/>
      <c r="DH122" s="541">
        <f t="shared" si="49"/>
        <v>0</v>
      </c>
      <c r="DI122" s="536"/>
      <c r="DJ122" s="536"/>
      <c r="DK122" s="536"/>
      <c r="DL122" s="541">
        <f t="shared" si="50"/>
        <v>0</v>
      </c>
      <c r="DM122" s="536"/>
      <c r="DN122" s="536"/>
      <c r="DO122" s="536"/>
      <c r="DP122" s="541">
        <f>IF( SUM((DJ122*(20/100))+(DK122*(30/100))+(DL122*(50/100))) &gt;=9.3,9.5,
IF(AND( SUM((DJ122*(20/100))+(DK122*(30/100))+(DL122*(50/100))) &lt;=9.3, SUM((DJ122*(20/100))+(DK122*(30/100))+(DL122*(50/100))) &gt;=8.8),9,
IF(AND( SUM((DJ122*(20/100))+(DK122*(30/100))+(DL122*(50/100))) &lt;=8.8, SUM((DJ122*(20/100))+(DK122*(30/100))+(DL122*(50/100))) &gt;=8.3),8.5,
IF(AND( SUM((DJ122*(20/100))+(DK122*(30/100))+(DL122*(50/100))) &lt;=8.3, SUM((DJ122*(20/100))+(DK122*(30/100))+(DL122*(50/100))) &gt;=7.8),8,
IF(AND( SUM((DJ122*(20/100))+(DK122*(30/100))+(DL122*(50/100))) &lt;=7.8, SUM((DJ122*(20/100))+(DK122*(30/100))+(DL122*(50/100))) &gt;=7.3),7.5,
IF(AND( SUM((DJ122*(20/100))+(DK122*(30/100))+(DL122*(50/100))) &lt;=7.3, SUM((DJ122*(20/100))+(DK122*(30/100))+(DL122*(50/100))) &gt;=6.8),7,
IF(AND( SUM((DJ122*(20/100))+(DK122*(30/100))+(DL122*(50/100))) &lt;=6.8, SUM((DJ122*(20/100))+(DK122*(30/100))+(DL122*(50/100))) &gt;=6.3),6.5,
IF(AND( SUM((DJ122*(20/100))+(DK122*(30/100))+(DL122*(50/100))) &lt;=6.3, SUM((DJ122*(20/100))+(DK122*(30/100))+(DL122*(50/100))) &gt;=5.8),6,
IF(AND( SUM((DJ122*(20/100))+(DK122*(30/100))+(DL122*(50/100))) &lt;=5.8, SUM((DJ122*(20/100))+(DK122*(30/100))+(DL122*(50/100))) &gt;=5.3),5.5,
IF(AND( SUM((DJ122*(20/100))+(DK122*(30/100))+(DL122*(50/100))) &lt;=5.3, SUM((DJ122*(20/100))+(DK122*(30/100))+(DL122*(50/100))) &gt;=4.8),5,
IF(AND( SUM((DJ122*(20/100))+(DK122*(30/100))+(DL122*(50/100))) &lt;=4.8, SUM((DJ122*(20/100))+(DK122*(30/100))+(DL122*(50/100))) &gt;=4.3),4.5,
IF(AND( SUM((DJ122*(20/100))+(DK122*(30/100))+(DL122*(50/100))) &lt;=4.3, SUM((DJ122*(20/100))+(DK122*(30/100))+(DL122*(50/100))) &gt;=3.8),4,
IF(AND( SUM((DJ122*(20/100))+(DK122*(30/100))+(DL122*(50/100))) &lt;=3.8, SUM((DJ122*(20/100))+(DK122*(30/100))+(DL122*(50/100))) &gt;=3.5),3.5,0)))))))))))))</f>
        <v>0</v>
      </c>
      <c r="DQ122" s="541"/>
      <c r="DR122" s="541"/>
      <c r="DS122" s="541"/>
      <c r="DT122" s="541"/>
      <c r="DU122" s="541"/>
      <c r="DV122" s="541"/>
      <c r="DW122" s="541"/>
      <c r="DX122" s="541"/>
      <c r="DY122" s="541"/>
      <c r="DZ122" s="541"/>
    </row>
    <row r="123" spans="2:130" x14ac:dyDescent="0.25">
      <c r="B123" s="334">
        <v>16</v>
      </c>
      <c r="C123" s="541"/>
      <c r="D123" s="334"/>
      <c r="E123" s="334"/>
      <c r="F123" s="334"/>
      <c r="G123" s="334"/>
      <c r="H123" s="334"/>
      <c r="I123" s="334"/>
      <c r="J123" s="536"/>
      <c r="K123" s="536"/>
      <c r="L123" s="536"/>
      <c r="M123" s="536"/>
      <c r="N123" s="536"/>
      <c r="O123" s="536"/>
      <c r="P123" s="536">
        <f t="shared" si="26"/>
        <v>0</v>
      </c>
      <c r="Q123" s="536"/>
      <c r="R123" s="536"/>
      <c r="S123" s="536"/>
      <c r="T123" s="536">
        <f t="shared" si="27"/>
        <v>0</v>
      </c>
      <c r="U123" s="536"/>
      <c r="V123" s="536"/>
      <c r="W123" s="536"/>
      <c r="X123" s="536">
        <f t="shared" si="28"/>
        <v>0</v>
      </c>
      <c r="Y123" s="536"/>
      <c r="Z123" s="536"/>
      <c r="AA123" s="536"/>
      <c r="AB123" s="536">
        <f t="shared" si="29"/>
        <v>0</v>
      </c>
      <c r="AC123" s="536"/>
      <c r="AD123" s="536"/>
      <c r="AE123" s="536"/>
      <c r="AF123" s="536">
        <f t="shared" si="30"/>
        <v>0</v>
      </c>
      <c r="AG123" s="536"/>
      <c r="AH123" s="536"/>
      <c r="AI123" s="536"/>
      <c r="AJ123" s="536">
        <f t="shared" si="31"/>
        <v>0</v>
      </c>
      <c r="AK123" s="536"/>
      <c r="AL123" s="536"/>
      <c r="AM123" s="536"/>
      <c r="AN123" s="542">
        <f t="shared" si="32"/>
        <v>0</v>
      </c>
      <c r="AO123" s="536"/>
      <c r="AP123" s="536"/>
      <c r="AQ123" s="536"/>
      <c r="AR123" s="542">
        <f t="shared" si="33"/>
        <v>0</v>
      </c>
      <c r="AS123" s="536"/>
      <c r="AT123" s="536"/>
      <c r="AU123" s="536"/>
      <c r="AV123" s="542">
        <f t="shared" si="34"/>
        <v>0</v>
      </c>
      <c r="AW123" s="536"/>
      <c r="AX123" s="536"/>
      <c r="AY123" s="536"/>
      <c r="AZ123" s="542">
        <f t="shared" si="35"/>
        <v>0</v>
      </c>
      <c r="BA123" s="536"/>
      <c r="BB123" s="536"/>
      <c r="BC123" s="536"/>
      <c r="BD123" s="542">
        <f t="shared" si="36"/>
        <v>0</v>
      </c>
      <c r="BE123" s="536"/>
      <c r="BF123" s="536"/>
      <c r="BG123" s="536"/>
      <c r="BH123" s="542">
        <f t="shared" si="37"/>
        <v>0</v>
      </c>
      <c r="BI123" s="536"/>
      <c r="BJ123" s="536"/>
      <c r="BK123" s="536"/>
      <c r="BL123" s="542">
        <f t="shared" si="38"/>
        <v>0</v>
      </c>
      <c r="BM123" s="536"/>
      <c r="BN123" s="536"/>
      <c r="BO123" s="536"/>
      <c r="BP123" s="542">
        <f t="shared" si="39"/>
        <v>0</v>
      </c>
      <c r="BQ123" s="536"/>
      <c r="BR123" s="536"/>
      <c r="BS123" s="536"/>
      <c r="BT123" s="542">
        <f t="shared" si="40"/>
        <v>0</v>
      </c>
      <c r="BU123" s="536"/>
      <c r="BV123" s="536"/>
      <c r="BW123" s="536"/>
      <c r="BX123" s="542">
        <f t="shared" si="41"/>
        <v>0</v>
      </c>
      <c r="BY123" s="536"/>
      <c r="BZ123" s="536"/>
      <c r="CA123" s="536"/>
      <c r="CB123" s="542">
        <v>0</v>
      </c>
      <c r="CC123" s="536"/>
      <c r="CD123" s="536"/>
      <c r="CE123" s="536"/>
      <c r="CF123" s="541">
        <f t="shared" si="42"/>
        <v>0</v>
      </c>
      <c r="CG123" s="536"/>
      <c r="CH123" s="536"/>
      <c r="CI123" s="536"/>
      <c r="CJ123" s="541">
        <f t="shared" si="43"/>
        <v>0</v>
      </c>
      <c r="CK123" s="536"/>
      <c r="CL123" s="536"/>
      <c r="CM123" s="536"/>
      <c r="CN123" s="541">
        <f t="shared" si="44"/>
        <v>0</v>
      </c>
      <c r="CO123" s="536"/>
      <c r="CP123" s="536"/>
      <c r="CQ123" s="536"/>
      <c r="CR123" s="541">
        <f t="shared" si="45"/>
        <v>0</v>
      </c>
      <c r="CS123" s="536"/>
      <c r="CT123" s="536"/>
      <c r="CU123" s="536"/>
      <c r="CV123" s="541">
        <f t="shared" si="46"/>
        <v>0</v>
      </c>
      <c r="CW123" s="536"/>
      <c r="CX123" s="536"/>
      <c r="CY123" s="536"/>
      <c r="CZ123" s="541">
        <f t="shared" si="47"/>
        <v>0</v>
      </c>
      <c r="DA123" s="536"/>
      <c r="DB123" s="536"/>
      <c r="DC123" s="536"/>
      <c r="DD123" s="541">
        <f t="shared" si="48"/>
        <v>0</v>
      </c>
      <c r="DE123" s="536"/>
      <c r="DF123" s="536"/>
      <c r="DG123" s="536"/>
      <c r="DH123" s="541">
        <f t="shared" si="49"/>
        <v>0</v>
      </c>
      <c r="DI123" s="536"/>
      <c r="DJ123" s="536"/>
      <c r="DK123" s="536"/>
      <c r="DL123" s="541">
        <f t="shared" si="50"/>
        <v>0</v>
      </c>
      <c r="DM123" s="536"/>
      <c r="DN123" s="536"/>
      <c r="DO123" s="536"/>
      <c r="DP123" s="541">
        <f>IF( SUM((DJ123*(20/100))+(DK123*(30/100))+(DL123*(50/100))) &gt;=9.3,9.5,
IF(AND( SUM((DJ123*(20/100))+(DK123*(30/100))+(DL123*(50/100))) &lt;=9.3, SUM((DJ123*(20/100))+(DK123*(30/100))+(DL123*(50/100))) &gt;=8.8),9,
IF(AND( SUM((DJ123*(20/100))+(DK123*(30/100))+(DL123*(50/100))) &lt;=8.8, SUM((DJ123*(20/100))+(DK123*(30/100))+(DL123*(50/100))) &gt;=8.3),8.5,
IF(AND( SUM((DJ123*(20/100))+(DK123*(30/100))+(DL123*(50/100))) &lt;=8.3, SUM((DJ123*(20/100))+(DK123*(30/100))+(DL123*(50/100))) &gt;=7.8),8,
IF(AND( SUM((DJ123*(20/100))+(DK123*(30/100))+(DL123*(50/100))) &lt;=7.8, SUM((DJ123*(20/100))+(DK123*(30/100))+(DL123*(50/100))) &gt;=7.3),7.5,
IF(AND( SUM((DJ123*(20/100))+(DK123*(30/100))+(DL123*(50/100))) &lt;=7.3, SUM((DJ123*(20/100))+(DK123*(30/100))+(DL123*(50/100))) &gt;=6.8),7,
IF(AND( SUM((DJ123*(20/100))+(DK123*(30/100))+(DL123*(50/100))) &lt;=6.8, SUM((DJ123*(20/100))+(DK123*(30/100))+(DL123*(50/100))) &gt;=6.3),6.5,
IF(AND( SUM((DJ123*(20/100))+(DK123*(30/100))+(DL123*(50/100))) &lt;=6.3, SUM((DJ123*(20/100))+(DK123*(30/100))+(DL123*(50/100))) &gt;=5.8),6,
IF(AND( SUM((DJ123*(20/100))+(DK123*(30/100))+(DL123*(50/100))) &lt;=5.8, SUM((DJ123*(20/100))+(DK123*(30/100))+(DL123*(50/100))) &gt;=5.3),5.5,
IF(AND( SUM((DJ123*(20/100))+(DK123*(30/100))+(DL123*(50/100))) &lt;=5.3, SUM((DJ123*(20/100))+(DK123*(30/100))+(DL123*(50/100))) &gt;=4.8),5,
IF(AND( SUM((DJ123*(20/100))+(DK123*(30/100))+(DL123*(50/100))) &lt;=4.8, SUM((DJ123*(20/100))+(DK123*(30/100))+(DL123*(50/100))) &gt;=4.3),4.5,
IF(AND( SUM((DJ123*(20/100))+(DK123*(30/100))+(DL123*(50/100))) &lt;=4.3, SUM((DJ123*(20/100))+(DK123*(30/100))+(DL123*(50/100))) &gt;=3.8),4,
IF(AND( SUM((DJ123*(20/100))+(DK123*(30/100))+(DL123*(50/100))) &lt;=3.8, SUM((DJ123*(20/100))+(DK123*(30/100))+(DL123*(50/100))) &gt;=3.5),3.5,0)))))))))))))</f>
        <v>0</v>
      </c>
      <c r="DQ123" s="541"/>
      <c r="DR123" s="541"/>
      <c r="DS123" s="541"/>
      <c r="DT123" s="541"/>
      <c r="DU123" s="541"/>
      <c r="DV123" s="541"/>
      <c r="DW123" s="541"/>
      <c r="DX123" s="541"/>
      <c r="DY123" s="541"/>
      <c r="DZ123" s="541"/>
    </row>
    <row r="124" spans="2:130" x14ac:dyDescent="0.25">
      <c r="B124" s="334">
        <v>17</v>
      </c>
      <c r="C124" s="541"/>
      <c r="D124" s="334"/>
      <c r="E124" s="334"/>
      <c r="F124" s="334"/>
      <c r="G124" s="334"/>
      <c r="H124" s="334"/>
      <c r="I124" s="334"/>
      <c r="J124" s="536"/>
      <c r="K124" s="536"/>
      <c r="L124" s="536"/>
      <c r="M124" s="536"/>
      <c r="N124" s="536"/>
      <c r="O124" s="536"/>
      <c r="P124" s="536">
        <f t="shared" si="26"/>
        <v>0</v>
      </c>
      <c r="Q124" s="536"/>
      <c r="R124" s="536"/>
      <c r="S124" s="536"/>
      <c r="T124" s="536">
        <f t="shared" si="27"/>
        <v>0</v>
      </c>
      <c r="U124" s="536"/>
      <c r="V124" s="536"/>
      <c r="W124" s="536"/>
      <c r="X124" s="536">
        <f t="shared" si="28"/>
        <v>0</v>
      </c>
      <c r="Y124" s="536"/>
      <c r="Z124" s="536"/>
      <c r="AA124" s="536"/>
      <c r="AB124" s="536">
        <f t="shared" si="29"/>
        <v>0</v>
      </c>
      <c r="AC124" s="536"/>
      <c r="AD124" s="536"/>
      <c r="AE124" s="536"/>
      <c r="AF124" s="536">
        <f t="shared" si="30"/>
        <v>0</v>
      </c>
      <c r="AG124" s="536"/>
      <c r="AH124" s="536"/>
      <c r="AI124" s="536"/>
      <c r="AJ124" s="536">
        <f t="shared" si="31"/>
        <v>0</v>
      </c>
      <c r="AK124" s="536"/>
      <c r="AL124" s="536"/>
      <c r="AM124" s="536"/>
      <c r="AN124" s="542">
        <f t="shared" si="32"/>
        <v>0</v>
      </c>
      <c r="AO124" s="536"/>
      <c r="AP124" s="536"/>
      <c r="AQ124" s="536"/>
      <c r="AR124" s="542">
        <f t="shared" si="33"/>
        <v>0</v>
      </c>
      <c r="AS124" s="536"/>
      <c r="AT124" s="536"/>
      <c r="AU124" s="536"/>
      <c r="AV124" s="542">
        <f t="shared" si="34"/>
        <v>0</v>
      </c>
      <c r="AW124" s="536"/>
      <c r="AX124" s="536"/>
      <c r="AY124" s="536"/>
      <c r="AZ124" s="542">
        <f t="shared" si="35"/>
        <v>0</v>
      </c>
      <c r="BA124" s="536"/>
      <c r="BB124" s="536"/>
      <c r="BC124" s="536"/>
      <c r="BD124" s="542">
        <f t="shared" si="36"/>
        <v>0</v>
      </c>
      <c r="BE124" s="536"/>
      <c r="BF124" s="536"/>
      <c r="BG124" s="536"/>
      <c r="BH124" s="542">
        <f t="shared" si="37"/>
        <v>0</v>
      </c>
      <c r="BI124" s="536"/>
      <c r="BJ124" s="536"/>
      <c r="BK124" s="536"/>
      <c r="BL124" s="542">
        <f t="shared" si="38"/>
        <v>0</v>
      </c>
      <c r="BM124" s="536"/>
      <c r="BN124" s="536"/>
      <c r="BO124" s="536"/>
      <c r="BP124" s="542">
        <f t="shared" si="39"/>
        <v>0</v>
      </c>
      <c r="BQ124" s="536"/>
      <c r="BR124" s="536"/>
      <c r="BS124" s="536"/>
      <c r="BT124" s="542">
        <f t="shared" si="40"/>
        <v>0</v>
      </c>
      <c r="BU124" s="536"/>
      <c r="BV124" s="536"/>
      <c r="BW124" s="536"/>
      <c r="BX124" s="542">
        <f t="shared" si="41"/>
        <v>0</v>
      </c>
      <c r="BY124" s="536"/>
      <c r="BZ124" s="536"/>
      <c r="CA124" s="536"/>
      <c r="CB124" s="542">
        <v>0</v>
      </c>
      <c r="CC124" s="536"/>
      <c r="CD124" s="536"/>
      <c r="CE124" s="536"/>
      <c r="CF124" s="541">
        <f t="shared" si="42"/>
        <v>0</v>
      </c>
      <c r="CG124" s="536"/>
      <c r="CH124" s="536"/>
      <c r="CI124" s="536"/>
      <c r="CJ124" s="541">
        <f t="shared" si="43"/>
        <v>0</v>
      </c>
      <c r="CK124" s="536"/>
      <c r="CL124" s="536"/>
      <c r="CM124" s="536"/>
      <c r="CN124" s="541">
        <f t="shared" si="44"/>
        <v>0</v>
      </c>
      <c r="CO124" s="536"/>
      <c r="CP124" s="536"/>
      <c r="CQ124" s="536"/>
      <c r="CR124" s="541">
        <f t="shared" si="45"/>
        <v>0</v>
      </c>
      <c r="CS124" s="536"/>
      <c r="CT124" s="536"/>
      <c r="CU124" s="536"/>
      <c r="CV124" s="541">
        <f t="shared" si="46"/>
        <v>0</v>
      </c>
      <c r="CW124" s="536"/>
      <c r="CX124" s="536"/>
      <c r="CY124" s="536"/>
      <c r="CZ124" s="541">
        <f t="shared" si="47"/>
        <v>0</v>
      </c>
      <c r="DA124" s="536"/>
      <c r="DB124" s="536"/>
      <c r="DC124" s="536"/>
      <c r="DD124" s="541">
        <f t="shared" si="48"/>
        <v>0</v>
      </c>
      <c r="DE124" s="536"/>
      <c r="DF124" s="536"/>
      <c r="DG124" s="536"/>
      <c r="DH124" s="541">
        <f t="shared" si="49"/>
        <v>0</v>
      </c>
      <c r="DI124" s="536"/>
      <c r="DJ124" s="536"/>
      <c r="DK124" s="536"/>
      <c r="DL124" s="541">
        <f t="shared" si="50"/>
        <v>0</v>
      </c>
      <c r="DM124" s="536"/>
      <c r="DN124" s="536"/>
      <c r="DO124" s="536"/>
      <c r="DP124" s="541">
        <f>IF( SUM((DJ124*(20/100))+(DK124*(30/100))+(DL124*(50/100))) &gt;=9.3,9.5,
IF(AND( SUM((DJ124*(20/100))+(DK124*(30/100))+(DL124*(50/100))) &lt;=9.3, SUM((DJ124*(20/100))+(DK124*(30/100))+(DL124*(50/100))) &gt;=8.8),9,
IF(AND( SUM((DJ124*(20/100))+(DK124*(30/100))+(DL124*(50/100))) &lt;=8.8, SUM((DJ124*(20/100))+(DK124*(30/100))+(DL124*(50/100))) &gt;=8.3),8.5,
IF(AND( SUM((DJ124*(20/100))+(DK124*(30/100))+(DL124*(50/100))) &lt;=8.3, SUM((DJ124*(20/100))+(DK124*(30/100))+(DL124*(50/100))) &gt;=7.8),8,
IF(AND( SUM((DJ124*(20/100))+(DK124*(30/100))+(DL124*(50/100))) &lt;=7.8, SUM((DJ124*(20/100))+(DK124*(30/100))+(DL124*(50/100))) &gt;=7.3),7.5,
IF(AND( SUM((DJ124*(20/100))+(DK124*(30/100))+(DL124*(50/100))) &lt;=7.3, SUM((DJ124*(20/100))+(DK124*(30/100))+(DL124*(50/100))) &gt;=6.8),7,
IF(AND( SUM((DJ124*(20/100))+(DK124*(30/100))+(DL124*(50/100))) &lt;=6.8, SUM((DJ124*(20/100))+(DK124*(30/100))+(DL124*(50/100))) &gt;=6.3),6.5,
IF(AND( SUM((DJ124*(20/100))+(DK124*(30/100))+(DL124*(50/100))) &lt;=6.3, SUM((DJ124*(20/100))+(DK124*(30/100))+(DL124*(50/100))) &gt;=5.8),6,
IF(AND( SUM((DJ124*(20/100))+(DK124*(30/100))+(DL124*(50/100))) &lt;=5.8, SUM((DJ124*(20/100))+(DK124*(30/100))+(DL124*(50/100))) &gt;=5.3),5.5,
IF(AND( SUM((DJ124*(20/100))+(DK124*(30/100))+(DL124*(50/100))) &lt;=5.3, SUM((DJ124*(20/100))+(DK124*(30/100))+(DL124*(50/100))) &gt;=4.8),5,
IF(AND( SUM((DJ124*(20/100))+(DK124*(30/100))+(DL124*(50/100))) &lt;=4.8, SUM((DJ124*(20/100))+(DK124*(30/100))+(DL124*(50/100))) &gt;=4.3),4.5,
IF(AND( SUM((DJ124*(20/100))+(DK124*(30/100))+(DL124*(50/100))) &lt;=4.3, SUM((DJ124*(20/100))+(DK124*(30/100))+(DL124*(50/100))) &gt;=3.8),4,
IF(AND( SUM((DJ124*(20/100))+(DK124*(30/100))+(DL124*(50/100))) &lt;=3.8, SUM((DJ124*(20/100))+(DK124*(30/100))+(DL124*(50/100))) &gt;=3.5),3.5,0)))))))))))))</f>
        <v>0</v>
      </c>
      <c r="DQ124" s="541"/>
      <c r="DR124" s="541"/>
      <c r="DS124" s="541"/>
      <c r="DT124" s="541"/>
      <c r="DU124" s="541"/>
      <c r="DV124" s="541"/>
      <c r="DW124" s="541"/>
      <c r="DX124" s="541"/>
      <c r="DY124" s="541"/>
      <c r="DZ124" s="541"/>
    </row>
    <row r="125" spans="2:130" x14ac:dyDescent="0.25">
      <c r="B125" s="334">
        <v>18</v>
      </c>
      <c r="C125" s="541"/>
      <c r="D125" s="334"/>
      <c r="E125" s="334"/>
      <c r="F125" s="334"/>
      <c r="G125" s="334"/>
      <c r="H125" s="334"/>
      <c r="I125" s="334"/>
      <c r="J125" s="536"/>
      <c r="K125" s="536"/>
      <c r="L125" s="536"/>
      <c r="M125" s="536"/>
      <c r="N125" s="536"/>
      <c r="O125" s="536"/>
      <c r="P125" s="536">
        <f t="shared" si="26"/>
        <v>0</v>
      </c>
      <c r="Q125" s="536"/>
      <c r="R125" s="536"/>
      <c r="S125" s="536"/>
      <c r="T125" s="536">
        <f t="shared" si="27"/>
        <v>0</v>
      </c>
      <c r="U125" s="536"/>
      <c r="V125" s="536"/>
      <c r="W125" s="536"/>
      <c r="X125" s="536">
        <f t="shared" si="28"/>
        <v>0</v>
      </c>
      <c r="Y125" s="536"/>
      <c r="Z125" s="536"/>
      <c r="AA125" s="536"/>
      <c r="AB125" s="536">
        <f t="shared" si="29"/>
        <v>0</v>
      </c>
      <c r="AC125" s="536"/>
      <c r="AD125" s="536"/>
      <c r="AE125" s="536"/>
      <c r="AF125" s="536">
        <f t="shared" si="30"/>
        <v>0</v>
      </c>
      <c r="AG125" s="536"/>
      <c r="AH125" s="536"/>
      <c r="AI125" s="536"/>
      <c r="AJ125" s="536">
        <f t="shared" si="31"/>
        <v>0</v>
      </c>
      <c r="AK125" s="536"/>
      <c r="AL125" s="536"/>
      <c r="AM125" s="536"/>
      <c r="AN125" s="542">
        <f t="shared" si="32"/>
        <v>0</v>
      </c>
      <c r="AO125" s="536"/>
      <c r="AP125" s="536"/>
      <c r="AQ125" s="536"/>
      <c r="AR125" s="542">
        <f t="shared" si="33"/>
        <v>0</v>
      </c>
      <c r="AS125" s="536"/>
      <c r="AT125" s="536"/>
      <c r="AU125" s="536"/>
      <c r="AV125" s="542">
        <f t="shared" si="34"/>
        <v>0</v>
      </c>
      <c r="AW125" s="536"/>
      <c r="AX125" s="536"/>
      <c r="AY125" s="536"/>
      <c r="AZ125" s="542">
        <f t="shared" si="35"/>
        <v>0</v>
      </c>
      <c r="BA125" s="536"/>
      <c r="BB125" s="536"/>
      <c r="BC125" s="536"/>
      <c r="BD125" s="542">
        <f t="shared" si="36"/>
        <v>0</v>
      </c>
      <c r="BE125" s="536"/>
      <c r="BF125" s="536"/>
      <c r="BG125" s="536"/>
      <c r="BH125" s="542">
        <f t="shared" si="37"/>
        <v>0</v>
      </c>
      <c r="BI125" s="536"/>
      <c r="BJ125" s="536"/>
      <c r="BK125" s="536"/>
      <c r="BL125" s="542">
        <f t="shared" si="38"/>
        <v>0</v>
      </c>
      <c r="BM125" s="536"/>
      <c r="BN125" s="536"/>
      <c r="BO125" s="536"/>
      <c r="BP125" s="542">
        <f t="shared" si="39"/>
        <v>0</v>
      </c>
      <c r="BQ125" s="536"/>
      <c r="BR125" s="536"/>
      <c r="BS125" s="536"/>
      <c r="BT125" s="542">
        <f t="shared" si="40"/>
        <v>0</v>
      </c>
      <c r="BU125" s="536"/>
      <c r="BV125" s="536"/>
      <c r="BW125" s="536"/>
      <c r="BX125" s="542">
        <f t="shared" si="41"/>
        <v>0</v>
      </c>
      <c r="BY125" s="536"/>
      <c r="BZ125" s="536"/>
      <c r="CA125" s="536"/>
      <c r="CB125" s="542">
        <v>0</v>
      </c>
      <c r="CC125" s="536"/>
      <c r="CD125" s="536"/>
      <c r="CE125" s="536"/>
      <c r="CF125" s="541">
        <f t="shared" si="42"/>
        <v>0</v>
      </c>
      <c r="CG125" s="536"/>
      <c r="CH125" s="536"/>
      <c r="CI125" s="536"/>
      <c r="CJ125" s="541">
        <f t="shared" si="43"/>
        <v>0</v>
      </c>
      <c r="CK125" s="536"/>
      <c r="CL125" s="536"/>
      <c r="CM125" s="536"/>
      <c r="CN125" s="541">
        <f t="shared" si="44"/>
        <v>0</v>
      </c>
      <c r="CO125" s="536"/>
      <c r="CP125" s="536"/>
      <c r="CQ125" s="536"/>
      <c r="CR125" s="541">
        <f t="shared" si="45"/>
        <v>0</v>
      </c>
      <c r="CS125" s="536"/>
      <c r="CT125" s="536"/>
      <c r="CU125" s="536"/>
      <c r="CV125" s="541">
        <f t="shared" si="46"/>
        <v>0</v>
      </c>
      <c r="CW125" s="536"/>
      <c r="CX125" s="536"/>
      <c r="CY125" s="536"/>
      <c r="CZ125" s="541">
        <f t="shared" si="47"/>
        <v>0</v>
      </c>
      <c r="DA125" s="536"/>
      <c r="DB125" s="536"/>
      <c r="DC125" s="536"/>
      <c r="DD125" s="541">
        <f t="shared" si="48"/>
        <v>0</v>
      </c>
      <c r="DE125" s="536"/>
      <c r="DF125" s="536"/>
      <c r="DG125" s="536"/>
      <c r="DH125" s="541">
        <f t="shared" si="49"/>
        <v>0</v>
      </c>
      <c r="DI125" s="536"/>
      <c r="DJ125" s="536"/>
      <c r="DK125" s="536"/>
      <c r="DL125" s="541">
        <f t="shared" si="50"/>
        <v>0</v>
      </c>
      <c r="DM125" s="536"/>
      <c r="DN125" s="536"/>
      <c r="DO125" s="536"/>
      <c r="DP125" s="541">
        <f>IF( SUM((DJ125*(20/100))+(DK125*(30/100))+(DL125*(50/100))) &gt;=9.3,9.5,
IF(AND( SUM((DJ125*(20/100))+(DK125*(30/100))+(DL125*(50/100))) &lt;=9.3, SUM((DJ125*(20/100))+(DK125*(30/100))+(DL125*(50/100))) &gt;=8.8),9,
IF(AND( SUM((DJ125*(20/100))+(DK125*(30/100))+(DL125*(50/100))) &lt;=8.8, SUM((DJ125*(20/100))+(DK125*(30/100))+(DL125*(50/100))) &gt;=8.3),8.5,
IF(AND( SUM((DJ125*(20/100))+(DK125*(30/100))+(DL125*(50/100))) &lt;=8.3, SUM((DJ125*(20/100))+(DK125*(30/100))+(DL125*(50/100))) &gt;=7.8),8,
IF(AND( SUM((DJ125*(20/100))+(DK125*(30/100))+(DL125*(50/100))) &lt;=7.8, SUM((DJ125*(20/100))+(DK125*(30/100))+(DL125*(50/100))) &gt;=7.3),7.5,
IF(AND( SUM((DJ125*(20/100))+(DK125*(30/100))+(DL125*(50/100))) &lt;=7.3, SUM((DJ125*(20/100))+(DK125*(30/100))+(DL125*(50/100))) &gt;=6.8),7,
IF(AND( SUM((DJ125*(20/100))+(DK125*(30/100))+(DL125*(50/100))) &lt;=6.8, SUM((DJ125*(20/100))+(DK125*(30/100))+(DL125*(50/100))) &gt;=6.3),6.5,
IF(AND( SUM((DJ125*(20/100))+(DK125*(30/100))+(DL125*(50/100))) &lt;=6.3, SUM((DJ125*(20/100))+(DK125*(30/100))+(DL125*(50/100))) &gt;=5.8),6,
IF(AND( SUM((DJ125*(20/100))+(DK125*(30/100))+(DL125*(50/100))) &lt;=5.8, SUM((DJ125*(20/100))+(DK125*(30/100))+(DL125*(50/100))) &gt;=5.3),5.5,
IF(AND( SUM((DJ125*(20/100))+(DK125*(30/100))+(DL125*(50/100))) &lt;=5.3, SUM((DJ125*(20/100))+(DK125*(30/100))+(DL125*(50/100))) &gt;=4.8),5,
IF(AND( SUM((DJ125*(20/100))+(DK125*(30/100))+(DL125*(50/100))) &lt;=4.8, SUM((DJ125*(20/100))+(DK125*(30/100))+(DL125*(50/100))) &gt;=4.3),4.5,
IF(AND( SUM((DJ125*(20/100))+(DK125*(30/100))+(DL125*(50/100))) &lt;=4.3, SUM((DJ125*(20/100))+(DK125*(30/100))+(DL125*(50/100))) &gt;=3.8),4,
IF(AND( SUM((DJ125*(20/100))+(DK125*(30/100))+(DL125*(50/100))) &lt;=3.8, SUM((DJ125*(20/100))+(DK125*(30/100))+(DL125*(50/100))) &gt;=3.5),3.5,0)))))))))))))</f>
        <v>0</v>
      </c>
      <c r="DQ125" s="541"/>
      <c r="DR125" s="541"/>
      <c r="DS125" s="541"/>
      <c r="DT125" s="541"/>
      <c r="DU125" s="541"/>
      <c r="DV125" s="541"/>
      <c r="DW125" s="541"/>
      <c r="DX125" s="541"/>
      <c r="DY125" s="541"/>
      <c r="DZ125" s="541"/>
    </row>
    <row r="126" spans="2:130" x14ac:dyDescent="0.25">
      <c r="B126" s="334">
        <v>19</v>
      </c>
      <c r="C126" s="541"/>
      <c r="D126" s="334"/>
      <c r="E126" s="334"/>
      <c r="F126" s="334"/>
      <c r="G126" s="334"/>
      <c r="H126" s="334"/>
      <c r="I126" s="334"/>
      <c r="J126" s="536"/>
      <c r="K126" s="536"/>
      <c r="L126" s="536"/>
      <c r="M126" s="536"/>
      <c r="N126" s="536"/>
      <c r="O126" s="536"/>
      <c r="P126" s="536">
        <f t="shared" si="26"/>
        <v>0</v>
      </c>
      <c r="Q126" s="536"/>
      <c r="R126" s="536"/>
      <c r="S126" s="536"/>
      <c r="T126" s="536">
        <f t="shared" si="27"/>
        <v>0</v>
      </c>
      <c r="U126" s="536"/>
      <c r="V126" s="536"/>
      <c r="W126" s="536"/>
      <c r="X126" s="536">
        <f t="shared" si="28"/>
        <v>0</v>
      </c>
      <c r="Y126" s="536"/>
      <c r="Z126" s="536"/>
      <c r="AA126" s="536"/>
      <c r="AB126" s="536">
        <f t="shared" si="29"/>
        <v>0</v>
      </c>
      <c r="AC126" s="536"/>
      <c r="AD126" s="536"/>
      <c r="AE126" s="536"/>
      <c r="AF126" s="536">
        <f t="shared" si="30"/>
        <v>0</v>
      </c>
      <c r="AG126" s="536"/>
      <c r="AH126" s="536"/>
      <c r="AI126" s="536"/>
      <c r="AJ126" s="536">
        <f t="shared" si="31"/>
        <v>0</v>
      </c>
      <c r="AK126" s="536"/>
      <c r="AL126" s="536"/>
      <c r="AM126" s="536"/>
      <c r="AN126" s="542">
        <f t="shared" si="32"/>
        <v>0</v>
      </c>
      <c r="AO126" s="536"/>
      <c r="AP126" s="536"/>
      <c r="AQ126" s="536"/>
      <c r="AR126" s="542">
        <f t="shared" si="33"/>
        <v>0</v>
      </c>
      <c r="AS126" s="536"/>
      <c r="AT126" s="536"/>
      <c r="AU126" s="536"/>
      <c r="AV126" s="542">
        <f t="shared" si="34"/>
        <v>0</v>
      </c>
      <c r="AW126" s="536"/>
      <c r="AX126" s="536"/>
      <c r="AY126" s="536"/>
      <c r="AZ126" s="542">
        <f t="shared" si="35"/>
        <v>0</v>
      </c>
      <c r="BA126" s="536"/>
      <c r="BB126" s="536"/>
      <c r="BC126" s="536"/>
      <c r="BD126" s="542">
        <f t="shared" si="36"/>
        <v>0</v>
      </c>
      <c r="BE126" s="536"/>
      <c r="BF126" s="536"/>
      <c r="BG126" s="536"/>
      <c r="BH126" s="542">
        <f t="shared" si="37"/>
        <v>0</v>
      </c>
      <c r="BI126" s="536"/>
      <c r="BJ126" s="536"/>
      <c r="BK126" s="536"/>
      <c r="BL126" s="542">
        <f t="shared" si="38"/>
        <v>0</v>
      </c>
      <c r="BM126" s="536"/>
      <c r="BN126" s="536"/>
      <c r="BO126" s="536"/>
      <c r="BP126" s="542">
        <f t="shared" si="39"/>
        <v>0</v>
      </c>
      <c r="BQ126" s="536"/>
      <c r="BR126" s="536"/>
      <c r="BS126" s="536"/>
      <c r="BT126" s="542">
        <f t="shared" si="40"/>
        <v>0</v>
      </c>
      <c r="BU126" s="536"/>
      <c r="BV126" s="536"/>
      <c r="BW126" s="536"/>
      <c r="BX126" s="542">
        <f t="shared" si="41"/>
        <v>0</v>
      </c>
      <c r="BY126" s="536"/>
      <c r="BZ126" s="536"/>
      <c r="CA126" s="536"/>
      <c r="CB126" s="542">
        <v>0</v>
      </c>
      <c r="CC126" s="536"/>
      <c r="CD126" s="536"/>
      <c r="CE126" s="536"/>
      <c r="CF126" s="541">
        <f t="shared" si="42"/>
        <v>0</v>
      </c>
      <c r="CG126" s="536"/>
      <c r="CH126" s="536"/>
      <c r="CI126" s="536"/>
      <c r="CJ126" s="541">
        <f t="shared" si="43"/>
        <v>0</v>
      </c>
      <c r="CK126" s="536"/>
      <c r="CL126" s="536"/>
      <c r="CM126" s="536"/>
      <c r="CN126" s="541">
        <f t="shared" si="44"/>
        <v>0</v>
      </c>
      <c r="CO126" s="536"/>
      <c r="CP126" s="536"/>
      <c r="CQ126" s="536"/>
      <c r="CR126" s="541">
        <f t="shared" si="45"/>
        <v>0</v>
      </c>
      <c r="CS126" s="536"/>
      <c r="CT126" s="536"/>
      <c r="CU126" s="536"/>
      <c r="CV126" s="541">
        <f t="shared" si="46"/>
        <v>0</v>
      </c>
      <c r="CW126" s="536"/>
      <c r="CX126" s="536"/>
      <c r="CY126" s="536"/>
      <c r="CZ126" s="541">
        <f t="shared" si="47"/>
        <v>0</v>
      </c>
      <c r="DA126" s="536"/>
      <c r="DB126" s="536"/>
      <c r="DC126" s="536"/>
      <c r="DD126" s="541">
        <f t="shared" si="48"/>
        <v>0</v>
      </c>
      <c r="DE126" s="536"/>
      <c r="DF126" s="536"/>
      <c r="DG126" s="536"/>
      <c r="DH126" s="541">
        <f t="shared" si="49"/>
        <v>0</v>
      </c>
      <c r="DI126" s="536"/>
      <c r="DJ126" s="536"/>
      <c r="DK126" s="536"/>
      <c r="DL126" s="541">
        <f t="shared" si="50"/>
        <v>0</v>
      </c>
      <c r="DM126" s="536"/>
      <c r="DN126" s="536"/>
      <c r="DO126" s="536"/>
      <c r="DP126" s="541">
        <f>IF( SUM((DJ126*(20/100))+(DK126*(30/100))+(DL126*(50/100))) &gt;=9.3,9.5,
IF(AND( SUM((DJ126*(20/100))+(DK126*(30/100))+(DL126*(50/100))) &lt;=9.3, SUM((DJ126*(20/100))+(DK126*(30/100))+(DL126*(50/100))) &gt;=8.8),9,
IF(AND( SUM((DJ126*(20/100))+(DK126*(30/100))+(DL126*(50/100))) &lt;=8.8, SUM((DJ126*(20/100))+(DK126*(30/100))+(DL126*(50/100))) &gt;=8.3),8.5,
IF(AND( SUM((DJ126*(20/100))+(DK126*(30/100))+(DL126*(50/100))) &lt;=8.3, SUM((DJ126*(20/100))+(DK126*(30/100))+(DL126*(50/100))) &gt;=7.8),8,
IF(AND( SUM((DJ126*(20/100))+(DK126*(30/100))+(DL126*(50/100))) &lt;=7.8, SUM((DJ126*(20/100))+(DK126*(30/100))+(DL126*(50/100))) &gt;=7.3),7.5,
IF(AND( SUM((DJ126*(20/100))+(DK126*(30/100))+(DL126*(50/100))) &lt;=7.3, SUM((DJ126*(20/100))+(DK126*(30/100))+(DL126*(50/100))) &gt;=6.8),7,
IF(AND( SUM((DJ126*(20/100))+(DK126*(30/100))+(DL126*(50/100))) &lt;=6.8, SUM((DJ126*(20/100))+(DK126*(30/100))+(DL126*(50/100))) &gt;=6.3),6.5,
IF(AND( SUM((DJ126*(20/100))+(DK126*(30/100))+(DL126*(50/100))) &lt;=6.3, SUM((DJ126*(20/100))+(DK126*(30/100))+(DL126*(50/100))) &gt;=5.8),6,
IF(AND( SUM((DJ126*(20/100))+(DK126*(30/100))+(DL126*(50/100))) &lt;=5.8, SUM((DJ126*(20/100))+(DK126*(30/100))+(DL126*(50/100))) &gt;=5.3),5.5,
IF(AND( SUM((DJ126*(20/100))+(DK126*(30/100))+(DL126*(50/100))) &lt;=5.3, SUM((DJ126*(20/100))+(DK126*(30/100))+(DL126*(50/100))) &gt;=4.8),5,
IF(AND( SUM((DJ126*(20/100))+(DK126*(30/100))+(DL126*(50/100))) &lt;=4.8, SUM((DJ126*(20/100))+(DK126*(30/100))+(DL126*(50/100))) &gt;=4.3),4.5,
IF(AND( SUM((DJ126*(20/100))+(DK126*(30/100))+(DL126*(50/100))) &lt;=4.3, SUM((DJ126*(20/100))+(DK126*(30/100))+(DL126*(50/100))) &gt;=3.8),4,
IF(AND( SUM((DJ126*(20/100))+(DK126*(30/100))+(DL126*(50/100))) &lt;=3.8, SUM((DJ126*(20/100))+(DK126*(30/100))+(DL126*(50/100))) &gt;=3.5),3.5,0)))))))))))))</f>
        <v>0</v>
      </c>
      <c r="DQ126" s="541"/>
      <c r="DR126" s="541"/>
      <c r="DS126" s="541"/>
      <c r="DT126" s="541"/>
      <c r="DU126" s="541"/>
      <c r="DV126" s="541"/>
      <c r="DW126" s="541"/>
      <c r="DX126" s="541"/>
      <c r="DY126" s="541"/>
      <c r="DZ126" s="541"/>
    </row>
    <row r="127" spans="2:130" x14ac:dyDescent="0.25">
      <c r="B127" s="334">
        <v>20</v>
      </c>
      <c r="C127" s="541"/>
      <c r="D127" s="334"/>
      <c r="E127" s="334"/>
      <c r="F127" s="334"/>
      <c r="G127" s="334"/>
      <c r="H127" s="334"/>
      <c r="I127" s="334"/>
      <c r="J127" s="536"/>
      <c r="K127" s="536"/>
      <c r="L127" s="536"/>
      <c r="M127" s="536"/>
      <c r="N127" s="536"/>
      <c r="O127" s="536"/>
      <c r="P127" s="536">
        <f t="shared" si="26"/>
        <v>0</v>
      </c>
      <c r="Q127" s="536"/>
      <c r="R127" s="536"/>
      <c r="S127" s="536"/>
      <c r="T127" s="536">
        <f t="shared" si="27"/>
        <v>0</v>
      </c>
      <c r="U127" s="536"/>
      <c r="V127" s="536"/>
      <c r="W127" s="536"/>
      <c r="X127" s="536">
        <f t="shared" si="28"/>
        <v>0</v>
      </c>
      <c r="Y127" s="536"/>
      <c r="Z127" s="536"/>
      <c r="AA127" s="536"/>
      <c r="AB127" s="536">
        <f t="shared" si="29"/>
        <v>0</v>
      </c>
      <c r="AC127" s="536"/>
      <c r="AD127" s="536"/>
      <c r="AE127" s="536"/>
      <c r="AF127" s="536">
        <f t="shared" si="30"/>
        <v>0</v>
      </c>
      <c r="AG127" s="536"/>
      <c r="AH127" s="536"/>
      <c r="AI127" s="536"/>
      <c r="AJ127" s="536">
        <f t="shared" si="31"/>
        <v>0</v>
      </c>
      <c r="AK127" s="536"/>
      <c r="AL127" s="536"/>
      <c r="AM127" s="536"/>
      <c r="AN127" s="542">
        <f t="shared" si="32"/>
        <v>0</v>
      </c>
      <c r="AO127" s="536"/>
      <c r="AP127" s="536"/>
      <c r="AQ127" s="536"/>
      <c r="AR127" s="542">
        <f t="shared" si="33"/>
        <v>0</v>
      </c>
      <c r="AS127" s="536"/>
      <c r="AT127" s="536"/>
      <c r="AU127" s="536"/>
      <c r="AV127" s="542">
        <f t="shared" si="34"/>
        <v>0</v>
      </c>
      <c r="AW127" s="536"/>
      <c r="AX127" s="536"/>
      <c r="AY127" s="536"/>
      <c r="AZ127" s="542">
        <f t="shared" si="35"/>
        <v>0</v>
      </c>
      <c r="BA127" s="536"/>
      <c r="BB127" s="536"/>
      <c r="BC127" s="536"/>
      <c r="BD127" s="542">
        <f t="shared" si="36"/>
        <v>0</v>
      </c>
      <c r="BE127" s="536"/>
      <c r="BF127" s="536"/>
      <c r="BG127" s="536"/>
      <c r="BH127" s="542">
        <f t="shared" si="37"/>
        <v>0</v>
      </c>
      <c r="BI127" s="536"/>
      <c r="BJ127" s="536"/>
      <c r="BK127" s="536"/>
      <c r="BL127" s="542">
        <f t="shared" si="38"/>
        <v>0</v>
      </c>
      <c r="BM127" s="536"/>
      <c r="BN127" s="536"/>
      <c r="BO127" s="536"/>
      <c r="BP127" s="542">
        <f t="shared" si="39"/>
        <v>0</v>
      </c>
      <c r="BQ127" s="536"/>
      <c r="BR127" s="536"/>
      <c r="BS127" s="536"/>
      <c r="BT127" s="542">
        <f t="shared" si="40"/>
        <v>0</v>
      </c>
      <c r="BU127" s="536"/>
      <c r="BV127" s="536"/>
      <c r="BW127" s="536"/>
      <c r="BX127" s="542">
        <f t="shared" si="41"/>
        <v>0</v>
      </c>
      <c r="BY127" s="536"/>
      <c r="BZ127" s="536"/>
      <c r="CA127" s="536"/>
      <c r="CB127" s="542">
        <v>0</v>
      </c>
      <c r="CC127" s="536"/>
      <c r="CD127" s="536"/>
      <c r="CE127" s="536"/>
      <c r="CF127" s="541">
        <f t="shared" si="42"/>
        <v>0</v>
      </c>
      <c r="CG127" s="536"/>
      <c r="CH127" s="536"/>
      <c r="CI127" s="536"/>
      <c r="CJ127" s="541">
        <f t="shared" si="43"/>
        <v>0</v>
      </c>
      <c r="CK127" s="536"/>
      <c r="CL127" s="536"/>
      <c r="CM127" s="536"/>
      <c r="CN127" s="541">
        <f t="shared" si="44"/>
        <v>0</v>
      </c>
      <c r="CO127" s="536"/>
      <c r="CP127" s="536"/>
      <c r="CQ127" s="536"/>
      <c r="CR127" s="541">
        <f t="shared" si="45"/>
        <v>0</v>
      </c>
      <c r="CS127" s="536"/>
      <c r="CT127" s="536"/>
      <c r="CU127" s="536"/>
      <c r="CV127" s="541">
        <f t="shared" si="46"/>
        <v>0</v>
      </c>
      <c r="CW127" s="536"/>
      <c r="CX127" s="536"/>
      <c r="CY127" s="536"/>
      <c r="CZ127" s="541">
        <f t="shared" si="47"/>
        <v>0</v>
      </c>
      <c r="DA127" s="536"/>
      <c r="DB127" s="536"/>
      <c r="DC127" s="536"/>
      <c r="DD127" s="541">
        <f t="shared" si="48"/>
        <v>0</v>
      </c>
      <c r="DE127" s="536"/>
      <c r="DF127" s="536"/>
      <c r="DG127" s="536"/>
      <c r="DH127" s="541">
        <f t="shared" si="49"/>
        <v>0</v>
      </c>
      <c r="DI127" s="536"/>
      <c r="DJ127" s="536"/>
      <c r="DK127" s="536"/>
      <c r="DL127" s="541">
        <f t="shared" si="50"/>
        <v>0</v>
      </c>
      <c r="DM127" s="536"/>
      <c r="DN127" s="536"/>
      <c r="DO127" s="536"/>
      <c r="DP127" s="541">
        <f>IF( SUM((DJ127*(20/100))+(DK127*(30/100))+(DL127*(50/100))) &gt;=9.3,9.5,
IF(AND( SUM((DJ127*(20/100))+(DK127*(30/100))+(DL127*(50/100))) &lt;=9.3, SUM((DJ127*(20/100))+(DK127*(30/100))+(DL127*(50/100))) &gt;=8.8),9,
IF(AND( SUM((DJ127*(20/100))+(DK127*(30/100))+(DL127*(50/100))) &lt;=8.8, SUM((DJ127*(20/100))+(DK127*(30/100))+(DL127*(50/100))) &gt;=8.3),8.5,
IF(AND( SUM((DJ127*(20/100))+(DK127*(30/100))+(DL127*(50/100))) &lt;=8.3, SUM((DJ127*(20/100))+(DK127*(30/100))+(DL127*(50/100))) &gt;=7.8),8,
IF(AND( SUM((DJ127*(20/100))+(DK127*(30/100))+(DL127*(50/100))) &lt;=7.8, SUM((DJ127*(20/100))+(DK127*(30/100))+(DL127*(50/100))) &gt;=7.3),7.5,
IF(AND( SUM((DJ127*(20/100))+(DK127*(30/100))+(DL127*(50/100))) &lt;=7.3, SUM((DJ127*(20/100))+(DK127*(30/100))+(DL127*(50/100))) &gt;=6.8),7,
IF(AND( SUM((DJ127*(20/100))+(DK127*(30/100))+(DL127*(50/100))) &lt;=6.8, SUM((DJ127*(20/100))+(DK127*(30/100))+(DL127*(50/100))) &gt;=6.3),6.5,
IF(AND( SUM((DJ127*(20/100))+(DK127*(30/100))+(DL127*(50/100))) &lt;=6.3, SUM((DJ127*(20/100))+(DK127*(30/100))+(DL127*(50/100))) &gt;=5.8),6,
IF(AND( SUM((DJ127*(20/100))+(DK127*(30/100))+(DL127*(50/100))) &lt;=5.8, SUM((DJ127*(20/100))+(DK127*(30/100))+(DL127*(50/100))) &gt;=5.3),5.5,
IF(AND( SUM((DJ127*(20/100))+(DK127*(30/100))+(DL127*(50/100))) &lt;=5.3, SUM((DJ127*(20/100))+(DK127*(30/100))+(DL127*(50/100))) &gt;=4.8),5,
IF(AND( SUM((DJ127*(20/100))+(DK127*(30/100))+(DL127*(50/100))) &lt;=4.8, SUM((DJ127*(20/100))+(DK127*(30/100))+(DL127*(50/100))) &gt;=4.3),4.5,
IF(AND( SUM((DJ127*(20/100))+(DK127*(30/100))+(DL127*(50/100))) &lt;=4.3, SUM((DJ127*(20/100))+(DK127*(30/100))+(DL127*(50/100))) &gt;=3.8),4,
IF(AND( SUM((DJ127*(20/100))+(DK127*(30/100))+(DL127*(50/100))) &lt;=3.8, SUM((DJ127*(20/100))+(DK127*(30/100))+(DL127*(50/100))) &gt;=3.5),3.5,0)))))))))))))</f>
        <v>0</v>
      </c>
      <c r="DQ127" s="541"/>
      <c r="DR127" s="541"/>
      <c r="DS127" s="541"/>
      <c r="DT127" s="541"/>
      <c r="DU127" s="541"/>
      <c r="DV127" s="541"/>
      <c r="DW127" s="541"/>
      <c r="DX127" s="541"/>
      <c r="DY127" s="541"/>
      <c r="DZ127" s="541"/>
    </row>
    <row r="128" spans="2:130" x14ac:dyDescent="0.25">
      <c r="B128" s="334">
        <v>21</v>
      </c>
      <c r="C128" s="541"/>
      <c r="D128" s="334"/>
      <c r="E128" s="334"/>
      <c r="F128" s="334"/>
      <c r="G128" s="334"/>
      <c r="H128" s="334"/>
      <c r="I128" s="334"/>
      <c r="J128" s="536"/>
      <c r="K128" s="536"/>
      <c r="L128" s="536"/>
      <c r="M128" s="536"/>
      <c r="N128" s="536"/>
      <c r="O128" s="536"/>
      <c r="P128" s="536">
        <f t="shared" si="26"/>
        <v>0</v>
      </c>
      <c r="Q128" s="536"/>
      <c r="R128" s="536"/>
      <c r="S128" s="536"/>
      <c r="T128" s="536">
        <f t="shared" si="27"/>
        <v>0</v>
      </c>
      <c r="U128" s="536"/>
      <c r="V128" s="536"/>
      <c r="W128" s="536"/>
      <c r="X128" s="536">
        <f t="shared" si="28"/>
        <v>0</v>
      </c>
      <c r="Y128" s="536"/>
      <c r="Z128" s="536"/>
      <c r="AA128" s="536"/>
      <c r="AB128" s="536">
        <f t="shared" si="29"/>
        <v>0</v>
      </c>
      <c r="AC128" s="536"/>
      <c r="AD128" s="536"/>
      <c r="AE128" s="536"/>
      <c r="AF128" s="536">
        <f t="shared" si="30"/>
        <v>0</v>
      </c>
      <c r="AG128" s="536"/>
      <c r="AH128" s="536"/>
      <c r="AI128" s="536"/>
      <c r="AJ128" s="536">
        <f t="shared" si="31"/>
        <v>0</v>
      </c>
      <c r="AK128" s="536"/>
      <c r="AL128" s="536"/>
      <c r="AM128" s="536"/>
      <c r="AN128" s="542">
        <f t="shared" si="32"/>
        <v>0</v>
      </c>
      <c r="AO128" s="536"/>
      <c r="AP128" s="536"/>
      <c r="AQ128" s="536"/>
      <c r="AR128" s="542">
        <f t="shared" si="33"/>
        <v>0</v>
      </c>
      <c r="AS128" s="536"/>
      <c r="AT128" s="536"/>
      <c r="AU128" s="536"/>
      <c r="AV128" s="542">
        <f t="shared" si="34"/>
        <v>0</v>
      </c>
      <c r="AW128" s="536"/>
      <c r="AX128" s="536"/>
      <c r="AY128" s="536"/>
      <c r="AZ128" s="542">
        <f t="shared" si="35"/>
        <v>0</v>
      </c>
      <c r="BA128" s="536"/>
      <c r="BB128" s="536"/>
      <c r="BC128" s="536"/>
      <c r="BD128" s="542">
        <f t="shared" si="36"/>
        <v>0</v>
      </c>
      <c r="BE128" s="536"/>
      <c r="BF128" s="536"/>
      <c r="BG128" s="536"/>
      <c r="BH128" s="542">
        <f t="shared" si="37"/>
        <v>0</v>
      </c>
      <c r="BI128" s="536"/>
      <c r="BJ128" s="536"/>
      <c r="BK128" s="536"/>
      <c r="BL128" s="542">
        <f t="shared" si="38"/>
        <v>0</v>
      </c>
      <c r="BM128" s="536"/>
      <c r="BN128" s="536"/>
      <c r="BO128" s="536"/>
      <c r="BP128" s="542">
        <f t="shared" si="39"/>
        <v>0</v>
      </c>
      <c r="BQ128" s="536"/>
      <c r="BR128" s="536"/>
      <c r="BS128" s="536"/>
      <c r="BT128" s="542">
        <f t="shared" si="40"/>
        <v>0</v>
      </c>
      <c r="BU128" s="536"/>
      <c r="BV128" s="536"/>
      <c r="BW128" s="536"/>
      <c r="BX128" s="542">
        <f t="shared" si="41"/>
        <v>0</v>
      </c>
      <c r="BY128" s="536"/>
      <c r="BZ128" s="536"/>
      <c r="CA128" s="536"/>
      <c r="CB128" s="542">
        <v>0</v>
      </c>
      <c r="CC128" s="536"/>
      <c r="CD128" s="536"/>
      <c r="CE128" s="536"/>
      <c r="CF128" s="541">
        <f t="shared" si="42"/>
        <v>0</v>
      </c>
      <c r="CG128" s="536"/>
      <c r="CH128" s="536"/>
      <c r="CI128" s="536"/>
      <c r="CJ128" s="541">
        <f t="shared" si="43"/>
        <v>0</v>
      </c>
      <c r="CK128" s="536"/>
      <c r="CL128" s="536"/>
      <c r="CM128" s="536"/>
      <c r="CN128" s="541">
        <f t="shared" si="44"/>
        <v>0</v>
      </c>
      <c r="CO128" s="536"/>
      <c r="CP128" s="536"/>
      <c r="CQ128" s="536"/>
      <c r="CR128" s="541">
        <f t="shared" si="45"/>
        <v>0</v>
      </c>
      <c r="CS128" s="536"/>
      <c r="CT128" s="536"/>
      <c r="CU128" s="536"/>
      <c r="CV128" s="541">
        <f t="shared" si="46"/>
        <v>0</v>
      </c>
      <c r="CW128" s="536"/>
      <c r="CX128" s="536"/>
      <c r="CY128" s="536"/>
      <c r="CZ128" s="541">
        <f t="shared" si="47"/>
        <v>0</v>
      </c>
      <c r="DA128" s="536"/>
      <c r="DB128" s="536"/>
      <c r="DC128" s="536"/>
      <c r="DD128" s="541">
        <f t="shared" si="48"/>
        <v>0</v>
      </c>
      <c r="DE128" s="536"/>
      <c r="DF128" s="536"/>
      <c r="DG128" s="536"/>
      <c r="DH128" s="541">
        <f t="shared" si="49"/>
        <v>0</v>
      </c>
      <c r="DI128" s="536"/>
      <c r="DJ128" s="536"/>
      <c r="DK128" s="536"/>
      <c r="DL128" s="541">
        <f t="shared" si="50"/>
        <v>0</v>
      </c>
      <c r="DM128" s="536"/>
      <c r="DN128" s="536"/>
      <c r="DO128" s="536"/>
      <c r="DP128" s="541">
        <f>IF( SUM((DJ128*(20/100))+(DK128*(30/100))+(DL128*(50/100))) &gt;=9.3,9.5,
IF(AND( SUM((DJ128*(20/100))+(DK128*(30/100))+(DL128*(50/100))) &lt;=9.3, SUM((DJ128*(20/100))+(DK128*(30/100))+(DL128*(50/100))) &gt;=8.8),9,
IF(AND( SUM((DJ128*(20/100))+(DK128*(30/100))+(DL128*(50/100))) &lt;=8.8, SUM((DJ128*(20/100))+(DK128*(30/100))+(DL128*(50/100))) &gt;=8.3),8.5,
IF(AND( SUM((DJ128*(20/100))+(DK128*(30/100))+(DL128*(50/100))) &lt;=8.3, SUM((DJ128*(20/100))+(DK128*(30/100))+(DL128*(50/100))) &gt;=7.8),8,
IF(AND( SUM((DJ128*(20/100))+(DK128*(30/100))+(DL128*(50/100))) &lt;=7.8, SUM((DJ128*(20/100))+(DK128*(30/100))+(DL128*(50/100))) &gt;=7.3),7.5,
IF(AND( SUM((DJ128*(20/100))+(DK128*(30/100))+(DL128*(50/100))) &lt;=7.3, SUM((DJ128*(20/100))+(DK128*(30/100))+(DL128*(50/100))) &gt;=6.8),7,
IF(AND( SUM((DJ128*(20/100))+(DK128*(30/100))+(DL128*(50/100))) &lt;=6.8, SUM((DJ128*(20/100))+(DK128*(30/100))+(DL128*(50/100))) &gt;=6.3),6.5,
IF(AND( SUM((DJ128*(20/100))+(DK128*(30/100))+(DL128*(50/100))) &lt;=6.3, SUM((DJ128*(20/100))+(DK128*(30/100))+(DL128*(50/100))) &gt;=5.8),6,
IF(AND( SUM((DJ128*(20/100))+(DK128*(30/100))+(DL128*(50/100))) &lt;=5.8, SUM((DJ128*(20/100))+(DK128*(30/100))+(DL128*(50/100))) &gt;=5.3),5.5,
IF(AND( SUM((DJ128*(20/100))+(DK128*(30/100))+(DL128*(50/100))) &lt;=5.3, SUM((DJ128*(20/100))+(DK128*(30/100))+(DL128*(50/100))) &gt;=4.8),5,
IF(AND( SUM((DJ128*(20/100))+(DK128*(30/100))+(DL128*(50/100))) &lt;=4.8, SUM((DJ128*(20/100))+(DK128*(30/100))+(DL128*(50/100))) &gt;=4.3),4.5,
IF(AND( SUM((DJ128*(20/100))+(DK128*(30/100))+(DL128*(50/100))) &lt;=4.3, SUM((DJ128*(20/100))+(DK128*(30/100))+(DL128*(50/100))) &gt;=3.8),4,
IF(AND( SUM((DJ128*(20/100))+(DK128*(30/100))+(DL128*(50/100))) &lt;=3.8, SUM((DJ128*(20/100))+(DK128*(30/100))+(DL128*(50/100))) &gt;=3.5),3.5,0)))))))))))))</f>
        <v>0</v>
      </c>
      <c r="DQ128" s="541"/>
      <c r="DR128" s="541"/>
      <c r="DS128" s="541"/>
      <c r="DT128" s="541"/>
      <c r="DU128" s="541"/>
      <c r="DV128" s="541"/>
      <c r="DW128" s="541"/>
      <c r="DX128" s="541"/>
      <c r="DY128" s="541"/>
      <c r="DZ128" s="541"/>
    </row>
    <row r="129" spans="2:130" x14ac:dyDescent="0.25">
      <c r="B129" s="334">
        <v>22</v>
      </c>
      <c r="C129" s="541"/>
      <c r="D129" s="334"/>
      <c r="E129" s="334"/>
      <c r="F129" s="334"/>
      <c r="G129" s="334"/>
      <c r="H129" s="334"/>
      <c r="I129" s="334"/>
      <c r="J129" s="536"/>
      <c r="K129" s="536"/>
      <c r="L129" s="536"/>
      <c r="M129" s="536"/>
      <c r="N129" s="536"/>
      <c r="O129" s="536"/>
      <c r="P129" s="536">
        <f t="shared" si="26"/>
        <v>0</v>
      </c>
      <c r="Q129" s="536"/>
      <c r="R129" s="536"/>
      <c r="S129" s="536"/>
      <c r="T129" s="536">
        <f t="shared" si="27"/>
        <v>0</v>
      </c>
      <c r="U129" s="536"/>
      <c r="V129" s="536"/>
      <c r="W129" s="536"/>
      <c r="X129" s="536">
        <f t="shared" si="28"/>
        <v>0</v>
      </c>
      <c r="Y129" s="536"/>
      <c r="Z129" s="536"/>
      <c r="AA129" s="536"/>
      <c r="AB129" s="536">
        <f t="shared" si="29"/>
        <v>0</v>
      </c>
      <c r="AC129" s="536"/>
      <c r="AD129" s="536"/>
      <c r="AE129" s="536"/>
      <c r="AF129" s="536">
        <f t="shared" si="30"/>
        <v>0</v>
      </c>
      <c r="AG129" s="536"/>
      <c r="AH129" s="536"/>
      <c r="AI129" s="536"/>
      <c r="AJ129" s="536">
        <f t="shared" si="31"/>
        <v>0</v>
      </c>
      <c r="AK129" s="536"/>
      <c r="AL129" s="536"/>
      <c r="AM129" s="536"/>
      <c r="AN129" s="542">
        <f t="shared" si="32"/>
        <v>0</v>
      </c>
      <c r="AO129" s="536"/>
      <c r="AP129" s="536"/>
      <c r="AQ129" s="536"/>
      <c r="AR129" s="542">
        <f t="shared" si="33"/>
        <v>0</v>
      </c>
      <c r="AS129" s="536"/>
      <c r="AT129" s="536"/>
      <c r="AU129" s="536"/>
      <c r="AV129" s="542">
        <f t="shared" si="34"/>
        <v>0</v>
      </c>
      <c r="AW129" s="536"/>
      <c r="AX129" s="536"/>
      <c r="AY129" s="536"/>
      <c r="AZ129" s="542">
        <f t="shared" si="35"/>
        <v>0</v>
      </c>
      <c r="BA129" s="536"/>
      <c r="BB129" s="536"/>
      <c r="BC129" s="536"/>
      <c r="BD129" s="542">
        <f t="shared" si="36"/>
        <v>0</v>
      </c>
      <c r="BE129" s="536"/>
      <c r="BF129" s="536"/>
      <c r="BG129" s="536"/>
      <c r="BH129" s="542">
        <f t="shared" si="37"/>
        <v>0</v>
      </c>
      <c r="BI129" s="536"/>
      <c r="BJ129" s="536"/>
      <c r="BK129" s="536"/>
      <c r="BL129" s="542">
        <f t="shared" si="38"/>
        <v>0</v>
      </c>
      <c r="BM129" s="536"/>
      <c r="BN129" s="536"/>
      <c r="BO129" s="536"/>
      <c r="BP129" s="542">
        <f t="shared" si="39"/>
        <v>0</v>
      </c>
      <c r="BQ129" s="536"/>
      <c r="BR129" s="536"/>
      <c r="BS129" s="536"/>
      <c r="BT129" s="542">
        <f t="shared" si="40"/>
        <v>0</v>
      </c>
      <c r="BU129" s="536"/>
      <c r="BV129" s="536"/>
      <c r="BW129" s="536"/>
      <c r="BX129" s="542">
        <f t="shared" si="41"/>
        <v>0</v>
      </c>
      <c r="BY129" s="536"/>
      <c r="BZ129" s="536"/>
      <c r="CA129" s="536"/>
      <c r="CB129" s="542">
        <v>0</v>
      </c>
      <c r="CC129" s="536"/>
      <c r="CD129" s="536"/>
      <c r="CE129" s="536"/>
      <c r="CF129" s="541">
        <f t="shared" si="42"/>
        <v>0</v>
      </c>
      <c r="CG129" s="536"/>
      <c r="CH129" s="536"/>
      <c r="CI129" s="536"/>
      <c r="CJ129" s="541">
        <f t="shared" si="43"/>
        <v>0</v>
      </c>
      <c r="CK129" s="536"/>
      <c r="CL129" s="536"/>
      <c r="CM129" s="536"/>
      <c r="CN129" s="541">
        <f t="shared" si="44"/>
        <v>0</v>
      </c>
      <c r="CO129" s="536"/>
      <c r="CP129" s="536"/>
      <c r="CQ129" s="536"/>
      <c r="CR129" s="541">
        <f t="shared" si="45"/>
        <v>0</v>
      </c>
      <c r="CS129" s="536"/>
      <c r="CT129" s="536"/>
      <c r="CU129" s="536"/>
      <c r="CV129" s="541">
        <f t="shared" si="46"/>
        <v>0</v>
      </c>
      <c r="CW129" s="536"/>
      <c r="CX129" s="536"/>
      <c r="CY129" s="536"/>
      <c r="CZ129" s="541">
        <f t="shared" si="47"/>
        <v>0</v>
      </c>
      <c r="DA129" s="536"/>
      <c r="DB129" s="536"/>
      <c r="DC129" s="536"/>
      <c r="DD129" s="541">
        <f t="shared" si="48"/>
        <v>0</v>
      </c>
      <c r="DE129" s="536"/>
      <c r="DF129" s="536"/>
      <c r="DG129" s="536"/>
      <c r="DH129" s="541">
        <f t="shared" si="49"/>
        <v>0</v>
      </c>
      <c r="DI129" s="536"/>
      <c r="DJ129" s="536"/>
      <c r="DK129" s="536"/>
      <c r="DL129" s="541">
        <f t="shared" si="50"/>
        <v>0</v>
      </c>
      <c r="DM129" s="536"/>
      <c r="DN129" s="536"/>
      <c r="DO129" s="536"/>
      <c r="DP129" s="541">
        <f>IF( SUM((DJ129*(20/100))+(DK129*(30/100))+(DL129*(50/100))) &gt;=9.3,9.5,
IF(AND( SUM((DJ129*(20/100))+(DK129*(30/100))+(DL129*(50/100))) &lt;=9.3, SUM((DJ129*(20/100))+(DK129*(30/100))+(DL129*(50/100))) &gt;=8.8),9,
IF(AND( SUM((DJ129*(20/100))+(DK129*(30/100))+(DL129*(50/100))) &lt;=8.8, SUM((DJ129*(20/100))+(DK129*(30/100))+(DL129*(50/100))) &gt;=8.3),8.5,
IF(AND( SUM((DJ129*(20/100))+(DK129*(30/100))+(DL129*(50/100))) &lt;=8.3, SUM((DJ129*(20/100))+(DK129*(30/100))+(DL129*(50/100))) &gt;=7.8),8,
IF(AND( SUM((DJ129*(20/100))+(DK129*(30/100))+(DL129*(50/100))) &lt;=7.8, SUM((DJ129*(20/100))+(DK129*(30/100))+(DL129*(50/100))) &gt;=7.3),7.5,
IF(AND( SUM((DJ129*(20/100))+(DK129*(30/100))+(DL129*(50/100))) &lt;=7.3, SUM((DJ129*(20/100))+(DK129*(30/100))+(DL129*(50/100))) &gt;=6.8),7,
IF(AND( SUM((DJ129*(20/100))+(DK129*(30/100))+(DL129*(50/100))) &lt;=6.8, SUM((DJ129*(20/100))+(DK129*(30/100))+(DL129*(50/100))) &gt;=6.3),6.5,
IF(AND( SUM((DJ129*(20/100))+(DK129*(30/100))+(DL129*(50/100))) &lt;=6.3, SUM((DJ129*(20/100))+(DK129*(30/100))+(DL129*(50/100))) &gt;=5.8),6,
IF(AND( SUM((DJ129*(20/100))+(DK129*(30/100))+(DL129*(50/100))) &lt;=5.8, SUM((DJ129*(20/100))+(DK129*(30/100))+(DL129*(50/100))) &gt;=5.3),5.5,
IF(AND( SUM((DJ129*(20/100))+(DK129*(30/100))+(DL129*(50/100))) &lt;=5.3, SUM((DJ129*(20/100))+(DK129*(30/100))+(DL129*(50/100))) &gt;=4.8),5,
IF(AND( SUM((DJ129*(20/100))+(DK129*(30/100))+(DL129*(50/100))) &lt;=4.8, SUM((DJ129*(20/100))+(DK129*(30/100))+(DL129*(50/100))) &gt;=4.3),4.5,
IF(AND( SUM((DJ129*(20/100))+(DK129*(30/100))+(DL129*(50/100))) &lt;=4.3, SUM((DJ129*(20/100))+(DK129*(30/100))+(DL129*(50/100))) &gt;=3.8),4,
IF(AND( SUM((DJ129*(20/100))+(DK129*(30/100))+(DL129*(50/100))) &lt;=3.8, SUM((DJ129*(20/100))+(DK129*(30/100))+(DL129*(50/100))) &gt;=3.5),3.5,0)))))))))))))</f>
        <v>0</v>
      </c>
      <c r="DQ129" s="541"/>
      <c r="DR129" s="541"/>
      <c r="DS129" s="541"/>
      <c r="DT129" s="541"/>
      <c r="DU129" s="541"/>
      <c r="DV129" s="541"/>
      <c r="DW129" s="541"/>
      <c r="DX129" s="541"/>
      <c r="DY129" s="541"/>
      <c r="DZ129" s="541"/>
    </row>
    <row r="130" spans="2:130" x14ac:dyDescent="0.25">
      <c r="B130" s="334">
        <v>23</v>
      </c>
      <c r="C130" s="541"/>
      <c r="D130" s="334"/>
      <c r="E130" s="334"/>
      <c r="F130" s="334"/>
      <c r="G130" s="334"/>
      <c r="H130" s="334"/>
      <c r="I130" s="334"/>
      <c r="J130" s="536"/>
      <c r="K130" s="536"/>
      <c r="L130" s="536"/>
      <c r="M130" s="536"/>
      <c r="N130" s="536"/>
      <c r="O130" s="536"/>
      <c r="P130" s="536">
        <f t="shared" si="26"/>
        <v>0</v>
      </c>
      <c r="Q130" s="536"/>
      <c r="R130" s="536"/>
      <c r="S130" s="536"/>
      <c r="T130" s="536">
        <f t="shared" si="27"/>
        <v>0</v>
      </c>
      <c r="U130" s="536"/>
      <c r="V130" s="536"/>
      <c r="W130" s="536"/>
      <c r="X130" s="536">
        <f t="shared" si="28"/>
        <v>0</v>
      </c>
      <c r="Y130" s="536"/>
      <c r="Z130" s="536"/>
      <c r="AA130" s="536"/>
      <c r="AB130" s="536">
        <f t="shared" si="29"/>
        <v>0</v>
      </c>
      <c r="AC130" s="536"/>
      <c r="AD130" s="536"/>
      <c r="AE130" s="536"/>
      <c r="AF130" s="536">
        <f t="shared" si="30"/>
        <v>0</v>
      </c>
      <c r="AG130" s="536"/>
      <c r="AH130" s="536"/>
      <c r="AI130" s="536"/>
      <c r="AJ130" s="536">
        <f t="shared" si="31"/>
        <v>0</v>
      </c>
      <c r="AK130" s="536"/>
      <c r="AL130" s="536"/>
      <c r="AM130" s="536"/>
      <c r="AN130" s="542">
        <f t="shared" si="32"/>
        <v>0</v>
      </c>
      <c r="AO130" s="536"/>
      <c r="AP130" s="536"/>
      <c r="AQ130" s="536"/>
      <c r="AR130" s="542">
        <f t="shared" si="33"/>
        <v>0</v>
      </c>
      <c r="AS130" s="536"/>
      <c r="AT130" s="536"/>
      <c r="AU130" s="536"/>
      <c r="AV130" s="542">
        <f t="shared" si="34"/>
        <v>0</v>
      </c>
      <c r="AW130" s="536"/>
      <c r="AX130" s="536"/>
      <c r="AY130" s="536"/>
      <c r="AZ130" s="542">
        <f t="shared" si="35"/>
        <v>0</v>
      </c>
      <c r="BA130" s="536"/>
      <c r="BB130" s="536"/>
      <c r="BC130" s="536"/>
      <c r="BD130" s="542">
        <f t="shared" si="36"/>
        <v>0</v>
      </c>
      <c r="BE130" s="536"/>
      <c r="BF130" s="536"/>
      <c r="BG130" s="536"/>
      <c r="BH130" s="542">
        <f t="shared" si="37"/>
        <v>0</v>
      </c>
      <c r="BI130" s="536"/>
      <c r="BJ130" s="536"/>
      <c r="BK130" s="536"/>
      <c r="BL130" s="542">
        <f t="shared" si="38"/>
        <v>0</v>
      </c>
      <c r="BM130" s="536"/>
      <c r="BN130" s="536"/>
      <c r="BO130" s="536"/>
      <c r="BP130" s="542">
        <f t="shared" si="39"/>
        <v>0</v>
      </c>
      <c r="BQ130" s="536"/>
      <c r="BR130" s="536"/>
      <c r="BS130" s="536"/>
      <c r="BT130" s="542">
        <f t="shared" si="40"/>
        <v>0</v>
      </c>
      <c r="BU130" s="536"/>
      <c r="BV130" s="536"/>
      <c r="BW130" s="536"/>
      <c r="BX130" s="542">
        <f t="shared" si="41"/>
        <v>0</v>
      </c>
      <c r="BY130" s="536"/>
      <c r="BZ130" s="536"/>
      <c r="CA130" s="536"/>
      <c r="CB130" s="542">
        <v>0</v>
      </c>
      <c r="CC130" s="536"/>
      <c r="CD130" s="536"/>
      <c r="CE130" s="536"/>
      <c r="CF130" s="541">
        <f t="shared" si="42"/>
        <v>0</v>
      </c>
      <c r="CG130" s="536"/>
      <c r="CH130" s="536"/>
      <c r="CI130" s="536"/>
      <c r="CJ130" s="541">
        <f t="shared" si="43"/>
        <v>0</v>
      </c>
      <c r="CK130" s="536"/>
      <c r="CL130" s="536"/>
      <c r="CM130" s="536"/>
      <c r="CN130" s="541">
        <f t="shared" si="44"/>
        <v>0</v>
      </c>
      <c r="CO130" s="536"/>
      <c r="CP130" s="536"/>
      <c r="CQ130" s="536"/>
      <c r="CR130" s="541">
        <f t="shared" si="45"/>
        <v>0</v>
      </c>
      <c r="CS130" s="536"/>
      <c r="CT130" s="536"/>
      <c r="CU130" s="536"/>
      <c r="CV130" s="541">
        <f t="shared" si="46"/>
        <v>0</v>
      </c>
      <c r="CW130" s="536"/>
      <c r="CX130" s="536"/>
      <c r="CY130" s="536"/>
      <c r="CZ130" s="541">
        <f t="shared" si="47"/>
        <v>0</v>
      </c>
      <c r="DA130" s="536"/>
      <c r="DB130" s="536"/>
      <c r="DC130" s="536"/>
      <c r="DD130" s="541">
        <f t="shared" si="48"/>
        <v>0</v>
      </c>
      <c r="DE130" s="536"/>
      <c r="DF130" s="536"/>
      <c r="DG130" s="536"/>
      <c r="DH130" s="541">
        <f t="shared" si="49"/>
        <v>0</v>
      </c>
      <c r="DI130" s="536"/>
      <c r="DJ130" s="536"/>
      <c r="DK130" s="536"/>
      <c r="DL130" s="541">
        <f t="shared" si="50"/>
        <v>0</v>
      </c>
      <c r="DM130" s="536"/>
      <c r="DN130" s="536"/>
      <c r="DO130" s="536"/>
      <c r="DP130" s="541">
        <f>IF( SUM((DJ130*(20/100))+(DK130*(30/100))+(DL130*(50/100))) &gt;=9.3,9.5,
IF(AND( SUM((DJ130*(20/100))+(DK130*(30/100))+(DL130*(50/100))) &lt;=9.3, SUM((DJ130*(20/100))+(DK130*(30/100))+(DL130*(50/100))) &gt;=8.8),9,
IF(AND( SUM((DJ130*(20/100))+(DK130*(30/100))+(DL130*(50/100))) &lt;=8.8, SUM((DJ130*(20/100))+(DK130*(30/100))+(DL130*(50/100))) &gt;=8.3),8.5,
IF(AND( SUM((DJ130*(20/100))+(DK130*(30/100))+(DL130*(50/100))) &lt;=8.3, SUM((DJ130*(20/100))+(DK130*(30/100))+(DL130*(50/100))) &gt;=7.8),8,
IF(AND( SUM((DJ130*(20/100))+(DK130*(30/100))+(DL130*(50/100))) &lt;=7.8, SUM((DJ130*(20/100))+(DK130*(30/100))+(DL130*(50/100))) &gt;=7.3),7.5,
IF(AND( SUM((DJ130*(20/100))+(DK130*(30/100))+(DL130*(50/100))) &lt;=7.3, SUM((DJ130*(20/100))+(DK130*(30/100))+(DL130*(50/100))) &gt;=6.8),7,
IF(AND( SUM((DJ130*(20/100))+(DK130*(30/100))+(DL130*(50/100))) &lt;=6.8, SUM((DJ130*(20/100))+(DK130*(30/100))+(DL130*(50/100))) &gt;=6.3),6.5,
IF(AND( SUM((DJ130*(20/100))+(DK130*(30/100))+(DL130*(50/100))) &lt;=6.3, SUM((DJ130*(20/100))+(DK130*(30/100))+(DL130*(50/100))) &gt;=5.8),6,
IF(AND( SUM((DJ130*(20/100))+(DK130*(30/100))+(DL130*(50/100))) &lt;=5.8, SUM((DJ130*(20/100))+(DK130*(30/100))+(DL130*(50/100))) &gt;=5.3),5.5,
IF(AND( SUM((DJ130*(20/100))+(DK130*(30/100))+(DL130*(50/100))) &lt;=5.3, SUM((DJ130*(20/100))+(DK130*(30/100))+(DL130*(50/100))) &gt;=4.8),5,
IF(AND( SUM((DJ130*(20/100))+(DK130*(30/100))+(DL130*(50/100))) &lt;=4.8, SUM((DJ130*(20/100))+(DK130*(30/100))+(DL130*(50/100))) &gt;=4.3),4.5,
IF(AND( SUM((DJ130*(20/100))+(DK130*(30/100))+(DL130*(50/100))) &lt;=4.3, SUM((DJ130*(20/100))+(DK130*(30/100))+(DL130*(50/100))) &gt;=3.8),4,
IF(AND( SUM((DJ130*(20/100))+(DK130*(30/100))+(DL130*(50/100))) &lt;=3.8, SUM((DJ130*(20/100))+(DK130*(30/100))+(DL130*(50/100))) &gt;=3.5),3.5,0)))))))))))))</f>
        <v>0</v>
      </c>
      <c r="DQ130" s="541"/>
      <c r="DR130" s="541"/>
      <c r="DS130" s="541"/>
      <c r="DT130" s="541"/>
      <c r="DU130" s="541"/>
      <c r="DV130" s="541"/>
      <c r="DW130" s="541"/>
      <c r="DX130" s="541"/>
      <c r="DY130" s="541"/>
      <c r="DZ130" s="541"/>
    </row>
    <row r="131" spans="2:130" x14ac:dyDescent="0.25">
      <c r="B131" s="334">
        <v>24</v>
      </c>
      <c r="C131" s="541"/>
      <c r="D131" s="334"/>
      <c r="E131" s="334"/>
      <c r="F131" s="334"/>
      <c r="G131" s="334"/>
      <c r="H131" s="334"/>
      <c r="I131" s="334"/>
      <c r="J131" s="536"/>
      <c r="K131" s="536"/>
      <c r="L131" s="536"/>
      <c r="M131" s="536"/>
      <c r="N131" s="536"/>
      <c r="O131" s="536"/>
      <c r="P131" s="536">
        <f t="shared" si="26"/>
        <v>0</v>
      </c>
      <c r="Q131" s="536"/>
      <c r="R131" s="536"/>
      <c r="S131" s="536"/>
      <c r="T131" s="536">
        <f t="shared" si="27"/>
        <v>0</v>
      </c>
      <c r="U131" s="536"/>
      <c r="V131" s="536"/>
      <c r="W131" s="536"/>
      <c r="X131" s="536">
        <f t="shared" si="28"/>
        <v>0</v>
      </c>
      <c r="Y131" s="536"/>
      <c r="Z131" s="536"/>
      <c r="AA131" s="536"/>
      <c r="AB131" s="536">
        <f t="shared" si="29"/>
        <v>0</v>
      </c>
      <c r="AC131" s="536"/>
      <c r="AD131" s="536"/>
      <c r="AE131" s="536"/>
      <c r="AF131" s="536">
        <f t="shared" si="30"/>
        <v>0</v>
      </c>
      <c r="AG131" s="536"/>
      <c r="AH131" s="536"/>
      <c r="AI131" s="536"/>
      <c r="AJ131" s="536">
        <f t="shared" si="31"/>
        <v>0</v>
      </c>
      <c r="AK131" s="536"/>
      <c r="AL131" s="536"/>
      <c r="AM131" s="536"/>
      <c r="AN131" s="542">
        <f t="shared" si="32"/>
        <v>0</v>
      </c>
      <c r="AO131" s="536"/>
      <c r="AP131" s="536"/>
      <c r="AQ131" s="536"/>
      <c r="AR131" s="542">
        <f t="shared" si="33"/>
        <v>0</v>
      </c>
      <c r="AS131" s="536"/>
      <c r="AT131" s="536"/>
      <c r="AU131" s="536"/>
      <c r="AV131" s="542">
        <f t="shared" si="34"/>
        <v>0</v>
      </c>
      <c r="AW131" s="536"/>
      <c r="AX131" s="536"/>
      <c r="AY131" s="536"/>
      <c r="AZ131" s="542">
        <f t="shared" si="35"/>
        <v>0</v>
      </c>
      <c r="BA131" s="536"/>
      <c r="BB131" s="536"/>
      <c r="BC131" s="536"/>
      <c r="BD131" s="542">
        <f t="shared" si="36"/>
        <v>0</v>
      </c>
      <c r="BE131" s="536"/>
      <c r="BF131" s="536"/>
      <c r="BG131" s="536"/>
      <c r="BH131" s="542">
        <f t="shared" si="37"/>
        <v>0</v>
      </c>
      <c r="BI131" s="536"/>
      <c r="BJ131" s="536"/>
      <c r="BK131" s="536"/>
      <c r="BL131" s="542">
        <f t="shared" si="38"/>
        <v>0</v>
      </c>
      <c r="BM131" s="536"/>
      <c r="BN131" s="536"/>
      <c r="BO131" s="536"/>
      <c r="BP131" s="542">
        <f t="shared" si="39"/>
        <v>0</v>
      </c>
      <c r="BQ131" s="536"/>
      <c r="BR131" s="536"/>
      <c r="BS131" s="536"/>
      <c r="BT131" s="542">
        <f t="shared" si="40"/>
        <v>0</v>
      </c>
      <c r="BU131" s="536"/>
      <c r="BV131" s="536"/>
      <c r="BW131" s="536"/>
      <c r="BX131" s="542">
        <f t="shared" si="41"/>
        <v>0</v>
      </c>
      <c r="BY131" s="536"/>
      <c r="BZ131" s="536"/>
      <c r="CA131" s="536"/>
      <c r="CB131" s="542">
        <v>0</v>
      </c>
      <c r="CC131" s="536"/>
      <c r="CD131" s="536"/>
      <c r="CE131" s="536"/>
      <c r="CF131" s="541">
        <f t="shared" si="42"/>
        <v>0</v>
      </c>
      <c r="CG131" s="536"/>
      <c r="CH131" s="536"/>
      <c r="CI131" s="536"/>
      <c r="CJ131" s="541">
        <f t="shared" si="43"/>
        <v>0</v>
      </c>
      <c r="CK131" s="536"/>
      <c r="CL131" s="536"/>
      <c r="CM131" s="536"/>
      <c r="CN131" s="541">
        <f t="shared" si="44"/>
        <v>0</v>
      </c>
      <c r="CO131" s="536"/>
      <c r="CP131" s="536"/>
      <c r="CQ131" s="536"/>
      <c r="CR131" s="541">
        <f t="shared" si="45"/>
        <v>0</v>
      </c>
      <c r="CS131" s="536"/>
      <c r="CT131" s="536"/>
      <c r="CU131" s="536"/>
      <c r="CV131" s="541">
        <f t="shared" si="46"/>
        <v>0</v>
      </c>
      <c r="CW131" s="536"/>
      <c r="CX131" s="536"/>
      <c r="CY131" s="536"/>
      <c r="CZ131" s="541">
        <f t="shared" si="47"/>
        <v>0</v>
      </c>
      <c r="DA131" s="536"/>
      <c r="DB131" s="536"/>
      <c r="DC131" s="536"/>
      <c r="DD131" s="541">
        <f t="shared" si="48"/>
        <v>0</v>
      </c>
      <c r="DE131" s="536"/>
      <c r="DF131" s="536"/>
      <c r="DG131" s="536"/>
      <c r="DH131" s="541">
        <f t="shared" si="49"/>
        <v>0</v>
      </c>
      <c r="DI131" s="536"/>
      <c r="DJ131" s="536"/>
      <c r="DK131" s="536"/>
      <c r="DL131" s="541">
        <f t="shared" si="50"/>
        <v>0</v>
      </c>
      <c r="DM131" s="536"/>
      <c r="DN131" s="536"/>
      <c r="DO131" s="536"/>
      <c r="DP131" s="541">
        <f>IF( SUM((DJ131*(20/100))+(DK131*(30/100))+(DL131*(50/100))) &gt;=9.3,9.5,
IF(AND( SUM((DJ131*(20/100))+(DK131*(30/100))+(DL131*(50/100))) &lt;=9.3, SUM((DJ131*(20/100))+(DK131*(30/100))+(DL131*(50/100))) &gt;=8.8),9,
IF(AND( SUM((DJ131*(20/100))+(DK131*(30/100))+(DL131*(50/100))) &lt;=8.8, SUM((DJ131*(20/100))+(DK131*(30/100))+(DL131*(50/100))) &gt;=8.3),8.5,
IF(AND( SUM((DJ131*(20/100))+(DK131*(30/100))+(DL131*(50/100))) &lt;=8.3, SUM((DJ131*(20/100))+(DK131*(30/100))+(DL131*(50/100))) &gt;=7.8),8,
IF(AND( SUM((DJ131*(20/100))+(DK131*(30/100))+(DL131*(50/100))) &lt;=7.8, SUM((DJ131*(20/100))+(DK131*(30/100))+(DL131*(50/100))) &gt;=7.3),7.5,
IF(AND( SUM((DJ131*(20/100))+(DK131*(30/100))+(DL131*(50/100))) &lt;=7.3, SUM((DJ131*(20/100))+(DK131*(30/100))+(DL131*(50/100))) &gt;=6.8),7,
IF(AND( SUM((DJ131*(20/100))+(DK131*(30/100))+(DL131*(50/100))) &lt;=6.8, SUM((DJ131*(20/100))+(DK131*(30/100))+(DL131*(50/100))) &gt;=6.3),6.5,
IF(AND( SUM((DJ131*(20/100))+(DK131*(30/100))+(DL131*(50/100))) &lt;=6.3, SUM((DJ131*(20/100))+(DK131*(30/100))+(DL131*(50/100))) &gt;=5.8),6,
IF(AND( SUM((DJ131*(20/100))+(DK131*(30/100))+(DL131*(50/100))) &lt;=5.8, SUM((DJ131*(20/100))+(DK131*(30/100))+(DL131*(50/100))) &gt;=5.3),5.5,
IF(AND( SUM((DJ131*(20/100))+(DK131*(30/100))+(DL131*(50/100))) &lt;=5.3, SUM((DJ131*(20/100))+(DK131*(30/100))+(DL131*(50/100))) &gt;=4.8),5,
IF(AND( SUM((DJ131*(20/100))+(DK131*(30/100))+(DL131*(50/100))) &lt;=4.8, SUM((DJ131*(20/100))+(DK131*(30/100))+(DL131*(50/100))) &gt;=4.3),4.5,
IF(AND( SUM((DJ131*(20/100))+(DK131*(30/100))+(DL131*(50/100))) &lt;=4.3, SUM((DJ131*(20/100))+(DK131*(30/100))+(DL131*(50/100))) &gt;=3.8),4,
IF(AND( SUM((DJ131*(20/100))+(DK131*(30/100))+(DL131*(50/100))) &lt;=3.8, SUM((DJ131*(20/100))+(DK131*(30/100))+(DL131*(50/100))) &gt;=3.5),3.5,0)))))))))))))</f>
        <v>0</v>
      </c>
      <c r="DQ131" s="541"/>
      <c r="DR131" s="541"/>
      <c r="DS131" s="541"/>
      <c r="DT131" s="541"/>
      <c r="DU131" s="541"/>
      <c r="DV131" s="541"/>
      <c r="DW131" s="541"/>
      <c r="DX131" s="541"/>
      <c r="DY131" s="541"/>
      <c r="DZ131" s="541"/>
    </row>
    <row r="132" spans="2:130" x14ac:dyDescent="0.25">
      <c r="B132" s="334">
        <v>25</v>
      </c>
      <c r="C132" s="541"/>
      <c r="D132" s="334"/>
      <c r="E132" s="334"/>
      <c r="F132" s="334"/>
      <c r="G132" s="334"/>
      <c r="H132" s="334"/>
      <c r="I132" s="334"/>
      <c r="J132" s="536"/>
      <c r="K132" s="536"/>
      <c r="L132" s="536"/>
      <c r="M132" s="536"/>
      <c r="N132" s="536"/>
      <c r="O132" s="536"/>
      <c r="P132" s="536">
        <f t="shared" si="26"/>
        <v>0</v>
      </c>
      <c r="Q132" s="536"/>
      <c r="R132" s="536"/>
      <c r="S132" s="536"/>
      <c r="T132" s="536">
        <f t="shared" si="27"/>
        <v>0</v>
      </c>
      <c r="U132" s="536"/>
      <c r="V132" s="536"/>
      <c r="W132" s="536"/>
      <c r="X132" s="536">
        <f t="shared" si="28"/>
        <v>0</v>
      </c>
      <c r="Y132" s="536"/>
      <c r="Z132" s="536"/>
      <c r="AA132" s="536"/>
      <c r="AB132" s="536">
        <f t="shared" si="29"/>
        <v>0</v>
      </c>
      <c r="AC132" s="536"/>
      <c r="AD132" s="536"/>
      <c r="AE132" s="536"/>
      <c r="AF132" s="536">
        <f t="shared" si="30"/>
        <v>0</v>
      </c>
      <c r="AG132" s="536"/>
      <c r="AH132" s="536"/>
      <c r="AI132" s="536"/>
      <c r="AJ132" s="536">
        <f t="shared" si="31"/>
        <v>0</v>
      </c>
      <c r="AK132" s="536"/>
      <c r="AL132" s="536"/>
      <c r="AM132" s="536"/>
      <c r="AN132" s="542">
        <f t="shared" si="32"/>
        <v>0</v>
      </c>
      <c r="AO132" s="536"/>
      <c r="AP132" s="536"/>
      <c r="AQ132" s="536"/>
      <c r="AR132" s="542">
        <f t="shared" si="33"/>
        <v>0</v>
      </c>
      <c r="AS132" s="536"/>
      <c r="AT132" s="536"/>
      <c r="AU132" s="536"/>
      <c r="AV132" s="542">
        <f t="shared" si="34"/>
        <v>0</v>
      </c>
      <c r="AW132" s="536"/>
      <c r="AX132" s="536"/>
      <c r="AY132" s="536"/>
      <c r="AZ132" s="542">
        <f t="shared" si="35"/>
        <v>0</v>
      </c>
      <c r="BA132" s="536"/>
      <c r="BB132" s="536"/>
      <c r="BC132" s="536"/>
      <c r="BD132" s="542">
        <f t="shared" si="36"/>
        <v>0</v>
      </c>
      <c r="BE132" s="536"/>
      <c r="BF132" s="536"/>
      <c r="BG132" s="536"/>
      <c r="BH132" s="542">
        <f t="shared" si="37"/>
        <v>0</v>
      </c>
      <c r="BI132" s="536"/>
      <c r="BJ132" s="536"/>
      <c r="BK132" s="536"/>
      <c r="BL132" s="542">
        <f t="shared" si="38"/>
        <v>0</v>
      </c>
      <c r="BM132" s="536"/>
      <c r="BN132" s="536"/>
      <c r="BO132" s="536"/>
      <c r="BP132" s="542">
        <f t="shared" si="39"/>
        <v>0</v>
      </c>
      <c r="BQ132" s="536"/>
      <c r="BR132" s="536"/>
      <c r="BS132" s="536"/>
      <c r="BT132" s="542">
        <f t="shared" si="40"/>
        <v>0</v>
      </c>
      <c r="BU132" s="536"/>
      <c r="BV132" s="536"/>
      <c r="BW132" s="536"/>
      <c r="BX132" s="542">
        <f t="shared" si="41"/>
        <v>0</v>
      </c>
      <c r="BY132" s="536"/>
      <c r="BZ132" s="536"/>
      <c r="CA132" s="536"/>
      <c r="CB132" s="542">
        <v>0</v>
      </c>
      <c r="CC132" s="536"/>
      <c r="CD132" s="536"/>
      <c r="CE132" s="536"/>
      <c r="CF132" s="541">
        <f t="shared" si="42"/>
        <v>0</v>
      </c>
      <c r="CG132" s="536"/>
      <c r="CH132" s="536"/>
      <c r="CI132" s="536"/>
      <c r="CJ132" s="541">
        <f t="shared" si="43"/>
        <v>0</v>
      </c>
      <c r="CK132" s="536"/>
      <c r="CL132" s="536"/>
      <c r="CM132" s="536"/>
      <c r="CN132" s="541">
        <f t="shared" si="44"/>
        <v>0</v>
      </c>
      <c r="CO132" s="536"/>
      <c r="CP132" s="536"/>
      <c r="CQ132" s="536"/>
      <c r="CR132" s="541">
        <f t="shared" si="45"/>
        <v>0</v>
      </c>
      <c r="CS132" s="536"/>
      <c r="CT132" s="536"/>
      <c r="CU132" s="536"/>
      <c r="CV132" s="541">
        <f t="shared" si="46"/>
        <v>0</v>
      </c>
      <c r="CW132" s="536"/>
      <c r="CX132" s="536"/>
      <c r="CY132" s="536"/>
      <c r="CZ132" s="541">
        <f t="shared" si="47"/>
        <v>0</v>
      </c>
      <c r="DA132" s="536"/>
      <c r="DB132" s="536"/>
      <c r="DC132" s="536"/>
      <c r="DD132" s="541">
        <f t="shared" si="48"/>
        <v>0</v>
      </c>
      <c r="DE132" s="536"/>
      <c r="DF132" s="536"/>
      <c r="DG132" s="536"/>
      <c r="DH132" s="541">
        <f t="shared" si="49"/>
        <v>0</v>
      </c>
      <c r="DI132" s="536"/>
      <c r="DJ132" s="536"/>
      <c r="DK132" s="536"/>
      <c r="DL132" s="541">
        <f t="shared" si="50"/>
        <v>0</v>
      </c>
      <c r="DM132" s="536"/>
      <c r="DN132" s="536"/>
      <c r="DO132" s="536"/>
      <c r="DP132" s="541">
        <f>IF( SUM((DJ132*(20/100))+(DK132*(30/100))+(DL132*(50/100))) &gt;=9.3,9.5,
IF(AND( SUM((DJ132*(20/100))+(DK132*(30/100))+(DL132*(50/100))) &lt;=9.3, SUM((DJ132*(20/100))+(DK132*(30/100))+(DL132*(50/100))) &gt;=8.8),9,
IF(AND( SUM((DJ132*(20/100))+(DK132*(30/100))+(DL132*(50/100))) &lt;=8.8, SUM((DJ132*(20/100))+(DK132*(30/100))+(DL132*(50/100))) &gt;=8.3),8.5,
IF(AND( SUM((DJ132*(20/100))+(DK132*(30/100))+(DL132*(50/100))) &lt;=8.3, SUM((DJ132*(20/100))+(DK132*(30/100))+(DL132*(50/100))) &gt;=7.8),8,
IF(AND( SUM((DJ132*(20/100))+(DK132*(30/100))+(DL132*(50/100))) &lt;=7.8, SUM((DJ132*(20/100))+(DK132*(30/100))+(DL132*(50/100))) &gt;=7.3),7.5,
IF(AND( SUM((DJ132*(20/100))+(DK132*(30/100))+(DL132*(50/100))) &lt;=7.3, SUM((DJ132*(20/100))+(DK132*(30/100))+(DL132*(50/100))) &gt;=6.8),7,
IF(AND( SUM((DJ132*(20/100))+(DK132*(30/100))+(DL132*(50/100))) &lt;=6.8, SUM((DJ132*(20/100))+(DK132*(30/100))+(DL132*(50/100))) &gt;=6.3),6.5,
IF(AND( SUM((DJ132*(20/100))+(DK132*(30/100))+(DL132*(50/100))) &lt;=6.3, SUM((DJ132*(20/100))+(DK132*(30/100))+(DL132*(50/100))) &gt;=5.8),6,
IF(AND( SUM((DJ132*(20/100))+(DK132*(30/100))+(DL132*(50/100))) &lt;=5.8, SUM((DJ132*(20/100))+(DK132*(30/100))+(DL132*(50/100))) &gt;=5.3),5.5,
IF(AND( SUM((DJ132*(20/100))+(DK132*(30/100))+(DL132*(50/100))) &lt;=5.3, SUM((DJ132*(20/100))+(DK132*(30/100))+(DL132*(50/100))) &gt;=4.8),5,
IF(AND( SUM((DJ132*(20/100))+(DK132*(30/100))+(DL132*(50/100))) &lt;=4.8, SUM((DJ132*(20/100))+(DK132*(30/100))+(DL132*(50/100))) &gt;=4.3),4.5,
IF(AND( SUM((DJ132*(20/100))+(DK132*(30/100))+(DL132*(50/100))) &lt;=4.3, SUM((DJ132*(20/100))+(DK132*(30/100))+(DL132*(50/100))) &gt;=3.8),4,
IF(AND( SUM((DJ132*(20/100))+(DK132*(30/100))+(DL132*(50/100))) &lt;=3.8, SUM((DJ132*(20/100))+(DK132*(30/100))+(DL132*(50/100))) &gt;=3.5),3.5,0)))))))))))))</f>
        <v>0</v>
      </c>
      <c r="DQ132" s="541"/>
      <c r="DR132" s="541"/>
      <c r="DS132" s="541"/>
      <c r="DT132" s="541"/>
      <c r="DU132" s="541"/>
      <c r="DV132" s="541"/>
      <c r="DW132" s="541"/>
      <c r="DX132" s="541"/>
      <c r="DY132" s="541"/>
      <c r="DZ132" s="541"/>
    </row>
    <row r="133" spans="2:130" x14ac:dyDescent="0.25">
      <c r="B133" s="334">
        <v>26</v>
      </c>
      <c r="C133" s="541"/>
      <c r="D133" s="334"/>
      <c r="E133" s="334"/>
      <c r="F133" s="334"/>
      <c r="G133" s="334"/>
      <c r="H133" s="334"/>
      <c r="I133" s="334"/>
      <c r="J133" s="536"/>
      <c r="K133" s="536"/>
      <c r="L133" s="536"/>
      <c r="M133" s="536"/>
      <c r="N133" s="536"/>
      <c r="O133" s="536"/>
      <c r="P133" s="536">
        <f t="shared" si="26"/>
        <v>0</v>
      </c>
      <c r="Q133" s="536"/>
      <c r="R133" s="536"/>
      <c r="S133" s="536"/>
      <c r="T133" s="536">
        <f t="shared" si="27"/>
        <v>0</v>
      </c>
      <c r="U133" s="536"/>
      <c r="V133" s="536"/>
      <c r="W133" s="536"/>
      <c r="X133" s="536">
        <f t="shared" si="28"/>
        <v>0</v>
      </c>
      <c r="Y133" s="536"/>
      <c r="Z133" s="536"/>
      <c r="AA133" s="536"/>
      <c r="AB133" s="536">
        <f t="shared" si="29"/>
        <v>0</v>
      </c>
      <c r="AC133" s="536"/>
      <c r="AD133" s="536"/>
      <c r="AE133" s="536"/>
      <c r="AF133" s="536">
        <f t="shared" si="30"/>
        <v>0</v>
      </c>
      <c r="AG133" s="536"/>
      <c r="AH133" s="536"/>
      <c r="AI133" s="536"/>
      <c r="AJ133" s="536">
        <f t="shared" si="31"/>
        <v>0</v>
      </c>
      <c r="AK133" s="536"/>
      <c r="AL133" s="536"/>
      <c r="AM133" s="536"/>
      <c r="AN133" s="542">
        <f t="shared" si="32"/>
        <v>0</v>
      </c>
      <c r="AO133" s="536"/>
      <c r="AP133" s="536"/>
      <c r="AQ133" s="536"/>
      <c r="AR133" s="542">
        <f t="shared" si="33"/>
        <v>0</v>
      </c>
      <c r="AS133" s="536"/>
      <c r="AT133" s="536"/>
      <c r="AU133" s="536"/>
      <c r="AV133" s="542">
        <f t="shared" si="34"/>
        <v>0</v>
      </c>
      <c r="AW133" s="536"/>
      <c r="AX133" s="536"/>
      <c r="AY133" s="536"/>
      <c r="AZ133" s="542">
        <f t="shared" si="35"/>
        <v>0</v>
      </c>
      <c r="BA133" s="536"/>
      <c r="BB133" s="536"/>
      <c r="BC133" s="536"/>
      <c r="BD133" s="542">
        <f t="shared" si="36"/>
        <v>0</v>
      </c>
      <c r="BE133" s="536"/>
      <c r="BF133" s="536"/>
      <c r="BG133" s="536"/>
      <c r="BH133" s="542">
        <f t="shared" si="37"/>
        <v>0</v>
      </c>
      <c r="BI133" s="536"/>
      <c r="BJ133" s="536"/>
      <c r="BK133" s="536"/>
      <c r="BL133" s="542">
        <f t="shared" si="38"/>
        <v>0</v>
      </c>
      <c r="BM133" s="536"/>
      <c r="BN133" s="536"/>
      <c r="BO133" s="536"/>
      <c r="BP133" s="542">
        <f t="shared" si="39"/>
        <v>0</v>
      </c>
      <c r="BQ133" s="536"/>
      <c r="BR133" s="536"/>
      <c r="BS133" s="536"/>
      <c r="BT133" s="542">
        <f t="shared" si="40"/>
        <v>0</v>
      </c>
      <c r="BU133" s="536"/>
      <c r="BV133" s="536"/>
      <c r="BW133" s="536"/>
      <c r="BX133" s="542">
        <f t="shared" si="41"/>
        <v>0</v>
      </c>
      <c r="BY133" s="536"/>
      <c r="BZ133" s="536"/>
      <c r="CA133" s="536"/>
      <c r="CB133" s="542">
        <v>0</v>
      </c>
      <c r="CC133" s="536"/>
      <c r="CD133" s="536"/>
      <c r="CE133" s="536"/>
      <c r="CF133" s="541">
        <f t="shared" si="42"/>
        <v>0</v>
      </c>
      <c r="CG133" s="536"/>
      <c r="CH133" s="536"/>
      <c r="CI133" s="536"/>
      <c r="CJ133" s="541">
        <f t="shared" si="43"/>
        <v>0</v>
      </c>
      <c r="CK133" s="536"/>
      <c r="CL133" s="536"/>
      <c r="CM133" s="536"/>
      <c r="CN133" s="541">
        <f t="shared" si="44"/>
        <v>0</v>
      </c>
      <c r="CO133" s="536"/>
      <c r="CP133" s="536"/>
      <c r="CQ133" s="536"/>
      <c r="CR133" s="541">
        <f t="shared" si="45"/>
        <v>0</v>
      </c>
      <c r="CS133" s="536"/>
      <c r="CT133" s="536"/>
      <c r="CU133" s="536"/>
      <c r="CV133" s="541">
        <f t="shared" si="46"/>
        <v>0</v>
      </c>
      <c r="CW133" s="536"/>
      <c r="CX133" s="536"/>
      <c r="CY133" s="536"/>
      <c r="CZ133" s="541">
        <f t="shared" si="47"/>
        <v>0</v>
      </c>
      <c r="DA133" s="536"/>
      <c r="DB133" s="536"/>
      <c r="DC133" s="536"/>
      <c r="DD133" s="541">
        <f t="shared" si="48"/>
        <v>0</v>
      </c>
      <c r="DE133" s="536"/>
      <c r="DF133" s="536"/>
      <c r="DG133" s="536"/>
      <c r="DH133" s="541">
        <f t="shared" si="49"/>
        <v>0</v>
      </c>
      <c r="DI133" s="536"/>
      <c r="DJ133" s="536"/>
      <c r="DK133" s="536"/>
      <c r="DL133" s="541">
        <f t="shared" si="50"/>
        <v>0</v>
      </c>
      <c r="DM133" s="536"/>
      <c r="DN133" s="536"/>
      <c r="DO133" s="536"/>
      <c r="DP133" s="541">
        <f>IF( SUM((DJ133*(20/100))+(DK133*(30/100))+(DL133*(50/100))) &gt;=9.3,9.5,
IF(AND( SUM((DJ133*(20/100))+(DK133*(30/100))+(DL133*(50/100))) &lt;=9.3, SUM((DJ133*(20/100))+(DK133*(30/100))+(DL133*(50/100))) &gt;=8.8),9,
IF(AND( SUM((DJ133*(20/100))+(DK133*(30/100))+(DL133*(50/100))) &lt;=8.8, SUM((DJ133*(20/100))+(DK133*(30/100))+(DL133*(50/100))) &gt;=8.3),8.5,
IF(AND( SUM((DJ133*(20/100))+(DK133*(30/100))+(DL133*(50/100))) &lt;=8.3, SUM((DJ133*(20/100))+(DK133*(30/100))+(DL133*(50/100))) &gt;=7.8),8,
IF(AND( SUM((DJ133*(20/100))+(DK133*(30/100))+(DL133*(50/100))) &lt;=7.8, SUM((DJ133*(20/100))+(DK133*(30/100))+(DL133*(50/100))) &gt;=7.3),7.5,
IF(AND( SUM((DJ133*(20/100))+(DK133*(30/100))+(DL133*(50/100))) &lt;=7.3, SUM((DJ133*(20/100))+(DK133*(30/100))+(DL133*(50/100))) &gt;=6.8),7,
IF(AND( SUM((DJ133*(20/100))+(DK133*(30/100))+(DL133*(50/100))) &lt;=6.8, SUM((DJ133*(20/100))+(DK133*(30/100))+(DL133*(50/100))) &gt;=6.3),6.5,
IF(AND( SUM((DJ133*(20/100))+(DK133*(30/100))+(DL133*(50/100))) &lt;=6.3, SUM((DJ133*(20/100))+(DK133*(30/100))+(DL133*(50/100))) &gt;=5.8),6,
IF(AND( SUM((DJ133*(20/100))+(DK133*(30/100))+(DL133*(50/100))) &lt;=5.8, SUM((DJ133*(20/100))+(DK133*(30/100))+(DL133*(50/100))) &gt;=5.3),5.5,
IF(AND( SUM((DJ133*(20/100))+(DK133*(30/100))+(DL133*(50/100))) &lt;=5.3, SUM((DJ133*(20/100))+(DK133*(30/100))+(DL133*(50/100))) &gt;=4.8),5,
IF(AND( SUM((DJ133*(20/100))+(DK133*(30/100))+(DL133*(50/100))) &lt;=4.8, SUM((DJ133*(20/100))+(DK133*(30/100))+(DL133*(50/100))) &gt;=4.3),4.5,
IF(AND( SUM((DJ133*(20/100))+(DK133*(30/100))+(DL133*(50/100))) &lt;=4.3, SUM((DJ133*(20/100))+(DK133*(30/100))+(DL133*(50/100))) &gt;=3.8),4,
IF(AND( SUM((DJ133*(20/100))+(DK133*(30/100))+(DL133*(50/100))) &lt;=3.8, SUM((DJ133*(20/100))+(DK133*(30/100))+(DL133*(50/100))) &gt;=3.5),3.5,0)))))))))))))</f>
        <v>0</v>
      </c>
      <c r="DQ133" s="541"/>
      <c r="DR133" s="541"/>
      <c r="DS133" s="541"/>
      <c r="DT133" s="541"/>
      <c r="DU133" s="541"/>
      <c r="DV133" s="541"/>
      <c r="DW133" s="541"/>
      <c r="DX133" s="541"/>
      <c r="DY133" s="541"/>
      <c r="DZ133" s="541"/>
    </row>
    <row r="134" spans="2:130" x14ac:dyDescent="0.25">
      <c r="B134" s="334">
        <v>27</v>
      </c>
      <c r="C134" s="541"/>
      <c r="D134" s="334"/>
      <c r="E134" s="334"/>
      <c r="F134" s="334"/>
      <c r="G134" s="334"/>
      <c r="H134" s="334"/>
      <c r="I134" s="334"/>
      <c r="J134" s="536"/>
      <c r="K134" s="536"/>
      <c r="L134" s="536"/>
      <c r="M134" s="536"/>
      <c r="N134" s="536"/>
      <c r="O134" s="536"/>
      <c r="P134" s="536">
        <f t="shared" si="26"/>
        <v>0</v>
      </c>
      <c r="Q134" s="536"/>
      <c r="R134" s="536"/>
      <c r="S134" s="536"/>
      <c r="T134" s="536">
        <f t="shared" si="27"/>
        <v>0</v>
      </c>
      <c r="U134" s="536"/>
      <c r="V134" s="536"/>
      <c r="W134" s="536"/>
      <c r="X134" s="536">
        <f t="shared" si="28"/>
        <v>0</v>
      </c>
      <c r="Y134" s="536"/>
      <c r="Z134" s="536"/>
      <c r="AA134" s="536"/>
      <c r="AB134" s="536">
        <f t="shared" si="29"/>
        <v>0</v>
      </c>
      <c r="AC134" s="536"/>
      <c r="AD134" s="536"/>
      <c r="AE134" s="536"/>
      <c r="AF134" s="536">
        <f t="shared" si="30"/>
        <v>0</v>
      </c>
      <c r="AG134" s="536"/>
      <c r="AH134" s="536"/>
      <c r="AI134" s="536"/>
      <c r="AJ134" s="536">
        <f t="shared" si="31"/>
        <v>0</v>
      </c>
      <c r="AK134" s="536"/>
      <c r="AL134" s="536"/>
      <c r="AM134" s="536"/>
      <c r="AN134" s="542">
        <f t="shared" si="32"/>
        <v>0</v>
      </c>
      <c r="AO134" s="536"/>
      <c r="AP134" s="536"/>
      <c r="AQ134" s="536"/>
      <c r="AR134" s="542">
        <f t="shared" si="33"/>
        <v>0</v>
      </c>
      <c r="AS134" s="536"/>
      <c r="AT134" s="536"/>
      <c r="AU134" s="536"/>
      <c r="AV134" s="542">
        <f t="shared" si="34"/>
        <v>0</v>
      </c>
      <c r="AW134" s="536"/>
      <c r="AX134" s="536"/>
      <c r="AY134" s="536"/>
      <c r="AZ134" s="542">
        <f t="shared" si="35"/>
        <v>0</v>
      </c>
      <c r="BA134" s="536"/>
      <c r="BB134" s="536"/>
      <c r="BC134" s="536"/>
      <c r="BD134" s="542">
        <f t="shared" si="36"/>
        <v>0</v>
      </c>
      <c r="BE134" s="536"/>
      <c r="BF134" s="536"/>
      <c r="BG134" s="536"/>
      <c r="BH134" s="542">
        <f t="shared" si="37"/>
        <v>0</v>
      </c>
      <c r="BI134" s="536"/>
      <c r="BJ134" s="536"/>
      <c r="BK134" s="536"/>
      <c r="BL134" s="542">
        <f t="shared" si="38"/>
        <v>0</v>
      </c>
      <c r="BM134" s="536"/>
      <c r="BN134" s="536"/>
      <c r="BO134" s="536"/>
      <c r="BP134" s="542">
        <f t="shared" si="39"/>
        <v>0</v>
      </c>
      <c r="BQ134" s="536"/>
      <c r="BR134" s="536"/>
      <c r="BS134" s="536"/>
      <c r="BT134" s="542">
        <f t="shared" si="40"/>
        <v>0</v>
      </c>
      <c r="BU134" s="536"/>
      <c r="BV134" s="536"/>
      <c r="BW134" s="536"/>
      <c r="BX134" s="542">
        <f t="shared" si="41"/>
        <v>0</v>
      </c>
      <c r="BY134" s="536"/>
      <c r="BZ134" s="536"/>
      <c r="CA134" s="536"/>
      <c r="CB134" s="542">
        <v>0</v>
      </c>
      <c r="CC134" s="536"/>
      <c r="CD134" s="536"/>
      <c r="CE134" s="536"/>
      <c r="CF134" s="541">
        <f t="shared" si="42"/>
        <v>0</v>
      </c>
      <c r="CG134" s="536"/>
      <c r="CH134" s="536"/>
      <c r="CI134" s="536"/>
      <c r="CJ134" s="541">
        <f t="shared" si="43"/>
        <v>0</v>
      </c>
      <c r="CK134" s="536"/>
      <c r="CL134" s="536"/>
      <c r="CM134" s="536"/>
      <c r="CN134" s="541">
        <f t="shared" si="44"/>
        <v>0</v>
      </c>
      <c r="CO134" s="536"/>
      <c r="CP134" s="536"/>
      <c r="CQ134" s="536"/>
      <c r="CR134" s="541">
        <f t="shared" si="45"/>
        <v>0</v>
      </c>
      <c r="CS134" s="536"/>
      <c r="CT134" s="536"/>
      <c r="CU134" s="536"/>
      <c r="CV134" s="541">
        <f t="shared" si="46"/>
        <v>0</v>
      </c>
      <c r="CW134" s="536"/>
      <c r="CX134" s="536"/>
      <c r="CY134" s="536"/>
      <c r="CZ134" s="541">
        <f t="shared" si="47"/>
        <v>0</v>
      </c>
      <c r="DA134" s="536"/>
      <c r="DB134" s="536"/>
      <c r="DC134" s="536"/>
      <c r="DD134" s="541">
        <f t="shared" si="48"/>
        <v>0</v>
      </c>
      <c r="DE134" s="536"/>
      <c r="DF134" s="536"/>
      <c r="DG134" s="536"/>
      <c r="DH134" s="541">
        <f t="shared" si="49"/>
        <v>0</v>
      </c>
      <c r="DI134" s="536"/>
      <c r="DJ134" s="536"/>
      <c r="DK134" s="536"/>
      <c r="DL134" s="541">
        <f t="shared" si="50"/>
        <v>0</v>
      </c>
      <c r="DM134" s="536"/>
      <c r="DN134" s="536"/>
      <c r="DO134" s="536"/>
      <c r="DP134" s="541">
        <f>IF( SUM((DJ134*(20/100))+(DK134*(30/100))+(DL134*(50/100))) &gt;=9.3,9.5,
IF(AND( SUM((DJ134*(20/100))+(DK134*(30/100))+(DL134*(50/100))) &lt;=9.3, SUM((DJ134*(20/100))+(DK134*(30/100))+(DL134*(50/100))) &gt;=8.8),9,
IF(AND( SUM((DJ134*(20/100))+(DK134*(30/100))+(DL134*(50/100))) &lt;=8.8, SUM((DJ134*(20/100))+(DK134*(30/100))+(DL134*(50/100))) &gt;=8.3),8.5,
IF(AND( SUM((DJ134*(20/100))+(DK134*(30/100))+(DL134*(50/100))) &lt;=8.3, SUM((DJ134*(20/100))+(DK134*(30/100))+(DL134*(50/100))) &gt;=7.8),8,
IF(AND( SUM((DJ134*(20/100))+(DK134*(30/100))+(DL134*(50/100))) &lt;=7.8, SUM((DJ134*(20/100))+(DK134*(30/100))+(DL134*(50/100))) &gt;=7.3),7.5,
IF(AND( SUM((DJ134*(20/100))+(DK134*(30/100))+(DL134*(50/100))) &lt;=7.3, SUM((DJ134*(20/100))+(DK134*(30/100))+(DL134*(50/100))) &gt;=6.8),7,
IF(AND( SUM((DJ134*(20/100))+(DK134*(30/100))+(DL134*(50/100))) &lt;=6.8, SUM((DJ134*(20/100))+(DK134*(30/100))+(DL134*(50/100))) &gt;=6.3),6.5,
IF(AND( SUM((DJ134*(20/100))+(DK134*(30/100))+(DL134*(50/100))) &lt;=6.3, SUM((DJ134*(20/100))+(DK134*(30/100))+(DL134*(50/100))) &gt;=5.8),6,
IF(AND( SUM((DJ134*(20/100))+(DK134*(30/100))+(DL134*(50/100))) &lt;=5.8, SUM((DJ134*(20/100))+(DK134*(30/100))+(DL134*(50/100))) &gt;=5.3),5.5,
IF(AND( SUM((DJ134*(20/100))+(DK134*(30/100))+(DL134*(50/100))) &lt;=5.3, SUM((DJ134*(20/100))+(DK134*(30/100))+(DL134*(50/100))) &gt;=4.8),5,
IF(AND( SUM((DJ134*(20/100))+(DK134*(30/100))+(DL134*(50/100))) &lt;=4.8, SUM((DJ134*(20/100))+(DK134*(30/100))+(DL134*(50/100))) &gt;=4.3),4.5,
IF(AND( SUM((DJ134*(20/100))+(DK134*(30/100))+(DL134*(50/100))) &lt;=4.3, SUM((DJ134*(20/100))+(DK134*(30/100))+(DL134*(50/100))) &gt;=3.8),4,
IF(AND( SUM((DJ134*(20/100))+(DK134*(30/100))+(DL134*(50/100))) &lt;=3.8, SUM((DJ134*(20/100))+(DK134*(30/100))+(DL134*(50/100))) &gt;=3.5),3.5,0)))))))))))))</f>
        <v>0</v>
      </c>
      <c r="DQ134" s="541"/>
      <c r="DR134" s="541"/>
      <c r="DS134" s="541"/>
      <c r="DT134" s="541"/>
      <c r="DU134" s="541"/>
      <c r="DV134" s="541"/>
      <c r="DW134" s="541"/>
      <c r="DX134" s="541"/>
      <c r="DY134" s="541"/>
      <c r="DZ134" s="541"/>
    </row>
    <row r="135" spans="2:130" x14ac:dyDescent="0.25">
      <c r="B135" s="334">
        <v>28</v>
      </c>
      <c r="C135" s="541"/>
      <c r="D135" s="334"/>
      <c r="E135" s="334"/>
      <c r="F135" s="334"/>
      <c r="G135" s="334"/>
      <c r="H135" s="334"/>
      <c r="I135" s="334"/>
      <c r="J135" s="536"/>
      <c r="K135" s="536"/>
      <c r="L135" s="536"/>
      <c r="M135" s="536"/>
      <c r="N135" s="536"/>
      <c r="O135" s="536"/>
      <c r="P135" s="536">
        <f t="shared" si="26"/>
        <v>0</v>
      </c>
      <c r="Q135" s="536"/>
      <c r="R135" s="536"/>
      <c r="S135" s="536"/>
      <c r="T135" s="536">
        <f t="shared" si="27"/>
        <v>0</v>
      </c>
      <c r="U135" s="536"/>
      <c r="V135" s="536"/>
      <c r="W135" s="536"/>
      <c r="X135" s="536">
        <f t="shared" si="28"/>
        <v>0</v>
      </c>
      <c r="Y135" s="536"/>
      <c r="Z135" s="536"/>
      <c r="AA135" s="536"/>
      <c r="AB135" s="536">
        <f t="shared" si="29"/>
        <v>0</v>
      </c>
      <c r="AC135" s="536"/>
      <c r="AD135" s="536"/>
      <c r="AE135" s="536"/>
      <c r="AF135" s="536">
        <f t="shared" si="30"/>
        <v>0</v>
      </c>
      <c r="AG135" s="536"/>
      <c r="AH135" s="536"/>
      <c r="AI135" s="536"/>
      <c r="AJ135" s="536">
        <f t="shared" si="31"/>
        <v>0</v>
      </c>
      <c r="AK135" s="536"/>
      <c r="AL135" s="536"/>
      <c r="AM135" s="536"/>
      <c r="AN135" s="542">
        <f t="shared" si="32"/>
        <v>0</v>
      </c>
      <c r="AO135" s="536"/>
      <c r="AP135" s="536"/>
      <c r="AQ135" s="536"/>
      <c r="AR135" s="542">
        <f t="shared" si="33"/>
        <v>0</v>
      </c>
      <c r="AS135" s="536"/>
      <c r="AT135" s="536"/>
      <c r="AU135" s="536"/>
      <c r="AV135" s="542">
        <f t="shared" si="34"/>
        <v>0</v>
      </c>
      <c r="AW135" s="536"/>
      <c r="AX135" s="536"/>
      <c r="AY135" s="536"/>
      <c r="AZ135" s="542">
        <f t="shared" si="35"/>
        <v>0</v>
      </c>
      <c r="BA135" s="536"/>
      <c r="BB135" s="536"/>
      <c r="BC135" s="536"/>
      <c r="BD135" s="542">
        <f t="shared" si="36"/>
        <v>0</v>
      </c>
      <c r="BE135" s="536"/>
      <c r="BF135" s="536"/>
      <c r="BG135" s="536"/>
      <c r="BH135" s="542">
        <f t="shared" si="37"/>
        <v>0</v>
      </c>
      <c r="BI135" s="536"/>
      <c r="BJ135" s="536"/>
      <c r="BK135" s="536"/>
      <c r="BL135" s="542">
        <f t="shared" si="38"/>
        <v>0</v>
      </c>
      <c r="BM135" s="536"/>
      <c r="BN135" s="536"/>
      <c r="BO135" s="536"/>
      <c r="BP135" s="542">
        <f t="shared" si="39"/>
        <v>0</v>
      </c>
      <c r="BQ135" s="536"/>
      <c r="BR135" s="536"/>
      <c r="BS135" s="536"/>
      <c r="BT135" s="542">
        <f t="shared" si="40"/>
        <v>0</v>
      </c>
      <c r="BU135" s="536"/>
      <c r="BV135" s="536"/>
      <c r="BW135" s="536"/>
      <c r="BX135" s="542">
        <f t="shared" si="41"/>
        <v>0</v>
      </c>
      <c r="BY135" s="536"/>
      <c r="BZ135" s="536"/>
      <c r="CA135" s="536"/>
      <c r="CB135" s="542">
        <v>0</v>
      </c>
      <c r="CC135" s="536"/>
      <c r="CD135" s="536"/>
      <c r="CE135" s="536"/>
      <c r="CF135" s="541">
        <f t="shared" si="42"/>
        <v>0</v>
      </c>
      <c r="CG135" s="536"/>
      <c r="CH135" s="536"/>
      <c r="CI135" s="536"/>
      <c r="CJ135" s="541">
        <f t="shared" si="43"/>
        <v>0</v>
      </c>
      <c r="CK135" s="536"/>
      <c r="CL135" s="536"/>
      <c r="CM135" s="536"/>
      <c r="CN135" s="541">
        <f t="shared" si="44"/>
        <v>0</v>
      </c>
      <c r="CO135" s="536"/>
      <c r="CP135" s="536"/>
      <c r="CQ135" s="536"/>
      <c r="CR135" s="541">
        <f t="shared" si="45"/>
        <v>0</v>
      </c>
      <c r="CS135" s="536"/>
      <c r="CT135" s="536"/>
      <c r="CU135" s="536"/>
      <c r="CV135" s="541">
        <f t="shared" si="46"/>
        <v>0</v>
      </c>
      <c r="CW135" s="536"/>
      <c r="CX135" s="536"/>
      <c r="CY135" s="536"/>
      <c r="CZ135" s="541">
        <f t="shared" si="47"/>
        <v>0</v>
      </c>
      <c r="DA135" s="536"/>
      <c r="DB135" s="536"/>
      <c r="DC135" s="536"/>
      <c r="DD135" s="541">
        <f t="shared" si="48"/>
        <v>0</v>
      </c>
      <c r="DE135" s="536"/>
      <c r="DF135" s="536"/>
      <c r="DG135" s="536"/>
      <c r="DH135" s="541">
        <f t="shared" si="49"/>
        <v>0</v>
      </c>
      <c r="DI135" s="536"/>
      <c r="DJ135" s="536"/>
      <c r="DK135" s="536"/>
      <c r="DL135" s="541">
        <f t="shared" si="50"/>
        <v>0</v>
      </c>
      <c r="DM135" s="536"/>
      <c r="DN135" s="536"/>
      <c r="DO135" s="536"/>
      <c r="DP135" s="541">
        <f>IF( SUM((DJ135*(20/100))+(DK135*(30/100))+(DL135*(50/100))) &gt;=9.3,9.5,
IF(AND( SUM((DJ135*(20/100))+(DK135*(30/100))+(DL135*(50/100))) &lt;=9.3, SUM((DJ135*(20/100))+(DK135*(30/100))+(DL135*(50/100))) &gt;=8.8),9,
IF(AND( SUM((DJ135*(20/100))+(DK135*(30/100))+(DL135*(50/100))) &lt;=8.8, SUM((DJ135*(20/100))+(DK135*(30/100))+(DL135*(50/100))) &gt;=8.3),8.5,
IF(AND( SUM((DJ135*(20/100))+(DK135*(30/100))+(DL135*(50/100))) &lt;=8.3, SUM((DJ135*(20/100))+(DK135*(30/100))+(DL135*(50/100))) &gt;=7.8),8,
IF(AND( SUM((DJ135*(20/100))+(DK135*(30/100))+(DL135*(50/100))) &lt;=7.8, SUM((DJ135*(20/100))+(DK135*(30/100))+(DL135*(50/100))) &gt;=7.3),7.5,
IF(AND( SUM((DJ135*(20/100))+(DK135*(30/100))+(DL135*(50/100))) &lt;=7.3, SUM((DJ135*(20/100))+(DK135*(30/100))+(DL135*(50/100))) &gt;=6.8),7,
IF(AND( SUM((DJ135*(20/100))+(DK135*(30/100))+(DL135*(50/100))) &lt;=6.8, SUM((DJ135*(20/100))+(DK135*(30/100))+(DL135*(50/100))) &gt;=6.3),6.5,
IF(AND( SUM((DJ135*(20/100))+(DK135*(30/100))+(DL135*(50/100))) &lt;=6.3, SUM((DJ135*(20/100))+(DK135*(30/100))+(DL135*(50/100))) &gt;=5.8),6,
IF(AND( SUM((DJ135*(20/100))+(DK135*(30/100))+(DL135*(50/100))) &lt;=5.8, SUM((DJ135*(20/100))+(DK135*(30/100))+(DL135*(50/100))) &gt;=5.3),5.5,
IF(AND( SUM((DJ135*(20/100))+(DK135*(30/100))+(DL135*(50/100))) &lt;=5.3, SUM((DJ135*(20/100))+(DK135*(30/100))+(DL135*(50/100))) &gt;=4.8),5,
IF(AND( SUM((DJ135*(20/100))+(DK135*(30/100))+(DL135*(50/100))) &lt;=4.8, SUM((DJ135*(20/100))+(DK135*(30/100))+(DL135*(50/100))) &gt;=4.3),4.5,
IF(AND( SUM((DJ135*(20/100))+(DK135*(30/100))+(DL135*(50/100))) &lt;=4.3, SUM((DJ135*(20/100))+(DK135*(30/100))+(DL135*(50/100))) &gt;=3.8),4,
IF(AND( SUM((DJ135*(20/100))+(DK135*(30/100))+(DL135*(50/100))) &lt;=3.8, SUM((DJ135*(20/100))+(DK135*(30/100))+(DL135*(50/100))) &gt;=3.5),3.5,0)))))))))))))</f>
        <v>0</v>
      </c>
      <c r="DQ135" s="541"/>
      <c r="DR135" s="541"/>
      <c r="DS135" s="541"/>
      <c r="DT135" s="541"/>
      <c r="DU135" s="541"/>
      <c r="DV135" s="541"/>
      <c r="DW135" s="541"/>
      <c r="DX135" s="541"/>
      <c r="DY135" s="541"/>
      <c r="DZ135" s="541"/>
    </row>
    <row r="136" spans="2:130" x14ac:dyDescent="0.25">
      <c r="B136" s="334">
        <v>29</v>
      </c>
      <c r="C136" s="541"/>
      <c r="D136" s="334"/>
      <c r="E136" s="334"/>
      <c r="F136" s="334"/>
      <c r="G136" s="334"/>
      <c r="H136" s="334"/>
      <c r="I136" s="334"/>
      <c r="J136" s="536"/>
      <c r="K136" s="536"/>
      <c r="L136" s="536"/>
      <c r="M136" s="536"/>
      <c r="N136" s="536"/>
      <c r="O136" s="536"/>
      <c r="P136" s="536">
        <f t="shared" si="26"/>
        <v>0</v>
      </c>
      <c r="Q136" s="536"/>
      <c r="R136" s="536"/>
      <c r="S136" s="536"/>
      <c r="T136" s="536">
        <f t="shared" si="27"/>
        <v>0</v>
      </c>
      <c r="U136" s="536"/>
      <c r="V136" s="536"/>
      <c r="W136" s="536"/>
      <c r="X136" s="536">
        <f t="shared" si="28"/>
        <v>0</v>
      </c>
      <c r="Y136" s="536"/>
      <c r="Z136" s="536"/>
      <c r="AA136" s="536"/>
      <c r="AB136" s="536">
        <f t="shared" si="29"/>
        <v>0</v>
      </c>
      <c r="AC136" s="536"/>
      <c r="AD136" s="536"/>
      <c r="AE136" s="536"/>
      <c r="AF136" s="536">
        <f t="shared" si="30"/>
        <v>0</v>
      </c>
      <c r="AG136" s="536"/>
      <c r="AH136" s="536"/>
      <c r="AI136" s="536"/>
      <c r="AJ136" s="536">
        <f t="shared" si="31"/>
        <v>0</v>
      </c>
      <c r="AK136" s="536"/>
      <c r="AL136" s="536"/>
      <c r="AM136" s="536"/>
      <c r="AN136" s="542">
        <f t="shared" si="32"/>
        <v>0</v>
      </c>
      <c r="AO136" s="536"/>
      <c r="AP136" s="536"/>
      <c r="AQ136" s="536"/>
      <c r="AR136" s="542">
        <f t="shared" si="33"/>
        <v>0</v>
      </c>
      <c r="AS136" s="536"/>
      <c r="AT136" s="536"/>
      <c r="AU136" s="536"/>
      <c r="AV136" s="542">
        <f t="shared" si="34"/>
        <v>0</v>
      </c>
      <c r="AW136" s="536"/>
      <c r="AX136" s="536"/>
      <c r="AY136" s="536"/>
      <c r="AZ136" s="542">
        <f t="shared" si="35"/>
        <v>0</v>
      </c>
      <c r="BA136" s="536"/>
      <c r="BB136" s="536"/>
      <c r="BC136" s="536"/>
      <c r="BD136" s="542">
        <f t="shared" si="36"/>
        <v>0</v>
      </c>
      <c r="BE136" s="536"/>
      <c r="BF136" s="536"/>
      <c r="BG136" s="536"/>
      <c r="BH136" s="542">
        <f t="shared" si="37"/>
        <v>0</v>
      </c>
      <c r="BI136" s="536"/>
      <c r="BJ136" s="536"/>
      <c r="BK136" s="536"/>
      <c r="BL136" s="542">
        <f t="shared" si="38"/>
        <v>0</v>
      </c>
      <c r="BM136" s="536"/>
      <c r="BN136" s="536"/>
      <c r="BO136" s="536"/>
      <c r="BP136" s="542">
        <f t="shared" si="39"/>
        <v>0</v>
      </c>
      <c r="BQ136" s="536"/>
      <c r="BR136" s="536"/>
      <c r="BS136" s="536"/>
      <c r="BT136" s="542">
        <f t="shared" si="40"/>
        <v>0</v>
      </c>
      <c r="BU136" s="536"/>
      <c r="BV136" s="536"/>
      <c r="BW136" s="536"/>
      <c r="BX136" s="542">
        <f t="shared" si="41"/>
        <v>0</v>
      </c>
      <c r="BY136" s="536"/>
      <c r="BZ136" s="536"/>
      <c r="CA136" s="536"/>
      <c r="CB136" s="542">
        <v>0</v>
      </c>
      <c r="CC136" s="536"/>
      <c r="CD136" s="536"/>
      <c r="CE136" s="536"/>
      <c r="CF136" s="541">
        <f t="shared" si="42"/>
        <v>0</v>
      </c>
      <c r="CG136" s="536"/>
      <c r="CH136" s="536"/>
      <c r="CI136" s="536"/>
      <c r="CJ136" s="541">
        <f t="shared" si="43"/>
        <v>0</v>
      </c>
      <c r="CK136" s="536"/>
      <c r="CL136" s="536"/>
      <c r="CM136" s="536"/>
      <c r="CN136" s="541">
        <f t="shared" si="44"/>
        <v>0</v>
      </c>
      <c r="CO136" s="536"/>
      <c r="CP136" s="536"/>
      <c r="CQ136" s="536"/>
      <c r="CR136" s="541">
        <f t="shared" si="45"/>
        <v>0</v>
      </c>
      <c r="CS136" s="536"/>
      <c r="CT136" s="536"/>
      <c r="CU136" s="536"/>
      <c r="CV136" s="541">
        <f t="shared" si="46"/>
        <v>0</v>
      </c>
      <c r="CW136" s="536"/>
      <c r="CX136" s="536"/>
      <c r="CY136" s="536"/>
      <c r="CZ136" s="541">
        <f t="shared" si="47"/>
        <v>0</v>
      </c>
      <c r="DA136" s="536"/>
      <c r="DB136" s="536"/>
      <c r="DC136" s="536"/>
      <c r="DD136" s="541">
        <f t="shared" si="48"/>
        <v>0</v>
      </c>
      <c r="DE136" s="536"/>
      <c r="DF136" s="536"/>
      <c r="DG136" s="536"/>
      <c r="DH136" s="541">
        <f t="shared" si="49"/>
        <v>0</v>
      </c>
      <c r="DI136" s="536"/>
      <c r="DJ136" s="536"/>
      <c r="DK136" s="536"/>
      <c r="DL136" s="541">
        <f t="shared" si="50"/>
        <v>0</v>
      </c>
      <c r="DM136" s="536"/>
      <c r="DN136" s="536"/>
      <c r="DO136" s="536"/>
      <c r="DP136" s="541">
        <f>IF( SUM((DJ136*(20/100))+(DK136*(30/100))+(DL136*(50/100))) &gt;=9.3,9.5,
IF(AND( SUM((DJ136*(20/100))+(DK136*(30/100))+(DL136*(50/100))) &lt;=9.3, SUM((DJ136*(20/100))+(DK136*(30/100))+(DL136*(50/100))) &gt;=8.8),9,
IF(AND( SUM((DJ136*(20/100))+(DK136*(30/100))+(DL136*(50/100))) &lt;=8.8, SUM((DJ136*(20/100))+(DK136*(30/100))+(DL136*(50/100))) &gt;=8.3),8.5,
IF(AND( SUM((DJ136*(20/100))+(DK136*(30/100))+(DL136*(50/100))) &lt;=8.3, SUM((DJ136*(20/100))+(DK136*(30/100))+(DL136*(50/100))) &gt;=7.8),8,
IF(AND( SUM((DJ136*(20/100))+(DK136*(30/100))+(DL136*(50/100))) &lt;=7.8, SUM((DJ136*(20/100))+(DK136*(30/100))+(DL136*(50/100))) &gt;=7.3),7.5,
IF(AND( SUM((DJ136*(20/100))+(DK136*(30/100))+(DL136*(50/100))) &lt;=7.3, SUM((DJ136*(20/100))+(DK136*(30/100))+(DL136*(50/100))) &gt;=6.8),7,
IF(AND( SUM((DJ136*(20/100))+(DK136*(30/100))+(DL136*(50/100))) &lt;=6.8, SUM((DJ136*(20/100))+(DK136*(30/100))+(DL136*(50/100))) &gt;=6.3),6.5,
IF(AND( SUM((DJ136*(20/100))+(DK136*(30/100))+(DL136*(50/100))) &lt;=6.3, SUM((DJ136*(20/100))+(DK136*(30/100))+(DL136*(50/100))) &gt;=5.8),6,
IF(AND( SUM((DJ136*(20/100))+(DK136*(30/100))+(DL136*(50/100))) &lt;=5.8, SUM((DJ136*(20/100))+(DK136*(30/100))+(DL136*(50/100))) &gt;=5.3),5.5,
IF(AND( SUM((DJ136*(20/100))+(DK136*(30/100))+(DL136*(50/100))) &lt;=5.3, SUM((DJ136*(20/100))+(DK136*(30/100))+(DL136*(50/100))) &gt;=4.8),5,
IF(AND( SUM((DJ136*(20/100))+(DK136*(30/100))+(DL136*(50/100))) &lt;=4.8, SUM((DJ136*(20/100))+(DK136*(30/100))+(DL136*(50/100))) &gt;=4.3),4.5,
IF(AND( SUM((DJ136*(20/100))+(DK136*(30/100))+(DL136*(50/100))) &lt;=4.3, SUM((DJ136*(20/100))+(DK136*(30/100))+(DL136*(50/100))) &gt;=3.8),4,
IF(AND( SUM((DJ136*(20/100))+(DK136*(30/100))+(DL136*(50/100))) &lt;=3.8, SUM((DJ136*(20/100))+(DK136*(30/100))+(DL136*(50/100))) &gt;=3.5),3.5,0)))))))))))))</f>
        <v>0</v>
      </c>
      <c r="DQ136" s="541"/>
      <c r="DR136" s="541"/>
      <c r="DS136" s="541"/>
      <c r="DT136" s="541"/>
      <c r="DU136" s="541"/>
      <c r="DV136" s="541"/>
      <c r="DW136" s="541"/>
      <c r="DX136" s="541"/>
      <c r="DY136" s="541"/>
      <c r="DZ136" s="541"/>
    </row>
    <row r="137" spans="2:130" x14ac:dyDescent="0.25">
      <c r="B137" s="334">
        <v>30</v>
      </c>
      <c r="C137" s="541"/>
      <c r="D137" s="334"/>
      <c r="E137" s="334"/>
      <c r="F137" s="334"/>
      <c r="G137" s="334"/>
      <c r="H137" s="334"/>
      <c r="I137" s="334"/>
      <c r="J137" s="536"/>
      <c r="K137" s="536"/>
      <c r="L137" s="536"/>
      <c r="M137" s="536"/>
      <c r="N137" s="536"/>
      <c r="O137" s="536"/>
      <c r="P137" s="536">
        <f t="shared" ref="P137:P200" si="51">IF( SUM((M137*(20/100))+(N137*(30/100))+(O137*(50/100))) &gt;=9.3,9.5,
IF(AND( SUM((M137*(20/100))+(N137*(30/100))+(O137*(50/100))) &lt;=9.3, SUM((M137*(20/100))+(N137*(30/100))+(O137*(50/100))) &gt;=8.8),9,
IF(AND( SUM((M137*(20/100))+(N137*(30/100))+(O137*(50/100))) &lt;=8.8, SUM((M137*(20/100))+(N137*(30/100))+(O137*(50/100))) &gt;=8.3),8.5,
IF(AND( SUM((M137*(20/100))+(N137*(30/100))+(O137*(50/100))) &lt;=8.3, SUM((M137*(20/100))+(N137*(30/100))+(O137*(50/100))) &gt;=7.8),8,
IF(AND( SUM((M137*(20/100))+(N137*(30/100))+(O137*(50/100))) &lt;=7.8, SUM((M137*(20/100))+(N137*(30/100))+(O137*(50/100))) &gt;=7.3),7.5,
IF(AND( SUM((M137*(20/100))+(N137*(30/100))+(O137*(50/100))) &lt;=7.3, SUM((M137*(20/100))+(N137*(30/100))+(O137*(50/100))) &gt;=6.8),7,
IF(AND( SUM((M137*(20/100))+(N137*(30/100))+(O137*(50/100))) &lt;=6.8, SUM((M137*(20/100))+(N137*(30/100))+(O137*(50/100))) &gt;=6.3),6.5,
IF(AND( SUM((M137*(20/100))+(N137*(30/100))+(O137*(50/100))) &lt;=6.3, SUM((M137*(20/100))+(N137*(30/100))+(O137*(50/100))) &gt;=5.8),6,
IF(AND( SUM((M137*(20/100))+(N137*(30/100))+(O137*(50/100))) &lt;=5.8, SUM((M137*(20/100))+(N137*(30/100))+(O137*(50/100))) &gt;=5.3),5.5,
IF(AND( SUM((M137*(20/100))+(N137*(30/100))+(O137*(50/100))) &lt;=5.3, SUM((M137*(20/100))+(N137*(30/100))+(O137*(50/100))) &gt;=4.8),5,
IF(AND( SUM((M137*(20/100))+(N137*(30/100))+(O137*(50/100))) &lt;=4.8, SUM((M137*(20/100))+(N137*(30/100))+(O137*(50/100))) &gt;=4.3),4.5,
IF(AND( SUM((M137*(20/100))+(N137*(30/100))+(O137*(50/100))) &lt;=4.3, SUM((M137*(20/100))+(N137*(30/100))+(O137*(50/100))) &gt;=3.8),4,
IF(AND( SUM((M137*(20/100))+(N137*(30/100))+(O137*(50/100))) &lt;=3.8, SUM((M137*(20/100))+(N137*(30/100))+(O137*(50/100))) &gt;=3.5),3.5,0)))))))))))))</f>
        <v>0</v>
      </c>
      <c r="Q137" s="536"/>
      <c r="R137" s="536"/>
      <c r="S137" s="536"/>
      <c r="T137" s="536">
        <f t="shared" ref="T137:T200" si="52">IF( SUM((Q137*(20/100))+(R137*(30/100))+(S137*(50/100))) &gt;=9.3,9.5,
IF(AND( SUM((Q137*(20/100))+(R137*(30/100))+(S137*(50/100))) &lt;=9.3, SUM((Q137*(20/100))+(R137*(30/100))+(S137*(50/100))) &gt;=8.8),9,
IF(AND( SUM((Q137*(20/100))+(R137*(30/100))+(S137*(50/100))) &lt;=8.8, SUM((Q137*(20/100))+(R137*(30/100))+(S137*(50/100))) &gt;=8.3),8.5,
IF(AND( SUM((Q137*(20/100))+(R137*(30/100))+(S137*(50/100))) &lt;=8.3, SUM((Q137*(20/100))+(R137*(30/100))+(S137*(50/100))) &gt;=7.8),8,
IF(AND( SUM((Q137*(20/100))+(R137*(30/100))+(S137*(50/100))) &lt;=7.8, SUM((Q137*(20/100))+(R137*(30/100))+(S137*(50/100))) &gt;=7.3),7.5,
IF(AND( SUM((Q137*(20/100))+(R137*(30/100))+(S137*(50/100))) &lt;=7.3, SUM((Q137*(20/100))+(R137*(30/100))+(S137*(50/100))) &gt;=6.8),7,
IF(AND( SUM((Q137*(20/100))+(R137*(30/100))+(S137*(50/100))) &lt;=6.8, SUM((Q137*(20/100))+(R137*(30/100))+(S137*(50/100))) &gt;=6.3),6.5,
IF(AND( SUM((Q137*(20/100))+(R137*(30/100))+(S137*(50/100))) &lt;=6.3, SUM((Q137*(20/100))+(R137*(30/100))+(S137*(50/100))) &gt;=5.8),6,
IF(AND( SUM((Q137*(20/100))+(R137*(30/100))+(S137*(50/100))) &lt;=5.8, SUM((Q137*(20/100))+(R137*(30/100))+(S137*(50/100))) &gt;=5.3),5.5,
IF(AND( SUM((Q137*(20/100))+(R137*(30/100))+(S137*(50/100))) &lt;=5.3, SUM((Q137*(20/100))+(R137*(30/100))+(S137*(50/100))) &gt;=4.8),5,
IF(AND( SUM((Q137*(20/100))+(R137*(30/100))+(S137*(50/100))) &lt;=4.8, SUM((Q137*(20/100))+(R137*(30/100))+(S137*(50/100))) &gt;=4.3),4.5,
IF(AND( SUM((Q137*(20/100))+(R137*(30/100))+(S137*(50/100))) &lt;=4.3, SUM((Q137*(20/100))+(R137*(30/100))+(S137*(50/100))) &gt;=3.8),4,
IF(AND( SUM((Q137*(20/100))+(R137*(30/100))+(S137*(50/100))) &lt;=3.8, SUM((Q137*(20/100))+(R137*(30/100))+(S137*(50/100))) &gt;=3.5),3.5,0)))))))))))))</f>
        <v>0</v>
      </c>
      <c r="U137" s="536"/>
      <c r="V137" s="536"/>
      <c r="W137" s="536"/>
      <c r="X137" s="536">
        <f t="shared" ref="X137:X200" si="53">IF( SUM((U137*(20/100))+(V137*(30/100))+(W137*(50/100))) &gt;=9.3,9.5,
IF(AND( SUM((U137*(20/100))+(V137*(30/100))+(W137*(50/100))) &lt;=9.3, SUM((U137*(20/100))+(V137*(30/100))+(W137*(50/100))) &gt;=8.8),9,
IF(AND( SUM((U137*(20/100))+(V137*(30/100))+(W137*(50/100))) &lt;=8.8, SUM((U137*(20/100))+(V137*(30/100))+(W137*(50/100))) &gt;=8.3),8.5,
IF(AND( SUM((U137*(20/100))+(V137*(30/100))+(W137*(50/100))) &lt;=8.3, SUM((U137*(20/100))+(V137*(30/100))+(W137*(50/100))) &gt;=7.8),8,
IF(AND( SUM((U137*(20/100))+(V137*(30/100))+(W137*(50/100))) &lt;=7.8, SUM((U137*(20/100))+(V137*(30/100))+(W137*(50/100))) &gt;=7.3),7.5,
IF(AND( SUM((U137*(20/100))+(V137*(30/100))+(W137*(50/100))) &lt;=7.3, SUM((U137*(20/100))+(V137*(30/100))+(W137*(50/100))) &gt;=6.8),7,
IF(AND( SUM((U137*(20/100))+(V137*(30/100))+(W137*(50/100))) &lt;=6.8, SUM((U137*(20/100))+(V137*(30/100))+(W137*(50/100))) &gt;=6.3),6.5,
IF(AND( SUM((U137*(20/100))+(V137*(30/100))+(W137*(50/100))) &lt;=6.3, SUM((U137*(20/100))+(V137*(30/100))+(W137*(50/100))) &gt;=5.8),6,
IF(AND( SUM((U137*(20/100))+(V137*(30/100))+(W137*(50/100))) &lt;=5.8, SUM((U137*(20/100))+(V137*(30/100))+(W137*(50/100))) &gt;=5.3),5.5,
IF(AND( SUM((U137*(20/100))+(V137*(30/100))+(W137*(50/100))) &lt;=5.3, SUM((U137*(20/100))+(V137*(30/100))+(W137*(50/100))) &gt;=4.8),5,
IF(AND( SUM((U137*(20/100))+(V137*(30/100))+(W137*(50/100))) &lt;=4.8, SUM((U137*(20/100))+(V137*(30/100))+(W137*(50/100))) &gt;=4.3),4.5,
IF(AND( SUM((U137*(20/100))+(V137*(30/100))+(W137*(50/100))) &lt;=4.3, SUM((U137*(20/100))+(V137*(30/100))+(W137*(50/100))) &gt;=3.8),4,
IF(AND( SUM((U137*(20/100))+(V137*(30/100))+(W137*(50/100))) &lt;=3.8, SUM((U137*(20/100))+(V137*(30/100))+(W137*(50/100))) &gt;=3.5),3.5,0)))))))))))))</f>
        <v>0</v>
      </c>
      <c r="Y137" s="536"/>
      <c r="Z137" s="536"/>
      <c r="AA137" s="536"/>
      <c r="AB137" s="536">
        <f t="shared" ref="AB137:AB200" si="54">IF( SUM((Y137*(20/100))+(Z137*(30/100))+(AA137*(50/100))) &gt;=9.3,9.5,
IF(AND( SUM((Y137*(20/100))+(Z137*(30/100))+(AA137*(50/100))) &lt;=9.3, SUM((Y137*(20/100))+(Z137*(30/100))+(AA137*(50/100))) &gt;=8.8),9,
IF(AND( SUM((Y137*(20/100))+(Z137*(30/100))+(AA137*(50/100))) &lt;=8.8, SUM((Y137*(20/100))+(Z137*(30/100))+(AA137*(50/100))) &gt;=8.3),8.5,
IF(AND( SUM((Y137*(20/100))+(Z137*(30/100))+(AA137*(50/100))) &lt;=8.3, SUM((Y137*(20/100))+(Z137*(30/100))+(AA137*(50/100))) &gt;=7.8),8,
IF(AND( SUM((Y137*(20/100))+(Z137*(30/100))+(AA137*(50/100))) &lt;=7.8, SUM((Y137*(20/100))+(Z137*(30/100))+(AA137*(50/100))) &gt;=7.3),7.5,
IF(AND( SUM((Y137*(20/100))+(Z137*(30/100))+(AA137*(50/100))) &lt;=7.3, SUM((Y137*(20/100))+(Z137*(30/100))+(AA137*(50/100))) &gt;=6.8),7,
IF(AND( SUM((Y137*(20/100))+(Z137*(30/100))+(AA137*(50/100))) &lt;=6.8, SUM((Y137*(20/100))+(Z137*(30/100))+(AA137*(50/100))) &gt;=6.3),6.5,
IF(AND( SUM((Y137*(20/100))+(Z137*(30/100))+(AA137*(50/100))) &lt;=6.3, SUM((Y137*(20/100))+(Z137*(30/100))+(AA137*(50/100))) &gt;=5.8),6,
IF(AND( SUM((Y137*(20/100))+(Z137*(30/100))+(AA137*(50/100))) &lt;=5.8, SUM((Y137*(20/100))+(Z137*(30/100))+(AA137*(50/100))) &gt;=5.3),5.5,
IF(AND( SUM((Y137*(20/100))+(Z137*(30/100))+(AA137*(50/100))) &lt;=5.3, SUM((Y137*(20/100))+(Z137*(30/100))+(AA137*(50/100))) &gt;=4.8),5,
IF(AND( SUM((Y137*(20/100))+(Z137*(30/100))+(AA137*(50/100))) &lt;=4.8, SUM((Y137*(20/100))+(Z137*(30/100))+(AA137*(50/100))) &gt;=4.3),4.5,
IF(AND( SUM((Y137*(20/100))+(Z137*(30/100))+(AA137*(50/100))) &lt;=4.3, SUM((Y137*(20/100))+(Z137*(30/100))+(AA137*(50/100))) &gt;=3.8),4,
IF(AND( SUM((Y137*(20/100))+(Z137*(30/100))+(AA137*(50/100))) &lt;=3.8, SUM((Y137*(20/100))+(Z137*(30/100))+(AA137*(50/100))) &gt;=3.5),3.5,0)))))))))))))</f>
        <v>0</v>
      </c>
      <c r="AC137" s="536"/>
      <c r="AD137" s="536"/>
      <c r="AE137" s="536"/>
      <c r="AF137" s="536">
        <f t="shared" ref="AF137:AF200" si="55">IF( SUM((AC137*(20/100))+(AD137*(30/100))+(AE137*(50/100))) &gt;=9.3,9.5,
IF(AND( SUM((AC137*(20/100))+(AD137*(30/100))+(AE137*(50/100))) &lt;=9.3, SUM((AC137*(20/100))+(AD137*(30/100))+(AE137*(50/100))) &gt;=8.8),9,
IF(AND( SUM((AC137*(20/100))+(AD137*(30/100))+(AE137*(50/100))) &lt;=8.8, SUM((AC137*(20/100))+(AD137*(30/100))+(AE137*(50/100))) &gt;=8.3),8.5,
IF(AND( SUM((AC137*(20/100))+(AD137*(30/100))+(AE137*(50/100))) &lt;=8.3, SUM((AC137*(20/100))+(AD137*(30/100))+(AE137*(50/100))) &gt;=7.8),8,
IF(AND( SUM((AC137*(20/100))+(AD137*(30/100))+(AE137*(50/100))) &lt;=7.8, SUM((AC137*(20/100))+(AD137*(30/100))+(AE137*(50/100))) &gt;=7.3),7.5,
IF(AND( SUM((AC137*(20/100))+(AD137*(30/100))+(AE137*(50/100))) &lt;=7.3, SUM((AC137*(20/100))+(AD137*(30/100))+(AE137*(50/100))) &gt;=6.8),7,
IF(AND( SUM((AC137*(20/100))+(AD137*(30/100))+(AE137*(50/100))) &lt;=6.8, SUM((AC137*(20/100))+(AD137*(30/100))+(AE137*(50/100))) &gt;=6.3),6.5,
IF(AND( SUM((AC137*(20/100))+(AD137*(30/100))+(AE137*(50/100))) &lt;=6.3, SUM((AC137*(20/100))+(AD137*(30/100))+(AE137*(50/100))) &gt;=5.8),6,
IF(AND( SUM((AC137*(20/100))+(AD137*(30/100))+(AE137*(50/100))) &lt;=5.8, SUM((AC137*(20/100))+(AD137*(30/100))+(AE137*(50/100))) &gt;=5.3),5.5,
IF(AND( SUM((AC137*(20/100))+(AD137*(30/100))+(AE137*(50/100))) &lt;=5.3, SUM((AC137*(20/100))+(AD137*(30/100))+(AE137*(50/100))) &gt;=4.8),5,
IF(AND( SUM((AC137*(20/100))+(AD137*(30/100))+(AE137*(50/100))) &lt;=4.8, SUM((AC137*(20/100))+(AD137*(30/100))+(AE137*(50/100))) &gt;=4.3),4.5,
IF(AND( SUM((AC137*(20/100))+(AD137*(30/100))+(AE137*(50/100))) &lt;=4.3, SUM((AC137*(20/100))+(AD137*(30/100))+(AE137*(50/100))) &gt;=3.8),4,
IF(AND( SUM((AC137*(20/100))+(AD137*(30/100))+(AE137*(50/100))) &lt;=3.8, SUM((AC137*(20/100))+(AD137*(30/100))+(AE137*(50/100))) &gt;=3.5),3.5,0)))))))))))))</f>
        <v>0</v>
      </c>
      <c r="AG137" s="536"/>
      <c r="AH137" s="536"/>
      <c r="AI137" s="536"/>
      <c r="AJ137" s="536">
        <f t="shared" ref="AJ137:AJ200" si="56">IF( SUM((AG137*(20/100))+(AH137*(30/100))+(AI137*(50/100))) &gt;=9.3,9.5,
IF(AND( SUM((AG137*(20/100))+(AH137*(30/100))+(AI137*(50/100))) &lt;=9.3, SUM((AG137*(20/100))+(AH137*(30/100))+(AI137*(50/100))) &gt;=8.8),9,
IF(AND( SUM((AG137*(20/100))+(AH137*(30/100))+(AI137*(50/100))) &lt;=8.8, SUM((AG137*(20/100))+(AH137*(30/100))+(AI137*(50/100))) &gt;=8.3),8.5,
IF(AND( SUM((AG137*(20/100))+(AH137*(30/100))+(AI137*(50/100))) &lt;=8.3, SUM((AG137*(20/100))+(AH137*(30/100))+(AI137*(50/100))) &gt;=7.8),8,
IF(AND( SUM((AG137*(20/100))+(AH137*(30/100))+(AI137*(50/100))) &lt;=7.8, SUM((AG137*(20/100))+(AH137*(30/100))+(AI137*(50/100))) &gt;=7.3),7.5,
IF(AND( SUM((AG137*(20/100))+(AH137*(30/100))+(AI137*(50/100))) &lt;=7.3, SUM((AG137*(20/100))+(AH137*(30/100))+(AI137*(50/100))) &gt;=6.8),7,
IF(AND( SUM((AG137*(20/100))+(AH137*(30/100))+(AI137*(50/100))) &lt;=6.8, SUM((AG137*(20/100))+(AH137*(30/100))+(AI137*(50/100))) &gt;=6.3),6.5,
IF(AND( SUM((AG137*(20/100))+(AH137*(30/100))+(AI137*(50/100))) &lt;=6.3, SUM((AG137*(20/100))+(AH137*(30/100))+(AI137*(50/100))) &gt;=5.8),6,
IF(AND( SUM((AG137*(20/100))+(AH137*(30/100))+(AI137*(50/100))) &lt;=5.8, SUM((AG137*(20/100))+(AH137*(30/100))+(AI137*(50/100))) &gt;=5.3),5.5,
IF(AND( SUM((AG137*(20/100))+(AH137*(30/100))+(AI137*(50/100))) &lt;=5.3, SUM((AG137*(20/100))+(AH137*(30/100))+(AI137*(50/100))) &gt;=4.8),5,
IF(AND( SUM((AG137*(20/100))+(AH137*(30/100))+(AI137*(50/100))) &lt;=4.8, SUM((AG137*(20/100))+(AH137*(30/100))+(AI137*(50/100))) &gt;=4.3),4.5,
IF(AND( SUM((AG137*(20/100))+(AH137*(30/100))+(AI137*(50/100))) &lt;=4.3, SUM((AG137*(20/100))+(AH137*(30/100))+(AI137*(50/100))) &gt;=3.8),4,
IF(AND( SUM((AG137*(20/100))+(AH137*(30/100))+(AI137*(50/100))) &lt;=3.8, SUM((AG137*(20/100))+(AH137*(30/100))+(AI137*(50/100))) &gt;=3.5),3.5,0)))))))))))))</f>
        <v>0</v>
      </c>
      <c r="AK137" s="536"/>
      <c r="AL137" s="536"/>
      <c r="AM137" s="536"/>
      <c r="AN137" s="542">
        <f t="shared" ref="AN137:AN200" si="57">IF( SUM((AK137*(20/100))+(AL137*(30/100))+(AM137*(50/100))) &gt;=9.3,9.5,
IF(AND( SUM((AK137*(20/100))+(AL137*(30/100))+(AM137*(50/100))) &lt;=9.3, SUM((AK137*(20/100))+(AL137*(30/100))+(AM137*(50/100))) &gt;=8.8),9,
IF(AND( SUM((AK137*(20/100))+(AL137*(30/100))+(AM137*(50/100))) &lt;=8.8, SUM((AK137*(20/100))+(AL137*(30/100))+(AM137*(50/100))) &gt;=8.3),8.5,
IF(AND( SUM((AK137*(20/100))+(AL137*(30/100))+(AM137*(50/100))) &lt;=8.3, SUM((AK137*(20/100))+(AL137*(30/100))+(AM137*(50/100))) &gt;=7.8),8,
IF(AND( SUM((AK137*(20/100))+(AL137*(30/100))+(AM137*(50/100))) &lt;=7.8, SUM((AK137*(20/100))+(AL137*(30/100))+(AM137*(50/100))) &gt;=7.3),7.5,
IF(AND( SUM((AK137*(20/100))+(AL137*(30/100))+(AM137*(50/100))) &lt;=7.3, SUM((AK137*(20/100))+(AL137*(30/100))+(AM137*(50/100))) &gt;=6.8),7,
IF(AND( SUM((AK137*(20/100))+(AL137*(30/100))+(AM137*(50/100))) &lt;=6.8, SUM((AK137*(20/100))+(AL137*(30/100))+(AM137*(50/100))) &gt;=6.3),6.5,
IF(AND( SUM((AK137*(20/100))+(AL137*(30/100))+(AM137*(50/100))) &lt;=6.3, SUM((AK137*(20/100))+(AL137*(30/100))+(AM137*(50/100))) &gt;=5.8),6,
IF(AND( SUM((AK137*(20/100))+(AL137*(30/100))+(AM137*(50/100))) &lt;=5.8, SUM((AK137*(20/100))+(AL137*(30/100))+(AM137*(50/100))) &gt;=5.3),5.5,
IF(AND( SUM((AK137*(20/100))+(AL137*(30/100))+(AM137*(50/100))) &lt;=5.3, SUM((AK137*(20/100))+(AL137*(30/100))+(AM137*(50/100))) &gt;=4.8),5,
IF(AND( SUM((AK137*(20/100))+(AL137*(30/100))+(AM137*(50/100))) &lt;=4.8, SUM((AK137*(20/100))+(AL137*(30/100))+(AM137*(50/100))) &gt;=4.3),4.5,
IF(AND( SUM((AK137*(20/100))+(AL137*(30/100))+(AM137*(50/100))) &lt;=4.3, SUM((AK137*(20/100))+(AL137*(30/100))+(AM137*(50/100))) &gt;=3.8),4,
IF(AND( SUM((AK137*(20/100))+(AL137*(30/100))+(AM137*(50/100))) &lt;=3.8, SUM((AK137*(20/100))+(AL137*(30/100))+(AM137*(50/100))) &gt;=3.5),3.5,0)))))))))))))</f>
        <v>0</v>
      </c>
      <c r="AO137" s="536"/>
      <c r="AP137" s="536"/>
      <c r="AQ137" s="536"/>
      <c r="AR137" s="542">
        <f t="shared" ref="AR137:AR200" si="58">IF( SUM((AO137*(20/100))+(AP137*(30/100))+(AQ137*(50/100))) &gt;=9.3,9.5,
IF(AND( SUM((AO137*(20/100))+(AP137*(30/100))+(AQ137*(50/100))) &lt;=9.3, SUM((AO137*(20/100))+(AP137*(30/100))+(AQ137*(50/100))) &gt;=8.8),9,
IF(AND( SUM((AO137*(20/100))+(AP137*(30/100))+(AQ137*(50/100))) &lt;=8.8, SUM((AO137*(20/100))+(AP137*(30/100))+(AQ137*(50/100))) &gt;=8.3),8.5,
IF(AND( SUM((AO137*(20/100))+(AP137*(30/100))+(AQ137*(50/100))) &lt;=8.3, SUM((AO137*(20/100))+(AP137*(30/100))+(AQ137*(50/100))) &gt;=7.8),8,
IF(AND( SUM((AO137*(20/100))+(AP137*(30/100))+(AQ137*(50/100))) &lt;=7.8, SUM((AO137*(20/100))+(AP137*(30/100))+(AQ137*(50/100))) &gt;=7.3),7.5,
IF(AND( SUM((AO137*(20/100))+(AP137*(30/100))+(AQ137*(50/100))) &lt;=7.3, SUM((AO137*(20/100))+(AP137*(30/100))+(AQ137*(50/100))) &gt;=6.8),7,
IF(AND( SUM((AO137*(20/100))+(AP137*(30/100))+(AQ137*(50/100))) &lt;=6.8, SUM((AO137*(20/100))+(AP137*(30/100))+(AQ137*(50/100))) &gt;=6.3),6.5,
IF(AND( SUM((AO137*(20/100))+(AP137*(30/100))+(AQ137*(50/100))) &lt;=6.3, SUM((AO137*(20/100))+(AP137*(30/100))+(AQ137*(50/100))) &gt;=5.8),6,
IF(AND( SUM((AO137*(20/100))+(AP137*(30/100))+(AQ137*(50/100))) &lt;=5.8, SUM((AO137*(20/100))+(AP137*(30/100))+(AQ137*(50/100))) &gt;=5.3),5.5,
IF(AND( SUM((AO137*(20/100))+(AP137*(30/100))+(AQ137*(50/100))) &lt;=5.3, SUM((AO137*(20/100))+(AP137*(30/100))+(AQ137*(50/100))) &gt;=4.8),5,
IF(AND( SUM((AO137*(20/100))+(AP137*(30/100))+(AQ137*(50/100))) &lt;=4.8, SUM((AO137*(20/100))+(AP137*(30/100))+(AQ137*(50/100))) &gt;=4.3),4.5,
IF(AND( SUM((AO137*(20/100))+(AP137*(30/100))+(AQ137*(50/100))) &lt;=4.3, SUM((AO137*(20/100))+(AP137*(30/100))+(AQ137*(50/100))) &gt;=3.8),4,
IF(AND( SUM((AO137*(20/100))+(AP137*(30/100))+(AQ137*(50/100))) &lt;=3.8, SUM((AO137*(20/100))+(AP137*(30/100))+(AQ137*(50/100))) &gt;=3.5),3.5,0)))))))))))))</f>
        <v>0</v>
      </c>
      <c r="AS137" s="536"/>
      <c r="AT137" s="536"/>
      <c r="AU137" s="536"/>
      <c r="AV137" s="542">
        <f t="shared" ref="AV137:AV200" si="59">IF( SUM((AS137*(20/100))+(AT137*(30/100))+(AU137*(50/100))) &gt;=9.3,9.5,
IF(AND( SUM((AS137*(20/100))+(AT137*(30/100))+(AU137*(50/100))) &lt;=9.3, SUM((AS137*(20/100))+(AT137*(30/100))+(AU137*(50/100))) &gt;=8.8),9,
IF(AND( SUM((AS137*(20/100))+(AT137*(30/100))+(AU137*(50/100))) &lt;=8.8, SUM((AS137*(20/100))+(AT137*(30/100))+(AU137*(50/100))) &gt;=8.3),8.5,
IF(AND( SUM((AS137*(20/100))+(AT137*(30/100))+(AU137*(50/100))) &lt;=8.3, SUM((AS137*(20/100))+(AT137*(30/100))+(AU137*(50/100))) &gt;=7.8),8,
IF(AND( SUM((AS137*(20/100))+(AT137*(30/100))+(AU137*(50/100))) &lt;=7.8, SUM((AS137*(20/100))+(AT137*(30/100))+(AU137*(50/100))) &gt;=7.3),7.5,
IF(AND( SUM((AS137*(20/100))+(AT137*(30/100))+(AU137*(50/100))) &lt;=7.3, SUM((AS137*(20/100))+(AT137*(30/100))+(AU137*(50/100))) &gt;=6.8),7,
IF(AND( SUM((AS137*(20/100))+(AT137*(30/100))+(AU137*(50/100))) &lt;=6.8, SUM((AS137*(20/100))+(AT137*(30/100))+(AU137*(50/100))) &gt;=6.3),6.5,
IF(AND( SUM((AS137*(20/100))+(AT137*(30/100))+(AU137*(50/100))) &lt;=6.3, SUM((AS137*(20/100))+(AT137*(30/100))+(AU137*(50/100))) &gt;=5.8),6,
IF(AND( SUM((AS137*(20/100))+(AT137*(30/100))+(AU137*(50/100))) &lt;=5.8, SUM((AS137*(20/100))+(AT137*(30/100))+(AU137*(50/100))) &gt;=5.3),5.5,
IF(AND( SUM((AS137*(20/100))+(AT137*(30/100))+(AU137*(50/100))) &lt;=5.3, SUM((AS137*(20/100))+(AT137*(30/100))+(AU137*(50/100))) &gt;=4.8),5,
IF(AND( SUM((AS137*(20/100))+(AT137*(30/100))+(AU137*(50/100))) &lt;=4.8, SUM((AS137*(20/100))+(AT137*(30/100))+(AU137*(50/100))) &gt;=4.3),4.5,
IF(AND( SUM((AS137*(20/100))+(AT137*(30/100))+(AU137*(50/100))) &lt;=4.3, SUM((AS137*(20/100))+(AT137*(30/100))+(AU137*(50/100))) &gt;=3.8),4,
IF(AND( SUM((AS137*(20/100))+(AT137*(30/100))+(AU137*(50/100))) &lt;=3.8, SUM((AS137*(20/100))+(AT137*(30/100))+(AU137*(50/100))) &gt;=3.5),3.5,0)))))))))))))</f>
        <v>0</v>
      </c>
      <c r="AW137" s="536"/>
      <c r="AX137" s="536"/>
      <c r="AY137" s="536"/>
      <c r="AZ137" s="542">
        <f t="shared" ref="AZ137:AZ200" si="60">IF( SUM((AW137*(20/100))+(AX137*(30/100))+(AY137*(50/100))) &gt;=9.3,9.5,
IF(AND( SUM((AW137*(20/100))+(AX137*(30/100))+(AY137*(50/100))) &lt;=9.3, SUM((AW137*(20/100))+(AX137*(30/100))+(AY137*(50/100))) &gt;=8.8),9,
IF(AND( SUM((AW137*(20/100))+(AX137*(30/100))+(AY137*(50/100))) &lt;=8.8, SUM((AW137*(20/100))+(AX137*(30/100))+(AY137*(50/100))) &gt;=8.3),8.5,
IF(AND( SUM((AW137*(20/100))+(AX137*(30/100))+(AY137*(50/100))) &lt;=8.3, SUM((AW137*(20/100))+(AX137*(30/100))+(AY137*(50/100))) &gt;=7.8),8,
IF(AND( SUM((AW137*(20/100))+(AX137*(30/100))+(AY137*(50/100))) &lt;=7.8, SUM((AW137*(20/100))+(AX137*(30/100))+(AY137*(50/100))) &gt;=7.3),7.5,
IF(AND( SUM((AW137*(20/100))+(AX137*(30/100))+(AY137*(50/100))) &lt;=7.3, SUM((AW137*(20/100))+(AX137*(30/100))+(AY137*(50/100))) &gt;=6.8),7,
IF(AND( SUM((AW137*(20/100))+(AX137*(30/100))+(AY137*(50/100))) &lt;=6.8, SUM((AW137*(20/100))+(AX137*(30/100))+(AY137*(50/100))) &gt;=6.3),6.5,
IF(AND( SUM((AW137*(20/100))+(AX137*(30/100))+(AY137*(50/100))) &lt;=6.3, SUM((AW137*(20/100))+(AX137*(30/100))+(AY137*(50/100))) &gt;=5.8),6,
IF(AND( SUM((AW137*(20/100))+(AX137*(30/100))+(AY137*(50/100))) &lt;=5.8, SUM((AW137*(20/100))+(AX137*(30/100))+(AY137*(50/100))) &gt;=5.3),5.5,
IF(AND( SUM((AW137*(20/100))+(AX137*(30/100))+(AY137*(50/100))) &lt;=5.3, SUM((AW137*(20/100))+(AX137*(30/100))+(AY137*(50/100))) &gt;=4.8),5,
IF(AND( SUM((AW137*(20/100))+(AX137*(30/100))+(AY137*(50/100))) &lt;=4.8, SUM((AW137*(20/100))+(AX137*(30/100))+(AY137*(50/100))) &gt;=4.3),4.5,
IF(AND( SUM((AW137*(20/100))+(AX137*(30/100))+(AY137*(50/100))) &lt;=4.3, SUM((AW137*(20/100))+(AX137*(30/100))+(AY137*(50/100))) &gt;=3.8),4,
IF(AND( SUM((AW137*(20/100))+(AX137*(30/100))+(AY137*(50/100))) &lt;=3.8, SUM((AW137*(20/100))+(AX137*(30/100))+(AY137*(50/100))) &gt;=3.5),3.5,0)))))))))))))</f>
        <v>0</v>
      </c>
      <c r="BA137" s="536"/>
      <c r="BB137" s="536"/>
      <c r="BC137" s="536"/>
      <c r="BD137" s="542">
        <f t="shared" ref="BD137:BD200" si="61">IF( SUM((BA137*(20/100))+(BB137*(30/100))+(BC137*(50/100))) &gt;=9.3,9.5,
IF(AND( SUM((BA137*(20/100))+(BB137*(30/100))+(BC137*(50/100))) &lt;=9.3, SUM((BA137*(20/100))+(BB137*(30/100))+(BC137*(50/100))) &gt;=8.8),9,
IF(AND( SUM((BA137*(20/100))+(BB137*(30/100))+(BC137*(50/100))) &lt;=8.8, SUM((BA137*(20/100))+(BB137*(30/100))+(BC137*(50/100))) &gt;=8.3),8.5,
IF(AND( SUM((BA137*(20/100))+(BB137*(30/100))+(BC137*(50/100))) &lt;=8.3, SUM((BA137*(20/100))+(BB137*(30/100))+(BC137*(50/100))) &gt;=7.8),8,
IF(AND( SUM((BA137*(20/100))+(BB137*(30/100))+(BC137*(50/100))) &lt;=7.8, SUM((BA137*(20/100))+(BB137*(30/100))+(BC137*(50/100))) &gt;=7.3),7.5,
IF(AND( SUM((BA137*(20/100))+(BB137*(30/100))+(BC137*(50/100))) &lt;=7.3, SUM((BA137*(20/100))+(BB137*(30/100))+(BC137*(50/100))) &gt;=6.8),7,
IF(AND( SUM((BA137*(20/100))+(BB137*(30/100))+(BC137*(50/100))) &lt;=6.8, SUM((BA137*(20/100))+(BB137*(30/100))+(BC137*(50/100))) &gt;=6.3),6.5,
IF(AND( SUM((BA137*(20/100))+(BB137*(30/100))+(BC137*(50/100))) &lt;=6.3, SUM((BA137*(20/100))+(BB137*(30/100))+(BC137*(50/100))) &gt;=5.8),6,
IF(AND( SUM((BA137*(20/100))+(BB137*(30/100))+(BC137*(50/100))) &lt;=5.8, SUM((BA137*(20/100))+(BB137*(30/100))+(BC137*(50/100))) &gt;=5.3),5.5,
IF(AND( SUM((BA137*(20/100))+(BB137*(30/100))+(BC137*(50/100))) &lt;=5.3, SUM((BA137*(20/100))+(BB137*(30/100))+(BC137*(50/100))) &gt;=4.8),5,
IF(AND( SUM((BA137*(20/100))+(BB137*(30/100))+(BC137*(50/100))) &lt;=4.8, SUM((BA137*(20/100))+(BB137*(30/100))+(BC137*(50/100))) &gt;=4.3),4.5,
IF(AND( SUM((BA137*(20/100))+(BB137*(30/100))+(BC137*(50/100))) &lt;=4.3, SUM((BA137*(20/100))+(BB137*(30/100))+(BC137*(50/100))) &gt;=3.8),4,
IF(AND( SUM((BA137*(20/100))+(BB137*(30/100))+(BC137*(50/100))) &lt;=3.8, SUM((BA137*(20/100))+(BB137*(30/100))+(BC137*(50/100))) &gt;=3.5),3.5,0)))))))))))))</f>
        <v>0</v>
      </c>
      <c r="BE137" s="536"/>
      <c r="BF137" s="536"/>
      <c r="BG137" s="536"/>
      <c r="BH137" s="542">
        <f t="shared" ref="BH137:BH200" si="62">IF( SUM((BE137*(20/100))+(BF137*(30/100))+(BG137*(50/100))) &gt;=9.3,9.5,
IF(AND( SUM((BE137*(20/100))+(BF137*(30/100))+(BG137*(50/100))) &lt;=9.3, SUM((BE137*(20/100))+(BF137*(30/100))+(BG137*(50/100))) &gt;=8.8),9,
IF(AND( SUM((BE137*(20/100))+(BF137*(30/100))+(BG137*(50/100))) &lt;=8.8, SUM((BE137*(20/100))+(BF137*(30/100))+(BG137*(50/100))) &gt;=8.3),8.5,
IF(AND( SUM((BE137*(20/100))+(BF137*(30/100))+(BG137*(50/100))) &lt;=8.3, SUM((BE137*(20/100))+(BF137*(30/100))+(BG137*(50/100))) &gt;=7.8),8,
IF(AND( SUM((BE137*(20/100))+(BF137*(30/100))+(BG137*(50/100))) &lt;=7.8, SUM((BE137*(20/100))+(BF137*(30/100))+(BG137*(50/100))) &gt;=7.3),7.5,
IF(AND( SUM((BE137*(20/100))+(BF137*(30/100))+(BG137*(50/100))) &lt;=7.3, SUM((BE137*(20/100))+(BF137*(30/100))+(BG137*(50/100))) &gt;=6.8),7,
IF(AND( SUM((BE137*(20/100))+(BF137*(30/100))+(BG137*(50/100))) &lt;=6.8, SUM((BE137*(20/100))+(BF137*(30/100))+(BG137*(50/100))) &gt;=6.3),6.5,
IF(AND( SUM((BE137*(20/100))+(BF137*(30/100))+(BG137*(50/100))) &lt;=6.3, SUM((BE137*(20/100))+(BF137*(30/100))+(BG137*(50/100))) &gt;=5.8),6,
IF(AND( SUM((BE137*(20/100))+(BF137*(30/100))+(BG137*(50/100))) &lt;=5.8, SUM((BE137*(20/100))+(BF137*(30/100))+(BG137*(50/100))) &gt;=5.3),5.5,
IF(AND( SUM((BE137*(20/100))+(BF137*(30/100))+(BG137*(50/100))) &lt;=5.3, SUM((BE137*(20/100))+(BF137*(30/100))+(BG137*(50/100))) &gt;=4.8),5,
IF(AND( SUM((BE137*(20/100))+(BF137*(30/100))+(BG137*(50/100))) &lt;=4.8, SUM((BE137*(20/100))+(BF137*(30/100))+(BG137*(50/100))) &gt;=4.3),4.5,
IF(AND( SUM((BE137*(20/100))+(BF137*(30/100))+(BG137*(50/100))) &lt;=4.3, SUM((BE137*(20/100))+(BF137*(30/100))+(BG137*(50/100))) &gt;=3.8),4,
IF(AND( SUM((BE137*(20/100))+(BF137*(30/100))+(BG137*(50/100))) &lt;=3.8, SUM((BE137*(20/100))+(BF137*(30/100))+(BG137*(50/100))) &gt;=3.5),3.5,0)))))))))))))</f>
        <v>0</v>
      </c>
      <c r="BI137" s="536"/>
      <c r="BJ137" s="536"/>
      <c r="BK137" s="536"/>
      <c r="BL137" s="542">
        <f t="shared" ref="BL137:BL200" si="63">IF( SUM((BI137*(20/100))+(BJ137*(30/100))+(BK137*(50/100))) &gt;=9.3,9.5,
IF(AND( SUM((BI137*(20/100))+(BJ137*(30/100))+(BK137*(50/100))) &lt;=9.3, SUM((BI137*(20/100))+(BJ137*(30/100))+(BK137*(50/100))) &gt;=8.8),9,
IF(AND( SUM((BI137*(20/100))+(BJ137*(30/100))+(BK137*(50/100))) &lt;=8.8, SUM((BI137*(20/100))+(BJ137*(30/100))+(BK137*(50/100))) &gt;=8.3),8.5,
IF(AND( SUM((BI137*(20/100))+(BJ137*(30/100))+(BK137*(50/100))) &lt;=8.3, SUM((BI137*(20/100))+(BJ137*(30/100))+(BK137*(50/100))) &gt;=7.8),8,
IF(AND( SUM((BI137*(20/100))+(BJ137*(30/100))+(BK137*(50/100))) &lt;=7.8, SUM((BI137*(20/100))+(BJ137*(30/100))+(BK137*(50/100))) &gt;=7.3),7.5,
IF(AND( SUM((BI137*(20/100))+(BJ137*(30/100))+(BK137*(50/100))) &lt;=7.3, SUM((BI137*(20/100))+(BJ137*(30/100))+(BK137*(50/100))) &gt;=6.8),7,
IF(AND( SUM((BI137*(20/100))+(BJ137*(30/100))+(BK137*(50/100))) &lt;=6.8, SUM((BI137*(20/100))+(BJ137*(30/100))+(BK137*(50/100))) &gt;=6.3),6.5,
IF(AND( SUM((BI137*(20/100))+(BJ137*(30/100))+(BK137*(50/100))) &lt;=6.3, SUM((BI137*(20/100))+(BJ137*(30/100))+(BK137*(50/100))) &gt;=5.8),6,
IF(AND( SUM((BI137*(20/100))+(BJ137*(30/100))+(BK137*(50/100))) &lt;=5.8, SUM((BI137*(20/100))+(BJ137*(30/100))+(BK137*(50/100))) &gt;=5.3),5.5,
IF(AND( SUM((BI137*(20/100))+(BJ137*(30/100))+(BK137*(50/100))) &lt;=5.3, SUM((BI137*(20/100))+(BJ137*(30/100))+(BK137*(50/100))) &gt;=4.8),5,
IF(AND( SUM((BI137*(20/100))+(BJ137*(30/100))+(BK137*(50/100))) &lt;=4.8, SUM((BI137*(20/100))+(BJ137*(30/100))+(BK137*(50/100))) &gt;=4.3),4.5,
IF(AND( SUM((BI137*(20/100))+(BJ137*(30/100))+(BK137*(50/100))) &lt;=4.3, SUM((BI137*(20/100))+(BJ137*(30/100))+(BK137*(50/100))) &gt;=3.8),4,
IF(AND( SUM((BI137*(20/100))+(BJ137*(30/100))+(BK137*(50/100))) &lt;=3.8, SUM((BI137*(20/100))+(BJ137*(30/100))+(BK137*(50/100))) &gt;=3.5),3.5,0)))))))))))))</f>
        <v>0</v>
      </c>
      <c r="BM137" s="536"/>
      <c r="BN137" s="536"/>
      <c r="BO137" s="536"/>
      <c r="BP137" s="542">
        <f t="shared" ref="BP137:BP200" si="64">IF( SUM((BM137*(20/100))+(BN137*(30/100))+(BO137*(50/100))) &gt;=9.3,9.5,
IF(AND( SUM((BM137*(20/100))+(BN137*(30/100))+(BO137*(50/100))) &lt;=9.3, SUM((BM137*(20/100))+(BN137*(30/100))+(BO137*(50/100))) &gt;=8.8),9,
IF(AND( SUM((BM137*(20/100))+(BN137*(30/100))+(BO137*(50/100))) &lt;=8.8, SUM((BM137*(20/100))+(BN137*(30/100))+(BO137*(50/100))) &gt;=8.3),8.5,
IF(AND( SUM((BM137*(20/100))+(BN137*(30/100))+(BO137*(50/100))) &lt;=8.3, SUM((BM137*(20/100))+(BN137*(30/100))+(BO137*(50/100))) &gt;=7.8),8,
IF(AND( SUM((BM137*(20/100))+(BN137*(30/100))+(BO137*(50/100))) &lt;=7.8, SUM((BM137*(20/100))+(BN137*(30/100))+(BO137*(50/100))) &gt;=7.3),7.5,
IF(AND( SUM((BM137*(20/100))+(BN137*(30/100))+(BO137*(50/100))) &lt;=7.3, SUM((BM137*(20/100))+(BN137*(30/100))+(BO137*(50/100))) &gt;=6.8),7,
IF(AND( SUM((BM137*(20/100))+(BN137*(30/100))+(BO137*(50/100))) &lt;=6.8, SUM((BM137*(20/100))+(BN137*(30/100))+(BO137*(50/100))) &gt;=6.3),6.5,
IF(AND( SUM((BM137*(20/100))+(BN137*(30/100))+(BO137*(50/100))) &lt;=6.3, SUM((BM137*(20/100))+(BN137*(30/100))+(BO137*(50/100))) &gt;=5.8),6,
IF(AND( SUM((BM137*(20/100))+(BN137*(30/100))+(BO137*(50/100))) &lt;=5.8, SUM((BM137*(20/100))+(BN137*(30/100))+(BO137*(50/100))) &gt;=5.3),5.5,
IF(AND( SUM((BM137*(20/100))+(BN137*(30/100))+(BO137*(50/100))) &lt;=5.3, SUM((BM137*(20/100))+(BN137*(30/100))+(BO137*(50/100))) &gt;=4.8),5,
IF(AND( SUM((BM137*(20/100))+(BN137*(30/100))+(BO137*(50/100))) &lt;=4.8, SUM((BM137*(20/100))+(BN137*(30/100))+(BO137*(50/100))) &gt;=4.3),4.5,
IF(AND( SUM((BM137*(20/100))+(BN137*(30/100))+(BO137*(50/100))) &lt;=4.3, SUM((BM137*(20/100))+(BN137*(30/100))+(BO137*(50/100))) &gt;=3.8),4,
IF(AND( SUM((BM137*(20/100))+(BN137*(30/100))+(BO137*(50/100))) &lt;=3.8, SUM((BM137*(20/100))+(BN137*(30/100))+(BO137*(50/100))) &gt;=3.5),3.5,0)))))))))))))</f>
        <v>0</v>
      </c>
      <c r="BQ137" s="536"/>
      <c r="BR137" s="536"/>
      <c r="BS137" s="536"/>
      <c r="BT137" s="542">
        <f t="shared" ref="BT137:BT200" si="65">IF( SUM((BQ137*(20/100))+(BR137*(30/100))+(BS137*(50/100))) &gt;=9.3,9.5,
IF(AND( SUM((BQ137*(20/100))+(BR137*(30/100))+(BS137*(50/100))) &lt;=9.3, SUM((BQ137*(20/100))+(BR137*(30/100))+(BS137*(50/100))) &gt;=8.8),9,
IF(AND( SUM((BQ137*(20/100))+(BR137*(30/100))+(BS137*(50/100))) &lt;=8.8, SUM((BQ137*(20/100))+(BR137*(30/100))+(BS137*(50/100))) &gt;=8.3),8.5,
IF(AND( SUM((BQ137*(20/100))+(BR137*(30/100))+(BS137*(50/100))) &lt;=8.3, SUM((BQ137*(20/100))+(BR137*(30/100))+(BS137*(50/100))) &gt;=7.8),8,
IF(AND( SUM((BQ137*(20/100))+(BR137*(30/100))+(BS137*(50/100))) &lt;=7.8, SUM((BQ137*(20/100))+(BR137*(30/100))+(BS137*(50/100))) &gt;=7.3),7.5,
IF(AND( SUM((BQ137*(20/100))+(BR137*(30/100))+(BS137*(50/100))) &lt;=7.3, SUM((BQ137*(20/100))+(BR137*(30/100))+(BS137*(50/100))) &gt;=6.8),7,
IF(AND( SUM((BQ137*(20/100))+(BR137*(30/100))+(BS137*(50/100))) &lt;=6.8, SUM((BQ137*(20/100))+(BR137*(30/100))+(BS137*(50/100))) &gt;=6.3),6.5,
IF(AND( SUM((BQ137*(20/100))+(BR137*(30/100))+(BS137*(50/100))) &lt;=6.3, SUM((BQ137*(20/100))+(BR137*(30/100))+(BS137*(50/100))) &gt;=5.8),6,
IF(AND( SUM((BQ137*(20/100))+(BR137*(30/100))+(BS137*(50/100))) &lt;=5.8, SUM((BQ137*(20/100))+(BR137*(30/100))+(BS137*(50/100))) &gt;=5.3),5.5,
IF(AND( SUM((BQ137*(20/100))+(BR137*(30/100))+(BS137*(50/100))) &lt;=5.3, SUM((BQ137*(20/100))+(BR137*(30/100))+(BS137*(50/100))) &gt;=4.8),5,
IF(AND( SUM((BQ137*(20/100))+(BR137*(30/100))+(BS137*(50/100))) &lt;=4.8, SUM((BQ137*(20/100))+(BR137*(30/100))+(BS137*(50/100))) &gt;=4.3),4.5,
IF(AND( SUM((BQ137*(20/100))+(BR137*(30/100))+(BS137*(50/100))) &lt;=4.3, SUM((BQ137*(20/100))+(BR137*(30/100))+(BS137*(50/100))) &gt;=3.8),4,
IF(AND( SUM((BQ137*(20/100))+(BR137*(30/100))+(BS137*(50/100))) &lt;=3.8, SUM((BQ137*(20/100))+(BR137*(30/100))+(BS137*(50/100))) &gt;=3.5),3.5,0)))))))))))))</f>
        <v>0</v>
      </c>
      <c r="BU137" s="536"/>
      <c r="BV137" s="536"/>
      <c r="BW137" s="536"/>
      <c r="BX137" s="542">
        <f t="shared" ref="BX137:BX200" si="66">IF( SUM((BU137*(20/100))+(BV137*(30/100))+(BW137*(50/100))) &gt;=9.3,9.5,
IF(AND( SUM((BU137*(20/100))+(BV137*(30/100))+(BW137*(50/100))) &lt;=9.3, SUM((BU137*(20/100))+(BV137*(30/100))+(BW137*(50/100))) &gt;=8.8),9,
IF(AND( SUM((BU137*(20/100))+(BV137*(30/100))+(BW137*(50/100))) &lt;=8.8, SUM((BU137*(20/100))+(BV137*(30/100))+(BW137*(50/100))) &gt;=8.3),8.5,
IF(AND( SUM((BU137*(20/100))+(BV137*(30/100))+(BW137*(50/100))) &lt;=8.3, SUM((BU137*(20/100))+(BV137*(30/100))+(BW137*(50/100))) &gt;=7.8),8,
IF(AND( SUM((BU137*(20/100))+(BV137*(30/100))+(BW137*(50/100))) &lt;=7.8, SUM((BU137*(20/100))+(BV137*(30/100))+(BW137*(50/100))) &gt;=7.3),7.5,
IF(AND( SUM((BU137*(20/100))+(BV137*(30/100))+(BW137*(50/100))) &lt;=7.3, SUM((BU137*(20/100))+(BV137*(30/100))+(BW137*(50/100))) &gt;=6.8),7,
IF(AND( SUM((BU137*(20/100))+(BV137*(30/100))+(BW137*(50/100))) &lt;=6.8, SUM((BU137*(20/100))+(BV137*(30/100))+(BW137*(50/100))) &gt;=6.3),6.5,
IF(AND( SUM((BU137*(20/100))+(BV137*(30/100))+(BW137*(50/100))) &lt;=6.3, SUM((BU137*(20/100))+(BV137*(30/100))+(BW137*(50/100))) &gt;=5.8),6,
IF(AND( SUM((BU137*(20/100))+(BV137*(30/100))+(BW137*(50/100))) &lt;=5.8, SUM((BU137*(20/100))+(BV137*(30/100))+(BW137*(50/100))) &gt;=5.3),5.5,
IF(AND( SUM((BU137*(20/100))+(BV137*(30/100))+(BW137*(50/100))) &lt;=5.3, SUM((BU137*(20/100))+(BV137*(30/100))+(BW137*(50/100))) &gt;=4.8),5,
IF(AND( SUM((BU137*(20/100))+(BV137*(30/100))+(BW137*(50/100))) &lt;=4.8, SUM((BU137*(20/100))+(BV137*(30/100))+(BW137*(50/100))) &gt;=4.3),4.5,
IF(AND( SUM((BU137*(20/100))+(BV137*(30/100))+(BW137*(50/100))) &lt;=4.3, SUM((BU137*(20/100))+(BV137*(30/100))+(BW137*(50/100))) &gt;=3.8),4,
IF(AND( SUM((BU137*(20/100))+(BV137*(30/100))+(BW137*(50/100))) &lt;=3.8, SUM((BU137*(20/100))+(BV137*(30/100))+(BW137*(50/100))) &gt;=3.5),3.5,0)))))))))))))</f>
        <v>0</v>
      </c>
      <c r="BY137" s="536"/>
      <c r="BZ137" s="536"/>
      <c r="CA137" s="536"/>
      <c r="CB137" s="542">
        <v>0</v>
      </c>
      <c r="CC137" s="536"/>
      <c r="CD137" s="536"/>
      <c r="CE137" s="536"/>
      <c r="CF137" s="541">
        <f t="shared" ref="CF137:CF200" si="67">IF( SUM((CC137*(20/100))+(CD137*(30/100))+(CE137*(50/100))) &gt;=9.3,9.5,
IF(AND( SUM((CC137*(20/100))+(CD137*(30/100))+(CE137*(50/100))) &lt;=9.3, SUM((CC137*(20/100))+(CD137*(30/100))+(CE137*(50/100))) &gt;=8.8),9,
IF(AND( SUM((CC137*(20/100))+(CD137*(30/100))+(CE137*(50/100))) &lt;=8.8, SUM((CC137*(20/100))+(CD137*(30/100))+(CE137*(50/100))) &gt;=8.3),8.5,
IF(AND( SUM((CC137*(20/100))+(CD137*(30/100))+(CE137*(50/100))) &lt;=8.3, SUM((CC137*(20/100))+(CD137*(30/100))+(CE137*(50/100))) &gt;=7.8),8,
IF(AND( SUM((CC137*(20/100))+(CD137*(30/100))+(CE137*(50/100))) &lt;=7.8, SUM((CC137*(20/100))+(CD137*(30/100))+(CE137*(50/100))) &gt;=7.3),7.5,
IF(AND( SUM((CC137*(20/100))+(CD137*(30/100))+(CE137*(50/100))) &lt;=7.3, SUM((CC137*(20/100))+(CD137*(30/100))+(CE137*(50/100))) &gt;=6.8),7,
IF(AND( SUM((CC137*(20/100))+(CD137*(30/100))+(CE137*(50/100))) &lt;=6.8, SUM((CC137*(20/100))+(CD137*(30/100))+(CE137*(50/100))) &gt;=6.3),6.5,
IF(AND( SUM((CC137*(20/100))+(CD137*(30/100))+(CE137*(50/100))) &lt;=6.3, SUM((CC137*(20/100))+(CD137*(30/100))+(CE137*(50/100))) &gt;=5.8),6,
IF(AND( SUM((CC137*(20/100))+(CD137*(30/100))+(CE137*(50/100))) &lt;=5.8, SUM((CC137*(20/100))+(CD137*(30/100))+(CE137*(50/100))) &gt;=5.3),5.5,
IF(AND( SUM((CC137*(20/100))+(CD137*(30/100))+(CE137*(50/100))) &lt;=5.3, SUM((CC137*(20/100))+(CD137*(30/100))+(CE137*(50/100))) &gt;=4.8),5,
IF(AND( SUM((CC137*(20/100))+(CD137*(30/100))+(CE137*(50/100))) &lt;=4.8, SUM((CC137*(20/100))+(CD137*(30/100))+(CE137*(50/100))) &gt;=4.3),4.5,
IF(AND( SUM((CC137*(20/100))+(CD137*(30/100))+(CE137*(50/100))) &lt;=4.3, SUM((CC137*(20/100))+(CD137*(30/100))+(CE137*(50/100))) &gt;=3.8),4,
IF(AND( SUM((CC137*(20/100))+(CD137*(30/100))+(CE137*(50/100))) &lt;=3.8, SUM((CC137*(20/100))+(CD137*(30/100))+(CE137*(50/100))) &gt;=3.5),3.5,0)))))))))))))</f>
        <v>0</v>
      </c>
      <c r="CG137" s="536"/>
      <c r="CH137" s="536"/>
      <c r="CI137" s="536"/>
      <c r="CJ137" s="541">
        <f t="shared" ref="CJ137:CJ200" si="68">IF( SUM((CG137*(20/100))+(CH137*(30/100))+(CI137*(50/100))) &gt;=9.3,9.5,
IF(AND( SUM((CG137*(20/100))+(CH137*(30/100))+(CI137*(50/100))) &lt;=9.3, SUM((CG137*(20/100))+(CH137*(30/100))+(CI137*(50/100))) &gt;=8.8),9,
IF(AND( SUM((CG137*(20/100))+(CH137*(30/100))+(CI137*(50/100))) &lt;=8.8, SUM((CG137*(20/100))+(CH137*(30/100))+(CI137*(50/100))) &gt;=8.3),8.5,
IF(AND( SUM((CG137*(20/100))+(CH137*(30/100))+(CI137*(50/100))) &lt;=8.3, SUM((CG137*(20/100))+(CH137*(30/100))+(CI137*(50/100))) &gt;=7.8),8,
IF(AND( SUM((CG137*(20/100))+(CH137*(30/100))+(CI137*(50/100))) &lt;=7.8, SUM((CG137*(20/100))+(CH137*(30/100))+(CI137*(50/100))) &gt;=7.3),7.5,
IF(AND( SUM((CG137*(20/100))+(CH137*(30/100))+(CI137*(50/100))) &lt;=7.3, SUM((CG137*(20/100))+(CH137*(30/100))+(CI137*(50/100))) &gt;=6.8),7,
IF(AND( SUM((CG137*(20/100))+(CH137*(30/100))+(CI137*(50/100))) &lt;=6.8, SUM((CG137*(20/100))+(CH137*(30/100))+(CI137*(50/100))) &gt;=6.3),6.5,
IF(AND( SUM((CG137*(20/100))+(CH137*(30/100))+(CI137*(50/100))) &lt;=6.3, SUM((CG137*(20/100))+(CH137*(30/100))+(CI137*(50/100))) &gt;=5.8),6,
IF(AND( SUM((CG137*(20/100))+(CH137*(30/100))+(CI137*(50/100))) &lt;=5.8, SUM((CG137*(20/100))+(CH137*(30/100))+(CI137*(50/100))) &gt;=5.3),5.5,
IF(AND( SUM((CG137*(20/100))+(CH137*(30/100))+(CI137*(50/100))) &lt;=5.3, SUM((CG137*(20/100))+(CH137*(30/100))+(CI137*(50/100))) &gt;=4.8),5,
IF(AND( SUM((CG137*(20/100))+(CH137*(30/100))+(CI137*(50/100))) &lt;=4.8, SUM((CG137*(20/100))+(CH137*(30/100))+(CI137*(50/100))) &gt;=4.3),4.5,
IF(AND( SUM((CG137*(20/100))+(CH137*(30/100))+(CI137*(50/100))) &lt;=4.3, SUM((CG137*(20/100))+(CH137*(30/100))+(CI137*(50/100))) &gt;=3.8),4,
IF(AND( SUM((CG137*(20/100))+(CH137*(30/100))+(CI137*(50/100))) &lt;=3.8, SUM((CG137*(20/100))+(CH137*(30/100))+(CI137*(50/100))) &gt;=3.5),3.5,0)))))))))))))</f>
        <v>0</v>
      </c>
      <c r="CK137" s="536"/>
      <c r="CL137" s="536"/>
      <c r="CM137" s="536"/>
      <c r="CN137" s="541">
        <f t="shared" ref="CN137:CN200" si="69">IF( SUM((CK137*(20/100))+(CL137*(30/100))+(CM137*(50/100))) &gt;=9.3,9.5,
IF(AND( SUM((CK137*(20/100))+(CL137*(30/100))+(CM137*(50/100))) &lt;=9.3, SUM((CK137*(20/100))+(CL137*(30/100))+(CM137*(50/100))) &gt;=8.8),9,
IF(AND( SUM((CK137*(20/100))+(CL137*(30/100))+(CM137*(50/100))) &lt;=8.8, SUM((CK137*(20/100))+(CL137*(30/100))+(CM137*(50/100))) &gt;=8.3),8.5,
IF(AND( SUM((CK137*(20/100))+(CL137*(30/100))+(CM137*(50/100))) &lt;=8.3, SUM((CK137*(20/100))+(CL137*(30/100))+(CM137*(50/100))) &gt;=7.8),8,
IF(AND( SUM((CK137*(20/100))+(CL137*(30/100))+(CM137*(50/100))) &lt;=7.8, SUM((CK137*(20/100))+(CL137*(30/100))+(CM137*(50/100))) &gt;=7.3),7.5,
IF(AND( SUM((CK137*(20/100))+(CL137*(30/100))+(CM137*(50/100))) &lt;=7.3, SUM((CK137*(20/100))+(CL137*(30/100))+(CM137*(50/100))) &gt;=6.8),7,
IF(AND( SUM((CK137*(20/100))+(CL137*(30/100))+(CM137*(50/100))) &lt;=6.8, SUM((CK137*(20/100))+(CL137*(30/100))+(CM137*(50/100))) &gt;=6.3),6.5,
IF(AND( SUM((CK137*(20/100))+(CL137*(30/100))+(CM137*(50/100))) &lt;=6.3, SUM((CK137*(20/100))+(CL137*(30/100))+(CM137*(50/100))) &gt;=5.8),6,
IF(AND( SUM((CK137*(20/100))+(CL137*(30/100))+(CM137*(50/100))) &lt;=5.8, SUM((CK137*(20/100))+(CL137*(30/100))+(CM137*(50/100))) &gt;=5.3),5.5,
IF(AND( SUM((CK137*(20/100))+(CL137*(30/100))+(CM137*(50/100))) &lt;=5.3, SUM((CK137*(20/100))+(CL137*(30/100))+(CM137*(50/100))) &gt;=4.8),5,
IF(AND( SUM((CK137*(20/100))+(CL137*(30/100))+(CM137*(50/100))) &lt;=4.8, SUM((CK137*(20/100))+(CL137*(30/100))+(CM137*(50/100))) &gt;=4.3),4.5,
IF(AND( SUM((CK137*(20/100))+(CL137*(30/100))+(CM137*(50/100))) &lt;=4.3, SUM((CK137*(20/100))+(CL137*(30/100))+(CM137*(50/100))) &gt;=3.8),4,
IF(AND( SUM((CK137*(20/100))+(CL137*(30/100))+(CM137*(50/100))) &lt;=3.8, SUM((CK137*(20/100))+(CL137*(30/100))+(CM137*(50/100))) &gt;=3.5),3.5,0)))))))))))))</f>
        <v>0</v>
      </c>
      <c r="CO137" s="536"/>
      <c r="CP137" s="536"/>
      <c r="CQ137" s="536"/>
      <c r="CR137" s="541">
        <f t="shared" ref="CR137:CR200" si="70">IF( SUM((CO137*(20/100))+(CP137*(30/100))+(CQ137*(50/100))) &gt;=9.3,9.5,
IF(AND( SUM((CO137*(20/100))+(CP137*(30/100))+(CQ137*(50/100))) &lt;=9.3, SUM((CO137*(20/100))+(CP137*(30/100))+(CQ137*(50/100))) &gt;=8.8),9,
IF(AND( SUM((CO137*(20/100))+(CP137*(30/100))+(CQ137*(50/100))) &lt;=8.8, SUM((CO137*(20/100))+(CP137*(30/100))+(CQ137*(50/100))) &gt;=8.3),8.5,
IF(AND( SUM((CO137*(20/100))+(CP137*(30/100))+(CQ137*(50/100))) &lt;=8.3, SUM((CO137*(20/100))+(CP137*(30/100))+(CQ137*(50/100))) &gt;=7.8),8,
IF(AND( SUM((CO137*(20/100))+(CP137*(30/100))+(CQ137*(50/100))) &lt;=7.8, SUM((CO137*(20/100))+(CP137*(30/100))+(CQ137*(50/100))) &gt;=7.3),7.5,
IF(AND( SUM((CO137*(20/100))+(CP137*(30/100))+(CQ137*(50/100))) &lt;=7.3, SUM((CO137*(20/100))+(CP137*(30/100))+(CQ137*(50/100))) &gt;=6.8),7,
IF(AND( SUM((CO137*(20/100))+(CP137*(30/100))+(CQ137*(50/100))) &lt;=6.8, SUM((CO137*(20/100))+(CP137*(30/100))+(CQ137*(50/100))) &gt;=6.3),6.5,
IF(AND( SUM((CO137*(20/100))+(CP137*(30/100))+(CQ137*(50/100))) &lt;=6.3, SUM((CO137*(20/100))+(CP137*(30/100))+(CQ137*(50/100))) &gt;=5.8),6,
IF(AND( SUM((CO137*(20/100))+(CP137*(30/100))+(CQ137*(50/100))) &lt;=5.8, SUM((CO137*(20/100))+(CP137*(30/100))+(CQ137*(50/100))) &gt;=5.3),5.5,
IF(AND( SUM((CO137*(20/100))+(CP137*(30/100))+(CQ137*(50/100))) &lt;=5.3, SUM((CO137*(20/100))+(CP137*(30/100))+(CQ137*(50/100))) &gt;=4.8),5,
IF(AND( SUM((CO137*(20/100))+(CP137*(30/100))+(CQ137*(50/100))) &lt;=4.8, SUM((CO137*(20/100))+(CP137*(30/100))+(CQ137*(50/100))) &gt;=4.3),4.5,
IF(AND( SUM((CO137*(20/100))+(CP137*(30/100))+(CQ137*(50/100))) &lt;=4.3, SUM((CO137*(20/100))+(CP137*(30/100))+(CQ137*(50/100))) &gt;=3.8),4,
IF(AND( SUM((CO137*(20/100))+(CP137*(30/100))+(CQ137*(50/100))) &lt;=3.8, SUM((CO137*(20/100))+(CP137*(30/100))+(CQ137*(50/100))) &gt;=3.5),3.5,0)))))))))))))</f>
        <v>0</v>
      </c>
      <c r="CS137" s="536"/>
      <c r="CT137" s="536"/>
      <c r="CU137" s="536"/>
      <c r="CV137" s="541">
        <f t="shared" ref="CV137:CV200" si="71">IF( SUM((CS137*(20/100))+(CT137*(30/100))+(CU137*(50/100))) &gt;=9.3,9.5,
IF(AND( SUM((CS137*(20/100))+(CT137*(30/100))+(CU137*(50/100))) &lt;=9.3, SUM((CS137*(20/100))+(CT137*(30/100))+(CU137*(50/100))) &gt;=8.8),9,
IF(AND( SUM((CS137*(20/100))+(CT137*(30/100))+(CU137*(50/100))) &lt;=8.8, SUM((CS137*(20/100))+(CT137*(30/100))+(CU137*(50/100))) &gt;=8.3),8.5,
IF(AND( SUM((CS137*(20/100))+(CT137*(30/100))+(CU137*(50/100))) &lt;=8.3, SUM((CS137*(20/100))+(CT137*(30/100))+(CU137*(50/100))) &gt;=7.8),8,
IF(AND( SUM((CS137*(20/100))+(CT137*(30/100))+(CU137*(50/100))) &lt;=7.8, SUM((CS137*(20/100))+(CT137*(30/100))+(CU137*(50/100))) &gt;=7.3),7.5,
IF(AND( SUM((CS137*(20/100))+(CT137*(30/100))+(CU137*(50/100))) &lt;=7.3, SUM((CS137*(20/100))+(CT137*(30/100))+(CU137*(50/100))) &gt;=6.8),7,
IF(AND( SUM((CS137*(20/100))+(CT137*(30/100))+(CU137*(50/100))) &lt;=6.8, SUM((CS137*(20/100))+(CT137*(30/100))+(CU137*(50/100))) &gt;=6.3),6.5,
IF(AND( SUM((CS137*(20/100))+(CT137*(30/100))+(CU137*(50/100))) &lt;=6.3, SUM((CS137*(20/100))+(CT137*(30/100))+(CU137*(50/100))) &gt;=5.8),6,
IF(AND( SUM((CS137*(20/100))+(CT137*(30/100))+(CU137*(50/100))) &lt;=5.8, SUM((CS137*(20/100))+(CT137*(30/100))+(CU137*(50/100))) &gt;=5.3),5.5,
IF(AND( SUM((CS137*(20/100))+(CT137*(30/100))+(CU137*(50/100))) &lt;=5.3, SUM((CS137*(20/100))+(CT137*(30/100))+(CU137*(50/100))) &gt;=4.8),5,
IF(AND( SUM((CS137*(20/100))+(CT137*(30/100))+(CU137*(50/100))) &lt;=4.8, SUM((CS137*(20/100))+(CT137*(30/100))+(CU137*(50/100))) &gt;=4.3),4.5,
IF(AND( SUM((CS137*(20/100))+(CT137*(30/100))+(CU137*(50/100))) &lt;=4.3, SUM((CS137*(20/100))+(CT137*(30/100))+(CU137*(50/100))) &gt;=3.8),4,
IF(AND( SUM((CS137*(20/100))+(CT137*(30/100))+(CU137*(50/100))) &lt;=3.8, SUM((CS137*(20/100))+(CT137*(30/100))+(CU137*(50/100))) &gt;=3.5),3.5,0)))))))))))))</f>
        <v>0</v>
      </c>
      <c r="CW137" s="536"/>
      <c r="CX137" s="536"/>
      <c r="CY137" s="536"/>
      <c r="CZ137" s="541">
        <f t="shared" ref="CZ137:CZ200" si="72">IF( SUM((CW137*(20/100))+(CX137*(30/100))+(CY137*(50/100))) &gt;=9.3,9.5,
IF(AND( SUM((CW137*(20/100))+(CX137*(30/100))+(CY137*(50/100))) &lt;=9.3, SUM((CW137*(20/100))+(CX137*(30/100))+(CY137*(50/100))) &gt;=8.8),9,
IF(AND( SUM((CW137*(20/100))+(CX137*(30/100))+(CY137*(50/100))) &lt;=8.8, SUM((CW137*(20/100))+(CX137*(30/100))+(CY137*(50/100))) &gt;=8.3),8.5,
IF(AND( SUM((CW137*(20/100))+(CX137*(30/100))+(CY137*(50/100))) &lt;=8.3, SUM((CW137*(20/100))+(CX137*(30/100))+(CY137*(50/100))) &gt;=7.8),8,
IF(AND( SUM((CW137*(20/100))+(CX137*(30/100))+(CY137*(50/100))) &lt;=7.8, SUM((CW137*(20/100))+(CX137*(30/100))+(CY137*(50/100))) &gt;=7.3),7.5,
IF(AND( SUM((CW137*(20/100))+(CX137*(30/100))+(CY137*(50/100))) &lt;=7.3, SUM((CW137*(20/100))+(CX137*(30/100))+(CY137*(50/100))) &gt;=6.8),7,
IF(AND( SUM((CW137*(20/100))+(CX137*(30/100))+(CY137*(50/100))) &lt;=6.8, SUM((CW137*(20/100))+(CX137*(30/100))+(CY137*(50/100))) &gt;=6.3),6.5,
IF(AND( SUM((CW137*(20/100))+(CX137*(30/100))+(CY137*(50/100))) &lt;=6.3, SUM((CW137*(20/100))+(CX137*(30/100))+(CY137*(50/100))) &gt;=5.8),6,
IF(AND( SUM((CW137*(20/100))+(CX137*(30/100))+(CY137*(50/100))) &lt;=5.8, SUM((CW137*(20/100))+(CX137*(30/100))+(CY137*(50/100))) &gt;=5.3),5.5,
IF(AND( SUM((CW137*(20/100))+(CX137*(30/100))+(CY137*(50/100))) &lt;=5.3, SUM((CW137*(20/100))+(CX137*(30/100))+(CY137*(50/100))) &gt;=4.8),5,
IF(AND( SUM((CW137*(20/100))+(CX137*(30/100))+(CY137*(50/100))) &lt;=4.8, SUM((CW137*(20/100))+(CX137*(30/100))+(CY137*(50/100))) &gt;=4.3),4.5,
IF(AND( SUM((CW137*(20/100))+(CX137*(30/100))+(CY137*(50/100))) &lt;=4.3, SUM((CW137*(20/100))+(CX137*(30/100))+(CY137*(50/100))) &gt;=3.8),4,
IF(AND( SUM((CW137*(20/100))+(CX137*(30/100))+(CY137*(50/100))) &lt;=3.8, SUM((CW137*(20/100))+(CX137*(30/100))+(CY137*(50/100))) &gt;=3.5),3.5,0)))))))))))))</f>
        <v>0</v>
      </c>
      <c r="DA137" s="536"/>
      <c r="DB137" s="536"/>
      <c r="DC137" s="536"/>
      <c r="DD137" s="541">
        <f t="shared" ref="DD137:DD200" si="73">IF( SUM((DA137*(20/100))+(DB137*(30/100))+(DC137*(50/100))) &gt;=9.3,9.5,
IF(AND( SUM((DA137*(20/100))+(DB137*(30/100))+(DC137*(50/100))) &lt;=9.3, SUM((DA137*(20/100))+(DB137*(30/100))+(DC137*(50/100))) &gt;=8.8),9,
IF(AND( SUM((DA137*(20/100))+(DB137*(30/100))+(DC137*(50/100))) &lt;=8.8, SUM((DA137*(20/100))+(DB137*(30/100))+(DC137*(50/100))) &gt;=8.3),8.5,
IF(AND( SUM((DA137*(20/100))+(DB137*(30/100))+(DC137*(50/100))) &lt;=8.3, SUM((DA137*(20/100))+(DB137*(30/100))+(DC137*(50/100))) &gt;=7.8),8,
IF(AND( SUM((DA137*(20/100))+(DB137*(30/100))+(DC137*(50/100))) &lt;=7.8, SUM((DA137*(20/100))+(DB137*(30/100))+(DC137*(50/100))) &gt;=7.3),7.5,
IF(AND( SUM((DA137*(20/100))+(DB137*(30/100))+(DC137*(50/100))) &lt;=7.3, SUM((DA137*(20/100))+(DB137*(30/100))+(DC137*(50/100))) &gt;=6.8),7,
IF(AND( SUM((DA137*(20/100))+(DB137*(30/100))+(DC137*(50/100))) &lt;=6.8, SUM((DA137*(20/100))+(DB137*(30/100))+(DC137*(50/100))) &gt;=6.3),6.5,
IF(AND( SUM((DA137*(20/100))+(DB137*(30/100))+(DC137*(50/100))) &lt;=6.3, SUM((DA137*(20/100))+(DB137*(30/100))+(DC137*(50/100))) &gt;=5.8),6,
IF(AND( SUM((DA137*(20/100))+(DB137*(30/100))+(DC137*(50/100))) &lt;=5.8, SUM((DA137*(20/100))+(DB137*(30/100))+(DC137*(50/100))) &gt;=5.3),5.5,
IF(AND( SUM((DA137*(20/100))+(DB137*(30/100))+(DC137*(50/100))) &lt;=5.3, SUM((DA137*(20/100))+(DB137*(30/100))+(DC137*(50/100))) &gt;=4.8),5,
IF(AND( SUM((DA137*(20/100))+(DB137*(30/100))+(DC137*(50/100))) &lt;=4.8, SUM((DA137*(20/100))+(DB137*(30/100))+(DC137*(50/100))) &gt;=4.3),4.5,
IF(AND( SUM((DA137*(20/100))+(DB137*(30/100))+(DC137*(50/100))) &lt;=4.3, SUM((DA137*(20/100))+(DB137*(30/100))+(DC137*(50/100))) &gt;=3.8),4,
IF(AND( SUM((DA137*(20/100))+(DB137*(30/100))+(DC137*(50/100))) &lt;=3.8, SUM((DA137*(20/100))+(DB137*(30/100))+(DC137*(50/100))) &gt;=3.5),3.5,0)))))))))))))</f>
        <v>0</v>
      </c>
      <c r="DE137" s="536"/>
      <c r="DF137" s="536"/>
      <c r="DG137" s="536"/>
      <c r="DH137" s="541">
        <f t="shared" ref="DH137:DH200" si="74">IF( SUM((DE137*(20/100))+(DF137*(30/100))+(DG137*(50/100))) &gt;=9.3,9.5,
IF(AND( SUM((DE137*(20/100))+(DF137*(30/100))+(DG137*(50/100))) &lt;=9.3, SUM((DE137*(20/100))+(DF137*(30/100))+(DG137*(50/100))) &gt;=8.8),9,
IF(AND( SUM((DE137*(20/100))+(DF137*(30/100))+(DG137*(50/100))) &lt;=8.8, SUM((DE137*(20/100))+(DF137*(30/100))+(DG137*(50/100))) &gt;=8.3),8.5,
IF(AND( SUM((DE137*(20/100))+(DF137*(30/100))+(DG137*(50/100))) &lt;=8.3, SUM((DE137*(20/100))+(DF137*(30/100))+(DG137*(50/100))) &gt;=7.8),8,
IF(AND( SUM((DE137*(20/100))+(DF137*(30/100))+(DG137*(50/100))) &lt;=7.8, SUM((DE137*(20/100))+(DF137*(30/100))+(DG137*(50/100))) &gt;=7.3),7.5,
IF(AND( SUM((DE137*(20/100))+(DF137*(30/100))+(DG137*(50/100))) &lt;=7.3, SUM((DE137*(20/100))+(DF137*(30/100))+(DG137*(50/100))) &gt;=6.8),7,
IF(AND( SUM((DE137*(20/100))+(DF137*(30/100))+(DG137*(50/100))) &lt;=6.8, SUM((DE137*(20/100))+(DF137*(30/100))+(DG137*(50/100))) &gt;=6.3),6.5,
IF(AND( SUM((DE137*(20/100))+(DF137*(30/100))+(DG137*(50/100))) &lt;=6.3, SUM((DE137*(20/100))+(DF137*(30/100))+(DG137*(50/100))) &gt;=5.8),6,
IF(AND( SUM((DE137*(20/100))+(DF137*(30/100))+(DG137*(50/100))) &lt;=5.8, SUM((DE137*(20/100))+(DF137*(30/100))+(DG137*(50/100))) &gt;=5.3),5.5,
IF(AND( SUM((DE137*(20/100))+(DF137*(30/100))+(DG137*(50/100))) &lt;=5.3, SUM((DE137*(20/100))+(DF137*(30/100))+(DG137*(50/100))) &gt;=4.8),5,
IF(AND( SUM((DE137*(20/100))+(DF137*(30/100))+(DG137*(50/100))) &lt;=4.8, SUM((DE137*(20/100))+(DF137*(30/100))+(DG137*(50/100))) &gt;=4.3),4.5,
IF(AND( SUM((DE137*(20/100))+(DF137*(30/100))+(DG137*(50/100))) &lt;=4.3, SUM((DE137*(20/100))+(DF137*(30/100))+(DG137*(50/100))) &gt;=3.8),4,
IF(AND( SUM((DE137*(20/100))+(DF137*(30/100))+(DG137*(50/100))) &lt;=3.8, SUM((DE137*(20/100))+(DF137*(30/100))+(DG137*(50/100))) &gt;=3.5),3.5,0)))))))))))))</f>
        <v>0</v>
      </c>
      <c r="DI137" s="536"/>
      <c r="DJ137" s="536"/>
      <c r="DK137" s="536"/>
      <c r="DL137" s="541">
        <f t="shared" ref="DL137:DL200" si="75">IF( SUM((DI137*(20/100))+(DJ137*(30/100))+(DK137*(50/100))) &gt;=9.3,9.5,
IF(AND( SUM((DI137*(20/100))+(DJ137*(30/100))+(DK137*(50/100))) &lt;=9.3, SUM((DI137*(20/100))+(DJ137*(30/100))+(DK137*(50/100))) &gt;=8.8),9,
IF(AND( SUM((DI137*(20/100))+(DJ137*(30/100))+(DK137*(50/100))) &lt;=8.8, SUM((DI137*(20/100))+(DJ137*(30/100))+(DK137*(50/100))) &gt;=8.3),8.5,
IF(AND( SUM((DI137*(20/100))+(DJ137*(30/100))+(DK137*(50/100))) &lt;=8.3, SUM((DI137*(20/100))+(DJ137*(30/100))+(DK137*(50/100))) &gt;=7.8),8,
IF(AND( SUM((DI137*(20/100))+(DJ137*(30/100))+(DK137*(50/100))) &lt;=7.8, SUM((DI137*(20/100))+(DJ137*(30/100))+(DK137*(50/100))) &gt;=7.3),7.5,
IF(AND( SUM((DI137*(20/100))+(DJ137*(30/100))+(DK137*(50/100))) &lt;=7.3, SUM((DI137*(20/100))+(DJ137*(30/100))+(DK137*(50/100))) &gt;=6.8),7,
IF(AND( SUM((DI137*(20/100))+(DJ137*(30/100))+(DK137*(50/100))) &lt;=6.8, SUM((DI137*(20/100))+(DJ137*(30/100))+(DK137*(50/100))) &gt;=6.3),6.5,
IF(AND( SUM((DI137*(20/100))+(DJ137*(30/100))+(DK137*(50/100))) &lt;=6.3, SUM((DI137*(20/100))+(DJ137*(30/100))+(DK137*(50/100))) &gt;=5.8),6,
IF(AND( SUM((DI137*(20/100))+(DJ137*(30/100))+(DK137*(50/100))) &lt;=5.8, SUM((DI137*(20/100))+(DJ137*(30/100))+(DK137*(50/100))) &gt;=5.3),5.5,
IF(AND( SUM((DI137*(20/100))+(DJ137*(30/100))+(DK137*(50/100))) &lt;=5.3, SUM((DI137*(20/100))+(DJ137*(30/100))+(DK137*(50/100))) &gt;=4.8),5,
IF(AND( SUM((DI137*(20/100))+(DJ137*(30/100))+(DK137*(50/100))) &lt;=4.8, SUM((DI137*(20/100))+(DJ137*(30/100))+(DK137*(50/100))) &gt;=4.3),4.5,
IF(AND( SUM((DI137*(20/100))+(DJ137*(30/100))+(DK137*(50/100))) &lt;=4.3, SUM((DI137*(20/100))+(DJ137*(30/100))+(DK137*(50/100))) &gt;=3.8),4,
IF(AND( SUM((DI137*(20/100))+(DJ137*(30/100))+(DK137*(50/100))) &lt;=3.8, SUM((DI137*(20/100))+(DJ137*(30/100))+(DK137*(50/100))) &gt;=3.5),3.5,0)))))))))))))</f>
        <v>0</v>
      </c>
      <c r="DM137" s="536"/>
      <c r="DN137" s="536"/>
      <c r="DO137" s="536"/>
      <c r="DP137" s="541">
        <f>IF( SUM((DJ137*(20/100))+(DK137*(30/100))+(DL137*(50/100))) &gt;=9.3,9.5,
IF(AND( SUM((DJ137*(20/100))+(DK137*(30/100))+(DL137*(50/100))) &lt;=9.3, SUM((DJ137*(20/100))+(DK137*(30/100))+(DL137*(50/100))) &gt;=8.8),9,
IF(AND( SUM((DJ137*(20/100))+(DK137*(30/100))+(DL137*(50/100))) &lt;=8.8, SUM((DJ137*(20/100))+(DK137*(30/100))+(DL137*(50/100))) &gt;=8.3),8.5,
IF(AND( SUM((DJ137*(20/100))+(DK137*(30/100))+(DL137*(50/100))) &lt;=8.3, SUM((DJ137*(20/100))+(DK137*(30/100))+(DL137*(50/100))) &gt;=7.8),8,
IF(AND( SUM((DJ137*(20/100))+(DK137*(30/100))+(DL137*(50/100))) &lt;=7.8, SUM((DJ137*(20/100))+(DK137*(30/100))+(DL137*(50/100))) &gt;=7.3),7.5,
IF(AND( SUM((DJ137*(20/100))+(DK137*(30/100))+(DL137*(50/100))) &lt;=7.3, SUM((DJ137*(20/100))+(DK137*(30/100))+(DL137*(50/100))) &gt;=6.8),7,
IF(AND( SUM((DJ137*(20/100))+(DK137*(30/100))+(DL137*(50/100))) &lt;=6.8, SUM((DJ137*(20/100))+(DK137*(30/100))+(DL137*(50/100))) &gt;=6.3),6.5,
IF(AND( SUM((DJ137*(20/100))+(DK137*(30/100))+(DL137*(50/100))) &lt;=6.3, SUM((DJ137*(20/100))+(DK137*(30/100))+(DL137*(50/100))) &gt;=5.8),6,
IF(AND( SUM((DJ137*(20/100))+(DK137*(30/100))+(DL137*(50/100))) &lt;=5.8, SUM((DJ137*(20/100))+(DK137*(30/100))+(DL137*(50/100))) &gt;=5.3),5.5,
IF(AND( SUM((DJ137*(20/100))+(DK137*(30/100))+(DL137*(50/100))) &lt;=5.3, SUM((DJ137*(20/100))+(DK137*(30/100))+(DL137*(50/100))) &gt;=4.8),5,
IF(AND( SUM((DJ137*(20/100))+(DK137*(30/100))+(DL137*(50/100))) &lt;=4.8, SUM((DJ137*(20/100))+(DK137*(30/100))+(DL137*(50/100))) &gt;=4.3),4.5,
IF(AND( SUM((DJ137*(20/100))+(DK137*(30/100))+(DL137*(50/100))) &lt;=4.3, SUM((DJ137*(20/100))+(DK137*(30/100))+(DL137*(50/100))) &gt;=3.8),4,
IF(AND( SUM((DJ137*(20/100))+(DK137*(30/100))+(DL137*(50/100))) &lt;=3.8, SUM((DJ137*(20/100))+(DK137*(30/100))+(DL137*(50/100))) &gt;=3.5),3.5,0)))))))))))))</f>
        <v>0</v>
      </c>
      <c r="DQ137" s="541"/>
      <c r="DR137" s="541"/>
      <c r="DS137" s="541"/>
      <c r="DT137" s="541"/>
      <c r="DU137" s="541"/>
      <c r="DV137" s="541"/>
      <c r="DW137" s="541"/>
      <c r="DX137" s="541"/>
      <c r="DY137" s="541"/>
      <c r="DZ137" s="541"/>
    </row>
    <row r="138" spans="2:130" x14ac:dyDescent="0.25">
      <c r="B138" s="334">
        <v>31</v>
      </c>
      <c r="C138" s="541"/>
      <c r="D138" s="334"/>
      <c r="E138" s="334"/>
      <c r="F138" s="334"/>
      <c r="G138" s="334"/>
      <c r="H138" s="334"/>
      <c r="I138" s="334"/>
      <c r="J138" s="536"/>
      <c r="K138" s="536"/>
      <c r="L138" s="536"/>
      <c r="M138" s="536"/>
      <c r="N138" s="536"/>
      <c r="O138" s="536"/>
      <c r="P138" s="536">
        <f t="shared" si="51"/>
        <v>0</v>
      </c>
      <c r="Q138" s="536"/>
      <c r="R138" s="536"/>
      <c r="S138" s="536"/>
      <c r="T138" s="536">
        <f t="shared" si="52"/>
        <v>0</v>
      </c>
      <c r="U138" s="536"/>
      <c r="V138" s="536"/>
      <c r="W138" s="536"/>
      <c r="X138" s="536">
        <f t="shared" si="53"/>
        <v>0</v>
      </c>
      <c r="Y138" s="536"/>
      <c r="Z138" s="536"/>
      <c r="AA138" s="536"/>
      <c r="AB138" s="536">
        <f t="shared" si="54"/>
        <v>0</v>
      </c>
      <c r="AC138" s="536"/>
      <c r="AD138" s="536"/>
      <c r="AE138" s="536"/>
      <c r="AF138" s="536">
        <f t="shared" si="55"/>
        <v>0</v>
      </c>
      <c r="AG138" s="536"/>
      <c r="AH138" s="536"/>
      <c r="AI138" s="536"/>
      <c r="AJ138" s="536">
        <f t="shared" si="56"/>
        <v>0</v>
      </c>
      <c r="AK138" s="536"/>
      <c r="AL138" s="536"/>
      <c r="AM138" s="536"/>
      <c r="AN138" s="542">
        <f t="shared" si="57"/>
        <v>0</v>
      </c>
      <c r="AO138" s="536"/>
      <c r="AP138" s="536"/>
      <c r="AQ138" s="536"/>
      <c r="AR138" s="542">
        <f t="shared" si="58"/>
        <v>0</v>
      </c>
      <c r="AS138" s="536"/>
      <c r="AT138" s="536"/>
      <c r="AU138" s="536"/>
      <c r="AV138" s="542">
        <f t="shared" si="59"/>
        <v>0</v>
      </c>
      <c r="AW138" s="536"/>
      <c r="AX138" s="536"/>
      <c r="AY138" s="536"/>
      <c r="AZ138" s="542">
        <f t="shared" si="60"/>
        <v>0</v>
      </c>
      <c r="BA138" s="536"/>
      <c r="BB138" s="536"/>
      <c r="BC138" s="536"/>
      <c r="BD138" s="542">
        <f t="shared" si="61"/>
        <v>0</v>
      </c>
      <c r="BE138" s="536"/>
      <c r="BF138" s="536"/>
      <c r="BG138" s="536"/>
      <c r="BH138" s="542">
        <f t="shared" si="62"/>
        <v>0</v>
      </c>
      <c r="BI138" s="536"/>
      <c r="BJ138" s="536"/>
      <c r="BK138" s="536"/>
      <c r="BL138" s="542">
        <f t="shared" si="63"/>
        <v>0</v>
      </c>
      <c r="BM138" s="536"/>
      <c r="BN138" s="536"/>
      <c r="BO138" s="536"/>
      <c r="BP138" s="542">
        <f t="shared" si="64"/>
        <v>0</v>
      </c>
      <c r="BQ138" s="536"/>
      <c r="BR138" s="536"/>
      <c r="BS138" s="536"/>
      <c r="BT138" s="542">
        <f t="shared" si="65"/>
        <v>0</v>
      </c>
      <c r="BU138" s="536"/>
      <c r="BV138" s="536"/>
      <c r="BW138" s="536"/>
      <c r="BX138" s="542">
        <f t="shared" si="66"/>
        <v>0</v>
      </c>
      <c r="BY138" s="536"/>
      <c r="BZ138" s="536"/>
      <c r="CA138" s="536"/>
      <c r="CB138" s="542">
        <v>0</v>
      </c>
      <c r="CC138" s="536"/>
      <c r="CD138" s="536"/>
      <c r="CE138" s="536"/>
      <c r="CF138" s="541">
        <f t="shared" si="67"/>
        <v>0</v>
      </c>
      <c r="CG138" s="536"/>
      <c r="CH138" s="536"/>
      <c r="CI138" s="536"/>
      <c r="CJ138" s="541">
        <f t="shared" si="68"/>
        <v>0</v>
      </c>
      <c r="CK138" s="536"/>
      <c r="CL138" s="536"/>
      <c r="CM138" s="536"/>
      <c r="CN138" s="541">
        <f t="shared" si="69"/>
        <v>0</v>
      </c>
      <c r="CO138" s="536"/>
      <c r="CP138" s="536"/>
      <c r="CQ138" s="536"/>
      <c r="CR138" s="541">
        <f t="shared" si="70"/>
        <v>0</v>
      </c>
      <c r="CS138" s="536"/>
      <c r="CT138" s="536"/>
      <c r="CU138" s="536"/>
      <c r="CV138" s="541">
        <f t="shared" si="71"/>
        <v>0</v>
      </c>
      <c r="CW138" s="536"/>
      <c r="CX138" s="536"/>
      <c r="CY138" s="536"/>
      <c r="CZ138" s="541">
        <f t="shared" si="72"/>
        <v>0</v>
      </c>
      <c r="DA138" s="536"/>
      <c r="DB138" s="536"/>
      <c r="DC138" s="536"/>
      <c r="DD138" s="541">
        <f t="shared" si="73"/>
        <v>0</v>
      </c>
      <c r="DE138" s="536"/>
      <c r="DF138" s="536"/>
      <c r="DG138" s="536"/>
      <c r="DH138" s="541">
        <f t="shared" si="74"/>
        <v>0</v>
      </c>
      <c r="DI138" s="536"/>
      <c r="DJ138" s="536"/>
      <c r="DK138" s="536"/>
      <c r="DL138" s="541">
        <f t="shared" si="75"/>
        <v>0</v>
      </c>
      <c r="DM138" s="536"/>
      <c r="DN138" s="536"/>
      <c r="DO138" s="536"/>
      <c r="DP138" s="541">
        <f>IF( SUM((DJ138*(20/100))+(DK138*(30/100))+(DL138*(50/100))) &gt;=9.3,9.5,
IF(AND( SUM((DJ138*(20/100))+(DK138*(30/100))+(DL138*(50/100))) &lt;=9.3, SUM((DJ138*(20/100))+(DK138*(30/100))+(DL138*(50/100))) &gt;=8.8),9,
IF(AND( SUM((DJ138*(20/100))+(DK138*(30/100))+(DL138*(50/100))) &lt;=8.8, SUM((DJ138*(20/100))+(DK138*(30/100))+(DL138*(50/100))) &gt;=8.3),8.5,
IF(AND( SUM((DJ138*(20/100))+(DK138*(30/100))+(DL138*(50/100))) &lt;=8.3, SUM((DJ138*(20/100))+(DK138*(30/100))+(DL138*(50/100))) &gt;=7.8),8,
IF(AND( SUM((DJ138*(20/100))+(DK138*(30/100))+(DL138*(50/100))) &lt;=7.8, SUM((DJ138*(20/100))+(DK138*(30/100))+(DL138*(50/100))) &gt;=7.3),7.5,
IF(AND( SUM((DJ138*(20/100))+(DK138*(30/100))+(DL138*(50/100))) &lt;=7.3, SUM((DJ138*(20/100))+(DK138*(30/100))+(DL138*(50/100))) &gt;=6.8),7,
IF(AND( SUM((DJ138*(20/100))+(DK138*(30/100))+(DL138*(50/100))) &lt;=6.8, SUM((DJ138*(20/100))+(DK138*(30/100))+(DL138*(50/100))) &gt;=6.3),6.5,
IF(AND( SUM((DJ138*(20/100))+(DK138*(30/100))+(DL138*(50/100))) &lt;=6.3, SUM((DJ138*(20/100))+(DK138*(30/100))+(DL138*(50/100))) &gt;=5.8),6,
IF(AND( SUM((DJ138*(20/100))+(DK138*(30/100))+(DL138*(50/100))) &lt;=5.8, SUM((DJ138*(20/100))+(DK138*(30/100))+(DL138*(50/100))) &gt;=5.3),5.5,
IF(AND( SUM((DJ138*(20/100))+(DK138*(30/100))+(DL138*(50/100))) &lt;=5.3, SUM((DJ138*(20/100))+(DK138*(30/100))+(DL138*(50/100))) &gt;=4.8),5,
IF(AND( SUM((DJ138*(20/100))+(DK138*(30/100))+(DL138*(50/100))) &lt;=4.8, SUM((DJ138*(20/100))+(DK138*(30/100))+(DL138*(50/100))) &gt;=4.3),4.5,
IF(AND( SUM((DJ138*(20/100))+(DK138*(30/100))+(DL138*(50/100))) &lt;=4.3, SUM((DJ138*(20/100))+(DK138*(30/100))+(DL138*(50/100))) &gt;=3.8),4,
IF(AND( SUM((DJ138*(20/100))+(DK138*(30/100))+(DL138*(50/100))) &lt;=3.8, SUM((DJ138*(20/100))+(DK138*(30/100))+(DL138*(50/100))) &gt;=3.5),3.5,0)))))))))))))</f>
        <v>0</v>
      </c>
      <c r="DQ138" s="541"/>
      <c r="DR138" s="541"/>
      <c r="DS138" s="541"/>
      <c r="DT138" s="541"/>
      <c r="DU138" s="541"/>
      <c r="DV138" s="541"/>
      <c r="DW138" s="541"/>
      <c r="DX138" s="541"/>
      <c r="DY138" s="541"/>
      <c r="DZ138" s="541"/>
    </row>
    <row r="139" spans="2:130" x14ac:dyDescent="0.25">
      <c r="B139" s="334">
        <v>32</v>
      </c>
      <c r="C139" s="541"/>
      <c r="D139" s="334"/>
      <c r="E139" s="334"/>
      <c r="F139" s="334"/>
      <c r="G139" s="334"/>
      <c r="H139" s="334"/>
      <c r="I139" s="334"/>
      <c r="J139" s="536"/>
      <c r="K139" s="536"/>
      <c r="L139" s="536"/>
      <c r="M139" s="536"/>
      <c r="N139" s="536"/>
      <c r="O139" s="536"/>
      <c r="P139" s="536">
        <f t="shared" si="51"/>
        <v>0</v>
      </c>
      <c r="Q139" s="536"/>
      <c r="R139" s="536"/>
      <c r="S139" s="536"/>
      <c r="T139" s="536">
        <f t="shared" si="52"/>
        <v>0</v>
      </c>
      <c r="U139" s="536"/>
      <c r="V139" s="536"/>
      <c r="W139" s="536"/>
      <c r="X139" s="536">
        <f t="shared" si="53"/>
        <v>0</v>
      </c>
      <c r="Y139" s="536"/>
      <c r="Z139" s="536"/>
      <c r="AA139" s="536"/>
      <c r="AB139" s="536">
        <f t="shared" si="54"/>
        <v>0</v>
      </c>
      <c r="AC139" s="536"/>
      <c r="AD139" s="536"/>
      <c r="AE139" s="536"/>
      <c r="AF139" s="536">
        <f t="shared" si="55"/>
        <v>0</v>
      </c>
      <c r="AG139" s="536"/>
      <c r="AH139" s="536"/>
      <c r="AI139" s="536"/>
      <c r="AJ139" s="536">
        <f t="shared" si="56"/>
        <v>0</v>
      </c>
      <c r="AK139" s="536"/>
      <c r="AL139" s="536"/>
      <c r="AM139" s="536"/>
      <c r="AN139" s="542">
        <f t="shared" si="57"/>
        <v>0</v>
      </c>
      <c r="AO139" s="536"/>
      <c r="AP139" s="536"/>
      <c r="AQ139" s="536"/>
      <c r="AR139" s="542">
        <f t="shared" si="58"/>
        <v>0</v>
      </c>
      <c r="AS139" s="536"/>
      <c r="AT139" s="536"/>
      <c r="AU139" s="536"/>
      <c r="AV139" s="542">
        <f t="shared" si="59"/>
        <v>0</v>
      </c>
      <c r="AW139" s="536"/>
      <c r="AX139" s="536"/>
      <c r="AY139" s="536"/>
      <c r="AZ139" s="542">
        <f t="shared" si="60"/>
        <v>0</v>
      </c>
      <c r="BA139" s="536"/>
      <c r="BB139" s="536"/>
      <c r="BC139" s="536"/>
      <c r="BD139" s="542">
        <f t="shared" si="61"/>
        <v>0</v>
      </c>
      <c r="BE139" s="536"/>
      <c r="BF139" s="536"/>
      <c r="BG139" s="536"/>
      <c r="BH139" s="542">
        <f t="shared" si="62"/>
        <v>0</v>
      </c>
      <c r="BI139" s="536"/>
      <c r="BJ139" s="536"/>
      <c r="BK139" s="536"/>
      <c r="BL139" s="542">
        <f t="shared" si="63"/>
        <v>0</v>
      </c>
      <c r="BM139" s="536"/>
      <c r="BN139" s="536"/>
      <c r="BO139" s="536"/>
      <c r="BP139" s="542">
        <f t="shared" si="64"/>
        <v>0</v>
      </c>
      <c r="BQ139" s="536"/>
      <c r="BR139" s="536"/>
      <c r="BS139" s="536"/>
      <c r="BT139" s="542">
        <f t="shared" si="65"/>
        <v>0</v>
      </c>
      <c r="BU139" s="536"/>
      <c r="BV139" s="536"/>
      <c r="BW139" s="536"/>
      <c r="BX139" s="542">
        <f t="shared" si="66"/>
        <v>0</v>
      </c>
      <c r="BY139" s="536"/>
      <c r="BZ139" s="536"/>
      <c r="CA139" s="536"/>
      <c r="CB139" s="542">
        <v>0</v>
      </c>
      <c r="CC139" s="536"/>
      <c r="CD139" s="536"/>
      <c r="CE139" s="536"/>
      <c r="CF139" s="541">
        <f t="shared" si="67"/>
        <v>0</v>
      </c>
      <c r="CG139" s="536"/>
      <c r="CH139" s="536"/>
      <c r="CI139" s="536"/>
      <c r="CJ139" s="541">
        <f t="shared" si="68"/>
        <v>0</v>
      </c>
      <c r="CK139" s="536"/>
      <c r="CL139" s="536"/>
      <c r="CM139" s="536"/>
      <c r="CN139" s="541">
        <f t="shared" si="69"/>
        <v>0</v>
      </c>
      <c r="CO139" s="536"/>
      <c r="CP139" s="536"/>
      <c r="CQ139" s="536"/>
      <c r="CR139" s="541">
        <f t="shared" si="70"/>
        <v>0</v>
      </c>
      <c r="CS139" s="536"/>
      <c r="CT139" s="536"/>
      <c r="CU139" s="536"/>
      <c r="CV139" s="541">
        <f t="shared" si="71"/>
        <v>0</v>
      </c>
      <c r="CW139" s="536"/>
      <c r="CX139" s="536"/>
      <c r="CY139" s="536"/>
      <c r="CZ139" s="541">
        <f t="shared" si="72"/>
        <v>0</v>
      </c>
      <c r="DA139" s="536"/>
      <c r="DB139" s="536"/>
      <c r="DC139" s="536"/>
      <c r="DD139" s="541">
        <f t="shared" si="73"/>
        <v>0</v>
      </c>
      <c r="DE139" s="536"/>
      <c r="DF139" s="536"/>
      <c r="DG139" s="536"/>
      <c r="DH139" s="541">
        <f t="shared" si="74"/>
        <v>0</v>
      </c>
      <c r="DI139" s="536"/>
      <c r="DJ139" s="536"/>
      <c r="DK139" s="536"/>
      <c r="DL139" s="541">
        <f t="shared" si="75"/>
        <v>0</v>
      </c>
      <c r="DM139" s="536"/>
      <c r="DN139" s="536"/>
      <c r="DO139" s="536"/>
      <c r="DP139" s="541">
        <f>IF( SUM((DJ139*(20/100))+(DK139*(30/100))+(DL139*(50/100))) &gt;=9.3,9.5,
IF(AND( SUM((DJ139*(20/100))+(DK139*(30/100))+(DL139*(50/100))) &lt;=9.3, SUM((DJ139*(20/100))+(DK139*(30/100))+(DL139*(50/100))) &gt;=8.8),9,
IF(AND( SUM((DJ139*(20/100))+(DK139*(30/100))+(DL139*(50/100))) &lt;=8.8, SUM((DJ139*(20/100))+(DK139*(30/100))+(DL139*(50/100))) &gt;=8.3),8.5,
IF(AND( SUM((DJ139*(20/100))+(DK139*(30/100))+(DL139*(50/100))) &lt;=8.3, SUM((DJ139*(20/100))+(DK139*(30/100))+(DL139*(50/100))) &gt;=7.8),8,
IF(AND( SUM((DJ139*(20/100))+(DK139*(30/100))+(DL139*(50/100))) &lt;=7.8, SUM((DJ139*(20/100))+(DK139*(30/100))+(DL139*(50/100))) &gt;=7.3),7.5,
IF(AND( SUM((DJ139*(20/100))+(DK139*(30/100))+(DL139*(50/100))) &lt;=7.3, SUM((DJ139*(20/100))+(DK139*(30/100))+(DL139*(50/100))) &gt;=6.8),7,
IF(AND( SUM((DJ139*(20/100))+(DK139*(30/100))+(DL139*(50/100))) &lt;=6.8, SUM((DJ139*(20/100))+(DK139*(30/100))+(DL139*(50/100))) &gt;=6.3),6.5,
IF(AND( SUM((DJ139*(20/100))+(DK139*(30/100))+(DL139*(50/100))) &lt;=6.3, SUM((DJ139*(20/100))+(DK139*(30/100))+(DL139*(50/100))) &gt;=5.8),6,
IF(AND( SUM((DJ139*(20/100))+(DK139*(30/100))+(DL139*(50/100))) &lt;=5.8, SUM((DJ139*(20/100))+(DK139*(30/100))+(DL139*(50/100))) &gt;=5.3),5.5,
IF(AND( SUM((DJ139*(20/100))+(DK139*(30/100))+(DL139*(50/100))) &lt;=5.3, SUM((DJ139*(20/100))+(DK139*(30/100))+(DL139*(50/100))) &gt;=4.8),5,
IF(AND( SUM((DJ139*(20/100))+(DK139*(30/100))+(DL139*(50/100))) &lt;=4.8, SUM((DJ139*(20/100))+(DK139*(30/100))+(DL139*(50/100))) &gt;=4.3),4.5,
IF(AND( SUM((DJ139*(20/100))+(DK139*(30/100))+(DL139*(50/100))) &lt;=4.3, SUM((DJ139*(20/100))+(DK139*(30/100))+(DL139*(50/100))) &gt;=3.8),4,
IF(AND( SUM((DJ139*(20/100))+(DK139*(30/100))+(DL139*(50/100))) &lt;=3.8, SUM((DJ139*(20/100))+(DK139*(30/100))+(DL139*(50/100))) &gt;=3.5),3.5,0)))))))))))))</f>
        <v>0</v>
      </c>
      <c r="DQ139" s="541"/>
      <c r="DR139" s="541"/>
      <c r="DS139" s="541"/>
      <c r="DT139" s="541"/>
      <c r="DU139" s="541"/>
      <c r="DV139" s="541"/>
      <c r="DW139" s="541"/>
      <c r="DX139" s="541"/>
      <c r="DY139" s="541"/>
      <c r="DZ139" s="541"/>
    </row>
    <row r="140" spans="2:130" x14ac:dyDescent="0.25">
      <c r="B140" s="334">
        <v>33</v>
      </c>
      <c r="C140" s="541"/>
      <c r="D140" s="334"/>
      <c r="E140" s="334"/>
      <c r="F140" s="334"/>
      <c r="G140" s="334"/>
      <c r="H140" s="334"/>
      <c r="I140" s="334"/>
      <c r="J140" s="536"/>
      <c r="K140" s="536"/>
      <c r="L140" s="536"/>
      <c r="M140" s="536"/>
      <c r="N140" s="536"/>
      <c r="O140" s="536"/>
      <c r="P140" s="536">
        <f t="shared" si="51"/>
        <v>0</v>
      </c>
      <c r="Q140" s="536"/>
      <c r="R140" s="536"/>
      <c r="S140" s="536"/>
      <c r="T140" s="536">
        <f t="shared" si="52"/>
        <v>0</v>
      </c>
      <c r="U140" s="536"/>
      <c r="V140" s="536"/>
      <c r="W140" s="536"/>
      <c r="X140" s="536">
        <f t="shared" si="53"/>
        <v>0</v>
      </c>
      <c r="Y140" s="536"/>
      <c r="Z140" s="536"/>
      <c r="AA140" s="536"/>
      <c r="AB140" s="536">
        <f t="shared" si="54"/>
        <v>0</v>
      </c>
      <c r="AC140" s="536"/>
      <c r="AD140" s="536"/>
      <c r="AE140" s="536"/>
      <c r="AF140" s="536">
        <f t="shared" si="55"/>
        <v>0</v>
      </c>
      <c r="AG140" s="536"/>
      <c r="AH140" s="536"/>
      <c r="AI140" s="536"/>
      <c r="AJ140" s="536">
        <f t="shared" si="56"/>
        <v>0</v>
      </c>
      <c r="AK140" s="536"/>
      <c r="AL140" s="536"/>
      <c r="AM140" s="536"/>
      <c r="AN140" s="542">
        <f t="shared" si="57"/>
        <v>0</v>
      </c>
      <c r="AO140" s="536"/>
      <c r="AP140" s="536"/>
      <c r="AQ140" s="536"/>
      <c r="AR140" s="542">
        <f t="shared" si="58"/>
        <v>0</v>
      </c>
      <c r="AS140" s="536"/>
      <c r="AT140" s="536"/>
      <c r="AU140" s="536"/>
      <c r="AV140" s="542">
        <f t="shared" si="59"/>
        <v>0</v>
      </c>
      <c r="AW140" s="536"/>
      <c r="AX140" s="536"/>
      <c r="AY140" s="536"/>
      <c r="AZ140" s="542">
        <f t="shared" si="60"/>
        <v>0</v>
      </c>
      <c r="BA140" s="536"/>
      <c r="BB140" s="536"/>
      <c r="BC140" s="536"/>
      <c r="BD140" s="542">
        <f t="shared" si="61"/>
        <v>0</v>
      </c>
      <c r="BE140" s="536"/>
      <c r="BF140" s="536"/>
      <c r="BG140" s="536"/>
      <c r="BH140" s="542">
        <f t="shared" si="62"/>
        <v>0</v>
      </c>
      <c r="BI140" s="536"/>
      <c r="BJ140" s="536"/>
      <c r="BK140" s="536"/>
      <c r="BL140" s="542">
        <f t="shared" si="63"/>
        <v>0</v>
      </c>
      <c r="BM140" s="536"/>
      <c r="BN140" s="536"/>
      <c r="BO140" s="536"/>
      <c r="BP140" s="542">
        <f t="shared" si="64"/>
        <v>0</v>
      </c>
      <c r="BQ140" s="536"/>
      <c r="BR140" s="536"/>
      <c r="BS140" s="536"/>
      <c r="BT140" s="542">
        <f t="shared" si="65"/>
        <v>0</v>
      </c>
      <c r="BU140" s="536"/>
      <c r="BV140" s="536"/>
      <c r="BW140" s="536"/>
      <c r="BX140" s="542">
        <f t="shared" si="66"/>
        <v>0</v>
      </c>
      <c r="BY140" s="536"/>
      <c r="BZ140" s="536"/>
      <c r="CA140" s="536"/>
      <c r="CB140" s="542">
        <v>0</v>
      </c>
      <c r="CC140" s="536"/>
      <c r="CD140" s="536"/>
      <c r="CE140" s="536"/>
      <c r="CF140" s="541">
        <f t="shared" si="67"/>
        <v>0</v>
      </c>
      <c r="CG140" s="536"/>
      <c r="CH140" s="536"/>
      <c r="CI140" s="536"/>
      <c r="CJ140" s="541">
        <f t="shared" si="68"/>
        <v>0</v>
      </c>
      <c r="CK140" s="536"/>
      <c r="CL140" s="536"/>
      <c r="CM140" s="536"/>
      <c r="CN140" s="541">
        <f t="shared" si="69"/>
        <v>0</v>
      </c>
      <c r="CO140" s="536"/>
      <c r="CP140" s="536"/>
      <c r="CQ140" s="536"/>
      <c r="CR140" s="541">
        <f t="shared" si="70"/>
        <v>0</v>
      </c>
      <c r="CS140" s="536"/>
      <c r="CT140" s="536"/>
      <c r="CU140" s="536"/>
      <c r="CV140" s="541">
        <f t="shared" si="71"/>
        <v>0</v>
      </c>
      <c r="CW140" s="536"/>
      <c r="CX140" s="536"/>
      <c r="CY140" s="536"/>
      <c r="CZ140" s="541">
        <f t="shared" si="72"/>
        <v>0</v>
      </c>
      <c r="DA140" s="536"/>
      <c r="DB140" s="536"/>
      <c r="DC140" s="536"/>
      <c r="DD140" s="541">
        <f t="shared" si="73"/>
        <v>0</v>
      </c>
      <c r="DE140" s="536"/>
      <c r="DF140" s="536"/>
      <c r="DG140" s="536"/>
      <c r="DH140" s="541">
        <f t="shared" si="74"/>
        <v>0</v>
      </c>
      <c r="DI140" s="536"/>
      <c r="DJ140" s="536"/>
      <c r="DK140" s="536"/>
      <c r="DL140" s="541">
        <f t="shared" si="75"/>
        <v>0</v>
      </c>
      <c r="DM140" s="536"/>
      <c r="DN140" s="536"/>
      <c r="DO140" s="536"/>
      <c r="DP140" s="541">
        <f>IF( SUM((DJ140*(20/100))+(DK140*(30/100))+(DL140*(50/100))) &gt;=9.3,9.5,
IF(AND( SUM((DJ140*(20/100))+(DK140*(30/100))+(DL140*(50/100))) &lt;=9.3, SUM((DJ140*(20/100))+(DK140*(30/100))+(DL140*(50/100))) &gt;=8.8),9,
IF(AND( SUM((DJ140*(20/100))+(DK140*(30/100))+(DL140*(50/100))) &lt;=8.8, SUM((DJ140*(20/100))+(DK140*(30/100))+(DL140*(50/100))) &gt;=8.3),8.5,
IF(AND( SUM((DJ140*(20/100))+(DK140*(30/100))+(DL140*(50/100))) &lt;=8.3, SUM((DJ140*(20/100))+(DK140*(30/100))+(DL140*(50/100))) &gt;=7.8),8,
IF(AND( SUM((DJ140*(20/100))+(DK140*(30/100))+(DL140*(50/100))) &lt;=7.8, SUM((DJ140*(20/100))+(DK140*(30/100))+(DL140*(50/100))) &gt;=7.3),7.5,
IF(AND( SUM((DJ140*(20/100))+(DK140*(30/100))+(DL140*(50/100))) &lt;=7.3, SUM((DJ140*(20/100))+(DK140*(30/100))+(DL140*(50/100))) &gt;=6.8),7,
IF(AND( SUM((DJ140*(20/100))+(DK140*(30/100))+(DL140*(50/100))) &lt;=6.8, SUM((DJ140*(20/100))+(DK140*(30/100))+(DL140*(50/100))) &gt;=6.3),6.5,
IF(AND( SUM((DJ140*(20/100))+(DK140*(30/100))+(DL140*(50/100))) &lt;=6.3, SUM((DJ140*(20/100))+(DK140*(30/100))+(DL140*(50/100))) &gt;=5.8),6,
IF(AND( SUM((DJ140*(20/100))+(DK140*(30/100))+(DL140*(50/100))) &lt;=5.8, SUM((DJ140*(20/100))+(DK140*(30/100))+(DL140*(50/100))) &gt;=5.3),5.5,
IF(AND( SUM((DJ140*(20/100))+(DK140*(30/100))+(DL140*(50/100))) &lt;=5.3, SUM((DJ140*(20/100))+(DK140*(30/100))+(DL140*(50/100))) &gt;=4.8),5,
IF(AND( SUM((DJ140*(20/100))+(DK140*(30/100))+(DL140*(50/100))) &lt;=4.8, SUM((DJ140*(20/100))+(DK140*(30/100))+(DL140*(50/100))) &gt;=4.3),4.5,
IF(AND( SUM((DJ140*(20/100))+(DK140*(30/100))+(DL140*(50/100))) &lt;=4.3, SUM((DJ140*(20/100))+(DK140*(30/100))+(DL140*(50/100))) &gt;=3.8),4,
IF(AND( SUM((DJ140*(20/100))+(DK140*(30/100))+(DL140*(50/100))) &lt;=3.8, SUM((DJ140*(20/100))+(DK140*(30/100))+(DL140*(50/100))) &gt;=3.5),3.5,0)))))))))))))</f>
        <v>0</v>
      </c>
      <c r="DQ140" s="541"/>
      <c r="DR140" s="541"/>
      <c r="DS140" s="541"/>
      <c r="DT140" s="541"/>
      <c r="DU140" s="541"/>
      <c r="DV140" s="541"/>
      <c r="DW140" s="541"/>
      <c r="DX140" s="541"/>
      <c r="DY140" s="541"/>
      <c r="DZ140" s="541"/>
    </row>
    <row r="141" spans="2:130" x14ac:dyDescent="0.25">
      <c r="B141" s="334">
        <v>34</v>
      </c>
      <c r="C141" s="541"/>
      <c r="D141" s="334"/>
      <c r="E141" s="334"/>
      <c r="F141" s="334"/>
      <c r="G141" s="334"/>
      <c r="H141" s="334"/>
      <c r="I141" s="334"/>
      <c r="J141" s="536"/>
      <c r="K141" s="536"/>
      <c r="L141" s="536"/>
      <c r="M141" s="536"/>
      <c r="N141" s="536"/>
      <c r="O141" s="536"/>
      <c r="P141" s="536">
        <f t="shared" si="51"/>
        <v>0</v>
      </c>
      <c r="Q141" s="536"/>
      <c r="R141" s="536"/>
      <c r="S141" s="536"/>
      <c r="T141" s="536">
        <f t="shared" si="52"/>
        <v>0</v>
      </c>
      <c r="U141" s="536"/>
      <c r="V141" s="536"/>
      <c r="W141" s="536"/>
      <c r="X141" s="536">
        <f t="shared" si="53"/>
        <v>0</v>
      </c>
      <c r="Y141" s="536"/>
      <c r="Z141" s="536"/>
      <c r="AA141" s="536"/>
      <c r="AB141" s="536">
        <f t="shared" si="54"/>
        <v>0</v>
      </c>
      <c r="AC141" s="536"/>
      <c r="AD141" s="536"/>
      <c r="AE141" s="536"/>
      <c r="AF141" s="536">
        <f t="shared" si="55"/>
        <v>0</v>
      </c>
      <c r="AG141" s="536"/>
      <c r="AH141" s="536"/>
      <c r="AI141" s="536"/>
      <c r="AJ141" s="536">
        <f t="shared" si="56"/>
        <v>0</v>
      </c>
      <c r="AK141" s="536"/>
      <c r="AL141" s="536"/>
      <c r="AM141" s="536"/>
      <c r="AN141" s="542">
        <f t="shared" si="57"/>
        <v>0</v>
      </c>
      <c r="AO141" s="536"/>
      <c r="AP141" s="536"/>
      <c r="AQ141" s="536"/>
      <c r="AR141" s="542">
        <f t="shared" si="58"/>
        <v>0</v>
      </c>
      <c r="AS141" s="536"/>
      <c r="AT141" s="536"/>
      <c r="AU141" s="536"/>
      <c r="AV141" s="542">
        <f t="shared" si="59"/>
        <v>0</v>
      </c>
      <c r="AW141" s="536"/>
      <c r="AX141" s="536"/>
      <c r="AY141" s="536"/>
      <c r="AZ141" s="542">
        <f t="shared" si="60"/>
        <v>0</v>
      </c>
      <c r="BA141" s="536"/>
      <c r="BB141" s="536"/>
      <c r="BC141" s="536"/>
      <c r="BD141" s="542">
        <f t="shared" si="61"/>
        <v>0</v>
      </c>
      <c r="BE141" s="536"/>
      <c r="BF141" s="536"/>
      <c r="BG141" s="536"/>
      <c r="BH141" s="542">
        <f t="shared" si="62"/>
        <v>0</v>
      </c>
      <c r="BI141" s="536"/>
      <c r="BJ141" s="536"/>
      <c r="BK141" s="536"/>
      <c r="BL141" s="542">
        <f t="shared" si="63"/>
        <v>0</v>
      </c>
      <c r="BM141" s="536"/>
      <c r="BN141" s="536"/>
      <c r="BO141" s="536"/>
      <c r="BP141" s="542">
        <f t="shared" si="64"/>
        <v>0</v>
      </c>
      <c r="BQ141" s="536"/>
      <c r="BR141" s="536"/>
      <c r="BS141" s="536"/>
      <c r="BT141" s="542">
        <f t="shared" si="65"/>
        <v>0</v>
      </c>
      <c r="BU141" s="536"/>
      <c r="BV141" s="536"/>
      <c r="BW141" s="536"/>
      <c r="BX141" s="542">
        <f t="shared" si="66"/>
        <v>0</v>
      </c>
      <c r="BY141" s="536"/>
      <c r="BZ141" s="536"/>
      <c r="CA141" s="536"/>
      <c r="CB141" s="542">
        <v>0</v>
      </c>
      <c r="CC141" s="536"/>
      <c r="CD141" s="536"/>
      <c r="CE141" s="536"/>
      <c r="CF141" s="541">
        <f t="shared" si="67"/>
        <v>0</v>
      </c>
      <c r="CG141" s="536"/>
      <c r="CH141" s="536"/>
      <c r="CI141" s="536"/>
      <c r="CJ141" s="541">
        <f t="shared" si="68"/>
        <v>0</v>
      </c>
      <c r="CK141" s="536"/>
      <c r="CL141" s="536"/>
      <c r="CM141" s="536"/>
      <c r="CN141" s="541">
        <f t="shared" si="69"/>
        <v>0</v>
      </c>
      <c r="CO141" s="536"/>
      <c r="CP141" s="536"/>
      <c r="CQ141" s="536"/>
      <c r="CR141" s="541">
        <f t="shared" si="70"/>
        <v>0</v>
      </c>
      <c r="CS141" s="536"/>
      <c r="CT141" s="536"/>
      <c r="CU141" s="536"/>
      <c r="CV141" s="541">
        <f t="shared" si="71"/>
        <v>0</v>
      </c>
      <c r="CW141" s="536"/>
      <c r="CX141" s="536"/>
      <c r="CY141" s="536"/>
      <c r="CZ141" s="541">
        <f t="shared" si="72"/>
        <v>0</v>
      </c>
      <c r="DA141" s="536"/>
      <c r="DB141" s="536"/>
      <c r="DC141" s="536"/>
      <c r="DD141" s="541">
        <f t="shared" si="73"/>
        <v>0</v>
      </c>
      <c r="DE141" s="536"/>
      <c r="DF141" s="536"/>
      <c r="DG141" s="536"/>
      <c r="DH141" s="541">
        <f t="shared" si="74"/>
        <v>0</v>
      </c>
      <c r="DI141" s="536"/>
      <c r="DJ141" s="536"/>
      <c r="DK141" s="536"/>
      <c r="DL141" s="541">
        <f t="shared" si="75"/>
        <v>0</v>
      </c>
      <c r="DM141" s="536"/>
      <c r="DN141" s="536"/>
      <c r="DO141" s="536"/>
      <c r="DP141" s="541">
        <f>IF( SUM((DJ141*(20/100))+(DK141*(30/100))+(DL141*(50/100))) &gt;=9.3,9.5,
IF(AND( SUM((DJ141*(20/100))+(DK141*(30/100))+(DL141*(50/100))) &lt;=9.3, SUM((DJ141*(20/100))+(DK141*(30/100))+(DL141*(50/100))) &gt;=8.8),9,
IF(AND( SUM((DJ141*(20/100))+(DK141*(30/100))+(DL141*(50/100))) &lt;=8.8, SUM((DJ141*(20/100))+(DK141*(30/100))+(DL141*(50/100))) &gt;=8.3),8.5,
IF(AND( SUM((DJ141*(20/100))+(DK141*(30/100))+(DL141*(50/100))) &lt;=8.3, SUM((DJ141*(20/100))+(DK141*(30/100))+(DL141*(50/100))) &gt;=7.8),8,
IF(AND( SUM((DJ141*(20/100))+(DK141*(30/100))+(DL141*(50/100))) &lt;=7.8, SUM((DJ141*(20/100))+(DK141*(30/100))+(DL141*(50/100))) &gt;=7.3),7.5,
IF(AND( SUM((DJ141*(20/100))+(DK141*(30/100))+(DL141*(50/100))) &lt;=7.3, SUM((DJ141*(20/100))+(DK141*(30/100))+(DL141*(50/100))) &gt;=6.8),7,
IF(AND( SUM((DJ141*(20/100))+(DK141*(30/100))+(DL141*(50/100))) &lt;=6.8, SUM((DJ141*(20/100))+(DK141*(30/100))+(DL141*(50/100))) &gt;=6.3),6.5,
IF(AND( SUM((DJ141*(20/100))+(DK141*(30/100))+(DL141*(50/100))) &lt;=6.3, SUM((DJ141*(20/100))+(DK141*(30/100))+(DL141*(50/100))) &gt;=5.8),6,
IF(AND( SUM((DJ141*(20/100))+(DK141*(30/100))+(DL141*(50/100))) &lt;=5.8, SUM((DJ141*(20/100))+(DK141*(30/100))+(DL141*(50/100))) &gt;=5.3),5.5,
IF(AND( SUM((DJ141*(20/100))+(DK141*(30/100))+(DL141*(50/100))) &lt;=5.3, SUM((DJ141*(20/100))+(DK141*(30/100))+(DL141*(50/100))) &gt;=4.8),5,
IF(AND( SUM((DJ141*(20/100))+(DK141*(30/100))+(DL141*(50/100))) &lt;=4.8, SUM((DJ141*(20/100))+(DK141*(30/100))+(DL141*(50/100))) &gt;=4.3),4.5,
IF(AND( SUM((DJ141*(20/100))+(DK141*(30/100))+(DL141*(50/100))) &lt;=4.3, SUM((DJ141*(20/100))+(DK141*(30/100))+(DL141*(50/100))) &gt;=3.8),4,
IF(AND( SUM((DJ141*(20/100))+(DK141*(30/100))+(DL141*(50/100))) &lt;=3.8, SUM((DJ141*(20/100))+(DK141*(30/100))+(DL141*(50/100))) &gt;=3.5),3.5,0)))))))))))))</f>
        <v>0</v>
      </c>
      <c r="DQ141" s="541"/>
      <c r="DR141" s="541"/>
      <c r="DS141" s="541"/>
      <c r="DT141" s="541"/>
      <c r="DU141" s="541"/>
      <c r="DV141" s="541"/>
      <c r="DW141" s="541"/>
      <c r="DX141" s="541"/>
      <c r="DY141" s="541"/>
      <c r="DZ141" s="541"/>
    </row>
    <row r="142" spans="2:130" x14ac:dyDescent="0.25">
      <c r="B142" s="334">
        <v>35</v>
      </c>
      <c r="C142" s="541"/>
      <c r="D142" s="334"/>
      <c r="E142" s="334"/>
      <c r="F142" s="334"/>
      <c r="G142" s="334"/>
      <c r="H142" s="334"/>
      <c r="I142" s="334"/>
      <c r="J142" s="536"/>
      <c r="K142" s="536"/>
      <c r="L142" s="536"/>
      <c r="M142" s="536"/>
      <c r="N142" s="536"/>
      <c r="O142" s="536"/>
      <c r="P142" s="536">
        <f t="shared" si="51"/>
        <v>0</v>
      </c>
      <c r="Q142" s="536"/>
      <c r="R142" s="536"/>
      <c r="S142" s="536"/>
      <c r="T142" s="536">
        <f t="shared" si="52"/>
        <v>0</v>
      </c>
      <c r="U142" s="536"/>
      <c r="V142" s="536"/>
      <c r="W142" s="536"/>
      <c r="X142" s="536">
        <f t="shared" si="53"/>
        <v>0</v>
      </c>
      <c r="Y142" s="536"/>
      <c r="Z142" s="536"/>
      <c r="AA142" s="536"/>
      <c r="AB142" s="536">
        <f t="shared" si="54"/>
        <v>0</v>
      </c>
      <c r="AC142" s="536"/>
      <c r="AD142" s="536"/>
      <c r="AE142" s="536"/>
      <c r="AF142" s="536">
        <f t="shared" si="55"/>
        <v>0</v>
      </c>
      <c r="AG142" s="536"/>
      <c r="AH142" s="536"/>
      <c r="AI142" s="536"/>
      <c r="AJ142" s="536">
        <f t="shared" si="56"/>
        <v>0</v>
      </c>
      <c r="AK142" s="536"/>
      <c r="AL142" s="536"/>
      <c r="AM142" s="536"/>
      <c r="AN142" s="542">
        <f t="shared" si="57"/>
        <v>0</v>
      </c>
      <c r="AO142" s="536"/>
      <c r="AP142" s="536"/>
      <c r="AQ142" s="536"/>
      <c r="AR142" s="542">
        <f t="shared" si="58"/>
        <v>0</v>
      </c>
      <c r="AS142" s="536"/>
      <c r="AT142" s="536"/>
      <c r="AU142" s="536"/>
      <c r="AV142" s="542">
        <f t="shared" si="59"/>
        <v>0</v>
      </c>
      <c r="AW142" s="536"/>
      <c r="AX142" s="536"/>
      <c r="AY142" s="536"/>
      <c r="AZ142" s="542">
        <f t="shared" si="60"/>
        <v>0</v>
      </c>
      <c r="BA142" s="536"/>
      <c r="BB142" s="536"/>
      <c r="BC142" s="536"/>
      <c r="BD142" s="542">
        <f t="shared" si="61"/>
        <v>0</v>
      </c>
      <c r="BE142" s="536"/>
      <c r="BF142" s="536"/>
      <c r="BG142" s="536"/>
      <c r="BH142" s="542">
        <f t="shared" si="62"/>
        <v>0</v>
      </c>
      <c r="BI142" s="536"/>
      <c r="BJ142" s="536"/>
      <c r="BK142" s="536"/>
      <c r="BL142" s="542">
        <f t="shared" si="63"/>
        <v>0</v>
      </c>
      <c r="BM142" s="536"/>
      <c r="BN142" s="536"/>
      <c r="BO142" s="536"/>
      <c r="BP142" s="542">
        <f t="shared" si="64"/>
        <v>0</v>
      </c>
      <c r="BQ142" s="536"/>
      <c r="BR142" s="536"/>
      <c r="BS142" s="536"/>
      <c r="BT142" s="542">
        <f t="shared" si="65"/>
        <v>0</v>
      </c>
      <c r="BU142" s="536"/>
      <c r="BV142" s="536"/>
      <c r="BW142" s="536"/>
      <c r="BX142" s="542">
        <f t="shared" si="66"/>
        <v>0</v>
      </c>
      <c r="BY142" s="536"/>
      <c r="BZ142" s="536"/>
      <c r="CA142" s="536"/>
      <c r="CB142" s="542">
        <v>0</v>
      </c>
      <c r="CC142" s="536"/>
      <c r="CD142" s="536"/>
      <c r="CE142" s="536"/>
      <c r="CF142" s="541">
        <f t="shared" si="67"/>
        <v>0</v>
      </c>
      <c r="CG142" s="536"/>
      <c r="CH142" s="536"/>
      <c r="CI142" s="536"/>
      <c r="CJ142" s="541">
        <f t="shared" si="68"/>
        <v>0</v>
      </c>
      <c r="CK142" s="536"/>
      <c r="CL142" s="536"/>
      <c r="CM142" s="536"/>
      <c r="CN142" s="541">
        <f t="shared" si="69"/>
        <v>0</v>
      </c>
      <c r="CO142" s="536"/>
      <c r="CP142" s="536"/>
      <c r="CQ142" s="536"/>
      <c r="CR142" s="541">
        <f t="shared" si="70"/>
        <v>0</v>
      </c>
      <c r="CS142" s="536"/>
      <c r="CT142" s="536"/>
      <c r="CU142" s="536"/>
      <c r="CV142" s="541">
        <f t="shared" si="71"/>
        <v>0</v>
      </c>
      <c r="CW142" s="536"/>
      <c r="CX142" s="536"/>
      <c r="CY142" s="536"/>
      <c r="CZ142" s="541">
        <f t="shared" si="72"/>
        <v>0</v>
      </c>
      <c r="DA142" s="536"/>
      <c r="DB142" s="536"/>
      <c r="DC142" s="536"/>
      <c r="DD142" s="541">
        <f t="shared" si="73"/>
        <v>0</v>
      </c>
      <c r="DE142" s="536"/>
      <c r="DF142" s="536"/>
      <c r="DG142" s="536"/>
      <c r="DH142" s="541">
        <f t="shared" si="74"/>
        <v>0</v>
      </c>
      <c r="DI142" s="536"/>
      <c r="DJ142" s="536"/>
      <c r="DK142" s="536"/>
      <c r="DL142" s="541">
        <f t="shared" si="75"/>
        <v>0</v>
      </c>
      <c r="DM142" s="536"/>
      <c r="DN142" s="536"/>
      <c r="DO142" s="536"/>
      <c r="DP142" s="541">
        <f>IF( SUM((DJ142*(20/100))+(DK142*(30/100))+(DL142*(50/100))) &gt;=9.3,9.5,
IF(AND( SUM((DJ142*(20/100))+(DK142*(30/100))+(DL142*(50/100))) &lt;=9.3, SUM((DJ142*(20/100))+(DK142*(30/100))+(DL142*(50/100))) &gt;=8.8),9,
IF(AND( SUM((DJ142*(20/100))+(DK142*(30/100))+(DL142*(50/100))) &lt;=8.8, SUM((DJ142*(20/100))+(DK142*(30/100))+(DL142*(50/100))) &gt;=8.3),8.5,
IF(AND( SUM((DJ142*(20/100))+(DK142*(30/100))+(DL142*(50/100))) &lt;=8.3, SUM((DJ142*(20/100))+(DK142*(30/100))+(DL142*(50/100))) &gt;=7.8),8,
IF(AND( SUM((DJ142*(20/100))+(DK142*(30/100))+(DL142*(50/100))) &lt;=7.8, SUM((DJ142*(20/100))+(DK142*(30/100))+(DL142*(50/100))) &gt;=7.3),7.5,
IF(AND( SUM((DJ142*(20/100))+(DK142*(30/100))+(DL142*(50/100))) &lt;=7.3, SUM((DJ142*(20/100))+(DK142*(30/100))+(DL142*(50/100))) &gt;=6.8),7,
IF(AND( SUM((DJ142*(20/100))+(DK142*(30/100))+(DL142*(50/100))) &lt;=6.8, SUM((DJ142*(20/100))+(DK142*(30/100))+(DL142*(50/100))) &gt;=6.3),6.5,
IF(AND( SUM((DJ142*(20/100))+(DK142*(30/100))+(DL142*(50/100))) &lt;=6.3, SUM((DJ142*(20/100))+(DK142*(30/100))+(DL142*(50/100))) &gt;=5.8),6,
IF(AND( SUM((DJ142*(20/100))+(DK142*(30/100))+(DL142*(50/100))) &lt;=5.8, SUM((DJ142*(20/100))+(DK142*(30/100))+(DL142*(50/100))) &gt;=5.3),5.5,
IF(AND( SUM((DJ142*(20/100))+(DK142*(30/100))+(DL142*(50/100))) &lt;=5.3, SUM((DJ142*(20/100))+(DK142*(30/100))+(DL142*(50/100))) &gt;=4.8),5,
IF(AND( SUM((DJ142*(20/100))+(DK142*(30/100))+(DL142*(50/100))) &lt;=4.8, SUM((DJ142*(20/100))+(DK142*(30/100))+(DL142*(50/100))) &gt;=4.3),4.5,
IF(AND( SUM((DJ142*(20/100))+(DK142*(30/100))+(DL142*(50/100))) &lt;=4.3, SUM((DJ142*(20/100))+(DK142*(30/100))+(DL142*(50/100))) &gt;=3.8),4,
IF(AND( SUM((DJ142*(20/100))+(DK142*(30/100))+(DL142*(50/100))) &lt;=3.8, SUM((DJ142*(20/100))+(DK142*(30/100))+(DL142*(50/100))) &gt;=3.5),3.5,0)))))))))))))</f>
        <v>0</v>
      </c>
      <c r="DQ142" s="541"/>
      <c r="DR142" s="541"/>
      <c r="DS142" s="541"/>
      <c r="DT142" s="541"/>
      <c r="DU142" s="541"/>
      <c r="DV142" s="541"/>
      <c r="DW142" s="541"/>
      <c r="DX142" s="541"/>
      <c r="DY142" s="541"/>
      <c r="DZ142" s="541"/>
    </row>
    <row r="143" spans="2:130" x14ac:dyDescent="0.25">
      <c r="B143" s="334">
        <v>36</v>
      </c>
      <c r="C143" s="541"/>
      <c r="D143" s="334"/>
      <c r="E143" s="334"/>
      <c r="F143" s="334"/>
      <c r="G143" s="334"/>
      <c r="H143" s="334"/>
      <c r="I143" s="334"/>
      <c r="J143" s="536"/>
      <c r="K143" s="536"/>
      <c r="L143" s="536"/>
      <c r="M143" s="536"/>
      <c r="N143" s="536"/>
      <c r="O143" s="536"/>
      <c r="P143" s="536">
        <f t="shared" si="51"/>
        <v>0</v>
      </c>
      <c r="Q143" s="536"/>
      <c r="R143" s="536"/>
      <c r="S143" s="536"/>
      <c r="T143" s="536">
        <f t="shared" si="52"/>
        <v>0</v>
      </c>
      <c r="U143" s="536"/>
      <c r="V143" s="536"/>
      <c r="W143" s="536"/>
      <c r="X143" s="536">
        <f t="shared" si="53"/>
        <v>0</v>
      </c>
      <c r="Y143" s="536"/>
      <c r="Z143" s="536"/>
      <c r="AA143" s="536"/>
      <c r="AB143" s="536">
        <f t="shared" si="54"/>
        <v>0</v>
      </c>
      <c r="AC143" s="536"/>
      <c r="AD143" s="536"/>
      <c r="AE143" s="536"/>
      <c r="AF143" s="536">
        <f t="shared" si="55"/>
        <v>0</v>
      </c>
      <c r="AG143" s="536"/>
      <c r="AH143" s="536"/>
      <c r="AI143" s="536"/>
      <c r="AJ143" s="536">
        <f t="shared" si="56"/>
        <v>0</v>
      </c>
      <c r="AK143" s="536"/>
      <c r="AL143" s="536"/>
      <c r="AM143" s="536"/>
      <c r="AN143" s="542">
        <f t="shared" si="57"/>
        <v>0</v>
      </c>
      <c r="AO143" s="536"/>
      <c r="AP143" s="536"/>
      <c r="AQ143" s="536"/>
      <c r="AR143" s="542">
        <f t="shared" si="58"/>
        <v>0</v>
      </c>
      <c r="AS143" s="536"/>
      <c r="AT143" s="536"/>
      <c r="AU143" s="536"/>
      <c r="AV143" s="542">
        <f t="shared" si="59"/>
        <v>0</v>
      </c>
      <c r="AW143" s="536"/>
      <c r="AX143" s="536"/>
      <c r="AY143" s="536"/>
      <c r="AZ143" s="542">
        <f t="shared" si="60"/>
        <v>0</v>
      </c>
      <c r="BA143" s="536"/>
      <c r="BB143" s="536"/>
      <c r="BC143" s="536"/>
      <c r="BD143" s="542">
        <f t="shared" si="61"/>
        <v>0</v>
      </c>
      <c r="BE143" s="536"/>
      <c r="BF143" s="536"/>
      <c r="BG143" s="536"/>
      <c r="BH143" s="542">
        <f t="shared" si="62"/>
        <v>0</v>
      </c>
      <c r="BI143" s="536"/>
      <c r="BJ143" s="536"/>
      <c r="BK143" s="536"/>
      <c r="BL143" s="542">
        <f t="shared" si="63"/>
        <v>0</v>
      </c>
      <c r="BM143" s="536"/>
      <c r="BN143" s="536"/>
      <c r="BO143" s="536"/>
      <c r="BP143" s="542">
        <f t="shared" si="64"/>
        <v>0</v>
      </c>
      <c r="BQ143" s="536"/>
      <c r="BR143" s="536"/>
      <c r="BS143" s="536"/>
      <c r="BT143" s="542">
        <f t="shared" si="65"/>
        <v>0</v>
      </c>
      <c r="BU143" s="536"/>
      <c r="BV143" s="536"/>
      <c r="BW143" s="536"/>
      <c r="BX143" s="542">
        <f t="shared" si="66"/>
        <v>0</v>
      </c>
      <c r="BY143" s="536"/>
      <c r="BZ143" s="536"/>
      <c r="CA143" s="536"/>
      <c r="CB143" s="542">
        <v>0</v>
      </c>
      <c r="CC143" s="536"/>
      <c r="CD143" s="536"/>
      <c r="CE143" s="536"/>
      <c r="CF143" s="541">
        <f t="shared" si="67"/>
        <v>0</v>
      </c>
      <c r="CG143" s="536"/>
      <c r="CH143" s="536"/>
      <c r="CI143" s="536"/>
      <c r="CJ143" s="541">
        <f t="shared" si="68"/>
        <v>0</v>
      </c>
      <c r="CK143" s="536"/>
      <c r="CL143" s="536"/>
      <c r="CM143" s="536"/>
      <c r="CN143" s="541">
        <f t="shared" si="69"/>
        <v>0</v>
      </c>
      <c r="CO143" s="536"/>
      <c r="CP143" s="536"/>
      <c r="CQ143" s="536"/>
      <c r="CR143" s="541">
        <f t="shared" si="70"/>
        <v>0</v>
      </c>
      <c r="CS143" s="536"/>
      <c r="CT143" s="536"/>
      <c r="CU143" s="536"/>
      <c r="CV143" s="541">
        <f t="shared" si="71"/>
        <v>0</v>
      </c>
      <c r="CW143" s="536"/>
      <c r="CX143" s="536"/>
      <c r="CY143" s="536"/>
      <c r="CZ143" s="541">
        <f t="shared" si="72"/>
        <v>0</v>
      </c>
      <c r="DA143" s="536"/>
      <c r="DB143" s="536"/>
      <c r="DC143" s="536"/>
      <c r="DD143" s="541">
        <f t="shared" si="73"/>
        <v>0</v>
      </c>
      <c r="DE143" s="536"/>
      <c r="DF143" s="536"/>
      <c r="DG143" s="536"/>
      <c r="DH143" s="541">
        <f t="shared" si="74"/>
        <v>0</v>
      </c>
      <c r="DI143" s="536"/>
      <c r="DJ143" s="536"/>
      <c r="DK143" s="536"/>
      <c r="DL143" s="541">
        <f t="shared" si="75"/>
        <v>0</v>
      </c>
      <c r="DM143" s="536"/>
      <c r="DN143" s="536"/>
      <c r="DO143" s="536"/>
      <c r="DP143" s="541">
        <f>IF( SUM((DJ143*(20/100))+(DK143*(30/100))+(DL143*(50/100))) &gt;=9.3,9.5,
IF(AND( SUM((DJ143*(20/100))+(DK143*(30/100))+(DL143*(50/100))) &lt;=9.3, SUM((DJ143*(20/100))+(DK143*(30/100))+(DL143*(50/100))) &gt;=8.8),9,
IF(AND( SUM((DJ143*(20/100))+(DK143*(30/100))+(DL143*(50/100))) &lt;=8.8, SUM((DJ143*(20/100))+(DK143*(30/100))+(DL143*(50/100))) &gt;=8.3),8.5,
IF(AND( SUM((DJ143*(20/100))+(DK143*(30/100))+(DL143*(50/100))) &lt;=8.3, SUM((DJ143*(20/100))+(DK143*(30/100))+(DL143*(50/100))) &gt;=7.8),8,
IF(AND( SUM((DJ143*(20/100))+(DK143*(30/100))+(DL143*(50/100))) &lt;=7.8, SUM((DJ143*(20/100))+(DK143*(30/100))+(DL143*(50/100))) &gt;=7.3),7.5,
IF(AND( SUM((DJ143*(20/100))+(DK143*(30/100))+(DL143*(50/100))) &lt;=7.3, SUM((DJ143*(20/100))+(DK143*(30/100))+(DL143*(50/100))) &gt;=6.8),7,
IF(AND( SUM((DJ143*(20/100))+(DK143*(30/100))+(DL143*(50/100))) &lt;=6.8, SUM((DJ143*(20/100))+(DK143*(30/100))+(DL143*(50/100))) &gt;=6.3),6.5,
IF(AND( SUM((DJ143*(20/100))+(DK143*(30/100))+(DL143*(50/100))) &lt;=6.3, SUM((DJ143*(20/100))+(DK143*(30/100))+(DL143*(50/100))) &gt;=5.8),6,
IF(AND( SUM((DJ143*(20/100))+(DK143*(30/100))+(DL143*(50/100))) &lt;=5.8, SUM((DJ143*(20/100))+(DK143*(30/100))+(DL143*(50/100))) &gt;=5.3),5.5,
IF(AND( SUM((DJ143*(20/100))+(DK143*(30/100))+(DL143*(50/100))) &lt;=5.3, SUM((DJ143*(20/100))+(DK143*(30/100))+(DL143*(50/100))) &gt;=4.8),5,
IF(AND( SUM((DJ143*(20/100))+(DK143*(30/100))+(DL143*(50/100))) &lt;=4.8, SUM((DJ143*(20/100))+(DK143*(30/100))+(DL143*(50/100))) &gt;=4.3),4.5,
IF(AND( SUM((DJ143*(20/100))+(DK143*(30/100))+(DL143*(50/100))) &lt;=4.3, SUM((DJ143*(20/100))+(DK143*(30/100))+(DL143*(50/100))) &gt;=3.8),4,
IF(AND( SUM((DJ143*(20/100))+(DK143*(30/100))+(DL143*(50/100))) &lt;=3.8, SUM((DJ143*(20/100))+(DK143*(30/100))+(DL143*(50/100))) &gt;=3.5),3.5,0)))))))))))))</f>
        <v>0</v>
      </c>
      <c r="DQ143" s="541"/>
      <c r="DR143" s="541"/>
      <c r="DS143" s="541"/>
      <c r="DT143" s="541"/>
      <c r="DU143" s="541"/>
      <c r="DV143" s="541"/>
      <c r="DW143" s="541"/>
      <c r="DX143" s="541"/>
      <c r="DY143" s="541"/>
      <c r="DZ143" s="541"/>
    </row>
    <row r="144" spans="2:130" x14ac:dyDescent="0.25">
      <c r="B144" s="334">
        <v>37</v>
      </c>
      <c r="C144" s="541"/>
      <c r="D144" s="334"/>
      <c r="E144" s="334"/>
      <c r="F144" s="334"/>
      <c r="G144" s="334"/>
      <c r="H144" s="334"/>
      <c r="I144" s="334"/>
      <c r="J144" s="536"/>
      <c r="K144" s="536"/>
      <c r="L144" s="536"/>
      <c r="M144" s="536"/>
      <c r="N144" s="536"/>
      <c r="O144" s="536"/>
      <c r="P144" s="536">
        <f t="shared" si="51"/>
        <v>0</v>
      </c>
      <c r="Q144" s="536"/>
      <c r="R144" s="536"/>
      <c r="S144" s="536"/>
      <c r="T144" s="536">
        <f t="shared" si="52"/>
        <v>0</v>
      </c>
      <c r="U144" s="536"/>
      <c r="V144" s="536"/>
      <c r="W144" s="536"/>
      <c r="X144" s="536">
        <f t="shared" si="53"/>
        <v>0</v>
      </c>
      <c r="Y144" s="536"/>
      <c r="Z144" s="536"/>
      <c r="AA144" s="536"/>
      <c r="AB144" s="536">
        <f t="shared" si="54"/>
        <v>0</v>
      </c>
      <c r="AC144" s="536"/>
      <c r="AD144" s="536"/>
      <c r="AE144" s="536"/>
      <c r="AF144" s="536">
        <f t="shared" si="55"/>
        <v>0</v>
      </c>
      <c r="AG144" s="536"/>
      <c r="AH144" s="536"/>
      <c r="AI144" s="536"/>
      <c r="AJ144" s="536">
        <f t="shared" si="56"/>
        <v>0</v>
      </c>
      <c r="AK144" s="536"/>
      <c r="AL144" s="536"/>
      <c r="AM144" s="536"/>
      <c r="AN144" s="542">
        <f t="shared" si="57"/>
        <v>0</v>
      </c>
      <c r="AO144" s="536"/>
      <c r="AP144" s="536"/>
      <c r="AQ144" s="536"/>
      <c r="AR144" s="542">
        <f t="shared" si="58"/>
        <v>0</v>
      </c>
      <c r="AS144" s="536"/>
      <c r="AT144" s="536"/>
      <c r="AU144" s="536"/>
      <c r="AV144" s="542">
        <f t="shared" si="59"/>
        <v>0</v>
      </c>
      <c r="AW144" s="536"/>
      <c r="AX144" s="536"/>
      <c r="AY144" s="536"/>
      <c r="AZ144" s="542">
        <f t="shared" si="60"/>
        <v>0</v>
      </c>
      <c r="BA144" s="536"/>
      <c r="BB144" s="536"/>
      <c r="BC144" s="536"/>
      <c r="BD144" s="542">
        <f t="shared" si="61"/>
        <v>0</v>
      </c>
      <c r="BE144" s="536"/>
      <c r="BF144" s="536"/>
      <c r="BG144" s="536"/>
      <c r="BH144" s="542">
        <f t="shared" si="62"/>
        <v>0</v>
      </c>
      <c r="BI144" s="536"/>
      <c r="BJ144" s="536"/>
      <c r="BK144" s="536"/>
      <c r="BL144" s="542">
        <f t="shared" si="63"/>
        <v>0</v>
      </c>
      <c r="BM144" s="536"/>
      <c r="BN144" s="536"/>
      <c r="BO144" s="536"/>
      <c r="BP144" s="542">
        <f t="shared" si="64"/>
        <v>0</v>
      </c>
      <c r="BQ144" s="536"/>
      <c r="BR144" s="536"/>
      <c r="BS144" s="536"/>
      <c r="BT144" s="542">
        <f t="shared" si="65"/>
        <v>0</v>
      </c>
      <c r="BU144" s="536"/>
      <c r="BV144" s="536"/>
      <c r="BW144" s="536"/>
      <c r="BX144" s="542">
        <f t="shared" si="66"/>
        <v>0</v>
      </c>
      <c r="BY144" s="536"/>
      <c r="BZ144" s="536"/>
      <c r="CA144" s="536"/>
      <c r="CB144" s="542">
        <v>0</v>
      </c>
      <c r="CC144" s="536"/>
      <c r="CD144" s="536"/>
      <c r="CE144" s="536"/>
      <c r="CF144" s="541">
        <f t="shared" si="67"/>
        <v>0</v>
      </c>
      <c r="CG144" s="536"/>
      <c r="CH144" s="536"/>
      <c r="CI144" s="536"/>
      <c r="CJ144" s="541">
        <f t="shared" si="68"/>
        <v>0</v>
      </c>
      <c r="CK144" s="536"/>
      <c r="CL144" s="536"/>
      <c r="CM144" s="536"/>
      <c r="CN144" s="541">
        <f t="shared" si="69"/>
        <v>0</v>
      </c>
      <c r="CO144" s="536"/>
      <c r="CP144" s="536"/>
      <c r="CQ144" s="536"/>
      <c r="CR144" s="541">
        <f t="shared" si="70"/>
        <v>0</v>
      </c>
      <c r="CS144" s="536"/>
      <c r="CT144" s="536"/>
      <c r="CU144" s="536"/>
      <c r="CV144" s="541">
        <f t="shared" si="71"/>
        <v>0</v>
      </c>
      <c r="CW144" s="536"/>
      <c r="CX144" s="536"/>
      <c r="CY144" s="536"/>
      <c r="CZ144" s="541">
        <f t="shared" si="72"/>
        <v>0</v>
      </c>
      <c r="DA144" s="536"/>
      <c r="DB144" s="536"/>
      <c r="DC144" s="536"/>
      <c r="DD144" s="541">
        <f t="shared" si="73"/>
        <v>0</v>
      </c>
      <c r="DE144" s="536"/>
      <c r="DF144" s="536"/>
      <c r="DG144" s="536"/>
      <c r="DH144" s="541">
        <f t="shared" si="74"/>
        <v>0</v>
      </c>
      <c r="DI144" s="536"/>
      <c r="DJ144" s="536"/>
      <c r="DK144" s="536"/>
      <c r="DL144" s="541">
        <f t="shared" si="75"/>
        <v>0</v>
      </c>
      <c r="DM144" s="536"/>
      <c r="DN144" s="536"/>
      <c r="DO144" s="536"/>
      <c r="DP144" s="541">
        <f>IF( SUM((DJ144*(20/100))+(DK144*(30/100))+(DL144*(50/100))) &gt;=9.3,9.5,
IF(AND( SUM((DJ144*(20/100))+(DK144*(30/100))+(DL144*(50/100))) &lt;=9.3, SUM((DJ144*(20/100))+(DK144*(30/100))+(DL144*(50/100))) &gt;=8.8),9,
IF(AND( SUM((DJ144*(20/100))+(DK144*(30/100))+(DL144*(50/100))) &lt;=8.8, SUM((DJ144*(20/100))+(DK144*(30/100))+(DL144*(50/100))) &gt;=8.3),8.5,
IF(AND( SUM((DJ144*(20/100))+(DK144*(30/100))+(DL144*(50/100))) &lt;=8.3, SUM((DJ144*(20/100))+(DK144*(30/100))+(DL144*(50/100))) &gt;=7.8),8,
IF(AND( SUM((DJ144*(20/100))+(DK144*(30/100))+(DL144*(50/100))) &lt;=7.8, SUM((DJ144*(20/100))+(DK144*(30/100))+(DL144*(50/100))) &gt;=7.3),7.5,
IF(AND( SUM((DJ144*(20/100))+(DK144*(30/100))+(DL144*(50/100))) &lt;=7.3, SUM((DJ144*(20/100))+(DK144*(30/100))+(DL144*(50/100))) &gt;=6.8),7,
IF(AND( SUM((DJ144*(20/100))+(DK144*(30/100))+(DL144*(50/100))) &lt;=6.8, SUM((DJ144*(20/100))+(DK144*(30/100))+(DL144*(50/100))) &gt;=6.3),6.5,
IF(AND( SUM((DJ144*(20/100))+(DK144*(30/100))+(DL144*(50/100))) &lt;=6.3, SUM((DJ144*(20/100))+(DK144*(30/100))+(DL144*(50/100))) &gt;=5.8),6,
IF(AND( SUM((DJ144*(20/100))+(DK144*(30/100))+(DL144*(50/100))) &lt;=5.8, SUM((DJ144*(20/100))+(DK144*(30/100))+(DL144*(50/100))) &gt;=5.3),5.5,
IF(AND( SUM((DJ144*(20/100))+(DK144*(30/100))+(DL144*(50/100))) &lt;=5.3, SUM((DJ144*(20/100))+(DK144*(30/100))+(DL144*(50/100))) &gt;=4.8),5,
IF(AND( SUM((DJ144*(20/100))+(DK144*(30/100))+(DL144*(50/100))) &lt;=4.8, SUM((DJ144*(20/100))+(DK144*(30/100))+(DL144*(50/100))) &gt;=4.3),4.5,
IF(AND( SUM((DJ144*(20/100))+(DK144*(30/100))+(DL144*(50/100))) &lt;=4.3, SUM((DJ144*(20/100))+(DK144*(30/100))+(DL144*(50/100))) &gt;=3.8),4,
IF(AND( SUM((DJ144*(20/100))+(DK144*(30/100))+(DL144*(50/100))) &lt;=3.8, SUM((DJ144*(20/100))+(DK144*(30/100))+(DL144*(50/100))) &gt;=3.5),3.5,0)))))))))))))</f>
        <v>0</v>
      </c>
      <c r="DQ144" s="541"/>
      <c r="DR144" s="541"/>
      <c r="DS144" s="541"/>
      <c r="DT144" s="541"/>
      <c r="DU144" s="541"/>
      <c r="DV144" s="541"/>
      <c r="DW144" s="541"/>
      <c r="DX144" s="541"/>
      <c r="DY144" s="541"/>
      <c r="DZ144" s="541"/>
    </row>
    <row r="145" spans="2:130" x14ac:dyDescent="0.25">
      <c r="B145" s="334">
        <v>38</v>
      </c>
      <c r="C145" s="541"/>
      <c r="D145" s="334"/>
      <c r="E145" s="334"/>
      <c r="F145" s="334"/>
      <c r="G145" s="334"/>
      <c r="H145" s="334"/>
      <c r="I145" s="334"/>
      <c r="J145" s="536"/>
      <c r="K145" s="536"/>
      <c r="L145" s="536"/>
      <c r="M145" s="536"/>
      <c r="N145" s="536"/>
      <c r="O145" s="536"/>
      <c r="P145" s="536">
        <f t="shared" si="51"/>
        <v>0</v>
      </c>
      <c r="Q145" s="536"/>
      <c r="R145" s="536"/>
      <c r="S145" s="536"/>
      <c r="T145" s="536">
        <f t="shared" si="52"/>
        <v>0</v>
      </c>
      <c r="U145" s="536"/>
      <c r="V145" s="536"/>
      <c r="W145" s="536"/>
      <c r="X145" s="536">
        <f t="shared" si="53"/>
        <v>0</v>
      </c>
      <c r="Y145" s="536"/>
      <c r="Z145" s="536"/>
      <c r="AA145" s="536"/>
      <c r="AB145" s="536">
        <f t="shared" si="54"/>
        <v>0</v>
      </c>
      <c r="AC145" s="536"/>
      <c r="AD145" s="536"/>
      <c r="AE145" s="536"/>
      <c r="AF145" s="536">
        <f t="shared" si="55"/>
        <v>0</v>
      </c>
      <c r="AG145" s="536"/>
      <c r="AH145" s="536"/>
      <c r="AI145" s="536"/>
      <c r="AJ145" s="536">
        <f t="shared" si="56"/>
        <v>0</v>
      </c>
      <c r="AK145" s="536"/>
      <c r="AL145" s="536"/>
      <c r="AM145" s="536"/>
      <c r="AN145" s="542">
        <f t="shared" si="57"/>
        <v>0</v>
      </c>
      <c r="AO145" s="536"/>
      <c r="AP145" s="536"/>
      <c r="AQ145" s="536"/>
      <c r="AR145" s="542">
        <f t="shared" si="58"/>
        <v>0</v>
      </c>
      <c r="AS145" s="536"/>
      <c r="AT145" s="536"/>
      <c r="AU145" s="536"/>
      <c r="AV145" s="542">
        <f t="shared" si="59"/>
        <v>0</v>
      </c>
      <c r="AW145" s="536"/>
      <c r="AX145" s="536"/>
      <c r="AY145" s="536"/>
      <c r="AZ145" s="542">
        <f t="shared" si="60"/>
        <v>0</v>
      </c>
      <c r="BA145" s="536"/>
      <c r="BB145" s="536"/>
      <c r="BC145" s="536"/>
      <c r="BD145" s="542">
        <f t="shared" si="61"/>
        <v>0</v>
      </c>
      <c r="BE145" s="536"/>
      <c r="BF145" s="536"/>
      <c r="BG145" s="536"/>
      <c r="BH145" s="542">
        <f t="shared" si="62"/>
        <v>0</v>
      </c>
      <c r="BI145" s="536"/>
      <c r="BJ145" s="536"/>
      <c r="BK145" s="536"/>
      <c r="BL145" s="542">
        <f t="shared" si="63"/>
        <v>0</v>
      </c>
      <c r="BM145" s="536"/>
      <c r="BN145" s="536"/>
      <c r="BO145" s="536"/>
      <c r="BP145" s="542">
        <f t="shared" si="64"/>
        <v>0</v>
      </c>
      <c r="BQ145" s="536"/>
      <c r="BR145" s="536"/>
      <c r="BS145" s="536"/>
      <c r="BT145" s="542">
        <f t="shared" si="65"/>
        <v>0</v>
      </c>
      <c r="BU145" s="536"/>
      <c r="BV145" s="536"/>
      <c r="BW145" s="536"/>
      <c r="BX145" s="542">
        <f t="shared" si="66"/>
        <v>0</v>
      </c>
      <c r="BY145" s="536"/>
      <c r="BZ145" s="536"/>
      <c r="CA145" s="536"/>
      <c r="CB145" s="542">
        <v>0</v>
      </c>
      <c r="CC145" s="536"/>
      <c r="CD145" s="536"/>
      <c r="CE145" s="536"/>
      <c r="CF145" s="541">
        <f t="shared" si="67"/>
        <v>0</v>
      </c>
      <c r="CG145" s="536"/>
      <c r="CH145" s="536"/>
      <c r="CI145" s="536"/>
      <c r="CJ145" s="541">
        <f t="shared" si="68"/>
        <v>0</v>
      </c>
      <c r="CK145" s="536"/>
      <c r="CL145" s="536"/>
      <c r="CM145" s="536"/>
      <c r="CN145" s="541">
        <f t="shared" si="69"/>
        <v>0</v>
      </c>
      <c r="CO145" s="536"/>
      <c r="CP145" s="536"/>
      <c r="CQ145" s="536"/>
      <c r="CR145" s="541">
        <f t="shared" si="70"/>
        <v>0</v>
      </c>
      <c r="CS145" s="536"/>
      <c r="CT145" s="536"/>
      <c r="CU145" s="536"/>
      <c r="CV145" s="541">
        <f t="shared" si="71"/>
        <v>0</v>
      </c>
      <c r="CW145" s="536"/>
      <c r="CX145" s="536"/>
      <c r="CY145" s="536"/>
      <c r="CZ145" s="541">
        <f t="shared" si="72"/>
        <v>0</v>
      </c>
      <c r="DA145" s="536"/>
      <c r="DB145" s="536"/>
      <c r="DC145" s="536"/>
      <c r="DD145" s="541">
        <f t="shared" si="73"/>
        <v>0</v>
      </c>
      <c r="DE145" s="536"/>
      <c r="DF145" s="536"/>
      <c r="DG145" s="536"/>
      <c r="DH145" s="541">
        <f t="shared" si="74"/>
        <v>0</v>
      </c>
      <c r="DI145" s="536"/>
      <c r="DJ145" s="536"/>
      <c r="DK145" s="536"/>
      <c r="DL145" s="541">
        <f t="shared" si="75"/>
        <v>0</v>
      </c>
      <c r="DM145" s="536"/>
      <c r="DN145" s="536"/>
      <c r="DO145" s="536"/>
      <c r="DP145" s="541">
        <f>IF( SUM((DJ145*(20/100))+(DK145*(30/100))+(DL145*(50/100))) &gt;=9.3,9.5,
IF(AND( SUM((DJ145*(20/100))+(DK145*(30/100))+(DL145*(50/100))) &lt;=9.3, SUM((DJ145*(20/100))+(DK145*(30/100))+(DL145*(50/100))) &gt;=8.8),9,
IF(AND( SUM((DJ145*(20/100))+(DK145*(30/100))+(DL145*(50/100))) &lt;=8.8, SUM((DJ145*(20/100))+(DK145*(30/100))+(DL145*(50/100))) &gt;=8.3),8.5,
IF(AND( SUM((DJ145*(20/100))+(DK145*(30/100))+(DL145*(50/100))) &lt;=8.3, SUM((DJ145*(20/100))+(DK145*(30/100))+(DL145*(50/100))) &gt;=7.8),8,
IF(AND( SUM((DJ145*(20/100))+(DK145*(30/100))+(DL145*(50/100))) &lt;=7.8, SUM((DJ145*(20/100))+(DK145*(30/100))+(DL145*(50/100))) &gt;=7.3),7.5,
IF(AND( SUM((DJ145*(20/100))+(DK145*(30/100))+(DL145*(50/100))) &lt;=7.3, SUM((DJ145*(20/100))+(DK145*(30/100))+(DL145*(50/100))) &gt;=6.8),7,
IF(AND( SUM((DJ145*(20/100))+(DK145*(30/100))+(DL145*(50/100))) &lt;=6.8, SUM((DJ145*(20/100))+(DK145*(30/100))+(DL145*(50/100))) &gt;=6.3),6.5,
IF(AND( SUM((DJ145*(20/100))+(DK145*(30/100))+(DL145*(50/100))) &lt;=6.3, SUM((DJ145*(20/100))+(DK145*(30/100))+(DL145*(50/100))) &gt;=5.8),6,
IF(AND( SUM((DJ145*(20/100))+(DK145*(30/100))+(DL145*(50/100))) &lt;=5.8, SUM((DJ145*(20/100))+(DK145*(30/100))+(DL145*(50/100))) &gt;=5.3),5.5,
IF(AND( SUM((DJ145*(20/100))+(DK145*(30/100))+(DL145*(50/100))) &lt;=5.3, SUM((DJ145*(20/100))+(DK145*(30/100))+(DL145*(50/100))) &gt;=4.8),5,
IF(AND( SUM((DJ145*(20/100))+(DK145*(30/100))+(DL145*(50/100))) &lt;=4.8, SUM((DJ145*(20/100))+(DK145*(30/100))+(DL145*(50/100))) &gt;=4.3),4.5,
IF(AND( SUM((DJ145*(20/100))+(DK145*(30/100))+(DL145*(50/100))) &lt;=4.3, SUM((DJ145*(20/100))+(DK145*(30/100))+(DL145*(50/100))) &gt;=3.8),4,
IF(AND( SUM((DJ145*(20/100))+(DK145*(30/100))+(DL145*(50/100))) &lt;=3.8, SUM((DJ145*(20/100))+(DK145*(30/100))+(DL145*(50/100))) &gt;=3.5),3.5,0)))))))))))))</f>
        <v>0</v>
      </c>
      <c r="DQ145" s="541"/>
      <c r="DR145" s="541"/>
      <c r="DS145" s="541"/>
      <c r="DT145" s="541"/>
      <c r="DU145" s="541"/>
      <c r="DV145" s="541"/>
      <c r="DW145" s="541"/>
      <c r="DX145" s="541"/>
      <c r="DY145" s="541"/>
      <c r="DZ145" s="541"/>
    </row>
    <row r="146" spans="2:130" x14ac:dyDescent="0.25">
      <c r="B146" s="334">
        <v>39</v>
      </c>
      <c r="C146" s="541"/>
      <c r="D146" s="334"/>
      <c r="E146" s="334"/>
      <c r="F146" s="334"/>
      <c r="G146" s="334"/>
      <c r="H146" s="334"/>
      <c r="I146" s="334"/>
      <c r="J146" s="536"/>
      <c r="K146" s="536"/>
      <c r="L146" s="536"/>
      <c r="M146" s="536"/>
      <c r="N146" s="536"/>
      <c r="O146" s="536"/>
      <c r="P146" s="536">
        <f t="shared" si="51"/>
        <v>0</v>
      </c>
      <c r="Q146" s="536"/>
      <c r="R146" s="536"/>
      <c r="S146" s="536"/>
      <c r="T146" s="536">
        <f t="shared" si="52"/>
        <v>0</v>
      </c>
      <c r="U146" s="536"/>
      <c r="V146" s="536"/>
      <c r="W146" s="536"/>
      <c r="X146" s="536">
        <f t="shared" si="53"/>
        <v>0</v>
      </c>
      <c r="Y146" s="536"/>
      <c r="Z146" s="536"/>
      <c r="AA146" s="536"/>
      <c r="AB146" s="536">
        <f t="shared" si="54"/>
        <v>0</v>
      </c>
      <c r="AC146" s="536"/>
      <c r="AD146" s="536"/>
      <c r="AE146" s="536"/>
      <c r="AF146" s="536">
        <f t="shared" si="55"/>
        <v>0</v>
      </c>
      <c r="AG146" s="536"/>
      <c r="AH146" s="536"/>
      <c r="AI146" s="536"/>
      <c r="AJ146" s="536">
        <f t="shared" si="56"/>
        <v>0</v>
      </c>
      <c r="AK146" s="536"/>
      <c r="AL146" s="536"/>
      <c r="AM146" s="536"/>
      <c r="AN146" s="542">
        <f t="shared" si="57"/>
        <v>0</v>
      </c>
      <c r="AO146" s="536"/>
      <c r="AP146" s="536"/>
      <c r="AQ146" s="536"/>
      <c r="AR146" s="542">
        <f t="shared" si="58"/>
        <v>0</v>
      </c>
      <c r="AS146" s="536"/>
      <c r="AT146" s="536"/>
      <c r="AU146" s="536"/>
      <c r="AV146" s="542">
        <f t="shared" si="59"/>
        <v>0</v>
      </c>
      <c r="AW146" s="536"/>
      <c r="AX146" s="536"/>
      <c r="AY146" s="536"/>
      <c r="AZ146" s="542">
        <f t="shared" si="60"/>
        <v>0</v>
      </c>
      <c r="BA146" s="536"/>
      <c r="BB146" s="536"/>
      <c r="BC146" s="536"/>
      <c r="BD146" s="542">
        <f t="shared" si="61"/>
        <v>0</v>
      </c>
      <c r="BE146" s="536"/>
      <c r="BF146" s="536"/>
      <c r="BG146" s="536"/>
      <c r="BH146" s="542">
        <f t="shared" si="62"/>
        <v>0</v>
      </c>
      <c r="BI146" s="536"/>
      <c r="BJ146" s="536"/>
      <c r="BK146" s="536"/>
      <c r="BL146" s="542">
        <f t="shared" si="63"/>
        <v>0</v>
      </c>
      <c r="BM146" s="536"/>
      <c r="BN146" s="536"/>
      <c r="BO146" s="536"/>
      <c r="BP146" s="542">
        <f t="shared" si="64"/>
        <v>0</v>
      </c>
      <c r="BQ146" s="536"/>
      <c r="BR146" s="536"/>
      <c r="BS146" s="536"/>
      <c r="BT146" s="542">
        <f t="shared" si="65"/>
        <v>0</v>
      </c>
      <c r="BU146" s="536"/>
      <c r="BV146" s="536"/>
      <c r="BW146" s="536"/>
      <c r="BX146" s="542">
        <f t="shared" si="66"/>
        <v>0</v>
      </c>
      <c r="BY146" s="536"/>
      <c r="BZ146" s="536"/>
      <c r="CA146" s="536"/>
      <c r="CB146" s="542">
        <v>0</v>
      </c>
      <c r="CC146" s="536"/>
      <c r="CD146" s="536"/>
      <c r="CE146" s="536"/>
      <c r="CF146" s="541">
        <f t="shared" si="67"/>
        <v>0</v>
      </c>
      <c r="CG146" s="536"/>
      <c r="CH146" s="536"/>
      <c r="CI146" s="536"/>
      <c r="CJ146" s="541">
        <f t="shared" si="68"/>
        <v>0</v>
      </c>
      <c r="CK146" s="536"/>
      <c r="CL146" s="536"/>
      <c r="CM146" s="536"/>
      <c r="CN146" s="541">
        <f t="shared" si="69"/>
        <v>0</v>
      </c>
      <c r="CO146" s="536"/>
      <c r="CP146" s="536"/>
      <c r="CQ146" s="536"/>
      <c r="CR146" s="541">
        <f t="shared" si="70"/>
        <v>0</v>
      </c>
      <c r="CS146" s="536"/>
      <c r="CT146" s="536"/>
      <c r="CU146" s="536"/>
      <c r="CV146" s="541">
        <f t="shared" si="71"/>
        <v>0</v>
      </c>
      <c r="CW146" s="536"/>
      <c r="CX146" s="536"/>
      <c r="CY146" s="536"/>
      <c r="CZ146" s="541">
        <f t="shared" si="72"/>
        <v>0</v>
      </c>
      <c r="DA146" s="536"/>
      <c r="DB146" s="536"/>
      <c r="DC146" s="536"/>
      <c r="DD146" s="541">
        <f t="shared" si="73"/>
        <v>0</v>
      </c>
      <c r="DE146" s="536"/>
      <c r="DF146" s="536"/>
      <c r="DG146" s="536"/>
      <c r="DH146" s="541">
        <f t="shared" si="74"/>
        <v>0</v>
      </c>
      <c r="DI146" s="536"/>
      <c r="DJ146" s="536"/>
      <c r="DK146" s="536"/>
      <c r="DL146" s="541">
        <f t="shared" si="75"/>
        <v>0</v>
      </c>
      <c r="DM146" s="536"/>
      <c r="DN146" s="536"/>
      <c r="DO146" s="536"/>
      <c r="DP146" s="541">
        <f>IF( SUM((DJ146*(20/100))+(DK146*(30/100))+(DL146*(50/100))) &gt;=9.3,9.5,
IF(AND( SUM((DJ146*(20/100))+(DK146*(30/100))+(DL146*(50/100))) &lt;=9.3, SUM((DJ146*(20/100))+(DK146*(30/100))+(DL146*(50/100))) &gt;=8.8),9,
IF(AND( SUM((DJ146*(20/100))+(DK146*(30/100))+(DL146*(50/100))) &lt;=8.8, SUM((DJ146*(20/100))+(DK146*(30/100))+(DL146*(50/100))) &gt;=8.3),8.5,
IF(AND( SUM((DJ146*(20/100))+(DK146*(30/100))+(DL146*(50/100))) &lt;=8.3, SUM((DJ146*(20/100))+(DK146*(30/100))+(DL146*(50/100))) &gt;=7.8),8,
IF(AND( SUM((DJ146*(20/100))+(DK146*(30/100))+(DL146*(50/100))) &lt;=7.8, SUM((DJ146*(20/100))+(DK146*(30/100))+(DL146*(50/100))) &gt;=7.3),7.5,
IF(AND( SUM((DJ146*(20/100))+(DK146*(30/100))+(DL146*(50/100))) &lt;=7.3, SUM((DJ146*(20/100))+(DK146*(30/100))+(DL146*(50/100))) &gt;=6.8),7,
IF(AND( SUM((DJ146*(20/100))+(DK146*(30/100))+(DL146*(50/100))) &lt;=6.8, SUM((DJ146*(20/100))+(DK146*(30/100))+(DL146*(50/100))) &gt;=6.3),6.5,
IF(AND( SUM((DJ146*(20/100))+(DK146*(30/100))+(DL146*(50/100))) &lt;=6.3, SUM((DJ146*(20/100))+(DK146*(30/100))+(DL146*(50/100))) &gt;=5.8),6,
IF(AND( SUM((DJ146*(20/100))+(DK146*(30/100))+(DL146*(50/100))) &lt;=5.8, SUM((DJ146*(20/100))+(DK146*(30/100))+(DL146*(50/100))) &gt;=5.3),5.5,
IF(AND( SUM((DJ146*(20/100))+(DK146*(30/100))+(DL146*(50/100))) &lt;=5.3, SUM((DJ146*(20/100))+(DK146*(30/100))+(DL146*(50/100))) &gt;=4.8),5,
IF(AND( SUM((DJ146*(20/100))+(DK146*(30/100))+(DL146*(50/100))) &lt;=4.8, SUM((DJ146*(20/100))+(DK146*(30/100))+(DL146*(50/100))) &gt;=4.3),4.5,
IF(AND( SUM((DJ146*(20/100))+(DK146*(30/100))+(DL146*(50/100))) &lt;=4.3, SUM((DJ146*(20/100))+(DK146*(30/100))+(DL146*(50/100))) &gt;=3.8),4,
IF(AND( SUM((DJ146*(20/100))+(DK146*(30/100))+(DL146*(50/100))) &lt;=3.8, SUM((DJ146*(20/100))+(DK146*(30/100))+(DL146*(50/100))) &gt;=3.5),3.5,0)))))))))))))</f>
        <v>0</v>
      </c>
      <c r="DQ146" s="541"/>
      <c r="DR146" s="541"/>
      <c r="DS146" s="541"/>
      <c r="DT146" s="541"/>
      <c r="DU146" s="541"/>
      <c r="DV146" s="541"/>
      <c r="DW146" s="541"/>
      <c r="DX146" s="541"/>
      <c r="DY146" s="541"/>
      <c r="DZ146" s="541"/>
    </row>
    <row r="147" spans="2:130" x14ac:dyDescent="0.25">
      <c r="B147" s="334">
        <v>40</v>
      </c>
      <c r="C147" s="541"/>
      <c r="D147" s="334"/>
      <c r="E147" s="334"/>
      <c r="F147" s="334"/>
      <c r="G147" s="334"/>
      <c r="H147" s="334"/>
      <c r="I147" s="334"/>
      <c r="J147" s="536"/>
      <c r="K147" s="536"/>
      <c r="L147" s="536"/>
      <c r="M147" s="536"/>
      <c r="N147" s="536"/>
      <c r="O147" s="536"/>
      <c r="P147" s="536">
        <f t="shared" si="51"/>
        <v>0</v>
      </c>
      <c r="Q147" s="536"/>
      <c r="R147" s="536"/>
      <c r="S147" s="536"/>
      <c r="T147" s="536">
        <f t="shared" si="52"/>
        <v>0</v>
      </c>
      <c r="U147" s="536"/>
      <c r="V147" s="536"/>
      <c r="W147" s="536"/>
      <c r="X147" s="536">
        <f t="shared" si="53"/>
        <v>0</v>
      </c>
      <c r="Y147" s="536"/>
      <c r="Z147" s="536"/>
      <c r="AA147" s="536"/>
      <c r="AB147" s="536">
        <f t="shared" si="54"/>
        <v>0</v>
      </c>
      <c r="AC147" s="536"/>
      <c r="AD147" s="536"/>
      <c r="AE147" s="536"/>
      <c r="AF147" s="536">
        <f t="shared" si="55"/>
        <v>0</v>
      </c>
      <c r="AG147" s="536"/>
      <c r="AH147" s="536"/>
      <c r="AI147" s="536"/>
      <c r="AJ147" s="536">
        <f t="shared" si="56"/>
        <v>0</v>
      </c>
      <c r="AK147" s="536"/>
      <c r="AL147" s="536"/>
      <c r="AM147" s="536"/>
      <c r="AN147" s="542">
        <f t="shared" si="57"/>
        <v>0</v>
      </c>
      <c r="AO147" s="536"/>
      <c r="AP147" s="536"/>
      <c r="AQ147" s="536"/>
      <c r="AR147" s="542">
        <f t="shared" si="58"/>
        <v>0</v>
      </c>
      <c r="AS147" s="536"/>
      <c r="AT147" s="536"/>
      <c r="AU147" s="536"/>
      <c r="AV147" s="542">
        <f t="shared" si="59"/>
        <v>0</v>
      </c>
      <c r="AW147" s="536"/>
      <c r="AX147" s="536"/>
      <c r="AY147" s="536"/>
      <c r="AZ147" s="542">
        <f t="shared" si="60"/>
        <v>0</v>
      </c>
      <c r="BA147" s="536"/>
      <c r="BB147" s="536"/>
      <c r="BC147" s="536"/>
      <c r="BD147" s="542">
        <f t="shared" si="61"/>
        <v>0</v>
      </c>
      <c r="BE147" s="536"/>
      <c r="BF147" s="536"/>
      <c r="BG147" s="536"/>
      <c r="BH147" s="542">
        <f t="shared" si="62"/>
        <v>0</v>
      </c>
      <c r="BI147" s="536"/>
      <c r="BJ147" s="536"/>
      <c r="BK147" s="536"/>
      <c r="BL147" s="542">
        <f t="shared" si="63"/>
        <v>0</v>
      </c>
      <c r="BM147" s="536"/>
      <c r="BN147" s="536"/>
      <c r="BO147" s="536"/>
      <c r="BP147" s="542">
        <f t="shared" si="64"/>
        <v>0</v>
      </c>
      <c r="BQ147" s="536"/>
      <c r="BR147" s="536"/>
      <c r="BS147" s="536"/>
      <c r="BT147" s="542">
        <f t="shared" si="65"/>
        <v>0</v>
      </c>
      <c r="BU147" s="536"/>
      <c r="BV147" s="536"/>
      <c r="BW147" s="536"/>
      <c r="BX147" s="542">
        <f t="shared" si="66"/>
        <v>0</v>
      </c>
      <c r="BY147" s="536"/>
      <c r="BZ147" s="536"/>
      <c r="CA147" s="536"/>
      <c r="CB147" s="542">
        <v>0</v>
      </c>
      <c r="CC147" s="536"/>
      <c r="CD147" s="536"/>
      <c r="CE147" s="536"/>
      <c r="CF147" s="541">
        <f t="shared" si="67"/>
        <v>0</v>
      </c>
      <c r="CG147" s="536"/>
      <c r="CH147" s="536"/>
      <c r="CI147" s="536"/>
      <c r="CJ147" s="541">
        <f t="shared" si="68"/>
        <v>0</v>
      </c>
      <c r="CK147" s="536"/>
      <c r="CL147" s="536"/>
      <c r="CM147" s="536"/>
      <c r="CN147" s="541">
        <f t="shared" si="69"/>
        <v>0</v>
      </c>
      <c r="CO147" s="536"/>
      <c r="CP147" s="536"/>
      <c r="CQ147" s="536"/>
      <c r="CR147" s="541">
        <f t="shared" si="70"/>
        <v>0</v>
      </c>
      <c r="CS147" s="536"/>
      <c r="CT147" s="536"/>
      <c r="CU147" s="536"/>
      <c r="CV147" s="541">
        <f t="shared" si="71"/>
        <v>0</v>
      </c>
      <c r="CW147" s="536"/>
      <c r="CX147" s="536"/>
      <c r="CY147" s="536"/>
      <c r="CZ147" s="541">
        <f t="shared" si="72"/>
        <v>0</v>
      </c>
      <c r="DA147" s="536"/>
      <c r="DB147" s="536"/>
      <c r="DC147" s="536"/>
      <c r="DD147" s="541">
        <f t="shared" si="73"/>
        <v>0</v>
      </c>
      <c r="DE147" s="536"/>
      <c r="DF147" s="536"/>
      <c r="DG147" s="536"/>
      <c r="DH147" s="541">
        <f t="shared" si="74"/>
        <v>0</v>
      </c>
      <c r="DI147" s="536"/>
      <c r="DJ147" s="536"/>
      <c r="DK147" s="536"/>
      <c r="DL147" s="541">
        <f t="shared" si="75"/>
        <v>0</v>
      </c>
      <c r="DM147" s="536"/>
      <c r="DN147" s="536"/>
      <c r="DO147" s="536"/>
      <c r="DP147" s="541">
        <f>IF( SUM((DJ147*(20/100))+(DK147*(30/100))+(DL147*(50/100))) &gt;=9.3,9.5,
IF(AND( SUM((DJ147*(20/100))+(DK147*(30/100))+(DL147*(50/100))) &lt;=9.3, SUM((DJ147*(20/100))+(DK147*(30/100))+(DL147*(50/100))) &gt;=8.8),9,
IF(AND( SUM((DJ147*(20/100))+(DK147*(30/100))+(DL147*(50/100))) &lt;=8.8, SUM((DJ147*(20/100))+(DK147*(30/100))+(DL147*(50/100))) &gt;=8.3),8.5,
IF(AND( SUM((DJ147*(20/100))+(DK147*(30/100))+(DL147*(50/100))) &lt;=8.3, SUM((DJ147*(20/100))+(DK147*(30/100))+(DL147*(50/100))) &gt;=7.8),8,
IF(AND( SUM((DJ147*(20/100))+(DK147*(30/100))+(DL147*(50/100))) &lt;=7.8, SUM((DJ147*(20/100))+(DK147*(30/100))+(DL147*(50/100))) &gt;=7.3),7.5,
IF(AND( SUM((DJ147*(20/100))+(DK147*(30/100))+(DL147*(50/100))) &lt;=7.3, SUM((DJ147*(20/100))+(DK147*(30/100))+(DL147*(50/100))) &gt;=6.8),7,
IF(AND( SUM((DJ147*(20/100))+(DK147*(30/100))+(DL147*(50/100))) &lt;=6.8, SUM((DJ147*(20/100))+(DK147*(30/100))+(DL147*(50/100))) &gt;=6.3),6.5,
IF(AND( SUM((DJ147*(20/100))+(DK147*(30/100))+(DL147*(50/100))) &lt;=6.3, SUM((DJ147*(20/100))+(DK147*(30/100))+(DL147*(50/100))) &gt;=5.8),6,
IF(AND( SUM((DJ147*(20/100))+(DK147*(30/100))+(DL147*(50/100))) &lt;=5.8, SUM((DJ147*(20/100))+(DK147*(30/100))+(DL147*(50/100))) &gt;=5.3),5.5,
IF(AND( SUM((DJ147*(20/100))+(DK147*(30/100))+(DL147*(50/100))) &lt;=5.3, SUM((DJ147*(20/100))+(DK147*(30/100))+(DL147*(50/100))) &gt;=4.8),5,
IF(AND( SUM((DJ147*(20/100))+(DK147*(30/100))+(DL147*(50/100))) &lt;=4.8, SUM((DJ147*(20/100))+(DK147*(30/100))+(DL147*(50/100))) &gt;=4.3),4.5,
IF(AND( SUM((DJ147*(20/100))+(DK147*(30/100))+(DL147*(50/100))) &lt;=4.3, SUM((DJ147*(20/100))+(DK147*(30/100))+(DL147*(50/100))) &gt;=3.8),4,
IF(AND( SUM((DJ147*(20/100))+(DK147*(30/100))+(DL147*(50/100))) &lt;=3.8, SUM((DJ147*(20/100))+(DK147*(30/100))+(DL147*(50/100))) &gt;=3.5),3.5,0)))))))))))))</f>
        <v>0</v>
      </c>
      <c r="DQ147" s="541"/>
      <c r="DR147" s="541"/>
      <c r="DS147" s="541"/>
      <c r="DT147" s="541"/>
      <c r="DU147" s="541"/>
      <c r="DV147" s="541"/>
      <c r="DW147" s="541"/>
      <c r="DX147" s="541"/>
      <c r="DY147" s="541"/>
      <c r="DZ147" s="541"/>
    </row>
    <row r="148" spans="2:130" x14ac:dyDescent="0.25">
      <c r="B148" s="334">
        <v>41</v>
      </c>
      <c r="C148" s="541"/>
      <c r="D148" s="334"/>
      <c r="E148" s="334"/>
      <c r="F148" s="334"/>
      <c r="G148" s="334"/>
      <c r="H148" s="334"/>
      <c r="I148" s="334"/>
      <c r="J148" s="536"/>
      <c r="K148" s="536"/>
      <c r="L148" s="536"/>
      <c r="M148" s="536"/>
      <c r="N148" s="536"/>
      <c r="O148" s="536"/>
      <c r="P148" s="536">
        <f t="shared" si="51"/>
        <v>0</v>
      </c>
      <c r="Q148" s="536"/>
      <c r="R148" s="536"/>
      <c r="S148" s="536"/>
      <c r="T148" s="536">
        <f t="shared" si="52"/>
        <v>0</v>
      </c>
      <c r="U148" s="536"/>
      <c r="V148" s="536"/>
      <c r="W148" s="536"/>
      <c r="X148" s="536">
        <f t="shared" si="53"/>
        <v>0</v>
      </c>
      <c r="Y148" s="536"/>
      <c r="Z148" s="536"/>
      <c r="AA148" s="536"/>
      <c r="AB148" s="536">
        <f t="shared" si="54"/>
        <v>0</v>
      </c>
      <c r="AC148" s="536"/>
      <c r="AD148" s="536"/>
      <c r="AE148" s="536"/>
      <c r="AF148" s="536">
        <f t="shared" si="55"/>
        <v>0</v>
      </c>
      <c r="AG148" s="536"/>
      <c r="AH148" s="536"/>
      <c r="AI148" s="536"/>
      <c r="AJ148" s="536">
        <f t="shared" si="56"/>
        <v>0</v>
      </c>
      <c r="AK148" s="536"/>
      <c r="AL148" s="536"/>
      <c r="AM148" s="536"/>
      <c r="AN148" s="542">
        <f t="shared" si="57"/>
        <v>0</v>
      </c>
      <c r="AO148" s="536"/>
      <c r="AP148" s="536"/>
      <c r="AQ148" s="536"/>
      <c r="AR148" s="542">
        <f t="shared" si="58"/>
        <v>0</v>
      </c>
      <c r="AS148" s="536"/>
      <c r="AT148" s="536"/>
      <c r="AU148" s="536"/>
      <c r="AV148" s="542">
        <f t="shared" si="59"/>
        <v>0</v>
      </c>
      <c r="AW148" s="536"/>
      <c r="AX148" s="536"/>
      <c r="AY148" s="536"/>
      <c r="AZ148" s="542">
        <f t="shared" si="60"/>
        <v>0</v>
      </c>
      <c r="BA148" s="536"/>
      <c r="BB148" s="536"/>
      <c r="BC148" s="536"/>
      <c r="BD148" s="542">
        <f t="shared" si="61"/>
        <v>0</v>
      </c>
      <c r="BE148" s="536"/>
      <c r="BF148" s="536"/>
      <c r="BG148" s="536"/>
      <c r="BH148" s="542">
        <f t="shared" si="62"/>
        <v>0</v>
      </c>
      <c r="BI148" s="536"/>
      <c r="BJ148" s="536"/>
      <c r="BK148" s="536"/>
      <c r="BL148" s="542">
        <f t="shared" si="63"/>
        <v>0</v>
      </c>
      <c r="BM148" s="536"/>
      <c r="BN148" s="536"/>
      <c r="BO148" s="536"/>
      <c r="BP148" s="542">
        <f t="shared" si="64"/>
        <v>0</v>
      </c>
      <c r="BQ148" s="536"/>
      <c r="BR148" s="536"/>
      <c r="BS148" s="536"/>
      <c r="BT148" s="542">
        <f t="shared" si="65"/>
        <v>0</v>
      </c>
      <c r="BU148" s="536"/>
      <c r="BV148" s="536"/>
      <c r="BW148" s="536"/>
      <c r="BX148" s="542">
        <f t="shared" si="66"/>
        <v>0</v>
      </c>
      <c r="BY148" s="536"/>
      <c r="BZ148" s="536"/>
      <c r="CA148" s="536"/>
      <c r="CB148" s="542">
        <v>0</v>
      </c>
      <c r="CC148" s="536"/>
      <c r="CD148" s="536"/>
      <c r="CE148" s="536"/>
      <c r="CF148" s="541">
        <f t="shared" si="67"/>
        <v>0</v>
      </c>
      <c r="CG148" s="536"/>
      <c r="CH148" s="536"/>
      <c r="CI148" s="536"/>
      <c r="CJ148" s="541">
        <f t="shared" si="68"/>
        <v>0</v>
      </c>
      <c r="CK148" s="536"/>
      <c r="CL148" s="536"/>
      <c r="CM148" s="536"/>
      <c r="CN148" s="541">
        <f t="shared" si="69"/>
        <v>0</v>
      </c>
      <c r="CO148" s="536"/>
      <c r="CP148" s="536"/>
      <c r="CQ148" s="536"/>
      <c r="CR148" s="541">
        <f t="shared" si="70"/>
        <v>0</v>
      </c>
      <c r="CS148" s="536"/>
      <c r="CT148" s="536"/>
      <c r="CU148" s="536"/>
      <c r="CV148" s="541">
        <f t="shared" si="71"/>
        <v>0</v>
      </c>
      <c r="CW148" s="536"/>
      <c r="CX148" s="536"/>
      <c r="CY148" s="536"/>
      <c r="CZ148" s="541">
        <f t="shared" si="72"/>
        <v>0</v>
      </c>
      <c r="DA148" s="536"/>
      <c r="DB148" s="536"/>
      <c r="DC148" s="536"/>
      <c r="DD148" s="541">
        <f t="shared" si="73"/>
        <v>0</v>
      </c>
      <c r="DE148" s="536"/>
      <c r="DF148" s="536"/>
      <c r="DG148" s="536"/>
      <c r="DH148" s="541">
        <f t="shared" si="74"/>
        <v>0</v>
      </c>
      <c r="DI148" s="536"/>
      <c r="DJ148" s="536"/>
      <c r="DK148" s="536"/>
      <c r="DL148" s="541">
        <f t="shared" si="75"/>
        <v>0</v>
      </c>
      <c r="DM148" s="536"/>
      <c r="DN148" s="536"/>
      <c r="DO148" s="536"/>
      <c r="DP148" s="541">
        <f>IF( SUM((DJ148*(20/100))+(DK148*(30/100))+(DL148*(50/100))) &gt;=9.3,9.5,
IF(AND( SUM((DJ148*(20/100))+(DK148*(30/100))+(DL148*(50/100))) &lt;=9.3, SUM((DJ148*(20/100))+(DK148*(30/100))+(DL148*(50/100))) &gt;=8.8),9,
IF(AND( SUM((DJ148*(20/100))+(DK148*(30/100))+(DL148*(50/100))) &lt;=8.8, SUM((DJ148*(20/100))+(DK148*(30/100))+(DL148*(50/100))) &gt;=8.3),8.5,
IF(AND( SUM((DJ148*(20/100))+(DK148*(30/100))+(DL148*(50/100))) &lt;=8.3, SUM((DJ148*(20/100))+(DK148*(30/100))+(DL148*(50/100))) &gt;=7.8),8,
IF(AND( SUM((DJ148*(20/100))+(DK148*(30/100))+(DL148*(50/100))) &lt;=7.8, SUM((DJ148*(20/100))+(DK148*(30/100))+(DL148*(50/100))) &gt;=7.3),7.5,
IF(AND( SUM((DJ148*(20/100))+(DK148*(30/100))+(DL148*(50/100))) &lt;=7.3, SUM((DJ148*(20/100))+(DK148*(30/100))+(DL148*(50/100))) &gt;=6.8),7,
IF(AND( SUM((DJ148*(20/100))+(DK148*(30/100))+(DL148*(50/100))) &lt;=6.8, SUM((DJ148*(20/100))+(DK148*(30/100))+(DL148*(50/100))) &gt;=6.3),6.5,
IF(AND( SUM((DJ148*(20/100))+(DK148*(30/100))+(DL148*(50/100))) &lt;=6.3, SUM((DJ148*(20/100))+(DK148*(30/100))+(DL148*(50/100))) &gt;=5.8),6,
IF(AND( SUM((DJ148*(20/100))+(DK148*(30/100))+(DL148*(50/100))) &lt;=5.8, SUM((DJ148*(20/100))+(DK148*(30/100))+(DL148*(50/100))) &gt;=5.3),5.5,
IF(AND( SUM((DJ148*(20/100))+(DK148*(30/100))+(DL148*(50/100))) &lt;=5.3, SUM((DJ148*(20/100))+(DK148*(30/100))+(DL148*(50/100))) &gt;=4.8),5,
IF(AND( SUM((DJ148*(20/100))+(DK148*(30/100))+(DL148*(50/100))) &lt;=4.8, SUM((DJ148*(20/100))+(DK148*(30/100))+(DL148*(50/100))) &gt;=4.3),4.5,
IF(AND( SUM((DJ148*(20/100))+(DK148*(30/100))+(DL148*(50/100))) &lt;=4.3, SUM((DJ148*(20/100))+(DK148*(30/100))+(DL148*(50/100))) &gt;=3.8),4,
IF(AND( SUM((DJ148*(20/100))+(DK148*(30/100))+(DL148*(50/100))) &lt;=3.8, SUM((DJ148*(20/100))+(DK148*(30/100))+(DL148*(50/100))) &gt;=3.5),3.5,0)))))))))))))</f>
        <v>0</v>
      </c>
      <c r="DQ148" s="541"/>
      <c r="DR148" s="541"/>
      <c r="DS148" s="541"/>
      <c r="DT148" s="541"/>
      <c r="DU148" s="541"/>
      <c r="DV148" s="541"/>
      <c r="DW148" s="541"/>
      <c r="DX148" s="541"/>
      <c r="DY148" s="541"/>
      <c r="DZ148" s="541"/>
    </row>
    <row r="149" spans="2:130" x14ac:dyDescent="0.25">
      <c r="B149" s="334">
        <v>42</v>
      </c>
      <c r="C149" s="541"/>
      <c r="D149" s="334"/>
      <c r="E149" s="334"/>
      <c r="F149" s="334"/>
      <c r="G149" s="334"/>
      <c r="H149" s="334"/>
      <c r="I149" s="334"/>
      <c r="J149" s="536"/>
      <c r="K149" s="536"/>
      <c r="L149" s="536"/>
      <c r="M149" s="536"/>
      <c r="N149" s="536"/>
      <c r="O149" s="536"/>
      <c r="P149" s="536">
        <f t="shared" si="51"/>
        <v>0</v>
      </c>
      <c r="Q149" s="536"/>
      <c r="R149" s="536"/>
      <c r="S149" s="536"/>
      <c r="T149" s="536">
        <f t="shared" si="52"/>
        <v>0</v>
      </c>
      <c r="U149" s="536"/>
      <c r="V149" s="536"/>
      <c r="W149" s="536"/>
      <c r="X149" s="536">
        <f t="shared" si="53"/>
        <v>0</v>
      </c>
      <c r="Y149" s="536"/>
      <c r="Z149" s="536"/>
      <c r="AA149" s="536"/>
      <c r="AB149" s="536">
        <f t="shared" si="54"/>
        <v>0</v>
      </c>
      <c r="AC149" s="536"/>
      <c r="AD149" s="536"/>
      <c r="AE149" s="536"/>
      <c r="AF149" s="536">
        <f t="shared" si="55"/>
        <v>0</v>
      </c>
      <c r="AG149" s="536"/>
      <c r="AH149" s="536"/>
      <c r="AI149" s="536"/>
      <c r="AJ149" s="536">
        <f t="shared" si="56"/>
        <v>0</v>
      </c>
      <c r="AK149" s="536"/>
      <c r="AL149" s="536"/>
      <c r="AM149" s="536"/>
      <c r="AN149" s="542">
        <f t="shared" si="57"/>
        <v>0</v>
      </c>
      <c r="AO149" s="536"/>
      <c r="AP149" s="536"/>
      <c r="AQ149" s="536"/>
      <c r="AR149" s="542">
        <f t="shared" si="58"/>
        <v>0</v>
      </c>
      <c r="AS149" s="536"/>
      <c r="AT149" s="536"/>
      <c r="AU149" s="536"/>
      <c r="AV149" s="542">
        <f t="shared" si="59"/>
        <v>0</v>
      </c>
      <c r="AW149" s="536"/>
      <c r="AX149" s="536"/>
      <c r="AY149" s="536"/>
      <c r="AZ149" s="542">
        <f t="shared" si="60"/>
        <v>0</v>
      </c>
      <c r="BA149" s="536"/>
      <c r="BB149" s="536"/>
      <c r="BC149" s="536"/>
      <c r="BD149" s="542">
        <f t="shared" si="61"/>
        <v>0</v>
      </c>
      <c r="BE149" s="536"/>
      <c r="BF149" s="536"/>
      <c r="BG149" s="536"/>
      <c r="BH149" s="542">
        <f t="shared" si="62"/>
        <v>0</v>
      </c>
      <c r="BI149" s="536"/>
      <c r="BJ149" s="536"/>
      <c r="BK149" s="536"/>
      <c r="BL149" s="542">
        <f t="shared" si="63"/>
        <v>0</v>
      </c>
      <c r="BM149" s="536"/>
      <c r="BN149" s="536"/>
      <c r="BO149" s="536"/>
      <c r="BP149" s="542">
        <f t="shared" si="64"/>
        <v>0</v>
      </c>
      <c r="BQ149" s="536"/>
      <c r="BR149" s="536"/>
      <c r="BS149" s="536"/>
      <c r="BT149" s="542">
        <f t="shared" si="65"/>
        <v>0</v>
      </c>
      <c r="BU149" s="536"/>
      <c r="BV149" s="536"/>
      <c r="BW149" s="536"/>
      <c r="BX149" s="542">
        <f t="shared" si="66"/>
        <v>0</v>
      </c>
      <c r="BY149" s="536"/>
      <c r="BZ149" s="536"/>
      <c r="CA149" s="536"/>
      <c r="CB149" s="542">
        <v>0</v>
      </c>
      <c r="CC149" s="536"/>
      <c r="CD149" s="536"/>
      <c r="CE149" s="536"/>
      <c r="CF149" s="541">
        <f t="shared" si="67"/>
        <v>0</v>
      </c>
      <c r="CG149" s="536"/>
      <c r="CH149" s="536"/>
      <c r="CI149" s="536"/>
      <c r="CJ149" s="541">
        <f t="shared" si="68"/>
        <v>0</v>
      </c>
      <c r="CK149" s="536"/>
      <c r="CL149" s="536"/>
      <c r="CM149" s="536"/>
      <c r="CN149" s="541">
        <f t="shared" si="69"/>
        <v>0</v>
      </c>
      <c r="CO149" s="536"/>
      <c r="CP149" s="536"/>
      <c r="CQ149" s="536"/>
      <c r="CR149" s="541">
        <f t="shared" si="70"/>
        <v>0</v>
      </c>
      <c r="CS149" s="536"/>
      <c r="CT149" s="536"/>
      <c r="CU149" s="536"/>
      <c r="CV149" s="541">
        <f t="shared" si="71"/>
        <v>0</v>
      </c>
      <c r="CW149" s="536"/>
      <c r="CX149" s="536"/>
      <c r="CY149" s="536"/>
      <c r="CZ149" s="541">
        <f t="shared" si="72"/>
        <v>0</v>
      </c>
      <c r="DA149" s="536"/>
      <c r="DB149" s="536"/>
      <c r="DC149" s="536"/>
      <c r="DD149" s="541">
        <f t="shared" si="73"/>
        <v>0</v>
      </c>
      <c r="DE149" s="536"/>
      <c r="DF149" s="536"/>
      <c r="DG149" s="536"/>
      <c r="DH149" s="541">
        <f t="shared" si="74"/>
        <v>0</v>
      </c>
      <c r="DI149" s="536"/>
      <c r="DJ149" s="536"/>
      <c r="DK149" s="536"/>
      <c r="DL149" s="541">
        <f t="shared" si="75"/>
        <v>0</v>
      </c>
      <c r="DM149" s="536"/>
      <c r="DN149" s="536"/>
      <c r="DO149" s="536"/>
      <c r="DP149" s="541">
        <f>IF( SUM((DJ149*(20/100))+(DK149*(30/100))+(DL149*(50/100))) &gt;=9.3,9.5,
IF(AND( SUM((DJ149*(20/100))+(DK149*(30/100))+(DL149*(50/100))) &lt;=9.3, SUM((DJ149*(20/100))+(DK149*(30/100))+(DL149*(50/100))) &gt;=8.8),9,
IF(AND( SUM((DJ149*(20/100))+(DK149*(30/100))+(DL149*(50/100))) &lt;=8.8, SUM((DJ149*(20/100))+(DK149*(30/100))+(DL149*(50/100))) &gt;=8.3),8.5,
IF(AND( SUM((DJ149*(20/100))+(DK149*(30/100))+(DL149*(50/100))) &lt;=8.3, SUM((DJ149*(20/100))+(DK149*(30/100))+(DL149*(50/100))) &gt;=7.8),8,
IF(AND( SUM((DJ149*(20/100))+(DK149*(30/100))+(DL149*(50/100))) &lt;=7.8, SUM((DJ149*(20/100))+(DK149*(30/100))+(DL149*(50/100))) &gt;=7.3),7.5,
IF(AND( SUM((DJ149*(20/100))+(DK149*(30/100))+(DL149*(50/100))) &lt;=7.3, SUM((DJ149*(20/100))+(DK149*(30/100))+(DL149*(50/100))) &gt;=6.8),7,
IF(AND( SUM((DJ149*(20/100))+(DK149*(30/100))+(DL149*(50/100))) &lt;=6.8, SUM((DJ149*(20/100))+(DK149*(30/100))+(DL149*(50/100))) &gt;=6.3),6.5,
IF(AND( SUM((DJ149*(20/100))+(DK149*(30/100))+(DL149*(50/100))) &lt;=6.3, SUM((DJ149*(20/100))+(DK149*(30/100))+(DL149*(50/100))) &gt;=5.8),6,
IF(AND( SUM((DJ149*(20/100))+(DK149*(30/100))+(DL149*(50/100))) &lt;=5.8, SUM((DJ149*(20/100))+(DK149*(30/100))+(DL149*(50/100))) &gt;=5.3),5.5,
IF(AND( SUM((DJ149*(20/100))+(DK149*(30/100))+(DL149*(50/100))) &lt;=5.3, SUM((DJ149*(20/100))+(DK149*(30/100))+(DL149*(50/100))) &gt;=4.8),5,
IF(AND( SUM((DJ149*(20/100))+(DK149*(30/100))+(DL149*(50/100))) &lt;=4.8, SUM((DJ149*(20/100))+(DK149*(30/100))+(DL149*(50/100))) &gt;=4.3),4.5,
IF(AND( SUM((DJ149*(20/100))+(DK149*(30/100))+(DL149*(50/100))) &lt;=4.3, SUM((DJ149*(20/100))+(DK149*(30/100))+(DL149*(50/100))) &gt;=3.8),4,
IF(AND( SUM((DJ149*(20/100))+(DK149*(30/100))+(DL149*(50/100))) &lt;=3.8, SUM((DJ149*(20/100))+(DK149*(30/100))+(DL149*(50/100))) &gt;=3.5),3.5,0)))))))))))))</f>
        <v>0</v>
      </c>
      <c r="DQ149" s="541"/>
      <c r="DR149" s="541"/>
      <c r="DS149" s="541"/>
      <c r="DT149" s="541"/>
      <c r="DU149" s="541"/>
      <c r="DV149" s="541"/>
      <c r="DW149" s="541"/>
      <c r="DX149" s="541"/>
      <c r="DY149" s="541"/>
      <c r="DZ149" s="541"/>
    </row>
    <row r="150" spans="2:130" x14ac:dyDescent="0.25">
      <c r="B150" s="334">
        <v>43</v>
      </c>
      <c r="C150" s="541"/>
      <c r="D150" s="334"/>
      <c r="E150" s="334"/>
      <c r="F150" s="334"/>
      <c r="G150" s="334"/>
      <c r="H150" s="334"/>
      <c r="I150" s="334"/>
      <c r="J150" s="536"/>
      <c r="K150" s="536"/>
      <c r="L150" s="536"/>
      <c r="M150" s="536"/>
      <c r="N150" s="536"/>
      <c r="O150" s="536"/>
      <c r="P150" s="536">
        <f t="shared" si="51"/>
        <v>0</v>
      </c>
      <c r="Q150" s="536"/>
      <c r="R150" s="536"/>
      <c r="S150" s="536"/>
      <c r="T150" s="536">
        <f t="shared" si="52"/>
        <v>0</v>
      </c>
      <c r="U150" s="536"/>
      <c r="V150" s="536"/>
      <c r="W150" s="536"/>
      <c r="X150" s="536">
        <f t="shared" si="53"/>
        <v>0</v>
      </c>
      <c r="Y150" s="536"/>
      <c r="Z150" s="536"/>
      <c r="AA150" s="536"/>
      <c r="AB150" s="536">
        <f t="shared" si="54"/>
        <v>0</v>
      </c>
      <c r="AC150" s="536"/>
      <c r="AD150" s="536"/>
      <c r="AE150" s="536"/>
      <c r="AF150" s="536">
        <f t="shared" si="55"/>
        <v>0</v>
      </c>
      <c r="AG150" s="536"/>
      <c r="AH150" s="536"/>
      <c r="AI150" s="536"/>
      <c r="AJ150" s="536">
        <f t="shared" si="56"/>
        <v>0</v>
      </c>
      <c r="AK150" s="536"/>
      <c r="AL150" s="536"/>
      <c r="AM150" s="536"/>
      <c r="AN150" s="542">
        <f t="shared" si="57"/>
        <v>0</v>
      </c>
      <c r="AO150" s="536"/>
      <c r="AP150" s="536"/>
      <c r="AQ150" s="536"/>
      <c r="AR150" s="542">
        <f t="shared" si="58"/>
        <v>0</v>
      </c>
      <c r="AS150" s="536"/>
      <c r="AT150" s="536"/>
      <c r="AU150" s="536"/>
      <c r="AV150" s="542">
        <f t="shared" si="59"/>
        <v>0</v>
      </c>
      <c r="AW150" s="536"/>
      <c r="AX150" s="536"/>
      <c r="AY150" s="536"/>
      <c r="AZ150" s="542">
        <f t="shared" si="60"/>
        <v>0</v>
      </c>
      <c r="BA150" s="536"/>
      <c r="BB150" s="536"/>
      <c r="BC150" s="536"/>
      <c r="BD150" s="542">
        <f t="shared" si="61"/>
        <v>0</v>
      </c>
      <c r="BE150" s="536"/>
      <c r="BF150" s="536"/>
      <c r="BG150" s="536"/>
      <c r="BH150" s="542">
        <f t="shared" si="62"/>
        <v>0</v>
      </c>
      <c r="BI150" s="536"/>
      <c r="BJ150" s="536"/>
      <c r="BK150" s="536"/>
      <c r="BL150" s="542">
        <f t="shared" si="63"/>
        <v>0</v>
      </c>
      <c r="BM150" s="536"/>
      <c r="BN150" s="536"/>
      <c r="BO150" s="536"/>
      <c r="BP150" s="542">
        <f t="shared" si="64"/>
        <v>0</v>
      </c>
      <c r="BQ150" s="536"/>
      <c r="BR150" s="536"/>
      <c r="BS150" s="536"/>
      <c r="BT150" s="542">
        <f t="shared" si="65"/>
        <v>0</v>
      </c>
      <c r="BU150" s="536"/>
      <c r="BV150" s="536"/>
      <c r="BW150" s="536"/>
      <c r="BX150" s="542">
        <f t="shared" si="66"/>
        <v>0</v>
      </c>
      <c r="BY150" s="536"/>
      <c r="BZ150" s="536"/>
      <c r="CA150" s="536"/>
      <c r="CB150" s="542">
        <v>0</v>
      </c>
      <c r="CC150" s="536"/>
      <c r="CD150" s="536"/>
      <c r="CE150" s="536"/>
      <c r="CF150" s="541">
        <f t="shared" si="67"/>
        <v>0</v>
      </c>
      <c r="CG150" s="536"/>
      <c r="CH150" s="536"/>
      <c r="CI150" s="536"/>
      <c r="CJ150" s="541">
        <f t="shared" si="68"/>
        <v>0</v>
      </c>
      <c r="CK150" s="536"/>
      <c r="CL150" s="536"/>
      <c r="CM150" s="536"/>
      <c r="CN150" s="541">
        <f t="shared" si="69"/>
        <v>0</v>
      </c>
      <c r="CO150" s="536"/>
      <c r="CP150" s="536"/>
      <c r="CQ150" s="536"/>
      <c r="CR150" s="541">
        <f t="shared" si="70"/>
        <v>0</v>
      </c>
      <c r="CS150" s="536"/>
      <c r="CT150" s="536"/>
      <c r="CU150" s="536"/>
      <c r="CV150" s="541">
        <f t="shared" si="71"/>
        <v>0</v>
      </c>
      <c r="CW150" s="536"/>
      <c r="CX150" s="536"/>
      <c r="CY150" s="536"/>
      <c r="CZ150" s="541">
        <f t="shared" si="72"/>
        <v>0</v>
      </c>
      <c r="DA150" s="536"/>
      <c r="DB150" s="536"/>
      <c r="DC150" s="536"/>
      <c r="DD150" s="541">
        <f t="shared" si="73"/>
        <v>0</v>
      </c>
      <c r="DE150" s="536"/>
      <c r="DF150" s="536"/>
      <c r="DG150" s="536"/>
      <c r="DH150" s="541">
        <f t="shared" si="74"/>
        <v>0</v>
      </c>
      <c r="DI150" s="536"/>
      <c r="DJ150" s="536"/>
      <c r="DK150" s="536"/>
      <c r="DL150" s="541">
        <f t="shared" si="75"/>
        <v>0</v>
      </c>
      <c r="DM150" s="536"/>
      <c r="DN150" s="536"/>
      <c r="DO150" s="536"/>
      <c r="DP150" s="541">
        <f>IF( SUM((DJ150*(20/100))+(DK150*(30/100))+(DL150*(50/100))) &gt;=9.3,9.5,
IF(AND( SUM((DJ150*(20/100))+(DK150*(30/100))+(DL150*(50/100))) &lt;=9.3, SUM((DJ150*(20/100))+(DK150*(30/100))+(DL150*(50/100))) &gt;=8.8),9,
IF(AND( SUM((DJ150*(20/100))+(DK150*(30/100))+(DL150*(50/100))) &lt;=8.8, SUM((DJ150*(20/100))+(DK150*(30/100))+(DL150*(50/100))) &gt;=8.3),8.5,
IF(AND( SUM((DJ150*(20/100))+(DK150*(30/100))+(DL150*(50/100))) &lt;=8.3, SUM((DJ150*(20/100))+(DK150*(30/100))+(DL150*(50/100))) &gt;=7.8),8,
IF(AND( SUM((DJ150*(20/100))+(DK150*(30/100))+(DL150*(50/100))) &lt;=7.8, SUM((DJ150*(20/100))+(DK150*(30/100))+(DL150*(50/100))) &gt;=7.3),7.5,
IF(AND( SUM((DJ150*(20/100))+(DK150*(30/100))+(DL150*(50/100))) &lt;=7.3, SUM((DJ150*(20/100))+(DK150*(30/100))+(DL150*(50/100))) &gt;=6.8),7,
IF(AND( SUM((DJ150*(20/100))+(DK150*(30/100))+(DL150*(50/100))) &lt;=6.8, SUM((DJ150*(20/100))+(DK150*(30/100))+(DL150*(50/100))) &gt;=6.3),6.5,
IF(AND( SUM((DJ150*(20/100))+(DK150*(30/100))+(DL150*(50/100))) &lt;=6.3, SUM((DJ150*(20/100))+(DK150*(30/100))+(DL150*(50/100))) &gt;=5.8),6,
IF(AND( SUM((DJ150*(20/100))+(DK150*(30/100))+(DL150*(50/100))) &lt;=5.8, SUM((DJ150*(20/100))+(DK150*(30/100))+(DL150*(50/100))) &gt;=5.3),5.5,
IF(AND( SUM((DJ150*(20/100))+(DK150*(30/100))+(DL150*(50/100))) &lt;=5.3, SUM((DJ150*(20/100))+(DK150*(30/100))+(DL150*(50/100))) &gt;=4.8),5,
IF(AND( SUM((DJ150*(20/100))+(DK150*(30/100))+(DL150*(50/100))) &lt;=4.8, SUM((DJ150*(20/100))+(DK150*(30/100))+(DL150*(50/100))) &gt;=4.3),4.5,
IF(AND( SUM((DJ150*(20/100))+(DK150*(30/100))+(DL150*(50/100))) &lt;=4.3, SUM((DJ150*(20/100))+(DK150*(30/100))+(DL150*(50/100))) &gt;=3.8),4,
IF(AND( SUM((DJ150*(20/100))+(DK150*(30/100))+(DL150*(50/100))) &lt;=3.8, SUM((DJ150*(20/100))+(DK150*(30/100))+(DL150*(50/100))) &gt;=3.5),3.5,0)))))))))))))</f>
        <v>0</v>
      </c>
      <c r="DQ150" s="541"/>
      <c r="DR150" s="541"/>
      <c r="DS150" s="541"/>
      <c r="DT150" s="541"/>
      <c r="DU150" s="541"/>
      <c r="DV150" s="541"/>
      <c r="DW150" s="541"/>
      <c r="DX150" s="541"/>
      <c r="DY150" s="541"/>
      <c r="DZ150" s="541"/>
    </row>
    <row r="151" spans="2:130" x14ac:dyDescent="0.25">
      <c r="B151" s="334">
        <v>44</v>
      </c>
      <c r="C151" s="541"/>
      <c r="D151" s="334"/>
      <c r="E151" s="334"/>
      <c r="F151" s="334"/>
      <c r="G151" s="334"/>
      <c r="H151" s="334"/>
      <c r="I151" s="334"/>
      <c r="J151" s="536"/>
      <c r="K151" s="536"/>
      <c r="L151" s="536"/>
      <c r="M151" s="536"/>
      <c r="N151" s="536"/>
      <c r="O151" s="536"/>
      <c r="P151" s="536">
        <f t="shared" si="51"/>
        <v>0</v>
      </c>
      <c r="Q151" s="536"/>
      <c r="R151" s="536"/>
      <c r="S151" s="536"/>
      <c r="T151" s="536">
        <f t="shared" si="52"/>
        <v>0</v>
      </c>
      <c r="U151" s="536"/>
      <c r="V151" s="536"/>
      <c r="W151" s="536"/>
      <c r="X151" s="536">
        <f t="shared" si="53"/>
        <v>0</v>
      </c>
      <c r="Y151" s="536"/>
      <c r="Z151" s="536"/>
      <c r="AA151" s="536"/>
      <c r="AB151" s="536">
        <f t="shared" si="54"/>
        <v>0</v>
      </c>
      <c r="AC151" s="536"/>
      <c r="AD151" s="536"/>
      <c r="AE151" s="536"/>
      <c r="AF151" s="536">
        <f t="shared" si="55"/>
        <v>0</v>
      </c>
      <c r="AG151" s="536"/>
      <c r="AH151" s="536"/>
      <c r="AI151" s="536"/>
      <c r="AJ151" s="536">
        <f t="shared" si="56"/>
        <v>0</v>
      </c>
      <c r="AK151" s="536"/>
      <c r="AL151" s="536"/>
      <c r="AM151" s="536"/>
      <c r="AN151" s="542">
        <f t="shared" si="57"/>
        <v>0</v>
      </c>
      <c r="AO151" s="536"/>
      <c r="AP151" s="536"/>
      <c r="AQ151" s="536"/>
      <c r="AR151" s="542">
        <f t="shared" si="58"/>
        <v>0</v>
      </c>
      <c r="AS151" s="536"/>
      <c r="AT151" s="536"/>
      <c r="AU151" s="536"/>
      <c r="AV151" s="542">
        <f t="shared" si="59"/>
        <v>0</v>
      </c>
      <c r="AW151" s="536"/>
      <c r="AX151" s="536"/>
      <c r="AY151" s="536"/>
      <c r="AZ151" s="542">
        <f t="shared" si="60"/>
        <v>0</v>
      </c>
      <c r="BA151" s="536"/>
      <c r="BB151" s="536"/>
      <c r="BC151" s="536"/>
      <c r="BD151" s="542">
        <f t="shared" si="61"/>
        <v>0</v>
      </c>
      <c r="BE151" s="536"/>
      <c r="BF151" s="536"/>
      <c r="BG151" s="536"/>
      <c r="BH151" s="542">
        <f t="shared" si="62"/>
        <v>0</v>
      </c>
      <c r="BI151" s="536"/>
      <c r="BJ151" s="536"/>
      <c r="BK151" s="536"/>
      <c r="BL151" s="542">
        <f t="shared" si="63"/>
        <v>0</v>
      </c>
      <c r="BM151" s="536"/>
      <c r="BN151" s="536"/>
      <c r="BO151" s="536"/>
      <c r="BP151" s="542">
        <f t="shared" si="64"/>
        <v>0</v>
      </c>
      <c r="BQ151" s="536"/>
      <c r="BR151" s="536"/>
      <c r="BS151" s="536"/>
      <c r="BT151" s="542">
        <f t="shared" si="65"/>
        <v>0</v>
      </c>
      <c r="BU151" s="536"/>
      <c r="BV151" s="536"/>
      <c r="BW151" s="536"/>
      <c r="BX151" s="542">
        <f t="shared" si="66"/>
        <v>0</v>
      </c>
      <c r="BY151" s="536"/>
      <c r="BZ151" s="536"/>
      <c r="CA151" s="536"/>
      <c r="CB151" s="542">
        <v>0</v>
      </c>
      <c r="CC151" s="536"/>
      <c r="CD151" s="536"/>
      <c r="CE151" s="536"/>
      <c r="CF151" s="541">
        <f t="shared" si="67"/>
        <v>0</v>
      </c>
      <c r="CG151" s="536"/>
      <c r="CH151" s="536"/>
      <c r="CI151" s="536"/>
      <c r="CJ151" s="541">
        <f t="shared" si="68"/>
        <v>0</v>
      </c>
      <c r="CK151" s="536"/>
      <c r="CL151" s="536"/>
      <c r="CM151" s="536"/>
      <c r="CN151" s="541">
        <f t="shared" si="69"/>
        <v>0</v>
      </c>
      <c r="CO151" s="536"/>
      <c r="CP151" s="536"/>
      <c r="CQ151" s="536"/>
      <c r="CR151" s="541">
        <f t="shared" si="70"/>
        <v>0</v>
      </c>
      <c r="CS151" s="536"/>
      <c r="CT151" s="536"/>
      <c r="CU151" s="536"/>
      <c r="CV151" s="541">
        <f t="shared" si="71"/>
        <v>0</v>
      </c>
      <c r="CW151" s="536"/>
      <c r="CX151" s="536"/>
      <c r="CY151" s="536"/>
      <c r="CZ151" s="541">
        <f t="shared" si="72"/>
        <v>0</v>
      </c>
      <c r="DA151" s="536"/>
      <c r="DB151" s="536"/>
      <c r="DC151" s="536"/>
      <c r="DD151" s="541">
        <f t="shared" si="73"/>
        <v>0</v>
      </c>
      <c r="DE151" s="536"/>
      <c r="DF151" s="536"/>
      <c r="DG151" s="536"/>
      <c r="DH151" s="541">
        <f t="shared" si="74"/>
        <v>0</v>
      </c>
      <c r="DI151" s="536"/>
      <c r="DJ151" s="536"/>
      <c r="DK151" s="536"/>
      <c r="DL151" s="541">
        <f t="shared" si="75"/>
        <v>0</v>
      </c>
      <c r="DM151" s="536"/>
      <c r="DN151" s="536"/>
      <c r="DO151" s="536"/>
      <c r="DP151" s="541">
        <f>IF( SUM((DJ151*(20/100))+(DK151*(30/100))+(DL151*(50/100))) &gt;=9.3,9.5,
IF(AND( SUM((DJ151*(20/100))+(DK151*(30/100))+(DL151*(50/100))) &lt;=9.3, SUM((DJ151*(20/100))+(DK151*(30/100))+(DL151*(50/100))) &gt;=8.8),9,
IF(AND( SUM((DJ151*(20/100))+(DK151*(30/100))+(DL151*(50/100))) &lt;=8.8, SUM((DJ151*(20/100))+(DK151*(30/100))+(DL151*(50/100))) &gt;=8.3),8.5,
IF(AND( SUM((DJ151*(20/100))+(DK151*(30/100))+(DL151*(50/100))) &lt;=8.3, SUM((DJ151*(20/100))+(DK151*(30/100))+(DL151*(50/100))) &gt;=7.8),8,
IF(AND( SUM((DJ151*(20/100))+(DK151*(30/100))+(DL151*(50/100))) &lt;=7.8, SUM((DJ151*(20/100))+(DK151*(30/100))+(DL151*(50/100))) &gt;=7.3),7.5,
IF(AND( SUM((DJ151*(20/100))+(DK151*(30/100))+(DL151*(50/100))) &lt;=7.3, SUM((DJ151*(20/100))+(DK151*(30/100))+(DL151*(50/100))) &gt;=6.8),7,
IF(AND( SUM((DJ151*(20/100))+(DK151*(30/100))+(DL151*(50/100))) &lt;=6.8, SUM((DJ151*(20/100))+(DK151*(30/100))+(DL151*(50/100))) &gt;=6.3),6.5,
IF(AND( SUM((DJ151*(20/100))+(DK151*(30/100))+(DL151*(50/100))) &lt;=6.3, SUM((DJ151*(20/100))+(DK151*(30/100))+(DL151*(50/100))) &gt;=5.8),6,
IF(AND( SUM((DJ151*(20/100))+(DK151*(30/100))+(DL151*(50/100))) &lt;=5.8, SUM((DJ151*(20/100))+(DK151*(30/100))+(DL151*(50/100))) &gt;=5.3),5.5,
IF(AND( SUM((DJ151*(20/100))+(DK151*(30/100))+(DL151*(50/100))) &lt;=5.3, SUM((DJ151*(20/100))+(DK151*(30/100))+(DL151*(50/100))) &gt;=4.8),5,
IF(AND( SUM((DJ151*(20/100))+(DK151*(30/100))+(DL151*(50/100))) &lt;=4.8, SUM((DJ151*(20/100))+(DK151*(30/100))+(DL151*(50/100))) &gt;=4.3),4.5,
IF(AND( SUM((DJ151*(20/100))+(DK151*(30/100))+(DL151*(50/100))) &lt;=4.3, SUM((DJ151*(20/100))+(DK151*(30/100))+(DL151*(50/100))) &gt;=3.8),4,
IF(AND( SUM((DJ151*(20/100))+(DK151*(30/100))+(DL151*(50/100))) &lt;=3.8, SUM((DJ151*(20/100))+(DK151*(30/100))+(DL151*(50/100))) &gt;=3.5),3.5,0)))))))))))))</f>
        <v>0</v>
      </c>
      <c r="DQ151" s="541"/>
      <c r="DR151" s="541"/>
      <c r="DS151" s="541"/>
      <c r="DT151" s="541"/>
      <c r="DU151" s="541"/>
      <c r="DV151" s="541"/>
      <c r="DW151" s="541"/>
      <c r="DX151" s="541"/>
      <c r="DY151" s="541"/>
      <c r="DZ151" s="541"/>
    </row>
    <row r="152" spans="2:130" x14ac:dyDescent="0.25">
      <c r="B152" s="334">
        <v>45</v>
      </c>
      <c r="C152" s="541"/>
      <c r="D152" s="334"/>
      <c r="E152" s="334"/>
      <c r="F152" s="334"/>
      <c r="G152" s="334"/>
      <c r="H152" s="334"/>
      <c r="I152" s="334"/>
      <c r="J152" s="536"/>
      <c r="K152" s="536"/>
      <c r="L152" s="536"/>
      <c r="M152" s="536"/>
      <c r="N152" s="536"/>
      <c r="O152" s="536"/>
      <c r="P152" s="536">
        <f t="shared" si="51"/>
        <v>0</v>
      </c>
      <c r="Q152" s="536"/>
      <c r="R152" s="536"/>
      <c r="S152" s="536"/>
      <c r="T152" s="536">
        <f t="shared" si="52"/>
        <v>0</v>
      </c>
      <c r="U152" s="536"/>
      <c r="V152" s="536"/>
      <c r="W152" s="536"/>
      <c r="X152" s="536">
        <f t="shared" si="53"/>
        <v>0</v>
      </c>
      <c r="Y152" s="536"/>
      <c r="Z152" s="536"/>
      <c r="AA152" s="536"/>
      <c r="AB152" s="536">
        <f t="shared" si="54"/>
        <v>0</v>
      </c>
      <c r="AC152" s="536"/>
      <c r="AD152" s="536"/>
      <c r="AE152" s="536"/>
      <c r="AF152" s="536">
        <f t="shared" si="55"/>
        <v>0</v>
      </c>
      <c r="AG152" s="536"/>
      <c r="AH152" s="536"/>
      <c r="AI152" s="536"/>
      <c r="AJ152" s="536">
        <f t="shared" si="56"/>
        <v>0</v>
      </c>
      <c r="AK152" s="536"/>
      <c r="AL152" s="536"/>
      <c r="AM152" s="536"/>
      <c r="AN152" s="542">
        <f t="shared" si="57"/>
        <v>0</v>
      </c>
      <c r="AO152" s="536"/>
      <c r="AP152" s="536"/>
      <c r="AQ152" s="536"/>
      <c r="AR152" s="542">
        <f t="shared" si="58"/>
        <v>0</v>
      </c>
      <c r="AS152" s="536"/>
      <c r="AT152" s="536"/>
      <c r="AU152" s="536"/>
      <c r="AV152" s="542">
        <f t="shared" si="59"/>
        <v>0</v>
      </c>
      <c r="AW152" s="536"/>
      <c r="AX152" s="536"/>
      <c r="AY152" s="536"/>
      <c r="AZ152" s="542">
        <f t="shared" si="60"/>
        <v>0</v>
      </c>
      <c r="BA152" s="536"/>
      <c r="BB152" s="536"/>
      <c r="BC152" s="536"/>
      <c r="BD152" s="542">
        <f t="shared" si="61"/>
        <v>0</v>
      </c>
      <c r="BE152" s="536"/>
      <c r="BF152" s="536"/>
      <c r="BG152" s="536"/>
      <c r="BH152" s="542">
        <f t="shared" si="62"/>
        <v>0</v>
      </c>
      <c r="BI152" s="536"/>
      <c r="BJ152" s="536"/>
      <c r="BK152" s="536"/>
      <c r="BL152" s="542">
        <f t="shared" si="63"/>
        <v>0</v>
      </c>
      <c r="BM152" s="536"/>
      <c r="BN152" s="536"/>
      <c r="BO152" s="536"/>
      <c r="BP152" s="542">
        <f t="shared" si="64"/>
        <v>0</v>
      </c>
      <c r="BQ152" s="536"/>
      <c r="BR152" s="536"/>
      <c r="BS152" s="536"/>
      <c r="BT152" s="542">
        <f t="shared" si="65"/>
        <v>0</v>
      </c>
      <c r="BU152" s="536"/>
      <c r="BV152" s="536"/>
      <c r="BW152" s="536"/>
      <c r="BX152" s="542">
        <f t="shared" si="66"/>
        <v>0</v>
      </c>
      <c r="BY152" s="536"/>
      <c r="BZ152" s="536"/>
      <c r="CA152" s="536"/>
      <c r="CB152" s="542">
        <v>0</v>
      </c>
      <c r="CC152" s="536"/>
      <c r="CD152" s="536"/>
      <c r="CE152" s="536"/>
      <c r="CF152" s="541">
        <f t="shared" si="67"/>
        <v>0</v>
      </c>
      <c r="CG152" s="536"/>
      <c r="CH152" s="536"/>
      <c r="CI152" s="536"/>
      <c r="CJ152" s="541">
        <f t="shared" si="68"/>
        <v>0</v>
      </c>
      <c r="CK152" s="536"/>
      <c r="CL152" s="536"/>
      <c r="CM152" s="536"/>
      <c r="CN152" s="541">
        <f t="shared" si="69"/>
        <v>0</v>
      </c>
      <c r="CO152" s="536"/>
      <c r="CP152" s="536"/>
      <c r="CQ152" s="536"/>
      <c r="CR152" s="541">
        <f t="shared" si="70"/>
        <v>0</v>
      </c>
      <c r="CS152" s="536"/>
      <c r="CT152" s="536"/>
      <c r="CU152" s="536"/>
      <c r="CV152" s="541">
        <f t="shared" si="71"/>
        <v>0</v>
      </c>
      <c r="CW152" s="536"/>
      <c r="CX152" s="536"/>
      <c r="CY152" s="536"/>
      <c r="CZ152" s="541">
        <f t="shared" si="72"/>
        <v>0</v>
      </c>
      <c r="DA152" s="536"/>
      <c r="DB152" s="536"/>
      <c r="DC152" s="536"/>
      <c r="DD152" s="541">
        <f t="shared" si="73"/>
        <v>0</v>
      </c>
      <c r="DE152" s="536"/>
      <c r="DF152" s="536"/>
      <c r="DG152" s="536"/>
      <c r="DH152" s="541">
        <f t="shared" si="74"/>
        <v>0</v>
      </c>
      <c r="DI152" s="536"/>
      <c r="DJ152" s="536"/>
      <c r="DK152" s="536"/>
      <c r="DL152" s="541">
        <f t="shared" si="75"/>
        <v>0</v>
      </c>
      <c r="DM152" s="536"/>
      <c r="DN152" s="536"/>
      <c r="DO152" s="536"/>
      <c r="DP152" s="541">
        <f>IF( SUM((DJ152*(20/100))+(DK152*(30/100))+(DL152*(50/100))) &gt;=9.3,9.5,
IF(AND( SUM((DJ152*(20/100))+(DK152*(30/100))+(DL152*(50/100))) &lt;=9.3, SUM((DJ152*(20/100))+(DK152*(30/100))+(DL152*(50/100))) &gt;=8.8),9,
IF(AND( SUM((DJ152*(20/100))+(DK152*(30/100))+(DL152*(50/100))) &lt;=8.8, SUM((DJ152*(20/100))+(DK152*(30/100))+(DL152*(50/100))) &gt;=8.3),8.5,
IF(AND( SUM((DJ152*(20/100))+(DK152*(30/100))+(DL152*(50/100))) &lt;=8.3, SUM((DJ152*(20/100))+(DK152*(30/100))+(DL152*(50/100))) &gt;=7.8),8,
IF(AND( SUM((DJ152*(20/100))+(DK152*(30/100))+(DL152*(50/100))) &lt;=7.8, SUM((DJ152*(20/100))+(DK152*(30/100))+(DL152*(50/100))) &gt;=7.3),7.5,
IF(AND( SUM((DJ152*(20/100))+(DK152*(30/100))+(DL152*(50/100))) &lt;=7.3, SUM((DJ152*(20/100))+(DK152*(30/100))+(DL152*(50/100))) &gt;=6.8),7,
IF(AND( SUM((DJ152*(20/100))+(DK152*(30/100))+(DL152*(50/100))) &lt;=6.8, SUM((DJ152*(20/100))+(DK152*(30/100))+(DL152*(50/100))) &gt;=6.3),6.5,
IF(AND( SUM((DJ152*(20/100))+(DK152*(30/100))+(DL152*(50/100))) &lt;=6.3, SUM((DJ152*(20/100))+(DK152*(30/100))+(DL152*(50/100))) &gt;=5.8),6,
IF(AND( SUM((DJ152*(20/100))+(DK152*(30/100))+(DL152*(50/100))) &lt;=5.8, SUM((DJ152*(20/100))+(DK152*(30/100))+(DL152*(50/100))) &gt;=5.3),5.5,
IF(AND( SUM((DJ152*(20/100))+(DK152*(30/100))+(DL152*(50/100))) &lt;=5.3, SUM((DJ152*(20/100))+(DK152*(30/100))+(DL152*(50/100))) &gt;=4.8),5,
IF(AND( SUM((DJ152*(20/100))+(DK152*(30/100))+(DL152*(50/100))) &lt;=4.8, SUM((DJ152*(20/100))+(DK152*(30/100))+(DL152*(50/100))) &gt;=4.3),4.5,
IF(AND( SUM((DJ152*(20/100))+(DK152*(30/100))+(DL152*(50/100))) &lt;=4.3, SUM((DJ152*(20/100))+(DK152*(30/100))+(DL152*(50/100))) &gt;=3.8),4,
IF(AND( SUM((DJ152*(20/100))+(DK152*(30/100))+(DL152*(50/100))) &lt;=3.8, SUM((DJ152*(20/100))+(DK152*(30/100))+(DL152*(50/100))) &gt;=3.5),3.5,0)))))))))))))</f>
        <v>0</v>
      </c>
      <c r="DQ152" s="541"/>
      <c r="DR152" s="541"/>
      <c r="DS152" s="541"/>
      <c r="DT152" s="541"/>
      <c r="DU152" s="541"/>
      <c r="DV152" s="541"/>
      <c r="DW152" s="541"/>
      <c r="DX152" s="541"/>
      <c r="DY152" s="541"/>
      <c r="DZ152" s="541"/>
    </row>
    <row r="153" spans="2:130" x14ac:dyDescent="0.25">
      <c r="B153" s="334">
        <v>46</v>
      </c>
      <c r="C153" s="541"/>
      <c r="D153" s="334"/>
      <c r="E153" s="334"/>
      <c r="F153" s="334"/>
      <c r="G153" s="334"/>
      <c r="H153" s="334"/>
      <c r="I153" s="334"/>
      <c r="J153" s="536"/>
      <c r="K153" s="536"/>
      <c r="L153" s="536"/>
      <c r="M153" s="536"/>
      <c r="N153" s="536"/>
      <c r="O153" s="536"/>
      <c r="P153" s="536">
        <f t="shared" si="51"/>
        <v>0</v>
      </c>
      <c r="Q153" s="536"/>
      <c r="R153" s="536"/>
      <c r="S153" s="536"/>
      <c r="T153" s="536">
        <f t="shared" si="52"/>
        <v>0</v>
      </c>
      <c r="U153" s="536"/>
      <c r="V153" s="536"/>
      <c r="W153" s="536"/>
      <c r="X153" s="536">
        <f t="shared" si="53"/>
        <v>0</v>
      </c>
      <c r="Y153" s="536"/>
      <c r="Z153" s="536"/>
      <c r="AA153" s="536"/>
      <c r="AB153" s="536">
        <f t="shared" si="54"/>
        <v>0</v>
      </c>
      <c r="AC153" s="536"/>
      <c r="AD153" s="536"/>
      <c r="AE153" s="536"/>
      <c r="AF153" s="536">
        <f t="shared" si="55"/>
        <v>0</v>
      </c>
      <c r="AG153" s="536"/>
      <c r="AH153" s="536"/>
      <c r="AI153" s="536"/>
      <c r="AJ153" s="536">
        <f t="shared" si="56"/>
        <v>0</v>
      </c>
      <c r="AK153" s="536"/>
      <c r="AL153" s="536"/>
      <c r="AM153" s="536"/>
      <c r="AN153" s="542">
        <f t="shared" si="57"/>
        <v>0</v>
      </c>
      <c r="AO153" s="536"/>
      <c r="AP153" s="536"/>
      <c r="AQ153" s="536"/>
      <c r="AR153" s="542">
        <f t="shared" si="58"/>
        <v>0</v>
      </c>
      <c r="AS153" s="536"/>
      <c r="AT153" s="536"/>
      <c r="AU153" s="536"/>
      <c r="AV153" s="542">
        <f t="shared" si="59"/>
        <v>0</v>
      </c>
      <c r="AW153" s="536"/>
      <c r="AX153" s="536"/>
      <c r="AY153" s="536"/>
      <c r="AZ153" s="542">
        <f t="shared" si="60"/>
        <v>0</v>
      </c>
      <c r="BA153" s="536"/>
      <c r="BB153" s="536"/>
      <c r="BC153" s="536"/>
      <c r="BD153" s="542">
        <f t="shared" si="61"/>
        <v>0</v>
      </c>
      <c r="BE153" s="536"/>
      <c r="BF153" s="536"/>
      <c r="BG153" s="536"/>
      <c r="BH153" s="542">
        <f t="shared" si="62"/>
        <v>0</v>
      </c>
      <c r="BI153" s="536"/>
      <c r="BJ153" s="536"/>
      <c r="BK153" s="536"/>
      <c r="BL153" s="542">
        <f t="shared" si="63"/>
        <v>0</v>
      </c>
      <c r="BM153" s="536"/>
      <c r="BN153" s="536"/>
      <c r="BO153" s="536"/>
      <c r="BP153" s="542">
        <f t="shared" si="64"/>
        <v>0</v>
      </c>
      <c r="BQ153" s="536"/>
      <c r="BR153" s="536"/>
      <c r="BS153" s="536"/>
      <c r="BT153" s="542">
        <f t="shared" si="65"/>
        <v>0</v>
      </c>
      <c r="BU153" s="536"/>
      <c r="BV153" s="536"/>
      <c r="BW153" s="536"/>
      <c r="BX153" s="542">
        <f t="shared" si="66"/>
        <v>0</v>
      </c>
      <c r="BY153" s="536"/>
      <c r="BZ153" s="536"/>
      <c r="CA153" s="536"/>
      <c r="CB153" s="542">
        <v>0</v>
      </c>
      <c r="CC153" s="536"/>
      <c r="CD153" s="536"/>
      <c r="CE153" s="536"/>
      <c r="CF153" s="541">
        <f t="shared" si="67"/>
        <v>0</v>
      </c>
      <c r="CG153" s="536"/>
      <c r="CH153" s="536"/>
      <c r="CI153" s="536"/>
      <c r="CJ153" s="541">
        <f t="shared" si="68"/>
        <v>0</v>
      </c>
      <c r="CK153" s="536"/>
      <c r="CL153" s="536"/>
      <c r="CM153" s="536"/>
      <c r="CN153" s="541">
        <f t="shared" si="69"/>
        <v>0</v>
      </c>
      <c r="CO153" s="536"/>
      <c r="CP153" s="536"/>
      <c r="CQ153" s="536"/>
      <c r="CR153" s="541">
        <f t="shared" si="70"/>
        <v>0</v>
      </c>
      <c r="CS153" s="536"/>
      <c r="CT153" s="536"/>
      <c r="CU153" s="536"/>
      <c r="CV153" s="541">
        <f t="shared" si="71"/>
        <v>0</v>
      </c>
      <c r="CW153" s="536"/>
      <c r="CX153" s="536"/>
      <c r="CY153" s="536"/>
      <c r="CZ153" s="541">
        <f t="shared" si="72"/>
        <v>0</v>
      </c>
      <c r="DA153" s="536"/>
      <c r="DB153" s="536"/>
      <c r="DC153" s="536"/>
      <c r="DD153" s="541">
        <f t="shared" si="73"/>
        <v>0</v>
      </c>
      <c r="DE153" s="536"/>
      <c r="DF153" s="536"/>
      <c r="DG153" s="536"/>
      <c r="DH153" s="541">
        <f t="shared" si="74"/>
        <v>0</v>
      </c>
      <c r="DI153" s="536"/>
      <c r="DJ153" s="536"/>
      <c r="DK153" s="536"/>
      <c r="DL153" s="541">
        <f t="shared" si="75"/>
        <v>0</v>
      </c>
      <c r="DM153" s="536"/>
      <c r="DN153" s="536"/>
      <c r="DO153" s="536"/>
      <c r="DP153" s="541">
        <f>IF( SUM((DJ153*(20/100))+(DK153*(30/100))+(DL153*(50/100))) &gt;=9.3,9.5,
IF(AND( SUM((DJ153*(20/100))+(DK153*(30/100))+(DL153*(50/100))) &lt;=9.3, SUM((DJ153*(20/100))+(DK153*(30/100))+(DL153*(50/100))) &gt;=8.8),9,
IF(AND( SUM((DJ153*(20/100))+(DK153*(30/100))+(DL153*(50/100))) &lt;=8.8, SUM((DJ153*(20/100))+(DK153*(30/100))+(DL153*(50/100))) &gt;=8.3),8.5,
IF(AND( SUM((DJ153*(20/100))+(DK153*(30/100))+(DL153*(50/100))) &lt;=8.3, SUM((DJ153*(20/100))+(DK153*(30/100))+(DL153*(50/100))) &gt;=7.8),8,
IF(AND( SUM((DJ153*(20/100))+(DK153*(30/100))+(DL153*(50/100))) &lt;=7.8, SUM((DJ153*(20/100))+(DK153*(30/100))+(DL153*(50/100))) &gt;=7.3),7.5,
IF(AND( SUM((DJ153*(20/100))+(DK153*(30/100))+(DL153*(50/100))) &lt;=7.3, SUM((DJ153*(20/100))+(DK153*(30/100))+(DL153*(50/100))) &gt;=6.8),7,
IF(AND( SUM((DJ153*(20/100))+(DK153*(30/100))+(DL153*(50/100))) &lt;=6.8, SUM((DJ153*(20/100))+(DK153*(30/100))+(DL153*(50/100))) &gt;=6.3),6.5,
IF(AND( SUM((DJ153*(20/100))+(DK153*(30/100))+(DL153*(50/100))) &lt;=6.3, SUM((DJ153*(20/100))+(DK153*(30/100))+(DL153*(50/100))) &gt;=5.8),6,
IF(AND( SUM((DJ153*(20/100))+(DK153*(30/100))+(DL153*(50/100))) &lt;=5.8, SUM((DJ153*(20/100))+(DK153*(30/100))+(DL153*(50/100))) &gt;=5.3),5.5,
IF(AND( SUM((DJ153*(20/100))+(DK153*(30/100))+(DL153*(50/100))) &lt;=5.3, SUM((DJ153*(20/100))+(DK153*(30/100))+(DL153*(50/100))) &gt;=4.8),5,
IF(AND( SUM((DJ153*(20/100))+(DK153*(30/100))+(DL153*(50/100))) &lt;=4.8, SUM((DJ153*(20/100))+(DK153*(30/100))+(DL153*(50/100))) &gt;=4.3),4.5,
IF(AND( SUM((DJ153*(20/100))+(DK153*(30/100))+(DL153*(50/100))) &lt;=4.3, SUM((DJ153*(20/100))+(DK153*(30/100))+(DL153*(50/100))) &gt;=3.8),4,
IF(AND( SUM((DJ153*(20/100))+(DK153*(30/100))+(DL153*(50/100))) &lt;=3.8, SUM((DJ153*(20/100))+(DK153*(30/100))+(DL153*(50/100))) &gt;=3.5),3.5,0)))))))))))))</f>
        <v>0</v>
      </c>
      <c r="DQ153" s="541"/>
      <c r="DR153" s="541"/>
      <c r="DS153" s="541"/>
      <c r="DT153" s="541"/>
      <c r="DU153" s="541"/>
      <c r="DV153" s="541"/>
      <c r="DW153" s="541"/>
      <c r="DX153" s="541"/>
      <c r="DY153" s="541"/>
      <c r="DZ153" s="541"/>
    </row>
    <row r="154" spans="2:130" x14ac:dyDescent="0.25">
      <c r="B154" s="334">
        <v>47</v>
      </c>
      <c r="C154" s="541"/>
      <c r="D154" s="334"/>
      <c r="E154" s="334"/>
      <c r="F154" s="334"/>
      <c r="G154" s="334"/>
      <c r="H154" s="334"/>
      <c r="I154" s="334"/>
      <c r="J154" s="536"/>
      <c r="K154" s="536"/>
      <c r="L154" s="536"/>
      <c r="M154" s="536"/>
      <c r="N154" s="536"/>
      <c r="O154" s="536"/>
      <c r="P154" s="536">
        <f t="shared" si="51"/>
        <v>0</v>
      </c>
      <c r="Q154" s="536"/>
      <c r="R154" s="536"/>
      <c r="S154" s="536"/>
      <c r="T154" s="536">
        <f t="shared" si="52"/>
        <v>0</v>
      </c>
      <c r="U154" s="536"/>
      <c r="V154" s="536"/>
      <c r="W154" s="536"/>
      <c r="X154" s="536">
        <f t="shared" si="53"/>
        <v>0</v>
      </c>
      <c r="Y154" s="536"/>
      <c r="Z154" s="536"/>
      <c r="AA154" s="536"/>
      <c r="AB154" s="536">
        <f t="shared" si="54"/>
        <v>0</v>
      </c>
      <c r="AC154" s="536"/>
      <c r="AD154" s="536"/>
      <c r="AE154" s="536"/>
      <c r="AF154" s="536">
        <f t="shared" si="55"/>
        <v>0</v>
      </c>
      <c r="AG154" s="536"/>
      <c r="AH154" s="536"/>
      <c r="AI154" s="536"/>
      <c r="AJ154" s="536">
        <f t="shared" si="56"/>
        <v>0</v>
      </c>
      <c r="AK154" s="536"/>
      <c r="AL154" s="536"/>
      <c r="AM154" s="536"/>
      <c r="AN154" s="542">
        <f t="shared" si="57"/>
        <v>0</v>
      </c>
      <c r="AO154" s="536"/>
      <c r="AP154" s="536"/>
      <c r="AQ154" s="536"/>
      <c r="AR154" s="542">
        <f t="shared" si="58"/>
        <v>0</v>
      </c>
      <c r="AS154" s="536"/>
      <c r="AT154" s="536"/>
      <c r="AU154" s="536"/>
      <c r="AV154" s="542">
        <f t="shared" si="59"/>
        <v>0</v>
      </c>
      <c r="AW154" s="536"/>
      <c r="AX154" s="536"/>
      <c r="AY154" s="536"/>
      <c r="AZ154" s="542">
        <f t="shared" si="60"/>
        <v>0</v>
      </c>
      <c r="BA154" s="536"/>
      <c r="BB154" s="536"/>
      <c r="BC154" s="536"/>
      <c r="BD154" s="542">
        <f t="shared" si="61"/>
        <v>0</v>
      </c>
      <c r="BE154" s="536"/>
      <c r="BF154" s="536"/>
      <c r="BG154" s="536"/>
      <c r="BH154" s="542">
        <f t="shared" si="62"/>
        <v>0</v>
      </c>
      <c r="BI154" s="536"/>
      <c r="BJ154" s="536"/>
      <c r="BK154" s="536"/>
      <c r="BL154" s="542">
        <f t="shared" si="63"/>
        <v>0</v>
      </c>
      <c r="BM154" s="536"/>
      <c r="BN154" s="536"/>
      <c r="BO154" s="536"/>
      <c r="BP154" s="542">
        <f t="shared" si="64"/>
        <v>0</v>
      </c>
      <c r="BQ154" s="536"/>
      <c r="BR154" s="536"/>
      <c r="BS154" s="536"/>
      <c r="BT154" s="542">
        <f t="shared" si="65"/>
        <v>0</v>
      </c>
      <c r="BU154" s="536"/>
      <c r="BV154" s="536"/>
      <c r="BW154" s="536"/>
      <c r="BX154" s="542">
        <f t="shared" si="66"/>
        <v>0</v>
      </c>
      <c r="BY154" s="536"/>
      <c r="BZ154" s="536"/>
      <c r="CA154" s="536"/>
      <c r="CB154" s="542">
        <v>0</v>
      </c>
      <c r="CC154" s="536"/>
      <c r="CD154" s="536"/>
      <c r="CE154" s="536"/>
      <c r="CF154" s="541">
        <f t="shared" si="67"/>
        <v>0</v>
      </c>
      <c r="CG154" s="536"/>
      <c r="CH154" s="536"/>
      <c r="CI154" s="536"/>
      <c r="CJ154" s="541">
        <f t="shared" si="68"/>
        <v>0</v>
      </c>
      <c r="CK154" s="536"/>
      <c r="CL154" s="536"/>
      <c r="CM154" s="536"/>
      <c r="CN154" s="541">
        <f t="shared" si="69"/>
        <v>0</v>
      </c>
      <c r="CO154" s="536"/>
      <c r="CP154" s="536"/>
      <c r="CQ154" s="536"/>
      <c r="CR154" s="541">
        <f t="shared" si="70"/>
        <v>0</v>
      </c>
      <c r="CS154" s="536"/>
      <c r="CT154" s="536"/>
      <c r="CU154" s="536"/>
      <c r="CV154" s="541">
        <f t="shared" si="71"/>
        <v>0</v>
      </c>
      <c r="CW154" s="536"/>
      <c r="CX154" s="536"/>
      <c r="CY154" s="536"/>
      <c r="CZ154" s="541">
        <f t="shared" si="72"/>
        <v>0</v>
      </c>
      <c r="DA154" s="536"/>
      <c r="DB154" s="536"/>
      <c r="DC154" s="536"/>
      <c r="DD154" s="541">
        <f t="shared" si="73"/>
        <v>0</v>
      </c>
      <c r="DE154" s="536"/>
      <c r="DF154" s="536"/>
      <c r="DG154" s="536"/>
      <c r="DH154" s="541">
        <f t="shared" si="74"/>
        <v>0</v>
      </c>
      <c r="DI154" s="536"/>
      <c r="DJ154" s="536"/>
      <c r="DK154" s="536"/>
      <c r="DL154" s="541">
        <f t="shared" si="75"/>
        <v>0</v>
      </c>
      <c r="DM154" s="536"/>
      <c r="DN154" s="536"/>
      <c r="DO154" s="536"/>
      <c r="DP154" s="541">
        <f>IF( SUM((DJ154*(20/100))+(DK154*(30/100))+(DL154*(50/100))) &gt;=9.3,9.5,
IF(AND( SUM((DJ154*(20/100))+(DK154*(30/100))+(DL154*(50/100))) &lt;=9.3, SUM((DJ154*(20/100))+(DK154*(30/100))+(DL154*(50/100))) &gt;=8.8),9,
IF(AND( SUM((DJ154*(20/100))+(DK154*(30/100))+(DL154*(50/100))) &lt;=8.8, SUM((DJ154*(20/100))+(DK154*(30/100))+(DL154*(50/100))) &gt;=8.3),8.5,
IF(AND( SUM((DJ154*(20/100))+(DK154*(30/100))+(DL154*(50/100))) &lt;=8.3, SUM((DJ154*(20/100))+(DK154*(30/100))+(DL154*(50/100))) &gt;=7.8),8,
IF(AND( SUM((DJ154*(20/100))+(DK154*(30/100))+(DL154*(50/100))) &lt;=7.8, SUM((DJ154*(20/100))+(DK154*(30/100))+(DL154*(50/100))) &gt;=7.3),7.5,
IF(AND( SUM((DJ154*(20/100))+(DK154*(30/100))+(DL154*(50/100))) &lt;=7.3, SUM((DJ154*(20/100))+(DK154*(30/100))+(DL154*(50/100))) &gt;=6.8),7,
IF(AND( SUM((DJ154*(20/100))+(DK154*(30/100))+(DL154*(50/100))) &lt;=6.8, SUM((DJ154*(20/100))+(DK154*(30/100))+(DL154*(50/100))) &gt;=6.3),6.5,
IF(AND( SUM((DJ154*(20/100))+(DK154*(30/100))+(DL154*(50/100))) &lt;=6.3, SUM((DJ154*(20/100))+(DK154*(30/100))+(DL154*(50/100))) &gt;=5.8),6,
IF(AND( SUM((DJ154*(20/100))+(DK154*(30/100))+(DL154*(50/100))) &lt;=5.8, SUM((DJ154*(20/100))+(DK154*(30/100))+(DL154*(50/100))) &gt;=5.3),5.5,
IF(AND( SUM((DJ154*(20/100))+(DK154*(30/100))+(DL154*(50/100))) &lt;=5.3, SUM((DJ154*(20/100))+(DK154*(30/100))+(DL154*(50/100))) &gt;=4.8),5,
IF(AND( SUM((DJ154*(20/100))+(DK154*(30/100))+(DL154*(50/100))) &lt;=4.8, SUM((DJ154*(20/100))+(DK154*(30/100))+(DL154*(50/100))) &gt;=4.3),4.5,
IF(AND( SUM((DJ154*(20/100))+(DK154*(30/100))+(DL154*(50/100))) &lt;=4.3, SUM((DJ154*(20/100))+(DK154*(30/100))+(DL154*(50/100))) &gt;=3.8),4,
IF(AND( SUM((DJ154*(20/100))+(DK154*(30/100))+(DL154*(50/100))) &lt;=3.8, SUM((DJ154*(20/100))+(DK154*(30/100))+(DL154*(50/100))) &gt;=3.5),3.5,0)))))))))))))</f>
        <v>0</v>
      </c>
      <c r="DQ154" s="541"/>
      <c r="DR154" s="541"/>
      <c r="DS154" s="541"/>
      <c r="DT154" s="541"/>
      <c r="DU154" s="541"/>
      <c r="DV154" s="541"/>
      <c r="DW154" s="541"/>
      <c r="DX154" s="541"/>
      <c r="DY154" s="541"/>
      <c r="DZ154" s="541"/>
    </row>
    <row r="155" spans="2:130" x14ac:dyDescent="0.25">
      <c r="B155" s="334">
        <v>48</v>
      </c>
      <c r="C155" s="541"/>
      <c r="D155" s="334"/>
      <c r="E155" s="334"/>
      <c r="F155" s="334"/>
      <c r="G155" s="334"/>
      <c r="H155" s="334"/>
      <c r="I155" s="334"/>
      <c r="J155" s="536"/>
      <c r="K155" s="536"/>
      <c r="L155" s="536"/>
      <c r="M155" s="536"/>
      <c r="N155" s="536"/>
      <c r="O155" s="536"/>
      <c r="P155" s="536">
        <f t="shared" si="51"/>
        <v>0</v>
      </c>
      <c r="Q155" s="536"/>
      <c r="R155" s="536"/>
      <c r="S155" s="536"/>
      <c r="T155" s="536">
        <f t="shared" si="52"/>
        <v>0</v>
      </c>
      <c r="U155" s="536"/>
      <c r="V155" s="536"/>
      <c r="W155" s="536"/>
      <c r="X155" s="536">
        <f t="shared" si="53"/>
        <v>0</v>
      </c>
      <c r="Y155" s="536"/>
      <c r="Z155" s="536"/>
      <c r="AA155" s="536"/>
      <c r="AB155" s="536">
        <f t="shared" si="54"/>
        <v>0</v>
      </c>
      <c r="AC155" s="536"/>
      <c r="AD155" s="536"/>
      <c r="AE155" s="536"/>
      <c r="AF155" s="536">
        <f t="shared" si="55"/>
        <v>0</v>
      </c>
      <c r="AG155" s="536"/>
      <c r="AH155" s="536"/>
      <c r="AI155" s="536"/>
      <c r="AJ155" s="536">
        <f t="shared" si="56"/>
        <v>0</v>
      </c>
      <c r="AK155" s="536"/>
      <c r="AL155" s="536"/>
      <c r="AM155" s="536"/>
      <c r="AN155" s="542">
        <f t="shared" si="57"/>
        <v>0</v>
      </c>
      <c r="AO155" s="536"/>
      <c r="AP155" s="536"/>
      <c r="AQ155" s="536"/>
      <c r="AR155" s="542">
        <f t="shared" si="58"/>
        <v>0</v>
      </c>
      <c r="AS155" s="536"/>
      <c r="AT155" s="536"/>
      <c r="AU155" s="536"/>
      <c r="AV155" s="542">
        <f t="shared" si="59"/>
        <v>0</v>
      </c>
      <c r="AW155" s="536"/>
      <c r="AX155" s="536"/>
      <c r="AY155" s="536"/>
      <c r="AZ155" s="542">
        <f t="shared" si="60"/>
        <v>0</v>
      </c>
      <c r="BA155" s="536"/>
      <c r="BB155" s="536"/>
      <c r="BC155" s="536"/>
      <c r="BD155" s="542">
        <f t="shared" si="61"/>
        <v>0</v>
      </c>
      <c r="BE155" s="536"/>
      <c r="BF155" s="536"/>
      <c r="BG155" s="536"/>
      <c r="BH155" s="542">
        <f t="shared" si="62"/>
        <v>0</v>
      </c>
      <c r="BI155" s="536"/>
      <c r="BJ155" s="536"/>
      <c r="BK155" s="536"/>
      <c r="BL155" s="542">
        <f t="shared" si="63"/>
        <v>0</v>
      </c>
      <c r="BM155" s="536"/>
      <c r="BN155" s="536"/>
      <c r="BO155" s="536"/>
      <c r="BP155" s="542">
        <f t="shared" si="64"/>
        <v>0</v>
      </c>
      <c r="BQ155" s="536"/>
      <c r="BR155" s="536"/>
      <c r="BS155" s="536"/>
      <c r="BT155" s="542">
        <f t="shared" si="65"/>
        <v>0</v>
      </c>
      <c r="BU155" s="536"/>
      <c r="BV155" s="536"/>
      <c r="BW155" s="536"/>
      <c r="BX155" s="542">
        <f t="shared" si="66"/>
        <v>0</v>
      </c>
      <c r="BY155" s="536"/>
      <c r="BZ155" s="536"/>
      <c r="CA155" s="536"/>
      <c r="CB155" s="542">
        <v>0</v>
      </c>
      <c r="CC155" s="536"/>
      <c r="CD155" s="536"/>
      <c r="CE155" s="536"/>
      <c r="CF155" s="541">
        <f t="shared" si="67"/>
        <v>0</v>
      </c>
      <c r="CG155" s="536"/>
      <c r="CH155" s="536"/>
      <c r="CI155" s="536"/>
      <c r="CJ155" s="541">
        <f t="shared" si="68"/>
        <v>0</v>
      </c>
      <c r="CK155" s="536"/>
      <c r="CL155" s="536"/>
      <c r="CM155" s="536"/>
      <c r="CN155" s="541">
        <f t="shared" si="69"/>
        <v>0</v>
      </c>
      <c r="CO155" s="536"/>
      <c r="CP155" s="536"/>
      <c r="CQ155" s="536"/>
      <c r="CR155" s="541">
        <f t="shared" si="70"/>
        <v>0</v>
      </c>
      <c r="CS155" s="536"/>
      <c r="CT155" s="536"/>
      <c r="CU155" s="536"/>
      <c r="CV155" s="541">
        <f t="shared" si="71"/>
        <v>0</v>
      </c>
      <c r="CW155" s="536"/>
      <c r="CX155" s="536"/>
      <c r="CY155" s="536"/>
      <c r="CZ155" s="541">
        <f t="shared" si="72"/>
        <v>0</v>
      </c>
      <c r="DA155" s="536"/>
      <c r="DB155" s="536"/>
      <c r="DC155" s="536"/>
      <c r="DD155" s="541">
        <f t="shared" si="73"/>
        <v>0</v>
      </c>
      <c r="DE155" s="536"/>
      <c r="DF155" s="536"/>
      <c r="DG155" s="536"/>
      <c r="DH155" s="541">
        <f t="shared" si="74"/>
        <v>0</v>
      </c>
      <c r="DI155" s="536"/>
      <c r="DJ155" s="536"/>
      <c r="DK155" s="536"/>
      <c r="DL155" s="541">
        <f t="shared" si="75"/>
        <v>0</v>
      </c>
      <c r="DM155" s="536"/>
      <c r="DN155" s="536"/>
      <c r="DO155" s="536"/>
      <c r="DP155" s="541">
        <f>IF( SUM((DJ155*(20/100))+(DK155*(30/100))+(DL155*(50/100))) &gt;=9.3,9.5,
IF(AND( SUM((DJ155*(20/100))+(DK155*(30/100))+(DL155*(50/100))) &lt;=9.3, SUM((DJ155*(20/100))+(DK155*(30/100))+(DL155*(50/100))) &gt;=8.8),9,
IF(AND( SUM((DJ155*(20/100))+(DK155*(30/100))+(DL155*(50/100))) &lt;=8.8, SUM((DJ155*(20/100))+(DK155*(30/100))+(DL155*(50/100))) &gt;=8.3),8.5,
IF(AND( SUM((DJ155*(20/100))+(DK155*(30/100))+(DL155*(50/100))) &lt;=8.3, SUM((DJ155*(20/100))+(DK155*(30/100))+(DL155*(50/100))) &gt;=7.8),8,
IF(AND( SUM((DJ155*(20/100))+(DK155*(30/100))+(DL155*(50/100))) &lt;=7.8, SUM((DJ155*(20/100))+(DK155*(30/100))+(DL155*(50/100))) &gt;=7.3),7.5,
IF(AND( SUM((DJ155*(20/100))+(DK155*(30/100))+(DL155*(50/100))) &lt;=7.3, SUM((DJ155*(20/100))+(DK155*(30/100))+(DL155*(50/100))) &gt;=6.8),7,
IF(AND( SUM((DJ155*(20/100))+(DK155*(30/100))+(DL155*(50/100))) &lt;=6.8, SUM((DJ155*(20/100))+(DK155*(30/100))+(DL155*(50/100))) &gt;=6.3),6.5,
IF(AND( SUM((DJ155*(20/100))+(DK155*(30/100))+(DL155*(50/100))) &lt;=6.3, SUM((DJ155*(20/100))+(DK155*(30/100))+(DL155*(50/100))) &gt;=5.8),6,
IF(AND( SUM((DJ155*(20/100))+(DK155*(30/100))+(DL155*(50/100))) &lt;=5.8, SUM((DJ155*(20/100))+(DK155*(30/100))+(DL155*(50/100))) &gt;=5.3),5.5,
IF(AND( SUM((DJ155*(20/100))+(DK155*(30/100))+(DL155*(50/100))) &lt;=5.3, SUM((DJ155*(20/100))+(DK155*(30/100))+(DL155*(50/100))) &gt;=4.8),5,
IF(AND( SUM((DJ155*(20/100))+(DK155*(30/100))+(DL155*(50/100))) &lt;=4.8, SUM((DJ155*(20/100))+(DK155*(30/100))+(DL155*(50/100))) &gt;=4.3),4.5,
IF(AND( SUM((DJ155*(20/100))+(DK155*(30/100))+(DL155*(50/100))) &lt;=4.3, SUM((DJ155*(20/100))+(DK155*(30/100))+(DL155*(50/100))) &gt;=3.8),4,
IF(AND( SUM((DJ155*(20/100))+(DK155*(30/100))+(DL155*(50/100))) &lt;=3.8, SUM((DJ155*(20/100))+(DK155*(30/100))+(DL155*(50/100))) &gt;=3.5),3.5,0)))))))))))))</f>
        <v>0</v>
      </c>
      <c r="DQ155" s="541"/>
      <c r="DR155" s="541"/>
      <c r="DS155" s="541"/>
      <c r="DT155" s="541"/>
      <c r="DU155" s="541"/>
      <c r="DV155" s="541"/>
      <c r="DW155" s="541"/>
      <c r="DX155" s="541"/>
      <c r="DY155" s="541"/>
      <c r="DZ155" s="541"/>
    </row>
    <row r="156" spans="2:130" x14ac:dyDescent="0.25">
      <c r="B156" s="334">
        <v>49</v>
      </c>
      <c r="C156" s="541"/>
      <c r="D156" s="334"/>
      <c r="E156" s="334"/>
      <c r="F156" s="334"/>
      <c r="G156" s="334"/>
      <c r="H156" s="334"/>
      <c r="I156" s="334"/>
      <c r="J156" s="536"/>
      <c r="K156" s="536"/>
      <c r="L156" s="536"/>
      <c r="M156" s="536"/>
      <c r="N156" s="536"/>
      <c r="O156" s="536"/>
      <c r="P156" s="536">
        <f t="shared" si="51"/>
        <v>0</v>
      </c>
      <c r="Q156" s="536"/>
      <c r="R156" s="536"/>
      <c r="S156" s="536"/>
      <c r="T156" s="536">
        <f t="shared" si="52"/>
        <v>0</v>
      </c>
      <c r="U156" s="536"/>
      <c r="V156" s="536"/>
      <c r="W156" s="536"/>
      <c r="X156" s="536">
        <f t="shared" si="53"/>
        <v>0</v>
      </c>
      <c r="Y156" s="536"/>
      <c r="Z156" s="536"/>
      <c r="AA156" s="536"/>
      <c r="AB156" s="536">
        <f t="shared" si="54"/>
        <v>0</v>
      </c>
      <c r="AC156" s="536"/>
      <c r="AD156" s="536"/>
      <c r="AE156" s="536"/>
      <c r="AF156" s="536">
        <f t="shared" si="55"/>
        <v>0</v>
      </c>
      <c r="AG156" s="536"/>
      <c r="AH156" s="536"/>
      <c r="AI156" s="536"/>
      <c r="AJ156" s="536">
        <f t="shared" si="56"/>
        <v>0</v>
      </c>
      <c r="AK156" s="536"/>
      <c r="AL156" s="536"/>
      <c r="AM156" s="536"/>
      <c r="AN156" s="542">
        <f t="shared" si="57"/>
        <v>0</v>
      </c>
      <c r="AO156" s="536"/>
      <c r="AP156" s="536"/>
      <c r="AQ156" s="536"/>
      <c r="AR156" s="542">
        <f t="shared" si="58"/>
        <v>0</v>
      </c>
      <c r="AS156" s="536"/>
      <c r="AT156" s="536"/>
      <c r="AU156" s="536"/>
      <c r="AV156" s="542">
        <f t="shared" si="59"/>
        <v>0</v>
      </c>
      <c r="AW156" s="536"/>
      <c r="AX156" s="536"/>
      <c r="AY156" s="536"/>
      <c r="AZ156" s="542">
        <f t="shared" si="60"/>
        <v>0</v>
      </c>
      <c r="BA156" s="536"/>
      <c r="BB156" s="536"/>
      <c r="BC156" s="536"/>
      <c r="BD156" s="542">
        <f t="shared" si="61"/>
        <v>0</v>
      </c>
      <c r="BE156" s="536"/>
      <c r="BF156" s="536"/>
      <c r="BG156" s="536"/>
      <c r="BH156" s="542">
        <f t="shared" si="62"/>
        <v>0</v>
      </c>
      <c r="BI156" s="536"/>
      <c r="BJ156" s="536"/>
      <c r="BK156" s="536"/>
      <c r="BL156" s="542">
        <f t="shared" si="63"/>
        <v>0</v>
      </c>
      <c r="BM156" s="536"/>
      <c r="BN156" s="536"/>
      <c r="BO156" s="536"/>
      <c r="BP156" s="542">
        <f t="shared" si="64"/>
        <v>0</v>
      </c>
      <c r="BQ156" s="536"/>
      <c r="BR156" s="536"/>
      <c r="BS156" s="536"/>
      <c r="BT156" s="542">
        <f t="shared" si="65"/>
        <v>0</v>
      </c>
      <c r="BU156" s="536"/>
      <c r="BV156" s="536"/>
      <c r="BW156" s="536"/>
      <c r="BX156" s="542">
        <f t="shared" si="66"/>
        <v>0</v>
      </c>
      <c r="BY156" s="536"/>
      <c r="BZ156" s="536"/>
      <c r="CA156" s="536"/>
      <c r="CB156" s="542">
        <v>0</v>
      </c>
      <c r="CC156" s="536"/>
      <c r="CD156" s="536"/>
      <c r="CE156" s="536"/>
      <c r="CF156" s="541">
        <f t="shared" si="67"/>
        <v>0</v>
      </c>
      <c r="CG156" s="536"/>
      <c r="CH156" s="536"/>
      <c r="CI156" s="536"/>
      <c r="CJ156" s="541">
        <f t="shared" si="68"/>
        <v>0</v>
      </c>
      <c r="CK156" s="536"/>
      <c r="CL156" s="536"/>
      <c r="CM156" s="536"/>
      <c r="CN156" s="541">
        <f t="shared" si="69"/>
        <v>0</v>
      </c>
      <c r="CO156" s="536"/>
      <c r="CP156" s="536"/>
      <c r="CQ156" s="536"/>
      <c r="CR156" s="541">
        <f t="shared" si="70"/>
        <v>0</v>
      </c>
      <c r="CS156" s="536"/>
      <c r="CT156" s="536"/>
      <c r="CU156" s="536"/>
      <c r="CV156" s="541">
        <f t="shared" si="71"/>
        <v>0</v>
      </c>
      <c r="CW156" s="536"/>
      <c r="CX156" s="536"/>
      <c r="CY156" s="536"/>
      <c r="CZ156" s="541">
        <f t="shared" si="72"/>
        <v>0</v>
      </c>
      <c r="DA156" s="536"/>
      <c r="DB156" s="536"/>
      <c r="DC156" s="536"/>
      <c r="DD156" s="541">
        <f t="shared" si="73"/>
        <v>0</v>
      </c>
      <c r="DE156" s="536"/>
      <c r="DF156" s="536"/>
      <c r="DG156" s="536"/>
      <c r="DH156" s="541">
        <f t="shared" si="74"/>
        <v>0</v>
      </c>
      <c r="DI156" s="536"/>
      <c r="DJ156" s="536"/>
      <c r="DK156" s="536"/>
      <c r="DL156" s="541">
        <f t="shared" si="75"/>
        <v>0</v>
      </c>
      <c r="DM156" s="536"/>
      <c r="DN156" s="536"/>
      <c r="DO156" s="536"/>
      <c r="DP156" s="541">
        <f>IF( SUM((DJ156*(20/100))+(DK156*(30/100))+(DL156*(50/100))) &gt;=9.3,9.5,
IF(AND( SUM((DJ156*(20/100))+(DK156*(30/100))+(DL156*(50/100))) &lt;=9.3, SUM((DJ156*(20/100))+(DK156*(30/100))+(DL156*(50/100))) &gt;=8.8),9,
IF(AND( SUM((DJ156*(20/100))+(DK156*(30/100))+(DL156*(50/100))) &lt;=8.8, SUM((DJ156*(20/100))+(DK156*(30/100))+(DL156*(50/100))) &gt;=8.3),8.5,
IF(AND( SUM((DJ156*(20/100))+(DK156*(30/100))+(DL156*(50/100))) &lt;=8.3, SUM((DJ156*(20/100))+(DK156*(30/100))+(DL156*(50/100))) &gt;=7.8),8,
IF(AND( SUM((DJ156*(20/100))+(DK156*(30/100))+(DL156*(50/100))) &lt;=7.8, SUM((DJ156*(20/100))+(DK156*(30/100))+(DL156*(50/100))) &gt;=7.3),7.5,
IF(AND( SUM((DJ156*(20/100))+(DK156*(30/100))+(DL156*(50/100))) &lt;=7.3, SUM((DJ156*(20/100))+(DK156*(30/100))+(DL156*(50/100))) &gt;=6.8),7,
IF(AND( SUM((DJ156*(20/100))+(DK156*(30/100))+(DL156*(50/100))) &lt;=6.8, SUM((DJ156*(20/100))+(DK156*(30/100))+(DL156*(50/100))) &gt;=6.3),6.5,
IF(AND( SUM((DJ156*(20/100))+(DK156*(30/100))+(DL156*(50/100))) &lt;=6.3, SUM((DJ156*(20/100))+(DK156*(30/100))+(DL156*(50/100))) &gt;=5.8),6,
IF(AND( SUM((DJ156*(20/100))+(DK156*(30/100))+(DL156*(50/100))) &lt;=5.8, SUM((DJ156*(20/100))+(DK156*(30/100))+(DL156*(50/100))) &gt;=5.3),5.5,
IF(AND( SUM((DJ156*(20/100))+(DK156*(30/100))+(DL156*(50/100))) &lt;=5.3, SUM((DJ156*(20/100))+(DK156*(30/100))+(DL156*(50/100))) &gt;=4.8),5,
IF(AND( SUM((DJ156*(20/100))+(DK156*(30/100))+(DL156*(50/100))) &lt;=4.8, SUM((DJ156*(20/100))+(DK156*(30/100))+(DL156*(50/100))) &gt;=4.3),4.5,
IF(AND( SUM((DJ156*(20/100))+(DK156*(30/100))+(DL156*(50/100))) &lt;=4.3, SUM((DJ156*(20/100))+(DK156*(30/100))+(DL156*(50/100))) &gt;=3.8),4,
IF(AND( SUM((DJ156*(20/100))+(DK156*(30/100))+(DL156*(50/100))) &lt;=3.8, SUM((DJ156*(20/100))+(DK156*(30/100))+(DL156*(50/100))) &gt;=3.5),3.5,0)))))))))))))</f>
        <v>0</v>
      </c>
      <c r="DQ156" s="541"/>
      <c r="DR156" s="541"/>
      <c r="DS156" s="541"/>
      <c r="DT156" s="541"/>
      <c r="DU156" s="541"/>
      <c r="DV156" s="541"/>
      <c r="DW156" s="541"/>
      <c r="DX156" s="541"/>
      <c r="DY156" s="541"/>
      <c r="DZ156" s="541"/>
    </row>
    <row r="157" spans="2:130" x14ac:dyDescent="0.25">
      <c r="B157" s="334">
        <v>50</v>
      </c>
      <c r="C157" s="541"/>
      <c r="D157" s="334"/>
      <c r="E157" s="334"/>
      <c r="F157" s="334"/>
      <c r="G157" s="334"/>
      <c r="H157" s="334"/>
      <c r="I157" s="334"/>
      <c r="J157" s="536"/>
      <c r="K157" s="536"/>
      <c r="L157" s="536"/>
      <c r="M157" s="536"/>
      <c r="N157" s="536"/>
      <c r="O157" s="536"/>
      <c r="P157" s="536">
        <f t="shared" si="51"/>
        <v>0</v>
      </c>
      <c r="Q157" s="536"/>
      <c r="R157" s="536"/>
      <c r="S157" s="536"/>
      <c r="T157" s="536">
        <f t="shared" si="52"/>
        <v>0</v>
      </c>
      <c r="U157" s="536"/>
      <c r="V157" s="536"/>
      <c r="W157" s="536"/>
      <c r="X157" s="536">
        <f t="shared" si="53"/>
        <v>0</v>
      </c>
      <c r="Y157" s="536"/>
      <c r="Z157" s="536"/>
      <c r="AA157" s="536"/>
      <c r="AB157" s="536">
        <f t="shared" si="54"/>
        <v>0</v>
      </c>
      <c r="AC157" s="536"/>
      <c r="AD157" s="536"/>
      <c r="AE157" s="536"/>
      <c r="AF157" s="536">
        <f t="shared" si="55"/>
        <v>0</v>
      </c>
      <c r="AG157" s="536"/>
      <c r="AH157" s="536"/>
      <c r="AI157" s="536"/>
      <c r="AJ157" s="536">
        <f t="shared" si="56"/>
        <v>0</v>
      </c>
      <c r="AK157" s="536"/>
      <c r="AL157" s="536"/>
      <c r="AM157" s="536"/>
      <c r="AN157" s="542">
        <f t="shared" si="57"/>
        <v>0</v>
      </c>
      <c r="AO157" s="536"/>
      <c r="AP157" s="536"/>
      <c r="AQ157" s="536"/>
      <c r="AR157" s="542">
        <f t="shared" si="58"/>
        <v>0</v>
      </c>
      <c r="AS157" s="536"/>
      <c r="AT157" s="536"/>
      <c r="AU157" s="536"/>
      <c r="AV157" s="542">
        <f t="shared" si="59"/>
        <v>0</v>
      </c>
      <c r="AW157" s="536"/>
      <c r="AX157" s="536"/>
      <c r="AY157" s="536"/>
      <c r="AZ157" s="542">
        <f t="shared" si="60"/>
        <v>0</v>
      </c>
      <c r="BA157" s="536"/>
      <c r="BB157" s="536"/>
      <c r="BC157" s="536"/>
      <c r="BD157" s="542">
        <f t="shared" si="61"/>
        <v>0</v>
      </c>
      <c r="BE157" s="536"/>
      <c r="BF157" s="536"/>
      <c r="BG157" s="536"/>
      <c r="BH157" s="542">
        <f t="shared" si="62"/>
        <v>0</v>
      </c>
      <c r="BI157" s="536"/>
      <c r="BJ157" s="536"/>
      <c r="BK157" s="536"/>
      <c r="BL157" s="542">
        <f t="shared" si="63"/>
        <v>0</v>
      </c>
      <c r="BM157" s="536"/>
      <c r="BN157" s="536"/>
      <c r="BO157" s="536"/>
      <c r="BP157" s="542">
        <f t="shared" si="64"/>
        <v>0</v>
      </c>
      <c r="BQ157" s="536"/>
      <c r="BR157" s="536"/>
      <c r="BS157" s="536"/>
      <c r="BT157" s="542">
        <f t="shared" si="65"/>
        <v>0</v>
      </c>
      <c r="BU157" s="536"/>
      <c r="BV157" s="536"/>
      <c r="BW157" s="536"/>
      <c r="BX157" s="542">
        <f t="shared" si="66"/>
        <v>0</v>
      </c>
      <c r="BY157" s="536"/>
      <c r="BZ157" s="536"/>
      <c r="CA157" s="536"/>
      <c r="CB157" s="542">
        <v>0</v>
      </c>
      <c r="CC157" s="536"/>
      <c r="CD157" s="536"/>
      <c r="CE157" s="536"/>
      <c r="CF157" s="541">
        <f t="shared" si="67"/>
        <v>0</v>
      </c>
      <c r="CG157" s="536"/>
      <c r="CH157" s="536"/>
      <c r="CI157" s="536"/>
      <c r="CJ157" s="541">
        <f t="shared" si="68"/>
        <v>0</v>
      </c>
      <c r="CK157" s="536"/>
      <c r="CL157" s="536"/>
      <c r="CM157" s="536"/>
      <c r="CN157" s="541">
        <f t="shared" si="69"/>
        <v>0</v>
      </c>
      <c r="CO157" s="536"/>
      <c r="CP157" s="536"/>
      <c r="CQ157" s="536"/>
      <c r="CR157" s="541">
        <f t="shared" si="70"/>
        <v>0</v>
      </c>
      <c r="CS157" s="536"/>
      <c r="CT157" s="536"/>
      <c r="CU157" s="536"/>
      <c r="CV157" s="541">
        <f t="shared" si="71"/>
        <v>0</v>
      </c>
      <c r="CW157" s="536"/>
      <c r="CX157" s="536"/>
      <c r="CY157" s="536"/>
      <c r="CZ157" s="541">
        <f t="shared" si="72"/>
        <v>0</v>
      </c>
      <c r="DA157" s="536"/>
      <c r="DB157" s="536"/>
      <c r="DC157" s="536"/>
      <c r="DD157" s="541">
        <f t="shared" si="73"/>
        <v>0</v>
      </c>
      <c r="DE157" s="536"/>
      <c r="DF157" s="536"/>
      <c r="DG157" s="536"/>
      <c r="DH157" s="541">
        <f t="shared" si="74"/>
        <v>0</v>
      </c>
      <c r="DI157" s="536"/>
      <c r="DJ157" s="536"/>
      <c r="DK157" s="536"/>
      <c r="DL157" s="541">
        <f t="shared" si="75"/>
        <v>0</v>
      </c>
      <c r="DM157" s="536"/>
      <c r="DN157" s="536"/>
      <c r="DO157" s="536"/>
      <c r="DP157" s="541">
        <f>IF( SUM((DJ157*(20/100))+(DK157*(30/100))+(DL157*(50/100))) &gt;=9.3,9.5,
IF(AND( SUM((DJ157*(20/100))+(DK157*(30/100))+(DL157*(50/100))) &lt;=9.3, SUM((DJ157*(20/100))+(DK157*(30/100))+(DL157*(50/100))) &gt;=8.8),9,
IF(AND( SUM((DJ157*(20/100))+(DK157*(30/100))+(DL157*(50/100))) &lt;=8.8, SUM((DJ157*(20/100))+(DK157*(30/100))+(DL157*(50/100))) &gt;=8.3),8.5,
IF(AND( SUM((DJ157*(20/100))+(DK157*(30/100))+(DL157*(50/100))) &lt;=8.3, SUM((DJ157*(20/100))+(DK157*(30/100))+(DL157*(50/100))) &gt;=7.8),8,
IF(AND( SUM((DJ157*(20/100))+(DK157*(30/100))+(DL157*(50/100))) &lt;=7.8, SUM((DJ157*(20/100))+(DK157*(30/100))+(DL157*(50/100))) &gt;=7.3),7.5,
IF(AND( SUM((DJ157*(20/100))+(DK157*(30/100))+(DL157*(50/100))) &lt;=7.3, SUM((DJ157*(20/100))+(DK157*(30/100))+(DL157*(50/100))) &gt;=6.8),7,
IF(AND( SUM((DJ157*(20/100))+(DK157*(30/100))+(DL157*(50/100))) &lt;=6.8, SUM((DJ157*(20/100))+(DK157*(30/100))+(DL157*(50/100))) &gt;=6.3),6.5,
IF(AND( SUM((DJ157*(20/100))+(DK157*(30/100))+(DL157*(50/100))) &lt;=6.3, SUM((DJ157*(20/100))+(DK157*(30/100))+(DL157*(50/100))) &gt;=5.8),6,
IF(AND( SUM((DJ157*(20/100))+(DK157*(30/100))+(DL157*(50/100))) &lt;=5.8, SUM((DJ157*(20/100))+(DK157*(30/100))+(DL157*(50/100))) &gt;=5.3),5.5,
IF(AND( SUM((DJ157*(20/100))+(DK157*(30/100))+(DL157*(50/100))) &lt;=5.3, SUM((DJ157*(20/100))+(DK157*(30/100))+(DL157*(50/100))) &gt;=4.8),5,
IF(AND( SUM((DJ157*(20/100))+(DK157*(30/100))+(DL157*(50/100))) &lt;=4.8, SUM((DJ157*(20/100))+(DK157*(30/100))+(DL157*(50/100))) &gt;=4.3),4.5,
IF(AND( SUM((DJ157*(20/100))+(DK157*(30/100))+(DL157*(50/100))) &lt;=4.3, SUM((DJ157*(20/100))+(DK157*(30/100))+(DL157*(50/100))) &gt;=3.8),4,
IF(AND( SUM((DJ157*(20/100))+(DK157*(30/100))+(DL157*(50/100))) &lt;=3.8, SUM((DJ157*(20/100))+(DK157*(30/100))+(DL157*(50/100))) &gt;=3.5),3.5,0)))))))))))))</f>
        <v>0</v>
      </c>
      <c r="DQ157" s="541"/>
      <c r="DR157" s="541"/>
      <c r="DS157" s="541"/>
      <c r="DT157" s="541"/>
      <c r="DU157" s="541"/>
      <c r="DV157" s="541"/>
      <c r="DW157" s="541"/>
      <c r="DX157" s="541"/>
      <c r="DY157" s="541"/>
      <c r="DZ157" s="541"/>
    </row>
    <row r="158" spans="2:130" x14ac:dyDescent="0.25">
      <c r="B158" s="334">
        <v>1</v>
      </c>
      <c r="C158" s="541"/>
      <c r="D158" s="334"/>
      <c r="E158" s="334"/>
      <c r="F158" s="334"/>
      <c r="G158" s="334"/>
      <c r="H158" s="334"/>
      <c r="I158" s="334"/>
      <c r="J158" s="536"/>
      <c r="K158" s="536"/>
      <c r="L158" s="536"/>
      <c r="M158" s="536"/>
      <c r="N158" s="536"/>
      <c r="O158" s="536"/>
      <c r="P158" s="536">
        <f t="shared" si="51"/>
        <v>0</v>
      </c>
      <c r="Q158" s="536"/>
      <c r="R158" s="536"/>
      <c r="S158" s="536"/>
      <c r="T158" s="536">
        <f t="shared" si="52"/>
        <v>0</v>
      </c>
      <c r="U158" s="536"/>
      <c r="V158" s="536"/>
      <c r="W158" s="536"/>
      <c r="X158" s="536">
        <f t="shared" si="53"/>
        <v>0</v>
      </c>
      <c r="Y158" s="536"/>
      <c r="Z158" s="536"/>
      <c r="AA158" s="536"/>
      <c r="AB158" s="536">
        <f t="shared" si="54"/>
        <v>0</v>
      </c>
      <c r="AC158" s="536"/>
      <c r="AD158" s="536"/>
      <c r="AE158" s="536"/>
      <c r="AF158" s="536">
        <f t="shared" si="55"/>
        <v>0</v>
      </c>
      <c r="AG158" s="536"/>
      <c r="AH158" s="536"/>
      <c r="AI158" s="536"/>
      <c r="AJ158" s="536">
        <f t="shared" si="56"/>
        <v>0</v>
      </c>
      <c r="AK158" s="536"/>
      <c r="AL158" s="536"/>
      <c r="AM158" s="536"/>
      <c r="AN158" s="542">
        <f t="shared" si="57"/>
        <v>0</v>
      </c>
      <c r="AO158" s="536"/>
      <c r="AP158" s="536"/>
      <c r="AQ158" s="536"/>
      <c r="AR158" s="542">
        <f t="shared" si="58"/>
        <v>0</v>
      </c>
      <c r="AS158" s="536"/>
      <c r="AT158" s="536"/>
      <c r="AU158" s="536"/>
      <c r="AV158" s="542">
        <f t="shared" si="59"/>
        <v>0</v>
      </c>
      <c r="AW158" s="536"/>
      <c r="AX158" s="536"/>
      <c r="AY158" s="536"/>
      <c r="AZ158" s="542">
        <f t="shared" si="60"/>
        <v>0</v>
      </c>
      <c r="BA158" s="536"/>
      <c r="BB158" s="536"/>
      <c r="BC158" s="536"/>
      <c r="BD158" s="542">
        <f t="shared" si="61"/>
        <v>0</v>
      </c>
      <c r="BE158" s="536"/>
      <c r="BF158" s="536"/>
      <c r="BG158" s="536"/>
      <c r="BH158" s="542">
        <f t="shared" si="62"/>
        <v>0</v>
      </c>
      <c r="BI158" s="536"/>
      <c r="BJ158" s="536"/>
      <c r="BK158" s="536"/>
      <c r="BL158" s="542">
        <f t="shared" si="63"/>
        <v>0</v>
      </c>
      <c r="BM158" s="536"/>
      <c r="BN158" s="536"/>
      <c r="BO158" s="536"/>
      <c r="BP158" s="542">
        <f t="shared" si="64"/>
        <v>0</v>
      </c>
      <c r="BQ158" s="536"/>
      <c r="BR158" s="536"/>
      <c r="BS158" s="536"/>
      <c r="BT158" s="542">
        <f t="shared" si="65"/>
        <v>0</v>
      </c>
      <c r="BU158" s="536"/>
      <c r="BV158" s="536"/>
      <c r="BW158" s="536"/>
      <c r="BX158" s="542">
        <f t="shared" si="66"/>
        <v>0</v>
      </c>
      <c r="BY158" s="536"/>
      <c r="BZ158" s="536"/>
      <c r="CA158" s="536"/>
      <c r="CB158" s="542">
        <v>0</v>
      </c>
      <c r="CC158" s="536"/>
      <c r="CD158" s="536"/>
      <c r="CE158" s="536"/>
      <c r="CF158" s="541">
        <f t="shared" si="67"/>
        <v>0</v>
      </c>
      <c r="CG158" s="536"/>
      <c r="CH158" s="536"/>
      <c r="CI158" s="536"/>
      <c r="CJ158" s="541">
        <f t="shared" si="68"/>
        <v>0</v>
      </c>
      <c r="CK158" s="536"/>
      <c r="CL158" s="536"/>
      <c r="CM158" s="536"/>
      <c r="CN158" s="541">
        <f t="shared" si="69"/>
        <v>0</v>
      </c>
      <c r="CO158" s="536"/>
      <c r="CP158" s="536"/>
      <c r="CQ158" s="536"/>
      <c r="CR158" s="541">
        <f t="shared" si="70"/>
        <v>0</v>
      </c>
      <c r="CS158" s="536"/>
      <c r="CT158" s="536"/>
      <c r="CU158" s="536"/>
      <c r="CV158" s="541">
        <f t="shared" si="71"/>
        <v>0</v>
      </c>
      <c r="CW158" s="536"/>
      <c r="CX158" s="536"/>
      <c r="CY158" s="536"/>
      <c r="CZ158" s="541">
        <f t="shared" si="72"/>
        <v>0</v>
      </c>
      <c r="DA158" s="536"/>
      <c r="DB158" s="536"/>
      <c r="DC158" s="536"/>
      <c r="DD158" s="541">
        <f t="shared" si="73"/>
        <v>0</v>
      </c>
      <c r="DE158" s="536"/>
      <c r="DF158" s="536"/>
      <c r="DG158" s="536"/>
      <c r="DH158" s="541">
        <f t="shared" si="74"/>
        <v>0</v>
      </c>
      <c r="DI158" s="536"/>
      <c r="DJ158" s="536"/>
      <c r="DK158" s="536"/>
      <c r="DL158" s="541">
        <f t="shared" si="75"/>
        <v>0</v>
      </c>
      <c r="DM158" s="536"/>
      <c r="DN158" s="536"/>
      <c r="DO158" s="536"/>
      <c r="DP158" s="541">
        <f>IF( SUM((DJ158*(20/100))+(DK158*(30/100))+(DL158*(50/100))) &gt;=9.3,9.5,
IF(AND( SUM((DJ158*(20/100))+(DK158*(30/100))+(DL158*(50/100))) &lt;=9.3, SUM((DJ158*(20/100))+(DK158*(30/100))+(DL158*(50/100))) &gt;=8.8),9,
IF(AND( SUM((DJ158*(20/100))+(DK158*(30/100))+(DL158*(50/100))) &lt;=8.8, SUM((DJ158*(20/100))+(DK158*(30/100))+(DL158*(50/100))) &gt;=8.3),8.5,
IF(AND( SUM((DJ158*(20/100))+(DK158*(30/100))+(DL158*(50/100))) &lt;=8.3, SUM((DJ158*(20/100))+(DK158*(30/100))+(DL158*(50/100))) &gt;=7.8),8,
IF(AND( SUM((DJ158*(20/100))+(DK158*(30/100))+(DL158*(50/100))) &lt;=7.8, SUM((DJ158*(20/100))+(DK158*(30/100))+(DL158*(50/100))) &gt;=7.3),7.5,
IF(AND( SUM((DJ158*(20/100))+(DK158*(30/100))+(DL158*(50/100))) &lt;=7.3, SUM((DJ158*(20/100))+(DK158*(30/100))+(DL158*(50/100))) &gt;=6.8),7,
IF(AND( SUM((DJ158*(20/100))+(DK158*(30/100))+(DL158*(50/100))) &lt;=6.8, SUM((DJ158*(20/100))+(DK158*(30/100))+(DL158*(50/100))) &gt;=6.3),6.5,
IF(AND( SUM((DJ158*(20/100))+(DK158*(30/100))+(DL158*(50/100))) &lt;=6.3, SUM((DJ158*(20/100))+(DK158*(30/100))+(DL158*(50/100))) &gt;=5.8),6,
IF(AND( SUM((DJ158*(20/100))+(DK158*(30/100))+(DL158*(50/100))) &lt;=5.8, SUM((DJ158*(20/100))+(DK158*(30/100))+(DL158*(50/100))) &gt;=5.3),5.5,
IF(AND( SUM((DJ158*(20/100))+(DK158*(30/100))+(DL158*(50/100))) &lt;=5.3, SUM((DJ158*(20/100))+(DK158*(30/100))+(DL158*(50/100))) &gt;=4.8),5,
IF(AND( SUM((DJ158*(20/100))+(DK158*(30/100))+(DL158*(50/100))) &lt;=4.8, SUM((DJ158*(20/100))+(DK158*(30/100))+(DL158*(50/100))) &gt;=4.3),4.5,
IF(AND( SUM((DJ158*(20/100))+(DK158*(30/100))+(DL158*(50/100))) &lt;=4.3, SUM((DJ158*(20/100))+(DK158*(30/100))+(DL158*(50/100))) &gt;=3.8),4,
IF(AND( SUM((DJ158*(20/100))+(DK158*(30/100))+(DL158*(50/100))) &lt;=3.8, SUM((DJ158*(20/100))+(DK158*(30/100))+(DL158*(50/100))) &gt;=3.5),3.5,0)))))))))))))</f>
        <v>0</v>
      </c>
      <c r="DQ158" s="541"/>
      <c r="DR158" s="541"/>
      <c r="DS158" s="541"/>
      <c r="DT158" s="541"/>
      <c r="DU158" s="541"/>
      <c r="DV158" s="541"/>
      <c r="DW158" s="541"/>
      <c r="DX158" s="541"/>
      <c r="DY158" s="541"/>
      <c r="DZ158" s="541"/>
    </row>
    <row r="159" spans="2:130" x14ac:dyDescent="0.25">
      <c r="B159" s="334">
        <v>2</v>
      </c>
      <c r="C159" s="541"/>
      <c r="D159" s="334"/>
      <c r="E159" s="334"/>
      <c r="F159" s="334"/>
      <c r="G159" s="334"/>
      <c r="H159" s="334"/>
      <c r="I159" s="334"/>
      <c r="J159" s="536"/>
      <c r="K159" s="536"/>
      <c r="L159" s="536"/>
      <c r="M159" s="536"/>
      <c r="N159" s="536"/>
      <c r="O159" s="536"/>
      <c r="P159" s="536">
        <f t="shared" si="51"/>
        <v>0</v>
      </c>
      <c r="Q159" s="536"/>
      <c r="R159" s="536"/>
      <c r="S159" s="536"/>
      <c r="T159" s="536">
        <f t="shared" si="52"/>
        <v>0</v>
      </c>
      <c r="U159" s="536"/>
      <c r="V159" s="536"/>
      <c r="W159" s="536"/>
      <c r="X159" s="536">
        <f t="shared" si="53"/>
        <v>0</v>
      </c>
      <c r="Y159" s="536"/>
      <c r="Z159" s="536"/>
      <c r="AA159" s="536"/>
      <c r="AB159" s="536">
        <f t="shared" si="54"/>
        <v>0</v>
      </c>
      <c r="AC159" s="536"/>
      <c r="AD159" s="536"/>
      <c r="AE159" s="536"/>
      <c r="AF159" s="536">
        <f t="shared" si="55"/>
        <v>0</v>
      </c>
      <c r="AG159" s="536"/>
      <c r="AH159" s="536"/>
      <c r="AI159" s="536"/>
      <c r="AJ159" s="536">
        <f t="shared" si="56"/>
        <v>0</v>
      </c>
      <c r="AK159" s="536"/>
      <c r="AL159" s="536"/>
      <c r="AM159" s="536"/>
      <c r="AN159" s="542">
        <f t="shared" si="57"/>
        <v>0</v>
      </c>
      <c r="AO159" s="536"/>
      <c r="AP159" s="536"/>
      <c r="AQ159" s="536"/>
      <c r="AR159" s="542">
        <f t="shared" si="58"/>
        <v>0</v>
      </c>
      <c r="AS159" s="536"/>
      <c r="AT159" s="536"/>
      <c r="AU159" s="536"/>
      <c r="AV159" s="542">
        <f t="shared" si="59"/>
        <v>0</v>
      </c>
      <c r="AW159" s="536"/>
      <c r="AX159" s="536"/>
      <c r="AY159" s="536"/>
      <c r="AZ159" s="542">
        <f t="shared" si="60"/>
        <v>0</v>
      </c>
      <c r="BA159" s="536"/>
      <c r="BB159" s="536"/>
      <c r="BC159" s="536"/>
      <c r="BD159" s="542">
        <f t="shared" si="61"/>
        <v>0</v>
      </c>
      <c r="BE159" s="536"/>
      <c r="BF159" s="536"/>
      <c r="BG159" s="536"/>
      <c r="BH159" s="542">
        <f t="shared" si="62"/>
        <v>0</v>
      </c>
      <c r="BI159" s="536"/>
      <c r="BJ159" s="536"/>
      <c r="BK159" s="536"/>
      <c r="BL159" s="542">
        <f t="shared" si="63"/>
        <v>0</v>
      </c>
      <c r="BM159" s="536"/>
      <c r="BN159" s="536"/>
      <c r="BO159" s="536"/>
      <c r="BP159" s="542">
        <f t="shared" si="64"/>
        <v>0</v>
      </c>
      <c r="BQ159" s="536"/>
      <c r="BR159" s="536"/>
      <c r="BS159" s="536"/>
      <c r="BT159" s="542">
        <f t="shared" si="65"/>
        <v>0</v>
      </c>
      <c r="BU159" s="536"/>
      <c r="BV159" s="536"/>
      <c r="BW159" s="536"/>
      <c r="BX159" s="542">
        <f t="shared" si="66"/>
        <v>0</v>
      </c>
      <c r="BY159" s="536"/>
      <c r="BZ159" s="536"/>
      <c r="CA159" s="536"/>
      <c r="CB159" s="542">
        <v>0</v>
      </c>
      <c r="CC159" s="536"/>
      <c r="CD159" s="536"/>
      <c r="CE159" s="536"/>
      <c r="CF159" s="541">
        <f t="shared" si="67"/>
        <v>0</v>
      </c>
      <c r="CG159" s="536"/>
      <c r="CH159" s="536"/>
      <c r="CI159" s="536"/>
      <c r="CJ159" s="541">
        <f t="shared" si="68"/>
        <v>0</v>
      </c>
      <c r="CK159" s="536"/>
      <c r="CL159" s="536"/>
      <c r="CM159" s="536"/>
      <c r="CN159" s="541">
        <f t="shared" si="69"/>
        <v>0</v>
      </c>
      <c r="CO159" s="536"/>
      <c r="CP159" s="536"/>
      <c r="CQ159" s="536"/>
      <c r="CR159" s="541">
        <f t="shared" si="70"/>
        <v>0</v>
      </c>
      <c r="CS159" s="536"/>
      <c r="CT159" s="536"/>
      <c r="CU159" s="536"/>
      <c r="CV159" s="541">
        <f t="shared" si="71"/>
        <v>0</v>
      </c>
      <c r="CW159" s="536"/>
      <c r="CX159" s="536"/>
      <c r="CY159" s="536"/>
      <c r="CZ159" s="541">
        <f t="shared" si="72"/>
        <v>0</v>
      </c>
      <c r="DA159" s="536"/>
      <c r="DB159" s="536"/>
      <c r="DC159" s="536"/>
      <c r="DD159" s="541">
        <f t="shared" si="73"/>
        <v>0</v>
      </c>
      <c r="DE159" s="536"/>
      <c r="DF159" s="536"/>
      <c r="DG159" s="536"/>
      <c r="DH159" s="541">
        <f t="shared" si="74"/>
        <v>0</v>
      </c>
      <c r="DI159" s="536"/>
      <c r="DJ159" s="536"/>
      <c r="DK159" s="536"/>
      <c r="DL159" s="541">
        <f t="shared" si="75"/>
        <v>0</v>
      </c>
      <c r="DM159" s="536"/>
      <c r="DN159" s="536"/>
      <c r="DO159" s="536"/>
      <c r="DP159" s="541">
        <f>IF( SUM((DJ159*(20/100))+(DK159*(30/100))+(DL159*(50/100))) &gt;=9.3,9.5,
IF(AND( SUM((DJ159*(20/100))+(DK159*(30/100))+(DL159*(50/100))) &lt;=9.3, SUM((DJ159*(20/100))+(DK159*(30/100))+(DL159*(50/100))) &gt;=8.8),9,
IF(AND( SUM((DJ159*(20/100))+(DK159*(30/100))+(DL159*(50/100))) &lt;=8.8, SUM((DJ159*(20/100))+(DK159*(30/100))+(DL159*(50/100))) &gt;=8.3),8.5,
IF(AND( SUM((DJ159*(20/100))+(DK159*(30/100))+(DL159*(50/100))) &lt;=8.3, SUM((DJ159*(20/100))+(DK159*(30/100))+(DL159*(50/100))) &gt;=7.8),8,
IF(AND( SUM((DJ159*(20/100))+(DK159*(30/100))+(DL159*(50/100))) &lt;=7.8, SUM((DJ159*(20/100))+(DK159*(30/100))+(DL159*(50/100))) &gt;=7.3),7.5,
IF(AND( SUM((DJ159*(20/100))+(DK159*(30/100))+(DL159*(50/100))) &lt;=7.3, SUM((DJ159*(20/100))+(DK159*(30/100))+(DL159*(50/100))) &gt;=6.8),7,
IF(AND( SUM((DJ159*(20/100))+(DK159*(30/100))+(DL159*(50/100))) &lt;=6.8, SUM((DJ159*(20/100))+(DK159*(30/100))+(DL159*(50/100))) &gt;=6.3),6.5,
IF(AND( SUM((DJ159*(20/100))+(DK159*(30/100))+(DL159*(50/100))) &lt;=6.3, SUM((DJ159*(20/100))+(DK159*(30/100))+(DL159*(50/100))) &gt;=5.8),6,
IF(AND( SUM((DJ159*(20/100))+(DK159*(30/100))+(DL159*(50/100))) &lt;=5.8, SUM((DJ159*(20/100))+(DK159*(30/100))+(DL159*(50/100))) &gt;=5.3),5.5,
IF(AND( SUM((DJ159*(20/100))+(DK159*(30/100))+(DL159*(50/100))) &lt;=5.3, SUM((DJ159*(20/100))+(DK159*(30/100))+(DL159*(50/100))) &gt;=4.8),5,
IF(AND( SUM((DJ159*(20/100))+(DK159*(30/100))+(DL159*(50/100))) &lt;=4.8, SUM((DJ159*(20/100))+(DK159*(30/100))+(DL159*(50/100))) &gt;=4.3),4.5,
IF(AND( SUM((DJ159*(20/100))+(DK159*(30/100))+(DL159*(50/100))) &lt;=4.3, SUM((DJ159*(20/100))+(DK159*(30/100))+(DL159*(50/100))) &gt;=3.8),4,
IF(AND( SUM((DJ159*(20/100))+(DK159*(30/100))+(DL159*(50/100))) &lt;=3.8, SUM((DJ159*(20/100))+(DK159*(30/100))+(DL159*(50/100))) &gt;=3.5),3.5,0)))))))))))))</f>
        <v>0</v>
      </c>
      <c r="DQ159" s="541"/>
      <c r="DR159" s="541"/>
      <c r="DS159" s="541"/>
      <c r="DT159" s="541"/>
      <c r="DU159" s="541"/>
      <c r="DV159" s="541"/>
      <c r="DW159" s="541"/>
      <c r="DX159" s="541"/>
      <c r="DY159" s="541"/>
      <c r="DZ159" s="541"/>
    </row>
    <row r="160" spans="2:130" x14ac:dyDescent="0.25">
      <c r="B160" s="334">
        <v>3</v>
      </c>
      <c r="C160" s="541"/>
      <c r="D160" s="334"/>
      <c r="E160" s="334"/>
      <c r="F160" s="334"/>
      <c r="G160" s="334"/>
      <c r="H160" s="334"/>
      <c r="I160" s="334"/>
      <c r="J160" s="536"/>
      <c r="K160" s="536"/>
      <c r="L160" s="536"/>
      <c r="M160" s="536"/>
      <c r="N160" s="536"/>
      <c r="O160" s="536"/>
      <c r="P160" s="536">
        <f t="shared" si="51"/>
        <v>0</v>
      </c>
      <c r="Q160" s="536"/>
      <c r="R160" s="536"/>
      <c r="S160" s="536"/>
      <c r="T160" s="536">
        <f t="shared" si="52"/>
        <v>0</v>
      </c>
      <c r="U160" s="536"/>
      <c r="V160" s="536"/>
      <c r="W160" s="536"/>
      <c r="X160" s="536">
        <f t="shared" si="53"/>
        <v>0</v>
      </c>
      <c r="Y160" s="536"/>
      <c r="Z160" s="536"/>
      <c r="AA160" s="536"/>
      <c r="AB160" s="536">
        <f t="shared" si="54"/>
        <v>0</v>
      </c>
      <c r="AC160" s="536"/>
      <c r="AD160" s="536"/>
      <c r="AE160" s="536"/>
      <c r="AF160" s="536">
        <f t="shared" si="55"/>
        <v>0</v>
      </c>
      <c r="AG160" s="536"/>
      <c r="AH160" s="536"/>
      <c r="AI160" s="536"/>
      <c r="AJ160" s="536">
        <f t="shared" si="56"/>
        <v>0</v>
      </c>
      <c r="AK160" s="536"/>
      <c r="AL160" s="536"/>
      <c r="AM160" s="536"/>
      <c r="AN160" s="542">
        <f t="shared" si="57"/>
        <v>0</v>
      </c>
      <c r="AO160" s="536"/>
      <c r="AP160" s="536"/>
      <c r="AQ160" s="536"/>
      <c r="AR160" s="542">
        <f t="shared" si="58"/>
        <v>0</v>
      </c>
      <c r="AS160" s="536"/>
      <c r="AT160" s="536"/>
      <c r="AU160" s="536"/>
      <c r="AV160" s="542">
        <f t="shared" si="59"/>
        <v>0</v>
      </c>
      <c r="AW160" s="536"/>
      <c r="AX160" s="536"/>
      <c r="AY160" s="536"/>
      <c r="AZ160" s="542">
        <f t="shared" si="60"/>
        <v>0</v>
      </c>
      <c r="BA160" s="536"/>
      <c r="BB160" s="536"/>
      <c r="BC160" s="536"/>
      <c r="BD160" s="542">
        <f t="shared" si="61"/>
        <v>0</v>
      </c>
      <c r="BE160" s="536"/>
      <c r="BF160" s="536"/>
      <c r="BG160" s="536"/>
      <c r="BH160" s="542">
        <f t="shared" si="62"/>
        <v>0</v>
      </c>
      <c r="BI160" s="536"/>
      <c r="BJ160" s="536"/>
      <c r="BK160" s="536"/>
      <c r="BL160" s="542">
        <f t="shared" si="63"/>
        <v>0</v>
      </c>
      <c r="BM160" s="536"/>
      <c r="BN160" s="536"/>
      <c r="BO160" s="536"/>
      <c r="BP160" s="542">
        <f t="shared" si="64"/>
        <v>0</v>
      </c>
      <c r="BQ160" s="536"/>
      <c r="BR160" s="536"/>
      <c r="BS160" s="536"/>
      <c r="BT160" s="542">
        <f t="shared" si="65"/>
        <v>0</v>
      </c>
      <c r="BU160" s="536"/>
      <c r="BV160" s="536"/>
      <c r="BW160" s="536"/>
      <c r="BX160" s="542">
        <f t="shared" si="66"/>
        <v>0</v>
      </c>
      <c r="BY160" s="536"/>
      <c r="BZ160" s="536"/>
      <c r="CA160" s="536"/>
      <c r="CB160" s="542">
        <v>0</v>
      </c>
      <c r="CC160" s="536"/>
      <c r="CD160" s="536"/>
      <c r="CE160" s="536"/>
      <c r="CF160" s="541">
        <f t="shared" si="67"/>
        <v>0</v>
      </c>
      <c r="CG160" s="536"/>
      <c r="CH160" s="536"/>
      <c r="CI160" s="536"/>
      <c r="CJ160" s="541">
        <f t="shared" si="68"/>
        <v>0</v>
      </c>
      <c r="CK160" s="536"/>
      <c r="CL160" s="536"/>
      <c r="CM160" s="536"/>
      <c r="CN160" s="541">
        <f t="shared" si="69"/>
        <v>0</v>
      </c>
      <c r="CO160" s="536"/>
      <c r="CP160" s="536"/>
      <c r="CQ160" s="536"/>
      <c r="CR160" s="541">
        <f t="shared" si="70"/>
        <v>0</v>
      </c>
      <c r="CS160" s="536"/>
      <c r="CT160" s="536"/>
      <c r="CU160" s="536"/>
      <c r="CV160" s="541">
        <f t="shared" si="71"/>
        <v>0</v>
      </c>
      <c r="CW160" s="536"/>
      <c r="CX160" s="536"/>
      <c r="CY160" s="536"/>
      <c r="CZ160" s="541">
        <f t="shared" si="72"/>
        <v>0</v>
      </c>
      <c r="DA160" s="536"/>
      <c r="DB160" s="536"/>
      <c r="DC160" s="536"/>
      <c r="DD160" s="541">
        <f t="shared" si="73"/>
        <v>0</v>
      </c>
      <c r="DE160" s="536"/>
      <c r="DF160" s="536"/>
      <c r="DG160" s="536"/>
      <c r="DH160" s="541">
        <f t="shared" si="74"/>
        <v>0</v>
      </c>
      <c r="DI160" s="536"/>
      <c r="DJ160" s="536"/>
      <c r="DK160" s="536"/>
      <c r="DL160" s="541">
        <f t="shared" si="75"/>
        <v>0</v>
      </c>
      <c r="DM160" s="536"/>
      <c r="DN160" s="536"/>
      <c r="DO160" s="536"/>
      <c r="DP160" s="541">
        <f>IF( SUM((DJ160*(20/100))+(DK160*(30/100))+(DL160*(50/100))) &gt;=9.3,9.5,
IF(AND( SUM((DJ160*(20/100))+(DK160*(30/100))+(DL160*(50/100))) &lt;=9.3, SUM((DJ160*(20/100))+(DK160*(30/100))+(DL160*(50/100))) &gt;=8.8),9,
IF(AND( SUM((DJ160*(20/100))+(DK160*(30/100))+(DL160*(50/100))) &lt;=8.8, SUM((DJ160*(20/100))+(DK160*(30/100))+(DL160*(50/100))) &gt;=8.3),8.5,
IF(AND( SUM((DJ160*(20/100))+(DK160*(30/100))+(DL160*(50/100))) &lt;=8.3, SUM((DJ160*(20/100))+(DK160*(30/100))+(DL160*(50/100))) &gt;=7.8),8,
IF(AND( SUM((DJ160*(20/100))+(DK160*(30/100))+(DL160*(50/100))) &lt;=7.8, SUM((DJ160*(20/100))+(DK160*(30/100))+(DL160*(50/100))) &gt;=7.3),7.5,
IF(AND( SUM((DJ160*(20/100))+(DK160*(30/100))+(DL160*(50/100))) &lt;=7.3, SUM((DJ160*(20/100))+(DK160*(30/100))+(DL160*(50/100))) &gt;=6.8),7,
IF(AND( SUM((DJ160*(20/100))+(DK160*(30/100))+(DL160*(50/100))) &lt;=6.8, SUM((DJ160*(20/100))+(DK160*(30/100))+(DL160*(50/100))) &gt;=6.3),6.5,
IF(AND( SUM((DJ160*(20/100))+(DK160*(30/100))+(DL160*(50/100))) &lt;=6.3, SUM((DJ160*(20/100))+(DK160*(30/100))+(DL160*(50/100))) &gt;=5.8),6,
IF(AND( SUM((DJ160*(20/100))+(DK160*(30/100))+(DL160*(50/100))) &lt;=5.8, SUM((DJ160*(20/100))+(DK160*(30/100))+(DL160*(50/100))) &gt;=5.3),5.5,
IF(AND( SUM((DJ160*(20/100))+(DK160*(30/100))+(DL160*(50/100))) &lt;=5.3, SUM((DJ160*(20/100))+(DK160*(30/100))+(DL160*(50/100))) &gt;=4.8),5,
IF(AND( SUM((DJ160*(20/100))+(DK160*(30/100))+(DL160*(50/100))) &lt;=4.8, SUM((DJ160*(20/100))+(DK160*(30/100))+(DL160*(50/100))) &gt;=4.3),4.5,
IF(AND( SUM((DJ160*(20/100))+(DK160*(30/100))+(DL160*(50/100))) &lt;=4.3, SUM((DJ160*(20/100))+(DK160*(30/100))+(DL160*(50/100))) &gt;=3.8),4,
IF(AND( SUM((DJ160*(20/100))+(DK160*(30/100))+(DL160*(50/100))) &lt;=3.8, SUM((DJ160*(20/100))+(DK160*(30/100))+(DL160*(50/100))) &gt;=3.5),3.5,0)))))))))))))</f>
        <v>0</v>
      </c>
      <c r="DQ160" s="541"/>
      <c r="DR160" s="541"/>
      <c r="DS160" s="541"/>
      <c r="DT160" s="541"/>
      <c r="DU160" s="541"/>
      <c r="DV160" s="541"/>
      <c r="DW160" s="541"/>
      <c r="DX160" s="541"/>
      <c r="DY160" s="541"/>
      <c r="DZ160" s="541"/>
    </row>
    <row r="161" spans="2:130" x14ac:dyDescent="0.25">
      <c r="B161" s="334">
        <v>4</v>
      </c>
      <c r="C161" s="541"/>
      <c r="D161" s="334"/>
      <c r="E161" s="334"/>
      <c r="F161" s="334"/>
      <c r="G161" s="334"/>
      <c r="H161" s="334"/>
      <c r="I161" s="334"/>
      <c r="J161" s="536"/>
      <c r="K161" s="536"/>
      <c r="L161" s="536"/>
      <c r="M161" s="536"/>
      <c r="N161" s="536"/>
      <c r="O161" s="536"/>
      <c r="P161" s="536">
        <f t="shared" si="51"/>
        <v>0</v>
      </c>
      <c r="Q161" s="536"/>
      <c r="R161" s="536"/>
      <c r="S161" s="536"/>
      <c r="T161" s="536">
        <f t="shared" si="52"/>
        <v>0</v>
      </c>
      <c r="U161" s="536"/>
      <c r="V161" s="536"/>
      <c r="W161" s="536"/>
      <c r="X161" s="536">
        <f t="shared" si="53"/>
        <v>0</v>
      </c>
      <c r="Y161" s="536"/>
      <c r="Z161" s="536"/>
      <c r="AA161" s="536"/>
      <c r="AB161" s="536">
        <f t="shared" si="54"/>
        <v>0</v>
      </c>
      <c r="AC161" s="536"/>
      <c r="AD161" s="536"/>
      <c r="AE161" s="536"/>
      <c r="AF161" s="536">
        <f t="shared" si="55"/>
        <v>0</v>
      </c>
      <c r="AG161" s="536"/>
      <c r="AH161" s="536"/>
      <c r="AI161" s="536"/>
      <c r="AJ161" s="536">
        <f t="shared" si="56"/>
        <v>0</v>
      </c>
      <c r="AK161" s="536"/>
      <c r="AL161" s="536"/>
      <c r="AM161" s="536"/>
      <c r="AN161" s="542">
        <f t="shared" si="57"/>
        <v>0</v>
      </c>
      <c r="AO161" s="536"/>
      <c r="AP161" s="536"/>
      <c r="AQ161" s="536"/>
      <c r="AR161" s="542">
        <f t="shared" si="58"/>
        <v>0</v>
      </c>
      <c r="AS161" s="536"/>
      <c r="AT161" s="536"/>
      <c r="AU161" s="536"/>
      <c r="AV161" s="542">
        <f t="shared" si="59"/>
        <v>0</v>
      </c>
      <c r="AW161" s="536"/>
      <c r="AX161" s="536"/>
      <c r="AY161" s="536"/>
      <c r="AZ161" s="542">
        <f t="shared" si="60"/>
        <v>0</v>
      </c>
      <c r="BA161" s="536"/>
      <c r="BB161" s="536"/>
      <c r="BC161" s="536"/>
      <c r="BD161" s="542">
        <f t="shared" si="61"/>
        <v>0</v>
      </c>
      <c r="BE161" s="536"/>
      <c r="BF161" s="536"/>
      <c r="BG161" s="536"/>
      <c r="BH161" s="542">
        <f t="shared" si="62"/>
        <v>0</v>
      </c>
      <c r="BI161" s="536"/>
      <c r="BJ161" s="536"/>
      <c r="BK161" s="536"/>
      <c r="BL161" s="542">
        <f t="shared" si="63"/>
        <v>0</v>
      </c>
      <c r="BM161" s="536"/>
      <c r="BN161" s="536"/>
      <c r="BO161" s="536"/>
      <c r="BP161" s="542">
        <f t="shared" si="64"/>
        <v>0</v>
      </c>
      <c r="BQ161" s="536"/>
      <c r="BR161" s="536"/>
      <c r="BS161" s="536"/>
      <c r="BT161" s="542">
        <f t="shared" si="65"/>
        <v>0</v>
      </c>
      <c r="BU161" s="536"/>
      <c r="BV161" s="536"/>
      <c r="BW161" s="536"/>
      <c r="BX161" s="542">
        <f t="shared" si="66"/>
        <v>0</v>
      </c>
      <c r="BY161" s="536"/>
      <c r="BZ161" s="536"/>
      <c r="CA161" s="536"/>
      <c r="CB161" s="542">
        <v>0</v>
      </c>
      <c r="CC161" s="536"/>
      <c r="CD161" s="536"/>
      <c r="CE161" s="536"/>
      <c r="CF161" s="541">
        <f t="shared" si="67"/>
        <v>0</v>
      </c>
      <c r="CG161" s="536"/>
      <c r="CH161" s="536"/>
      <c r="CI161" s="536"/>
      <c r="CJ161" s="541">
        <f t="shared" si="68"/>
        <v>0</v>
      </c>
      <c r="CK161" s="536"/>
      <c r="CL161" s="536"/>
      <c r="CM161" s="536"/>
      <c r="CN161" s="541">
        <f t="shared" si="69"/>
        <v>0</v>
      </c>
      <c r="CO161" s="536"/>
      <c r="CP161" s="536"/>
      <c r="CQ161" s="536"/>
      <c r="CR161" s="541">
        <f t="shared" si="70"/>
        <v>0</v>
      </c>
      <c r="CS161" s="536"/>
      <c r="CT161" s="536"/>
      <c r="CU161" s="536"/>
      <c r="CV161" s="541">
        <f t="shared" si="71"/>
        <v>0</v>
      </c>
      <c r="CW161" s="536"/>
      <c r="CX161" s="536"/>
      <c r="CY161" s="536"/>
      <c r="CZ161" s="541">
        <f t="shared" si="72"/>
        <v>0</v>
      </c>
      <c r="DA161" s="536"/>
      <c r="DB161" s="536"/>
      <c r="DC161" s="536"/>
      <c r="DD161" s="541">
        <f t="shared" si="73"/>
        <v>0</v>
      </c>
      <c r="DE161" s="536"/>
      <c r="DF161" s="536"/>
      <c r="DG161" s="536"/>
      <c r="DH161" s="541">
        <f t="shared" si="74"/>
        <v>0</v>
      </c>
      <c r="DI161" s="536"/>
      <c r="DJ161" s="536"/>
      <c r="DK161" s="536"/>
      <c r="DL161" s="541">
        <f t="shared" si="75"/>
        <v>0</v>
      </c>
      <c r="DM161" s="536"/>
      <c r="DN161" s="536"/>
      <c r="DO161" s="536"/>
      <c r="DP161" s="541">
        <f>IF( SUM((DJ161*(20/100))+(DK161*(30/100))+(DL161*(50/100))) &gt;=9.3,9.5,
IF(AND( SUM((DJ161*(20/100))+(DK161*(30/100))+(DL161*(50/100))) &lt;=9.3, SUM((DJ161*(20/100))+(DK161*(30/100))+(DL161*(50/100))) &gt;=8.8),9,
IF(AND( SUM((DJ161*(20/100))+(DK161*(30/100))+(DL161*(50/100))) &lt;=8.8, SUM((DJ161*(20/100))+(DK161*(30/100))+(DL161*(50/100))) &gt;=8.3),8.5,
IF(AND( SUM((DJ161*(20/100))+(DK161*(30/100))+(DL161*(50/100))) &lt;=8.3, SUM((DJ161*(20/100))+(DK161*(30/100))+(DL161*(50/100))) &gt;=7.8),8,
IF(AND( SUM((DJ161*(20/100))+(DK161*(30/100))+(DL161*(50/100))) &lt;=7.8, SUM((DJ161*(20/100))+(DK161*(30/100))+(DL161*(50/100))) &gt;=7.3),7.5,
IF(AND( SUM((DJ161*(20/100))+(DK161*(30/100))+(DL161*(50/100))) &lt;=7.3, SUM((DJ161*(20/100))+(DK161*(30/100))+(DL161*(50/100))) &gt;=6.8),7,
IF(AND( SUM((DJ161*(20/100))+(DK161*(30/100))+(DL161*(50/100))) &lt;=6.8, SUM((DJ161*(20/100))+(DK161*(30/100))+(DL161*(50/100))) &gt;=6.3),6.5,
IF(AND( SUM((DJ161*(20/100))+(DK161*(30/100))+(DL161*(50/100))) &lt;=6.3, SUM((DJ161*(20/100))+(DK161*(30/100))+(DL161*(50/100))) &gt;=5.8),6,
IF(AND( SUM((DJ161*(20/100))+(DK161*(30/100))+(DL161*(50/100))) &lt;=5.8, SUM((DJ161*(20/100))+(DK161*(30/100))+(DL161*(50/100))) &gt;=5.3),5.5,
IF(AND( SUM((DJ161*(20/100))+(DK161*(30/100))+(DL161*(50/100))) &lt;=5.3, SUM((DJ161*(20/100))+(DK161*(30/100))+(DL161*(50/100))) &gt;=4.8),5,
IF(AND( SUM((DJ161*(20/100))+(DK161*(30/100))+(DL161*(50/100))) &lt;=4.8, SUM((DJ161*(20/100))+(DK161*(30/100))+(DL161*(50/100))) &gt;=4.3),4.5,
IF(AND( SUM((DJ161*(20/100))+(DK161*(30/100))+(DL161*(50/100))) &lt;=4.3, SUM((DJ161*(20/100))+(DK161*(30/100))+(DL161*(50/100))) &gt;=3.8),4,
IF(AND( SUM((DJ161*(20/100))+(DK161*(30/100))+(DL161*(50/100))) &lt;=3.8, SUM((DJ161*(20/100))+(DK161*(30/100))+(DL161*(50/100))) &gt;=3.5),3.5,0)))))))))))))</f>
        <v>0</v>
      </c>
      <c r="DQ161" s="541"/>
      <c r="DR161" s="541"/>
      <c r="DS161" s="541"/>
      <c r="DT161" s="541"/>
      <c r="DU161" s="541"/>
      <c r="DV161" s="541"/>
      <c r="DW161" s="541"/>
      <c r="DX161" s="541"/>
      <c r="DY161" s="541"/>
      <c r="DZ161" s="541"/>
    </row>
    <row r="162" spans="2:130" x14ac:dyDescent="0.25">
      <c r="B162" s="334">
        <v>5</v>
      </c>
      <c r="C162" s="541"/>
      <c r="D162" s="334"/>
      <c r="E162" s="334"/>
      <c r="F162" s="334"/>
      <c r="G162" s="334"/>
      <c r="H162" s="334"/>
      <c r="I162" s="334"/>
      <c r="J162" s="536"/>
      <c r="K162" s="536"/>
      <c r="L162" s="536"/>
      <c r="M162" s="536"/>
      <c r="N162" s="536"/>
      <c r="O162" s="536"/>
      <c r="P162" s="536">
        <f t="shared" si="51"/>
        <v>0</v>
      </c>
      <c r="Q162" s="536"/>
      <c r="R162" s="536"/>
      <c r="S162" s="536"/>
      <c r="T162" s="536">
        <f t="shared" si="52"/>
        <v>0</v>
      </c>
      <c r="U162" s="536"/>
      <c r="V162" s="536"/>
      <c r="W162" s="536"/>
      <c r="X162" s="536">
        <f t="shared" si="53"/>
        <v>0</v>
      </c>
      <c r="Y162" s="536"/>
      <c r="Z162" s="536"/>
      <c r="AA162" s="536"/>
      <c r="AB162" s="536">
        <f t="shared" si="54"/>
        <v>0</v>
      </c>
      <c r="AC162" s="536"/>
      <c r="AD162" s="536"/>
      <c r="AE162" s="536"/>
      <c r="AF162" s="536">
        <f t="shared" si="55"/>
        <v>0</v>
      </c>
      <c r="AG162" s="536"/>
      <c r="AH162" s="536"/>
      <c r="AI162" s="536"/>
      <c r="AJ162" s="536">
        <f t="shared" si="56"/>
        <v>0</v>
      </c>
      <c r="AK162" s="536"/>
      <c r="AL162" s="536"/>
      <c r="AM162" s="536"/>
      <c r="AN162" s="542">
        <f t="shared" si="57"/>
        <v>0</v>
      </c>
      <c r="AO162" s="536"/>
      <c r="AP162" s="536"/>
      <c r="AQ162" s="536"/>
      <c r="AR162" s="542">
        <f t="shared" si="58"/>
        <v>0</v>
      </c>
      <c r="AS162" s="536"/>
      <c r="AT162" s="536"/>
      <c r="AU162" s="536"/>
      <c r="AV162" s="542">
        <f t="shared" si="59"/>
        <v>0</v>
      </c>
      <c r="AW162" s="536"/>
      <c r="AX162" s="536"/>
      <c r="AY162" s="536"/>
      <c r="AZ162" s="542">
        <f t="shared" si="60"/>
        <v>0</v>
      </c>
      <c r="BA162" s="536"/>
      <c r="BB162" s="536"/>
      <c r="BC162" s="536"/>
      <c r="BD162" s="542">
        <f t="shared" si="61"/>
        <v>0</v>
      </c>
      <c r="BE162" s="536"/>
      <c r="BF162" s="536"/>
      <c r="BG162" s="536"/>
      <c r="BH162" s="542">
        <f t="shared" si="62"/>
        <v>0</v>
      </c>
      <c r="BI162" s="536"/>
      <c r="BJ162" s="536"/>
      <c r="BK162" s="536"/>
      <c r="BL162" s="542">
        <f t="shared" si="63"/>
        <v>0</v>
      </c>
      <c r="BM162" s="536"/>
      <c r="BN162" s="536"/>
      <c r="BO162" s="536"/>
      <c r="BP162" s="542">
        <f t="shared" si="64"/>
        <v>0</v>
      </c>
      <c r="BQ162" s="536"/>
      <c r="BR162" s="536"/>
      <c r="BS162" s="536"/>
      <c r="BT162" s="542">
        <f t="shared" si="65"/>
        <v>0</v>
      </c>
      <c r="BU162" s="536"/>
      <c r="BV162" s="536"/>
      <c r="BW162" s="536"/>
      <c r="BX162" s="542">
        <f t="shared" si="66"/>
        <v>0</v>
      </c>
      <c r="BY162" s="536"/>
      <c r="BZ162" s="536"/>
      <c r="CA162" s="536"/>
      <c r="CB162" s="542">
        <v>0</v>
      </c>
      <c r="CC162" s="536"/>
      <c r="CD162" s="536"/>
      <c r="CE162" s="536"/>
      <c r="CF162" s="541">
        <f t="shared" si="67"/>
        <v>0</v>
      </c>
      <c r="CG162" s="536"/>
      <c r="CH162" s="536"/>
      <c r="CI162" s="536"/>
      <c r="CJ162" s="541">
        <f t="shared" si="68"/>
        <v>0</v>
      </c>
      <c r="CK162" s="536"/>
      <c r="CL162" s="536"/>
      <c r="CM162" s="536"/>
      <c r="CN162" s="541">
        <f t="shared" si="69"/>
        <v>0</v>
      </c>
      <c r="CO162" s="536"/>
      <c r="CP162" s="536"/>
      <c r="CQ162" s="536"/>
      <c r="CR162" s="541">
        <f t="shared" si="70"/>
        <v>0</v>
      </c>
      <c r="CS162" s="536"/>
      <c r="CT162" s="536"/>
      <c r="CU162" s="536"/>
      <c r="CV162" s="541">
        <f t="shared" si="71"/>
        <v>0</v>
      </c>
      <c r="CW162" s="536"/>
      <c r="CX162" s="536"/>
      <c r="CY162" s="536"/>
      <c r="CZ162" s="541">
        <f t="shared" si="72"/>
        <v>0</v>
      </c>
      <c r="DA162" s="536"/>
      <c r="DB162" s="536"/>
      <c r="DC162" s="536"/>
      <c r="DD162" s="541">
        <f t="shared" si="73"/>
        <v>0</v>
      </c>
      <c r="DE162" s="536"/>
      <c r="DF162" s="536"/>
      <c r="DG162" s="536"/>
      <c r="DH162" s="541">
        <f t="shared" si="74"/>
        <v>0</v>
      </c>
      <c r="DI162" s="536"/>
      <c r="DJ162" s="536"/>
      <c r="DK162" s="536"/>
      <c r="DL162" s="541">
        <f t="shared" si="75"/>
        <v>0</v>
      </c>
      <c r="DM162" s="536"/>
      <c r="DN162" s="536"/>
      <c r="DO162" s="536"/>
      <c r="DP162" s="541">
        <f>IF( SUM((DJ162*(20/100))+(DK162*(30/100))+(DL162*(50/100))) &gt;=9.3,9.5,
IF(AND( SUM((DJ162*(20/100))+(DK162*(30/100))+(DL162*(50/100))) &lt;=9.3, SUM((DJ162*(20/100))+(DK162*(30/100))+(DL162*(50/100))) &gt;=8.8),9,
IF(AND( SUM((DJ162*(20/100))+(DK162*(30/100))+(DL162*(50/100))) &lt;=8.8, SUM((DJ162*(20/100))+(DK162*(30/100))+(DL162*(50/100))) &gt;=8.3),8.5,
IF(AND( SUM((DJ162*(20/100))+(DK162*(30/100))+(DL162*(50/100))) &lt;=8.3, SUM((DJ162*(20/100))+(DK162*(30/100))+(DL162*(50/100))) &gt;=7.8),8,
IF(AND( SUM((DJ162*(20/100))+(DK162*(30/100))+(DL162*(50/100))) &lt;=7.8, SUM((DJ162*(20/100))+(DK162*(30/100))+(DL162*(50/100))) &gt;=7.3),7.5,
IF(AND( SUM((DJ162*(20/100))+(DK162*(30/100))+(DL162*(50/100))) &lt;=7.3, SUM((DJ162*(20/100))+(DK162*(30/100))+(DL162*(50/100))) &gt;=6.8),7,
IF(AND( SUM((DJ162*(20/100))+(DK162*(30/100))+(DL162*(50/100))) &lt;=6.8, SUM((DJ162*(20/100))+(DK162*(30/100))+(DL162*(50/100))) &gt;=6.3),6.5,
IF(AND( SUM((DJ162*(20/100))+(DK162*(30/100))+(DL162*(50/100))) &lt;=6.3, SUM((DJ162*(20/100))+(DK162*(30/100))+(DL162*(50/100))) &gt;=5.8),6,
IF(AND( SUM((DJ162*(20/100))+(DK162*(30/100))+(DL162*(50/100))) &lt;=5.8, SUM((DJ162*(20/100))+(DK162*(30/100))+(DL162*(50/100))) &gt;=5.3),5.5,
IF(AND( SUM((DJ162*(20/100))+(DK162*(30/100))+(DL162*(50/100))) &lt;=5.3, SUM((DJ162*(20/100))+(DK162*(30/100))+(DL162*(50/100))) &gt;=4.8),5,
IF(AND( SUM((DJ162*(20/100))+(DK162*(30/100))+(DL162*(50/100))) &lt;=4.8, SUM((DJ162*(20/100))+(DK162*(30/100))+(DL162*(50/100))) &gt;=4.3),4.5,
IF(AND( SUM((DJ162*(20/100))+(DK162*(30/100))+(DL162*(50/100))) &lt;=4.3, SUM((DJ162*(20/100))+(DK162*(30/100))+(DL162*(50/100))) &gt;=3.8),4,
IF(AND( SUM((DJ162*(20/100))+(DK162*(30/100))+(DL162*(50/100))) &lt;=3.8, SUM((DJ162*(20/100))+(DK162*(30/100))+(DL162*(50/100))) &gt;=3.5),3.5,0)))))))))))))</f>
        <v>0</v>
      </c>
      <c r="DQ162" s="541"/>
      <c r="DR162" s="541"/>
      <c r="DS162" s="541"/>
      <c r="DT162" s="541"/>
      <c r="DU162" s="541"/>
      <c r="DV162" s="541"/>
      <c r="DW162" s="541"/>
      <c r="DX162" s="541"/>
      <c r="DY162" s="541"/>
      <c r="DZ162" s="541"/>
    </row>
    <row r="163" spans="2:130" x14ac:dyDescent="0.25">
      <c r="B163" s="334">
        <v>6</v>
      </c>
      <c r="C163" s="541"/>
      <c r="D163" s="334"/>
      <c r="E163" s="334"/>
      <c r="F163" s="334"/>
      <c r="G163" s="334"/>
      <c r="H163" s="334"/>
      <c r="I163" s="334"/>
      <c r="J163" s="536"/>
      <c r="K163" s="536"/>
      <c r="L163" s="536"/>
      <c r="M163" s="536"/>
      <c r="N163" s="536"/>
      <c r="O163" s="536"/>
      <c r="P163" s="536">
        <f t="shared" si="51"/>
        <v>0</v>
      </c>
      <c r="Q163" s="536"/>
      <c r="R163" s="536"/>
      <c r="S163" s="536"/>
      <c r="T163" s="536">
        <f t="shared" si="52"/>
        <v>0</v>
      </c>
      <c r="U163" s="536"/>
      <c r="V163" s="536"/>
      <c r="W163" s="536"/>
      <c r="X163" s="536">
        <f t="shared" si="53"/>
        <v>0</v>
      </c>
      <c r="Y163" s="536"/>
      <c r="Z163" s="536"/>
      <c r="AA163" s="536"/>
      <c r="AB163" s="536">
        <f t="shared" si="54"/>
        <v>0</v>
      </c>
      <c r="AC163" s="536"/>
      <c r="AD163" s="536"/>
      <c r="AE163" s="536"/>
      <c r="AF163" s="536">
        <f t="shared" si="55"/>
        <v>0</v>
      </c>
      <c r="AG163" s="536"/>
      <c r="AH163" s="536"/>
      <c r="AI163" s="536"/>
      <c r="AJ163" s="536">
        <f t="shared" si="56"/>
        <v>0</v>
      </c>
      <c r="AK163" s="536"/>
      <c r="AL163" s="536"/>
      <c r="AM163" s="536"/>
      <c r="AN163" s="542">
        <f t="shared" si="57"/>
        <v>0</v>
      </c>
      <c r="AO163" s="536"/>
      <c r="AP163" s="536"/>
      <c r="AQ163" s="536"/>
      <c r="AR163" s="542">
        <f t="shared" si="58"/>
        <v>0</v>
      </c>
      <c r="AS163" s="536"/>
      <c r="AT163" s="536"/>
      <c r="AU163" s="536"/>
      <c r="AV163" s="542">
        <f t="shared" si="59"/>
        <v>0</v>
      </c>
      <c r="AW163" s="536"/>
      <c r="AX163" s="536"/>
      <c r="AY163" s="536"/>
      <c r="AZ163" s="542">
        <f t="shared" si="60"/>
        <v>0</v>
      </c>
      <c r="BA163" s="536"/>
      <c r="BB163" s="536"/>
      <c r="BC163" s="536"/>
      <c r="BD163" s="542">
        <f t="shared" si="61"/>
        <v>0</v>
      </c>
      <c r="BE163" s="536"/>
      <c r="BF163" s="536"/>
      <c r="BG163" s="536"/>
      <c r="BH163" s="542">
        <f t="shared" si="62"/>
        <v>0</v>
      </c>
      <c r="BI163" s="536"/>
      <c r="BJ163" s="536"/>
      <c r="BK163" s="536"/>
      <c r="BL163" s="542">
        <f t="shared" si="63"/>
        <v>0</v>
      </c>
      <c r="BM163" s="536"/>
      <c r="BN163" s="536"/>
      <c r="BO163" s="536"/>
      <c r="BP163" s="542">
        <f t="shared" si="64"/>
        <v>0</v>
      </c>
      <c r="BQ163" s="536"/>
      <c r="BR163" s="536"/>
      <c r="BS163" s="536"/>
      <c r="BT163" s="542">
        <f t="shared" si="65"/>
        <v>0</v>
      </c>
      <c r="BU163" s="536"/>
      <c r="BV163" s="536"/>
      <c r="BW163" s="536"/>
      <c r="BX163" s="542">
        <f t="shared" si="66"/>
        <v>0</v>
      </c>
      <c r="BY163" s="536"/>
      <c r="BZ163" s="536"/>
      <c r="CA163" s="536"/>
      <c r="CB163" s="542">
        <v>0</v>
      </c>
      <c r="CC163" s="536"/>
      <c r="CD163" s="536"/>
      <c r="CE163" s="536"/>
      <c r="CF163" s="541">
        <f t="shared" si="67"/>
        <v>0</v>
      </c>
      <c r="CG163" s="536"/>
      <c r="CH163" s="536"/>
      <c r="CI163" s="536"/>
      <c r="CJ163" s="541">
        <f t="shared" si="68"/>
        <v>0</v>
      </c>
      <c r="CK163" s="536"/>
      <c r="CL163" s="536"/>
      <c r="CM163" s="536"/>
      <c r="CN163" s="541">
        <f t="shared" si="69"/>
        <v>0</v>
      </c>
      <c r="CO163" s="536"/>
      <c r="CP163" s="536"/>
      <c r="CQ163" s="536"/>
      <c r="CR163" s="541">
        <f t="shared" si="70"/>
        <v>0</v>
      </c>
      <c r="CS163" s="536"/>
      <c r="CT163" s="536"/>
      <c r="CU163" s="536"/>
      <c r="CV163" s="541">
        <f t="shared" si="71"/>
        <v>0</v>
      </c>
      <c r="CW163" s="536"/>
      <c r="CX163" s="536"/>
      <c r="CY163" s="536"/>
      <c r="CZ163" s="541">
        <f t="shared" si="72"/>
        <v>0</v>
      </c>
      <c r="DA163" s="536"/>
      <c r="DB163" s="536"/>
      <c r="DC163" s="536"/>
      <c r="DD163" s="541">
        <f t="shared" si="73"/>
        <v>0</v>
      </c>
      <c r="DE163" s="536"/>
      <c r="DF163" s="536"/>
      <c r="DG163" s="536"/>
      <c r="DH163" s="541">
        <f t="shared" si="74"/>
        <v>0</v>
      </c>
      <c r="DI163" s="536"/>
      <c r="DJ163" s="536"/>
      <c r="DK163" s="536"/>
      <c r="DL163" s="541">
        <f t="shared" si="75"/>
        <v>0</v>
      </c>
      <c r="DM163" s="536"/>
      <c r="DN163" s="536"/>
      <c r="DO163" s="536"/>
      <c r="DP163" s="541">
        <f>IF( SUM((DJ163*(20/100))+(DK163*(30/100))+(DL163*(50/100))) &gt;=9.3,9.5,
IF(AND( SUM((DJ163*(20/100))+(DK163*(30/100))+(DL163*(50/100))) &lt;=9.3, SUM((DJ163*(20/100))+(DK163*(30/100))+(DL163*(50/100))) &gt;=8.8),9,
IF(AND( SUM((DJ163*(20/100))+(DK163*(30/100))+(DL163*(50/100))) &lt;=8.8, SUM((DJ163*(20/100))+(DK163*(30/100))+(DL163*(50/100))) &gt;=8.3),8.5,
IF(AND( SUM((DJ163*(20/100))+(DK163*(30/100))+(DL163*(50/100))) &lt;=8.3, SUM((DJ163*(20/100))+(DK163*(30/100))+(DL163*(50/100))) &gt;=7.8),8,
IF(AND( SUM((DJ163*(20/100))+(DK163*(30/100))+(DL163*(50/100))) &lt;=7.8, SUM((DJ163*(20/100))+(DK163*(30/100))+(DL163*(50/100))) &gt;=7.3),7.5,
IF(AND( SUM((DJ163*(20/100))+(DK163*(30/100))+(DL163*(50/100))) &lt;=7.3, SUM((DJ163*(20/100))+(DK163*(30/100))+(DL163*(50/100))) &gt;=6.8),7,
IF(AND( SUM((DJ163*(20/100))+(DK163*(30/100))+(DL163*(50/100))) &lt;=6.8, SUM((DJ163*(20/100))+(DK163*(30/100))+(DL163*(50/100))) &gt;=6.3),6.5,
IF(AND( SUM((DJ163*(20/100))+(DK163*(30/100))+(DL163*(50/100))) &lt;=6.3, SUM((DJ163*(20/100))+(DK163*(30/100))+(DL163*(50/100))) &gt;=5.8),6,
IF(AND( SUM((DJ163*(20/100))+(DK163*(30/100))+(DL163*(50/100))) &lt;=5.8, SUM((DJ163*(20/100))+(DK163*(30/100))+(DL163*(50/100))) &gt;=5.3),5.5,
IF(AND( SUM((DJ163*(20/100))+(DK163*(30/100))+(DL163*(50/100))) &lt;=5.3, SUM((DJ163*(20/100))+(DK163*(30/100))+(DL163*(50/100))) &gt;=4.8),5,
IF(AND( SUM((DJ163*(20/100))+(DK163*(30/100))+(DL163*(50/100))) &lt;=4.8, SUM((DJ163*(20/100))+(DK163*(30/100))+(DL163*(50/100))) &gt;=4.3),4.5,
IF(AND( SUM((DJ163*(20/100))+(DK163*(30/100))+(DL163*(50/100))) &lt;=4.3, SUM((DJ163*(20/100))+(DK163*(30/100))+(DL163*(50/100))) &gt;=3.8),4,
IF(AND( SUM((DJ163*(20/100))+(DK163*(30/100))+(DL163*(50/100))) &lt;=3.8, SUM((DJ163*(20/100))+(DK163*(30/100))+(DL163*(50/100))) &gt;=3.5),3.5,0)))))))))))))</f>
        <v>0</v>
      </c>
      <c r="DQ163" s="541"/>
      <c r="DR163" s="541"/>
      <c r="DS163" s="541"/>
      <c r="DT163" s="541"/>
      <c r="DU163" s="541"/>
      <c r="DV163" s="541"/>
      <c r="DW163" s="541"/>
      <c r="DX163" s="541"/>
      <c r="DY163" s="541"/>
      <c r="DZ163" s="541"/>
    </row>
    <row r="164" spans="2:130" x14ac:dyDescent="0.25">
      <c r="B164" s="334">
        <v>7</v>
      </c>
      <c r="C164" s="541"/>
      <c r="D164" s="334"/>
      <c r="E164" s="334"/>
      <c r="F164" s="334"/>
      <c r="G164" s="334"/>
      <c r="H164" s="334"/>
      <c r="I164" s="334"/>
      <c r="J164" s="536"/>
      <c r="K164" s="536"/>
      <c r="L164" s="536"/>
      <c r="M164" s="536"/>
      <c r="N164" s="536"/>
      <c r="O164" s="536"/>
      <c r="P164" s="536">
        <f t="shared" si="51"/>
        <v>0</v>
      </c>
      <c r="Q164" s="536"/>
      <c r="R164" s="536"/>
      <c r="S164" s="536"/>
      <c r="T164" s="536">
        <f t="shared" si="52"/>
        <v>0</v>
      </c>
      <c r="U164" s="536"/>
      <c r="V164" s="536"/>
      <c r="W164" s="536"/>
      <c r="X164" s="536">
        <f t="shared" si="53"/>
        <v>0</v>
      </c>
      <c r="Y164" s="536"/>
      <c r="Z164" s="536"/>
      <c r="AA164" s="536"/>
      <c r="AB164" s="536">
        <f t="shared" si="54"/>
        <v>0</v>
      </c>
      <c r="AC164" s="536"/>
      <c r="AD164" s="536"/>
      <c r="AE164" s="536"/>
      <c r="AF164" s="536">
        <f t="shared" si="55"/>
        <v>0</v>
      </c>
      <c r="AG164" s="536"/>
      <c r="AH164" s="536"/>
      <c r="AI164" s="536"/>
      <c r="AJ164" s="536">
        <f t="shared" si="56"/>
        <v>0</v>
      </c>
      <c r="AK164" s="536"/>
      <c r="AL164" s="536"/>
      <c r="AM164" s="536"/>
      <c r="AN164" s="542">
        <f t="shared" si="57"/>
        <v>0</v>
      </c>
      <c r="AO164" s="536"/>
      <c r="AP164" s="536"/>
      <c r="AQ164" s="536"/>
      <c r="AR164" s="542">
        <f t="shared" si="58"/>
        <v>0</v>
      </c>
      <c r="AS164" s="536"/>
      <c r="AT164" s="536"/>
      <c r="AU164" s="536"/>
      <c r="AV164" s="542">
        <f t="shared" si="59"/>
        <v>0</v>
      </c>
      <c r="AW164" s="536"/>
      <c r="AX164" s="536"/>
      <c r="AY164" s="536"/>
      <c r="AZ164" s="542">
        <f t="shared" si="60"/>
        <v>0</v>
      </c>
      <c r="BA164" s="536"/>
      <c r="BB164" s="536"/>
      <c r="BC164" s="536"/>
      <c r="BD164" s="542">
        <f t="shared" si="61"/>
        <v>0</v>
      </c>
      <c r="BE164" s="536"/>
      <c r="BF164" s="536"/>
      <c r="BG164" s="536"/>
      <c r="BH164" s="542">
        <f t="shared" si="62"/>
        <v>0</v>
      </c>
      <c r="BI164" s="536"/>
      <c r="BJ164" s="536"/>
      <c r="BK164" s="536"/>
      <c r="BL164" s="542">
        <f t="shared" si="63"/>
        <v>0</v>
      </c>
      <c r="BM164" s="536"/>
      <c r="BN164" s="536"/>
      <c r="BO164" s="536"/>
      <c r="BP164" s="542">
        <f t="shared" si="64"/>
        <v>0</v>
      </c>
      <c r="BQ164" s="536"/>
      <c r="BR164" s="536"/>
      <c r="BS164" s="536"/>
      <c r="BT164" s="542">
        <f t="shared" si="65"/>
        <v>0</v>
      </c>
      <c r="BU164" s="536"/>
      <c r="BV164" s="536"/>
      <c r="BW164" s="536"/>
      <c r="BX164" s="542">
        <f t="shared" si="66"/>
        <v>0</v>
      </c>
      <c r="BY164" s="536"/>
      <c r="BZ164" s="536"/>
      <c r="CA164" s="536"/>
      <c r="CB164" s="542">
        <v>0</v>
      </c>
      <c r="CC164" s="536"/>
      <c r="CD164" s="536"/>
      <c r="CE164" s="536"/>
      <c r="CF164" s="541">
        <f t="shared" si="67"/>
        <v>0</v>
      </c>
      <c r="CG164" s="536"/>
      <c r="CH164" s="536"/>
      <c r="CI164" s="536"/>
      <c r="CJ164" s="541">
        <f t="shared" si="68"/>
        <v>0</v>
      </c>
      <c r="CK164" s="536"/>
      <c r="CL164" s="536"/>
      <c r="CM164" s="536"/>
      <c r="CN164" s="541">
        <f t="shared" si="69"/>
        <v>0</v>
      </c>
      <c r="CO164" s="536"/>
      <c r="CP164" s="536"/>
      <c r="CQ164" s="536"/>
      <c r="CR164" s="541">
        <f t="shared" si="70"/>
        <v>0</v>
      </c>
      <c r="CS164" s="536"/>
      <c r="CT164" s="536"/>
      <c r="CU164" s="536"/>
      <c r="CV164" s="541">
        <f t="shared" si="71"/>
        <v>0</v>
      </c>
      <c r="CW164" s="536"/>
      <c r="CX164" s="536"/>
      <c r="CY164" s="536"/>
      <c r="CZ164" s="541">
        <f t="shared" si="72"/>
        <v>0</v>
      </c>
      <c r="DA164" s="536"/>
      <c r="DB164" s="536"/>
      <c r="DC164" s="536"/>
      <c r="DD164" s="541">
        <f t="shared" si="73"/>
        <v>0</v>
      </c>
      <c r="DE164" s="536"/>
      <c r="DF164" s="536"/>
      <c r="DG164" s="536"/>
      <c r="DH164" s="541">
        <f t="shared" si="74"/>
        <v>0</v>
      </c>
      <c r="DI164" s="536"/>
      <c r="DJ164" s="536"/>
      <c r="DK164" s="536"/>
      <c r="DL164" s="541">
        <f t="shared" si="75"/>
        <v>0</v>
      </c>
      <c r="DM164" s="536"/>
      <c r="DN164" s="536"/>
      <c r="DO164" s="536"/>
      <c r="DP164" s="541">
        <f>IF( SUM((DJ164*(20/100))+(DK164*(30/100))+(DL164*(50/100))) &gt;=9.3,9.5,
IF(AND( SUM((DJ164*(20/100))+(DK164*(30/100))+(DL164*(50/100))) &lt;=9.3, SUM((DJ164*(20/100))+(DK164*(30/100))+(DL164*(50/100))) &gt;=8.8),9,
IF(AND( SUM((DJ164*(20/100))+(DK164*(30/100))+(DL164*(50/100))) &lt;=8.8, SUM((DJ164*(20/100))+(DK164*(30/100))+(DL164*(50/100))) &gt;=8.3),8.5,
IF(AND( SUM((DJ164*(20/100))+(DK164*(30/100))+(DL164*(50/100))) &lt;=8.3, SUM((DJ164*(20/100))+(DK164*(30/100))+(DL164*(50/100))) &gt;=7.8),8,
IF(AND( SUM((DJ164*(20/100))+(DK164*(30/100))+(DL164*(50/100))) &lt;=7.8, SUM((DJ164*(20/100))+(DK164*(30/100))+(DL164*(50/100))) &gt;=7.3),7.5,
IF(AND( SUM((DJ164*(20/100))+(DK164*(30/100))+(DL164*(50/100))) &lt;=7.3, SUM((DJ164*(20/100))+(DK164*(30/100))+(DL164*(50/100))) &gt;=6.8),7,
IF(AND( SUM((DJ164*(20/100))+(DK164*(30/100))+(DL164*(50/100))) &lt;=6.8, SUM((DJ164*(20/100))+(DK164*(30/100))+(DL164*(50/100))) &gt;=6.3),6.5,
IF(AND( SUM((DJ164*(20/100))+(DK164*(30/100))+(DL164*(50/100))) &lt;=6.3, SUM((DJ164*(20/100))+(DK164*(30/100))+(DL164*(50/100))) &gt;=5.8),6,
IF(AND( SUM((DJ164*(20/100))+(DK164*(30/100))+(DL164*(50/100))) &lt;=5.8, SUM((DJ164*(20/100))+(DK164*(30/100))+(DL164*(50/100))) &gt;=5.3),5.5,
IF(AND( SUM((DJ164*(20/100))+(DK164*(30/100))+(DL164*(50/100))) &lt;=5.3, SUM((DJ164*(20/100))+(DK164*(30/100))+(DL164*(50/100))) &gt;=4.8),5,
IF(AND( SUM((DJ164*(20/100))+(DK164*(30/100))+(DL164*(50/100))) &lt;=4.8, SUM((DJ164*(20/100))+(DK164*(30/100))+(DL164*(50/100))) &gt;=4.3),4.5,
IF(AND( SUM((DJ164*(20/100))+(DK164*(30/100))+(DL164*(50/100))) &lt;=4.3, SUM((DJ164*(20/100))+(DK164*(30/100))+(DL164*(50/100))) &gt;=3.8),4,
IF(AND( SUM((DJ164*(20/100))+(DK164*(30/100))+(DL164*(50/100))) &lt;=3.8, SUM((DJ164*(20/100))+(DK164*(30/100))+(DL164*(50/100))) &gt;=3.5),3.5,0)))))))))))))</f>
        <v>0</v>
      </c>
      <c r="DQ164" s="541"/>
      <c r="DR164" s="541"/>
      <c r="DS164" s="541"/>
      <c r="DT164" s="541"/>
      <c r="DU164" s="541"/>
      <c r="DV164" s="541"/>
      <c r="DW164" s="541"/>
      <c r="DX164" s="541"/>
      <c r="DY164" s="541"/>
      <c r="DZ164" s="541"/>
    </row>
    <row r="165" spans="2:130" x14ac:dyDescent="0.25">
      <c r="B165" s="334">
        <v>8</v>
      </c>
      <c r="C165" s="541"/>
      <c r="D165" s="334"/>
      <c r="E165" s="334"/>
      <c r="F165" s="334"/>
      <c r="G165" s="334"/>
      <c r="H165" s="334"/>
      <c r="I165" s="334"/>
      <c r="J165" s="536"/>
      <c r="K165" s="536"/>
      <c r="L165" s="536"/>
      <c r="M165" s="536"/>
      <c r="N165" s="536"/>
      <c r="O165" s="536"/>
      <c r="P165" s="536">
        <f t="shared" si="51"/>
        <v>0</v>
      </c>
      <c r="Q165" s="536"/>
      <c r="R165" s="536"/>
      <c r="S165" s="536"/>
      <c r="T165" s="536">
        <f t="shared" si="52"/>
        <v>0</v>
      </c>
      <c r="U165" s="536"/>
      <c r="V165" s="536"/>
      <c r="W165" s="536"/>
      <c r="X165" s="536">
        <f t="shared" si="53"/>
        <v>0</v>
      </c>
      <c r="Y165" s="536"/>
      <c r="Z165" s="536"/>
      <c r="AA165" s="536"/>
      <c r="AB165" s="536">
        <f t="shared" si="54"/>
        <v>0</v>
      </c>
      <c r="AC165" s="536"/>
      <c r="AD165" s="536"/>
      <c r="AE165" s="536"/>
      <c r="AF165" s="536">
        <f t="shared" si="55"/>
        <v>0</v>
      </c>
      <c r="AG165" s="536"/>
      <c r="AH165" s="536"/>
      <c r="AI165" s="536"/>
      <c r="AJ165" s="536">
        <f t="shared" si="56"/>
        <v>0</v>
      </c>
      <c r="AK165" s="536"/>
      <c r="AL165" s="536"/>
      <c r="AM165" s="536"/>
      <c r="AN165" s="542">
        <f t="shared" si="57"/>
        <v>0</v>
      </c>
      <c r="AO165" s="536"/>
      <c r="AP165" s="536"/>
      <c r="AQ165" s="536"/>
      <c r="AR165" s="542">
        <f t="shared" si="58"/>
        <v>0</v>
      </c>
      <c r="AS165" s="536"/>
      <c r="AT165" s="536"/>
      <c r="AU165" s="536"/>
      <c r="AV165" s="542">
        <f t="shared" si="59"/>
        <v>0</v>
      </c>
      <c r="AW165" s="536"/>
      <c r="AX165" s="536"/>
      <c r="AY165" s="536"/>
      <c r="AZ165" s="542">
        <f t="shared" si="60"/>
        <v>0</v>
      </c>
      <c r="BA165" s="536"/>
      <c r="BB165" s="536"/>
      <c r="BC165" s="536"/>
      <c r="BD165" s="542">
        <f t="shared" si="61"/>
        <v>0</v>
      </c>
      <c r="BE165" s="536"/>
      <c r="BF165" s="536"/>
      <c r="BG165" s="536"/>
      <c r="BH165" s="542">
        <f t="shared" si="62"/>
        <v>0</v>
      </c>
      <c r="BI165" s="536"/>
      <c r="BJ165" s="536"/>
      <c r="BK165" s="536"/>
      <c r="BL165" s="542">
        <f t="shared" si="63"/>
        <v>0</v>
      </c>
      <c r="BM165" s="536"/>
      <c r="BN165" s="536"/>
      <c r="BO165" s="536"/>
      <c r="BP165" s="542">
        <f t="shared" si="64"/>
        <v>0</v>
      </c>
      <c r="BQ165" s="536"/>
      <c r="BR165" s="536"/>
      <c r="BS165" s="536"/>
      <c r="BT165" s="542">
        <f t="shared" si="65"/>
        <v>0</v>
      </c>
      <c r="BU165" s="536"/>
      <c r="BV165" s="536"/>
      <c r="BW165" s="536"/>
      <c r="BX165" s="542">
        <f t="shared" si="66"/>
        <v>0</v>
      </c>
      <c r="BY165" s="536"/>
      <c r="BZ165" s="536"/>
      <c r="CA165" s="536"/>
      <c r="CB165" s="542">
        <v>0</v>
      </c>
      <c r="CC165" s="536"/>
      <c r="CD165" s="536"/>
      <c r="CE165" s="536"/>
      <c r="CF165" s="541">
        <f t="shared" si="67"/>
        <v>0</v>
      </c>
      <c r="CG165" s="536"/>
      <c r="CH165" s="536"/>
      <c r="CI165" s="536"/>
      <c r="CJ165" s="541">
        <f t="shared" si="68"/>
        <v>0</v>
      </c>
      <c r="CK165" s="536"/>
      <c r="CL165" s="536"/>
      <c r="CM165" s="536"/>
      <c r="CN165" s="541">
        <f t="shared" si="69"/>
        <v>0</v>
      </c>
      <c r="CO165" s="536"/>
      <c r="CP165" s="536"/>
      <c r="CQ165" s="536"/>
      <c r="CR165" s="541">
        <f t="shared" si="70"/>
        <v>0</v>
      </c>
      <c r="CS165" s="536"/>
      <c r="CT165" s="536"/>
      <c r="CU165" s="536"/>
      <c r="CV165" s="541">
        <f t="shared" si="71"/>
        <v>0</v>
      </c>
      <c r="CW165" s="536"/>
      <c r="CX165" s="536"/>
      <c r="CY165" s="536"/>
      <c r="CZ165" s="541">
        <f t="shared" si="72"/>
        <v>0</v>
      </c>
      <c r="DA165" s="536"/>
      <c r="DB165" s="536"/>
      <c r="DC165" s="536"/>
      <c r="DD165" s="541">
        <f t="shared" si="73"/>
        <v>0</v>
      </c>
      <c r="DE165" s="536"/>
      <c r="DF165" s="536"/>
      <c r="DG165" s="536"/>
      <c r="DH165" s="541">
        <f t="shared" si="74"/>
        <v>0</v>
      </c>
      <c r="DI165" s="536"/>
      <c r="DJ165" s="536"/>
      <c r="DK165" s="536"/>
      <c r="DL165" s="541">
        <f t="shared" si="75"/>
        <v>0</v>
      </c>
      <c r="DM165" s="536"/>
      <c r="DN165" s="536"/>
      <c r="DO165" s="536"/>
      <c r="DP165" s="541">
        <f>IF( SUM((DJ165*(20/100))+(DK165*(30/100))+(DL165*(50/100))) &gt;=9.3,9.5,
IF(AND( SUM((DJ165*(20/100))+(DK165*(30/100))+(DL165*(50/100))) &lt;=9.3, SUM((DJ165*(20/100))+(DK165*(30/100))+(DL165*(50/100))) &gt;=8.8),9,
IF(AND( SUM((DJ165*(20/100))+(DK165*(30/100))+(DL165*(50/100))) &lt;=8.8, SUM((DJ165*(20/100))+(DK165*(30/100))+(DL165*(50/100))) &gt;=8.3),8.5,
IF(AND( SUM((DJ165*(20/100))+(DK165*(30/100))+(DL165*(50/100))) &lt;=8.3, SUM((DJ165*(20/100))+(DK165*(30/100))+(DL165*(50/100))) &gt;=7.8),8,
IF(AND( SUM((DJ165*(20/100))+(DK165*(30/100))+(DL165*(50/100))) &lt;=7.8, SUM((DJ165*(20/100))+(DK165*(30/100))+(DL165*(50/100))) &gt;=7.3),7.5,
IF(AND( SUM((DJ165*(20/100))+(DK165*(30/100))+(DL165*(50/100))) &lt;=7.3, SUM((DJ165*(20/100))+(DK165*(30/100))+(DL165*(50/100))) &gt;=6.8),7,
IF(AND( SUM((DJ165*(20/100))+(DK165*(30/100))+(DL165*(50/100))) &lt;=6.8, SUM((DJ165*(20/100))+(DK165*(30/100))+(DL165*(50/100))) &gt;=6.3),6.5,
IF(AND( SUM((DJ165*(20/100))+(DK165*(30/100))+(DL165*(50/100))) &lt;=6.3, SUM((DJ165*(20/100))+(DK165*(30/100))+(DL165*(50/100))) &gt;=5.8),6,
IF(AND( SUM((DJ165*(20/100))+(DK165*(30/100))+(DL165*(50/100))) &lt;=5.8, SUM((DJ165*(20/100))+(DK165*(30/100))+(DL165*(50/100))) &gt;=5.3),5.5,
IF(AND( SUM((DJ165*(20/100))+(DK165*(30/100))+(DL165*(50/100))) &lt;=5.3, SUM((DJ165*(20/100))+(DK165*(30/100))+(DL165*(50/100))) &gt;=4.8),5,
IF(AND( SUM((DJ165*(20/100))+(DK165*(30/100))+(DL165*(50/100))) &lt;=4.8, SUM((DJ165*(20/100))+(DK165*(30/100))+(DL165*(50/100))) &gt;=4.3),4.5,
IF(AND( SUM((DJ165*(20/100))+(DK165*(30/100))+(DL165*(50/100))) &lt;=4.3, SUM((DJ165*(20/100))+(DK165*(30/100))+(DL165*(50/100))) &gt;=3.8),4,
IF(AND( SUM((DJ165*(20/100))+(DK165*(30/100))+(DL165*(50/100))) &lt;=3.8, SUM((DJ165*(20/100))+(DK165*(30/100))+(DL165*(50/100))) &gt;=3.5),3.5,0)))))))))))))</f>
        <v>0</v>
      </c>
      <c r="DQ165" s="541"/>
      <c r="DR165" s="541"/>
      <c r="DS165" s="541"/>
      <c r="DT165" s="541"/>
      <c r="DU165" s="541"/>
      <c r="DV165" s="541"/>
      <c r="DW165" s="541"/>
      <c r="DX165" s="541"/>
      <c r="DY165" s="541"/>
      <c r="DZ165" s="541"/>
    </row>
    <row r="166" spans="2:130" x14ac:dyDescent="0.25">
      <c r="B166" s="334">
        <v>9</v>
      </c>
      <c r="C166" s="541"/>
      <c r="D166" s="334"/>
      <c r="E166" s="334"/>
      <c r="F166" s="334"/>
      <c r="G166" s="334"/>
      <c r="H166" s="334"/>
      <c r="I166" s="334"/>
      <c r="J166" s="536"/>
      <c r="K166" s="536"/>
      <c r="L166" s="536"/>
      <c r="M166" s="536"/>
      <c r="N166" s="536"/>
      <c r="O166" s="536"/>
      <c r="P166" s="536">
        <f t="shared" si="51"/>
        <v>0</v>
      </c>
      <c r="Q166" s="536"/>
      <c r="R166" s="536"/>
      <c r="S166" s="536"/>
      <c r="T166" s="536">
        <f t="shared" si="52"/>
        <v>0</v>
      </c>
      <c r="U166" s="536"/>
      <c r="V166" s="536"/>
      <c r="W166" s="536"/>
      <c r="X166" s="536">
        <f t="shared" si="53"/>
        <v>0</v>
      </c>
      <c r="Y166" s="536"/>
      <c r="Z166" s="536"/>
      <c r="AA166" s="536"/>
      <c r="AB166" s="536">
        <f t="shared" si="54"/>
        <v>0</v>
      </c>
      <c r="AC166" s="536"/>
      <c r="AD166" s="536"/>
      <c r="AE166" s="536"/>
      <c r="AF166" s="536">
        <f t="shared" si="55"/>
        <v>0</v>
      </c>
      <c r="AG166" s="536"/>
      <c r="AH166" s="536"/>
      <c r="AI166" s="536"/>
      <c r="AJ166" s="536">
        <f t="shared" si="56"/>
        <v>0</v>
      </c>
      <c r="AK166" s="536"/>
      <c r="AL166" s="536"/>
      <c r="AM166" s="536"/>
      <c r="AN166" s="542">
        <f t="shared" si="57"/>
        <v>0</v>
      </c>
      <c r="AO166" s="536"/>
      <c r="AP166" s="536"/>
      <c r="AQ166" s="536"/>
      <c r="AR166" s="542">
        <f t="shared" si="58"/>
        <v>0</v>
      </c>
      <c r="AS166" s="536"/>
      <c r="AT166" s="536"/>
      <c r="AU166" s="536"/>
      <c r="AV166" s="542">
        <f t="shared" si="59"/>
        <v>0</v>
      </c>
      <c r="AW166" s="536"/>
      <c r="AX166" s="536"/>
      <c r="AY166" s="536"/>
      <c r="AZ166" s="542">
        <f t="shared" si="60"/>
        <v>0</v>
      </c>
      <c r="BA166" s="536"/>
      <c r="BB166" s="536"/>
      <c r="BC166" s="536"/>
      <c r="BD166" s="542">
        <f t="shared" si="61"/>
        <v>0</v>
      </c>
      <c r="BE166" s="536"/>
      <c r="BF166" s="536"/>
      <c r="BG166" s="536"/>
      <c r="BH166" s="542">
        <f t="shared" si="62"/>
        <v>0</v>
      </c>
      <c r="BI166" s="536"/>
      <c r="BJ166" s="536"/>
      <c r="BK166" s="536"/>
      <c r="BL166" s="542">
        <f t="shared" si="63"/>
        <v>0</v>
      </c>
      <c r="BM166" s="536"/>
      <c r="BN166" s="536"/>
      <c r="BO166" s="536"/>
      <c r="BP166" s="542">
        <f t="shared" si="64"/>
        <v>0</v>
      </c>
      <c r="BQ166" s="536"/>
      <c r="BR166" s="536"/>
      <c r="BS166" s="536"/>
      <c r="BT166" s="542">
        <f t="shared" si="65"/>
        <v>0</v>
      </c>
      <c r="BU166" s="536"/>
      <c r="BV166" s="536"/>
      <c r="BW166" s="536"/>
      <c r="BX166" s="542">
        <f t="shared" si="66"/>
        <v>0</v>
      </c>
      <c r="BY166" s="536"/>
      <c r="BZ166" s="536"/>
      <c r="CA166" s="536"/>
      <c r="CB166" s="542">
        <v>0</v>
      </c>
      <c r="CC166" s="536"/>
      <c r="CD166" s="536"/>
      <c r="CE166" s="536"/>
      <c r="CF166" s="541">
        <f t="shared" si="67"/>
        <v>0</v>
      </c>
      <c r="CG166" s="536"/>
      <c r="CH166" s="536"/>
      <c r="CI166" s="536"/>
      <c r="CJ166" s="541">
        <f t="shared" si="68"/>
        <v>0</v>
      </c>
      <c r="CK166" s="536"/>
      <c r="CL166" s="536"/>
      <c r="CM166" s="536"/>
      <c r="CN166" s="541">
        <f t="shared" si="69"/>
        <v>0</v>
      </c>
      <c r="CO166" s="536"/>
      <c r="CP166" s="536"/>
      <c r="CQ166" s="536"/>
      <c r="CR166" s="541">
        <f t="shared" si="70"/>
        <v>0</v>
      </c>
      <c r="CS166" s="536"/>
      <c r="CT166" s="536"/>
      <c r="CU166" s="536"/>
      <c r="CV166" s="541">
        <f t="shared" si="71"/>
        <v>0</v>
      </c>
      <c r="CW166" s="536"/>
      <c r="CX166" s="536"/>
      <c r="CY166" s="536"/>
      <c r="CZ166" s="541">
        <f t="shared" si="72"/>
        <v>0</v>
      </c>
      <c r="DA166" s="536"/>
      <c r="DB166" s="536"/>
      <c r="DC166" s="536"/>
      <c r="DD166" s="541">
        <f t="shared" si="73"/>
        <v>0</v>
      </c>
      <c r="DE166" s="536"/>
      <c r="DF166" s="536"/>
      <c r="DG166" s="536"/>
      <c r="DH166" s="541">
        <f t="shared" si="74"/>
        <v>0</v>
      </c>
      <c r="DI166" s="536"/>
      <c r="DJ166" s="536"/>
      <c r="DK166" s="536"/>
      <c r="DL166" s="541">
        <f t="shared" si="75"/>
        <v>0</v>
      </c>
      <c r="DM166" s="536"/>
      <c r="DN166" s="536"/>
      <c r="DO166" s="536"/>
      <c r="DP166" s="541">
        <f>IF( SUM((DJ166*(20/100))+(DK166*(30/100))+(DL166*(50/100))) &gt;=9.3,9.5,
IF(AND( SUM((DJ166*(20/100))+(DK166*(30/100))+(DL166*(50/100))) &lt;=9.3, SUM((DJ166*(20/100))+(DK166*(30/100))+(DL166*(50/100))) &gt;=8.8),9,
IF(AND( SUM((DJ166*(20/100))+(DK166*(30/100))+(DL166*(50/100))) &lt;=8.8, SUM((DJ166*(20/100))+(DK166*(30/100))+(DL166*(50/100))) &gt;=8.3),8.5,
IF(AND( SUM((DJ166*(20/100))+(DK166*(30/100))+(DL166*(50/100))) &lt;=8.3, SUM((DJ166*(20/100))+(DK166*(30/100))+(DL166*(50/100))) &gt;=7.8),8,
IF(AND( SUM((DJ166*(20/100))+(DK166*(30/100))+(DL166*(50/100))) &lt;=7.8, SUM((DJ166*(20/100))+(DK166*(30/100))+(DL166*(50/100))) &gt;=7.3),7.5,
IF(AND( SUM((DJ166*(20/100))+(DK166*(30/100))+(DL166*(50/100))) &lt;=7.3, SUM((DJ166*(20/100))+(DK166*(30/100))+(DL166*(50/100))) &gt;=6.8),7,
IF(AND( SUM((DJ166*(20/100))+(DK166*(30/100))+(DL166*(50/100))) &lt;=6.8, SUM((DJ166*(20/100))+(DK166*(30/100))+(DL166*(50/100))) &gt;=6.3),6.5,
IF(AND( SUM((DJ166*(20/100))+(DK166*(30/100))+(DL166*(50/100))) &lt;=6.3, SUM((DJ166*(20/100))+(DK166*(30/100))+(DL166*(50/100))) &gt;=5.8),6,
IF(AND( SUM((DJ166*(20/100))+(DK166*(30/100))+(DL166*(50/100))) &lt;=5.8, SUM((DJ166*(20/100))+(DK166*(30/100))+(DL166*(50/100))) &gt;=5.3),5.5,
IF(AND( SUM((DJ166*(20/100))+(DK166*(30/100))+(DL166*(50/100))) &lt;=5.3, SUM((DJ166*(20/100))+(DK166*(30/100))+(DL166*(50/100))) &gt;=4.8),5,
IF(AND( SUM((DJ166*(20/100))+(DK166*(30/100))+(DL166*(50/100))) &lt;=4.8, SUM((DJ166*(20/100))+(DK166*(30/100))+(DL166*(50/100))) &gt;=4.3),4.5,
IF(AND( SUM((DJ166*(20/100))+(DK166*(30/100))+(DL166*(50/100))) &lt;=4.3, SUM((DJ166*(20/100))+(DK166*(30/100))+(DL166*(50/100))) &gt;=3.8),4,
IF(AND( SUM((DJ166*(20/100))+(DK166*(30/100))+(DL166*(50/100))) &lt;=3.8, SUM((DJ166*(20/100))+(DK166*(30/100))+(DL166*(50/100))) &gt;=3.5),3.5,0)))))))))))))</f>
        <v>0</v>
      </c>
      <c r="DQ166" s="541"/>
      <c r="DR166" s="541"/>
      <c r="DS166" s="541"/>
      <c r="DT166" s="541"/>
      <c r="DU166" s="541"/>
      <c r="DV166" s="541"/>
      <c r="DW166" s="541"/>
      <c r="DX166" s="541"/>
      <c r="DY166" s="541"/>
      <c r="DZ166" s="541"/>
    </row>
    <row r="167" spans="2:130" x14ac:dyDescent="0.25">
      <c r="B167" s="334">
        <v>10</v>
      </c>
      <c r="C167" s="541"/>
      <c r="D167" s="334"/>
      <c r="E167" s="334"/>
      <c r="F167" s="334"/>
      <c r="G167" s="334"/>
      <c r="H167" s="334"/>
      <c r="I167" s="334"/>
      <c r="J167" s="536"/>
      <c r="K167" s="536"/>
      <c r="L167" s="536"/>
      <c r="M167" s="536"/>
      <c r="N167" s="536"/>
      <c r="O167" s="536"/>
      <c r="P167" s="536">
        <f t="shared" si="51"/>
        <v>0</v>
      </c>
      <c r="Q167" s="536"/>
      <c r="R167" s="536"/>
      <c r="S167" s="536"/>
      <c r="T167" s="536">
        <f t="shared" si="52"/>
        <v>0</v>
      </c>
      <c r="U167" s="536"/>
      <c r="V167" s="536"/>
      <c r="W167" s="536"/>
      <c r="X167" s="536">
        <f t="shared" si="53"/>
        <v>0</v>
      </c>
      <c r="Y167" s="536"/>
      <c r="Z167" s="536"/>
      <c r="AA167" s="536"/>
      <c r="AB167" s="536">
        <f t="shared" si="54"/>
        <v>0</v>
      </c>
      <c r="AC167" s="536"/>
      <c r="AD167" s="536"/>
      <c r="AE167" s="536"/>
      <c r="AF167" s="536">
        <f t="shared" si="55"/>
        <v>0</v>
      </c>
      <c r="AG167" s="536"/>
      <c r="AH167" s="536"/>
      <c r="AI167" s="536"/>
      <c r="AJ167" s="536">
        <f t="shared" si="56"/>
        <v>0</v>
      </c>
      <c r="AK167" s="536"/>
      <c r="AL167" s="536"/>
      <c r="AM167" s="536"/>
      <c r="AN167" s="542">
        <f t="shared" si="57"/>
        <v>0</v>
      </c>
      <c r="AO167" s="536"/>
      <c r="AP167" s="536"/>
      <c r="AQ167" s="536"/>
      <c r="AR167" s="542">
        <f t="shared" si="58"/>
        <v>0</v>
      </c>
      <c r="AS167" s="536"/>
      <c r="AT167" s="536"/>
      <c r="AU167" s="536"/>
      <c r="AV167" s="542">
        <f t="shared" si="59"/>
        <v>0</v>
      </c>
      <c r="AW167" s="536"/>
      <c r="AX167" s="536"/>
      <c r="AY167" s="536"/>
      <c r="AZ167" s="542">
        <f t="shared" si="60"/>
        <v>0</v>
      </c>
      <c r="BA167" s="536"/>
      <c r="BB167" s="536"/>
      <c r="BC167" s="536"/>
      <c r="BD167" s="542">
        <f t="shared" si="61"/>
        <v>0</v>
      </c>
      <c r="BE167" s="536"/>
      <c r="BF167" s="536"/>
      <c r="BG167" s="536"/>
      <c r="BH167" s="542">
        <f t="shared" si="62"/>
        <v>0</v>
      </c>
      <c r="BI167" s="536"/>
      <c r="BJ167" s="536"/>
      <c r="BK167" s="536"/>
      <c r="BL167" s="542">
        <f t="shared" si="63"/>
        <v>0</v>
      </c>
      <c r="BM167" s="536"/>
      <c r="BN167" s="536"/>
      <c r="BO167" s="536"/>
      <c r="BP167" s="542">
        <f t="shared" si="64"/>
        <v>0</v>
      </c>
      <c r="BQ167" s="536"/>
      <c r="BR167" s="536"/>
      <c r="BS167" s="536"/>
      <c r="BT167" s="542">
        <f t="shared" si="65"/>
        <v>0</v>
      </c>
      <c r="BU167" s="536"/>
      <c r="BV167" s="536"/>
      <c r="BW167" s="536"/>
      <c r="BX167" s="542">
        <f t="shared" si="66"/>
        <v>0</v>
      </c>
      <c r="BY167" s="536"/>
      <c r="BZ167" s="536"/>
      <c r="CA167" s="536"/>
      <c r="CB167" s="542">
        <v>0</v>
      </c>
      <c r="CC167" s="536"/>
      <c r="CD167" s="536"/>
      <c r="CE167" s="536"/>
      <c r="CF167" s="541">
        <f t="shared" si="67"/>
        <v>0</v>
      </c>
      <c r="CG167" s="536"/>
      <c r="CH167" s="536"/>
      <c r="CI167" s="536"/>
      <c r="CJ167" s="541">
        <f t="shared" si="68"/>
        <v>0</v>
      </c>
      <c r="CK167" s="536"/>
      <c r="CL167" s="536"/>
      <c r="CM167" s="536"/>
      <c r="CN167" s="541">
        <f t="shared" si="69"/>
        <v>0</v>
      </c>
      <c r="CO167" s="536"/>
      <c r="CP167" s="536"/>
      <c r="CQ167" s="536"/>
      <c r="CR167" s="541">
        <f t="shared" si="70"/>
        <v>0</v>
      </c>
      <c r="CS167" s="536"/>
      <c r="CT167" s="536"/>
      <c r="CU167" s="536"/>
      <c r="CV167" s="541">
        <f t="shared" si="71"/>
        <v>0</v>
      </c>
      <c r="CW167" s="536"/>
      <c r="CX167" s="536"/>
      <c r="CY167" s="536"/>
      <c r="CZ167" s="541">
        <f t="shared" si="72"/>
        <v>0</v>
      </c>
      <c r="DA167" s="536"/>
      <c r="DB167" s="536"/>
      <c r="DC167" s="536"/>
      <c r="DD167" s="541">
        <f t="shared" si="73"/>
        <v>0</v>
      </c>
      <c r="DE167" s="536"/>
      <c r="DF167" s="536"/>
      <c r="DG167" s="536"/>
      <c r="DH167" s="541">
        <f t="shared" si="74"/>
        <v>0</v>
      </c>
      <c r="DI167" s="536"/>
      <c r="DJ167" s="536"/>
      <c r="DK167" s="536"/>
      <c r="DL167" s="541">
        <f t="shared" si="75"/>
        <v>0</v>
      </c>
      <c r="DM167" s="536"/>
      <c r="DN167" s="536"/>
      <c r="DO167" s="536"/>
      <c r="DP167" s="541">
        <f>IF( SUM((DJ167*(20/100))+(DK167*(30/100))+(DL167*(50/100))) &gt;=9.3,9.5,
IF(AND( SUM((DJ167*(20/100))+(DK167*(30/100))+(DL167*(50/100))) &lt;=9.3, SUM((DJ167*(20/100))+(DK167*(30/100))+(DL167*(50/100))) &gt;=8.8),9,
IF(AND( SUM((DJ167*(20/100))+(DK167*(30/100))+(DL167*(50/100))) &lt;=8.8, SUM((DJ167*(20/100))+(DK167*(30/100))+(DL167*(50/100))) &gt;=8.3),8.5,
IF(AND( SUM((DJ167*(20/100))+(DK167*(30/100))+(DL167*(50/100))) &lt;=8.3, SUM((DJ167*(20/100))+(DK167*(30/100))+(DL167*(50/100))) &gt;=7.8),8,
IF(AND( SUM((DJ167*(20/100))+(DK167*(30/100))+(DL167*(50/100))) &lt;=7.8, SUM((DJ167*(20/100))+(DK167*(30/100))+(DL167*(50/100))) &gt;=7.3),7.5,
IF(AND( SUM((DJ167*(20/100))+(DK167*(30/100))+(DL167*(50/100))) &lt;=7.3, SUM((DJ167*(20/100))+(DK167*(30/100))+(DL167*(50/100))) &gt;=6.8),7,
IF(AND( SUM((DJ167*(20/100))+(DK167*(30/100))+(DL167*(50/100))) &lt;=6.8, SUM((DJ167*(20/100))+(DK167*(30/100))+(DL167*(50/100))) &gt;=6.3),6.5,
IF(AND( SUM((DJ167*(20/100))+(DK167*(30/100))+(DL167*(50/100))) &lt;=6.3, SUM((DJ167*(20/100))+(DK167*(30/100))+(DL167*(50/100))) &gt;=5.8),6,
IF(AND( SUM((DJ167*(20/100))+(DK167*(30/100))+(DL167*(50/100))) &lt;=5.8, SUM((DJ167*(20/100))+(DK167*(30/100))+(DL167*(50/100))) &gt;=5.3),5.5,
IF(AND( SUM((DJ167*(20/100))+(DK167*(30/100))+(DL167*(50/100))) &lt;=5.3, SUM((DJ167*(20/100))+(DK167*(30/100))+(DL167*(50/100))) &gt;=4.8),5,
IF(AND( SUM((DJ167*(20/100))+(DK167*(30/100))+(DL167*(50/100))) &lt;=4.8, SUM((DJ167*(20/100))+(DK167*(30/100))+(DL167*(50/100))) &gt;=4.3),4.5,
IF(AND( SUM((DJ167*(20/100))+(DK167*(30/100))+(DL167*(50/100))) &lt;=4.3, SUM((DJ167*(20/100))+(DK167*(30/100))+(DL167*(50/100))) &gt;=3.8),4,
IF(AND( SUM((DJ167*(20/100))+(DK167*(30/100))+(DL167*(50/100))) &lt;=3.8, SUM((DJ167*(20/100))+(DK167*(30/100))+(DL167*(50/100))) &gt;=3.5),3.5,0)))))))))))))</f>
        <v>0</v>
      </c>
      <c r="DQ167" s="541"/>
      <c r="DR167" s="541"/>
      <c r="DS167" s="541"/>
      <c r="DT167" s="541"/>
      <c r="DU167" s="541"/>
      <c r="DV167" s="541"/>
      <c r="DW167" s="541"/>
      <c r="DX167" s="541"/>
      <c r="DY167" s="541"/>
      <c r="DZ167" s="541"/>
    </row>
    <row r="168" spans="2:130" x14ac:dyDescent="0.25">
      <c r="B168" s="334">
        <v>11</v>
      </c>
      <c r="C168" s="541"/>
      <c r="D168" s="334"/>
      <c r="E168" s="334"/>
      <c r="F168" s="334"/>
      <c r="G168" s="334"/>
      <c r="H168" s="334"/>
      <c r="I168" s="334"/>
      <c r="J168" s="536"/>
      <c r="K168" s="536"/>
      <c r="L168" s="536"/>
      <c r="M168" s="536"/>
      <c r="N168" s="536"/>
      <c r="O168" s="536"/>
      <c r="P168" s="536">
        <f t="shared" si="51"/>
        <v>0</v>
      </c>
      <c r="Q168" s="536"/>
      <c r="R168" s="536"/>
      <c r="S168" s="536"/>
      <c r="T168" s="536">
        <f t="shared" si="52"/>
        <v>0</v>
      </c>
      <c r="U168" s="536"/>
      <c r="V168" s="536"/>
      <c r="W168" s="536"/>
      <c r="X168" s="536">
        <f t="shared" si="53"/>
        <v>0</v>
      </c>
      <c r="Y168" s="536"/>
      <c r="Z168" s="536"/>
      <c r="AA168" s="536"/>
      <c r="AB168" s="536">
        <f t="shared" si="54"/>
        <v>0</v>
      </c>
      <c r="AC168" s="536"/>
      <c r="AD168" s="536"/>
      <c r="AE168" s="536"/>
      <c r="AF168" s="536">
        <f t="shared" si="55"/>
        <v>0</v>
      </c>
      <c r="AG168" s="536"/>
      <c r="AH168" s="536"/>
      <c r="AI168" s="536"/>
      <c r="AJ168" s="536">
        <f t="shared" si="56"/>
        <v>0</v>
      </c>
      <c r="AK168" s="536"/>
      <c r="AL168" s="536"/>
      <c r="AM168" s="536"/>
      <c r="AN168" s="542">
        <f t="shared" si="57"/>
        <v>0</v>
      </c>
      <c r="AO168" s="536"/>
      <c r="AP168" s="536"/>
      <c r="AQ168" s="536"/>
      <c r="AR168" s="542">
        <f t="shared" si="58"/>
        <v>0</v>
      </c>
      <c r="AS168" s="536"/>
      <c r="AT168" s="536"/>
      <c r="AU168" s="536"/>
      <c r="AV168" s="542">
        <f t="shared" si="59"/>
        <v>0</v>
      </c>
      <c r="AW168" s="536"/>
      <c r="AX168" s="536"/>
      <c r="AY168" s="536"/>
      <c r="AZ168" s="542">
        <f t="shared" si="60"/>
        <v>0</v>
      </c>
      <c r="BA168" s="536"/>
      <c r="BB168" s="536"/>
      <c r="BC168" s="536"/>
      <c r="BD168" s="542">
        <f t="shared" si="61"/>
        <v>0</v>
      </c>
      <c r="BE168" s="536"/>
      <c r="BF168" s="536"/>
      <c r="BG168" s="536"/>
      <c r="BH168" s="542">
        <f t="shared" si="62"/>
        <v>0</v>
      </c>
      <c r="BI168" s="536"/>
      <c r="BJ168" s="536"/>
      <c r="BK168" s="536"/>
      <c r="BL168" s="542">
        <f t="shared" si="63"/>
        <v>0</v>
      </c>
      <c r="BM168" s="536"/>
      <c r="BN168" s="536"/>
      <c r="BO168" s="536"/>
      <c r="BP168" s="542">
        <f t="shared" si="64"/>
        <v>0</v>
      </c>
      <c r="BQ168" s="536"/>
      <c r="BR168" s="536"/>
      <c r="BS168" s="536"/>
      <c r="BT168" s="542">
        <f t="shared" si="65"/>
        <v>0</v>
      </c>
      <c r="BU168" s="536"/>
      <c r="BV168" s="536"/>
      <c r="BW168" s="536"/>
      <c r="BX168" s="542">
        <f t="shared" si="66"/>
        <v>0</v>
      </c>
      <c r="BY168" s="536"/>
      <c r="BZ168" s="536"/>
      <c r="CA168" s="536"/>
      <c r="CB168" s="542">
        <v>0</v>
      </c>
      <c r="CC168" s="536"/>
      <c r="CD168" s="536"/>
      <c r="CE168" s="536"/>
      <c r="CF168" s="541">
        <f t="shared" si="67"/>
        <v>0</v>
      </c>
      <c r="CG168" s="536"/>
      <c r="CH168" s="536"/>
      <c r="CI168" s="536"/>
      <c r="CJ168" s="541">
        <f t="shared" si="68"/>
        <v>0</v>
      </c>
      <c r="CK168" s="536"/>
      <c r="CL168" s="536"/>
      <c r="CM168" s="536"/>
      <c r="CN168" s="541">
        <f t="shared" si="69"/>
        <v>0</v>
      </c>
      <c r="CO168" s="536"/>
      <c r="CP168" s="536"/>
      <c r="CQ168" s="536"/>
      <c r="CR168" s="541">
        <f t="shared" si="70"/>
        <v>0</v>
      </c>
      <c r="CS168" s="536"/>
      <c r="CT168" s="536"/>
      <c r="CU168" s="536"/>
      <c r="CV168" s="541">
        <f t="shared" si="71"/>
        <v>0</v>
      </c>
      <c r="CW168" s="536"/>
      <c r="CX168" s="536"/>
      <c r="CY168" s="536"/>
      <c r="CZ168" s="541">
        <f t="shared" si="72"/>
        <v>0</v>
      </c>
      <c r="DA168" s="536"/>
      <c r="DB168" s="536"/>
      <c r="DC168" s="536"/>
      <c r="DD168" s="541">
        <f t="shared" si="73"/>
        <v>0</v>
      </c>
      <c r="DE168" s="536"/>
      <c r="DF168" s="536"/>
      <c r="DG168" s="536"/>
      <c r="DH168" s="541">
        <f t="shared" si="74"/>
        <v>0</v>
      </c>
      <c r="DI168" s="536"/>
      <c r="DJ168" s="536"/>
      <c r="DK168" s="536"/>
      <c r="DL168" s="541">
        <f t="shared" si="75"/>
        <v>0</v>
      </c>
      <c r="DM168" s="536"/>
      <c r="DN168" s="536"/>
      <c r="DO168" s="536"/>
      <c r="DP168" s="541">
        <f>IF( SUM((DJ168*(20/100))+(DK168*(30/100))+(DL168*(50/100))) &gt;=9.3,9.5,
IF(AND( SUM((DJ168*(20/100))+(DK168*(30/100))+(DL168*(50/100))) &lt;=9.3, SUM((DJ168*(20/100))+(DK168*(30/100))+(DL168*(50/100))) &gt;=8.8),9,
IF(AND( SUM((DJ168*(20/100))+(DK168*(30/100))+(DL168*(50/100))) &lt;=8.8, SUM((DJ168*(20/100))+(DK168*(30/100))+(DL168*(50/100))) &gt;=8.3),8.5,
IF(AND( SUM((DJ168*(20/100))+(DK168*(30/100))+(DL168*(50/100))) &lt;=8.3, SUM((DJ168*(20/100))+(DK168*(30/100))+(DL168*(50/100))) &gt;=7.8),8,
IF(AND( SUM((DJ168*(20/100))+(DK168*(30/100))+(DL168*(50/100))) &lt;=7.8, SUM((DJ168*(20/100))+(DK168*(30/100))+(DL168*(50/100))) &gt;=7.3),7.5,
IF(AND( SUM((DJ168*(20/100))+(DK168*(30/100))+(DL168*(50/100))) &lt;=7.3, SUM((DJ168*(20/100))+(DK168*(30/100))+(DL168*(50/100))) &gt;=6.8),7,
IF(AND( SUM((DJ168*(20/100))+(DK168*(30/100))+(DL168*(50/100))) &lt;=6.8, SUM((DJ168*(20/100))+(DK168*(30/100))+(DL168*(50/100))) &gt;=6.3),6.5,
IF(AND( SUM((DJ168*(20/100))+(DK168*(30/100))+(DL168*(50/100))) &lt;=6.3, SUM((DJ168*(20/100))+(DK168*(30/100))+(DL168*(50/100))) &gt;=5.8),6,
IF(AND( SUM((DJ168*(20/100))+(DK168*(30/100))+(DL168*(50/100))) &lt;=5.8, SUM((DJ168*(20/100))+(DK168*(30/100))+(DL168*(50/100))) &gt;=5.3),5.5,
IF(AND( SUM((DJ168*(20/100))+(DK168*(30/100))+(DL168*(50/100))) &lt;=5.3, SUM((DJ168*(20/100))+(DK168*(30/100))+(DL168*(50/100))) &gt;=4.8),5,
IF(AND( SUM((DJ168*(20/100))+(DK168*(30/100))+(DL168*(50/100))) &lt;=4.8, SUM((DJ168*(20/100))+(DK168*(30/100))+(DL168*(50/100))) &gt;=4.3),4.5,
IF(AND( SUM((DJ168*(20/100))+(DK168*(30/100))+(DL168*(50/100))) &lt;=4.3, SUM((DJ168*(20/100))+(DK168*(30/100))+(DL168*(50/100))) &gt;=3.8),4,
IF(AND( SUM((DJ168*(20/100))+(DK168*(30/100))+(DL168*(50/100))) &lt;=3.8, SUM((DJ168*(20/100))+(DK168*(30/100))+(DL168*(50/100))) &gt;=3.5),3.5,0)))))))))))))</f>
        <v>0</v>
      </c>
      <c r="DQ168" s="541"/>
      <c r="DR168" s="541"/>
      <c r="DS168" s="541"/>
      <c r="DT168" s="541"/>
      <c r="DU168" s="541"/>
      <c r="DV168" s="541"/>
      <c r="DW168" s="541"/>
      <c r="DX168" s="541"/>
      <c r="DY168" s="541"/>
      <c r="DZ168" s="541"/>
    </row>
    <row r="169" spans="2:130" x14ac:dyDescent="0.25">
      <c r="B169" s="334">
        <v>12</v>
      </c>
      <c r="C169" s="541"/>
      <c r="D169" s="334"/>
      <c r="E169" s="334"/>
      <c r="F169" s="334"/>
      <c r="G169" s="334"/>
      <c r="H169" s="334"/>
      <c r="I169" s="334"/>
      <c r="J169" s="536"/>
      <c r="K169" s="536"/>
      <c r="L169" s="536"/>
      <c r="M169" s="536"/>
      <c r="N169" s="536"/>
      <c r="O169" s="536"/>
      <c r="P169" s="536">
        <f t="shared" si="51"/>
        <v>0</v>
      </c>
      <c r="Q169" s="536"/>
      <c r="R169" s="536"/>
      <c r="S169" s="536"/>
      <c r="T169" s="536">
        <f t="shared" si="52"/>
        <v>0</v>
      </c>
      <c r="U169" s="536"/>
      <c r="V169" s="536"/>
      <c r="W169" s="536"/>
      <c r="X169" s="536">
        <f t="shared" si="53"/>
        <v>0</v>
      </c>
      <c r="Y169" s="536"/>
      <c r="Z169" s="536"/>
      <c r="AA169" s="536"/>
      <c r="AB169" s="536">
        <f t="shared" si="54"/>
        <v>0</v>
      </c>
      <c r="AC169" s="536"/>
      <c r="AD169" s="536"/>
      <c r="AE169" s="536"/>
      <c r="AF169" s="536">
        <f t="shared" si="55"/>
        <v>0</v>
      </c>
      <c r="AG169" s="536"/>
      <c r="AH169" s="536"/>
      <c r="AI169" s="536"/>
      <c r="AJ169" s="536">
        <f t="shared" si="56"/>
        <v>0</v>
      </c>
      <c r="AK169" s="536"/>
      <c r="AL169" s="536"/>
      <c r="AM169" s="536"/>
      <c r="AN169" s="542">
        <f t="shared" si="57"/>
        <v>0</v>
      </c>
      <c r="AO169" s="536"/>
      <c r="AP169" s="536"/>
      <c r="AQ169" s="536"/>
      <c r="AR169" s="542">
        <f t="shared" si="58"/>
        <v>0</v>
      </c>
      <c r="AS169" s="536"/>
      <c r="AT169" s="536"/>
      <c r="AU169" s="536"/>
      <c r="AV169" s="542">
        <f t="shared" si="59"/>
        <v>0</v>
      </c>
      <c r="AW169" s="536"/>
      <c r="AX169" s="536"/>
      <c r="AY169" s="536"/>
      <c r="AZ169" s="542">
        <f t="shared" si="60"/>
        <v>0</v>
      </c>
      <c r="BA169" s="536"/>
      <c r="BB169" s="536"/>
      <c r="BC169" s="536"/>
      <c r="BD169" s="542">
        <f t="shared" si="61"/>
        <v>0</v>
      </c>
      <c r="BE169" s="536"/>
      <c r="BF169" s="536"/>
      <c r="BG169" s="536"/>
      <c r="BH169" s="542">
        <f t="shared" si="62"/>
        <v>0</v>
      </c>
      <c r="BI169" s="536"/>
      <c r="BJ169" s="536"/>
      <c r="BK169" s="536"/>
      <c r="BL169" s="542">
        <f t="shared" si="63"/>
        <v>0</v>
      </c>
      <c r="BM169" s="536"/>
      <c r="BN169" s="536"/>
      <c r="BO169" s="536"/>
      <c r="BP169" s="542">
        <f t="shared" si="64"/>
        <v>0</v>
      </c>
      <c r="BQ169" s="536"/>
      <c r="BR169" s="536"/>
      <c r="BS169" s="536"/>
      <c r="BT169" s="542">
        <f t="shared" si="65"/>
        <v>0</v>
      </c>
      <c r="BU169" s="536"/>
      <c r="BV169" s="536"/>
      <c r="BW169" s="536"/>
      <c r="BX169" s="542">
        <f t="shared" si="66"/>
        <v>0</v>
      </c>
      <c r="BY169" s="536"/>
      <c r="BZ169" s="536"/>
      <c r="CA169" s="536"/>
      <c r="CB169" s="542">
        <v>0</v>
      </c>
      <c r="CC169" s="536"/>
      <c r="CD169" s="536"/>
      <c r="CE169" s="536"/>
      <c r="CF169" s="541">
        <f t="shared" si="67"/>
        <v>0</v>
      </c>
      <c r="CG169" s="536"/>
      <c r="CH169" s="536"/>
      <c r="CI169" s="536"/>
      <c r="CJ169" s="541">
        <f t="shared" si="68"/>
        <v>0</v>
      </c>
      <c r="CK169" s="536"/>
      <c r="CL169" s="536"/>
      <c r="CM169" s="536"/>
      <c r="CN169" s="541">
        <f t="shared" si="69"/>
        <v>0</v>
      </c>
      <c r="CO169" s="536"/>
      <c r="CP169" s="536"/>
      <c r="CQ169" s="536"/>
      <c r="CR169" s="541">
        <f t="shared" si="70"/>
        <v>0</v>
      </c>
      <c r="CS169" s="536"/>
      <c r="CT169" s="536"/>
      <c r="CU169" s="536"/>
      <c r="CV169" s="541">
        <f t="shared" si="71"/>
        <v>0</v>
      </c>
      <c r="CW169" s="536"/>
      <c r="CX169" s="536"/>
      <c r="CY169" s="536"/>
      <c r="CZ169" s="541">
        <f t="shared" si="72"/>
        <v>0</v>
      </c>
      <c r="DA169" s="536"/>
      <c r="DB169" s="536"/>
      <c r="DC169" s="536"/>
      <c r="DD169" s="541">
        <f t="shared" si="73"/>
        <v>0</v>
      </c>
      <c r="DE169" s="536"/>
      <c r="DF169" s="536"/>
      <c r="DG169" s="536"/>
      <c r="DH169" s="541">
        <f t="shared" si="74"/>
        <v>0</v>
      </c>
      <c r="DI169" s="536"/>
      <c r="DJ169" s="536"/>
      <c r="DK169" s="536"/>
      <c r="DL169" s="541">
        <f t="shared" si="75"/>
        <v>0</v>
      </c>
      <c r="DM169" s="536"/>
      <c r="DN169" s="536"/>
      <c r="DO169" s="536"/>
      <c r="DP169" s="541">
        <f>IF( SUM((DJ169*(20/100))+(DK169*(30/100))+(DL169*(50/100))) &gt;=9.3,9.5,
IF(AND( SUM((DJ169*(20/100))+(DK169*(30/100))+(DL169*(50/100))) &lt;=9.3, SUM((DJ169*(20/100))+(DK169*(30/100))+(DL169*(50/100))) &gt;=8.8),9,
IF(AND( SUM((DJ169*(20/100))+(DK169*(30/100))+(DL169*(50/100))) &lt;=8.8, SUM((DJ169*(20/100))+(DK169*(30/100))+(DL169*(50/100))) &gt;=8.3),8.5,
IF(AND( SUM((DJ169*(20/100))+(DK169*(30/100))+(DL169*(50/100))) &lt;=8.3, SUM((DJ169*(20/100))+(DK169*(30/100))+(DL169*(50/100))) &gt;=7.8),8,
IF(AND( SUM((DJ169*(20/100))+(DK169*(30/100))+(DL169*(50/100))) &lt;=7.8, SUM((DJ169*(20/100))+(DK169*(30/100))+(DL169*(50/100))) &gt;=7.3),7.5,
IF(AND( SUM((DJ169*(20/100))+(DK169*(30/100))+(DL169*(50/100))) &lt;=7.3, SUM((DJ169*(20/100))+(DK169*(30/100))+(DL169*(50/100))) &gt;=6.8),7,
IF(AND( SUM((DJ169*(20/100))+(DK169*(30/100))+(DL169*(50/100))) &lt;=6.8, SUM((DJ169*(20/100))+(DK169*(30/100))+(DL169*(50/100))) &gt;=6.3),6.5,
IF(AND( SUM((DJ169*(20/100))+(DK169*(30/100))+(DL169*(50/100))) &lt;=6.3, SUM((DJ169*(20/100))+(DK169*(30/100))+(DL169*(50/100))) &gt;=5.8),6,
IF(AND( SUM((DJ169*(20/100))+(DK169*(30/100))+(DL169*(50/100))) &lt;=5.8, SUM((DJ169*(20/100))+(DK169*(30/100))+(DL169*(50/100))) &gt;=5.3),5.5,
IF(AND( SUM((DJ169*(20/100))+(DK169*(30/100))+(DL169*(50/100))) &lt;=5.3, SUM((DJ169*(20/100))+(DK169*(30/100))+(DL169*(50/100))) &gt;=4.8),5,
IF(AND( SUM((DJ169*(20/100))+(DK169*(30/100))+(DL169*(50/100))) &lt;=4.8, SUM((DJ169*(20/100))+(DK169*(30/100))+(DL169*(50/100))) &gt;=4.3),4.5,
IF(AND( SUM((DJ169*(20/100))+(DK169*(30/100))+(DL169*(50/100))) &lt;=4.3, SUM((DJ169*(20/100))+(DK169*(30/100))+(DL169*(50/100))) &gt;=3.8),4,
IF(AND( SUM((DJ169*(20/100))+(DK169*(30/100))+(DL169*(50/100))) &lt;=3.8, SUM((DJ169*(20/100))+(DK169*(30/100))+(DL169*(50/100))) &gt;=3.5),3.5,0)))))))))))))</f>
        <v>0</v>
      </c>
      <c r="DQ169" s="541"/>
      <c r="DR169" s="541"/>
      <c r="DS169" s="541"/>
      <c r="DT169" s="541"/>
      <c r="DU169" s="541"/>
      <c r="DV169" s="541"/>
      <c r="DW169" s="541"/>
      <c r="DX169" s="541"/>
      <c r="DY169" s="541"/>
      <c r="DZ169" s="541"/>
    </row>
    <row r="170" spans="2:130" x14ac:dyDescent="0.25">
      <c r="B170" s="334">
        <v>13</v>
      </c>
      <c r="C170" s="541"/>
      <c r="D170" s="334"/>
      <c r="E170" s="334"/>
      <c r="F170" s="334"/>
      <c r="G170" s="334"/>
      <c r="H170" s="334"/>
      <c r="I170" s="334"/>
      <c r="J170" s="536"/>
      <c r="K170" s="536"/>
      <c r="L170" s="536"/>
      <c r="M170" s="536"/>
      <c r="N170" s="536"/>
      <c r="O170" s="536"/>
      <c r="P170" s="536">
        <f t="shared" si="51"/>
        <v>0</v>
      </c>
      <c r="Q170" s="536"/>
      <c r="R170" s="536"/>
      <c r="S170" s="536"/>
      <c r="T170" s="536">
        <f t="shared" si="52"/>
        <v>0</v>
      </c>
      <c r="U170" s="536"/>
      <c r="V170" s="536"/>
      <c r="W170" s="536"/>
      <c r="X170" s="536">
        <f t="shared" si="53"/>
        <v>0</v>
      </c>
      <c r="Y170" s="536"/>
      <c r="Z170" s="536"/>
      <c r="AA170" s="536"/>
      <c r="AB170" s="536">
        <f t="shared" si="54"/>
        <v>0</v>
      </c>
      <c r="AC170" s="536"/>
      <c r="AD170" s="536"/>
      <c r="AE170" s="536"/>
      <c r="AF170" s="536">
        <f t="shared" si="55"/>
        <v>0</v>
      </c>
      <c r="AG170" s="536"/>
      <c r="AH170" s="536"/>
      <c r="AI170" s="536"/>
      <c r="AJ170" s="536">
        <f t="shared" si="56"/>
        <v>0</v>
      </c>
      <c r="AK170" s="536"/>
      <c r="AL170" s="536"/>
      <c r="AM170" s="536"/>
      <c r="AN170" s="542">
        <f t="shared" si="57"/>
        <v>0</v>
      </c>
      <c r="AO170" s="536"/>
      <c r="AP170" s="536"/>
      <c r="AQ170" s="536"/>
      <c r="AR170" s="542">
        <f t="shared" si="58"/>
        <v>0</v>
      </c>
      <c r="AS170" s="536"/>
      <c r="AT170" s="536"/>
      <c r="AU170" s="536"/>
      <c r="AV170" s="542">
        <f t="shared" si="59"/>
        <v>0</v>
      </c>
      <c r="AW170" s="536"/>
      <c r="AX170" s="536"/>
      <c r="AY170" s="536"/>
      <c r="AZ170" s="542">
        <f t="shared" si="60"/>
        <v>0</v>
      </c>
      <c r="BA170" s="536"/>
      <c r="BB170" s="536"/>
      <c r="BC170" s="536"/>
      <c r="BD170" s="542">
        <f t="shared" si="61"/>
        <v>0</v>
      </c>
      <c r="BE170" s="536"/>
      <c r="BF170" s="536"/>
      <c r="BG170" s="536"/>
      <c r="BH170" s="542">
        <f t="shared" si="62"/>
        <v>0</v>
      </c>
      <c r="BI170" s="536"/>
      <c r="BJ170" s="536"/>
      <c r="BK170" s="536"/>
      <c r="BL170" s="542">
        <f t="shared" si="63"/>
        <v>0</v>
      </c>
      <c r="BM170" s="536"/>
      <c r="BN170" s="536"/>
      <c r="BO170" s="536"/>
      <c r="BP170" s="542">
        <f t="shared" si="64"/>
        <v>0</v>
      </c>
      <c r="BQ170" s="536"/>
      <c r="BR170" s="536"/>
      <c r="BS170" s="536"/>
      <c r="BT170" s="542">
        <f t="shared" si="65"/>
        <v>0</v>
      </c>
      <c r="BU170" s="536"/>
      <c r="BV170" s="536"/>
      <c r="BW170" s="536"/>
      <c r="BX170" s="542">
        <f t="shared" si="66"/>
        <v>0</v>
      </c>
      <c r="BY170" s="536"/>
      <c r="BZ170" s="536"/>
      <c r="CA170" s="536"/>
      <c r="CB170" s="542">
        <v>0</v>
      </c>
      <c r="CC170" s="536"/>
      <c r="CD170" s="536"/>
      <c r="CE170" s="536"/>
      <c r="CF170" s="541">
        <f t="shared" si="67"/>
        <v>0</v>
      </c>
      <c r="CG170" s="536"/>
      <c r="CH170" s="536"/>
      <c r="CI170" s="536"/>
      <c r="CJ170" s="541">
        <f t="shared" si="68"/>
        <v>0</v>
      </c>
      <c r="CK170" s="536"/>
      <c r="CL170" s="536"/>
      <c r="CM170" s="536"/>
      <c r="CN170" s="541">
        <f t="shared" si="69"/>
        <v>0</v>
      </c>
      <c r="CO170" s="536"/>
      <c r="CP170" s="536"/>
      <c r="CQ170" s="536"/>
      <c r="CR170" s="541">
        <f t="shared" si="70"/>
        <v>0</v>
      </c>
      <c r="CS170" s="536"/>
      <c r="CT170" s="536"/>
      <c r="CU170" s="536"/>
      <c r="CV170" s="541">
        <f t="shared" si="71"/>
        <v>0</v>
      </c>
      <c r="CW170" s="536"/>
      <c r="CX170" s="536"/>
      <c r="CY170" s="536"/>
      <c r="CZ170" s="541">
        <f t="shared" si="72"/>
        <v>0</v>
      </c>
      <c r="DA170" s="536"/>
      <c r="DB170" s="536"/>
      <c r="DC170" s="536"/>
      <c r="DD170" s="541">
        <f t="shared" si="73"/>
        <v>0</v>
      </c>
      <c r="DE170" s="536"/>
      <c r="DF170" s="536"/>
      <c r="DG170" s="536"/>
      <c r="DH170" s="541">
        <f t="shared" si="74"/>
        <v>0</v>
      </c>
      <c r="DI170" s="536"/>
      <c r="DJ170" s="536"/>
      <c r="DK170" s="536"/>
      <c r="DL170" s="541">
        <f t="shared" si="75"/>
        <v>0</v>
      </c>
      <c r="DM170" s="536"/>
      <c r="DN170" s="536"/>
      <c r="DO170" s="536"/>
      <c r="DP170" s="541">
        <f>IF( SUM((DJ170*(20/100))+(DK170*(30/100))+(DL170*(50/100))) &gt;=9.3,9.5,
IF(AND( SUM((DJ170*(20/100))+(DK170*(30/100))+(DL170*(50/100))) &lt;=9.3, SUM((DJ170*(20/100))+(DK170*(30/100))+(DL170*(50/100))) &gt;=8.8),9,
IF(AND( SUM((DJ170*(20/100))+(DK170*(30/100))+(DL170*(50/100))) &lt;=8.8, SUM((DJ170*(20/100))+(DK170*(30/100))+(DL170*(50/100))) &gt;=8.3),8.5,
IF(AND( SUM((DJ170*(20/100))+(DK170*(30/100))+(DL170*(50/100))) &lt;=8.3, SUM((DJ170*(20/100))+(DK170*(30/100))+(DL170*(50/100))) &gt;=7.8),8,
IF(AND( SUM((DJ170*(20/100))+(DK170*(30/100))+(DL170*(50/100))) &lt;=7.8, SUM((DJ170*(20/100))+(DK170*(30/100))+(DL170*(50/100))) &gt;=7.3),7.5,
IF(AND( SUM((DJ170*(20/100))+(DK170*(30/100))+(DL170*(50/100))) &lt;=7.3, SUM((DJ170*(20/100))+(DK170*(30/100))+(DL170*(50/100))) &gt;=6.8),7,
IF(AND( SUM((DJ170*(20/100))+(DK170*(30/100))+(DL170*(50/100))) &lt;=6.8, SUM((DJ170*(20/100))+(DK170*(30/100))+(DL170*(50/100))) &gt;=6.3),6.5,
IF(AND( SUM((DJ170*(20/100))+(DK170*(30/100))+(DL170*(50/100))) &lt;=6.3, SUM((DJ170*(20/100))+(DK170*(30/100))+(DL170*(50/100))) &gt;=5.8),6,
IF(AND( SUM((DJ170*(20/100))+(DK170*(30/100))+(DL170*(50/100))) &lt;=5.8, SUM((DJ170*(20/100))+(DK170*(30/100))+(DL170*(50/100))) &gt;=5.3),5.5,
IF(AND( SUM((DJ170*(20/100))+(DK170*(30/100))+(DL170*(50/100))) &lt;=5.3, SUM((DJ170*(20/100))+(DK170*(30/100))+(DL170*(50/100))) &gt;=4.8),5,
IF(AND( SUM((DJ170*(20/100))+(DK170*(30/100))+(DL170*(50/100))) &lt;=4.8, SUM((DJ170*(20/100))+(DK170*(30/100))+(DL170*(50/100))) &gt;=4.3),4.5,
IF(AND( SUM((DJ170*(20/100))+(DK170*(30/100))+(DL170*(50/100))) &lt;=4.3, SUM((DJ170*(20/100))+(DK170*(30/100))+(DL170*(50/100))) &gt;=3.8),4,
IF(AND( SUM((DJ170*(20/100))+(DK170*(30/100))+(DL170*(50/100))) &lt;=3.8, SUM((DJ170*(20/100))+(DK170*(30/100))+(DL170*(50/100))) &gt;=3.5),3.5,0)))))))))))))</f>
        <v>0</v>
      </c>
      <c r="DQ170" s="541"/>
      <c r="DR170" s="541"/>
      <c r="DS170" s="541"/>
      <c r="DT170" s="541"/>
      <c r="DU170" s="541"/>
      <c r="DV170" s="541"/>
      <c r="DW170" s="541"/>
      <c r="DX170" s="541"/>
      <c r="DY170" s="541"/>
      <c r="DZ170" s="541"/>
    </row>
    <row r="171" spans="2:130" x14ac:dyDescent="0.25">
      <c r="B171" s="334">
        <v>14</v>
      </c>
      <c r="C171" s="541"/>
      <c r="D171" s="334"/>
      <c r="E171" s="334"/>
      <c r="F171" s="334"/>
      <c r="G171" s="334"/>
      <c r="H171" s="334"/>
      <c r="I171" s="334"/>
      <c r="J171" s="536"/>
      <c r="K171" s="536"/>
      <c r="L171" s="536"/>
      <c r="M171" s="536"/>
      <c r="N171" s="536"/>
      <c r="O171" s="536"/>
      <c r="P171" s="536">
        <f t="shared" si="51"/>
        <v>0</v>
      </c>
      <c r="Q171" s="536"/>
      <c r="R171" s="536"/>
      <c r="S171" s="536"/>
      <c r="T171" s="536">
        <f t="shared" si="52"/>
        <v>0</v>
      </c>
      <c r="U171" s="536"/>
      <c r="V171" s="536"/>
      <c r="W171" s="536"/>
      <c r="X171" s="536">
        <f t="shared" si="53"/>
        <v>0</v>
      </c>
      <c r="Y171" s="536"/>
      <c r="Z171" s="536"/>
      <c r="AA171" s="536"/>
      <c r="AB171" s="536">
        <f t="shared" si="54"/>
        <v>0</v>
      </c>
      <c r="AC171" s="536"/>
      <c r="AD171" s="536"/>
      <c r="AE171" s="536"/>
      <c r="AF171" s="536">
        <f t="shared" si="55"/>
        <v>0</v>
      </c>
      <c r="AG171" s="536"/>
      <c r="AH171" s="536"/>
      <c r="AI171" s="536"/>
      <c r="AJ171" s="536">
        <f t="shared" si="56"/>
        <v>0</v>
      </c>
      <c r="AK171" s="536"/>
      <c r="AL171" s="536"/>
      <c r="AM171" s="536"/>
      <c r="AN171" s="542">
        <f t="shared" si="57"/>
        <v>0</v>
      </c>
      <c r="AO171" s="536"/>
      <c r="AP171" s="536"/>
      <c r="AQ171" s="536"/>
      <c r="AR171" s="542">
        <f t="shared" si="58"/>
        <v>0</v>
      </c>
      <c r="AS171" s="536"/>
      <c r="AT171" s="536"/>
      <c r="AU171" s="536"/>
      <c r="AV171" s="542">
        <f t="shared" si="59"/>
        <v>0</v>
      </c>
      <c r="AW171" s="536"/>
      <c r="AX171" s="536"/>
      <c r="AY171" s="536"/>
      <c r="AZ171" s="542">
        <f t="shared" si="60"/>
        <v>0</v>
      </c>
      <c r="BA171" s="536"/>
      <c r="BB171" s="536"/>
      <c r="BC171" s="536"/>
      <c r="BD171" s="542">
        <f t="shared" si="61"/>
        <v>0</v>
      </c>
      <c r="BE171" s="536"/>
      <c r="BF171" s="536"/>
      <c r="BG171" s="536"/>
      <c r="BH171" s="542">
        <f t="shared" si="62"/>
        <v>0</v>
      </c>
      <c r="BI171" s="536"/>
      <c r="BJ171" s="536"/>
      <c r="BK171" s="536"/>
      <c r="BL171" s="542">
        <f t="shared" si="63"/>
        <v>0</v>
      </c>
      <c r="BM171" s="536"/>
      <c r="BN171" s="536"/>
      <c r="BO171" s="536"/>
      <c r="BP171" s="542">
        <f t="shared" si="64"/>
        <v>0</v>
      </c>
      <c r="BQ171" s="536"/>
      <c r="BR171" s="536"/>
      <c r="BS171" s="536"/>
      <c r="BT171" s="542">
        <f t="shared" si="65"/>
        <v>0</v>
      </c>
      <c r="BU171" s="536"/>
      <c r="BV171" s="536"/>
      <c r="BW171" s="536"/>
      <c r="BX171" s="542">
        <f t="shared" si="66"/>
        <v>0</v>
      </c>
      <c r="BY171" s="536"/>
      <c r="BZ171" s="536"/>
      <c r="CA171" s="536"/>
      <c r="CB171" s="542">
        <v>0</v>
      </c>
      <c r="CC171" s="536"/>
      <c r="CD171" s="536"/>
      <c r="CE171" s="536"/>
      <c r="CF171" s="541">
        <f t="shared" si="67"/>
        <v>0</v>
      </c>
      <c r="CG171" s="536"/>
      <c r="CH171" s="536"/>
      <c r="CI171" s="536"/>
      <c r="CJ171" s="541">
        <f t="shared" si="68"/>
        <v>0</v>
      </c>
      <c r="CK171" s="536"/>
      <c r="CL171" s="536"/>
      <c r="CM171" s="536"/>
      <c r="CN171" s="541">
        <f t="shared" si="69"/>
        <v>0</v>
      </c>
      <c r="CO171" s="536"/>
      <c r="CP171" s="536"/>
      <c r="CQ171" s="536"/>
      <c r="CR171" s="541">
        <f t="shared" si="70"/>
        <v>0</v>
      </c>
      <c r="CS171" s="536"/>
      <c r="CT171" s="536"/>
      <c r="CU171" s="536"/>
      <c r="CV171" s="541">
        <f t="shared" si="71"/>
        <v>0</v>
      </c>
      <c r="CW171" s="536"/>
      <c r="CX171" s="536"/>
      <c r="CY171" s="536"/>
      <c r="CZ171" s="541">
        <f t="shared" si="72"/>
        <v>0</v>
      </c>
      <c r="DA171" s="536"/>
      <c r="DB171" s="536"/>
      <c r="DC171" s="536"/>
      <c r="DD171" s="541">
        <f t="shared" si="73"/>
        <v>0</v>
      </c>
      <c r="DE171" s="536"/>
      <c r="DF171" s="536"/>
      <c r="DG171" s="536"/>
      <c r="DH171" s="541">
        <f t="shared" si="74"/>
        <v>0</v>
      </c>
      <c r="DI171" s="536"/>
      <c r="DJ171" s="536"/>
      <c r="DK171" s="536"/>
      <c r="DL171" s="541">
        <f t="shared" si="75"/>
        <v>0</v>
      </c>
      <c r="DM171" s="536"/>
      <c r="DN171" s="536"/>
      <c r="DO171" s="536"/>
      <c r="DP171" s="541">
        <f>IF( SUM((DJ171*(20/100))+(DK171*(30/100))+(DL171*(50/100))) &gt;=9.3,9.5,
IF(AND( SUM((DJ171*(20/100))+(DK171*(30/100))+(DL171*(50/100))) &lt;=9.3, SUM((DJ171*(20/100))+(DK171*(30/100))+(DL171*(50/100))) &gt;=8.8),9,
IF(AND( SUM((DJ171*(20/100))+(DK171*(30/100))+(DL171*(50/100))) &lt;=8.8, SUM((DJ171*(20/100))+(DK171*(30/100))+(DL171*(50/100))) &gt;=8.3),8.5,
IF(AND( SUM((DJ171*(20/100))+(DK171*(30/100))+(DL171*(50/100))) &lt;=8.3, SUM((DJ171*(20/100))+(DK171*(30/100))+(DL171*(50/100))) &gt;=7.8),8,
IF(AND( SUM((DJ171*(20/100))+(DK171*(30/100))+(DL171*(50/100))) &lt;=7.8, SUM((DJ171*(20/100))+(DK171*(30/100))+(DL171*(50/100))) &gt;=7.3),7.5,
IF(AND( SUM((DJ171*(20/100))+(DK171*(30/100))+(DL171*(50/100))) &lt;=7.3, SUM((DJ171*(20/100))+(DK171*(30/100))+(DL171*(50/100))) &gt;=6.8),7,
IF(AND( SUM((DJ171*(20/100))+(DK171*(30/100))+(DL171*(50/100))) &lt;=6.8, SUM((DJ171*(20/100))+(DK171*(30/100))+(DL171*(50/100))) &gt;=6.3),6.5,
IF(AND( SUM((DJ171*(20/100))+(DK171*(30/100))+(DL171*(50/100))) &lt;=6.3, SUM((DJ171*(20/100))+(DK171*(30/100))+(DL171*(50/100))) &gt;=5.8),6,
IF(AND( SUM((DJ171*(20/100))+(DK171*(30/100))+(DL171*(50/100))) &lt;=5.8, SUM((DJ171*(20/100))+(DK171*(30/100))+(DL171*(50/100))) &gt;=5.3),5.5,
IF(AND( SUM((DJ171*(20/100))+(DK171*(30/100))+(DL171*(50/100))) &lt;=5.3, SUM((DJ171*(20/100))+(DK171*(30/100))+(DL171*(50/100))) &gt;=4.8),5,
IF(AND( SUM((DJ171*(20/100))+(DK171*(30/100))+(DL171*(50/100))) &lt;=4.8, SUM((DJ171*(20/100))+(DK171*(30/100))+(DL171*(50/100))) &gt;=4.3),4.5,
IF(AND( SUM((DJ171*(20/100))+(DK171*(30/100))+(DL171*(50/100))) &lt;=4.3, SUM((DJ171*(20/100))+(DK171*(30/100))+(DL171*(50/100))) &gt;=3.8),4,
IF(AND( SUM((DJ171*(20/100))+(DK171*(30/100))+(DL171*(50/100))) &lt;=3.8, SUM((DJ171*(20/100))+(DK171*(30/100))+(DL171*(50/100))) &gt;=3.5),3.5,0)))))))))))))</f>
        <v>0</v>
      </c>
      <c r="DQ171" s="541"/>
      <c r="DR171" s="541"/>
      <c r="DS171" s="541"/>
      <c r="DT171" s="541"/>
      <c r="DU171" s="541"/>
      <c r="DV171" s="541"/>
      <c r="DW171" s="541"/>
      <c r="DX171" s="541"/>
      <c r="DY171" s="541"/>
      <c r="DZ171" s="541"/>
    </row>
    <row r="172" spans="2:130" x14ac:dyDescent="0.25">
      <c r="B172" s="334">
        <v>15</v>
      </c>
      <c r="C172" s="541"/>
      <c r="D172" s="334"/>
      <c r="E172" s="334"/>
      <c r="F172" s="334"/>
      <c r="G172" s="334"/>
      <c r="H172" s="334"/>
      <c r="I172" s="334"/>
      <c r="J172" s="536"/>
      <c r="K172" s="536"/>
      <c r="L172" s="536"/>
      <c r="M172" s="536"/>
      <c r="N172" s="536"/>
      <c r="O172" s="536"/>
      <c r="P172" s="536">
        <f t="shared" si="51"/>
        <v>0</v>
      </c>
      <c r="Q172" s="536"/>
      <c r="R172" s="536"/>
      <c r="S172" s="536"/>
      <c r="T172" s="536">
        <f t="shared" si="52"/>
        <v>0</v>
      </c>
      <c r="U172" s="536"/>
      <c r="V172" s="536"/>
      <c r="W172" s="536"/>
      <c r="X172" s="536">
        <f t="shared" si="53"/>
        <v>0</v>
      </c>
      <c r="Y172" s="536"/>
      <c r="Z172" s="536"/>
      <c r="AA172" s="536"/>
      <c r="AB172" s="536">
        <f t="shared" si="54"/>
        <v>0</v>
      </c>
      <c r="AC172" s="536"/>
      <c r="AD172" s="536"/>
      <c r="AE172" s="536"/>
      <c r="AF172" s="536">
        <f t="shared" si="55"/>
        <v>0</v>
      </c>
      <c r="AG172" s="536"/>
      <c r="AH172" s="536"/>
      <c r="AI172" s="536"/>
      <c r="AJ172" s="536">
        <f t="shared" si="56"/>
        <v>0</v>
      </c>
      <c r="AK172" s="536"/>
      <c r="AL172" s="536"/>
      <c r="AM172" s="536"/>
      <c r="AN172" s="542">
        <f t="shared" si="57"/>
        <v>0</v>
      </c>
      <c r="AO172" s="536"/>
      <c r="AP172" s="536"/>
      <c r="AQ172" s="536"/>
      <c r="AR172" s="542">
        <f t="shared" si="58"/>
        <v>0</v>
      </c>
      <c r="AS172" s="536"/>
      <c r="AT172" s="536"/>
      <c r="AU172" s="536"/>
      <c r="AV172" s="542">
        <f t="shared" si="59"/>
        <v>0</v>
      </c>
      <c r="AW172" s="536"/>
      <c r="AX172" s="536"/>
      <c r="AY172" s="536"/>
      <c r="AZ172" s="542">
        <f t="shared" si="60"/>
        <v>0</v>
      </c>
      <c r="BA172" s="536"/>
      <c r="BB172" s="536"/>
      <c r="BC172" s="536"/>
      <c r="BD172" s="542">
        <f t="shared" si="61"/>
        <v>0</v>
      </c>
      <c r="BE172" s="536"/>
      <c r="BF172" s="536"/>
      <c r="BG172" s="536"/>
      <c r="BH172" s="542">
        <f t="shared" si="62"/>
        <v>0</v>
      </c>
      <c r="BI172" s="536"/>
      <c r="BJ172" s="536"/>
      <c r="BK172" s="536"/>
      <c r="BL172" s="542">
        <f t="shared" si="63"/>
        <v>0</v>
      </c>
      <c r="BM172" s="536"/>
      <c r="BN172" s="536"/>
      <c r="BO172" s="536"/>
      <c r="BP172" s="542">
        <f t="shared" si="64"/>
        <v>0</v>
      </c>
      <c r="BQ172" s="536"/>
      <c r="BR172" s="536"/>
      <c r="BS172" s="536"/>
      <c r="BT172" s="542">
        <f t="shared" si="65"/>
        <v>0</v>
      </c>
      <c r="BU172" s="536"/>
      <c r="BV172" s="536"/>
      <c r="BW172" s="536"/>
      <c r="BX172" s="542">
        <f t="shared" si="66"/>
        <v>0</v>
      </c>
      <c r="BY172" s="536"/>
      <c r="BZ172" s="536"/>
      <c r="CA172" s="536"/>
      <c r="CB172" s="542">
        <v>0</v>
      </c>
      <c r="CC172" s="536"/>
      <c r="CD172" s="536"/>
      <c r="CE172" s="536"/>
      <c r="CF172" s="541">
        <f t="shared" si="67"/>
        <v>0</v>
      </c>
      <c r="CG172" s="536"/>
      <c r="CH172" s="536"/>
      <c r="CI172" s="536"/>
      <c r="CJ172" s="541">
        <f t="shared" si="68"/>
        <v>0</v>
      </c>
      <c r="CK172" s="536"/>
      <c r="CL172" s="536"/>
      <c r="CM172" s="536"/>
      <c r="CN172" s="541">
        <f t="shared" si="69"/>
        <v>0</v>
      </c>
      <c r="CO172" s="536"/>
      <c r="CP172" s="536"/>
      <c r="CQ172" s="536"/>
      <c r="CR172" s="541">
        <f t="shared" si="70"/>
        <v>0</v>
      </c>
      <c r="CS172" s="536"/>
      <c r="CT172" s="536"/>
      <c r="CU172" s="536"/>
      <c r="CV172" s="541">
        <f t="shared" si="71"/>
        <v>0</v>
      </c>
      <c r="CW172" s="536"/>
      <c r="CX172" s="536"/>
      <c r="CY172" s="536"/>
      <c r="CZ172" s="541">
        <f t="shared" si="72"/>
        <v>0</v>
      </c>
      <c r="DA172" s="536"/>
      <c r="DB172" s="536"/>
      <c r="DC172" s="536"/>
      <c r="DD172" s="541">
        <f t="shared" si="73"/>
        <v>0</v>
      </c>
      <c r="DE172" s="536"/>
      <c r="DF172" s="536"/>
      <c r="DG172" s="536"/>
      <c r="DH172" s="541">
        <f t="shared" si="74"/>
        <v>0</v>
      </c>
      <c r="DI172" s="536"/>
      <c r="DJ172" s="536"/>
      <c r="DK172" s="536"/>
      <c r="DL172" s="541">
        <f t="shared" si="75"/>
        <v>0</v>
      </c>
      <c r="DM172" s="536"/>
      <c r="DN172" s="536"/>
      <c r="DO172" s="536"/>
      <c r="DP172" s="541">
        <f>IF( SUM((DJ172*(20/100))+(DK172*(30/100))+(DL172*(50/100))) &gt;=9.3,9.5,
IF(AND( SUM((DJ172*(20/100))+(DK172*(30/100))+(DL172*(50/100))) &lt;=9.3, SUM((DJ172*(20/100))+(DK172*(30/100))+(DL172*(50/100))) &gt;=8.8),9,
IF(AND( SUM((DJ172*(20/100))+(DK172*(30/100))+(DL172*(50/100))) &lt;=8.8, SUM((DJ172*(20/100))+(DK172*(30/100))+(DL172*(50/100))) &gt;=8.3),8.5,
IF(AND( SUM((DJ172*(20/100))+(DK172*(30/100))+(DL172*(50/100))) &lt;=8.3, SUM((DJ172*(20/100))+(DK172*(30/100))+(DL172*(50/100))) &gt;=7.8),8,
IF(AND( SUM((DJ172*(20/100))+(DK172*(30/100))+(DL172*(50/100))) &lt;=7.8, SUM((DJ172*(20/100))+(DK172*(30/100))+(DL172*(50/100))) &gt;=7.3),7.5,
IF(AND( SUM((DJ172*(20/100))+(DK172*(30/100))+(DL172*(50/100))) &lt;=7.3, SUM((DJ172*(20/100))+(DK172*(30/100))+(DL172*(50/100))) &gt;=6.8),7,
IF(AND( SUM((DJ172*(20/100))+(DK172*(30/100))+(DL172*(50/100))) &lt;=6.8, SUM((DJ172*(20/100))+(DK172*(30/100))+(DL172*(50/100))) &gt;=6.3),6.5,
IF(AND( SUM((DJ172*(20/100))+(DK172*(30/100))+(DL172*(50/100))) &lt;=6.3, SUM((DJ172*(20/100))+(DK172*(30/100))+(DL172*(50/100))) &gt;=5.8),6,
IF(AND( SUM((DJ172*(20/100))+(DK172*(30/100))+(DL172*(50/100))) &lt;=5.8, SUM((DJ172*(20/100))+(DK172*(30/100))+(DL172*(50/100))) &gt;=5.3),5.5,
IF(AND( SUM((DJ172*(20/100))+(DK172*(30/100))+(DL172*(50/100))) &lt;=5.3, SUM((DJ172*(20/100))+(DK172*(30/100))+(DL172*(50/100))) &gt;=4.8),5,
IF(AND( SUM((DJ172*(20/100))+(DK172*(30/100))+(DL172*(50/100))) &lt;=4.8, SUM((DJ172*(20/100))+(DK172*(30/100))+(DL172*(50/100))) &gt;=4.3),4.5,
IF(AND( SUM((DJ172*(20/100))+(DK172*(30/100))+(DL172*(50/100))) &lt;=4.3, SUM((DJ172*(20/100))+(DK172*(30/100))+(DL172*(50/100))) &gt;=3.8),4,
IF(AND( SUM((DJ172*(20/100))+(DK172*(30/100))+(DL172*(50/100))) &lt;=3.8, SUM((DJ172*(20/100))+(DK172*(30/100))+(DL172*(50/100))) &gt;=3.5),3.5,0)))))))))))))</f>
        <v>0</v>
      </c>
      <c r="DQ172" s="541"/>
      <c r="DR172" s="541"/>
      <c r="DS172" s="541"/>
      <c r="DT172" s="541"/>
      <c r="DU172" s="541"/>
      <c r="DV172" s="541"/>
      <c r="DW172" s="541"/>
      <c r="DX172" s="541"/>
      <c r="DY172" s="541"/>
      <c r="DZ172" s="541"/>
    </row>
    <row r="173" spans="2:130" x14ac:dyDescent="0.25">
      <c r="B173" s="334">
        <v>16</v>
      </c>
      <c r="C173" s="541"/>
      <c r="D173" s="334"/>
      <c r="E173" s="334"/>
      <c r="F173" s="334"/>
      <c r="G173" s="334"/>
      <c r="H173" s="334"/>
      <c r="I173" s="334"/>
      <c r="J173" s="536"/>
      <c r="K173" s="536"/>
      <c r="L173" s="536"/>
      <c r="M173" s="536"/>
      <c r="N173" s="536"/>
      <c r="O173" s="536"/>
      <c r="P173" s="536">
        <f t="shared" si="51"/>
        <v>0</v>
      </c>
      <c r="Q173" s="536"/>
      <c r="R173" s="536"/>
      <c r="S173" s="536"/>
      <c r="T173" s="536">
        <f t="shared" si="52"/>
        <v>0</v>
      </c>
      <c r="U173" s="536"/>
      <c r="V173" s="536"/>
      <c r="W173" s="536"/>
      <c r="X173" s="536">
        <f t="shared" si="53"/>
        <v>0</v>
      </c>
      <c r="Y173" s="536"/>
      <c r="Z173" s="536"/>
      <c r="AA173" s="536"/>
      <c r="AB173" s="536">
        <f t="shared" si="54"/>
        <v>0</v>
      </c>
      <c r="AC173" s="536"/>
      <c r="AD173" s="536"/>
      <c r="AE173" s="536"/>
      <c r="AF173" s="536">
        <f t="shared" si="55"/>
        <v>0</v>
      </c>
      <c r="AG173" s="536"/>
      <c r="AH173" s="536"/>
      <c r="AI173" s="536"/>
      <c r="AJ173" s="536">
        <f t="shared" si="56"/>
        <v>0</v>
      </c>
      <c r="AK173" s="536"/>
      <c r="AL173" s="536"/>
      <c r="AM173" s="536"/>
      <c r="AN173" s="542">
        <f t="shared" si="57"/>
        <v>0</v>
      </c>
      <c r="AO173" s="536"/>
      <c r="AP173" s="536"/>
      <c r="AQ173" s="536"/>
      <c r="AR173" s="542">
        <f t="shared" si="58"/>
        <v>0</v>
      </c>
      <c r="AS173" s="536"/>
      <c r="AT173" s="536"/>
      <c r="AU173" s="536"/>
      <c r="AV173" s="542">
        <f t="shared" si="59"/>
        <v>0</v>
      </c>
      <c r="AW173" s="536"/>
      <c r="AX173" s="536"/>
      <c r="AY173" s="536"/>
      <c r="AZ173" s="542">
        <f t="shared" si="60"/>
        <v>0</v>
      </c>
      <c r="BA173" s="536"/>
      <c r="BB173" s="536"/>
      <c r="BC173" s="536"/>
      <c r="BD173" s="542">
        <f t="shared" si="61"/>
        <v>0</v>
      </c>
      <c r="BE173" s="536"/>
      <c r="BF173" s="536"/>
      <c r="BG173" s="536"/>
      <c r="BH173" s="542">
        <f t="shared" si="62"/>
        <v>0</v>
      </c>
      <c r="BI173" s="536"/>
      <c r="BJ173" s="536"/>
      <c r="BK173" s="536"/>
      <c r="BL173" s="542">
        <f t="shared" si="63"/>
        <v>0</v>
      </c>
      <c r="BM173" s="536"/>
      <c r="BN173" s="536"/>
      <c r="BO173" s="536"/>
      <c r="BP173" s="542">
        <f t="shared" si="64"/>
        <v>0</v>
      </c>
      <c r="BQ173" s="536"/>
      <c r="BR173" s="536"/>
      <c r="BS173" s="536"/>
      <c r="BT173" s="542">
        <f t="shared" si="65"/>
        <v>0</v>
      </c>
      <c r="BU173" s="536"/>
      <c r="BV173" s="536"/>
      <c r="BW173" s="536"/>
      <c r="BX173" s="542">
        <f t="shared" si="66"/>
        <v>0</v>
      </c>
      <c r="BY173" s="536"/>
      <c r="BZ173" s="536"/>
      <c r="CA173" s="536"/>
      <c r="CB173" s="542">
        <v>0</v>
      </c>
      <c r="CC173" s="536"/>
      <c r="CD173" s="536"/>
      <c r="CE173" s="536"/>
      <c r="CF173" s="541">
        <f t="shared" si="67"/>
        <v>0</v>
      </c>
      <c r="CG173" s="536"/>
      <c r="CH173" s="536"/>
      <c r="CI173" s="536"/>
      <c r="CJ173" s="541">
        <f t="shared" si="68"/>
        <v>0</v>
      </c>
      <c r="CK173" s="536"/>
      <c r="CL173" s="536"/>
      <c r="CM173" s="536"/>
      <c r="CN173" s="541">
        <f t="shared" si="69"/>
        <v>0</v>
      </c>
      <c r="CO173" s="536"/>
      <c r="CP173" s="536"/>
      <c r="CQ173" s="536"/>
      <c r="CR173" s="541">
        <f t="shared" si="70"/>
        <v>0</v>
      </c>
      <c r="CS173" s="536"/>
      <c r="CT173" s="536"/>
      <c r="CU173" s="536"/>
      <c r="CV173" s="541">
        <f t="shared" si="71"/>
        <v>0</v>
      </c>
      <c r="CW173" s="536"/>
      <c r="CX173" s="536"/>
      <c r="CY173" s="536"/>
      <c r="CZ173" s="541">
        <f t="shared" si="72"/>
        <v>0</v>
      </c>
      <c r="DA173" s="536"/>
      <c r="DB173" s="536"/>
      <c r="DC173" s="536"/>
      <c r="DD173" s="541">
        <f t="shared" si="73"/>
        <v>0</v>
      </c>
      <c r="DE173" s="536"/>
      <c r="DF173" s="536"/>
      <c r="DG173" s="536"/>
      <c r="DH173" s="541">
        <f t="shared" si="74"/>
        <v>0</v>
      </c>
      <c r="DI173" s="536"/>
      <c r="DJ173" s="536"/>
      <c r="DK173" s="536"/>
      <c r="DL173" s="541">
        <f t="shared" si="75"/>
        <v>0</v>
      </c>
      <c r="DM173" s="536"/>
      <c r="DN173" s="536"/>
      <c r="DO173" s="536"/>
      <c r="DP173" s="541">
        <f>IF( SUM((DJ173*(20/100))+(DK173*(30/100))+(DL173*(50/100))) &gt;=9.3,9.5,
IF(AND( SUM((DJ173*(20/100))+(DK173*(30/100))+(DL173*(50/100))) &lt;=9.3, SUM((DJ173*(20/100))+(DK173*(30/100))+(DL173*(50/100))) &gt;=8.8),9,
IF(AND( SUM((DJ173*(20/100))+(DK173*(30/100))+(DL173*(50/100))) &lt;=8.8, SUM((DJ173*(20/100))+(DK173*(30/100))+(DL173*(50/100))) &gt;=8.3),8.5,
IF(AND( SUM((DJ173*(20/100))+(DK173*(30/100))+(DL173*(50/100))) &lt;=8.3, SUM((DJ173*(20/100))+(DK173*(30/100))+(DL173*(50/100))) &gt;=7.8),8,
IF(AND( SUM((DJ173*(20/100))+(DK173*(30/100))+(DL173*(50/100))) &lt;=7.8, SUM((DJ173*(20/100))+(DK173*(30/100))+(DL173*(50/100))) &gt;=7.3),7.5,
IF(AND( SUM((DJ173*(20/100))+(DK173*(30/100))+(DL173*(50/100))) &lt;=7.3, SUM((DJ173*(20/100))+(DK173*(30/100))+(DL173*(50/100))) &gt;=6.8),7,
IF(AND( SUM((DJ173*(20/100))+(DK173*(30/100))+(DL173*(50/100))) &lt;=6.8, SUM((DJ173*(20/100))+(DK173*(30/100))+(DL173*(50/100))) &gt;=6.3),6.5,
IF(AND( SUM((DJ173*(20/100))+(DK173*(30/100))+(DL173*(50/100))) &lt;=6.3, SUM((DJ173*(20/100))+(DK173*(30/100))+(DL173*(50/100))) &gt;=5.8),6,
IF(AND( SUM((DJ173*(20/100))+(DK173*(30/100))+(DL173*(50/100))) &lt;=5.8, SUM((DJ173*(20/100))+(DK173*(30/100))+(DL173*(50/100))) &gt;=5.3),5.5,
IF(AND( SUM((DJ173*(20/100))+(DK173*(30/100))+(DL173*(50/100))) &lt;=5.3, SUM((DJ173*(20/100))+(DK173*(30/100))+(DL173*(50/100))) &gt;=4.8),5,
IF(AND( SUM((DJ173*(20/100))+(DK173*(30/100))+(DL173*(50/100))) &lt;=4.8, SUM((DJ173*(20/100))+(DK173*(30/100))+(DL173*(50/100))) &gt;=4.3),4.5,
IF(AND( SUM((DJ173*(20/100))+(DK173*(30/100))+(DL173*(50/100))) &lt;=4.3, SUM((DJ173*(20/100))+(DK173*(30/100))+(DL173*(50/100))) &gt;=3.8),4,
IF(AND( SUM((DJ173*(20/100))+(DK173*(30/100))+(DL173*(50/100))) &lt;=3.8, SUM((DJ173*(20/100))+(DK173*(30/100))+(DL173*(50/100))) &gt;=3.5),3.5,0)))))))))))))</f>
        <v>0</v>
      </c>
      <c r="DQ173" s="541"/>
      <c r="DR173" s="541"/>
      <c r="DS173" s="541"/>
      <c r="DT173" s="541"/>
      <c r="DU173" s="541"/>
      <c r="DV173" s="541"/>
      <c r="DW173" s="541"/>
      <c r="DX173" s="541"/>
      <c r="DY173" s="541"/>
      <c r="DZ173" s="541"/>
    </row>
    <row r="174" spans="2:130" x14ac:dyDescent="0.25">
      <c r="B174" s="334">
        <v>17</v>
      </c>
      <c r="C174" s="541"/>
      <c r="D174" s="334"/>
      <c r="E174" s="334"/>
      <c r="F174" s="334"/>
      <c r="G174" s="334"/>
      <c r="H174" s="334"/>
      <c r="I174" s="334"/>
      <c r="J174" s="536"/>
      <c r="K174" s="536"/>
      <c r="L174" s="536"/>
      <c r="M174" s="536"/>
      <c r="N174" s="536"/>
      <c r="O174" s="536"/>
      <c r="P174" s="536">
        <f t="shared" si="51"/>
        <v>0</v>
      </c>
      <c r="Q174" s="536"/>
      <c r="R174" s="536"/>
      <c r="S174" s="536"/>
      <c r="T174" s="536">
        <f t="shared" si="52"/>
        <v>0</v>
      </c>
      <c r="U174" s="536"/>
      <c r="V174" s="536"/>
      <c r="W174" s="536"/>
      <c r="X174" s="536">
        <f t="shared" si="53"/>
        <v>0</v>
      </c>
      <c r="Y174" s="536"/>
      <c r="Z174" s="536"/>
      <c r="AA174" s="536"/>
      <c r="AB174" s="536">
        <f t="shared" si="54"/>
        <v>0</v>
      </c>
      <c r="AC174" s="536"/>
      <c r="AD174" s="536"/>
      <c r="AE174" s="536"/>
      <c r="AF174" s="536">
        <f t="shared" si="55"/>
        <v>0</v>
      </c>
      <c r="AG174" s="536"/>
      <c r="AH174" s="536"/>
      <c r="AI174" s="536"/>
      <c r="AJ174" s="536">
        <f t="shared" si="56"/>
        <v>0</v>
      </c>
      <c r="AK174" s="536"/>
      <c r="AL174" s="536"/>
      <c r="AM174" s="536"/>
      <c r="AN174" s="542">
        <f t="shared" si="57"/>
        <v>0</v>
      </c>
      <c r="AO174" s="536"/>
      <c r="AP174" s="536"/>
      <c r="AQ174" s="536"/>
      <c r="AR174" s="542">
        <f t="shared" si="58"/>
        <v>0</v>
      </c>
      <c r="AS174" s="536"/>
      <c r="AT174" s="536"/>
      <c r="AU174" s="536"/>
      <c r="AV174" s="542">
        <f t="shared" si="59"/>
        <v>0</v>
      </c>
      <c r="AW174" s="536"/>
      <c r="AX174" s="536"/>
      <c r="AY174" s="536"/>
      <c r="AZ174" s="542">
        <f t="shared" si="60"/>
        <v>0</v>
      </c>
      <c r="BA174" s="536"/>
      <c r="BB174" s="536"/>
      <c r="BC174" s="536"/>
      <c r="BD174" s="542">
        <f t="shared" si="61"/>
        <v>0</v>
      </c>
      <c r="BE174" s="536"/>
      <c r="BF174" s="536"/>
      <c r="BG174" s="536"/>
      <c r="BH174" s="542">
        <f t="shared" si="62"/>
        <v>0</v>
      </c>
      <c r="BI174" s="536"/>
      <c r="BJ174" s="536"/>
      <c r="BK174" s="536"/>
      <c r="BL174" s="542">
        <f t="shared" si="63"/>
        <v>0</v>
      </c>
      <c r="BM174" s="536"/>
      <c r="BN174" s="536"/>
      <c r="BO174" s="536"/>
      <c r="BP174" s="542">
        <f t="shared" si="64"/>
        <v>0</v>
      </c>
      <c r="BQ174" s="536"/>
      <c r="BR174" s="536"/>
      <c r="BS174" s="536"/>
      <c r="BT174" s="542">
        <f t="shared" si="65"/>
        <v>0</v>
      </c>
      <c r="BU174" s="536"/>
      <c r="BV174" s="536"/>
      <c r="BW174" s="536"/>
      <c r="BX174" s="542">
        <f t="shared" si="66"/>
        <v>0</v>
      </c>
      <c r="BY174" s="536"/>
      <c r="BZ174" s="536"/>
      <c r="CA174" s="536"/>
      <c r="CB174" s="542">
        <v>0</v>
      </c>
      <c r="CC174" s="536"/>
      <c r="CD174" s="536"/>
      <c r="CE174" s="536"/>
      <c r="CF174" s="541">
        <f t="shared" si="67"/>
        <v>0</v>
      </c>
      <c r="CG174" s="536"/>
      <c r="CH174" s="536"/>
      <c r="CI174" s="536"/>
      <c r="CJ174" s="541">
        <f t="shared" si="68"/>
        <v>0</v>
      </c>
      <c r="CK174" s="536"/>
      <c r="CL174" s="536"/>
      <c r="CM174" s="536"/>
      <c r="CN174" s="541">
        <f t="shared" si="69"/>
        <v>0</v>
      </c>
      <c r="CO174" s="536"/>
      <c r="CP174" s="536"/>
      <c r="CQ174" s="536"/>
      <c r="CR174" s="541">
        <f t="shared" si="70"/>
        <v>0</v>
      </c>
      <c r="CS174" s="536"/>
      <c r="CT174" s="536"/>
      <c r="CU174" s="536"/>
      <c r="CV174" s="541">
        <f t="shared" si="71"/>
        <v>0</v>
      </c>
      <c r="CW174" s="536"/>
      <c r="CX174" s="536"/>
      <c r="CY174" s="536"/>
      <c r="CZ174" s="541">
        <f t="shared" si="72"/>
        <v>0</v>
      </c>
      <c r="DA174" s="536"/>
      <c r="DB174" s="536"/>
      <c r="DC174" s="536"/>
      <c r="DD174" s="541">
        <f t="shared" si="73"/>
        <v>0</v>
      </c>
      <c r="DE174" s="536"/>
      <c r="DF174" s="536"/>
      <c r="DG174" s="536"/>
      <c r="DH174" s="541">
        <f t="shared" si="74"/>
        <v>0</v>
      </c>
      <c r="DI174" s="536"/>
      <c r="DJ174" s="536"/>
      <c r="DK174" s="536"/>
      <c r="DL174" s="541">
        <f t="shared" si="75"/>
        <v>0</v>
      </c>
      <c r="DM174" s="536"/>
      <c r="DN174" s="536"/>
      <c r="DO174" s="536"/>
      <c r="DP174" s="541">
        <f>IF( SUM((DJ174*(20/100))+(DK174*(30/100))+(DL174*(50/100))) &gt;=9.3,9.5,
IF(AND( SUM((DJ174*(20/100))+(DK174*(30/100))+(DL174*(50/100))) &lt;=9.3, SUM((DJ174*(20/100))+(DK174*(30/100))+(DL174*(50/100))) &gt;=8.8),9,
IF(AND( SUM((DJ174*(20/100))+(DK174*(30/100))+(DL174*(50/100))) &lt;=8.8, SUM((DJ174*(20/100))+(DK174*(30/100))+(DL174*(50/100))) &gt;=8.3),8.5,
IF(AND( SUM((DJ174*(20/100))+(DK174*(30/100))+(DL174*(50/100))) &lt;=8.3, SUM((DJ174*(20/100))+(DK174*(30/100))+(DL174*(50/100))) &gt;=7.8),8,
IF(AND( SUM((DJ174*(20/100))+(DK174*(30/100))+(DL174*(50/100))) &lt;=7.8, SUM((DJ174*(20/100))+(DK174*(30/100))+(DL174*(50/100))) &gt;=7.3),7.5,
IF(AND( SUM((DJ174*(20/100))+(DK174*(30/100))+(DL174*(50/100))) &lt;=7.3, SUM((DJ174*(20/100))+(DK174*(30/100))+(DL174*(50/100))) &gt;=6.8),7,
IF(AND( SUM((DJ174*(20/100))+(DK174*(30/100))+(DL174*(50/100))) &lt;=6.8, SUM((DJ174*(20/100))+(DK174*(30/100))+(DL174*(50/100))) &gt;=6.3),6.5,
IF(AND( SUM((DJ174*(20/100))+(DK174*(30/100))+(DL174*(50/100))) &lt;=6.3, SUM((DJ174*(20/100))+(DK174*(30/100))+(DL174*(50/100))) &gt;=5.8),6,
IF(AND( SUM((DJ174*(20/100))+(DK174*(30/100))+(DL174*(50/100))) &lt;=5.8, SUM((DJ174*(20/100))+(DK174*(30/100))+(DL174*(50/100))) &gt;=5.3),5.5,
IF(AND( SUM((DJ174*(20/100))+(DK174*(30/100))+(DL174*(50/100))) &lt;=5.3, SUM((DJ174*(20/100))+(DK174*(30/100))+(DL174*(50/100))) &gt;=4.8),5,
IF(AND( SUM((DJ174*(20/100))+(DK174*(30/100))+(DL174*(50/100))) &lt;=4.8, SUM((DJ174*(20/100))+(DK174*(30/100))+(DL174*(50/100))) &gt;=4.3),4.5,
IF(AND( SUM((DJ174*(20/100))+(DK174*(30/100))+(DL174*(50/100))) &lt;=4.3, SUM((DJ174*(20/100))+(DK174*(30/100))+(DL174*(50/100))) &gt;=3.8),4,
IF(AND( SUM((DJ174*(20/100))+(DK174*(30/100))+(DL174*(50/100))) &lt;=3.8, SUM((DJ174*(20/100))+(DK174*(30/100))+(DL174*(50/100))) &gt;=3.5),3.5,0)))))))))))))</f>
        <v>0</v>
      </c>
      <c r="DQ174" s="541"/>
      <c r="DR174" s="541"/>
      <c r="DS174" s="541"/>
      <c r="DT174" s="541"/>
      <c r="DU174" s="541"/>
      <c r="DV174" s="541"/>
      <c r="DW174" s="541"/>
      <c r="DX174" s="541"/>
      <c r="DY174" s="541"/>
      <c r="DZ174" s="541"/>
    </row>
    <row r="175" spans="2:130" x14ac:dyDescent="0.25">
      <c r="B175" s="334">
        <v>18</v>
      </c>
      <c r="C175" s="541"/>
      <c r="D175" s="334"/>
      <c r="E175" s="334"/>
      <c r="F175" s="334"/>
      <c r="G175" s="334"/>
      <c r="H175" s="334"/>
      <c r="I175" s="334"/>
      <c r="J175" s="536"/>
      <c r="K175" s="536"/>
      <c r="L175" s="536"/>
      <c r="M175" s="536"/>
      <c r="N175" s="536"/>
      <c r="O175" s="536"/>
      <c r="P175" s="536">
        <f t="shared" si="51"/>
        <v>0</v>
      </c>
      <c r="Q175" s="536"/>
      <c r="R175" s="536"/>
      <c r="S175" s="536"/>
      <c r="T175" s="536">
        <f t="shared" si="52"/>
        <v>0</v>
      </c>
      <c r="U175" s="536"/>
      <c r="V175" s="536"/>
      <c r="W175" s="536"/>
      <c r="X175" s="536">
        <f t="shared" si="53"/>
        <v>0</v>
      </c>
      <c r="Y175" s="536"/>
      <c r="Z175" s="536"/>
      <c r="AA175" s="536"/>
      <c r="AB175" s="536">
        <f t="shared" si="54"/>
        <v>0</v>
      </c>
      <c r="AC175" s="536"/>
      <c r="AD175" s="536"/>
      <c r="AE175" s="536"/>
      <c r="AF175" s="536">
        <f t="shared" si="55"/>
        <v>0</v>
      </c>
      <c r="AG175" s="536"/>
      <c r="AH175" s="536"/>
      <c r="AI175" s="536"/>
      <c r="AJ175" s="536">
        <f t="shared" si="56"/>
        <v>0</v>
      </c>
      <c r="AK175" s="536"/>
      <c r="AL175" s="536"/>
      <c r="AM175" s="536"/>
      <c r="AN175" s="542">
        <f t="shared" si="57"/>
        <v>0</v>
      </c>
      <c r="AO175" s="536"/>
      <c r="AP175" s="536"/>
      <c r="AQ175" s="536"/>
      <c r="AR175" s="542">
        <f t="shared" si="58"/>
        <v>0</v>
      </c>
      <c r="AS175" s="536"/>
      <c r="AT175" s="536"/>
      <c r="AU175" s="536"/>
      <c r="AV175" s="542">
        <f t="shared" si="59"/>
        <v>0</v>
      </c>
      <c r="AW175" s="536"/>
      <c r="AX175" s="536"/>
      <c r="AY175" s="536"/>
      <c r="AZ175" s="542">
        <f t="shared" si="60"/>
        <v>0</v>
      </c>
      <c r="BA175" s="536"/>
      <c r="BB175" s="536"/>
      <c r="BC175" s="536"/>
      <c r="BD175" s="542">
        <f t="shared" si="61"/>
        <v>0</v>
      </c>
      <c r="BE175" s="536"/>
      <c r="BF175" s="536"/>
      <c r="BG175" s="536"/>
      <c r="BH175" s="542">
        <f t="shared" si="62"/>
        <v>0</v>
      </c>
      <c r="BI175" s="536"/>
      <c r="BJ175" s="536"/>
      <c r="BK175" s="536"/>
      <c r="BL175" s="542">
        <f t="shared" si="63"/>
        <v>0</v>
      </c>
      <c r="BM175" s="536"/>
      <c r="BN175" s="536"/>
      <c r="BO175" s="536"/>
      <c r="BP175" s="542">
        <f t="shared" si="64"/>
        <v>0</v>
      </c>
      <c r="BQ175" s="536"/>
      <c r="BR175" s="536"/>
      <c r="BS175" s="536"/>
      <c r="BT175" s="542">
        <f t="shared" si="65"/>
        <v>0</v>
      </c>
      <c r="BU175" s="536"/>
      <c r="BV175" s="536"/>
      <c r="BW175" s="536"/>
      <c r="BX175" s="542">
        <f t="shared" si="66"/>
        <v>0</v>
      </c>
      <c r="BY175" s="536"/>
      <c r="BZ175" s="536"/>
      <c r="CA175" s="536"/>
      <c r="CB175" s="542">
        <v>0</v>
      </c>
      <c r="CC175" s="536"/>
      <c r="CD175" s="536"/>
      <c r="CE175" s="536"/>
      <c r="CF175" s="541">
        <f t="shared" si="67"/>
        <v>0</v>
      </c>
      <c r="CG175" s="536"/>
      <c r="CH175" s="536"/>
      <c r="CI175" s="536"/>
      <c r="CJ175" s="541">
        <f t="shared" si="68"/>
        <v>0</v>
      </c>
      <c r="CK175" s="536"/>
      <c r="CL175" s="536"/>
      <c r="CM175" s="536"/>
      <c r="CN175" s="541">
        <f t="shared" si="69"/>
        <v>0</v>
      </c>
      <c r="CO175" s="536"/>
      <c r="CP175" s="536"/>
      <c r="CQ175" s="536"/>
      <c r="CR175" s="541">
        <f t="shared" si="70"/>
        <v>0</v>
      </c>
      <c r="CS175" s="536"/>
      <c r="CT175" s="536"/>
      <c r="CU175" s="536"/>
      <c r="CV175" s="541">
        <f t="shared" si="71"/>
        <v>0</v>
      </c>
      <c r="CW175" s="536"/>
      <c r="CX175" s="536"/>
      <c r="CY175" s="536"/>
      <c r="CZ175" s="541">
        <f t="shared" si="72"/>
        <v>0</v>
      </c>
      <c r="DA175" s="536"/>
      <c r="DB175" s="536"/>
      <c r="DC175" s="536"/>
      <c r="DD175" s="541">
        <f t="shared" si="73"/>
        <v>0</v>
      </c>
      <c r="DE175" s="536"/>
      <c r="DF175" s="536"/>
      <c r="DG175" s="536"/>
      <c r="DH175" s="541">
        <f t="shared" si="74"/>
        <v>0</v>
      </c>
      <c r="DI175" s="536"/>
      <c r="DJ175" s="536"/>
      <c r="DK175" s="536"/>
      <c r="DL175" s="541">
        <f t="shared" si="75"/>
        <v>0</v>
      </c>
      <c r="DM175" s="536"/>
      <c r="DN175" s="536"/>
      <c r="DO175" s="536"/>
      <c r="DP175" s="541">
        <f>IF( SUM((DJ175*(20/100))+(DK175*(30/100))+(DL175*(50/100))) &gt;=9.3,9.5,
IF(AND( SUM((DJ175*(20/100))+(DK175*(30/100))+(DL175*(50/100))) &lt;=9.3, SUM((DJ175*(20/100))+(DK175*(30/100))+(DL175*(50/100))) &gt;=8.8),9,
IF(AND( SUM((DJ175*(20/100))+(DK175*(30/100))+(DL175*(50/100))) &lt;=8.8, SUM((DJ175*(20/100))+(DK175*(30/100))+(DL175*(50/100))) &gt;=8.3),8.5,
IF(AND( SUM((DJ175*(20/100))+(DK175*(30/100))+(DL175*(50/100))) &lt;=8.3, SUM((DJ175*(20/100))+(DK175*(30/100))+(DL175*(50/100))) &gt;=7.8),8,
IF(AND( SUM((DJ175*(20/100))+(DK175*(30/100))+(DL175*(50/100))) &lt;=7.8, SUM((DJ175*(20/100))+(DK175*(30/100))+(DL175*(50/100))) &gt;=7.3),7.5,
IF(AND( SUM((DJ175*(20/100))+(DK175*(30/100))+(DL175*(50/100))) &lt;=7.3, SUM((DJ175*(20/100))+(DK175*(30/100))+(DL175*(50/100))) &gt;=6.8),7,
IF(AND( SUM((DJ175*(20/100))+(DK175*(30/100))+(DL175*(50/100))) &lt;=6.8, SUM((DJ175*(20/100))+(DK175*(30/100))+(DL175*(50/100))) &gt;=6.3),6.5,
IF(AND( SUM((DJ175*(20/100))+(DK175*(30/100))+(DL175*(50/100))) &lt;=6.3, SUM((DJ175*(20/100))+(DK175*(30/100))+(DL175*(50/100))) &gt;=5.8),6,
IF(AND( SUM((DJ175*(20/100))+(DK175*(30/100))+(DL175*(50/100))) &lt;=5.8, SUM((DJ175*(20/100))+(DK175*(30/100))+(DL175*(50/100))) &gt;=5.3),5.5,
IF(AND( SUM((DJ175*(20/100))+(DK175*(30/100))+(DL175*(50/100))) &lt;=5.3, SUM((DJ175*(20/100))+(DK175*(30/100))+(DL175*(50/100))) &gt;=4.8),5,
IF(AND( SUM((DJ175*(20/100))+(DK175*(30/100))+(DL175*(50/100))) &lt;=4.8, SUM((DJ175*(20/100))+(DK175*(30/100))+(DL175*(50/100))) &gt;=4.3),4.5,
IF(AND( SUM((DJ175*(20/100))+(DK175*(30/100))+(DL175*(50/100))) &lt;=4.3, SUM((DJ175*(20/100))+(DK175*(30/100))+(DL175*(50/100))) &gt;=3.8),4,
IF(AND( SUM((DJ175*(20/100))+(DK175*(30/100))+(DL175*(50/100))) &lt;=3.8, SUM((DJ175*(20/100))+(DK175*(30/100))+(DL175*(50/100))) &gt;=3.5),3.5,0)))))))))))))</f>
        <v>0</v>
      </c>
      <c r="DQ175" s="541"/>
      <c r="DR175" s="541"/>
      <c r="DS175" s="541"/>
      <c r="DT175" s="541"/>
      <c r="DU175" s="541"/>
      <c r="DV175" s="541"/>
      <c r="DW175" s="541"/>
      <c r="DX175" s="541"/>
      <c r="DY175" s="541"/>
      <c r="DZ175" s="541"/>
    </row>
    <row r="176" spans="2:130" x14ac:dyDescent="0.25">
      <c r="B176" s="334">
        <v>19</v>
      </c>
      <c r="C176" s="541"/>
      <c r="D176" s="334"/>
      <c r="E176" s="334"/>
      <c r="F176" s="334"/>
      <c r="G176" s="334"/>
      <c r="H176" s="334"/>
      <c r="I176" s="334"/>
      <c r="J176" s="536"/>
      <c r="K176" s="536"/>
      <c r="L176" s="536"/>
      <c r="M176" s="536"/>
      <c r="N176" s="536"/>
      <c r="O176" s="536"/>
      <c r="P176" s="536">
        <f t="shared" si="51"/>
        <v>0</v>
      </c>
      <c r="Q176" s="536"/>
      <c r="R176" s="536"/>
      <c r="S176" s="536"/>
      <c r="T176" s="536">
        <f t="shared" si="52"/>
        <v>0</v>
      </c>
      <c r="U176" s="536"/>
      <c r="V176" s="536"/>
      <c r="W176" s="536"/>
      <c r="X176" s="536">
        <f t="shared" si="53"/>
        <v>0</v>
      </c>
      <c r="Y176" s="536"/>
      <c r="Z176" s="536"/>
      <c r="AA176" s="536"/>
      <c r="AB176" s="536">
        <f t="shared" si="54"/>
        <v>0</v>
      </c>
      <c r="AC176" s="536"/>
      <c r="AD176" s="536"/>
      <c r="AE176" s="536"/>
      <c r="AF176" s="536">
        <f t="shared" si="55"/>
        <v>0</v>
      </c>
      <c r="AG176" s="536"/>
      <c r="AH176" s="536"/>
      <c r="AI176" s="536"/>
      <c r="AJ176" s="536">
        <f t="shared" si="56"/>
        <v>0</v>
      </c>
      <c r="AK176" s="536"/>
      <c r="AL176" s="536"/>
      <c r="AM176" s="536"/>
      <c r="AN176" s="542">
        <f t="shared" si="57"/>
        <v>0</v>
      </c>
      <c r="AO176" s="536"/>
      <c r="AP176" s="536"/>
      <c r="AQ176" s="536"/>
      <c r="AR176" s="542">
        <f t="shared" si="58"/>
        <v>0</v>
      </c>
      <c r="AS176" s="536"/>
      <c r="AT176" s="536"/>
      <c r="AU176" s="536"/>
      <c r="AV176" s="542">
        <f t="shared" si="59"/>
        <v>0</v>
      </c>
      <c r="AW176" s="536"/>
      <c r="AX176" s="536"/>
      <c r="AY176" s="536"/>
      <c r="AZ176" s="542">
        <f t="shared" si="60"/>
        <v>0</v>
      </c>
      <c r="BA176" s="536"/>
      <c r="BB176" s="536"/>
      <c r="BC176" s="536"/>
      <c r="BD176" s="542">
        <f t="shared" si="61"/>
        <v>0</v>
      </c>
      <c r="BE176" s="536"/>
      <c r="BF176" s="536"/>
      <c r="BG176" s="536"/>
      <c r="BH176" s="542">
        <f t="shared" si="62"/>
        <v>0</v>
      </c>
      <c r="BI176" s="536"/>
      <c r="BJ176" s="536"/>
      <c r="BK176" s="536"/>
      <c r="BL176" s="542">
        <f t="shared" si="63"/>
        <v>0</v>
      </c>
      <c r="BM176" s="536"/>
      <c r="BN176" s="536"/>
      <c r="BO176" s="536"/>
      <c r="BP176" s="542">
        <f t="shared" si="64"/>
        <v>0</v>
      </c>
      <c r="BQ176" s="536"/>
      <c r="BR176" s="536"/>
      <c r="BS176" s="536"/>
      <c r="BT176" s="542">
        <f t="shared" si="65"/>
        <v>0</v>
      </c>
      <c r="BU176" s="536"/>
      <c r="BV176" s="536"/>
      <c r="BW176" s="536"/>
      <c r="BX176" s="542">
        <f t="shared" si="66"/>
        <v>0</v>
      </c>
      <c r="BY176" s="536"/>
      <c r="BZ176" s="536"/>
      <c r="CA176" s="536"/>
      <c r="CB176" s="542">
        <v>0</v>
      </c>
      <c r="CC176" s="536"/>
      <c r="CD176" s="536"/>
      <c r="CE176" s="536"/>
      <c r="CF176" s="541">
        <f t="shared" si="67"/>
        <v>0</v>
      </c>
      <c r="CG176" s="536"/>
      <c r="CH176" s="536"/>
      <c r="CI176" s="536"/>
      <c r="CJ176" s="541">
        <f t="shared" si="68"/>
        <v>0</v>
      </c>
      <c r="CK176" s="536"/>
      <c r="CL176" s="536"/>
      <c r="CM176" s="536"/>
      <c r="CN176" s="541">
        <f t="shared" si="69"/>
        <v>0</v>
      </c>
      <c r="CO176" s="536"/>
      <c r="CP176" s="536"/>
      <c r="CQ176" s="536"/>
      <c r="CR176" s="541">
        <f t="shared" si="70"/>
        <v>0</v>
      </c>
      <c r="CS176" s="536"/>
      <c r="CT176" s="536"/>
      <c r="CU176" s="536"/>
      <c r="CV176" s="541">
        <f t="shared" si="71"/>
        <v>0</v>
      </c>
      <c r="CW176" s="536"/>
      <c r="CX176" s="536"/>
      <c r="CY176" s="536"/>
      <c r="CZ176" s="541">
        <f t="shared" si="72"/>
        <v>0</v>
      </c>
      <c r="DA176" s="536"/>
      <c r="DB176" s="536"/>
      <c r="DC176" s="536"/>
      <c r="DD176" s="541">
        <f t="shared" si="73"/>
        <v>0</v>
      </c>
      <c r="DE176" s="536"/>
      <c r="DF176" s="536"/>
      <c r="DG176" s="536"/>
      <c r="DH176" s="541">
        <f t="shared" si="74"/>
        <v>0</v>
      </c>
      <c r="DI176" s="536"/>
      <c r="DJ176" s="536"/>
      <c r="DK176" s="536"/>
      <c r="DL176" s="541">
        <f t="shared" si="75"/>
        <v>0</v>
      </c>
      <c r="DM176" s="536"/>
      <c r="DN176" s="536"/>
      <c r="DO176" s="536"/>
      <c r="DP176" s="541">
        <f>IF( SUM((DJ176*(20/100))+(DK176*(30/100))+(DL176*(50/100))) &gt;=9.3,9.5,
IF(AND( SUM((DJ176*(20/100))+(DK176*(30/100))+(DL176*(50/100))) &lt;=9.3, SUM((DJ176*(20/100))+(DK176*(30/100))+(DL176*(50/100))) &gt;=8.8),9,
IF(AND( SUM((DJ176*(20/100))+(DK176*(30/100))+(DL176*(50/100))) &lt;=8.8, SUM((DJ176*(20/100))+(DK176*(30/100))+(DL176*(50/100))) &gt;=8.3),8.5,
IF(AND( SUM((DJ176*(20/100))+(DK176*(30/100))+(DL176*(50/100))) &lt;=8.3, SUM((DJ176*(20/100))+(DK176*(30/100))+(DL176*(50/100))) &gt;=7.8),8,
IF(AND( SUM((DJ176*(20/100))+(DK176*(30/100))+(DL176*(50/100))) &lt;=7.8, SUM((DJ176*(20/100))+(DK176*(30/100))+(DL176*(50/100))) &gt;=7.3),7.5,
IF(AND( SUM((DJ176*(20/100))+(DK176*(30/100))+(DL176*(50/100))) &lt;=7.3, SUM((DJ176*(20/100))+(DK176*(30/100))+(DL176*(50/100))) &gt;=6.8),7,
IF(AND( SUM((DJ176*(20/100))+(DK176*(30/100))+(DL176*(50/100))) &lt;=6.8, SUM((DJ176*(20/100))+(DK176*(30/100))+(DL176*(50/100))) &gt;=6.3),6.5,
IF(AND( SUM((DJ176*(20/100))+(DK176*(30/100))+(DL176*(50/100))) &lt;=6.3, SUM((DJ176*(20/100))+(DK176*(30/100))+(DL176*(50/100))) &gt;=5.8),6,
IF(AND( SUM((DJ176*(20/100))+(DK176*(30/100))+(DL176*(50/100))) &lt;=5.8, SUM((DJ176*(20/100))+(DK176*(30/100))+(DL176*(50/100))) &gt;=5.3),5.5,
IF(AND( SUM((DJ176*(20/100))+(DK176*(30/100))+(DL176*(50/100))) &lt;=5.3, SUM((DJ176*(20/100))+(DK176*(30/100))+(DL176*(50/100))) &gt;=4.8),5,
IF(AND( SUM((DJ176*(20/100))+(DK176*(30/100))+(DL176*(50/100))) &lt;=4.8, SUM((DJ176*(20/100))+(DK176*(30/100))+(DL176*(50/100))) &gt;=4.3),4.5,
IF(AND( SUM((DJ176*(20/100))+(DK176*(30/100))+(DL176*(50/100))) &lt;=4.3, SUM((DJ176*(20/100))+(DK176*(30/100))+(DL176*(50/100))) &gt;=3.8),4,
IF(AND( SUM((DJ176*(20/100))+(DK176*(30/100))+(DL176*(50/100))) &lt;=3.8, SUM((DJ176*(20/100))+(DK176*(30/100))+(DL176*(50/100))) &gt;=3.5),3.5,0)))))))))))))</f>
        <v>0</v>
      </c>
      <c r="DQ176" s="541"/>
      <c r="DR176" s="541"/>
      <c r="DS176" s="541"/>
      <c r="DT176" s="541"/>
      <c r="DU176" s="541"/>
      <c r="DV176" s="541"/>
      <c r="DW176" s="541"/>
      <c r="DX176" s="541"/>
      <c r="DY176" s="541"/>
      <c r="DZ176" s="541"/>
    </row>
    <row r="177" spans="2:130" x14ac:dyDescent="0.25">
      <c r="B177" s="334">
        <v>20</v>
      </c>
      <c r="C177" s="541"/>
      <c r="D177" s="334"/>
      <c r="E177" s="334"/>
      <c r="F177" s="334"/>
      <c r="G177" s="334"/>
      <c r="H177" s="334"/>
      <c r="I177" s="334"/>
      <c r="J177" s="536"/>
      <c r="K177" s="536"/>
      <c r="L177" s="536"/>
      <c r="M177" s="536"/>
      <c r="N177" s="536"/>
      <c r="O177" s="536"/>
      <c r="P177" s="536">
        <f t="shared" si="51"/>
        <v>0</v>
      </c>
      <c r="Q177" s="536"/>
      <c r="R177" s="536"/>
      <c r="S177" s="536"/>
      <c r="T177" s="536">
        <f t="shared" si="52"/>
        <v>0</v>
      </c>
      <c r="U177" s="536"/>
      <c r="V177" s="536"/>
      <c r="W177" s="536"/>
      <c r="X177" s="536">
        <f t="shared" si="53"/>
        <v>0</v>
      </c>
      <c r="Y177" s="536"/>
      <c r="Z177" s="536"/>
      <c r="AA177" s="536"/>
      <c r="AB177" s="536">
        <f t="shared" si="54"/>
        <v>0</v>
      </c>
      <c r="AC177" s="536"/>
      <c r="AD177" s="536"/>
      <c r="AE177" s="536"/>
      <c r="AF177" s="536">
        <f t="shared" si="55"/>
        <v>0</v>
      </c>
      <c r="AG177" s="536"/>
      <c r="AH177" s="536"/>
      <c r="AI177" s="536"/>
      <c r="AJ177" s="536">
        <f t="shared" si="56"/>
        <v>0</v>
      </c>
      <c r="AK177" s="536"/>
      <c r="AL177" s="536"/>
      <c r="AM177" s="536"/>
      <c r="AN177" s="542">
        <f t="shared" si="57"/>
        <v>0</v>
      </c>
      <c r="AO177" s="536"/>
      <c r="AP177" s="536"/>
      <c r="AQ177" s="536"/>
      <c r="AR177" s="542">
        <f t="shared" si="58"/>
        <v>0</v>
      </c>
      <c r="AS177" s="536"/>
      <c r="AT177" s="536"/>
      <c r="AU177" s="536"/>
      <c r="AV177" s="542">
        <f t="shared" si="59"/>
        <v>0</v>
      </c>
      <c r="AW177" s="536"/>
      <c r="AX177" s="536"/>
      <c r="AY177" s="536"/>
      <c r="AZ177" s="542">
        <f t="shared" si="60"/>
        <v>0</v>
      </c>
      <c r="BA177" s="536"/>
      <c r="BB177" s="536"/>
      <c r="BC177" s="536"/>
      <c r="BD177" s="542">
        <f t="shared" si="61"/>
        <v>0</v>
      </c>
      <c r="BE177" s="536"/>
      <c r="BF177" s="536"/>
      <c r="BG177" s="536"/>
      <c r="BH177" s="542">
        <f t="shared" si="62"/>
        <v>0</v>
      </c>
      <c r="BI177" s="536"/>
      <c r="BJ177" s="536"/>
      <c r="BK177" s="536"/>
      <c r="BL177" s="542">
        <f t="shared" si="63"/>
        <v>0</v>
      </c>
      <c r="BM177" s="536"/>
      <c r="BN177" s="536"/>
      <c r="BO177" s="536"/>
      <c r="BP177" s="542">
        <f t="shared" si="64"/>
        <v>0</v>
      </c>
      <c r="BQ177" s="536"/>
      <c r="BR177" s="536"/>
      <c r="BS177" s="536"/>
      <c r="BT177" s="542">
        <f t="shared" si="65"/>
        <v>0</v>
      </c>
      <c r="BU177" s="536"/>
      <c r="BV177" s="536"/>
      <c r="BW177" s="536"/>
      <c r="BX177" s="542">
        <f t="shared" si="66"/>
        <v>0</v>
      </c>
      <c r="BY177" s="536"/>
      <c r="BZ177" s="536"/>
      <c r="CA177" s="536"/>
      <c r="CB177" s="542">
        <v>0</v>
      </c>
      <c r="CC177" s="536"/>
      <c r="CD177" s="536"/>
      <c r="CE177" s="536"/>
      <c r="CF177" s="541">
        <f t="shared" si="67"/>
        <v>0</v>
      </c>
      <c r="CG177" s="536"/>
      <c r="CH177" s="536"/>
      <c r="CI177" s="536"/>
      <c r="CJ177" s="541">
        <f t="shared" si="68"/>
        <v>0</v>
      </c>
      <c r="CK177" s="536"/>
      <c r="CL177" s="536"/>
      <c r="CM177" s="536"/>
      <c r="CN177" s="541">
        <f t="shared" si="69"/>
        <v>0</v>
      </c>
      <c r="CO177" s="536"/>
      <c r="CP177" s="536"/>
      <c r="CQ177" s="536"/>
      <c r="CR177" s="541">
        <f t="shared" si="70"/>
        <v>0</v>
      </c>
      <c r="CS177" s="536"/>
      <c r="CT177" s="536"/>
      <c r="CU177" s="536"/>
      <c r="CV177" s="541">
        <f t="shared" si="71"/>
        <v>0</v>
      </c>
      <c r="CW177" s="536"/>
      <c r="CX177" s="536"/>
      <c r="CY177" s="536"/>
      <c r="CZ177" s="541">
        <f t="shared" si="72"/>
        <v>0</v>
      </c>
      <c r="DA177" s="536"/>
      <c r="DB177" s="536"/>
      <c r="DC177" s="536"/>
      <c r="DD177" s="541">
        <f t="shared" si="73"/>
        <v>0</v>
      </c>
      <c r="DE177" s="536"/>
      <c r="DF177" s="536"/>
      <c r="DG177" s="536"/>
      <c r="DH177" s="541">
        <f t="shared" si="74"/>
        <v>0</v>
      </c>
      <c r="DI177" s="536"/>
      <c r="DJ177" s="536"/>
      <c r="DK177" s="536"/>
      <c r="DL177" s="541">
        <f t="shared" si="75"/>
        <v>0</v>
      </c>
      <c r="DM177" s="536"/>
      <c r="DN177" s="536"/>
      <c r="DO177" s="536"/>
      <c r="DP177" s="541">
        <f>IF( SUM((DJ177*(20/100))+(DK177*(30/100))+(DL177*(50/100))) &gt;=9.3,9.5,
IF(AND( SUM((DJ177*(20/100))+(DK177*(30/100))+(DL177*(50/100))) &lt;=9.3, SUM((DJ177*(20/100))+(DK177*(30/100))+(DL177*(50/100))) &gt;=8.8),9,
IF(AND( SUM((DJ177*(20/100))+(DK177*(30/100))+(DL177*(50/100))) &lt;=8.8, SUM((DJ177*(20/100))+(DK177*(30/100))+(DL177*(50/100))) &gt;=8.3),8.5,
IF(AND( SUM((DJ177*(20/100))+(DK177*(30/100))+(DL177*(50/100))) &lt;=8.3, SUM((DJ177*(20/100))+(DK177*(30/100))+(DL177*(50/100))) &gt;=7.8),8,
IF(AND( SUM((DJ177*(20/100))+(DK177*(30/100))+(DL177*(50/100))) &lt;=7.8, SUM((DJ177*(20/100))+(DK177*(30/100))+(DL177*(50/100))) &gt;=7.3),7.5,
IF(AND( SUM((DJ177*(20/100))+(DK177*(30/100))+(DL177*(50/100))) &lt;=7.3, SUM((DJ177*(20/100))+(DK177*(30/100))+(DL177*(50/100))) &gt;=6.8),7,
IF(AND( SUM((DJ177*(20/100))+(DK177*(30/100))+(DL177*(50/100))) &lt;=6.8, SUM((DJ177*(20/100))+(DK177*(30/100))+(DL177*(50/100))) &gt;=6.3),6.5,
IF(AND( SUM((DJ177*(20/100))+(DK177*(30/100))+(DL177*(50/100))) &lt;=6.3, SUM((DJ177*(20/100))+(DK177*(30/100))+(DL177*(50/100))) &gt;=5.8),6,
IF(AND( SUM((DJ177*(20/100))+(DK177*(30/100))+(DL177*(50/100))) &lt;=5.8, SUM((DJ177*(20/100))+(DK177*(30/100))+(DL177*(50/100))) &gt;=5.3),5.5,
IF(AND( SUM((DJ177*(20/100))+(DK177*(30/100))+(DL177*(50/100))) &lt;=5.3, SUM((DJ177*(20/100))+(DK177*(30/100))+(DL177*(50/100))) &gt;=4.8),5,
IF(AND( SUM((DJ177*(20/100))+(DK177*(30/100))+(DL177*(50/100))) &lt;=4.8, SUM((DJ177*(20/100))+(DK177*(30/100))+(DL177*(50/100))) &gt;=4.3),4.5,
IF(AND( SUM((DJ177*(20/100))+(DK177*(30/100))+(DL177*(50/100))) &lt;=4.3, SUM((DJ177*(20/100))+(DK177*(30/100))+(DL177*(50/100))) &gt;=3.8),4,
IF(AND( SUM((DJ177*(20/100))+(DK177*(30/100))+(DL177*(50/100))) &lt;=3.8, SUM((DJ177*(20/100))+(DK177*(30/100))+(DL177*(50/100))) &gt;=3.5),3.5,0)))))))))))))</f>
        <v>0</v>
      </c>
      <c r="DQ177" s="541"/>
      <c r="DR177" s="541"/>
      <c r="DS177" s="541"/>
      <c r="DT177" s="541"/>
      <c r="DU177" s="541"/>
      <c r="DV177" s="541"/>
      <c r="DW177" s="541"/>
      <c r="DX177" s="541"/>
      <c r="DY177" s="541"/>
      <c r="DZ177" s="541"/>
    </row>
    <row r="178" spans="2:130" x14ac:dyDescent="0.25">
      <c r="B178" s="334">
        <v>21</v>
      </c>
      <c r="C178" s="541"/>
      <c r="D178" s="334"/>
      <c r="E178" s="334"/>
      <c r="F178" s="334"/>
      <c r="G178" s="334"/>
      <c r="H178" s="334"/>
      <c r="I178" s="334"/>
      <c r="J178" s="536"/>
      <c r="K178" s="536"/>
      <c r="L178" s="536"/>
      <c r="M178" s="536"/>
      <c r="N178" s="536"/>
      <c r="O178" s="536"/>
      <c r="P178" s="536">
        <f t="shared" si="51"/>
        <v>0</v>
      </c>
      <c r="Q178" s="536"/>
      <c r="R178" s="536"/>
      <c r="S178" s="536"/>
      <c r="T178" s="536">
        <f t="shared" si="52"/>
        <v>0</v>
      </c>
      <c r="U178" s="536"/>
      <c r="V178" s="536"/>
      <c r="W178" s="536"/>
      <c r="X178" s="536">
        <f t="shared" si="53"/>
        <v>0</v>
      </c>
      <c r="Y178" s="536"/>
      <c r="Z178" s="536"/>
      <c r="AA178" s="536"/>
      <c r="AB178" s="536">
        <f t="shared" si="54"/>
        <v>0</v>
      </c>
      <c r="AC178" s="536"/>
      <c r="AD178" s="536"/>
      <c r="AE178" s="536"/>
      <c r="AF178" s="536">
        <f t="shared" si="55"/>
        <v>0</v>
      </c>
      <c r="AG178" s="536"/>
      <c r="AH178" s="536"/>
      <c r="AI178" s="536"/>
      <c r="AJ178" s="536">
        <f t="shared" si="56"/>
        <v>0</v>
      </c>
      <c r="AK178" s="536"/>
      <c r="AL178" s="536"/>
      <c r="AM178" s="536"/>
      <c r="AN178" s="542">
        <f t="shared" si="57"/>
        <v>0</v>
      </c>
      <c r="AO178" s="536"/>
      <c r="AP178" s="536"/>
      <c r="AQ178" s="536"/>
      <c r="AR178" s="542">
        <f t="shared" si="58"/>
        <v>0</v>
      </c>
      <c r="AS178" s="536"/>
      <c r="AT178" s="536"/>
      <c r="AU178" s="536"/>
      <c r="AV178" s="542">
        <f t="shared" si="59"/>
        <v>0</v>
      </c>
      <c r="AW178" s="536"/>
      <c r="AX178" s="536"/>
      <c r="AY178" s="536"/>
      <c r="AZ178" s="542">
        <f t="shared" si="60"/>
        <v>0</v>
      </c>
      <c r="BA178" s="536"/>
      <c r="BB178" s="536"/>
      <c r="BC178" s="536"/>
      <c r="BD178" s="542">
        <f t="shared" si="61"/>
        <v>0</v>
      </c>
      <c r="BE178" s="536"/>
      <c r="BF178" s="536"/>
      <c r="BG178" s="536"/>
      <c r="BH178" s="542">
        <f t="shared" si="62"/>
        <v>0</v>
      </c>
      <c r="BI178" s="536"/>
      <c r="BJ178" s="536"/>
      <c r="BK178" s="536"/>
      <c r="BL178" s="542">
        <f t="shared" si="63"/>
        <v>0</v>
      </c>
      <c r="BM178" s="536"/>
      <c r="BN178" s="536"/>
      <c r="BO178" s="536"/>
      <c r="BP178" s="542">
        <f t="shared" si="64"/>
        <v>0</v>
      </c>
      <c r="BQ178" s="536"/>
      <c r="BR178" s="536"/>
      <c r="BS178" s="536"/>
      <c r="BT178" s="542">
        <f t="shared" si="65"/>
        <v>0</v>
      </c>
      <c r="BU178" s="536"/>
      <c r="BV178" s="536"/>
      <c r="BW178" s="536"/>
      <c r="BX178" s="542">
        <f t="shared" si="66"/>
        <v>0</v>
      </c>
      <c r="BY178" s="536"/>
      <c r="BZ178" s="536"/>
      <c r="CA178" s="536"/>
      <c r="CB178" s="542">
        <v>0</v>
      </c>
      <c r="CC178" s="536"/>
      <c r="CD178" s="536"/>
      <c r="CE178" s="536"/>
      <c r="CF178" s="541">
        <f t="shared" si="67"/>
        <v>0</v>
      </c>
      <c r="CG178" s="536"/>
      <c r="CH178" s="536"/>
      <c r="CI178" s="536"/>
      <c r="CJ178" s="541">
        <f t="shared" si="68"/>
        <v>0</v>
      </c>
      <c r="CK178" s="536"/>
      <c r="CL178" s="536"/>
      <c r="CM178" s="536"/>
      <c r="CN178" s="541">
        <f t="shared" si="69"/>
        <v>0</v>
      </c>
      <c r="CO178" s="536"/>
      <c r="CP178" s="536"/>
      <c r="CQ178" s="536"/>
      <c r="CR178" s="541">
        <f t="shared" si="70"/>
        <v>0</v>
      </c>
      <c r="CS178" s="536"/>
      <c r="CT178" s="536"/>
      <c r="CU178" s="536"/>
      <c r="CV178" s="541">
        <f t="shared" si="71"/>
        <v>0</v>
      </c>
      <c r="CW178" s="536"/>
      <c r="CX178" s="536"/>
      <c r="CY178" s="536"/>
      <c r="CZ178" s="541">
        <f t="shared" si="72"/>
        <v>0</v>
      </c>
      <c r="DA178" s="536"/>
      <c r="DB178" s="536"/>
      <c r="DC178" s="536"/>
      <c r="DD178" s="541">
        <f t="shared" si="73"/>
        <v>0</v>
      </c>
      <c r="DE178" s="536"/>
      <c r="DF178" s="536"/>
      <c r="DG178" s="536"/>
      <c r="DH178" s="541">
        <f t="shared" si="74"/>
        <v>0</v>
      </c>
      <c r="DI178" s="536"/>
      <c r="DJ178" s="536"/>
      <c r="DK178" s="536"/>
      <c r="DL178" s="541">
        <f t="shared" si="75"/>
        <v>0</v>
      </c>
      <c r="DM178" s="536"/>
      <c r="DN178" s="536"/>
      <c r="DO178" s="536"/>
      <c r="DP178" s="541">
        <f>IF( SUM((DJ178*(20/100))+(DK178*(30/100))+(DL178*(50/100))) &gt;=9.3,9.5,
IF(AND( SUM((DJ178*(20/100))+(DK178*(30/100))+(DL178*(50/100))) &lt;=9.3, SUM((DJ178*(20/100))+(DK178*(30/100))+(DL178*(50/100))) &gt;=8.8),9,
IF(AND( SUM((DJ178*(20/100))+(DK178*(30/100))+(DL178*(50/100))) &lt;=8.8, SUM((DJ178*(20/100))+(DK178*(30/100))+(DL178*(50/100))) &gt;=8.3),8.5,
IF(AND( SUM((DJ178*(20/100))+(DK178*(30/100))+(DL178*(50/100))) &lt;=8.3, SUM((DJ178*(20/100))+(DK178*(30/100))+(DL178*(50/100))) &gt;=7.8),8,
IF(AND( SUM((DJ178*(20/100))+(DK178*(30/100))+(DL178*(50/100))) &lt;=7.8, SUM((DJ178*(20/100))+(DK178*(30/100))+(DL178*(50/100))) &gt;=7.3),7.5,
IF(AND( SUM((DJ178*(20/100))+(DK178*(30/100))+(DL178*(50/100))) &lt;=7.3, SUM((DJ178*(20/100))+(DK178*(30/100))+(DL178*(50/100))) &gt;=6.8),7,
IF(AND( SUM((DJ178*(20/100))+(DK178*(30/100))+(DL178*(50/100))) &lt;=6.8, SUM((DJ178*(20/100))+(DK178*(30/100))+(DL178*(50/100))) &gt;=6.3),6.5,
IF(AND( SUM((DJ178*(20/100))+(DK178*(30/100))+(DL178*(50/100))) &lt;=6.3, SUM((DJ178*(20/100))+(DK178*(30/100))+(DL178*(50/100))) &gt;=5.8),6,
IF(AND( SUM((DJ178*(20/100))+(DK178*(30/100))+(DL178*(50/100))) &lt;=5.8, SUM((DJ178*(20/100))+(DK178*(30/100))+(DL178*(50/100))) &gt;=5.3),5.5,
IF(AND( SUM((DJ178*(20/100))+(DK178*(30/100))+(DL178*(50/100))) &lt;=5.3, SUM((DJ178*(20/100))+(DK178*(30/100))+(DL178*(50/100))) &gt;=4.8),5,
IF(AND( SUM((DJ178*(20/100))+(DK178*(30/100))+(DL178*(50/100))) &lt;=4.8, SUM((DJ178*(20/100))+(DK178*(30/100))+(DL178*(50/100))) &gt;=4.3),4.5,
IF(AND( SUM((DJ178*(20/100))+(DK178*(30/100))+(DL178*(50/100))) &lt;=4.3, SUM((DJ178*(20/100))+(DK178*(30/100))+(DL178*(50/100))) &gt;=3.8),4,
IF(AND( SUM((DJ178*(20/100))+(DK178*(30/100))+(DL178*(50/100))) &lt;=3.8, SUM((DJ178*(20/100))+(DK178*(30/100))+(DL178*(50/100))) &gt;=3.5),3.5,0)))))))))))))</f>
        <v>0</v>
      </c>
      <c r="DQ178" s="541"/>
      <c r="DR178" s="541"/>
      <c r="DS178" s="541"/>
      <c r="DT178" s="541"/>
      <c r="DU178" s="541"/>
      <c r="DV178" s="541"/>
      <c r="DW178" s="541"/>
      <c r="DX178" s="541"/>
      <c r="DY178" s="541"/>
      <c r="DZ178" s="541"/>
    </row>
    <row r="179" spans="2:130" x14ac:dyDescent="0.25">
      <c r="B179" s="334">
        <v>22</v>
      </c>
      <c r="C179" s="541"/>
      <c r="D179" s="334"/>
      <c r="E179" s="334"/>
      <c r="F179" s="334"/>
      <c r="G179" s="334"/>
      <c r="H179" s="334"/>
      <c r="I179" s="334"/>
      <c r="J179" s="536"/>
      <c r="K179" s="536"/>
      <c r="L179" s="536"/>
      <c r="M179" s="536"/>
      <c r="N179" s="536"/>
      <c r="O179" s="536"/>
      <c r="P179" s="536">
        <f t="shared" si="51"/>
        <v>0</v>
      </c>
      <c r="Q179" s="536"/>
      <c r="R179" s="536"/>
      <c r="S179" s="536"/>
      <c r="T179" s="536">
        <f t="shared" si="52"/>
        <v>0</v>
      </c>
      <c r="U179" s="536"/>
      <c r="V179" s="536"/>
      <c r="W179" s="536"/>
      <c r="X179" s="536">
        <f t="shared" si="53"/>
        <v>0</v>
      </c>
      <c r="Y179" s="536"/>
      <c r="Z179" s="536"/>
      <c r="AA179" s="536"/>
      <c r="AB179" s="536">
        <f t="shared" si="54"/>
        <v>0</v>
      </c>
      <c r="AC179" s="536"/>
      <c r="AD179" s="536"/>
      <c r="AE179" s="536"/>
      <c r="AF179" s="536">
        <f t="shared" si="55"/>
        <v>0</v>
      </c>
      <c r="AG179" s="536"/>
      <c r="AH179" s="536"/>
      <c r="AI179" s="536"/>
      <c r="AJ179" s="536">
        <f t="shared" si="56"/>
        <v>0</v>
      </c>
      <c r="AK179" s="536"/>
      <c r="AL179" s="536"/>
      <c r="AM179" s="536"/>
      <c r="AN179" s="542">
        <f t="shared" si="57"/>
        <v>0</v>
      </c>
      <c r="AO179" s="536"/>
      <c r="AP179" s="536"/>
      <c r="AQ179" s="536"/>
      <c r="AR179" s="542">
        <f t="shared" si="58"/>
        <v>0</v>
      </c>
      <c r="AS179" s="536"/>
      <c r="AT179" s="536"/>
      <c r="AU179" s="536"/>
      <c r="AV179" s="542">
        <f t="shared" si="59"/>
        <v>0</v>
      </c>
      <c r="AW179" s="536"/>
      <c r="AX179" s="536"/>
      <c r="AY179" s="536"/>
      <c r="AZ179" s="542">
        <f t="shared" si="60"/>
        <v>0</v>
      </c>
      <c r="BA179" s="536"/>
      <c r="BB179" s="536"/>
      <c r="BC179" s="536"/>
      <c r="BD179" s="542">
        <f t="shared" si="61"/>
        <v>0</v>
      </c>
      <c r="BE179" s="536"/>
      <c r="BF179" s="536"/>
      <c r="BG179" s="536"/>
      <c r="BH179" s="542">
        <f t="shared" si="62"/>
        <v>0</v>
      </c>
      <c r="BI179" s="536"/>
      <c r="BJ179" s="536"/>
      <c r="BK179" s="536"/>
      <c r="BL179" s="542">
        <f t="shared" si="63"/>
        <v>0</v>
      </c>
      <c r="BM179" s="536"/>
      <c r="BN179" s="536"/>
      <c r="BO179" s="536"/>
      <c r="BP179" s="542">
        <f t="shared" si="64"/>
        <v>0</v>
      </c>
      <c r="BQ179" s="536"/>
      <c r="BR179" s="536"/>
      <c r="BS179" s="536"/>
      <c r="BT179" s="542">
        <f t="shared" si="65"/>
        <v>0</v>
      </c>
      <c r="BU179" s="536"/>
      <c r="BV179" s="536"/>
      <c r="BW179" s="536"/>
      <c r="BX179" s="542">
        <f t="shared" si="66"/>
        <v>0</v>
      </c>
      <c r="BY179" s="536"/>
      <c r="BZ179" s="536"/>
      <c r="CA179" s="536"/>
      <c r="CB179" s="542">
        <v>0</v>
      </c>
      <c r="CC179" s="536"/>
      <c r="CD179" s="536"/>
      <c r="CE179" s="536"/>
      <c r="CF179" s="541">
        <f t="shared" si="67"/>
        <v>0</v>
      </c>
      <c r="CG179" s="536"/>
      <c r="CH179" s="536"/>
      <c r="CI179" s="536"/>
      <c r="CJ179" s="541">
        <f t="shared" si="68"/>
        <v>0</v>
      </c>
      <c r="CK179" s="536"/>
      <c r="CL179" s="536"/>
      <c r="CM179" s="536"/>
      <c r="CN179" s="541">
        <f t="shared" si="69"/>
        <v>0</v>
      </c>
      <c r="CO179" s="536"/>
      <c r="CP179" s="536"/>
      <c r="CQ179" s="536"/>
      <c r="CR179" s="541">
        <f t="shared" si="70"/>
        <v>0</v>
      </c>
      <c r="CS179" s="536"/>
      <c r="CT179" s="536"/>
      <c r="CU179" s="536"/>
      <c r="CV179" s="541">
        <f t="shared" si="71"/>
        <v>0</v>
      </c>
      <c r="CW179" s="536"/>
      <c r="CX179" s="536"/>
      <c r="CY179" s="536"/>
      <c r="CZ179" s="541">
        <f t="shared" si="72"/>
        <v>0</v>
      </c>
      <c r="DA179" s="536"/>
      <c r="DB179" s="536"/>
      <c r="DC179" s="536"/>
      <c r="DD179" s="541">
        <f t="shared" si="73"/>
        <v>0</v>
      </c>
      <c r="DE179" s="536"/>
      <c r="DF179" s="536"/>
      <c r="DG179" s="536"/>
      <c r="DH179" s="541">
        <f t="shared" si="74"/>
        <v>0</v>
      </c>
      <c r="DI179" s="536"/>
      <c r="DJ179" s="536"/>
      <c r="DK179" s="536"/>
      <c r="DL179" s="541">
        <f t="shared" si="75"/>
        <v>0</v>
      </c>
      <c r="DM179" s="536"/>
      <c r="DN179" s="536"/>
      <c r="DO179" s="536"/>
      <c r="DP179" s="541">
        <f>IF( SUM((DJ179*(20/100))+(DK179*(30/100))+(DL179*(50/100))) &gt;=9.3,9.5,
IF(AND( SUM((DJ179*(20/100))+(DK179*(30/100))+(DL179*(50/100))) &lt;=9.3, SUM((DJ179*(20/100))+(DK179*(30/100))+(DL179*(50/100))) &gt;=8.8),9,
IF(AND( SUM((DJ179*(20/100))+(DK179*(30/100))+(DL179*(50/100))) &lt;=8.8, SUM((DJ179*(20/100))+(DK179*(30/100))+(DL179*(50/100))) &gt;=8.3),8.5,
IF(AND( SUM((DJ179*(20/100))+(DK179*(30/100))+(DL179*(50/100))) &lt;=8.3, SUM((DJ179*(20/100))+(DK179*(30/100))+(DL179*(50/100))) &gt;=7.8),8,
IF(AND( SUM((DJ179*(20/100))+(DK179*(30/100))+(DL179*(50/100))) &lt;=7.8, SUM((DJ179*(20/100))+(DK179*(30/100))+(DL179*(50/100))) &gt;=7.3),7.5,
IF(AND( SUM((DJ179*(20/100))+(DK179*(30/100))+(DL179*(50/100))) &lt;=7.3, SUM((DJ179*(20/100))+(DK179*(30/100))+(DL179*(50/100))) &gt;=6.8),7,
IF(AND( SUM((DJ179*(20/100))+(DK179*(30/100))+(DL179*(50/100))) &lt;=6.8, SUM((DJ179*(20/100))+(DK179*(30/100))+(DL179*(50/100))) &gt;=6.3),6.5,
IF(AND( SUM((DJ179*(20/100))+(DK179*(30/100))+(DL179*(50/100))) &lt;=6.3, SUM((DJ179*(20/100))+(DK179*(30/100))+(DL179*(50/100))) &gt;=5.8),6,
IF(AND( SUM((DJ179*(20/100))+(DK179*(30/100))+(DL179*(50/100))) &lt;=5.8, SUM((DJ179*(20/100))+(DK179*(30/100))+(DL179*(50/100))) &gt;=5.3),5.5,
IF(AND( SUM((DJ179*(20/100))+(DK179*(30/100))+(DL179*(50/100))) &lt;=5.3, SUM((DJ179*(20/100))+(DK179*(30/100))+(DL179*(50/100))) &gt;=4.8),5,
IF(AND( SUM((DJ179*(20/100))+(DK179*(30/100))+(DL179*(50/100))) &lt;=4.8, SUM((DJ179*(20/100))+(DK179*(30/100))+(DL179*(50/100))) &gt;=4.3),4.5,
IF(AND( SUM((DJ179*(20/100))+(DK179*(30/100))+(DL179*(50/100))) &lt;=4.3, SUM((DJ179*(20/100))+(DK179*(30/100))+(DL179*(50/100))) &gt;=3.8),4,
IF(AND( SUM((DJ179*(20/100))+(DK179*(30/100))+(DL179*(50/100))) &lt;=3.8, SUM((DJ179*(20/100))+(DK179*(30/100))+(DL179*(50/100))) &gt;=3.5),3.5,0)))))))))))))</f>
        <v>0</v>
      </c>
      <c r="DQ179" s="541"/>
      <c r="DR179" s="541"/>
      <c r="DS179" s="541"/>
      <c r="DT179" s="541"/>
      <c r="DU179" s="541"/>
      <c r="DV179" s="541"/>
      <c r="DW179" s="541"/>
      <c r="DX179" s="541"/>
      <c r="DY179" s="541"/>
      <c r="DZ179" s="541"/>
    </row>
    <row r="180" spans="2:130" x14ac:dyDescent="0.25">
      <c r="B180" s="334">
        <v>23</v>
      </c>
      <c r="C180" s="541"/>
      <c r="D180" s="334"/>
      <c r="E180" s="334"/>
      <c r="F180" s="334"/>
      <c r="G180" s="334"/>
      <c r="H180" s="334"/>
      <c r="I180" s="334"/>
      <c r="J180" s="536"/>
      <c r="K180" s="536"/>
      <c r="L180" s="536"/>
      <c r="M180" s="536"/>
      <c r="N180" s="536"/>
      <c r="O180" s="536"/>
      <c r="P180" s="536">
        <f t="shared" si="51"/>
        <v>0</v>
      </c>
      <c r="Q180" s="536"/>
      <c r="R180" s="536"/>
      <c r="S180" s="536"/>
      <c r="T180" s="536">
        <f t="shared" si="52"/>
        <v>0</v>
      </c>
      <c r="U180" s="536"/>
      <c r="V180" s="536"/>
      <c r="W180" s="536"/>
      <c r="X180" s="536">
        <f t="shared" si="53"/>
        <v>0</v>
      </c>
      <c r="Y180" s="536"/>
      <c r="Z180" s="536"/>
      <c r="AA180" s="536"/>
      <c r="AB180" s="536">
        <f t="shared" si="54"/>
        <v>0</v>
      </c>
      <c r="AC180" s="536"/>
      <c r="AD180" s="536"/>
      <c r="AE180" s="536"/>
      <c r="AF180" s="536">
        <f t="shared" si="55"/>
        <v>0</v>
      </c>
      <c r="AG180" s="536"/>
      <c r="AH180" s="536"/>
      <c r="AI180" s="536"/>
      <c r="AJ180" s="536">
        <f t="shared" si="56"/>
        <v>0</v>
      </c>
      <c r="AK180" s="536"/>
      <c r="AL180" s="536"/>
      <c r="AM180" s="536"/>
      <c r="AN180" s="542">
        <f t="shared" si="57"/>
        <v>0</v>
      </c>
      <c r="AO180" s="536"/>
      <c r="AP180" s="536"/>
      <c r="AQ180" s="536"/>
      <c r="AR180" s="542">
        <f t="shared" si="58"/>
        <v>0</v>
      </c>
      <c r="AS180" s="536"/>
      <c r="AT180" s="536"/>
      <c r="AU180" s="536"/>
      <c r="AV180" s="542">
        <f t="shared" si="59"/>
        <v>0</v>
      </c>
      <c r="AW180" s="536"/>
      <c r="AX180" s="536"/>
      <c r="AY180" s="536"/>
      <c r="AZ180" s="542">
        <f t="shared" si="60"/>
        <v>0</v>
      </c>
      <c r="BA180" s="536"/>
      <c r="BB180" s="536"/>
      <c r="BC180" s="536"/>
      <c r="BD180" s="542">
        <f t="shared" si="61"/>
        <v>0</v>
      </c>
      <c r="BE180" s="536"/>
      <c r="BF180" s="536"/>
      <c r="BG180" s="536"/>
      <c r="BH180" s="542">
        <f t="shared" si="62"/>
        <v>0</v>
      </c>
      <c r="BI180" s="536"/>
      <c r="BJ180" s="536"/>
      <c r="BK180" s="536"/>
      <c r="BL180" s="542">
        <f t="shared" si="63"/>
        <v>0</v>
      </c>
      <c r="BM180" s="536"/>
      <c r="BN180" s="536"/>
      <c r="BO180" s="536"/>
      <c r="BP180" s="542">
        <f t="shared" si="64"/>
        <v>0</v>
      </c>
      <c r="BQ180" s="536"/>
      <c r="BR180" s="536"/>
      <c r="BS180" s="536"/>
      <c r="BT180" s="542">
        <f t="shared" si="65"/>
        <v>0</v>
      </c>
      <c r="BU180" s="536"/>
      <c r="BV180" s="536"/>
      <c r="BW180" s="536"/>
      <c r="BX180" s="542">
        <f t="shared" si="66"/>
        <v>0</v>
      </c>
      <c r="BY180" s="536"/>
      <c r="BZ180" s="536"/>
      <c r="CA180" s="536"/>
      <c r="CB180" s="542">
        <v>0</v>
      </c>
      <c r="CC180" s="536"/>
      <c r="CD180" s="536"/>
      <c r="CE180" s="536"/>
      <c r="CF180" s="541">
        <f t="shared" si="67"/>
        <v>0</v>
      </c>
      <c r="CG180" s="536"/>
      <c r="CH180" s="536"/>
      <c r="CI180" s="536"/>
      <c r="CJ180" s="541">
        <f t="shared" si="68"/>
        <v>0</v>
      </c>
      <c r="CK180" s="536"/>
      <c r="CL180" s="536"/>
      <c r="CM180" s="536"/>
      <c r="CN180" s="541">
        <f t="shared" si="69"/>
        <v>0</v>
      </c>
      <c r="CO180" s="536"/>
      <c r="CP180" s="536"/>
      <c r="CQ180" s="536"/>
      <c r="CR180" s="541">
        <f t="shared" si="70"/>
        <v>0</v>
      </c>
      <c r="CS180" s="536"/>
      <c r="CT180" s="536"/>
      <c r="CU180" s="536"/>
      <c r="CV180" s="541">
        <f t="shared" si="71"/>
        <v>0</v>
      </c>
      <c r="CW180" s="536"/>
      <c r="CX180" s="536"/>
      <c r="CY180" s="536"/>
      <c r="CZ180" s="541">
        <f t="shared" si="72"/>
        <v>0</v>
      </c>
      <c r="DA180" s="536"/>
      <c r="DB180" s="536"/>
      <c r="DC180" s="536"/>
      <c r="DD180" s="541">
        <f t="shared" si="73"/>
        <v>0</v>
      </c>
      <c r="DE180" s="536"/>
      <c r="DF180" s="536"/>
      <c r="DG180" s="536"/>
      <c r="DH180" s="541">
        <f t="shared" si="74"/>
        <v>0</v>
      </c>
      <c r="DI180" s="536"/>
      <c r="DJ180" s="536"/>
      <c r="DK180" s="536"/>
      <c r="DL180" s="541">
        <f t="shared" si="75"/>
        <v>0</v>
      </c>
      <c r="DM180" s="536"/>
      <c r="DN180" s="536"/>
      <c r="DO180" s="536"/>
      <c r="DP180" s="541">
        <f>IF( SUM((DJ180*(20/100))+(DK180*(30/100))+(DL180*(50/100))) &gt;=9.3,9.5,
IF(AND( SUM((DJ180*(20/100))+(DK180*(30/100))+(DL180*(50/100))) &lt;=9.3, SUM((DJ180*(20/100))+(DK180*(30/100))+(DL180*(50/100))) &gt;=8.8),9,
IF(AND( SUM((DJ180*(20/100))+(DK180*(30/100))+(DL180*(50/100))) &lt;=8.8, SUM((DJ180*(20/100))+(DK180*(30/100))+(DL180*(50/100))) &gt;=8.3),8.5,
IF(AND( SUM((DJ180*(20/100))+(DK180*(30/100))+(DL180*(50/100))) &lt;=8.3, SUM((DJ180*(20/100))+(DK180*(30/100))+(DL180*(50/100))) &gt;=7.8),8,
IF(AND( SUM((DJ180*(20/100))+(DK180*(30/100))+(DL180*(50/100))) &lt;=7.8, SUM((DJ180*(20/100))+(DK180*(30/100))+(DL180*(50/100))) &gt;=7.3),7.5,
IF(AND( SUM((DJ180*(20/100))+(DK180*(30/100))+(DL180*(50/100))) &lt;=7.3, SUM((DJ180*(20/100))+(DK180*(30/100))+(DL180*(50/100))) &gt;=6.8),7,
IF(AND( SUM((DJ180*(20/100))+(DK180*(30/100))+(DL180*(50/100))) &lt;=6.8, SUM((DJ180*(20/100))+(DK180*(30/100))+(DL180*(50/100))) &gt;=6.3),6.5,
IF(AND( SUM((DJ180*(20/100))+(DK180*(30/100))+(DL180*(50/100))) &lt;=6.3, SUM((DJ180*(20/100))+(DK180*(30/100))+(DL180*(50/100))) &gt;=5.8),6,
IF(AND( SUM((DJ180*(20/100))+(DK180*(30/100))+(DL180*(50/100))) &lt;=5.8, SUM((DJ180*(20/100))+(DK180*(30/100))+(DL180*(50/100))) &gt;=5.3),5.5,
IF(AND( SUM((DJ180*(20/100))+(DK180*(30/100))+(DL180*(50/100))) &lt;=5.3, SUM((DJ180*(20/100))+(DK180*(30/100))+(DL180*(50/100))) &gt;=4.8),5,
IF(AND( SUM((DJ180*(20/100))+(DK180*(30/100))+(DL180*(50/100))) &lt;=4.8, SUM((DJ180*(20/100))+(DK180*(30/100))+(DL180*(50/100))) &gt;=4.3),4.5,
IF(AND( SUM((DJ180*(20/100))+(DK180*(30/100))+(DL180*(50/100))) &lt;=4.3, SUM((DJ180*(20/100))+(DK180*(30/100))+(DL180*(50/100))) &gt;=3.8),4,
IF(AND( SUM((DJ180*(20/100))+(DK180*(30/100))+(DL180*(50/100))) &lt;=3.8, SUM((DJ180*(20/100))+(DK180*(30/100))+(DL180*(50/100))) &gt;=3.5),3.5,0)))))))))))))</f>
        <v>0</v>
      </c>
      <c r="DQ180" s="541"/>
      <c r="DR180" s="541"/>
      <c r="DS180" s="541"/>
      <c r="DT180" s="541"/>
      <c r="DU180" s="541"/>
      <c r="DV180" s="541"/>
      <c r="DW180" s="541"/>
      <c r="DX180" s="541"/>
      <c r="DY180" s="541"/>
      <c r="DZ180" s="541"/>
    </row>
    <row r="181" spans="2:130" x14ac:dyDescent="0.25">
      <c r="B181" s="334">
        <v>24</v>
      </c>
      <c r="C181" s="541"/>
      <c r="D181" s="334"/>
      <c r="E181" s="334"/>
      <c r="F181" s="334"/>
      <c r="G181" s="334"/>
      <c r="H181" s="334"/>
      <c r="I181" s="334"/>
      <c r="J181" s="536"/>
      <c r="K181" s="536"/>
      <c r="L181" s="536"/>
      <c r="M181" s="536"/>
      <c r="N181" s="536"/>
      <c r="O181" s="536"/>
      <c r="P181" s="536">
        <f t="shared" si="51"/>
        <v>0</v>
      </c>
      <c r="Q181" s="536"/>
      <c r="R181" s="536"/>
      <c r="S181" s="536"/>
      <c r="T181" s="536">
        <f t="shared" si="52"/>
        <v>0</v>
      </c>
      <c r="U181" s="536"/>
      <c r="V181" s="536"/>
      <c r="W181" s="536"/>
      <c r="X181" s="536">
        <f t="shared" si="53"/>
        <v>0</v>
      </c>
      <c r="Y181" s="536"/>
      <c r="Z181" s="536"/>
      <c r="AA181" s="536"/>
      <c r="AB181" s="536">
        <f t="shared" si="54"/>
        <v>0</v>
      </c>
      <c r="AC181" s="536"/>
      <c r="AD181" s="536"/>
      <c r="AE181" s="536"/>
      <c r="AF181" s="536">
        <f t="shared" si="55"/>
        <v>0</v>
      </c>
      <c r="AG181" s="536"/>
      <c r="AH181" s="536"/>
      <c r="AI181" s="536"/>
      <c r="AJ181" s="536">
        <f t="shared" si="56"/>
        <v>0</v>
      </c>
      <c r="AK181" s="536"/>
      <c r="AL181" s="536"/>
      <c r="AM181" s="536"/>
      <c r="AN181" s="542">
        <f t="shared" si="57"/>
        <v>0</v>
      </c>
      <c r="AO181" s="536"/>
      <c r="AP181" s="536"/>
      <c r="AQ181" s="536"/>
      <c r="AR181" s="542">
        <f t="shared" si="58"/>
        <v>0</v>
      </c>
      <c r="AS181" s="536"/>
      <c r="AT181" s="536"/>
      <c r="AU181" s="536"/>
      <c r="AV181" s="542">
        <f t="shared" si="59"/>
        <v>0</v>
      </c>
      <c r="AW181" s="536"/>
      <c r="AX181" s="536"/>
      <c r="AY181" s="536"/>
      <c r="AZ181" s="542">
        <f t="shared" si="60"/>
        <v>0</v>
      </c>
      <c r="BA181" s="536"/>
      <c r="BB181" s="536"/>
      <c r="BC181" s="536"/>
      <c r="BD181" s="542">
        <f t="shared" si="61"/>
        <v>0</v>
      </c>
      <c r="BE181" s="536"/>
      <c r="BF181" s="536"/>
      <c r="BG181" s="536"/>
      <c r="BH181" s="542">
        <f t="shared" si="62"/>
        <v>0</v>
      </c>
      <c r="BI181" s="536"/>
      <c r="BJ181" s="536"/>
      <c r="BK181" s="536"/>
      <c r="BL181" s="542">
        <f t="shared" si="63"/>
        <v>0</v>
      </c>
      <c r="BM181" s="536"/>
      <c r="BN181" s="536"/>
      <c r="BO181" s="536"/>
      <c r="BP181" s="542">
        <f t="shared" si="64"/>
        <v>0</v>
      </c>
      <c r="BQ181" s="536"/>
      <c r="BR181" s="536"/>
      <c r="BS181" s="536"/>
      <c r="BT181" s="542">
        <f t="shared" si="65"/>
        <v>0</v>
      </c>
      <c r="BU181" s="536"/>
      <c r="BV181" s="536"/>
      <c r="BW181" s="536"/>
      <c r="BX181" s="542">
        <f t="shared" si="66"/>
        <v>0</v>
      </c>
      <c r="BY181" s="536"/>
      <c r="BZ181" s="536"/>
      <c r="CA181" s="536"/>
      <c r="CB181" s="542">
        <v>0</v>
      </c>
      <c r="CC181" s="536"/>
      <c r="CD181" s="536"/>
      <c r="CE181" s="536"/>
      <c r="CF181" s="541">
        <f t="shared" si="67"/>
        <v>0</v>
      </c>
      <c r="CG181" s="536"/>
      <c r="CH181" s="536"/>
      <c r="CI181" s="536"/>
      <c r="CJ181" s="541">
        <f t="shared" si="68"/>
        <v>0</v>
      </c>
      <c r="CK181" s="536"/>
      <c r="CL181" s="536"/>
      <c r="CM181" s="536"/>
      <c r="CN181" s="541">
        <f t="shared" si="69"/>
        <v>0</v>
      </c>
      <c r="CO181" s="536"/>
      <c r="CP181" s="536"/>
      <c r="CQ181" s="536"/>
      <c r="CR181" s="541">
        <f t="shared" si="70"/>
        <v>0</v>
      </c>
      <c r="CS181" s="536"/>
      <c r="CT181" s="536"/>
      <c r="CU181" s="536"/>
      <c r="CV181" s="541">
        <f t="shared" si="71"/>
        <v>0</v>
      </c>
      <c r="CW181" s="536"/>
      <c r="CX181" s="536"/>
      <c r="CY181" s="536"/>
      <c r="CZ181" s="541">
        <f t="shared" si="72"/>
        <v>0</v>
      </c>
      <c r="DA181" s="536"/>
      <c r="DB181" s="536"/>
      <c r="DC181" s="536"/>
      <c r="DD181" s="541">
        <f t="shared" si="73"/>
        <v>0</v>
      </c>
      <c r="DE181" s="536"/>
      <c r="DF181" s="536"/>
      <c r="DG181" s="536"/>
      <c r="DH181" s="541">
        <f t="shared" si="74"/>
        <v>0</v>
      </c>
      <c r="DI181" s="536"/>
      <c r="DJ181" s="536"/>
      <c r="DK181" s="536"/>
      <c r="DL181" s="541">
        <f t="shared" si="75"/>
        <v>0</v>
      </c>
      <c r="DM181" s="536"/>
      <c r="DN181" s="536"/>
      <c r="DO181" s="536"/>
      <c r="DP181" s="541">
        <f>IF( SUM((DJ181*(20/100))+(DK181*(30/100))+(DL181*(50/100))) &gt;=9.3,9.5,
IF(AND( SUM((DJ181*(20/100))+(DK181*(30/100))+(DL181*(50/100))) &lt;=9.3, SUM((DJ181*(20/100))+(DK181*(30/100))+(DL181*(50/100))) &gt;=8.8),9,
IF(AND( SUM((DJ181*(20/100))+(DK181*(30/100))+(DL181*(50/100))) &lt;=8.8, SUM((DJ181*(20/100))+(DK181*(30/100))+(DL181*(50/100))) &gt;=8.3),8.5,
IF(AND( SUM((DJ181*(20/100))+(DK181*(30/100))+(DL181*(50/100))) &lt;=8.3, SUM((DJ181*(20/100))+(DK181*(30/100))+(DL181*(50/100))) &gt;=7.8),8,
IF(AND( SUM((DJ181*(20/100))+(DK181*(30/100))+(DL181*(50/100))) &lt;=7.8, SUM((DJ181*(20/100))+(DK181*(30/100))+(DL181*(50/100))) &gt;=7.3),7.5,
IF(AND( SUM((DJ181*(20/100))+(DK181*(30/100))+(DL181*(50/100))) &lt;=7.3, SUM((DJ181*(20/100))+(DK181*(30/100))+(DL181*(50/100))) &gt;=6.8),7,
IF(AND( SUM((DJ181*(20/100))+(DK181*(30/100))+(DL181*(50/100))) &lt;=6.8, SUM((DJ181*(20/100))+(DK181*(30/100))+(DL181*(50/100))) &gt;=6.3),6.5,
IF(AND( SUM((DJ181*(20/100))+(DK181*(30/100))+(DL181*(50/100))) &lt;=6.3, SUM((DJ181*(20/100))+(DK181*(30/100))+(DL181*(50/100))) &gt;=5.8),6,
IF(AND( SUM((DJ181*(20/100))+(DK181*(30/100))+(DL181*(50/100))) &lt;=5.8, SUM((DJ181*(20/100))+(DK181*(30/100))+(DL181*(50/100))) &gt;=5.3),5.5,
IF(AND( SUM((DJ181*(20/100))+(DK181*(30/100))+(DL181*(50/100))) &lt;=5.3, SUM((DJ181*(20/100))+(DK181*(30/100))+(DL181*(50/100))) &gt;=4.8),5,
IF(AND( SUM((DJ181*(20/100))+(DK181*(30/100))+(DL181*(50/100))) &lt;=4.8, SUM((DJ181*(20/100))+(DK181*(30/100))+(DL181*(50/100))) &gt;=4.3),4.5,
IF(AND( SUM((DJ181*(20/100))+(DK181*(30/100))+(DL181*(50/100))) &lt;=4.3, SUM((DJ181*(20/100))+(DK181*(30/100))+(DL181*(50/100))) &gt;=3.8),4,
IF(AND( SUM((DJ181*(20/100))+(DK181*(30/100))+(DL181*(50/100))) &lt;=3.8, SUM((DJ181*(20/100))+(DK181*(30/100))+(DL181*(50/100))) &gt;=3.5),3.5,0)))))))))))))</f>
        <v>0</v>
      </c>
      <c r="DQ181" s="541"/>
      <c r="DR181" s="541"/>
      <c r="DS181" s="541"/>
      <c r="DT181" s="541"/>
      <c r="DU181" s="541"/>
      <c r="DV181" s="541"/>
      <c r="DW181" s="541"/>
      <c r="DX181" s="541"/>
      <c r="DY181" s="541"/>
      <c r="DZ181" s="541"/>
    </row>
    <row r="182" spans="2:130" x14ac:dyDescent="0.25">
      <c r="B182" s="334">
        <v>25</v>
      </c>
      <c r="C182" s="541"/>
      <c r="D182" s="334"/>
      <c r="E182" s="334"/>
      <c r="F182" s="334"/>
      <c r="G182" s="334"/>
      <c r="H182" s="334"/>
      <c r="I182" s="334"/>
      <c r="J182" s="536"/>
      <c r="K182" s="536"/>
      <c r="L182" s="536"/>
      <c r="M182" s="536"/>
      <c r="N182" s="536"/>
      <c r="O182" s="536"/>
      <c r="P182" s="536">
        <f t="shared" si="51"/>
        <v>0</v>
      </c>
      <c r="Q182" s="536"/>
      <c r="R182" s="536"/>
      <c r="S182" s="536"/>
      <c r="T182" s="536">
        <f t="shared" si="52"/>
        <v>0</v>
      </c>
      <c r="U182" s="536"/>
      <c r="V182" s="536"/>
      <c r="W182" s="536"/>
      <c r="X182" s="536">
        <f t="shared" si="53"/>
        <v>0</v>
      </c>
      <c r="Y182" s="536"/>
      <c r="Z182" s="536"/>
      <c r="AA182" s="536"/>
      <c r="AB182" s="536">
        <f t="shared" si="54"/>
        <v>0</v>
      </c>
      <c r="AC182" s="536"/>
      <c r="AD182" s="536"/>
      <c r="AE182" s="536"/>
      <c r="AF182" s="536">
        <f t="shared" si="55"/>
        <v>0</v>
      </c>
      <c r="AG182" s="536"/>
      <c r="AH182" s="536"/>
      <c r="AI182" s="536"/>
      <c r="AJ182" s="536">
        <f t="shared" si="56"/>
        <v>0</v>
      </c>
      <c r="AK182" s="536"/>
      <c r="AL182" s="536"/>
      <c r="AM182" s="536"/>
      <c r="AN182" s="542">
        <f t="shared" si="57"/>
        <v>0</v>
      </c>
      <c r="AO182" s="536"/>
      <c r="AP182" s="536"/>
      <c r="AQ182" s="536"/>
      <c r="AR182" s="542">
        <f t="shared" si="58"/>
        <v>0</v>
      </c>
      <c r="AS182" s="536"/>
      <c r="AT182" s="536"/>
      <c r="AU182" s="536"/>
      <c r="AV182" s="542">
        <f t="shared" si="59"/>
        <v>0</v>
      </c>
      <c r="AW182" s="536"/>
      <c r="AX182" s="536"/>
      <c r="AY182" s="536"/>
      <c r="AZ182" s="542">
        <f t="shared" si="60"/>
        <v>0</v>
      </c>
      <c r="BA182" s="536"/>
      <c r="BB182" s="536"/>
      <c r="BC182" s="536"/>
      <c r="BD182" s="542">
        <f t="shared" si="61"/>
        <v>0</v>
      </c>
      <c r="BE182" s="536"/>
      <c r="BF182" s="536"/>
      <c r="BG182" s="536"/>
      <c r="BH182" s="542">
        <f t="shared" si="62"/>
        <v>0</v>
      </c>
      <c r="BI182" s="536"/>
      <c r="BJ182" s="536"/>
      <c r="BK182" s="536"/>
      <c r="BL182" s="542">
        <f t="shared" si="63"/>
        <v>0</v>
      </c>
      <c r="BM182" s="536"/>
      <c r="BN182" s="536"/>
      <c r="BO182" s="536"/>
      <c r="BP182" s="542">
        <f t="shared" si="64"/>
        <v>0</v>
      </c>
      <c r="BQ182" s="536"/>
      <c r="BR182" s="536"/>
      <c r="BS182" s="536"/>
      <c r="BT182" s="542">
        <f t="shared" si="65"/>
        <v>0</v>
      </c>
      <c r="BU182" s="536"/>
      <c r="BV182" s="536"/>
      <c r="BW182" s="536"/>
      <c r="BX182" s="542">
        <f t="shared" si="66"/>
        <v>0</v>
      </c>
      <c r="BY182" s="536"/>
      <c r="BZ182" s="536"/>
      <c r="CA182" s="536"/>
      <c r="CB182" s="542">
        <v>0</v>
      </c>
      <c r="CC182" s="536"/>
      <c r="CD182" s="536"/>
      <c r="CE182" s="536"/>
      <c r="CF182" s="541">
        <f t="shared" si="67"/>
        <v>0</v>
      </c>
      <c r="CG182" s="536"/>
      <c r="CH182" s="536"/>
      <c r="CI182" s="536"/>
      <c r="CJ182" s="541">
        <f t="shared" si="68"/>
        <v>0</v>
      </c>
      <c r="CK182" s="536"/>
      <c r="CL182" s="536"/>
      <c r="CM182" s="536"/>
      <c r="CN182" s="541">
        <f t="shared" si="69"/>
        <v>0</v>
      </c>
      <c r="CO182" s="536"/>
      <c r="CP182" s="536"/>
      <c r="CQ182" s="536"/>
      <c r="CR182" s="541">
        <f t="shared" si="70"/>
        <v>0</v>
      </c>
      <c r="CS182" s="536"/>
      <c r="CT182" s="536"/>
      <c r="CU182" s="536"/>
      <c r="CV182" s="541">
        <f t="shared" si="71"/>
        <v>0</v>
      </c>
      <c r="CW182" s="536"/>
      <c r="CX182" s="536"/>
      <c r="CY182" s="536"/>
      <c r="CZ182" s="541">
        <f t="shared" si="72"/>
        <v>0</v>
      </c>
      <c r="DA182" s="536"/>
      <c r="DB182" s="536"/>
      <c r="DC182" s="536"/>
      <c r="DD182" s="541">
        <f t="shared" si="73"/>
        <v>0</v>
      </c>
      <c r="DE182" s="536"/>
      <c r="DF182" s="536"/>
      <c r="DG182" s="536"/>
      <c r="DH182" s="541">
        <f t="shared" si="74"/>
        <v>0</v>
      </c>
      <c r="DI182" s="536"/>
      <c r="DJ182" s="536"/>
      <c r="DK182" s="536"/>
      <c r="DL182" s="541">
        <f t="shared" si="75"/>
        <v>0</v>
      </c>
      <c r="DM182" s="536"/>
      <c r="DN182" s="536"/>
      <c r="DO182" s="536"/>
      <c r="DP182" s="541">
        <f>IF( SUM((DJ182*(20/100))+(DK182*(30/100))+(DL182*(50/100))) &gt;=9.3,9.5,
IF(AND( SUM((DJ182*(20/100))+(DK182*(30/100))+(DL182*(50/100))) &lt;=9.3, SUM((DJ182*(20/100))+(DK182*(30/100))+(DL182*(50/100))) &gt;=8.8),9,
IF(AND( SUM((DJ182*(20/100))+(DK182*(30/100))+(DL182*(50/100))) &lt;=8.8, SUM((DJ182*(20/100))+(DK182*(30/100))+(DL182*(50/100))) &gt;=8.3),8.5,
IF(AND( SUM((DJ182*(20/100))+(DK182*(30/100))+(DL182*(50/100))) &lt;=8.3, SUM((DJ182*(20/100))+(DK182*(30/100))+(DL182*(50/100))) &gt;=7.8),8,
IF(AND( SUM((DJ182*(20/100))+(DK182*(30/100))+(DL182*(50/100))) &lt;=7.8, SUM((DJ182*(20/100))+(DK182*(30/100))+(DL182*(50/100))) &gt;=7.3),7.5,
IF(AND( SUM((DJ182*(20/100))+(DK182*(30/100))+(DL182*(50/100))) &lt;=7.3, SUM((DJ182*(20/100))+(DK182*(30/100))+(DL182*(50/100))) &gt;=6.8),7,
IF(AND( SUM((DJ182*(20/100))+(DK182*(30/100))+(DL182*(50/100))) &lt;=6.8, SUM((DJ182*(20/100))+(DK182*(30/100))+(DL182*(50/100))) &gt;=6.3),6.5,
IF(AND( SUM((DJ182*(20/100))+(DK182*(30/100))+(DL182*(50/100))) &lt;=6.3, SUM((DJ182*(20/100))+(DK182*(30/100))+(DL182*(50/100))) &gt;=5.8),6,
IF(AND( SUM((DJ182*(20/100))+(DK182*(30/100))+(DL182*(50/100))) &lt;=5.8, SUM((DJ182*(20/100))+(DK182*(30/100))+(DL182*(50/100))) &gt;=5.3),5.5,
IF(AND( SUM((DJ182*(20/100))+(DK182*(30/100))+(DL182*(50/100))) &lt;=5.3, SUM((DJ182*(20/100))+(DK182*(30/100))+(DL182*(50/100))) &gt;=4.8),5,
IF(AND( SUM((DJ182*(20/100))+(DK182*(30/100))+(DL182*(50/100))) &lt;=4.8, SUM((DJ182*(20/100))+(DK182*(30/100))+(DL182*(50/100))) &gt;=4.3),4.5,
IF(AND( SUM((DJ182*(20/100))+(DK182*(30/100))+(DL182*(50/100))) &lt;=4.3, SUM((DJ182*(20/100))+(DK182*(30/100))+(DL182*(50/100))) &gt;=3.8),4,
IF(AND( SUM((DJ182*(20/100))+(DK182*(30/100))+(DL182*(50/100))) &lt;=3.8, SUM((DJ182*(20/100))+(DK182*(30/100))+(DL182*(50/100))) &gt;=3.5),3.5,0)))))))))))))</f>
        <v>0</v>
      </c>
      <c r="DQ182" s="541"/>
      <c r="DR182" s="541"/>
      <c r="DS182" s="541"/>
      <c r="DT182" s="541"/>
      <c r="DU182" s="541"/>
      <c r="DV182" s="541"/>
      <c r="DW182" s="541"/>
      <c r="DX182" s="541"/>
      <c r="DY182" s="541"/>
      <c r="DZ182" s="541"/>
    </row>
    <row r="183" spans="2:130" x14ac:dyDescent="0.25">
      <c r="B183" s="334">
        <v>26</v>
      </c>
      <c r="C183" s="541"/>
      <c r="D183" s="334"/>
      <c r="E183" s="334"/>
      <c r="F183" s="334"/>
      <c r="G183" s="334"/>
      <c r="H183" s="334"/>
      <c r="I183" s="334"/>
      <c r="J183" s="536"/>
      <c r="K183" s="536"/>
      <c r="L183" s="536"/>
      <c r="M183" s="536"/>
      <c r="N183" s="536"/>
      <c r="O183" s="536"/>
      <c r="P183" s="536">
        <f t="shared" si="51"/>
        <v>0</v>
      </c>
      <c r="Q183" s="536"/>
      <c r="R183" s="536"/>
      <c r="S183" s="536"/>
      <c r="T183" s="536">
        <f t="shared" si="52"/>
        <v>0</v>
      </c>
      <c r="U183" s="536"/>
      <c r="V183" s="536"/>
      <c r="W183" s="536"/>
      <c r="X183" s="536">
        <f t="shared" si="53"/>
        <v>0</v>
      </c>
      <c r="Y183" s="536"/>
      <c r="Z183" s="536"/>
      <c r="AA183" s="536"/>
      <c r="AB183" s="536">
        <f t="shared" si="54"/>
        <v>0</v>
      </c>
      <c r="AC183" s="536"/>
      <c r="AD183" s="536"/>
      <c r="AE183" s="536"/>
      <c r="AF183" s="536">
        <f t="shared" si="55"/>
        <v>0</v>
      </c>
      <c r="AG183" s="536"/>
      <c r="AH183" s="536"/>
      <c r="AI183" s="536"/>
      <c r="AJ183" s="536">
        <f t="shared" si="56"/>
        <v>0</v>
      </c>
      <c r="AK183" s="536"/>
      <c r="AL183" s="536"/>
      <c r="AM183" s="536"/>
      <c r="AN183" s="542">
        <f t="shared" si="57"/>
        <v>0</v>
      </c>
      <c r="AO183" s="536"/>
      <c r="AP183" s="536"/>
      <c r="AQ183" s="536"/>
      <c r="AR183" s="542">
        <f t="shared" si="58"/>
        <v>0</v>
      </c>
      <c r="AS183" s="536"/>
      <c r="AT183" s="536"/>
      <c r="AU183" s="536"/>
      <c r="AV183" s="542">
        <f t="shared" si="59"/>
        <v>0</v>
      </c>
      <c r="AW183" s="536"/>
      <c r="AX183" s="536"/>
      <c r="AY183" s="536"/>
      <c r="AZ183" s="542">
        <f t="shared" si="60"/>
        <v>0</v>
      </c>
      <c r="BA183" s="536"/>
      <c r="BB183" s="536"/>
      <c r="BC183" s="536"/>
      <c r="BD183" s="542">
        <f t="shared" si="61"/>
        <v>0</v>
      </c>
      <c r="BE183" s="536"/>
      <c r="BF183" s="536"/>
      <c r="BG183" s="536"/>
      <c r="BH183" s="542">
        <f t="shared" si="62"/>
        <v>0</v>
      </c>
      <c r="BI183" s="536"/>
      <c r="BJ183" s="536"/>
      <c r="BK183" s="536"/>
      <c r="BL183" s="542">
        <f t="shared" si="63"/>
        <v>0</v>
      </c>
      <c r="BM183" s="536"/>
      <c r="BN183" s="536"/>
      <c r="BO183" s="536"/>
      <c r="BP183" s="542">
        <f t="shared" si="64"/>
        <v>0</v>
      </c>
      <c r="BQ183" s="536"/>
      <c r="BR183" s="536"/>
      <c r="BS183" s="536"/>
      <c r="BT183" s="542">
        <f t="shared" si="65"/>
        <v>0</v>
      </c>
      <c r="BU183" s="536"/>
      <c r="BV183" s="536"/>
      <c r="BW183" s="536"/>
      <c r="BX183" s="542">
        <f t="shared" si="66"/>
        <v>0</v>
      </c>
      <c r="BY183" s="536"/>
      <c r="BZ183" s="536"/>
      <c r="CA183" s="536"/>
      <c r="CB183" s="542">
        <v>0</v>
      </c>
      <c r="CC183" s="536"/>
      <c r="CD183" s="536"/>
      <c r="CE183" s="536"/>
      <c r="CF183" s="541">
        <f t="shared" si="67"/>
        <v>0</v>
      </c>
      <c r="CG183" s="536"/>
      <c r="CH183" s="536"/>
      <c r="CI183" s="536"/>
      <c r="CJ183" s="541">
        <f t="shared" si="68"/>
        <v>0</v>
      </c>
      <c r="CK183" s="536"/>
      <c r="CL183" s="536"/>
      <c r="CM183" s="536"/>
      <c r="CN183" s="541">
        <f t="shared" si="69"/>
        <v>0</v>
      </c>
      <c r="CO183" s="536"/>
      <c r="CP183" s="536"/>
      <c r="CQ183" s="536"/>
      <c r="CR183" s="541">
        <f t="shared" si="70"/>
        <v>0</v>
      </c>
      <c r="CS183" s="536"/>
      <c r="CT183" s="536"/>
      <c r="CU183" s="536"/>
      <c r="CV183" s="541">
        <f t="shared" si="71"/>
        <v>0</v>
      </c>
      <c r="CW183" s="536"/>
      <c r="CX183" s="536"/>
      <c r="CY183" s="536"/>
      <c r="CZ183" s="541">
        <f t="shared" si="72"/>
        <v>0</v>
      </c>
      <c r="DA183" s="536"/>
      <c r="DB183" s="536"/>
      <c r="DC183" s="536"/>
      <c r="DD183" s="541">
        <f t="shared" si="73"/>
        <v>0</v>
      </c>
      <c r="DE183" s="536"/>
      <c r="DF183" s="536"/>
      <c r="DG183" s="536"/>
      <c r="DH183" s="541">
        <f t="shared" si="74"/>
        <v>0</v>
      </c>
      <c r="DI183" s="536"/>
      <c r="DJ183" s="536"/>
      <c r="DK183" s="536"/>
      <c r="DL183" s="541">
        <f t="shared" si="75"/>
        <v>0</v>
      </c>
      <c r="DM183" s="536"/>
      <c r="DN183" s="536"/>
      <c r="DO183" s="536"/>
      <c r="DP183" s="541">
        <f>IF( SUM((DJ183*(20/100))+(DK183*(30/100))+(DL183*(50/100))) &gt;=9.3,9.5,
IF(AND( SUM((DJ183*(20/100))+(DK183*(30/100))+(DL183*(50/100))) &lt;=9.3, SUM((DJ183*(20/100))+(DK183*(30/100))+(DL183*(50/100))) &gt;=8.8),9,
IF(AND( SUM((DJ183*(20/100))+(DK183*(30/100))+(DL183*(50/100))) &lt;=8.8, SUM((DJ183*(20/100))+(DK183*(30/100))+(DL183*(50/100))) &gt;=8.3),8.5,
IF(AND( SUM((DJ183*(20/100))+(DK183*(30/100))+(DL183*(50/100))) &lt;=8.3, SUM((DJ183*(20/100))+(DK183*(30/100))+(DL183*(50/100))) &gt;=7.8),8,
IF(AND( SUM((DJ183*(20/100))+(DK183*(30/100))+(DL183*(50/100))) &lt;=7.8, SUM((DJ183*(20/100))+(DK183*(30/100))+(DL183*(50/100))) &gt;=7.3),7.5,
IF(AND( SUM((DJ183*(20/100))+(DK183*(30/100))+(DL183*(50/100))) &lt;=7.3, SUM((DJ183*(20/100))+(DK183*(30/100))+(DL183*(50/100))) &gt;=6.8),7,
IF(AND( SUM((DJ183*(20/100))+(DK183*(30/100))+(DL183*(50/100))) &lt;=6.8, SUM((DJ183*(20/100))+(DK183*(30/100))+(DL183*(50/100))) &gt;=6.3),6.5,
IF(AND( SUM((DJ183*(20/100))+(DK183*(30/100))+(DL183*(50/100))) &lt;=6.3, SUM((DJ183*(20/100))+(DK183*(30/100))+(DL183*(50/100))) &gt;=5.8),6,
IF(AND( SUM((DJ183*(20/100))+(DK183*(30/100))+(DL183*(50/100))) &lt;=5.8, SUM((DJ183*(20/100))+(DK183*(30/100))+(DL183*(50/100))) &gt;=5.3),5.5,
IF(AND( SUM((DJ183*(20/100))+(DK183*(30/100))+(DL183*(50/100))) &lt;=5.3, SUM((DJ183*(20/100))+(DK183*(30/100))+(DL183*(50/100))) &gt;=4.8),5,
IF(AND( SUM((DJ183*(20/100))+(DK183*(30/100))+(DL183*(50/100))) &lt;=4.8, SUM((DJ183*(20/100))+(DK183*(30/100))+(DL183*(50/100))) &gt;=4.3),4.5,
IF(AND( SUM((DJ183*(20/100))+(DK183*(30/100))+(DL183*(50/100))) &lt;=4.3, SUM((DJ183*(20/100))+(DK183*(30/100))+(DL183*(50/100))) &gt;=3.8),4,
IF(AND( SUM((DJ183*(20/100))+(DK183*(30/100))+(DL183*(50/100))) &lt;=3.8, SUM((DJ183*(20/100))+(DK183*(30/100))+(DL183*(50/100))) &gt;=3.5),3.5,0)))))))))))))</f>
        <v>0</v>
      </c>
      <c r="DQ183" s="541"/>
      <c r="DR183" s="541"/>
      <c r="DS183" s="541"/>
      <c r="DT183" s="541"/>
      <c r="DU183" s="541"/>
      <c r="DV183" s="541"/>
      <c r="DW183" s="541"/>
      <c r="DX183" s="541"/>
      <c r="DY183" s="541"/>
      <c r="DZ183" s="541"/>
    </row>
    <row r="184" spans="2:130" x14ac:dyDescent="0.25">
      <c r="B184" s="334">
        <v>27</v>
      </c>
      <c r="C184" s="541"/>
      <c r="D184" s="334"/>
      <c r="E184" s="334"/>
      <c r="F184" s="334"/>
      <c r="G184" s="334"/>
      <c r="H184" s="334"/>
      <c r="I184" s="334"/>
      <c r="J184" s="536"/>
      <c r="K184" s="536"/>
      <c r="L184" s="536"/>
      <c r="M184" s="536"/>
      <c r="N184" s="536"/>
      <c r="O184" s="536"/>
      <c r="P184" s="536">
        <f t="shared" si="51"/>
        <v>0</v>
      </c>
      <c r="Q184" s="536"/>
      <c r="R184" s="536"/>
      <c r="S184" s="536"/>
      <c r="T184" s="536">
        <f t="shared" si="52"/>
        <v>0</v>
      </c>
      <c r="U184" s="536"/>
      <c r="V184" s="536"/>
      <c r="W184" s="536"/>
      <c r="X184" s="536">
        <f t="shared" si="53"/>
        <v>0</v>
      </c>
      <c r="Y184" s="536"/>
      <c r="Z184" s="536"/>
      <c r="AA184" s="536"/>
      <c r="AB184" s="536">
        <f t="shared" si="54"/>
        <v>0</v>
      </c>
      <c r="AC184" s="536"/>
      <c r="AD184" s="536"/>
      <c r="AE184" s="536"/>
      <c r="AF184" s="536">
        <f t="shared" si="55"/>
        <v>0</v>
      </c>
      <c r="AG184" s="536"/>
      <c r="AH184" s="536"/>
      <c r="AI184" s="536"/>
      <c r="AJ184" s="536">
        <f t="shared" si="56"/>
        <v>0</v>
      </c>
      <c r="AK184" s="536"/>
      <c r="AL184" s="536"/>
      <c r="AM184" s="536"/>
      <c r="AN184" s="542">
        <f t="shared" si="57"/>
        <v>0</v>
      </c>
      <c r="AO184" s="536"/>
      <c r="AP184" s="536"/>
      <c r="AQ184" s="536"/>
      <c r="AR184" s="542">
        <f t="shared" si="58"/>
        <v>0</v>
      </c>
      <c r="AS184" s="536"/>
      <c r="AT184" s="536"/>
      <c r="AU184" s="536"/>
      <c r="AV184" s="542">
        <f t="shared" si="59"/>
        <v>0</v>
      </c>
      <c r="AW184" s="536"/>
      <c r="AX184" s="536"/>
      <c r="AY184" s="536"/>
      <c r="AZ184" s="542">
        <f t="shared" si="60"/>
        <v>0</v>
      </c>
      <c r="BA184" s="536"/>
      <c r="BB184" s="536"/>
      <c r="BC184" s="536"/>
      <c r="BD184" s="542">
        <f t="shared" si="61"/>
        <v>0</v>
      </c>
      <c r="BE184" s="536"/>
      <c r="BF184" s="536"/>
      <c r="BG184" s="536"/>
      <c r="BH184" s="542">
        <f t="shared" si="62"/>
        <v>0</v>
      </c>
      <c r="BI184" s="536"/>
      <c r="BJ184" s="536"/>
      <c r="BK184" s="536"/>
      <c r="BL184" s="542">
        <f t="shared" si="63"/>
        <v>0</v>
      </c>
      <c r="BM184" s="536"/>
      <c r="BN184" s="536"/>
      <c r="BO184" s="536"/>
      <c r="BP184" s="542">
        <f t="shared" si="64"/>
        <v>0</v>
      </c>
      <c r="BQ184" s="536"/>
      <c r="BR184" s="536"/>
      <c r="BS184" s="536"/>
      <c r="BT184" s="542">
        <f t="shared" si="65"/>
        <v>0</v>
      </c>
      <c r="BU184" s="536"/>
      <c r="BV184" s="536"/>
      <c r="BW184" s="536"/>
      <c r="BX184" s="542">
        <f t="shared" si="66"/>
        <v>0</v>
      </c>
      <c r="BY184" s="536"/>
      <c r="BZ184" s="536"/>
      <c r="CA184" s="536"/>
      <c r="CB184" s="542">
        <v>0</v>
      </c>
      <c r="CC184" s="536"/>
      <c r="CD184" s="536"/>
      <c r="CE184" s="536"/>
      <c r="CF184" s="541">
        <f t="shared" si="67"/>
        <v>0</v>
      </c>
      <c r="CG184" s="536"/>
      <c r="CH184" s="536"/>
      <c r="CI184" s="536"/>
      <c r="CJ184" s="541">
        <f t="shared" si="68"/>
        <v>0</v>
      </c>
      <c r="CK184" s="536"/>
      <c r="CL184" s="536"/>
      <c r="CM184" s="536"/>
      <c r="CN184" s="541">
        <f t="shared" si="69"/>
        <v>0</v>
      </c>
      <c r="CO184" s="536"/>
      <c r="CP184" s="536"/>
      <c r="CQ184" s="536"/>
      <c r="CR184" s="541">
        <f t="shared" si="70"/>
        <v>0</v>
      </c>
      <c r="CS184" s="536"/>
      <c r="CT184" s="536"/>
      <c r="CU184" s="536"/>
      <c r="CV184" s="541">
        <f t="shared" si="71"/>
        <v>0</v>
      </c>
      <c r="CW184" s="536"/>
      <c r="CX184" s="536"/>
      <c r="CY184" s="536"/>
      <c r="CZ184" s="541">
        <f t="shared" si="72"/>
        <v>0</v>
      </c>
      <c r="DA184" s="536"/>
      <c r="DB184" s="536"/>
      <c r="DC184" s="536"/>
      <c r="DD184" s="541">
        <f t="shared" si="73"/>
        <v>0</v>
      </c>
      <c r="DE184" s="536"/>
      <c r="DF184" s="536"/>
      <c r="DG184" s="536"/>
      <c r="DH184" s="541">
        <f t="shared" si="74"/>
        <v>0</v>
      </c>
      <c r="DI184" s="536"/>
      <c r="DJ184" s="536"/>
      <c r="DK184" s="536"/>
      <c r="DL184" s="541">
        <f t="shared" si="75"/>
        <v>0</v>
      </c>
      <c r="DM184" s="536"/>
      <c r="DN184" s="536"/>
      <c r="DO184" s="536"/>
      <c r="DP184" s="541">
        <f>IF( SUM((DJ184*(20/100))+(DK184*(30/100))+(DL184*(50/100))) &gt;=9.3,9.5,
IF(AND( SUM((DJ184*(20/100))+(DK184*(30/100))+(DL184*(50/100))) &lt;=9.3, SUM((DJ184*(20/100))+(DK184*(30/100))+(DL184*(50/100))) &gt;=8.8),9,
IF(AND( SUM((DJ184*(20/100))+(DK184*(30/100))+(DL184*(50/100))) &lt;=8.8, SUM((DJ184*(20/100))+(DK184*(30/100))+(DL184*(50/100))) &gt;=8.3),8.5,
IF(AND( SUM((DJ184*(20/100))+(DK184*(30/100))+(DL184*(50/100))) &lt;=8.3, SUM((DJ184*(20/100))+(DK184*(30/100))+(DL184*(50/100))) &gt;=7.8),8,
IF(AND( SUM((DJ184*(20/100))+(DK184*(30/100))+(DL184*(50/100))) &lt;=7.8, SUM((DJ184*(20/100))+(DK184*(30/100))+(DL184*(50/100))) &gt;=7.3),7.5,
IF(AND( SUM((DJ184*(20/100))+(DK184*(30/100))+(DL184*(50/100))) &lt;=7.3, SUM((DJ184*(20/100))+(DK184*(30/100))+(DL184*(50/100))) &gt;=6.8),7,
IF(AND( SUM((DJ184*(20/100))+(DK184*(30/100))+(DL184*(50/100))) &lt;=6.8, SUM((DJ184*(20/100))+(DK184*(30/100))+(DL184*(50/100))) &gt;=6.3),6.5,
IF(AND( SUM((DJ184*(20/100))+(DK184*(30/100))+(DL184*(50/100))) &lt;=6.3, SUM((DJ184*(20/100))+(DK184*(30/100))+(DL184*(50/100))) &gt;=5.8),6,
IF(AND( SUM((DJ184*(20/100))+(DK184*(30/100))+(DL184*(50/100))) &lt;=5.8, SUM((DJ184*(20/100))+(DK184*(30/100))+(DL184*(50/100))) &gt;=5.3),5.5,
IF(AND( SUM((DJ184*(20/100))+(DK184*(30/100))+(DL184*(50/100))) &lt;=5.3, SUM((DJ184*(20/100))+(DK184*(30/100))+(DL184*(50/100))) &gt;=4.8),5,
IF(AND( SUM((DJ184*(20/100))+(DK184*(30/100))+(DL184*(50/100))) &lt;=4.8, SUM((DJ184*(20/100))+(DK184*(30/100))+(DL184*(50/100))) &gt;=4.3),4.5,
IF(AND( SUM((DJ184*(20/100))+(DK184*(30/100))+(DL184*(50/100))) &lt;=4.3, SUM((DJ184*(20/100))+(DK184*(30/100))+(DL184*(50/100))) &gt;=3.8),4,
IF(AND( SUM((DJ184*(20/100))+(DK184*(30/100))+(DL184*(50/100))) &lt;=3.8, SUM((DJ184*(20/100))+(DK184*(30/100))+(DL184*(50/100))) &gt;=3.5),3.5,0)))))))))))))</f>
        <v>0</v>
      </c>
      <c r="DQ184" s="541"/>
      <c r="DR184" s="541"/>
      <c r="DS184" s="541"/>
      <c r="DT184" s="541"/>
      <c r="DU184" s="541"/>
      <c r="DV184" s="541"/>
      <c r="DW184" s="541"/>
      <c r="DX184" s="541"/>
      <c r="DY184" s="541"/>
      <c r="DZ184" s="541"/>
    </row>
    <row r="185" spans="2:130" x14ac:dyDescent="0.25">
      <c r="B185" s="334">
        <v>28</v>
      </c>
      <c r="C185" s="541"/>
      <c r="D185" s="334"/>
      <c r="E185" s="334"/>
      <c r="F185" s="334"/>
      <c r="G185" s="334"/>
      <c r="H185" s="334"/>
      <c r="I185" s="334"/>
      <c r="J185" s="536"/>
      <c r="K185" s="536"/>
      <c r="L185" s="536"/>
      <c r="M185" s="536"/>
      <c r="N185" s="536"/>
      <c r="O185" s="536"/>
      <c r="P185" s="536">
        <f t="shared" si="51"/>
        <v>0</v>
      </c>
      <c r="Q185" s="536"/>
      <c r="R185" s="536"/>
      <c r="S185" s="536"/>
      <c r="T185" s="536">
        <f t="shared" si="52"/>
        <v>0</v>
      </c>
      <c r="U185" s="536"/>
      <c r="V185" s="536"/>
      <c r="W185" s="536"/>
      <c r="X185" s="536">
        <f t="shared" si="53"/>
        <v>0</v>
      </c>
      <c r="Y185" s="536"/>
      <c r="Z185" s="536"/>
      <c r="AA185" s="536"/>
      <c r="AB185" s="536">
        <f t="shared" si="54"/>
        <v>0</v>
      </c>
      <c r="AC185" s="536"/>
      <c r="AD185" s="536"/>
      <c r="AE185" s="536"/>
      <c r="AF185" s="536">
        <f t="shared" si="55"/>
        <v>0</v>
      </c>
      <c r="AG185" s="536"/>
      <c r="AH185" s="536"/>
      <c r="AI185" s="536"/>
      <c r="AJ185" s="536">
        <f t="shared" si="56"/>
        <v>0</v>
      </c>
      <c r="AK185" s="536"/>
      <c r="AL185" s="536"/>
      <c r="AM185" s="536"/>
      <c r="AN185" s="542">
        <f t="shared" si="57"/>
        <v>0</v>
      </c>
      <c r="AO185" s="536"/>
      <c r="AP185" s="536"/>
      <c r="AQ185" s="536"/>
      <c r="AR185" s="542">
        <f t="shared" si="58"/>
        <v>0</v>
      </c>
      <c r="AS185" s="536"/>
      <c r="AT185" s="536"/>
      <c r="AU185" s="536"/>
      <c r="AV185" s="542">
        <f t="shared" si="59"/>
        <v>0</v>
      </c>
      <c r="AW185" s="536"/>
      <c r="AX185" s="536"/>
      <c r="AY185" s="536"/>
      <c r="AZ185" s="542">
        <f t="shared" si="60"/>
        <v>0</v>
      </c>
      <c r="BA185" s="536"/>
      <c r="BB185" s="536"/>
      <c r="BC185" s="536"/>
      <c r="BD185" s="542">
        <f t="shared" si="61"/>
        <v>0</v>
      </c>
      <c r="BE185" s="536"/>
      <c r="BF185" s="536"/>
      <c r="BG185" s="536"/>
      <c r="BH185" s="542">
        <f t="shared" si="62"/>
        <v>0</v>
      </c>
      <c r="BI185" s="536"/>
      <c r="BJ185" s="536"/>
      <c r="BK185" s="536"/>
      <c r="BL185" s="542">
        <f t="shared" si="63"/>
        <v>0</v>
      </c>
      <c r="BM185" s="536"/>
      <c r="BN185" s="536"/>
      <c r="BO185" s="536"/>
      <c r="BP185" s="542">
        <f t="shared" si="64"/>
        <v>0</v>
      </c>
      <c r="BQ185" s="536"/>
      <c r="BR185" s="536"/>
      <c r="BS185" s="536"/>
      <c r="BT185" s="542">
        <f t="shared" si="65"/>
        <v>0</v>
      </c>
      <c r="BU185" s="536"/>
      <c r="BV185" s="536"/>
      <c r="BW185" s="536"/>
      <c r="BX185" s="542">
        <f t="shared" si="66"/>
        <v>0</v>
      </c>
      <c r="BY185" s="536"/>
      <c r="BZ185" s="536"/>
      <c r="CA185" s="536"/>
      <c r="CB185" s="542">
        <v>0</v>
      </c>
      <c r="CC185" s="536"/>
      <c r="CD185" s="536"/>
      <c r="CE185" s="536"/>
      <c r="CF185" s="541">
        <f t="shared" si="67"/>
        <v>0</v>
      </c>
      <c r="CG185" s="536"/>
      <c r="CH185" s="536"/>
      <c r="CI185" s="536"/>
      <c r="CJ185" s="541">
        <f t="shared" si="68"/>
        <v>0</v>
      </c>
      <c r="CK185" s="536"/>
      <c r="CL185" s="536"/>
      <c r="CM185" s="536"/>
      <c r="CN185" s="541">
        <f t="shared" si="69"/>
        <v>0</v>
      </c>
      <c r="CO185" s="536"/>
      <c r="CP185" s="536"/>
      <c r="CQ185" s="536"/>
      <c r="CR185" s="541">
        <f t="shared" si="70"/>
        <v>0</v>
      </c>
      <c r="CS185" s="536"/>
      <c r="CT185" s="536"/>
      <c r="CU185" s="536"/>
      <c r="CV185" s="541">
        <f t="shared" si="71"/>
        <v>0</v>
      </c>
      <c r="CW185" s="536"/>
      <c r="CX185" s="536"/>
      <c r="CY185" s="536"/>
      <c r="CZ185" s="541">
        <f t="shared" si="72"/>
        <v>0</v>
      </c>
      <c r="DA185" s="536"/>
      <c r="DB185" s="536"/>
      <c r="DC185" s="536"/>
      <c r="DD185" s="541">
        <f t="shared" si="73"/>
        <v>0</v>
      </c>
      <c r="DE185" s="536"/>
      <c r="DF185" s="536"/>
      <c r="DG185" s="536"/>
      <c r="DH185" s="541">
        <f t="shared" si="74"/>
        <v>0</v>
      </c>
      <c r="DI185" s="536"/>
      <c r="DJ185" s="536"/>
      <c r="DK185" s="536"/>
      <c r="DL185" s="541">
        <f t="shared" si="75"/>
        <v>0</v>
      </c>
      <c r="DM185" s="536"/>
      <c r="DN185" s="536"/>
      <c r="DO185" s="536"/>
      <c r="DP185" s="541">
        <f>IF( SUM((DJ185*(20/100))+(DK185*(30/100))+(DL185*(50/100))) &gt;=9.3,9.5,
IF(AND( SUM((DJ185*(20/100))+(DK185*(30/100))+(DL185*(50/100))) &lt;=9.3, SUM((DJ185*(20/100))+(DK185*(30/100))+(DL185*(50/100))) &gt;=8.8),9,
IF(AND( SUM((DJ185*(20/100))+(DK185*(30/100))+(DL185*(50/100))) &lt;=8.8, SUM((DJ185*(20/100))+(DK185*(30/100))+(DL185*(50/100))) &gt;=8.3),8.5,
IF(AND( SUM((DJ185*(20/100))+(DK185*(30/100))+(DL185*(50/100))) &lt;=8.3, SUM((DJ185*(20/100))+(DK185*(30/100))+(DL185*(50/100))) &gt;=7.8),8,
IF(AND( SUM((DJ185*(20/100))+(DK185*(30/100))+(DL185*(50/100))) &lt;=7.8, SUM((DJ185*(20/100))+(DK185*(30/100))+(DL185*(50/100))) &gt;=7.3),7.5,
IF(AND( SUM((DJ185*(20/100))+(DK185*(30/100))+(DL185*(50/100))) &lt;=7.3, SUM((DJ185*(20/100))+(DK185*(30/100))+(DL185*(50/100))) &gt;=6.8),7,
IF(AND( SUM((DJ185*(20/100))+(DK185*(30/100))+(DL185*(50/100))) &lt;=6.8, SUM((DJ185*(20/100))+(DK185*(30/100))+(DL185*(50/100))) &gt;=6.3),6.5,
IF(AND( SUM((DJ185*(20/100))+(DK185*(30/100))+(DL185*(50/100))) &lt;=6.3, SUM((DJ185*(20/100))+(DK185*(30/100))+(DL185*(50/100))) &gt;=5.8),6,
IF(AND( SUM((DJ185*(20/100))+(DK185*(30/100))+(DL185*(50/100))) &lt;=5.8, SUM((DJ185*(20/100))+(DK185*(30/100))+(DL185*(50/100))) &gt;=5.3),5.5,
IF(AND( SUM((DJ185*(20/100))+(DK185*(30/100))+(DL185*(50/100))) &lt;=5.3, SUM((DJ185*(20/100))+(DK185*(30/100))+(DL185*(50/100))) &gt;=4.8),5,
IF(AND( SUM((DJ185*(20/100))+(DK185*(30/100))+(DL185*(50/100))) &lt;=4.8, SUM((DJ185*(20/100))+(DK185*(30/100))+(DL185*(50/100))) &gt;=4.3),4.5,
IF(AND( SUM((DJ185*(20/100))+(DK185*(30/100))+(DL185*(50/100))) &lt;=4.3, SUM((DJ185*(20/100))+(DK185*(30/100))+(DL185*(50/100))) &gt;=3.8),4,
IF(AND( SUM((DJ185*(20/100))+(DK185*(30/100))+(DL185*(50/100))) &lt;=3.8, SUM((DJ185*(20/100))+(DK185*(30/100))+(DL185*(50/100))) &gt;=3.5),3.5,0)))))))))))))</f>
        <v>0</v>
      </c>
      <c r="DQ185" s="541"/>
      <c r="DR185" s="541"/>
      <c r="DS185" s="541"/>
      <c r="DT185" s="541"/>
      <c r="DU185" s="541"/>
      <c r="DV185" s="541"/>
      <c r="DW185" s="541"/>
      <c r="DX185" s="541"/>
      <c r="DY185" s="541"/>
      <c r="DZ185" s="541"/>
    </row>
    <row r="186" spans="2:130" x14ac:dyDescent="0.25">
      <c r="B186" s="334">
        <v>29</v>
      </c>
      <c r="C186" s="541"/>
      <c r="D186" s="334"/>
      <c r="E186" s="334"/>
      <c r="F186" s="334"/>
      <c r="G186" s="334"/>
      <c r="H186" s="334"/>
      <c r="I186" s="334"/>
      <c r="J186" s="536"/>
      <c r="K186" s="536"/>
      <c r="L186" s="536"/>
      <c r="M186" s="536"/>
      <c r="N186" s="536"/>
      <c r="O186" s="536"/>
      <c r="P186" s="536">
        <f t="shared" si="51"/>
        <v>0</v>
      </c>
      <c r="Q186" s="536"/>
      <c r="R186" s="536"/>
      <c r="S186" s="536"/>
      <c r="T186" s="536">
        <f t="shared" si="52"/>
        <v>0</v>
      </c>
      <c r="U186" s="536"/>
      <c r="V186" s="536"/>
      <c r="W186" s="536"/>
      <c r="X186" s="536">
        <f t="shared" si="53"/>
        <v>0</v>
      </c>
      <c r="Y186" s="536"/>
      <c r="Z186" s="536"/>
      <c r="AA186" s="536"/>
      <c r="AB186" s="536">
        <f t="shared" si="54"/>
        <v>0</v>
      </c>
      <c r="AC186" s="536"/>
      <c r="AD186" s="536"/>
      <c r="AE186" s="536"/>
      <c r="AF186" s="536">
        <f t="shared" si="55"/>
        <v>0</v>
      </c>
      <c r="AG186" s="536"/>
      <c r="AH186" s="536"/>
      <c r="AI186" s="536"/>
      <c r="AJ186" s="536">
        <f t="shared" si="56"/>
        <v>0</v>
      </c>
      <c r="AK186" s="536"/>
      <c r="AL186" s="536"/>
      <c r="AM186" s="536"/>
      <c r="AN186" s="542">
        <f t="shared" si="57"/>
        <v>0</v>
      </c>
      <c r="AO186" s="536"/>
      <c r="AP186" s="536"/>
      <c r="AQ186" s="536"/>
      <c r="AR186" s="542">
        <f t="shared" si="58"/>
        <v>0</v>
      </c>
      <c r="AS186" s="536"/>
      <c r="AT186" s="536"/>
      <c r="AU186" s="536"/>
      <c r="AV186" s="542">
        <f t="shared" si="59"/>
        <v>0</v>
      </c>
      <c r="AW186" s="536"/>
      <c r="AX186" s="536"/>
      <c r="AY186" s="536"/>
      <c r="AZ186" s="542">
        <f t="shared" si="60"/>
        <v>0</v>
      </c>
      <c r="BA186" s="536"/>
      <c r="BB186" s="536"/>
      <c r="BC186" s="536"/>
      <c r="BD186" s="542">
        <f t="shared" si="61"/>
        <v>0</v>
      </c>
      <c r="BE186" s="536"/>
      <c r="BF186" s="536"/>
      <c r="BG186" s="536"/>
      <c r="BH186" s="542">
        <f t="shared" si="62"/>
        <v>0</v>
      </c>
      <c r="BI186" s="536"/>
      <c r="BJ186" s="536"/>
      <c r="BK186" s="536"/>
      <c r="BL186" s="542">
        <f t="shared" si="63"/>
        <v>0</v>
      </c>
      <c r="BM186" s="536"/>
      <c r="BN186" s="536"/>
      <c r="BO186" s="536"/>
      <c r="BP186" s="542">
        <f t="shared" si="64"/>
        <v>0</v>
      </c>
      <c r="BQ186" s="536"/>
      <c r="BR186" s="536"/>
      <c r="BS186" s="536"/>
      <c r="BT186" s="542">
        <f t="shared" si="65"/>
        <v>0</v>
      </c>
      <c r="BU186" s="536"/>
      <c r="BV186" s="536"/>
      <c r="BW186" s="536"/>
      <c r="BX186" s="542">
        <f t="shared" si="66"/>
        <v>0</v>
      </c>
      <c r="BY186" s="536"/>
      <c r="BZ186" s="536"/>
      <c r="CA186" s="536"/>
      <c r="CB186" s="542">
        <v>0</v>
      </c>
      <c r="CC186" s="536"/>
      <c r="CD186" s="536"/>
      <c r="CE186" s="536"/>
      <c r="CF186" s="541">
        <f t="shared" si="67"/>
        <v>0</v>
      </c>
      <c r="CG186" s="536"/>
      <c r="CH186" s="536"/>
      <c r="CI186" s="536"/>
      <c r="CJ186" s="541">
        <f t="shared" si="68"/>
        <v>0</v>
      </c>
      <c r="CK186" s="536"/>
      <c r="CL186" s="536"/>
      <c r="CM186" s="536"/>
      <c r="CN186" s="541">
        <f t="shared" si="69"/>
        <v>0</v>
      </c>
      <c r="CO186" s="536"/>
      <c r="CP186" s="536"/>
      <c r="CQ186" s="536"/>
      <c r="CR186" s="541">
        <f t="shared" si="70"/>
        <v>0</v>
      </c>
      <c r="CS186" s="536"/>
      <c r="CT186" s="536"/>
      <c r="CU186" s="536"/>
      <c r="CV186" s="541">
        <f t="shared" si="71"/>
        <v>0</v>
      </c>
      <c r="CW186" s="536"/>
      <c r="CX186" s="536"/>
      <c r="CY186" s="536"/>
      <c r="CZ186" s="541">
        <f t="shared" si="72"/>
        <v>0</v>
      </c>
      <c r="DA186" s="536"/>
      <c r="DB186" s="536"/>
      <c r="DC186" s="536"/>
      <c r="DD186" s="541">
        <f t="shared" si="73"/>
        <v>0</v>
      </c>
      <c r="DE186" s="536"/>
      <c r="DF186" s="536"/>
      <c r="DG186" s="536"/>
      <c r="DH186" s="541">
        <f t="shared" si="74"/>
        <v>0</v>
      </c>
      <c r="DI186" s="536"/>
      <c r="DJ186" s="536"/>
      <c r="DK186" s="536"/>
      <c r="DL186" s="541">
        <f t="shared" si="75"/>
        <v>0</v>
      </c>
      <c r="DM186" s="536"/>
      <c r="DN186" s="536"/>
      <c r="DO186" s="536"/>
      <c r="DP186" s="541">
        <f>IF( SUM((DJ186*(20/100))+(DK186*(30/100))+(DL186*(50/100))) &gt;=9.3,9.5,
IF(AND( SUM((DJ186*(20/100))+(DK186*(30/100))+(DL186*(50/100))) &lt;=9.3, SUM((DJ186*(20/100))+(DK186*(30/100))+(DL186*(50/100))) &gt;=8.8),9,
IF(AND( SUM((DJ186*(20/100))+(DK186*(30/100))+(DL186*(50/100))) &lt;=8.8, SUM((DJ186*(20/100))+(DK186*(30/100))+(DL186*(50/100))) &gt;=8.3),8.5,
IF(AND( SUM((DJ186*(20/100))+(DK186*(30/100))+(DL186*(50/100))) &lt;=8.3, SUM((DJ186*(20/100))+(DK186*(30/100))+(DL186*(50/100))) &gt;=7.8),8,
IF(AND( SUM((DJ186*(20/100))+(DK186*(30/100))+(DL186*(50/100))) &lt;=7.8, SUM((DJ186*(20/100))+(DK186*(30/100))+(DL186*(50/100))) &gt;=7.3),7.5,
IF(AND( SUM((DJ186*(20/100))+(DK186*(30/100))+(DL186*(50/100))) &lt;=7.3, SUM((DJ186*(20/100))+(DK186*(30/100))+(DL186*(50/100))) &gt;=6.8),7,
IF(AND( SUM((DJ186*(20/100))+(DK186*(30/100))+(DL186*(50/100))) &lt;=6.8, SUM((DJ186*(20/100))+(DK186*(30/100))+(DL186*(50/100))) &gt;=6.3),6.5,
IF(AND( SUM((DJ186*(20/100))+(DK186*(30/100))+(DL186*(50/100))) &lt;=6.3, SUM((DJ186*(20/100))+(DK186*(30/100))+(DL186*(50/100))) &gt;=5.8),6,
IF(AND( SUM((DJ186*(20/100))+(DK186*(30/100))+(DL186*(50/100))) &lt;=5.8, SUM((DJ186*(20/100))+(DK186*(30/100))+(DL186*(50/100))) &gt;=5.3),5.5,
IF(AND( SUM((DJ186*(20/100))+(DK186*(30/100))+(DL186*(50/100))) &lt;=5.3, SUM((DJ186*(20/100))+(DK186*(30/100))+(DL186*(50/100))) &gt;=4.8),5,
IF(AND( SUM((DJ186*(20/100))+(DK186*(30/100))+(DL186*(50/100))) &lt;=4.8, SUM((DJ186*(20/100))+(DK186*(30/100))+(DL186*(50/100))) &gt;=4.3),4.5,
IF(AND( SUM((DJ186*(20/100))+(DK186*(30/100))+(DL186*(50/100))) &lt;=4.3, SUM((DJ186*(20/100))+(DK186*(30/100))+(DL186*(50/100))) &gt;=3.8),4,
IF(AND( SUM((DJ186*(20/100))+(DK186*(30/100))+(DL186*(50/100))) &lt;=3.8, SUM((DJ186*(20/100))+(DK186*(30/100))+(DL186*(50/100))) &gt;=3.5),3.5,0)))))))))))))</f>
        <v>0</v>
      </c>
      <c r="DQ186" s="541"/>
      <c r="DR186" s="541"/>
      <c r="DS186" s="541"/>
      <c r="DT186" s="541"/>
      <c r="DU186" s="541"/>
      <c r="DV186" s="541"/>
      <c r="DW186" s="541"/>
      <c r="DX186" s="541"/>
      <c r="DY186" s="541"/>
      <c r="DZ186" s="541"/>
    </row>
    <row r="187" spans="2:130" x14ac:dyDescent="0.25">
      <c r="B187" s="334">
        <v>30</v>
      </c>
      <c r="C187" s="541"/>
      <c r="D187" s="334"/>
      <c r="E187" s="334"/>
      <c r="F187" s="334"/>
      <c r="G187" s="334"/>
      <c r="H187" s="334"/>
      <c r="I187" s="334"/>
      <c r="J187" s="536"/>
      <c r="K187" s="536"/>
      <c r="L187" s="536"/>
      <c r="M187" s="536"/>
      <c r="N187" s="536"/>
      <c r="O187" s="536"/>
      <c r="P187" s="536">
        <f t="shared" si="51"/>
        <v>0</v>
      </c>
      <c r="Q187" s="536"/>
      <c r="R187" s="536"/>
      <c r="S187" s="536"/>
      <c r="T187" s="536">
        <f t="shared" si="52"/>
        <v>0</v>
      </c>
      <c r="U187" s="536"/>
      <c r="V187" s="536"/>
      <c r="W187" s="536"/>
      <c r="X187" s="536">
        <f t="shared" si="53"/>
        <v>0</v>
      </c>
      <c r="Y187" s="536"/>
      <c r="Z187" s="536"/>
      <c r="AA187" s="536"/>
      <c r="AB187" s="536">
        <f t="shared" si="54"/>
        <v>0</v>
      </c>
      <c r="AC187" s="536"/>
      <c r="AD187" s="536"/>
      <c r="AE187" s="536"/>
      <c r="AF187" s="536">
        <f t="shared" si="55"/>
        <v>0</v>
      </c>
      <c r="AG187" s="536"/>
      <c r="AH187" s="536"/>
      <c r="AI187" s="536"/>
      <c r="AJ187" s="536">
        <f t="shared" si="56"/>
        <v>0</v>
      </c>
      <c r="AK187" s="536"/>
      <c r="AL187" s="536"/>
      <c r="AM187" s="536"/>
      <c r="AN187" s="542">
        <f t="shared" si="57"/>
        <v>0</v>
      </c>
      <c r="AO187" s="536"/>
      <c r="AP187" s="536"/>
      <c r="AQ187" s="536"/>
      <c r="AR187" s="542">
        <f t="shared" si="58"/>
        <v>0</v>
      </c>
      <c r="AS187" s="536"/>
      <c r="AT187" s="536"/>
      <c r="AU187" s="536"/>
      <c r="AV187" s="542">
        <f t="shared" si="59"/>
        <v>0</v>
      </c>
      <c r="AW187" s="536"/>
      <c r="AX187" s="536"/>
      <c r="AY187" s="536"/>
      <c r="AZ187" s="542">
        <f t="shared" si="60"/>
        <v>0</v>
      </c>
      <c r="BA187" s="536"/>
      <c r="BB187" s="536"/>
      <c r="BC187" s="536"/>
      <c r="BD187" s="542">
        <f t="shared" si="61"/>
        <v>0</v>
      </c>
      <c r="BE187" s="536"/>
      <c r="BF187" s="536"/>
      <c r="BG187" s="536"/>
      <c r="BH187" s="542">
        <f t="shared" si="62"/>
        <v>0</v>
      </c>
      <c r="BI187" s="536"/>
      <c r="BJ187" s="536"/>
      <c r="BK187" s="536"/>
      <c r="BL187" s="542">
        <f t="shared" si="63"/>
        <v>0</v>
      </c>
      <c r="BM187" s="536"/>
      <c r="BN187" s="536"/>
      <c r="BO187" s="536"/>
      <c r="BP187" s="542">
        <f t="shared" si="64"/>
        <v>0</v>
      </c>
      <c r="BQ187" s="536"/>
      <c r="BR187" s="536"/>
      <c r="BS187" s="536"/>
      <c r="BT187" s="542">
        <f t="shared" si="65"/>
        <v>0</v>
      </c>
      <c r="BU187" s="536"/>
      <c r="BV187" s="536"/>
      <c r="BW187" s="536"/>
      <c r="BX187" s="542">
        <f t="shared" si="66"/>
        <v>0</v>
      </c>
      <c r="BY187" s="536"/>
      <c r="BZ187" s="536"/>
      <c r="CA187" s="536"/>
      <c r="CB187" s="542">
        <v>0</v>
      </c>
      <c r="CC187" s="536"/>
      <c r="CD187" s="536"/>
      <c r="CE187" s="536"/>
      <c r="CF187" s="541">
        <f t="shared" si="67"/>
        <v>0</v>
      </c>
      <c r="CG187" s="536"/>
      <c r="CH187" s="536"/>
      <c r="CI187" s="536"/>
      <c r="CJ187" s="541">
        <f t="shared" si="68"/>
        <v>0</v>
      </c>
      <c r="CK187" s="536"/>
      <c r="CL187" s="536"/>
      <c r="CM187" s="536"/>
      <c r="CN187" s="541">
        <f t="shared" si="69"/>
        <v>0</v>
      </c>
      <c r="CO187" s="536"/>
      <c r="CP187" s="536"/>
      <c r="CQ187" s="536"/>
      <c r="CR187" s="541">
        <f t="shared" si="70"/>
        <v>0</v>
      </c>
      <c r="CS187" s="536"/>
      <c r="CT187" s="536"/>
      <c r="CU187" s="536"/>
      <c r="CV187" s="541">
        <f t="shared" si="71"/>
        <v>0</v>
      </c>
      <c r="CW187" s="536"/>
      <c r="CX187" s="536"/>
      <c r="CY187" s="536"/>
      <c r="CZ187" s="541">
        <f t="shared" si="72"/>
        <v>0</v>
      </c>
      <c r="DA187" s="536"/>
      <c r="DB187" s="536"/>
      <c r="DC187" s="536"/>
      <c r="DD187" s="541">
        <f t="shared" si="73"/>
        <v>0</v>
      </c>
      <c r="DE187" s="536"/>
      <c r="DF187" s="536"/>
      <c r="DG187" s="536"/>
      <c r="DH187" s="541">
        <f t="shared" si="74"/>
        <v>0</v>
      </c>
      <c r="DI187" s="536"/>
      <c r="DJ187" s="536"/>
      <c r="DK187" s="536"/>
      <c r="DL187" s="541">
        <f t="shared" si="75"/>
        <v>0</v>
      </c>
      <c r="DM187" s="536"/>
      <c r="DN187" s="536"/>
      <c r="DO187" s="536"/>
      <c r="DP187" s="541">
        <f>IF( SUM((DJ187*(20/100))+(DK187*(30/100))+(DL187*(50/100))) &gt;=9.3,9.5,
IF(AND( SUM((DJ187*(20/100))+(DK187*(30/100))+(DL187*(50/100))) &lt;=9.3, SUM((DJ187*(20/100))+(DK187*(30/100))+(DL187*(50/100))) &gt;=8.8),9,
IF(AND( SUM((DJ187*(20/100))+(DK187*(30/100))+(DL187*(50/100))) &lt;=8.8, SUM((DJ187*(20/100))+(DK187*(30/100))+(DL187*(50/100))) &gt;=8.3),8.5,
IF(AND( SUM((DJ187*(20/100))+(DK187*(30/100))+(DL187*(50/100))) &lt;=8.3, SUM((DJ187*(20/100))+(DK187*(30/100))+(DL187*(50/100))) &gt;=7.8),8,
IF(AND( SUM((DJ187*(20/100))+(DK187*(30/100))+(DL187*(50/100))) &lt;=7.8, SUM((DJ187*(20/100))+(DK187*(30/100))+(DL187*(50/100))) &gt;=7.3),7.5,
IF(AND( SUM((DJ187*(20/100))+(DK187*(30/100))+(DL187*(50/100))) &lt;=7.3, SUM((DJ187*(20/100))+(DK187*(30/100))+(DL187*(50/100))) &gt;=6.8),7,
IF(AND( SUM((DJ187*(20/100))+(DK187*(30/100))+(DL187*(50/100))) &lt;=6.8, SUM((DJ187*(20/100))+(DK187*(30/100))+(DL187*(50/100))) &gt;=6.3),6.5,
IF(AND( SUM((DJ187*(20/100))+(DK187*(30/100))+(DL187*(50/100))) &lt;=6.3, SUM((DJ187*(20/100))+(DK187*(30/100))+(DL187*(50/100))) &gt;=5.8),6,
IF(AND( SUM((DJ187*(20/100))+(DK187*(30/100))+(DL187*(50/100))) &lt;=5.8, SUM((DJ187*(20/100))+(DK187*(30/100))+(DL187*(50/100))) &gt;=5.3),5.5,
IF(AND( SUM((DJ187*(20/100))+(DK187*(30/100))+(DL187*(50/100))) &lt;=5.3, SUM((DJ187*(20/100))+(DK187*(30/100))+(DL187*(50/100))) &gt;=4.8),5,
IF(AND( SUM((DJ187*(20/100))+(DK187*(30/100))+(DL187*(50/100))) &lt;=4.8, SUM((DJ187*(20/100))+(DK187*(30/100))+(DL187*(50/100))) &gt;=4.3),4.5,
IF(AND( SUM((DJ187*(20/100))+(DK187*(30/100))+(DL187*(50/100))) &lt;=4.3, SUM((DJ187*(20/100))+(DK187*(30/100))+(DL187*(50/100))) &gt;=3.8),4,
IF(AND( SUM((DJ187*(20/100))+(DK187*(30/100))+(DL187*(50/100))) &lt;=3.8, SUM((DJ187*(20/100))+(DK187*(30/100))+(DL187*(50/100))) &gt;=3.5),3.5,0)))))))))))))</f>
        <v>0</v>
      </c>
      <c r="DQ187" s="541"/>
      <c r="DR187" s="541"/>
      <c r="DS187" s="541"/>
      <c r="DT187" s="541"/>
      <c r="DU187" s="541"/>
      <c r="DV187" s="541"/>
      <c r="DW187" s="541"/>
      <c r="DX187" s="541"/>
      <c r="DY187" s="541"/>
      <c r="DZ187" s="541"/>
    </row>
    <row r="188" spans="2:130" x14ac:dyDescent="0.25">
      <c r="B188" s="334">
        <v>31</v>
      </c>
      <c r="C188" s="541"/>
      <c r="D188" s="334"/>
      <c r="E188" s="334"/>
      <c r="F188" s="334"/>
      <c r="G188" s="334"/>
      <c r="H188" s="334"/>
      <c r="I188" s="334"/>
      <c r="J188" s="536"/>
      <c r="K188" s="536"/>
      <c r="L188" s="536"/>
      <c r="M188" s="536"/>
      <c r="N188" s="536"/>
      <c r="O188" s="536"/>
      <c r="P188" s="536">
        <f t="shared" si="51"/>
        <v>0</v>
      </c>
      <c r="Q188" s="536"/>
      <c r="R188" s="536"/>
      <c r="S188" s="536"/>
      <c r="T188" s="536">
        <f t="shared" si="52"/>
        <v>0</v>
      </c>
      <c r="U188" s="536"/>
      <c r="V188" s="536"/>
      <c r="W188" s="536"/>
      <c r="X188" s="536">
        <f t="shared" si="53"/>
        <v>0</v>
      </c>
      <c r="Y188" s="536"/>
      <c r="Z188" s="536"/>
      <c r="AA188" s="536"/>
      <c r="AB188" s="536">
        <f t="shared" si="54"/>
        <v>0</v>
      </c>
      <c r="AC188" s="536"/>
      <c r="AD188" s="536"/>
      <c r="AE188" s="536"/>
      <c r="AF188" s="536">
        <f t="shared" si="55"/>
        <v>0</v>
      </c>
      <c r="AG188" s="536"/>
      <c r="AH188" s="536"/>
      <c r="AI188" s="536"/>
      <c r="AJ188" s="536">
        <f t="shared" si="56"/>
        <v>0</v>
      </c>
      <c r="AK188" s="536"/>
      <c r="AL188" s="536"/>
      <c r="AM188" s="536"/>
      <c r="AN188" s="542">
        <f t="shared" si="57"/>
        <v>0</v>
      </c>
      <c r="AO188" s="536"/>
      <c r="AP188" s="536"/>
      <c r="AQ188" s="536"/>
      <c r="AR188" s="542">
        <f t="shared" si="58"/>
        <v>0</v>
      </c>
      <c r="AS188" s="536"/>
      <c r="AT188" s="536"/>
      <c r="AU188" s="536"/>
      <c r="AV188" s="542">
        <f t="shared" si="59"/>
        <v>0</v>
      </c>
      <c r="AW188" s="536"/>
      <c r="AX188" s="536"/>
      <c r="AY188" s="536"/>
      <c r="AZ188" s="542">
        <f t="shared" si="60"/>
        <v>0</v>
      </c>
      <c r="BA188" s="536"/>
      <c r="BB188" s="536"/>
      <c r="BC188" s="536"/>
      <c r="BD188" s="542">
        <f t="shared" si="61"/>
        <v>0</v>
      </c>
      <c r="BE188" s="536"/>
      <c r="BF188" s="536"/>
      <c r="BG188" s="536"/>
      <c r="BH188" s="542">
        <f t="shared" si="62"/>
        <v>0</v>
      </c>
      <c r="BI188" s="536"/>
      <c r="BJ188" s="536"/>
      <c r="BK188" s="536"/>
      <c r="BL188" s="542">
        <f t="shared" si="63"/>
        <v>0</v>
      </c>
      <c r="BM188" s="536"/>
      <c r="BN188" s="536"/>
      <c r="BO188" s="536"/>
      <c r="BP188" s="542">
        <f t="shared" si="64"/>
        <v>0</v>
      </c>
      <c r="BQ188" s="536"/>
      <c r="BR188" s="536"/>
      <c r="BS188" s="536"/>
      <c r="BT188" s="542">
        <f t="shared" si="65"/>
        <v>0</v>
      </c>
      <c r="BU188" s="536"/>
      <c r="BV188" s="536"/>
      <c r="BW188" s="536"/>
      <c r="BX188" s="542">
        <f t="shared" si="66"/>
        <v>0</v>
      </c>
      <c r="BY188" s="536"/>
      <c r="BZ188" s="536"/>
      <c r="CA188" s="536"/>
      <c r="CB188" s="542">
        <v>0</v>
      </c>
      <c r="CC188" s="536"/>
      <c r="CD188" s="536"/>
      <c r="CE188" s="536"/>
      <c r="CF188" s="541">
        <f t="shared" si="67"/>
        <v>0</v>
      </c>
      <c r="CG188" s="536"/>
      <c r="CH188" s="536"/>
      <c r="CI188" s="536"/>
      <c r="CJ188" s="541">
        <f t="shared" si="68"/>
        <v>0</v>
      </c>
      <c r="CK188" s="536"/>
      <c r="CL188" s="536"/>
      <c r="CM188" s="536"/>
      <c r="CN188" s="541">
        <f t="shared" si="69"/>
        <v>0</v>
      </c>
      <c r="CO188" s="536"/>
      <c r="CP188" s="536"/>
      <c r="CQ188" s="536"/>
      <c r="CR188" s="541">
        <f t="shared" si="70"/>
        <v>0</v>
      </c>
      <c r="CS188" s="536"/>
      <c r="CT188" s="536"/>
      <c r="CU188" s="536"/>
      <c r="CV188" s="541">
        <f t="shared" si="71"/>
        <v>0</v>
      </c>
      <c r="CW188" s="536"/>
      <c r="CX188" s="536"/>
      <c r="CY188" s="536"/>
      <c r="CZ188" s="541">
        <f t="shared" si="72"/>
        <v>0</v>
      </c>
      <c r="DA188" s="536"/>
      <c r="DB188" s="536"/>
      <c r="DC188" s="536"/>
      <c r="DD188" s="541">
        <f t="shared" si="73"/>
        <v>0</v>
      </c>
      <c r="DE188" s="536"/>
      <c r="DF188" s="536"/>
      <c r="DG188" s="536"/>
      <c r="DH188" s="541">
        <f t="shared" si="74"/>
        <v>0</v>
      </c>
      <c r="DI188" s="536"/>
      <c r="DJ188" s="536"/>
      <c r="DK188" s="536"/>
      <c r="DL188" s="541">
        <f t="shared" si="75"/>
        <v>0</v>
      </c>
      <c r="DM188" s="536"/>
      <c r="DN188" s="536"/>
      <c r="DO188" s="536"/>
      <c r="DP188" s="541">
        <f>IF( SUM((DJ188*(20/100))+(DK188*(30/100))+(DL188*(50/100))) &gt;=9.3,9.5,
IF(AND( SUM((DJ188*(20/100))+(DK188*(30/100))+(DL188*(50/100))) &lt;=9.3, SUM((DJ188*(20/100))+(DK188*(30/100))+(DL188*(50/100))) &gt;=8.8),9,
IF(AND( SUM((DJ188*(20/100))+(DK188*(30/100))+(DL188*(50/100))) &lt;=8.8, SUM((DJ188*(20/100))+(DK188*(30/100))+(DL188*(50/100))) &gt;=8.3),8.5,
IF(AND( SUM((DJ188*(20/100))+(DK188*(30/100))+(DL188*(50/100))) &lt;=8.3, SUM((DJ188*(20/100))+(DK188*(30/100))+(DL188*(50/100))) &gt;=7.8),8,
IF(AND( SUM((DJ188*(20/100))+(DK188*(30/100))+(DL188*(50/100))) &lt;=7.8, SUM((DJ188*(20/100))+(DK188*(30/100))+(DL188*(50/100))) &gt;=7.3),7.5,
IF(AND( SUM((DJ188*(20/100))+(DK188*(30/100))+(DL188*(50/100))) &lt;=7.3, SUM((DJ188*(20/100))+(DK188*(30/100))+(DL188*(50/100))) &gt;=6.8),7,
IF(AND( SUM((DJ188*(20/100))+(DK188*(30/100))+(DL188*(50/100))) &lt;=6.8, SUM((DJ188*(20/100))+(DK188*(30/100))+(DL188*(50/100))) &gt;=6.3),6.5,
IF(AND( SUM((DJ188*(20/100))+(DK188*(30/100))+(DL188*(50/100))) &lt;=6.3, SUM((DJ188*(20/100))+(DK188*(30/100))+(DL188*(50/100))) &gt;=5.8),6,
IF(AND( SUM((DJ188*(20/100))+(DK188*(30/100))+(DL188*(50/100))) &lt;=5.8, SUM((DJ188*(20/100))+(DK188*(30/100))+(DL188*(50/100))) &gt;=5.3),5.5,
IF(AND( SUM((DJ188*(20/100))+(DK188*(30/100))+(DL188*(50/100))) &lt;=5.3, SUM((DJ188*(20/100))+(DK188*(30/100))+(DL188*(50/100))) &gt;=4.8),5,
IF(AND( SUM((DJ188*(20/100))+(DK188*(30/100))+(DL188*(50/100))) &lt;=4.8, SUM((DJ188*(20/100))+(DK188*(30/100))+(DL188*(50/100))) &gt;=4.3),4.5,
IF(AND( SUM((DJ188*(20/100))+(DK188*(30/100))+(DL188*(50/100))) &lt;=4.3, SUM((DJ188*(20/100))+(DK188*(30/100))+(DL188*(50/100))) &gt;=3.8),4,
IF(AND( SUM((DJ188*(20/100))+(DK188*(30/100))+(DL188*(50/100))) &lt;=3.8, SUM((DJ188*(20/100))+(DK188*(30/100))+(DL188*(50/100))) &gt;=3.5),3.5,0)))))))))))))</f>
        <v>0</v>
      </c>
      <c r="DQ188" s="541"/>
      <c r="DR188" s="541"/>
      <c r="DS188" s="541"/>
      <c r="DT188" s="541"/>
      <c r="DU188" s="541"/>
      <c r="DV188" s="541"/>
      <c r="DW188" s="541"/>
      <c r="DX188" s="541"/>
      <c r="DY188" s="541"/>
      <c r="DZ188" s="541"/>
    </row>
    <row r="189" spans="2:130" x14ac:dyDescent="0.25">
      <c r="B189" s="334">
        <v>32</v>
      </c>
      <c r="C189" s="541"/>
      <c r="D189" s="334"/>
      <c r="E189" s="334"/>
      <c r="F189" s="334"/>
      <c r="G189" s="334"/>
      <c r="H189" s="334"/>
      <c r="I189" s="334"/>
      <c r="J189" s="536"/>
      <c r="K189" s="536"/>
      <c r="L189" s="536"/>
      <c r="M189" s="536"/>
      <c r="N189" s="536"/>
      <c r="O189" s="536"/>
      <c r="P189" s="536">
        <f t="shared" si="51"/>
        <v>0</v>
      </c>
      <c r="Q189" s="536"/>
      <c r="R189" s="536"/>
      <c r="S189" s="536"/>
      <c r="T189" s="536">
        <f t="shared" si="52"/>
        <v>0</v>
      </c>
      <c r="U189" s="536"/>
      <c r="V189" s="536"/>
      <c r="W189" s="536"/>
      <c r="X189" s="536">
        <f t="shared" si="53"/>
        <v>0</v>
      </c>
      <c r="Y189" s="536"/>
      <c r="Z189" s="536"/>
      <c r="AA189" s="536"/>
      <c r="AB189" s="536">
        <f t="shared" si="54"/>
        <v>0</v>
      </c>
      <c r="AC189" s="536"/>
      <c r="AD189" s="536"/>
      <c r="AE189" s="536"/>
      <c r="AF189" s="536">
        <f t="shared" si="55"/>
        <v>0</v>
      </c>
      <c r="AG189" s="536"/>
      <c r="AH189" s="536"/>
      <c r="AI189" s="536"/>
      <c r="AJ189" s="536">
        <f t="shared" si="56"/>
        <v>0</v>
      </c>
      <c r="AK189" s="536"/>
      <c r="AL189" s="536"/>
      <c r="AM189" s="536"/>
      <c r="AN189" s="542">
        <f t="shared" si="57"/>
        <v>0</v>
      </c>
      <c r="AO189" s="536"/>
      <c r="AP189" s="536"/>
      <c r="AQ189" s="536"/>
      <c r="AR189" s="542">
        <f t="shared" si="58"/>
        <v>0</v>
      </c>
      <c r="AS189" s="536"/>
      <c r="AT189" s="536"/>
      <c r="AU189" s="536"/>
      <c r="AV189" s="542">
        <f t="shared" si="59"/>
        <v>0</v>
      </c>
      <c r="AW189" s="536"/>
      <c r="AX189" s="536"/>
      <c r="AY189" s="536"/>
      <c r="AZ189" s="542">
        <f t="shared" si="60"/>
        <v>0</v>
      </c>
      <c r="BA189" s="536"/>
      <c r="BB189" s="536"/>
      <c r="BC189" s="536"/>
      <c r="BD189" s="542">
        <f t="shared" si="61"/>
        <v>0</v>
      </c>
      <c r="BE189" s="536"/>
      <c r="BF189" s="536"/>
      <c r="BG189" s="536"/>
      <c r="BH189" s="542">
        <f t="shared" si="62"/>
        <v>0</v>
      </c>
      <c r="BI189" s="536"/>
      <c r="BJ189" s="536"/>
      <c r="BK189" s="536"/>
      <c r="BL189" s="542">
        <f t="shared" si="63"/>
        <v>0</v>
      </c>
      <c r="BM189" s="536"/>
      <c r="BN189" s="536"/>
      <c r="BO189" s="536"/>
      <c r="BP189" s="542">
        <f t="shared" si="64"/>
        <v>0</v>
      </c>
      <c r="BQ189" s="536"/>
      <c r="BR189" s="536"/>
      <c r="BS189" s="536"/>
      <c r="BT189" s="542">
        <f t="shared" si="65"/>
        <v>0</v>
      </c>
      <c r="BU189" s="536"/>
      <c r="BV189" s="536"/>
      <c r="BW189" s="536"/>
      <c r="BX189" s="542">
        <f t="shared" si="66"/>
        <v>0</v>
      </c>
      <c r="BY189" s="536"/>
      <c r="BZ189" s="536"/>
      <c r="CA189" s="536"/>
      <c r="CB189" s="542">
        <v>0</v>
      </c>
      <c r="CC189" s="536"/>
      <c r="CD189" s="536"/>
      <c r="CE189" s="536"/>
      <c r="CF189" s="541">
        <f t="shared" si="67"/>
        <v>0</v>
      </c>
      <c r="CG189" s="536"/>
      <c r="CH189" s="536"/>
      <c r="CI189" s="536"/>
      <c r="CJ189" s="541">
        <f t="shared" si="68"/>
        <v>0</v>
      </c>
      <c r="CK189" s="536"/>
      <c r="CL189" s="536"/>
      <c r="CM189" s="536"/>
      <c r="CN189" s="541">
        <f t="shared" si="69"/>
        <v>0</v>
      </c>
      <c r="CO189" s="536"/>
      <c r="CP189" s="536"/>
      <c r="CQ189" s="536"/>
      <c r="CR189" s="541">
        <f t="shared" si="70"/>
        <v>0</v>
      </c>
      <c r="CS189" s="536"/>
      <c r="CT189" s="536"/>
      <c r="CU189" s="536"/>
      <c r="CV189" s="541">
        <f t="shared" si="71"/>
        <v>0</v>
      </c>
      <c r="CW189" s="536"/>
      <c r="CX189" s="536"/>
      <c r="CY189" s="536"/>
      <c r="CZ189" s="541">
        <f t="shared" si="72"/>
        <v>0</v>
      </c>
      <c r="DA189" s="536"/>
      <c r="DB189" s="536"/>
      <c r="DC189" s="536"/>
      <c r="DD189" s="541">
        <f t="shared" si="73"/>
        <v>0</v>
      </c>
      <c r="DE189" s="536"/>
      <c r="DF189" s="536"/>
      <c r="DG189" s="536"/>
      <c r="DH189" s="541">
        <f t="shared" si="74"/>
        <v>0</v>
      </c>
      <c r="DI189" s="536"/>
      <c r="DJ189" s="536"/>
      <c r="DK189" s="536"/>
      <c r="DL189" s="541">
        <f t="shared" si="75"/>
        <v>0</v>
      </c>
      <c r="DM189" s="536"/>
      <c r="DN189" s="536"/>
      <c r="DO189" s="536"/>
      <c r="DP189" s="541">
        <f>IF( SUM((DJ189*(20/100))+(DK189*(30/100))+(DL189*(50/100))) &gt;=9.3,9.5,
IF(AND( SUM((DJ189*(20/100))+(DK189*(30/100))+(DL189*(50/100))) &lt;=9.3, SUM((DJ189*(20/100))+(DK189*(30/100))+(DL189*(50/100))) &gt;=8.8),9,
IF(AND( SUM((DJ189*(20/100))+(DK189*(30/100))+(DL189*(50/100))) &lt;=8.8, SUM((DJ189*(20/100))+(DK189*(30/100))+(DL189*(50/100))) &gt;=8.3),8.5,
IF(AND( SUM((DJ189*(20/100))+(DK189*(30/100))+(DL189*(50/100))) &lt;=8.3, SUM((DJ189*(20/100))+(DK189*(30/100))+(DL189*(50/100))) &gt;=7.8),8,
IF(AND( SUM((DJ189*(20/100))+(DK189*(30/100))+(DL189*(50/100))) &lt;=7.8, SUM((DJ189*(20/100))+(DK189*(30/100))+(DL189*(50/100))) &gt;=7.3),7.5,
IF(AND( SUM((DJ189*(20/100))+(DK189*(30/100))+(DL189*(50/100))) &lt;=7.3, SUM((DJ189*(20/100))+(DK189*(30/100))+(DL189*(50/100))) &gt;=6.8),7,
IF(AND( SUM((DJ189*(20/100))+(DK189*(30/100))+(DL189*(50/100))) &lt;=6.8, SUM((DJ189*(20/100))+(DK189*(30/100))+(DL189*(50/100))) &gt;=6.3),6.5,
IF(AND( SUM((DJ189*(20/100))+(DK189*(30/100))+(DL189*(50/100))) &lt;=6.3, SUM((DJ189*(20/100))+(DK189*(30/100))+(DL189*(50/100))) &gt;=5.8),6,
IF(AND( SUM((DJ189*(20/100))+(DK189*(30/100))+(DL189*(50/100))) &lt;=5.8, SUM((DJ189*(20/100))+(DK189*(30/100))+(DL189*(50/100))) &gt;=5.3),5.5,
IF(AND( SUM((DJ189*(20/100))+(DK189*(30/100))+(DL189*(50/100))) &lt;=5.3, SUM((DJ189*(20/100))+(DK189*(30/100))+(DL189*(50/100))) &gt;=4.8),5,
IF(AND( SUM((DJ189*(20/100))+(DK189*(30/100))+(DL189*(50/100))) &lt;=4.8, SUM((DJ189*(20/100))+(DK189*(30/100))+(DL189*(50/100))) &gt;=4.3),4.5,
IF(AND( SUM((DJ189*(20/100))+(DK189*(30/100))+(DL189*(50/100))) &lt;=4.3, SUM((DJ189*(20/100))+(DK189*(30/100))+(DL189*(50/100))) &gt;=3.8),4,
IF(AND( SUM((DJ189*(20/100))+(DK189*(30/100))+(DL189*(50/100))) &lt;=3.8, SUM((DJ189*(20/100))+(DK189*(30/100))+(DL189*(50/100))) &gt;=3.5),3.5,0)))))))))))))</f>
        <v>0</v>
      </c>
      <c r="DQ189" s="541"/>
      <c r="DR189" s="541"/>
      <c r="DS189" s="541"/>
      <c r="DT189" s="541"/>
      <c r="DU189" s="541"/>
      <c r="DV189" s="541"/>
      <c r="DW189" s="541"/>
      <c r="DX189" s="541"/>
      <c r="DY189" s="541"/>
      <c r="DZ189" s="541"/>
    </row>
    <row r="190" spans="2:130" x14ac:dyDescent="0.25">
      <c r="B190" s="334">
        <v>33</v>
      </c>
      <c r="C190" s="541"/>
      <c r="D190" s="334"/>
      <c r="E190" s="334"/>
      <c r="F190" s="334"/>
      <c r="G190" s="334"/>
      <c r="H190" s="334"/>
      <c r="I190" s="334"/>
      <c r="J190" s="536"/>
      <c r="K190" s="536"/>
      <c r="L190" s="536"/>
      <c r="M190" s="536"/>
      <c r="N190" s="536"/>
      <c r="O190" s="536"/>
      <c r="P190" s="536">
        <f t="shared" si="51"/>
        <v>0</v>
      </c>
      <c r="Q190" s="536"/>
      <c r="R190" s="536"/>
      <c r="S190" s="536"/>
      <c r="T190" s="536">
        <f t="shared" si="52"/>
        <v>0</v>
      </c>
      <c r="U190" s="536"/>
      <c r="V190" s="536"/>
      <c r="W190" s="536"/>
      <c r="X190" s="536">
        <f t="shared" si="53"/>
        <v>0</v>
      </c>
      <c r="Y190" s="536"/>
      <c r="Z190" s="536"/>
      <c r="AA190" s="536"/>
      <c r="AB190" s="536">
        <f t="shared" si="54"/>
        <v>0</v>
      </c>
      <c r="AC190" s="536"/>
      <c r="AD190" s="536"/>
      <c r="AE190" s="536"/>
      <c r="AF190" s="536">
        <f t="shared" si="55"/>
        <v>0</v>
      </c>
      <c r="AG190" s="536"/>
      <c r="AH190" s="536"/>
      <c r="AI190" s="536"/>
      <c r="AJ190" s="536">
        <f t="shared" si="56"/>
        <v>0</v>
      </c>
      <c r="AK190" s="536"/>
      <c r="AL190" s="536"/>
      <c r="AM190" s="536"/>
      <c r="AN190" s="542">
        <f t="shared" si="57"/>
        <v>0</v>
      </c>
      <c r="AO190" s="536"/>
      <c r="AP190" s="536"/>
      <c r="AQ190" s="536"/>
      <c r="AR190" s="542">
        <f t="shared" si="58"/>
        <v>0</v>
      </c>
      <c r="AS190" s="536"/>
      <c r="AT190" s="536"/>
      <c r="AU190" s="536"/>
      <c r="AV190" s="542">
        <f t="shared" si="59"/>
        <v>0</v>
      </c>
      <c r="AW190" s="536"/>
      <c r="AX190" s="536"/>
      <c r="AY190" s="536"/>
      <c r="AZ190" s="542">
        <f t="shared" si="60"/>
        <v>0</v>
      </c>
      <c r="BA190" s="536"/>
      <c r="BB190" s="536"/>
      <c r="BC190" s="536"/>
      <c r="BD190" s="542">
        <f t="shared" si="61"/>
        <v>0</v>
      </c>
      <c r="BE190" s="536"/>
      <c r="BF190" s="536"/>
      <c r="BG190" s="536"/>
      <c r="BH190" s="542">
        <f t="shared" si="62"/>
        <v>0</v>
      </c>
      <c r="BI190" s="536"/>
      <c r="BJ190" s="536"/>
      <c r="BK190" s="536"/>
      <c r="BL190" s="542">
        <f t="shared" si="63"/>
        <v>0</v>
      </c>
      <c r="BM190" s="536"/>
      <c r="BN190" s="536"/>
      <c r="BO190" s="536"/>
      <c r="BP190" s="542">
        <f t="shared" si="64"/>
        <v>0</v>
      </c>
      <c r="BQ190" s="536"/>
      <c r="BR190" s="536"/>
      <c r="BS190" s="536"/>
      <c r="BT190" s="542">
        <f t="shared" si="65"/>
        <v>0</v>
      </c>
      <c r="BU190" s="536"/>
      <c r="BV190" s="536"/>
      <c r="BW190" s="536"/>
      <c r="BX190" s="542">
        <f t="shared" si="66"/>
        <v>0</v>
      </c>
      <c r="BY190" s="536"/>
      <c r="BZ190" s="536"/>
      <c r="CA190" s="536"/>
      <c r="CB190" s="542">
        <v>0</v>
      </c>
      <c r="CC190" s="536"/>
      <c r="CD190" s="536"/>
      <c r="CE190" s="536"/>
      <c r="CF190" s="541">
        <f t="shared" si="67"/>
        <v>0</v>
      </c>
      <c r="CG190" s="536"/>
      <c r="CH190" s="536"/>
      <c r="CI190" s="536"/>
      <c r="CJ190" s="541">
        <f t="shared" si="68"/>
        <v>0</v>
      </c>
      <c r="CK190" s="536"/>
      <c r="CL190" s="536"/>
      <c r="CM190" s="536"/>
      <c r="CN190" s="541">
        <f t="shared" si="69"/>
        <v>0</v>
      </c>
      <c r="CO190" s="536"/>
      <c r="CP190" s="536"/>
      <c r="CQ190" s="536"/>
      <c r="CR190" s="541">
        <f t="shared" si="70"/>
        <v>0</v>
      </c>
      <c r="CS190" s="536"/>
      <c r="CT190" s="536"/>
      <c r="CU190" s="536"/>
      <c r="CV190" s="541">
        <f t="shared" si="71"/>
        <v>0</v>
      </c>
      <c r="CW190" s="536"/>
      <c r="CX190" s="536"/>
      <c r="CY190" s="536"/>
      <c r="CZ190" s="541">
        <f t="shared" si="72"/>
        <v>0</v>
      </c>
      <c r="DA190" s="536"/>
      <c r="DB190" s="536"/>
      <c r="DC190" s="536"/>
      <c r="DD190" s="541">
        <f t="shared" si="73"/>
        <v>0</v>
      </c>
      <c r="DE190" s="536"/>
      <c r="DF190" s="536"/>
      <c r="DG190" s="536"/>
      <c r="DH190" s="541">
        <f t="shared" si="74"/>
        <v>0</v>
      </c>
      <c r="DI190" s="536"/>
      <c r="DJ190" s="536"/>
      <c r="DK190" s="536"/>
      <c r="DL190" s="541">
        <f t="shared" si="75"/>
        <v>0</v>
      </c>
      <c r="DM190" s="536"/>
      <c r="DN190" s="536"/>
      <c r="DO190" s="536"/>
      <c r="DP190" s="541">
        <f>IF( SUM((DJ190*(20/100))+(DK190*(30/100))+(DL190*(50/100))) &gt;=9.3,9.5,
IF(AND( SUM((DJ190*(20/100))+(DK190*(30/100))+(DL190*(50/100))) &lt;=9.3, SUM((DJ190*(20/100))+(DK190*(30/100))+(DL190*(50/100))) &gt;=8.8),9,
IF(AND( SUM((DJ190*(20/100))+(DK190*(30/100))+(DL190*(50/100))) &lt;=8.8, SUM((DJ190*(20/100))+(DK190*(30/100))+(DL190*(50/100))) &gt;=8.3),8.5,
IF(AND( SUM((DJ190*(20/100))+(DK190*(30/100))+(DL190*(50/100))) &lt;=8.3, SUM((DJ190*(20/100))+(DK190*(30/100))+(DL190*(50/100))) &gt;=7.8),8,
IF(AND( SUM((DJ190*(20/100))+(DK190*(30/100))+(DL190*(50/100))) &lt;=7.8, SUM((DJ190*(20/100))+(DK190*(30/100))+(DL190*(50/100))) &gt;=7.3),7.5,
IF(AND( SUM((DJ190*(20/100))+(DK190*(30/100))+(DL190*(50/100))) &lt;=7.3, SUM((DJ190*(20/100))+(DK190*(30/100))+(DL190*(50/100))) &gt;=6.8),7,
IF(AND( SUM((DJ190*(20/100))+(DK190*(30/100))+(DL190*(50/100))) &lt;=6.8, SUM((DJ190*(20/100))+(DK190*(30/100))+(DL190*(50/100))) &gt;=6.3),6.5,
IF(AND( SUM((DJ190*(20/100))+(DK190*(30/100))+(DL190*(50/100))) &lt;=6.3, SUM((DJ190*(20/100))+(DK190*(30/100))+(DL190*(50/100))) &gt;=5.8),6,
IF(AND( SUM((DJ190*(20/100))+(DK190*(30/100))+(DL190*(50/100))) &lt;=5.8, SUM((DJ190*(20/100))+(DK190*(30/100))+(DL190*(50/100))) &gt;=5.3),5.5,
IF(AND( SUM((DJ190*(20/100))+(DK190*(30/100))+(DL190*(50/100))) &lt;=5.3, SUM((DJ190*(20/100))+(DK190*(30/100))+(DL190*(50/100))) &gt;=4.8),5,
IF(AND( SUM((DJ190*(20/100))+(DK190*(30/100))+(DL190*(50/100))) &lt;=4.8, SUM((DJ190*(20/100))+(DK190*(30/100))+(DL190*(50/100))) &gt;=4.3),4.5,
IF(AND( SUM((DJ190*(20/100))+(DK190*(30/100))+(DL190*(50/100))) &lt;=4.3, SUM((DJ190*(20/100))+(DK190*(30/100))+(DL190*(50/100))) &gt;=3.8),4,
IF(AND( SUM((DJ190*(20/100))+(DK190*(30/100))+(DL190*(50/100))) &lt;=3.8, SUM((DJ190*(20/100))+(DK190*(30/100))+(DL190*(50/100))) &gt;=3.5),3.5,0)))))))))))))</f>
        <v>0</v>
      </c>
      <c r="DQ190" s="541"/>
      <c r="DR190" s="541"/>
      <c r="DS190" s="541"/>
      <c r="DT190" s="541"/>
      <c r="DU190" s="541"/>
      <c r="DV190" s="541"/>
      <c r="DW190" s="541"/>
      <c r="DX190" s="541"/>
      <c r="DY190" s="541"/>
      <c r="DZ190" s="541"/>
    </row>
    <row r="191" spans="2:130" x14ac:dyDescent="0.25">
      <c r="B191" s="334">
        <v>34</v>
      </c>
      <c r="C191" s="541"/>
      <c r="D191" s="334"/>
      <c r="E191" s="334"/>
      <c r="F191" s="334"/>
      <c r="G191" s="334"/>
      <c r="H191" s="334"/>
      <c r="I191" s="334"/>
      <c r="J191" s="536"/>
      <c r="K191" s="536"/>
      <c r="L191" s="536"/>
      <c r="M191" s="536"/>
      <c r="N191" s="536"/>
      <c r="O191" s="536"/>
      <c r="P191" s="536">
        <f t="shared" si="51"/>
        <v>0</v>
      </c>
      <c r="Q191" s="536"/>
      <c r="R191" s="536"/>
      <c r="S191" s="536"/>
      <c r="T191" s="536">
        <f t="shared" si="52"/>
        <v>0</v>
      </c>
      <c r="U191" s="536"/>
      <c r="V191" s="536"/>
      <c r="W191" s="536"/>
      <c r="X191" s="536">
        <f t="shared" si="53"/>
        <v>0</v>
      </c>
      <c r="Y191" s="536"/>
      <c r="Z191" s="536"/>
      <c r="AA191" s="536"/>
      <c r="AB191" s="536">
        <f t="shared" si="54"/>
        <v>0</v>
      </c>
      <c r="AC191" s="536"/>
      <c r="AD191" s="536"/>
      <c r="AE191" s="536"/>
      <c r="AF191" s="536">
        <f t="shared" si="55"/>
        <v>0</v>
      </c>
      <c r="AG191" s="536"/>
      <c r="AH191" s="536"/>
      <c r="AI191" s="536"/>
      <c r="AJ191" s="536">
        <f t="shared" si="56"/>
        <v>0</v>
      </c>
      <c r="AK191" s="536"/>
      <c r="AL191" s="536"/>
      <c r="AM191" s="536"/>
      <c r="AN191" s="542">
        <f t="shared" si="57"/>
        <v>0</v>
      </c>
      <c r="AO191" s="536"/>
      <c r="AP191" s="536"/>
      <c r="AQ191" s="536"/>
      <c r="AR191" s="542">
        <f t="shared" si="58"/>
        <v>0</v>
      </c>
      <c r="AS191" s="536"/>
      <c r="AT191" s="536"/>
      <c r="AU191" s="536"/>
      <c r="AV191" s="542">
        <f t="shared" si="59"/>
        <v>0</v>
      </c>
      <c r="AW191" s="536"/>
      <c r="AX191" s="536"/>
      <c r="AY191" s="536"/>
      <c r="AZ191" s="542">
        <f t="shared" si="60"/>
        <v>0</v>
      </c>
      <c r="BA191" s="536"/>
      <c r="BB191" s="536"/>
      <c r="BC191" s="536"/>
      <c r="BD191" s="542">
        <f t="shared" si="61"/>
        <v>0</v>
      </c>
      <c r="BE191" s="536"/>
      <c r="BF191" s="536"/>
      <c r="BG191" s="536"/>
      <c r="BH191" s="542">
        <f t="shared" si="62"/>
        <v>0</v>
      </c>
      <c r="BI191" s="536"/>
      <c r="BJ191" s="536"/>
      <c r="BK191" s="536"/>
      <c r="BL191" s="542">
        <f t="shared" si="63"/>
        <v>0</v>
      </c>
      <c r="BM191" s="536"/>
      <c r="BN191" s="536"/>
      <c r="BO191" s="536"/>
      <c r="BP191" s="542">
        <f t="shared" si="64"/>
        <v>0</v>
      </c>
      <c r="BQ191" s="536"/>
      <c r="BR191" s="536"/>
      <c r="BS191" s="536"/>
      <c r="BT191" s="542">
        <f t="shared" si="65"/>
        <v>0</v>
      </c>
      <c r="BU191" s="536"/>
      <c r="BV191" s="536"/>
      <c r="BW191" s="536"/>
      <c r="BX191" s="542">
        <f t="shared" si="66"/>
        <v>0</v>
      </c>
      <c r="BY191" s="536"/>
      <c r="BZ191" s="536"/>
      <c r="CA191" s="536"/>
      <c r="CB191" s="542">
        <v>0</v>
      </c>
      <c r="CC191" s="536"/>
      <c r="CD191" s="536"/>
      <c r="CE191" s="536"/>
      <c r="CF191" s="541">
        <f t="shared" si="67"/>
        <v>0</v>
      </c>
      <c r="CG191" s="536"/>
      <c r="CH191" s="536"/>
      <c r="CI191" s="536"/>
      <c r="CJ191" s="541">
        <f t="shared" si="68"/>
        <v>0</v>
      </c>
      <c r="CK191" s="536"/>
      <c r="CL191" s="536"/>
      <c r="CM191" s="536"/>
      <c r="CN191" s="541">
        <f t="shared" si="69"/>
        <v>0</v>
      </c>
      <c r="CO191" s="536"/>
      <c r="CP191" s="536"/>
      <c r="CQ191" s="536"/>
      <c r="CR191" s="541">
        <f t="shared" si="70"/>
        <v>0</v>
      </c>
      <c r="CS191" s="536"/>
      <c r="CT191" s="536"/>
      <c r="CU191" s="536"/>
      <c r="CV191" s="541">
        <f t="shared" si="71"/>
        <v>0</v>
      </c>
      <c r="CW191" s="536"/>
      <c r="CX191" s="536"/>
      <c r="CY191" s="536"/>
      <c r="CZ191" s="541">
        <f t="shared" si="72"/>
        <v>0</v>
      </c>
      <c r="DA191" s="536"/>
      <c r="DB191" s="536"/>
      <c r="DC191" s="536"/>
      <c r="DD191" s="541">
        <f t="shared" si="73"/>
        <v>0</v>
      </c>
      <c r="DE191" s="536"/>
      <c r="DF191" s="536"/>
      <c r="DG191" s="536"/>
      <c r="DH191" s="541">
        <f t="shared" si="74"/>
        <v>0</v>
      </c>
      <c r="DI191" s="536"/>
      <c r="DJ191" s="536"/>
      <c r="DK191" s="536"/>
      <c r="DL191" s="541">
        <f t="shared" si="75"/>
        <v>0</v>
      </c>
      <c r="DM191" s="536"/>
      <c r="DN191" s="536"/>
      <c r="DO191" s="536"/>
      <c r="DP191" s="541">
        <f>IF( SUM((DJ191*(20/100))+(DK191*(30/100))+(DL191*(50/100))) &gt;=9.3,9.5,
IF(AND( SUM((DJ191*(20/100))+(DK191*(30/100))+(DL191*(50/100))) &lt;=9.3, SUM((DJ191*(20/100))+(DK191*(30/100))+(DL191*(50/100))) &gt;=8.8),9,
IF(AND( SUM((DJ191*(20/100))+(DK191*(30/100))+(DL191*(50/100))) &lt;=8.8, SUM((DJ191*(20/100))+(DK191*(30/100))+(DL191*(50/100))) &gt;=8.3),8.5,
IF(AND( SUM((DJ191*(20/100))+(DK191*(30/100))+(DL191*(50/100))) &lt;=8.3, SUM((DJ191*(20/100))+(DK191*(30/100))+(DL191*(50/100))) &gt;=7.8),8,
IF(AND( SUM((DJ191*(20/100))+(DK191*(30/100))+(DL191*(50/100))) &lt;=7.8, SUM((DJ191*(20/100))+(DK191*(30/100))+(DL191*(50/100))) &gt;=7.3),7.5,
IF(AND( SUM((DJ191*(20/100))+(DK191*(30/100))+(DL191*(50/100))) &lt;=7.3, SUM((DJ191*(20/100))+(DK191*(30/100))+(DL191*(50/100))) &gt;=6.8),7,
IF(AND( SUM((DJ191*(20/100))+(DK191*(30/100))+(DL191*(50/100))) &lt;=6.8, SUM((DJ191*(20/100))+(DK191*(30/100))+(DL191*(50/100))) &gt;=6.3),6.5,
IF(AND( SUM((DJ191*(20/100))+(DK191*(30/100))+(DL191*(50/100))) &lt;=6.3, SUM((DJ191*(20/100))+(DK191*(30/100))+(DL191*(50/100))) &gt;=5.8),6,
IF(AND( SUM((DJ191*(20/100))+(DK191*(30/100))+(DL191*(50/100))) &lt;=5.8, SUM((DJ191*(20/100))+(DK191*(30/100))+(DL191*(50/100))) &gt;=5.3),5.5,
IF(AND( SUM((DJ191*(20/100))+(DK191*(30/100))+(DL191*(50/100))) &lt;=5.3, SUM((DJ191*(20/100))+(DK191*(30/100))+(DL191*(50/100))) &gt;=4.8),5,
IF(AND( SUM((DJ191*(20/100))+(DK191*(30/100))+(DL191*(50/100))) &lt;=4.8, SUM((DJ191*(20/100))+(DK191*(30/100))+(DL191*(50/100))) &gt;=4.3),4.5,
IF(AND( SUM((DJ191*(20/100))+(DK191*(30/100))+(DL191*(50/100))) &lt;=4.3, SUM((DJ191*(20/100))+(DK191*(30/100))+(DL191*(50/100))) &gt;=3.8),4,
IF(AND( SUM((DJ191*(20/100))+(DK191*(30/100))+(DL191*(50/100))) &lt;=3.8, SUM((DJ191*(20/100))+(DK191*(30/100))+(DL191*(50/100))) &gt;=3.5),3.5,0)))))))))))))</f>
        <v>0</v>
      </c>
      <c r="DQ191" s="541"/>
      <c r="DR191" s="541"/>
      <c r="DS191" s="541"/>
      <c r="DT191" s="541"/>
      <c r="DU191" s="541"/>
      <c r="DV191" s="541"/>
      <c r="DW191" s="541"/>
      <c r="DX191" s="541"/>
      <c r="DY191" s="541"/>
      <c r="DZ191" s="541"/>
    </row>
    <row r="192" spans="2:130" x14ac:dyDescent="0.25">
      <c r="B192" s="334">
        <v>35</v>
      </c>
      <c r="C192" s="541"/>
      <c r="D192" s="334"/>
      <c r="E192" s="334"/>
      <c r="F192" s="334"/>
      <c r="G192" s="334"/>
      <c r="H192" s="334"/>
      <c r="I192" s="334"/>
      <c r="J192" s="536"/>
      <c r="K192" s="536"/>
      <c r="L192" s="536"/>
      <c r="M192" s="536"/>
      <c r="N192" s="536"/>
      <c r="O192" s="536"/>
      <c r="P192" s="536">
        <f t="shared" si="51"/>
        <v>0</v>
      </c>
      <c r="Q192" s="536"/>
      <c r="R192" s="536"/>
      <c r="S192" s="536"/>
      <c r="T192" s="536">
        <f t="shared" si="52"/>
        <v>0</v>
      </c>
      <c r="U192" s="536"/>
      <c r="V192" s="536"/>
      <c r="W192" s="536"/>
      <c r="X192" s="536">
        <f t="shared" si="53"/>
        <v>0</v>
      </c>
      <c r="Y192" s="536"/>
      <c r="Z192" s="536"/>
      <c r="AA192" s="536"/>
      <c r="AB192" s="536">
        <f t="shared" si="54"/>
        <v>0</v>
      </c>
      <c r="AC192" s="536"/>
      <c r="AD192" s="536"/>
      <c r="AE192" s="536"/>
      <c r="AF192" s="536">
        <f t="shared" si="55"/>
        <v>0</v>
      </c>
      <c r="AG192" s="536"/>
      <c r="AH192" s="536"/>
      <c r="AI192" s="536"/>
      <c r="AJ192" s="536">
        <f t="shared" si="56"/>
        <v>0</v>
      </c>
      <c r="AK192" s="536"/>
      <c r="AL192" s="536"/>
      <c r="AM192" s="536"/>
      <c r="AN192" s="542">
        <f t="shared" si="57"/>
        <v>0</v>
      </c>
      <c r="AO192" s="536"/>
      <c r="AP192" s="536"/>
      <c r="AQ192" s="536"/>
      <c r="AR192" s="542">
        <f t="shared" si="58"/>
        <v>0</v>
      </c>
      <c r="AS192" s="536"/>
      <c r="AT192" s="536"/>
      <c r="AU192" s="536"/>
      <c r="AV192" s="542">
        <f t="shared" si="59"/>
        <v>0</v>
      </c>
      <c r="AW192" s="536"/>
      <c r="AX192" s="536"/>
      <c r="AY192" s="536"/>
      <c r="AZ192" s="542">
        <f t="shared" si="60"/>
        <v>0</v>
      </c>
      <c r="BA192" s="536"/>
      <c r="BB192" s="536"/>
      <c r="BC192" s="536"/>
      <c r="BD192" s="542">
        <f t="shared" si="61"/>
        <v>0</v>
      </c>
      <c r="BE192" s="536"/>
      <c r="BF192" s="536"/>
      <c r="BG192" s="536"/>
      <c r="BH192" s="542">
        <f t="shared" si="62"/>
        <v>0</v>
      </c>
      <c r="BI192" s="536"/>
      <c r="BJ192" s="536"/>
      <c r="BK192" s="536"/>
      <c r="BL192" s="542">
        <f t="shared" si="63"/>
        <v>0</v>
      </c>
      <c r="BM192" s="536"/>
      <c r="BN192" s="536"/>
      <c r="BO192" s="536"/>
      <c r="BP192" s="542">
        <f t="shared" si="64"/>
        <v>0</v>
      </c>
      <c r="BQ192" s="536"/>
      <c r="BR192" s="536"/>
      <c r="BS192" s="536"/>
      <c r="BT192" s="542">
        <f t="shared" si="65"/>
        <v>0</v>
      </c>
      <c r="BU192" s="536"/>
      <c r="BV192" s="536"/>
      <c r="BW192" s="536"/>
      <c r="BX192" s="542">
        <f t="shared" si="66"/>
        <v>0</v>
      </c>
      <c r="BY192" s="536"/>
      <c r="BZ192" s="536"/>
      <c r="CA192" s="536"/>
      <c r="CB192" s="542">
        <v>0</v>
      </c>
      <c r="CC192" s="536"/>
      <c r="CD192" s="536"/>
      <c r="CE192" s="536"/>
      <c r="CF192" s="541">
        <f t="shared" si="67"/>
        <v>0</v>
      </c>
      <c r="CG192" s="536"/>
      <c r="CH192" s="536"/>
      <c r="CI192" s="536"/>
      <c r="CJ192" s="541">
        <f t="shared" si="68"/>
        <v>0</v>
      </c>
      <c r="CK192" s="536"/>
      <c r="CL192" s="536"/>
      <c r="CM192" s="536"/>
      <c r="CN192" s="541">
        <f t="shared" si="69"/>
        <v>0</v>
      </c>
      <c r="CO192" s="536"/>
      <c r="CP192" s="536"/>
      <c r="CQ192" s="536"/>
      <c r="CR192" s="541">
        <f t="shared" si="70"/>
        <v>0</v>
      </c>
      <c r="CS192" s="536"/>
      <c r="CT192" s="536"/>
      <c r="CU192" s="536"/>
      <c r="CV192" s="541">
        <f t="shared" si="71"/>
        <v>0</v>
      </c>
      <c r="CW192" s="536"/>
      <c r="CX192" s="536"/>
      <c r="CY192" s="536"/>
      <c r="CZ192" s="541">
        <f t="shared" si="72"/>
        <v>0</v>
      </c>
      <c r="DA192" s="536"/>
      <c r="DB192" s="536"/>
      <c r="DC192" s="536"/>
      <c r="DD192" s="541">
        <f t="shared" si="73"/>
        <v>0</v>
      </c>
      <c r="DE192" s="536"/>
      <c r="DF192" s="536"/>
      <c r="DG192" s="536"/>
      <c r="DH192" s="541">
        <f t="shared" si="74"/>
        <v>0</v>
      </c>
      <c r="DI192" s="536"/>
      <c r="DJ192" s="536"/>
      <c r="DK192" s="536"/>
      <c r="DL192" s="541">
        <f t="shared" si="75"/>
        <v>0</v>
      </c>
      <c r="DM192" s="536"/>
      <c r="DN192" s="536"/>
      <c r="DO192" s="536"/>
      <c r="DP192" s="541">
        <f>IF( SUM((DJ192*(20/100))+(DK192*(30/100))+(DL192*(50/100))) &gt;=9.3,9.5,
IF(AND( SUM((DJ192*(20/100))+(DK192*(30/100))+(DL192*(50/100))) &lt;=9.3, SUM((DJ192*(20/100))+(DK192*(30/100))+(DL192*(50/100))) &gt;=8.8),9,
IF(AND( SUM((DJ192*(20/100))+(DK192*(30/100))+(DL192*(50/100))) &lt;=8.8, SUM((DJ192*(20/100))+(DK192*(30/100))+(DL192*(50/100))) &gt;=8.3),8.5,
IF(AND( SUM((DJ192*(20/100))+(DK192*(30/100))+(DL192*(50/100))) &lt;=8.3, SUM((DJ192*(20/100))+(DK192*(30/100))+(DL192*(50/100))) &gt;=7.8),8,
IF(AND( SUM((DJ192*(20/100))+(DK192*(30/100))+(DL192*(50/100))) &lt;=7.8, SUM((DJ192*(20/100))+(DK192*(30/100))+(DL192*(50/100))) &gt;=7.3),7.5,
IF(AND( SUM((DJ192*(20/100))+(DK192*(30/100))+(DL192*(50/100))) &lt;=7.3, SUM((DJ192*(20/100))+(DK192*(30/100))+(DL192*(50/100))) &gt;=6.8),7,
IF(AND( SUM((DJ192*(20/100))+(DK192*(30/100))+(DL192*(50/100))) &lt;=6.8, SUM((DJ192*(20/100))+(DK192*(30/100))+(DL192*(50/100))) &gt;=6.3),6.5,
IF(AND( SUM((DJ192*(20/100))+(DK192*(30/100))+(DL192*(50/100))) &lt;=6.3, SUM((DJ192*(20/100))+(DK192*(30/100))+(DL192*(50/100))) &gt;=5.8),6,
IF(AND( SUM((DJ192*(20/100))+(DK192*(30/100))+(DL192*(50/100))) &lt;=5.8, SUM((DJ192*(20/100))+(DK192*(30/100))+(DL192*(50/100))) &gt;=5.3),5.5,
IF(AND( SUM((DJ192*(20/100))+(DK192*(30/100))+(DL192*(50/100))) &lt;=5.3, SUM((DJ192*(20/100))+(DK192*(30/100))+(DL192*(50/100))) &gt;=4.8),5,
IF(AND( SUM((DJ192*(20/100))+(DK192*(30/100))+(DL192*(50/100))) &lt;=4.8, SUM((DJ192*(20/100))+(DK192*(30/100))+(DL192*(50/100))) &gt;=4.3),4.5,
IF(AND( SUM((DJ192*(20/100))+(DK192*(30/100))+(DL192*(50/100))) &lt;=4.3, SUM((DJ192*(20/100))+(DK192*(30/100))+(DL192*(50/100))) &gt;=3.8),4,
IF(AND( SUM((DJ192*(20/100))+(DK192*(30/100))+(DL192*(50/100))) &lt;=3.8, SUM((DJ192*(20/100))+(DK192*(30/100))+(DL192*(50/100))) &gt;=3.5),3.5,0)))))))))))))</f>
        <v>0</v>
      </c>
      <c r="DQ192" s="541"/>
      <c r="DR192" s="541"/>
      <c r="DS192" s="541"/>
      <c r="DT192" s="541"/>
      <c r="DU192" s="541"/>
      <c r="DV192" s="541"/>
      <c r="DW192" s="541"/>
      <c r="DX192" s="541"/>
      <c r="DY192" s="541"/>
      <c r="DZ192" s="541"/>
    </row>
    <row r="193" spans="2:130" x14ac:dyDescent="0.25">
      <c r="B193" s="334">
        <v>36</v>
      </c>
      <c r="C193" s="541"/>
      <c r="D193" s="334"/>
      <c r="E193" s="334"/>
      <c r="F193" s="334"/>
      <c r="G193" s="334"/>
      <c r="H193" s="334"/>
      <c r="I193" s="334"/>
      <c r="J193" s="536"/>
      <c r="K193" s="536"/>
      <c r="L193" s="536"/>
      <c r="M193" s="536"/>
      <c r="N193" s="536"/>
      <c r="O193" s="536"/>
      <c r="P193" s="536">
        <f t="shared" si="51"/>
        <v>0</v>
      </c>
      <c r="Q193" s="536"/>
      <c r="R193" s="536"/>
      <c r="S193" s="536"/>
      <c r="T193" s="536">
        <f t="shared" si="52"/>
        <v>0</v>
      </c>
      <c r="U193" s="536"/>
      <c r="V193" s="536"/>
      <c r="W193" s="536"/>
      <c r="X193" s="536">
        <f t="shared" si="53"/>
        <v>0</v>
      </c>
      <c r="Y193" s="536"/>
      <c r="Z193" s="536"/>
      <c r="AA193" s="536"/>
      <c r="AB193" s="536">
        <f t="shared" si="54"/>
        <v>0</v>
      </c>
      <c r="AC193" s="536"/>
      <c r="AD193" s="536"/>
      <c r="AE193" s="536"/>
      <c r="AF193" s="536">
        <f t="shared" si="55"/>
        <v>0</v>
      </c>
      <c r="AG193" s="536"/>
      <c r="AH193" s="536"/>
      <c r="AI193" s="536"/>
      <c r="AJ193" s="536">
        <f t="shared" si="56"/>
        <v>0</v>
      </c>
      <c r="AK193" s="536"/>
      <c r="AL193" s="536"/>
      <c r="AM193" s="536"/>
      <c r="AN193" s="542">
        <f t="shared" si="57"/>
        <v>0</v>
      </c>
      <c r="AO193" s="536"/>
      <c r="AP193" s="536"/>
      <c r="AQ193" s="536"/>
      <c r="AR193" s="542">
        <f t="shared" si="58"/>
        <v>0</v>
      </c>
      <c r="AS193" s="536"/>
      <c r="AT193" s="536"/>
      <c r="AU193" s="536"/>
      <c r="AV193" s="542">
        <f t="shared" si="59"/>
        <v>0</v>
      </c>
      <c r="AW193" s="536"/>
      <c r="AX193" s="536"/>
      <c r="AY193" s="536"/>
      <c r="AZ193" s="542">
        <f t="shared" si="60"/>
        <v>0</v>
      </c>
      <c r="BA193" s="536"/>
      <c r="BB193" s="536"/>
      <c r="BC193" s="536"/>
      <c r="BD193" s="542">
        <f t="shared" si="61"/>
        <v>0</v>
      </c>
      <c r="BE193" s="536"/>
      <c r="BF193" s="536"/>
      <c r="BG193" s="536"/>
      <c r="BH193" s="542">
        <f t="shared" si="62"/>
        <v>0</v>
      </c>
      <c r="BI193" s="536"/>
      <c r="BJ193" s="536"/>
      <c r="BK193" s="536"/>
      <c r="BL193" s="542">
        <f t="shared" si="63"/>
        <v>0</v>
      </c>
      <c r="BM193" s="536"/>
      <c r="BN193" s="536"/>
      <c r="BO193" s="536"/>
      <c r="BP193" s="542">
        <f t="shared" si="64"/>
        <v>0</v>
      </c>
      <c r="BQ193" s="536"/>
      <c r="BR193" s="536"/>
      <c r="BS193" s="536"/>
      <c r="BT193" s="542">
        <f t="shared" si="65"/>
        <v>0</v>
      </c>
      <c r="BU193" s="536"/>
      <c r="BV193" s="536"/>
      <c r="BW193" s="536"/>
      <c r="BX193" s="542">
        <f t="shared" si="66"/>
        <v>0</v>
      </c>
      <c r="BY193" s="536"/>
      <c r="BZ193" s="536"/>
      <c r="CA193" s="536"/>
      <c r="CB193" s="542">
        <v>0</v>
      </c>
      <c r="CC193" s="536"/>
      <c r="CD193" s="536"/>
      <c r="CE193" s="536"/>
      <c r="CF193" s="541">
        <f t="shared" si="67"/>
        <v>0</v>
      </c>
      <c r="CG193" s="536"/>
      <c r="CH193" s="536"/>
      <c r="CI193" s="536"/>
      <c r="CJ193" s="541">
        <f t="shared" si="68"/>
        <v>0</v>
      </c>
      <c r="CK193" s="536"/>
      <c r="CL193" s="536"/>
      <c r="CM193" s="536"/>
      <c r="CN193" s="541">
        <f t="shared" si="69"/>
        <v>0</v>
      </c>
      <c r="CO193" s="536"/>
      <c r="CP193" s="536"/>
      <c r="CQ193" s="536"/>
      <c r="CR193" s="541">
        <f t="shared" si="70"/>
        <v>0</v>
      </c>
      <c r="CS193" s="536"/>
      <c r="CT193" s="536"/>
      <c r="CU193" s="536"/>
      <c r="CV193" s="541">
        <f t="shared" si="71"/>
        <v>0</v>
      </c>
      <c r="CW193" s="536"/>
      <c r="CX193" s="536"/>
      <c r="CY193" s="536"/>
      <c r="CZ193" s="541">
        <f t="shared" si="72"/>
        <v>0</v>
      </c>
      <c r="DA193" s="536"/>
      <c r="DB193" s="536"/>
      <c r="DC193" s="536"/>
      <c r="DD193" s="541">
        <f t="shared" si="73"/>
        <v>0</v>
      </c>
      <c r="DE193" s="536"/>
      <c r="DF193" s="536"/>
      <c r="DG193" s="536"/>
      <c r="DH193" s="541">
        <f t="shared" si="74"/>
        <v>0</v>
      </c>
      <c r="DI193" s="536"/>
      <c r="DJ193" s="536"/>
      <c r="DK193" s="536"/>
      <c r="DL193" s="541">
        <f t="shared" si="75"/>
        <v>0</v>
      </c>
      <c r="DM193" s="536"/>
      <c r="DN193" s="536"/>
      <c r="DO193" s="536"/>
      <c r="DP193" s="541">
        <f>IF( SUM((DJ193*(20/100))+(DK193*(30/100))+(DL193*(50/100))) &gt;=9.3,9.5,
IF(AND( SUM((DJ193*(20/100))+(DK193*(30/100))+(DL193*(50/100))) &lt;=9.3, SUM((DJ193*(20/100))+(DK193*(30/100))+(DL193*(50/100))) &gt;=8.8),9,
IF(AND( SUM((DJ193*(20/100))+(DK193*(30/100))+(DL193*(50/100))) &lt;=8.8, SUM((DJ193*(20/100))+(DK193*(30/100))+(DL193*(50/100))) &gt;=8.3),8.5,
IF(AND( SUM((DJ193*(20/100))+(DK193*(30/100))+(DL193*(50/100))) &lt;=8.3, SUM((DJ193*(20/100))+(DK193*(30/100))+(DL193*(50/100))) &gt;=7.8),8,
IF(AND( SUM((DJ193*(20/100))+(DK193*(30/100))+(DL193*(50/100))) &lt;=7.8, SUM((DJ193*(20/100))+(DK193*(30/100))+(DL193*(50/100))) &gt;=7.3),7.5,
IF(AND( SUM((DJ193*(20/100))+(DK193*(30/100))+(DL193*(50/100))) &lt;=7.3, SUM((DJ193*(20/100))+(DK193*(30/100))+(DL193*(50/100))) &gt;=6.8),7,
IF(AND( SUM((DJ193*(20/100))+(DK193*(30/100))+(DL193*(50/100))) &lt;=6.8, SUM((DJ193*(20/100))+(DK193*(30/100))+(DL193*(50/100))) &gt;=6.3),6.5,
IF(AND( SUM((DJ193*(20/100))+(DK193*(30/100))+(DL193*(50/100))) &lt;=6.3, SUM((DJ193*(20/100))+(DK193*(30/100))+(DL193*(50/100))) &gt;=5.8),6,
IF(AND( SUM((DJ193*(20/100))+(DK193*(30/100))+(DL193*(50/100))) &lt;=5.8, SUM((DJ193*(20/100))+(DK193*(30/100))+(DL193*(50/100))) &gt;=5.3),5.5,
IF(AND( SUM((DJ193*(20/100))+(DK193*(30/100))+(DL193*(50/100))) &lt;=5.3, SUM((DJ193*(20/100))+(DK193*(30/100))+(DL193*(50/100))) &gt;=4.8),5,
IF(AND( SUM((DJ193*(20/100))+(DK193*(30/100))+(DL193*(50/100))) &lt;=4.8, SUM((DJ193*(20/100))+(DK193*(30/100))+(DL193*(50/100))) &gt;=4.3),4.5,
IF(AND( SUM((DJ193*(20/100))+(DK193*(30/100))+(DL193*(50/100))) &lt;=4.3, SUM((DJ193*(20/100))+(DK193*(30/100))+(DL193*(50/100))) &gt;=3.8),4,
IF(AND( SUM((DJ193*(20/100))+(DK193*(30/100))+(DL193*(50/100))) &lt;=3.8, SUM((DJ193*(20/100))+(DK193*(30/100))+(DL193*(50/100))) &gt;=3.5),3.5,0)))))))))))))</f>
        <v>0</v>
      </c>
      <c r="DQ193" s="541"/>
      <c r="DR193" s="541"/>
      <c r="DS193" s="541"/>
      <c r="DT193" s="541"/>
      <c r="DU193" s="541"/>
      <c r="DV193" s="541"/>
      <c r="DW193" s="541"/>
      <c r="DX193" s="541"/>
      <c r="DY193" s="541"/>
      <c r="DZ193" s="541"/>
    </row>
    <row r="194" spans="2:130" x14ac:dyDescent="0.25">
      <c r="B194" s="334">
        <v>37</v>
      </c>
      <c r="C194" s="541"/>
      <c r="D194" s="334"/>
      <c r="E194" s="334"/>
      <c r="F194" s="334"/>
      <c r="G194" s="334"/>
      <c r="H194" s="334"/>
      <c r="I194" s="334"/>
      <c r="J194" s="536"/>
      <c r="K194" s="536"/>
      <c r="L194" s="536"/>
      <c r="M194" s="536"/>
      <c r="N194" s="536"/>
      <c r="O194" s="536"/>
      <c r="P194" s="536">
        <f t="shared" si="51"/>
        <v>0</v>
      </c>
      <c r="Q194" s="536"/>
      <c r="R194" s="536"/>
      <c r="S194" s="536"/>
      <c r="T194" s="536">
        <f t="shared" si="52"/>
        <v>0</v>
      </c>
      <c r="U194" s="536"/>
      <c r="V194" s="536"/>
      <c r="W194" s="536"/>
      <c r="X194" s="536">
        <f t="shared" si="53"/>
        <v>0</v>
      </c>
      <c r="Y194" s="536"/>
      <c r="Z194" s="536"/>
      <c r="AA194" s="536"/>
      <c r="AB194" s="536">
        <f t="shared" si="54"/>
        <v>0</v>
      </c>
      <c r="AC194" s="536"/>
      <c r="AD194" s="536"/>
      <c r="AE194" s="536"/>
      <c r="AF194" s="536">
        <f t="shared" si="55"/>
        <v>0</v>
      </c>
      <c r="AG194" s="536"/>
      <c r="AH194" s="536"/>
      <c r="AI194" s="536"/>
      <c r="AJ194" s="536">
        <f t="shared" si="56"/>
        <v>0</v>
      </c>
      <c r="AK194" s="536"/>
      <c r="AL194" s="536"/>
      <c r="AM194" s="536"/>
      <c r="AN194" s="542">
        <f t="shared" si="57"/>
        <v>0</v>
      </c>
      <c r="AO194" s="536"/>
      <c r="AP194" s="536"/>
      <c r="AQ194" s="536"/>
      <c r="AR194" s="542">
        <f t="shared" si="58"/>
        <v>0</v>
      </c>
      <c r="AS194" s="536"/>
      <c r="AT194" s="536"/>
      <c r="AU194" s="536"/>
      <c r="AV194" s="542">
        <f t="shared" si="59"/>
        <v>0</v>
      </c>
      <c r="AW194" s="536"/>
      <c r="AX194" s="536"/>
      <c r="AY194" s="536"/>
      <c r="AZ194" s="542">
        <f t="shared" si="60"/>
        <v>0</v>
      </c>
      <c r="BA194" s="536"/>
      <c r="BB194" s="536"/>
      <c r="BC194" s="536"/>
      <c r="BD194" s="542">
        <f t="shared" si="61"/>
        <v>0</v>
      </c>
      <c r="BE194" s="536"/>
      <c r="BF194" s="536"/>
      <c r="BG194" s="536"/>
      <c r="BH194" s="542">
        <f t="shared" si="62"/>
        <v>0</v>
      </c>
      <c r="BI194" s="536"/>
      <c r="BJ194" s="536"/>
      <c r="BK194" s="536"/>
      <c r="BL194" s="542">
        <f t="shared" si="63"/>
        <v>0</v>
      </c>
      <c r="BM194" s="536"/>
      <c r="BN194" s="536"/>
      <c r="BO194" s="536"/>
      <c r="BP194" s="542">
        <f t="shared" si="64"/>
        <v>0</v>
      </c>
      <c r="BQ194" s="536"/>
      <c r="BR194" s="536"/>
      <c r="BS194" s="536"/>
      <c r="BT194" s="542">
        <f t="shared" si="65"/>
        <v>0</v>
      </c>
      <c r="BU194" s="536"/>
      <c r="BV194" s="536"/>
      <c r="BW194" s="536"/>
      <c r="BX194" s="542">
        <f t="shared" si="66"/>
        <v>0</v>
      </c>
      <c r="BY194" s="536"/>
      <c r="BZ194" s="536"/>
      <c r="CA194" s="536"/>
      <c r="CB194" s="542">
        <v>0</v>
      </c>
      <c r="CC194" s="536"/>
      <c r="CD194" s="536"/>
      <c r="CE194" s="536"/>
      <c r="CF194" s="541">
        <f t="shared" si="67"/>
        <v>0</v>
      </c>
      <c r="CG194" s="536"/>
      <c r="CH194" s="536"/>
      <c r="CI194" s="536"/>
      <c r="CJ194" s="541">
        <f t="shared" si="68"/>
        <v>0</v>
      </c>
      <c r="CK194" s="536"/>
      <c r="CL194" s="536"/>
      <c r="CM194" s="536"/>
      <c r="CN194" s="541">
        <f t="shared" si="69"/>
        <v>0</v>
      </c>
      <c r="CO194" s="536"/>
      <c r="CP194" s="536"/>
      <c r="CQ194" s="536"/>
      <c r="CR194" s="541">
        <f t="shared" si="70"/>
        <v>0</v>
      </c>
      <c r="CS194" s="536"/>
      <c r="CT194" s="536"/>
      <c r="CU194" s="536"/>
      <c r="CV194" s="541">
        <f t="shared" si="71"/>
        <v>0</v>
      </c>
      <c r="CW194" s="536"/>
      <c r="CX194" s="536"/>
      <c r="CY194" s="536"/>
      <c r="CZ194" s="541">
        <f t="shared" si="72"/>
        <v>0</v>
      </c>
      <c r="DA194" s="536"/>
      <c r="DB194" s="536"/>
      <c r="DC194" s="536"/>
      <c r="DD194" s="541">
        <f t="shared" si="73"/>
        <v>0</v>
      </c>
      <c r="DE194" s="536"/>
      <c r="DF194" s="536"/>
      <c r="DG194" s="536"/>
      <c r="DH194" s="541">
        <f t="shared" si="74"/>
        <v>0</v>
      </c>
      <c r="DI194" s="536"/>
      <c r="DJ194" s="536"/>
      <c r="DK194" s="536"/>
      <c r="DL194" s="541">
        <f t="shared" si="75"/>
        <v>0</v>
      </c>
      <c r="DM194" s="536"/>
      <c r="DN194" s="536"/>
      <c r="DO194" s="536"/>
      <c r="DP194" s="541">
        <f>IF( SUM((DJ194*(20/100))+(DK194*(30/100))+(DL194*(50/100))) &gt;=9.3,9.5,
IF(AND( SUM((DJ194*(20/100))+(DK194*(30/100))+(DL194*(50/100))) &lt;=9.3, SUM((DJ194*(20/100))+(DK194*(30/100))+(DL194*(50/100))) &gt;=8.8),9,
IF(AND( SUM((DJ194*(20/100))+(DK194*(30/100))+(DL194*(50/100))) &lt;=8.8, SUM((DJ194*(20/100))+(DK194*(30/100))+(DL194*(50/100))) &gt;=8.3),8.5,
IF(AND( SUM((DJ194*(20/100))+(DK194*(30/100))+(DL194*(50/100))) &lt;=8.3, SUM((DJ194*(20/100))+(DK194*(30/100))+(DL194*(50/100))) &gt;=7.8),8,
IF(AND( SUM((DJ194*(20/100))+(DK194*(30/100))+(DL194*(50/100))) &lt;=7.8, SUM((DJ194*(20/100))+(DK194*(30/100))+(DL194*(50/100))) &gt;=7.3),7.5,
IF(AND( SUM((DJ194*(20/100))+(DK194*(30/100))+(DL194*(50/100))) &lt;=7.3, SUM((DJ194*(20/100))+(DK194*(30/100))+(DL194*(50/100))) &gt;=6.8),7,
IF(AND( SUM((DJ194*(20/100))+(DK194*(30/100))+(DL194*(50/100))) &lt;=6.8, SUM((DJ194*(20/100))+(DK194*(30/100))+(DL194*(50/100))) &gt;=6.3),6.5,
IF(AND( SUM((DJ194*(20/100))+(DK194*(30/100))+(DL194*(50/100))) &lt;=6.3, SUM((DJ194*(20/100))+(DK194*(30/100))+(DL194*(50/100))) &gt;=5.8),6,
IF(AND( SUM((DJ194*(20/100))+(DK194*(30/100))+(DL194*(50/100))) &lt;=5.8, SUM((DJ194*(20/100))+(DK194*(30/100))+(DL194*(50/100))) &gt;=5.3),5.5,
IF(AND( SUM((DJ194*(20/100))+(DK194*(30/100))+(DL194*(50/100))) &lt;=5.3, SUM((DJ194*(20/100))+(DK194*(30/100))+(DL194*(50/100))) &gt;=4.8),5,
IF(AND( SUM((DJ194*(20/100))+(DK194*(30/100))+(DL194*(50/100))) &lt;=4.8, SUM((DJ194*(20/100))+(DK194*(30/100))+(DL194*(50/100))) &gt;=4.3),4.5,
IF(AND( SUM((DJ194*(20/100))+(DK194*(30/100))+(DL194*(50/100))) &lt;=4.3, SUM((DJ194*(20/100))+(DK194*(30/100))+(DL194*(50/100))) &gt;=3.8),4,
IF(AND( SUM((DJ194*(20/100))+(DK194*(30/100))+(DL194*(50/100))) &lt;=3.8, SUM((DJ194*(20/100))+(DK194*(30/100))+(DL194*(50/100))) &gt;=3.5),3.5,0)))))))))))))</f>
        <v>0</v>
      </c>
      <c r="DQ194" s="541"/>
      <c r="DR194" s="541"/>
      <c r="DS194" s="541"/>
      <c r="DT194" s="541"/>
      <c r="DU194" s="541"/>
      <c r="DV194" s="541"/>
      <c r="DW194" s="541"/>
      <c r="DX194" s="541"/>
      <c r="DY194" s="541"/>
      <c r="DZ194" s="541"/>
    </row>
    <row r="195" spans="2:130" x14ac:dyDescent="0.25">
      <c r="B195" s="334">
        <v>38</v>
      </c>
      <c r="C195" s="541"/>
      <c r="D195" s="334"/>
      <c r="E195" s="334"/>
      <c r="F195" s="334"/>
      <c r="G195" s="334"/>
      <c r="H195" s="334"/>
      <c r="I195" s="334"/>
      <c r="J195" s="536"/>
      <c r="K195" s="536"/>
      <c r="L195" s="536"/>
      <c r="M195" s="536"/>
      <c r="N195" s="536"/>
      <c r="O195" s="536"/>
      <c r="P195" s="536">
        <f t="shared" si="51"/>
        <v>0</v>
      </c>
      <c r="Q195" s="536"/>
      <c r="R195" s="536"/>
      <c r="S195" s="536"/>
      <c r="T195" s="536">
        <f t="shared" si="52"/>
        <v>0</v>
      </c>
      <c r="U195" s="536"/>
      <c r="V195" s="536"/>
      <c r="W195" s="536"/>
      <c r="X195" s="536">
        <f t="shared" si="53"/>
        <v>0</v>
      </c>
      <c r="Y195" s="536"/>
      <c r="Z195" s="536"/>
      <c r="AA195" s="536"/>
      <c r="AB195" s="536">
        <f t="shared" si="54"/>
        <v>0</v>
      </c>
      <c r="AC195" s="536"/>
      <c r="AD195" s="536"/>
      <c r="AE195" s="536"/>
      <c r="AF195" s="536">
        <f t="shared" si="55"/>
        <v>0</v>
      </c>
      <c r="AG195" s="536"/>
      <c r="AH195" s="536"/>
      <c r="AI195" s="536"/>
      <c r="AJ195" s="536">
        <f t="shared" si="56"/>
        <v>0</v>
      </c>
      <c r="AK195" s="536"/>
      <c r="AL195" s="536"/>
      <c r="AM195" s="536"/>
      <c r="AN195" s="542">
        <f t="shared" si="57"/>
        <v>0</v>
      </c>
      <c r="AO195" s="536"/>
      <c r="AP195" s="536"/>
      <c r="AQ195" s="536"/>
      <c r="AR195" s="542">
        <f t="shared" si="58"/>
        <v>0</v>
      </c>
      <c r="AS195" s="536"/>
      <c r="AT195" s="536"/>
      <c r="AU195" s="536"/>
      <c r="AV195" s="542">
        <f t="shared" si="59"/>
        <v>0</v>
      </c>
      <c r="AW195" s="536"/>
      <c r="AX195" s="536"/>
      <c r="AY195" s="536"/>
      <c r="AZ195" s="542">
        <f t="shared" si="60"/>
        <v>0</v>
      </c>
      <c r="BA195" s="536"/>
      <c r="BB195" s="536"/>
      <c r="BC195" s="536"/>
      <c r="BD195" s="542">
        <f t="shared" si="61"/>
        <v>0</v>
      </c>
      <c r="BE195" s="536"/>
      <c r="BF195" s="536"/>
      <c r="BG195" s="536"/>
      <c r="BH195" s="542">
        <f t="shared" si="62"/>
        <v>0</v>
      </c>
      <c r="BI195" s="536"/>
      <c r="BJ195" s="536"/>
      <c r="BK195" s="536"/>
      <c r="BL195" s="542">
        <f t="shared" si="63"/>
        <v>0</v>
      </c>
      <c r="BM195" s="536"/>
      <c r="BN195" s="536"/>
      <c r="BO195" s="536"/>
      <c r="BP195" s="542">
        <f t="shared" si="64"/>
        <v>0</v>
      </c>
      <c r="BQ195" s="536"/>
      <c r="BR195" s="536"/>
      <c r="BS195" s="536"/>
      <c r="BT195" s="542">
        <f t="shared" si="65"/>
        <v>0</v>
      </c>
      <c r="BU195" s="536"/>
      <c r="BV195" s="536"/>
      <c r="BW195" s="536"/>
      <c r="BX195" s="542">
        <f t="shared" si="66"/>
        <v>0</v>
      </c>
      <c r="BY195" s="536"/>
      <c r="BZ195" s="536"/>
      <c r="CA195" s="536"/>
      <c r="CB195" s="542">
        <v>0</v>
      </c>
      <c r="CC195" s="536"/>
      <c r="CD195" s="536"/>
      <c r="CE195" s="536"/>
      <c r="CF195" s="541">
        <f t="shared" si="67"/>
        <v>0</v>
      </c>
      <c r="CG195" s="536"/>
      <c r="CH195" s="536"/>
      <c r="CI195" s="536"/>
      <c r="CJ195" s="541">
        <f t="shared" si="68"/>
        <v>0</v>
      </c>
      <c r="CK195" s="536"/>
      <c r="CL195" s="536"/>
      <c r="CM195" s="536"/>
      <c r="CN195" s="541">
        <f t="shared" si="69"/>
        <v>0</v>
      </c>
      <c r="CO195" s="536"/>
      <c r="CP195" s="536"/>
      <c r="CQ195" s="536"/>
      <c r="CR195" s="541">
        <f t="shared" si="70"/>
        <v>0</v>
      </c>
      <c r="CS195" s="536"/>
      <c r="CT195" s="536"/>
      <c r="CU195" s="536"/>
      <c r="CV195" s="541">
        <f t="shared" si="71"/>
        <v>0</v>
      </c>
      <c r="CW195" s="536"/>
      <c r="CX195" s="536"/>
      <c r="CY195" s="536"/>
      <c r="CZ195" s="541">
        <f t="shared" si="72"/>
        <v>0</v>
      </c>
      <c r="DA195" s="536"/>
      <c r="DB195" s="536"/>
      <c r="DC195" s="536"/>
      <c r="DD195" s="541">
        <f t="shared" si="73"/>
        <v>0</v>
      </c>
      <c r="DE195" s="536"/>
      <c r="DF195" s="536"/>
      <c r="DG195" s="536"/>
      <c r="DH195" s="541">
        <f t="shared" si="74"/>
        <v>0</v>
      </c>
      <c r="DI195" s="536"/>
      <c r="DJ195" s="536"/>
      <c r="DK195" s="536"/>
      <c r="DL195" s="541">
        <f t="shared" si="75"/>
        <v>0</v>
      </c>
      <c r="DM195" s="536"/>
      <c r="DN195" s="536"/>
      <c r="DO195" s="536"/>
      <c r="DP195" s="541">
        <f>IF( SUM((DJ195*(20/100))+(DK195*(30/100))+(DL195*(50/100))) &gt;=9.3,9.5,
IF(AND( SUM((DJ195*(20/100))+(DK195*(30/100))+(DL195*(50/100))) &lt;=9.3, SUM((DJ195*(20/100))+(DK195*(30/100))+(DL195*(50/100))) &gt;=8.8),9,
IF(AND( SUM((DJ195*(20/100))+(DK195*(30/100))+(DL195*(50/100))) &lt;=8.8, SUM((DJ195*(20/100))+(DK195*(30/100))+(DL195*(50/100))) &gt;=8.3),8.5,
IF(AND( SUM((DJ195*(20/100))+(DK195*(30/100))+(DL195*(50/100))) &lt;=8.3, SUM((DJ195*(20/100))+(DK195*(30/100))+(DL195*(50/100))) &gt;=7.8),8,
IF(AND( SUM((DJ195*(20/100))+(DK195*(30/100))+(DL195*(50/100))) &lt;=7.8, SUM((DJ195*(20/100))+(DK195*(30/100))+(DL195*(50/100))) &gt;=7.3),7.5,
IF(AND( SUM((DJ195*(20/100))+(DK195*(30/100))+(DL195*(50/100))) &lt;=7.3, SUM((DJ195*(20/100))+(DK195*(30/100))+(DL195*(50/100))) &gt;=6.8),7,
IF(AND( SUM((DJ195*(20/100))+(DK195*(30/100))+(DL195*(50/100))) &lt;=6.8, SUM((DJ195*(20/100))+(DK195*(30/100))+(DL195*(50/100))) &gt;=6.3),6.5,
IF(AND( SUM((DJ195*(20/100))+(DK195*(30/100))+(DL195*(50/100))) &lt;=6.3, SUM((DJ195*(20/100))+(DK195*(30/100))+(DL195*(50/100))) &gt;=5.8),6,
IF(AND( SUM((DJ195*(20/100))+(DK195*(30/100))+(DL195*(50/100))) &lt;=5.8, SUM((DJ195*(20/100))+(DK195*(30/100))+(DL195*(50/100))) &gt;=5.3),5.5,
IF(AND( SUM((DJ195*(20/100))+(DK195*(30/100))+(DL195*(50/100))) &lt;=5.3, SUM((DJ195*(20/100))+(DK195*(30/100))+(DL195*(50/100))) &gt;=4.8),5,
IF(AND( SUM((DJ195*(20/100))+(DK195*(30/100))+(DL195*(50/100))) &lt;=4.8, SUM((DJ195*(20/100))+(DK195*(30/100))+(DL195*(50/100))) &gt;=4.3),4.5,
IF(AND( SUM((DJ195*(20/100))+(DK195*(30/100))+(DL195*(50/100))) &lt;=4.3, SUM((DJ195*(20/100))+(DK195*(30/100))+(DL195*(50/100))) &gt;=3.8),4,
IF(AND( SUM((DJ195*(20/100))+(DK195*(30/100))+(DL195*(50/100))) &lt;=3.8, SUM((DJ195*(20/100))+(DK195*(30/100))+(DL195*(50/100))) &gt;=3.5),3.5,0)))))))))))))</f>
        <v>0</v>
      </c>
      <c r="DQ195" s="541"/>
      <c r="DR195" s="541"/>
      <c r="DS195" s="541"/>
      <c r="DT195" s="541"/>
      <c r="DU195" s="541"/>
      <c r="DV195" s="541"/>
      <c r="DW195" s="541"/>
      <c r="DX195" s="541"/>
      <c r="DY195" s="541"/>
      <c r="DZ195" s="541"/>
    </row>
    <row r="196" spans="2:130" x14ac:dyDescent="0.25">
      <c r="B196" s="334">
        <v>39</v>
      </c>
      <c r="C196" s="541"/>
      <c r="D196" s="334"/>
      <c r="E196" s="334"/>
      <c r="F196" s="334"/>
      <c r="G196" s="334"/>
      <c r="H196" s="334"/>
      <c r="I196" s="334"/>
      <c r="J196" s="536"/>
      <c r="K196" s="536"/>
      <c r="L196" s="536"/>
      <c r="M196" s="536"/>
      <c r="N196" s="536"/>
      <c r="O196" s="536"/>
      <c r="P196" s="536">
        <f t="shared" si="51"/>
        <v>0</v>
      </c>
      <c r="Q196" s="536"/>
      <c r="R196" s="536"/>
      <c r="S196" s="536"/>
      <c r="T196" s="536">
        <f t="shared" si="52"/>
        <v>0</v>
      </c>
      <c r="U196" s="536"/>
      <c r="V196" s="536"/>
      <c r="W196" s="536"/>
      <c r="X196" s="536">
        <f t="shared" si="53"/>
        <v>0</v>
      </c>
      <c r="Y196" s="536"/>
      <c r="Z196" s="536"/>
      <c r="AA196" s="536"/>
      <c r="AB196" s="536">
        <f t="shared" si="54"/>
        <v>0</v>
      </c>
      <c r="AC196" s="536"/>
      <c r="AD196" s="536"/>
      <c r="AE196" s="536"/>
      <c r="AF196" s="536">
        <f t="shared" si="55"/>
        <v>0</v>
      </c>
      <c r="AG196" s="536"/>
      <c r="AH196" s="536"/>
      <c r="AI196" s="536"/>
      <c r="AJ196" s="536">
        <f t="shared" si="56"/>
        <v>0</v>
      </c>
      <c r="AK196" s="536"/>
      <c r="AL196" s="536"/>
      <c r="AM196" s="536"/>
      <c r="AN196" s="542">
        <f t="shared" si="57"/>
        <v>0</v>
      </c>
      <c r="AO196" s="536"/>
      <c r="AP196" s="536"/>
      <c r="AQ196" s="536"/>
      <c r="AR196" s="542">
        <f t="shared" si="58"/>
        <v>0</v>
      </c>
      <c r="AS196" s="536"/>
      <c r="AT196" s="536"/>
      <c r="AU196" s="536"/>
      <c r="AV196" s="542">
        <f t="shared" si="59"/>
        <v>0</v>
      </c>
      <c r="AW196" s="536"/>
      <c r="AX196" s="536"/>
      <c r="AY196" s="536"/>
      <c r="AZ196" s="542">
        <f t="shared" si="60"/>
        <v>0</v>
      </c>
      <c r="BA196" s="536"/>
      <c r="BB196" s="536"/>
      <c r="BC196" s="536"/>
      <c r="BD196" s="542">
        <f t="shared" si="61"/>
        <v>0</v>
      </c>
      <c r="BE196" s="536"/>
      <c r="BF196" s="536"/>
      <c r="BG196" s="536"/>
      <c r="BH196" s="542">
        <f t="shared" si="62"/>
        <v>0</v>
      </c>
      <c r="BI196" s="536"/>
      <c r="BJ196" s="536"/>
      <c r="BK196" s="536"/>
      <c r="BL196" s="542">
        <f t="shared" si="63"/>
        <v>0</v>
      </c>
      <c r="BM196" s="536"/>
      <c r="BN196" s="536"/>
      <c r="BO196" s="536"/>
      <c r="BP196" s="542">
        <f t="shared" si="64"/>
        <v>0</v>
      </c>
      <c r="BQ196" s="536"/>
      <c r="BR196" s="536"/>
      <c r="BS196" s="536"/>
      <c r="BT196" s="542">
        <f t="shared" si="65"/>
        <v>0</v>
      </c>
      <c r="BU196" s="536"/>
      <c r="BV196" s="536"/>
      <c r="BW196" s="536"/>
      <c r="BX196" s="542">
        <f t="shared" si="66"/>
        <v>0</v>
      </c>
      <c r="BY196" s="536"/>
      <c r="BZ196" s="536"/>
      <c r="CA196" s="536"/>
      <c r="CB196" s="542">
        <v>0</v>
      </c>
      <c r="CC196" s="536"/>
      <c r="CD196" s="536"/>
      <c r="CE196" s="536"/>
      <c r="CF196" s="541">
        <f t="shared" si="67"/>
        <v>0</v>
      </c>
      <c r="CG196" s="536"/>
      <c r="CH196" s="536"/>
      <c r="CI196" s="536"/>
      <c r="CJ196" s="541">
        <f t="shared" si="68"/>
        <v>0</v>
      </c>
      <c r="CK196" s="536"/>
      <c r="CL196" s="536"/>
      <c r="CM196" s="536"/>
      <c r="CN196" s="541">
        <f t="shared" si="69"/>
        <v>0</v>
      </c>
      <c r="CO196" s="536"/>
      <c r="CP196" s="536"/>
      <c r="CQ196" s="536"/>
      <c r="CR196" s="541">
        <f t="shared" si="70"/>
        <v>0</v>
      </c>
      <c r="CS196" s="536"/>
      <c r="CT196" s="536"/>
      <c r="CU196" s="536"/>
      <c r="CV196" s="541">
        <f t="shared" si="71"/>
        <v>0</v>
      </c>
      <c r="CW196" s="536"/>
      <c r="CX196" s="536"/>
      <c r="CY196" s="536"/>
      <c r="CZ196" s="541">
        <f t="shared" si="72"/>
        <v>0</v>
      </c>
      <c r="DA196" s="536"/>
      <c r="DB196" s="536"/>
      <c r="DC196" s="536"/>
      <c r="DD196" s="541">
        <f t="shared" si="73"/>
        <v>0</v>
      </c>
      <c r="DE196" s="536"/>
      <c r="DF196" s="536"/>
      <c r="DG196" s="536"/>
      <c r="DH196" s="541">
        <f t="shared" si="74"/>
        <v>0</v>
      </c>
      <c r="DI196" s="536"/>
      <c r="DJ196" s="536"/>
      <c r="DK196" s="536"/>
      <c r="DL196" s="541">
        <f t="shared" si="75"/>
        <v>0</v>
      </c>
      <c r="DM196" s="536"/>
      <c r="DN196" s="536"/>
      <c r="DO196" s="536"/>
      <c r="DP196" s="541">
        <f>IF( SUM((DJ196*(20/100))+(DK196*(30/100))+(DL196*(50/100))) &gt;=9.3,9.5,
IF(AND( SUM((DJ196*(20/100))+(DK196*(30/100))+(DL196*(50/100))) &lt;=9.3, SUM((DJ196*(20/100))+(DK196*(30/100))+(DL196*(50/100))) &gt;=8.8),9,
IF(AND( SUM((DJ196*(20/100))+(DK196*(30/100))+(DL196*(50/100))) &lt;=8.8, SUM((DJ196*(20/100))+(DK196*(30/100))+(DL196*(50/100))) &gt;=8.3),8.5,
IF(AND( SUM((DJ196*(20/100))+(DK196*(30/100))+(DL196*(50/100))) &lt;=8.3, SUM((DJ196*(20/100))+(DK196*(30/100))+(DL196*(50/100))) &gt;=7.8),8,
IF(AND( SUM((DJ196*(20/100))+(DK196*(30/100))+(DL196*(50/100))) &lt;=7.8, SUM((DJ196*(20/100))+(DK196*(30/100))+(DL196*(50/100))) &gt;=7.3),7.5,
IF(AND( SUM((DJ196*(20/100))+(DK196*(30/100))+(DL196*(50/100))) &lt;=7.3, SUM((DJ196*(20/100))+(DK196*(30/100))+(DL196*(50/100))) &gt;=6.8),7,
IF(AND( SUM((DJ196*(20/100))+(DK196*(30/100))+(DL196*(50/100))) &lt;=6.8, SUM((DJ196*(20/100))+(DK196*(30/100))+(DL196*(50/100))) &gt;=6.3),6.5,
IF(AND( SUM((DJ196*(20/100))+(DK196*(30/100))+(DL196*(50/100))) &lt;=6.3, SUM((DJ196*(20/100))+(DK196*(30/100))+(DL196*(50/100))) &gt;=5.8),6,
IF(AND( SUM((DJ196*(20/100))+(DK196*(30/100))+(DL196*(50/100))) &lt;=5.8, SUM((DJ196*(20/100))+(DK196*(30/100))+(DL196*(50/100))) &gt;=5.3),5.5,
IF(AND( SUM((DJ196*(20/100))+(DK196*(30/100))+(DL196*(50/100))) &lt;=5.3, SUM((DJ196*(20/100))+(DK196*(30/100))+(DL196*(50/100))) &gt;=4.8),5,
IF(AND( SUM((DJ196*(20/100))+(DK196*(30/100))+(DL196*(50/100))) &lt;=4.8, SUM((DJ196*(20/100))+(DK196*(30/100))+(DL196*(50/100))) &gt;=4.3),4.5,
IF(AND( SUM((DJ196*(20/100))+(DK196*(30/100))+(DL196*(50/100))) &lt;=4.3, SUM((DJ196*(20/100))+(DK196*(30/100))+(DL196*(50/100))) &gt;=3.8),4,
IF(AND( SUM((DJ196*(20/100))+(DK196*(30/100))+(DL196*(50/100))) &lt;=3.8, SUM((DJ196*(20/100))+(DK196*(30/100))+(DL196*(50/100))) &gt;=3.5),3.5,0)))))))))))))</f>
        <v>0</v>
      </c>
      <c r="DQ196" s="541"/>
      <c r="DR196" s="541"/>
      <c r="DS196" s="541"/>
      <c r="DT196" s="541"/>
      <c r="DU196" s="541"/>
      <c r="DV196" s="541"/>
      <c r="DW196" s="541"/>
      <c r="DX196" s="541"/>
      <c r="DY196" s="541"/>
      <c r="DZ196" s="541"/>
    </row>
    <row r="197" spans="2:130" x14ac:dyDescent="0.25">
      <c r="B197" s="334">
        <v>40</v>
      </c>
      <c r="C197" s="541"/>
      <c r="D197" s="334"/>
      <c r="E197" s="334"/>
      <c r="F197" s="334"/>
      <c r="G197" s="334"/>
      <c r="H197" s="334"/>
      <c r="I197" s="334"/>
      <c r="J197" s="536"/>
      <c r="K197" s="536"/>
      <c r="L197" s="536"/>
      <c r="M197" s="536"/>
      <c r="N197" s="536"/>
      <c r="O197" s="536"/>
      <c r="P197" s="536">
        <f t="shared" si="51"/>
        <v>0</v>
      </c>
      <c r="Q197" s="536"/>
      <c r="R197" s="536"/>
      <c r="S197" s="536"/>
      <c r="T197" s="536">
        <f t="shared" si="52"/>
        <v>0</v>
      </c>
      <c r="U197" s="536"/>
      <c r="V197" s="536"/>
      <c r="W197" s="536"/>
      <c r="X197" s="536">
        <f t="shared" si="53"/>
        <v>0</v>
      </c>
      <c r="Y197" s="536"/>
      <c r="Z197" s="536"/>
      <c r="AA197" s="536"/>
      <c r="AB197" s="536">
        <f t="shared" si="54"/>
        <v>0</v>
      </c>
      <c r="AC197" s="536"/>
      <c r="AD197" s="536"/>
      <c r="AE197" s="536"/>
      <c r="AF197" s="536">
        <f t="shared" si="55"/>
        <v>0</v>
      </c>
      <c r="AG197" s="536"/>
      <c r="AH197" s="536"/>
      <c r="AI197" s="536"/>
      <c r="AJ197" s="536">
        <f t="shared" si="56"/>
        <v>0</v>
      </c>
      <c r="AK197" s="536"/>
      <c r="AL197" s="536"/>
      <c r="AM197" s="536"/>
      <c r="AN197" s="542">
        <f t="shared" si="57"/>
        <v>0</v>
      </c>
      <c r="AO197" s="536"/>
      <c r="AP197" s="536"/>
      <c r="AQ197" s="536"/>
      <c r="AR197" s="542">
        <f t="shared" si="58"/>
        <v>0</v>
      </c>
      <c r="AS197" s="536"/>
      <c r="AT197" s="536"/>
      <c r="AU197" s="536"/>
      <c r="AV197" s="542">
        <f t="shared" si="59"/>
        <v>0</v>
      </c>
      <c r="AW197" s="536"/>
      <c r="AX197" s="536"/>
      <c r="AY197" s="536"/>
      <c r="AZ197" s="542">
        <f t="shared" si="60"/>
        <v>0</v>
      </c>
      <c r="BA197" s="536"/>
      <c r="BB197" s="536"/>
      <c r="BC197" s="536"/>
      <c r="BD197" s="542">
        <f t="shared" si="61"/>
        <v>0</v>
      </c>
      <c r="BE197" s="536"/>
      <c r="BF197" s="536"/>
      <c r="BG197" s="536"/>
      <c r="BH197" s="542">
        <f t="shared" si="62"/>
        <v>0</v>
      </c>
      <c r="BI197" s="536"/>
      <c r="BJ197" s="536"/>
      <c r="BK197" s="536"/>
      <c r="BL197" s="542">
        <f t="shared" si="63"/>
        <v>0</v>
      </c>
      <c r="BM197" s="536"/>
      <c r="BN197" s="536"/>
      <c r="BO197" s="536"/>
      <c r="BP197" s="542">
        <f t="shared" si="64"/>
        <v>0</v>
      </c>
      <c r="BQ197" s="536"/>
      <c r="BR197" s="536"/>
      <c r="BS197" s="536"/>
      <c r="BT197" s="542">
        <f t="shared" si="65"/>
        <v>0</v>
      </c>
      <c r="BU197" s="536"/>
      <c r="BV197" s="536"/>
      <c r="BW197" s="536"/>
      <c r="BX197" s="542">
        <f t="shared" si="66"/>
        <v>0</v>
      </c>
      <c r="BY197" s="536"/>
      <c r="BZ197" s="536"/>
      <c r="CA197" s="536"/>
      <c r="CB197" s="542">
        <v>0</v>
      </c>
      <c r="CC197" s="536"/>
      <c r="CD197" s="536"/>
      <c r="CE197" s="536"/>
      <c r="CF197" s="541">
        <f t="shared" si="67"/>
        <v>0</v>
      </c>
      <c r="CG197" s="536"/>
      <c r="CH197" s="536"/>
      <c r="CI197" s="536"/>
      <c r="CJ197" s="541">
        <f t="shared" si="68"/>
        <v>0</v>
      </c>
      <c r="CK197" s="536"/>
      <c r="CL197" s="536"/>
      <c r="CM197" s="536"/>
      <c r="CN197" s="541">
        <f t="shared" si="69"/>
        <v>0</v>
      </c>
      <c r="CO197" s="536"/>
      <c r="CP197" s="536"/>
      <c r="CQ197" s="536"/>
      <c r="CR197" s="541">
        <f t="shared" si="70"/>
        <v>0</v>
      </c>
      <c r="CS197" s="536"/>
      <c r="CT197" s="536"/>
      <c r="CU197" s="536"/>
      <c r="CV197" s="541">
        <f t="shared" si="71"/>
        <v>0</v>
      </c>
      <c r="CW197" s="536"/>
      <c r="CX197" s="536"/>
      <c r="CY197" s="536"/>
      <c r="CZ197" s="541">
        <f t="shared" si="72"/>
        <v>0</v>
      </c>
      <c r="DA197" s="536"/>
      <c r="DB197" s="536"/>
      <c r="DC197" s="536"/>
      <c r="DD197" s="541">
        <f t="shared" si="73"/>
        <v>0</v>
      </c>
      <c r="DE197" s="536"/>
      <c r="DF197" s="536"/>
      <c r="DG197" s="536"/>
      <c r="DH197" s="541">
        <f t="shared" si="74"/>
        <v>0</v>
      </c>
      <c r="DI197" s="536"/>
      <c r="DJ197" s="536"/>
      <c r="DK197" s="536"/>
      <c r="DL197" s="541">
        <f t="shared" si="75"/>
        <v>0</v>
      </c>
      <c r="DM197" s="536"/>
      <c r="DN197" s="536"/>
      <c r="DO197" s="536"/>
      <c r="DP197" s="541">
        <f>IF( SUM((DJ197*(20/100))+(DK197*(30/100))+(DL197*(50/100))) &gt;=9.3,9.5,
IF(AND( SUM((DJ197*(20/100))+(DK197*(30/100))+(DL197*(50/100))) &lt;=9.3, SUM((DJ197*(20/100))+(DK197*(30/100))+(DL197*(50/100))) &gt;=8.8),9,
IF(AND( SUM((DJ197*(20/100))+(DK197*(30/100))+(DL197*(50/100))) &lt;=8.8, SUM((DJ197*(20/100))+(DK197*(30/100))+(DL197*(50/100))) &gt;=8.3),8.5,
IF(AND( SUM((DJ197*(20/100))+(DK197*(30/100))+(DL197*(50/100))) &lt;=8.3, SUM((DJ197*(20/100))+(DK197*(30/100))+(DL197*(50/100))) &gt;=7.8),8,
IF(AND( SUM((DJ197*(20/100))+(DK197*(30/100))+(DL197*(50/100))) &lt;=7.8, SUM((DJ197*(20/100))+(DK197*(30/100))+(DL197*(50/100))) &gt;=7.3),7.5,
IF(AND( SUM((DJ197*(20/100))+(DK197*(30/100))+(DL197*(50/100))) &lt;=7.3, SUM((DJ197*(20/100))+(DK197*(30/100))+(DL197*(50/100))) &gt;=6.8),7,
IF(AND( SUM((DJ197*(20/100))+(DK197*(30/100))+(DL197*(50/100))) &lt;=6.8, SUM((DJ197*(20/100))+(DK197*(30/100))+(DL197*(50/100))) &gt;=6.3),6.5,
IF(AND( SUM((DJ197*(20/100))+(DK197*(30/100))+(DL197*(50/100))) &lt;=6.3, SUM((DJ197*(20/100))+(DK197*(30/100))+(DL197*(50/100))) &gt;=5.8),6,
IF(AND( SUM((DJ197*(20/100))+(DK197*(30/100))+(DL197*(50/100))) &lt;=5.8, SUM((DJ197*(20/100))+(DK197*(30/100))+(DL197*(50/100))) &gt;=5.3),5.5,
IF(AND( SUM((DJ197*(20/100))+(DK197*(30/100))+(DL197*(50/100))) &lt;=5.3, SUM((DJ197*(20/100))+(DK197*(30/100))+(DL197*(50/100))) &gt;=4.8),5,
IF(AND( SUM((DJ197*(20/100))+(DK197*(30/100))+(DL197*(50/100))) &lt;=4.8, SUM((DJ197*(20/100))+(DK197*(30/100))+(DL197*(50/100))) &gt;=4.3),4.5,
IF(AND( SUM((DJ197*(20/100))+(DK197*(30/100))+(DL197*(50/100))) &lt;=4.3, SUM((DJ197*(20/100))+(DK197*(30/100))+(DL197*(50/100))) &gt;=3.8),4,
IF(AND( SUM((DJ197*(20/100))+(DK197*(30/100))+(DL197*(50/100))) &lt;=3.8, SUM((DJ197*(20/100))+(DK197*(30/100))+(DL197*(50/100))) &gt;=3.5),3.5,0)))))))))))))</f>
        <v>0</v>
      </c>
      <c r="DQ197" s="541"/>
      <c r="DR197" s="541"/>
      <c r="DS197" s="541"/>
      <c r="DT197" s="541"/>
      <c r="DU197" s="541"/>
      <c r="DV197" s="541"/>
      <c r="DW197" s="541"/>
      <c r="DX197" s="541"/>
      <c r="DY197" s="541"/>
      <c r="DZ197" s="541"/>
    </row>
    <row r="198" spans="2:130" x14ac:dyDescent="0.25">
      <c r="B198" s="334">
        <v>41</v>
      </c>
      <c r="C198" s="541"/>
      <c r="D198" s="334"/>
      <c r="E198" s="334"/>
      <c r="F198" s="334"/>
      <c r="G198" s="334"/>
      <c r="H198" s="334"/>
      <c r="I198" s="334"/>
      <c r="J198" s="536"/>
      <c r="K198" s="536"/>
      <c r="L198" s="536"/>
      <c r="M198" s="536"/>
      <c r="N198" s="536"/>
      <c r="O198" s="536"/>
      <c r="P198" s="536">
        <f t="shared" si="51"/>
        <v>0</v>
      </c>
      <c r="Q198" s="536"/>
      <c r="R198" s="536"/>
      <c r="S198" s="536"/>
      <c r="T198" s="536">
        <f t="shared" si="52"/>
        <v>0</v>
      </c>
      <c r="U198" s="536"/>
      <c r="V198" s="536"/>
      <c r="W198" s="536"/>
      <c r="X198" s="536">
        <f t="shared" si="53"/>
        <v>0</v>
      </c>
      <c r="Y198" s="536"/>
      <c r="Z198" s="536"/>
      <c r="AA198" s="536"/>
      <c r="AB198" s="536">
        <f t="shared" si="54"/>
        <v>0</v>
      </c>
      <c r="AC198" s="536"/>
      <c r="AD198" s="536"/>
      <c r="AE198" s="536"/>
      <c r="AF198" s="536">
        <f t="shared" si="55"/>
        <v>0</v>
      </c>
      <c r="AG198" s="536"/>
      <c r="AH198" s="536"/>
      <c r="AI198" s="536"/>
      <c r="AJ198" s="536">
        <f t="shared" si="56"/>
        <v>0</v>
      </c>
      <c r="AK198" s="536"/>
      <c r="AL198" s="536"/>
      <c r="AM198" s="536"/>
      <c r="AN198" s="542">
        <f t="shared" si="57"/>
        <v>0</v>
      </c>
      <c r="AO198" s="536"/>
      <c r="AP198" s="536"/>
      <c r="AQ198" s="536"/>
      <c r="AR198" s="542">
        <f t="shared" si="58"/>
        <v>0</v>
      </c>
      <c r="AS198" s="536"/>
      <c r="AT198" s="536"/>
      <c r="AU198" s="536"/>
      <c r="AV198" s="542">
        <f t="shared" si="59"/>
        <v>0</v>
      </c>
      <c r="AW198" s="536"/>
      <c r="AX198" s="536"/>
      <c r="AY198" s="536"/>
      <c r="AZ198" s="542">
        <f t="shared" si="60"/>
        <v>0</v>
      </c>
      <c r="BA198" s="536"/>
      <c r="BB198" s="536"/>
      <c r="BC198" s="536"/>
      <c r="BD198" s="542">
        <f t="shared" si="61"/>
        <v>0</v>
      </c>
      <c r="BE198" s="536"/>
      <c r="BF198" s="536"/>
      <c r="BG198" s="536"/>
      <c r="BH198" s="542">
        <f t="shared" si="62"/>
        <v>0</v>
      </c>
      <c r="BI198" s="536"/>
      <c r="BJ198" s="536"/>
      <c r="BK198" s="536"/>
      <c r="BL198" s="542">
        <f t="shared" si="63"/>
        <v>0</v>
      </c>
      <c r="BM198" s="536"/>
      <c r="BN198" s="536"/>
      <c r="BO198" s="536"/>
      <c r="BP198" s="542">
        <f t="shared" si="64"/>
        <v>0</v>
      </c>
      <c r="BQ198" s="536"/>
      <c r="BR198" s="536"/>
      <c r="BS198" s="536"/>
      <c r="BT198" s="542">
        <f t="shared" si="65"/>
        <v>0</v>
      </c>
      <c r="BU198" s="536"/>
      <c r="BV198" s="536"/>
      <c r="BW198" s="536"/>
      <c r="BX198" s="542">
        <f t="shared" si="66"/>
        <v>0</v>
      </c>
      <c r="BY198" s="536"/>
      <c r="BZ198" s="536"/>
      <c r="CA198" s="536"/>
      <c r="CB198" s="542">
        <v>0</v>
      </c>
      <c r="CC198" s="536"/>
      <c r="CD198" s="536"/>
      <c r="CE198" s="536"/>
      <c r="CF198" s="541">
        <f t="shared" si="67"/>
        <v>0</v>
      </c>
      <c r="CG198" s="536"/>
      <c r="CH198" s="536"/>
      <c r="CI198" s="536"/>
      <c r="CJ198" s="541">
        <f t="shared" si="68"/>
        <v>0</v>
      </c>
      <c r="CK198" s="536"/>
      <c r="CL198" s="536"/>
      <c r="CM198" s="536"/>
      <c r="CN198" s="541">
        <f t="shared" si="69"/>
        <v>0</v>
      </c>
      <c r="CO198" s="536"/>
      <c r="CP198" s="536"/>
      <c r="CQ198" s="536"/>
      <c r="CR198" s="541">
        <f t="shared" si="70"/>
        <v>0</v>
      </c>
      <c r="CS198" s="536"/>
      <c r="CT198" s="536"/>
      <c r="CU198" s="536"/>
      <c r="CV198" s="541">
        <f t="shared" si="71"/>
        <v>0</v>
      </c>
      <c r="CW198" s="536"/>
      <c r="CX198" s="536"/>
      <c r="CY198" s="536"/>
      <c r="CZ198" s="541">
        <f t="shared" si="72"/>
        <v>0</v>
      </c>
      <c r="DA198" s="536"/>
      <c r="DB198" s="536"/>
      <c r="DC198" s="536"/>
      <c r="DD198" s="541">
        <f t="shared" si="73"/>
        <v>0</v>
      </c>
      <c r="DE198" s="536"/>
      <c r="DF198" s="536"/>
      <c r="DG198" s="536"/>
      <c r="DH198" s="541">
        <f t="shared" si="74"/>
        <v>0</v>
      </c>
      <c r="DI198" s="536"/>
      <c r="DJ198" s="536"/>
      <c r="DK198" s="536"/>
      <c r="DL198" s="541">
        <f t="shared" si="75"/>
        <v>0</v>
      </c>
      <c r="DM198" s="536"/>
      <c r="DN198" s="536"/>
      <c r="DO198" s="536"/>
      <c r="DP198" s="541">
        <f>IF( SUM((DJ198*(20/100))+(DK198*(30/100))+(DL198*(50/100))) &gt;=9.3,9.5,
IF(AND( SUM((DJ198*(20/100))+(DK198*(30/100))+(DL198*(50/100))) &lt;=9.3, SUM((DJ198*(20/100))+(DK198*(30/100))+(DL198*(50/100))) &gt;=8.8),9,
IF(AND( SUM((DJ198*(20/100))+(DK198*(30/100))+(DL198*(50/100))) &lt;=8.8, SUM((DJ198*(20/100))+(DK198*(30/100))+(DL198*(50/100))) &gt;=8.3),8.5,
IF(AND( SUM((DJ198*(20/100))+(DK198*(30/100))+(DL198*(50/100))) &lt;=8.3, SUM((DJ198*(20/100))+(DK198*(30/100))+(DL198*(50/100))) &gt;=7.8),8,
IF(AND( SUM((DJ198*(20/100))+(DK198*(30/100))+(DL198*(50/100))) &lt;=7.8, SUM((DJ198*(20/100))+(DK198*(30/100))+(DL198*(50/100))) &gt;=7.3),7.5,
IF(AND( SUM((DJ198*(20/100))+(DK198*(30/100))+(DL198*(50/100))) &lt;=7.3, SUM((DJ198*(20/100))+(DK198*(30/100))+(DL198*(50/100))) &gt;=6.8),7,
IF(AND( SUM((DJ198*(20/100))+(DK198*(30/100))+(DL198*(50/100))) &lt;=6.8, SUM((DJ198*(20/100))+(DK198*(30/100))+(DL198*(50/100))) &gt;=6.3),6.5,
IF(AND( SUM((DJ198*(20/100))+(DK198*(30/100))+(DL198*(50/100))) &lt;=6.3, SUM((DJ198*(20/100))+(DK198*(30/100))+(DL198*(50/100))) &gt;=5.8),6,
IF(AND( SUM((DJ198*(20/100))+(DK198*(30/100))+(DL198*(50/100))) &lt;=5.8, SUM((DJ198*(20/100))+(DK198*(30/100))+(DL198*(50/100))) &gt;=5.3),5.5,
IF(AND( SUM((DJ198*(20/100))+(DK198*(30/100))+(DL198*(50/100))) &lt;=5.3, SUM((DJ198*(20/100))+(DK198*(30/100))+(DL198*(50/100))) &gt;=4.8),5,
IF(AND( SUM((DJ198*(20/100))+(DK198*(30/100))+(DL198*(50/100))) &lt;=4.8, SUM((DJ198*(20/100))+(DK198*(30/100))+(DL198*(50/100))) &gt;=4.3),4.5,
IF(AND( SUM((DJ198*(20/100))+(DK198*(30/100))+(DL198*(50/100))) &lt;=4.3, SUM((DJ198*(20/100))+(DK198*(30/100))+(DL198*(50/100))) &gt;=3.8),4,
IF(AND( SUM((DJ198*(20/100))+(DK198*(30/100))+(DL198*(50/100))) &lt;=3.8, SUM((DJ198*(20/100))+(DK198*(30/100))+(DL198*(50/100))) &gt;=3.5),3.5,0)))))))))))))</f>
        <v>0</v>
      </c>
      <c r="DQ198" s="541"/>
      <c r="DR198" s="541"/>
      <c r="DS198" s="541"/>
      <c r="DT198" s="541"/>
      <c r="DU198" s="541"/>
      <c r="DV198" s="541"/>
      <c r="DW198" s="541"/>
      <c r="DX198" s="541"/>
      <c r="DY198" s="541"/>
      <c r="DZ198" s="541"/>
    </row>
    <row r="199" spans="2:130" x14ac:dyDescent="0.25">
      <c r="B199" s="334">
        <v>42</v>
      </c>
      <c r="C199" s="541"/>
      <c r="D199" s="334"/>
      <c r="E199" s="334"/>
      <c r="F199" s="334"/>
      <c r="G199" s="334"/>
      <c r="H199" s="334"/>
      <c r="I199" s="334"/>
      <c r="J199" s="536"/>
      <c r="K199" s="536"/>
      <c r="L199" s="536"/>
      <c r="M199" s="536"/>
      <c r="N199" s="536"/>
      <c r="O199" s="536"/>
      <c r="P199" s="536">
        <f t="shared" si="51"/>
        <v>0</v>
      </c>
      <c r="Q199" s="536"/>
      <c r="R199" s="536"/>
      <c r="S199" s="536"/>
      <c r="T199" s="536">
        <f t="shared" si="52"/>
        <v>0</v>
      </c>
      <c r="U199" s="536"/>
      <c r="V199" s="536"/>
      <c r="W199" s="536"/>
      <c r="X199" s="536">
        <f t="shared" si="53"/>
        <v>0</v>
      </c>
      <c r="Y199" s="536"/>
      <c r="Z199" s="536"/>
      <c r="AA199" s="536"/>
      <c r="AB199" s="536">
        <f t="shared" si="54"/>
        <v>0</v>
      </c>
      <c r="AC199" s="536"/>
      <c r="AD199" s="536"/>
      <c r="AE199" s="536"/>
      <c r="AF199" s="536">
        <f t="shared" si="55"/>
        <v>0</v>
      </c>
      <c r="AG199" s="536"/>
      <c r="AH199" s="536"/>
      <c r="AI199" s="536"/>
      <c r="AJ199" s="536">
        <f t="shared" si="56"/>
        <v>0</v>
      </c>
      <c r="AK199" s="536"/>
      <c r="AL199" s="536"/>
      <c r="AM199" s="536"/>
      <c r="AN199" s="542">
        <f t="shared" si="57"/>
        <v>0</v>
      </c>
      <c r="AO199" s="536"/>
      <c r="AP199" s="536"/>
      <c r="AQ199" s="536"/>
      <c r="AR199" s="542">
        <f t="shared" si="58"/>
        <v>0</v>
      </c>
      <c r="AS199" s="536"/>
      <c r="AT199" s="536"/>
      <c r="AU199" s="536"/>
      <c r="AV199" s="542">
        <f t="shared" si="59"/>
        <v>0</v>
      </c>
      <c r="AW199" s="536"/>
      <c r="AX199" s="536"/>
      <c r="AY199" s="536"/>
      <c r="AZ199" s="542">
        <f t="shared" si="60"/>
        <v>0</v>
      </c>
      <c r="BA199" s="536"/>
      <c r="BB199" s="536"/>
      <c r="BC199" s="536"/>
      <c r="BD199" s="542">
        <f t="shared" si="61"/>
        <v>0</v>
      </c>
      <c r="BE199" s="536"/>
      <c r="BF199" s="536"/>
      <c r="BG199" s="536"/>
      <c r="BH199" s="542">
        <f t="shared" si="62"/>
        <v>0</v>
      </c>
      <c r="BI199" s="536"/>
      <c r="BJ199" s="536"/>
      <c r="BK199" s="536"/>
      <c r="BL199" s="542">
        <f t="shared" si="63"/>
        <v>0</v>
      </c>
      <c r="BM199" s="536"/>
      <c r="BN199" s="536"/>
      <c r="BO199" s="536"/>
      <c r="BP199" s="542">
        <f t="shared" si="64"/>
        <v>0</v>
      </c>
      <c r="BQ199" s="536"/>
      <c r="BR199" s="536"/>
      <c r="BS199" s="536"/>
      <c r="BT199" s="542">
        <f t="shared" si="65"/>
        <v>0</v>
      </c>
      <c r="BU199" s="536"/>
      <c r="BV199" s="536"/>
      <c r="BW199" s="536"/>
      <c r="BX199" s="542">
        <f t="shared" si="66"/>
        <v>0</v>
      </c>
      <c r="BY199" s="536"/>
      <c r="BZ199" s="536"/>
      <c r="CA199" s="536"/>
      <c r="CB199" s="542">
        <v>0</v>
      </c>
      <c r="CC199" s="536"/>
      <c r="CD199" s="536"/>
      <c r="CE199" s="536"/>
      <c r="CF199" s="541">
        <f t="shared" si="67"/>
        <v>0</v>
      </c>
      <c r="CG199" s="536"/>
      <c r="CH199" s="536"/>
      <c r="CI199" s="536"/>
      <c r="CJ199" s="541">
        <f t="shared" si="68"/>
        <v>0</v>
      </c>
      <c r="CK199" s="536"/>
      <c r="CL199" s="536"/>
      <c r="CM199" s="536"/>
      <c r="CN199" s="541">
        <f t="shared" si="69"/>
        <v>0</v>
      </c>
      <c r="CO199" s="536"/>
      <c r="CP199" s="536"/>
      <c r="CQ199" s="536"/>
      <c r="CR199" s="541">
        <f t="shared" si="70"/>
        <v>0</v>
      </c>
      <c r="CS199" s="536"/>
      <c r="CT199" s="536"/>
      <c r="CU199" s="536"/>
      <c r="CV199" s="541">
        <f t="shared" si="71"/>
        <v>0</v>
      </c>
      <c r="CW199" s="536"/>
      <c r="CX199" s="536"/>
      <c r="CY199" s="536"/>
      <c r="CZ199" s="541">
        <f t="shared" si="72"/>
        <v>0</v>
      </c>
      <c r="DA199" s="536"/>
      <c r="DB199" s="536"/>
      <c r="DC199" s="536"/>
      <c r="DD199" s="541">
        <f t="shared" si="73"/>
        <v>0</v>
      </c>
      <c r="DE199" s="536"/>
      <c r="DF199" s="536"/>
      <c r="DG199" s="536"/>
      <c r="DH199" s="541">
        <f t="shared" si="74"/>
        <v>0</v>
      </c>
      <c r="DI199" s="536"/>
      <c r="DJ199" s="536"/>
      <c r="DK199" s="536"/>
      <c r="DL199" s="541">
        <f t="shared" si="75"/>
        <v>0</v>
      </c>
      <c r="DM199" s="536"/>
      <c r="DN199" s="536"/>
      <c r="DO199" s="536"/>
      <c r="DP199" s="541">
        <f>IF( SUM((DJ199*(20/100))+(DK199*(30/100))+(DL199*(50/100))) &gt;=9.3,9.5,
IF(AND( SUM((DJ199*(20/100))+(DK199*(30/100))+(DL199*(50/100))) &lt;=9.3, SUM((DJ199*(20/100))+(DK199*(30/100))+(DL199*(50/100))) &gt;=8.8),9,
IF(AND( SUM((DJ199*(20/100))+(DK199*(30/100))+(DL199*(50/100))) &lt;=8.8, SUM((DJ199*(20/100))+(DK199*(30/100))+(DL199*(50/100))) &gt;=8.3),8.5,
IF(AND( SUM((DJ199*(20/100))+(DK199*(30/100))+(DL199*(50/100))) &lt;=8.3, SUM((DJ199*(20/100))+(DK199*(30/100))+(DL199*(50/100))) &gt;=7.8),8,
IF(AND( SUM((DJ199*(20/100))+(DK199*(30/100))+(DL199*(50/100))) &lt;=7.8, SUM((DJ199*(20/100))+(DK199*(30/100))+(DL199*(50/100))) &gt;=7.3),7.5,
IF(AND( SUM((DJ199*(20/100))+(DK199*(30/100))+(DL199*(50/100))) &lt;=7.3, SUM((DJ199*(20/100))+(DK199*(30/100))+(DL199*(50/100))) &gt;=6.8),7,
IF(AND( SUM((DJ199*(20/100))+(DK199*(30/100))+(DL199*(50/100))) &lt;=6.8, SUM((DJ199*(20/100))+(DK199*(30/100))+(DL199*(50/100))) &gt;=6.3),6.5,
IF(AND( SUM((DJ199*(20/100))+(DK199*(30/100))+(DL199*(50/100))) &lt;=6.3, SUM((DJ199*(20/100))+(DK199*(30/100))+(DL199*(50/100))) &gt;=5.8),6,
IF(AND( SUM((DJ199*(20/100))+(DK199*(30/100))+(DL199*(50/100))) &lt;=5.8, SUM((DJ199*(20/100))+(DK199*(30/100))+(DL199*(50/100))) &gt;=5.3),5.5,
IF(AND( SUM((DJ199*(20/100))+(DK199*(30/100))+(DL199*(50/100))) &lt;=5.3, SUM((DJ199*(20/100))+(DK199*(30/100))+(DL199*(50/100))) &gt;=4.8),5,
IF(AND( SUM((DJ199*(20/100))+(DK199*(30/100))+(DL199*(50/100))) &lt;=4.8, SUM((DJ199*(20/100))+(DK199*(30/100))+(DL199*(50/100))) &gt;=4.3),4.5,
IF(AND( SUM((DJ199*(20/100))+(DK199*(30/100))+(DL199*(50/100))) &lt;=4.3, SUM((DJ199*(20/100))+(DK199*(30/100))+(DL199*(50/100))) &gt;=3.8),4,
IF(AND( SUM((DJ199*(20/100))+(DK199*(30/100))+(DL199*(50/100))) &lt;=3.8, SUM((DJ199*(20/100))+(DK199*(30/100))+(DL199*(50/100))) &gt;=3.5),3.5,0)))))))))))))</f>
        <v>0</v>
      </c>
      <c r="DQ199" s="541"/>
      <c r="DR199" s="541"/>
      <c r="DS199" s="541"/>
      <c r="DT199" s="541"/>
      <c r="DU199" s="541"/>
      <c r="DV199" s="541"/>
      <c r="DW199" s="541"/>
      <c r="DX199" s="541"/>
      <c r="DY199" s="541"/>
      <c r="DZ199" s="541"/>
    </row>
    <row r="200" spans="2:130" x14ac:dyDescent="0.25">
      <c r="B200" s="334">
        <v>43</v>
      </c>
      <c r="C200" s="541"/>
      <c r="D200" s="334"/>
      <c r="E200" s="334"/>
      <c r="F200" s="334"/>
      <c r="G200" s="334"/>
      <c r="H200" s="334"/>
      <c r="I200" s="334"/>
      <c r="J200" s="536"/>
      <c r="K200" s="536"/>
      <c r="L200" s="536"/>
      <c r="M200" s="536"/>
      <c r="N200" s="536"/>
      <c r="O200" s="536"/>
      <c r="P200" s="536">
        <f t="shared" si="51"/>
        <v>0</v>
      </c>
      <c r="Q200" s="536"/>
      <c r="R200" s="536"/>
      <c r="S200" s="536"/>
      <c r="T200" s="536">
        <f t="shared" si="52"/>
        <v>0</v>
      </c>
      <c r="U200" s="536"/>
      <c r="V200" s="536"/>
      <c r="W200" s="536"/>
      <c r="X200" s="536">
        <f t="shared" si="53"/>
        <v>0</v>
      </c>
      <c r="Y200" s="536"/>
      <c r="Z200" s="536"/>
      <c r="AA200" s="536"/>
      <c r="AB200" s="536">
        <f t="shared" si="54"/>
        <v>0</v>
      </c>
      <c r="AC200" s="536"/>
      <c r="AD200" s="536"/>
      <c r="AE200" s="536"/>
      <c r="AF200" s="536">
        <f t="shared" si="55"/>
        <v>0</v>
      </c>
      <c r="AG200" s="536"/>
      <c r="AH200" s="536"/>
      <c r="AI200" s="536"/>
      <c r="AJ200" s="536">
        <f t="shared" si="56"/>
        <v>0</v>
      </c>
      <c r="AK200" s="536"/>
      <c r="AL200" s="536"/>
      <c r="AM200" s="536"/>
      <c r="AN200" s="542">
        <f t="shared" si="57"/>
        <v>0</v>
      </c>
      <c r="AO200" s="536"/>
      <c r="AP200" s="536"/>
      <c r="AQ200" s="536"/>
      <c r="AR200" s="542">
        <f t="shared" si="58"/>
        <v>0</v>
      </c>
      <c r="AS200" s="536"/>
      <c r="AT200" s="536"/>
      <c r="AU200" s="536"/>
      <c r="AV200" s="542">
        <f t="shared" si="59"/>
        <v>0</v>
      </c>
      <c r="AW200" s="536"/>
      <c r="AX200" s="536"/>
      <c r="AY200" s="536"/>
      <c r="AZ200" s="542">
        <f t="shared" si="60"/>
        <v>0</v>
      </c>
      <c r="BA200" s="536"/>
      <c r="BB200" s="536"/>
      <c r="BC200" s="536"/>
      <c r="BD200" s="542">
        <f t="shared" si="61"/>
        <v>0</v>
      </c>
      <c r="BE200" s="536"/>
      <c r="BF200" s="536"/>
      <c r="BG200" s="536"/>
      <c r="BH200" s="542">
        <f t="shared" si="62"/>
        <v>0</v>
      </c>
      <c r="BI200" s="536"/>
      <c r="BJ200" s="536"/>
      <c r="BK200" s="536"/>
      <c r="BL200" s="542">
        <f t="shared" si="63"/>
        <v>0</v>
      </c>
      <c r="BM200" s="536"/>
      <c r="BN200" s="536"/>
      <c r="BO200" s="536"/>
      <c r="BP200" s="542">
        <f t="shared" si="64"/>
        <v>0</v>
      </c>
      <c r="BQ200" s="536"/>
      <c r="BR200" s="536"/>
      <c r="BS200" s="536"/>
      <c r="BT200" s="542">
        <f t="shared" si="65"/>
        <v>0</v>
      </c>
      <c r="BU200" s="536"/>
      <c r="BV200" s="536"/>
      <c r="BW200" s="536"/>
      <c r="BX200" s="542">
        <f t="shared" si="66"/>
        <v>0</v>
      </c>
      <c r="BY200" s="536"/>
      <c r="BZ200" s="536"/>
      <c r="CA200" s="536"/>
      <c r="CB200" s="542">
        <v>0</v>
      </c>
      <c r="CC200" s="536"/>
      <c r="CD200" s="536"/>
      <c r="CE200" s="536"/>
      <c r="CF200" s="541">
        <f t="shared" si="67"/>
        <v>0</v>
      </c>
      <c r="CG200" s="536"/>
      <c r="CH200" s="536"/>
      <c r="CI200" s="536"/>
      <c r="CJ200" s="541">
        <f t="shared" si="68"/>
        <v>0</v>
      </c>
      <c r="CK200" s="536"/>
      <c r="CL200" s="536"/>
      <c r="CM200" s="536"/>
      <c r="CN200" s="541">
        <f t="shared" si="69"/>
        <v>0</v>
      </c>
      <c r="CO200" s="536"/>
      <c r="CP200" s="536"/>
      <c r="CQ200" s="536"/>
      <c r="CR200" s="541">
        <f t="shared" si="70"/>
        <v>0</v>
      </c>
      <c r="CS200" s="536"/>
      <c r="CT200" s="536"/>
      <c r="CU200" s="536"/>
      <c r="CV200" s="541">
        <f t="shared" si="71"/>
        <v>0</v>
      </c>
      <c r="CW200" s="536"/>
      <c r="CX200" s="536"/>
      <c r="CY200" s="536"/>
      <c r="CZ200" s="541">
        <f t="shared" si="72"/>
        <v>0</v>
      </c>
      <c r="DA200" s="536"/>
      <c r="DB200" s="536"/>
      <c r="DC200" s="536"/>
      <c r="DD200" s="541">
        <f t="shared" si="73"/>
        <v>0</v>
      </c>
      <c r="DE200" s="536"/>
      <c r="DF200" s="536"/>
      <c r="DG200" s="536"/>
      <c r="DH200" s="541">
        <f t="shared" si="74"/>
        <v>0</v>
      </c>
      <c r="DI200" s="536"/>
      <c r="DJ200" s="536"/>
      <c r="DK200" s="536"/>
      <c r="DL200" s="541">
        <f t="shared" si="75"/>
        <v>0</v>
      </c>
      <c r="DM200" s="536"/>
      <c r="DN200" s="536"/>
      <c r="DO200" s="536"/>
      <c r="DP200" s="541">
        <f>IF( SUM((DJ200*(20/100))+(DK200*(30/100))+(DL200*(50/100))) &gt;=9.3,9.5,
IF(AND( SUM((DJ200*(20/100))+(DK200*(30/100))+(DL200*(50/100))) &lt;=9.3, SUM((DJ200*(20/100))+(DK200*(30/100))+(DL200*(50/100))) &gt;=8.8),9,
IF(AND( SUM((DJ200*(20/100))+(DK200*(30/100))+(DL200*(50/100))) &lt;=8.8, SUM((DJ200*(20/100))+(DK200*(30/100))+(DL200*(50/100))) &gt;=8.3),8.5,
IF(AND( SUM((DJ200*(20/100))+(DK200*(30/100))+(DL200*(50/100))) &lt;=8.3, SUM((DJ200*(20/100))+(DK200*(30/100))+(DL200*(50/100))) &gt;=7.8),8,
IF(AND( SUM((DJ200*(20/100))+(DK200*(30/100))+(DL200*(50/100))) &lt;=7.8, SUM((DJ200*(20/100))+(DK200*(30/100))+(DL200*(50/100))) &gt;=7.3),7.5,
IF(AND( SUM((DJ200*(20/100))+(DK200*(30/100))+(DL200*(50/100))) &lt;=7.3, SUM((DJ200*(20/100))+(DK200*(30/100))+(DL200*(50/100))) &gt;=6.8),7,
IF(AND( SUM((DJ200*(20/100))+(DK200*(30/100))+(DL200*(50/100))) &lt;=6.8, SUM((DJ200*(20/100))+(DK200*(30/100))+(DL200*(50/100))) &gt;=6.3),6.5,
IF(AND( SUM((DJ200*(20/100))+(DK200*(30/100))+(DL200*(50/100))) &lt;=6.3, SUM((DJ200*(20/100))+(DK200*(30/100))+(DL200*(50/100))) &gt;=5.8),6,
IF(AND( SUM((DJ200*(20/100))+(DK200*(30/100))+(DL200*(50/100))) &lt;=5.8, SUM((DJ200*(20/100))+(DK200*(30/100))+(DL200*(50/100))) &gt;=5.3),5.5,
IF(AND( SUM((DJ200*(20/100))+(DK200*(30/100))+(DL200*(50/100))) &lt;=5.3, SUM((DJ200*(20/100))+(DK200*(30/100))+(DL200*(50/100))) &gt;=4.8),5,
IF(AND( SUM((DJ200*(20/100))+(DK200*(30/100))+(DL200*(50/100))) &lt;=4.8, SUM((DJ200*(20/100))+(DK200*(30/100))+(DL200*(50/100))) &gt;=4.3),4.5,
IF(AND( SUM((DJ200*(20/100))+(DK200*(30/100))+(DL200*(50/100))) &lt;=4.3, SUM((DJ200*(20/100))+(DK200*(30/100))+(DL200*(50/100))) &gt;=3.8),4,
IF(AND( SUM((DJ200*(20/100))+(DK200*(30/100))+(DL200*(50/100))) &lt;=3.8, SUM((DJ200*(20/100))+(DK200*(30/100))+(DL200*(50/100))) &gt;=3.5),3.5,0)))))))))))))</f>
        <v>0</v>
      </c>
      <c r="DQ200" s="541"/>
      <c r="DR200" s="541"/>
      <c r="DS200" s="541"/>
      <c r="DT200" s="541"/>
      <c r="DU200" s="541"/>
      <c r="DV200" s="541"/>
      <c r="DW200" s="541"/>
      <c r="DX200" s="541"/>
      <c r="DY200" s="541"/>
      <c r="DZ200" s="541"/>
    </row>
    <row r="201" spans="2:130" x14ac:dyDescent="0.25">
      <c r="B201" s="334">
        <v>44</v>
      </c>
      <c r="C201" s="541"/>
      <c r="D201" s="334"/>
      <c r="E201" s="334"/>
      <c r="F201" s="334"/>
      <c r="G201" s="334"/>
      <c r="H201" s="334"/>
      <c r="I201" s="334"/>
      <c r="J201" s="536"/>
      <c r="K201" s="536"/>
      <c r="L201" s="536"/>
      <c r="M201" s="536"/>
      <c r="N201" s="536"/>
      <c r="O201" s="536"/>
      <c r="P201" s="536">
        <f t="shared" ref="P201:P264" si="76">IF( SUM((M201*(20/100))+(N201*(30/100))+(O201*(50/100))) &gt;=9.3,9.5,
IF(AND( SUM((M201*(20/100))+(N201*(30/100))+(O201*(50/100))) &lt;=9.3, SUM((M201*(20/100))+(N201*(30/100))+(O201*(50/100))) &gt;=8.8),9,
IF(AND( SUM((M201*(20/100))+(N201*(30/100))+(O201*(50/100))) &lt;=8.8, SUM((M201*(20/100))+(N201*(30/100))+(O201*(50/100))) &gt;=8.3),8.5,
IF(AND( SUM((M201*(20/100))+(N201*(30/100))+(O201*(50/100))) &lt;=8.3, SUM((M201*(20/100))+(N201*(30/100))+(O201*(50/100))) &gt;=7.8),8,
IF(AND( SUM((M201*(20/100))+(N201*(30/100))+(O201*(50/100))) &lt;=7.8, SUM((M201*(20/100))+(N201*(30/100))+(O201*(50/100))) &gt;=7.3),7.5,
IF(AND( SUM((M201*(20/100))+(N201*(30/100))+(O201*(50/100))) &lt;=7.3, SUM((M201*(20/100))+(N201*(30/100))+(O201*(50/100))) &gt;=6.8),7,
IF(AND( SUM((M201*(20/100))+(N201*(30/100))+(O201*(50/100))) &lt;=6.8, SUM((M201*(20/100))+(N201*(30/100))+(O201*(50/100))) &gt;=6.3),6.5,
IF(AND( SUM((M201*(20/100))+(N201*(30/100))+(O201*(50/100))) &lt;=6.3, SUM((M201*(20/100))+(N201*(30/100))+(O201*(50/100))) &gt;=5.8),6,
IF(AND( SUM((M201*(20/100))+(N201*(30/100))+(O201*(50/100))) &lt;=5.8, SUM((M201*(20/100))+(N201*(30/100))+(O201*(50/100))) &gt;=5.3),5.5,
IF(AND( SUM((M201*(20/100))+(N201*(30/100))+(O201*(50/100))) &lt;=5.3, SUM((M201*(20/100))+(N201*(30/100))+(O201*(50/100))) &gt;=4.8),5,
IF(AND( SUM((M201*(20/100))+(N201*(30/100))+(O201*(50/100))) &lt;=4.8, SUM((M201*(20/100))+(N201*(30/100))+(O201*(50/100))) &gt;=4.3),4.5,
IF(AND( SUM((M201*(20/100))+(N201*(30/100))+(O201*(50/100))) &lt;=4.3, SUM((M201*(20/100))+(N201*(30/100))+(O201*(50/100))) &gt;=3.8),4,
IF(AND( SUM((M201*(20/100))+(N201*(30/100))+(O201*(50/100))) &lt;=3.8, SUM((M201*(20/100))+(N201*(30/100))+(O201*(50/100))) &gt;=3.5),3.5,0)))))))))))))</f>
        <v>0</v>
      </c>
      <c r="Q201" s="536"/>
      <c r="R201" s="536"/>
      <c r="S201" s="536"/>
      <c r="T201" s="536">
        <f t="shared" ref="T201:T264" si="77">IF( SUM((Q201*(20/100))+(R201*(30/100))+(S201*(50/100))) &gt;=9.3,9.5,
IF(AND( SUM((Q201*(20/100))+(R201*(30/100))+(S201*(50/100))) &lt;=9.3, SUM((Q201*(20/100))+(R201*(30/100))+(S201*(50/100))) &gt;=8.8),9,
IF(AND( SUM((Q201*(20/100))+(R201*(30/100))+(S201*(50/100))) &lt;=8.8, SUM((Q201*(20/100))+(R201*(30/100))+(S201*(50/100))) &gt;=8.3),8.5,
IF(AND( SUM((Q201*(20/100))+(R201*(30/100))+(S201*(50/100))) &lt;=8.3, SUM((Q201*(20/100))+(R201*(30/100))+(S201*(50/100))) &gt;=7.8),8,
IF(AND( SUM((Q201*(20/100))+(R201*(30/100))+(S201*(50/100))) &lt;=7.8, SUM((Q201*(20/100))+(R201*(30/100))+(S201*(50/100))) &gt;=7.3),7.5,
IF(AND( SUM((Q201*(20/100))+(R201*(30/100))+(S201*(50/100))) &lt;=7.3, SUM((Q201*(20/100))+(R201*(30/100))+(S201*(50/100))) &gt;=6.8),7,
IF(AND( SUM((Q201*(20/100))+(R201*(30/100))+(S201*(50/100))) &lt;=6.8, SUM((Q201*(20/100))+(R201*(30/100))+(S201*(50/100))) &gt;=6.3),6.5,
IF(AND( SUM((Q201*(20/100))+(R201*(30/100))+(S201*(50/100))) &lt;=6.3, SUM((Q201*(20/100))+(R201*(30/100))+(S201*(50/100))) &gt;=5.8),6,
IF(AND( SUM((Q201*(20/100))+(R201*(30/100))+(S201*(50/100))) &lt;=5.8, SUM((Q201*(20/100))+(R201*(30/100))+(S201*(50/100))) &gt;=5.3),5.5,
IF(AND( SUM((Q201*(20/100))+(R201*(30/100))+(S201*(50/100))) &lt;=5.3, SUM((Q201*(20/100))+(R201*(30/100))+(S201*(50/100))) &gt;=4.8),5,
IF(AND( SUM((Q201*(20/100))+(R201*(30/100))+(S201*(50/100))) &lt;=4.8, SUM((Q201*(20/100))+(R201*(30/100))+(S201*(50/100))) &gt;=4.3),4.5,
IF(AND( SUM((Q201*(20/100))+(R201*(30/100))+(S201*(50/100))) &lt;=4.3, SUM((Q201*(20/100))+(R201*(30/100))+(S201*(50/100))) &gt;=3.8),4,
IF(AND( SUM((Q201*(20/100))+(R201*(30/100))+(S201*(50/100))) &lt;=3.8, SUM((Q201*(20/100))+(R201*(30/100))+(S201*(50/100))) &gt;=3.5),3.5,0)))))))))))))</f>
        <v>0</v>
      </c>
      <c r="U201" s="536"/>
      <c r="V201" s="536"/>
      <c r="W201" s="536"/>
      <c r="X201" s="536">
        <f t="shared" ref="X201:X264" si="78">IF( SUM((U201*(20/100))+(V201*(30/100))+(W201*(50/100))) &gt;=9.3,9.5,
IF(AND( SUM((U201*(20/100))+(V201*(30/100))+(W201*(50/100))) &lt;=9.3, SUM((U201*(20/100))+(V201*(30/100))+(W201*(50/100))) &gt;=8.8),9,
IF(AND( SUM((U201*(20/100))+(V201*(30/100))+(W201*(50/100))) &lt;=8.8, SUM((U201*(20/100))+(V201*(30/100))+(W201*(50/100))) &gt;=8.3),8.5,
IF(AND( SUM((U201*(20/100))+(V201*(30/100))+(W201*(50/100))) &lt;=8.3, SUM((U201*(20/100))+(V201*(30/100))+(W201*(50/100))) &gt;=7.8),8,
IF(AND( SUM((U201*(20/100))+(V201*(30/100))+(W201*(50/100))) &lt;=7.8, SUM((U201*(20/100))+(V201*(30/100))+(W201*(50/100))) &gt;=7.3),7.5,
IF(AND( SUM((U201*(20/100))+(V201*(30/100))+(W201*(50/100))) &lt;=7.3, SUM((U201*(20/100))+(V201*(30/100))+(W201*(50/100))) &gt;=6.8),7,
IF(AND( SUM((U201*(20/100))+(V201*(30/100))+(W201*(50/100))) &lt;=6.8, SUM((U201*(20/100))+(V201*(30/100))+(W201*(50/100))) &gt;=6.3),6.5,
IF(AND( SUM((U201*(20/100))+(V201*(30/100))+(W201*(50/100))) &lt;=6.3, SUM((U201*(20/100))+(V201*(30/100))+(W201*(50/100))) &gt;=5.8),6,
IF(AND( SUM((U201*(20/100))+(V201*(30/100))+(W201*(50/100))) &lt;=5.8, SUM((U201*(20/100))+(V201*(30/100))+(W201*(50/100))) &gt;=5.3),5.5,
IF(AND( SUM((U201*(20/100))+(V201*(30/100))+(W201*(50/100))) &lt;=5.3, SUM((U201*(20/100))+(V201*(30/100))+(W201*(50/100))) &gt;=4.8),5,
IF(AND( SUM((U201*(20/100))+(V201*(30/100))+(W201*(50/100))) &lt;=4.8, SUM((U201*(20/100))+(V201*(30/100))+(W201*(50/100))) &gt;=4.3),4.5,
IF(AND( SUM((U201*(20/100))+(V201*(30/100))+(W201*(50/100))) &lt;=4.3, SUM((U201*(20/100))+(V201*(30/100))+(W201*(50/100))) &gt;=3.8),4,
IF(AND( SUM((U201*(20/100))+(V201*(30/100))+(W201*(50/100))) &lt;=3.8, SUM((U201*(20/100))+(V201*(30/100))+(W201*(50/100))) &gt;=3.5),3.5,0)))))))))))))</f>
        <v>0</v>
      </c>
      <c r="Y201" s="536"/>
      <c r="Z201" s="536"/>
      <c r="AA201" s="536"/>
      <c r="AB201" s="536">
        <f t="shared" ref="AB201:AB264" si="79">IF( SUM((Y201*(20/100))+(Z201*(30/100))+(AA201*(50/100))) &gt;=9.3,9.5,
IF(AND( SUM((Y201*(20/100))+(Z201*(30/100))+(AA201*(50/100))) &lt;=9.3, SUM((Y201*(20/100))+(Z201*(30/100))+(AA201*(50/100))) &gt;=8.8),9,
IF(AND( SUM((Y201*(20/100))+(Z201*(30/100))+(AA201*(50/100))) &lt;=8.8, SUM((Y201*(20/100))+(Z201*(30/100))+(AA201*(50/100))) &gt;=8.3),8.5,
IF(AND( SUM((Y201*(20/100))+(Z201*(30/100))+(AA201*(50/100))) &lt;=8.3, SUM((Y201*(20/100))+(Z201*(30/100))+(AA201*(50/100))) &gt;=7.8),8,
IF(AND( SUM((Y201*(20/100))+(Z201*(30/100))+(AA201*(50/100))) &lt;=7.8, SUM((Y201*(20/100))+(Z201*(30/100))+(AA201*(50/100))) &gt;=7.3),7.5,
IF(AND( SUM((Y201*(20/100))+(Z201*(30/100))+(AA201*(50/100))) &lt;=7.3, SUM((Y201*(20/100))+(Z201*(30/100))+(AA201*(50/100))) &gt;=6.8),7,
IF(AND( SUM((Y201*(20/100))+(Z201*(30/100))+(AA201*(50/100))) &lt;=6.8, SUM((Y201*(20/100))+(Z201*(30/100))+(AA201*(50/100))) &gt;=6.3),6.5,
IF(AND( SUM((Y201*(20/100))+(Z201*(30/100))+(AA201*(50/100))) &lt;=6.3, SUM((Y201*(20/100))+(Z201*(30/100))+(AA201*(50/100))) &gt;=5.8),6,
IF(AND( SUM((Y201*(20/100))+(Z201*(30/100))+(AA201*(50/100))) &lt;=5.8, SUM((Y201*(20/100))+(Z201*(30/100))+(AA201*(50/100))) &gt;=5.3),5.5,
IF(AND( SUM((Y201*(20/100))+(Z201*(30/100))+(AA201*(50/100))) &lt;=5.3, SUM((Y201*(20/100))+(Z201*(30/100))+(AA201*(50/100))) &gt;=4.8),5,
IF(AND( SUM((Y201*(20/100))+(Z201*(30/100))+(AA201*(50/100))) &lt;=4.8, SUM((Y201*(20/100))+(Z201*(30/100))+(AA201*(50/100))) &gt;=4.3),4.5,
IF(AND( SUM((Y201*(20/100))+(Z201*(30/100))+(AA201*(50/100))) &lt;=4.3, SUM((Y201*(20/100))+(Z201*(30/100))+(AA201*(50/100))) &gt;=3.8),4,
IF(AND( SUM((Y201*(20/100))+(Z201*(30/100))+(AA201*(50/100))) &lt;=3.8, SUM((Y201*(20/100))+(Z201*(30/100))+(AA201*(50/100))) &gt;=3.5),3.5,0)))))))))))))</f>
        <v>0</v>
      </c>
      <c r="AC201" s="536"/>
      <c r="AD201" s="536"/>
      <c r="AE201" s="536"/>
      <c r="AF201" s="536">
        <f t="shared" ref="AF201:AF264" si="80">IF( SUM((AC201*(20/100))+(AD201*(30/100))+(AE201*(50/100))) &gt;=9.3,9.5,
IF(AND( SUM((AC201*(20/100))+(AD201*(30/100))+(AE201*(50/100))) &lt;=9.3, SUM((AC201*(20/100))+(AD201*(30/100))+(AE201*(50/100))) &gt;=8.8),9,
IF(AND( SUM((AC201*(20/100))+(AD201*(30/100))+(AE201*(50/100))) &lt;=8.8, SUM((AC201*(20/100))+(AD201*(30/100))+(AE201*(50/100))) &gt;=8.3),8.5,
IF(AND( SUM((AC201*(20/100))+(AD201*(30/100))+(AE201*(50/100))) &lt;=8.3, SUM((AC201*(20/100))+(AD201*(30/100))+(AE201*(50/100))) &gt;=7.8),8,
IF(AND( SUM((AC201*(20/100))+(AD201*(30/100))+(AE201*(50/100))) &lt;=7.8, SUM((AC201*(20/100))+(AD201*(30/100))+(AE201*(50/100))) &gt;=7.3),7.5,
IF(AND( SUM((AC201*(20/100))+(AD201*(30/100))+(AE201*(50/100))) &lt;=7.3, SUM((AC201*(20/100))+(AD201*(30/100))+(AE201*(50/100))) &gt;=6.8),7,
IF(AND( SUM((AC201*(20/100))+(AD201*(30/100))+(AE201*(50/100))) &lt;=6.8, SUM((AC201*(20/100))+(AD201*(30/100))+(AE201*(50/100))) &gt;=6.3),6.5,
IF(AND( SUM((AC201*(20/100))+(AD201*(30/100))+(AE201*(50/100))) &lt;=6.3, SUM((AC201*(20/100))+(AD201*(30/100))+(AE201*(50/100))) &gt;=5.8),6,
IF(AND( SUM((AC201*(20/100))+(AD201*(30/100))+(AE201*(50/100))) &lt;=5.8, SUM((AC201*(20/100))+(AD201*(30/100))+(AE201*(50/100))) &gt;=5.3),5.5,
IF(AND( SUM((AC201*(20/100))+(AD201*(30/100))+(AE201*(50/100))) &lt;=5.3, SUM((AC201*(20/100))+(AD201*(30/100))+(AE201*(50/100))) &gt;=4.8),5,
IF(AND( SUM((AC201*(20/100))+(AD201*(30/100))+(AE201*(50/100))) &lt;=4.8, SUM((AC201*(20/100))+(AD201*(30/100))+(AE201*(50/100))) &gt;=4.3),4.5,
IF(AND( SUM((AC201*(20/100))+(AD201*(30/100))+(AE201*(50/100))) &lt;=4.3, SUM((AC201*(20/100))+(AD201*(30/100))+(AE201*(50/100))) &gt;=3.8),4,
IF(AND( SUM((AC201*(20/100))+(AD201*(30/100))+(AE201*(50/100))) &lt;=3.8, SUM((AC201*(20/100))+(AD201*(30/100))+(AE201*(50/100))) &gt;=3.5),3.5,0)))))))))))))</f>
        <v>0</v>
      </c>
      <c r="AG201" s="536"/>
      <c r="AH201" s="536"/>
      <c r="AI201" s="536"/>
      <c r="AJ201" s="536">
        <f t="shared" ref="AJ201:AJ264" si="81">IF( SUM((AG201*(20/100))+(AH201*(30/100))+(AI201*(50/100))) &gt;=9.3,9.5,
IF(AND( SUM((AG201*(20/100))+(AH201*(30/100))+(AI201*(50/100))) &lt;=9.3, SUM((AG201*(20/100))+(AH201*(30/100))+(AI201*(50/100))) &gt;=8.8),9,
IF(AND( SUM((AG201*(20/100))+(AH201*(30/100))+(AI201*(50/100))) &lt;=8.8, SUM((AG201*(20/100))+(AH201*(30/100))+(AI201*(50/100))) &gt;=8.3),8.5,
IF(AND( SUM((AG201*(20/100))+(AH201*(30/100))+(AI201*(50/100))) &lt;=8.3, SUM((AG201*(20/100))+(AH201*(30/100))+(AI201*(50/100))) &gt;=7.8),8,
IF(AND( SUM((AG201*(20/100))+(AH201*(30/100))+(AI201*(50/100))) &lt;=7.8, SUM((AG201*(20/100))+(AH201*(30/100))+(AI201*(50/100))) &gt;=7.3),7.5,
IF(AND( SUM((AG201*(20/100))+(AH201*(30/100))+(AI201*(50/100))) &lt;=7.3, SUM((AG201*(20/100))+(AH201*(30/100))+(AI201*(50/100))) &gt;=6.8),7,
IF(AND( SUM((AG201*(20/100))+(AH201*(30/100))+(AI201*(50/100))) &lt;=6.8, SUM((AG201*(20/100))+(AH201*(30/100))+(AI201*(50/100))) &gt;=6.3),6.5,
IF(AND( SUM((AG201*(20/100))+(AH201*(30/100))+(AI201*(50/100))) &lt;=6.3, SUM((AG201*(20/100))+(AH201*(30/100))+(AI201*(50/100))) &gt;=5.8),6,
IF(AND( SUM((AG201*(20/100))+(AH201*(30/100))+(AI201*(50/100))) &lt;=5.8, SUM((AG201*(20/100))+(AH201*(30/100))+(AI201*(50/100))) &gt;=5.3),5.5,
IF(AND( SUM((AG201*(20/100))+(AH201*(30/100))+(AI201*(50/100))) &lt;=5.3, SUM((AG201*(20/100))+(AH201*(30/100))+(AI201*(50/100))) &gt;=4.8),5,
IF(AND( SUM((AG201*(20/100))+(AH201*(30/100))+(AI201*(50/100))) &lt;=4.8, SUM((AG201*(20/100))+(AH201*(30/100))+(AI201*(50/100))) &gt;=4.3),4.5,
IF(AND( SUM((AG201*(20/100))+(AH201*(30/100))+(AI201*(50/100))) &lt;=4.3, SUM((AG201*(20/100))+(AH201*(30/100))+(AI201*(50/100))) &gt;=3.8),4,
IF(AND( SUM((AG201*(20/100))+(AH201*(30/100))+(AI201*(50/100))) &lt;=3.8, SUM((AG201*(20/100))+(AH201*(30/100))+(AI201*(50/100))) &gt;=3.5),3.5,0)))))))))))))</f>
        <v>0</v>
      </c>
      <c r="AK201" s="536"/>
      <c r="AL201" s="536"/>
      <c r="AM201" s="536"/>
      <c r="AN201" s="542">
        <f t="shared" ref="AN201:AN264" si="82">IF( SUM((AK201*(20/100))+(AL201*(30/100))+(AM201*(50/100))) &gt;=9.3,9.5,
IF(AND( SUM((AK201*(20/100))+(AL201*(30/100))+(AM201*(50/100))) &lt;=9.3, SUM((AK201*(20/100))+(AL201*(30/100))+(AM201*(50/100))) &gt;=8.8),9,
IF(AND( SUM((AK201*(20/100))+(AL201*(30/100))+(AM201*(50/100))) &lt;=8.8, SUM((AK201*(20/100))+(AL201*(30/100))+(AM201*(50/100))) &gt;=8.3),8.5,
IF(AND( SUM((AK201*(20/100))+(AL201*(30/100))+(AM201*(50/100))) &lt;=8.3, SUM((AK201*(20/100))+(AL201*(30/100))+(AM201*(50/100))) &gt;=7.8),8,
IF(AND( SUM((AK201*(20/100))+(AL201*(30/100))+(AM201*(50/100))) &lt;=7.8, SUM((AK201*(20/100))+(AL201*(30/100))+(AM201*(50/100))) &gt;=7.3),7.5,
IF(AND( SUM((AK201*(20/100))+(AL201*(30/100))+(AM201*(50/100))) &lt;=7.3, SUM((AK201*(20/100))+(AL201*(30/100))+(AM201*(50/100))) &gt;=6.8),7,
IF(AND( SUM((AK201*(20/100))+(AL201*(30/100))+(AM201*(50/100))) &lt;=6.8, SUM((AK201*(20/100))+(AL201*(30/100))+(AM201*(50/100))) &gt;=6.3),6.5,
IF(AND( SUM((AK201*(20/100))+(AL201*(30/100))+(AM201*(50/100))) &lt;=6.3, SUM((AK201*(20/100))+(AL201*(30/100))+(AM201*(50/100))) &gt;=5.8),6,
IF(AND( SUM((AK201*(20/100))+(AL201*(30/100))+(AM201*(50/100))) &lt;=5.8, SUM((AK201*(20/100))+(AL201*(30/100))+(AM201*(50/100))) &gt;=5.3),5.5,
IF(AND( SUM((AK201*(20/100))+(AL201*(30/100))+(AM201*(50/100))) &lt;=5.3, SUM((AK201*(20/100))+(AL201*(30/100))+(AM201*(50/100))) &gt;=4.8),5,
IF(AND( SUM((AK201*(20/100))+(AL201*(30/100))+(AM201*(50/100))) &lt;=4.8, SUM((AK201*(20/100))+(AL201*(30/100))+(AM201*(50/100))) &gt;=4.3),4.5,
IF(AND( SUM((AK201*(20/100))+(AL201*(30/100))+(AM201*(50/100))) &lt;=4.3, SUM((AK201*(20/100))+(AL201*(30/100))+(AM201*(50/100))) &gt;=3.8),4,
IF(AND( SUM((AK201*(20/100))+(AL201*(30/100))+(AM201*(50/100))) &lt;=3.8, SUM((AK201*(20/100))+(AL201*(30/100))+(AM201*(50/100))) &gt;=3.5),3.5,0)))))))))))))</f>
        <v>0</v>
      </c>
      <c r="AO201" s="536"/>
      <c r="AP201" s="536"/>
      <c r="AQ201" s="536"/>
      <c r="AR201" s="542">
        <f t="shared" ref="AR201:AR264" si="83">IF( SUM((AO201*(20/100))+(AP201*(30/100))+(AQ201*(50/100))) &gt;=9.3,9.5,
IF(AND( SUM((AO201*(20/100))+(AP201*(30/100))+(AQ201*(50/100))) &lt;=9.3, SUM((AO201*(20/100))+(AP201*(30/100))+(AQ201*(50/100))) &gt;=8.8),9,
IF(AND( SUM((AO201*(20/100))+(AP201*(30/100))+(AQ201*(50/100))) &lt;=8.8, SUM((AO201*(20/100))+(AP201*(30/100))+(AQ201*(50/100))) &gt;=8.3),8.5,
IF(AND( SUM((AO201*(20/100))+(AP201*(30/100))+(AQ201*(50/100))) &lt;=8.3, SUM((AO201*(20/100))+(AP201*(30/100))+(AQ201*(50/100))) &gt;=7.8),8,
IF(AND( SUM((AO201*(20/100))+(AP201*(30/100))+(AQ201*(50/100))) &lt;=7.8, SUM((AO201*(20/100))+(AP201*(30/100))+(AQ201*(50/100))) &gt;=7.3),7.5,
IF(AND( SUM((AO201*(20/100))+(AP201*(30/100))+(AQ201*(50/100))) &lt;=7.3, SUM((AO201*(20/100))+(AP201*(30/100))+(AQ201*(50/100))) &gt;=6.8),7,
IF(AND( SUM((AO201*(20/100))+(AP201*(30/100))+(AQ201*(50/100))) &lt;=6.8, SUM((AO201*(20/100))+(AP201*(30/100))+(AQ201*(50/100))) &gt;=6.3),6.5,
IF(AND( SUM((AO201*(20/100))+(AP201*(30/100))+(AQ201*(50/100))) &lt;=6.3, SUM((AO201*(20/100))+(AP201*(30/100))+(AQ201*(50/100))) &gt;=5.8),6,
IF(AND( SUM((AO201*(20/100))+(AP201*(30/100))+(AQ201*(50/100))) &lt;=5.8, SUM((AO201*(20/100))+(AP201*(30/100))+(AQ201*(50/100))) &gt;=5.3),5.5,
IF(AND( SUM((AO201*(20/100))+(AP201*(30/100))+(AQ201*(50/100))) &lt;=5.3, SUM((AO201*(20/100))+(AP201*(30/100))+(AQ201*(50/100))) &gt;=4.8),5,
IF(AND( SUM((AO201*(20/100))+(AP201*(30/100))+(AQ201*(50/100))) &lt;=4.8, SUM((AO201*(20/100))+(AP201*(30/100))+(AQ201*(50/100))) &gt;=4.3),4.5,
IF(AND( SUM((AO201*(20/100))+(AP201*(30/100))+(AQ201*(50/100))) &lt;=4.3, SUM((AO201*(20/100))+(AP201*(30/100))+(AQ201*(50/100))) &gt;=3.8),4,
IF(AND( SUM((AO201*(20/100))+(AP201*(30/100))+(AQ201*(50/100))) &lt;=3.8, SUM((AO201*(20/100))+(AP201*(30/100))+(AQ201*(50/100))) &gt;=3.5),3.5,0)))))))))))))</f>
        <v>0</v>
      </c>
      <c r="AS201" s="536"/>
      <c r="AT201" s="536"/>
      <c r="AU201" s="536"/>
      <c r="AV201" s="542">
        <f t="shared" ref="AV201:AV264" si="84">IF( SUM((AS201*(20/100))+(AT201*(30/100))+(AU201*(50/100))) &gt;=9.3,9.5,
IF(AND( SUM((AS201*(20/100))+(AT201*(30/100))+(AU201*(50/100))) &lt;=9.3, SUM((AS201*(20/100))+(AT201*(30/100))+(AU201*(50/100))) &gt;=8.8),9,
IF(AND( SUM((AS201*(20/100))+(AT201*(30/100))+(AU201*(50/100))) &lt;=8.8, SUM((AS201*(20/100))+(AT201*(30/100))+(AU201*(50/100))) &gt;=8.3),8.5,
IF(AND( SUM((AS201*(20/100))+(AT201*(30/100))+(AU201*(50/100))) &lt;=8.3, SUM((AS201*(20/100))+(AT201*(30/100))+(AU201*(50/100))) &gt;=7.8),8,
IF(AND( SUM((AS201*(20/100))+(AT201*(30/100))+(AU201*(50/100))) &lt;=7.8, SUM((AS201*(20/100))+(AT201*(30/100))+(AU201*(50/100))) &gt;=7.3),7.5,
IF(AND( SUM((AS201*(20/100))+(AT201*(30/100))+(AU201*(50/100))) &lt;=7.3, SUM((AS201*(20/100))+(AT201*(30/100))+(AU201*(50/100))) &gt;=6.8),7,
IF(AND( SUM((AS201*(20/100))+(AT201*(30/100))+(AU201*(50/100))) &lt;=6.8, SUM((AS201*(20/100))+(AT201*(30/100))+(AU201*(50/100))) &gt;=6.3),6.5,
IF(AND( SUM((AS201*(20/100))+(AT201*(30/100))+(AU201*(50/100))) &lt;=6.3, SUM((AS201*(20/100))+(AT201*(30/100))+(AU201*(50/100))) &gt;=5.8),6,
IF(AND( SUM((AS201*(20/100))+(AT201*(30/100))+(AU201*(50/100))) &lt;=5.8, SUM((AS201*(20/100))+(AT201*(30/100))+(AU201*(50/100))) &gt;=5.3),5.5,
IF(AND( SUM((AS201*(20/100))+(AT201*(30/100))+(AU201*(50/100))) &lt;=5.3, SUM((AS201*(20/100))+(AT201*(30/100))+(AU201*(50/100))) &gt;=4.8),5,
IF(AND( SUM((AS201*(20/100))+(AT201*(30/100))+(AU201*(50/100))) &lt;=4.8, SUM((AS201*(20/100))+(AT201*(30/100))+(AU201*(50/100))) &gt;=4.3),4.5,
IF(AND( SUM((AS201*(20/100))+(AT201*(30/100))+(AU201*(50/100))) &lt;=4.3, SUM((AS201*(20/100))+(AT201*(30/100))+(AU201*(50/100))) &gt;=3.8),4,
IF(AND( SUM((AS201*(20/100))+(AT201*(30/100))+(AU201*(50/100))) &lt;=3.8, SUM((AS201*(20/100))+(AT201*(30/100))+(AU201*(50/100))) &gt;=3.5),3.5,0)))))))))))))</f>
        <v>0</v>
      </c>
      <c r="AW201" s="536"/>
      <c r="AX201" s="536"/>
      <c r="AY201" s="536"/>
      <c r="AZ201" s="542">
        <f t="shared" ref="AZ201:AZ264" si="85">IF( SUM((AW201*(20/100))+(AX201*(30/100))+(AY201*(50/100))) &gt;=9.3,9.5,
IF(AND( SUM((AW201*(20/100))+(AX201*(30/100))+(AY201*(50/100))) &lt;=9.3, SUM((AW201*(20/100))+(AX201*(30/100))+(AY201*(50/100))) &gt;=8.8),9,
IF(AND( SUM((AW201*(20/100))+(AX201*(30/100))+(AY201*(50/100))) &lt;=8.8, SUM((AW201*(20/100))+(AX201*(30/100))+(AY201*(50/100))) &gt;=8.3),8.5,
IF(AND( SUM((AW201*(20/100))+(AX201*(30/100))+(AY201*(50/100))) &lt;=8.3, SUM((AW201*(20/100))+(AX201*(30/100))+(AY201*(50/100))) &gt;=7.8),8,
IF(AND( SUM((AW201*(20/100))+(AX201*(30/100))+(AY201*(50/100))) &lt;=7.8, SUM((AW201*(20/100))+(AX201*(30/100))+(AY201*(50/100))) &gt;=7.3),7.5,
IF(AND( SUM((AW201*(20/100))+(AX201*(30/100))+(AY201*(50/100))) &lt;=7.3, SUM((AW201*(20/100))+(AX201*(30/100))+(AY201*(50/100))) &gt;=6.8),7,
IF(AND( SUM((AW201*(20/100))+(AX201*(30/100))+(AY201*(50/100))) &lt;=6.8, SUM((AW201*(20/100))+(AX201*(30/100))+(AY201*(50/100))) &gt;=6.3),6.5,
IF(AND( SUM((AW201*(20/100))+(AX201*(30/100))+(AY201*(50/100))) &lt;=6.3, SUM((AW201*(20/100))+(AX201*(30/100))+(AY201*(50/100))) &gt;=5.8),6,
IF(AND( SUM((AW201*(20/100))+(AX201*(30/100))+(AY201*(50/100))) &lt;=5.8, SUM((AW201*(20/100))+(AX201*(30/100))+(AY201*(50/100))) &gt;=5.3),5.5,
IF(AND( SUM((AW201*(20/100))+(AX201*(30/100))+(AY201*(50/100))) &lt;=5.3, SUM((AW201*(20/100))+(AX201*(30/100))+(AY201*(50/100))) &gt;=4.8),5,
IF(AND( SUM((AW201*(20/100))+(AX201*(30/100))+(AY201*(50/100))) &lt;=4.8, SUM((AW201*(20/100))+(AX201*(30/100))+(AY201*(50/100))) &gt;=4.3),4.5,
IF(AND( SUM((AW201*(20/100))+(AX201*(30/100))+(AY201*(50/100))) &lt;=4.3, SUM((AW201*(20/100))+(AX201*(30/100))+(AY201*(50/100))) &gt;=3.8),4,
IF(AND( SUM((AW201*(20/100))+(AX201*(30/100))+(AY201*(50/100))) &lt;=3.8, SUM((AW201*(20/100))+(AX201*(30/100))+(AY201*(50/100))) &gt;=3.5),3.5,0)))))))))))))</f>
        <v>0</v>
      </c>
      <c r="BA201" s="536"/>
      <c r="BB201" s="536"/>
      <c r="BC201" s="536"/>
      <c r="BD201" s="542">
        <f t="shared" ref="BD201:BD264" si="86">IF( SUM((BA201*(20/100))+(BB201*(30/100))+(BC201*(50/100))) &gt;=9.3,9.5,
IF(AND( SUM((BA201*(20/100))+(BB201*(30/100))+(BC201*(50/100))) &lt;=9.3, SUM((BA201*(20/100))+(BB201*(30/100))+(BC201*(50/100))) &gt;=8.8),9,
IF(AND( SUM((BA201*(20/100))+(BB201*(30/100))+(BC201*(50/100))) &lt;=8.8, SUM((BA201*(20/100))+(BB201*(30/100))+(BC201*(50/100))) &gt;=8.3),8.5,
IF(AND( SUM((BA201*(20/100))+(BB201*(30/100))+(BC201*(50/100))) &lt;=8.3, SUM((BA201*(20/100))+(BB201*(30/100))+(BC201*(50/100))) &gt;=7.8),8,
IF(AND( SUM((BA201*(20/100))+(BB201*(30/100))+(BC201*(50/100))) &lt;=7.8, SUM((BA201*(20/100))+(BB201*(30/100))+(BC201*(50/100))) &gt;=7.3),7.5,
IF(AND( SUM((BA201*(20/100))+(BB201*(30/100))+(BC201*(50/100))) &lt;=7.3, SUM((BA201*(20/100))+(BB201*(30/100))+(BC201*(50/100))) &gt;=6.8),7,
IF(AND( SUM((BA201*(20/100))+(BB201*(30/100))+(BC201*(50/100))) &lt;=6.8, SUM((BA201*(20/100))+(BB201*(30/100))+(BC201*(50/100))) &gt;=6.3),6.5,
IF(AND( SUM((BA201*(20/100))+(BB201*(30/100))+(BC201*(50/100))) &lt;=6.3, SUM((BA201*(20/100))+(BB201*(30/100))+(BC201*(50/100))) &gt;=5.8),6,
IF(AND( SUM((BA201*(20/100))+(BB201*(30/100))+(BC201*(50/100))) &lt;=5.8, SUM((BA201*(20/100))+(BB201*(30/100))+(BC201*(50/100))) &gt;=5.3),5.5,
IF(AND( SUM((BA201*(20/100))+(BB201*(30/100))+(BC201*(50/100))) &lt;=5.3, SUM((BA201*(20/100))+(BB201*(30/100))+(BC201*(50/100))) &gt;=4.8),5,
IF(AND( SUM((BA201*(20/100))+(BB201*(30/100))+(BC201*(50/100))) &lt;=4.8, SUM((BA201*(20/100))+(BB201*(30/100))+(BC201*(50/100))) &gt;=4.3),4.5,
IF(AND( SUM((BA201*(20/100))+(BB201*(30/100))+(BC201*(50/100))) &lt;=4.3, SUM((BA201*(20/100))+(BB201*(30/100))+(BC201*(50/100))) &gt;=3.8),4,
IF(AND( SUM((BA201*(20/100))+(BB201*(30/100))+(BC201*(50/100))) &lt;=3.8, SUM((BA201*(20/100))+(BB201*(30/100))+(BC201*(50/100))) &gt;=3.5),3.5,0)))))))))))))</f>
        <v>0</v>
      </c>
      <c r="BE201" s="536"/>
      <c r="BF201" s="536"/>
      <c r="BG201" s="536"/>
      <c r="BH201" s="542">
        <f t="shared" ref="BH201:BH264" si="87">IF( SUM((BE201*(20/100))+(BF201*(30/100))+(BG201*(50/100))) &gt;=9.3,9.5,
IF(AND( SUM((BE201*(20/100))+(BF201*(30/100))+(BG201*(50/100))) &lt;=9.3, SUM((BE201*(20/100))+(BF201*(30/100))+(BG201*(50/100))) &gt;=8.8),9,
IF(AND( SUM((BE201*(20/100))+(BF201*(30/100))+(BG201*(50/100))) &lt;=8.8, SUM((BE201*(20/100))+(BF201*(30/100))+(BG201*(50/100))) &gt;=8.3),8.5,
IF(AND( SUM((BE201*(20/100))+(BF201*(30/100))+(BG201*(50/100))) &lt;=8.3, SUM((BE201*(20/100))+(BF201*(30/100))+(BG201*(50/100))) &gt;=7.8),8,
IF(AND( SUM((BE201*(20/100))+(BF201*(30/100))+(BG201*(50/100))) &lt;=7.8, SUM((BE201*(20/100))+(BF201*(30/100))+(BG201*(50/100))) &gt;=7.3),7.5,
IF(AND( SUM((BE201*(20/100))+(BF201*(30/100))+(BG201*(50/100))) &lt;=7.3, SUM((BE201*(20/100))+(BF201*(30/100))+(BG201*(50/100))) &gt;=6.8),7,
IF(AND( SUM((BE201*(20/100))+(BF201*(30/100))+(BG201*(50/100))) &lt;=6.8, SUM((BE201*(20/100))+(BF201*(30/100))+(BG201*(50/100))) &gt;=6.3),6.5,
IF(AND( SUM((BE201*(20/100))+(BF201*(30/100))+(BG201*(50/100))) &lt;=6.3, SUM((BE201*(20/100))+(BF201*(30/100))+(BG201*(50/100))) &gt;=5.8),6,
IF(AND( SUM((BE201*(20/100))+(BF201*(30/100))+(BG201*(50/100))) &lt;=5.8, SUM((BE201*(20/100))+(BF201*(30/100))+(BG201*(50/100))) &gt;=5.3),5.5,
IF(AND( SUM((BE201*(20/100))+(BF201*(30/100))+(BG201*(50/100))) &lt;=5.3, SUM((BE201*(20/100))+(BF201*(30/100))+(BG201*(50/100))) &gt;=4.8),5,
IF(AND( SUM((BE201*(20/100))+(BF201*(30/100))+(BG201*(50/100))) &lt;=4.8, SUM((BE201*(20/100))+(BF201*(30/100))+(BG201*(50/100))) &gt;=4.3),4.5,
IF(AND( SUM((BE201*(20/100))+(BF201*(30/100))+(BG201*(50/100))) &lt;=4.3, SUM((BE201*(20/100))+(BF201*(30/100))+(BG201*(50/100))) &gt;=3.8),4,
IF(AND( SUM((BE201*(20/100))+(BF201*(30/100))+(BG201*(50/100))) &lt;=3.8, SUM((BE201*(20/100))+(BF201*(30/100))+(BG201*(50/100))) &gt;=3.5),3.5,0)))))))))))))</f>
        <v>0</v>
      </c>
      <c r="BI201" s="536"/>
      <c r="BJ201" s="536"/>
      <c r="BK201" s="536"/>
      <c r="BL201" s="542">
        <f t="shared" ref="BL201:BL264" si="88">IF( SUM((BI201*(20/100))+(BJ201*(30/100))+(BK201*(50/100))) &gt;=9.3,9.5,
IF(AND( SUM((BI201*(20/100))+(BJ201*(30/100))+(BK201*(50/100))) &lt;=9.3, SUM((BI201*(20/100))+(BJ201*(30/100))+(BK201*(50/100))) &gt;=8.8),9,
IF(AND( SUM((BI201*(20/100))+(BJ201*(30/100))+(BK201*(50/100))) &lt;=8.8, SUM((BI201*(20/100))+(BJ201*(30/100))+(BK201*(50/100))) &gt;=8.3),8.5,
IF(AND( SUM((BI201*(20/100))+(BJ201*(30/100))+(BK201*(50/100))) &lt;=8.3, SUM((BI201*(20/100))+(BJ201*(30/100))+(BK201*(50/100))) &gt;=7.8),8,
IF(AND( SUM((BI201*(20/100))+(BJ201*(30/100))+(BK201*(50/100))) &lt;=7.8, SUM((BI201*(20/100))+(BJ201*(30/100))+(BK201*(50/100))) &gt;=7.3),7.5,
IF(AND( SUM((BI201*(20/100))+(BJ201*(30/100))+(BK201*(50/100))) &lt;=7.3, SUM((BI201*(20/100))+(BJ201*(30/100))+(BK201*(50/100))) &gt;=6.8),7,
IF(AND( SUM((BI201*(20/100))+(BJ201*(30/100))+(BK201*(50/100))) &lt;=6.8, SUM((BI201*(20/100))+(BJ201*(30/100))+(BK201*(50/100))) &gt;=6.3),6.5,
IF(AND( SUM((BI201*(20/100))+(BJ201*(30/100))+(BK201*(50/100))) &lt;=6.3, SUM((BI201*(20/100))+(BJ201*(30/100))+(BK201*(50/100))) &gt;=5.8),6,
IF(AND( SUM((BI201*(20/100))+(BJ201*(30/100))+(BK201*(50/100))) &lt;=5.8, SUM((BI201*(20/100))+(BJ201*(30/100))+(BK201*(50/100))) &gt;=5.3),5.5,
IF(AND( SUM((BI201*(20/100))+(BJ201*(30/100))+(BK201*(50/100))) &lt;=5.3, SUM((BI201*(20/100))+(BJ201*(30/100))+(BK201*(50/100))) &gt;=4.8),5,
IF(AND( SUM((BI201*(20/100))+(BJ201*(30/100))+(BK201*(50/100))) &lt;=4.8, SUM((BI201*(20/100))+(BJ201*(30/100))+(BK201*(50/100))) &gt;=4.3),4.5,
IF(AND( SUM((BI201*(20/100))+(BJ201*(30/100))+(BK201*(50/100))) &lt;=4.3, SUM((BI201*(20/100))+(BJ201*(30/100))+(BK201*(50/100))) &gt;=3.8),4,
IF(AND( SUM((BI201*(20/100))+(BJ201*(30/100))+(BK201*(50/100))) &lt;=3.8, SUM((BI201*(20/100))+(BJ201*(30/100))+(BK201*(50/100))) &gt;=3.5),3.5,0)))))))))))))</f>
        <v>0</v>
      </c>
      <c r="BM201" s="536"/>
      <c r="BN201" s="536"/>
      <c r="BO201" s="536"/>
      <c r="BP201" s="542">
        <f t="shared" ref="BP201:BP264" si="89">IF( SUM((BM201*(20/100))+(BN201*(30/100))+(BO201*(50/100))) &gt;=9.3,9.5,
IF(AND( SUM((BM201*(20/100))+(BN201*(30/100))+(BO201*(50/100))) &lt;=9.3, SUM((BM201*(20/100))+(BN201*(30/100))+(BO201*(50/100))) &gt;=8.8),9,
IF(AND( SUM((BM201*(20/100))+(BN201*(30/100))+(BO201*(50/100))) &lt;=8.8, SUM((BM201*(20/100))+(BN201*(30/100))+(BO201*(50/100))) &gt;=8.3),8.5,
IF(AND( SUM((BM201*(20/100))+(BN201*(30/100))+(BO201*(50/100))) &lt;=8.3, SUM((BM201*(20/100))+(BN201*(30/100))+(BO201*(50/100))) &gt;=7.8),8,
IF(AND( SUM((BM201*(20/100))+(BN201*(30/100))+(BO201*(50/100))) &lt;=7.8, SUM((BM201*(20/100))+(BN201*(30/100))+(BO201*(50/100))) &gt;=7.3),7.5,
IF(AND( SUM((BM201*(20/100))+(BN201*(30/100))+(BO201*(50/100))) &lt;=7.3, SUM((BM201*(20/100))+(BN201*(30/100))+(BO201*(50/100))) &gt;=6.8),7,
IF(AND( SUM((BM201*(20/100))+(BN201*(30/100))+(BO201*(50/100))) &lt;=6.8, SUM((BM201*(20/100))+(BN201*(30/100))+(BO201*(50/100))) &gt;=6.3),6.5,
IF(AND( SUM((BM201*(20/100))+(BN201*(30/100))+(BO201*(50/100))) &lt;=6.3, SUM((BM201*(20/100))+(BN201*(30/100))+(BO201*(50/100))) &gt;=5.8),6,
IF(AND( SUM((BM201*(20/100))+(BN201*(30/100))+(BO201*(50/100))) &lt;=5.8, SUM((BM201*(20/100))+(BN201*(30/100))+(BO201*(50/100))) &gt;=5.3),5.5,
IF(AND( SUM((BM201*(20/100))+(BN201*(30/100))+(BO201*(50/100))) &lt;=5.3, SUM((BM201*(20/100))+(BN201*(30/100))+(BO201*(50/100))) &gt;=4.8),5,
IF(AND( SUM((BM201*(20/100))+(BN201*(30/100))+(BO201*(50/100))) &lt;=4.8, SUM((BM201*(20/100))+(BN201*(30/100))+(BO201*(50/100))) &gt;=4.3),4.5,
IF(AND( SUM((BM201*(20/100))+(BN201*(30/100))+(BO201*(50/100))) &lt;=4.3, SUM((BM201*(20/100))+(BN201*(30/100))+(BO201*(50/100))) &gt;=3.8),4,
IF(AND( SUM((BM201*(20/100))+(BN201*(30/100))+(BO201*(50/100))) &lt;=3.8, SUM((BM201*(20/100))+(BN201*(30/100))+(BO201*(50/100))) &gt;=3.5),3.5,0)))))))))))))</f>
        <v>0</v>
      </c>
      <c r="BQ201" s="536"/>
      <c r="BR201" s="536"/>
      <c r="BS201" s="536"/>
      <c r="BT201" s="542">
        <f t="shared" ref="BT201:BT264" si="90">IF( SUM((BQ201*(20/100))+(BR201*(30/100))+(BS201*(50/100))) &gt;=9.3,9.5,
IF(AND( SUM((BQ201*(20/100))+(BR201*(30/100))+(BS201*(50/100))) &lt;=9.3, SUM((BQ201*(20/100))+(BR201*(30/100))+(BS201*(50/100))) &gt;=8.8),9,
IF(AND( SUM((BQ201*(20/100))+(BR201*(30/100))+(BS201*(50/100))) &lt;=8.8, SUM((BQ201*(20/100))+(BR201*(30/100))+(BS201*(50/100))) &gt;=8.3),8.5,
IF(AND( SUM((BQ201*(20/100))+(BR201*(30/100))+(BS201*(50/100))) &lt;=8.3, SUM((BQ201*(20/100))+(BR201*(30/100))+(BS201*(50/100))) &gt;=7.8),8,
IF(AND( SUM((BQ201*(20/100))+(BR201*(30/100))+(BS201*(50/100))) &lt;=7.8, SUM((BQ201*(20/100))+(BR201*(30/100))+(BS201*(50/100))) &gt;=7.3),7.5,
IF(AND( SUM((BQ201*(20/100))+(BR201*(30/100))+(BS201*(50/100))) &lt;=7.3, SUM((BQ201*(20/100))+(BR201*(30/100))+(BS201*(50/100))) &gt;=6.8),7,
IF(AND( SUM((BQ201*(20/100))+(BR201*(30/100))+(BS201*(50/100))) &lt;=6.8, SUM((BQ201*(20/100))+(BR201*(30/100))+(BS201*(50/100))) &gt;=6.3),6.5,
IF(AND( SUM((BQ201*(20/100))+(BR201*(30/100))+(BS201*(50/100))) &lt;=6.3, SUM((BQ201*(20/100))+(BR201*(30/100))+(BS201*(50/100))) &gt;=5.8),6,
IF(AND( SUM((BQ201*(20/100))+(BR201*(30/100))+(BS201*(50/100))) &lt;=5.8, SUM((BQ201*(20/100))+(BR201*(30/100))+(BS201*(50/100))) &gt;=5.3),5.5,
IF(AND( SUM((BQ201*(20/100))+(BR201*(30/100))+(BS201*(50/100))) &lt;=5.3, SUM((BQ201*(20/100))+(BR201*(30/100))+(BS201*(50/100))) &gt;=4.8),5,
IF(AND( SUM((BQ201*(20/100))+(BR201*(30/100))+(BS201*(50/100))) &lt;=4.8, SUM((BQ201*(20/100))+(BR201*(30/100))+(BS201*(50/100))) &gt;=4.3),4.5,
IF(AND( SUM((BQ201*(20/100))+(BR201*(30/100))+(BS201*(50/100))) &lt;=4.3, SUM((BQ201*(20/100))+(BR201*(30/100))+(BS201*(50/100))) &gt;=3.8),4,
IF(AND( SUM((BQ201*(20/100))+(BR201*(30/100))+(BS201*(50/100))) &lt;=3.8, SUM((BQ201*(20/100))+(BR201*(30/100))+(BS201*(50/100))) &gt;=3.5),3.5,0)))))))))))))</f>
        <v>0</v>
      </c>
      <c r="BU201" s="536"/>
      <c r="BV201" s="536"/>
      <c r="BW201" s="536"/>
      <c r="BX201" s="542">
        <f t="shared" ref="BX201:BX264" si="91">IF( SUM((BU201*(20/100))+(BV201*(30/100))+(BW201*(50/100))) &gt;=9.3,9.5,
IF(AND( SUM((BU201*(20/100))+(BV201*(30/100))+(BW201*(50/100))) &lt;=9.3, SUM((BU201*(20/100))+(BV201*(30/100))+(BW201*(50/100))) &gt;=8.8),9,
IF(AND( SUM((BU201*(20/100))+(BV201*(30/100))+(BW201*(50/100))) &lt;=8.8, SUM((BU201*(20/100))+(BV201*(30/100))+(BW201*(50/100))) &gt;=8.3),8.5,
IF(AND( SUM((BU201*(20/100))+(BV201*(30/100))+(BW201*(50/100))) &lt;=8.3, SUM((BU201*(20/100))+(BV201*(30/100))+(BW201*(50/100))) &gt;=7.8),8,
IF(AND( SUM((BU201*(20/100))+(BV201*(30/100))+(BW201*(50/100))) &lt;=7.8, SUM((BU201*(20/100))+(BV201*(30/100))+(BW201*(50/100))) &gt;=7.3),7.5,
IF(AND( SUM((BU201*(20/100))+(BV201*(30/100))+(BW201*(50/100))) &lt;=7.3, SUM((BU201*(20/100))+(BV201*(30/100))+(BW201*(50/100))) &gt;=6.8),7,
IF(AND( SUM((BU201*(20/100))+(BV201*(30/100))+(BW201*(50/100))) &lt;=6.8, SUM((BU201*(20/100))+(BV201*(30/100))+(BW201*(50/100))) &gt;=6.3),6.5,
IF(AND( SUM((BU201*(20/100))+(BV201*(30/100))+(BW201*(50/100))) &lt;=6.3, SUM((BU201*(20/100))+(BV201*(30/100))+(BW201*(50/100))) &gt;=5.8),6,
IF(AND( SUM((BU201*(20/100))+(BV201*(30/100))+(BW201*(50/100))) &lt;=5.8, SUM((BU201*(20/100))+(BV201*(30/100))+(BW201*(50/100))) &gt;=5.3),5.5,
IF(AND( SUM((BU201*(20/100))+(BV201*(30/100))+(BW201*(50/100))) &lt;=5.3, SUM((BU201*(20/100))+(BV201*(30/100))+(BW201*(50/100))) &gt;=4.8),5,
IF(AND( SUM((BU201*(20/100))+(BV201*(30/100))+(BW201*(50/100))) &lt;=4.8, SUM((BU201*(20/100))+(BV201*(30/100))+(BW201*(50/100))) &gt;=4.3),4.5,
IF(AND( SUM((BU201*(20/100))+(BV201*(30/100))+(BW201*(50/100))) &lt;=4.3, SUM((BU201*(20/100))+(BV201*(30/100))+(BW201*(50/100))) &gt;=3.8),4,
IF(AND( SUM((BU201*(20/100))+(BV201*(30/100))+(BW201*(50/100))) &lt;=3.8, SUM((BU201*(20/100))+(BV201*(30/100))+(BW201*(50/100))) &gt;=3.5),3.5,0)))))))))))))</f>
        <v>0</v>
      </c>
      <c r="BY201" s="536"/>
      <c r="BZ201" s="536"/>
      <c r="CA201" s="536"/>
      <c r="CB201" s="542">
        <v>0</v>
      </c>
      <c r="CC201" s="536"/>
      <c r="CD201" s="536"/>
      <c r="CE201" s="536"/>
      <c r="CF201" s="541">
        <f t="shared" ref="CF201:CF264" si="92">IF( SUM((CC201*(20/100))+(CD201*(30/100))+(CE201*(50/100))) &gt;=9.3,9.5,
IF(AND( SUM((CC201*(20/100))+(CD201*(30/100))+(CE201*(50/100))) &lt;=9.3, SUM((CC201*(20/100))+(CD201*(30/100))+(CE201*(50/100))) &gt;=8.8),9,
IF(AND( SUM((CC201*(20/100))+(CD201*(30/100))+(CE201*(50/100))) &lt;=8.8, SUM((CC201*(20/100))+(CD201*(30/100))+(CE201*(50/100))) &gt;=8.3),8.5,
IF(AND( SUM((CC201*(20/100))+(CD201*(30/100))+(CE201*(50/100))) &lt;=8.3, SUM((CC201*(20/100))+(CD201*(30/100))+(CE201*(50/100))) &gt;=7.8),8,
IF(AND( SUM((CC201*(20/100))+(CD201*(30/100))+(CE201*(50/100))) &lt;=7.8, SUM((CC201*(20/100))+(CD201*(30/100))+(CE201*(50/100))) &gt;=7.3),7.5,
IF(AND( SUM((CC201*(20/100))+(CD201*(30/100))+(CE201*(50/100))) &lt;=7.3, SUM((CC201*(20/100))+(CD201*(30/100))+(CE201*(50/100))) &gt;=6.8),7,
IF(AND( SUM((CC201*(20/100))+(CD201*(30/100))+(CE201*(50/100))) &lt;=6.8, SUM((CC201*(20/100))+(CD201*(30/100))+(CE201*(50/100))) &gt;=6.3),6.5,
IF(AND( SUM((CC201*(20/100))+(CD201*(30/100))+(CE201*(50/100))) &lt;=6.3, SUM((CC201*(20/100))+(CD201*(30/100))+(CE201*(50/100))) &gt;=5.8),6,
IF(AND( SUM((CC201*(20/100))+(CD201*(30/100))+(CE201*(50/100))) &lt;=5.8, SUM((CC201*(20/100))+(CD201*(30/100))+(CE201*(50/100))) &gt;=5.3),5.5,
IF(AND( SUM((CC201*(20/100))+(CD201*(30/100))+(CE201*(50/100))) &lt;=5.3, SUM((CC201*(20/100))+(CD201*(30/100))+(CE201*(50/100))) &gt;=4.8),5,
IF(AND( SUM((CC201*(20/100))+(CD201*(30/100))+(CE201*(50/100))) &lt;=4.8, SUM((CC201*(20/100))+(CD201*(30/100))+(CE201*(50/100))) &gt;=4.3),4.5,
IF(AND( SUM((CC201*(20/100))+(CD201*(30/100))+(CE201*(50/100))) &lt;=4.3, SUM((CC201*(20/100))+(CD201*(30/100))+(CE201*(50/100))) &gt;=3.8),4,
IF(AND( SUM((CC201*(20/100))+(CD201*(30/100))+(CE201*(50/100))) &lt;=3.8, SUM((CC201*(20/100))+(CD201*(30/100))+(CE201*(50/100))) &gt;=3.5),3.5,0)))))))))))))</f>
        <v>0</v>
      </c>
      <c r="CG201" s="536"/>
      <c r="CH201" s="536"/>
      <c r="CI201" s="536"/>
      <c r="CJ201" s="541">
        <f t="shared" ref="CJ201:CJ264" si="93">IF( SUM((CG201*(20/100))+(CH201*(30/100))+(CI201*(50/100))) &gt;=9.3,9.5,
IF(AND( SUM((CG201*(20/100))+(CH201*(30/100))+(CI201*(50/100))) &lt;=9.3, SUM((CG201*(20/100))+(CH201*(30/100))+(CI201*(50/100))) &gt;=8.8),9,
IF(AND( SUM((CG201*(20/100))+(CH201*(30/100))+(CI201*(50/100))) &lt;=8.8, SUM((CG201*(20/100))+(CH201*(30/100))+(CI201*(50/100))) &gt;=8.3),8.5,
IF(AND( SUM((CG201*(20/100))+(CH201*(30/100))+(CI201*(50/100))) &lt;=8.3, SUM((CG201*(20/100))+(CH201*(30/100))+(CI201*(50/100))) &gt;=7.8),8,
IF(AND( SUM((CG201*(20/100))+(CH201*(30/100))+(CI201*(50/100))) &lt;=7.8, SUM((CG201*(20/100))+(CH201*(30/100))+(CI201*(50/100))) &gt;=7.3),7.5,
IF(AND( SUM((CG201*(20/100))+(CH201*(30/100))+(CI201*(50/100))) &lt;=7.3, SUM((CG201*(20/100))+(CH201*(30/100))+(CI201*(50/100))) &gt;=6.8),7,
IF(AND( SUM((CG201*(20/100))+(CH201*(30/100))+(CI201*(50/100))) &lt;=6.8, SUM((CG201*(20/100))+(CH201*(30/100))+(CI201*(50/100))) &gt;=6.3),6.5,
IF(AND( SUM((CG201*(20/100))+(CH201*(30/100))+(CI201*(50/100))) &lt;=6.3, SUM((CG201*(20/100))+(CH201*(30/100))+(CI201*(50/100))) &gt;=5.8),6,
IF(AND( SUM((CG201*(20/100))+(CH201*(30/100))+(CI201*(50/100))) &lt;=5.8, SUM((CG201*(20/100))+(CH201*(30/100))+(CI201*(50/100))) &gt;=5.3),5.5,
IF(AND( SUM((CG201*(20/100))+(CH201*(30/100))+(CI201*(50/100))) &lt;=5.3, SUM((CG201*(20/100))+(CH201*(30/100))+(CI201*(50/100))) &gt;=4.8),5,
IF(AND( SUM((CG201*(20/100))+(CH201*(30/100))+(CI201*(50/100))) &lt;=4.8, SUM((CG201*(20/100))+(CH201*(30/100))+(CI201*(50/100))) &gt;=4.3),4.5,
IF(AND( SUM((CG201*(20/100))+(CH201*(30/100))+(CI201*(50/100))) &lt;=4.3, SUM((CG201*(20/100))+(CH201*(30/100))+(CI201*(50/100))) &gt;=3.8),4,
IF(AND( SUM((CG201*(20/100))+(CH201*(30/100))+(CI201*(50/100))) &lt;=3.8, SUM((CG201*(20/100))+(CH201*(30/100))+(CI201*(50/100))) &gt;=3.5),3.5,0)))))))))))))</f>
        <v>0</v>
      </c>
      <c r="CK201" s="536"/>
      <c r="CL201" s="536"/>
      <c r="CM201" s="536"/>
      <c r="CN201" s="541">
        <f t="shared" ref="CN201:CN264" si="94">IF( SUM((CK201*(20/100))+(CL201*(30/100))+(CM201*(50/100))) &gt;=9.3,9.5,
IF(AND( SUM((CK201*(20/100))+(CL201*(30/100))+(CM201*(50/100))) &lt;=9.3, SUM((CK201*(20/100))+(CL201*(30/100))+(CM201*(50/100))) &gt;=8.8),9,
IF(AND( SUM((CK201*(20/100))+(CL201*(30/100))+(CM201*(50/100))) &lt;=8.8, SUM((CK201*(20/100))+(CL201*(30/100))+(CM201*(50/100))) &gt;=8.3),8.5,
IF(AND( SUM((CK201*(20/100))+(CL201*(30/100))+(CM201*(50/100))) &lt;=8.3, SUM((CK201*(20/100))+(CL201*(30/100))+(CM201*(50/100))) &gt;=7.8),8,
IF(AND( SUM((CK201*(20/100))+(CL201*(30/100))+(CM201*(50/100))) &lt;=7.8, SUM((CK201*(20/100))+(CL201*(30/100))+(CM201*(50/100))) &gt;=7.3),7.5,
IF(AND( SUM((CK201*(20/100))+(CL201*(30/100))+(CM201*(50/100))) &lt;=7.3, SUM((CK201*(20/100))+(CL201*(30/100))+(CM201*(50/100))) &gt;=6.8),7,
IF(AND( SUM((CK201*(20/100))+(CL201*(30/100))+(CM201*(50/100))) &lt;=6.8, SUM((CK201*(20/100))+(CL201*(30/100))+(CM201*(50/100))) &gt;=6.3),6.5,
IF(AND( SUM((CK201*(20/100))+(CL201*(30/100))+(CM201*(50/100))) &lt;=6.3, SUM((CK201*(20/100))+(CL201*(30/100))+(CM201*(50/100))) &gt;=5.8),6,
IF(AND( SUM((CK201*(20/100))+(CL201*(30/100))+(CM201*(50/100))) &lt;=5.8, SUM((CK201*(20/100))+(CL201*(30/100))+(CM201*(50/100))) &gt;=5.3),5.5,
IF(AND( SUM((CK201*(20/100))+(CL201*(30/100))+(CM201*(50/100))) &lt;=5.3, SUM((CK201*(20/100))+(CL201*(30/100))+(CM201*(50/100))) &gt;=4.8),5,
IF(AND( SUM((CK201*(20/100))+(CL201*(30/100))+(CM201*(50/100))) &lt;=4.8, SUM((CK201*(20/100))+(CL201*(30/100))+(CM201*(50/100))) &gt;=4.3),4.5,
IF(AND( SUM((CK201*(20/100))+(CL201*(30/100))+(CM201*(50/100))) &lt;=4.3, SUM((CK201*(20/100))+(CL201*(30/100))+(CM201*(50/100))) &gt;=3.8),4,
IF(AND( SUM((CK201*(20/100))+(CL201*(30/100))+(CM201*(50/100))) &lt;=3.8, SUM((CK201*(20/100))+(CL201*(30/100))+(CM201*(50/100))) &gt;=3.5),3.5,0)))))))))))))</f>
        <v>0</v>
      </c>
      <c r="CO201" s="536"/>
      <c r="CP201" s="536"/>
      <c r="CQ201" s="536"/>
      <c r="CR201" s="541">
        <f t="shared" ref="CR201:CR264" si="95">IF( SUM((CO201*(20/100))+(CP201*(30/100))+(CQ201*(50/100))) &gt;=9.3,9.5,
IF(AND( SUM((CO201*(20/100))+(CP201*(30/100))+(CQ201*(50/100))) &lt;=9.3, SUM((CO201*(20/100))+(CP201*(30/100))+(CQ201*(50/100))) &gt;=8.8),9,
IF(AND( SUM((CO201*(20/100))+(CP201*(30/100))+(CQ201*(50/100))) &lt;=8.8, SUM((CO201*(20/100))+(CP201*(30/100))+(CQ201*(50/100))) &gt;=8.3),8.5,
IF(AND( SUM((CO201*(20/100))+(CP201*(30/100))+(CQ201*(50/100))) &lt;=8.3, SUM((CO201*(20/100))+(CP201*(30/100))+(CQ201*(50/100))) &gt;=7.8),8,
IF(AND( SUM((CO201*(20/100))+(CP201*(30/100))+(CQ201*(50/100))) &lt;=7.8, SUM((CO201*(20/100))+(CP201*(30/100))+(CQ201*(50/100))) &gt;=7.3),7.5,
IF(AND( SUM((CO201*(20/100))+(CP201*(30/100))+(CQ201*(50/100))) &lt;=7.3, SUM((CO201*(20/100))+(CP201*(30/100))+(CQ201*(50/100))) &gt;=6.8),7,
IF(AND( SUM((CO201*(20/100))+(CP201*(30/100))+(CQ201*(50/100))) &lt;=6.8, SUM((CO201*(20/100))+(CP201*(30/100))+(CQ201*(50/100))) &gt;=6.3),6.5,
IF(AND( SUM((CO201*(20/100))+(CP201*(30/100))+(CQ201*(50/100))) &lt;=6.3, SUM((CO201*(20/100))+(CP201*(30/100))+(CQ201*(50/100))) &gt;=5.8),6,
IF(AND( SUM((CO201*(20/100))+(CP201*(30/100))+(CQ201*(50/100))) &lt;=5.8, SUM((CO201*(20/100))+(CP201*(30/100))+(CQ201*(50/100))) &gt;=5.3),5.5,
IF(AND( SUM((CO201*(20/100))+(CP201*(30/100))+(CQ201*(50/100))) &lt;=5.3, SUM((CO201*(20/100))+(CP201*(30/100))+(CQ201*(50/100))) &gt;=4.8),5,
IF(AND( SUM((CO201*(20/100))+(CP201*(30/100))+(CQ201*(50/100))) &lt;=4.8, SUM((CO201*(20/100))+(CP201*(30/100))+(CQ201*(50/100))) &gt;=4.3),4.5,
IF(AND( SUM((CO201*(20/100))+(CP201*(30/100))+(CQ201*(50/100))) &lt;=4.3, SUM((CO201*(20/100))+(CP201*(30/100))+(CQ201*(50/100))) &gt;=3.8),4,
IF(AND( SUM((CO201*(20/100))+(CP201*(30/100))+(CQ201*(50/100))) &lt;=3.8, SUM((CO201*(20/100))+(CP201*(30/100))+(CQ201*(50/100))) &gt;=3.5),3.5,0)))))))))))))</f>
        <v>0</v>
      </c>
      <c r="CS201" s="536"/>
      <c r="CT201" s="536"/>
      <c r="CU201" s="536"/>
      <c r="CV201" s="541">
        <f t="shared" ref="CV201:CV264" si="96">IF( SUM((CS201*(20/100))+(CT201*(30/100))+(CU201*(50/100))) &gt;=9.3,9.5,
IF(AND( SUM((CS201*(20/100))+(CT201*(30/100))+(CU201*(50/100))) &lt;=9.3, SUM((CS201*(20/100))+(CT201*(30/100))+(CU201*(50/100))) &gt;=8.8),9,
IF(AND( SUM((CS201*(20/100))+(CT201*(30/100))+(CU201*(50/100))) &lt;=8.8, SUM((CS201*(20/100))+(CT201*(30/100))+(CU201*(50/100))) &gt;=8.3),8.5,
IF(AND( SUM((CS201*(20/100))+(CT201*(30/100))+(CU201*(50/100))) &lt;=8.3, SUM((CS201*(20/100))+(CT201*(30/100))+(CU201*(50/100))) &gt;=7.8),8,
IF(AND( SUM((CS201*(20/100))+(CT201*(30/100))+(CU201*(50/100))) &lt;=7.8, SUM((CS201*(20/100))+(CT201*(30/100))+(CU201*(50/100))) &gt;=7.3),7.5,
IF(AND( SUM((CS201*(20/100))+(CT201*(30/100))+(CU201*(50/100))) &lt;=7.3, SUM((CS201*(20/100))+(CT201*(30/100))+(CU201*(50/100))) &gt;=6.8),7,
IF(AND( SUM((CS201*(20/100))+(CT201*(30/100))+(CU201*(50/100))) &lt;=6.8, SUM((CS201*(20/100))+(CT201*(30/100))+(CU201*(50/100))) &gt;=6.3),6.5,
IF(AND( SUM((CS201*(20/100))+(CT201*(30/100))+(CU201*(50/100))) &lt;=6.3, SUM((CS201*(20/100))+(CT201*(30/100))+(CU201*(50/100))) &gt;=5.8),6,
IF(AND( SUM((CS201*(20/100))+(CT201*(30/100))+(CU201*(50/100))) &lt;=5.8, SUM((CS201*(20/100))+(CT201*(30/100))+(CU201*(50/100))) &gt;=5.3),5.5,
IF(AND( SUM((CS201*(20/100))+(CT201*(30/100))+(CU201*(50/100))) &lt;=5.3, SUM((CS201*(20/100))+(CT201*(30/100))+(CU201*(50/100))) &gt;=4.8),5,
IF(AND( SUM((CS201*(20/100))+(CT201*(30/100))+(CU201*(50/100))) &lt;=4.8, SUM((CS201*(20/100))+(CT201*(30/100))+(CU201*(50/100))) &gt;=4.3),4.5,
IF(AND( SUM((CS201*(20/100))+(CT201*(30/100))+(CU201*(50/100))) &lt;=4.3, SUM((CS201*(20/100))+(CT201*(30/100))+(CU201*(50/100))) &gt;=3.8),4,
IF(AND( SUM((CS201*(20/100))+(CT201*(30/100))+(CU201*(50/100))) &lt;=3.8, SUM((CS201*(20/100))+(CT201*(30/100))+(CU201*(50/100))) &gt;=3.5),3.5,0)))))))))))))</f>
        <v>0</v>
      </c>
      <c r="CW201" s="536"/>
      <c r="CX201" s="536"/>
      <c r="CY201" s="536"/>
      <c r="CZ201" s="541">
        <f t="shared" ref="CZ201:CZ264" si="97">IF( SUM((CW201*(20/100))+(CX201*(30/100))+(CY201*(50/100))) &gt;=9.3,9.5,
IF(AND( SUM((CW201*(20/100))+(CX201*(30/100))+(CY201*(50/100))) &lt;=9.3, SUM((CW201*(20/100))+(CX201*(30/100))+(CY201*(50/100))) &gt;=8.8),9,
IF(AND( SUM((CW201*(20/100))+(CX201*(30/100))+(CY201*(50/100))) &lt;=8.8, SUM((CW201*(20/100))+(CX201*(30/100))+(CY201*(50/100))) &gt;=8.3),8.5,
IF(AND( SUM((CW201*(20/100))+(CX201*(30/100))+(CY201*(50/100))) &lt;=8.3, SUM((CW201*(20/100))+(CX201*(30/100))+(CY201*(50/100))) &gt;=7.8),8,
IF(AND( SUM((CW201*(20/100))+(CX201*(30/100))+(CY201*(50/100))) &lt;=7.8, SUM((CW201*(20/100))+(CX201*(30/100))+(CY201*(50/100))) &gt;=7.3),7.5,
IF(AND( SUM((CW201*(20/100))+(CX201*(30/100))+(CY201*(50/100))) &lt;=7.3, SUM((CW201*(20/100))+(CX201*(30/100))+(CY201*(50/100))) &gt;=6.8),7,
IF(AND( SUM((CW201*(20/100))+(CX201*(30/100))+(CY201*(50/100))) &lt;=6.8, SUM((CW201*(20/100))+(CX201*(30/100))+(CY201*(50/100))) &gt;=6.3),6.5,
IF(AND( SUM((CW201*(20/100))+(CX201*(30/100))+(CY201*(50/100))) &lt;=6.3, SUM((CW201*(20/100))+(CX201*(30/100))+(CY201*(50/100))) &gt;=5.8),6,
IF(AND( SUM((CW201*(20/100))+(CX201*(30/100))+(CY201*(50/100))) &lt;=5.8, SUM((CW201*(20/100))+(CX201*(30/100))+(CY201*(50/100))) &gt;=5.3),5.5,
IF(AND( SUM((CW201*(20/100))+(CX201*(30/100))+(CY201*(50/100))) &lt;=5.3, SUM((CW201*(20/100))+(CX201*(30/100))+(CY201*(50/100))) &gt;=4.8),5,
IF(AND( SUM((CW201*(20/100))+(CX201*(30/100))+(CY201*(50/100))) &lt;=4.8, SUM((CW201*(20/100))+(CX201*(30/100))+(CY201*(50/100))) &gt;=4.3),4.5,
IF(AND( SUM((CW201*(20/100))+(CX201*(30/100))+(CY201*(50/100))) &lt;=4.3, SUM((CW201*(20/100))+(CX201*(30/100))+(CY201*(50/100))) &gt;=3.8),4,
IF(AND( SUM((CW201*(20/100))+(CX201*(30/100))+(CY201*(50/100))) &lt;=3.8, SUM((CW201*(20/100))+(CX201*(30/100))+(CY201*(50/100))) &gt;=3.5),3.5,0)))))))))))))</f>
        <v>0</v>
      </c>
      <c r="DA201" s="536"/>
      <c r="DB201" s="536"/>
      <c r="DC201" s="536"/>
      <c r="DD201" s="541">
        <f t="shared" ref="DD201:DD264" si="98">IF( SUM((DA201*(20/100))+(DB201*(30/100))+(DC201*(50/100))) &gt;=9.3,9.5,
IF(AND( SUM((DA201*(20/100))+(DB201*(30/100))+(DC201*(50/100))) &lt;=9.3, SUM((DA201*(20/100))+(DB201*(30/100))+(DC201*(50/100))) &gt;=8.8),9,
IF(AND( SUM((DA201*(20/100))+(DB201*(30/100))+(DC201*(50/100))) &lt;=8.8, SUM((DA201*(20/100))+(DB201*(30/100))+(DC201*(50/100))) &gt;=8.3),8.5,
IF(AND( SUM((DA201*(20/100))+(DB201*(30/100))+(DC201*(50/100))) &lt;=8.3, SUM((DA201*(20/100))+(DB201*(30/100))+(DC201*(50/100))) &gt;=7.8),8,
IF(AND( SUM((DA201*(20/100))+(DB201*(30/100))+(DC201*(50/100))) &lt;=7.8, SUM((DA201*(20/100))+(DB201*(30/100))+(DC201*(50/100))) &gt;=7.3),7.5,
IF(AND( SUM((DA201*(20/100))+(DB201*(30/100))+(DC201*(50/100))) &lt;=7.3, SUM((DA201*(20/100))+(DB201*(30/100))+(DC201*(50/100))) &gt;=6.8),7,
IF(AND( SUM((DA201*(20/100))+(DB201*(30/100))+(DC201*(50/100))) &lt;=6.8, SUM((DA201*(20/100))+(DB201*(30/100))+(DC201*(50/100))) &gt;=6.3),6.5,
IF(AND( SUM((DA201*(20/100))+(DB201*(30/100))+(DC201*(50/100))) &lt;=6.3, SUM((DA201*(20/100))+(DB201*(30/100))+(DC201*(50/100))) &gt;=5.8),6,
IF(AND( SUM((DA201*(20/100))+(DB201*(30/100))+(DC201*(50/100))) &lt;=5.8, SUM((DA201*(20/100))+(DB201*(30/100))+(DC201*(50/100))) &gt;=5.3),5.5,
IF(AND( SUM((DA201*(20/100))+(DB201*(30/100))+(DC201*(50/100))) &lt;=5.3, SUM((DA201*(20/100))+(DB201*(30/100))+(DC201*(50/100))) &gt;=4.8),5,
IF(AND( SUM((DA201*(20/100))+(DB201*(30/100))+(DC201*(50/100))) &lt;=4.8, SUM((DA201*(20/100))+(DB201*(30/100))+(DC201*(50/100))) &gt;=4.3),4.5,
IF(AND( SUM((DA201*(20/100))+(DB201*(30/100))+(DC201*(50/100))) &lt;=4.3, SUM((DA201*(20/100))+(DB201*(30/100))+(DC201*(50/100))) &gt;=3.8),4,
IF(AND( SUM((DA201*(20/100))+(DB201*(30/100))+(DC201*(50/100))) &lt;=3.8, SUM((DA201*(20/100))+(DB201*(30/100))+(DC201*(50/100))) &gt;=3.5),3.5,0)))))))))))))</f>
        <v>0</v>
      </c>
      <c r="DE201" s="536"/>
      <c r="DF201" s="536"/>
      <c r="DG201" s="536"/>
      <c r="DH201" s="541">
        <f t="shared" ref="DH201:DH264" si="99">IF( SUM((DE201*(20/100))+(DF201*(30/100))+(DG201*(50/100))) &gt;=9.3,9.5,
IF(AND( SUM((DE201*(20/100))+(DF201*(30/100))+(DG201*(50/100))) &lt;=9.3, SUM((DE201*(20/100))+(DF201*(30/100))+(DG201*(50/100))) &gt;=8.8),9,
IF(AND( SUM((DE201*(20/100))+(DF201*(30/100))+(DG201*(50/100))) &lt;=8.8, SUM((DE201*(20/100))+(DF201*(30/100))+(DG201*(50/100))) &gt;=8.3),8.5,
IF(AND( SUM((DE201*(20/100))+(DF201*(30/100))+(DG201*(50/100))) &lt;=8.3, SUM((DE201*(20/100))+(DF201*(30/100))+(DG201*(50/100))) &gt;=7.8),8,
IF(AND( SUM((DE201*(20/100))+(DF201*(30/100))+(DG201*(50/100))) &lt;=7.8, SUM((DE201*(20/100))+(DF201*(30/100))+(DG201*(50/100))) &gt;=7.3),7.5,
IF(AND( SUM((DE201*(20/100))+(DF201*(30/100))+(DG201*(50/100))) &lt;=7.3, SUM((DE201*(20/100))+(DF201*(30/100))+(DG201*(50/100))) &gt;=6.8),7,
IF(AND( SUM((DE201*(20/100))+(DF201*(30/100))+(DG201*(50/100))) &lt;=6.8, SUM((DE201*(20/100))+(DF201*(30/100))+(DG201*(50/100))) &gt;=6.3),6.5,
IF(AND( SUM((DE201*(20/100))+(DF201*(30/100))+(DG201*(50/100))) &lt;=6.3, SUM((DE201*(20/100))+(DF201*(30/100))+(DG201*(50/100))) &gt;=5.8),6,
IF(AND( SUM((DE201*(20/100))+(DF201*(30/100))+(DG201*(50/100))) &lt;=5.8, SUM((DE201*(20/100))+(DF201*(30/100))+(DG201*(50/100))) &gt;=5.3),5.5,
IF(AND( SUM((DE201*(20/100))+(DF201*(30/100))+(DG201*(50/100))) &lt;=5.3, SUM((DE201*(20/100))+(DF201*(30/100))+(DG201*(50/100))) &gt;=4.8),5,
IF(AND( SUM((DE201*(20/100))+(DF201*(30/100))+(DG201*(50/100))) &lt;=4.8, SUM((DE201*(20/100))+(DF201*(30/100))+(DG201*(50/100))) &gt;=4.3),4.5,
IF(AND( SUM((DE201*(20/100))+(DF201*(30/100))+(DG201*(50/100))) &lt;=4.3, SUM((DE201*(20/100))+(DF201*(30/100))+(DG201*(50/100))) &gt;=3.8),4,
IF(AND( SUM((DE201*(20/100))+(DF201*(30/100))+(DG201*(50/100))) &lt;=3.8, SUM((DE201*(20/100))+(DF201*(30/100))+(DG201*(50/100))) &gt;=3.5),3.5,0)))))))))))))</f>
        <v>0</v>
      </c>
      <c r="DI201" s="536"/>
      <c r="DJ201" s="536"/>
      <c r="DK201" s="536"/>
      <c r="DL201" s="541">
        <f t="shared" ref="DL201:DL264" si="100">IF( SUM((DI201*(20/100))+(DJ201*(30/100))+(DK201*(50/100))) &gt;=9.3,9.5,
IF(AND( SUM((DI201*(20/100))+(DJ201*(30/100))+(DK201*(50/100))) &lt;=9.3, SUM((DI201*(20/100))+(DJ201*(30/100))+(DK201*(50/100))) &gt;=8.8),9,
IF(AND( SUM((DI201*(20/100))+(DJ201*(30/100))+(DK201*(50/100))) &lt;=8.8, SUM((DI201*(20/100))+(DJ201*(30/100))+(DK201*(50/100))) &gt;=8.3),8.5,
IF(AND( SUM((DI201*(20/100))+(DJ201*(30/100))+(DK201*(50/100))) &lt;=8.3, SUM((DI201*(20/100))+(DJ201*(30/100))+(DK201*(50/100))) &gt;=7.8),8,
IF(AND( SUM((DI201*(20/100))+(DJ201*(30/100))+(DK201*(50/100))) &lt;=7.8, SUM((DI201*(20/100))+(DJ201*(30/100))+(DK201*(50/100))) &gt;=7.3),7.5,
IF(AND( SUM((DI201*(20/100))+(DJ201*(30/100))+(DK201*(50/100))) &lt;=7.3, SUM((DI201*(20/100))+(DJ201*(30/100))+(DK201*(50/100))) &gt;=6.8),7,
IF(AND( SUM((DI201*(20/100))+(DJ201*(30/100))+(DK201*(50/100))) &lt;=6.8, SUM((DI201*(20/100))+(DJ201*(30/100))+(DK201*(50/100))) &gt;=6.3),6.5,
IF(AND( SUM((DI201*(20/100))+(DJ201*(30/100))+(DK201*(50/100))) &lt;=6.3, SUM((DI201*(20/100))+(DJ201*(30/100))+(DK201*(50/100))) &gt;=5.8),6,
IF(AND( SUM((DI201*(20/100))+(DJ201*(30/100))+(DK201*(50/100))) &lt;=5.8, SUM((DI201*(20/100))+(DJ201*(30/100))+(DK201*(50/100))) &gt;=5.3),5.5,
IF(AND( SUM((DI201*(20/100))+(DJ201*(30/100))+(DK201*(50/100))) &lt;=5.3, SUM((DI201*(20/100))+(DJ201*(30/100))+(DK201*(50/100))) &gt;=4.8),5,
IF(AND( SUM((DI201*(20/100))+(DJ201*(30/100))+(DK201*(50/100))) &lt;=4.8, SUM((DI201*(20/100))+(DJ201*(30/100))+(DK201*(50/100))) &gt;=4.3),4.5,
IF(AND( SUM((DI201*(20/100))+(DJ201*(30/100))+(DK201*(50/100))) &lt;=4.3, SUM((DI201*(20/100))+(DJ201*(30/100))+(DK201*(50/100))) &gt;=3.8),4,
IF(AND( SUM((DI201*(20/100))+(DJ201*(30/100))+(DK201*(50/100))) &lt;=3.8, SUM((DI201*(20/100))+(DJ201*(30/100))+(DK201*(50/100))) &gt;=3.5),3.5,0)))))))))))))</f>
        <v>0</v>
      </c>
      <c r="DM201" s="536"/>
      <c r="DN201" s="536"/>
      <c r="DO201" s="536"/>
      <c r="DP201" s="541">
        <f>IF( SUM((DJ201*(20/100))+(DK201*(30/100))+(DL201*(50/100))) &gt;=9.3,9.5,
IF(AND( SUM((DJ201*(20/100))+(DK201*(30/100))+(DL201*(50/100))) &lt;=9.3, SUM((DJ201*(20/100))+(DK201*(30/100))+(DL201*(50/100))) &gt;=8.8),9,
IF(AND( SUM((DJ201*(20/100))+(DK201*(30/100))+(DL201*(50/100))) &lt;=8.8, SUM((DJ201*(20/100))+(DK201*(30/100))+(DL201*(50/100))) &gt;=8.3),8.5,
IF(AND( SUM((DJ201*(20/100))+(DK201*(30/100))+(DL201*(50/100))) &lt;=8.3, SUM((DJ201*(20/100))+(DK201*(30/100))+(DL201*(50/100))) &gt;=7.8),8,
IF(AND( SUM((DJ201*(20/100))+(DK201*(30/100))+(DL201*(50/100))) &lt;=7.8, SUM((DJ201*(20/100))+(DK201*(30/100))+(DL201*(50/100))) &gt;=7.3),7.5,
IF(AND( SUM((DJ201*(20/100))+(DK201*(30/100))+(DL201*(50/100))) &lt;=7.3, SUM((DJ201*(20/100))+(DK201*(30/100))+(DL201*(50/100))) &gt;=6.8),7,
IF(AND( SUM((DJ201*(20/100))+(DK201*(30/100))+(DL201*(50/100))) &lt;=6.8, SUM((DJ201*(20/100))+(DK201*(30/100))+(DL201*(50/100))) &gt;=6.3),6.5,
IF(AND( SUM((DJ201*(20/100))+(DK201*(30/100))+(DL201*(50/100))) &lt;=6.3, SUM((DJ201*(20/100))+(DK201*(30/100))+(DL201*(50/100))) &gt;=5.8),6,
IF(AND( SUM((DJ201*(20/100))+(DK201*(30/100))+(DL201*(50/100))) &lt;=5.8, SUM((DJ201*(20/100))+(DK201*(30/100))+(DL201*(50/100))) &gt;=5.3),5.5,
IF(AND( SUM((DJ201*(20/100))+(DK201*(30/100))+(DL201*(50/100))) &lt;=5.3, SUM((DJ201*(20/100))+(DK201*(30/100))+(DL201*(50/100))) &gt;=4.8),5,
IF(AND( SUM((DJ201*(20/100))+(DK201*(30/100))+(DL201*(50/100))) &lt;=4.8, SUM((DJ201*(20/100))+(DK201*(30/100))+(DL201*(50/100))) &gt;=4.3),4.5,
IF(AND( SUM((DJ201*(20/100))+(DK201*(30/100))+(DL201*(50/100))) &lt;=4.3, SUM((DJ201*(20/100))+(DK201*(30/100))+(DL201*(50/100))) &gt;=3.8),4,
IF(AND( SUM((DJ201*(20/100))+(DK201*(30/100))+(DL201*(50/100))) &lt;=3.8, SUM((DJ201*(20/100))+(DK201*(30/100))+(DL201*(50/100))) &gt;=3.5),3.5,0)))))))))))))</f>
        <v>0</v>
      </c>
      <c r="DQ201" s="541"/>
      <c r="DR201" s="541"/>
      <c r="DS201" s="541"/>
      <c r="DT201" s="541"/>
      <c r="DU201" s="541"/>
      <c r="DV201" s="541"/>
      <c r="DW201" s="541"/>
      <c r="DX201" s="541"/>
      <c r="DY201" s="541"/>
      <c r="DZ201" s="541"/>
    </row>
    <row r="202" spans="2:130" x14ac:dyDescent="0.25">
      <c r="B202" s="334">
        <v>45</v>
      </c>
      <c r="C202" s="541"/>
      <c r="D202" s="334"/>
      <c r="E202" s="334"/>
      <c r="F202" s="334"/>
      <c r="G202" s="334"/>
      <c r="H202" s="334"/>
      <c r="I202" s="334"/>
      <c r="J202" s="536"/>
      <c r="K202" s="536"/>
      <c r="L202" s="536"/>
      <c r="M202" s="536"/>
      <c r="N202" s="536"/>
      <c r="O202" s="536"/>
      <c r="P202" s="536">
        <f t="shared" si="76"/>
        <v>0</v>
      </c>
      <c r="Q202" s="536"/>
      <c r="R202" s="536"/>
      <c r="S202" s="536"/>
      <c r="T202" s="536">
        <f t="shared" si="77"/>
        <v>0</v>
      </c>
      <c r="U202" s="536"/>
      <c r="V202" s="536"/>
      <c r="W202" s="536"/>
      <c r="X202" s="536">
        <f t="shared" si="78"/>
        <v>0</v>
      </c>
      <c r="Y202" s="536"/>
      <c r="Z202" s="536"/>
      <c r="AA202" s="536"/>
      <c r="AB202" s="536">
        <f t="shared" si="79"/>
        <v>0</v>
      </c>
      <c r="AC202" s="536"/>
      <c r="AD202" s="536"/>
      <c r="AE202" s="536"/>
      <c r="AF202" s="536">
        <f t="shared" si="80"/>
        <v>0</v>
      </c>
      <c r="AG202" s="536"/>
      <c r="AH202" s="536"/>
      <c r="AI202" s="536"/>
      <c r="AJ202" s="536">
        <f t="shared" si="81"/>
        <v>0</v>
      </c>
      <c r="AK202" s="536"/>
      <c r="AL202" s="536"/>
      <c r="AM202" s="536"/>
      <c r="AN202" s="542">
        <f t="shared" si="82"/>
        <v>0</v>
      </c>
      <c r="AO202" s="536"/>
      <c r="AP202" s="536"/>
      <c r="AQ202" s="536"/>
      <c r="AR202" s="542">
        <f t="shared" si="83"/>
        <v>0</v>
      </c>
      <c r="AS202" s="536"/>
      <c r="AT202" s="536"/>
      <c r="AU202" s="536"/>
      <c r="AV202" s="542">
        <f t="shared" si="84"/>
        <v>0</v>
      </c>
      <c r="AW202" s="536"/>
      <c r="AX202" s="536"/>
      <c r="AY202" s="536"/>
      <c r="AZ202" s="542">
        <f t="shared" si="85"/>
        <v>0</v>
      </c>
      <c r="BA202" s="536"/>
      <c r="BB202" s="536"/>
      <c r="BC202" s="536"/>
      <c r="BD202" s="542">
        <f t="shared" si="86"/>
        <v>0</v>
      </c>
      <c r="BE202" s="536"/>
      <c r="BF202" s="536"/>
      <c r="BG202" s="536"/>
      <c r="BH202" s="542">
        <f t="shared" si="87"/>
        <v>0</v>
      </c>
      <c r="BI202" s="536"/>
      <c r="BJ202" s="536"/>
      <c r="BK202" s="536"/>
      <c r="BL202" s="542">
        <f t="shared" si="88"/>
        <v>0</v>
      </c>
      <c r="BM202" s="536"/>
      <c r="BN202" s="536"/>
      <c r="BO202" s="536"/>
      <c r="BP202" s="542">
        <f t="shared" si="89"/>
        <v>0</v>
      </c>
      <c r="BQ202" s="536"/>
      <c r="BR202" s="536"/>
      <c r="BS202" s="536"/>
      <c r="BT202" s="542">
        <f t="shared" si="90"/>
        <v>0</v>
      </c>
      <c r="BU202" s="536"/>
      <c r="BV202" s="536"/>
      <c r="BW202" s="536"/>
      <c r="BX202" s="542">
        <f t="shared" si="91"/>
        <v>0</v>
      </c>
      <c r="BY202" s="536"/>
      <c r="BZ202" s="536"/>
      <c r="CA202" s="536"/>
      <c r="CB202" s="542">
        <v>0</v>
      </c>
      <c r="CC202" s="536"/>
      <c r="CD202" s="536"/>
      <c r="CE202" s="536"/>
      <c r="CF202" s="541">
        <f t="shared" si="92"/>
        <v>0</v>
      </c>
      <c r="CG202" s="536"/>
      <c r="CH202" s="536"/>
      <c r="CI202" s="536"/>
      <c r="CJ202" s="541">
        <f t="shared" si="93"/>
        <v>0</v>
      </c>
      <c r="CK202" s="536"/>
      <c r="CL202" s="536"/>
      <c r="CM202" s="536"/>
      <c r="CN202" s="541">
        <f t="shared" si="94"/>
        <v>0</v>
      </c>
      <c r="CO202" s="536"/>
      <c r="CP202" s="536"/>
      <c r="CQ202" s="536"/>
      <c r="CR202" s="541">
        <f t="shared" si="95"/>
        <v>0</v>
      </c>
      <c r="CS202" s="536"/>
      <c r="CT202" s="536"/>
      <c r="CU202" s="536"/>
      <c r="CV202" s="541">
        <f t="shared" si="96"/>
        <v>0</v>
      </c>
      <c r="CW202" s="536"/>
      <c r="CX202" s="536"/>
      <c r="CY202" s="536"/>
      <c r="CZ202" s="541">
        <f t="shared" si="97"/>
        <v>0</v>
      </c>
      <c r="DA202" s="536"/>
      <c r="DB202" s="536"/>
      <c r="DC202" s="536"/>
      <c r="DD202" s="541">
        <f t="shared" si="98"/>
        <v>0</v>
      </c>
      <c r="DE202" s="536"/>
      <c r="DF202" s="536"/>
      <c r="DG202" s="536"/>
      <c r="DH202" s="541">
        <f t="shared" si="99"/>
        <v>0</v>
      </c>
      <c r="DI202" s="536"/>
      <c r="DJ202" s="536"/>
      <c r="DK202" s="536"/>
      <c r="DL202" s="541">
        <f t="shared" si="100"/>
        <v>0</v>
      </c>
      <c r="DM202" s="536"/>
      <c r="DN202" s="536"/>
      <c r="DO202" s="536"/>
      <c r="DP202" s="541">
        <f>IF( SUM((DJ202*(20/100))+(DK202*(30/100))+(DL202*(50/100))) &gt;=9.3,9.5,
IF(AND( SUM((DJ202*(20/100))+(DK202*(30/100))+(DL202*(50/100))) &lt;=9.3, SUM((DJ202*(20/100))+(DK202*(30/100))+(DL202*(50/100))) &gt;=8.8),9,
IF(AND( SUM((DJ202*(20/100))+(DK202*(30/100))+(DL202*(50/100))) &lt;=8.8, SUM((DJ202*(20/100))+(DK202*(30/100))+(DL202*(50/100))) &gt;=8.3),8.5,
IF(AND( SUM((DJ202*(20/100))+(DK202*(30/100))+(DL202*(50/100))) &lt;=8.3, SUM((DJ202*(20/100))+(DK202*(30/100))+(DL202*(50/100))) &gt;=7.8),8,
IF(AND( SUM((DJ202*(20/100))+(DK202*(30/100))+(DL202*(50/100))) &lt;=7.8, SUM((DJ202*(20/100))+(DK202*(30/100))+(DL202*(50/100))) &gt;=7.3),7.5,
IF(AND( SUM((DJ202*(20/100))+(DK202*(30/100))+(DL202*(50/100))) &lt;=7.3, SUM((DJ202*(20/100))+(DK202*(30/100))+(DL202*(50/100))) &gt;=6.8),7,
IF(AND( SUM((DJ202*(20/100))+(DK202*(30/100))+(DL202*(50/100))) &lt;=6.8, SUM((DJ202*(20/100))+(DK202*(30/100))+(DL202*(50/100))) &gt;=6.3),6.5,
IF(AND( SUM((DJ202*(20/100))+(DK202*(30/100))+(DL202*(50/100))) &lt;=6.3, SUM((DJ202*(20/100))+(DK202*(30/100))+(DL202*(50/100))) &gt;=5.8),6,
IF(AND( SUM((DJ202*(20/100))+(DK202*(30/100))+(DL202*(50/100))) &lt;=5.8, SUM((DJ202*(20/100))+(DK202*(30/100))+(DL202*(50/100))) &gt;=5.3),5.5,
IF(AND( SUM((DJ202*(20/100))+(DK202*(30/100))+(DL202*(50/100))) &lt;=5.3, SUM((DJ202*(20/100))+(DK202*(30/100))+(DL202*(50/100))) &gt;=4.8),5,
IF(AND( SUM((DJ202*(20/100))+(DK202*(30/100))+(DL202*(50/100))) &lt;=4.8, SUM((DJ202*(20/100))+(DK202*(30/100))+(DL202*(50/100))) &gt;=4.3),4.5,
IF(AND( SUM((DJ202*(20/100))+(DK202*(30/100))+(DL202*(50/100))) &lt;=4.3, SUM((DJ202*(20/100))+(DK202*(30/100))+(DL202*(50/100))) &gt;=3.8),4,
IF(AND( SUM((DJ202*(20/100))+(DK202*(30/100))+(DL202*(50/100))) &lt;=3.8, SUM((DJ202*(20/100))+(DK202*(30/100))+(DL202*(50/100))) &gt;=3.5),3.5,0)))))))))))))</f>
        <v>0</v>
      </c>
      <c r="DQ202" s="541"/>
      <c r="DR202" s="541"/>
      <c r="DS202" s="541"/>
      <c r="DT202" s="541"/>
      <c r="DU202" s="541"/>
      <c r="DV202" s="541"/>
      <c r="DW202" s="541"/>
      <c r="DX202" s="541"/>
      <c r="DY202" s="541"/>
      <c r="DZ202" s="541"/>
    </row>
    <row r="203" spans="2:130" x14ac:dyDescent="0.25">
      <c r="B203" s="334">
        <v>46</v>
      </c>
      <c r="C203" s="541"/>
      <c r="D203" s="334"/>
      <c r="E203" s="334"/>
      <c r="F203" s="334"/>
      <c r="G203" s="334"/>
      <c r="H203" s="334"/>
      <c r="I203" s="334"/>
      <c r="J203" s="536"/>
      <c r="K203" s="536"/>
      <c r="L203" s="536"/>
      <c r="M203" s="536"/>
      <c r="N203" s="536"/>
      <c r="O203" s="536"/>
      <c r="P203" s="536">
        <f t="shared" si="76"/>
        <v>0</v>
      </c>
      <c r="Q203" s="536"/>
      <c r="R203" s="536"/>
      <c r="S203" s="536"/>
      <c r="T203" s="536">
        <f t="shared" si="77"/>
        <v>0</v>
      </c>
      <c r="U203" s="536"/>
      <c r="V203" s="536"/>
      <c r="W203" s="536"/>
      <c r="X203" s="536">
        <f t="shared" si="78"/>
        <v>0</v>
      </c>
      <c r="Y203" s="536"/>
      <c r="Z203" s="536"/>
      <c r="AA203" s="536"/>
      <c r="AB203" s="536">
        <f t="shared" si="79"/>
        <v>0</v>
      </c>
      <c r="AC203" s="536"/>
      <c r="AD203" s="536"/>
      <c r="AE203" s="536"/>
      <c r="AF203" s="536">
        <f t="shared" si="80"/>
        <v>0</v>
      </c>
      <c r="AG203" s="536"/>
      <c r="AH203" s="536"/>
      <c r="AI203" s="536"/>
      <c r="AJ203" s="536">
        <f t="shared" si="81"/>
        <v>0</v>
      </c>
      <c r="AK203" s="536"/>
      <c r="AL203" s="536"/>
      <c r="AM203" s="536"/>
      <c r="AN203" s="542">
        <f t="shared" si="82"/>
        <v>0</v>
      </c>
      <c r="AO203" s="536"/>
      <c r="AP203" s="536"/>
      <c r="AQ203" s="536"/>
      <c r="AR203" s="542">
        <f t="shared" si="83"/>
        <v>0</v>
      </c>
      <c r="AS203" s="536"/>
      <c r="AT203" s="536"/>
      <c r="AU203" s="536"/>
      <c r="AV203" s="542">
        <f t="shared" si="84"/>
        <v>0</v>
      </c>
      <c r="AW203" s="536"/>
      <c r="AX203" s="536"/>
      <c r="AY203" s="536"/>
      <c r="AZ203" s="542">
        <f t="shared" si="85"/>
        <v>0</v>
      </c>
      <c r="BA203" s="536"/>
      <c r="BB203" s="536"/>
      <c r="BC203" s="536"/>
      <c r="BD203" s="542">
        <f t="shared" si="86"/>
        <v>0</v>
      </c>
      <c r="BE203" s="536"/>
      <c r="BF203" s="536"/>
      <c r="BG203" s="536"/>
      <c r="BH203" s="542">
        <f t="shared" si="87"/>
        <v>0</v>
      </c>
      <c r="BI203" s="536"/>
      <c r="BJ203" s="536"/>
      <c r="BK203" s="536"/>
      <c r="BL203" s="542">
        <f t="shared" si="88"/>
        <v>0</v>
      </c>
      <c r="BM203" s="536"/>
      <c r="BN203" s="536"/>
      <c r="BO203" s="536"/>
      <c r="BP203" s="542">
        <f t="shared" si="89"/>
        <v>0</v>
      </c>
      <c r="BQ203" s="536"/>
      <c r="BR203" s="536"/>
      <c r="BS203" s="536"/>
      <c r="BT203" s="542">
        <f t="shared" si="90"/>
        <v>0</v>
      </c>
      <c r="BU203" s="536"/>
      <c r="BV203" s="536"/>
      <c r="BW203" s="536"/>
      <c r="BX203" s="542">
        <f t="shared" si="91"/>
        <v>0</v>
      </c>
      <c r="BY203" s="536"/>
      <c r="BZ203" s="536"/>
      <c r="CA203" s="536"/>
      <c r="CB203" s="542">
        <v>0</v>
      </c>
      <c r="CC203" s="536"/>
      <c r="CD203" s="536"/>
      <c r="CE203" s="536"/>
      <c r="CF203" s="541">
        <f t="shared" si="92"/>
        <v>0</v>
      </c>
      <c r="CG203" s="536"/>
      <c r="CH203" s="536"/>
      <c r="CI203" s="536"/>
      <c r="CJ203" s="541">
        <f t="shared" si="93"/>
        <v>0</v>
      </c>
      <c r="CK203" s="536"/>
      <c r="CL203" s="536"/>
      <c r="CM203" s="536"/>
      <c r="CN203" s="541">
        <f t="shared" si="94"/>
        <v>0</v>
      </c>
      <c r="CO203" s="536"/>
      <c r="CP203" s="536"/>
      <c r="CQ203" s="536"/>
      <c r="CR203" s="541">
        <f t="shared" si="95"/>
        <v>0</v>
      </c>
      <c r="CS203" s="536"/>
      <c r="CT203" s="536"/>
      <c r="CU203" s="536"/>
      <c r="CV203" s="541">
        <f t="shared" si="96"/>
        <v>0</v>
      </c>
      <c r="CW203" s="536"/>
      <c r="CX203" s="536"/>
      <c r="CY203" s="536"/>
      <c r="CZ203" s="541">
        <f t="shared" si="97"/>
        <v>0</v>
      </c>
      <c r="DA203" s="536"/>
      <c r="DB203" s="536"/>
      <c r="DC203" s="536"/>
      <c r="DD203" s="541">
        <f t="shared" si="98"/>
        <v>0</v>
      </c>
      <c r="DE203" s="536"/>
      <c r="DF203" s="536"/>
      <c r="DG203" s="536"/>
      <c r="DH203" s="541">
        <f t="shared" si="99"/>
        <v>0</v>
      </c>
      <c r="DI203" s="536"/>
      <c r="DJ203" s="536"/>
      <c r="DK203" s="536"/>
      <c r="DL203" s="541">
        <f t="shared" si="100"/>
        <v>0</v>
      </c>
      <c r="DM203" s="536"/>
      <c r="DN203" s="536"/>
      <c r="DO203" s="536"/>
      <c r="DP203" s="541">
        <f>IF( SUM((DJ203*(20/100))+(DK203*(30/100))+(DL203*(50/100))) &gt;=9.3,9.5,
IF(AND( SUM((DJ203*(20/100))+(DK203*(30/100))+(DL203*(50/100))) &lt;=9.3, SUM((DJ203*(20/100))+(DK203*(30/100))+(DL203*(50/100))) &gt;=8.8),9,
IF(AND( SUM((DJ203*(20/100))+(DK203*(30/100))+(DL203*(50/100))) &lt;=8.8, SUM((DJ203*(20/100))+(DK203*(30/100))+(DL203*(50/100))) &gt;=8.3),8.5,
IF(AND( SUM((DJ203*(20/100))+(DK203*(30/100))+(DL203*(50/100))) &lt;=8.3, SUM((DJ203*(20/100))+(DK203*(30/100))+(DL203*(50/100))) &gt;=7.8),8,
IF(AND( SUM((DJ203*(20/100))+(DK203*(30/100))+(DL203*(50/100))) &lt;=7.8, SUM((DJ203*(20/100))+(DK203*(30/100))+(DL203*(50/100))) &gt;=7.3),7.5,
IF(AND( SUM((DJ203*(20/100))+(DK203*(30/100))+(DL203*(50/100))) &lt;=7.3, SUM((DJ203*(20/100))+(DK203*(30/100))+(DL203*(50/100))) &gt;=6.8),7,
IF(AND( SUM((DJ203*(20/100))+(DK203*(30/100))+(DL203*(50/100))) &lt;=6.8, SUM((DJ203*(20/100))+(DK203*(30/100))+(DL203*(50/100))) &gt;=6.3),6.5,
IF(AND( SUM((DJ203*(20/100))+(DK203*(30/100))+(DL203*(50/100))) &lt;=6.3, SUM((DJ203*(20/100))+(DK203*(30/100))+(DL203*(50/100))) &gt;=5.8),6,
IF(AND( SUM((DJ203*(20/100))+(DK203*(30/100))+(DL203*(50/100))) &lt;=5.8, SUM((DJ203*(20/100))+(DK203*(30/100))+(DL203*(50/100))) &gt;=5.3),5.5,
IF(AND( SUM((DJ203*(20/100))+(DK203*(30/100))+(DL203*(50/100))) &lt;=5.3, SUM((DJ203*(20/100))+(DK203*(30/100))+(DL203*(50/100))) &gt;=4.8),5,
IF(AND( SUM((DJ203*(20/100))+(DK203*(30/100))+(DL203*(50/100))) &lt;=4.8, SUM((DJ203*(20/100))+(DK203*(30/100))+(DL203*(50/100))) &gt;=4.3),4.5,
IF(AND( SUM((DJ203*(20/100))+(DK203*(30/100))+(DL203*(50/100))) &lt;=4.3, SUM((DJ203*(20/100))+(DK203*(30/100))+(DL203*(50/100))) &gt;=3.8),4,
IF(AND( SUM((DJ203*(20/100))+(DK203*(30/100))+(DL203*(50/100))) &lt;=3.8, SUM((DJ203*(20/100))+(DK203*(30/100))+(DL203*(50/100))) &gt;=3.5),3.5,0)))))))))))))</f>
        <v>0</v>
      </c>
      <c r="DQ203" s="541"/>
      <c r="DR203" s="541"/>
      <c r="DS203" s="541"/>
      <c r="DT203" s="541"/>
      <c r="DU203" s="541"/>
      <c r="DV203" s="541"/>
      <c r="DW203" s="541"/>
      <c r="DX203" s="541"/>
      <c r="DY203" s="541"/>
      <c r="DZ203" s="541"/>
    </row>
    <row r="204" spans="2:130" x14ac:dyDescent="0.25">
      <c r="B204" s="334">
        <v>47</v>
      </c>
      <c r="C204" s="541"/>
      <c r="D204" s="334"/>
      <c r="E204" s="334"/>
      <c r="F204" s="334"/>
      <c r="G204" s="334"/>
      <c r="H204" s="334"/>
      <c r="I204" s="334"/>
      <c r="J204" s="536"/>
      <c r="K204" s="536"/>
      <c r="L204" s="536"/>
      <c r="M204" s="536"/>
      <c r="N204" s="536"/>
      <c r="O204" s="536"/>
      <c r="P204" s="536">
        <f t="shared" si="76"/>
        <v>0</v>
      </c>
      <c r="Q204" s="536"/>
      <c r="R204" s="536"/>
      <c r="S204" s="536"/>
      <c r="T204" s="536">
        <f t="shared" si="77"/>
        <v>0</v>
      </c>
      <c r="U204" s="536"/>
      <c r="V204" s="536"/>
      <c r="W204" s="536"/>
      <c r="X204" s="536">
        <f t="shared" si="78"/>
        <v>0</v>
      </c>
      <c r="Y204" s="536"/>
      <c r="Z204" s="536"/>
      <c r="AA204" s="536"/>
      <c r="AB204" s="536">
        <f t="shared" si="79"/>
        <v>0</v>
      </c>
      <c r="AC204" s="536"/>
      <c r="AD204" s="536"/>
      <c r="AE204" s="536"/>
      <c r="AF204" s="536">
        <f t="shared" si="80"/>
        <v>0</v>
      </c>
      <c r="AG204" s="536"/>
      <c r="AH204" s="536"/>
      <c r="AI204" s="536"/>
      <c r="AJ204" s="536">
        <f t="shared" si="81"/>
        <v>0</v>
      </c>
      <c r="AK204" s="536"/>
      <c r="AL204" s="536"/>
      <c r="AM204" s="536"/>
      <c r="AN204" s="542">
        <f t="shared" si="82"/>
        <v>0</v>
      </c>
      <c r="AO204" s="536"/>
      <c r="AP204" s="536"/>
      <c r="AQ204" s="536"/>
      <c r="AR204" s="542">
        <f t="shared" si="83"/>
        <v>0</v>
      </c>
      <c r="AS204" s="536"/>
      <c r="AT204" s="536"/>
      <c r="AU204" s="536"/>
      <c r="AV204" s="542">
        <f t="shared" si="84"/>
        <v>0</v>
      </c>
      <c r="AW204" s="536"/>
      <c r="AX204" s="536"/>
      <c r="AY204" s="536"/>
      <c r="AZ204" s="542">
        <f t="shared" si="85"/>
        <v>0</v>
      </c>
      <c r="BA204" s="536"/>
      <c r="BB204" s="536"/>
      <c r="BC204" s="536"/>
      <c r="BD204" s="542">
        <f t="shared" si="86"/>
        <v>0</v>
      </c>
      <c r="BE204" s="536"/>
      <c r="BF204" s="536"/>
      <c r="BG204" s="536"/>
      <c r="BH204" s="542">
        <f t="shared" si="87"/>
        <v>0</v>
      </c>
      <c r="BI204" s="536"/>
      <c r="BJ204" s="536"/>
      <c r="BK204" s="536"/>
      <c r="BL204" s="542">
        <f t="shared" si="88"/>
        <v>0</v>
      </c>
      <c r="BM204" s="536"/>
      <c r="BN204" s="536"/>
      <c r="BO204" s="536"/>
      <c r="BP204" s="542">
        <f t="shared" si="89"/>
        <v>0</v>
      </c>
      <c r="BQ204" s="536"/>
      <c r="BR204" s="536"/>
      <c r="BS204" s="536"/>
      <c r="BT204" s="542">
        <f t="shared" si="90"/>
        <v>0</v>
      </c>
      <c r="BU204" s="536"/>
      <c r="BV204" s="536"/>
      <c r="BW204" s="536"/>
      <c r="BX204" s="542">
        <f t="shared" si="91"/>
        <v>0</v>
      </c>
      <c r="BY204" s="536"/>
      <c r="BZ204" s="536"/>
      <c r="CA204" s="536"/>
      <c r="CB204" s="542">
        <v>0</v>
      </c>
      <c r="CC204" s="536"/>
      <c r="CD204" s="536"/>
      <c r="CE204" s="536"/>
      <c r="CF204" s="541">
        <f t="shared" si="92"/>
        <v>0</v>
      </c>
      <c r="CG204" s="536"/>
      <c r="CH204" s="536"/>
      <c r="CI204" s="536"/>
      <c r="CJ204" s="541">
        <f t="shared" si="93"/>
        <v>0</v>
      </c>
      <c r="CK204" s="536"/>
      <c r="CL204" s="536"/>
      <c r="CM204" s="536"/>
      <c r="CN204" s="541">
        <f t="shared" si="94"/>
        <v>0</v>
      </c>
      <c r="CO204" s="536"/>
      <c r="CP204" s="536"/>
      <c r="CQ204" s="536"/>
      <c r="CR204" s="541">
        <f t="shared" si="95"/>
        <v>0</v>
      </c>
      <c r="CS204" s="536"/>
      <c r="CT204" s="536"/>
      <c r="CU204" s="536"/>
      <c r="CV204" s="541">
        <f t="shared" si="96"/>
        <v>0</v>
      </c>
      <c r="CW204" s="536"/>
      <c r="CX204" s="536"/>
      <c r="CY204" s="536"/>
      <c r="CZ204" s="541">
        <f t="shared" si="97"/>
        <v>0</v>
      </c>
      <c r="DA204" s="536"/>
      <c r="DB204" s="536"/>
      <c r="DC204" s="536"/>
      <c r="DD204" s="541">
        <f t="shared" si="98"/>
        <v>0</v>
      </c>
      <c r="DE204" s="536"/>
      <c r="DF204" s="536"/>
      <c r="DG204" s="536"/>
      <c r="DH204" s="541">
        <f t="shared" si="99"/>
        <v>0</v>
      </c>
      <c r="DI204" s="536"/>
      <c r="DJ204" s="536"/>
      <c r="DK204" s="536"/>
      <c r="DL204" s="541">
        <f t="shared" si="100"/>
        <v>0</v>
      </c>
      <c r="DM204" s="536"/>
      <c r="DN204" s="536"/>
      <c r="DO204" s="536"/>
      <c r="DP204" s="541">
        <f>IF( SUM((DJ204*(20/100))+(DK204*(30/100))+(DL204*(50/100))) &gt;=9.3,9.5,
IF(AND( SUM((DJ204*(20/100))+(DK204*(30/100))+(DL204*(50/100))) &lt;=9.3, SUM((DJ204*(20/100))+(DK204*(30/100))+(DL204*(50/100))) &gt;=8.8),9,
IF(AND( SUM((DJ204*(20/100))+(DK204*(30/100))+(DL204*(50/100))) &lt;=8.8, SUM((DJ204*(20/100))+(DK204*(30/100))+(DL204*(50/100))) &gt;=8.3),8.5,
IF(AND( SUM((DJ204*(20/100))+(DK204*(30/100))+(DL204*(50/100))) &lt;=8.3, SUM((DJ204*(20/100))+(DK204*(30/100))+(DL204*(50/100))) &gt;=7.8),8,
IF(AND( SUM((DJ204*(20/100))+(DK204*(30/100))+(DL204*(50/100))) &lt;=7.8, SUM((DJ204*(20/100))+(DK204*(30/100))+(DL204*(50/100))) &gt;=7.3),7.5,
IF(AND( SUM((DJ204*(20/100))+(DK204*(30/100))+(DL204*(50/100))) &lt;=7.3, SUM((DJ204*(20/100))+(DK204*(30/100))+(DL204*(50/100))) &gt;=6.8),7,
IF(AND( SUM((DJ204*(20/100))+(DK204*(30/100))+(DL204*(50/100))) &lt;=6.8, SUM((DJ204*(20/100))+(DK204*(30/100))+(DL204*(50/100))) &gt;=6.3),6.5,
IF(AND( SUM((DJ204*(20/100))+(DK204*(30/100))+(DL204*(50/100))) &lt;=6.3, SUM((DJ204*(20/100))+(DK204*(30/100))+(DL204*(50/100))) &gt;=5.8),6,
IF(AND( SUM((DJ204*(20/100))+(DK204*(30/100))+(DL204*(50/100))) &lt;=5.8, SUM((DJ204*(20/100))+(DK204*(30/100))+(DL204*(50/100))) &gt;=5.3),5.5,
IF(AND( SUM((DJ204*(20/100))+(DK204*(30/100))+(DL204*(50/100))) &lt;=5.3, SUM((DJ204*(20/100))+(DK204*(30/100))+(DL204*(50/100))) &gt;=4.8),5,
IF(AND( SUM((DJ204*(20/100))+(DK204*(30/100))+(DL204*(50/100))) &lt;=4.8, SUM((DJ204*(20/100))+(DK204*(30/100))+(DL204*(50/100))) &gt;=4.3),4.5,
IF(AND( SUM((DJ204*(20/100))+(DK204*(30/100))+(DL204*(50/100))) &lt;=4.3, SUM((DJ204*(20/100))+(DK204*(30/100))+(DL204*(50/100))) &gt;=3.8),4,
IF(AND( SUM((DJ204*(20/100))+(DK204*(30/100))+(DL204*(50/100))) &lt;=3.8, SUM((DJ204*(20/100))+(DK204*(30/100))+(DL204*(50/100))) &gt;=3.5),3.5,0)))))))))))))</f>
        <v>0</v>
      </c>
      <c r="DQ204" s="541"/>
      <c r="DR204" s="541"/>
      <c r="DS204" s="541"/>
      <c r="DT204" s="541"/>
      <c r="DU204" s="541"/>
      <c r="DV204" s="541"/>
      <c r="DW204" s="541"/>
      <c r="DX204" s="541"/>
      <c r="DY204" s="541"/>
      <c r="DZ204" s="541"/>
    </row>
    <row r="205" spans="2:130" x14ac:dyDescent="0.25">
      <c r="B205" s="334">
        <v>48</v>
      </c>
      <c r="C205" s="541"/>
      <c r="D205" s="334"/>
      <c r="E205" s="334"/>
      <c r="F205" s="334"/>
      <c r="G205" s="334"/>
      <c r="H205" s="334"/>
      <c r="I205" s="334"/>
      <c r="J205" s="536"/>
      <c r="K205" s="536"/>
      <c r="L205" s="536"/>
      <c r="M205" s="536"/>
      <c r="N205" s="536"/>
      <c r="O205" s="536"/>
      <c r="P205" s="536">
        <f t="shared" si="76"/>
        <v>0</v>
      </c>
      <c r="Q205" s="536"/>
      <c r="R205" s="536"/>
      <c r="S205" s="536"/>
      <c r="T205" s="536">
        <f t="shared" si="77"/>
        <v>0</v>
      </c>
      <c r="U205" s="536"/>
      <c r="V205" s="536"/>
      <c r="W205" s="536"/>
      <c r="X205" s="536">
        <f t="shared" si="78"/>
        <v>0</v>
      </c>
      <c r="Y205" s="536"/>
      <c r="Z205" s="536"/>
      <c r="AA205" s="536"/>
      <c r="AB205" s="536">
        <f t="shared" si="79"/>
        <v>0</v>
      </c>
      <c r="AC205" s="536"/>
      <c r="AD205" s="536"/>
      <c r="AE205" s="536"/>
      <c r="AF205" s="536">
        <f t="shared" si="80"/>
        <v>0</v>
      </c>
      <c r="AG205" s="536"/>
      <c r="AH205" s="536"/>
      <c r="AI205" s="536"/>
      <c r="AJ205" s="536">
        <f t="shared" si="81"/>
        <v>0</v>
      </c>
      <c r="AK205" s="536"/>
      <c r="AL205" s="536"/>
      <c r="AM205" s="536"/>
      <c r="AN205" s="542">
        <f t="shared" si="82"/>
        <v>0</v>
      </c>
      <c r="AO205" s="536"/>
      <c r="AP205" s="536"/>
      <c r="AQ205" s="536"/>
      <c r="AR205" s="542">
        <f t="shared" si="83"/>
        <v>0</v>
      </c>
      <c r="AS205" s="536"/>
      <c r="AT205" s="536"/>
      <c r="AU205" s="536"/>
      <c r="AV205" s="542">
        <f t="shared" si="84"/>
        <v>0</v>
      </c>
      <c r="AW205" s="536"/>
      <c r="AX205" s="536"/>
      <c r="AY205" s="536"/>
      <c r="AZ205" s="542">
        <f t="shared" si="85"/>
        <v>0</v>
      </c>
      <c r="BA205" s="536"/>
      <c r="BB205" s="536"/>
      <c r="BC205" s="536"/>
      <c r="BD205" s="542">
        <f t="shared" si="86"/>
        <v>0</v>
      </c>
      <c r="BE205" s="536"/>
      <c r="BF205" s="536"/>
      <c r="BG205" s="536"/>
      <c r="BH205" s="542">
        <f t="shared" si="87"/>
        <v>0</v>
      </c>
      <c r="BI205" s="536"/>
      <c r="BJ205" s="536"/>
      <c r="BK205" s="536"/>
      <c r="BL205" s="542">
        <f t="shared" si="88"/>
        <v>0</v>
      </c>
      <c r="BM205" s="536"/>
      <c r="BN205" s="536"/>
      <c r="BO205" s="536"/>
      <c r="BP205" s="542">
        <f t="shared" si="89"/>
        <v>0</v>
      </c>
      <c r="BQ205" s="536"/>
      <c r="BR205" s="536"/>
      <c r="BS205" s="536"/>
      <c r="BT205" s="542">
        <f t="shared" si="90"/>
        <v>0</v>
      </c>
      <c r="BU205" s="536"/>
      <c r="BV205" s="536"/>
      <c r="BW205" s="536"/>
      <c r="BX205" s="542">
        <f t="shared" si="91"/>
        <v>0</v>
      </c>
      <c r="BY205" s="536"/>
      <c r="BZ205" s="536"/>
      <c r="CA205" s="536"/>
      <c r="CB205" s="542">
        <v>0</v>
      </c>
      <c r="CC205" s="536"/>
      <c r="CD205" s="536"/>
      <c r="CE205" s="536"/>
      <c r="CF205" s="541">
        <f t="shared" si="92"/>
        <v>0</v>
      </c>
      <c r="CG205" s="536"/>
      <c r="CH205" s="536"/>
      <c r="CI205" s="536"/>
      <c r="CJ205" s="541">
        <f t="shared" si="93"/>
        <v>0</v>
      </c>
      <c r="CK205" s="536"/>
      <c r="CL205" s="536"/>
      <c r="CM205" s="536"/>
      <c r="CN205" s="541">
        <f t="shared" si="94"/>
        <v>0</v>
      </c>
      <c r="CO205" s="536"/>
      <c r="CP205" s="536"/>
      <c r="CQ205" s="536"/>
      <c r="CR205" s="541">
        <f t="shared" si="95"/>
        <v>0</v>
      </c>
      <c r="CS205" s="536"/>
      <c r="CT205" s="536"/>
      <c r="CU205" s="536"/>
      <c r="CV205" s="541">
        <f t="shared" si="96"/>
        <v>0</v>
      </c>
      <c r="CW205" s="536"/>
      <c r="CX205" s="536"/>
      <c r="CY205" s="536"/>
      <c r="CZ205" s="541">
        <f t="shared" si="97"/>
        <v>0</v>
      </c>
      <c r="DA205" s="536"/>
      <c r="DB205" s="536"/>
      <c r="DC205" s="536"/>
      <c r="DD205" s="541">
        <f t="shared" si="98"/>
        <v>0</v>
      </c>
      <c r="DE205" s="536"/>
      <c r="DF205" s="536"/>
      <c r="DG205" s="536"/>
      <c r="DH205" s="541">
        <f t="shared" si="99"/>
        <v>0</v>
      </c>
      <c r="DI205" s="536"/>
      <c r="DJ205" s="536"/>
      <c r="DK205" s="536"/>
      <c r="DL205" s="541">
        <f t="shared" si="100"/>
        <v>0</v>
      </c>
      <c r="DM205" s="536"/>
      <c r="DN205" s="536"/>
      <c r="DO205" s="536"/>
      <c r="DP205" s="541">
        <f>IF( SUM((DJ205*(20/100))+(DK205*(30/100))+(DL205*(50/100))) &gt;=9.3,9.5,
IF(AND( SUM((DJ205*(20/100))+(DK205*(30/100))+(DL205*(50/100))) &lt;=9.3, SUM((DJ205*(20/100))+(DK205*(30/100))+(DL205*(50/100))) &gt;=8.8),9,
IF(AND( SUM((DJ205*(20/100))+(DK205*(30/100))+(DL205*(50/100))) &lt;=8.8, SUM((DJ205*(20/100))+(DK205*(30/100))+(DL205*(50/100))) &gt;=8.3),8.5,
IF(AND( SUM((DJ205*(20/100))+(DK205*(30/100))+(DL205*(50/100))) &lt;=8.3, SUM((DJ205*(20/100))+(DK205*(30/100))+(DL205*(50/100))) &gt;=7.8),8,
IF(AND( SUM((DJ205*(20/100))+(DK205*(30/100))+(DL205*(50/100))) &lt;=7.8, SUM((DJ205*(20/100))+(DK205*(30/100))+(DL205*(50/100))) &gt;=7.3),7.5,
IF(AND( SUM((DJ205*(20/100))+(DK205*(30/100))+(DL205*(50/100))) &lt;=7.3, SUM((DJ205*(20/100))+(DK205*(30/100))+(DL205*(50/100))) &gt;=6.8),7,
IF(AND( SUM((DJ205*(20/100))+(DK205*(30/100))+(DL205*(50/100))) &lt;=6.8, SUM((DJ205*(20/100))+(DK205*(30/100))+(DL205*(50/100))) &gt;=6.3),6.5,
IF(AND( SUM((DJ205*(20/100))+(DK205*(30/100))+(DL205*(50/100))) &lt;=6.3, SUM((DJ205*(20/100))+(DK205*(30/100))+(DL205*(50/100))) &gt;=5.8),6,
IF(AND( SUM((DJ205*(20/100))+(DK205*(30/100))+(DL205*(50/100))) &lt;=5.8, SUM((DJ205*(20/100))+(DK205*(30/100))+(DL205*(50/100))) &gt;=5.3),5.5,
IF(AND( SUM((DJ205*(20/100))+(DK205*(30/100))+(DL205*(50/100))) &lt;=5.3, SUM((DJ205*(20/100))+(DK205*(30/100))+(DL205*(50/100))) &gt;=4.8),5,
IF(AND( SUM((DJ205*(20/100))+(DK205*(30/100))+(DL205*(50/100))) &lt;=4.8, SUM((DJ205*(20/100))+(DK205*(30/100))+(DL205*(50/100))) &gt;=4.3),4.5,
IF(AND( SUM((DJ205*(20/100))+(DK205*(30/100))+(DL205*(50/100))) &lt;=4.3, SUM((DJ205*(20/100))+(DK205*(30/100))+(DL205*(50/100))) &gt;=3.8),4,
IF(AND( SUM((DJ205*(20/100))+(DK205*(30/100))+(DL205*(50/100))) &lt;=3.8, SUM((DJ205*(20/100))+(DK205*(30/100))+(DL205*(50/100))) &gt;=3.5),3.5,0)))))))))))))</f>
        <v>0</v>
      </c>
      <c r="DQ205" s="541"/>
      <c r="DR205" s="541"/>
      <c r="DS205" s="541"/>
      <c r="DT205" s="541"/>
      <c r="DU205" s="541"/>
      <c r="DV205" s="541"/>
      <c r="DW205" s="541"/>
      <c r="DX205" s="541"/>
      <c r="DY205" s="541"/>
      <c r="DZ205" s="541"/>
    </row>
    <row r="206" spans="2:130" x14ac:dyDescent="0.25">
      <c r="B206" s="334">
        <v>49</v>
      </c>
      <c r="C206" s="541"/>
      <c r="D206" s="334"/>
      <c r="E206" s="334"/>
      <c r="F206" s="334"/>
      <c r="G206" s="334"/>
      <c r="H206" s="334"/>
      <c r="I206" s="334"/>
      <c r="J206" s="536"/>
      <c r="K206" s="536"/>
      <c r="L206" s="536"/>
      <c r="M206" s="536"/>
      <c r="N206" s="536"/>
      <c r="O206" s="536"/>
      <c r="P206" s="536">
        <f t="shared" si="76"/>
        <v>0</v>
      </c>
      <c r="Q206" s="536"/>
      <c r="R206" s="536"/>
      <c r="S206" s="536"/>
      <c r="T206" s="536">
        <f t="shared" si="77"/>
        <v>0</v>
      </c>
      <c r="U206" s="536"/>
      <c r="V206" s="536"/>
      <c r="W206" s="536"/>
      <c r="X206" s="536">
        <f t="shared" si="78"/>
        <v>0</v>
      </c>
      <c r="Y206" s="536"/>
      <c r="Z206" s="536"/>
      <c r="AA206" s="536"/>
      <c r="AB206" s="536">
        <f t="shared" si="79"/>
        <v>0</v>
      </c>
      <c r="AC206" s="536"/>
      <c r="AD206" s="536"/>
      <c r="AE206" s="536"/>
      <c r="AF206" s="536">
        <f t="shared" si="80"/>
        <v>0</v>
      </c>
      <c r="AG206" s="536"/>
      <c r="AH206" s="536"/>
      <c r="AI206" s="536"/>
      <c r="AJ206" s="536">
        <f t="shared" si="81"/>
        <v>0</v>
      </c>
      <c r="AK206" s="536"/>
      <c r="AL206" s="536"/>
      <c r="AM206" s="536"/>
      <c r="AN206" s="542">
        <f t="shared" si="82"/>
        <v>0</v>
      </c>
      <c r="AO206" s="536"/>
      <c r="AP206" s="536"/>
      <c r="AQ206" s="536"/>
      <c r="AR206" s="542">
        <f t="shared" si="83"/>
        <v>0</v>
      </c>
      <c r="AS206" s="536"/>
      <c r="AT206" s="536"/>
      <c r="AU206" s="536"/>
      <c r="AV206" s="542">
        <f t="shared" si="84"/>
        <v>0</v>
      </c>
      <c r="AW206" s="536"/>
      <c r="AX206" s="536"/>
      <c r="AY206" s="536"/>
      <c r="AZ206" s="542">
        <f t="shared" si="85"/>
        <v>0</v>
      </c>
      <c r="BA206" s="536"/>
      <c r="BB206" s="536"/>
      <c r="BC206" s="536"/>
      <c r="BD206" s="542">
        <f t="shared" si="86"/>
        <v>0</v>
      </c>
      <c r="BE206" s="536"/>
      <c r="BF206" s="536"/>
      <c r="BG206" s="536"/>
      <c r="BH206" s="542">
        <f t="shared" si="87"/>
        <v>0</v>
      </c>
      <c r="BI206" s="536"/>
      <c r="BJ206" s="536"/>
      <c r="BK206" s="536"/>
      <c r="BL206" s="542">
        <f t="shared" si="88"/>
        <v>0</v>
      </c>
      <c r="BM206" s="536"/>
      <c r="BN206" s="536"/>
      <c r="BO206" s="536"/>
      <c r="BP206" s="542">
        <f t="shared" si="89"/>
        <v>0</v>
      </c>
      <c r="BQ206" s="536"/>
      <c r="BR206" s="536"/>
      <c r="BS206" s="536"/>
      <c r="BT206" s="542">
        <f t="shared" si="90"/>
        <v>0</v>
      </c>
      <c r="BU206" s="536"/>
      <c r="BV206" s="536"/>
      <c r="BW206" s="536"/>
      <c r="BX206" s="542">
        <f t="shared" si="91"/>
        <v>0</v>
      </c>
      <c r="BY206" s="536"/>
      <c r="BZ206" s="536"/>
      <c r="CA206" s="536"/>
      <c r="CB206" s="542">
        <v>0</v>
      </c>
      <c r="CC206" s="536"/>
      <c r="CD206" s="536"/>
      <c r="CE206" s="536"/>
      <c r="CF206" s="541">
        <f t="shared" si="92"/>
        <v>0</v>
      </c>
      <c r="CG206" s="536"/>
      <c r="CH206" s="536"/>
      <c r="CI206" s="536"/>
      <c r="CJ206" s="541">
        <f t="shared" si="93"/>
        <v>0</v>
      </c>
      <c r="CK206" s="536"/>
      <c r="CL206" s="536"/>
      <c r="CM206" s="536"/>
      <c r="CN206" s="541">
        <f t="shared" si="94"/>
        <v>0</v>
      </c>
      <c r="CO206" s="536"/>
      <c r="CP206" s="536"/>
      <c r="CQ206" s="536"/>
      <c r="CR206" s="541">
        <f t="shared" si="95"/>
        <v>0</v>
      </c>
      <c r="CS206" s="536"/>
      <c r="CT206" s="536"/>
      <c r="CU206" s="536"/>
      <c r="CV206" s="541">
        <f t="shared" si="96"/>
        <v>0</v>
      </c>
      <c r="CW206" s="536"/>
      <c r="CX206" s="536"/>
      <c r="CY206" s="536"/>
      <c r="CZ206" s="541">
        <f t="shared" si="97"/>
        <v>0</v>
      </c>
      <c r="DA206" s="536"/>
      <c r="DB206" s="536"/>
      <c r="DC206" s="536"/>
      <c r="DD206" s="541">
        <f t="shared" si="98"/>
        <v>0</v>
      </c>
      <c r="DE206" s="536"/>
      <c r="DF206" s="536"/>
      <c r="DG206" s="536"/>
      <c r="DH206" s="541">
        <f t="shared" si="99"/>
        <v>0</v>
      </c>
      <c r="DI206" s="536"/>
      <c r="DJ206" s="536"/>
      <c r="DK206" s="536"/>
      <c r="DL206" s="541">
        <f t="shared" si="100"/>
        <v>0</v>
      </c>
      <c r="DM206" s="536"/>
      <c r="DN206" s="536"/>
      <c r="DO206" s="536"/>
      <c r="DP206" s="541">
        <f>IF( SUM((DJ206*(20/100))+(DK206*(30/100))+(DL206*(50/100))) &gt;=9.3,9.5,
IF(AND( SUM((DJ206*(20/100))+(DK206*(30/100))+(DL206*(50/100))) &lt;=9.3, SUM((DJ206*(20/100))+(DK206*(30/100))+(DL206*(50/100))) &gt;=8.8),9,
IF(AND( SUM((DJ206*(20/100))+(DK206*(30/100))+(DL206*(50/100))) &lt;=8.8, SUM((DJ206*(20/100))+(DK206*(30/100))+(DL206*(50/100))) &gt;=8.3),8.5,
IF(AND( SUM((DJ206*(20/100))+(DK206*(30/100))+(DL206*(50/100))) &lt;=8.3, SUM((DJ206*(20/100))+(DK206*(30/100))+(DL206*(50/100))) &gt;=7.8),8,
IF(AND( SUM((DJ206*(20/100))+(DK206*(30/100))+(DL206*(50/100))) &lt;=7.8, SUM((DJ206*(20/100))+(DK206*(30/100))+(DL206*(50/100))) &gt;=7.3),7.5,
IF(AND( SUM((DJ206*(20/100))+(DK206*(30/100))+(DL206*(50/100))) &lt;=7.3, SUM((DJ206*(20/100))+(DK206*(30/100))+(DL206*(50/100))) &gt;=6.8),7,
IF(AND( SUM((DJ206*(20/100))+(DK206*(30/100))+(DL206*(50/100))) &lt;=6.8, SUM((DJ206*(20/100))+(DK206*(30/100))+(DL206*(50/100))) &gt;=6.3),6.5,
IF(AND( SUM((DJ206*(20/100))+(DK206*(30/100))+(DL206*(50/100))) &lt;=6.3, SUM((DJ206*(20/100))+(DK206*(30/100))+(DL206*(50/100))) &gt;=5.8),6,
IF(AND( SUM((DJ206*(20/100))+(DK206*(30/100))+(DL206*(50/100))) &lt;=5.8, SUM((DJ206*(20/100))+(DK206*(30/100))+(DL206*(50/100))) &gt;=5.3),5.5,
IF(AND( SUM((DJ206*(20/100))+(DK206*(30/100))+(DL206*(50/100))) &lt;=5.3, SUM((DJ206*(20/100))+(DK206*(30/100))+(DL206*(50/100))) &gt;=4.8),5,
IF(AND( SUM((DJ206*(20/100))+(DK206*(30/100))+(DL206*(50/100))) &lt;=4.8, SUM((DJ206*(20/100))+(DK206*(30/100))+(DL206*(50/100))) &gt;=4.3),4.5,
IF(AND( SUM((DJ206*(20/100))+(DK206*(30/100))+(DL206*(50/100))) &lt;=4.3, SUM((DJ206*(20/100))+(DK206*(30/100))+(DL206*(50/100))) &gt;=3.8),4,
IF(AND( SUM((DJ206*(20/100))+(DK206*(30/100))+(DL206*(50/100))) &lt;=3.8, SUM((DJ206*(20/100))+(DK206*(30/100))+(DL206*(50/100))) &gt;=3.5),3.5,0)))))))))))))</f>
        <v>0</v>
      </c>
      <c r="DQ206" s="541"/>
      <c r="DR206" s="541"/>
      <c r="DS206" s="541"/>
      <c r="DT206" s="541"/>
      <c r="DU206" s="541"/>
      <c r="DV206" s="541"/>
      <c r="DW206" s="541"/>
      <c r="DX206" s="541"/>
      <c r="DY206" s="541"/>
      <c r="DZ206" s="541"/>
    </row>
    <row r="207" spans="2:130" x14ac:dyDescent="0.25">
      <c r="B207" s="334">
        <v>50</v>
      </c>
      <c r="C207" s="541"/>
      <c r="D207" s="334"/>
      <c r="E207" s="334"/>
      <c r="F207" s="334"/>
      <c r="G207" s="334"/>
      <c r="H207" s="334"/>
      <c r="I207" s="334"/>
      <c r="J207" s="536"/>
      <c r="K207" s="536"/>
      <c r="L207" s="536"/>
      <c r="M207" s="536"/>
      <c r="N207" s="536"/>
      <c r="O207" s="536"/>
      <c r="P207" s="536">
        <f t="shared" si="76"/>
        <v>0</v>
      </c>
      <c r="Q207" s="536"/>
      <c r="R207" s="536"/>
      <c r="S207" s="536"/>
      <c r="T207" s="536">
        <f t="shared" si="77"/>
        <v>0</v>
      </c>
      <c r="U207" s="536"/>
      <c r="V207" s="536"/>
      <c r="W207" s="536"/>
      <c r="X207" s="536">
        <f t="shared" si="78"/>
        <v>0</v>
      </c>
      <c r="Y207" s="536"/>
      <c r="Z207" s="536"/>
      <c r="AA207" s="536"/>
      <c r="AB207" s="536">
        <f t="shared" si="79"/>
        <v>0</v>
      </c>
      <c r="AC207" s="536"/>
      <c r="AD207" s="536"/>
      <c r="AE207" s="536"/>
      <c r="AF207" s="536">
        <f t="shared" si="80"/>
        <v>0</v>
      </c>
      <c r="AG207" s="536"/>
      <c r="AH207" s="536"/>
      <c r="AI207" s="536"/>
      <c r="AJ207" s="536">
        <f t="shared" si="81"/>
        <v>0</v>
      </c>
      <c r="AK207" s="536"/>
      <c r="AL207" s="536"/>
      <c r="AM207" s="536"/>
      <c r="AN207" s="542">
        <f t="shared" si="82"/>
        <v>0</v>
      </c>
      <c r="AO207" s="536"/>
      <c r="AP207" s="536"/>
      <c r="AQ207" s="536"/>
      <c r="AR207" s="542">
        <f t="shared" si="83"/>
        <v>0</v>
      </c>
      <c r="AS207" s="536"/>
      <c r="AT207" s="536"/>
      <c r="AU207" s="536"/>
      <c r="AV207" s="542">
        <f t="shared" si="84"/>
        <v>0</v>
      </c>
      <c r="AW207" s="536"/>
      <c r="AX207" s="536"/>
      <c r="AY207" s="536"/>
      <c r="AZ207" s="542">
        <f t="shared" si="85"/>
        <v>0</v>
      </c>
      <c r="BA207" s="536"/>
      <c r="BB207" s="536"/>
      <c r="BC207" s="536"/>
      <c r="BD207" s="542">
        <f t="shared" si="86"/>
        <v>0</v>
      </c>
      <c r="BE207" s="536"/>
      <c r="BF207" s="536"/>
      <c r="BG207" s="536"/>
      <c r="BH207" s="542">
        <f t="shared" si="87"/>
        <v>0</v>
      </c>
      <c r="BI207" s="536"/>
      <c r="BJ207" s="536"/>
      <c r="BK207" s="536"/>
      <c r="BL207" s="542">
        <f t="shared" si="88"/>
        <v>0</v>
      </c>
      <c r="BM207" s="536"/>
      <c r="BN207" s="536"/>
      <c r="BO207" s="536"/>
      <c r="BP207" s="542">
        <f t="shared" si="89"/>
        <v>0</v>
      </c>
      <c r="BQ207" s="536"/>
      <c r="BR207" s="536"/>
      <c r="BS207" s="536"/>
      <c r="BT207" s="542">
        <f t="shared" si="90"/>
        <v>0</v>
      </c>
      <c r="BU207" s="536"/>
      <c r="BV207" s="536"/>
      <c r="BW207" s="536"/>
      <c r="BX207" s="542">
        <f t="shared" si="91"/>
        <v>0</v>
      </c>
      <c r="BY207" s="536"/>
      <c r="BZ207" s="536"/>
      <c r="CA207" s="536"/>
      <c r="CB207" s="542">
        <v>0</v>
      </c>
      <c r="CC207" s="536"/>
      <c r="CD207" s="536"/>
      <c r="CE207" s="536"/>
      <c r="CF207" s="541">
        <f t="shared" si="92"/>
        <v>0</v>
      </c>
      <c r="CG207" s="536"/>
      <c r="CH207" s="536"/>
      <c r="CI207" s="536"/>
      <c r="CJ207" s="541">
        <f t="shared" si="93"/>
        <v>0</v>
      </c>
      <c r="CK207" s="536"/>
      <c r="CL207" s="536"/>
      <c r="CM207" s="536"/>
      <c r="CN207" s="541">
        <f t="shared" si="94"/>
        <v>0</v>
      </c>
      <c r="CO207" s="536"/>
      <c r="CP207" s="536"/>
      <c r="CQ207" s="536"/>
      <c r="CR207" s="541">
        <f t="shared" si="95"/>
        <v>0</v>
      </c>
      <c r="CS207" s="536"/>
      <c r="CT207" s="536"/>
      <c r="CU207" s="536"/>
      <c r="CV207" s="541">
        <f t="shared" si="96"/>
        <v>0</v>
      </c>
      <c r="CW207" s="536"/>
      <c r="CX207" s="536"/>
      <c r="CY207" s="536"/>
      <c r="CZ207" s="541">
        <f t="shared" si="97"/>
        <v>0</v>
      </c>
      <c r="DA207" s="536"/>
      <c r="DB207" s="536"/>
      <c r="DC207" s="536"/>
      <c r="DD207" s="541">
        <f t="shared" si="98"/>
        <v>0</v>
      </c>
      <c r="DE207" s="536"/>
      <c r="DF207" s="536"/>
      <c r="DG207" s="536"/>
      <c r="DH207" s="541">
        <f t="shared" si="99"/>
        <v>0</v>
      </c>
      <c r="DI207" s="536"/>
      <c r="DJ207" s="536"/>
      <c r="DK207" s="536"/>
      <c r="DL207" s="541">
        <f t="shared" si="100"/>
        <v>0</v>
      </c>
      <c r="DM207" s="536"/>
      <c r="DN207" s="536"/>
      <c r="DO207" s="536"/>
      <c r="DP207" s="541">
        <f>IF( SUM((DJ207*(20/100))+(DK207*(30/100))+(DL207*(50/100))) &gt;=9.3,9.5,
IF(AND( SUM((DJ207*(20/100))+(DK207*(30/100))+(DL207*(50/100))) &lt;=9.3, SUM((DJ207*(20/100))+(DK207*(30/100))+(DL207*(50/100))) &gt;=8.8),9,
IF(AND( SUM((DJ207*(20/100))+(DK207*(30/100))+(DL207*(50/100))) &lt;=8.8, SUM((DJ207*(20/100))+(DK207*(30/100))+(DL207*(50/100))) &gt;=8.3),8.5,
IF(AND( SUM((DJ207*(20/100))+(DK207*(30/100))+(DL207*(50/100))) &lt;=8.3, SUM((DJ207*(20/100))+(DK207*(30/100))+(DL207*(50/100))) &gt;=7.8),8,
IF(AND( SUM((DJ207*(20/100))+(DK207*(30/100))+(DL207*(50/100))) &lt;=7.8, SUM((DJ207*(20/100))+(DK207*(30/100))+(DL207*(50/100))) &gt;=7.3),7.5,
IF(AND( SUM((DJ207*(20/100))+(DK207*(30/100))+(DL207*(50/100))) &lt;=7.3, SUM((DJ207*(20/100))+(DK207*(30/100))+(DL207*(50/100))) &gt;=6.8),7,
IF(AND( SUM((DJ207*(20/100))+(DK207*(30/100))+(DL207*(50/100))) &lt;=6.8, SUM((DJ207*(20/100))+(DK207*(30/100))+(DL207*(50/100))) &gt;=6.3),6.5,
IF(AND( SUM((DJ207*(20/100))+(DK207*(30/100))+(DL207*(50/100))) &lt;=6.3, SUM((DJ207*(20/100))+(DK207*(30/100))+(DL207*(50/100))) &gt;=5.8),6,
IF(AND( SUM((DJ207*(20/100))+(DK207*(30/100))+(DL207*(50/100))) &lt;=5.8, SUM((DJ207*(20/100))+(DK207*(30/100))+(DL207*(50/100))) &gt;=5.3),5.5,
IF(AND( SUM((DJ207*(20/100))+(DK207*(30/100))+(DL207*(50/100))) &lt;=5.3, SUM((DJ207*(20/100))+(DK207*(30/100))+(DL207*(50/100))) &gt;=4.8),5,
IF(AND( SUM((DJ207*(20/100))+(DK207*(30/100))+(DL207*(50/100))) &lt;=4.8, SUM((DJ207*(20/100))+(DK207*(30/100))+(DL207*(50/100))) &gt;=4.3),4.5,
IF(AND( SUM((DJ207*(20/100))+(DK207*(30/100))+(DL207*(50/100))) &lt;=4.3, SUM((DJ207*(20/100))+(DK207*(30/100))+(DL207*(50/100))) &gt;=3.8),4,
IF(AND( SUM((DJ207*(20/100))+(DK207*(30/100))+(DL207*(50/100))) &lt;=3.8, SUM((DJ207*(20/100))+(DK207*(30/100))+(DL207*(50/100))) &gt;=3.5),3.5,0)))))))))))))</f>
        <v>0</v>
      </c>
      <c r="DQ207" s="541"/>
      <c r="DR207" s="541"/>
      <c r="DS207" s="541"/>
      <c r="DT207" s="541"/>
      <c r="DU207" s="541"/>
      <c r="DV207" s="541"/>
      <c r="DW207" s="541"/>
      <c r="DX207" s="541"/>
      <c r="DY207" s="541"/>
      <c r="DZ207" s="541"/>
    </row>
    <row r="208" spans="2:130" x14ac:dyDescent="0.25">
      <c r="B208" s="334">
        <v>1</v>
      </c>
      <c r="C208" s="541"/>
      <c r="D208" s="334"/>
      <c r="E208" s="334"/>
      <c r="F208" s="334"/>
      <c r="G208" s="334"/>
      <c r="H208" s="334"/>
      <c r="I208" s="334"/>
      <c r="J208" s="536"/>
      <c r="K208" s="536"/>
      <c r="L208" s="536"/>
      <c r="M208" s="536"/>
      <c r="N208" s="536"/>
      <c r="O208" s="536"/>
      <c r="P208" s="536">
        <f t="shared" si="76"/>
        <v>0</v>
      </c>
      <c r="Q208" s="536"/>
      <c r="R208" s="536"/>
      <c r="S208" s="536"/>
      <c r="T208" s="536">
        <f t="shared" si="77"/>
        <v>0</v>
      </c>
      <c r="U208" s="536"/>
      <c r="V208" s="536"/>
      <c r="W208" s="536"/>
      <c r="X208" s="536">
        <f t="shared" si="78"/>
        <v>0</v>
      </c>
      <c r="Y208" s="536"/>
      <c r="Z208" s="536"/>
      <c r="AA208" s="536"/>
      <c r="AB208" s="536">
        <f t="shared" si="79"/>
        <v>0</v>
      </c>
      <c r="AC208" s="536"/>
      <c r="AD208" s="536"/>
      <c r="AE208" s="536"/>
      <c r="AF208" s="536">
        <f t="shared" si="80"/>
        <v>0</v>
      </c>
      <c r="AG208" s="536"/>
      <c r="AH208" s="536"/>
      <c r="AI208" s="536"/>
      <c r="AJ208" s="536">
        <f t="shared" si="81"/>
        <v>0</v>
      </c>
      <c r="AK208" s="536"/>
      <c r="AL208" s="536"/>
      <c r="AM208" s="536"/>
      <c r="AN208" s="542">
        <f t="shared" si="82"/>
        <v>0</v>
      </c>
      <c r="AO208" s="536"/>
      <c r="AP208" s="536"/>
      <c r="AQ208" s="536"/>
      <c r="AR208" s="542">
        <f t="shared" si="83"/>
        <v>0</v>
      </c>
      <c r="AS208" s="536"/>
      <c r="AT208" s="536"/>
      <c r="AU208" s="536"/>
      <c r="AV208" s="542">
        <f t="shared" si="84"/>
        <v>0</v>
      </c>
      <c r="AW208" s="536"/>
      <c r="AX208" s="536"/>
      <c r="AY208" s="536"/>
      <c r="AZ208" s="542">
        <f t="shared" si="85"/>
        <v>0</v>
      </c>
      <c r="BA208" s="536"/>
      <c r="BB208" s="536"/>
      <c r="BC208" s="536"/>
      <c r="BD208" s="542">
        <f t="shared" si="86"/>
        <v>0</v>
      </c>
      <c r="BE208" s="536"/>
      <c r="BF208" s="536"/>
      <c r="BG208" s="536"/>
      <c r="BH208" s="542">
        <f t="shared" si="87"/>
        <v>0</v>
      </c>
      <c r="BI208" s="536"/>
      <c r="BJ208" s="536"/>
      <c r="BK208" s="536"/>
      <c r="BL208" s="542">
        <f t="shared" si="88"/>
        <v>0</v>
      </c>
      <c r="BM208" s="536"/>
      <c r="BN208" s="536"/>
      <c r="BO208" s="536"/>
      <c r="BP208" s="542">
        <f t="shared" si="89"/>
        <v>0</v>
      </c>
      <c r="BQ208" s="536"/>
      <c r="BR208" s="536"/>
      <c r="BS208" s="536"/>
      <c r="BT208" s="542">
        <f t="shared" si="90"/>
        <v>0</v>
      </c>
      <c r="BU208" s="536"/>
      <c r="BV208" s="536"/>
      <c r="BW208" s="536"/>
      <c r="BX208" s="542">
        <f t="shared" si="91"/>
        <v>0</v>
      </c>
      <c r="BY208" s="536"/>
      <c r="BZ208" s="536"/>
      <c r="CA208" s="536"/>
      <c r="CB208" s="542">
        <v>0</v>
      </c>
      <c r="CC208" s="536"/>
      <c r="CD208" s="536"/>
      <c r="CE208" s="536"/>
      <c r="CF208" s="541">
        <f t="shared" si="92"/>
        <v>0</v>
      </c>
      <c r="CG208" s="536"/>
      <c r="CH208" s="536"/>
      <c r="CI208" s="536"/>
      <c r="CJ208" s="541">
        <f t="shared" si="93"/>
        <v>0</v>
      </c>
      <c r="CK208" s="536"/>
      <c r="CL208" s="536"/>
      <c r="CM208" s="536"/>
      <c r="CN208" s="541">
        <f t="shared" si="94"/>
        <v>0</v>
      </c>
      <c r="CO208" s="536"/>
      <c r="CP208" s="536"/>
      <c r="CQ208" s="536"/>
      <c r="CR208" s="541">
        <f t="shared" si="95"/>
        <v>0</v>
      </c>
      <c r="CS208" s="536"/>
      <c r="CT208" s="536"/>
      <c r="CU208" s="536"/>
      <c r="CV208" s="541">
        <f t="shared" si="96"/>
        <v>0</v>
      </c>
      <c r="CW208" s="536"/>
      <c r="CX208" s="536"/>
      <c r="CY208" s="536"/>
      <c r="CZ208" s="541">
        <f t="shared" si="97"/>
        <v>0</v>
      </c>
      <c r="DA208" s="536"/>
      <c r="DB208" s="536"/>
      <c r="DC208" s="536"/>
      <c r="DD208" s="541">
        <f t="shared" si="98"/>
        <v>0</v>
      </c>
      <c r="DE208" s="536"/>
      <c r="DF208" s="536"/>
      <c r="DG208" s="536"/>
      <c r="DH208" s="541">
        <f t="shared" si="99"/>
        <v>0</v>
      </c>
      <c r="DI208" s="536"/>
      <c r="DJ208" s="536"/>
      <c r="DK208" s="536"/>
      <c r="DL208" s="541">
        <f t="shared" si="100"/>
        <v>0</v>
      </c>
      <c r="DM208" s="536"/>
      <c r="DN208" s="536"/>
      <c r="DO208" s="536"/>
      <c r="DP208" s="541">
        <f>IF( SUM((DJ208*(20/100))+(DK208*(30/100))+(DL208*(50/100))) &gt;=9.3,9.5,
IF(AND( SUM((DJ208*(20/100))+(DK208*(30/100))+(DL208*(50/100))) &lt;=9.3, SUM((DJ208*(20/100))+(DK208*(30/100))+(DL208*(50/100))) &gt;=8.8),9,
IF(AND( SUM((DJ208*(20/100))+(DK208*(30/100))+(DL208*(50/100))) &lt;=8.8, SUM((DJ208*(20/100))+(DK208*(30/100))+(DL208*(50/100))) &gt;=8.3),8.5,
IF(AND( SUM((DJ208*(20/100))+(DK208*(30/100))+(DL208*(50/100))) &lt;=8.3, SUM((DJ208*(20/100))+(DK208*(30/100))+(DL208*(50/100))) &gt;=7.8),8,
IF(AND( SUM((DJ208*(20/100))+(DK208*(30/100))+(DL208*(50/100))) &lt;=7.8, SUM((DJ208*(20/100))+(DK208*(30/100))+(DL208*(50/100))) &gt;=7.3),7.5,
IF(AND( SUM((DJ208*(20/100))+(DK208*(30/100))+(DL208*(50/100))) &lt;=7.3, SUM((DJ208*(20/100))+(DK208*(30/100))+(DL208*(50/100))) &gt;=6.8),7,
IF(AND( SUM((DJ208*(20/100))+(DK208*(30/100))+(DL208*(50/100))) &lt;=6.8, SUM((DJ208*(20/100))+(DK208*(30/100))+(DL208*(50/100))) &gt;=6.3),6.5,
IF(AND( SUM((DJ208*(20/100))+(DK208*(30/100))+(DL208*(50/100))) &lt;=6.3, SUM((DJ208*(20/100))+(DK208*(30/100))+(DL208*(50/100))) &gt;=5.8),6,
IF(AND( SUM((DJ208*(20/100))+(DK208*(30/100))+(DL208*(50/100))) &lt;=5.8, SUM((DJ208*(20/100))+(DK208*(30/100))+(DL208*(50/100))) &gt;=5.3),5.5,
IF(AND( SUM((DJ208*(20/100))+(DK208*(30/100))+(DL208*(50/100))) &lt;=5.3, SUM((DJ208*(20/100))+(DK208*(30/100))+(DL208*(50/100))) &gt;=4.8),5,
IF(AND( SUM((DJ208*(20/100))+(DK208*(30/100))+(DL208*(50/100))) &lt;=4.8, SUM((DJ208*(20/100))+(DK208*(30/100))+(DL208*(50/100))) &gt;=4.3),4.5,
IF(AND( SUM((DJ208*(20/100))+(DK208*(30/100))+(DL208*(50/100))) &lt;=4.3, SUM((DJ208*(20/100))+(DK208*(30/100))+(DL208*(50/100))) &gt;=3.8),4,
IF(AND( SUM((DJ208*(20/100))+(DK208*(30/100))+(DL208*(50/100))) &lt;=3.8, SUM((DJ208*(20/100))+(DK208*(30/100))+(DL208*(50/100))) &gt;=3.5),3.5,0)))))))))))))</f>
        <v>0</v>
      </c>
      <c r="DQ208" s="541"/>
      <c r="DR208" s="541"/>
      <c r="DS208" s="541"/>
      <c r="DT208" s="541"/>
      <c r="DU208" s="541"/>
      <c r="DV208" s="541"/>
      <c r="DW208" s="541"/>
      <c r="DX208" s="541"/>
      <c r="DY208" s="541"/>
      <c r="DZ208" s="541"/>
    </row>
    <row r="209" spans="2:130" x14ac:dyDescent="0.25">
      <c r="B209" s="334">
        <v>2</v>
      </c>
      <c r="C209" s="541"/>
      <c r="D209" s="334"/>
      <c r="E209" s="334"/>
      <c r="F209" s="334"/>
      <c r="G209" s="334"/>
      <c r="H209" s="334"/>
      <c r="I209" s="334"/>
      <c r="J209" s="536"/>
      <c r="K209" s="536"/>
      <c r="L209" s="536"/>
      <c r="M209" s="536"/>
      <c r="N209" s="536"/>
      <c r="O209" s="536"/>
      <c r="P209" s="536">
        <f t="shared" si="76"/>
        <v>0</v>
      </c>
      <c r="Q209" s="536"/>
      <c r="R209" s="536"/>
      <c r="S209" s="536"/>
      <c r="T209" s="536">
        <f t="shared" si="77"/>
        <v>0</v>
      </c>
      <c r="U209" s="536"/>
      <c r="V209" s="536"/>
      <c r="W209" s="536"/>
      <c r="X209" s="536">
        <f t="shared" si="78"/>
        <v>0</v>
      </c>
      <c r="Y209" s="536"/>
      <c r="Z209" s="536"/>
      <c r="AA209" s="536"/>
      <c r="AB209" s="536">
        <f t="shared" si="79"/>
        <v>0</v>
      </c>
      <c r="AC209" s="536"/>
      <c r="AD209" s="536"/>
      <c r="AE209" s="536"/>
      <c r="AF209" s="536">
        <f t="shared" si="80"/>
        <v>0</v>
      </c>
      <c r="AG209" s="536"/>
      <c r="AH209" s="536"/>
      <c r="AI209" s="536"/>
      <c r="AJ209" s="536">
        <f t="shared" si="81"/>
        <v>0</v>
      </c>
      <c r="AK209" s="536"/>
      <c r="AL209" s="536"/>
      <c r="AM209" s="536"/>
      <c r="AN209" s="542">
        <f t="shared" si="82"/>
        <v>0</v>
      </c>
      <c r="AO209" s="536"/>
      <c r="AP209" s="536"/>
      <c r="AQ209" s="536"/>
      <c r="AR209" s="542">
        <f t="shared" si="83"/>
        <v>0</v>
      </c>
      <c r="AS209" s="536"/>
      <c r="AT209" s="536"/>
      <c r="AU209" s="536"/>
      <c r="AV209" s="542">
        <f t="shared" si="84"/>
        <v>0</v>
      </c>
      <c r="AW209" s="536"/>
      <c r="AX209" s="536"/>
      <c r="AY209" s="536"/>
      <c r="AZ209" s="542">
        <f t="shared" si="85"/>
        <v>0</v>
      </c>
      <c r="BA209" s="536"/>
      <c r="BB209" s="536"/>
      <c r="BC209" s="536"/>
      <c r="BD209" s="542">
        <f t="shared" si="86"/>
        <v>0</v>
      </c>
      <c r="BE209" s="536"/>
      <c r="BF209" s="536"/>
      <c r="BG209" s="536"/>
      <c r="BH209" s="542">
        <f t="shared" si="87"/>
        <v>0</v>
      </c>
      <c r="BI209" s="536"/>
      <c r="BJ209" s="536"/>
      <c r="BK209" s="536"/>
      <c r="BL209" s="542">
        <f t="shared" si="88"/>
        <v>0</v>
      </c>
      <c r="BM209" s="536"/>
      <c r="BN209" s="536"/>
      <c r="BO209" s="536"/>
      <c r="BP209" s="542">
        <f t="shared" si="89"/>
        <v>0</v>
      </c>
      <c r="BQ209" s="536"/>
      <c r="BR209" s="536"/>
      <c r="BS209" s="536"/>
      <c r="BT209" s="542">
        <f t="shared" si="90"/>
        <v>0</v>
      </c>
      <c r="BU209" s="536"/>
      <c r="BV209" s="536"/>
      <c r="BW209" s="536"/>
      <c r="BX209" s="542">
        <f t="shared" si="91"/>
        <v>0</v>
      </c>
      <c r="BY209" s="536"/>
      <c r="BZ209" s="536"/>
      <c r="CA209" s="536"/>
      <c r="CB209" s="542">
        <v>0</v>
      </c>
      <c r="CC209" s="536"/>
      <c r="CD209" s="536"/>
      <c r="CE209" s="536"/>
      <c r="CF209" s="541">
        <f t="shared" si="92"/>
        <v>0</v>
      </c>
      <c r="CG209" s="536"/>
      <c r="CH209" s="536"/>
      <c r="CI209" s="536"/>
      <c r="CJ209" s="541">
        <f t="shared" si="93"/>
        <v>0</v>
      </c>
      <c r="CK209" s="536"/>
      <c r="CL209" s="536"/>
      <c r="CM209" s="536"/>
      <c r="CN209" s="541">
        <f t="shared" si="94"/>
        <v>0</v>
      </c>
      <c r="CO209" s="536"/>
      <c r="CP209" s="536"/>
      <c r="CQ209" s="536"/>
      <c r="CR209" s="541">
        <f t="shared" si="95"/>
        <v>0</v>
      </c>
      <c r="CS209" s="536"/>
      <c r="CT209" s="536"/>
      <c r="CU209" s="536"/>
      <c r="CV209" s="541">
        <f t="shared" si="96"/>
        <v>0</v>
      </c>
      <c r="CW209" s="536"/>
      <c r="CX209" s="536"/>
      <c r="CY209" s="536"/>
      <c r="CZ209" s="541">
        <f t="shared" si="97"/>
        <v>0</v>
      </c>
      <c r="DA209" s="536"/>
      <c r="DB209" s="536"/>
      <c r="DC209" s="536"/>
      <c r="DD209" s="541">
        <f t="shared" si="98"/>
        <v>0</v>
      </c>
      <c r="DE209" s="536"/>
      <c r="DF209" s="536"/>
      <c r="DG209" s="536"/>
      <c r="DH209" s="541">
        <f t="shared" si="99"/>
        <v>0</v>
      </c>
      <c r="DI209" s="536"/>
      <c r="DJ209" s="536"/>
      <c r="DK209" s="536"/>
      <c r="DL209" s="541">
        <f t="shared" si="100"/>
        <v>0</v>
      </c>
      <c r="DM209" s="536"/>
      <c r="DN209" s="536"/>
      <c r="DO209" s="536"/>
      <c r="DP209" s="541">
        <f>IF( SUM((DJ209*(20/100))+(DK209*(30/100))+(DL209*(50/100))) &gt;=9.3,9.5,
IF(AND( SUM((DJ209*(20/100))+(DK209*(30/100))+(DL209*(50/100))) &lt;=9.3, SUM((DJ209*(20/100))+(DK209*(30/100))+(DL209*(50/100))) &gt;=8.8),9,
IF(AND( SUM((DJ209*(20/100))+(DK209*(30/100))+(DL209*(50/100))) &lt;=8.8, SUM((DJ209*(20/100))+(DK209*(30/100))+(DL209*(50/100))) &gt;=8.3),8.5,
IF(AND( SUM((DJ209*(20/100))+(DK209*(30/100))+(DL209*(50/100))) &lt;=8.3, SUM((DJ209*(20/100))+(DK209*(30/100))+(DL209*(50/100))) &gt;=7.8),8,
IF(AND( SUM((DJ209*(20/100))+(DK209*(30/100))+(DL209*(50/100))) &lt;=7.8, SUM((DJ209*(20/100))+(DK209*(30/100))+(DL209*(50/100))) &gt;=7.3),7.5,
IF(AND( SUM((DJ209*(20/100))+(DK209*(30/100))+(DL209*(50/100))) &lt;=7.3, SUM((DJ209*(20/100))+(DK209*(30/100))+(DL209*(50/100))) &gt;=6.8),7,
IF(AND( SUM((DJ209*(20/100))+(DK209*(30/100))+(DL209*(50/100))) &lt;=6.8, SUM((DJ209*(20/100))+(DK209*(30/100))+(DL209*(50/100))) &gt;=6.3),6.5,
IF(AND( SUM((DJ209*(20/100))+(DK209*(30/100))+(DL209*(50/100))) &lt;=6.3, SUM((DJ209*(20/100))+(DK209*(30/100))+(DL209*(50/100))) &gt;=5.8),6,
IF(AND( SUM((DJ209*(20/100))+(DK209*(30/100))+(DL209*(50/100))) &lt;=5.8, SUM((DJ209*(20/100))+(DK209*(30/100))+(DL209*(50/100))) &gt;=5.3),5.5,
IF(AND( SUM((DJ209*(20/100))+(DK209*(30/100))+(DL209*(50/100))) &lt;=5.3, SUM((DJ209*(20/100))+(DK209*(30/100))+(DL209*(50/100))) &gt;=4.8),5,
IF(AND( SUM((DJ209*(20/100))+(DK209*(30/100))+(DL209*(50/100))) &lt;=4.8, SUM((DJ209*(20/100))+(DK209*(30/100))+(DL209*(50/100))) &gt;=4.3),4.5,
IF(AND( SUM((DJ209*(20/100))+(DK209*(30/100))+(DL209*(50/100))) &lt;=4.3, SUM((DJ209*(20/100))+(DK209*(30/100))+(DL209*(50/100))) &gt;=3.8),4,
IF(AND( SUM((DJ209*(20/100))+(DK209*(30/100))+(DL209*(50/100))) &lt;=3.8, SUM((DJ209*(20/100))+(DK209*(30/100))+(DL209*(50/100))) &gt;=3.5),3.5,0)))))))))))))</f>
        <v>0</v>
      </c>
      <c r="DQ209" s="541"/>
      <c r="DR209" s="541"/>
      <c r="DS209" s="541"/>
      <c r="DT209" s="541"/>
      <c r="DU209" s="541"/>
      <c r="DV209" s="541"/>
      <c r="DW209" s="541"/>
      <c r="DX209" s="541"/>
      <c r="DY209" s="541"/>
      <c r="DZ209" s="541"/>
    </row>
    <row r="210" spans="2:130" x14ac:dyDescent="0.25">
      <c r="B210" s="334">
        <v>3</v>
      </c>
      <c r="C210" s="541"/>
      <c r="D210" s="334"/>
      <c r="E210" s="334"/>
      <c r="F210" s="334"/>
      <c r="G210" s="334"/>
      <c r="H210" s="334"/>
      <c r="I210" s="334"/>
      <c r="J210" s="536"/>
      <c r="K210" s="536"/>
      <c r="L210" s="536"/>
      <c r="M210" s="536"/>
      <c r="N210" s="536"/>
      <c r="O210" s="536"/>
      <c r="P210" s="536">
        <f t="shared" si="76"/>
        <v>0</v>
      </c>
      <c r="Q210" s="536"/>
      <c r="R210" s="536"/>
      <c r="S210" s="536"/>
      <c r="T210" s="536">
        <f t="shared" si="77"/>
        <v>0</v>
      </c>
      <c r="U210" s="536"/>
      <c r="V210" s="536"/>
      <c r="W210" s="536"/>
      <c r="X210" s="536">
        <f t="shared" si="78"/>
        <v>0</v>
      </c>
      <c r="Y210" s="536"/>
      <c r="Z210" s="536"/>
      <c r="AA210" s="536"/>
      <c r="AB210" s="536">
        <f t="shared" si="79"/>
        <v>0</v>
      </c>
      <c r="AC210" s="536"/>
      <c r="AD210" s="536"/>
      <c r="AE210" s="536"/>
      <c r="AF210" s="536">
        <f t="shared" si="80"/>
        <v>0</v>
      </c>
      <c r="AG210" s="536"/>
      <c r="AH210" s="536"/>
      <c r="AI210" s="536"/>
      <c r="AJ210" s="536">
        <f t="shared" si="81"/>
        <v>0</v>
      </c>
      <c r="AK210" s="536"/>
      <c r="AL210" s="536"/>
      <c r="AM210" s="536"/>
      <c r="AN210" s="542">
        <f t="shared" si="82"/>
        <v>0</v>
      </c>
      <c r="AO210" s="536"/>
      <c r="AP210" s="536"/>
      <c r="AQ210" s="536"/>
      <c r="AR210" s="542">
        <f t="shared" si="83"/>
        <v>0</v>
      </c>
      <c r="AS210" s="536"/>
      <c r="AT210" s="536"/>
      <c r="AU210" s="536"/>
      <c r="AV210" s="542">
        <f t="shared" si="84"/>
        <v>0</v>
      </c>
      <c r="AW210" s="536"/>
      <c r="AX210" s="536"/>
      <c r="AY210" s="536"/>
      <c r="AZ210" s="542">
        <f t="shared" si="85"/>
        <v>0</v>
      </c>
      <c r="BA210" s="536"/>
      <c r="BB210" s="536"/>
      <c r="BC210" s="536"/>
      <c r="BD210" s="542">
        <f t="shared" si="86"/>
        <v>0</v>
      </c>
      <c r="BE210" s="536"/>
      <c r="BF210" s="536"/>
      <c r="BG210" s="536"/>
      <c r="BH210" s="542">
        <f t="shared" si="87"/>
        <v>0</v>
      </c>
      <c r="BI210" s="536"/>
      <c r="BJ210" s="536"/>
      <c r="BK210" s="536"/>
      <c r="BL210" s="542">
        <f t="shared" si="88"/>
        <v>0</v>
      </c>
      <c r="BM210" s="536"/>
      <c r="BN210" s="536"/>
      <c r="BO210" s="536"/>
      <c r="BP210" s="542">
        <f t="shared" si="89"/>
        <v>0</v>
      </c>
      <c r="BQ210" s="536"/>
      <c r="BR210" s="536"/>
      <c r="BS210" s="536"/>
      <c r="BT210" s="542">
        <f t="shared" si="90"/>
        <v>0</v>
      </c>
      <c r="BU210" s="536"/>
      <c r="BV210" s="536"/>
      <c r="BW210" s="536"/>
      <c r="BX210" s="542">
        <f t="shared" si="91"/>
        <v>0</v>
      </c>
      <c r="BY210" s="536"/>
      <c r="BZ210" s="536"/>
      <c r="CA210" s="536"/>
      <c r="CB210" s="542">
        <v>0</v>
      </c>
      <c r="CC210" s="536"/>
      <c r="CD210" s="536"/>
      <c r="CE210" s="536"/>
      <c r="CF210" s="541">
        <f t="shared" si="92"/>
        <v>0</v>
      </c>
      <c r="CG210" s="536"/>
      <c r="CH210" s="536"/>
      <c r="CI210" s="536"/>
      <c r="CJ210" s="541">
        <f t="shared" si="93"/>
        <v>0</v>
      </c>
      <c r="CK210" s="536"/>
      <c r="CL210" s="536"/>
      <c r="CM210" s="536"/>
      <c r="CN210" s="541">
        <f t="shared" si="94"/>
        <v>0</v>
      </c>
      <c r="CO210" s="536"/>
      <c r="CP210" s="536"/>
      <c r="CQ210" s="536"/>
      <c r="CR210" s="541">
        <f t="shared" si="95"/>
        <v>0</v>
      </c>
      <c r="CS210" s="536"/>
      <c r="CT210" s="536"/>
      <c r="CU210" s="536"/>
      <c r="CV210" s="541">
        <f t="shared" si="96"/>
        <v>0</v>
      </c>
      <c r="CW210" s="536"/>
      <c r="CX210" s="536"/>
      <c r="CY210" s="536"/>
      <c r="CZ210" s="541">
        <f t="shared" si="97"/>
        <v>0</v>
      </c>
      <c r="DA210" s="536"/>
      <c r="DB210" s="536"/>
      <c r="DC210" s="536"/>
      <c r="DD210" s="541">
        <f t="shared" si="98"/>
        <v>0</v>
      </c>
      <c r="DE210" s="536"/>
      <c r="DF210" s="536"/>
      <c r="DG210" s="536"/>
      <c r="DH210" s="541">
        <f t="shared" si="99"/>
        <v>0</v>
      </c>
      <c r="DI210" s="536"/>
      <c r="DJ210" s="536"/>
      <c r="DK210" s="536"/>
      <c r="DL210" s="541">
        <f t="shared" si="100"/>
        <v>0</v>
      </c>
      <c r="DM210" s="536"/>
      <c r="DN210" s="536"/>
      <c r="DO210" s="536"/>
      <c r="DP210" s="541">
        <f>IF( SUM((DJ210*(20/100))+(DK210*(30/100))+(DL210*(50/100))) &gt;=9.3,9.5,
IF(AND( SUM((DJ210*(20/100))+(DK210*(30/100))+(DL210*(50/100))) &lt;=9.3, SUM((DJ210*(20/100))+(DK210*(30/100))+(DL210*(50/100))) &gt;=8.8),9,
IF(AND( SUM((DJ210*(20/100))+(DK210*(30/100))+(DL210*(50/100))) &lt;=8.8, SUM((DJ210*(20/100))+(DK210*(30/100))+(DL210*(50/100))) &gt;=8.3),8.5,
IF(AND( SUM((DJ210*(20/100))+(DK210*(30/100))+(DL210*(50/100))) &lt;=8.3, SUM((DJ210*(20/100))+(DK210*(30/100))+(DL210*(50/100))) &gt;=7.8),8,
IF(AND( SUM((DJ210*(20/100))+(DK210*(30/100))+(DL210*(50/100))) &lt;=7.8, SUM((DJ210*(20/100))+(DK210*(30/100))+(DL210*(50/100))) &gt;=7.3),7.5,
IF(AND( SUM((DJ210*(20/100))+(DK210*(30/100))+(DL210*(50/100))) &lt;=7.3, SUM((DJ210*(20/100))+(DK210*(30/100))+(DL210*(50/100))) &gt;=6.8),7,
IF(AND( SUM((DJ210*(20/100))+(DK210*(30/100))+(DL210*(50/100))) &lt;=6.8, SUM((DJ210*(20/100))+(DK210*(30/100))+(DL210*(50/100))) &gt;=6.3),6.5,
IF(AND( SUM((DJ210*(20/100))+(DK210*(30/100))+(DL210*(50/100))) &lt;=6.3, SUM((DJ210*(20/100))+(DK210*(30/100))+(DL210*(50/100))) &gt;=5.8),6,
IF(AND( SUM((DJ210*(20/100))+(DK210*(30/100))+(DL210*(50/100))) &lt;=5.8, SUM((DJ210*(20/100))+(DK210*(30/100))+(DL210*(50/100))) &gt;=5.3),5.5,
IF(AND( SUM((DJ210*(20/100))+(DK210*(30/100))+(DL210*(50/100))) &lt;=5.3, SUM((DJ210*(20/100))+(DK210*(30/100))+(DL210*(50/100))) &gt;=4.8),5,
IF(AND( SUM((DJ210*(20/100))+(DK210*(30/100))+(DL210*(50/100))) &lt;=4.8, SUM((DJ210*(20/100))+(DK210*(30/100))+(DL210*(50/100))) &gt;=4.3),4.5,
IF(AND( SUM((DJ210*(20/100))+(DK210*(30/100))+(DL210*(50/100))) &lt;=4.3, SUM((DJ210*(20/100))+(DK210*(30/100))+(DL210*(50/100))) &gt;=3.8),4,
IF(AND( SUM((DJ210*(20/100))+(DK210*(30/100))+(DL210*(50/100))) &lt;=3.8, SUM((DJ210*(20/100))+(DK210*(30/100))+(DL210*(50/100))) &gt;=3.5),3.5,0)))))))))))))</f>
        <v>0</v>
      </c>
      <c r="DQ210" s="541"/>
      <c r="DR210" s="541"/>
      <c r="DS210" s="541"/>
      <c r="DT210" s="541"/>
      <c r="DU210" s="541"/>
      <c r="DV210" s="541"/>
      <c r="DW210" s="541"/>
      <c r="DX210" s="541"/>
      <c r="DY210" s="541"/>
      <c r="DZ210" s="541"/>
    </row>
    <row r="211" spans="2:130" x14ac:dyDescent="0.25">
      <c r="B211" s="334">
        <v>4</v>
      </c>
      <c r="C211" s="541"/>
      <c r="D211" s="334"/>
      <c r="E211" s="334"/>
      <c r="F211" s="334"/>
      <c r="G211" s="334"/>
      <c r="H211" s="334"/>
      <c r="I211" s="334"/>
      <c r="J211" s="536"/>
      <c r="K211" s="536"/>
      <c r="L211" s="536"/>
      <c r="M211" s="536"/>
      <c r="N211" s="536"/>
      <c r="O211" s="536"/>
      <c r="P211" s="536">
        <f t="shared" si="76"/>
        <v>0</v>
      </c>
      <c r="Q211" s="536"/>
      <c r="R211" s="536"/>
      <c r="S211" s="536"/>
      <c r="T211" s="536">
        <f t="shared" si="77"/>
        <v>0</v>
      </c>
      <c r="U211" s="536"/>
      <c r="V211" s="536"/>
      <c r="W211" s="536"/>
      <c r="X211" s="536">
        <f t="shared" si="78"/>
        <v>0</v>
      </c>
      <c r="Y211" s="536"/>
      <c r="Z211" s="536"/>
      <c r="AA211" s="536"/>
      <c r="AB211" s="536">
        <f t="shared" si="79"/>
        <v>0</v>
      </c>
      <c r="AC211" s="536"/>
      <c r="AD211" s="536"/>
      <c r="AE211" s="536"/>
      <c r="AF211" s="536">
        <f t="shared" si="80"/>
        <v>0</v>
      </c>
      <c r="AG211" s="536"/>
      <c r="AH211" s="536"/>
      <c r="AI211" s="536"/>
      <c r="AJ211" s="536">
        <f t="shared" si="81"/>
        <v>0</v>
      </c>
      <c r="AK211" s="536"/>
      <c r="AL211" s="536"/>
      <c r="AM211" s="536"/>
      <c r="AN211" s="542">
        <f t="shared" si="82"/>
        <v>0</v>
      </c>
      <c r="AO211" s="536"/>
      <c r="AP211" s="536"/>
      <c r="AQ211" s="536"/>
      <c r="AR211" s="542">
        <f t="shared" si="83"/>
        <v>0</v>
      </c>
      <c r="AS211" s="536"/>
      <c r="AT211" s="536"/>
      <c r="AU211" s="536"/>
      <c r="AV211" s="542">
        <f t="shared" si="84"/>
        <v>0</v>
      </c>
      <c r="AW211" s="536"/>
      <c r="AX211" s="536"/>
      <c r="AY211" s="536"/>
      <c r="AZ211" s="542">
        <f t="shared" si="85"/>
        <v>0</v>
      </c>
      <c r="BA211" s="536"/>
      <c r="BB211" s="536"/>
      <c r="BC211" s="536"/>
      <c r="BD211" s="542">
        <f t="shared" si="86"/>
        <v>0</v>
      </c>
      <c r="BE211" s="536"/>
      <c r="BF211" s="536"/>
      <c r="BG211" s="536"/>
      <c r="BH211" s="542">
        <f t="shared" si="87"/>
        <v>0</v>
      </c>
      <c r="BI211" s="536"/>
      <c r="BJ211" s="536"/>
      <c r="BK211" s="536"/>
      <c r="BL211" s="542">
        <f t="shared" si="88"/>
        <v>0</v>
      </c>
      <c r="BM211" s="536"/>
      <c r="BN211" s="536"/>
      <c r="BO211" s="536"/>
      <c r="BP211" s="542">
        <f t="shared" si="89"/>
        <v>0</v>
      </c>
      <c r="BQ211" s="536"/>
      <c r="BR211" s="536"/>
      <c r="BS211" s="536"/>
      <c r="BT211" s="542">
        <f t="shared" si="90"/>
        <v>0</v>
      </c>
      <c r="BU211" s="536"/>
      <c r="BV211" s="536"/>
      <c r="BW211" s="536"/>
      <c r="BX211" s="542">
        <f t="shared" si="91"/>
        <v>0</v>
      </c>
      <c r="BY211" s="536"/>
      <c r="BZ211" s="536"/>
      <c r="CA211" s="536"/>
      <c r="CB211" s="542">
        <v>0</v>
      </c>
      <c r="CC211" s="536"/>
      <c r="CD211" s="536"/>
      <c r="CE211" s="536"/>
      <c r="CF211" s="541">
        <f t="shared" si="92"/>
        <v>0</v>
      </c>
      <c r="CG211" s="536"/>
      <c r="CH211" s="536"/>
      <c r="CI211" s="536"/>
      <c r="CJ211" s="541">
        <f t="shared" si="93"/>
        <v>0</v>
      </c>
      <c r="CK211" s="536"/>
      <c r="CL211" s="536"/>
      <c r="CM211" s="536"/>
      <c r="CN211" s="541">
        <f t="shared" si="94"/>
        <v>0</v>
      </c>
      <c r="CO211" s="536"/>
      <c r="CP211" s="536"/>
      <c r="CQ211" s="536"/>
      <c r="CR211" s="541">
        <f t="shared" si="95"/>
        <v>0</v>
      </c>
      <c r="CS211" s="536"/>
      <c r="CT211" s="536"/>
      <c r="CU211" s="536"/>
      <c r="CV211" s="541">
        <f t="shared" si="96"/>
        <v>0</v>
      </c>
      <c r="CW211" s="536"/>
      <c r="CX211" s="536"/>
      <c r="CY211" s="536"/>
      <c r="CZ211" s="541">
        <f t="shared" si="97"/>
        <v>0</v>
      </c>
      <c r="DA211" s="536"/>
      <c r="DB211" s="536"/>
      <c r="DC211" s="536"/>
      <c r="DD211" s="541">
        <f t="shared" si="98"/>
        <v>0</v>
      </c>
      <c r="DE211" s="536"/>
      <c r="DF211" s="536"/>
      <c r="DG211" s="536"/>
      <c r="DH211" s="541">
        <f t="shared" si="99"/>
        <v>0</v>
      </c>
      <c r="DI211" s="536"/>
      <c r="DJ211" s="536"/>
      <c r="DK211" s="536"/>
      <c r="DL211" s="541">
        <f t="shared" si="100"/>
        <v>0</v>
      </c>
      <c r="DM211" s="536"/>
      <c r="DN211" s="536"/>
      <c r="DO211" s="536"/>
      <c r="DP211" s="541">
        <f>IF( SUM((DJ211*(20/100))+(DK211*(30/100))+(DL211*(50/100))) &gt;=9.3,9.5,
IF(AND( SUM((DJ211*(20/100))+(DK211*(30/100))+(DL211*(50/100))) &lt;=9.3, SUM((DJ211*(20/100))+(DK211*(30/100))+(DL211*(50/100))) &gt;=8.8),9,
IF(AND( SUM((DJ211*(20/100))+(DK211*(30/100))+(DL211*(50/100))) &lt;=8.8, SUM((DJ211*(20/100))+(DK211*(30/100))+(DL211*(50/100))) &gt;=8.3),8.5,
IF(AND( SUM((DJ211*(20/100))+(DK211*(30/100))+(DL211*(50/100))) &lt;=8.3, SUM((DJ211*(20/100))+(DK211*(30/100))+(DL211*(50/100))) &gt;=7.8),8,
IF(AND( SUM((DJ211*(20/100))+(DK211*(30/100))+(DL211*(50/100))) &lt;=7.8, SUM((DJ211*(20/100))+(DK211*(30/100))+(DL211*(50/100))) &gt;=7.3),7.5,
IF(AND( SUM((DJ211*(20/100))+(DK211*(30/100))+(DL211*(50/100))) &lt;=7.3, SUM((DJ211*(20/100))+(DK211*(30/100))+(DL211*(50/100))) &gt;=6.8),7,
IF(AND( SUM((DJ211*(20/100))+(DK211*(30/100))+(DL211*(50/100))) &lt;=6.8, SUM((DJ211*(20/100))+(DK211*(30/100))+(DL211*(50/100))) &gt;=6.3),6.5,
IF(AND( SUM((DJ211*(20/100))+(DK211*(30/100))+(DL211*(50/100))) &lt;=6.3, SUM((DJ211*(20/100))+(DK211*(30/100))+(DL211*(50/100))) &gt;=5.8),6,
IF(AND( SUM((DJ211*(20/100))+(DK211*(30/100))+(DL211*(50/100))) &lt;=5.8, SUM((DJ211*(20/100))+(DK211*(30/100))+(DL211*(50/100))) &gt;=5.3),5.5,
IF(AND( SUM((DJ211*(20/100))+(DK211*(30/100))+(DL211*(50/100))) &lt;=5.3, SUM((DJ211*(20/100))+(DK211*(30/100))+(DL211*(50/100))) &gt;=4.8),5,
IF(AND( SUM((DJ211*(20/100))+(DK211*(30/100))+(DL211*(50/100))) &lt;=4.8, SUM((DJ211*(20/100))+(DK211*(30/100))+(DL211*(50/100))) &gt;=4.3),4.5,
IF(AND( SUM((DJ211*(20/100))+(DK211*(30/100))+(DL211*(50/100))) &lt;=4.3, SUM((DJ211*(20/100))+(DK211*(30/100))+(DL211*(50/100))) &gt;=3.8),4,
IF(AND( SUM((DJ211*(20/100))+(DK211*(30/100))+(DL211*(50/100))) &lt;=3.8, SUM((DJ211*(20/100))+(DK211*(30/100))+(DL211*(50/100))) &gt;=3.5),3.5,0)))))))))))))</f>
        <v>0</v>
      </c>
      <c r="DQ211" s="541"/>
      <c r="DR211" s="541"/>
      <c r="DS211" s="541"/>
      <c r="DT211" s="541"/>
      <c r="DU211" s="541"/>
      <c r="DV211" s="541"/>
      <c r="DW211" s="541"/>
      <c r="DX211" s="541"/>
      <c r="DY211" s="541"/>
      <c r="DZ211" s="541"/>
    </row>
    <row r="212" spans="2:130" x14ac:dyDescent="0.25">
      <c r="B212" s="334">
        <v>5</v>
      </c>
      <c r="C212" s="541"/>
      <c r="D212" s="334"/>
      <c r="E212" s="334"/>
      <c r="F212" s="334"/>
      <c r="G212" s="334"/>
      <c r="H212" s="334"/>
      <c r="I212" s="334"/>
      <c r="J212" s="536"/>
      <c r="K212" s="536"/>
      <c r="L212" s="536"/>
      <c r="M212" s="536"/>
      <c r="N212" s="536"/>
      <c r="O212" s="536"/>
      <c r="P212" s="536">
        <f t="shared" si="76"/>
        <v>0</v>
      </c>
      <c r="Q212" s="536"/>
      <c r="R212" s="536"/>
      <c r="S212" s="536"/>
      <c r="T212" s="536">
        <f t="shared" si="77"/>
        <v>0</v>
      </c>
      <c r="U212" s="536"/>
      <c r="V212" s="536"/>
      <c r="W212" s="536"/>
      <c r="X212" s="536">
        <f t="shared" si="78"/>
        <v>0</v>
      </c>
      <c r="Y212" s="536"/>
      <c r="Z212" s="536"/>
      <c r="AA212" s="536"/>
      <c r="AB212" s="536">
        <f t="shared" si="79"/>
        <v>0</v>
      </c>
      <c r="AC212" s="536"/>
      <c r="AD212" s="536"/>
      <c r="AE212" s="536"/>
      <c r="AF212" s="536">
        <f t="shared" si="80"/>
        <v>0</v>
      </c>
      <c r="AG212" s="536"/>
      <c r="AH212" s="536"/>
      <c r="AI212" s="536"/>
      <c r="AJ212" s="536">
        <f t="shared" si="81"/>
        <v>0</v>
      </c>
      <c r="AK212" s="536"/>
      <c r="AL212" s="536"/>
      <c r="AM212" s="536"/>
      <c r="AN212" s="542">
        <f t="shared" si="82"/>
        <v>0</v>
      </c>
      <c r="AO212" s="536"/>
      <c r="AP212" s="536"/>
      <c r="AQ212" s="536"/>
      <c r="AR212" s="542">
        <f t="shared" si="83"/>
        <v>0</v>
      </c>
      <c r="AS212" s="536"/>
      <c r="AT212" s="536"/>
      <c r="AU212" s="536"/>
      <c r="AV212" s="542">
        <f t="shared" si="84"/>
        <v>0</v>
      </c>
      <c r="AW212" s="536"/>
      <c r="AX212" s="536"/>
      <c r="AY212" s="536"/>
      <c r="AZ212" s="542">
        <f t="shared" si="85"/>
        <v>0</v>
      </c>
      <c r="BA212" s="536"/>
      <c r="BB212" s="536"/>
      <c r="BC212" s="536"/>
      <c r="BD212" s="542">
        <f t="shared" si="86"/>
        <v>0</v>
      </c>
      <c r="BE212" s="536"/>
      <c r="BF212" s="536"/>
      <c r="BG212" s="536"/>
      <c r="BH212" s="542">
        <f t="shared" si="87"/>
        <v>0</v>
      </c>
      <c r="BI212" s="536"/>
      <c r="BJ212" s="536"/>
      <c r="BK212" s="536"/>
      <c r="BL212" s="542">
        <f t="shared" si="88"/>
        <v>0</v>
      </c>
      <c r="BM212" s="536"/>
      <c r="BN212" s="536"/>
      <c r="BO212" s="536"/>
      <c r="BP212" s="542">
        <f t="shared" si="89"/>
        <v>0</v>
      </c>
      <c r="BQ212" s="536"/>
      <c r="BR212" s="536"/>
      <c r="BS212" s="536"/>
      <c r="BT212" s="542">
        <f t="shared" si="90"/>
        <v>0</v>
      </c>
      <c r="BU212" s="536"/>
      <c r="BV212" s="536"/>
      <c r="BW212" s="536"/>
      <c r="BX212" s="542">
        <f t="shared" si="91"/>
        <v>0</v>
      </c>
      <c r="BY212" s="536"/>
      <c r="BZ212" s="536"/>
      <c r="CA212" s="536"/>
      <c r="CB212" s="542">
        <v>0</v>
      </c>
      <c r="CC212" s="536"/>
      <c r="CD212" s="536"/>
      <c r="CE212" s="536"/>
      <c r="CF212" s="541">
        <f t="shared" si="92"/>
        <v>0</v>
      </c>
      <c r="CG212" s="536"/>
      <c r="CH212" s="536"/>
      <c r="CI212" s="536"/>
      <c r="CJ212" s="541">
        <f t="shared" si="93"/>
        <v>0</v>
      </c>
      <c r="CK212" s="536"/>
      <c r="CL212" s="536"/>
      <c r="CM212" s="536"/>
      <c r="CN212" s="541">
        <f t="shared" si="94"/>
        <v>0</v>
      </c>
      <c r="CO212" s="536"/>
      <c r="CP212" s="536"/>
      <c r="CQ212" s="536"/>
      <c r="CR212" s="541">
        <f t="shared" si="95"/>
        <v>0</v>
      </c>
      <c r="CS212" s="536"/>
      <c r="CT212" s="536"/>
      <c r="CU212" s="536"/>
      <c r="CV212" s="541">
        <f t="shared" si="96"/>
        <v>0</v>
      </c>
      <c r="CW212" s="536"/>
      <c r="CX212" s="536"/>
      <c r="CY212" s="536"/>
      <c r="CZ212" s="541">
        <f t="shared" si="97"/>
        <v>0</v>
      </c>
      <c r="DA212" s="536"/>
      <c r="DB212" s="536"/>
      <c r="DC212" s="536"/>
      <c r="DD212" s="541">
        <f t="shared" si="98"/>
        <v>0</v>
      </c>
      <c r="DE212" s="536"/>
      <c r="DF212" s="536"/>
      <c r="DG212" s="536"/>
      <c r="DH212" s="541">
        <f t="shared" si="99"/>
        <v>0</v>
      </c>
      <c r="DI212" s="536"/>
      <c r="DJ212" s="536"/>
      <c r="DK212" s="536"/>
      <c r="DL212" s="541">
        <f t="shared" si="100"/>
        <v>0</v>
      </c>
      <c r="DM212" s="536"/>
      <c r="DN212" s="536"/>
      <c r="DO212" s="536"/>
      <c r="DP212" s="541">
        <f>IF( SUM((DJ212*(20/100))+(DK212*(30/100))+(DL212*(50/100))) &gt;=9.3,9.5,
IF(AND( SUM((DJ212*(20/100))+(DK212*(30/100))+(DL212*(50/100))) &lt;=9.3, SUM((DJ212*(20/100))+(DK212*(30/100))+(DL212*(50/100))) &gt;=8.8),9,
IF(AND( SUM((DJ212*(20/100))+(DK212*(30/100))+(DL212*(50/100))) &lt;=8.8, SUM((DJ212*(20/100))+(DK212*(30/100))+(DL212*(50/100))) &gt;=8.3),8.5,
IF(AND( SUM((DJ212*(20/100))+(DK212*(30/100))+(DL212*(50/100))) &lt;=8.3, SUM((DJ212*(20/100))+(DK212*(30/100))+(DL212*(50/100))) &gt;=7.8),8,
IF(AND( SUM((DJ212*(20/100))+(DK212*(30/100))+(DL212*(50/100))) &lt;=7.8, SUM((DJ212*(20/100))+(DK212*(30/100))+(DL212*(50/100))) &gt;=7.3),7.5,
IF(AND( SUM((DJ212*(20/100))+(DK212*(30/100))+(DL212*(50/100))) &lt;=7.3, SUM((DJ212*(20/100))+(DK212*(30/100))+(DL212*(50/100))) &gt;=6.8),7,
IF(AND( SUM((DJ212*(20/100))+(DK212*(30/100))+(DL212*(50/100))) &lt;=6.8, SUM((DJ212*(20/100))+(DK212*(30/100))+(DL212*(50/100))) &gt;=6.3),6.5,
IF(AND( SUM((DJ212*(20/100))+(DK212*(30/100))+(DL212*(50/100))) &lt;=6.3, SUM((DJ212*(20/100))+(DK212*(30/100))+(DL212*(50/100))) &gt;=5.8),6,
IF(AND( SUM((DJ212*(20/100))+(DK212*(30/100))+(DL212*(50/100))) &lt;=5.8, SUM((DJ212*(20/100))+(DK212*(30/100))+(DL212*(50/100))) &gt;=5.3),5.5,
IF(AND( SUM((DJ212*(20/100))+(DK212*(30/100))+(DL212*(50/100))) &lt;=5.3, SUM((DJ212*(20/100))+(DK212*(30/100))+(DL212*(50/100))) &gt;=4.8),5,
IF(AND( SUM((DJ212*(20/100))+(DK212*(30/100))+(DL212*(50/100))) &lt;=4.8, SUM((DJ212*(20/100))+(DK212*(30/100))+(DL212*(50/100))) &gt;=4.3),4.5,
IF(AND( SUM((DJ212*(20/100))+(DK212*(30/100))+(DL212*(50/100))) &lt;=4.3, SUM((DJ212*(20/100))+(DK212*(30/100))+(DL212*(50/100))) &gt;=3.8),4,
IF(AND( SUM((DJ212*(20/100))+(DK212*(30/100))+(DL212*(50/100))) &lt;=3.8, SUM((DJ212*(20/100))+(DK212*(30/100))+(DL212*(50/100))) &gt;=3.5),3.5,0)))))))))))))</f>
        <v>0</v>
      </c>
      <c r="DQ212" s="541"/>
      <c r="DR212" s="541"/>
      <c r="DS212" s="541"/>
      <c r="DT212" s="541"/>
      <c r="DU212" s="541"/>
      <c r="DV212" s="541"/>
      <c r="DW212" s="541"/>
      <c r="DX212" s="541"/>
      <c r="DY212" s="541"/>
      <c r="DZ212" s="541"/>
    </row>
    <row r="213" spans="2:130" x14ac:dyDescent="0.25">
      <c r="B213" s="334">
        <v>6</v>
      </c>
      <c r="C213" s="541"/>
      <c r="D213" s="334"/>
      <c r="E213" s="334"/>
      <c r="F213" s="334"/>
      <c r="G213" s="334"/>
      <c r="H213" s="334"/>
      <c r="I213" s="334"/>
      <c r="J213" s="536"/>
      <c r="K213" s="536"/>
      <c r="L213" s="536"/>
      <c r="M213" s="536"/>
      <c r="N213" s="536"/>
      <c r="O213" s="536"/>
      <c r="P213" s="536">
        <f t="shared" si="76"/>
        <v>0</v>
      </c>
      <c r="Q213" s="536"/>
      <c r="R213" s="536"/>
      <c r="S213" s="536"/>
      <c r="T213" s="536">
        <f t="shared" si="77"/>
        <v>0</v>
      </c>
      <c r="U213" s="536"/>
      <c r="V213" s="536"/>
      <c r="W213" s="536"/>
      <c r="X213" s="536">
        <f t="shared" si="78"/>
        <v>0</v>
      </c>
      <c r="Y213" s="536"/>
      <c r="Z213" s="536"/>
      <c r="AA213" s="536"/>
      <c r="AB213" s="536">
        <f t="shared" si="79"/>
        <v>0</v>
      </c>
      <c r="AC213" s="536"/>
      <c r="AD213" s="536"/>
      <c r="AE213" s="536"/>
      <c r="AF213" s="536">
        <f t="shared" si="80"/>
        <v>0</v>
      </c>
      <c r="AG213" s="536"/>
      <c r="AH213" s="536"/>
      <c r="AI213" s="536"/>
      <c r="AJ213" s="536">
        <f t="shared" si="81"/>
        <v>0</v>
      </c>
      <c r="AK213" s="536"/>
      <c r="AL213" s="536"/>
      <c r="AM213" s="536"/>
      <c r="AN213" s="542">
        <f t="shared" si="82"/>
        <v>0</v>
      </c>
      <c r="AO213" s="536"/>
      <c r="AP213" s="536"/>
      <c r="AQ213" s="536"/>
      <c r="AR213" s="542">
        <f t="shared" si="83"/>
        <v>0</v>
      </c>
      <c r="AS213" s="536"/>
      <c r="AT213" s="536"/>
      <c r="AU213" s="536"/>
      <c r="AV213" s="542">
        <f t="shared" si="84"/>
        <v>0</v>
      </c>
      <c r="AW213" s="536"/>
      <c r="AX213" s="536"/>
      <c r="AY213" s="536"/>
      <c r="AZ213" s="542">
        <f t="shared" si="85"/>
        <v>0</v>
      </c>
      <c r="BA213" s="536"/>
      <c r="BB213" s="536"/>
      <c r="BC213" s="536"/>
      <c r="BD213" s="542">
        <f t="shared" si="86"/>
        <v>0</v>
      </c>
      <c r="BE213" s="536"/>
      <c r="BF213" s="536"/>
      <c r="BG213" s="536"/>
      <c r="BH213" s="542">
        <f t="shared" si="87"/>
        <v>0</v>
      </c>
      <c r="BI213" s="536"/>
      <c r="BJ213" s="536"/>
      <c r="BK213" s="536"/>
      <c r="BL213" s="542">
        <f t="shared" si="88"/>
        <v>0</v>
      </c>
      <c r="BM213" s="536"/>
      <c r="BN213" s="536"/>
      <c r="BO213" s="536"/>
      <c r="BP213" s="542">
        <f t="shared" si="89"/>
        <v>0</v>
      </c>
      <c r="BQ213" s="536"/>
      <c r="BR213" s="536"/>
      <c r="BS213" s="536"/>
      <c r="BT213" s="542">
        <f t="shared" si="90"/>
        <v>0</v>
      </c>
      <c r="BU213" s="536"/>
      <c r="BV213" s="536"/>
      <c r="BW213" s="536"/>
      <c r="BX213" s="542">
        <f t="shared" si="91"/>
        <v>0</v>
      </c>
      <c r="BY213" s="536"/>
      <c r="BZ213" s="536"/>
      <c r="CA213" s="536"/>
      <c r="CB213" s="542">
        <v>0</v>
      </c>
      <c r="CC213" s="536"/>
      <c r="CD213" s="536"/>
      <c r="CE213" s="536"/>
      <c r="CF213" s="541">
        <f t="shared" si="92"/>
        <v>0</v>
      </c>
      <c r="CG213" s="536"/>
      <c r="CH213" s="536"/>
      <c r="CI213" s="536"/>
      <c r="CJ213" s="541">
        <f t="shared" si="93"/>
        <v>0</v>
      </c>
      <c r="CK213" s="536"/>
      <c r="CL213" s="536"/>
      <c r="CM213" s="536"/>
      <c r="CN213" s="541">
        <f t="shared" si="94"/>
        <v>0</v>
      </c>
      <c r="CO213" s="536"/>
      <c r="CP213" s="536"/>
      <c r="CQ213" s="536"/>
      <c r="CR213" s="541">
        <f t="shared" si="95"/>
        <v>0</v>
      </c>
      <c r="CS213" s="536"/>
      <c r="CT213" s="536"/>
      <c r="CU213" s="536"/>
      <c r="CV213" s="541">
        <f t="shared" si="96"/>
        <v>0</v>
      </c>
      <c r="CW213" s="536"/>
      <c r="CX213" s="536"/>
      <c r="CY213" s="536"/>
      <c r="CZ213" s="541">
        <f t="shared" si="97"/>
        <v>0</v>
      </c>
      <c r="DA213" s="536"/>
      <c r="DB213" s="536"/>
      <c r="DC213" s="536"/>
      <c r="DD213" s="541">
        <f t="shared" si="98"/>
        <v>0</v>
      </c>
      <c r="DE213" s="536"/>
      <c r="DF213" s="536"/>
      <c r="DG213" s="536"/>
      <c r="DH213" s="541">
        <f t="shared" si="99"/>
        <v>0</v>
      </c>
      <c r="DI213" s="536"/>
      <c r="DJ213" s="536"/>
      <c r="DK213" s="536"/>
      <c r="DL213" s="541">
        <f t="shared" si="100"/>
        <v>0</v>
      </c>
      <c r="DM213" s="536"/>
      <c r="DN213" s="536"/>
      <c r="DO213" s="536"/>
      <c r="DP213" s="541">
        <f>IF( SUM((DJ213*(20/100))+(DK213*(30/100))+(DL213*(50/100))) &gt;=9.3,9.5,
IF(AND( SUM((DJ213*(20/100))+(DK213*(30/100))+(DL213*(50/100))) &lt;=9.3, SUM((DJ213*(20/100))+(DK213*(30/100))+(DL213*(50/100))) &gt;=8.8),9,
IF(AND( SUM((DJ213*(20/100))+(DK213*(30/100))+(DL213*(50/100))) &lt;=8.8, SUM((DJ213*(20/100))+(DK213*(30/100))+(DL213*(50/100))) &gt;=8.3),8.5,
IF(AND( SUM((DJ213*(20/100))+(DK213*(30/100))+(DL213*(50/100))) &lt;=8.3, SUM((DJ213*(20/100))+(DK213*(30/100))+(DL213*(50/100))) &gt;=7.8),8,
IF(AND( SUM((DJ213*(20/100))+(DK213*(30/100))+(DL213*(50/100))) &lt;=7.8, SUM((DJ213*(20/100))+(DK213*(30/100))+(DL213*(50/100))) &gt;=7.3),7.5,
IF(AND( SUM((DJ213*(20/100))+(DK213*(30/100))+(DL213*(50/100))) &lt;=7.3, SUM((DJ213*(20/100))+(DK213*(30/100))+(DL213*(50/100))) &gt;=6.8),7,
IF(AND( SUM((DJ213*(20/100))+(DK213*(30/100))+(DL213*(50/100))) &lt;=6.8, SUM((DJ213*(20/100))+(DK213*(30/100))+(DL213*(50/100))) &gt;=6.3),6.5,
IF(AND( SUM((DJ213*(20/100))+(DK213*(30/100))+(DL213*(50/100))) &lt;=6.3, SUM((DJ213*(20/100))+(DK213*(30/100))+(DL213*(50/100))) &gt;=5.8),6,
IF(AND( SUM((DJ213*(20/100))+(DK213*(30/100))+(DL213*(50/100))) &lt;=5.8, SUM((DJ213*(20/100))+(DK213*(30/100))+(DL213*(50/100))) &gt;=5.3),5.5,
IF(AND( SUM((DJ213*(20/100))+(DK213*(30/100))+(DL213*(50/100))) &lt;=5.3, SUM((DJ213*(20/100))+(DK213*(30/100))+(DL213*(50/100))) &gt;=4.8),5,
IF(AND( SUM((DJ213*(20/100))+(DK213*(30/100))+(DL213*(50/100))) &lt;=4.8, SUM((DJ213*(20/100))+(DK213*(30/100))+(DL213*(50/100))) &gt;=4.3),4.5,
IF(AND( SUM((DJ213*(20/100))+(DK213*(30/100))+(DL213*(50/100))) &lt;=4.3, SUM((DJ213*(20/100))+(DK213*(30/100))+(DL213*(50/100))) &gt;=3.8),4,
IF(AND( SUM((DJ213*(20/100))+(DK213*(30/100))+(DL213*(50/100))) &lt;=3.8, SUM((DJ213*(20/100))+(DK213*(30/100))+(DL213*(50/100))) &gt;=3.5),3.5,0)))))))))))))</f>
        <v>0</v>
      </c>
      <c r="DQ213" s="541"/>
      <c r="DR213" s="541"/>
      <c r="DS213" s="541"/>
      <c r="DT213" s="541"/>
      <c r="DU213" s="541"/>
      <c r="DV213" s="541"/>
      <c r="DW213" s="541"/>
      <c r="DX213" s="541"/>
      <c r="DY213" s="541"/>
      <c r="DZ213" s="541"/>
    </row>
    <row r="214" spans="2:130" x14ac:dyDescent="0.25">
      <c r="B214" s="334">
        <v>7</v>
      </c>
      <c r="C214" s="541"/>
      <c r="D214" s="334"/>
      <c r="E214" s="334"/>
      <c r="F214" s="334"/>
      <c r="G214" s="334"/>
      <c r="H214" s="334"/>
      <c r="I214" s="334"/>
      <c r="J214" s="536"/>
      <c r="K214" s="536"/>
      <c r="L214" s="536"/>
      <c r="M214" s="536"/>
      <c r="N214" s="536"/>
      <c r="O214" s="536"/>
      <c r="P214" s="536">
        <f t="shared" si="76"/>
        <v>0</v>
      </c>
      <c r="Q214" s="536"/>
      <c r="R214" s="536"/>
      <c r="S214" s="536"/>
      <c r="T214" s="536">
        <f t="shared" si="77"/>
        <v>0</v>
      </c>
      <c r="U214" s="536"/>
      <c r="V214" s="536"/>
      <c r="W214" s="536"/>
      <c r="X214" s="536">
        <f t="shared" si="78"/>
        <v>0</v>
      </c>
      <c r="Y214" s="536"/>
      <c r="Z214" s="536"/>
      <c r="AA214" s="536"/>
      <c r="AB214" s="536">
        <f t="shared" si="79"/>
        <v>0</v>
      </c>
      <c r="AC214" s="536"/>
      <c r="AD214" s="536"/>
      <c r="AE214" s="536"/>
      <c r="AF214" s="536">
        <f t="shared" si="80"/>
        <v>0</v>
      </c>
      <c r="AG214" s="536"/>
      <c r="AH214" s="536"/>
      <c r="AI214" s="536"/>
      <c r="AJ214" s="536">
        <f t="shared" si="81"/>
        <v>0</v>
      </c>
      <c r="AK214" s="536"/>
      <c r="AL214" s="536"/>
      <c r="AM214" s="536"/>
      <c r="AN214" s="542">
        <f t="shared" si="82"/>
        <v>0</v>
      </c>
      <c r="AO214" s="536"/>
      <c r="AP214" s="536"/>
      <c r="AQ214" s="536"/>
      <c r="AR214" s="542">
        <f t="shared" si="83"/>
        <v>0</v>
      </c>
      <c r="AS214" s="536"/>
      <c r="AT214" s="536"/>
      <c r="AU214" s="536"/>
      <c r="AV214" s="542">
        <f t="shared" si="84"/>
        <v>0</v>
      </c>
      <c r="AW214" s="536"/>
      <c r="AX214" s="536"/>
      <c r="AY214" s="536"/>
      <c r="AZ214" s="542">
        <f t="shared" si="85"/>
        <v>0</v>
      </c>
      <c r="BA214" s="536"/>
      <c r="BB214" s="536"/>
      <c r="BC214" s="536"/>
      <c r="BD214" s="542">
        <f t="shared" si="86"/>
        <v>0</v>
      </c>
      <c r="BE214" s="536"/>
      <c r="BF214" s="536"/>
      <c r="BG214" s="536"/>
      <c r="BH214" s="542">
        <f t="shared" si="87"/>
        <v>0</v>
      </c>
      <c r="BI214" s="536"/>
      <c r="BJ214" s="536"/>
      <c r="BK214" s="536"/>
      <c r="BL214" s="542">
        <f t="shared" si="88"/>
        <v>0</v>
      </c>
      <c r="BM214" s="536"/>
      <c r="BN214" s="536"/>
      <c r="BO214" s="536"/>
      <c r="BP214" s="542">
        <f t="shared" si="89"/>
        <v>0</v>
      </c>
      <c r="BQ214" s="536"/>
      <c r="BR214" s="536"/>
      <c r="BS214" s="536"/>
      <c r="BT214" s="542">
        <f t="shared" si="90"/>
        <v>0</v>
      </c>
      <c r="BU214" s="536"/>
      <c r="BV214" s="536"/>
      <c r="BW214" s="536"/>
      <c r="BX214" s="542">
        <f t="shared" si="91"/>
        <v>0</v>
      </c>
      <c r="BY214" s="536"/>
      <c r="BZ214" s="536"/>
      <c r="CA214" s="536"/>
      <c r="CB214" s="542">
        <v>0</v>
      </c>
      <c r="CC214" s="536"/>
      <c r="CD214" s="536"/>
      <c r="CE214" s="536"/>
      <c r="CF214" s="541">
        <f t="shared" si="92"/>
        <v>0</v>
      </c>
      <c r="CG214" s="536"/>
      <c r="CH214" s="536"/>
      <c r="CI214" s="536"/>
      <c r="CJ214" s="541">
        <f t="shared" si="93"/>
        <v>0</v>
      </c>
      <c r="CK214" s="536"/>
      <c r="CL214" s="536"/>
      <c r="CM214" s="536"/>
      <c r="CN214" s="541">
        <f t="shared" si="94"/>
        <v>0</v>
      </c>
      <c r="CO214" s="536"/>
      <c r="CP214" s="536"/>
      <c r="CQ214" s="536"/>
      <c r="CR214" s="541">
        <f t="shared" si="95"/>
        <v>0</v>
      </c>
      <c r="CS214" s="536"/>
      <c r="CT214" s="536"/>
      <c r="CU214" s="536"/>
      <c r="CV214" s="541">
        <f t="shared" si="96"/>
        <v>0</v>
      </c>
      <c r="CW214" s="536"/>
      <c r="CX214" s="536"/>
      <c r="CY214" s="536"/>
      <c r="CZ214" s="541">
        <f t="shared" si="97"/>
        <v>0</v>
      </c>
      <c r="DA214" s="536"/>
      <c r="DB214" s="536"/>
      <c r="DC214" s="536"/>
      <c r="DD214" s="541">
        <f t="shared" si="98"/>
        <v>0</v>
      </c>
      <c r="DE214" s="536"/>
      <c r="DF214" s="536"/>
      <c r="DG214" s="536"/>
      <c r="DH214" s="541">
        <f t="shared" si="99"/>
        <v>0</v>
      </c>
      <c r="DI214" s="536"/>
      <c r="DJ214" s="536"/>
      <c r="DK214" s="536"/>
      <c r="DL214" s="541">
        <f t="shared" si="100"/>
        <v>0</v>
      </c>
      <c r="DM214" s="536"/>
      <c r="DN214" s="536"/>
      <c r="DO214" s="536"/>
      <c r="DP214" s="541">
        <f>IF( SUM((DJ214*(20/100))+(DK214*(30/100))+(DL214*(50/100))) &gt;=9.3,9.5,
IF(AND( SUM((DJ214*(20/100))+(DK214*(30/100))+(DL214*(50/100))) &lt;=9.3, SUM((DJ214*(20/100))+(DK214*(30/100))+(DL214*(50/100))) &gt;=8.8),9,
IF(AND( SUM((DJ214*(20/100))+(DK214*(30/100))+(DL214*(50/100))) &lt;=8.8, SUM((DJ214*(20/100))+(DK214*(30/100))+(DL214*(50/100))) &gt;=8.3),8.5,
IF(AND( SUM((DJ214*(20/100))+(DK214*(30/100))+(DL214*(50/100))) &lt;=8.3, SUM((DJ214*(20/100))+(DK214*(30/100))+(DL214*(50/100))) &gt;=7.8),8,
IF(AND( SUM((DJ214*(20/100))+(DK214*(30/100))+(DL214*(50/100))) &lt;=7.8, SUM((DJ214*(20/100))+(DK214*(30/100))+(DL214*(50/100))) &gt;=7.3),7.5,
IF(AND( SUM((DJ214*(20/100))+(DK214*(30/100))+(DL214*(50/100))) &lt;=7.3, SUM((DJ214*(20/100))+(DK214*(30/100))+(DL214*(50/100))) &gt;=6.8),7,
IF(AND( SUM((DJ214*(20/100))+(DK214*(30/100))+(DL214*(50/100))) &lt;=6.8, SUM((DJ214*(20/100))+(DK214*(30/100))+(DL214*(50/100))) &gt;=6.3),6.5,
IF(AND( SUM((DJ214*(20/100))+(DK214*(30/100))+(DL214*(50/100))) &lt;=6.3, SUM((DJ214*(20/100))+(DK214*(30/100))+(DL214*(50/100))) &gt;=5.8),6,
IF(AND( SUM((DJ214*(20/100))+(DK214*(30/100))+(DL214*(50/100))) &lt;=5.8, SUM((DJ214*(20/100))+(DK214*(30/100))+(DL214*(50/100))) &gt;=5.3),5.5,
IF(AND( SUM((DJ214*(20/100))+(DK214*(30/100))+(DL214*(50/100))) &lt;=5.3, SUM((DJ214*(20/100))+(DK214*(30/100))+(DL214*(50/100))) &gt;=4.8),5,
IF(AND( SUM((DJ214*(20/100))+(DK214*(30/100))+(DL214*(50/100))) &lt;=4.8, SUM((DJ214*(20/100))+(DK214*(30/100))+(DL214*(50/100))) &gt;=4.3),4.5,
IF(AND( SUM((DJ214*(20/100))+(DK214*(30/100))+(DL214*(50/100))) &lt;=4.3, SUM((DJ214*(20/100))+(DK214*(30/100))+(DL214*(50/100))) &gt;=3.8),4,
IF(AND( SUM((DJ214*(20/100))+(DK214*(30/100))+(DL214*(50/100))) &lt;=3.8, SUM((DJ214*(20/100))+(DK214*(30/100))+(DL214*(50/100))) &gt;=3.5),3.5,0)))))))))))))</f>
        <v>0</v>
      </c>
      <c r="DQ214" s="541"/>
      <c r="DR214" s="541"/>
      <c r="DS214" s="541"/>
      <c r="DT214" s="541"/>
      <c r="DU214" s="541"/>
      <c r="DV214" s="541"/>
      <c r="DW214" s="541"/>
      <c r="DX214" s="541"/>
      <c r="DY214" s="541"/>
      <c r="DZ214" s="541"/>
    </row>
    <row r="215" spans="2:130" x14ac:dyDescent="0.25">
      <c r="B215" s="334">
        <v>8</v>
      </c>
      <c r="C215" s="541"/>
      <c r="D215" s="334"/>
      <c r="E215" s="334"/>
      <c r="F215" s="334"/>
      <c r="G215" s="334"/>
      <c r="H215" s="334"/>
      <c r="I215" s="334"/>
      <c r="J215" s="536"/>
      <c r="K215" s="536"/>
      <c r="L215" s="536"/>
      <c r="M215" s="536"/>
      <c r="N215" s="536"/>
      <c r="O215" s="536"/>
      <c r="P215" s="536">
        <f t="shared" si="76"/>
        <v>0</v>
      </c>
      <c r="Q215" s="536"/>
      <c r="R215" s="536"/>
      <c r="S215" s="536"/>
      <c r="T215" s="536">
        <f t="shared" si="77"/>
        <v>0</v>
      </c>
      <c r="U215" s="536"/>
      <c r="V215" s="536"/>
      <c r="W215" s="536"/>
      <c r="X215" s="536">
        <f t="shared" si="78"/>
        <v>0</v>
      </c>
      <c r="Y215" s="536"/>
      <c r="Z215" s="536"/>
      <c r="AA215" s="536"/>
      <c r="AB215" s="536">
        <f t="shared" si="79"/>
        <v>0</v>
      </c>
      <c r="AC215" s="536"/>
      <c r="AD215" s="536"/>
      <c r="AE215" s="536"/>
      <c r="AF215" s="536">
        <f t="shared" si="80"/>
        <v>0</v>
      </c>
      <c r="AG215" s="536"/>
      <c r="AH215" s="536"/>
      <c r="AI215" s="536"/>
      <c r="AJ215" s="536">
        <f t="shared" si="81"/>
        <v>0</v>
      </c>
      <c r="AK215" s="536"/>
      <c r="AL215" s="536"/>
      <c r="AM215" s="536"/>
      <c r="AN215" s="542">
        <f t="shared" si="82"/>
        <v>0</v>
      </c>
      <c r="AO215" s="536"/>
      <c r="AP215" s="536"/>
      <c r="AQ215" s="536"/>
      <c r="AR215" s="542">
        <f t="shared" si="83"/>
        <v>0</v>
      </c>
      <c r="AS215" s="536"/>
      <c r="AT215" s="536"/>
      <c r="AU215" s="536"/>
      <c r="AV215" s="542">
        <f t="shared" si="84"/>
        <v>0</v>
      </c>
      <c r="AW215" s="536"/>
      <c r="AX215" s="536"/>
      <c r="AY215" s="536"/>
      <c r="AZ215" s="542">
        <f t="shared" si="85"/>
        <v>0</v>
      </c>
      <c r="BA215" s="536"/>
      <c r="BB215" s="536"/>
      <c r="BC215" s="536"/>
      <c r="BD215" s="542">
        <f t="shared" si="86"/>
        <v>0</v>
      </c>
      <c r="BE215" s="536"/>
      <c r="BF215" s="536"/>
      <c r="BG215" s="536"/>
      <c r="BH215" s="542">
        <f t="shared" si="87"/>
        <v>0</v>
      </c>
      <c r="BI215" s="536"/>
      <c r="BJ215" s="536"/>
      <c r="BK215" s="536"/>
      <c r="BL215" s="542">
        <f t="shared" si="88"/>
        <v>0</v>
      </c>
      <c r="BM215" s="536"/>
      <c r="BN215" s="536"/>
      <c r="BO215" s="536"/>
      <c r="BP215" s="542">
        <f t="shared" si="89"/>
        <v>0</v>
      </c>
      <c r="BQ215" s="536"/>
      <c r="BR215" s="536"/>
      <c r="BS215" s="536"/>
      <c r="BT215" s="542">
        <f t="shared" si="90"/>
        <v>0</v>
      </c>
      <c r="BU215" s="536"/>
      <c r="BV215" s="536"/>
      <c r="BW215" s="536"/>
      <c r="BX215" s="542">
        <f t="shared" si="91"/>
        <v>0</v>
      </c>
      <c r="BY215" s="536"/>
      <c r="BZ215" s="536"/>
      <c r="CA215" s="536"/>
      <c r="CB215" s="542">
        <v>0</v>
      </c>
      <c r="CC215" s="536"/>
      <c r="CD215" s="536"/>
      <c r="CE215" s="536"/>
      <c r="CF215" s="541">
        <f t="shared" si="92"/>
        <v>0</v>
      </c>
      <c r="CG215" s="536"/>
      <c r="CH215" s="536"/>
      <c r="CI215" s="536"/>
      <c r="CJ215" s="541">
        <f t="shared" si="93"/>
        <v>0</v>
      </c>
      <c r="CK215" s="536"/>
      <c r="CL215" s="536"/>
      <c r="CM215" s="536"/>
      <c r="CN215" s="541">
        <f t="shared" si="94"/>
        <v>0</v>
      </c>
      <c r="CO215" s="536"/>
      <c r="CP215" s="536"/>
      <c r="CQ215" s="536"/>
      <c r="CR215" s="541">
        <f t="shared" si="95"/>
        <v>0</v>
      </c>
      <c r="CS215" s="536"/>
      <c r="CT215" s="536"/>
      <c r="CU215" s="536"/>
      <c r="CV215" s="541">
        <f t="shared" si="96"/>
        <v>0</v>
      </c>
      <c r="CW215" s="536"/>
      <c r="CX215" s="536"/>
      <c r="CY215" s="536"/>
      <c r="CZ215" s="541">
        <f t="shared" si="97"/>
        <v>0</v>
      </c>
      <c r="DA215" s="536"/>
      <c r="DB215" s="536"/>
      <c r="DC215" s="536"/>
      <c r="DD215" s="541">
        <f t="shared" si="98"/>
        <v>0</v>
      </c>
      <c r="DE215" s="536"/>
      <c r="DF215" s="536"/>
      <c r="DG215" s="536"/>
      <c r="DH215" s="541">
        <f t="shared" si="99"/>
        <v>0</v>
      </c>
      <c r="DI215" s="536"/>
      <c r="DJ215" s="536"/>
      <c r="DK215" s="536"/>
      <c r="DL215" s="541">
        <f t="shared" si="100"/>
        <v>0</v>
      </c>
      <c r="DM215" s="536"/>
      <c r="DN215" s="536"/>
      <c r="DO215" s="536"/>
      <c r="DP215" s="541">
        <f>IF( SUM((DJ215*(20/100))+(DK215*(30/100))+(DL215*(50/100))) &gt;=9.3,9.5,
IF(AND( SUM((DJ215*(20/100))+(DK215*(30/100))+(DL215*(50/100))) &lt;=9.3, SUM((DJ215*(20/100))+(DK215*(30/100))+(DL215*(50/100))) &gt;=8.8),9,
IF(AND( SUM((DJ215*(20/100))+(DK215*(30/100))+(DL215*(50/100))) &lt;=8.8, SUM((DJ215*(20/100))+(DK215*(30/100))+(DL215*(50/100))) &gt;=8.3),8.5,
IF(AND( SUM((DJ215*(20/100))+(DK215*(30/100))+(DL215*(50/100))) &lt;=8.3, SUM((DJ215*(20/100))+(DK215*(30/100))+(DL215*(50/100))) &gt;=7.8),8,
IF(AND( SUM((DJ215*(20/100))+(DK215*(30/100))+(DL215*(50/100))) &lt;=7.8, SUM((DJ215*(20/100))+(DK215*(30/100))+(DL215*(50/100))) &gt;=7.3),7.5,
IF(AND( SUM((DJ215*(20/100))+(DK215*(30/100))+(DL215*(50/100))) &lt;=7.3, SUM((DJ215*(20/100))+(DK215*(30/100))+(DL215*(50/100))) &gt;=6.8),7,
IF(AND( SUM((DJ215*(20/100))+(DK215*(30/100))+(DL215*(50/100))) &lt;=6.8, SUM((DJ215*(20/100))+(DK215*(30/100))+(DL215*(50/100))) &gt;=6.3),6.5,
IF(AND( SUM((DJ215*(20/100))+(DK215*(30/100))+(DL215*(50/100))) &lt;=6.3, SUM((DJ215*(20/100))+(DK215*(30/100))+(DL215*(50/100))) &gt;=5.8),6,
IF(AND( SUM((DJ215*(20/100))+(DK215*(30/100))+(DL215*(50/100))) &lt;=5.8, SUM((DJ215*(20/100))+(DK215*(30/100))+(DL215*(50/100))) &gt;=5.3),5.5,
IF(AND( SUM((DJ215*(20/100))+(DK215*(30/100))+(DL215*(50/100))) &lt;=5.3, SUM((DJ215*(20/100))+(DK215*(30/100))+(DL215*(50/100))) &gt;=4.8),5,
IF(AND( SUM((DJ215*(20/100))+(DK215*(30/100))+(DL215*(50/100))) &lt;=4.8, SUM((DJ215*(20/100))+(DK215*(30/100))+(DL215*(50/100))) &gt;=4.3),4.5,
IF(AND( SUM((DJ215*(20/100))+(DK215*(30/100))+(DL215*(50/100))) &lt;=4.3, SUM((DJ215*(20/100))+(DK215*(30/100))+(DL215*(50/100))) &gt;=3.8),4,
IF(AND( SUM((DJ215*(20/100))+(DK215*(30/100))+(DL215*(50/100))) &lt;=3.8, SUM((DJ215*(20/100))+(DK215*(30/100))+(DL215*(50/100))) &gt;=3.5),3.5,0)))))))))))))</f>
        <v>0</v>
      </c>
      <c r="DQ215" s="541"/>
      <c r="DR215" s="541"/>
      <c r="DS215" s="541"/>
      <c r="DT215" s="541"/>
      <c r="DU215" s="541"/>
      <c r="DV215" s="541"/>
      <c r="DW215" s="541"/>
      <c r="DX215" s="541"/>
      <c r="DY215" s="541"/>
      <c r="DZ215" s="541"/>
    </row>
    <row r="216" spans="2:130" x14ac:dyDescent="0.25">
      <c r="B216" s="334">
        <v>9</v>
      </c>
      <c r="C216" s="541"/>
      <c r="D216" s="334"/>
      <c r="E216" s="334"/>
      <c r="F216" s="334"/>
      <c r="G216" s="334"/>
      <c r="H216" s="334"/>
      <c r="I216" s="334"/>
      <c r="J216" s="536"/>
      <c r="K216" s="536"/>
      <c r="L216" s="536"/>
      <c r="M216" s="536"/>
      <c r="N216" s="536"/>
      <c r="O216" s="536"/>
      <c r="P216" s="536">
        <f t="shared" si="76"/>
        <v>0</v>
      </c>
      <c r="Q216" s="536"/>
      <c r="R216" s="536"/>
      <c r="S216" s="536"/>
      <c r="T216" s="536">
        <f t="shared" si="77"/>
        <v>0</v>
      </c>
      <c r="U216" s="536"/>
      <c r="V216" s="536"/>
      <c r="W216" s="536"/>
      <c r="X216" s="536">
        <f t="shared" si="78"/>
        <v>0</v>
      </c>
      <c r="Y216" s="536"/>
      <c r="Z216" s="536"/>
      <c r="AA216" s="536"/>
      <c r="AB216" s="536">
        <f t="shared" si="79"/>
        <v>0</v>
      </c>
      <c r="AC216" s="536"/>
      <c r="AD216" s="536"/>
      <c r="AE216" s="536"/>
      <c r="AF216" s="536">
        <f t="shared" si="80"/>
        <v>0</v>
      </c>
      <c r="AG216" s="536"/>
      <c r="AH216" s="536"/>
      <c r="AI216" s="536"/>
      <c r="AJ216" s="536">
        <f t="shared" si="81"/>
        <v>0</v>
      </c>
      <c r="AK216" s="536"/>
      <c r="AL216" s="536"/>
      <c r="AM216" s="536"/>
      <c r="AN216" s="542">
        <f t="shared" si="82"/>
        <v>0</v>
      </c>
      <c r="AO216" s="536"/>
      <c r="AP216" s="536"/>
      <c r="AQ216" s="536"/>
      <c r="AR216" s="542">
        <f t="shared" si="83"/>
        <v>0</v>
      </c>
      <c r="AS216" s="536"/>
      <c r="AT216" s="536"/>
      <c r="AU216" s="536"/>
      <c r="AV216" s="542">
        <f t="shared" si="84"/>
        <v>0</v>
      </c>
      <c r="AW216" s="536"/>
      <c r="AX216" s="536"/>
      <c r="AY216" s="536"/>
      <c r="AZ216" s="542">
        <f t="shared" si="85"/>
        <v>0</v>
      </c>
      <c r="BA216" s="536"/>
      <c r="BB216" s="536"/>
      <c r="BC216" s="536"/>
      <c r="BD216" s="542">
        <f t="shared" si="86"/>
        <v>0</v>
      </c>
      <c r="BE216" s="536"/>
      <c r="BF216" s="536"/>
      <c r="BG216" s="536"/>
      <c r="BH216" s="542">
        <f t="shared" si="87"/>
        <v>0</v>
      </c>
      <c r="BI216" s="536"/>
      <c r="BJ216" s="536"/>
      <c r="BK216" s="536"/>
      <c r="BL216" s="542">
        <f t="shared" si="88"/>
        <v>0</v>
      </c>
      <c r="BM216" s="536"/>
      <c r="BN216" s="536"/>
      <c r="BO216" s="536"/>
      <c r="BP216" s="542">
        <f t="shared" si="89"/>
        <v>0</v>
      </c>
      <c r="BQ216" s="536"/>
      <c r="BR216" s="536"/>
      <c r="BS216" s="536"/>
      <c r="BT216" s="542">
        <f t="shared" si="90"/>
        <v>0</v>
      </c>
      <c r="BU216" s="536"/>
      <c r="BV216" s="536"/>
      <c r="BW216" s="536"/>
      <c r="BX216" s="542">
        <f t="shared" si="91"/>
        <v>0</v>
      </c>
      <c r="BY216" s="536"/>
      <c r="BZ216" s="536"/>
      <c r="CA216" s="536"/>
      <c r="CB216" s="542">
        <v>0</v>
      </c>
      <c r="CC216" s="536"/>
      <c r="CD216" s="536"/>
      <c r="CE216" s="536"/>
      <c r="CF216" s="541">
        <f t="shared" si="92"/>
        <v>0</v>
      </c>
      <c r="CG216" s="536"/>
      <c r="CH216" s="536"/>
      <c r="CI216" s="536"/>
      <c r="CJ216" s="541">
        <f t="shared" si="93"/>
        <v>0</v>
      </c>
      <c r="CK216" s="536"/>
      <c r="CL216" s="536"/>
      <c r="CM216" s="536"/>
      <c r="CN216" s="541">
        <f t="shared" si="94"/>
        <v>0</v>
      </c>
      <c r="CO216" s="536"/>
      <c r="CP216" s="536"/>
      <c r="CQ216" s="536"/>
      <c r="CR216" s="541">
        <f t="shared" si="95"/>
        <v>0</v>
      </c>
      <c r="CS216" s="536"/>
      <c r="CT216" s="536"/>
      <c r="CU216" s="536"/>
      <c r="CV216" s="541">
        <f t="shared" si="96"/>
        <v>0</v>
      </c>
      <c r="CW216" s="536"/>
      <c r="CX216" s="536"/>
      <c r="CY216" s="536"/>
      <c r="CZ216" s="541">
        <f t="shared" si="97"/>
        <v>0</v>
      </c>
      <c r="DA216" s="536"/>
      <c r="DB216" s="536"/>
      <c r="DC216" s="536"/>
      <c r="DD216" s="541">
        <f t="shared" si="98"/>
        <v>0</v>
      </c>
      <c r="DE216" s="536"/>
      <c r="DF216" s="536"/>
      <c r="DG216" s="536"/>
      <c r="DH216" s="541">
        <f t="shared" si="99"/>
        <v>0</v>
      </c>
      <c r="DI216" s="536"/>
      <c r="DJ216" s="536"/>
      <c r="DK216" s="536"/>
      <c r="DL216" s="541">
        <f t="shared" si="100"/>
        <v>0</v>
      </c>
      <c r="DM216" s="536"/>
      <c r="DN216" s="536"/>
      <c r="DO216" s="536"/>
      <c r="DP216" s="541">
        <f>IF( SUM((DJ216*(20/100))+(DK216*(30/100))+(DL216*(50/100))) &gt;=9.3,9.5,
IF(AND( SUM((DJ216*(20/100))+(DK216*(30/100))+(DL216*(50/100))) &lt;=9.3, SUM((DJ216*(20/100))+(DK216*(30/100))+(DL216*(50/100))) &gt;=8.8),9,
IF(AND( SUM((DJ216*(20/100))+(DK216*(30/100))+(DL216*(50/100))) &lt;=8.8, SUM((DJ216*(20/100))+(DK216*(30/100))+(DL216*(50/100))) &gt;=8.3),8.5,
IF(AND( SUM((DJ216*(20/100))+(DK216*(30/100))+(DL216*(50/100))) &lt;=8.3, SUM((DJ216*(20/100))+(DK216*(30/100))+(DL216*(50/100))) &gt;=7.8),8,
IF(AND( SUM((DJ216*(20/100))+(DK216*(30/100))+(DL216*(50/100))) &lt;=7.8, SUM((DJ216*(20/100))+(DK216*(30/100))+(DL216*(50/100))) &gt;=7.3),7.5,
IF(AND( SUM((DJ216*(20/100))+(DK216*(30/100))+(DL216*(50/100))) &lt;=7.3, SUM((DJ216*(20/100))+(DK216*(30/100))+(DL216*(50/100))) &gt;=6.8),7,
IF(AND( SUM((DJ216*(20/100))+(DK216*(30/100))+(DL216*(50/100))) &lt;=6.8, SUM((DJ216*(20/100))+(DK216*(30/100))+(DL216*(50/100))) &gt;=6.3),6.5,
IF(AND( SUM((DJ216*(20/100))+(DK216*(30/100))+(DL216*(50/100))) &lt;=6.3, SUM((DJ216*(20/100))+(DK216*(30/100))+(DL216*(50/100))) &gt;=5.8),6,
IF(AND( SUM((DJ216*(20/100))+(DK216*(30/100))+(DL216*(50/100))) &lt;=5.8, SUM((DJ216*(20/100))+(DK216*(30/100))+(DL216*(50/100))) &gt;=5.3),5.5,
IF(AND( SUM((DJ216*(20/100))+(DK216*(30/100))+(DL216*(50/100))) &lt;=5.3, SUM((DJ216*(20/100))+(DK216*(30/100))+(DL216*(50/100))) &gt;=4.8),5,
IF(AND( SUM((DJ216*(20/100))+(DK216*(30/100))+(DL216*(50/100))) &lt;=4.8, SUM((DJ216*(20/100))+(DK216*(30/100))+(DL216*(50/100))) &gt;=4.3),4.5,
IF(AND( SUM((DJ216*(20/100))+(DK216*(30/100))+(DL216*(50/100))) &lt;=4.3, SUM((DJ216*(20/100))+(DK216*(30/100))+(DL216*(50/100))) &gt;=3.8),4,
IF(AND( SUM((DJ216*(20/100))+(DK216*(30/100))+(DL216*(50/100))) &lt;=3.8, SUM((DJ216*(20/100))+(DK216*(30/100))+(DL216*(50/100))) &gt;=3.5),3.5,0)))))))))))))</f>
        <v>0</v>
      </c>
      <c r="DQ216" s="541"/>
      <c r="DR216" s="541"/>
      <c r="DS216" s="541"/>
      <c r="DT216" s="541"/>
      <c r="DU216" s="541"/>
      <c r="DV216" s="541"/>
      <c r="DW216" s="541"/>
      <c r="DX216" s="541"/>
      <c r="DY216" s="541"/>
      <c r="DZ216" s="541"/>
    </row>
    <row r="217" spans="2:130" x14ac:dyDescent="0.25">
      <c r="B217" s="334">
        <v>10</v>
      </c>
      <c r="C217" s="541"/>
      <c r="D217" s="334"/>
      <c r="E217" s="334"/>
      <c r="F217" s="334"/>
      <c r="G217" s="334"/>
      <c r="H217" s="334"/>
      <c r="I217" s="334"/>
      <c r="J217" s="536"/>
      <c r="K217" s="536"/>
      <c r="L217" s="536"/>
      <c r="M217" s="536"/>
      <c r="N217" s="536"/>
      <c r="O217" s="536"/>
      <c r="P217" s="536">
        <f t="shared" si="76"/>
        <v>0</v>
      </c>
      <c r="Q217" s="536"/>
      <c r="R217" s="536"/>
      <c r="S217" s="536"/>
      <c r="T217" s="536">
        <f t="shared" si="77"/>
        <v>0</v>
      </c>
      <c r="U217" s="536"/>
      <c r="V217" s="536"/>
      <c r="W217" s="536"/>
      <c r="X217" s="536">
        <f t="shared" si="78"/>
        <v>0</v>
      </c>
      <c r="Y217" s="536"/>
      <c r="Z217" s="536"/>
      <c r="AA217" s="536"/>
      <c r="AB217" s="536">
        <f t="shared" si="79"/>
        <v>0</v>
      </c>
      <c r="AC217" s="536"/>
      <c r="AD217" s="536"/>
      <c r="AE217" s="536"/>
      <c r="AF217" s="536">
        <f t="shared" si="80"/>
        <v>0</v>
      </c>
      <c r="AG217" s="536"/>
      <c r="AH217" s="536"/>
      <c r="AI217" s="536"/>
      <c r="AJ217" s="536">
        <f t="shared" si="81"/>
        <v>0</v>
      </c>
      <c r="AK217" s="536"/>
      <c r="AL217" s="536"/>
      <c r="AM217" s="536"/>
      <c r="AN217" s="542">
        <f t="shared" si="82"/>
        <v>0</v>
      </c>
      <c r="AO217" s="536"/>
      <c r="AP217" s="536"/>
      <c r="AQ217" s="536"/>
      <c r="AR217" s="542">
        <f t="shared" si="83"/>
        <v>0</v>
      </c>
      <c r="AS217" s="536"/>
      <c r="AT217" s="536"/>
      <c r="AU217" s="536"/>
      <c r="AV217" s="542">
        <f t="shared" si="84"/>
        <v>0</v>
      </c>
      <c r="AW217" s="536"/>
      <c r="AX217" s="536"/>
      <c r="AY217" s="536"/>
      <c r="AZ217" s="542">
        <f t="shared" si="85"/>
        <v>0</v>
      </c>
      <c r="BA217" s="536"/>
      <c r="BB217" s="536"/>
      <c r="BC217" s="536"/>
      <c r="BD217" s="542">
        <f t="shared" si="86"/>
        <v>0</v>
      </c>
      <c r="BE217" s="536"/>
      <c r="BF217" s="536"/>
      <c r="BG217" s="536"/>
      <c r="BH217" s="542">
        <f t="shared" si="87"/>
        <v>0</v>
      </c>
      <c r="BI217" s="536"/>
      <c r="BJ217" s="536"/>
      <c r="BK217" s="536"/>
      <c r="BL217" s="542">
        <f t="shared" si="88"/>
        <v>0</v>
      </c>
      <c r="BM217" s="536"/>
      <c r="BN217" s="536"/>
      <c r="BO217" s="536"/>
      <c r="BP217" s="542">
        <f t="shared" si="89"/>
        <v>0</v>
      </c>
      <c r="BQ217" s="536"/>
      <c r="BR217" s="536"/>
      <c r="BS217" s="536"/>
      <c r="BT217" s="542">
        <f t="shared" si="90"/>
        <v>0</v>
      </c>
      <c r="BU217" s="536"/>
      <c r="BV217" s="536"/>
      <c r="BW217" s="536"/>
      <c r="BX217" s="542">
        <f t="shared" si="91"/>
        <v>0</v>
      </c>
      <c r="BY217" s="536"/>
      <c r="BZ217" s="536"/>
      <c r="CA217" s="536"/>
      <c r="CB217" s="542">
        <v>0</v>
      </c>
      <c r="CC217" s="536"/>
      <c r="CD217" s="536"/>
      <c r="CE217" s="536"/>
      <c r="CF217" s="541">
        <f t="shared" si="92"/>
        <v>0</v>
      </c>
      <c r="CG217" s="536"/>
      <c r="CH217" s="536"/>
      <c r="CI217" s="536"/>
      <c r="CJ217" s="541">
        <f t="shared" si="93"/>
        <v>0</v>
      </c>
      <c r="CK217" s="536"/>
      <c r="CL217" s="536"/>
      <c r="CM217" s="536"/>
      <c r="CN217" s="541">
        <f t="shared" si="94"/>
        <v>0</v>
      </c>
      <c r="CO217" s="536"/>
      <c r="CP217" s="536"/>
      <c r="CQ217" s="536"/>
      <c r="CR217" s="541">
        <f t="shared" si="95"/>
        <v>0</v>
      </c>
      <c r="CS217" s="536"/>
      <c r="CT217" s="536"/>
      <c r="CU217" s="536"/>
      <c r="CV217" s="541">
        <f t="shared" si="96"/>
        <v>0</v>
      </c>
      <c r="CW217" s="536"/>
      <c r="CX217" s="536"/>
      <c r="CY217" s="536"/>
      <c r="CZ217" s="541">
        <f t="shared" si="97"/>
        <v>0</v>
      </c>
      <c r="DA217" s="536"/>
      <c r="DB217" s="536"/>
      <c r="DC217" s="536"/>
      <c r="DD217" s="541">
        <f t="shared" si="98"/>
        <v>0</v>
      </c>
      <c r="DE217" s="536"/>
      <c r="DF217" s="536"/>
      <c r="DG217" s="536"/>
      <c r="DH217" s="541">
        <f t="shared" si="99"/>
        <v>0</v>
      </c>
      <c r="DI217" s="536"/>
      <c r="DJ217" s="536"/>
      <c r="DK217" s="536"/>
      <c r="DL217" s="541">
        <f t="shared" si="100"/>
        <v>0</v>
      </c>
      <c r="DM217" s="536"/>
      <c r="DN217" s="536"/>
      <c r="DO217" s="536"/>
      <c r="DP217" s="541">
        <f>IF( SUM((DJ217*(20/100))+(DK217*(30/100))+(DL217*(50/100))) &gt;=9.3,9.5,
IF(AND( SUM((DJ217*(20/100))+(DK217*(30/100))+(DL217*(50/100))) &lt;=9.3, SUM((DJ217*(20/100))+(DK217*(30/100))+(DL217*(50/100))) &gt;=8.8),9,
IF(AND( SUM((DJ217*(20/100))+(DK217*(30/100))+(DL217*(50/100))) &lt;=8.8, SUM((DJ217*(20/100))+(DK217*(30/100))+(DL217*(50/100))) &gt;=8.3),8.5,
IF(AND( SUM((DJ217*(20/100))+(DK217*(30/100))+(DL217*(50/100))) &lt;=8.3, SUM((DJ217*(20/100))+(DK217*(30/100))+(DL217*(50/100))) &gt;=7.8),8,
IF(AND( SUM((DJ217*(20/100))+(DK217*(30/100))+(DL217*(50/100))) &lt;=7.8, SUM((DJ217*(20/100))+(DK217*(30/100))+(DL217*(50/100))) &gt;=7.3),7.5,
IF(AND( SUM((DJ217*(20/100))+(DK217*(30/100))+(DL217*(50/100))) &lt;=7.3, SUM((DJ217*(20/100))+(DK217*(30/100))+(DL217*(50/100))) &gt;=6.8),7,
IF(AND( SUM((DJ217*(20/100))+(DK217*(30/100))+(DL217*(50/100))) &lt;=6.8, SUM((DJ217*(20/100))+(DK217*(30/100))+(DL217*(50/100))) &gt;=6.3),6.5,
IF(AND( SUM((DJ217*(20/100))+(DK217*(30/100))+(DL217*(50/100))) &lt;=6.3, SUM((DJ217*(20/100))+(DK217*(30/100))+(DL217*(50/100))) &gt;=5.8),6,
IF(AND( SUM((DJ217*(20/100))+(DK217*(30/100))+(DL217*(50/100))) &lt;=5.8, SUM((DJ217*(20/100))+(DK217*(30/100))+(DL217*(50/100))) &gt;=5.3),5.5,
IF(AND( SUM((DJ217*(20/100))+(DK217*(30/100))+(DL217*(50/100))) &lt;=5.3, SUM((DJ217*(20/100))+(DK217*(30/100))+(DL217*(50/100))) &gt;=4.8),5,
IF(AND( SUM((DJ217*(20/100))+(DK217*(30/100))+(DL217*(50/100))) &lt;=4.8, SUM((DJ217*(20/100))+(DK217*(30/100))+(DL217*(50/100))) &gt;=4.3),4.5,
IF(AND( SUM((DJ217*(20/100))+(DK217*(30/100))+(DL217*(50/100))) &lt;=4.3, SUM((DJ217*(20/100))+(DK217*(30/100))+(DL217*(50/100))) &gt;=3.8),4,
IF(AND( SUM((DJ217*(20/100))+(DK217*(30/100))+(DL217*(50/100))) &lt;=3.8, SUM((DJ217*(20/100))+(DK217*(30/100))+(DL217*(50/100))) &gt;=3.5),3.5,0)))))))))))))</f>
        <v>0</v>
      </c>
      <c r="DQ217" s="541"/>
      <c r="DR217" s="541"/>
      <c r="DS217" s="541"/>
      <c r="DT217" s="541"/>
      <c r="DU217" s="541"/>
      <c r="DV217" s="541"/>
      <c r="DW217" s="541"/>
      <c r="DX217" s="541"/>
      <c r="DY217" s="541"/>
      <c r="DZ217" s="541"/>
    </row>
    <row r="218" spans="2:130" x14ac:dyDescent="0.25">
      <c r="B218" s="334">
        <v>11</v>
      </c>
      <c r="C218" s="541"/>
      <c r="D218" s="334"/>
      <c r="E218" s="334"/>
      <c r="F218" s="334"/>
      <c r="G218" s="334"/>
      <c r="H218" s="334"/>
      <c r="I218" s="334"/>
      <c r="J218" s="536"/>
      <c r="K218" s="536"/>
      <c r="L218" s="536"/>
      <c r="M218" s="536"/>
      <c r="N218" s="536"/>
      <c r="O218" s="536"/>
      <c r="P218" s="536">
        <f t="shared" si="76"/>
        <v>0</v>
      </c>
      <c r="Q218" s="536"/>
      <c r="R218" s="536"/>
      <c r="S218" s="536"/>
      <c r="T218" s="536">
        <f t="shared" si="77"/>
        <v>0</v>
      </c>
      <c r="U218" s="536"/>
      <c r="V218" s="536"/>
      <c r="W218" s="536"/>
      <c r="X218" s="536">
        <f t="shared" si="78"/>
        <v>0</v>
      </c>
      <c r="Y218" s="536"/>
      <c r="Z218" s="536"/>
      <c r="AA218" s="536"/>
      <c r="AB218" s="536">
        <f t="shared" si="79"/>
        <v>0</v>
      </c>
      <c r="AC218" s="536"/>
      <c r="AD218" s="536"/>
      <c r="AE218" s="536"/>
      <c r="AF218" s="536">
        <f t="shared" si="80"/>
        <v>0</v>
      </c>
      <c r="AG218" s="536"/>
      <c r="AH218" s="536"/>
      <c r="AI218" s="536"/>
      <c r="AJ218" s="536">
        <f t="shared" si="81"/>
        <v>0</v>
      </c>
      <c r="AK218" s="536"/>
      <c r="AL218" s="536"/>
      <c r="AM218" s="536"/>
      <c r="AN218" s="542">
        <f t="shared" si="82"/>
        <v>0</v>
      </c>
      <c r="AO218" s="536"/>
      <c r="AP218" s="536"/>
      <c r="AQ218" s="536"/>
      <c r="AR218" s="542">
        <f t="shared" si="83"/>
        <v>0</v>
      </c>
      <c r="AS218" s="536"/>
      <c r="AT218" s="536"/>
      <c r="AU218" s="536"/>
      <c r="AV218" s="542">
        <f t="shared" si="84"/>
        <v>0</v>
      </c>
      <c r="AW218" s="536"/>
      <c r="AX218" s="536"/>
      <c r="AY218" s="536"/>
      <c r="AZ218" s="542">
        <f t="shared" si="85"/>
        <v>0</v>
      </c>
      <c r="BA218" s="536"/>
      <c r="BB218" s="536"/>
      <c r="BC218" s="536"/>
      <c r="BD218" s="542">
        <f t="shared" si="86"/>
        <v>0</v>
      </c>
      <c r="BE218" s="536"/>
      <c r="BF218" s="536"/>
      <c r="BG218" s="536"/>
      <c r="BH218" s="542">
        <f t="shared" si="87"/>
        <v>0</v>
      </c>
      <c r="BI218" s="536"/>
      <c r="BJ218" s="536"/>
      <c r="BK218" s="536"/>
      <c r="BL218" s="542">
        <f t="shared" si="88"/>
        <v>0</v>
      </c>
      <c r="BM218" s="536"/>
      <c r="BN218" s="536"/>
      <c r="BO218" s="536"/>
      <c r="BP218" s="542">
        <f t="shared" si="89"/>
        <v>0</v>
      </c>
      <c r="BQ218" s="536"/>
      <c r="BR218" s="536"/>
      <c r="BS218" s="536"/>
      <c r="BT218" s="542">
        <f t="shared" si="90"/>
        <v>0</v>
      </c>
      <c r="BU218" s="536"/>
      <c r="BV218" s="536"/>
      <c r="BW218" s="536"/>
      <c r="BX218" s="542">
        <f t="shared" si="91"/>
        <v>0</v>
      </c>
      <c r="BY218" s="536"/>
      <c r="BZ218" s="536"/>
      <c r="CA218" s="536"/>
      <c r="CB218" s="542">
        <v>0</v>
      </c>
      <c r="CC218" s="536"/>
      <c r="CD218" s="536"/>
      <c r="CE218" s="536"/>
      <c r="CF218" s="541">
        <f t="shared" si="92"/>
        <v>0</v>
      </c>
      <c r="CG218" s="536"/>
      <c r="CH218" s="536"/>
      <c r="CI218" s="536"/>
      <c r="CJ218" s="541">
        <f t="shared" si="93"/>
        <v>0</v>
      </c>
      <c r="CK218" s="536"/>
      <c r="CL218" s="536"/>
      <c r="CM218" s="536"/>
      <c r="CN218" s="541">
        <f t="shared" si="94"/>
        <v>0</v>
      </c>
      <c r="CO218" s="536"/>
      <c r="CP218" s="536"/>
      <c r="CQ218" s="536"/>
      <c r="CR218" s="541">
        <f t="shared" si="95"/>
        <v>0</v>
      </c>
      <c r="CS218" s="536"/>
      <c r="CT218" s="536"/>
      <c r="CU218" s="536"/>
      <c r="CV218" s="541">
        <f t="shared" si="96"/>
        <v>0</v>
      </c>
      <c r="CW218" s="536"/>
      <c r="CX218" s="536"/>
      <c r="CY218" s="536"/>
      <c r="CZ218" s="541">
        <f t="shared" si="97"/>
        <v>0</v>
      </c>
      <c r="DA218" s="536"/>
      <c r="DB218" s="536"/>
      <c r="DC218" s="536"/>
      <c r="DD218" s="541">
        <f t="shared" si="98"/>
        <v>0</v>
      </c>
      <c r="DE218" s="536"/>
      <c r="DF218" s="536"/>
      <c r="DG218" s="536"/>
      <c r="DH218" s="541">
        <f t="shared" si="99"/>
        <v>0</v>
      </c>
      <c r="DI218" s="536"/>
      <c r="DJ218" s="536"/>
      <c r="DK218" s="536"/>
      <c r="DL218" s="541">
        <f t="shared" si="100"/>
        <v>0</v>
      </c>
      <c r="DM218" s="536"/>
      <c r="DN218" s="536"/>
      <c r="DO218" s="536"/>
      <c r="DP218" s="541">
        <f>IF( SUM((DJ218*(20/100))+(DK218*(30/100))+(DL218*(50/100))) &gt;=9.3,9.5,
IF(AND( SUM((DJ218*(20/100))+(DK218*(30/100))+(DL218*(50/100))) &lt;=9.3, SUM((DJ218*(20/100))+(DK218*(30/100))+(DL218*(50/100))) &gt;=8.8),9,
IF(AND( SUM((DJ218*(20/100))+(DK218*(30/100))+(DL218*(50/100))) &lt;=8.8, SUM((DJ218*(20/100))+(DK218*(30/100))+(DL218*(50/100))) &gt;=8.3),8.5,
IF(AND( SUM((DJ218*(20/100))+(DK218*(30/100))+(DL218*(50/100))) &lt;=8.3, SUM((DJ218*(20/100))+(DK218*(30/100))+(DL218*(50/100))) &gt;=7.8),8,
IF(AND( SUM((DJ218*(20/100))+(DK218*(30/100))+(DL218*(50/100))) &lt;=7.8, SUM((DJ218*(20/100))+(DK218*(30/100))+(DL218*(50/100))) &gt;=7.3),7.5,
IF(AND( SUM((DJ218*(20/100))+(DK218*(30/100))+(DL218*(50/100))) &lt;=7.3, SUM((DJ218*(20/100))+(DK218*(30/100))+(DL218*(50/100))) &gt;=6.8),7,
IF(AND( SUM((DJ218*(20/100))+(DK218*(30/100))+(DL218*(50/100))) &lt;=6.8, SUM((DJ218*(20/100))+(DK218*(30/100))+(DL218*(50/100))) &gt;=6.3),6.5,
IF(AND( SUM((DJ218*(20/100))+(DK218*(30/100))+(DL218*(50/100))) &lt;=6.3, SUM((DJ218*(20/100))+(DK218*(30/100))+(DL218*(50/100))) &gt;=5.8),6,
IF(AND( SUM((DJ218*(20/100))+(DK218*(30/100))+(DL218*(50/100))) &lt;=5.8, SUM((DJ218*(20/100))+(DK218*(30/100))+(DL218*(50/100))) &gt;=5.3),5.5,
IF(AND( SUM((DJ218*(20/100))+(DK218*(30/100))+(DL218*(50/100))) &lt;=5.3, SUM((DJ218*(20/100))+(DK218*(30/100))+(DL218*(50/100))) &gt;=4.8),5,
IF(AND( SUM((DJ218*(20/100))+(DK218*(30/100))+(DL218*(50/100))) &lt;=4.8, SUM((DJ218*(20/100))+(DK218*(30/100))+(DL218*(50/100))) &gt;=4.3),4.5,
IF(AND( SUM((DJ218*(20/100))+(DK218*(30/100))+(DL218*(50/100))) &lt;=4.3, SUM((DJ218*(20/100))+(DK218*(30/100))+(DL218*(50/100))) &gt;=3.8),4,
IF(AND( SUM((DJ218*(20/100))+(DK218*(30/100))+(DL218*(50/100))) &lt;=3.8, SUM((DJ218*(20/100))+(DK218*(30/100))+(DL218*(50/100))) &gt;=3.5),3.5,0)))))))))))))</f>
        <v>0</v>
      </c>
      <c r="DQ218" s="541"/>
      <c r="DR218" s="541"/>
      <c r="DS218" s="541"/>
      <c r="DT218" s="541"/>
      <c r="DU218" s="541"/>
      <c r="DV218" s="541"/>
      <c r="DW218" s="541"/>
      <c r="DX218" s="541"/>
      <c r="DY218" s="541"/>
      <c r="DZ218" s="541"/>
    </row>
    <row r="219" spans="2:130" x14ac:dyDescent="0.25">
      <c r="B219" s="334">
        <v>12</v>
      </c>
      <c r="C219" s="541"/>
      <c r="D219" s="334"/>
      <c r="E219" s="334"/>
      <c r="F219" s="334"/>
      <c r="G219" s="334"/>
      <c r="H219" s="334"/>
      <c r="I219" s="334"/>
      <c r="J219" s="536"/>
      <c r="K219" s="536"/>
      <c r="L219" s="536"/>
      <c r="M219" s="536"/>
      <c r="N219" s="536"/>
      <c r="O219" s="536"/>
      <c r="P219" s="536">
        <f t="shared" si="76"/>
        <v>0</v>
      </c>
      <c r="Q219" s="536"/>
      <c r="R219" s="536"/>
      <c r="S219" s="536"/>
      <c r="T219" s="536">
        <f t="shared" si="77"/>
        <v>0</v>
      </c>
      <c r="U219" s="536"/>
      <c r="V219" s="536"/>
      <c r="W219" s="536"/>
      <c r="X219" s="536">
        <f t="shared" si="78"/>
        <v>0</v>
      </c>
      <c r="Y219" s="536"/>
      <c r="Z219" s="536"/>
      <c r="AA219" s="536"/>
      <c r="AB219" s="536">
        <f t="shared" si="79"/>
        <v>0</v>
      </c>
      <c r="AC219" s="536"/>
      <c r="AD219" s="536"/>
      <c r="AE219" s="536"/>
      <c r="AF219" s="536">
        <f t="shared" si="80"/>
        <v>0</v>
      </c>
      <c r="AG219" s="536"/>
      <c r="AH219" s="536"/>
      <c r="AI219" s="536"/>
      <c r="AJ219" s="536">
        <f t="shared" si="81"/>
        <v>0</v>
      </c>
      <c r="AK219" s="536"/>
      <c r="AL219" s="536"/>
      <c r="AM219" s="536"/>
      <c r="AN219" s="542">
        <f t="shared" si="82"/>
        <v>0</v>
      </c>
      <c r="AO219" s="536"/>
      <c r="AP219" s="536"/>
      <c r="AQ219" s="536"/>
      <c r="AR219" s="542">
        <f t="shared" si="83"/>
        <v>0</v>
      </c>
      <c r="AS219" s="536"/>
      <c r="AT219" s="536"/>
      <c r="AU219" s="536"/>
      <c r="AV219" s="542">
        <f t="shared" si="84"/>
        <v>0</v>
      </c>
      <c r="AW219" s="536"/>
      <c r="AX219" s="536"/>
      <c r="AY219" s="536"/>
      <c r="AZ219" s="542">
        <f t="shared" si="85"/>
        <v>0</v>
      </c>
      <c r="BA219" s="536"/>
      <c r="BB219" s="536"/>
      <c r="BC219" s="536"/>
      <c r="BD219" s="542">
        <f t="shared" si="86"/>
        <v>0</v>
      </c>
      <c r="BE219" s="536"/>
      <c r="BF219" s="536"/>
      <c r="BG219" s="536"/>
      <c r="BH219" s="542">
        <f t="shared" si="87"/>
        <v>0</v>
      </c>
      <c r="BI219" s="536"/>
      <c r="BJ219" s="536"/>
      <c r="BK219" s="536"/>
      <c r="BL219" s="542">
        <f t="shared" si="88"/>
        <v>0</v>
      </c>
      <c r="BM219" s="536"/>
      <c r="BN219" s="536"/>
      <c r="BO219" s="536"/>
      <c r="BP219" s="542">
        <f t="shared" si="89"/>
        <v>0</v>
      </c>
      <c r="BQ219" s="536"/>
      <c r="BR219" s="536"/>
      <c r="BS219" s="536"/>
      <c r="BT219" s="542">
        <f t="shared" si="90"/>
        <v>0</v>
      </c>
      <c r="BU219" s="536"/>
      <c r="BV219" s="536"/>
      <c r="BW219" s="536"/>
      <c r="BX219" s="542">
        <f t="shared" si="91"/>
        <v>0</v>
      </c>
      <c r="BY219" s="536"/>
      <c r="BZ219" s="536"/>
      <c r="CA219" s="536"/>
      <c r="CB219" s="542">
        <v>0</v>
      </c>
      <c r="CC219" s="536"/>
      <c r="CD219" s="536"/>
      <c r="CE219" s="536"/>
      <c r="CF219" s="541">
        <f t="shared" si="92"/>
        <v>0</v>
      </c>
      <c r="CG219" s="536"/>
      <c r="CH219" s="536"/>
      <c r="CI219" s="536"/>
      <c r="CJ219" s="541">
        <f t="shared" si="93"/>
        <v>0</v>
      </c>
      <c r="CK219" s="536"/>
      <c r="CL219" s="536"/>
      <c r="CM219" s="536"/>
      <c r="CN219" s="541">
        <f t="shared" si="94"/>
        <v>0</v>
      </c>
      <c r="CO219" s="536"/>
      <c r="CP219" s="536"/>
      <c r="CQ219" s="536"/>
      <c r="CR219" s="541">
        <f t="shared" si="95"/>
        <v>0</v>
      </c>
      <c r="CS219" s="536"/>
      <c r="CT219" s="536"/>
      <c r="CU219" s="536"/>
      <c r="CV219" s="541">
        <f t="shared" si="96"/>
        <v>0</v>
      </c>
      <c r="CW219" s="536"/>
      <c r="CX219" s="536"/>
      <c r="CY219" s="536"/>
      <c r="CZ219" s="541">
        <f t="shared" si="97"/>
        <v>0</v>
      </c>
      <c r="DA219" s="536"/>
      <c r="DB219" s="536"/>
      <c r="DC219" s="536"/>
      <c r="DD219" s="541">
        <f t="shared" si="98"/>
        <v>0</v>
      </c>
      <c r="DE219" s="536"/>
      <c r="DF219" s="536"/>
      <c r="DG219" s="536"/>
      <c r="DH219" s="541">
        <f t="shared" si="99"/>
        <v>0</v>
      </c>
      <c r="DI219" s="536"/>
      <c r="DJ219" s="536"/>
      <c r="DK219" s="536"/>
      <c r="DL219" s="541">
        <f t="shared" si="100"/>
        <v>0</v>
      </c>
      <c r="DM219" s="536"/>
      <c r="DN219" s="536"/>
      <c r="DO219" s="536"/>
      <c r="DP219" s="541">
        <f>IF( SUM((DJ219*(20/100))+(DK219*(30/100))+(DL219*(50/100))) &gt;=9.3,9.5,
IF(AND( SUM((DJ219*(20/100))+(DK219*(30/100))+(DL219*(50/100))) &lt;=9.3, SUM((DJ219*(20/100))+(DK219*(30/100))+(DL219*(50/100))) &gt;=8.8),9,
IF(AND( SUM((DJ219*(20/100))+(DK219*(30/100))+(DL219*(50/100))) &lt;=8.8, SUM((DJ219*(20/100))+(DK219*(30/100))+(DL219*(50/100))) &gt;=8.3),8.5,
IF(AND( SUM((DJ219*(20/100))+(DK219*(30/100))+(DL219*(50/100))) &lt;=8.3, SUM((DJ219*(20/100))+(DK219*(30/100))+(DL219*(50/100))) &gt;=7.8),8,
IF(AND( SUM((DJ219*(20/100))+(DK219*(30/100))+(DL219*(50/100))) &lt;=7.8, SUM((DJ219*(20/100))+(DK219*(30/100))+(DL219*(50/100))) &gt;=7.3),7.5,
IF(AND( SUM((DJ219*(20/100))+(DK219*(30/100))+(DL219*(50/100))) &lt;=7.3, SUM((DJ219*(20/100))+(DK219*(30/100))+(DL219*(50/100))) &gt;=6.8),7,
IF(AND( SUM((DJ219*(20/100))+(DK219*(30/100))+(DL219*(50/100))) &lt;=6.8, SUM((DJ219*(20/100))+(DK219*(30/100))+(DL219*(50/100))) &gt;=6.3),6.5,
IF(AND( SUM((DJ219*(20/100))+(DK219*(30/100))+(DL219*(50/100))) &lt;=6.3, SUM((DJ219*(20/100))+(DK219*(30/100))+(DL219*(50/100))) &gt;=5.8),6,
IF(AND( SUM((DJ219*(20/100))+(DK219*(30/100))+(DL219*(50/100))) &lt;=5.8, SUM((DJ219*(20/100))+(DK219*(30/100))+(DL219*(50/100))) &gt;=5.3),5.5,
IF(AND( SUM((DJ219*(20/100))+(DK219*(30/100))+(DL219*(50/100))) &lt;=5.3, SUM((DJ219*(20/100))+(DK219*(30/100))+(DL219*(50/100))) &gt;=4.8),5,
IF(AND( SUM((DJ219*(20/100))+(DK219*(30/100))+(DL219*(50/100))) &lt;=4.8, SUM((DJ219*(20/100))+(DK219*(30/100))+(DL219*(50/100))) &gt;=4.3),4.5,
IF(AND( SUM((DJ219*(20/100))+(DK219*(30/100))+(DL219*(50/100))) &lt;=4.3, SUM((DJ219*(20/100))+(DK219*(30/100))+(DL219*(50/100))) &gt;=3.8),4,
IF(AND( SUM((DJ219*(20/100))+(DK219*(30/100))+(DL219*(50/100))) &lt;=3.8, SUM((DJ219*(20/100))+(DK219*(30/100))+(DL219*(50/100))) &gt;=3.5),3.5,0)))))))))))))</f>
        <v>0</v>
      </c>
      <c r="DQ219" s="541"/>
      <c r="DR219" s="541"/>
      <c r="DS219" s="541"/>
      <c r="DT219" s="541"/>
      <c r="DU219" s="541"/>
      <c r="DV219" s="541"/>
      <c r="DW219" s="541"/>
      <c r="DX219" s="541"/>
      <c r="DY219" s="541"/>
      <c r="DZ219" s="541"/>
    </row>
    <row r="220" spans="2:130" x14ac:dyDescent="0.25">
      <c r="B220" s="334">
        <v>13</v>
      </c>
      <c r="C220" s="541"/>
      <c r="D220" s="334"/>
      <c r="E220" s="334"/>
      <c r="F220" s="334"/>
      <c r="G220" s="334"/>
      <c r="H220" s="334"/>
      <c r="I220" s="334"/>
      <c r="J220" s="536"/>
      <c r="K220" s="536"/>
      <c r="L220" s="536"/>
      <c r="M220" s="536"/>
      <c r="N220" s="536"/>
      <c r="O220" s="536"/>
      <c r="P220" s="536">
        <f t="shared" si="76"/>
        <v>0</v>
      </c>
      <c r="Q220" s="536"/>
      <c r="R220" s="536"/>
      <c r="S220" s="536"/>
      <c r="T220" s="536">
        <f t="shared" si="77"/>
        <v>0</v>
      </c>
      <c r="U220" s="536"/>
      <c r="V220" s="536"/>
      <c r="W220" s="536"/>
      <c r="X220" s="536">
        <f t="shared" si="78"/>
        <v>0</v>
      </c>
      <c r="Y220" s="536"/>
      <c r="Z220" s="536"/>
      <c r="AA220" s="536"/>
      <c r="AB220" s="536">
        <f t="shared" si="79"/>
        <v>0</v>
      </c>
      <c r="AC220" s="536"/>
      <c r="AD220" s="536"/>
      <c r="AE220" s="536"/>
      <c r="AF220" s="536">
        <f t="shared" si="80"/>
        <v>0</v>
      </c>
      <c r="AG220" s="536"/>
      <c r="AH220" s="536"/>
      <c r="AI220" s="536"/>
      <c r="AJ220" s="536">
        <f t="shared" si="81"/>
        <v>0</v>
      </c>
      <c r="AK220" s="536"/>
      <c r="AL220" s="536"/>
      <c r="AM220" s="536"/>
      <c r="AN220" s="542">
        <f t="shared" si="82"/>
        <v>0</v>
      </c>
      <c r="AO220" s="536"/>
      <c r="AP220" s="536"/>
      <c r="AQ220" s="536"/>
      <c r="AR220" s="542">
        <f t="shared" si="83"/>
        <v>0</v>
      </c>
      <c r="AS220" s="536"/>
      <c r="AT220" s="536"/>
      <c r="AU220" s="536"/>
      <c r="AV220" s="542">
        <f t="shared" si="84"/>
        <v>0</v>
      </c>
      <c r="AW220" s="536"/>
      <c r="AX220" s="536"/>
      <c r="AY220" s="536"/>
      <c r="AZ220" s="542">
        <f t="shared" si="85"/>
        <v>0</v>
      </c>
      <c r="BA220" s="536"/>
      <c r="BB220" s="536"/>
      <c r="BC220" s="536"/>
      <c r="BD220" s="542">
        <f t="shared" si="86"/>
        <v>0</v>
      </c>
      <c r="BE220" s="536"/>
      <c r="BF220" s="536"/>
      <c r="BG220" s="536"/>
      <c r="BH220" s="542">
        <f t="shared" si="87"/>
        <v>0</v>
      </c>
      <c r="BI220" s="536"/>
      <c r="BJ220" s="536"/>
      <c r="BK220" s="536"/>
      <c r="BL220" s="542">
        <f t="shared" si="88"/>
        <v>0</v>
      </c>
      <c r="BM220" s="536"/>
      <c r="BN220" s="536"/>
      <c r="BO220" s="536"/>
      <c r="BP220" s="542">
        <f t="shared" si="89"/>
        <v>0</v>
      </c>
      <c r="BQ220" s="536"/>
      <c r="BR220" s="536"/>
      <c r="BS220" s="536"/>
      <c r="BT220" s="542">
        <f t="shared" si="90"/>
        <v>0</v>
      </c>
      <c r="BU220" s="536"/>
      <c r="BV220" s="536"/>
      <c r="BW220" s="536"/>
      <c r="BX220" s="542">
        <f t="shared" si="91"/>
        <v>0</v>
      </c>
      <c r="BY220" s="536"/>
      <c r="BZ220" s="536"/>
      <c r="CA220" s="536"/>
      <c r="CB220" s="542">
        <v>0</v>
      </c>
      <c r="CC220" s="536"/>
      <c r="CD220" s="536"/>
      <c r="CE220" s="536"/>
      <c r="CF220" s="541">
        <f t="shared" si="92"/>
        <v>0</v>
      </c>
      <c r="CG220" s="536"/>
      <c r="CH220" s="536"/>
      <c r="CI220" s="536"/>
      <c r="CJ220" s="541">
        <f t="shared" si="93"/>
        <v>0</v>
      </c>
      <c r="CK220" s="536"/>
      <c r="CL220" s="536"/>
      <c r="CM220" s="536"/>
      <c r="CN220" s="541">
        <f t="shared" si="94"/>
        <v>0</v>
      </c>
      <c r="CO220" s="536"/>
      <c r="CP220" s="536"/>
      <c r="CQ220" s="536"/>
      <c r="CR220" s="541">
        <f t="shared" si="95"/>
        <v>0</v>
      </c>
      <c r="CS220" s="536"/>
      <c r="CT220" s="536"/>
      <c r="CU220" s="536"/>
      <c r="CV220" s="541">
        <f t="shared" si="96"/>
        <v>0</v>
      </c>
      <c r="CW220" s="536"/>
      <c r="CX220" s="536"/>
      <c r="CY220" s="536"/>
      <c r="CZ220" s="541">
        <f t="shared" si="97"/>
        <v>0</v>
      </c>
      <c r="DA220" s="536"/>
      <c r="DB220" s="536"/>
      <c r="DC220" s="536"/>
      <c r="DD220" s="541">
        <f t="shared" si="98"/>
        <v>0</v>
      </c>
      <c r="DE220" s="536"/>
      <c r="DF220" s="536"/>
      <c r="DG220" s="536"/>
      <c r="DH220" s="541">
        <f t="shared" si="99"/>
        <v>0</v>
      </c>
      <c r="DI220" s="536"/>
      <c r="DJ220" s="536"/>
      <c r="DK220" s="536"/>
      <c r="DL220" s="541">
        <f t="shared" si="100"/>
        <v>0</v>
      </c>
      <c r="DM220" s="536"/>
      <c r="DN220" s="536"/>
      <c r="DO220" s="536"/>
      <c r="DP220" s="541">
        <f>IF( SUM((DJ220*(20/100))+(DK220*(30/100))+(DL220*(50/100))) &gt;=9.3,9.5,
IF(AND( SUM((DJ220*(20/100))+(DK220*(30/100))+(DL220*(50/100))) &lt;=9.3, SUM((DJ220*(20/100))+(DK220*(30/100))+(DL220*(50/100))) &gt;=8.8),9,
IF(AND( SUM((DJ220*(20/100))+(DK220*(30/100))+(DL220*(50/100))) &lt;=8.8, SUM((DJ220*(20/100))+(DK220*(30/100))+(DL220*(50/100))) &gt;=8.3),8.5,
IF(AND( SUM((DJ220*(20/100))+(DK220*(30/100))+(DL220*(50/100))) &lt;=8.3, SUM((DJ220*(20/100))+(DK220*(30/100))+(DL220*(50/100))) &gt;=7.8),8,
IF(AND( SUM((DJ220*(20/100))+(DK220*(30/100))+(DL220*(50/100))) &lt;=7.8, SUM((DJ220*(20/100))+(DK220*(30/100))+(DL220*(50/100))) &gt;=7.3),7.5,
IF(AND( SUM((DJ220*(20/100))+(DK220*(30/100))+(DL220*(50/100))) &lt;=7.3, SUM((DJ220*(20/100))+(DK220*(30/100))+(DL220*(50/100))) &gt;=6.8),7,
IF(AND( SUM((DJ220*(20/100))+(DK220*(30/100))+(DL220*(50/100))) &lt;=6.8, SUM((DJ220*(20/100))+(DK220*(30/100))+(DL220*(50/100))) &gt;=6.3),6.5,
IF(AND( SUM((DJ220*(20/100))+(DK220*(30/100))+(DL220*(50/100))) &lt;=6.3, SUM((DJ220*(20/100))+(DK220*(30/100))+(DL220*(50/100))) &gt;=5.8),6,
IF(AND( SUM((DJ220*(20/100))+(DK220*(30/100))+(DL220*(50/100))) &lt;=5.8, SUM((DJ220*(20/100))+(DK220*(30/100))+(DL220*(50/100))) &gt;=5.3),5.5,
IF(AND( SUM((DJ220*(20/100))+(DK220*(30/100))+(DL220*(50/100))) &lt;=5.3, SUM((DJ220*(20/100))+(DK220*(30/100))+(DL220*(50/100))) &gt;=4.8),5,
IF(AND( SUM((DJ220*(20/100))+(DK220*(30/100))+(DL220*(50/100))) &lt;=4.8, SUM((DJ220*(20/100))+(DK220*(30/100))+(DL220*(50/100))) &gt;=4.3),4.5,
IF(AND( SUM((DJ220*(20/100))+(DK220*(30/100))+(DL220*(50/100))) &lt;=4.3, SUM((DJ220*(20/100))+(DK220*(30/100))+(DL220*(50/100))) &gt;=3.8),4,
IF(AND( SUM((DJ220*(20/100))+(DK220*(30/100))+(DL220*(50/100))) &lt;=3.8, SUM((DJ220*(20/100))+(DK220*(30/100))+(DL220*(50/100))) &gt;=3.5),3.5,0)))))))))))))</f>
        <v>0</v>
      </c>
      <c r="DQ220" s="541"/>
      <c r="DR220" s="541"/>
      <c r="DS220" s="541"/>
      <c r="DT220" s="541"/>
      <c r="DU220" s="541"/>
      <c r="DV220" s="541"/>
      <c r="DW220" s="541"/>
      <c r="DX220" s="541"/>
      <c r="DY220" s="541"/>
      <c r="DZ220" s="541"/>
    </row>
    <row r="221" spans="2:130" x14ac:dyDescent="0.25">
      <c r="B221" s="334">
        <v>14</v>
      </c>
      <c r="C221" s="541"/>
      <c r="D221" s="334"/>
      <c r="E221" s="334"/>
      <c r="F221" s="334"/>
      <c r="G221" s="334"/>
      <c r="H221" s="334"/>
      <c r="I221" s="334"/>
      <c r="J221" s="536"/>
      <c r="K221" s="536"/>
      <c r="L221" s="536"/>
      <c r="M221" s="536"/>
      <c r="N221" s="536"/>
      <c r="O221" s="536"/>
      <c r="P221" s="536">
        <f t="shared" si="76"/>
        <v>0</v>
      </c>
      <c r="Q221" s="536"/>
      <c r="R221" s="536"/>
      <c r="S221" s="536"/>
      <c r="T221" s="536">
        <f t="shared" si="77"/>
        <v>0</v>
      </c>
      <c r="U221" s="536"/>
      <c r="V221" s="536"/>
      <c r="W221" s="536"/>
      <c r="X221" s="536">
        <f t="shared" si="78"/>
        <v>0</v>
      </c>
      <c r="Y221" s="536"/>
      <c r="Z221" s="536"/>
      <c r="AA221" s="536"/>
      <c r="AB221" s="536">
        <f t="shared" si="79"/>
        <v>0</v>
      </c>
      <c r="AC221" s="536"/>
      <c r="AD221" s="536"/>
      <c r="AE221" s="536"/>
      <c r="AF221" s="536">
        <f t="shared" si="80"/>
        <v>0</v>
      </c>
      <c r="AG221" s="536"/>
      <c r="AH221" s="536"/>
      <c r="AI221" s="536"/>
      <c r="AJ221" s="536">
        <f t="shared" si="81"/>
        <v>0</v>
      </c>
      <c r="AK221" s="536"/>
      <c r="AL221" s="536"/>
      <c r="AM221" s="536"/>
      <c r="AN221" s="542">
        <f t="shared" si="82"/>
        <v>0</v>
      </c>
      <c r="AO221" s="536"/>
      <c r="AP221" s="536"/>
      <c r="AQ221" s="536"/>
      <c r="AR221" s="542">
        <f t="shared" si="83"/>
        <v>0</v>
      </c>
      <c r="AS221" s="536"/>
      <c r="AT221" s="536"/>
      <c r="AU221" s="536"/>
      <c r="AV221" s="542">
        <f t="shared" si="84"/>
        <v>0</v>
      </c>
      <c r="AW221" s="536"/>
      <c r="AX221" s="536"/>
      <c r="AY221" s="536"/>
      <c r="AZ221" s="542">
        <f t="shared" si="85"/>
        <v>0</v>
      </c>
      <c r="BA221" s="536"/>
      <c r="BB221" s="536"/>
      <c r="BC221" s="536"/>
      <c r="BD221" s="542">
        <f t="shared" si="86"/>
        <v>0</v>
      </c>
      <c r="BE221" s="536"/>
      <c r="BF221" s="536"/>
      <c r="BG221" s="536"/>
      <c r="BH221" s="542">
        <f t="shared" si="87"/>
        <v>0</v>
      </c>
      <c r="BI221" s="536"/>
      <c r="BJ221" s="536"/>
      <c r="BK221" s="536"/>
      <c r="BL221" s="542">
        <f t="shared" si="88"/>
        <v>0</v>
      </c>
      <c r="BM221" s="536"/>
      <c r="BN221" s="536"/>
      <c r="BO221" s="536"/>
      <c r="BP221" s="542">
        <f t="shared" si="89"/>
        <v>0</v>
      </c>
      <c r="BQ221" s="536"/>
      <c r="BR221" s="536"/>
      <c r="BS221" s="536"/>
      <c r="BT221" s="542">
        <f t="shared" si="90"/>
        <v>0</v>
      </c>
      <c r="BU221" s="536"/>
      <c r="BV221" s="536"/>
      <c r="BW221" s="536"/>
      <c r="BX221" s="542">
        <f t="shared" si="91"/>
        <v>0</v>
      </c>
      <c r="BY221" s="536"/>
      <c r="BZ221" s="536"/>
      <c r="CA221" s="536"/>
      <c r="CB221" s="542">
        <v>0</v>
      </c>
      <c r="CC221" s="536"/>
      <c r="CD221" s="536"/>
      <c r="CE221" s="536"/>
      <c r="CF221" s="541">
        <f t="shared" si="92"/>
        <v>0</v>
      </c>
      <c r="CG221" s="536"/>
      <c r="CH221" s="536"/>
      <c r="CI221" s="536"/>
      <c r="CJ221" s="541">
        <f t="shared" si="93"/>
        <v>0</v>
      </c>
      <c r="CK221" s="536"/>
      <c r="CL221" s="536"/>
      <c r="CM221" s="536"/>
      <c r="CN221" s="541">
        <f t="shared" si="94"/>
        <v>0</v>
      </c>
      <c r="CO221" s="536"/>
      <c r="CP221" s="536"/>
      <c r="CQ221" s="536"/>
      <c r="CR221" s="541">
        <f t="shared" si="95"/>
        <v>0</v>
      </c>
      <c r="CS221" s="536"/>
      <c r="CT221" s="536"/>
      <c r="CU221" s="536"/>
      <c r="CV221" s="541">
        <f t="shared" si="96"/>
        <v>0</v>
      </c>
      <c r="CW221" s="536"/>
      <c r="CX221" s="536"/>
      <c r="CY221" s="536"/>
      <c r="CZ221" s="541">
        <f t="shared" si="97"/>
        <v>0</v>
      </c>
      <c r="DA221" s="536"/>
      <c r="DB221" s="536"/>
      <c r="DC221" s="536"/>
      <c r="DD221" s="541">
        <f t="shared" si="98"/>
        <v>0</v>
      </c>
      <c r="DE221" s="536"/>
      <c r="DF221" s="536"/>
      <c r="DG221" s="536"/>
      <c r="DH221" s="541">
        <f t="shared" si="99"/>
        <v>0</v>
      </c>
      <c r="DI221" s="536"/>
      <c r="DJ221" s="536"/>
      <c r="DK221" s="536"/>
      <c r="DL221" s="541">
        <f t="shared" si="100"/>
        <v>0</v>
      </c>
      <c r="DM221" s="536"/>
      <c r="DN221" s="536"/>
      <c r="DO221" s="536"/>
      <c r="DP221" s="541">
        <f>IF( SUM((DJ221*(20/100))+(DK221*(30/100))+(DL221*(50/100))) &gt;=9.3,9.5,
IF(AND( SUM((DJ221*(20/100))+(DK221*(30/100))+(DL221*(50/100))) &lt;=9.3, SUM((DJ221*(20/100))+(DK221*(30/100))+(DL221*(50/100))) &gt;=8.8),9,
IF(AND( SUM((DJ221*(20/100))+(DK221*(30/100))+(DL221*(50/100))) &lt;=8.8, SUM((DJ221*(20/100))+(DK221*(30/100))+(DL221*(50/100))) &gt;=8.3),8.5,
IF(AND( SUM((DJ221*(20/100))+(DK221*(30/100))+(DL221*(50/100))) &lt;=8.3, SUM((DJ221*(20/100))+(DK221*(30/100))+(DL221*(50/100))) &gt;=7.8),8,
IF(AND( SUM((DJ221*(20/100))+(DK221*(30/100))+(DL221*(50/100))) &lt;=7.8, SUM((DJ221*(20/100))+(DK221*(30/100))+(DL221*(50/100))) &gt;=7.3),7.5,
IF(AND( SUM((DJ221*(20/100))+(DK221*(30/100))+(DL221*(50/100))) &lt;=7.3, SUM((DJ221*(20/100))+(DK221*(30/100))+(DL221*(50/100))) &gt;=6.8),7,
IF(AND( SUM((DJ221*(20/100))+(DK221*(30/100))+(DL221*(50/100))) &lt;=6.8, SUM((DJ221*(20/100))+(DK221*(30/100))+(DL221*(50/100))) &gt;=6.3),6.5,
IF(AND( SUM((DJ221*(20/100))+(DK221*(30/100))+(DL221*(50/100))) &lt;=6.3, SUM((DJ221*(20/100))+(DK221*(30/100))+(DL221*(50/100))) &gt;=5.8),6,
IF(AND( SUM((DJ221*(20/100))+(DK221*(30/100))+(DL221*(50/100))) &lt;=5.8, SUM((DJ221*(20/100))+(DK221*(30/100))+(DL221*(50/100))) &gt;=5.3),5.5,
IF(AND( SUM((DJ221*(20/100))+(DK221*(30/100))+(DL221*(50/100))) &lt;=5.3, SUM((DJ221*(20/100))+(DK221*(30/100))+(DL221*(50/100))) &gt;=4.8),5,
IF(AND( SUM((DJ221*(20/100))+(DK221*(30/100))+(DL221*(50/100))) &lt;=4.8, SUM((DJ221*(20/100))+(DK221*(30/100))+(DL221*(50/100))) &gt;=4.3),4.5,
IF(AND( SUM((DJ221*(20/100))+(DK221*(30/100))+(DL221*(50/100))) &lt;=4.3, SUM((DJ221*(20/100))+(DK221*(30/100))+(DL221*(50/100))) &gt;=3.8),4,
IF(AND( SUM((DJ221*(20/100))+(DK221*(30/100))+(DL221*(50/100))) &lt;=3.8, SUM((DJ221*(20/100))+(DK221*(30/100))+(DL221*(50/100))) &gt;=3.5),3.5,0)))))))))))))</f>
        <v>0</v>
      </c>
      <c r="DQ221" s="541"/>
      <c r="DR221" s="541"/>
      <c r="DS221" s="541"/>
      <c r="DT221" s="541"/>
      <c r="DU221" s="541"/>
      <c r="DV221" s="541"/>
      <c r="DW221" s="541"/>
      <c r="DX221" s="541"/>
      <c r="DY221" s="541"/>
      <c r="DZ221" s="541"/>
    </row>
    <row r="222" spans="2:130" x14ac:dyDescent="0.25">
      <c r="B222" s="334">
        <v>15</v>
      </c>
      <c r="C222" s="541"/>
      <c r="D222" s="334"/>
      <c r="E222" s="334"/>
      <c r="F222" s="334"/>
      <c r="G222" s="334"/>
      <c r="H222" s="334"/>
      <c r="I222" s="334"/>
      <c r="J222" s="536"/>
      <c r="K222" s="536"/>
      <c r="L222" s="536"/>
      <c r="M222" s="536"/>
      <c r="N222" s="536"/>
      <c r="O222" s="536"/>
      <c r="P222" s="536">
        <f t="shared" si="76"/>
        <v>0</v>
      </c>
      <c r="Q222" s="536"/>
      <c r="R222" s="536"/>
      <c r="S222" s="536"/>
      <c r="T222" s="536">
        <f t="shared" si="77"/>
        <v>0</v>
      </c>
      <c r="U222" s="536"/>
      <c r="V222" s="536"/>
      <c r="W222" s="536"/>
      <c r="X222" s="536">
        <f t="shared" si="78"/>
        <v>0</v>
      </c>
      <c r="Y222" s="536"/>
      <c r="Z222" s="536"/>
      <c r="AA222" s="536"/>
      <c r="AB222" s="536">
        <f t="shared" si="79"/>
        <v>0</v>
      </c>
      <c r="AC222" s="536"/>
      <c r="AD222" s="536"/>
      <c r="AE222" s="536"/>
      <c r="AF222" s="536">
        <f t="shared" si="80"/>
        <v>0</v>
      </c>
      <c r="AG222" s="536"/>
      <c r="AH222" s="536"/>
      <c r="AI222" s="536"/>
      <c r="AJ222" s="536">
        <f t="shared" si="81"/>
        <v>0</v>
      </c>
      <c r="AK222" s="536"/>
      <c r="AL222" s="536"/>
      <c r="AM222" s="536"/>
      <c r="AN222" s="542">
        <f t="shared" si="82"/>
        <v>0</v>
      </c>
      <c r="AO222" s="536"/>
      <c r="AP222" s="536"/>
      <c r="AQ222" s="536"/>
      <c r="AR222" s="542">
        <f t="shared" si="83"/>
        <v>0</v>
      </c>
      <c r="AS222" s="536"/>
      <c r="AT222" s="536"/>
      <c r="AU222" s="536"/>
      <c r="AV222" s="542">
        <f t="shared" si="84"/>
        <v>0</v>
      </c>
      <c r="AW222" s="536"/>
      <c r="AX222" s="536"/>
      <c r="AY222" s="536"/>
      <c r="AZ222" s="542">
        <f t="shared" si="85"/>
        <v>0</v>
      </c>
      <c r="BA222" s="536"/>
      <c r="BB222" s="536"/>
      <c r="BC222" s="536"/>
      <c r="BD222" s="542">
        <f t="shared" si="86"/>
        <v>0</v>
      </c>
      <c r="BE222" s="536"/>
      <c r="BF222" s="536"/>
      <c r="BG222" s="536"/>
      <c r="BH222" s="542">
        <f t="shared" si="87"/>
        <v>0</v>
      </c>
      <c r="BI222" s="536"/>
      <c r="BJ222" s="536"/>
      <c r="BK222" s="536"/>
      <c r="BL222" s="542">
        <f t="shared" si="88"/>
        <v>0</v>
      </c>
      <c r="BM222" s="536"/>
      <c r="BN222" s="536"/>
      <c r="BO222" s="536"/>
      <c r="BP222" s="542">
        <f t="shared" si="89"/>
        <v>0</v>
      </c>
      <c r="BQ222" s="536"/>
      <c r="BR222" s="536"/>
      <c r="BS222" s="536"/>
      <c r="BT222" s="542">
        <f t="shared" si="90"/>
        <v>0</v>
      </c>
      <c r="BU222" s="536"/>
      <c r="BV222" s="536"/>
      <c r="BW222" s="536"/>
      <c r="BX222" s="542">
        <f t="shared" si="91"/>
        <v>0</v>
      </c>
      <c r="BY222" s="536"/>
      <c r="BZ222" s="536"/>
      <c r="CA222" s="536"/>
      <c r="CB222" s="542">
        <v>0</v>
      </c>
      <c r="CC222" s="536"/>
      <c r="CD222" s="536"/>
      <c r="CE222" s="536"/>
      <c r="CF222" s="541">
        <f t="shared" si="92"/>
        <v>0</v>
      </c>
      <c r="CG222" s="536"/>
      <c r="CH222" s="536"/>
      <c r="CI222" s="536"/>
      <c r="CJ222" s="541">
        <f t="shared" si="93"/>
        <v>0</v>
      </c>
      <c r="CK222" s="536"/>
      <c r="CL222" s="536"/>
      <c r="CM222" s="536"/>
      <c r="CN222" s="541">
        <f t="shared" si="94"/>
        <v>0</v>
      </c>
      <c r="CO222" s="536"/>
      <c r="CP222" s="536"/>
      <c r="CQ222" s="536"/>
      <c r="CR222" s="541">
        <f t="shared" si="95"/>
        <v>0</v>
      </c>
      <c r="CS222" s="536"/>
      <c r="CT222" s="536"/>
      <c r="CU222" s="536"/>
      <c r="CV222" s="541">
        <f t="shared" si="96"/>
        <v>0</v>
      </c>
      <c r="CW222" s="536"/>
      <c r="CX222" s="536"/>
      <c r="CY222" s="536"/>
      <c r="CZ222" s="541">
        <f t="shared" si="97"/>
        <v>0</v>
      </c>
      <c r="DA222" s="536"/>
      <c r="DB222" s="536"/>
      <c r="DC222" s="536"/>
      <c r="DD222" s="541">
        <f t="shared" si="98"/>
        <v>0</v>
      </c>
      <c r="DE222" s="536"/>
      <c r="DF222" s="536"/>
      <c r="DG222" s="536"/>
      <c r="DH222" s="541">
        <f t="shared" si="99"/>
        <v>0</v>
      </c>
      <c r="DI222" s="536"/>
      <c r="DJ222" s="536"/>
      <c r="DK222" s="536"/>
      <c r="DL222" s="541">
        <f t="shared" si="100"/>
        <v>0</v>
      </c>
      <c r="DM222" s="536"/>
      <c r="DN222" s="536"/>
      <c r="DO222" s="536"/>
      <c r="DP222" s="541">
        <f>IF( SUM((DJ222*(20/100))+(DK222*(30/100))+(DL222*(50/100))) &gt;=9.3,9.5,
IF(AND( SUM((DJ222*(20/100))+(DK222*(30/100))+(DL222*(50/100))) &lt;=9.3, SUM((DJ222*(20/100))+(DK222*(30/100))+(DL222*(50/100))) &gt;=8.8),9,
IF(AND( SUM((DJ222*(20/100))+(DK222*(30/100))+(DL222*(50/100))) &lt;=8.8, SUM((DJ222*(20/100))+(DK222*(30/100))+(DL222*(50/100))) &gt;=8.3),8.5,
IF(AND( SUM((DJ222*(20/100))+(DK222*(30/100))+(DL222*(50/100))) &lt;=8.3, SUM((DJ222*(20/100))+(DK222*(30/100))+(DL222*(50/100))) &gt;=7.8),8,
IF(AND( SUM((DJ222*(20/100))+(DK222*(30/100))+(DL222*(50/100))) &lt;=7.8, SUM((DJ222*(20/100))+(DK222*(30/100))+(DL222*(50/100))) &gt;=7.3),7.5,
IF(AND( SUM((DJ222*(20/100))+(DK222*(30/100))+(DL222*(50/100))) &lt;=7.3, SUM((DJ222*(20/100))+(DK222*(30/100))+(DL222*(50/100))) &gt;=6.8),7,
IF(AND( SUM((DJ222*(20/100))+(DK222*(30/100))+(DL222*(50/100))) &lt;=6.8, SUM((DJ222*(20/100))+(DK222*(30/100))+(DL222*(50/100))) &gt;=6.3),6.5,
IF(AND( SUM((DJ222*(20/100))+(DK222*(30/100))+(DL222*(50/100))) &lt;=6.3, SUM((DJ222*(20/100))+(DK222*(30/100))+(DL222*(50/100))) &gt;=5.8),6,
IF(AND( SUM((DJ222*(20/100))+(DK222*(30/100))+(DL222*(50/100))) &lt;=5.8, SUM((DJ222*(20/100))+(DK222*(30/100))+(DL222*(50/100))) &gt;=5.3),5.5,
IF(AND( SUM((DJ222*(20/100))+(DK222*(30/100))+(DL222*(50/100))) &lt;=5.3, SUM((DJ222*(20/100))+(DK222*(30/100))+(DL222*(50/100))) &gt;=4.8),5,
IF(AND( SUM((DJ222*(20/100))+(DK222*(30/100))+(DL222*(50/100))) &lt;=4.8, SUM((DJ222*(20/100))+(DK222*(30/100))+(DL222*(50/100))) &gt;=4.3),4.5,
IF(AND( SUM((DJ222*(20/100))+(DK222*(30/100))+(DL222*(50/100))) &lt;=4.3, SUM((DJ222*(20/100))+(DK222*(30/100))+(DL222*(50/100))) &gt;=3.8),4,
IF(AND( SUM((DJ222*(20/100))+(DK222*(30/100))+(DL222*(50/100))) &lt;=3.8, SUM((DJ222*(20/100))+(DK222*(30/100))+(DL222*(50/100))) &gt;=3.5),3.5,0)))))))))))))</f>
        <v>0</v>
      </c>
      <c r="DQ222" s="541"/>
      <c r="DR222" s="541"/>
      <c r="DS222" s="541"/>
      <c r="DT222" s="541"/>
      <c r="DU222" s="541"/>
      <c r="DV222" s="541"/>
      <c r="DW222" s="541"/>
      <c r="DX222" s="541"/>
      <c r="DY222" s="541"/>
      <c r="DZ222" s="541"/>
    </row>
    <row r="223" spans="2:130" x14ac:dyDescent="0.25">
      <c r="B223" s="334">
        <v>16</v>
      </c>
      <c r="C223" s="541"/>
      <c r="D223" s="334"/>
      <c r="E223" s="334"/>
      <c r="F223" s="334"/>
      <c r="G223" s="334"/>
      <c r="H223" s="334"/>
      <c r="I223" s="334"/>
      <c r="J223" s="536"/>
      <c r="K223" s="536"/>
      <c r="L223" s="536"/>
      <c r="M223" s="536"/>
      <c r="N223" s="536"/>
      <c r="O223" s="536"/>
      <c r="P223" s="536">
        <f t="shared" si="76"/>
        <v>0</v>
      </c>
      <c r="Q223" s="536"/>
      <c r="R223" s="536"/>
      <c r="S223" s="536"/>
      <c r="T223" s="536">
        <f t="shared" si="77"/>
        <v>0</v>
      </c>
      <c r="U223" s="536"/>
      <c r="V223" s="536"/>
      <c r="W223" s="536"/>
      <c r="X223" s="536">
        <f t="shared" si="78"/>
        <v>0</v>
      </c>
      <c r="Y223" s="536"/>
      <c r="Z223" s="536"/>
      <c r="AA223" s="536"/>
      <c r="AB223" s="536">
        <f t="shared" si="79"/>
        <v>0</v>
      </c>
      <c r="AC223" s="536"/>
      <c r="AD223" s="536"/>
      <c r="AE223" s="536"/>
      <c r="AF223" s="536">
        <f t="shared" si="80"/>
        <v>0</v>
      </c>
      <c r="AG223" s="536"/>
      <c r="AH223" s="536"/>
      <c r="AI223" s="536"/>
      <c r="AJ223" s="536">
        <f t="shared" si="81"/>
        <v>0</v>
      </c>
      <c r="AK223" s="536"/>
      <c r="AL223" s="536"/>
      <c r="AM223" s="536"/>
      <c r="AN223" s="542">
        <f t="shared" si="82"/>
        <v>0</v>
      </c>
      <c r="AO223" s="536"/>
      <c r="AP223" s="536"/>
      <c r="AQ223" s="536"/>
      <c r="AR223" s="542">
        <f t="shared" si="83"/>
        <v>0</v>
      </c>
      <c r="AS223" s="536"/>
      <c r="AT223" s="536"/>
      <c r="AU223" s="536"/>
      <c r="AV223" s="542">
        <f t="shared" si="84"/>
        <v>0</v>
      </c>
      <c r="AW223" s="536"/>
      <c r="AX223" s="536"/>
      <c r="AY223" s="536"/>
      <c r="AZ223" s="542">
        <f t="shared" si="85"/>
        <v>0</v>
      </c>
      <c r="BA223" s="536"/>
      <c r="BB223" s="536"/>
      <c r="BC223" s="536"/>
      <c r="BD223" s="542">
        <f t="shared" si="86"/>
        <v>0</v>
      </c>
      <c r="BE223" s="536"/>
      <c r="BF223" s="536"/>
      <c r="BG223" s="536"/>
      <c r="BH223" s="542">
        <f t="shared" si="87"/>
        <v>0</v>
      </c>
      <c r="BI223" s="536"/>
      <c r="BJ223" s="536"/>
      <c r="BK223" s="536"/>
      <c r="BL223" s="542">
        <f t="shared" si="88"/>
        <v>0</v>
      </c>
      <c r="BM223" s="536"/>
      <c r="BN223" s="536"/>
      <c r="BO223" s="536"/>
      <c r="BP223" s="542">
        <f t="shared" si="89"/>
        <v>0</v>
      </c>
      <c r="BQ223" s="536"/>
      <c r="BR223" s="536"/>
      <c r="BS223" s="536"/>
      <c r="BT223" s="542">
        <f t="shared" si="90"/>
        <v>0</v>
      </c>
      <c r="BU223" s="536"/>
      <c r="BV223" s="536"/>
      <c r="BW223" s="536"/>
      <c r="BX223" s="542">
        <f t="shared" si="91"/>
        <v>0</v>
      </c>
      <c r="BY223" s="536"/>
      <c r="BZ223" s="536"/>
      <c r="CA223" s="536"/>
      <c r="CB223" s="542">
        <v>0</v>
      </c>
      <c r="CC223" s="536"/>
      <c r="CD223" s="536"/>
      <c r="CE223" s="536"/>
      <c r="CF223" s="541">
        <f t="shared" si="92"/>
        <v>0</v>
      </c>
      <c r="CG223" s="536"/>
      <c r="CH223" s="536"/>
      <c r="CI223" s="536"/>
      <c r="CJ223" s="541">
        <f t="shared" si="93"/>
        <v>0</v>
      </c>
      <c r="CK223" s="536"/>
      <c r="CL223" s="536"/>
      <c r="CM223" s="536"/>
      <c r="CN223" s="541">
        <f t="shared" si="94"/>
        <v>0</v>
      </c>
      <c r="CO223" s="536"/>
      <c r="CP223" s="536"/>
      <c r="CQ223" s="536"/>
      <c r="CR223" s="541">
        <f t="shared" si="95"/>
        <v>0</v>
      </c>
      <c r="CS223" s="536"/>
      <c r="CT223" s="536"/>
      <c r="CU223" s="536"/>
      <c r="CV223" s="541">
        <f t="shared" si="96"/>
        <v>0</v>
      </c>
      <c r="CW223" s="536"/>
      <c r="CX223" s="536"/>
      <c r="CY223" s="536"/>
      <c r="CZ223" s="541">
        <f t="shared" si="97"/>
        <v>0</v>
      </c>
      <c r="DA223" s="536"/>
      <c r="DB223" s="536"/>
      <c r="DC223" s="536"/>
      <c r="DD223" s="541">
        <f t="shared" si="98"/>
        <v>0</v>
      </c>
      <c r="DE223" s="536"/>
      <c r="DF223" s="536"/>
      <c r="DG223" s="536"/>
      <c r="DH223" s="541">
        <f t="shared" si="99"/>
        <v>0</v>
      </c>
      <c r="DI223" s="536"/>
      <c r="DJ223" s="536"/>
      <c r="DK223" s="536"/>
      <c r="DL223" s="541">
        <f t="shared" si="100"/>
        <v>0</v>
      </c>
      <c r="DM223" s="536"/>
      <c r="DN223" s="536"/>
      <c r="DO223" s="536"/>
      <c r="DP223" s="541">
        <f>IF( SUM((DJ223*(20/100))+(DK223*(30/100))+(DL223*(50/100))) &gt;=9.3,9.5,
IF(AND( SUM((DJ223*(20/100))+(DK223*(30/100))+(DL223*(50/100))) &lt;=9.3, SUM((DJ223*(20/100))+(DK223*(30/100))+(DL223*(50/100))) &gt;=8.8),9,
IF(AND( SUM((DJ223*(20/100))+(DK223*(30/100))+(DL223*(50/100))) &lt;=8.8, SUM((DJ223*(20/100))+(DK223*(30/100))+(DL223*(50/100))) &gt;=8.3),8.5,
IF(AND( SUM((DJ223*(20/100))+(DK223*(30/100))+(DL223*(50/100))) &lt;=8.3, SUM((DJ223*(20/100))+(DK223*(30/100))+(DL223*(50/100))) &gt;=7.8),8,
IF(AND( SUM((DJ223*(20/100))+(DK223*(30/100))+(DL223*(50/100))) &lt;=7.8, SUM((DJ223*(20/100))+(DK223*(30/100))+(DL223*(50/100))) &gt;=7.3),7.5,
IF(AND( SUM((DJ223*(20/100))+(DK223*(30/100))+(DL223*(50/100))) &lt;=7.3, SUM((DJ223*(20/100))+(DK223*(30/100))+(DL223*(50/100))) &gt;=6.8),7,
IF(AND( SUM((DJ223*(20/100))+(DK223*(30/100))+(DL223*(50/100))) &lt;=6.8, SUM((DJ223*(20/100))+(DK223*(30/100))+(DL223*(50/100))) &gt;=6.3),6.5,
IF(AND( SUM((DJ223*(20/100))+(DK223*(30/100))+(DL223*(50/100))) &lt;=6.3, SUM((DJ223*(20/100))+(DK223*(30/100))+(DL223*(50/100))) &gt;=5.8),6,
IF(AND( SUM((DJ223*(20/100))+(DK223*(30/100))+(DL223*(50/100))) &lt;=5.8, SUM((DJ223*(20/100))+(DK223*(30/100))+(DL223*(50/100))) &gt;=5.3),5.5,
IF(AND( SUM((DJ223*(20/100))+(DK223*(30/100))+(DL223*(50/100))) &lt;=5.3, SUM((DJ223*(20/100))+(DK223*(30/100))+(DL223*(50/100))) &gt;=4.8),5,
IF(AND( SUM((DJ223*(20/100))+(DK223*(30/100))+(DL223*(50/100))) &lt;=4.8, SUM((DJ223*(20/100))+(DK223*(30/100))+(DL223*(50/100))) &gt;=4.3),4.5,
IF(AND( SUM((DJ223*(20/100))+(DK223*(30/100))+(DL223*(50/100))) &lt;=4.3, SUM((DJ223*(20/100))+(DK223*(30/100))+(DL223*(50/100))) &gt;=3.8),4,
IF(AND( SUM((DJ223*(20/100))+(DK223*(30/100))+(DL223*(50/100))) &lt;=3.8, SUM((DJ223*(20/100))+(DK223*(30/100))+(DL223*(50/100))) &gt;=3.5),3.5,0)))))))))))))</f>
        <v>0</v>
      </c>
      <c r="DQ223" s="541"/>
      <c r="DR223" s="541"/>
      <c r="DS223" s="541"/>
      <c r="DT223" s="541"/>
      <c r="DU223" s="541"/>
      <c r="DV223" s="541"/>
      <c r="DW223" s="541"/>
      <c r="DX223" s="541"/>
      <c r="DY223" s="541"/>
      <c r="DZ223" s="541"/>
    </row>
    <row r="224" spans="2:130" x14ac:dyDescent="0.25">
      <c r="B224" s="334">
        <v>17</v>
      </c>
      <c r="C224" s="541"/>
      <c r="D224" s="334"/>
      <c r="E224" s="334"/>
      <c r="F224" s="334"/>
      <c r="G224" s="334"/>
      <c r="H224" s="334"/>
      <c r="I224" s="334"/>
      <c r="J224" s="536"/>
      <c r="K224" s="536"/>
      <c r="L224" s="536"/>
      <c r="M224" s="536"/>
      <c r="N224" s="536"/>
      <c r="O224" s="536"/>
      <c r="P224" s="536">
        <f t="shared" si="76"/>
        <v>0</v>
      </c>
      <c r="Q224" s="536"/>
      <c r="R224" s="536"/>
      <c r="S224" s="536"/>
      <c r="T224" s="536">
        <f t="shared" si="77"/>
        <v>0</v>
      </c>
      <c r="U224" s="536"/>
      <c r="V224" s="536"/>
      <c r="W224" s="536"/>
      <c r="X224" s="536">
        <f t="shared" si="78"/>
        <v>0</v>
      </c>
      <c r="Y224" s="536"/>
      <c r="Z224" s="536"/>
      <c r="AA224" s="536"/>
      <c r="AB224" s="536">
        <f t="shared" si="79"/>
        <v>0</v>
      </c>
      <c r="AC224" s="536"/>
      <c r="AD224" s="536"/>
      <c r="AE224" s="536"/>
      <c r="AF224" s="536">
        <f t="shared" si="80"/>
        <v>0</v>
      </c>
      <c r="AG224" s="536"/>
      <c r="AH224" s="536"/>
      <c r="AI224" s="536"/>
      <c r="AJ224" s="536">
        <f t="shared" si="81"/>
        <v>0</v>
      </c>
      <c r="AK224" s="536"/>
      <c r="AL224" s="536"/>
      <c r="AM224" s="536"/>
      <c r="AN224" s="542">
        <f t="shared" si="82"/>
        <v>0</v>
      </c>
      <c r="AO224" s="536"/>
      <c r="AP224" s="536"/>
      <c r="AQ224" s="536"/>
      <c r="AR224" s="542">
        <f t="shared" si="83"/>
        <v>0</v>
      </c>
      <c r="AS224" s="536"/>
      <c r="AT224" s="536"/>
      <c r="AU224" s="536"/>
      <c r="AV224" s="542">
        <f t="shared" si="84"/>
        <v>0</v>
      </c>
      <c r="AW224" s="536"/>
      <c r="AX224" s="536"/>
      <c r="AY224" s="536"/>
      <c r="AZ224" s="542">
        <f t="shared" si="85"/>
        <v>0</v>
      </c>
      <c r="BA224" s="536"/>
      <c r="BB224" s="536"/>
      <c r="BC224" s="536"/>
      <c r="BD224" s="542">
        <f t="shared" si="86"/>
        <v>0</v>
      </c>
      <c r="BE224" s="536"/>
      <c r="BF224" s="536"/>
      <c r="BG224" s="536"/>
      <c r="BH224" s="542">
        <f t="shared" si="87"/>
        <v>0</v>
      </c>
      <c r="BI224" s="536"/>
      <c r="BJ224" s="536"/>
      <c r="BK224" s="536"/>
      <c r="BL224" s="542">
        <f t="shared" si="88"/>
        <v>0</v>
      </c>
      <c r="BM224" s="536"/>
      <c r="BN224" s="536"/>
      <c r="BO224" s="536"/>
      <c r="BP224" s="542">
        <f t="shared" si="89"/>
        <v>0</v>
      </c>
      <c r="BQ224" s="536"/>
      <c r="BR224" s="536"/>
      <c r="BS224" s="536"/>
      <c r="BT224" s="542">
        <f t="shared" si="90"/>
        <v>0</v>
      </c>
      <c r="BU224" s="536"/>
      <c r="BV224" s="536"/>
      <c r="BW224" s="536"/>
      <c r="BX224" s="542">
        <f t="shared" si="91"/>
        <v>0</v>
      </c>
      <c r="BY224" s="536"/>
      <c r="BZ224" s="536"/>
      <c r="CA224" s="536"/>
      <c r="CB224" s="542">
        <v>0</v>
      </c>
      <c r="CC224" s="536"/>
      <c r="CD224" s="536"/>
      <c r="CE224" s="536"/>
      <c r="CF224" s="541">
        <f t="shared" si="92"/>
        <v>0</v>
      </c>
      <c r="CG224" s="536"/>
      <c r="CH224" s="536"/>
      <c r="CI224" s="536"/>
      <c r="CJ224" s="541">
        <f t="shared" si="93"/>
        <v>0</v>
      </c>
      <c r="CK224" s="536"/>
      <c r="CL224" s="536"/>
      <c r="CM224" s="536"/>
      <c r="CN224" s="541">
        <f t="shared" si="94"/>
        <v>0</v>
      </c>
      <c r="CO224" s="536"/>
      <c r="CP224" s="536"/>
      <c r="CQ224" s="536"/>
      <c r="CR224" s="541">
        <f t="shared" si="95"/>
        <v>0</v>
      </c>
      <c r="CS224" s="536"/>
      <c r="CT224" s="536"/>
      <c r="CU224" s="536"/>
      <c r="CV224" s="541">
        <f t="shared" si="96"/>
        <v>0</v>
      </c>
      <c r="CW224" s="536"/>
      <c r="CX224" s="536"/>
      <c r="CY224" s="536"/>
      <c r="CZ224" s="541">
        <f t="shared" si="97"/>
        <v>0</v>
      </c>
      <c r="DA224" s="536"/>
      <c r="DB224" s="536"/>
      <c r="DC224" s="536"/>
      <c r="DD224" s="541">
        <f t="shared" si="98"/>
        <v>0</v>
      </c>
      <c r="DE224" s="536"/>
      <c r="DF224" s="536"/>
      <c r="DG224" s="536"/>
      <c r="DH224" s="541">
        <f t="shared" si="99"/>
        <v>0</v>
      </c>
      <c r="DI224" s="536"/>
      <c r="DJ224" s="536"/>
      <c r="DK224" s="536"/>
      <c r="DL224" s="541">
        <f t="shared" si="100"/>
        <v>0</v>
      </c>
      <c r="DM224" s="536"/>
      <c r="DN224" s="536"/>
      <c r="DO224" s="536"/>
      <c r="DP224" s="541">
        <f>IF( SUM((DJ224*(20/100))+(DK224*(30/100))+(DL224*(50/100))) &gt;=9.3,9.5,
IF(AND( SUM((DJ224*(20/100))+(DK224*(30/100))+(DL224*(50/100))) &lt;=9.3, SUM((DJ224*(20/100))+(DK224*(30/100))+(DL224*(50/100))) &gt;=8.8),9,
IF(AND( SUM((DJ224*(20/100))+(DK224*(30/100))+(DL224*(50/100))) &lt;=8.8, SUM((DJ224*(20/100))+(DK224*(30/100))+(DL224*(50/100))) &gt;=8.3),8.5,
IF(AND( SUM((DJ224*(20/100))+(DK224*(30/100))+(DL224*(50/100))) &lt;=8.3, SUM((DJ224*(20/100))+(DK224*(30/100))+(DL224*(50/100))) &gt;=7.8),8,
IF(AND( SUM((DJ224*(20/100))+(DK224*(30/100))+(DL224*(50/100))) &lt;=7.8, SUM((DJ224*(20/100))+(DK224*(30/100))+(DL224*(50/100))) &gt;=7.3),7.5,
IF(AND( SUM((DJ224*(20/100))+(DK224*(30/100))+(DL224*(50/100))) &lt;=7.3, SUM((DJ224*(20/100))+(DK224*(30/100))+(DL224*(50/100))) &gt;=6.8),7,
IF(AND( SUM((DJ224*(20/100))+(DK224*(30/100))+(DL224*(50/100))) &lt;=6.8, SUM((DJ224*(20/100))+(DK224*(30/100))+(DL224*(50/100))) &gt;=6.3),6.5,
IF(AND( SUM((DJ224*(20/100))+(DK224*(30/100))+(DL224*(50/100))) &lt;=6.3, SUM((DJ224*(20/100))+(DK224*(30/100))+(DL224*(50/100))) &gt;=5.8),6,
IF(AND( SUM((DJ224*(20/100))+(DK224*(30/100))+(DL224*(50/100))) &lt;=5.8, SUM((DJ224*(20/100))+(DK224*(30/100))+(DL224*(50/100))) &gt;=5.3),5.5,
IF(AND( SUM((DJ224*(20/100))+(DK224*(30/100))+(DL224*(50/100))) &lt;=5.3, SUM((DJ224*(20/100))+(DK224*(30/100))+(DL224*(50/100))) &gt;=4.8),5,
IF(AND( SUM((DJ224*(20/100))+(DK224*(30/100))+(DL224*(50/100))) &lt;=4.8, SUM((DJ224*(20/100))+(DK224*(30/100))+(DL224*(50/100))) &gt;=4.3),4.5,
IF(AND( SUM((DJ224*(20/100))+(DK224*(30/100))+(DL224*(50/100))) &lt;=4.3, SUM((DJ224*(20/100))+(DK224*(30/100))+(DL224*(50/100))) &gt;=3.8),4,
IF(AND( SUM((DJ224*(20/100))+(DK224*(30/100))+(DL224*(50/100))) &lt;=3.8, SUM((DJ224*(20/100))+(DK224*(30/100))+(DL224*(50/100))) &gt;=3.5),3.5,0)))))))))))))</f>
        <v>0</v>
      </c>
      <c r="DQ224" s="541"/>
      <c r="DR224" s="541"/>
      <c r="DS224" s="541"/>
      <c r="DT224" s="541"/>
      <c r="DU224" s="541"/>
      <c r="DV224" s="541"/>
      <c r="DW224" s="541"/>
      <c r="DX224" s="541"/>
      <c r="DY224" s="541"/>
      <c r="DZ224" s="541"/>
    </row>
    <row r="225" spans="2:130" x14ac:dyDescent="0.25">
      <c r="B225" s="334">
        <v>18</v>
      </c>
      <c r="C225" s="541"/>
      <c r="D225" s="334"/>
      <c r="E225" s="334"/>
      <c r="F225" s="334"/>
      <c r="G225" s="334"/>
      <c r="H225" s="334"/>
      <c r="I225" s="334"/>
      <c r="J225" s="536"/>
      <c r="K225" s="536"/>
      <c r="L225" s="536"/>
      <c r="M225" s="536"/>
      <c r="N225" s="536"/>
      <c r="O225" s="536"/>
      <c r="P225" s="536">
        <f t="shared" si="76"/>
        <v>0</v>
      </c>
      <c r="Q225" s="536"/>
      <c r="R225" s="536"/>
      <c r="S225" s="536"/>
      <c r="T225" s="536">
        <f t="shared" si="77"/>
        <v>0</v>
      </c>
      <c r="U225" s="536"/>
      <c r="V225" s="536"/>
      <c r="W225" s="536"/>
      <c r="X225" s="536">
        <f t="shared" si="78"/>
        <v>0</v>
      </c>
      <c r="Y225" s="536"/>
      <c r="Z225" s="536"/>
      <c r="AA225" s="536"/>
      <c r="AB225" s="536">
        <f t="shared" si="79"/>
        <v>0</v>
      </c>
      <c r="AC225" s="536"/>
      <c r="AD225" s="536"/>
      <c r="AE225" s="536"/>
      <c r="AF225" s="536">
        <f t="shared" si="80"/>
        <v>0</v>
      </c>
      <c r="AG225" s="536"/>
      <c r="AH225" s="536"/>
      <c r="AI225" s="536"/>
      <c r="AJ225" s="536">
        <f t="shared" si="81"/>
        <v>0</v>
      </c>
      <c r="AK225" s="536"/>
      <c r="AL225" s="536"/>
      <c r="AM225" s="536"/>
      <c r="AN225" s="542">
        <f t="shared" si="82"/>
        <v>0</v>
      </c>
      <c r="AO225" s="536"/>
      <c r="AP225" s="536"/>
      <c r="AQ225" s="536"/>
      <c r="AR225" s="542">
        <f t="shared" si="83"/>
        <v>0</v>
      </c>
      <c r="AS225" s="536"/>
      <c r="AT225" s="536"/>
      <c r="AU225" s="536"/>
      <c r="AV225" s="542">
        <f t="shared" si="84"/>
        <v>0</v>
      </c>
      <c r="AW225" s="536"/>
      <c r="AX225" s="536"/>
      <c r="AY225" s="536"/>
      <c r="AZ225" s="542">
        <f t="shared" si="85"/>
        <v>0</v>
      </c>
      <c r="BA225" s="536"/>
      <c r="BB225" s="536"/>
      <c r="BC225" s="536"/>
      <c r="BD225" s="542">
        <f t="shared" si="86"/>
        <v>0</v>
      </c>
      <c r="BE225" s="536"/>
      <c r="BF225" s="536"/>
      <c r="BG225" s="536"/>
      <c r="BH225" s="542">
        <f t="shared" si="87"/>
        <v>0</v>
      </c>
      <c r="BI225" s="536"/>
      <c r="BJ225" s="536"/>
      <c r="BK225" s="536"/>
      <c r="BL225" s="542">
        <f t="shared" si="88"/>
        <v>0</v>
      </c>
      <c r="BM225" s="536"/>
      <c r="BN225" s="536"/>
      <c r="BO225" s="536"/>
      <c r="BP225" s="542">
        <f t="shared" si="89"/>
        <v>0</v>
      </c>
      <c r="BQ225" s="536"/>
      <c r="BR225" s="536"/>
      <c r="BS225" s="536"/>
      <c r="BT225" s="542">
        <f t="shared" si="90"/>
        <v>0</v>
      </c>
      <c r="BU225" s="536"/>
      <c r="BV225" s="536"/>
      <c r="BW225" s="536"/>
      <c r="BX225" s="542">
        <f t="shared" si="91"/>
        <v>0</v>
      </c>
      <c r="BY225" s="536"/>
      <c r="BZ225" s="536"/>
      <c r="CA225" s="536"/>
      <c r="CB225" s="542">
        <v>0</v>
      </c>
      <c r="CC225" s="536"/>
      <c r="CD225" s="536"/>
      <c r="CE225" s="536"/>
      <c r="CF225" s="541">
        <f t="shared" si="92"/>
        <v>0</v>
      </c>
      <c r="CG225" s="536"/>
      <c r="CH225" s="536"/>
      <c r="CI225" s="536"/>
      <c r="CJ225" s="541">
        <f t="shared" si="93"/>
        <v>0</v>
      </c>
      <c r="CK225" s="536"/>
      <c r="CL225" s="536"/>
      <c r="CM225" s="536"/>
      <c r="CN225" s="541">
        <f t="shared" si="94"/>
        <v>0</v>
      </c>
      <c r="CO225" s="536"/>
      <c r="CP225" s="536"/>
      <c r="CQ225" s="536"/>
      <c r="CR225" s="541">
        <f t="shared" si="95"/>
        <v>0</v>
      </c>
      <c r="CS225" s="536"/>
      <c r="CT225" s="536"/>
      <c r="CU225" s="536"/>
      <c r="CV225" s="541">
        <f t="shared" si="96"/>
        <v>0</v>
      </c>
      <c r="CW225" s="536"/>
      <c r="CX225" s="536"/>
      <c r="CY225" s="536"/>
      <c r="CZ225" s="541">
        <f t="shared" si="97"/>
        <v>0</v>
      </c>
      <c r="DA225" s="536"/>
      <c r="DB225" s="536"/>
      <c r="DC225" s="536"/>
      <c r="DD225" s="541">
        <f t="shared" si="98"/>
        <v>0</v>
      </c>
      <c r="DE225" s="536"/>
      <c r="DF225" s="536"/>
      <c r="DG225" s="536"/>
      <c r="DH225" s="541">
        <f t="shared" si="99"/>
        <v>0</v>
      </c>
      <c r="DI225" s="536"/>
      <c r="DJ225" s="536"/>
      <c r="DK225" s="536"/>
      <c r="DL225" s="541">
        <f t="shared" si="100"/>
        <v>0</v>
      </c>
      <c r="DM225" s="536"/>
      <c r="DN225" s="536"/>
      <c r="DO225" s="536"/>
      <c r="DP225" s="541">
        <f>IF( SUM((DJ225*(20/100))+(DK225*(30/100))+(DL225*(50/100))) &gt;=9.3,9.5,
IF(AND( SUM((DJ225*(20/100))+(DK225*(30/100))+(DL225*(50/100))) &lt;=9.3, SUM((DJ225*(20/100))+(DK225*(30/100))+(DL225*(50/100))) &gt;=8.8),9,
IF(AND( SUM((DJ225*(20/100))+(DK225*(30/100))+(DL225*(50/100))) &lt;=8.8, SUM((DJ225*(20/100))+(DK225*(30/100))+(DL225*(50/100))) &gt;=8.3),8.5,
IF(AND( SUM((DJ225*(20/100))+(DK225*(30/100))+(DL225*(50/100))) &lt;=8.3, SUM((DJ225*(20/100))+(DK225*(30/100))+(DL225*(50/100))) &gt;=7.8),8,
IF(AND( SUM((DJ225*(20/100))+(DK225*(30/100))+(DL225*(50/100))) &lt;=7.8, SUM((DJ225*(20/100))+(DK225*(30/100))+(DL225*(50/100))) &gt;=7.3),7.5,
IF(AND( SUM((DJ225*(20/100))+(DK225*(30/100))+(DL225*(50/100))) &lt;=7.3, SUM((DJ225*(20/100))+(DK225*(30/100))+(DL225*(50/100))) &gt;=6.8),7,
IF(AND( SUM((DJ225*(20/100))+(DK225*(30/100))+(DL225*(50/100))) &lt;=6.8, SUM((DJ225*(20/100))+(DK225*(30/100))+(DL225*(50/100))) &gt;=6.3),6.5,
IF(AND( SUM((DJ225*(20/100))+(DK225*(30/100))+(DL225*(50/100))) &lt;=6.3, SUM((DJ225*(20/100))+(DK225*(30/100))+(DL225*(50/100))) &gt;=5.8),6,
IF(AND( SUM((DJ225*(20/100))+(DK225*(30/100))+(DL225*(50/100))) &lt;=5.8, SUM((DJ225*(20/100))+(DK225*(30/100))+(DL225*(50/100))) &gt;=5.3),5.5,
IF(AND( SUM((DJ225*(20/100))+(DK225*(30/100))+(DL225*(50/100))) &lt;=5.3, SUM((DJ225*(20/100))+(DK225*(30/100))+(DL225*(50/100))) &gt;=4.8),5,
IF(AND( SUM((DJ225*(20/100))+(DK225*(30/100))+(DL225*(50/100))) &lt;=4.8, SUM((DJ225*(20/100))+(DK225*(30/100))+(DL225*(50/100))) &gt;=4.3),4.5,
IF(AND( SUM((DJ225*(20/100))+(DK225*(30/100))+(DL225*(50/100))) &lt;=4.3, SUM((DJ225*(20/100))+(DK225*(30/100))+(DL225*(50/100))) &gt;=3.8),4,
IF(AND( SUM((DJ225*(20/100))+(DK225*(30/100))+(DL225*(50/100))) &lt;=3.8, SUM((DJ225*(20/100))+(DK225*(30/100))+(DL225*(50/100))) &gt;=3.5),3.5,0)))))))))))))</f>
        <v>0</v>
      </c>
      <c r="DQ225" s="541"/>
      <c r="DR225" s="541"/>
      <c r="DS225" s="541"/>
      <c r="DT225" s="541"/>
      <c r="DU225" s="541"/>
      <c r="DV225" s="541"/>
      <c r="DW225" s="541"/>
      <c r="DX225" s="541"/>
      <c r="DY225" s="541"/>
      <c r="DZ225" s="541"/>
    </row>
    <row r="226" spans="2:130" x14ac:dyDescent="0.25">
      <c r="B226" s="334">
        <v>19</v>
      </c>
      <c r="C226" s="541"/>
      <c r="D226" s="334"/>
      <c r="E226" s="334"/>
      <c r="F226" s="334"/>
      <c r="G226" s="334"/>
      <c r="H226" s="334"/>
      <c r="I226" s="334"/>
      <c r="J226" s="536"/>
      <c r="K226" s="536"/>
      <c r="L226" s="536"/>
      <c r="M226" s="536"/>
      <c r="N226" s="536"/>
      <c r="O226" s="536"/>
      <c r="P226" s="536">
        <f t="shared" si="76"/>
        <v>0</v>
      </c>
      <c r="Q226" s="536"/>
      <c r="R226" s="536"/>
      <c r="S226" s="536"/>
      <c r="T226" s="536">
        <f t="shared" si="77"/>
        <v>0</v>
      </c>
      <c r="U226" s="536"/>
      <c r="V226" s="536"/>
      <c r="W226" s="536"/>
      <c r="X226" s="536">
        <f t="shared" si="78"/>
        <v>0</v>
      </c>
      <c r="Y226" s="536"/>
      <c r="Z226" s="536"/>
      <c r="AA226" s="536"/>
      <c r="AB226" s="536">
        <f t="shared" si="79"/>
        <v>0</v>
      </c>
      <c r="AC226" s="536"/>
      <c r="AD226" s="536"/>
      <c r="AE226" s="536"/>
      <c r="AF226" s="536">
        <f t="shared" si="80"/>
        <v>0</v>
      </c>
      <c r="AG226" s="536"/>
      <c r="AH226" s="536"/>
      <c r="AI226" s="536"/>
      <c r="AJ226" s="536">
        <f t="shared" si="81"/>
        <v>0</v>
      </c>
      <c r="AK226" s="536"/>
      <c r="AL226" s="536"/>
      <c r="AM226" s="536"/>
      <c r="AN226" s="542">
        <f t="shared" si="82"/>
        <v>0</v>
      </c>
      <c r="AO226" s="536"/>
      <c r="AP226" s="536"/>
      <c r="AQ226" s="536"/>
      <c r="AR226" s="542">
        <f t="shared" si="83"/>
        <v>0</v>
      </c>
      <c r="AS226" s="536"/>
      <c r="AT226" s="536"/>
      <c r="AU226" s="536"/>
      <c r="AV226" s="542">
        <f t="shared" si="84"/>
        <v>0</v>
      </c>
      <c r="AW226" s="536"/>
      <c r="AX226" s="536"/>
      <c r="AY226" s="536"/>
      <c r="AZ226" s="542">
        <f t="shared" si="85"/>
        <v>0</v>
      </c>
      <c r="BA226" s="536"/>
      <c r="BB226" s="536"/>
      <c r="BC226" s="536"/>
      <c r="BD226" s="542">
        <f t="shared" si="86"/>
        <v>0</v>
      </c>
      <c r="BE226" s="536"/>
      <c r="BF226" s="536"/>
      <c r="BG226" s="536"/>
      <c r="BH226" s="542">
        <f t="shared" si="87"/>
        <v>0</v>
      </c>
      <c r="BI226" s="536"/>
      <c r="BJ226" s="536"/>
      <c r="BK226" s="536"/>
      <c r="BL226" s="542">
        <f t="shared" si="88"/>
        <v>0</v>
      </c>
      <c r="BM226" s="536"/>
      <c r="BN226" s="536"/>
      <c r="BO226" s="536"/>
      <c r="BP226" s="542">
        <f t="shared" si="89"/>
        <v>0</v>
      </c>
      <c r="BQ226" s="536"/>
      <c r="BR226" s="536"/>
      <c r="BS226" s="536"/>
      <c r="BT226" s="542">
        <f t="shared" si="90"/>
        <v>0</v>
      </c>
      <c r="BU226" s="536"/>
      <c r="BV226" s="536"/>
      <c r="BW226" s="536"/>
      <c r="BX226" s="542">
        <f t="shared" si="91"/>
        <v>0</v>
      </c>
      <c r="BY226" s="536"/>
      <c r="BZ226" s="536"/>
      <c r="CA226" s="536"/>
      <c r="CB226" s="542">
        <v>0</v>
      </c>
      <c r="CC226" s="536"/>
      <c r="CD226" s="536"/>
      <c r="CE226" s="536"/>
      <c r="CF226" s="541">
        <f t="shared" si="92"/>
        <v>0</v>
      </c>
      <c r="CG226" s="536"/>
      <c r="CH226" s="536"/>
      <c r="CI226" s="536"/>
      <c r="CJ226" s="541">
        <f t="shared" si="93"/>
        <v>0</v>
      </c>
      <c r="CK226" s="536"/>
      <c r="CL226" s="536"/>
      <c r="CM226" s="536"/>
      <c r="CN226" s="541">
        <f t="shared" si="94"/>
        <v>0</v>
      </c>
      <c r="CO226" s="536"/>
      <c r="CP226" s="536"/>
      <c r="CQ226" s="536"/>
      <c r="CR226" s="541">
        <f t="shared" si="95"/>
        <v>0</v>
      </c>
      <c r="CS226" s="536"/>
      <c r="CT226" s="536"/>
      <c r="CU226" s="536"/>
      <c r="CV226" s="541">
        <f t="shared" si="96"/>
        <v>0</v>
      </c>
      <c r="CW226" s="536"/>
      <c r="CX226" s="536"/>
      <c r="CY226" s="536"/>
      <c r="CZ226" s="541">
        <f t="shared" si="97"/>
        <v>0</v>
      </c>
      <c r="DA226" s="536"/>
      <c r="DB226" s="536"/>
      <c r="DC226" s="536"/>
      <c r="DD226" s="541">
        <f t="shared" si="98"/>
        <v>0</v>
      </c>
      <c r="DE226" s="536"/>
      <c r="DF226" s="536"/>
      <c r="DG226" s="536"/>
      <c r="DH226" s="541">
        <f t="shared" si="99"/>
        <v>0</v>
      </c>
      <c r="DI226" s="536"/>
      <c r="DJ226" s="536"/>
      <c r="DK226" s="536"/>
      <c r="DL226" s="541">
        <f t="shared" si="100"/>
        <v>0</v>
      </c>
      <c r="DM226" s="536"/>
      <c r="DN226" s="536"/>
      <c r="DO226" s="536"/>
      <c r="DP226" s="541">
        <f>IF( SUM((DJ226*(20/100))+(DK226*(30/100))+(DL226*(50/100))) &gt;=9.3,9.5,
IF(AND( SUM((DJ226*(20/100))+(DK226*(30/100))+(DL226*(50/100))) &lt;=9.3, SUM((DJ226*(20/100))+(DK226*(30/100))+(DL226*(50/100))) &gt;=8.8),9,
IF(AND( SUM((DJ226*(20/100))+(DK226*(30/100))+(DL226*(50/100))) &lt;=8.8, SUM((DJ226*(20/100))+(DK226*(30/100))+(DL226*(50/100))) &gt;=8.3),8.5,
IF(AND( SUM((DJ226*(20/100))+(DK226*(30/100))+(DL226*(50/100))) &lt;=8.3, SUM((DJ226*(20/100))+(DK226*(30/100))+(DL226*(50/100))) &gt;=7.8),8,
IF(AND( SUM((DJ226*(20/100))+(DK226*(30/100))+(DL226*(50/100))) &lt;=7.8, SUM((DJ226*(20/100))+(DK226*(30/100))+(DL226*(50/100))) &gt;=7.3),7.5,
IF(AND( SUM((DJ226*(20/100))+(DK226*(30/100))+(DL226*(50/100))) &lt;=7.3, SUM((DJ226*(20/100))+(DK226*(30/100))+(DL226*(50/100))) &gt;=6.8),7,
IF(AND( SUM((DJ226*(20/100))+(DK226*(30/100))+(DL226*(50/100))) &lt;=6.8, SUM((DJ226*(20/100))+(DK226*(30/100))+(DL226*(50/100))) &gt;=6.3),6.5,
IF(AND( SUM((DJ226*(20/100))+(DK226*(30/100))+(DL226*(50/100))) &lt;=6.3, SUM((DJ226*(20/100))+(DK226*(30/100))+(DL226*(50/100))) &gt;=5.8),6,
IF(AND( SUM((DJ226*(20/100))+(DK226*(30/100))+(DL226*(50/100))) &lt;=5.8, SUM((DJ226*(20/100))+(DK226*(30/100))+(DL226*(50/100))) &gt;=5.3),5.5,
IF(AND( SUM((DJ226*(20/100))+(DK226*(30/100))+(DL226*(50/100))) &lt;=5.3, SUM((DJ226*(20/100))+(DK226*(30/100))+(DL226*(50/100))) &gt;=4.8),5,
IF(AND( SUM((DJ226*(20/100))+(DK226*(30/100))+(DL226*(50/100))) &lt;=4.8, SUM((DJ226*(20/100))+(DK226*(30/100))+(DL226*(50/100))) &gt;=4.3),4.5,
IF(AND( SUM((DJ226*(20/100))+(DK226*(30/100))+(DL226*(50/100))) &lt;=4.3, SUM((DJ226*(20/100))+(DK226*(30/100))+(DL226*(50/100))) &gt;=3.8),4,
IF(AND( SUM((DJ226*(20/100))+(DK226*(30/100))+(DL226*(50/100))) &lt;=3.8, SUM((DJ226*(20/100))+(DK226*(30/100))+(DL226*(50/100))) &gt;=3.5),3.5,0)))))))))))))</f>
        <v>0</v>
      </c>
      <c r="DQ226" s="541"/>
      <c r="DR226" s="541"/>
      <c r="DS226" s="541"/>
      <c r="DT226" s="541"/>
      <c r="DU226" s="541"/>
      <c r="DV226" s="541"/>
      <c r="DW226" s="541"/>
      <c r="DX226" s="541"/>
      <c r="DY226" s="541"/>
      <c r="DZ226" s="541"/>
    </row>
    <row r="227" spans="2:130" x14ac:dyDescent="0.25">
      <c r="B227" s="334">
        <v>20</v>
      </c>
      <c r="C227" s="541"/>
      <c r="D227" s="334"/>
      <c r="E227" s="334"/>
      <c r="F227" s="334"/>
      <c r="G227" s="334"/>
      <c r="H227" s="334"/>
      <c r="I227" s="334"/>
      <c r="J227" s="536"/>
      <c r="K227" s="536"/>
      <c r="L227" s="536"/>
      <c r="M227" s="536"/>
      <c r="N227" s="536"/>
      <c r="O227" s="536"/>
      <c r="P227" s="536">
        <f t="shared" si="76"/>
        <v>0</v>
      </c>
      <c r="Q227" s="536"/>
      <c r="R227" s="536"/>
      <c r="S227" s="536"/>
      <c r="T227" s="536">
        <f t="shared" si="77"/>
        <v>0</v>
      </c>
      <c r="U227" s="536"/>
      <c r="V227" s="536"/>
      <c r="W227" s="536"/>
      <c r="X227" s="536">
        <f t="shared" si="78"/>
        <v>0</v>
      </c>
      <c r="Y227" s="536"/>
      <c r="Z227" s="536"/>
      <c r="AA227" s="536"/>
      <c r="AB227" s="536">
        <f t="shared" si="79"/>
        <v>0</v>
      </c>
      <c r="AC227" s="536"/>
      <c r="AD227" s="536"/>
      <c r="AE227" s="536"/>
      <c r="AF227" s="536">
        <f t="shared" si="80"/>
        <v>0</v>
      </c>
      <c r="AG227" s="536"/>
      <c r="AH227" s="536"/>
      <c r="AI227" s="536"/>
      <c r="AJ227" s="536">
        <f t="shared" si="81"/>
        <v>0</v>
      </c>
      <c r="AK227" s="536"/>
      <c r="AL227" s="536"/>
      <c r="AM227" s="536"/>
      <c r="AN227" s="542">
        <f t="shared" si="82"/>
        <v>0</v>
      </c>
      <c r="AO227" s="536"/>
      <c r="AP227" s="536"/>
      <c r="AQ227" s="536"/>
      <c r="AR227" s="542">
        <f t="shared" si="83"/>
        <v>0</v>
      </c>
      <c r="AS227" s="536"/>
      <c r="AT227" s="536"/>
      <c r="AU227" s="536"/>
      <c r="AV227" s="542">
        <f t="shared" si="84"/>
        <v>0</v>
      </c>
      <c r="AW227" s="536"/>
      <c r="AX227" s="536"/>
      <c r="AY227" s="536"/>
      <c r="AZ227" s="542">
        <f t="shared" si="85"/>
        <v>0</v>
      </c>
      <c r="BA227" s="536"/>
      <c r="BB227" s="536"/>
      <c r="BC227" s="536"/>
      <c r="BD227" s="542">
        <f t="shared" si="86"/>
        <v>0</v>
      </c>
      <c r="BE227" s="536"/>
      <c r="BF227" s="536"/>
      <c r="BG227" s="536"/>
      <c r="BH227" s="542">
        <f t="shared" si="87"/>
        <v>0</v>
      </c>
      <c r="BI227" s="536"/>
      <c r="BJ227" s="536"/>
      <c r="BK227" s="536"/>
      <c r="BL227" s="542">
        <f t="shared" si="88"/>
        <v>0</v>
      </c>
      <c r="BM227" s="536"/>
      <c r="BN227" s="536"/>
      <c r="BO227" s="536"/>
      <c r="BP227" s="542">
        <f t="shared" si="89"/>
        <v>0</v>
      </c>
      <c r="BQ227" s="536"/>
      <c r="BR227" s="536"/>
      <c r="BS227" s="536"/>
      <c r="BT227" s="542">
        <f t="shared" si="90"/>
        <v>0</v>
      </c>
      <c r="BU227" s="536"/>
      <c r="BV227" s="536"/>
      <c r="BW227" s="536"/>
      <c r="BX227" s="542">
        <f t="shared" si="91"/>
        <v>0</v>
      </c>
      <c r="BY227" s="536"/>
      <c r="BZ227" s="536"/>
      <c r="CA227" s="536"/>
      <c r="CB227" s="542">
        <v>0</v>
      </c>
      <c r="CC227" s="536"/>
      <c r="CD227" s="536"/>
      <c r="CE227" s="536"/>
      <c r="CF227" s="541">
        <f t="shared" si="92"/>
        <v>0</v>
      </c>
      <c r="CG227" s="536"/>
      <c r="CH227" s="536"/>
      <c r="CI227" s="536"/>
      <c r="CJ227" s="541">
        <f t="shared" si="93"/>
        <v>0</v>
      </c>
      <c r="CK227" s="536"/>
      <c r="CL227" s="536"/>
      <c r="CM227" s="536"/>
      <c r="CN227" s="541">
        <f t="shared" si="94"/>
        <v>0</v>
      </c>
      <c r="CO227" s="536"/>
      <c r="CP227" s="536"/>
      <c r="CQ227" s="536"/>
      <c r="CR227" s="541">
        <f t="shared" si="95"/>
        <v>0</v>
      </c>
      <c r="CS227" s="536"/>
      <c r="CT227" s="536"/>
      <c r="CU227" s="536"/>
      <c r="CV227" s="541">
        <f t="shared" si="96"/>
        <v>0</v>
      </c>
      <c r="CW227" s="536"/>
      <c r="CX227" s="536"/>
      <c r="CY227" s="536"/>
      <c r="CZ227" s="541">
        <f t="shared" si="97"/>
        <v>0</v>
      </c>
      <c r="DA227" s="536"/>
      <c r="DB227" s="536"/>
      <c r="DC227" s="536"/>
      <c r="DD227" s="541">
        <f t="shared" si="98"/>
        <v>0</v>
      </c>
      <c r="DE227" s="536"/>
      <c r="DF227" s="536"/>
      <c r="DG227" s="536"/>
      <c r="DH227" s="541">
        <f t="shared" si="99"/>
        <v>0</v>
      </c>
      <c r="DI227" s="536"/>
      <c r="DJ227" s="536"/>
      <c r="DK227" s="536"/>
      <c r="DL227" s="541">
        <f t="shared" si="100"/>
        <v>0</v>
      </c>
      <c r="DM227" s="536"/>
      <c r="DN227" s="536"/>
      <c r="DO227" s="536"/>
      <c r="DP227" s="541">
        <f>IF( SUM((DJ227*(20/100))+(DK227*(30/100))+(DL227*(50/100))) &gt;=9.3,9.5,
IF(AND( SUM((DJ227*(20/100))+(DK227*(30/100))+(DL227*(50/100))) &lt;=9.3, SUM((DJ227*(20/100))+(DK227*(30/100))+(DL227*(50/100))) &gt;=8.8),9,
IF(AND( SUM((DJ227*(20/100))+(DK227*(30/100))+(DL227*(50/100))) &lt;=8.8, SUM((DJ227*(20/100))+(DK227*(30/100))+(DL227*(50/100))) &gt;=8.3),8.5,
IF(AND( SUM((DJ227*(20/100))+(DK227*(30/100))+(DL227*(50/100))) &lt;=8.3, SUM((DJ227*(20/100))+(DK227*(30/100))+(DL227*(50/100))) &gt;=7.8),8,
IF(AND( SUM((DJ227*(20/100))+(DK227*(30/100))+(DL227*(50/100))) &lt;=7.8, SUM((DJ227*(20/100))+(DK227*(30/100))+(DL227*(50/100))) &gt;=7.3),7.5,
IF(AND( SUM((DJ227*(20/100))+(DK227*(30/100))+(DL227*(50/100))) &lt;=7.3, SUM((DJ227*(20/100))+(DK227*(30/100))+(DL227*(50/100))) &gt;=6.8),7,
IF(AND( SUM((DJ227*(20/100))+(DK227*(30/100))+(DL227*(50/100))) &lt;=6.8, SUM((DJ227*(20/100))+(DK227*(30/100))+(DL227*(50/100))) &gt;=6.3),6.5,
IF(AND( SUM((DJ227*(20/100))+(DK227*(30/100))+(DL227*(50/100))) &lt;=6.3, SUM((DJ227*(20/100))+(DK227*(30/100))+(DL227*(50/100))) &gt;=5.8),6,
IF(AND( SUM((DJ227*(20/100))+(DK227*(30/100))+(DL227*(50/100))) &lt;=5.8, SUM((DJ227*(20/100))+(DK227*(30/100))+(DL227*(50/100))) &gt;=5.3),5.5,
IF(AND( SUM((DJ227*(20/100))+(DK227*(30/100))+(DL227*(50/100))) &lt;=5.3, SUM((DJ227*(20/100))+(DK227*(30/100))+(DL227*(50/100))) &gt;=4.8),5,
IF(AND( SUM((DJ227*(20/100))+(DK227*(30/100))+(DL227*(50/100))) &lt;=4.8, SUM((DJ227*(20/100))+(DK227*(30/100))+(DL227*(50/100))) &gt;=4.3),4.5,
IF(AND( SUM((DJ227*(20/100))+(DK227*(30/100))+(DL227*(50/100))) &lt;=4.3, SUM((DJ227*(20/100))+(DK227*(30/100))+(DL227*(50/100))) &gt;=3.8),4,
IF(AND( SUM((DJ227*(20/100))+(DK227*(30/100))+(DL227*(50/100))) &lt;=3.8, SUM((DJ227*(20/100))+(DK227*(30/100))+(DL227*(50/100))) &gt;=3.5),3.5,0)))))))))))))</f>
        <v>0</v>
      </c>
      <c r="DQ227" s="541"/>
      <c r="DR227" s="541"/>
      <c r="DS227" s="541"/>
      <c r="DT227" s="541"/>
      <c r="DU227" s="541"/>
      <c r="DV227" s="541"/>
      <c r="DW227" s="541"/>
      <c r="DX227" s="541"/>
      <c r="DY227" s="541"/>
      <c r="DZ227" s="541"/>
    </row>
    <row r="228" spans="2:130" x14ac:dyDescent="0.25">
      <c r="B228" s="334">
        <v>21</v>
      </c>
      <c r="C228" s="541"/>
      <c r="D228" s="334"/>
      <c r="E228" s="334"/>
      <c r="F228" s="334"/>
      <c r="G228" s="334"/>
      <c r="H228" s="334"/>
      <c r="I228" s="334"/>
      <c r="J228" s="536"/>
      <c r="K228" s="536"/>
      <c r="L228" s="536"/>
      <c r="M228" s="536"/>
      <c r="N228" s="536"/>
      <c r="O228" s="536"/>
      <c r="P228" s="536">
        <f t="shared" si="76"/>
        <v>0</v>
      </c>
      <c r="Q228" s="536"/>
      <c r="R228" s="536"/>
      <c r="S228" s="536"/>
      <c r="T228" s="536">
        <f t="shared" si="77"/>
        <v>0</v>
      </c>
      <c r="U228" s="536"/>
      <c r="V228" s="536"/>
      <c r="W228" s="536"/>
      <c r="X228" s="536">
        <f t="shared" si="78"/>
        <v>0</v>
      </c>
      <c r="Y228" s="536"/>
      <c r="Z228" s="536"/>
      <c r="AA228" s="536"/>
      <c r="AB228" s="536">
        <f t="shared" si="79"/>
        <v>0</v>
      </c>
      <c r="AC228" s="536"/>
      <c r="AD228" s="536"/>
      <c r="AE228" s="536"/>
      <c r="AF228" s="536">
        <f t="shared" si="80"/>
        <v>0</v>
      </c>
      <c r="AG228" s="536"/>
      <c r="AH228" s="536"/>
      <c r="AI228" s="536"/>
      <c r="AJ228" s="536">
        <f t="shared" si="81"/>
        <v>0</v>
      </c>
      <c r="AK228" s="536"/>
      <c r="AL228" s="536"/>
      <c r="AM228" s="536"/>
      <c r="AN228" s="542">
        <f t="shared" si="82"/>
        <v>0</v>
      </c>
      <c r="AO228" s="536"/>
      <c r="AP228" s="536"/>
      <c r="AQ228" s="536"/>
      <c r="AR228" s="542">
        <f t="shared" si="83"/>
        <v>0</v>
      </c>
      <c r="AS228" s="536"/>
      <c r="AT228" s="536"/>
      <c r="AU228" s="536"/>
      <c r="AV228" s="542">
        <f t="shared" si="84"/>
        <v>0</v>
      </c>
      <c r="AW228" s="536"/>
      <c r="AX228" s="536"/>
      <c r="AY228" s="536"/>
      <c r="AZ228" s="542">
        <f t="shared" si="85"/>
        <v>0</v>
      </c>
      <c r="BA228" s="536"/>
      <c r="BB228" s="536"/>
      <c r="BC228" s="536"/>
      <c r="BD228" s="542">
        <f t="shared" si="86"/>
        <v>0</v>
      </c>
      <c r="BE228" s="536"/>
      <c r="BF228" s="536"/>
      <c r="BG228" s="536"/>
      <c r="BH228" s="542">
        <f t="shared" si="87"/>
        <v>0</v>
      </c>
      <c r="BI228" s="536"/>
      <c r="BJ228" s="536"/>
      <c r="BK228" s="536"/>
      <c r="BL228" s="542">
        <f t="shared" si="88"/>
        <v>0</v>
      </c>
      <c r="BM228" s="536"/>
      <c r="BN228" s="536"/>
      <c r="BO228" s="536"/>
      <c r="BP228" s="542">
        <f t="shared" si="89"/>
        <v>0</v>
      </c>
      <c r="BQ228" s="536"/>
      <c r="BR228" s="536"/>
      <c r="BS228" s="536"/>
      <c r="BT228" s="542">
        <f t="shared" si="90"/>
        <v>0</v>
      </c>
      <c r="BU228" s="536"/>
      <c r="BV228" s="536"/>
      <c r="BW228" s="536"/>
      <c r="BX228" s="542">
        <f t="shared" si="91"/>
        <v>0</v>
      </c>
      <c r="BY228" s="536"/>
      <c r="BZ228" s="536"/>
      <c r="CA228" s="536"/>
      <c r="CB228" s="542">
        <v>0</v>
      </c>
      <c r="CC228" s="536"/>
      <c r="CD228" s="536"/>
      <c r="CE228" s="536"/>
      <c r="CF228" s="541">
        <f t="shared" si="92"/>
        <v>0</v>
      </c>
      <c r="CG228" s="536"/>
      <c r="CH228" s="536"/>
      <c r="CI228" s="536"/>
      <c r="CJ228" s="541">
        <f t="shared" si="93"/>
        <v>0</v>
      </c>
      <c r="CK228" s="536"/>
      <c r="CL228" s="536"/>
      <c r="CM228" s="536"/>
      <c r="CN228" s="541">
        <f t="shared" si="94"/>
        <v>0</v>
      </c>
      <c r="CO228" s="536"/>
      <c r="CP228" s="536"/>
      <c r="CQ228" s="536"/>
      <c r="CR228" s="541">
        <f t="shared" si="95"/>
        <v>0</v>
      </c>
      <c r="CS228" s="536"/>
      <c r="CT228" s="536"/>
      <c r="CU228" s="536"/>
      <c r="CV228" s="541">
        <f t="shared" si="96"/>
        <v>0</v>
      </c>
      <c r="CW228" s="536"/>
      <c r="CX228" s="536"/>
      <c r="CY228" s="536"/>
      <c r="CZ228" s="541">
        <f t="shared" si="97"/>
        <v>0</v>
      </c>
      <c r="DA228" s="536"/>
      <c r="DB228" s="536"/>
      <c r="DC228" s="536"/>
      <c r="DD228" s="541">
        <f t="shared" si="98"/>
        <v>0</v>
      </c>
      <c r="DE228" s="536"/>
      <c r="DF228" s="536"/>
      <c r="DG228" s="536"/>
      <c r="DH228" s="541">
        <f t="shared" si="99"/>
        <v>0</v>
      </c>
      <c r="DI228" s="536"/>
      <c r="DJ228" s="536"/>
      <c r="DK228" s="536"/>
      <c r="DL228" s="541">
        <f t="shared" si="100"/>
        <v>0</v>
      </c>
      <c r="DM228" s="536"/>
      <c r="DN228" s="536"/>
      <c r="DO228" s="536"/>
      <c r="DP228" s="541">
        <f>IF( SUM((DJ228*(20/100))+(DK228*(30/100))+(DL228*(50/100))) &gt;=9.3,9.5,
IF(AND( SUM((DJ228*(20/100))+(DK228*(30/100))+(DL228*(50/100))) &lt;=9.3, SUM((DJ228*(20/100))+(DK228*(30/100))+(DL228*(50/100))) &gt;=8.8),9,
IF(AND( SUM((DJ228*(20/100))+(DK228*(30/100))+(DL228*(50/100))) &lt;=8.8, SUM((DJ228*(20/100))+(DK228*(30/100))+(DL228*(50/100))) &gt;=8.3),8.5,
IF(AND( SUM((DJ228*(20/100))+(DK228*(30/100))+(DL228*(50/100))) &lt;=8.3, SUM((DJ228*(20/100))+(DK228*(30/100))+(DL228*(50/100))) &gt;=7.8),8,
IF(AND( SUM((DJ228*(20/100))+(DK228*(30/100))+(DL228*(50/100))) &lt;=7.8, SUM((DJ228*(20/100))+(DK228*(30/100))+(DL228*(50/100))) &gt;=7.3),7.5,
IF(AND( SUM((DJ228*(20/100))+(DK228*(30/100))+(DL228*(50/100))) &lt;=7.3, SUM((DJ228*(20/100))+(DK228*(30/100))+(DL228*(50/100))) &gt;=6.8),7,
IF(AND( SUM((DJ228*(20/100))+(DK228*(30/100))+(DL228*(50/100))) &lt;=6.8, SUM((DJ228*(20/100))+(DK228*(30/100))+(DL228*(50/100))) &gt;=6.3),6.5,
IF(AND( SUM((DJ228*(20/100))+(DK228*(30/100))+(DL228*(50/100))) &lt;=6.3, SUM((DJ228*(20/100))+(DK228*(30/100))+(DL228*(50/100))) &gt;=5.8),6,
IF(AND( SUM((DJ228*(20/100))+(DK228*(30/100))+(DL228*(50/100))) &lt;=5.8, SUM((DJ228*(20/100))+(DK228*(30/100))+(DL228*(50/100))) &gt;=5.3),5.5,
IF(AND( SUM((DJ228*(20/100))+(DK228*(30/100))+(DL228*(50/100))) &lt;=5.3, SUM((DJ228*(20/100))+(DK228*(30/100))+(DL228*(50/100))) &gt;=4.8),5,
IF(AND( SUM((DJ228*(20/100))+(DK228*(30/100))+(DL228*(50/100))) &lt;=4.8, SUM((DJ228*(20/100))+(DK228*(30/100))+(DL228*(50/100))) &gt;=4.3),4.5,
IF(AND( SUM((DJ228*(20/100))+(DK228*(30/100))+(DL228*(50/100))) &lt;=4.3, SUM((DJ228*(20/100))+(DK228*(30/100))+(DL228*(50/100))) &gt;=3.8),4,
IF(AND( SUM((DJ228*(20/100))+(DK228*(30/100))+(DL228*(50/100))) &lt;=3.8, SUM((DJ228*(20/100))+(DK228*(30/100))+(DL228*(50/100))) &gt;=3.5),3.5,0)))))))))))))</f>
        <v>0</v>
      </c>
      <c r="DQ228" s="541"/>
      <c r="DR228" s="541"/>
      <c r="DS228" s="541"/>
      <c r="DT228" s="541"/>
      <c r="DU228" s="541"/>
      <c r="DV228" s="541"/>
      <c r="DW228" s="541"/>
      <c r="DX228" s="541"/>
      <c r="DY228" s="541"/>
      <c r="DZ228" s="541"/>
    </row>
    <row r="229" spans="2:130" x14ac:dyDescent="0.25">
      <c r="B229" s="334">
        <v>22</v>
      </c>
      <c r="C229" s="541"/>
      <c r="D229" s="334"/>
      <c r="E229" s="334"/>
      <c r="F229" s="334"/>
      <c r="G229" s="334"/>
      <c r="H229" s="334"/>
      <c r="I229" s="334"/>
      <c r="J229" s="536"/>
      <c r="K229" s="536"/>
      <c r="L229" s="536"/>
      <c r="M229" s="536"/>
      <c r="N229" s="536"/>
      <c r="O229" s="536"/>
      <c r="P229" s="536">
        <f t="shared" si="76"/>
        <v>0</v>
      </c>
      <c r="Q229" s="536"/>
      <c r="R229" s="536"/>
      <c r="S229" s="536"/>
      <c r="T229" s="536">
        <f t="shared" si="77"/>
        <v>0</v>
      </c>
      <c r="U229" s="536"/>
      <c r="V229" s="536"/>
      <c r="W229" s="536"/>
      <c r="X229" s="536">
        <f t="shared" si="78"/>
        <v>0</v>
      </c>
      <c r="Y229" s="536"/>
      <c r="Z229" s="536"/>
      <c r="AA229" s="536"/>
      <c r="AB229" s="536">
        <f t="shared" si="79"/>
        <v>0</v>
      </c>
      <c r="AC229" s="536"/>
      <c r="AD229" s="536"/>
      <c r="AE229" s="536"/>
      <c r="AF229" s="536">
        <f t="shared" si="80"/>
        <v>0</v>
      </c>
      <c r="AG229" s="536"/>
      <c r="AH229" s="536"/>
      <c r="AI229" s="536"/>
      <c r="AJ229" s="536">
        <f t="shared" si="81"/>
        <v>0</v>
      </c>
      <c r="AK229" s="536"/>
      <c r="AL229" s="536"/>
      <c r="AM229" s="536"/>
      <c r="AN229" s="542">
        <f t="shared" si="82"/>
        <v>0</v>
      </c>
      <c r="AO229" s="536"/>
      <c r="AP229" s="536"/>
      <c r="AQ229" s="536"/>
      <c r="AR229" s="542">
        <f t="shared" si="83"/>
        <v>0</v>
      </c>
      <c r="AS229" s="536"/>
      <c r="AT229" s="536"/>
      <c r="AU229" s="536"/>
      <c r="AV229" s="542">
        <f t="shared" si="84"/>
        <v>0</v>
      </c>
      <c r="AW229" s="536"/>
      <c r="AX229" s="536"/>
      <c r="AY229" s="536"/>
      <c r="AZ229" s="542">
        <f t="shared" si="85"/>
        <v>0</v>
      </c>
      <c r="BA229" s="536"/>
      <c r="BB229" s="536"/>
      <c r="BC229" s="536"/>
      <c r="BD229" s="542">
        <f t="shared" si="86"/>
        <v>0</v>
      </c>
      <c r="BE229" s="536"/>
      <c r="BF229" s="536"/>
      <c r="BG229" s="536"/>
      <c r="BH229" s="542">
        <f t="shared" si="87"/>
        <v>0</v>
      </c>
      <c r="BI229" s="536"/>
      <c r="BJ229" s="536"/>
      <c r="BK229" s="536"/>
      <c r="BL229" s="542">
        <f t="shared" si="88"/>
        <v>0</v>
      </c>
      <c r="BM229" s="536"/>
      <c r="BN229" s="536"/>
      <c r="BO229" s="536"/>
      <c r="BP229" s="542">
        <f t="shared" si="89"/>
        <v>0</v>
      </c>
      <c r="BQ229" s="536"/>
      <c r="BR229" s="536"/>
      <c r="BS229" s="536"/>
      <c r="BT229" s="542">
        <f t="shared" si="90"/>
        <v>0</v>
      </c>
      <c r="BU229" s="536"/>
      <c r="BV229" s="536"/>
      <c r="BW229" s="536"/>
      <c r="BX229" s="542">
        <f t="shared" si="91"/>
        <v>0</v>
      </c>
      <c r="BY229" s="536"/>
      <c r="BZ229" s="536"/>
      <c r="CA229" s="536"/>
      <c r="CB229" s="542">
        <v>0</v>
      </c>
      <c r="CC229" s="536"/>
      <c r="CD229" s="536"/>
      <c r="CE229" s="536"/>
      <c r="CF229" s="541">
        <f t="shared" si="92"/>
        <v>0</v>
      </c>
      <c r="CG229" s="536"/>
      <c r="CH229" s="536"/>
      <c r="CI229" s="536"/>
      <c r="CJ229" s="541">
        <f t="shared" si="93"/>
        <v>0</v>
      </c>
      <c r="CK229" s="536"/>
      <c r="CL229" s="536"/>
      <c r="CM229" s="536"/>
      <c r="CN229" s="541">
        <f t="shared" si="94"/>
        <v>0</v>
      </c>
      <c r="CO229" s="536"/>
      <c r="CP229" s="536"/>
      <c r="CQ229" s="536"/>
      <c r="CR229" s="541">
        <f t="shared" si="95"/>
        <v>0</v>
      </c>
      <c r="CS229" s="536"/>
      <c r="CT229" s="536"/>
      <c r="CU229" s="536"/>
      <c r="CV229" s="541">
        <f t="shared" si="96"/>
        <v>0</v>
      </c>
      <c r="CW229" s="536"/>
      <c r="CX229" s="536"/>
      <c r="CY229" s="536"/>
      <c r="CZ229" s="541">
        <f t="shared" si="97"/>
        <v>0</v>
      </c>
      <c r="DA229" s="536"/>
      <c r="DB229" s="536"/>
      <c r="DC229" s="536"/>
      <c r="DD229" s="541">
        <f t="shared" si="98"/>
        <v>0</v>
      </c>
      <c r="DE229" s="536"/>
      <c r="DF229" s="536"/>
      <c r="DG229" s="536"/>
      <c r="DH229" s="541">
        <f t="shared" si="99"/>
        <v>0</v>
      </c>
      <c r="DI229" s="536"/>
      <c r="DJ229" s="536"/>
      <c r="DK229" s="536"/>
      <c r="DL229" s="541">
        <f t="shared" si="100"/>
        <v>0</v>
      </c>
      <c r="DM229" s="536"/>
      <c r="DN229" s="536"/>
      <c r="DO229" s="536"/>
      <c r="DP229" s="541">
        <f>IF( SUM((DJ229*(20/100))+(DK229*(30/100))+(DL229*(50/100))) &gt;=9.3,9.5,
IF(AND( SUM((DJ229*(20/100))+(DK229*(30/100))+(DL229*(50/100))) &lt;=9.3, SUM((DJ229*(20/100))+(DK229*(30/100))+(DL229*(50/100))) &gt;=8.8),9,
IF(AND( SUM((DJ229*(20/100))+(DK229*(30/100))+(DL229*(50/100))) &lt;=8.8, SUM((DJ229*(20/100))+(DK229*(30/100))+(DL229*(50/100))) &gt;=8.3),8.5,
IF(AND( SUM((DJ229*(20/100))+(DK229*(30/100))+(DL229*(50/100))) &lt;=8.3, SUM((DJ229*(20/100))+(DK229*(30/100))+(DL229*(50/100))) &gt;=7.8),8,
IF(AND( SUM((DJ229*(20/100))+(DK229*(30/100))+(DL229*(50/100))) &lt;=7.8, SUM((DJ229*(20/100))+(DK229*(30/100))+(DL229*(50/100))) &gt;=7.3),7.5,
IF(AND( SUM((DJ229*(20/100))+(DK229*(30/100))+(DL229*(50/100))) &lt;=7.3, SUM((DJ229*(20/100))+(DK229*(30/100))+(DL229*(50/100))) &gt;=6.8),7,
IF(AND( SUM((DJ229*(20/100))+(DK229*(30/100))+(DL229*(50/100))) &lt;=6.8, SUM((DJ229*(20/100))+(DK229*(30/100))+(DL229*(50/100))) &gt;=6.3),6.5,
IF(AND( SUM((DJ229*(20/100))+(DK229*(30/100))+(DL229*(50/100))) &lt;=6.3, SUM((DJ229*(20/100))+(DK229*(30/100))+(DL229*(50/100))) &gt;=5.8),6,
IF(AND( SUM((DJ229*(20/100))+(DK229*(30/100))+(DL229*(50/100))) &lt;=5.8, SUM((DJ229*(20/100))+(DK229*(30/100))+(DL229*(50/100))) &gt;=5.3),5.5,
IF(AND( SUM((DJ229*(20/100))+(DK229*(30/100))+(DL229*(50/100))) &lt;=5.3, SUM((DJ229*(20/100))+(DK229*(30/100))+(DL229*(50/100))) &gt;=4.8),5,
IF(AND( SUM((DJ229*(20/100))+(DK229*(30/100))+(DL229*(50/100))) &lt;=4.8, SUM((DJ229*(20/100))+(DK229*(30/100))+(DL229*(50/100))) &gt;=4.3),4.5,
IF(AND( SUM((DJ229*(20/100))+(DK229*(30/100))+(DL229*(50/100))) &lt;=4.3, SUM((DJ229*(20/100))+(DK229*(30/100))+(DL229*(50/100))) &gt;=3.8),4,
IF(AND( SUM((DJ229*(20/100))+(DK229*(30/100))+(DL229*(50/100))) &lt;=3.8, SUM((DJ229*(20/100))+(DK229*(30/100))+(DL229*(50/100))) &gt;=3.5),3.5,0)))))))))))))</f>
        <v>0</v>
      </c>
      <c r="DQ229" s="541"/>
      <c r="DR229" s="541"/>
      <c r="DS229" s="541"/>
      <c r="DT229" s="541"/>
      <c r="DU229" s="541"/>
      <c r="DV229" s="541"/>
      <c r="DW229" s="541"/>
      <c r="DX229" s="541"/>
      <c r="DY229" s="541"/>
      <c r="DZ229" s="541"/>
    </row>
    <row r="230" spans="2:130" x14ac:dyDescent="0.25">
      <c r="B230" s="334">
        <v>23</v>
      </c>
      <c r="C230" s="541"/>
      <c r="D230" s="334"/>
      <c r="E230" s="334"/>
      <c r="F230" s="334"/>
      <c r="G230" s="334"/>
      <c r="H230" s="334"/>
      <c r="I230" s="334"/>
      <c r="J230" s="536"/>
      <c r="K230" s="536"/>
      <c r="L230" s="536"/>
      <c r="M230" s="536"/>
      <c r="N230" s="536"/>
      <c r="O230" s="536"/>
      <c r="P230" s="536">
        <f t="shared" si="76"/>
        <v>0</v>
      </c>
      <c r="Q230" s="536"/>
      <c r="R230" s="536"/>
      <c r="S230" s="536"/>
      <c r="T230" s="536">
        <f t="shared" si="77"/>
        <v>0</v>
      </c>
      <c r="U230" s="536"/>
      <c r="V230" s="536"/>
      <c r="W230" s="536"/>
      <c r="X230" s="536">
        <f t="shared" si="78"/>
        <v>0</v>
      </c>
      <c r="Y230" s="536"/>
      <c r="Z230" s="536"/>
      <c r="AA230" s="536"/>
      <c r="AB230" s="536">
        <f t="shared" si="79"/>
        <v>0</v>
      </c>
      <c r="AC230" s="536"/>
      <c r="AD230" s="536"/>
      <c r="AE230" s="536"/>
      <c r="AF230" s="536">
        <f t="shared" si="80"/>
        <v>0</v>
      </c>
      <c r="AG230" s="536"/>
      <c r="AH230" s="536"/>
      <c r="AI230" s="536"/>
      <c r="AJ230" s="536">
        <f t="shared" si="81"/>
        <v>0</v>
      </c>
      <c r="AK230" s="536"/>
      <c r="AL230" s="536"/>
      <c r="AM230" s="536"/>
      <c r="AN230" s="542">
        <f t="shared" si="82"/>
        <v>0</v>
      </c>
      <c r="AO230" s="536"/>
      <c r="AP230" s="536"/>
      <c r="AQ230" s="536"/>
      <c r="AR230" s="542">
        <f t="shared" si="83"/>
        <v>0</v>
      </c>
      <c r="AS230" s="536"/>
      <c r="AT230" s="536"/>
      <c r="AU230" s="536"/>
      <c r="AV230" s="542">
        <f t="shared" si="84"/>
        <v>0</v>
      </c>
      <c r="AW230" s="536"/>
      <c r="AX230" s="536"/>
      <c r="AY230" s="536"/>
      <c r="AZ230" s="542">
        <f t="shared" si="85"/>
        <v>0</v>
      </c>
      <c r="BA230" s="536"/>
      <c r="BB230" s="536"/>
      <c r="BC230" s="536"/>
      <c r="BD230" s="542">
        <f t="shared" si="86"/>
        <v>0</v>
      </c>
      <c r="BE230" s="536"/>
      <c r="BF230" s="536"/>
      <c r="BG230" s="536"/>
      <c r="BH230" s="542">
        <f t="shared" si="87"/>
        <v>0</v>
      </c>
      <c r="BI230" s="536"/>
      <c r="BJ230" s="536"/>
      <c r="BK230" s="536"/>
      <c r="BL230" s="542">
        <f t="shared" si="88"/>
        <v>0</v>
      </c>
      <c r="BM230" s="536"/>
      <c r="BN230" s="536"/>
      <c r="BO230" s="536"/>
      <c r="BP230" s="542">
        <f t="shared" si="89"/>
        <v>0</v>
      </c>
      <c r="BQ230" s="536"/>
      <c r="BR230" s="536"/>
      <c r="BS230" s="536"/>
      <c r="BT230" s="542">
        <f t="shared" si="90"/>
        <v>0</v>
      </c>
      <c r="BU230" s="536"/>
      <c r="BV230" s="536"/>
      <c r="BW230" s="536"/>
      <c r="BX230" s="542">
        <f t="shared" si="91"/>
        <v>0</v>
      </c>
      <c r="BY230" s="536"/>
      <c r="BZ230" s="536"/>
      <c r="CA230" s="536"/>
      <c r="CB230" s="542">
        <v>0</v>
      </c>
      <c r="CC230" s="536"/>
      <c r="CD230" s="536"/>
      <c r="CE230" s="536"/>
      <c r="CF230" s="541">
        <f t="shared" si="92"/>
        <v>0</v>
      </c>
      <c r="CG230" s="536"/>
      <c r="CH230" s="536"/>
      <c r="CI230" s="536"/>
      <c r="CJ230" s="541">
        <f t="shared" si="93"/>
        <v>0</v>
      </c>
      <c r="CK230" s="536"/>
      <c r="CL230" s="536"/>
      <c r="CM230" s="536"/>
      <c r="CN230" s="541">
        <f t="shared" si="94"/>
        <v>0</v>
      </c>
      <c r="CO230" s="536"/>
      <c r="CP230" s="536"/>
      <c r="CQ230" s="536"/>
      <c r="CR230" s="541">
        <f t="shared" si="95"/>
        <v>0</v>
      </c>
      <c r="CS230" s="536"/>
      <c r="CT230" s="536"/>
      <c r="CU230" s="536"/>
      <c r="CV230" s="541">
        <f t="shared" si="96"/>
        <v>0</v>
      </c>
      <c r="CW230" s="536"/>
      <c r="CX230" s="536"/>
      <c r="CY230" s="536"/>
      <c r="CZ230" s="541">
        <f t="shared" si="97"/>
        <v>0</v>
      </c>
      <c r="DA230" s="536"/>
      <c r="DB230" s="536"/>
      <c r="DC230" s="536"/>
      <c r="DD230" s="541">
        <f t="shared" si="98"/>
        <v>0</v>
      </c>
      <c r="DE230" s="536"/>
      <c r="DF230" s="536"/>
      <c r="DG230" s="536"/>
      <c r="DH230" s="541">
        <f t="shared" si="99"/>
        <v>0</v>
      </c>
      <c r="DI230" s="536"/>
      <c r="DJ230" s="536"/>
      <c r="DK230" s="536"/>
      <c r="DL230" s="541">
        <f t="shared" si="100"/>
        <v>0</v>
      </c>
      <c r="DM230" s="536"/>
      <c r="DN230" s="536"/>
      <c r="DO230" s="536"/>
      <c r="DP230" s="541">
        <f>IF( SUM((DJ230*(20/100))+(DK230*(30/100))+(DL230*(50/100))) &gt;=9.3,9.5,
IF(AND( SUM((DJ230*(20/100))+(DK230*(30/100))+(DL230*(50/100))) &lt;=9.3, SUM((DJ230*(20/100))+(DK230*(30/100))+(DL230*(50/100))) &gt;=8.8),9,
IF(AND( SUM((DJ230*(20/100))+(DK230*(30/100))+(DL230*(50/100))) &lt;=8.8, SUM((DJ230*(20/100))+(DK230*(30/100))+(DL230*(50/100))) &gt;=8.3),8.5,
IF(AND( SUM((DJ230*(20/100))+(DK230*(30/100))+(DL230*(50/100))) &lt;=8.3, SUM((DJ230*(20/100))+(DK230*(30/100))+(DL230*(50/100))) &gt;=7.8),8,
IF(AND( SUM((DJ230*(20/100))+(DK230*(30/100))+(DL230*(50/100))) &lt;=7.8, SUM((DJ230*(20/100))+(DK230*(30/100))+(DL230*(50/100))) &gt;=7.3),7.5,
IF(AND( SUM((DJ230*(20/100))+(DK230*(30/100))+(DL230*(50/100))) &lt;=7.3, SUM((DJ230*(20/100))+(DK230*(30/100))+(DL230*(50/100))) &gt;=6.8),7,
IF(AND( SUM((DJ230*(20/100))+(DK230*(30/100))+(DL230*(50/100))) &lt;=6.8, SUM((DJ230*(20/100))+(DK230*(30/100))+(DL230*(50/100))) &gt;=6.3),6.5,
IF(AND( SUM((DJ230*(20/100))+(DK230*(30/100))+(DL230*(50/100))) &lt;=6.3, SUM((DJ230*(20/100))+(DK230*(30/100))+(DL230*(50/100))) &gt;=5.8),6,
IF(AND( SUM((DJ230*(20/100))+(DK230*(30/100))+(DL230*(50/100))) &lt;=5.8, SUM((DJ230*(20/100))+(DK230*(30/100))+(DL230*(50/100))) &gt;=5.3),5.5,
IF(AND( SUM((DJ230*(20/100))+(DK230*(30/100))+(DL230*(50/100))) &lt;=5.3, SUM((DJ230*(20/100))+(DK230*(30/100))+(DL230*(50/100))) &gt;=4.8),5,
IF(AND( SUM((DJ230*(20/100))+(DK230*(30/100))+(DL230*(50/100))) &lt;=4.8, SUM((DJ230*(20/100))+(DK230*(30/100))+(DL230*(50/100))) &gt;=4.3),4.5,
IF(AND( SUM((DJ230*(20/100))+(DK230*(30/100))+(DL230*(50/100))) &lt;=4.3, SUM((DJ230*(20/100))+(DK230*(30/100))+(DL230*(50/100))) &gt;=3.8),4,
IF(AND( SUM((DJ230*(20/100))+(DK230*(30/100))+(DL230*(50/100))) &lt;=3.8, SUM((DJ230*(20/100))+(DK230*(30/100))+(DL230*(50/100))) &gt;=3.5),3.5,0)))))))))))))</f>
        <v>0</v>
      </c>
      <c r="DQ230" s="541"/>
      <c r="DR230" s="541"/>
      <c r="DS230" s="541"/>
      <c r="DT230" s="541"/>
      <c r="DU230" s="541"/>
      <c r="DV230" s="541"/>
      <c r="DW230" s="541"/>
      <c r="DX230" s="541"/>
      <c r="DY230" s="541"/>
      <c r="DZ230" s="541"/>
    </row>
    <row r="231" spans="2:130" x14ac:dyDescent="0.25">
      <c r="B231" s="334">
        <v>24</v>
      </c>
      <c r="C231" s="541"/>
      <c r="D231" s="334"/>
      <c r="E231" s="334"/>
      <c r="F231" s="334"/>
      <c r="G231" s="334"/>
      <c r="H231" s="334"/>
      <c r="I231" s="334"/>
      <c r="J231" s="536"/>
      <c r="K231" s="536"/>
      <c r="L231" s="536"/>
      <c r="M231" s="536"/>
      <c r="N231" s="536"/>
      <c r="O231" s="536"/>
      <c r="P231" s="536">
        <f t="shared" si="76"/>
        <v>0</v>
      </c>
      <c r="Q231" s="536"/>
      <c r="R231" s="536"/>
      <c r="S231" s="536"/>
      <c r="T231" s="536">
        <f t="shared" si="77"/>
        <v>0</v>
      </c>
      <c r="U231" s="536"/>
      <c r="V231" s="536"/>
      <c r="W231" s="536"/>
      <c r="X231" s="536">
        <f t="shared" si="78"/>
        <v>0</v>
      </c>
      <c r="Y231" s="536"/>
      <c r="Z231" s="536"/>
      <c r="AA231" s="536"/>
      <c r="AB231" s="536">
        <f t="shared" si="79"/>
        <v>0</v>
      </c>
      <c r="AC231" s="536"/>
      <c r="AD231" s="536"/>
      <c r="AE231" s="536"/>
      <c r="AF231" s="536">
        <f t="shared" si="80"/>
        <v>0</v>
      </c>
      <c r="AG231" s="536"/>
      <c r="AH231" s="536"/>
      <c r="AI231" s="536"/>
      <c r="AJ231" s="536">
        <f t="shared" si="81"/>
        <v>0</v>
      </c>
      <c r="AK231" s="536"/>
      <c r="AL231" s="536"/>
      <c r="AM231" s="536"/>
      <c r="AN231" s="542">
        <f t="shared" si="82"/>
        <v>0</v>
      </c>
      <c r="AO231" s="536"/>
      <c r="AP231" s="536"/>
      <c r="AQ231" s="536"/>
      <c r="AR231" s="542">
        <f t="shared" si="83"/>
        <v>0</v>
      </c>
      <c r="AS231" s="536"/>
      <c r="AT231" s="536"/>
      <c r="AU231" s="536"/>
      <c r="AV231" s="542">
        <f t="shared" si="84"/>
        <v>0</v>
      </c>
      <c r="AW231" s="536"/>
      <c r="AX231" s="536"/>
      <c r="AY231" s="536"/>
      <c r="AZ231" s="542">
        <f t="shared" si="85"/>
        <v>0</v>
      </c>
      <c r="BA231" s="536"/>
      <c r="BB231" s="536"/>
      <c r="BC231" s="536"/>
      <c r="BD231" s="542">
        <f t="shared" si="86"/>
        <v>0</v>
      </c>
      <c r="BE231" s="536"/>
      <c r="BF231" s="536"/>
      <c r="BG231" s="536"/>
      <c r="BH231" s="542">
        <f t="shared" si="87"/>
        <v>0</v>
      </c>
      <c r="BI231" s="536"/>
      <c r="BJ231" s="536"/>
      <c r="BK231" s="536"/>
      <c r="BL231" s="542">
        <f t="shared" si="88"/>
        <v>0</v>
      </c>
      <c r="BM231" s="536"/>
      <c r="BN231" s="536"/>
      <c r="BO231" s="536"/>
      <c r="BP231" s="542">
        <f t="shared" si="89"/>
        <v>0</v>
      </c>
      <c r="BQ231" s="536"/>
      <c r="BR231" s="536"/>
      <c r="BS231" s="536"/>
      <c r="BT231" s="542">
        <f t="shared" si="90"/>
        <v>0</v>
      </c>
      <c r="BU231" s="536"/>
      <c r="BV231" s="536"/>
      <c r="BW231" s="536"/>
      <c r="BX231" s="542">
        <f t="shared" si="91"/>
        <v>0</v>
      </c>
      <c r="BY231" s="536"/>
      <c r="BZ231" s="536"/>
      <c r="CA231" s="536"/>
      <c r="CB231" s="542">
        <v>0</v>
      </c>
      <c r="CC231" s="536"/>
      <c r="CD231" s="536"/>
      <c r="CE231" s="536"/>
      <c r="CF231" s="541">
        <f t="shared" si="92"/>
        <v>0</v>
      </c>
      <c r="CG231" s="536"/>
      <c r="CH231" s="536"/>
      <c r="CI231" s="536"/>
      <c r="CJ231" s="541">
        <f t="shared" si="93"/>
        <v>0</v>
      </c>
      <c r="CK231" s="536"/>
      <c r="CL231" s="536"/>
      <c r="CM231" s="536"/>
      <c r="CN231" s="541">
        <f t="shared" si="94"/>
        <v>0</v>
      </c>
      <c r="CO231" s="536"/>
      <c r="CP231" s="536"/>
      <c r="CQ231" s="536"/>
      <c r="CR231" s="541">
        <f t="shared" si="95"/>
        <v>0</v>
      </c>
      <c r="CS231" s="536"/>
      <c r="CT231" s="536"/>
      <c r="CU231" s="536"/>
      <c r="CV231" s="541">
        <f t="shared" si="96"/>
        <v>0</v>
      </c>
      <c r="CW231" s="536"/>
      <c r="CX231" s="536"/>
      <c r="CY231" s="536"/>
      <c r="CZ231" s="541">
        <f t="shared" si="97"/>
        <v>0</v>
      </c>
      <c r="DA231" s="536"/>
      <c r="DB231" s="536"/>
      <c r="DC231" s="536"/>
      <c r="DD231" s="541">
        <f t="shared" si="98"/>
        <v>0</v>
      </c>
      <c r="DE231" s="536"/>
      <c r="DF231" s="536"/>
      <c r="DG231" s="536"/>
      <c r="DH231" s="541">
        <f t="shared" si="99"/>
        <v>0</v>
      </c>
      <c r="DI231" s="536"/>
      <c r="DJ231" s="536"/>
      <c r="DK231" s="536"/>
      <c r="DL231" s="541">
        <f t="shared" si="100"/>
        <v>0</v>
      </c>
      <c r="DM231" s="536"/>
      <c r="DN231" s="536"/>
      <c r="DO231" s="536"/>
      <c r="DP231" s="541">
        <f>IF( SUM((DJ231*(20/100))+(DK231*(30/100))+(DL231*(50/100))) &gt;=9.3,9.5,
IF(AND( SUM((DJ231*(20/100))+(DK231*(30/100))+(DL231*(50/100))) &lt;=9.3, SUM((DJ231*(20/100))+(DK231*(30/100))+(DL231*(50/100))) &gt;=8.8),9,
IF(AND( SUM((DJ231*(20/100))+(DK231*(30/100))+(DL231*(50/100))) &lt;=8.8, SUM((DJ231*(20/100))+(DK231*(30/100))+(DL231*(50/100))) &gt;=8.3),8.5,
IF(AND( SUM((DJ231*(20/100))+(DK231*(30/100))+(DL231*(50/100))) &lt;=8.3, SUM((DJ231*(20/100))+(DK231*(30/100))+(DL231*(50/100))) &gt;=7.8),8,
IF(AND( SUM((DJ231*(20/100))+(DK231*(30/100))+(DL231*(50/100))) &lt;=7.8, SUM((DJ231*(20/100))+(DK231*(30/100))+(DL231*(50/100))) &gt;=7.3),7.5,
IF(AND( SUM((DJ231*(20/100))+(DK231*(30/100))+(DL231*(50/100))) &lt;=7.3, SUM((DJ231*(20/100))+(DK231*(30/100))+(DL231*(50/100))) &gt;=6.8),7,
IF(AND( SUM((DJ231*(20/100))+(DK231*(30/100))+(DL231*(50/100))) &lt;=6.8, SUM((DJ231*(20/100))+(DK231*(30/100))+(DL231*(50/100))) &gt;=6.3),6.5,
IF(AND( SUM((DJ231*(20/100))+(DK231*(30/100))+(DL231*(50/100))) &lt;=6.3, SUM((DJ231*(20/100))+(DK231*(30/100))+(DL231*(50/100))) &gt;=5.8),6,
IF(AND( SUM((DJ231*(20/100))+(DK231*(30/100))+(DL231*(50/100))) &lt;=5.8, SUM((DJ231*(20/100))+(DK231*(30/100))+(DL231*(50/100))) &gt;=5.3),5.5,
IF(AND( SUM((DJ231*(20/100))+(DK231*(30/100))+(DL231*(50/100))) &lt;=5.3, SUM((DJ231*(20/100))+(DK231*(30/100))+(DL231*(50/100))) &gt;=4.8),5,
IF(AND( SUM((DJ231*(20/100))+(DK231*(30/100))+(DL231*(50/100))) &lt;=4.8, SUM((DJ231*(20/100))+(DK231*(30/100))+(DL231*(50/100))) &gt;=4.3),4.5,
IF(AND( SUM((DJ231*(20/100))+(DK231*(30/100))+(DL231*(50/100))) &lt;=4.3, SUM((DJ231*(20/100))+(DK231*(30/100))+(DL231*(50/100))) &gt;=3.8),4,
IF(AND( SUM((DJ231*(20/100))+(DK231*(30/100))+(DL231*(50/100))) &lt;=3.8, SUM((DJ231*(20/100))+(DK231*(30/100))+(DL231*(50/100))) &gt;=3.5),3.5,0)))))))))))))</f>
        <v>0</v>
      </c>
      <c r="DQ231" s="541"/>
      <c r="DR231" s="541"/>
      <c r="DS231" s="541"/>
      <c r="DT231" s="541"/>
      <c r="DU231" s="541"/>
      <c r="DV231" s="541"/>
      <c r="DW231" s="541"/>
      <c r="DX231" s="541"/>
      <c r="DY231" s="541"/>
      <c r="DZ231" s="541"/>
    </row>
    <row r="232" spans="2:130" x14ac:dyDescent="0.25">
      <c r="B232" s="334">
        <v>25</v>
      </c>
      <c r="C232" s="541"/>
      <c r="D232" s="334"/>
      <c r="E232" s="334"/>
      <c r="F232" s="334"/>
      <c r="G232" s="334"/>
      <c r="H232" s="334"/>
      <c r="I232" s="334"/>
      <c r="J232" s="536"/>
      <c r="K232" s="536"/>
      <c r="L232" s="536"/>
      <c r="M232" s="536"/>
      <c r="N232" s="536"/>
      <c r="O232" s="536"/>
      <c r="P232" s="536">
        <f t="shared" si="76"/>
        <v>0</v>
      </c>
      <c r="Q232" s="536"/>
      <c r="R232" s="536"/>
      <c r="S232" s="536"/>
      <c r="T232" s="536">
        <f t="shared" si="77"/>
        <v>0</v>
      </c>
      <c r="U232" s="536"/>
      <c r="V232" s="536"/>
      <c r="W232" s="536"/>
      <c r="X232" s="536">
        <f t="shared" si="78"/>
        <v>0</v>
      </c>
      <c r="Y232" s="536"/>
      <c r="Z232" s="536"/>
      <c r="AA232" s="536"/>
      <c r="AB232" s="536">
        <f t="shared" si="79"/>
        <v>0</v>
      </c>
      <c r="AC232" s="536"/>
      <c r="AD232" s="536"/>
      <c r="AE232" s="536"/>
      <c r="AF232" s="536">
        <f t="shared" si="80"/>
        <v>0</v>
      </c>
      <c r="AG232" s="536"/>
      <c r="AH232" s="536"/>
      <c r="AI232" s="536"/>
      <c r="AJ232" s="536">
        <f t="shared" si="81"/>
        <v>0</v>
      </c>
      <c r="AK232" s="536"/>
      <c r="AL232" s="536"/>
      <c r="AM232" s="536"/>
      <c r="AN232" s="542">
        <f t="shared" si="82"/>
        <v>0</v>
      </c>
      <c r="AO232" s="536"/>
      <c r="AP232" s="536"/>
      <c r="AQ232" s="536"/>
      <c r="AR232" s="542">
        <f t="shared" si="83"/>
        <v>0</v>
      </c>
      <c r="AS232" s="536"/>
      <c r="AT232" s="536"/>
      <c r="AU232" s="536"/>
      <c r="AV232" s="542">
        <f t="shared" si="84"/>
        <v>0</v>
      </c>
      <c r="AW232" s="536"/>
      <c r="AX232" s="536"/>
      <c r="AY232" s="536"/>
      <c r="AZ232" s="542">
        <f t="shared" si="85"/>
        <v>0</v>
      </c>
      <c r="BA232" s="536"/>
      <c r="BB232" s="536"/>
      <c r="BC232" s="536"/>
      <c r="BD232" s="542">
        <f t="shared" si="86"/>
        <v>0</v>
      </c>
      <c r="BE232" s="536"/>
      <c r="BF232" s="536"/>
      <c r="BG232" s="536"/>
      <c r="BH232" s="542">
        <f t="shared" si="87"/>
        <v>0</v>
      </c>
      <c r="BI232" s="536"/>
      <c r="BJ232" s="536"/>
      <c r="BK232" s="536"/>
      <c r="BL232" s="542">
        <f t="shared" si="88"/>
        <v>0</v>
      </c>
      <c r="BM232" s="536"/>
      <c r="BN232" s="536"/>
      <c r="BO232" s="536"/>
      <c r="BP232" s="542">
        <f t="shared" si="89"/>
        <v>0</v>
      </c>
      <c r="BQ232" s="536"/>
      <c r="BR232" s="536"/>
      <c r="BS232" s="536"/>
      <c r="BT232" s="542">
        <f t="shared" si="90"/>
        <v>0</v>
      </c>
      <c r="BU232" s="536"/>
      <c r="BV232" s="536"/>
      <c r="BW232" s="536"/>
      <c r="BX232" s="542">
        <f t="shared" si="91"/>
        <v>0</v>
      </c>
      <c r="BY232" s="536"/>
      <c r="BZ232" s="536"/>
      <c r="CA232" s="536"/>
      <c r="CB232" s="542">
        <v>0</v>
      </c>
      <c r="CC232" s="536"/>
      <c r="CD232" s="536"/>
      <c r="CE232" s="536"/>
      <c r="CF232" s="541">
        <f t="shared" si="92"/>
        <v>0</v>
      </c>
      <c r="CG232" s="536"/>
      <c r="CH232" s="536"/>
      <c r="CI232" s="536"/>
      <c r="CJ232" s="541">
        <f t="shared" si="93"/>
        <v>0</v>
      </c>
      <c r="CK232" s="536"/>
      <c r="CL232" s="536"/>
      <c r="CM232" s="536"/>
      <c r="CN232" s="541">
        <f t="shared" si="94"/>
        <v>0</v>
      </c>
      <c r="CO232" s="536"/>
      <c r="CP232" s="536"/>
      <c r="CQ232" s="536"/>
      <c r="CR232" s="541">
        <f t="shared" si="95"/>
        <v>0</v>
      </c>
      <c r="CS232" s="536"/>
      <c r="CT232" s="536"/>
      <c r="CU232" s="536"/>
      <c r="CV232" s="541">
        <f t="shared" si="96"/>
        <v>0</v>
      </c>
      <c r="CW232" s="536"/>
      <c r="CX232" s="536"/>
      <c r="CY232" s="536"/>
      <c r="CZ232" s="541">
        <f t="shared" si="97"/>
        <v>0</v>
      </c>
      <c r="DA232" s="536"/>
      <c r="DB232" s="536"/>
      <c r="DC232" s="536"/>
      <c r="DD232" s="541">
        <f t="shared" si="98"/>
        <v>0</v>
      </c>
      <c r="DE232" s="536"/>
      <c r="DF232" s="536"/>
      <c r="DG232" s="536"/>
      <c r="DH232" s="541">
        <f t="shared" si="99"/>
        <v>0</v>
      </c>
      <c r="DI232" s="536"/>
      <c r="DJ232" s="536"/>
      <c r="DK232" s="536"/>
      <c r="DL232" s="541">
        <f t="shared" si="100"/>
        <v>0</v>
      </c>
      <c r="DM232" s="536"/>
      <c r="DN232" s="536"/>
      <c r="DO232" s="536"/>
      <c r="DP232" s="541">
        <f>IF( SUM((DJ232*(20/100))+(DK232*(30/100))+(DL232*(50/100))) &gt;=9.3,9.5,
IF(AND( SUM((DJ232*(20/100))+(DK232*(30/100))+(DL232*(50/100))) &lt;=9.3, SUM((DJ232*(20/100))+(DK232*(30/100))+(DL232*(50/100))) &gt;=8.8),9,
IF(AND( SUM((DJ232*(20/100))+(DK232*(30/100))+(DL232*(50/100))) &lt;=8.8, SUM((DJ232*(20/100))+(DK232*(30/100))+(DL232*(50/100))) &gt;=8.3),8.5,
IF(AND( SUM((DJ232*(20/100))+(DK232*(30/100))+(DL232*(50/100))) &lt;=8.3, SUM((DJ232*(20/100))+(DK232*(30/100))+(DL232*(50/100))) &gt;=7.8),8,
IF(AND( SUM((DJ232*(20/100))+(DK232*(30/100))+(DL232*(50/100))) &lt;=7.8, SUM((DJ232*(20/100))+(DK232*(30/100))+(DL232*(50/100))) &gt;=7.3),7.5,
IF(AND( SUM((DJ232*(20/100))+(DK232*(30/100))+(DL232*(50/100))) &lt;=7.3, SUM((DJ232*(20/100))+(DK232*(30/100))+(DL232*(50/100))) &gt;=6.8),7,
IF(AND( SUM((DJ232*(20/100))+(DK232*(30/100))+(DL232*(50/100))) &lt;=6.8, SUM((DJ232*(20/100))+(DK232*(30/100))+(DL232*(50/100))) &gt;=6.3),6.5,
IF(AND( SUM((DJ232*(20/100))+(DK232*(30/100))+(DL232*(50/100))) &lt;=6.3, SUM((DJ232*(20/100))+(DK232*(30/100))+(DL232*(50/100))) &gt;=5.8),6,
IF(AND( SUM((DJ232*(20/100))+(DK232*(30/100))+(DL232*(50/100))) &lt;=5.8, SUM((DJ232*(20/100))+(DK232*(30/100))+(DL232*(50/100))) &gt;=5.3),5.5,
IF(AND( SUM((DJ232*(20/100))+(DK232*(30/100))+(DL232*(50/100))) &lt;=5.3, SUM((DJ232*(20/100))+(DK232*(30/100))+(DL232*(50/100))) &gt;=4.8),5,
IF(AND( SUM((DJ232*(20/100))+(DK232*(30/100))+(DL232*(50/100))) &lt;=4.8, SUM((DJ232*(20/100))+(DK232*(30/100))+(DL232*(50/100))) &gt;=4.3),4.5,
IF(AND( SUM((DJ232*(20/100))+(DK232*(30/100))+(DL232*(50/100))) &lt;=4.3, SUM((DJ232*(20/100))+(DK232*(30/100))+(DL232*(50/100))) &gt;=3.8),4,
IF(AND( SUM((DJ232*(20/100))+(DK232*(30/100))+(DL232*(50/100))) &lt;=3.8, SUM((DJ232*(20/100))+(DK232*(30/100))+(DL232*(50/100))) &gt;=3.5),3.5,0)))))))))))))</f>
        <v>0</v>
      </c>
      <c r="DQ232" s="541"/>
      <c r="DR232" s="541"/>
      <c r="DS232" s="541"/>
      <c r="DT232" s="541"/>
      <c r="DU232" s="541"/>
      <c r="DV232" s="541"/>
      <c r="DW232" s="541"/>
      <c r="DX232" s="541"/>
      <c r="DY232" s="541"/>
      <c r="DZ232" s="541"/>
    </row>
    <row r="233" spans="2:130" x14ac:dyDescent="0.25">
      <c r="B233" s="334">
        <v>26</v>
      </c>
      <c r="C233" s="541"/>
      <c r="D233" s="334"/>
      <c r="E233" s="334"/>
      <c r="F233" s="334"/>
      <c r="G233" s="334"/>
      <c r="H233" s="334"/>
      <c r="I233" s="334"/>
      <c r="J233" s="536"/>
      <c r="K233" s="536"/>
      <c r="L233" s="536"/>
      <c r="M233" s="536"/>
      <c r="N233" s="536"/>
      <c r="O233" s="536"/>
      <c r="P233" s="536">
        <f t="shared" si="76"/>
        <v>0</v>
      </c>
      <c r="Q233" s="536"/>
      <c r="R233" s="536"/>
      <c r="S233" s="536"/>
      <c r="T233" s="536">
        <f t="shared" si="77"/>
        <v>0</v>
      </c>
      <c r="U233" s="536"/>
      <c r="V233" s="536"/>
      <c r="W233" s="536"/>
      <c r="X233" s="536">
        <f t="shared" si="78"/>
        <v>0</v>
      </c>
      <c r="Y233" s="536"/>
      <c r="Z233" s="536"/>
      <c r="AA233" s="536"/>
      <c r="AB233" s="536">
        <f t="shared" si="79"/>
        <v>0</v>
      </c>
      <c r="AC233" s="536"/>
      <c r="AD233" s="536"/>
      <c r="AE233" s="536"/>
      <c r="AF233" s="536">
        <f t="shared" si="80"/>
        <v>0</v>
      </c>
      <c r="AG233" s="536"/>
      <c r="AH233" s="536"/>
      <c r="AI233" s="536"/>
      <c r="AJ233" s="536">
        <f t="shared" si="81"/>
        <v>0</v>
      </c>
      <c r="AK233" s="536"/>
      <c r="AL233" s="536"/>
      <c r="AM233" s="536"/>
      <c r="AN233" s="542">
        <f t="shared" si="82"/>
        <v>0</v>
      </c>
      <c r="AO233" s="536"/>
      <c r="AP233" s="536"/>
      <c r="AQ233" s="536"/>
      <c r="AR233" s="542">
        <f t="shared" si="83"/>
        <v>0</v>
      </c>
      <c r="AS233" s="536"/>
      <c r="AT233" s="536"/>
      <c r="AU233" s="536"/>
      <c r="AV233" s="542">
        <f t="shared" si="84"/>
        <v>0</v>
      </c>
      <c r="AW233" s="536"/>
      <c r="AX233" s="536"/>
      <c r="AY233" s="536"/>
      <c r="AZ233" s="542">
        <f t="shared" si="85"/>
        <v>0</v>
      </c>
      <c r="BA233" s="536"/>
      <c r="BB233" s="536"/>
      <c r="BC233" s="536"/>
      <c r="BD233" s="542">
        <f t="shared" si="86"/>
        <v>0</v>
      </c>
      <c r="BE233" s="536"/>
      <c r="BF233" s="536"/>
      <c r="BG233" s="536"/>
      <c r="BH233" s="542">
        <f t="shared" si="87"/>
        <v>0</v>
      </c>
      <c r="BI233" s="536"/>
      <c r="BJ233" s="536"/>
      <c r="BK233" s="536"/>
      <c r="BL233" s="542">
        <f t="shared" si="88"/>
        <v>0</v>
      </c>
      <c r="BM233" s="536"/>
      <c r="BN233" s="536"/>
      <c r="BO233" s="536"/>
      <c r="BP233" s="542">
        <f t="shared" si="89"/>
        <v>0</v>
      </c>
      <c r="BQ233" s="536"/>
      <c r="BR233" s="536"/>
      <c r="BS233" s="536"/>
      <c r="BT233" s="542">
        <f t="shared" si="90"/>
        <v>0</v>
      </c>
      <c r="BU233" s="536"/>
      <c r="BV233" s="536"/>
      <c r="BW233" s="536"/>
      <c r="BX233" s="542">
        <f t="shared" si="91"/>
        <v>0</v>
      </c>
      <c r="BY233" s="536"/>
      <c r="BZ233" s="536"/>
      <c r="CA233" s="536"/>
      <c r="CB233" s="542">
        <v>0</v>
      </c>
      <c r="CC233" s="536"/>
      <c r="CD233" s="536"/>
      <c r="CE233" s="536"/>
      <c r="CF233" s="541">
        <f t="shared" si="92"/>
        <v>0</v>
      </c>
      <c r="CG233" s="536"/>
      <c r="CH233" s="536"/>
      <c r="CI233" s="536"/>
      <c r="CJ233" s="541">
        <f t="shared" si="93"/>
        <v>0</v>
      </c>
      <c r="CK233" s="536"/>
      <c r="CL233" s="536"/>
      <c r="CM233" s="536"/>
      <c r="CN233" s="541">
        <f t="shared" si="94"/>
        <v>0</v>
      </c>
      <c r="CO233" s="536"/>
      <c r="CP233" s="536"/>
      <c r="CQ233" s="536"/>
      <c r="CR233" s="541">
        <f t="shared" si="95"/>
        <v>0</v>
      </c>
      <c r="CS233" s="536"/>
      <c r="CT233" s="536"/>
      <c r="CU233" s="536"/>
      <c r="CV233" s="541">
        <f t="shared" si="96"/>
        <v>0</v>
      </c>
      <c r="CW233" s="536"/>
      <c r="CX233" s="536"/>
      <c r="CY233" s="536"/>
      <c r="CZ233" s="541">
        <f t="shared" si="97"/>
        <v>0</v>
      </c>
      <c r="DA233" s="536"/>
      <c r="DB233" s="536"/>
      <c r="DC233" s="536"/>
      <c r="DD233" s="541">
        <f t="shared" si="98"/>
        <v>0</v>
      </c>
      <c r="DE233" s="536"/>
      <c r="DF233" s="536"/>
      <c r="DG233" s="536"/>
      <c r="DH233" s="541">
        <f t="shared" si="99"/>
        <v>0</v>
      </c>
      <c r="DI233" s="536"/>
      <c r="DJ233" s="536"/>
      <c r="DK233" s="536"/>
      <c r="DL233" s="541">
        <f t="shared" si="100"/>
        <v>0</v>
      </c>
      <c r="DM233" s="536"/>
      <c r="DN233" s="536"/>
      <c r="DO233" s="536"/>
      <c r="DP233" s="541">
        <f>IF( SUM((DJ233*(20/100))+(DK233*(30/100))+(DL233*(50/100))) &gt;=9.3,9.5,
IF(AND( SUM((DJ233*(20/100))+(DK233*(30/100))+(DL233*(50/100))) &lt;=9.3, SUM((DJ233*(20/100))+(DK233*(30/100))+(DL233*(50/100))) &gt;=8.8),9,
IF(AND( SUM((DJ233*(20/100))+(DK233*(30/100))+(DL233*(50/100))) &lt;=8.8, SUM((DJ233*(20/100))+(DK233*(30/100))+(DL233*(50/100))) &gt;=8.3),8.5,
IF(AND( SUM((DJ233*(20/100))+(DK233*(30/100))+(DL233*(50/100))) &lt;=8.3, SUM((DJ233*(20/100))+(DK233*(30/100))+(DL233*(50/100))) &gt;=7.8),8,
IF(AND( SUM((DJ233*(20/100))+(DK233*(30/100))+(DL233*(50/100))) &lt;=7.8, SUM((DJ233*(20/100))+(DK233*(30/100))+(DL233*(50/100))) &gt;=7.3),7.5,
IF(AND( SUM((DJ233*(20/100))+(DK233*(30/100))+(DL233*(50/100))) &lt;=7.3, SUM((DJ233*(20/100))+(DK233*(30/100))+(DL233*(50/100))) &gt;=6.8),7,
IF(AND( SUM((DJ233*(20/100))+(DK233*(30/100))+(DL233*(50/100))) &lt;=6.8, SUM((DJ233*(20/100))+(DK233*(30/100))+(DL233*(50/100))) &gt;=6.3),6.5,
IF(AND( SUM((DJ233*(20/100))+(DK233*(30/100))+(DL233*(50/100))) &lt;=6.3, SUM((DJ233*(20/100))+(DK233*(30/100))+(DL233*(50/100))) &gt;=5.8),6,
IF(AND( SUM((DJ233*(20/100))+(DK233*(30/100))+(DL233*(50/100))) &lt;=5.8, SUM((DJ233*(20/100))+(DK233*(30/100))+(DL233*(50/100))) &gt;=5.3),5.5,
IF(AND( SUM((DJ233*(20/100))+(DK233*(30/100))+(DL233*(50/100))) &lt;=5.3, SUM((DJ233*(20/100))+(DK233*(30/100))+(DL233*(50/100))) &gt;=4.8),5,
IF(AND( SUM((DJ233*(20/100))+(DK233*(30/100))+(DL233*(50/100))) &lt;=4.8, SUM((DJ233*(20/100))+(DK233*(30/100))+(DL233*(50/100))) &gt;=4.3),4.5,
IF(AND( SUM((DJ233*(20/100))+(DK233*(30/100))+(DL233*(50/100))) &lt;=4.3, SUM((DJ233*(20/100))+(DK233*(30/100))+(DL233*(50/100))) &gt;=3.8),4,
IF(AND( SUM((DJ233*(20/100))+(DK233*(30/100))+(DL233*(50/100))) &lt;=3.8, SUM((DJ233*(20/100))+(DK233*(30/100))+(DL233*(50/100))) &gt;=3.5),3.5,0)))))))))))))</f>
        <v>0</v>
      </c>
      <c r="DQ233" s="541"/>
      <c r="DR233" s="541"/>
      <c r="DS233" s="541"/>
      <c r="DT233" s="541"/>
      <c r="DU233" s="541"/>
      <c r="DV233" s="541"/>
      <c r="DW233" s="541"/>
      <c r="DX233" s="541"/>
      <c r="DY233" s="541"/>
      <c r="DZ233" s="541"/>
    </row>
    <row r="234" spans="2:130" x14ac:dyDescent="0.25">
      <c r="B234" s="334">
        <v>27</v>
      </c>
      <c r="C234" s="541"/>
      <c r="D234" s="334"/>
      <c r="E234" s="334"/>
      <c r="F234" s="334"/>
      <c r="G234" s="334"/>
      <c r="H234" s="334"/>
      <c r="I234" s="334"/>
      <c r="J234" s="536"/>
      <c r="K234" s="536"/>
      <c r="L234" s="536"/>
      <c r="M234" s="536"/>
      <c r="N234" s="536"/>
      <c r="O234" s="536"/>
      <c r="P234" s="536">
        <f t="shared" si="76"/>
        <v>0</v>
      </c>
      <c r="Q234" s="536"/>
      <c r="R234" s="536"/>
      <c r="S234" s="536"/>
      <c r="T234" s="536">
        <f t="shared" si="77"/>
        <v>0</v>
      </c>
      <c r="U234" s="536"/>
      <c r="V234" s="536"/>
      <c r="W234" s="536"/>
      <c r="X234" s="536">
        <f t="shared" si="78"/>
        <v>0</v>
      </c>
      <c r="Y234" s="536"/>
      <c r="Z234" s="536"/>
      <c r="AA234" s="536"/>
      <c r="AB234" s="536">
        <f t="shared" si="79"/>
        <v>0</v>
      </c>
      <c r="AC234" s="536"/>
      <c r="AD234" s="536"/>
      <c r="AE234" s="536"/>
      <c r="AF234" s="536">
        <f t="shared" si="80"/>
        <v>0</v>
      </c>
      <c r="AG234" s="536"/>
      <c r="AH234" s="536"/>
      <c r="AI234" s="536"/>
      <c r="AJ234" s="536">
        <f t="shared" si="81"/>
        <v>0</v>
      </c>
      <c r="AK234" s="536"/>
      <c r="AL234" s="536"/>
      <c r="AM234" s="536"/>
      <c r="AN234" s="542">
        <f t="shared" si="82"/>
        <v>0</v>
      </c>
      <c r="AO234" s="536"/>
      <c r="AP234" s="536"/>
      <c r="AQ234" s="536"/>
      <c r="AR234" s="542">
        <f t="shared" si="83"/>
        <v>0</v>
      </c>
      <c r="AS234" s="536"/>
      <c r="AT234" s="536"/>
      <c r="AU234" s="536"/>
      <c r="AV234" s="542">
        <f t="shared" si="84"/>
        <v>0</v>
      </c>
      <c r="AW234" s="536"/>
      <c r="AX234" s="536"/>
      <c r="AY234" s="536"/>
      <c r="AZ234" s="542">
        <f t="shared" si="85"/>
        <v>0</v>
      </c>
      <c r="BA234" s="536"/>
      <c r="BB234" s="536"/>
      <c r="BC234" s="536"/>
      <c r="BD234" s="542">
        <f t="shared" si="86"/>
        <v>0</v>
      </c>
      <c r="BE234" s="536"/>
      <c r="BF234" s="536"/>
      <c r="BG234" s="536"/>
      <c r="BH234" s="542">
        <f t="shared" si="87"/>
        <v>0</v>
      </c>
      <c r="BI234" s="536"/>
      <c r="BJ234" s="536"/>
      <c r="BK234" s="536"/>
      <c r="BL234" s="542">
        <f t="shared" si="88"/>
        <v>0</v>
      </c>
      <c r="BM234" s="536"/>
      <c r="BN234" s="536"/>
      <c r="BO234" s="536"/>
      <c r="BP234" s="542">
        <f t="shared" si="89"/>
        <v>0</v>
      </c>
      <c r="BQ234" s="536"/>
      <c r="BR234" s="536"/>
      <c r="BS234" s="536"/>
      <c r="BT234" s="542">
        <f t="shared" si="90"/>
        <v>0</v>
      </c>
      <c r="BU234" s="536"/>
      <c r="BV234" s="536"/>
      <c r="BW234" s="536"/>
      <c r="BX234" s="542">
        <f t="shared" si="91"/>
        <v>0</v>
      </c>
      <c r="BY234" s="536"/>
      <c r="BZ234" s="536"/>
      <c r="CA234" s="536"/>
      <c r="CB234" s="542">
        <v>0</v>
      </c>
      <c r="CC234" s="536"/>
      <c r="CD234" s="536"/>
      <c r="CE234" s="536"/>
      <c r="CF234" s="541">
        <f t="shared" si="92"/>
        <v>0</v>
      </c>
      <c r="CG234" s="536"/>
      <c r="CH234" s="536"/>
      <c r="CI234" s="536"/>
      <c r="CJ234" s="541">
        <f t="shared" si="93"/>
        <v>0</v>
      </c>
      <c r="CK234" s="536"/>
      <c r="CL234" s="536"/>
      <c r="CM234" s="536"/>
      <c r="CN234" s="541">
        <f t="shared" si="94"/>
        <v>0</v>
      </c>
      <c r="CO234" s="536"/>
      <c r="CP234" s="536"/>
      <c r="CQ234" s="536"/>
      <c r="CR234" s="541">
        <f t="shared" si="95"/>
        <v>0</v>
      </c>
      <c r="CS234" s="536"/>
      <c r="CT234" s="536"/>
      <c r="CU234" s="536"/>
      <c r="CV234" s="541">
        <f t="shared" si="96"/>
        <v>0</v>
      </c>
      <c r="CW234" s="536"/>
      <c r="CX234" s="536"/>
      <c r="CY234" s="536"/>
      <c r="CZ234" s="541">
        <f t="shared" si="97"/>
        <v>0</v>
      </c>
      <c r="DA234" s="536"/>
      <c r="DB234" s="536"/>
      <c r="DC234" s="536"/>
      <c r="DD234" s="541">
        <f t="shared" si="98"/>
        <v>0</v>
      </c>
      <c r="DE234" s="536"/>
      <c r="DF234" s="536"/>
      <c r="DG234" s="536"/>
      <c r="DH234" s="541">
        <f t="shared" si="99"/>
        <v>0</v>
      </c>
      <c r="DI234" s="536"/>
      <c r="DJ234" s="536"/>
      <c r="DK234" s="536"/>
      <c r="DL234" s="541">
        <f t="shared" si="100"/>
        <v>0</v>
      </c>
      <c r="DM234" s="536"/>
      <c r="DN234" s="536"/>
      <c r="DO234" s="536"/>
      <c r="DP234" s="541">
        <f>IF( SUM((DJ234*(20/100))+(DK234*(30/100))+(DL234*(50/100))) &gt;=9.3,9.5,
IF(AND( SUM((DJ234*(20/100))+(DK234*(30/100))+(DL234*(50/100))) &lt;=9.3, SUM((DJ234*(20/100))+(DK234*(30/100))+(DL234*(50/100))) &gt;=8.8),9,
IF(AND( SUM((DJ234*(20/100))+(DK234*(30/100))+(DL234*(50/100))) &lt;=8.8, SUM((DJ234*(20/100))+(DK234*(30/100))+(DL234*(50/100))) &gt;=8.3),8.5,
IF(AND( SUM((DJ234*(20/100))+(DK234*(30/100))+(DL234*(50/100))) &lt;=8.3, SUM((DJ234*(20/100))+(DK234*(30/100))+(DL234*(50/100))) &gt;=7.8),8,
IF(AND( SUM((DJ234*(20/100))+(DK234*(30/100))+(DL234*(50/100))) &lt;=7.8, SUM((DJ234*(20/100))+(DK234*(30/100))+(DL234*(50/100))) &gt;=7.3),7.5,
IF(AND( SUM((DJ234*(20/100))+(DK234*(30/100))+(DL234*(50/100))) &lt;=7.3, SUM((DJ234*(20/100))+(DK234*(30/100))+(DL234*(50/100))) &gt;=6.8),7,
IF(AND( SUM((DJ234*(20/100))+(DK234*(30/100))+(DL234*(50/100))) &lt;=6.8, SUM((DJ234*(20/100))+(DK234*(30/100))+(DL234*(50/100))) &gt;=6.3),6.5,
IF(AND( SUM((DJ234*(20/100))+(DK234*(30/100))+(DL234*(50/100))) &lt;=6.3, SUM((DJ234*(20/100))+(DK234*(30/100))+(DL234*(50/100))) &gt;=5.8),6,
IF(AND( SUM((DJ234*(20/100))+(DK234*(30/100))+(DL234*(50/100))) &lt;=5.8, SUM((DJ234*(20/100))+(DK234*(30/100))+(DL234*(50/100))) &gt;=5.3),5.5,
IF(AND( SUM((DJ234*(20/100))+(DK234*(30/100))+(DL234*(50/100))) &lt;=5.3, SUM((DJ234*(20/100))+(DK234*(30/100))+(DL234*(50/100))) &gt;=4.8),5,
IF(AND( SUM((DJ234*(20/100))+(DK234*(30/100))+(DL234*(50/100))) &lt;=4.8, SUM((DJ234*(20/100))+(DK234*(30/100))+(DL234*(50/100))) &gt;=4.3),4.5,
IF(AND( SUM((DJ234*(20/100))+(DK234*(30/100))+(DL234*(50/100))) &lt;=4.3, SUM((DJ234*(20/100))+(DK234*(30/100))+(DL234*(50/100))) &gt;=3.8),4,
IF(AND( SUM((DJ234*(20/100))+(DK234*(30/100))+(DL234*(50/100))) &lt;=3.8, SUM((DJ234*(20/100))+(DK234*(30/100))+(DL234*(50/100))) &gt;=3.5),3.5,0)))))))))))))</f>
        <v>0</v>
      </c>
      <c r="DQ234" s="541"/>
      <c r="DR234" s="541"/>
      <c r="DS234" s="541"/>
      <c r="DT234" s="541"/>
      <c r="DU234" s="541"/>
      <c r="DV234" s="541"/>
      <c r="DW234" s="541"/>
      <c r="DX234" s="541"/>
      <c r="DY234" s="541"/>
      <c r="DZ234" s="541"/>
    </row>
    <row r="235" spans="2:130" x14ac:dyDescent="0.25">
      <c r="B235" s="334">
        <v>28</v>
      </c>
      <c r="C235" s="541"/>
      <c r="D235" s="334"/>
      <c r="E235" s="334"/>
      <c r="F235" s="334"/>
      <c r="G235" s="334"/>
      <c r="H235" s="334"/>
      <c r="I235" s="334"/>
      <c r="J235" s="536"/>
      <c r="K235" s="536"/>
      <c r="L235" s="536"/>
      <c r="M235" s="536"/>
      <c r="N235" s="536"/>
      <c r="O235" s="536"/>
      <c r="P235" s="536">
        <f t="shared" si="76"/>
        <v>0</v>
      </c>
      <c r="Q235" s="536"/>
      <c r="R235" s="536"/>
      <c r="S235" s="536"/>
      <c r="T235" s="536">
        <f t="shared" si="77"/>
        <v>0</v>
      </c>
      <c r="U235" s="536"/>
      <c r="V235" s="536"/>
      <c r="W235" s="536"/>
      <c r="X235" s="536">
        <f t="shared" si="78"/>
        <v>0</v>
      </c>
      <c r="Y235" s="536"/>
      <c r="Z235" s="536"/>
      <c r="AA235" s="536"/>
      <c r="AB235" s="536">
        <f t="shared" si="79"/>
        <v>0</v>
      </c>
      <c r="AC235" s="536"/>
      <c r="AD235" s="536"/>
      <c r="AE235" s="536"/>
      <c r="AF235" s="536">
        <f t="shared" si="80"/>
        <v>0</v>
      </c>
      <c r="AG235" s="536"/>
      <c r="AH235" s="536"/>
      <c r="AI235" s="536"/>
      <c r="AJ235" s="536">
        <f t="shared" si="81"/>
        <v>0</v>
      </c>
      <c r="AK235" s="536"/>
      <c r="AL235" s="536"/>
      <c r="AM235" s="536"/>
      <c r="AN235" s="542">
        <f t="shared" si="82"/>
        <v>0</v>
      </c>
      <c r="AO235" s="536"/>
      <c r="AP235" s="536"/>
      <c r="AQ235" s="536"/>
      <c r="AR235" s="542">
        <f t="shared" si="83"/>
        <v>0</v>
      </c>
      <c r="AS235" s="536"/>
      <c r="AT235" s="536"/>
      <c r="AU235" s="536"/>
      <c r="AV235" s="542">
        <f t="shared" si="84"/>
        <v>0</v>
      </c>
      <c r="AW235" s="536"/>
      <c r="AX235" s="536"/>
      <c r="AY235" s="536"/>
      <c r="AZ235" s="542">
        <f t="shared" si="85"/>
        <v>0</v>
      </c>
      <c r="BA235" s="536"/>
      <c r="BB235" s="536"/>
      <c r="BC235" s="536"/>
      <c r="BD235" s="542">
        <f t="shared" si="86"/>
        <v>0</v>
      </c>
      <c r="BE235" s="536"/>
      <c r="BF235" s="536"/>
      <c r="BG235" s="536"/>
      <c r="BH235" s="542">
        <f t="shared" si="87"/>
        <v>0</v>
      </c>
      <c r="BI235" s="536"/>
      <c r="BJ235" s="536"/>
      <c r="BK235" s="536"/>
      <c r="BL235" s="542">
        <f t="shared" si="88"/>
        <v>0</v>
      </c>
      <c r="BM235" s="536"/>
      <c r="BN235" s="536"/>
      <c r="BO235" s="536"/>
      <c r="BP235" s="542">
        <f t="shared" si="89"/>
        <v>0</v>
      </c>
      <c r="BQ235" s="536"/>
      <c r="BR235" s="536"/>
      <c r="BS235" s="536"/>
      <c r="BT235" s="542">
        <f t="shared" si="90"/>
        <v>0</v>
      </c>
      <c r="BU235" s="536"/>
      <c r="BV235" s="536"/>
      <c r="BW235" s="536"/>
      <c r="BX235" s="542">
        <f t="shared" si="91"/>
        <v>0</v>
      </c>
      <c r="BY235" s="536"/>
      <c r="BZ235" s="536"/>
      <c r="CA235" s="536"/>
      <c r="CB235" s="542">
        <v>0</v>
      </c>
      <c r="CC235" s="536"/>
      <c r="CD235" s="536"/>
      <c r="CE235" s="536"/>
      <c r="CF235" s="541">
        <f t="shared" si="92"/>
        <v>0</v>
      </c>
      <c r="CG235" s="536"/>
      <c r="CH235" s="536"/>
      <c r="CI235" s="536"/>
      <c r="CJ235" s="541">
        <f t="shared" si="93"/>
        <v>0</v>
      </c>
      <c r="CK235" s="536"/>
      <c r="CL235" s="536"/>
      <c r="CM235" s="536"/>
      <c r="CN235" s="541">
        <f t="shared" si="94"/>
        <v>0</v>
      </c>
      <c r="CO235" s="536"/>
      <c r="CP235" s="536"/>
      <c r="CQ235" s="536"/>
      <c r="CR235" s="541">
        <f t="shared" si="95"/>
        <v>0</v>
      </c>
      <c r="CS235" s="536"/>
      <c r="CT235" s="536"/>
      <c r="CU235" s="536"/>
      <c r="CV235" s="541">
        <f t="shared" si="96"/>
        <v>0</v>
      </c>
      <c r="CW235" s="536"/>
      <c r="CX235" s="536"/>
      <c r="CY235" s="536"/>
      <c r="CZ235" s="541">
        <f t="shared" si="97"/>
        <v>0</v>
      </c>
      <c r="DA235" s="536"/>
      <c r="DB235" s="536"/>
      <c r="DC235" s="536"/>
      <c r="DD235" s="541">
        <f t="shared" si="98"/>
        <v>0</v>
      </c>
      <c r="DE235" s="536"/>
      <c r="DF235" s="536"/>
      <c r="DG235" s="536"/>
      <c r="DH235" s="541">
        <f t="shared" si="99"/>
        <v>0</v>
      </c>
      <c r="DI235" s="536"/>
      <c r="DJ235" s="536"/>
      <c r="DK235" s="536"/>
      <c r="DL235" s="541">
        <f t="shared" si="100"/>
        <v>0</v>
      </c>
      <c r="DM235" s="536"/>
      <c r="DN235" s="536"/>
      <c r="DO235" s="536"/>
      <c r="DP235" s="541">
        <f>IF( SUM((DJ235*(20/100))+(DK235*(30/100))+(DL235*(50/100))) &gt;=9.3,9.5,
IF(AND( SUM((DJ235*(20/100))+(DK235*(30/100))+(DL235*(50/100))) &lt;=9.3, SUM((DJ235*(20/100))+(DK235*(30/100))+(DL235*(50/100))) &gt;=8.8),9,
IF(AND( SUM((DJ235*(20/100))+(DK235*(30/100))+(DL235*(50/100))) &lt;=8.8, SUM((DJ235*(20/100))+(DK235*(30/100))+(DL235*(50/100))) &gt;=8.3),8.5,
IF(AND( SUM((DJ235*(20/100))+(DK235*(30/100))+(DL235*(50/100))) &lt;=8.3, SUM((DJ235*(20/100))+(DK235*(30/100))+(DL235*(50/100))) &gt;=7.8),8,
IF(AND( SUM((DJ235*(20/100))+(DK235*(30/100))+(DL235*(50/100))) &lt;=7.8, SUM((DJ235*(20/100))+(DK235*(30/100))+(DL235*(50/100))) &gt;=7.3),7.5,
IF(AND( SUM((DJ235*(20/100))+(DK235*(30/100))+(DL235*(50/100))) &lt;=7.3, SUM((DJ235*(20/100))+(DK235*(30/100))+(DL235*(50/100))) &gt;=6.8),7,
IF(AND( SUM((DJ235*(20/100))+(DK235*(30/100))+(DL235*(50/100))) &lt;=6.8, SUM((DJ235*(20/100))+(DK235*(30/100))+(DL235*(50/100))) &gt;=6.3),6.5,
IF(AND( SUM((DJ235*(20/100))+(DK235*(30/100))+(DL235*(50/100))) &lt;=6.3, SUM((DJ235*(20/100))+(DK235*(30/100))+(DL235*(50/100))) &gt;=5.8),6,
IF(AND( SUM((DJ235*(20/100))+(DK235*(30/100))+(DL235*(50/100))) &lt;=5.8, SUM((DJ235*(20/100))+(DK235*(30/100))+(DL235*(50/100))) &gt;=5.3),5.5,
IF(AND( SUM((DJ235*(20/100))+(DK235*(30/100))+(DL235*(50/100))) &lt;=5.3, SUM((DJ235*(20/100))+(DK235*(30/100))+(DL235*(50/100))) &gt;=4.8),5,
IF(AND( SUM((DJ235*(20/100))+(DK235*(30/100))+(DL235*(50/100))) &lt;=4.8, SUM((DJ235*(20/100))+(DK235*(30/100))+(DL235*(50/100))) &gt;=4.3),4.5,
IF(AND( SUM((DJ235*(20/100))+(DK235*(30/100))+(DL235*(50/100))) &lt;=4.3, SUM((DJ235*(20/100))+(DK235*(30/100))+(DL235*(50/100))) &gt;=3.8),4,
IF(AND( SUM((DJ235*(20/100))+(DK235*(30/100))+(DL235*(50/100))) &lt;=3.8, SUM((DJ235*(20/100))+(DK235*(30/100))+(DL235*(50/100))) &gt;=3.5),3.5,0)))))))))))))</f>
        <v>0</v>
      </c>
      <c r="DQ235" s="541"/>
      <c r="DR235" s="541"/>
      <c r="DS235" s="541"/>
      <c r="DT235" s="541"/>
      <c r="DU235" s="541"/>
      <c r="DV235" s="541"/>
      <c r="DW235" s="541"/>
      <c r="DX235" s="541"/>
      <c r="DY235" s="541"/>
      <c r="DZ235" s="541"/>
    </row>
    <row r="236" spans="2:130" x14ac:dyDescent="0.25">
      <c r="B236" s="334">
        <v>29</v>
      </c>
      <c r="C236" s="541"/>
      <c r="D236" s="334"/>
      <c r="E236" s="334"/>
      <c r="F236" s="334"/>
      <c r="G236" s="334"/>
      <c r="H236" s="334"/>
      <c r="I236" s="334"/>
      <c r="J236" s="536"/>
      <c r="K236" s="536"/>
      <c r="L236" s="536"/>
      <c r="M236" s="536"/>
      <c r="N236" s="536"/>
      <c r="O236" s="536"/>
      <c r="P236" s="536">
        <f t="shared" si="76"/>
        <v>0</v>
      </c>
      <c r="Q236" s="536"/>
      <c r="R236" s="536"/>
      <c r="S236" s="536"/>
      <c r="T236" s="536">
        <f t="shared" si="77"/>
        <v>0</v>
      </c>
      <c r="U236" s="536"/>
      <c r="V236" s="536"/>
      <c r="W236" s="536"/>
      <c r="X236" s="536">
        <f t="shared" si="78"/>
        <v>0</v>
      </c>
      <c r="Y236" s="536"/>
      <c r="Z236" s="536"/>
      <c r="AA236" s="536"/>
      <c r="AB236" s="536">
        <f t="shared" si="79"/>
        <v>0</v>
      </c>
      <c r="AC236" s="536"/>
      <c r="AD236" s="536"/>
      <c r="AE236" s="536"/>
      <c r="AF236" s="536">
        <f t="shared" si="80"/>
        <v>0</v>
      </c>
      <c r="AG236" s="536"/>
      <c r="AH236" s="536"/>
      <c r="AI236" s="536"/>
      <c r="AJ236" s="536">
        <f t="shared" si="81"/>
        <v>0</v>
      </c>
      <c r="AK236" s="536"/>
      <c r="AL236" s="536"/>
      <c r="AM236" s="536"/>
      <c r="AN236" s="542">
        <f t="shared" si="82"/>
        <v>0</v>
      </c>
      <c r="AO236" s="536"/>
      <c r="AP236" s="536"/>
      <c r="AQ236" s="536"/>
      <c r="AR236" s="542">
        <f t="shared" si="83"/>
        <v>0</v>
      </c>
      <c r="AS236" s="536"/>
      <c r="AT236" s="536"/>
      <c r="AU236" s="536"/>
      <c r="AV236" s="542">
        <f t="shared" si="84"/>
        <v>0</v>
      </c>
      <c r="AW236" s="536"/>
      <c r="AX236" s="536"/>
      <c r="AY236" s="536"/>
      <c r="AZ236" s="542">
        <f t="shared" si="85"/>
        <v>0</v>
      </c>
      <c r="BA236" s="536"/>
      <c r="BB236" s="536"/>
      <c r="BC236" s="536"/>
      <c r="BD236" s="542">
        <f t="shared" si="86"/>
        <v>0</v>
      </c>
      <c r="BE236" s="536"/>
      <c r="BF236" s="536"/>
      <c r="BG236" s="536"/>
      <c r="BH236" s="542">
        <f t="shared" si="87"/>
        <v>0</v>
      </c>
      <c r="BI236" s="536"/>
      <c r="BJ236" s="536"/>
      <c r="BK236" s="536"/>
      <c r="BL236" s="542">
        <f t="shared" si="88"/>
        <v>0</v>
      </c>
      <c r="BM236" s="536"/>
      <c r="BN236" s="536"/>
      <c r="BO236" s="536"/>
      <c r="BP236" s="542">
        <f t="shared" si="89"/>
        <v>0</v>
      </c>
      <c r="BQ236" s="536"/>
      <c r="BR236" s="536"/>
      <c r="BS236" s="536"/>
      <c r="BT236" s="542">
        <f t="shared" si="90"/>
        <v>0</v>
      </c>
      <c r="BU236" s="536"/>
      <c r="BV236" s="536"/>
      <c r="BW236" s="536"/>
      <c r="BX236" s="542">
        <f t="shared" si="91"/>
        <v>0</v>
      </c>
      <c r="BY236" s="536"/>
      <c r="BZ236" s="536"/>
      <c r="CA236" s="536"/>
      <c r="CB236" s="542">
        <v>0</v>
      </c>
      <c r="CC236" s="536"/>
      <c r="CD236" s="536"/>
      <c r="CE236" s="536"/>
      <c r="CF236" s="541">
        <f t="shared" si="92"/>
        <v>0</v>
      </c>
      <c r="CG236" s="536"/>
      <c r="CH236" s="536"/>
      <c r="CI236" s="536"/>
      <c r="CJ236" s="541">
        <f t="shared" si="93"/>
        <v>0</v>
      </c>
      <c r="CK236" s="536"/>
      <c r="CL236" s="536"/>
      <c r="CM236" s="536"/>
      <c r="CN236" s="541">
        <f t="shared" si="94"/>
        <v>0</v>
      </c>
      <c r="CO236" s="536"/>
      <c r="CP236" s="536"/>
      <c r="CQ236" s="536"/>
      <c r="CR236" s="541">
        <f t="shared" si="95"/>
        <v>0</v>
      </c>
      <c r="CS236" s="536"/>
      <c r="CT236" s="536"/>
      <c r="CU236" s="536"/>
      <c r="CV236" s="541">
        <f t="shared" si="96"/>
        <v>0</v>
      </c>
      <c r="CW236" s="536"/>
      <c r="CX236" s="536"/>
      <c r="CY236" s="536"/>
      <c r="CZ236" s="541">
        <f t="shared" si="97"/>
        <v>0</v>
      </c>
      <c r="DA236" s="536"/>
      <c r="DB236" s="536"/>
      <c r="DC236" s="536"/>
      <c r="DD236" s="541">
        <f t="shared" si="98"/>
        <v>0</v>
      </c>
      <c r="DE236" s="536"/>
      <c r="DF236" s="536"/>
      <c r="DG236" s="536"/>
      <c r="DH236" s="541">
        <f t="shared" si="99"/>
        <v>0</v>
      </c>
      <c r="DI236" s="536"/>
      <c r="DJ236" s="536"/>
      <c r="DK236" s="536"/>
      <c r="DL236" s="541">
        <f t="shared" si="100"/>
        <v>0</v>
      </c>
      <c r="DM236" s="536"/>
      <c r="DN236" s="536"/>
      <c r="DO236" s="536"/>
      <c r="DP236" s="541">
        <f>IF( SUM((DJ236*(20/100))+(DK236*(30/100))+(DL236*(50/100))) &gt;=9.3,9.5,
IF(AND( SUM((DJ236*(20/100))+(DK236*(30/100))+(DL236*(50/100))) &lt;=9.3, SUM((DJ236*(20/100))+(DK236*(30/100))+(DL236*(50/100))) &gt;=8.8),9,
IF(AND( SUM((DJ236*(20/100))+(DK236*(30/100))+(DL236*(50/100))) &lt;=8.8, SUM((DJ236*(20/100))+(DK236*(30/100))+(DL236*(50/100))) &gt;=8.3),8.5,
IF(AND( SUM((DJ236*(20/100))+(DK236*(30/100))+(DL236*(50/100))) &lt;=8.3, SUM((DJ236*(20/100))+(DK236*(30/100))+(DL236*(50/100))) &gt;=7.8),8,
IF(AND( SUM((DJ236*(20/100))+(DK236*(30/100))+(DL236*(50/100))) &lt;=7.8, SUM((DJ236*(20/100))+(DK236*(30/100))+(DL236*(50/100))) &gt;=7.3),7.5,
IF(AND( SUM((DJ236*(20/100))+(DK236*(30/100))+(DL236*(50/100))) &lt;=7.3, SUM((DJ236*(20/100))+(DK236*(30/100))+(DL236*(50/100))) &gt;=6.8),7,
IF(AND( SUM((DJ236*(20/100))+(DK236*(30/100))+(DL236*(50/100))) &lt;=6.8, SUM((DJ236*(20/100))+(DK236*(30/100))+(DL236*(50/100))) &gt;=6.3),6.5,
IF(AND( SUM((DJ236*(20/100))+(DK236*(30/100))+(DL236*(50/100))) &lt;=6.3, SUM((DJ236*(20/100))+(DK236*(30/100))+(DL236*(50/100))) &gt;=5.8),6,
IF(AND( SUM((DJ236*(20/100))+(DK236*(30/100))+(DL236*(50/100))) &lt;=5.8, SUM((DJ236*(20/100))+(DK236*(30/100))+(DL236*(50/100))) &gt;=5.3),5.5,
IF(AND( SUM((DJ236*(20/100))+(DK236*(30/100))+(DL236*(50/100))) &lt;=5.3, SUM((DJ236*(20/100))+(DK236*(30/100))+(DL236*(50/100))) &gt;=4.8),5,
IF(AND( SUM((DJ236*(20/100))+(DK236*(30/100))+(DL236*(50/100))) &lt;=4.8, SUM((DJ236*(20/100))+(DK236*(30/100))+(DL236*(50/100))) &gt;=4.3),4.5,
IF(AND( SUM((DJ236*(20/100))+(DK236*(30/100))+(DL236*(50/100))) &lt;=4.3, SUM((DJ236*(20/100))+(DK236*(30/100))+(DL236*(50/100))) &gt;=3.8),4,
IF(AND( SUM((DJ236*(20/100))+(DK236*(30/100))+(DL236*(50/100))) &lt;=3.8, SUM((DJ236*(20/100))+(DK236*(30/100))+(DL236*(50/100))) &gt;=3.5),3.5,0)))))))))))))</f>
        <v>0</v>
      </c>
      <c r="DQ236" s="541"/>
      <c r="DR236" s="541"/>
      <c r="DS236" s="541"/>
      <c r="DT236" s="541"/>
      <c r="DU236" s="541"/>
      <c r="DV236" s="541"/>
      <c r="DW236" s="541"/>
      <c r="DX236" s="541"/>
      <c r="DY236" s="541"/>
      <c r="DZ236" s="541"/>
    </row>
    <row r="237" spans="2:130" x14ac:dyDescent="0.25">
      <c r="B237" s="334">
        <v>30</v>
      </c>
      <c r="C237" s="541"/>
      <c r="D237" s="334"/>
      <c r="E237" s="334"/>
      <c r="F237" s="334"/>
      <c r="G237" s="334"/>
      <c r="H237" s="334"/>
      <c r="I237" s="334"/>
      <c r="J237" s="536"/>
      <c r="K237" s="536"/>
      <c r="L237" s="536"/>
      <c r="M237" s="536"/>
      <c r="N237" s="536"/>
      <c r="O237" s="536"/>
      <c r="P237" s="536">
        <f t="shared" si="76"/>
        <v>0</v>
      </c>
      <c r="Q237" s="536"/>
      <c r="R237" s="536"/>
      <c r="S237" s="536"/>
      <c r="T237" s="536">
        <f t="shared" si="77"/>
        <v>0</v>
      </c>
      <c r="U237" s="536"/>
      <c r="V237" s="536"/>
      <c r="W237" s="536"/>
      <c r="X237" s="536">
        <f t="shared" si="78"/>
        <v>0</v>
      </c>
      <c r="Y237" s="536"/>
      <c r="Z237" s="536"/>
      <c r="AA237" s="536"/>
      <c r="AB237" s="536">
        <f t="shared" si="79"/>
        <v>0</v>
      </c>
      <c r="AC237" s="536"/>
      <c r="AD237" s="536"/>
      <c r="AE237" s="536"/>
      <c r="AF237" s="536">
        <f t="shared" si="80"/>
        <v>0</v>
      </c>
      <c r="AG237" s="536"/>
      <c r="AH237" s="536"/>
      <c r="AI237" s="536"/>
      <c r="AJ237" s="536">
        <f t="shared" si="81"/>
        <v>0</v>
      </c>
      <c r="AK237" s="536"/>
      <c r="AL237" s="536"/>
      <c r="AM237" s="536"/>
      <c r="AN237" s="542">
        <f t="shared" si="82"/>
        <v>0</v>
      </c>
      <c r="AO237" s="536"/>
      <c r="AP237" s="536"/>
      <c r="AQ237" s="536"/>
      <c r="AR237" s="542">
        <f t="shared" si="83"/>
        <v>0</v>
      </c>
      <c r="AS237" s="536"/>
      <c r="AT237" s="536"/>
      <c r="AU237" s="536"/>
      <c r="AV237" s="542">
        <f t="shared" si="84"/>
        <v>0</v>
      </c>
      <c r="AW237" s="536"/>
      <c r="AX237" s="536"/>
      <c r="AY237" s="536"/>
      <c r="AZ237" s="542">
        <f t="shared" si="85"/>
        <v>0</v>
      </c>
      <c r="BA237" s="536"/>
      <c r="BB237" s="536"/>
      <c r="BC237" s="536"/>
      <c r="BD237" s="542">
        <f t="shared" si="86"/>
        <v>0</v>
      </c>
      <c r="BE237" s="536"/>
      <c r="BF237" s="536"/>
      <c r="BG237" s="536"/>
      <c r="BH237" s="542">
        <f t="shared" si="87"/>
        <v>0</v>
      </c>
      <c r="BI237" s="536"/>
      <c r="BJ237" s="536"/>
      <c r="BK237" s="536"/>
      <c r="BL237" s="542">
        <f t="shared" si="88"/>
        <v>0</v>
      </c>
      <c r="BM237" s="536"/>
      <c r="BN237" s="536"/>
      <c r="BO237" s="536"/>
      <c r="BP237" s="542">
        <f t="shared" si="89"/>
        <v>0</v>
      </c>
      <c r="BQ237" s="536"/>
      <c r="BR237" s="536"/>
      <c r="BS237" s="536"/>
      <c r="BT237" s="542">
        <f t="shared" si="90"/>
        <v>0</v>
      </c>
      <c r="BU237" s="536"/>
      <c r="BV237" s="536"/>
      <c r="BW237" s="536"/>
      <c r="BX237" s="542">
        <f t="shared" si="91"/>
        <v>0</v>
      </c>
      <c r="BY237" s="536"/>
      <c r="BZ237" s="536"/>
      <c r="CA237" s="536"/>
      <c r="CB237" s="542">
        <v>0</v>
      </c>
      <c r="CC237" s="536"/>
      <c r="CD237" s="536"/>
      <c r="CE237" s="536"/>
      <c r="CF237" s="541">
        <f t="shared" si="92"/>
        <v>0</v>
      </c>
      <c r="CG237" s="536"/>
      <c r="CH237" s="536"/>
      <c r="CI237" s="536"/>
      <c r="CJ237" s="541">
        <f t="shared" si="93"/>
        <v>0</v>
      </c>
      <c r="CK237" s="536"/>
      <c r="CL237" s="536"/>
      <c r="CM237" s="536"/>
      <c r="CN237" s="541">
        <f t="shared" si="94"/>
        <v>0</v>
      </c>
      <c r="CO237" s="536"/>
      <c r="CP237" s="536"/>
      <c r="CQ237" s="536"/>
      <c r="CR237" s="541">
        <f t="shared" si="95"/>
        <v>0</v>
      </c>
      <c r="CS237" s="536"/>
      <c r="CT237" s="536"/>
      <c r="CU237" s="536"/>
      <c r="CV237" s="541">
        <f t="shared" si="96"/>
        <v>0</v>
      </c>
      <c r="CW237" s="536"/>
      <c r="CX237" s="536"/>
      <c r="CY237" s="536"/>
      <c r="CZ237" s="541">
        <f t="shared" si="97"/>
        <v>0</v>
      </c>
      <c r="DA237" s="536"/>
      <c r="DB237" s="536"/>
      <c r="DC237" s="536"/>
      <c r="DD237" s="541">
        <f t="shared" si="98"/>
        <v>0</v>
      </c>
      <c r="DE237" s="536"/>
      <c r="DF237" s="536"/>
      <c r="DG237" s="536"/>
      <c r="DH237" s="541">
        <f t="shared" si="99"/>
        <v>0</v>
      </c>
      <c r="DI237" s="536"/>
      <c r="DJ237" s="536"/>
      <c r="DK237" s="536"/>
      <c r="DL237" s="541">
        <f t="shared" si="100"/>
        <v>0</v>
      </c>
      <c r="DM237" s="536"/>
      <c r="DN237" s="536"/>
      <c r="DO237" s="536"/>
      <c r="DP237" s="541">
        <f>IF( SUM((DJ237*(20/100))+(DK237*(30/100))+(DL237*(50/100))) &gt;=9.3,9.5,
IF(AND( SUM((DJ237*(20/100))+(DK237*(30/100))+(DL237*(50/100))) &lt;=9.3, SUM((DJ237*(20/100))+(DK237*(30/100))+(DL237*(50/100))) &gt;=8.8),9,
IF(AND( SUM((DJ237*(20/100))+(DK237*(30/100))+(DL237*(50/100))) &lt;=8.8, SUM((DJ237*(20/100))+(DK237*(30/100))+(DL237*(50/100))) &gt;=8.3),8.5,
IF(AND( SUM((DJ237*(20/100))+(DK237*(30/100))+(DL237*(50/100))) &lt;=8.3, SUM((DJ237*(20/100))+(DK237*(30/100))+(DL237*(50/100))) &gt;=7.8),8,
IF(AND( SUM((DJ237*(20/100))+(DK237*(30/100))+(DL237*(50/100))) &lt;=7.8, SUM((DJ237*(20/100))+(DK237*(30/100))+(DL237*(50/100))) &gt;=7.3),7.5,
IF(AND( SUM((DJ237*(20/100))+(DK237*(30/100))+(DL237*(50/100))) &lt;=7.3, SUM((DJ237*(20/100))+(DK237*(30/100))+(DL237*(50/100))) &gt;=6.8),7,
IF(AND( SUM((DJ237*(20/100))+(DK237*(30/100))+(DL237*(50/100))) &lt;=6.8, SUM((DJ237*(20/100))+(DK237*(30/100))+(DL237*(50/100))) &gt;=6.3),6.5,
IF(AND( SUM((DJ237*(20/100))+(DK237*(30/100))+(DL237*(50/100))) &lt;=6.3, SUM((DJ237*(20/100))+(DK237*(30/100))+(DL237*(50/100))) &gt;=5.8),6,
IF(AND( SUM((DJ237*(20/100))+(DK237*(30/100))+(DL237*(50/100))) &lt;=5.8, SUM((DJ237*(20/100))+(DK237*(30/100))+(DL237*(50/100))) &gt;=5.3),5.5,
IF(AND( SUM((DJ237*(20/100))+(DK237*(30/100))+(DL237*(50/100))) &lt;=5.3, SUM((DJ237*(20/100))+(DK237*(30/100))+(DL237*(50/100))) &gt;=4.8),5,
IF(AND( SUM((DJ237*(20/100))+(DK237*(30/100))+(DL237*(50/100))) &lt;=4.8, SUM((DJ237*(20/100))+(DK237*(30/100))+(DL237*(50/100))) &gt;=4.3),4.5,
IF(AND( SUM((DJ237*(20/100))+(DK237*(30/100))+(DL237*(50/100))) &lt;=4.3, SUM((DJ237*(20/100))+(DK237*(30/100))+(DL237*(50/100))) &gt;=3.8),4,
IF(AND( SUM((DJ237*(20/100))+(DK237*(30/100))+(DL237*(50/100))) &lt;=3.8, SUM((DJ237*(20/100))+(DK237*(30/100))+(DL237*(50/100))) &gt;=3.5),3.5,0)))))))))))))</f>
        <v>0</v>
      </c>
      <c r="DQ237" s="541"/>
      <c r="DR237" s="541"/>
      <c r="DS237" s="541"/>
      <c r="DT237" s="541"/>
      <c r="DU237" s="541"/>
      <c r="DV237" s="541"/>
      <c r="DW237" s="541"/>
      <c r="DX237" s="541"/>
      <c r="DY237" s="541"/>
      <c r="DZ237" s="541"/>
    </row>
    <row r="238" spans="2:130" x14ac:dyDescent="0.25">
      <c r="B238" s="334">
        <v>31</v>
      </c>
      <c r="C238" s="541"/>
      <c r="D238" s="334"/>
      <c r="E238" s="334"/>
      <c r="F238" s="334"/>
      <c r="G238" s="334"/>
      <c r="H238" s="334"/>
      <c r="I238" s="334"/>
      <c r="J238" s="536"/>
      <c r="K238" s="536"/>
      <c r="L238" s="536"/>
      <c r="M238" s="536"/>
      <c r="N238" s="536"/>
      <c r="O238" s="536"/>
      <c r="P238" s="536">
        <f t="shared" si="76"/>
        <v>0</v>
      </c>
      <c r="Q238" s="536"/>
      <c r="R238" s="536"/>
      <c r="S238" s="536"/>
      <c r="T238" s="536">
        <f t="shared" si="77"/>
        <v>0</v>
      </c>
      <c r="U238" s="536"/>
      <c r="V238" s="536"/>
      <c r="W238" s="536"/>
      <c r="X238" s="536">
        <f t="shared" si="78"/>
        <v>0</v>
      </c>
      <c r="Y238" s="536"/>
      <c r="Z238" s="536"/>
      <c r="AA238" s="536"/>
      <c r="AB238" s="536">
        <f t="shared" si="79"/>
        <v>0</v>
      </c>
      <c r="AC238" s="536"/>
      <c r="AD238" s="536"/>
      <c r="AE238" s="536"/>
      <c r="AF238" s="536">
        <f t="shared" si="80"/>
        <v>0</v>
      </c>
      <c r="AG238" s="536"/>
      <c r="AH238" s="536"/>
      <c r="AI238" s="536"/>
      <c r="AJ238" s="536">
        <f t="shared" si="81"/>
        <v>0</v>
      </c>
      <c r="AK238" s="536"/>
      <c r="AL238" s="536"/>
      <c r="AM238" s="536"/>
      <c r="AN238" s="542">
        <f t="shared" si="82"/>
        <v>0</v>
      </c>
      <c r="AO238" s="536"/>
      <c r="AP238" s="536"/>
      <c r="AQ238" s="536"/>
      <c r="AR238" s="542">
        <f t="shared" si="83"/>
        <v>0</v>
      </c>
      <c r="AS238" s="536"/>
      <c r="AT238" s="536"/>
      <c r="AU238" s="536"/>
      <c r="AV238" s="542">
        <f t="shared" si="84"/>
        <v>0</v>
      </c>
      <c r="AW238" s="536"/>
      <c r="AX238" s="536"/>
      <c r="AY238" s="536"/>
      <c r="AZ238" s="542">
        <f t="shared" si="85"/>
        <v>0</v>
      </c>
      <c r="BA238" s="536"/>
      <c r="BB238" s="536"/>
      <c r="BC238" s="536"/>
      <c r="BD238" s="542">
        <f t="shared" si="86"/>
        <v>0</v>
      </c>
      <c r="BE238" s="536"/>
      <c r="BF238" s="536"/>
      <c r="BG238" s="536"/>
      <c r="BH238" s="542">
        <f t="shared" si="87"/>
        <v>0</v>
      </c>
      <c r="BI238" s="536"/>
      <c r="BJ238" s="536"/>
      <c r="BK238" s="536"/>
      <c r="BL238" s="542">
        <f t="shared" si="88"/>
        <v>0</v>
      </c>
      <c r="BM238" s="536"/>
      <c r="BN238" s="536"/>
      <c r="BO238" s="536"/>
      <c r="BP238" s="542">
        <f t="shared" si="89"/>
        <v>0</v>
      </c>
      <c r="BQ238" s="536"/>
      <c r="BR238" s="536"/>
      <c r="BS238" s="536"/>
      <c r="BT238" s="542">
        <f t="shared" si="90"/>
        <v>0</v>
      </c>
      <c r="BU238" s="536"/>
      <c r="BV238" s="536"/>
      <c r="BW238" s="536"/>
      <c r="BX238" s="542">
        <f t="shared" si="91"/>
        <v>0</v>
      </c>
      <c r="BY238" s="536"/>
      <c r="BZ238" s="536"/>
      <c r="CA238" s="536"/>
      <c r="CB238" s="542">
        <v>0</v>
      </c>
      <c r="CC238" s="536"/>
      <c r="CD238" s="536"/>
      <c r="CE238" s="536"/>
      <c r="CF238" s="541">
        <f t="shared" si="92"/>
        <v>0</v>
      </c>
      <c r="CG238" s="536"/>
      <c r="CH238" s="536"/>
      <c r="CI238" s="536"/>
      <c r="CJ238" s="541">
        <f t="shared" si="93"/>
        <v>0</v>
      </c>
      <c r="CK238" s="536"/>
      <c r="CL238" s="536"/>
      <c r="CM238" s="536"/>
      <c r="CN238" s="541">
        <f t="shared" si="94"/>
        <v>0</v>
      </c>
      <c r="CO238" s="536"/>
      <c r="CP238" s="536"/>
      <c r="CQ238" s="536"/>
      <c r="CR238" s="541">
        <f t="shared" si="95"/>
        <v>0</v>
      </c>
      <c r="CS238" s="536"/>
      <c r="CT238" s="536"/>
      <c r="CU238" s="536"/>
      <c r="CV238" s="541">
        <f t="shared" si="96"/>
        <v>0</v>
      </c>
      <c r="CW238" s="536"/>
      <c r="CX238" s="536"/>
      <c r="CY238" s="536"/>
      <c r="CZ238" s="541">
        <f t="shared" si="97"/>
        <v>0</v>
      </c>
      <c r="DA238" s="536"/>
      <c r="DB238" s="536"/>
      <c r="DC238" s="536"/>
      <c r="DD238" s="541">
        <f t="shared" si="98"/>
        <v>0</v>
      </c>
      <c r="DE238" s="536"/>
      <c r="DF238" s="536"/>
      <c r="DG238" s="536"/>
      <c r="DH238" s="541">
        <f t="shared" si="99"/>
        <v>0</v>
      </c>
      <c r="DI238" s="536"/>
      <c r="DJ238" s="536"/>
      <c r="DK238" s="536"/>
      <c r="DL238" s="541">
        <f t="shared" si="100"/>
        <v>0</v>
      </c>
      <c r="DM238" s="536"/>
      <c r="DN238" s="536"/>
      <c r="DO238" s="536"/>
      <c r="DP238" s="541">
        <f>IF( SUM((DJ238*(20/100))+(DK238*(30/100))+(DL238*(50/100))) &gt;=9.3,9.5,
IF(AND( SUM((DJ238*(20/100))+(DK238*(30/100))+(DL238*(50/100))) &lt;=9.3, SUM((DJ238*(20/100))+(DK238*(30/100))+(DL238*(50/100))) &gt;=8.8),9,
IF(AND( SUM((DJ238*(20/100))+(DK238*(30/100))+(DL238*(50/100))) &lt;=8.8, SUM((DJ238*(20/100))+(DK238*(30/100))+(DL238*(50/100))) &gt;=8.3),8.5,
IF(AND( SUM((DJ238*(20/100))+(DK238*(30/100))+(DL238*(50/100))) &lt;=8.3, SUM((DJ238*(20/100))+(DK238*(30/100))+(DL238*(50/100))) &gt;=7.8),8,
IF(AND( SUM((DJ238*(20/100))+(DK238*(30/100))+(DL238*(50/100))) &lt;=7.8, SUM((DJ238*(20/100))+(DK238*(30/100))+(DL238*(50/100))) &gt;=7.3),7.5,
IF(AND( SUM((DJ238*(20/100))+(DK238*(30/100))+(DL238*(50/100))) &lt;=7.3, SUM((DJ238*(20/100))+(DK238*(30/100))+(DL238*(50/100))) &gt;=6.8),7,
IF(AND( SUM((DJ238*(20/100))+(DK238*(30/100))+(DL238*(50/100))) &lt;=6.8, SUM((DJ238*(20/100))+(DK238*(30/100))+(DL238*(50/100))) &gt;=6.3),6.5,
IF(AND( SUM((DJ238*(20/100))+(DK238*(30/100))+(DL238*(50/100))) &lt;=6.3, SUM((DJ238*(20/100))+(DK238*(30/100))+(DL238*(50/100))) &gt;=5.8),6,
IF(AND( SUM((DJ238*(20/100))+(DK238*(30/100))+(DL238*(50/100))) &lt;=5.8, SUM((DJ238*(20/100))+(DK238*(30/100))+(DL238*(50/100))) &gt;=5.3),5.5,
IF(AND( SUM((DJ238*(20/100))+(DK238*(30/100))+(DL238*(50/100))) &lt;=5.3, SUM((DJ238*(20/100))+(DK238*(30/100))+(DL238*(50/100))) &gt;=4.8),5,
IF(AND( SUM((DJ238*(20/100))+(DK238*(30/100))+(DL238*(50/100))) &lt;=4.8, SUM((DJ238*(20/100))+(DK238*(30/100))+(DL238*(50/100))) &gt;=4.3),4.5,
IF(AND( SUM((DJ238*(20/100))+(DK238*(30/100))+(DL238*(50/100))) &lt;=4.3, SUM((DJ238*(20/100))+(DK238*(30/100))+(DL238*(50/100))) &gt;=3.8),4,
IF(AND( SUM((DJ238*(20/100))+(DK238*(30/100))+(DL238*(50/100))) &lt;=3.8, SUM((DJ238*(20/100))+(DK238*(30/100))+(DL238*(50/100))) &gt;=3.5),3.5,0)))))))))))))</f>
        <v>0</v>
      </c>
      <c r="DQ238" s="541"/>
      <c r="DR238" s="541"/>
      <c r="DS238" s="541"/>
      <c r="DT238" s="541"/>
      <c r="DU238" s="541"/>
      <c r="DV238" s="541"/>
      <c r="DW238" s="541"/>
      <c r="DX238" s="541"/>
      <c r="DY238" s="541"/>
      <c r="DZ238" s="541"/>
    </row>
    <row r="239" spans="2:130" x14ac:dyDescent="0.25">
      <c r="B239" s="334">
        <v>32</v>
      </c>
      <c r="C239" s="541"/>
      <c r="D239" s="334"/>
      <c r="E239" s="334"/>
      <c r="F239" s="334"/>
      <c r="G239" s="334"/>
      <c r="H239" s="334"/>
      <c r="I239" s="334"/>
      <c r="J239" s="536"/>
      <c r="K239" s="536"/>
      <c r="L239" s="536"/>
      <c r="M239" s="536"/>
      <c r="N239" s="536"/>
      <c r="O239" s="536"/>
      <c r="P239" s="536">
        <f t="shared" si="76"/>
        <v>0</v>
      </c>
      <c r="Q239" s="536"/>
      <c r="R239" s="536"/>
      <c r="S239" s="536"/>
      <c r="T239" s="536">
        <f t="shared" si="77"/>
        <v>0</v>
      </c>
      <c r="U239" s="536"/>
      <c r="V239" s="536"/>
      <c r="W239" s="536"/>
      <c r="X239" s="536">
        <f t="shared" si="78"/>
        <v>0</v>
      </c>
      <c r="Y239" s="536"/>
      <c r="Z239" s="536"/>
      <c r="AA239" s="536"/>
      <c r="AB239" s="536">
        <f t="shared" si="79"/>
        <v>0</v>
      </c>
      <c r="AC239" s="536"/>
      <c r="AD239" s="536"/>
      <c r="AE239" s="536"/>
      <c r="AF239" s="536">
        <f t="shared" si="80"/>
        <v>0</v>
      </c>
      <c r="AG239" s="536"/>
      <c r="AH239" s="536"/>
      <c r="AI239" s="536"/>
      <c r="AJ239" s="536">
        <f t="shared" si="81"/>
        <v>0</v>
      </c>
      <c r="AK239" s="536"/>
      <c r="AL239" s="536"/>
      <c r="AM239" s="536"/>
      <c r="AN239" s="542">
        <f t="shared" si="82"/>
        <v>0</v>
      </c>
      <c r="AO239" s="536"/>
      <c r="AP239" s="536"/>
      <c r="AQ239" s="536"/>
      <c r="AR239" s="542">
        <f t="shared" si="83"/>
        <v>0</v>
      </c>
      <c r="AS239" s="536"/>
      <c r="AT239" s="536"/>
      <c r="AU239" s="536"/>
      <c r="AV239" s="542">
        <f t="shared" si="84"/>
        <v>0</v>
      </c>
      <c r="AW239" s="536"/>
      <c r="AX239" s="536"/>
      <c r="AY239" s="536"/>
      <c r="AZ239" s="542">
        <f t="shared" si="85"/>
        <v>0</v>
      </c>
      <c r="BA239" s="536"/>
      <c r="BB239" s="536"/>
      <c r="BC239" s="536"/>
      <c r="BD239" s="542">
        <f t="shared" si="86"/>
        <v>0</v>
      </c>
      <c r="BE239" s="536"/>
      <c r="BF239" s="536"/>
      <c r="BG239" s="536"/>
      <c r="BH239" s="542">
        <f t="shared" si="87"/>
        <v>0</v>
      </c>
      <c r="BI239" s="536"/>
      <c r="BJ239" s="536"/>
      <c r="BK239" s="536"/>
      <c r="BL239" s="542">
        <f t="shared" si="88"/>
        <v>0</v>
      </c>
      <c r="BM239" s="536"/>
      <c r="BN239" s="536"/>
      <c r="BO239" s="536"/>
      <c r="BP239" s="542">
        <f t="shared" si="89"/>
        <v>0</v>
      </c>
      <c r="BQ239" s="536"/>
      <c r="BR239" s="536"/>
      <c r="BS239" s="536"/>
      <c r="BT239" s="542">
        <f t="shared" si="90"/>
        <v>0</v>
      </c>
      <c r="BU239" s="536"/>
      <c r="BV239" s="536"/>
      <c r="BW239" s="536"/>
      <c r="BX239" s="542">
        <f t="shared" si="91"/>
        <v>0</v>
      </c>
      <c r="BY239" s="536"/>
      <c r="BZ239" s="536"/>
      <c r="CA239" s="536"/>
      <c r="CB239" s="542">
        <v>0</v>
      </c>
      <c r="CC239" s="536"/>
      <c r="CD239" s="536"/>
      <c r="CE239" s="536"/>
      <c r="CF239" s="541">
        <f t="shared" si="92"/>
        <v>0</v>
      </c>
      <c r="CG239" s="536"/>
      <c r="CH239" s="536"/>
      <c r="CI239" s="536"/>
      <c r="CJ239" s="541">
        <f t="shared" si="93"/>
        <v>0</v>
      </c>
      <c r="CK239" s="536"/>
      <c r="CL239" s="536"/>
      <c r="CM239" s="536"/>
      <c r="CN239" s="541">
        <f t="shared" si="94"/>
        <v>0</v>
      </c>
      <c r="CO239" s="536"/>
      <c r="CP239" s="536"/>
      <c r="CQ239" s="536"/>
      <c r="CR239" s="541">
        <f t="shared" si="95"/>
        <v>0</v>
      </c>
      <c r="CS239" s="536"/>
      <c r="CT239" s="536"/>
      <c r="CU239" s="536"/>
      <c r="CV239" s="541">
        <f t="shared" si="96"/>
        <v>0</v>
      </c>
      <c r="CW239" s="536"/>
      <c r="CX239" s="536"/>
      <c r="CY239" s="536"/>
      <c r="CZ239" s="541">
        <f t="shared" si="97"/>
        <v>0</v>
      </c>
      <c r="DA239" s="536"/>
      <c r="DB239" s="536"/>
      <c r="DC239" s="536"/>
      <c r="DD239" s="541">
        <f t="shared" si="98"/>
        <v>0</v>
      </c>
      <c r="DE239" s="536"/>
      <c r="DF239" s="536"/>
      <c r="DG239" s="536"/>
      <c r="DH239" s="541">
        <f t="shared" si="99"/>
        <v>0</v>
      </c>
      <c r="DI239" s="536"/>
      <c r="DJ239" s="536"/>
      <c r="DK239" s="536"/>
      <c r="DL239" s="541">
        <f t="shared" si="100"/>
        <v>0</v>
      </c>
      <c r="DM239" s="536"/>
      <c r="DN239" s="536"/>
      <c r="DO239" s="536"/>
      <c r="DP239" s="541">
        <f>IF( SUM((DJ239*(20/100))+(DK239*(30/100))+(DL239*(50/100))) &gt;=9.3,9.5,
IF(AND( SUM((DJ239*(20/100))+(DK239*(30/100))+(DL239*(50/100))) &lt;=9.3, SUM((DJ239*(20/100))+(DK239*(30/100))+(DL239*(50/100))) &gt;=8.8),9,
IF(AND( SUM((DJ239*(20/100))+(DK239*(30/100))+(DL239*(50/100))) &lt;=8.8, SUM((DJ239*(20/100))+(DK239*(30/100))+(DL239*(50/100))) &gt;=8.3),8.5,
IF(AND( SUM((DJ239*(20/100))+(DK239*(30/100))+(DL239*(50/100))) &lt;=8.3, SUM((DJ239*(20/100))+(DK239*(30/100))+(DL239*(50/100))) &gt;=7.8),8,
IF(AND( SUM((DJ239*(20/100))+(DK239*(30/100))+(DL239*(50/100))) &lt;=7.8, SUM((DJ239*(20/100))+(DK239*(30/100))+(DL239*(50/100))) &gt;=7.3),7.5,
IF(AND( SUM((DJ239*(20/100))+(DK239*(30/100))+(DL239*(50/100))) &lt;=7.3, SUM((DJ239*(20/100))+(DK239*(30/100))+(DL239*(50/100))) &gt;=6.8),7,
IF(AND( SUM((DJ239*(20/100))+(DK239*(30/100))+(DL239*(50/100))) &lt;=6.8, SUM((DJ239*(20/100))+(DK239*(30/100))+(DL239*(50/100))) &gt;=6.3),6.5,
IF(AND( SUM((DJ239*(20/100))+(DK239*(30/100))+(DL239*(50/100))) &lt;=6.3, SUM((DJ239*(20/100))+(DK239*(30/100))+(DL239*(50/100))) &gt;=5.8),6,
IF(AND( SUM((DJ239*(20/100))+(DK239*(30/100))+(DL239*(50/100))) &lt;=5.8, SUM((DJ239*(20/100))+(DK239*(30/100))+(DL239*(50/100))) &gt;=5.3),5.5,
IF(AND( SUM((DJ239*(20/100))+(DK239*(30/100))+(DL239*(50/100))) &lt;=5.3, SUM((DJ239*(20/100))+(DK239*(30/100))+(DL239*(50/100))) &gt;=4.8),5,
IF(AND( SUM((DJ239*(20/100))+(DK239*(30/100))+(DL239*(50/100))) &lt;=4.8, SUM((DJ239*(20/100))+(DK239*(30/100))+(DL239*(50/100))) &gt;=4.3),4.5,
IF(AND( SUM((DJ239*(20/100))+(DK239*(30/100))+(DL239*(50/100))) &lt;=4.3, SUM((DJ239*(20/100))+(DK239*(30/100))+(DL239*(50/100))) &gt;=3.8),4,
IF(AND( SUM((DJ239*(20/100))+(DK239*(30/100))+(DL239*(50/100))) &lt;=3.8, SUM((DJ239*(20/100))+(DK239*(30/100))+(DL239*(50/100))) &gt;=3.5),3.5,0)))))))))))))</f>
        <v>0</v>
      </c>
      <c r="DQ239" s="541"/>
      <c r="DR239" s="541"/>
      <c r="DS239" s="541"/>
      <c r="DT239" s="541"/>
      <c r="DU239" s="541"/>
      <c r="DV239" s="541"/>
      <c r="DW239" s="541"/>
      <c r="DX239" s="541"/>
      <c r="DY239" s="541"/>
      <c r="DZ239" s="541"/>
    </row>
    <row r="240" spans="2:130" x14ac:dyDescent="0.25">
      <c r="B240" s="334">
        <v>33</v>
      </c>
      <c r="C240" s="541"/>
      <c r="D240" s="334"/>
      <c r="E240" s="334"/>
      <c r="F240" s="334"/>
      <c r="G240" s="334"/>
      <c r="H240" s="334"/>
      <c r="I240" s="334"/>
      <c r="J240" s="536"/>
      <c r="K240" s="536"/>
      <c r="L240" s="536"/>
      <c r="M240" s="536"/>
      <c r="N240" s="536"/>
      <c r="O240" s="536"/>
      <c r="P240" s="536">
        <f t="shared" si="76"/>
        <v>0</v>
      </c>
      <c r="Q240" s="536"/>
      <c r="R240" s="536"/>
      <c r="S240" s="536"/>
      <c r="T240" s="536">
        <f t="shared" si="77"/>
        <v>0</v>
      </c>
      <c r="U240" s="536"/>
      <c r="V240" s="536"/>
      <c r="W240" s="536"/>
      <c r="X240" s="536">
        <f t="shared" si="78"/>
        <v>0</v>
      </c>
      <c r="Y240" s="536"/>
      <c r="Z240" s="536"/>
      <c r="AA240" s="536"/>
      <c r="AB240" s="536">
        <f t="shared" si="79"/>
        <v>0</v>
      </c>
      <c r="AC240" s="536"/>
      <c r="AD240" s="536"/>
      <c r="AE240" s="536"/>
      <c r="AF240" s="536">
        <f t="shared" si="80"/>
        <v>0</v>
      </c>
      <c r="AG240" s="536"/>
      <c r="AH240" s="536"/>
      <c r="AI240" s="536"/>
      <c r="AJ240" s="536">
        <f t="shared" si="81"/>
        <v>0</v>
      </c>
      <c r="AK240" s="536"/>
      <c r="AL240" s="536"/>
      <c r="AM240" s="536"/>
      <c r="AN240" s="542">
        <f t="shared" si="82"/>
        <v>0</v>
      </c>
      <c r="AO240" s="536"/>
      <c r="AP240" s="536"/>
      <c r="AQ240" s="536"/>
      <c r="AR240" s="542">
        <f t="shared" si="83"/>
        <v>0</v>
      </c>
      <c r="AS240" s="536"/>
      <c r="AT240" s="536"/>
      <c r="AU240" s="536"/>
      <c r="AV240" s="542">
        <f t="shared" si="84"/>
        <v>0</v>
      </c>
      <c r="AW240" s="536"/>
      <c r="AX240" s="536"/>
      <c r="AY240" s="536"/>
      <c r="AZ240" s="542">
        <f t="shared" si="85"/>
        <v>0</v>
      </c>
      <c r="BA240" s="536"/>
      <c r="BB240" s="536"/>
      <c r="BC240" s="536"/>
      <c r="BD240" s="542">
        <f t="shared" si="86"/>
        <v>0</v>
      </c>
      <c r="BE240" s="536"/>
      <c r="BF240" s="536"/>
      <c r="BG240" s="536"/>
      <c r="BH240" s="542">
        <f t="shared" si="87"/>
        <v>0</v>
      </c>
      <c r="BI240" s="536"/>
      <c r="BJ240" s="536"/>
      <c r="BK240" s="536"/>
      <c r="BL240" s="542">
        <f t="shared" si="88"/>
        <v>0</v>
      </c>
      <c r="BM240" s="536"/>
      <c r="BN240" s="536"/>
      <c r="BO240" s="536"/>
      <c r="BP240" s="542">
        <f t="shared" si="89"/>
        <v>0</v>
      </c>
      <c r="BQ240" s="536"/>
      <c r="BR240" s="536"/>
      <c r="BS240" s="536"/>
      <c r="BT240" s="542">
        <f t="shared" si="90"/>
        <v>0</v>
      </c>
      <c r="BU240" s="536"/>
      <c r="BV240" s="536"/>
      <c r="BW240" s="536"/>
      <c r="BX240" s="542">
        <f t="shared" si="91"/>
        <v>0</v>
      </c>
      <c r="BY240" s="536"/>
      <c r="BZ240" s="536"/>
      <c r="CA240" s="536"/>
      <c r="CB240" s="542">
        <v>0</v>
      </c>
      <c r="CC240" s="536"/>
      <c r="CD240" s="536"/>
      <c r="CE240" s="536"/>
      <c r="CF240" s="541">
        <f t="shared" si="92"/>
        <v>0</v>
      </c>
      <c r="CG240" s="536"/>
      <c r="CH240" s="536"/>
      <c r="CI240" s="536"/>
      <c r="CJ240" s="541">
        <f t="shared" si="93"/>
        <v>0</v>
      </c>
      <c r="CK240" s="536"/>
      <c r="CL240" s="536"/>
      <c r="CM240" s="536"/>
      <c r="CN240" s="541">
        <f t="shared" si="94"/>
        <v>0</v>
      </c>
      <c r="CO240" s="536"/>
      <c r="CP240" s="536"/>
      <c r="CQ240" s="536"/>
      <c r="CR240" s="541">
        <f t="shared" si="95"/>
        <v>0</v>
      </c>
      <c r="CS240" s="536"/>
      <c r="CT240" s="536"/>
      <c r="CU240" s="536"/>
      <c r="CV240" s="541">
        <f t="shared" si="96"/>
        <v>0</v>
      </c>
      <c r="CW240" s="536"/>
      <c r="CX240" s="536"/>
      <c r="CY240" s="536"/>
      <c r="CZ240" s="541">
        <f t="shared" si="97"/>
        <v>0</v>
      </c>
      <c r="DA240" s="536"/>
      <c r="DB240" s="536"/>
      <c r="DC240" s="536"/>
      <c r="DD240" s="541">
        <f t="shared" si="98"/>
        <v>0</v>
      </c>
      <c r="DE240" s="536"/>
      <c r="DF240" s="536"/>
      <c r="DG240" s="536"/>
      <c r="DH240" s="541">
        <f t="shared" si="99"/>
        <v>0</v>
      </c>
      <c r="DI240" s="536"/>
      <c r="DJ240" s="536"/>
      <c r="DK240" s="536"/>
      <c r="DL240" s="541">
        <f t="shared" si="100"/>
        <v>0</v>
      </c>
      <c r="DM240" s="536"/>
      <c r="DN240" s="536"/>
      <c r="DO240" s="536"/>
      <c r="DP240" s="541">
        <f>IF( SUM((DJ240*(20/100))+(DK240*(30/100))+(DL240*(50/100))) &gt;=9.3,9.5,
IF(AND( SUM((DJ240*(20/100))+(DK240*(30/100))+(DL240*(50/100))) &lt;=9.3, SUM((DJ240*(20/100))+(DK240*(30/100))+(DL240*(50/100))) &gt;=8.8),9,
IF(AND( SUM((DJ240*(20/100))+(DK240*(30/100))+(DL240*(50/100))) &lt;=8.8, SUM((DJ240*(20/100))+(DK240*(30/100))+(DL240*(50/100))) &gt;=8.3),8.5,
IF(AND( SUM((DJ240*(20/100))+(DK240*(30/100))+(DL240*(50/100))) &lt;=8.3, SUM((DJ240*(20/100))+(DK240*(30/100))+(DL240*(50/100))) &gt;=7.8),8,
IF(AND( SUM((DJ240*(20/100))+(DK240*(30/100))+(DL240*(50/100))) &lt;=7.8, SUM((DJ240*(20/100))+(DK240*(30/100))+(DL240*(50/100))) &gt;=7.3),7.5,
IF(AND( SUM((DJ240*(20/100))+(DK240*(30/100))+(DL240*(50/100))) &lt;=7.3, SUM((DJ240*(20/100))+(DK240*(30/100))+(DL240*(50/100))) &gt;=6.8),7,
IF(AND( SUM((DJ240*(20/100))+(DK240*(30/100))+(DL240*(50/100))) &lt;=6.8, SUM((DJ240*(20/100))+(DK240*(30/100))+(DL240*(50/100))) &gt;=6.3),6.5,
IF(AND( SUM((DJ240*(20/100))+(DK240*(30/100))+(DL240*(50/100))) &lt;=6.3, SUM((DJ240*(20/100))+(DK240*(30/100))+(DL240*(50/100))) &gt;=5.8),6,
IF(AND( SUM((DJ240*(20/100))+(DK240*(30/100))+(DL240*(50/100))) &lt;=5.8, SUM((DJ240*(20/100))+(DK240*(30/100))+(DL240*(50/100))) &gt;=5.3),5.5,
IF(AND( SUM((DJ240*(20/100))+(DK240*(30/100))+(DL240*(50/100))) &lt;=5.3, SUM((DJ240*(20/100))+(DK240*(30/100))+(DL240*(50/100))) &gt;=4.8),5,
IF(AND( SUM((DJ240*(20/100))+(DK240*(30/100))+(DL240*(50/100))) &lt;=4.8, SUM((DJ240*(20/100))+(DK240*(30/100))+(DL240*(50/100))) &gt;=4.3),4.5,
IF(AND( SUM((DJ240*(20/100))+(DK240*(30/100))+(DL240*(50/100))) &lt;=4.3, SUM((DJ240*(20/100))+(DK240*(30/100))+(DL240*(50/100))) &gt;=3.8),4,
IF(AND( SUM((DJ240*(20/100))+(DK240*(30/100))+(DL240*(50/100))) &lt;=3.8, SUM((DJ240*(20/100))+(DK240*(30/100))+(DL240*(50/100))) &gt;=3.5),3.5,0)))))))))))))</f>
        <v>0</v>
      </c>
      <c r="DQ240" s="541"/>
      <c r="DR240" s="541"/>
      <c r="DS240" s="541"/>
      <c r="DT240" s="541"/>
      <c r="DU240" s="541"/>
      <c r="DV240" s="541"/>
      <c r="DW240" s="541"/>
      <c r="DX240" s="541"/>
      <c r="DY240" s="541"/>
      <c r="DZ240" s="541"/>
    </row>
    <row r="241" spans="2:130" x14ac:dyDescent="0.25">
      <c r="B241" s="334">
        <v>34</v>
      </c>
      <c r="C241" s="541"/>
      <c r="D241" s="334"/>
      <c r="E241" s="334"/>
      <c r="F241" s="334"/>
      <c r="G241" s="334"/>
      <c r="H241" s="334"/>
      <c r="I241" s="334"/>
      <c r="J241" s="536"/>
      <c r="K241" s="536"/>
      <c r="L241" s="536"/>
      <c r="M241" s="536"/>
      <c r="N241" s="536"/>
      <c r="O241" s="536"/>
      <c r="P241" s="536">
        <f t="shared" si="76"/>
        <v>0</v>
      </c>
      <c r="Q241" s="536"/>
      <c r="R241" s="536"/>
      <c r="S241" s="536"/>
      <c r="T241" s="536">
        <f t="shared" si="77"/>
        <v>0</v>
      </c>
      <c r="U241" s="536"/>
      <c r="V241" s="536"/>
      <c r="W241" s="536"/>
      <c r="X241" s="536">
        <f t="shared" si="78"/>
        <v>0</v>
      </c>
      <c r="Y241" s="536"/>
      <c r="Z241" s="536"/>
      <c r="AA241" s="536"/>
      <c r="AB241" s="536">
        <f t="shared" si="79"/>
        <v>0</v>
      </c>
      <c r="AC241" s="536"/>
      <c r="AD241" s="536"/>
      <c r="AE241" s="536"/>
      <c r="AF241" s="536">
        <f t="shared" si="80"/>
        <v>0</v>
      </c>
      <c r="AG241" s="536"/>
      <c r="AH241" s="536"/>
      <c r="AI241" s="536"/>
      <c r="AJ241" s="536">
        <f t="shared" si="81"/>
        <v>0</v>
      </c>
      <c r="AK241" s="536"/>
      <c r="AL241" s="536"/>
      <c r="AM241" s="536"/>
      <c r="AN241" s="542">
        <f t="shared" si="82"/>
        <v>0</v>
      </c>
      <c r="AO241" s="536"/>
      <c r="AP241" s="536"/>
      <c r="AQ241" s="536"/>
      <c r="AR241" s="542">
        <f t="shared" si="83"/>
        <v>0</v>
      </c>
      <c r="AS241" s="536"/>
      <c r="AT241" s="536"/>
      <c r="AU241" s="536"/>
      <c r="AV241" s="542">
        <f t="shared" si="84"/>
        <v>0</v>
      </c>
      <c r="AW241" s="536"/>
      <c r="AX241" s="536"/>
      <c r="AY241" s="536"/>
      <c r="AZ241" s="542">
        <f t="shared" si="85"/>
        <v>0</v>
      </c>
      <c r="BA241" s="536"/>
      <c r="BB241" s="536"/>
      <c r="BC241" s="536"/>
      <c r="BD241" s="542">
        <f t="shared" si="86"/>
        <v>0</v>
      </c>
      <c r="BE241" s="536"/>
      <c r="BF241" s="536"/>
      <c r="BG241" s="536"/>
      <c r="BH241" s="542">
        <f t="shared" si="87"/>
        <v>0</v>
      </c>
      <c r="BI241" s="536"/>
      <c r="BJ241" s="536"/>
      <c r="BK241" s="536"/>
      <c r="BL241" s="542">
        <f t="shared" si="88"/>
        <v>0</v>
      </c>
      <c r="BM241" s="536"/>
      <c r="BN241" s="536"/>
      <c r="BO241" s="536"/>
      <c r="BP241" s="542">
        <f t="shared" si="89"/>
        <v>0</v>
      </c>
      <c r="BQ241" s="536"/>
      <c r="BR241" s="536"/>
      <c r="BS241" s="536"/>
      <c r="BT241" s="542">
        <f t="shared" si="90"/>
        <v>0</v>
      </c>
      <c r="BU241" s="536"/>
      <c r="BV241" s="536"/>
      <c r="BW241" s="536"/>
      <c r="BX241" s="542">
        <f t="shared" si="91"/>
        <v>0</v>
      </c>
      <c r="BY241" s="536"/>
      <c r="BZ241" s="536"/>
      <c r="CA241" s="536"/>
      <c r="CB241" s="542">
        <v>0</v>
      </c>
      <c r="CC241" s="536"/>
      <c r="CD241" s="536"/>
      <c r="CE241" s="536"/>
      <c r="CF241" s="541">
        <f t="shared" si="92"/>
        <v>0</v>
      </c>
      <c r="CG241" s="536"/>
      <c r="CH241" s="536"/>
      <c r="CI241" s="536"/>
      <c r="CJ241" s="541">
        <f t="shared" si="93"/>
        <v>0</v>
      </c>
      <c r="CK241" s="536"/>
      <c r="CL241" s="536"/>
      <c r="CM241" s="536"/>
      <c r="CN241" s="541">
        <f t="shared" si="94"/>
        <v>0</v>
      </c>
      <c r="CO241" s="536"/>
      <c r="CP241" s="536"/>
      <c r="CQ241" s="536"/>
      <c r="CR241" s="541">
        <f t="shared" si="95"/>
        <v>0</v>
      </c>
      <c r="CS241" s="536"/>
      <c r="CT241" s="536"/>
      <c r="CU241" s="536"/>
      <c r="CV241" s="541">
        <f t="shared" si="96"/>
        <v>0</v>
      </c>
      <c r="CW241" s="536"/>
      <c r="CX241" s="536"/>
      <c r="CY241" s="536"/>
      <c r="CZ241" s="541">
        <f t="shared" si="97"/>
        <v>0</v>
      </c>
      <c r="DA241" s="536"/>
      <c r="DB241" s="536"/>
      <c r="DC241" s="536"/>
      <c r="DD241" s="541">
        <f t="shared" si="98"/>
        <v>0</v>
      </c>
      <c r="DE241" s="536"/>
      <c r="DF241" s="536"/>
      <c r="DG241" s="536"/>
      <c r="DH241" s="541">
        <f t="shared" si="99"/>
        <v>0</v>
      </c>
      <c r="DI241" s="536"/>
      <c r="DJ241" s="536"/>
      <c r="DK241" s="536"/>
      <c r="DL241" s="541">
        <f t="shared" si="100"/>
        <v>0</v>
      </c>
      <c r="DM241" s="536"/>
      <c r="DN241" s="536"/>
      <c r="DO241" s="536"/>
      <c r="DP241" s="541">
        <f>IF( SUM((DJ241*(20/100))+(DK241*(30/100))+(DL241*(50/100))) &gt;=9.3,9.5,
IF(AND( SUM((DJ241*(20/100))+(DK241*(30/100))+(DL241*(50/100))) &lt;=9.3, SUM((DJ241*(20/100))+(DK241*(30/100))+(DL241*(50/100))) &gt;=8.8),9,
IF(AND( SUM((DJ241*(20/100))+(DK241*(30/100))+(DL241*(50/100))) &lt;=8.8, SUM((DJ241*(20/100))+(DK241*(30/100))+(DL241*(50/100))) &gt;=8.3),8.5,
IF(AND( SUM((DJ241*(20/100))+(DK241*(30/100))+(DL241*(50/100))) &lt;=8.3, SUM((DJ241*(20/100))+(DK241*(30/100))+(DL241*(50/100))) &gt;=7.8),8,
IF(AND( SUM((DJ241*(20/100))+(DK241*(30/100))+(DL241*(50/100))) &lt;=7.8, SUM((DJ241*(20/100))+(DK241*(30/100))+(DL241*(50/100))) &gt;=7.3),7.5,
IF(AND( SUM((DJ241*(20/100))+(DK241*(30/100))+(DL241*(50/100))) &lt;=7.3, SUM((DJ241*(20/100))+(DK241*(30/100))+(DL241*(50/100))) &gt;=6.8),7,
IF(AND( SUM((DJ241*(20/100))+(DK241*(30/100))+(DL241*(50/100))) &lt;=6.8, SUM((DJ241*(20/100))+(DK241*(30/100))+(DL241*(50/100))) &gt;=6.3),6.5,
IF(AND( SUM((DJ241*(20/100))+(DK241*(30/100))+(DL241*(50/100))) &lt;=6.3, SUM((DJ241*(20/100))+(DK241*(30/100))+(DL241*(50/100))) &gt;=5.8),6,
IF(AND( SUM((DJ241*(20/100))+(DK241*(30/100))+(DL241*(50/100))) &lt;=5.8, SUM((DJ241*(20/100))+(DK241*(30/100))+(DL241*(50/100))) &gt;=5.3),5.5,
IF(AND( SUM((DJ241*(20/100))+(DK241*(30/100))+(DL241*(50/100))) &lt;=5.3, SUM((DJ241*(20/100))+(DK241*(30/100))+(DL241*(50/100))) &gt;=4.8),5,
IF(AND( SUM((DJ241*(20/100))+(DK241*(30/100))+(DL241*(50/100))) &lt;=4.8, SUM((DJ241*(20/100))+(DK241*(30/100))+(DL241*(50/100))) &gt;=4.3),4.5,
IF(AND( SUM((DJ241*(20/100))+(DK241*(30/100))+(DL241*(50/100))) &lt;=4.3, SUM((DJ241*(20/100))+(DK241*(30/100))+(DL241*(50/100))) &gt;=3.8),4,
IF(AND( SUM((DJ241*(20/100))+(DK241*(30/100))+(DL241*(50/100))) &lt;=3.8, SUM((DJ241*(20/100))+(DK241*(30/100))+(DL241*(50/100))) &gt;=3.5),3.5,0)))))))))))))</f>
        <v>0</v>
      </c>
      <c r="DQ241" s="541"/>
      <c r="DR241" s="541"/>
      <c r="DS241" s="541"/>
      <c r="DT241" s="541"/>
      <c r="DU241" s="541"/>
      <c r="DV241" s="541"/>
      <c r="DW241" s="541"/>
      <c r="DX241" s="541"/>
      <c r="DY241" s="541"/>
      <c r="DZ241" s="541"/>
    </row>
    <row r="242" spans="2:130" x14ac:dyDescent="0.25">
      <c r="B242" s="334">
        <v>35</v>
      </c>
      <c r="C242" s="541"/>
      <c r="D242" s="334"/>
      <c r="E242" s="334"/>
      <c r="F242" s="334"/>
      <c r="G242" s="334"/>
      <c r="H242" s="334"/>
      <c r="I242" s="334"/>
      <c r="J242" s="536"/>
      <c r="K242" s="536"/>
      <c r="L242" s="536"/>
      <c r="M242" s="536"/>
      <c r="N242" s="536"/>
      <c r="O242" s="536"/>
      <c r="P242" s="536">
        <f t="shared" si="76"/>
        <v>0</v>
      </c>
      <c r="Q242" s="536"/>
      <c r="R242" s="536"/>
      <c r="S242" s="536"/>
      <c r="T242" s="536">
        <f t="shared" si="77"/>
        <v>0</v>
      </c>
      <c r="U242" s="536"/>
      <c r="V242" s="536"/>
      <c r="W242" s="536"/>
      <c r="X242" s="536">
        <f t="shared" si="78"/>
        <v>0</v>
      </c>
      <c r="Y242" s="536"/>
      <c r="Z242" s="536"/>
      <c r="AA242" s="536"/>
      <c r="AB242" s="536">
        <f t="shared" si="79"/>
        <v>0</v>
      </c>
      <c r="AC242" s="536"/>
      <c r="AD242" s="536"/>
      <c r="AE242" s="536"/>
      <c r="AF242" s="536">
        <f t="shared" si="80"/>
        <v>0</v>
      </c>
      <c r="AG242" s="536"/>
      <c r="AH242" s="536"/>
      <c r="AI242" s="536"/>
      <c r="AJ242" s="536">
        <f t="shared" si="81"/>
        <v>0</v>
      </c>
      <c r="AK242" s="536"/>
      <c r="AL242" s="536"/>
      <c r="AM242" s="536"/>
      <c r="AN242" s="542">
        <f t="shared" si="82"/>
        <v>0</v>
      </c>
      <c r="AO242" s="536"/>
      <c r="AP242" s="536"/>
      <c r="AQ242" s="536"/>
      <c r="AR242" s="542">
        <f t="shared" si="83"/>
        <v>0</v>
      </c>
      <c r="AS242" s="536"/>
      <c r="AT242" s="536"/>
      <c r="AU242" s="536"/>
      <c r="AV242" s="542">
        <f t="shared" si="84"/>
        <v>0</v>
      </c>
      <c r="AW242" s="536"/>
      <c r="AX242" s="536"/>
      <c r="AY242" s="536"/>
      <c r="AZ242" s="542">
        <f t="shared" si="85"/>
        <v>0</v>
      </c>
      <c r="BA242" s="536"/>
      <c r="BB242" s="536"/>
      <c r="BC242" s="536"/>
      <c r="BD242" s="542">
        <f t="shared" si="86"/>
        <v>0</v>
      </c>
      <c r="BE242" s="536"/>
      <c r="BF242" s="536"/>
      <c r="BG242" s="536"/>
      <c r="BH242" s="542">
        <f t="shared" si="87"/>
        <v>0</v>
      </c>
      <c r="BI242" s="536"/>
      <c r="BJ242" s="536"/>
      <c r="BK242" s="536"/>
      <c r="BL242" s="542">
        <f t="shared" si="88"/>
        <v>0</v>
      </c>
      <c r="BM242" s="536"/>
      <c r="BN242" s="536"/>
      <c r="BO242" s="536"/>
      <c r="BP242" s="542">
        <f t="shared" si="89"/>
        <v>0</v>
      </c>
      <c r="BQ242" s="536"/>
      <c r="BR242" s="536"/>
      <c r="BS242" s="536"/>
      <c r="BT242" s="542">
        <f t="shared" si="90"/>
        <v>0</v>
      </c>
      <c r="BU242" s="536"/>
      <c r="BV242" s="536"/>
      <c r="BW242" s="536"/>
      <c r="BX242" s="542">
        <f t="shared" si="91"/>
        <v>0</v>
      </c>
      <c r="BY242" s="536"/>
      <c r="BZ242" s="536"/>
      <c r="CA242" s="536"/>
      <c r="CB242" s="542">
        <v>0</v>
      </c>
      <c r="CC242" s="536"/>
      <c r="CD242" s="536"/>
      <c r="CE242" s="536"/>
      <c r="CF242" s="541">
        <f t="shared" si="92"/>
        <v>0</v>
      </c>
      <c r="CG242" s="536"/>
      <c r="CH242" s="536"/>
      <c r="CI242" s="536"/>
      <c r="CJ242" s="541">
        <f t="shared" si="93"/>
        <v>0</v>
      </c>
      <c r="CK242" s="536"/>
      <c r="CL242" s="536"/>
      <c r="CM242" s="536"/>
      <c r="CN242" s="541">
        <f t="shared" si="94"/>
        <v>0</v>
      </c>
      <c r="CO242" s="536"/>
      <c r="CP242" s="536"/>
      <c r="CQ242" s="536"/>
      <c r="CR242" s="541">
        <f t="shared" si="95"/>
        <v>0</v>
      </c>
      <c r="CS242" s="536"/>
      <c r="CT242" s="536"/>
      <c r="CU242" s="536"/>
      <c r="CV242" s="541">
        <f t="shared" si="96"/>
        <v>0</v>
      </c>
      <c r="CW242" s="536"/>
      <c r="CX242" s="536"/>
      <c r="CY242" s="536"/>
      <c r="CZ242" s="541">
        <f t="shared" si="97"/>
        <v>0</v>
      </c>
      <c r="DA242" s="536"/>
      <c r="DB242" s="536"/>
      <c r="DC242" s="536"/>
      <c r="DD242" s="541">
        <f t="shared" si="98"/>
        <v>0</v>
      </c>
      <c r="DE242" s="536"/>
      <c r="DF242" s="536"/>
      <c r="DG242" s="536"/>
      <c r="DH242" s="541">
        <f t="shared" si="99"/>
        <v>0</v>
      </c>
      <c r="DI242" s="536"/>
      <c r="DJ242" s="536"/>
      <c r="DK242" s="536"/>
      <c r="DL242" s="541">
        <f t="shared" si="100"/>
        <v>0</v>
      </c>
      <c r="DM242" s="536"/>
      <c r="DN242" s="536"/>
      <c r="DO242" s="536"/>
      <c r="DP242" s="541">
        <f>IF( SUM((DJ242*(20/100))+(DK242*(30/100))+(DL242*(50/100))) &gt;=9.3,9.5,
IF(AND( SUM((DJ242*(20/100))+(DK242*(30/100))+(DL242*(50/100))) &lt;=9.3, SUM((DJ242*(20/100))+(DK242*(30/100))+(DL242*(50/100))) &gt;=8.8),9,
IF(AND( SUM((DJ242*(20/100))+(DK242*(30/100))+(DL242*(50/100))) &lt;=8.8, SUM((DJ242*(20/100))+(DK242*(30/100))+(DL242*(50/100))) &gt;=8.3),8.5,
IF(AND( SUM((DJ242*(20/100))+(DK242*(30/100))+(DL242*(50/100))) &lt;=8.3, SUM((DJ242*(20/100))+(DK242*(30/100))+(DL242*(50/100))) &gt;=7.8),8,
IF(AND( SUM((DJ242*(20/100))+(DK242*(30/100))+(DL242*(50/100))) &lt;=7.8, SUM((DJ242*(20/100))+(DK242*(30/100))+(DL242*(50/100))) &gt;=7.3),7.5,
IF(AND( SUM((DJ242*(20/100))+(DK242*(30/100))+(DL242*(50/100))) &lt;=7.3, SUM((DJ242*(20/100))+(DK242*(30/100))+(DL242*(50/100))) &gt;=6.8),7,
IF(AND( SUM((DJ242*(20/100))+(DK242*(30/100))+(DL242*(50/100))) &lt;=6.8, SUM((DJ242*(20/100))+(DK242*(30/100))+(DL242*(50/100))) &gt;=6.3),6.5,
IF(AND( SUM((DJ242*(20/100))+(DK242*(30/100))+(DL242*(50/100))) &lt;=6.3, SUM((DJ242*(20/100))+(DK242*(30/100))+(DL242*(50/100))) &gt;=5.8),6,
IF(AND( SUM((DJ242*(20/100))+(DK242*(30/100))+(DL242*(50/100))) &lt;=5.8, SUM((DJ242*(20/100))+(DK242*(30/100))+(DL242*(50/100))) &gt;=5.3),5.5,
IF(AND( SUM((DJ242*(20/100))+(DK242*(30/100))+(DL242*(50/100))) &lt;=5.3, SUM((DJ242*(20/100))+(DK242*(30/100))+(DL242*(50/100))) &gt;=4.8),5,
IF(AND( SUM((DJ242*(20/100))+(DK242*(30/100))+(DL242*(50/100))) &lt;=4.8, SUM((DJ242*(20/100))+(DK242*(30/100))+(DL242*(50/100))) &gt;=4.3),4.5,
IF(AND( SUM((DJ242*(20/100))+(DK242*(30/100))+(DL242*(50/100))) &lt;=4.3, SUM((DJ242*(20/100))+(DK242*(30/100))+(DL242*(50/100))) &gt;=3.8),4,
IF(AND( SUM((DJ242*(20/100))+(DK242*(30/100))+(DL242*(50/100))) &lt;=3.8, SUM((DJ242*(20/100))+(DK242*(30/100))+(DL242*(50/100))) &gt;=3.5),3.5,0)))))))))))))</f>
        <v>0</v>
      </c>
      <c r="DQ242" s="541"/>
      <c r="DR242" s="541"/>
      <c r="DS242" s="541"/>
      <c r="DT242" s="541"/>
      <c r="DU242" s="541"/>
      <c r="DV242" s="541"/>
      <c r="DW242" s="541"/>
      <c r="DX242" s="541"/>
      <c r="DY242" s="541"/>
      <c r="DZ242" s="541"/>
    </row>
    <row r="243" spans="2:130" x14ac:dyDescent="0.25">
      <c r="B243" s="334">
        <v>36</v>
      </c>
      <c r="C243" s="541"/>
      <c r="D243" s="334"/>
      <c r="E243" s="334"/>
      <c r="F243" s="334"/>
      <c r="G243" s="334"/>
      <c r="H243" s="334"/>
      <c r="I243" s="334"/>
      <c r="J243" s="536"/>
      <c r="K243" s="536"/>
      <c r="L243" s="536"/>
      <c r="M243" s="536"/>
      <c r="N243" s="536"/>
      <c r="O243" s="536"/>
      <c r="P243" s="536">
        <f t="shared" si="76"/>
        <v>0</v>
      </c>
      <c r="Q243" s="536"/>
      <c r="R243" s="536"/>
      <c r="S243" s="536"/>
      <c r="T243" s="536">
        <f t="shared" si="77"/>
        <v>0</v>
      </c>
      <c r="U243" s="536"/>
      <c r="V243" s="536"/>
      <c r="W243" s="536"/>
      <c r="X243" s="536">
        <f t="shared" si="78"/>
        <v>0</v>
      </c>
      <c r="Y243" s="536"/>
      <c r="Z243" s="536"/>
      <c r="AA243" s="536"/>
      <c r="AB243" s="536">
        <f t="shared" si="79"/>
        <v>0</v>
      </c>
      <c r="AC243" s="536"/>
      <c r="AD243" s="536"/>
      <c r="AE243" s="536"/>
      <c r="AF243" s="536">
        <f t="shared" si="80"/>
        <v>0</v>
      </c>
      <c r="AG243" s="536"/>
      <c r="AH243" s="536"/>
      <c r="AI243" s="536"/>
      <c r="AJ243" s="536">
        <f t="shared" si="81"/>
        <v>0</v>
      </c>
      <c r="AK243" s="536"/>
      <c r="AL243" s="536"/>
      <c r="AM243" s="536"/>
      <c r="AN243" s="542">
        <f t="shared" si="82"/>
        <v>0</v>
      </c>
      <c r="AO243" s="536"/>
      <c r="AP243" s="536"/>
      <c r="AQ243" s="536"/>
      <c r="AR243" s="542">
        <f t="shared" si="83"/>
        <v>0</v>
      </c>
      <c r="AS243" s="536"/>
      <c r="AT243" s="536"/>
      <c r="AU243" s="536"/>
      <c r="AV243" s="542">
        <f t="shared" si="84"/>
        <v>0</v>
      </c>
      <c r="AW243" s="536"/>
      <c r="AX243" s="536"/>
      <c r="AY243" s="536"/>
      <c r="AZ243" s="542">
        <f t="shared" si="85"/>
        <v>0</v>
      </c>
      <c r="BA243" s="536"/>
      <c r="BB243" s="536"/>
      <c r="BC243" s="536"/>
      <c r="BD243" s="542">
        <f t="shared" si="86"/>
        <v>0</v>
      </c>
      <c r="BE243" s="536"/>
      <c r="BF243" s="536"/>
      <c r="BG243" s="536"/>
      <c r="BH243" s="542">
        <f t="shared" si="87"/>
        <v>0</v>
      </c>
      <c r="BI243" s="536"/>
      <c r="BJ243" s="536"/>
      <c r="BK243" s="536"/>
      <c r="BL243" s="542">
        <f t="shared" si="88"/>
        <v>0</v>
      </c>
      <c r="BM243" s="536"/>
      <c r="BN243" s="536"/>
      <c r="BO243" s="536"/>
      <c r="BP243" s="542">
        <f t="shared" si="89"/>
        <v>0</v>
      </c>
      <c r="BQ243" s="536"/>
      <c r="BR243" s="536"/>
      <c r="BS243" s="536"/>
      <c r="BT243" s="542">
        <f t="shared" si="90"/>
        <v>0</v>
      </c>
      <c r="BU243" s="536"/>
      <c r="BV243" s="536"/>
      <c r="BW243" s="536"/>
      <c r="BX243" s="542">
        <f t="shared" si="91"/>
        <v>0</v>
      </c>
      <c r="BY243" s="536"/>
      <c r="BZ243" s="536"/>
      <c r="CA243" s="536"/>
      <c r="CB243" s="542">
        <v>0</v>
      </c>
      <c r="CC243" s="536"/>
      <c r="CD243" s="536"/>
      <c r="CE243" s="536"/>
      <c r="CF243" s="541">
        <f t="shared" si="92"/>
        <v>0</v>
      </c>
      <c r="CG243" s="536"/>
      <c r="CH243" s="536"/>
      <c r="CI243" s="536"/>
      <c r="CJ243" s="541">
        <f t="shared" si="93"/>
        <v>0</v>
      </c>
      <c r="CK243" s="536"/>
      <c r="CL243" s="536"/>
      <c r="CM243" s="536"/>
      <c r="CN243" s="541">
        <f t="shared" si="94"/>
        <v>0</v>
      </c>
      <c r="CO243" s="536"/>
      <c r="CP243" s="536"/>
      <c r="CQ243" s="536"/>
      <c r="CR243" s="541">
        <f t="shared" si="95"/>
        <v>0</v>
      </c>
      <c r="CS243" s="536"/>
      <c r="CT243" s="536"/>
      <c r="CU243" s="536"/>
      <c r="CV243" s="541">
        <f t="shared" si="96"/>
        <v>0</v>
      </c>
      <c r="CW243" s="536"/>
      <c r="CX243" s="536"/>
      <c r="CY243" s="536"/>
      <c r="CZ243" s="541">
        <f t="shared" si="97"/>
        <v>0</v>
      </c>
      <c r="DA243" s="536"/>
      <c r="DB243" s="536"/>
      <c r="DC243" s="536"/>
      <c r="DD243" s="541">
        <f t="shared" si="98"/>
        <v>0</v>
      </c>
      <c r="DE243" s="536"/>
      <c r="DF243" s="536"/>
      <c r="DG243" s="536"/>
      <c r="DH243" s="541">
        <f t="shared" si="99"/>
        <v>0</v>
      </c>
      <c r="DI243" s="536"/>
      <c r="DJ243" s="536"/>
      <c r="DK243" s="536"/>
      <c r="DL243" s="541">
        <f t="shared" si="100"/>
        <v>0</v>
      </c>
      <c r="DM243" s="536"/>
      <c r="DN243" s="536"/>
      <c r="DO243" s="536"/>
      <c r="DP243" s="541">
        <f>IF( SUM((DJ243*(20/100))+(DK243*(30/100))+(DL243*(50/100))) &gt;=9.3,9.5,
IF(AND( SUM((DJ243*(20/100))+(DK243*(30/100))+(DL243*(50/100))) &lt;=9.3, SUM((DJ243*(20/100))+(DK243*(30/100))+(DL243*(50/100))) &gt;=8.8),9,
IF(AND( SUM((DJ243*(20/100))+(DK243*(30/100))+(DL243*(50/100))) &lt;=8.8, SUM((DJ243*(20/100))+(DK243*(30/100))+(DL243*(50/100))) &gt;=8.3),8.5,
IF(AND( SUM((DJ243*(20/100))+(DK243*(30/100))+(DL243*(50/100))) &lt;=8.3, SUM((DJ243*(20/100))+(DK243*(30/100))+(DL243*(50/100))) &gt;=7.8),8,
IF(AND( SUM((DJ243*(20/100))+(DK243*(30/100))+(DL243*(50/100))) &lt;=7.8, SUM((DJ243*(20/100))+(DK243*(30/100))+(DL243*(50/100))) &gt;=7.3),7.5,
IF(AND( SUM((DJ243*(20/100))+(DK243*(30/100))+(DL243*(50/100))) &lt;=7.3, SUM((DJ243*(20/100))+(DK243*(30/100))+(DL243*(50/100))) &gt;=6.8),7,
IF(AND( SUM((DJ243*(20/100))+(DK243*(30/100))+(DL243*(50/100))) &lt;=6.8, SUM((DJ243*(20/100))+(DK243*(30/100))+(DL243*(50/100))) &gt;=6.3),6.5,
IF(AND( SUM((DJ243*(20/100))+(DK243*(30/100))+(DL243*(50/100))) &lt;=6.3, SUM((DJ243*(20/100))+(DK243*(30/100))+(DL243*(50/100))) &gt;=5.8),6,
IF(AND( SUM((DJ243*(20/100))+(DK243*(30/100))+(DL243*(50/100))) &lt;=5.8, SUM((DJ243*(20/100))+(DK243*(30/100))+(DL243*(50/100))) &gt;=5.3),5.5,
IF(AND( SUM((DJ243*(20/100))+(DK243*(30/100))+(DL243*(50/100))) &lt;=5.3, SUM((DJ243*(20/100))+(DK243*(30/100))+(DL243*(50/100))) &gt;=4.8),5,
IF(AND( SUM((DJ243*(20/100))+(DK243*(30/100))+(DL243*(50/100))) &lt;=4.8, SUM((DJ243*(20/100))+(DK243*(30/100))+(DL243*(50/100))) &gt;=4.3),4.5,
IF(AND( SUM((DJ243*(20/100))+(DK243*(30/100))+(DL243*(50/100))) &lt;=4.3, SUM((DJ243*(20/100))+(DK243*(30/100))+(DL243*(50/100))) &gt;=3.8),4,
IF(AND( SUM((DJ243*(20/100))+(DK243*(30/100))+(DL243*(50/100))) &lt;=3.8, SUM((DJ243*(20/100))+(DK243*(30/100))+(DL243*(50/100))) &gt;=3.5),3.5,0)))))))))))))</f>
        <v>0</v>
      </c>
      <c r="DQ243" s="541"/>
      <c r="DR243" s="541"/>
      <c r="DS243" s="541"/>
      <c r="DT243" s="541"/>
      <c r="DU243" s="541"/>
      <c r="DV243" s="541"/>
      <c r="DW243" s="541"/>
      <c r="DX243" s="541"/>
      <c r="DY243" s="541"/>
      <c r="DZ243" s="541"/>
    </row>
    <row r="244" spans="2:130" x14ac:dyDescent="0.25">
      <c r="B244" s="334">
        <v>37</v>
      </c>
      <c r="C244" s="541"/>
      <c r="D244" s="334"/>
      <c r="E244" s="334"/>
      <c r="F244" s="334"/>
      <c r="G244" s="334"/>
      <c r="H244" s="334"/>
      <c r="I244" s="334"/>
      <c r="J244" s="536"/>
      <c r="K244" s="536"/>
      <c r="L244" s="536"/>
      <c r="M244" s="536"/>
      <c r="N244" s="536"/>
      <c r="O244" s="536"/>
      <c r="P244" s="536">
        <f t="shared" si="76"/>
        <v>0</v>
      </c>
      <c r="Q244" s="536"/>
      <c r="R244" s="536"/>
      <c r="S244" s="536"/>
      <c r="T244" s="536">
        <f t="shared" si="77"/>
        <v>0</v>
      </c>
      <c r="U244" s="536"/>
      <c r="V244" s="536"/>
      <c r="W244" s="536"/>
      <c r="X244" s="536">
        <f t="shared" si="78"/>
        <v>0</v>
      </c>
      <c r="Y244" s="536"/>
      <c r="Z244" s="536"/>
      <c r="AA244" s="536"/>
      <c r="AB244" s="536">
        <f t="shared" si="79"/>
        <v>0</v>
      </c>
      <c r="AC244" s="536"/>
      <c r="AD244" s="536"/>
      <c r="AE244" s="536"/>
      <c r="AF244" s="536">
        <f t="shared" si="80"/>
        <v>0</v>
      </c>
      <c r="AG244" s="536"/>
      <c r="AH244" s="536"/>
      <c r="AI244" s="536"/>
      <c r="AJ244" s="536">
        <f t="shared" si="81"/>
        <v>0</v>
      </c>
      <c r="AK244" s="536"/>
      <c r="AL244" s="536"/>
      <c r="AM244" s="536"/>
      <c r="AN244" s="542">
        <f t="shared" si="82"/>
        <v>0</v>
      </c>
      <c r="AO244" s="536"/>
      <c r="AP244" s="536"/>
      <c r="AQ244" s="536"/>
      <c r="AR244" s="542">
        <f t="shared" si="83"/>
        <v>0</v>
      </c>
      <c r="AS244" s="536"/>
      <c r="AT244" s="536"/>
      <c r="AU244" s="536"/>
      <c r="AV244" s="542">
        <f t="shared" si="84"/>
        <v>0</v>
      </c>
      <c r="AW244" s="536"/>
      <c r="AX244" s="536"/>
      <c r="AY244" s="536"/>
      <c r="AZ244" s="542">
        <f t="shared" si="85"/>
        <v>0</v>
      </c>
      <c r="BA244" s="536"/>
      <c r="BB244" s="536"/>
      <c r="BC244" s="536"/>
      <c r="BD244" s="542">
        <f t="shared" si="86"/>
        <v>0</v>
      </c>
      <c r="BE244" s="536"/>
      <c r="BF244" s="536"/>
      <c r="BG244" s="536"/>
      <c r="BH244" s="542">
        <f t="shared" si="87"/>
        <v>0</v>
      </c>
      <c r="BI244" s="536"/>
      <c r="BJ244" s="536"/>
      <c r="BK244" s="536"/>
      <c r="BL244" s="542">
        <f t="shared" si="88"/>
        <v>0</v>
      </c>
      <c r="BM244" s="536"/>
      <c r="BN244" s="536"/>
      <c r="BO244" s="536"/>
      <c r="BP244" s="542">
        <f t="shared" si="89"/>
        <v>0</v>
      </c>
      <c r="BQ244" s="536"/>
      <c r="BR244" s="536"/>
      <c r="BS244" s="536"/>
      <c r="BT244" s="542">
        <f t="shared" si="90"/>
        <v>0</v>
      </c>
      <c r="BU244" s="536"/>
      <c r="BV244" s="536"/>
      <c r="BW244" s="536"/>
      <c r="BX244" s="542">
        <f t="shared" si="91"/>
        <v>0</v>
      </c>
      <c r="BY244" s="536"/>
      <c r="BZ244" s="536"/>
      <c r="CA244" s="536"/>
      <c r="CB244" s="542">
        <v>0</v>
      </c>
      <c r="CC244" s="536"/>
      <c r="CD244" s="536"/>
      <c r="CE244" s="536"/>
      <c r="CF244" s="541">
        <f t="shared" si="92"/>
        <v>0</v>
      </c>
      <c r="CG244" s="536"/>
      <c r="CH244" s="536"/>
      <c r="CI244" s="536"/>
      <c r="CJ244" s="541">
        <f t="shared" si="93"/>
        <v>0</v>
      </c>
      <c r="CK244" s="536"/>
      <c r="CL244" s="536"/>
      <c r="CM244" s="536"/>
      <c r="CN244" s="541">
        <f t="shared" si="94"/>
        <v>0</v>
      </c>
      <c r="CO244" s="536"/>
      <c r="CP244" s="536"/>
      <c r="CQ244" s="536"/>
      <c r="CR244" s="541">
        <f t="shared" si="95"/>
        <v>0</v>
      </c>
      <c r="CS244" s="536"/>
      <c r="CT244" s="536"/>
      <c r="CU244" s="536"/>
      <c r="CV244" s="541">
        <f t="shared" si="96"/>
        <v>0</v>
      </c>
      <c r="CW244" s="536"/>
      <c r="CX244" s="536"/>
      <c r="CY244" s="536"/>
      <c r="CZ244" s="541">
        <f t="shared" si="97"/>
        <v>0</v>
      </c>
      <c r="DA244" s="536"/>
      <c r="DB244" s="536"/>
      <c r="DC244" s="536"/>
      <c r="DD244" s="541">
        <f t="shared" si="98"/>
        <v>0</v>
      </c>
      <c r="DE244" s="536"/>
      <c r="DF244" s="536"/>
      <c r="DG244" s="536"/>
      <c r="DH244" s="541">
        <f t="shared" si="99"/>
        <v>0</v>
      </c>
      <c r="DI244" s="536"/>
      <c r="DJ244" s="536"/>
      <c r="DK244" s="536"/>
      <c r="DL244" s="541">
        <f t="shared" si="100"/>
        <v>0</v>
      </c>
      <c r="DM244" s="536"/>
      <c r="DN244" s="536"/>
      <c r="DO244" s="536"/>
      <c r="DP244" s="541">
        <f>IF( SUM((DJ244*(20/100))+(DK244*(30/100))+(DL244*(50/100))) &gt;=9.3,9.5,
IF(AND( SUM((DJ244*(20/100))+(DK244*(30/100))+(DL244*(50/100))) &lt;=9.3, SUM((DJ244*(20/100))+(DK244*(30/100))+(DL244*(50/100))) &gt;=8.8),9,
IF(AND( SUM((DJ244*(20/100))+(DK244*(30/100))+(DL244*(50/100))) &lt;=8.8, SUM((DJ244*(20/100))+(DK244*(30/100))+(DL244*(50/100))) &gt;=8.3),8.5,
IF(AND( SUM((DJ244*(20/100))+(DK244*(30/100))+(DL244*(50/100))) &lt;=8.3, SUM((DJ244*(20/100))+(DK244*(30/100))+(DL244*(50/100))) &gt;=7.8),8,
IF(AND( SUM((DJ244*(20/100))+(DK244*(30/100))+(DL244*(50/100))) &lt;=7.8, SUM((DJ244*(20/100))+(DK244*(30/100))+(DL244*(50/100))) &gt;=7.3),7.5,
IF(AND( SUM((DJ244*(20/100))+(DK244*(30/100))+(DL244*(50/100))) &lt;=7.3, SUM((DJ244*(20/100))+(DK244*(30/100))+(DL244*(50/100))) &gt;=6.8),7,
IF(AND( SUM((DJ244*(20/100))+(DK244*(30/100))+(DL244*(50/100))) &lt;=6.8, SUM((DJ244*(20/100))+(DK244*(30/100))+(DL244*(50/100))) &gt;=6.3),6.5,
IF(AND( SUM((DJ244*(20/100))+(DK244*(30/100))+(DL244*(50/100))) &lt;=6.3, SUM((DJ244*(20/100))+(DK244*(30/100))+(DL244*(50/100))) &gt;=5.8),6,
IF(AND( SUM((DJ244*(20/100))+(DK244*(30/100))+(DL244*(50/100))) &lt;=5.8, SUM((DJ244*(20/100))+(DK244*(30/100))+(DL244*(50/100))) &gt;=5.3),5.5,
IF(AND( SUM((DJ244*(20/100))+(DK244*(30/100))+(DL244*(50/100))) &lt;=5.3, SUM((DJ244*(20/100))+(DK244*(30/100))+(DL244*(50/100))) &gt;=4.8),5,
IF(AND( SUM((DJ244*(20/100))+(DK244*(30/100))+(DL244*(50/100))) &lt;=4.8, SUM((DJ244*(20/100))+(DK244*(30/100))+(DL244*(50/100))) &gt;=4.3),4.5,
IF(AND( SUM((DJ244*(20/100))+(DK244*(30/100))+(DL244*(50/100))) &lt;=4.3, SUM((DJ244*(20/100))+(DK244*(30/100))+(DL244*(50/100))) &gt;=3.8),4,
IF(AND( SUM((DJ244*(20/100))+(DK244*(30/100))+(DL244*(50/100))) &lt;=3.8, SUM((DJ244*(20/100))+(DK244*(30/100))+(DL244*(50/100))) &gt;=3.5),3.5,0)))))))))))))</f>
        <v>0</v>
      </c>
      <c r="DQ244" s="541"/>
      <c r="DR244" s="541"/>
      <c r="DS244" s="541"/>
      <c r="DT244" s="541"/>
      <c r="DU244" s="541"/>
      <c r="DV244" s="541"/>
      <c r="DW244" s="541"/>
      <c r="DX244" s="541"/>
      <c r="DY244" s="541"/>
      <c r="DZ244" s="541"/>
    </row>
    <row r="245" spans="2:130" x14ac:dyDescent="0.25">
      <c r="B245" s="334">
        <v>38</v>
      </c>
      <c r="C245" s="541"/>
      <c r="D245" s="334"/>
      <c r="E245" s="334"/>
      <c r="F245" s="334"/>
      <c r="G245" s="334"/>
      <c r="H245" s="334"/>
      <c r="I245" s="334"/>
      <c r="J245" s="536"/>
      <c r="K245" s="536"/>
      <c r="L245" s="536"/>
      <c r="M245" s="536"/>
      <c r="N245" s="536"/>
      <c r="O245" s="536"/>
      <c r="P245" s="536">
        <f t="shared" si="76"/>
        <v>0</v>
      </c>
      <c r="Q245" s="536"/>
      <c r="R245" s="536"/>
      <c r="S245" s="536"/>
      <c r="T245" s="536">
        <f t="shared" si="77"/>
        <v>0</v>
      </c>
      <c r="U245" s="536"/>
      <c r="V245" s="536"/>
      <c r="W245" s="536"/>
      <c r="X245" s="536">
        <f t="shared" si="78"/>
        <v>0</v>
      </c>
      <c r="Y245" s="536"/>
      <c r="Z245" s="536"/>
      <c r="AA245" s="536"/>
      <c r="AB245" s="536">
        <f t="shared" si="79"/>
        <v>0</v>
      </c>
      <c r="AC245" s="536"/>
      <c r="AD245" s="536"/>
      <c r="AE245" s="536"/>
      <c r="AF245" s="536">
        <f t="shared" si="80"/>
        <v>0</v>
      </c>
      <c r="AG245" s="536"/>
      <c r="AH245" s="536"/>
      <c r="AI245" s="536"/>
      <c r="AJ245" s="536">
        <f t="shared" si="81"/>
        <v>0</v>
      </c>
      <c r="AK245" s="536"/>
      <c r="AL245" s="536"/>
      <c r="AM245" s="536"/>
      <c r="AN245" s="542">
        <f t="shared" si="82"/>
        <v>0</v>
      </c>
      <c r="AO245" s="536"/>
      <c r="AP245" s="536"/>
      <c r="AQ245" s="536"/>
      <c r="AR245" s="542">
        <f t="shared" si="83"/>
        <v>0</v>
      </c>
      <c r="AS245" s="536"/>
      <c r="AT245" s="536"/>
      <c r="AU245" s="536"/>
      <c r="AV245" s="542">
        <f t="shared" si="84"/>
        <v>0</v>
      </c>
      <c r="AW245" s="536"/>
      <c r="AX245" s="536"/>
      <c r="AY245" s="536"/>
      <c r="AZ245" s="542">
        <f t="shared" si="85"/>
        <v>0</v>
      </c>
      <c r="BA245" s="536"/>
      <c r="BB245" s="536"/>
      <c r="BC245" s="536"/>
      <c r="BD245" s="542">
        <f t="shared" si="86"/>
        <v>0</v>
      </c>
      <c r="BE245" s="536"/>
      <c r="BF245" s="536"/>
      <c r="BG245" s="536"/>
      <c r="BH245" s="542">
        <f t="shared" si="87"/>
        <v>0</v>
      </c>
      <c r="BI245" s="536"/>
      <c r="BJ245" s="536"/>
      <c r="BK245" s="536"/>
      <c r="BL245" s="542">
        <f t="shared" si="88"/>
        <v>0</v>
      </c>
      <c r="BM245" s="536"/>
      <c r="BN245" s="536"/>
      <c r="BO245" s="536"/>
      <c r="BP245" s="542">
        <f t="shared" si="89"/>
        <v>0</v>
      </c>
      <c r="BQ245" s="536"/>
      <c r="BR245" s="536"/>
      <c r="BS245" s="536"/>
      <c r="BT245" s="542">
        <f t="shared" si="90"/>
        <v>0</v>
      </c>
      <c r="BU245" s="536"/>
      <c r="BV245" s="536"/>
      <c r="BW245" s="536"/>
      <c r="BX245" s="542">
        <f t="shared" si="91"/>
        <v>0</v>
      </c>
      <c r="BY245" s="536"/>
      <c r="BZ245" s="536"/>
      <c r="CA245" s="536"/>
      <c r="CB245" s="542">
        <v>0</v>
      </c>
      <c r="CC245" s="536"/>
      <c r="CD245" s="536"/>
      <c r="CE245" s="536"/>
      <c r="CF245" s="541">
        <f t="shared" si="92"/>
        <v>0</v>
      </c>
      <c r="CG245" s="536"/>
      <c r="CH245" s="536"/>
      <c r="CI245" s="536"/>
      <c r="CJ245" s="541">
        <f t="shared" si="93"/>
        <v>0</v>
      </c>
      <c r="CK245" s="536"/>
      <c r="CL245" s="536"/>
      <c r="CM245" s="536"/>
      <c r="CN245" s="541">
        <f t="shared" si="94"/>
        <v>0</v>
      </c>
      <c r="CO245" s="536"/>
      <c r="CP245" s="536"/>
      <c r="CQ245" s="536"/>
      <c r="CR245" s="541">
        <f t="shared" si="95"/>
        <v>0</v>
      </c>
      <c r="CS245" s="536"/>
      <c r="CT245" s="536"/>
      <c r="CU245" s="536"/>
      <c r="CV245" s="541">
        <f t="shared" si="96"/>
        <v>0</v>
      </c>
      <c r="CW245" s="536"/>
      <c r="CX245" s="536"/>
      <c r="CY245" s="536"/>
      <c r="CZ245" s="541">
        <f t="shared" si="97"/>
        <v>0</v>
      </c>
      <c r="DA245" s="536"/>
      <c r="DB245" s="536"/>
      <c r="DC245" s="536"/>
      <c r="DD245" s="541">
        <f t="shared" si="98"/>
        <v>0</v>
      </c>
      <c r="DE245" s="536"/>
      <c r="DF245" s="536"/>
      <c r="DG245" s="536"/>
      <c r="DH245" s="541">
        <f t="shared" si="99"/>
        <v>0</v>
      </c>
      <c r="DI245" s="536"/>
      <c r="DJ245" s="536"/>
      <c r="DK245" s="536"/>
      <c r="DL245" s="541">
        <f t="shared" si="100"/>
        <v>0</v>
      </c>
      <c r="DM245" s="536"/>
      <c r="DN245" s="536"/>
      <c r="DO245" s="536"/>
      <c r="DP245" s="541">
        <f>IF( SUM((DJ245*(20/100))+(DK245*(30/100))+(DL245*(50/100))) &gt;=9.3,9.5,
IF(AND( SUM((DJ245*(20/100))+(DK245*(30/100))+(DL245*(50/100))) &lt;=9.3, SUM((DJ245*(20/100))+(DK245*(30/100))+(DL245*(50/100))) &gt;=8.8),9,
IF(AND( SUM((DJ245*(20/100))+(DK245*(30/100))+(DL245*(50/100))) &lt;=8.8, SUM((DJ245*(20/100))+(DK245*(30/100))+(DL245*(50/100))) &gt;=8.3),8.5,
IF(AND( SUM((DJ245*(20/100))+(DK245*(30/100))+(DL245*(50/100))) &lt;=8.3, SUM((DJ245*(20/100))+(DK245*(30/100))+(DL245*(50/100))) &gt;=7.8),8,
IF(AND( SUM((DJ245*(20/100))+(DK245*(30/100))+(DL245*(50/100))) &lt;=7.8, SUM((DJ245*(20/100))+(DK245*(30/100))+(DL245*(50/100))) &gt;=7.3),7.5,
IF(AND( SUM((DJ245*(20/100))+(DK245*(30/100))+(DL245*(50/100))) &lt;=7.3, SUM((DJ245*(20/100))+(DK245*(30/100))+(DL245*(50/100))) &gt;=6.8),7,
IF(AND( SUM((DJ245*(20/100))+(DK245*(30/100))+(DL245*(50/100))) &lt;=6.8, SUM((DJ245*(20/100))+(DK245*(30/100))+(DL245*(50/100))) &gt;=6.3),6.5,
IF(AND( SUM((DJ245*(20/100))+(DK245*(30/100))+(DL245*(50/100))) &lt;=6.3, SUM((DJ245*(20/100))+(DK245*(30/100))+(DL245*(50/100))) &gt;=5.8),6,
IF(AND( SUM((DJ245*(20/100))+(DK245*(30/100))+(DL245*(50/100))) &lt;=5.8, SUM((DJ245*(20/100))+(DK245*(30/100))+(DL245*(50/100))) &gt;=5.3),5.5,
IF(AND( SUM((DJ245*(20/100))+(DK245*(30/100))+(DL245*(50/100))) &lt;=5.3, SUM((DJ245*(20/100))+(DK245*(30/100))+(DL245*(50/100))) &gt;=4.8),5,
IF(AND( SUM((DJ245*(20/100))+(DK245*(30/100))+(DL245*(50/100))) &lt;=4.8, SUM((DJ245*(20/100))+(DK245*(30/100))+(DL245*(50/100))) &gt;=4.3),4.5,
IF(AND( SUM((DJ245*(20/100))+(DK245*(30/100))+(DL245*(50/100))) &lt;=4.3, SUM((DJ245*(20/100))+(DK245*(30/100))+(DL245*(50/100))) &gt;=3.8),4,
IF(AND( SUM((DJ245*(20/100))+(DK245*(30/100))+(DL245*(50/100))) &lt;=3.8, SUM((DJ245*(20/100))+(DK245*(30/100))+(DL245*(50/100))) &gt;=3.5),3.5,0)))))))))))))</f>
        <v>0</v>
      </c>
      <c r="DQ245" s="541"/>
      <c r="DR245" s="541"/>
      <c r="DS245" s="541"/>
      <c r="DT245" s="541"/>
      <c r="DU245" s="541"/>
      <c r="DV245" s="541"/>
      <c r="DW245" s="541"/>
      <c r="DX245" s="541"/>
      <c r="DY245" s="541"/>
      <c r="DZ245" s="541"/>
    </row>
    <row r="246" spans="2:130" x14ac:dyDescent="0.25">
      <c r="B246" s="334">
        <v>39</v>
      </c>
      <c r="C246" s="541"/>
      <c r="D246" s="334"/>
      <c r="E246" s="334"/>
      <c r="F246" s="334"/>
      <c r="G246" s="334"/>
      <c r="H246" s="334"/>
      <c r="I246" s="334"/>
      <c r="J246" s="536"/>
      <c r="K246" s="536"/>
      <c r="L246" s="536"/>
      <c r="M246" s="536"/>
      <c r="N246" s="536"/>
      <c r="O246" s="536"/>
      <c r="P246" s="536">
        <f t="shared" si="76"/>
        <v>0</v>
      </c>
      <c r="Q246" s="536"/>
      <c r="R246" s="536"/>
      <c r="S246" s="536"/>
      <c r="T246" s="536">
        <f t="shared" si="77"/>
        <v>0</v>
      </c>
      <c r="U246" s="536"/>
      <c r="V246" s="536"/>
      <c r="W246" s="536"/>
      <c r="X246" s="536">
        <f t="shared" si="78"/>
        <v>0</v>
      </c>
      <c r="Y246" s="536"/>
      <c r="Z246" s="536"/>
      <c r="AA246" s="536"/>
      <c r="AB246" s="536">
        <f t="shared" si="79"/>
        <v>0</v>
      </c>
      <c r="AC246" s="536"/>
      <c r="AD246" s="536"/>
      <c r="AE246" s="536"/>
      <c r="AF246" s="536">
        <f t="shared" si="80"/>
        <v>0</v>
      </c>
      <c r="AG246" s="536"/>
      <c r="AH246" s="536"/>
      <c r="AI246" s="536"/>
      <c r="AJ246" s="536">
        <f t="shared" si="81"/>
        <v>0</v>
      </c>
      <c r="AK246" s="536"/>
      <c r="AL246" s="536"/>
      <c r="AM246" s="536"/>
      <c r="AN246" s="542">
        <f t="shared" si="82"/>
        <v>0</v>
      </c>
      <c r="AO246" s="536"/>
      <c r="AP246" s="536"/>
      <c r="AQ246" s="536"/>
      <c r="AR246" s="542">
        <f t="shared" si="83"/>
        <v>0</v>
      </c>
      <c r="AS246" s="536"/>
      <c r="AT246" s="536"/>
      <c r="AU246" s="536"/>
      <c r="AV246" s="542">
        <f t="shared" si="84"/>
        <v>0</v>
      </c>
      <c r="AW246" s="536"/>
      <c r="AX246" s="536"/>
      <c r="AY246" s="536"/>
      <c r="AZ246" s="542">
        <f t="shared" si="85"/>
        <v>0</v>
      </c>
      <c r="BA246" s="536"/>
      <c r="BB246" s="536"/>
      <c r="BC246" s="536"/>
      <c r="BD246" s="542">
        <f t="shared" si="86"/>
        <v>0</v>
      </c>
      <c r="BE246" s="536"/>
      <c r="BF246" s="536"/>
      <c r="BG246" s="536"/>
      <c r="BH246" s="542">
        <f t="shared" si="87"/>
        <v>0</v>
      </c>
      <c r="BI246" s="536"/>
      <c r="BJ246" s="536"/>
      <c r="BK246" s="536"/>
      <c r="BL246" s="542">
        <f t="shared" si="88"/>
        <v>0</v>
      </c>
      <c r="BM246" s="536"/>
      <c r="BN246" s="536"/>
      <c r="BO246" s="536"/>
      <c r="BP246" s="542">
        <f t="shared" si="89"/>
        <v>0</v>
      </c>
      <c r="BQ246" s="536"/>
      <c r="BR246" s="536"/>
      <c r="BS246" s="536"/>
      <c r="BT246" s="542">
        <f t="shared" si="90"/>
        <v>0</v>
      </c>
      <c r="BU246" s="536"/>
      <c r="BV246" s="536"/>
      <c r="BW246" s="536"/>
      <c r="BX246" s="542">
        <f t="shared" si="91"/>
        <v>0</v>
      </c>
      <c r="BY246" s="536"/>
      <c r="BZ246" s="536"/>
      <c r="CA246" s="536"/>
      <c r="CB246" s="542">
        <v>0</v>
      </c>
      <c r="CC246" s="536"/>
      <c r="CD246" s="536"/>
      <c r="CE246" s="536"/>
      <c r="CF246" s="541">
        <f t="shared" si="92"/>
        <v>0</v>
      </c>
      <c r="CG246" s="536"/>
      <c r="CH246" s="536"/>
      <c r="CI246" s="536"/>
      <c r="CJ246" s="541">
        <f t="shared" si="93"/>
        <v>0</v>
      </c>
      <c r="CK246" s="536"/>
      <c r="CL246" s="536"/>
      <c r="CM246" s="536"/>
      <c r="CN246" s="541">
        <f t="shared" si="94"/>
        <v>0</v>
      </c>
      <c r="CO246" s="536"/>
      <c r="CP246" s="536"/>
      <c r="CQ246" s="536"/>
      <c r="CR246" s="541">
        <f t="shared" si="95"/>
        <v>0</v>
      </c>
      <c r="CS246" s="536"/>
      <c r="CT246" s="536"/>
      <c r="CU246" s="536"/>
      <c r="CV246" s="541">
        <f t="shared" si="96"/>
        <v>0</v>
      </c>
      <c r="CW246" s="536"/>
      <c r="CX246" s="536"/>
      <c r="CY246" s="536"/>
      <c r="CZ246" s="541">
        <f t="shared" si="97"/>
        <v>0</v>
      </c>
      <c r="DA246" s="536"/>
      <c r="DB246" s="536"/>
      <c r="DC246" s="536"/>
      <c r="DD246" s="541">
        <f t="shared" si="98"/>
        <v>0</v>
      </c>
      <c r="DE246" s="536"/>
      <c r="DF246" s="536"/>
      <c r="DG246" s="536"/>
      <c r="DH246" s="541">
        <f t="shared" si="99"/>
        <v>0</v>
      </c>
      <c r="DI246" s="536"/>
      <c r="DJ246" s="536"/>
      <c r="DK246" s="536"/>
      <c r="DL246" s="541">
        <f t="shared" si="100"/>
        <v>0</v>
      </c>
      <c r="DM246" s="536"/>
      <c r="DN246" s="536"/>
      <c r="DO246" s="536"/>
      <c r="DP246" s="541">
        <f>IF( SUM((DJ246*(20/100))+(DK246*(30/100))+(DL246*(50/100))) &gt;=9.3,9.5,
IF(AND( SUM((DJ246*(20/100))+(DK246*(30/100))+(DL246*(50/100))) &lt;=9.3, SUM((DJ246*(20/100))+(DK246*(30/100))+(DL246*(50/100))) &gt;=8.8),9,
IF(AND( SUM((DJ246*(20/100))+(DK246*(30/100))+(DL246*(50/100))) &lt;=8.8, SUM((DJ246*(20/100))+(DK246*(30/100))+(DL246*(50/100))) &gt;=8.3),8.5,
IF(AND( SUM((DJ246*(20/100))+(DK246*(30/100))+(DL246*(50/100))) &lt;=8.3, SUM((DJ246*(20/100))+(DK246*(30/100))+(DL246*(50/100))) &gt;=7.8),8,
IF(AND( SUM((DJ246*(20/100))+(DK246*(30/100))+(DL246*(50/100))) &lt;=7.8, SUM((DJ246*(20/100))+(DK246*(30/100))+(DL246*(50/100))) &gt;=7.3),7.5,
IF(AND( SUM((DJ246*(20/100))+(DK246*(30/100))+(DL246*(50/100))) &lt;=7.3, SUM((DJ246*(20/100))+(DK246*(30/100))+(DL246*(50/100))) &gt;=6.8),7,
IF(AND( SUM((DJ246*(20/100))+(DK246*(30/100))+(DL246*(50/100))) &lt;=6.8, SUM((DJ246*(20/100))+(DK246*(30/100))+(DL246*(50/100))) &gt;=6.3),6.5,
IF(AND( SUM((DJ246*(20/100))+(DK246*(30/100))+(DL246*(50/100))) &lt;=6.3, SUM((DJ246*(20/100))+(DK246*(30/100))+(DL246*(50/100))) &gt;=5.8),6,
IF(AND( SUM((DJ246*(20/100))+(DK246*(30/100))+(DL246*(50/100))) &lt;=5.8, SUM((DJ246*(20/100))+(DK246*(30/100))+(DL246*(50/100))) &gt;=5.3),5.5,
IF(AND( SUM((DJ246*(20/100))+(DK246*(30/100))+(DL246*(50/100))) &lt;=5.3, SUM((DJ246*(20/100))+(DK246*(30/100))+(DL246*(50/100))) &gt;=4.8),5,
IF(AND( SUM((DJ246*(20/100))+(DK246*(30/100))+(DL246*(50/100))) &lt;=4.8, SUM((DJ246*(20/100))+(DK246*(30/100))+(DL246*(50/100))) &gt;=4.3),4.5,
IF(AND( SUM((DJ246*(20/100))+(DK246*(30/100))+(DL246*(50/100))) &lt;=4.3, SUM((DJ246*(20/100))+(DK246*(30/100))+(DL246*(50/100))) &gt;=3.8),4,
IF(AND( SUM((DJ246*(20/100))+(DK246*(30/100))+(DL246*(50/100))) &lt;=3.8, SUM((DJ246*(20/100))+(DK246*(30/100))+(DL246*(50/100))) &gt;=3.5),3.5,0)))))))))))))</f>
        <v>0</v>
      </c>
      <c r="DQ246" s="541"/>
      <c r="DR246" s="541"/>
      <c r="DS246" s="541"/>
      <c r="DT246" s="541"/>
      <c r="DU246" s="541"/>
      <c r="DV246" s="541"/>
      <c r="DW246" s="541"/>
      <c r="DX246" s="541"/>
      <c r="DY246" s="541"/>
      <c r="DZ246" s="541"/>
    </row>
    <row r="247" spans="2:130" x14ac:dyDescent="0.25">
      <c r="B247" s="334">
        <v>40</v>
      </c>
      <c r="C247" s="541"/>
      <c r="D247" s="334"/>
      <c r="E247" s="334"/>
      <c r="F247" s="334"/>
      <c r="G247" s="334"/>
      <c r="H247" s="334"/>
      <c r="I247" s="334"/>
      <c r="J247" s="536"/>
      <c r="K247" s="536"/>
      <c r="L247" s="536"/>
      <c r="M247" s="536"/>
      <c r="N247" s="536"/>
      <c r="O247" s="536"/>
      <c r="P247" s="536">
        <f t="shared" si="76"/>
        <v>0</v>
      </c>
      <c r="Q247" s="536"/>
      <c r="R247" s="536"/>
      <c r="S247" s="536"/>
      <c r="T247" s="536">
        <f t="shared" si="77"/>
        <v>0</v>
      </c>
      <c r="U247" s="536"/>
      <c r="V247" s="536"/>
      <c r="W247" s="536"/>
      <c r="X247" s="536">
        <f t="shared" si="78"/>
        <v>0</v>
      </c>
      <c r="Y247" s="536"/>
      <c r="Z247" s="536"/>
      <c r="AA247" s="536"/>
      <c r="AB247" s="536">
        <f t="shared" si="79"/>
        <v>0</v>
      </c>
      <c r="AC247" s="536"/>
      <c r="AD247" s="536"/>
      <c r="AE247" s="536"/>
      <c r="AF247" s="536">
        <f t="shared" si="80"/>
        <v>0</v>
      </c>
      <c r="AG247" s="536"/>
      <c r="AH247" s="536"/>
      <c r="AI247" s="536"/>
      <c r="AJ247" s="536">
        <f t="shared" si="81"/>
        <v>0</v>
      </c>
      <c r="AK247" s="536"/>
      <c r="AL247" s="536"/>
      <c r="AM247" s="536"/>
      <c r="AN247" s="542">
        <f t="shared" si="82"/>
        <v>0</v>
      </c>
      <c r="AO247" s="536"/>
      <c r="AP247" s="536"/>
      <c r="AQ247" s="536"/>
      <c r="AR247" s="542">
        <f t="shared" si="83"/>
        <v>0</v>
      </c>
      <c r="AS247" s="536"/>
      <c r="AT247" s="536"/>
      <c r="AU247" s="536"/>
      <c r="AV247" s="542">
        <f t="shared" si="84"/>
        <v>0</v>
      </c>
      <c r="AW247" s="536"/>
      <c r="AX247" s="536"/>
      <c r="AY247" s="536"/>
      <c r="AZ247" s="542">
        <f t="shared" si="85"/>
        <v>0</v>
      </c>
      <c r="BA247" s="536"/>
      <c r="BB247" s="536"/>
      <c r="BC247" s="536"/>
      <c r="BD247" s="542">
        <f t="shared" si="86"/>
        <v>0</v>
      </c>
      <c r="BE247" s="536"/>
      <c r="BF247" s="536"/>
      <c r="BG247" s="536"/>
      <c r="BH247" s="542">
        <f t="shared" si="87"/>
        <v>0</v>
      </c>
      <c r="BI247" s="536"/>
      <c r="BJ247" s="536"/>
      <c r="BK247" s="536"/>
      <c r="BL247" s="542">
        <f t="shared" si="88"/>
        <v>0</v>
      </c>
      <c r="BM247" s="536"/>
      <c r="BN247" s="536"/>
      <c r="BO247" s="536"/>
      <c r="BP247" s="542">
        <f t="shared" si="89"/>
        <v>0</v>
      </c>
      <c r="BQ247" s="536"/>
      <c r="BR247" s="536"/>
      <c r="BS247" s="536"/>
      <c r="BT247" s="542">
        <f t="shared" si="90"/>
        <v>0</v>
      </c>
      <c r="BU247" s="536"/>
      <c r="BV247" s="536"/>
      <c r="BW247" s="536"/>
      <c r="BX247" s="542">
        <f t="shared" si="91"/>
        <v>0</v>
      </c>
      <c r="BY247" s="536"/>
      <c r="BZ247" s="536"/>
      <c r="CA247" s="536"/>
      <c r="CB247" s="542">
        <v>0</v>
      </c>
      <c r="CC247" s="536"/>
      <c r="CD247" s="536"/>
      <c r="CE247" s="536"/>
      <c r="CF247" s="541">
        <f t="shared" si="92"/>
        <v>0</v>
      </c>
      <c r="CG247" s="536"/>
      <c r="CH247" s="536"/>
      <c r="CI247" s="536"/>
      <c r="CJ247" s="541">
        <f t="shared" si="93"/>
        <v>0</v>
      </c>
      <c r="CK247" s="536"/>
      <c r="CL247" s="536"/>
      <c r="CM247" s="536"/>
      <c r="CN247" s="541">
        <f t="shared" si="94"/>
        <v>0</v>
      </c>
      <c r="CO247" s="536"/>
      <c r="CP247" s="536"/>
      <c r="CQ247" s="536"/>
      <c r="CR247" s="541">
        <f t="shared" si="95"/>
        <v>0</v>
      </c>
      <c r="CS247" s="536"/>
      <c r="CT247" s="536"/>
      <c r="CU247" s="536"/>
      <c r="CV247" s="541">
        <f t="shared" si="96"/>
        <v>0</v>
      </c>
      <c r="CW247" s="536"/>
      <c r="CX247" s="536"/>
      <c r="CY247" s="536"/>
      <c r="CZ247" s="541">
        <f t="shared" si="97"/>
        <v>0</v>
      </c>
      <c r="DA247" s="536"/>
      <c r="DB247" s="536"/>
      <c r="DC247" s="536"/>
      <c r="DD247" s="541">
        <f t="shared" si="98"/>
        <v>0</v>
      </c>
      <c r="DE247" s="536"/>
      <c r="DF247" s="536"/>
      <c r="DG247" s="536"/>
      <c r="DH247" s="541">
        <f t="shared" si="99"/>
        <v>0</v>
      </c>
      <c r="DI247" s="536"/>
      <c r="DJ247" s="536"/>
      <c r="DK247" s="536"/>
      <c r="DL247" s="541">
        <f t="shared" si="100"/>
        <v>0</v>
      </c>
      <c r="DM247" s="536"/>
      <c r="DN247" s="536"/>
      <c r="DO247" s="536"/>
      <c r="DP247" s="541">
        <f>IF( SUM((DJ247*(20/100))+(DK247*(30/100))+(DL247*(50/100))) &gt;=9.3,9.5,
IF(AND( SUM((DJ247*(20/100))+(DK247*(30/100))+(DL247*(50/100))) &lt;=9.3, SUM((DJ247*(20/100))+(DK247*(30/100))+(DL247*(50/100))) &gt;=8.8),9,
IF(AND( SUM((DJ247*(20/100))+(DK247*(30/100))+(DL247*(50/100))) &lt;=8.8, SUM((DJ247*(20/100))+(DK247*(30/100))+(DL247*(50/100))) &gt;=8.3),8.5,
IF(AND( SUM((DJ247*(20/100))+(DK247*(30/100))+(DL247*(50/100))) &lt;=8.3, SUM((DJ247*(20/100))+(DK247*(30/100))+(DL247*(50/100))) &gt;=7.8),8,
IF(AND( SUM((DJ247*(20/100))+(DK247*(30/100))+(DL247*(50/100))) &lt;=7.8, SUM((DJ247*(20/100))+(DK247*(30/100))+(DL247*(50/100))) &gt;=7.3),7.5,
IF(AND( SUM((DJ247*(20/100))+(DK247*(30/100))+(DL247*(50/100))) &lt;=7.3, SUM((DJ247*(20/100))+(DK247*(30/100))+(DL247*(50/100))) &gt;=6.8),7,
IF(AND( SUM((DJ247*(20/100))+(DK247*(30/100))+(DL247*(50/100))) &lt;=6.8, SUM((DJ247*(20/100))+(DK247*(30/100))+(DL247*(50/100))) &gt;=6.3),6.5,
IF(AND( SUM((DJ247*(20/100))+(DK247*(30/100))+(DL247*(50/100))) &lt;=6.3, SUM((DJ247*(20/100))+(DK247*(30/100))+(DL247*(50/100))) &gt;=5.8),6,
IF(AND( SUM((DJ247*(20/100))+(DK247*(30/100))+(DL247*(50/100))) &lt;=5.8, SUM((DJ247*(20/100))+(DK247*(30/100))+(DL247*(50/100))) &gt;=5.3),5.5,
IF(AND( SUM((DJ247*(20/100))+(DK247*(30/100))+(DL247*(50/100))) &lt;=5.3, SUM((DJ247*(20/100))+(DK247*(30/100))+(DL247*(50/100))) &gt;=4.8),5,
IF(AND( SUM((DJ247*(20/100))+(DK247*(30/100))+(DL247*(50/100))) &lt;=4.8, SUM((DJ247*(20/100))+(DK247*(30/100))+(DL247*(50/100))) &gt;=4.3),4.5,
IF(AND( SUM((DJ247*(20/100))+(DK247*(30/100))+(DL247*(50/100))) &lt;=4.3, SUM((DJ247*(20/100))+(DK247*(30/100))+(DL247*(50/100))) &gt;=3.8),4,
IF(AND( SUM((DJ247*(20/100))+(DK247*(30/100))+(DL247*(50/100))) &lt;=3.8, SUM((DJ247*(20/100))+(DK247*(30/100))+(DL247*(50/100))) &gt;=3.5),3.5,0)))))))))))))</f>
        <v>0</v>
      </c>
      <c r="DQ247" s="541"/>
      <c r="DR247" s="541"/>
      <c r="DS247" s="541"/>
      <c r="DT247" s="541"/>
      <c r="DU247" s="541"/>
      <c r="DV247" s="541"/>
      <c r="DW247" s="541"/>
      <c r="DX247" s="541"/>
      <c r="DY247" s="541"/>
      <c r="DZ247" s="541"/>
    </row>
    <row r="248" spans="2:130" x14ac:dyDescent="0.25">
      <c r="B248" s="334">
        <v>41</v>
      </c>
      <c r="C248" s="541"/>
      <c r="D248" s="334"/>
      <c r="E248" s="334"/>
      <c r="F248" s="334"/>
      <c r="G248" s="334"/>
      <c r="H248" s="334"/>
      <c r="I248" s="334"/>
      <c r="J248" s="536"/>
      <c r="K248" s="536"/>
      <c r="L248" s="536"/>
      <c r="M248" s="536"/>
      <c r="N248" s="536"/>
      <c r="O248" s="536"/>
      <c r="P248" s="536">
        <f t="shared" si="76"/>
        <v>0</v>
      </c>
      <c r="Q248" s="536"/>
      <c r="R248" s="536"/>
      <c r="S248" s="536"/>
      <c r="T248" s="536">
        <f t="shared" si="77"/>
        <v>0</v>
      </c>
      <c r="U248" s="536"/>
      <c r="V248" s="536"/>
      <c r="W248" s="536"/>
      <c r="X248" s="536">
        <f t="shared" si="78"/>
        <v>0</v>
      </c>
      <c r="Y248" s="536"/>
      <c r="Z248" s="536"/>
      <c r="AA248" s="536"/>
      <c r="AB248" s="536">
        <f t="shared" si="79"/>
        <v>0</v>
      </c>
      <c r="AC248" s="536"/>
      <c r="AD248" s="536"/>
      <c r="AE248" s="536"/>
      <c r="AF248" s="536">
        <f t="shared" si="80"/>
        <v>0</v>
      </c>
      <c r="AG248" s="536"/>
      <c r="AH248" s="536"/>
      <c r="AI248" s="536"/>
      <c r="AJ248" s="536">
        <f t="shared" si="81"/>
        <v>0</v>
      </c>
      <c r="AK248" s="536"/>
      <c r="AL248" s="536"/>
      <c r="AM248" s="536"/>
      <c r="AN248" s="542">
        <f t="shared" si="82"/>
        <v>0</v>
      </c>
      <c r="AO248" s="536"/>
      <c r="AP248" s="536"/>
      <c r="AQ248" s="536"/>
      <c r="AR248" s="542">
        <f t="shared" si="83"/>
        <v>0</v>
      </c>
      <c r="AS248" s="536"/>
      <c r="AT248" s="536"/>
      <c r="AU248" s="536"/>
      <c r="AV248" s="542">
        <f t="shared" si="84"/>
        <v>0</v>
      </c>
      <c r="AW248" s="536"/>
      <c r="AX248" s="536"/>
      <c r="AY248" s="536"/>
      <c r="AZ248" s="542">
        <f t="shared" si="85"/>
        <v>0</v>
      </c>
      <c r="BA248" s="536"/>
      <c r="BB248" s="536"/>
      <c r="BC248" s="536"/>
      <c r="BD248" s="542">
        <f t="shared" si="86"/>
        <v>0</v>
      </c>
      <c r="BE248" s="536"/>
      <c r="BF248" s="536"/>
      <c r="BG248" s="536"/>
      <c r="BH248" s="542">
        <f t="shared" si="87"/>
        <v>0</v>
      </c>
      <c r="BI248" s="536"/>
      <c r="BJ248" s="536"/>
      <c r="BK248" s="536"/>
      <c r="BL248" s="542">
        <f t="shared" si="88"/>
        <v>0</v>
      </c>
      <c r="BM248" s="536"/>
      <c r="BN248" s="536"/>
      <c r="BO248" s="536"/>
      <c r="BP248" s="542">
        <f t="shared" si="89"/>
        <v>0</v>
      </c>
      <c r="BQ248" s="536"/>
      <c r="BR248" s="536"/>
      <c r="BS248" s="536"/>
      <c r="BT248" s="542">
        <f t="shared" si="90"/>
        <v>0</v>
      </c>
      <c r="BU248" s="536"/>
      <c r="BV248" s="536"/>
      <c r="BW248" s="536"/>
      <c r="BX248" s="542">
        <f t="shared" si="91"/>
        <v>0</v>
      </c>
      <c r="BY248" s="536"/>
      <c r="BZ248" s="536"/>
      <c r="CA248" s="536"/>
      <c r="CB248" s="542">
        <v>0</v>
      </c>
      <c r="CC248" s="536"/>
      <c r="CD248" s="536"/>
      <c r="CE248" s="536"/>
      <c r="CF248" s="541">
        <f t="shared" si="92"/>
        <v>0</v>
      </c>
      <c r="CG248" s="536"/>
      <c r="CH248" s="536"/>
      <c r="CI248" s="536"/>
      <c r="CJ248" s="541">
        <f t="shared" si="93"/>
        <v>0</v>
      </c>
      <c r="CK248" s="536"/>
      <c r="CL248" s="536"/>
      <c r="CM248" s="536"/>
      <c r="CN248" s="541">
        <f t="shared" si="94"/>
        <v>0</v>
      </c>
      <c r="CO248" s="536"/>
      <c r="CP248" s="536"/>
      <c r="CQ248" s="536"/>
      <c r="CR248" s="541">
        <f t="shared" si="95"/>
        <v>0</v>
      </c>
      <c r="CS248" s="536"/>
      <c r="CT248" s="536"/>
      <c r="CU248" s="536"/>
      <c r="CV248" s="541">
        <f t="shared" si="96"/>
        <v>0</v>
      </c>
      <c r="CW248" s="536"/>
      <c r="CX248" s="536"/>
      <c r="CY248" s="536"/>
      <c r="CZ248" s="541">
        <f t="shared" si="97"/>
        <v>0</v>
      </c>
      <c r="DA248" s="536"/>
      <c r="DB248" s="536"/>
      <c r="DC248" s="536"/>
      <c r="DD248" s="541">
        <f t="shared" si="98"/>
        <v>0</v>
      </c>
      <c r="DE248" s="536"/>
      <c r="DF248" s="536"/>
      <c r="DG248" s="536"/>
      <c r="DH248" s="541">
        <f t="shared" si="99"/>
        <v>0</v>
      </c>
      <c r="DI248" s="536"/>
      <c r="DJ248" s="536"/>
      <c r="DK248" s="536"/>
      <c r="DL248" s="541">
        <f t="shared" si="100"/>
        <v>0</v>
      </c>
      <c r="DM248" s="536"/>
      <c r="DN248" s="536"/>
      <c r="DO248" s="536"/>
      <c r="DP248" s="541">
        <f>IF( SUM((DJ248*(20/100))+(DK248*(30/100))+(DL248*(50/100))) &gt;=9.3,9.5,
IF(AND( SUM((DJ248*(20/100))+(DK248*(30/100))+(DL248*(50/100))) &lt;=9.3, SUM((DJ248*(20/100))+(DK248*(30/100))+(DL248*(50/100))) &gt;=8.8),9,
IF(AND( SUM((DJ248*(20/100))+(DK248*(30/100))+(DL248*(50/100))) &lt;=8.8, SUM((DJ248*(20/100))+(DK248*(30/100))+(DL248*(50/100))) &gt;=8.3),8.5,
IF(AND( SUM((DJ248*(20/100))+(DK248*(30/100))+(DL248*(50/100))) &lt;=8.3, SUM((DJ248*(20/100))+(DK248*(30/100))+(DL248*(50/100))) &gt;=7.8),8,
IF(AND( SUM((DJ248*(20/100))+(DK248*(30/100))+(DL248*(50/100))) &lt;=7.8, SUM((DJ248*(20/100))+(DK248*(30/100))+(DL248*(50/100))) &gt;=7.3),7.5,
IF(AND( SUM((DJ248*(20/100))+(DK248*(30/100))+(DL248*(50/100))) &lt;=7.3, SUM((DJ248*(20/100))+(DK248*(30/100))+(DL248*(50/100))) &gt;=6.8),7,
IF(AND( SUM((DJ248*(20/100))+(DK248*(30/100))+(DL248*(50/100))) &lt;=6.8, SUM((DJ248*(20/100))+(DK248*(30/100))+(DL248*(50/100))) &gt;=6.3),6.5,
IF(AND( SUM((DJ248*(20/100))+(DK248*(30/100))+(DL248*(50/100))) &lt;=6.3, SUM((DJ248*(20/100))+(DK248*(30/100))+(DL248*(50/100))) &gt;=5.8),6,
IF(AND( SUM((DJ248*(20/100))+(DK248*(30/100))+(DL248*(50/100))) &lt;=5.8, SUM((DJ248*(20/100))+(DK248*(30/100))+(DL248*(50/100))) &gt;=5.3),5.5,
IF(AND( SUM((DJ248*(20/100))+(DK248*(30/100))+(DL248*(50/100))) &lt;=5.3, SUM((DJ248*(20/100))+(DK248*(30/100))+(DL248*(50/100))) &gt;=4.8),5,
IF(AND( SUM((DJ248*(20/100))+(DK248*(30/100))+(DL248*(50/100))) &lt;=4.8, SUM((DJ248*(20/100))+(DK248*(30/100))+(DL248*(50/100))) &gt;=4.3),4.5,
IF(AND( SUM((DJ248*(20/100))+(DK248*(30/100))+(DL248*(50/100))) &lt;=4.3, SUM((DJ248*(20/100))+(DK248*(30/100))+(DL248*(50/100))) &gt;=3.8),4,
IF(AND( SUM((DJ248*(20/100))+(DK248*(30/100))+(DL248*(50/100))) &lt;=3.8, SUM((DJ248*(20/100))+(DK248*(30/100))+(DL248*(50/100))) &gt;=3.5),3.5,0)))))))))))))</f>
        <v>0</v>
      </c>
      <c r="DQ248" s="541"/>
      <c r="DR248" s="541"/>
      <c r="DS248" s="541"/>
      <c r="DT248" s="541"/>
      <c r="DU248" s="541"/>
      <c r="DV248" s="541"/>
      <c r="DW248" s="541"/>
      <c r="DX248" s="541"/>
      <c r="DY248" s="541"/>
      <c r="DZ248" s="541"/>
    </row>
    <row r="249" spans="2:130" x14ac:dyDescent="0.25">
      <c r="B249" s="334">
        <v>42</v>
      </c>
      <c r="C249" s="541"/>
      <c r="D249" s="334"/>
      <c r="E249" s="334"/>
      <c r="F249" s="334"/>
      <c r="G249" s="334"/>
      <c r="H249" s="334"/>
      <c r="I249" s="334"/>
      <c r="J249" s="536"/>
      <c r="K249" s="536"/>
      <c r="L249" s="536"/>
      <c r="M249" s="536"/>
      <c r="N249" s="536"/>
      <c r="O249" s="536"/>
      <c r="P249" s="536">
        <f t="shared" si="76"/>
        <v>0</v>
      </c>
      <c r="Q249" s="536"/>
      <c r="R249" s="536"/>
      <c r="S249" s="536"/>
      <c r="T249" s="536">
        <f t="shared" si="77"/>
        <v>0</v>
      </c>
      <c r="U249" s="536"/>
      <c r="V249" s="536"/>
      <c r="W249" s="536"/>
      <c r="X249" s="536">
        <f t="shared" si="78"/>
        <v>0</v>
      </c>
      <c r="Y249" s="536"/>
      <c r="Z249" s="536"/>
      <c r="AA249" s="536"/>
      <c r="AB249" s="536">
        <f t="shared" si="79"/>
        <v>0</v>
      </c>
      <c r="AC249" s="536"/>
      <c r="AD249" s="536"/>
      <c r="AE249" s="536"/>
      <c r="AF249" s="536">
        <f t="shared" si="80"/>
        <v>0</v>
      </c>
      <c r="AG249" s="536"/>
      <c r="AH249" s="536"/>
      <c r="AI249" s="536"/>
      <c r="AJ249" s="536">
        <f t="shared" si="81"/>
        <v>0</v>
      </c>
      <c r="AK249" s="536"/>
      <c r="AL249" s="536"/>
      <c r="AM249" s="536"/>
      <c r="AN249" s="542">
        <f t="shared" si="82"/>
        <v>0</v>
      </c>
      <c r="AO249" s="536"/>
      <c r="AP249" s="536"/>
      <c r="AQ249" s="536"/>
      <c r="AR249" s="542">
        <f t="shared" si="83"/>
        <v>0</v>
      </c>
      <c r="AS249" s="536"/>
      <c r="AT249" s="536"/>
      <c r="AU249" s="536"/>
      <c r="AV249" s="542">
        <f t="shared" si="84"/>
        <v>0</v>
      </c>
      <c r="AW249" s="536"/>
      <c r="AX249" s="536"/>
      <c r="AY249" s="536"/>
      <c r="AZ249" s="542">
        <f t="shared" si="85"/>
        <v>0</v>
      </c>
      <c r="BA249" s="536"/>
      <c r="BB249" s="536"/>
      <c r="BC249" s="536"/>
      <c r="BD249" s="542">
        <f t="shared" si="86"/>
        <v>0</v>
      </c>
      <c r="BE249" s="536"/>
      <c r="BF249" s="536"/>
      <c r="BG249" s="536"/>
      <c r="BH249" s="542">
        <f t="shared" si="87"/>
        <v>0</v>
      </c>
      <c r="BI249" s="536"/>
      <c r="BJ249" s="536"/>
      <c r="BK249" s="536"/>
      <c r="BL249" s="542">
        <f t="shared" si="88"/>
        <v>0</v>
      </c>
      <c r="BM249" s="536"/>
      <c r="BN249" s="536"/>
      <c r="BO249" s="536"/>
      <c r="BP249" s="542">
        <f t="shared" si="89"/>
        <v>0</v>
      </c>
      <c r="BQ249" s="536"/>
      <c r="BR249" s="536"/>
      <c r="BS249" s="536"/>
      <c r="BT249" s="542">
        <f t="shared" si="90"/>
        <v>0</v>
      </c>
      <c r="BU249" s="536"/>
      <c r="BV249" s="536"/>
      <c r="BW249" s="536"/>
      <c r="BX249" s="542">
        <f t="shared" si="91"/>
        <v>0</v>
      </c>
      <c r="BY249" s="536"/>
      <c r="BZ249" s="536"/>
      <c r="CA249" s="536"/>
      <c r="CB249" s="542">
        <v>0</v>
      </c>
      <c r="CC249" s="536"/>
      <c r="CD249" s="536"/>
      <c r="CE249" s="536"/>
      <c r="CF249" s="541">
        <f t="shared" si="92"/>
        <v>0</v>
      </c>
      <c r="CG249" s="536"/>
      <c r="CH249" s="536"/>
      <c r="CI249" s="536"/>
      <c r="CJ249" s="541">
        <f t="shared" si="93"/>
        <v>0</v>
      </c>
      <c r="CK249" s="536"/>
      <c r="CL249" s="536"/>
      <c r="CM249" s="536"/>
      <c r="CN249" s="541">
        <f t="shared" si="94"/>
        <v>0</v>
      </c>
      <c r="CO249" s="536"/>
      <c r="CP249" s="536"/>
      <c r="CQ249" s="536"/>
      <c r="CR249" s="541">
        <f t="shared" si="95"/>
        <v>0</v>
      </c>
      <c r="CS249" s="536"/>
      <c r="CT249" s="536"/>
      <c r="CU249" s="536"/>
      <c r="CV249" s="541">
        <f t="shared" si="96"/>
        <v>0</v>
      </c>
      <c r="CW249" s="536"/>
      <c r="CX249" s="536"/>
      <c r="CY249" s="536"/>
      <c r="CZ249" s="541">
        <f t="shared" si="97"/>
        <v>0</v>
      </c>
      <c r="DA249" s="536"/>
      <c r="DB249" s="536"/>
      <c r="DC249" s="536"/>
      <c r="DD249" s="541">
        <f t="shared" si="98"/>
        <v>0</v>
      </c>
      <c r="DE249" s="536"/>
      <c r="DF249" s="536"/>
      <c r="DG249" s="536"/>
      <c r="DH249" s="541">
        <f t="shared" si="99"/>
        <v>0</v>
      </c>
      <c r="DI249" s="536"/>
      <c r="DJ249" s="536"/>
      <c r="DK249" s="536"/>
      <c r="DL249" s="541">
        <f t="shared" si="100"/>
        <v>0</v>
      </c>
      <c r="DM249" s="536"/>
      <c r="DN249" s="536"/>
      <c r="DO249" s="536"/>
      <c r="DP249" s="541">
        <f>IF( SUM((DJ249*(20/100))+(DK249*(30/100))+(DL249*(50/100))) &gt;=9.3,9.5,
IF(AND( SUM((DJ249*(20/100))+(DK249*(30/100))+(DL249*(50/100))) &lt;=9.3, SUM((DJ249*(20/100))+(DK249*(30/100))+(DL249*(50/100))) &gt;=8.8),9,
IF(AND( SUM((DJ249*(20/100))+(DK249*(30/100))+(DL249*(50/100))) &lt;=8.8, SUM((DJ249*(20/100))+(DK249*(30/100))+(DL249*(50/100))) &gt;=8.3),8.5,
IF(AND( SUM((DJ249*(20/100))+(DK249*(30/100))+(DL249*(50/100))) &lt;=8.3, SUM((DJ249*(20/100))+(DK249*(30/100))+(DL249*(50/100))) &gt;=7.8),8,
IF(AND( SUM((DJ249*(20/100))+(DK249*(30/100))+(DL249*(50/100))) &lt;=7.8, SUM((DJ249*(20/100))+(DK249*(30/100))+(DL249*(50/100))) &gt;=7.3),7.5,
IF(AND( SUM((DJ249*(20/100))+(DK249*(30/100))+(DL249*(50/100))) &lt;=7.3, SUM((DJ249*(20/100))+(DK249*(30/100))+(DL249*(50/100))) &gt;=6.8),7,
IF(AND( SUM((DJ249*(20/100))+(DK249*(30/100))+(DL249*(50/100))) &lt;=6.8, SUM((DJ249*(20/100))+(DK249*(30/100))+(DL249*(50/100))) &gt;=6.3),6.5,
IF(AND( SUM((DJ249*(20/100))+(DK249*(30/100))+(DL249*(50/100))) &lt;=6.3, SUM((DJ249*(20/100))+(DK249*(30/100))+(DL249*(50/100))) &gt;=5.8),6,
IF(AND( SUM((DJ249*(20/100))+(DK249*(30/100))+(DL249*(50/100))) &lt;=5.8, SUM((DJ249*(20/100))+(DK249*(30/100))+(DL249*(50/100))) &gt;=5.3),5.5,
IF(AND( SUM((DJ249*(20/100))+(DK249*(30/100))+(DL249*(50/100))) &lt;=5.3, SUM((DJ249*(20/100))+(DK249*(30/100))+(DL249*(50/100))) &gt;=4.8),5,
IF(AND( SUM((DJ249*(20/100))+(DK249*(30/100))+(DL249*(50/100))) &lt;=4.8, SUM((DJ249*(20/100))+(DK249*(30/100))+(DL249*(50/100))) &gt;=4.3),4.5,
IF(AND( SUM((DJ249*(20/100))+(DK249*(30/100))+(DL249*(50/100))) &lt;=4.3, SUM((DJ249*(20/100))+(DK249*(30/100))+(DL249*(50/100))) &gt;=3.8),4,
IF(AND( SUM((DJ249*(20/100))+(DK249*(30/100))+(DL249*(50/100))) &lt;=3.8, SUM((DJ249*(20/100))+(DK249*(30/100))+(DL249*(50/100))) &gt;=3.5),3.5,0)))))))))))))</f>
        <v>0</v>
      </c>
      <c r="DQ249" s="541"/>
      <c r="DR249" s="541"/>
      <c r="DS249" s="541"/>
      <c r="DT249" s="541"/>
      <c r="DU249" s="541"/>
      <c r="DV249" s="541"/>
      <c r="DW249" s="541"/>
      <c r="DX249" s="541"/>
      <c r="DY249" s="541"/>
      <c r="DZ249" s="541"/>
    </row>
    <row r="250" spans="2:130" x14ac:dyDescent="0.25">
      <c r="B250" s="334">
        <v>43</v>
      </c>
      <c r="C250" s="541"/>
      <c r="D250" s="334"/>
      <c r="E250" s="334"/>
      <c r="F250" s="334"/>
      <c r="G250" s="334"/>
      <c r="H250" s="334"/>
      <c r="I250" s="334"/>
      <c r="J250" s="536"/>
      <c r="K250" s="536"/>
      <c r="L250" s="536"/>
      <c r="M250" s="536"/>
      <c r="N250" s="536"/>
      <c r="O250" s="536"/>
      <c r="P250" s="536">
        <f t="shared" si="76"/>
        <v>0</v>
      </c>
      <c r="Q250" s="536"/>
      <c r="R250" s="536"/>
      <c r="S250" s="536"/>
      <c r="T250" s="536">
        <f t="shared" si="77"/>
        <v>0</v>
      </c>
      <c r="U250" s="536"/>
      <c r="V250" s="536"/>
      <c r="W250" s="536"/>
      <c r="X250" s="536">
        <f t="shared" si="78"/>
        <v>0</v>
      </c>
      <c r="Y250" s="536"/>
      <c r="Z250" s="536"/>
      <c r="AA250" s="536"/>
      <c r="AB250" s="536">
        <f t="shared" si="79"/>
        <v>0</v>
      </c>
      <c r="AC250" s="536"/>
      <c r="AD250" s="536"/>
      <c r="AE250" s="536"/>
      <c r="AF250" s="536">
        <f t="shared" si="80"/>
        <v>0</v>
      </c>
      <c r="AG250" s="536"/>
      <c r="AH250" s="536"/>
      <c r="AI250" s="536"/>
      <c r="AJ250" s="536">
        <f t="shared" si="81"/>
        <v>0</v>
      </c>
      <c r="AK250" s="536"/>
      <c r="AL250" s="536"/>
      <c r="AM250" s="536"/>
      <c r="AN250" s="542">
        <f t="shared" si="82"/>
        <v>0</v>
      </c>
      <c r="AO250" s="536"/>
      <c r="AP250" s="536"/>
      <c r="AQ250" s="536"/>
      <c r="AR250" s="542">
        <f t="shared" si="83"/>
        <v>0</v>
      </c>
      <c r="AS250" s="536"/>
      <c r="AT250" s="536"/>
      <c r="AU250" s="536"/>
      <c r="AV250" s="542">
        <f t="shared" si="84"/>
        <v>0</v>
      </c>
      <c r="AW250" s="536"/>
      <c r="AX250" s="536"/>
      <c r="AY250" s="536"/>
      <c r="AZ250" s="542">
        <f t="shared" si="85"/>
        <v>0</v>
      </c>
      <c r="BA250" s="536"/>
      <c r="BB250" s="536"/>
      <c r="BC250" s="536"/>
      <c r="BD250" s="542">
        <f t="shared" si="86"/>
        <v>0</v>
      </c>
      <c r="BE250" s="536"/>
      <c r="BF250" s="536"/>
      <c r="BG250" s="536"/>
      <c r="BH250" s="542">
        <f t="shared" si="87"/>
        <v>0</v>
      </c>
      <c r="BI250" s="536"/>
      <c r="BJ250" s="536"/>
      <c r="BK250" s="536"/>
      <c r="BL250" s="542">
        <f t="shared" si="88"/>
        <v>0</v>
      </c>
      <c r="BM250" s="536"/>
      <c r="BN250" s="536"/>
      <c r="BO250" s="536"/>
      <c r="BP250" s="542">
        <f t="shared" si="89"/>
        <v>0</v>
      </c>
      <c r="BQ250" s="536"/>
      <c r="BR250" s="536"/>
      <c r="BS250" s="536"/>
      <c r="BT250" s="542">
        <f t="shared" si="90"/>
        <v>0</v>
      </c>
      <c r="BU250" s="536"/>
      <c r="BV250" s="536"/>
      <c r="BW250" s="536"/>
      <c r="BX250" s="542">
        <f t="shared" si="91"/>
        <v>0</v>
      </c>
      <c r="BY250" s="536"/>
      <c r="BZ250" s="536"/>
      <c r="CA250" s="536"/>
      <c r="CB250" s="542">
        <v>0</v>
      </c>
      <c r="CC250" s="536"/>
      <c r="CD250" s="536"/>
      <c r="CE250" s="536"/>
      <c r="CF250" s="541">
        <f t="shared" si="92"/>
        <v>0</v>
      </c>
      <c r="CG250" s="536"/>
      <c r="CH250" s="536"/>
      <c r="CI250" s="536"/>
      <c r="CJ250" s="541">
        <f t="shared" si="93"/>
        <v>0</v>
      </c>
      <c r="CK250" s="536"/>
      <c r="CL250" s="536"/>
      <c r="CM250" s="536"/>
      <c r="CN250" s="541">
        <f t="shared" si="94"/>
        <v>0</v>
      </c>
      <c r="CO250" s="536"/>
      <c r="CP250" s="536"/>
      <c r="CQ250" s="536"/>
      <c r="CR250" s="541">
        <f t="shared" si="95"/>
        <v>0</v>
      </c>
      <c r="CS250" s="536"/>
      <c r="CT250" s="536"/>
      <c r="CU250" s="536"/>
      <c r="CV250" s="541">
        <f t="shared" si="96"/>
        <v>0</v>
      </c>
      <c r="CW250" s="536"/>
      <c r="CX250" s="536"/>
      <c r="CY250" s="536"/>
      <c r="CZ250" s="541">
        <f t="shared" si="97"/>
        <v>0</v>
      </c>
      <c r="DA250" s="536"/>
      <c r="DB250" s="536"/>
      <c r="DC250" s="536"/>
      <c r="DD250" s="541">
        <f t="shared" si="98"/>
        <v>0</v>
      </c>
      <c r="DE250" s="536"/>
      <c r="DF250" s="536"/>
      <c r="DG250" s="536"/>
      <c r="DH250" s="541">
        <f t="shared" si="99"/>
        <v>0</v>
      </c>
      <c r="DI250" s="536"/>
      <c r="DJ250" s="536"/>
      <c r="DK250" s="536"/>
      <c r="DL250" s="541">
        <f t="shared" si="100"/>
        <v>0</v>
      </c>
      <c r="DM250" s="536"/>
      <c r="DN250" s="536"/>
      <c r="DO250" s="536"/>
      <c r="DP250" s="541">
        <f>IF( SUM((DJ250*(20/100))+(DK250*(30/100))+(DL250*(50/100))) &gt;=9.3,9.5,
IF(AND( SUM((DJ250*(20/100))+(DK250*(30/100))+(DL250*(50/100))) &lt;=9.3, SUM((DJ250*(20/100))+(DK250*(30/100))+(DL250*(50/100))) &gt;=8.8),9,
IF(AND( SUM((DJ250*(20/100))+(DK250*(30/100))+(DL250*(50/100))) &lt;=8.8, SUM((DJ250*(20/100))+(DK250*(30/100))+(DL250*(50/100))) &gt;=8.3),8.5,
IF(AND( SUM((DJ250*(20/100))+(DK250*(30/100))+(DL250*(50/100))) &lt;=8.3, SUM((DJ250*(20/100))+(DK250*(30/100))+(DL250*(50/100))) &gt;=7.8),8,
IF(AND( SUM((DJ250*(20/100))+(DK250*(30/100))+(DL250*(50/100))) &lt;=7.8, SUM((DJ250*(20/100))+(DK250*(30/100))+(DL250*(50/100))) &gt;=7.3),7.5,
IF(AND( SUM((DJ250*(20/100))+(DK250*(30/100))+(DL250*(50/100))) &lt;=7.3, SUM((DJ250*(20/100))+(DK250*(30/100))+(DL250*(50/100))) &gt;=6.8),7,
IF(AND( SUM((DJ250*(20/100))+(DK250*(30/100))+(DL250*(50/100))) &lt;=6.8, SUM((DJ250*(20/100))+(DK250*(30/100))+(DL250*(50/100))) &gt;=6.3),6.5,
IF(AND( SUM((DJ250*(20/100))+(DK250*(30/100))+(DL250*(50/100))) &lt;=6.3, SUM((DJ250*(20/100))+(DK250*(30/100))+(DL250*(50/100))) &gt;=5.8),6,
IF(AND( SUM((DJ250*(20/100))+(DK250*(30/100))+(DL250*(50/100))) &lt;=5.8, SUM((DJ250*(20/100))+(DK250*(30/100))+(DL250*(50/100))) &gt;=5.3),5.5,
IF(AND( SUM((DJ250*(20/100))+(DK250*(30/100))+(DL250*(50/100))) &lt;=5.3, SUM((DJ250*(20/100))+(DK250*(30/100))+(DL250*(50/100))) &gt;=4.8),5,
IF(AND( SUM((DJ250*(20/100))+(DK250*(30/100))+(DL250*(50/100))) &lt;=4.8, SUM((DJ250*(20/100))+(DK250*(30/100))+(DL250*(50/100))) &gt;=4.3),4.5,
IF(AND( SUM((DJ250*(20/100))+(DK250*(30/100))+(DL250*(50/100))) &lt;=4.3, SUM((DJ250*(20/100))+(DK250*(30/100))+(DL250*(50/100))) &gt;=3.8),4,
IF(AND( SUM((DJ250*(20/100))+(DK250*(30/100))+(DL250*(50/100))) &lt;=3.8, SUM((DJ250*(20/100))+(DK250*(30/100))+(DL250*(50/100))) &gt;=3.5),3.5,0)))))))))))))</f>
        <v>0</v>
      </c>
      <c r="DQ250" s="541"/>
      <c r="DR250" s="541"/>
      <c r="DS250" s="541"/>
      <c r="DT250" s="541"/>
      <c r="DU250" s="541"/>
      <c r="DV250" s="541"/>
      <c r="DW250" s="541"/>
      <c r="DX250" s="541"/>
      <c r="DY250" s="541"/>
      <c r="DZ250" s="541"/>
    </row>
    <row r="251" spans="2:130" x14ac:dyDescent="0.25">
      <c r="B251" s="334">
        <v>44</v>
      </c>
      <c r="C251" s="541"/>
      <c r="D251" s="334"/>
      <c r="E251" s="334"/>
      <c r="F251" s="334"/>
      <c r="G251" s="334"/>
      <c r="H251" s="334"/>
      <c r="I251" s="334"/>
      <c r="J251" s="536"/>
      <c r="K251" s="536"/>
      <c r="L251" s="536"/>
      <c r="M251" s="536"/>
      <c r="N251" s="536"/>
      <c r="O251" s="536"/>
      <c r="P251" s="536">
        <f t="shared" si="76"/>
        <v>0</v>
      </c>
      <c r="Q251" s="536"/>
      <c r="R251" s="536"/>
      <c r="S251" s="536"/>
      <c r="T251" s="536">
        <f t="shared" si="77"/>
        <v>0</v>
      </c>
      <c r="U251" s="536"/>
      <c r="V251" s="536"/>
      <c r="W251" s="536"/>
      <c r="X251" s="536">
        <f t="shared" si="78"/>
        <v>0</v>
      </c>
      <c r="Y251" s="536"/>
      <c r="Z251" s="536"/>
      <c r="AA251" s="536"/>
      <c r="AB251" s="536">
        <f t="shared" si="79"/>
        <v>0</v>
      </c>
      <c r="AC251" s="536"/>
      <c r="AD251" s="536"/>
      <c r="AE251" s="536"/>
      <c r="AF251" s="536">
        <f t="shared" si="80"/>
        <v>0</v>
      </c>
      <c r="AG251" s="536"/>
      <c r="AH251" s="536"/>
      <c r="AI251" s="536"/>
      <c r="AJ251" s="536">
        <f t="shared" si="81"/>
        <v>0</v>
      </c>
      <c r="AK251" s="536"/>
      <c r="AL251" s="536"/>
      <c r="AM251" s="536"/>
      <c r="AN251" s="542">
        <f t="shared" si="82"/>
        <v>0</v>
      </c>
      <c r="AO251" s="536"/>
      <c r="AP251" s="536"/>
      <c r="AQ251" s="536"/>
      <c r="AR251" s="542">
        <f t="shared" si="83"/>
        <v>0</v>
      </c>
      <c r="AS251" s="536"/>
      <c r="AT251" s="536"/>
      <c r="AU251" s="536"/>
      <c r="AV251" s="542">
        <f t="shared" si="84"/>
        <v>0</v>
      </c>
      <c r="AW251" s="536"/>
      <c r="AX251" s="536"/>
      <c r="AY251" s="536"/>
      <c r="AZ251" s="542">
        <f t="shared" si="85"/>
        <v>0</v>
      </c>
      <c r="BA251" s="536"/>
      <c r="BB251" s="536"/>
      <c r="BC251" s="536"/>
      <c r="BD251" s="542">
        <f t="shared" si="86"/>
        <v>0</v>
      </c>
      <c r="BE251" s="536"/>
      <c r="BF251" s="536"/>
      <c r="BG251" s="536"/>
      <c r="BH251" s="542">
        <f t="shared" si="87"/>
        <v>0</v>
      </c>
      <c r="BI251" s="536"/>
      <c r="BJ251" s="536"/>
      <c r="BK251" s="536"/>
      <c r="BL251" s="542">
        <f t="shared" si="88"/>
        <v>0</v>
      </c>
      <c r="BM251" s="536"/>
      <c r="BN251" s="536"/>
      <c r="BO251" s="536"/>
      <c r="BP251" s="542">
        <f t="shared" si="89"/>
        <v>0</v>
      </c>
      <c r="BQ251" s="536"/>
      <c r="BR251" s="536"/>
      <c r="BS251" s="536"/>
      <c r="BT251" s="542">
        <f t="shared" si="90"/>
        <v>0</v>
      </c>
      <c r="BU251" s="536"/>
      <c r="BV251" s="536"/>
      <c r="BW251" s="536"/>
      <c r="BX251" s="542">
        <f t="shared" si="91"/>
        <v>0</v>
      </c>
      <c r="BY251" s="536"/>
      <c r="BZ251" s="536"/>
      <c r="CA251" s="536"/>
      <c r="CB251" s="542">
        <v>0</v>
      </c>
      <c r="CC251" s="536"/>
      <c r="CD251" s="536"/>
      <c r="CE251" s="536"/>
      <c r="CF251" s="541">
        <f t="shared" si="92"/>
        <v>0</v>
      </c>
      <c r="CG251" s="536"/>
      <c r="CH251" s="536"/>
      <c r="CI251" s="536"/>
      <c r="CJ251" s="541">
        <f t="shared" si="93"/>
        <v>0</v>
      </c>
      <c r="CK251" s="536"/>
      <c r="CL251" s="536"/>
      <c r="CM251" s="536"/>
      <c r="CN251" s="541">
        <f t="shared" si="94"/>
        <v>0</v>
      </c>
      <c r="CO251" s="536"/>
      <c r="CP251" s="536"/>
      <c r="CQ251" s="536"/>
      <c r="CR251" s="541">
        <f t="shared" si="95"/>
        <v>0</v>
      </c>
      <c r="CS251" s="536"/>
      <c r="CT251" s="536"/>
      <c r="CU251" s="536"/>
      <c r="CV251" s="541">
        <f t="shared" si="96"/>
        <v>0</v>
      </c>
      <c r="CW251" s="536"/>
      <c r="CX251" s="536"/>
      <c r="CY251" s="536"/>
      <c r="CZ251" s="541">
        <f t="shared" si="97"/>
        <v>0</v>
      </c>
      <c r="DA251" s="536"/>
      <c r="DB251" s="536"/>
      <c r="DC251" s="536"/>
      <c r="DD251" s="541">
        <f t="shared" si="98"/>
        <v>0</v>
      </c>
      <c r="DE251" s="536"/>
      <c r="DF251" s="536"/>
      <c r="DG251" s="536"/>
      <c r="DH251" s="541">
        <f t="shared" si="99"/>
        <v>0</v>
      </c>
      <c r="DI251" s="536"/>
      <c r="DJ251" s="536"/>
      <c r="DK251" s="536"/>
      <c r="DL251" s="541">
        <f t="shared" si="100"/>
        <v>0</v>
      </c>
      <c r="DM251" s="536"/>
      <c r="DN251" s="536"/>
      <c r="DO251" s="536"/>
      <c r="DP251" s="541">
        <f>IF( SUM((DJ251*(20/100))+(DK251*(30/100))+(DL251*(50/100))) &gt;=9.3,9.5,
IF(AND( SUM((DJ251*(20/100))+(DK251*(30/100))+(DL251*(50/100))) &lt;=9.3, SUM((DJ251*(20/100))+(DK251*(30/100))+(DL251*(50/100))) &gt;=8.8),9,
IF(AND( SUM((DJ251*(20/100))+(DK251*(30/100))+(DL251*(50/100))) &lt;=8.8, SUM((DJ251*(20/100))+(DK251*(30/100))+(DL251*(50/100))) &gt;=8.3),8.5,
IF(AND( SUM((DJ251*(20/100))+(DK251*(30/100))+(DL251*(50/100))) &lt;=8.3, SUM((DJ251*(20/100))+(DK251*(30/100))+(DL251*(50/100))) &gt;=7.8),8,
IF(AND( SUM((DJ251*(20/100))+(DK251*(30/100))+(DL251*(50/100))) &lt;=7.8, SUM((DJ251*(20/100))+(DK251*(30/100))+(DL251*(50/100))) &gt;=7.3),7.5,
IF(AND( SUM((DJ251*(20/100))+(DK251*(30/100))+(DL251*(50/100))) &lt;=7.3, SUM((DJ251*(20/100))+(DK251*(30/100))+(DL251*(50/100))) &gt;=6.8),7,
IF(AND( SUM((DJ251*(20/100))+(DK251*(30/100))+(DL251*(50/100))) &lt;=6.8, SUM((DJ251*(20/100))+(DK251*(30/100))+(DL251*(50/100))) &gt;=6.3),6.5,
IF(AND( SUM((DJ251*(20/100))+(DK251*(30/100))+(DL251*(50/100))) &lt;=6.3, SUM((DJ251*(20/100))+(DK251*(30/100))+(DL251*(50/100))) &gt;=5.8),6,
IF(AND( SUM((DJ251*(20/100))+(DK251*(30/100))+(DL251*(50/100))) &lt;=5.8, SUM((DJ251*(20/100))+(DK251*(30/100))+(DL251*(50/100))) &gt;=5.3),5.5,
IF(AND( SUM((DJ251*(20/100))+(DK251*(30/100))+(DL251*(50/100))) &lt;=5.3, SUM((DJ251*(20/100))+(DK251*(30/100))+(DL251*(50/100))) &gt;=4.8),5,
IF(AND( SUM((DJ251*(20/100))+(DK251*(30/100))+(DL251*(50/100))) &lt;=4.8, SUM((DJ251*(20/100))+(DK251*(30/100))+(DL251*(50/100))) &gt;=4.3),4.5,
IF(AND( SUM((DJ251*(20/100))+(DK251*(30/100))+(DL251*(50/100))) &lt;=4.3, SUM((DJ251*(20/100))+(DK251*(30/100))+(DL251*(50/100))) &gt;=3.8),4,
IF(AND( SUM((DJ251*(20/100))+(DK251*(30/100))+(DL251*(50/100))) &lt;=3.8, SUM((DJ251*(20/100))+(DK251*(30/100))+(DL251*(50/100))) &gt;=3.5),3.5,0)))))))))))))</f>
        <v>0</v>
      </c>
      <c r="DQ251" s="541"/>
      <c r="DR251" s="541"/>
      <c r="DS251" s="541"/>
      <c r="DT251" s="541"/>
      <c r="DU251" s="541"/>
      <c r="DV251" s="541"/>
      <c r="DW251" s="541"/>
      <c r="DX251" s="541"/>
      <c r="DY251" s="541"/>
      <c r="DZ251" s="541"/>
    </row>
    <row r="252" spans="2:130" x14ac:dyDescent="0.25">
      <c r="B252" s="334">
        <v>45</v>
      </c>
      <c r="C252" s="541"/>
      <c r="D252" s="334"/>
      <c r="E252" s="334"/>
      <c r="F252" s="334"/>
      <c r="G252" s="334"/>
      <c r="H252" s="334"/>
      <c r="I252" s="334"/>
      <c r="J252" s="536"/>
      <c r="K252" s="536"/>
      <c r="L252" s="536"/>
      <c r="M252" s="536"/>
      <c r="N252" s="536"/>
      <c r="O252" s="536"/>
      <c r="P252" s="536">
        <f t="shared" si="76"/>
        <v>0</v>
      </c>
      <c r="Q252" s="536"/>
      <c r="R252" s="536"/>
      <c r="S252" s="536"/>
      <c r="T252" s="536">
        <f t="shared" si="77"/>
        <v>0</v>
      </c>
      <c r="U252" s="536"/>
      <c r="V252" s="536"/>
      <c r="W252" s="536"/>
      <c r="X252" s="536">
        <f t="shared" si="78"/>
        <v>0</v>
      </c>
      <c r="Y252" s="536"/>
      <c r="Z252" s="536"/>
      <c r="AA252" s="536"/>
      <c r="AB252" s="536">
        <f t="shared" si="79"/>
        <v>0</v>
      </c>
      <c r="AC252" s="536"/>
      <c r="AD252" s="536"/>
      <c r="AE252" s="536"/>
      <c r="AF252" s="536">
        <f t="shared" si="80"/>
        <v>0</v>
      </c>
      <c r="AG252" s="536"/>
      <c r="AH252" s="536"/>
      <c r="AI252" s="536"/>
      <c r="AJ252" s="536">
        <f t="shared" si="81"/>
        <v>0</v>
      </c>
      <c r="AK252" s="536"/>
      <c r="AL252" s="536"/>
      <c r="AM252" s="536"/>
      <c r="AN252" s="542">
        <f t="shared" si="82"/>
        <v>0</v>
      </c>
      <c r="AO252" s="536"/>
      <c r="AP252" s="536"/>
      <c r="AQ252" s="536"/>
      <c r="AR252" s="542">
        <f t="shared" si="83"/>
        <v>0</v>
      </c>
      <c r="AS252" s="536"/>
      <c r="AT252" s="536"/>
      <c r="AU252" s="536"/>
      <c r="AV252" s="542">
        <f t="shared" si="84"/>
        <v>0</v>
      </c>
      <c r="AW252" s="536"/>
      <c r="AX252" s="536"/>
      <c r="AY252" s="536"/>
      <c r="AZ252" s="542">
        <f t="shared" si="85"/>
        <v>0</v>
      </c>
      <c r="BA252" s="536"/>
      <c r="BB252" s="536"/>
      <c r="BC252" s="536"/>
      <c r="BD252" s="542">
        <f t="shared" si="86"/>
        <v>0</v>
      </c>
      <c r="BE252" s="536"/>
      <c r="BF252" s="536"/>
      <c r="BG252" s="536"/>
      <c r="BH252" s="542">
        <f t="shared" si="87"/>
        <v>0</v>
      </c>
      <c r="BI252" s="536"/>
      <c r="BJ252" s="536"/>
      <c r="BK252" s="536"/>
      <c r="BL252" s="542">
        <f t="shared" si="88"/>
        <v>0</v>
      </c>
      <c r="BM252" s="536"/>
      <c r="BN252" s="536"/>
      <c r="BO252" s="536"/>
      <c r="BP252" s="542">
        <f t="shared" si="89"/>
        <v>0</v>
      </c>
      <c r="BQ252" s="536"/>
      <c r="BR252" s="536"/>
      <c r="BS252" s="536"/>
      <c r="BT252" s="542">
        <f t="shared" si="90"/>
        <v>0</v>
      </c>
      <c r="BU252" s="536"/>
      <c r="BV252" s="536"/>
      <c r="BW252" s="536"/>
      <c r="BX252" s="542">
        <f t="shared" si="91"/>
        <v>0</v>
      </c>
      <c r="BY252" s="536"/>
      <c r="BZ252" s="536"/>
      <c r="CA252" s="536"/>
      <c r="CB252" s="542">
        <v>0</v>
      </c>
      <c r="CC252" s="536"/>
      <c r="CD252" s="536"/>
      <c r="CE252" s="536"/>
      <c r="CF252" s="541">
        <f t="shared" si="92"/>
        <v>0</v>
      </c>
      <c r="CG252" s="536"/>
      <c r="CH252" s="536"/>
      <c r="CI252" s="536"/>
      <c r="CJ252" s="541">
        <f t="shared" si="93"/>
        <v>0</v>
      </c>
      <c r="CK252" s="536"/>
      <c r="CL252" s="536"/>
      <c r="CM252" s="536"/>
      <c r="CN252" s="541">
        <f t="shared" si="94"/>
        <v>0</v>
      </c>
      <c r="CO252" s="536"/>
      <c r="CP252" s="536"/>
      <c r="CQ252" s="536"/>
      <c r="CR252" s="541">
        <f t="shared" si="95"/>
        <v>0</v>
      </c>
      <c r="CS252" s="536"/>
      <c r="CT252" s="536"/>
      <c r="CU252" s="536"/>
      <c r="CV252" s="541">
        <f t="shared" si="96"/>
        <v>0</v>
      </c>
      <c r="CW252" s="536"/>
      <c r="CX252" s="536"/>
      <c r="CY252" s="536"/>
      <c r="CZ252" s="541">
        <f t="shared" si="97"/>
        <v>0</v>
      </c>
      <c r="DA252" s="536"/>
      <c r="DB252" s="536"/>
      <c r="DC252" s="536"/>
      <c r="DD252" s="541">
        <f t="shared" si="98"/>
        <v>0</v>
      </c>
      <c r="DE252" s="536"/>
      <c r="DF252" s="536"/>
      <c r="DG252" s="536"/>
      <c r="DH252" s="541">
        <f t="shared" si="99"/>
        <v>0</v>
      </c>
      <c r="DI252" s="536"/>
      <c r="DJ252" s="536"/>
      <c r="DK252" s="536"/>
      <c r="DL252" s="541">
        <f t="shared" si="100"/>
        <v>0</v>
      </c>
      <c r="DM252" s="536"/>
      <c r="DN252" s="536"/>
      <c r="DO252" s="536"/>
      <c r="DP252" s="541">
        <f>IF( SUM((DJ252*(20/100))+(DK252*(30/100))+(DL252*(50/100))) &gt;=9.3,9.5,
IF(AND( SUM((DJ252*(20/100))+(DK252*(30/100))+(DL252*(50/100))) &lt;=9.3, SUM((DJ252*(20/100))+(DK252*(30/100))+(DL252*(50/100))) &gt;=8.8),9,
IF(AND( SUM((DJ252*(20/100))+(DK252*(30/100))+(DL252*(50/100))) &lt;=8.8, SUM((DJ252*(20/100))+(DK252*(30/100))+(DL252*(50/100))) &gt;=8.3),8.5,
IF(AND( SUM((DJ252*(20/100))+(DK252*(30/100))+(DL252*(50/100))) &lt;=8.3, SUM((DJ252*(20/100))+(DK252*(30/100))+(DL252*(50/100))) &gt;=7.8),8,
IF(AND( SUM((DJ252*(20/100))+(DK252*(30/100))+(DL252*(50/100))) &lt;=7.8, SUM((DJ252*(20/100))+(DK252*(30/100))+(DL252*(50/100))) &gt;=7.3),7.5,
IF(AND( SUM((DJ252*(20/100))+(DK252*(30/100))+(DL252*(50/100))) &lt;=7.3, SUM((DJ252*(20/100))+(DK252*(30/100))+(DL252*(50/100))) &gt;=6.8),7,
IF(AND( SUM((DJ252*(20/100))+(DK252*(30/100))+(DL252*(50/100))) &lt;=6.8, SUM((DJ252*(20/100))+(DK252*(30/100))+(DL252*(50/100))) &gt;=6.3),6.5,
IF(AND( SUM((DJ252*(20/100))+(DK252*(30/100))+(DL252*(50/100))) &lt;=6.3, SUM((DJ252*(20/100))+(DK252*(30/100))+(DL252*(50/100))) &gt;=5.8),6,
IF(AND( SUM((DJ252*(20/100))+(DK252*(30/100))+(DL252*(50/100))) &lt;=5.8, SUM((DJ252*(20/100))+(DK252*(30/100))+(DL252*(50/100))) &gt;=5.3),5.5,
IF(AND( SUM((DJ252*(20/100))+(DK252*(30/100))+(DL252*(50/100))) &lt;=5.3, SUM((DJ252*(20/100))+(DK252*(30/100))+(DL252*(50/100))) &gt;=4.8),5,
IF(AND( SUM((DJ252*(20/100))+(DK252*(30/100))+(DL252*(50/100))) &lt;=4.8, SUM((DJ252*(20/100))+(DK252*(30/100))+(DL252*(50/100))) &gt;=4.3),4.5,
IF(AND( SUM((DJ252*(20/100))+(DK252*(30/100))+(DL252*(50/100))) &lt;=4.3, SUM((DJ252*(20/100))+(DK252*(30/100))+(DL252*(50/100))) &gt;=3.8),4,
IF(AND( SUM((DJ252*(20/100))+(DK252*(30/100))+(DL252*(50/100))) &lt;=3.8, SUM((DJ252*(20/100))+(DK252*(30/100))+(DL252*(50/100))) &gt;=3.5),3.5,0)))))))))))))</f>
        <v>0</v>
      </c>
      <c r="DQ252" s="541"/>
      <c r="DR252" s="541"/>
      <c r="DS252" s="541"/>
      <c r="DT252" s="541"/>
      <c r="DU252" s="541"/>
      <c r="DV252" s="541"/>
      <c r="DW252" s="541"/>
      <c r="DX252" s="541"/>
      <c r="DY252" s="541"/>
      <c r="DZ252" s="541"/>
    </row>
    <row r="253" spans="2:130" x14ac:dyDescent="0.25">
      <c r="B253" s="334">
        <v>46</v>
      </c>
      <c r="C253" s="541"/>
      <c r="D253" s="334"/>
      <c r="E253" s="334"/>
      <c r="F253" s="334"/>
      <c r="G253" s="334"/>
      <c r="H253" s="334"/>
      <c r="I253" s="334"/>
      <c r="J253" s="536"/>
      <c r="K253" s="536"/>
      <c r="L253" s="536"/>
      <c r="M253" s="536"/>
      <c r="N253" s="536"/>
      <c r="O253" s="536"/>
      <c r="P253" s="536">
        <f t="shared" si="76"/>
        <v>0</v>
      </c>
      <c r="Q253" s="536"/>
      <c r="R253" s="536"/>
      <c r="S253" s="536"/>
      <c r="T253" s="536">
        <f t="shared" si="77"/>
        <v>0</v>
      </c>
      <c r="U253" s="536"/>
      <c r="V253" s="536"/>
      <c r="W253" s="536"/>
      <c r="X253" s="536">
        <f t="shared" si="78"/>
        <v>0</v>
      </c>
      <c r="Y253" s="536"/>
      <c r="Z253" s="536"/>
      <c r="AA253" s="536"/>
      <c r="AB253" s="536">
        <f t="shared" si="79"/>
        <v>0</v>
      </c>
      <c r="AC253" s="536"/>
      <c r="AD253" s="536"/>
      <c r="AE253" s="536"/>
      <c r="AF253" s="536">
        <f t="shared" si="80"/>
        <v>0</v>
      </c>
      <c r="AG253" s="536"/>
      <c r="AH253" s="536"/>
      <c r="AI253" s="536"/>
      <c r="AJ253" s="536">
        <f t="shared" si="81"/>
        <v>0</v>
      </c>
      <c r="AK253" s="536"/>
      <c r="AL253" s="536"/>
      <c r="AM253" s="536"/>
      <c r="AN253" s="542">
        <f t="shared" si="82"/>
        <v>0</v>
      </c>
      <c r="AO253" s="536"/>
      <c r="AP253" s="536"/>
      <c r="AQ253" s="536"/>
      <c r="AR253" s="542">
        <f t="shared" si="83"/>
        <v>0</v>
      </c>
      <c r="AS253" s="536"/>
      <c r="AT253" s="536"/>
      <c r="AU253" s="536"/>
      <c r="AV253" s="542">
        <f t="shared" si="84"/>
        <v>0</v>
      </c>
      <c r="AW253" s="536"/>
      <c r="AX253" s="536"/>
      <c r="AY253" s="536"/>
      <c r="AZ253" s="542">
        <f t="shared" si="85"/>
        <v>0</v>
      </c>
      <c r="BA253" s="536"/>
      <c r="BB253" s="536"/>
      <c r="BC253" s="536"/>
      <c r="BD253" s="542">
        <f t="shared" si="86"/>
        <v>0</v>
      </c>
      <c r="BE253" s="536"/>
      <c r="BF253" s="536"/>
      <c r="BG253" s="536"/>
      <c r="BH253" s="542">
        <f t="shared" si="87"/>
        <v>0</v>
      </c>
      <c r="BI253" s="536"/>
      <c r="BJ253" s="536"/>
      <c r="BK253" s="536"/>
      <c r="BL253" s="542">
        <f t="shared" si="88"/>
        <v>0</v>
      </c>
      <c r="BM253" s="536"/>
      <c r="BN253" s="536"/>
      <c r="BO253" s="536"/>
      <c r="BP253" s="542">
        <f t="shared" si="89"/>
        <v>0</v>
      </c>
      <c r="BQ253" s="536"/>
      <c r="BR253" s="536"/>
      <c r="BS253" s="536"/>
      <c r="BT253" s="542">
        <f t="shared" si="90"/>
        <v>0</v>
      </c>
      <c r="BU253" s="536"/>
      <c r="BV253" s="536"/>
      <c r="BW253" s="536"/>
      <c r="BX253" s="542">
        <f t="shared" si="91"/>
        <v>0</v>
      </c>
      <c r="BY253" s="536"/>
      <c r="BZ253" s="536"/>
      <c r="CA253" s="536"/>
      <c r="CB253" s="542">
        <v>0</v>
      </c>
      <c r="CC253" s="536"/>
      <c r="CD253" s="536"/>
      <c r="CE253" s="536"/>
      <c r="CF253" s="541">
        <f t="shared" si="92"/>
        <v>0</v>
      </c>
      <c r="CG253" s="536"/>
      <c r="CH253" s="536"/>
      <c r="CI253" s="536"/>
      <c r="CJ253" s="541">
        <f t="shared" si="93"/>
        <v>0</v>
      </c>
      <c r="CK253" s="536"/>
      <c r="CL253" s="536"/>
      <c r="CM253" s="536"/>
      <c r="CN253" s="541">
        <f t="shared" si="94"/>
        <v>0</v>
      </c>
      <c r="CO253" s="536"/>
      <c r="CP253" s="536"/>
      <c r="CQ253" s="536"/>
      <c r="CR253" s="541">
        <f t="shared" si="95"/>
        <v>0</v>
      </c>
      <c r="CS253" s="536"/>
      <c r="CT253" s="536"/>
      <c r="CU253" s="536"/>
      <c r="CV253" s="541">
        <f t="shared" si="96"/>
        <v>0</v>
      </c>
      <c r="CW253" s="536"/>
      <c r="CX253" s="536"/>
      <c r="CY253" s="536"/>
      <c r="CZ253" s="541">
        <f t="shared" si="97"/>
        <v>0</v>
      </c>
      <c r="DA253" s="536"/>
      <c r="DB253" s="536"/>
      <c r="DC253" s="536"/>
      <c r="DD253" s="541">
        <f t="shared" si="98"/>
        <v>0</v>
      </c>
      <c r="DE253" s="536"/>
      <c r="DF253" s="536"/>
      <c r="DG253" s="536"/>
      <c r="DH253" s="541">
        <f t="shared" si="99"/>
        <v>0</v>
      </c>
      <c r="DI253" s="536"/>
      <c r="DJ253" s="536"/>
      <c r="DK253" s="536"/>
      <c r="DL253" s="541">
        <f t="shared" si="100"/>
        <v>0</v>
      </c>
      <c r="DM253" s="536"/>
      <c r="DN253" s="536"/>
      <c r="DO253" s="536"/>
      <c r="DP253" s="541">
        <f>IF( SUM((DJ253*(20/100))+(DK253*(30/100))+(DL253*(50/100))) &gt;=9.3,9.5,
IF(AND( SUM((DJ253*(20/100))+(DK253*(30/100))+(DL253*(50/100))) &lt;=9.3, SUM((DJ253*(20/100))+(DK253*(30/100))+(DL253*(50/100))) &gt;=8.8),9,
IF(AND( SUM((DJ253*(20/100))+(DK253*(30/100))+(DL253*(50/100))) &lt;=8.8, SUM((DJ253*(20/100))+(DK253*(30/100))+(DL253*(50/100))) &gt;=8.3),8.5,
IF(AND( SUM((DJ253*(20/100))+(DK253*(30/100))+(DL253*(50/100))) &lt;=8.3, SUM((DJ253*(20/100))+(DK253*(30/100))+(DL253*(50/100))) &gt;=7.8),8,
IF(AND( SUM((DJ253*(20/100))+(DK253*(30/100))+(DL253*(50/100))) &lt;=7.8, SUM((DJ253*(20/100))+(DK253*(30/100))+(DL253*(50/100))) &gt;=7.3),7.5,
IF(AND( SUM((DJ253*(20/100))+(DK253*(30/100))+(DL253*(50/100))) &lt;=7.3, SUM((DJ253*(20/100))+(DK253*(30/100))+(DL253*(50/100))) &gt;=6.8),7,
IF(AND( SUM((DJ253*(20/100))+(DK253*(30/100))+(DL253*(50/100))) &lt;=6.8, SUM((DJ253*(20/100))+(DK253*(30/100))+(DL253*(50/100))) &gt;=6.3),6.5,
IF(AND( SUM((DJ253*(20/100))+(DK253*(30/100))+(DL253*(50/100))) &lt;=6.3, SUM((DJ253*(20/100))+(DK253*(30/100))+(DL253*(50/100))) &gt;=5.8),6,
IF(AND( SUM((DJ253*(20/100))+(DK253*(30/100))+(DL253*(50/100))) &lt;=5.8, SUM((DJ253*(20/100))+(DK253*(30/100))+(DL253*(50/100))) &gt;=5.3),5.5,
IF(AND( SUM((DJ253*(20/100))+(DK253*(30/100))+(DL253*(50/100))) &lt;=5.3, SUM((DJ253*(20/100))+(DK253*(30/100))+(DL253*(50/100))) &gt;=4.8),5,
IF(AND( SUM((DJ253*(20/100))+(DK253*(30/100))+(DL253*(50/100))) &lt;=4.8, SUM((DJ253*(20/100))+(DK253*(30/100))+(DL253*(50/100))) &gt;=4.3),4.5,
IF(AND( SUM((DJ253*(20/100))+(DK253*(30/100))+(DL253*(50/100))) &lt;=4.3, SUM((DJ253*(20/100))+(DK253*(30/100))+(DL253*(50/100))) &gt;=3.8),4,
IF(AND( SUM((DJ253*(20/100))+(DK253*(30/100))+(DL253*(50/100))) &lt;=3.8, SUM((DJ253*(20/100))+(DK253*(30/100))+(DL253*(50/100))) &gt;=3.5),3.5,0)))))))))))))</f>
        <v>0</v>
      </c>
      <c r="DQ253" s="541"/>
      <c r="DR253" s="541"/>
      <c r="DS253" s="541"/>
      <c r="DT253" s="541"/>
      <c r="DU253" s="541"/>
      <c r="DV253" s="541"/>
      <c r="DW253" s="541"/>
      <c r="DX253" s="541"/>
      <c r="DY253" s="541"/>
      <c r="DZ253" s="541"/>
    </row>
    <row r="254" spans="2:130" x14ac:dyDescent="0.25">
      <c r="B254" s="334">
        <v>47</v>
      </c>
      <c r="C254" s="541"/>
      <c r="D254" s="334"/>
      <c r="E254" s="334"/>
      <c r="F254" s="334"/>
      <c r="G254" s="334"/>
      <c r="H254" s="334"/>
      <c r="I254" s="334"/>
      <c r="J254" s="536"/>
      <c r="K254" s="536"/>
      <c r="L254" s="536"/>
      <c r="M254" s="536"/>
      <c r="N254" s="536"/>
      <c r="O254" s="536"/>
      <c r="P254" s="536">
        <f t="shared" si="76"/>
        <v>0</v>
      </c>
      <c r="Q254" s="536"/>
      <c r="R254" s="536"/>
      <c r="S254" s="536"/>
      <c r="T254" s="536">
        <f t="shared" si="77"/>
        <v>0</v>
      </c>
      <c r="U254" s="536"/>
      <c r="V254" s="536"/>
      <c r="W254" s="536"/>
      <c r="X254" s="536">
        <f t="shared" si="78"/>
        <v>0</v>
      </c>
      <c r="Y254" s="536"/>
      <c r="Z254" s="536"/>
      <c r="AA254" s="536"/>
      <c r="AB254" s="536">
        <f t="shared" si="79"/>
        <v>0</v>
      </c>
      <c r="AC254" s="536"/>
      <c r="AD254" s="536"/>
      <c r="AE254" s="536"/>
      <c r="AF254" s="536">
        <f t="shared" si="80"/>
        <v>0</v>
      </c>
      <c r="AG254" s="536"/>
      <c r="AH254" s="536"/>
      <c r="AI254" s="536"/>
      <c r="AJ254" s="536">
        <f t="shared" si="81"/>
        <v>0</v>
      </c>
      <c r="AK254" s="536"/>
      <c r="AL254" s="536"/>
      <c r="AM254" s="536"/>
      <c r="AN254" s="542">
        <f t="shared" si="82"/>
        <v>0</v>
      </c>
      <c r="AO254" s="536"/>
      <c r="AP254" s="536"/>
      <c r="AQ254" s="536"/>
      <c r="AR254" s="542">
        <f t="shared" si="83"/>
        <v>0</v>
      </c>
      <c r="AS254" s="536"/>
      <c r="AT254" s="536"/>
      <c r="AU254" s="536"/>
      <c r="AV254" s="542">
        <f t="shared" si="84"/>
        <v>0</v>
      </c>
      <c r="AW254" s="536"/>
      <c r="AX254" s="536"/>
      <c r="AY254" s="536"/>
      <c r="AZ254" s="542">
        <f t="shared" si="85"/>
        <v>0</v>
      </c>
      <c r="BA254" s="536"/>
      <c r="BB254" s="536"/>
      <c r="BC254" s="536"/>
      <c r="BD254" s="542">
        <f t="shared" si="86"/>
        <v>0</v>
      </c>
      <c r="BE254" s="536"/>
      <c r="BF254" s="536"/>
      <c r="BG254" s="536"/>
      <c r="BH254" s="542">
        <f t="shared" si="87"/>
        <v>0</v>
      </c>
      <c r="BI254" s="536"/>
      <c r="BJ254" s="536"/>
      <c r="BK254" s="536"/>
      <c r="BL254" s="542">
        <f t="shared" si="88"/>
        <v>0</v>
      </c>
      <c r="BM254" s="536"/>
      <c r="BN254" s="536"/>
      <c r="BO254" s="536"/>
      <c r="BP254" s="542">
        <f t="shared" si="89"/>
        <v>0</v>
      </c>
      <c r="BQ254" s="536"/>
      <c r="BR254" s="536"/>
      <c r="BS254" s="536"/>
      <c r="BT254" s="542">
        <f t="shared" si="90"/>
        <v>0</v>
      </c>
      <c r="BU254" s="536"/>
      <c r="BV254" s="536"/>
      <c r="BW254" s="536"/>
      <c r="BX254" s="542">
        <f t="shared" si="91"/>
        <v>0</v>
      </c>
      <c r="BY254" s="536"/>
      <c r="BZ254" s="536"/>
      <c r="CA254" s="536"/>
      <c r="CB254" s="542">
        <v>0</v>
      </c>
      <c r="CC254" s="536"/>
      <c r="CD254" s="536"/>
      <c r="CE254" s="536"/>
      <c r="CF254" s="541">
        <f t="shared" si="92"/>
        <v>0</v>
      </c>
      <c r="CG254" s="536"/>
      <c r="CH254" s="536"/>
      <c r="CI254" s="536"/>
      <c r="CJ254" s="541">
        <f t="shared" si="93"/>
        <v>0</v>
      </c>
      <c r="CK254" s="536"/>
      <c r="CL254" s="536"/>
      <c r="CM254" s="536"/>
      <c r="CN254" s="541">
        <f t="shared" si="94"/>
        <v>0</v>
      </c>
      <c r="CO254" s="536"/>
      <c r="CP254" s="536"/>
      <c r="CQ254" s="536"/>
      <c r="CR254" s="541">
        <f t="shared" si="95"/>
        <v>0</v>
      </c>
      <c r="CS254" s="536"/>
      <c r="CT254" s="536"/>
      <c r="CU254" s="536"/>
      <c r="CV254" s="541">
        <f t="shared" si="96"/>
        <v>0</v>
      </c>
      <c r="CW254" s="536"/>
      <c r="CX254" s="536"/>
      <c r="CY254" s="536"/>
      <c r="CZ254" s="541">
        <f t="shared" si="97"/>
        <v>0</v>
      </c>
      <c r="DA254" s="536"/>
      <c r="DB254" s="536"/>
      <c r="DC254" s="536"/>
      <c r="DD254" s="541">
        <f t="shared" si="98"/>
        <v>0</v>
      </c>
      <c r="DE254" s="536"/>
      <c r="DF254" s="536"/>
      <c r="DG254" s="536"/>
      <c r="DH254" s="541">
        <f t="shared" si="99"/>
        <v>0</v>
      </c>
      <c r="DI254" s="536"/>
      <c r="DJ254" s="536"/>
      <c r="DK254" s="536"/>
      <c r="DL254" s="541">
        <f t="shared" si="100"/>
        <v>0</v>
      </c>
      <c r="DM254" s="536"/>
      <c r="DN254" s="536"/>
      <c r="DO254" s="536"/>
      <c r="DP254" s="541">
        <f>IF( SUM((DJ254*(20/100))+(DK254*(30/100))+(DL254*(50/100))) &gt;=9.3,9.5,
IF(AND( SUM((DJ254*(20/100))+(DK254*(30/100))+(DL254*(50/100))) &lt;=9.3, SUM((DJ254*(20/100))+(DK254*(30/100))+(DL254*(50/100))) &gt;=8.8),9,
IF(AND( SUM((DJ254*(20/100))+(DK254*(30/100))+(DL254*(50/100))) &lt;=8.8, SUM((DJ254*(20/100))+(DK254*(30/100))+(DL254*(50/100))) &gt;=8.3),8.5,
IF(AND( SUM((DJ254*(20/100))+(DK254*(30/100))+(DL254*(50/100))) &lt;=8.3, SUM((DJ254*(20/100))+(DK254*(30/100))+(DL254*(50/100))) &gt;=7.8),8,
IF(AND( SUM((DJ254*(20/100))+(DK254*(30/100))+(DL254*(50/100))) &lt;=7.8, SUM((DJ254*(20/100))+(DK254*(30/100))+(DL254*(50/100))) &gt;=7.3),7.5,
IF(AND( SUM((DJ254*(20/100))+(DK254*(30/100))+(DL254*(50/100))) &lt;=7.3, SUM((DJ254*(20/100))+(DK254*(30/100))+(DL254*(50/100))) &gt;=6.8),7,
IF(AND( SUM((DJ254*(20/100))+(DK254*(30/100))+(DL254*(50/100))) &lt;=6.8, SUM((DJ254*(20/100))+(DK254*(30/100))+(DL254*(50/100))) &gt;=6.3),6.5,
IF(AND( SUM((DJ254*(20/100))+(DK254*(30/100))+(DL254*(50/100))) &lt;=6.3, SUM((DJ254*(20/100))+(DK254*(30/100))+(DL254*(50/100))) &gt;=5.8),6,
IF(AND( SUM((DJ254*(20/100))+(DK254*(30/100))+(DL254*(50/100))) &lt;=5.8, SUM((DJ254*(20/100))+(DK254*(30/100))+(DL254*(50/100))) &gt;=5.3),5.5,
IF(AND( SUM((DJ254*(20/100))+(DK254*(30/100))+(DL254*(50/100))) &lt;=5.3, SUM((DJ254*(20/100))+(DK254*(30/100))+(DL254*(50/100))) &gt;=4.8),5,
IF(AND( SUM((DJ254*(20/100))+(DK254*(30/100))+(DL254*(50/100))) &lt;=4.8, SUM((DJ254*(20/100))+(DK254*(30/100))+(DL254*(50/100))) &gt;=4.3),4.5,
IF(AND( SUM((DJ254*(20/100))+(DK254*(30/100))+(DL254*(50/100))) &lt;=4.3, SUM((DJ254*(20/100))+(DK254*(30/100))+(DL254*(50/100))) &gt;=3.8),4,
IF(AND( SUM((DJ254*(20/100))+(DK254*(30/100))+(DL254*(50/100))) &lt;=3.8, SUM((DJ254*(20/100))+(DK254*(30/100))+(DL254*(50/100))) &gt;=3.5),3.5,0)))))))))))))</f>
        <v>0</v>
      </c>
      <c r="DQ254" s="541"/>
      <c r="DR254" s="541"/>
      <c r="DS254" s="541"/>
      <c r="DT254" s="541"/>
      <c r="DU254" s="541"/>
      <c r="DV254" s="541"/>
      <c r="DW254" s="541"/>
      <c r="DX254" s="541"/>
      <c r="DY254" s="541"/>
      <c r="DZ254" s="541"/>
    </row>
    <row r="255" spans="2:130" x14ac:dyDescent="0.25">
      <c r="B255" s="334">
        <v>48</v>
      </c>
      <c r="C255" s="541"/>
      <c r="D255" s="334"/>
      <c r="E255" s="334"/>
      <c r="F255" s="334"/>
      <c r="G255" s="334"/>
      <c r="H255" s="334"/>
      <c r="I255" s="334"/>
      <c r="J255" s="536"/>
      <c r="K255" s="536"/>
      <c r="L255" s="536"/>
      <c r="M255" s="536"/>
      <c r="N255" s="536"/>
      <c r="O255" s="536"/>
      <c r="P255" s="536">
        <f t="shared" si="76"/>
        <v>0</v>
      </c>
      <c r="Q255" s="536"/>
      <c r="R255" s="536"/>
      <c r="S255" s="536"/>
      <c r="T255" s="536">
        <f t="shared" si="77"/>
        <v>0</v>
      </c>
      <c r="U255" s="536"/>
      <c r="V255" s="536"/>
      <c r="W255" s="536"/>
      <c r="X255" s="536">
        <f t="shared" si="78"/>
        <v>0</v>
      </c>
      <c r="Y255" s="536"/>
      <c r="Z255" s="536"/>
      <c r="AA255" s="536"/>
      <c r="AB255" s="536">
        <f t="shared" si="79"/>
        <v>0</v>
      </c>
      <c r="AC255" s="536"/>
      <c r="AD255" s="536"/>
      <c r="AE255" s="536"/>
      <c r="AF255" s="536">
        <f t="shared" si="80"/>
        <v>0</v>
      </c>
      <c r="AG255" s="536"/>
      <c r="AH255" s="536"/>
      <c r="AI255" s="536"/>
      <c r="AJ255" s="536">
        <f t="shared" si="81"/>
        <v>0</v>
      </c>
      <c r="AK255" s="536"/>
      <c r="AL255" s="536"/>
      <c r="AM255" s="536"/>
      <c r="AN255" s="542">
        <f t="shared" si="82"/>
        <v>0</v>
      </c>
      <c r="AO255" s="536"/>
      <c r="AP255" s="536"/>
      <c r="AQ255" s="536"/>
      <c r="AR255" s="542">
        <f t="shared" si="83"/>
        <v>0</v>
      </c>
      <c r="AS255" s="536"/>
      <c r="AT255" s="536"/>
      <c r="AU255" s="536"/>
      <c r="AV255" s="542">
        <f t="shared" si="84"/>
        <v>0</v>
      </c>
      <c r="AW255" s="536"/>
      <c r="AX255" s="536"/>
      <c r="AY255" s="536"/>
      <c r="AZ255" s="542">
        <f t="shared" si="85"/>
        <v>0</v>
      </c>
      <c r="BA255" s="536"/>
      <c r="BB255" s="536"/>
      <c r="BC255" s="536"/>
      <c r="BD255" s="542">
        <f t="shared" si="86"/>
        <v>0</v>
      </c>
      <c r="BE255" s="536"/>
      <c r="BF255" s="536"/>
      <c r="BG255" s="536"/>
      <c r="BH255" s="542">
        <f t="shared" si="87"/>
        <v>0</v>
      </c>
      <c r="BI255" s="536"/>
      <c r="BJ255" s="536"/>
      <c r="BK255" s="536"/>
      <c r="BL255" s="542">
        <f t="shared" si="88"/>
        <v>0</v>
      </c>
      <c r="BM255" s="536"/>
      <c r="BN255" s="536"/>
      <c r="BO255" s="536"/>
      <c r="BP255" s="542">
        <f t="shared" si="89"/>
        <v>0</v>
      </c>
      <c r="BQ255" s="536"/>
      <c r="BR255" s="536"/>
      <c r="BS255" s="536"/>
      <c r="BT255" s="542">
        <f t="shared" si="90"/>
        <v>0</v>
      </c>
      <c r="BU255" s="536"/>
      <c r="BV255" s="536"/>
      <c r="BW255" s="536"/>
      <c r="BX255" s="542">
        <f t="shared" si="91"/>
        <v>0</v>
      </c>
      <c r="BY255" s="536"/>
      <c r="BZ255" s="536"/>
      <c r="CA255" s="536"/>
      <c r="CB255" s="542">
        <v>0</v>
      </c>
      <c r="CC255" s="536"/>
      <c r="CD255" s="536"/>
      <c r="CE255" s="536"/>
      <c r="CF255" s="541">
        <f t="shared" si="92"/>
        <v>0</v>
      </c>
      <c r="CG255" s="536"/>
      <c r="CH255" s="536"/>
      <c r="CI255" s="536"/>
      <c r="CJ255" s="541">
        <f t="shared" si="93"/>
        <v>0</v>
      </c>
      <c r="CK255" s="536"/>
      <c r="CL255" s="536"/>
      <c r="CM255" s="536"/>
      <c r="CN255" s="541">
        <f t="shared" si="94"/>
        <v>0</v>
      </c>
      <c r="CO255" s="536"/>
      <c r="CP255" s="536"/>
      <c r="CQ255" s="536"/>
      <c r="CR255" s="541">
        <f t="shared" si="95"/>
        <v>0</v>
      </c>
      <c r="CS255" s="536"/>
      <c r="CT255" s="536"/>
      <c r="CU255" s="536"/>
      <c r="CV255" s="541">
        <f t="shared" si="96"/>
        <v>0</v>
      </c>
      <c r="CW255" s="536"/>
      <c r="CX255" s="536"/>
      <c r="CY255" s="536"/>
      <c r="CZ255" s="541">
        <f t="shared" si="97"/>
        <v>0</v>
      </c>
      <c r="DA255" s="536"/>
      <c r="DB255" s="536"/>
      <c r="DC255" s="536"/>
      <c r="DD255" s="541">
        <f t="shared" si="98"/>
        <v>0</v>
      </c>
      <c r="DE255" s="536"/>
      <c r="DF255" s="536"/>
      <c r="DG255" s="536"/>
      <c r="DH255" s="541">
        <f t="shared" si="99"/>
        <v>0</v>
      </c>
      <c r="DI255" s="536"/>
      <c r="DJ255" s="536"/>
      <c r="DK255" s="536"/>
      <c r="DL255" s="541">
        <f t="shared" si="100"/>
        <v>0</v>
      </c>
      <c r="DM255" s="536"/>
      <c r="DN255" s="536"/>
      <c r="DO255" s="536"/>
      <c r="DP255" s="541">
        <f>IF( SUM((DJ255*(20/100))+(DK255*(30/100))+(DL255*(50/100))) &gt;=9.3,9.5,
IF(AND( SUM((DJ255*(20/100))+(DK255*(30/100))+(DL255*(50/100))) &lt;=9.3, SUM((DJ255*(20/100))+(DK255*(30/100))+(DL255*(50/100))) &gt;=8.8),9,
IF(AND( SUM((DJ255*(20/100))+(DK255*(30/100))+(DL255*(50/100))) &lt;=8.8, SUM((DJ255*(20/100))+(DK255*(30/100))+(DL255*(50/100))) &gt;=8.3),8.5,
IF(AND( SUM((DJ255*(20/100))+(DK255*(30/100))+(DL255*(50/100))) &lt;=8.3, SUM((DJ255*(20/100))+(DK255*(30/100))+(DL255*(50/100))) &gt;=7.8),8,
IF(AND( SUM((DJ255*(20/100))+(DK255*(30/100))+(DL255*(50/100))) &lt;=7.8, SUM((DJ255*(20/100))+(DK255*(30/100))+(DL255*(50/100))) &gt;=7.3),7.5,
IF(AND( SUM((DJ255*(20/100))+(DK255*(30/100))+(DL255*(50/100))) &lt;=7.3, SUM((DJ255*(20/100))+(DK255*(30/100))+(DL255*(50/100))) &gt;=6.8),7,
IF(AND( SUM((DJ255*(20/100))+(DK255*(30/100))+(DL255*(50/100))) &lt;=6.8, SUM((DJ255*(20/100))+(DK255*(30/100))+(DL255*(50/100))) &gt;=6.3),6.5,
IF(AND( SUM((DJ255*(20/100))+(DK255*(30/100))+(DL255*(50/100))) &lt;=6.3, SUM((DJ255*(20/100))+(DK255*(30/100))+(DL255*(50/100))) &gt;=5.8),6,
IF(AND( SUM((DJ255*(20/100))+(DK255*(30/100))+(DL255*(50/100))) &lt;=5.8, SUM((DJ255*(20/100))+(DK255*(30/100))+(DL255*(50/100))) &gt;=5.3),5.5,
IF(AND( SUM((DJ255*(20/100))+(DK255*(30/100))+(DL255*(50/100))) &lt;=5.3, SUM((DJ255*(20/100))+(DK255*(30/100))+(DL255*(50/100))) &gt;=4.8),5,
IF(AND( SUM((DJ255*(20/100))+(DK255*(30/100))+(DL255*(50/100))) &lt;=4.8, SUM((DJ255*(20/100))+(DK255*(30/100))+(DL255*(50/100))) &gt;=4.3),4.5,
IF(AND( SUM((DJ255*(20/100))+(DK255*(30/100))+(DL255*(50/100))) &lt;=4.3, SUM((DJ255*(20/100))+(DK255*(30/100))+(DL255*(50/100))) &gt;=3.8),4,
IF(AND( SUM((DJ255*(20/100))+(DK255*(30/100))+(DL255*(50/100))) &lt;=3.8, SUM((DJ255*(20/100))+(DK255*(30/100))+(DL255*(50/100))) &gt;=3.5),3.5,0)))))))))))))</f>
        <v>0</v>
      </c>
      <c r="DQ255" s="541"/>
      <c r="DR255" s="541"/>
      <c r="DS255" s="541"/>
      <c r="DT255" s="541"/>
      <c r="DU255" s="541"/>
      <c r="DV255" s="541"/>
      <c r="DW255" s="541"/>
      <c r="DX255" s="541"/>
      <c r="DY255" s="541"/>
      <c r="DZ255" s="541"/>
    </row>
    <row r="256" spans="2:130" x14ac:dyDescent="0.25">
      <c r="B256" s="334">
        <v>49</v>
      </c>
      <c r="C256" s="541"/>
      <c r="D256" s="334"/>
      <c r="E256" s="334"/>
      <c r="F256" s="334"/>
      <c r="G256" s="334"/>
      <c r="H256" s="334"/>
      <c r="I256" s="334"/>
      <c r="J256" s="536"/>
      <c r="K256" s="536"/>
      <c r="L256" s="536"/>
      <c r="M256" s="536"/>
      <c r="N256" s="536"/>
      <c r="O256" s="536"/>
      <c r="P256" s="536">
        <f t="shared" si="76"/>
        <v>0</v>
      </c>
      <c r="Q256" s="536"/>
      <c r="R256" s="536"/>
      <c r="S256" s="536"/>
      <c r="T256" s="536">
        <f t="shared" si="77"/>
        <v>0</v>
      </c>
      <c r="U256" s="536"/>
      <c r="V256" s="536"/>
      <c r="W256" s="536"/>
      <c r="X256" s="536">
        <f t="shared" si="78"/>
        <v>0</v>
      </c>
      <c r="Y256" s="536"/>
      <c r="Z256" s="536"/>
      <c r="AA256" s="536"/>
      <c r="AB256" s="536">
        <f t="shared" si="79"/>
        <v>0</v>
      </c>
      <c r="AC256" s="536"/>
      <c r="AD256" s="536"/>
      <c r="AE256" s="536"/>
      <c r="AF256" s="536">
        <f t="shared" si="80"/>
        <v>0</v>
      </c>
      <c r="AG256" s="536"/>
      <c r="AH256" s="536"/>
      <c r="AI256" s="536"/>
      <c r="AJ256" s="536">
        <f t="shared" si="81"/>
        <v>0</v>
      </c>
      <c r="AK256" s="536"/>
      <c r="AL256" s="536"/>
      <c r="AM256" s="536"/>
      <c r="AN256" s="542">
        <f t="shared" si="82"/>
        <v>0</v>
      </c>
      <c r="AO256" s="536"/>
      <c r="AP256" s="536"/>
      <c r="AQ256" s="536"/>
      <c r="AR256" s="542">
        <f t="shared" si="83"/>
        <v>0</v>
      </c>
      <c r="AS256" s="536"/>
      <c r="AT256" s="536"/>
      <c r="AU256" s="536"/>
      <c r="AV256" s="542">
        <f t="shared" si="84"/>
        <v>0</v>
      </c>
      <c r="AW256" s="536"/>
      <c r="AX256" s="536"/>
      <c r="AY256" s="536"/>
      <c r="AZ256" s="542">
        <f t="shared" si="85"/>
        <v>0</v>
      </c>
      <c r="BA256" s="536"/>
      <c r="BB256" s="536"/>
      <c r="BC256" s="536"/>
      <c r="BD256" s="542">
        <f t="shared" si="86"/>
        <v>0</v>
      </c>
      <c r="BE256" s="536"/>
      <c r="BF256" s="536"/>
      <c r="BG256" s="536"/>
      <c r="BH256" s="542">
        <f t="shared" si="87"/>
        <v>0</v>
      </c>
      <c r="BI256" s="536"/>
      <c r="BJ256" s="536"/>
      <c r="BK256" s="536"/>
      <c r="BL256" s="542">
        <f t="shared" si="88"/>
        <v>0</v>
      </c>
      <c r="BM256" s="536"/>
      <c r="BN256" s="536"/>
      <c r="BO256" s="536"/>
      <c r="BP256" s="542">
        <f t="shared" si="89"/>
        <v>0</v>
      </c>
      <c r="BQ256" s="536"/>
      <c r="BR256" s="536"/>
      <c r="BS256" s="536"/>
      <c r="BT256" s="542">
        <f t="shared" si="90"/>
        <v>0</v>
      </c>
      <c r="BU256" s="536"/>
      <c r="BV256" s="536"/>
      <c r="BW256" s="536"/>
      <c r="BX256" s="542">
        <f t="shared" si="91"/>
        <v>0</v>
      </c>
      <c r="BY256" s="536"/>
      <c r="BZ256" s="536"/>
      <c r="CA256" s="536"/>
      <c r="CB256" s="542">
        <v>0</v>
      </c>
      <c r="CC256" s="536"/>
      <c r="CD256" s="536"/>
      <c r="CE256" s="536"/>
      <c r="CF256" s="541">
        <f t="shared" si="92"/>
        <v>0</v>
      </c>
      <c r="CG256" s="536"/>
      <c r="CH256" s="536"/>
      <c r="CI256" s="536"/>
      <c r="CJ256" s="541">
        <f t="shared" si="93"/>
        <v>0</v>
      </c>
      <c r="CK256" s="536"/>
      <c r="CL256" s="536"/>
      <c r="CM256" s="536"/>
      <c r="CN256" s="541">
        <f t="shared" si="94"/>
        <v>0</v>
      </c>
      <c r="CO256" s="536"/>
      <c r="CP256" s="536"/>
      <c r="CQ256" s="536"/>
      <c r="CR256" s="541">
        <f t="shared" si="95"/>
        <v>0</v>
      </c>
      <c r="CS256" s="536"/>
      <c r="CT256" s="536"/>
      <c r="CU256" s="536"/>
      <c r="CV256" s="541">
        <f t="shared" si="96"/>
        <v>0</v>
      </c>
      <c r="CW256" s="536"/>
      <c r="CX256" s="536"/>
      <c r="CY256" s="536"/>
      <c r="CZ256" s="541">
        <f t="shared" si="97"/>
        <v>0</v>
      </c>
      <c r="DA256" s="536"/>
      <c r="DB256" s="536"/>
      <c r="DC256" s="536"/>
      <c r="DD256" s="541">
        <f t="shared" si="98"/>
        <v>0</v>
      </c>
      <c r="DE256" s="536"/>
      <c r="DF256" s="536"/>
      <c r="DG256" s="536"/>
      <c r="DH256" s="541">
        <f t="shared" si="99"/>
        <v>0</v>
      </c>
      <c r="DI256" s="536"/>
      <c r="DJ256" s="536"/>
      <c r="DK256" s="536"/>
      <c r="DL256" s="541">
        <f t="shared" si="100"/>
        <v>0</v>
      </c>
      <c r="DM256" s="536"/>
      <c r="DN256" s="536"/>
      <c r="DO256" s="536"/>
      <c r="DP256" s="541">
        <f>IF( SUM((DJ256*(20/100))+(DK256*(30/100))+(DL256*(50/100))) &gt;=9.3,9.5,
IF(AND( SUM((DJ256*(20/100))+(DK256*(30/100))+(DL256*(50/100))) &lt;=9.3, SUM((DJ256*(20/100))+(DK256*(30/100))+(DL256*(50/100))) &gt;=8.8),9,
IF(AND( SUM((DJ256*(20/100))+(DK256*(30/100))+(DL256*(50/100))) &lt;=8.8, SUM((DJ256*(20/100))+(DK256*(30/100))+(DL256*(50/100))) &gt;=8.3),8.5,
IF(AND( SUM((DJ256*(20/100))+(DK256*(30/100))+(DL256*(50/100))) &lt;=8.3, SUM((DJ256*(20/100))+(DK256*(30/100))+(DL256*(50/100))) &gt;=7.8),8,
IF(AND( SUM((DJ256*(20/100))+(DK256*(30/100))+(DL256*(50/100))) &lt;=7.8, SUM((DJ256*(20/100))+(DK256*(30/100))+(DL256*(50/100))) &gt;=7.3),7.5,
IF(AND( SUM((DJ256*(20/100))+(DK256*(30/100))+(DL256*(50/100))) &lt;=7.3, SUM((DJ256*(20/100))+(DK256*(30/100))+(DL256*(50/100))) &gt;=6.8),7,
IF(AND( SUM((DJ256*(20/100))+(DK256*(30/100))+(DL256*(50/100))) &lt;=6.8, SUM((DJ256*(20/100))+(DK256*(30/100))+(DL256*(50/100))) &gt;=6.3),6.5,
IF(AND( SUM((DJ256*(20/100))+(DK256*(30/100))+(DL256*(50/100))) &lt;=6.3, SUM((DJ256*(20/100))+(DK256*(30/100))+(DL256*(50/100))) &gt;=5.8),6,
IF(AND( SUM((DJ256*(20/100))+(DK256*(30/100))+(DL256*(50/100))) &lt;=5.8, SUM((DJ256*(20/100))+(DK256*(30/100))+(DL256*(50/100))) &gt;=5.3),5.5,
IF(AND( SUM((DJ256*(20/100))+(DK256*(30/100))+(DL256*(50/100))) &lt;=5.3, SUM((DJ256*(20/100))+(DK256*(30/100))+(DL256*(50/100))) &gt;=4.8),5,
IF(AND( SUM((DJ256*(20/100))+(DK256*(30/100))+(DL256*(50/100))) &lt;=4.8, SUM((DJ256*(20/100))+(DK256*(30/100))+(DL256*(50/100))) &gt;=4.3),4.5,
IF(AND( SUM((DJ256*(20/100))+(DK256*(30/100))+(DL256*(50/100))) &lt;=4.3, SUM((DJ256*(20/100))+(DK256*(30/100))+(DL256*(50/100))) &gt;=3.8),4,
IF(AND( SUM((DJ256*(20/100))+(DK256*(30/100))+(DL256*(50/100))) &lt;=3.8, SUM((DJ256*(20/100))+(DK256*(30/100))+(DL256*(50/100))) &gt;=3.5),3.5,0)))))))))))))</f>
        <v>0</v>
      </c>
      <c r="DQ256" s="541"/>
      <c r="DR256" s="541"/>
      <c r="DS256" s="541"/>
      <c r="DT256" s="541"/>
      <c r="DU256" s="541"/>
      <c r="DV256" s="541"/>
      <c r="DW256" s="541"/>
      <c r="DX256" s="541"/>
      <c r="DY256" s="541"/>
      <c r="DZ256" s="541"/>
    </row>
    <row r="257" spans="2:130" x14ac:dyDescent="0.25">
      <c r="B257" s="334">
        <v>50</v>
      </c>
      <c r="C257" s="541"/>
      <c r="D257" s="334"/>
      <c r="E257" s="334"/>
      <c r="F257" s="334"/>
      <c r="G257" s="334"/>
      <c r="H257" s="334"/>
      <c r="I257" s="334"/>
      <c r="J257" s="536"/>
      <c r="K257" s="536"/>
      <c r="L257" s="536"/>
      <c r="M257" s="536"/>
      <c r="N257" s="536"/>
      <c r="O257" s="536"/>
      <c r="P257" s="536">
        <f t="shared" si="76"/>
        <v>0</v>
      </c>
      <c r="Q257" s="536"/>
      <c r="R257" s="536"/>
      <c r="S257" s="536"/>
      <c r="T257" s="536">
        <f t="shared" si="77"/>
        <v>0</v>
      </c>
      <c r="U257" s="536"/>
      <c r="V257" s="536"/>
      <c r="W257" s="536"/>
      <c r="X257" s="536">
        <f t="shared" si="78"/>
        <v>0</v>
      </c>
      <c r="Y257" s="536"/>
      <c r="Z257" s="536"/>
      <c r="AA257" s="536"/>
      <c r="AB257" s="536">
        <f t="shared" si="79"/>
        <v>0</v>
      </c>
      <c r="AC257" s="536"/>
      <c r="AD257" s="536"/>
      <c r="AE257" s="536"/>
      <c r="AF257" s="536">
        <f t="shared" si="80"/>
        <v>0</v>
      </c>
      <c r="AG257" s="536"/>
      <c r="AH257" s="536"/>
      <c r="AI257" s="536"/>
      <c r="AJ257" s="536">
        <f t="shared" si="81"/>
        <v>0</v>
      </c>
      <c r="AK257" s="536"/>
      <c r="AL257" s="536"/>
      <c r="AM257" s="536"/>
      <c r="AN257" s="542">
        <f t="shared" si="82"/>
        <v>0</v>
      </c>
      <c r="AO257" s="536"/>
      <c r="AP257" s="536"/>
      <c r="AQ257" s="536"/>
      <c r="AR257" s="542">
        <f t="shared" si="83"/>
        <v>0</v>
      </c>
      <c r="AS257" s="536"/>
      <c r="AT257" s="536"/>
      <c r="AU257" s="536"/>
      <c r="AV257" s="542">
        <f t="shared" si="84"/>
        <v>0</v>
      </c>
      <c r="AW257" s="536"/>
      <c r="AX257" s="536"/>
      <c r="AY257" s="536"/>
      <c r="AZ257" s="542">
        <f t="shared" si="85"/>
        <v>0</v>
      </c>
      <c r="BA257" s="536"/>
      <c r="BB257" s="536"/>
      <c r="BC257" s="536"/>
      <c r="BD257" s="542">
        <f t="shared" si="86"/>
        <v>0</v>
      </c>
      <c r="BE257" s="536"/>
      <c r="BF257" s="536"/>
      <c r="BG257" s="536"/>
      <c r="BH257" s="542">
        <f t="shared" si="87"/>
        <v>0</v>
      </c>
      <c r="BI257" s="536"/>
      <c r="BJ257" s="536"/>
      <c r="BK257" s="536"/>
      <c r="BL257" s="542">
        <f t="shared" si="88"/>
        <v>0</v>
      </c>
      <c r="BM257" s="536"/>
      <c r="BN257" s="536"/>
      <c r="BO257" s="536"/>
      <c r="BP257" s="542">
        <f t="shared" si="89"/>
        <v>0</v>
      </c>
      <c r="BQ257" s="536"/>
      <c r="BR257" s="536"/>
      <c r="BS257" s="536"/>
      <c r="BT257" s="542">
        <f t="shared" si="90"/>
        <v>0</v>
      </c>
      <c r="BU257" s="536"/>
      <c r="BV257" s="536"/>
      <c r="BW257" s="536"/>
      <c r="BX257" s="542">
        <f t="shared" si="91"/>
        <v>0</v>
      </c>
      <c r="BY257" s="536"/>
      <c r="BZ257" s="536"/>
      <c r="CA257" s="536"/>
      <c r="CB257" s="542">
        <v>0</v>
      </c>
      <c r="CC257" s="536"/>
      <c r="CD257" s="536"/>
      <c r="CE257" s="536"/>
      <c r="CF257" s="541">
        <f t="shared" si="92"/>
        <v>0</v>
      </c>
      <c r="CG257" s="536"/>
      <c r="CH257" s="536"/>
      <c r="CI257" s="536"/>
      <c r="CJ257" s="541">
        <f t="shared" si="93"/>
        <v>0</v>
      </c>
      <c r="CK257" s="536"/>
      <c r="CL257" s="536"/>
      <c r="CM257" s="536"/>
      <c r="CN257" s="541">
        <f t="shared" si="94"/>
        <v>0</v>
      </c>
      <c r="CO257" s="536"/>
      <c r="CP257" s="536"/>
      <c r="CQ257" s="536"/>
      <c r="CR257" s="541">
        <f t="shared" si="95"/>
        <v>0</v>
      </c>
      <c r="CS257" s="536"/>
      <c r="CT257" s="536"/>
      <c r="CU257" s="536"/>
      <c r="CV257" s="541">
        <f t="shared" si="96"/>
        <v>0</v>
      </c>
      <c r="CW257" s="536"/>
      <c r="CX257" s="536"/>
      <c r="CY257" s="536"/>
      <c r="CZ257" s="541">
        <f t="shared" si="97"/>
        <v>0</v>
      </c>
      <c r="DA257" s="536"/>
      <c r="DB257" s="536"/>
      <c r="DC257" s="536"/>
      <c r="DD257" s="541">
        <f t="shared" si="98"/>
        <v>0</v>
      </c>
      <c r="DE257" s="536"/>
      <c r="DF257" s="536"/>
      <c r="DG257" s="536"/>
      <c r="DH257" s="541">
        <f t="shared" si="99"/>
        <v>0</v>
      </c>
      <c r="DI257" s="536"/>
      <c r="DJ257" s="536"/>
      <c r="DK257" s="536"/>
      <c r="DL257" s="541">
        <f t="shared" si="100"/>
        <v>0</v>
      </c>
      <c r="DM257" s="536"/>
      <c r="DN257" s="536"/>
      <c r="DO257" s="536"/>
      <c r="DP257" s="541">
        <f>IF( SUM((DJ257*(20/100))+(DK257*(30/100))+(DL257*(50/100))) &gt;=9.3,9.5,
IF(AND( SUM((DJ257*(20/100))+(DK257*(30/100))+(DL257*(50/100))) &lt;=9.3, SUM((DJ257*(20/100))+(DK257*(30/100))+(DL257*(50/100))) &gt;=8.8),9,
IF(AND( SUM((DJ257*(20/100))+(DK257*(30/100))+(DL257*(50/100))) &lt;=8.8, SUM((DJ257*(20/100))+(DK257*(30/100))+(DL257*(50/100))) &gt;=8.3),8.5,
IF(AND( SUM((DJ257*(20/100))+(DK257*(30/100))+(DL257*(50/100))) &lt;=8.3, SUM((DJ257*(20/100))+(DK257*(30/100))+(DL257*(50/100))) &gt;=7.8),8,
IF(AND( SUM((DJ257*(20/100))+(DK257*(30/100))+(DL257*(50/100))) &lt;=7.8, SUM((DJ257*(20/100))+(DK257*(30/100))+(DL257*(50/100))) &gt;=7.3),7.5,
IF(AND( SUM((DJ257*(20/100))+(DK257*(30/100))+(DL257*(50/100))) &lt;=7.3, SUM((DJ257*(20/100))+(DK257*(30/100))+(DL257*(50/100))) &gt;=6.8),7,
IF(AND( SUM((DJ257*(20/100))+(DK257*(30/100))+(DL257*(50/100))) &lt;=6.8, SUM((DJ257*(20/100))+(DK257*(30/100))+(DL257*(50/100))) &gt;=6.3),6.5,
IF(AND( SUM((DJ257*(20/100))+(DK257*(30/100))+(DL257*(50/100))) &lt;=6.3, SUM((DJ257*(20/100))+(DK257*(30/100))+(DL257*(50/100))) &gt;=5.8),6,
IF(AND( SUM((DJ257*(20/100))+(DK257*(30/100))+(DL257*(50/100))) &lt;=5.8, SUM((DJ257*(20/100))+(DK257*(30/100))+(DL257*(50/100))) &gt;=5.3),5.5,
IF(AND( SUM((DJ257*(20/100))+(DK257*(30/100))+(DL257*(50/100))) &lt;=5.3, SUM((DJ257*(20/100))+(DK257*(30/100))+(DL257*(50/100))) &gt;=4.8),5,
IF(AND( SUM((DJ257*(20/100))+(DK257*(30/100))+(DL257*(50/100))) &lt;=4.8, SUM((DJ257*(20/100))+(DK257*(30/100))+(DL257*(50/100))) &gt;=4.3),4.5,
IF(AND( SUM((DJ257*(20/100))+(DK257*(30/100))+(DL257*(50/100))) &lt;=4.3, SUM((DJ257*(20/100))+(DK257*(30/100))+(DL257*(50/100))) &gt;=3.8),4,
IF(AND( SUM((DJ257*(20/100))+(DK257*(30/100))+(DL257*(50/100))) &lt;=3.8, SUM((DJ257*(20/100))+(DK257*(30/100))+(DL257*(50/100))) &gt;=3.5),3.5,0)))))))))))))</f>
        <v>0</v>
      </c>
      <c r="DQ257" s="541"/>
      <c r="DR257" s="541"/>
      <c r="DS257" s="541"/>
      <c r="DT257" s="541"/>
      <c r="DU257" s="541"/>
      <c r="DV257" s="541"/>
      <c r="DW257" s="541"/>
      <c r="DX257" s="541"/>
      <c r="DY257" s="541"/>
      <c r="DZ257" s="541"/>
    </row>
    <row r="258" spans="2:130" x14ac:dyDescent="0.25">
      <c r="B258" s="334">
        <v>1</v>
      </c>
      <c r="C258" s="541"/>
      <c r="D258" s="334"/>
      <c r="E258" s="334"/>
      <c r="F258" s="334"/>
      <c r="G258" s="334"/>
      <c r="H258" s="334"/>
      <c r="I258" s="334"/>
      <c r="J258" s="536"/>
      <c r="K258" s="536"/>
      <c r="L258" s="536"/>
      <c r="M258" s="536"/>
      <c r="N258" s="536"/>
      <c r="O258" s="536"/>
      <c r="P258" s="536">
        <f t="shared" si="76"/>
        <v>0</v>
      </c>
      <c r="Q258" s="536"/>
      <c r="R258" s="536"/>
      <c r="S258" s="536"/>
      <c r="T258" s="536">
        <f t="shared" si="77"/>
        <v>0</v>
      </c>
      <c r="U258" s="536"/>
      <c r="V258" s="536"/>
      <c r="W258" s="536"/>
      <c r="X258" s="536">
        <f t="shared" si="78"/>
        <v>0</v>
      </c>
      <c r="Y258" s="536"/>
      <c r="Z258" s="536"/>
      <c r="AA258" s="536"/>
      <c r="AB258" s="536">
        <f t="shared" si="79"/>
        <v>0</v>
      </c>
      <c r="AC258" s="536"/>
      <c r="AD258" s="536"/>
      <c r="AE258" s="536"/>
      <c r="AF258" s="536">
        <f t="shared" si="80"/>
        <v>0</v>
      </c>
      <c r="AG258" s="536"/>
      <c r="AH258" s="536"/>
      <c r="AI258" s="536"/>
      <c r="AJ258" s="536">
        <f t="shared" si="81"/>
        <v>0</v>
      </c>
      <c r="AK258" s="536"/>
      <c r="AL258" s="536"/>
      <c r="AM258" s="536"/>
      <c r="AN258" s="542">
        <f t="shared" si="82"/>
        <v>0</v>
      </c>
      <c r="AO258" s="536"/>
      <c r="AP258" s="536"/>
      <c r="AQ258" s="536"/>
      <c r="AR258" s="542">
        <f t="shared" si="83"/>
        <v>0</v>
      </c>
      <c r="AS258" s="536"/>
      <c r="AT258" s="536"/>
      <c r="AU258" s="536"/>
      <c r="AV258" s="542">
        <f t="shared" si="84"/>
        <v>0</v>
      </c>
      <c r="AW258" s="536"/>
      <c r="AX258" s="536"/>
      <c r="AY258" s="536"/>
      <c r="AZ258" s="542">
        <f t="shared" si="85"/>
        <v>0</v>
      </c>
      <c r="BA258" s="536"/>
      <c r="BB258" s="536"/>
      <c r="BC258" s="536"/>
      <c r="BD258" s="542">
        <f t="shared" si="86"/>
        <v>0</v>
      </c>
      <c r="BE258" s="536"/>
      <c r="BF258" s="536"/>
      <c r="BG258" s="536"/>
      <c r="BH258" s="542">
        <f t="shared" si="87"/>
        <v>0</v>
      </c>
      <c r="BI258" s="536"/>
      <c r="BJ258" s="536"/>
      <c r="BK258" s="536"/>
      <c r="BL258" s="542">
        <f t="shared" si="88"/>
        <v>0</v>
      </c>
      <c r="BM258" s="536"/>
      <c r="BN258" s="536"/>
      <c r="BO258" s="536"/>
      <c r="BP258" s="542">
        <f t="shared" si="89"/>
        <v>0</v>
      </c>
      <c r="BQ258" s="536"/>
      <c r="BR258" s="536"/>
      <c r="BS258" s="536"/>
      <c r="BT258" s="542">
        <f t="shared" si="90"/>
        <v>0</v>
      </c>
      <c r="BU258" s="536"/>
      <c r="BV258" s="536"/>
      <c r="BW258" s="536"/>
      <c r="BX258" s="542">
        <f t="shared" si="91"/>
        <v>0</v>
      </c>
      <c r="BY258" s="536"/>
      <c r="BZ258" s="536"/>
      <c r="CA258" s="536"/>
      <c r="CB258" s="542">
        <v>0</v>
      </c>
      <c r="CC258" s="536"/>
      <c r="CD258" s="536"/>
      <c r="CE258" s="536"/>
      <c r="CF258" s="541">
        <f t="shared" si="92"/>
        <v>0</v>
      </c>
      <c r="CG258" s="536"/>
      <c r="CH258" s="536"/>
      <c r="CI258" s="536"/>
      <c r="CJ258" s="541">
        <f t="shared" si="93"/>
        <v>0</v>
      </c>
      <c r="CK258" s="536"/>
      <c r="CL258" s="536"/>
      <c r="CM258" s="536"/>
      <c r="CN258" s="541">
        <f t="shared" si="94"/>
        <v>0</v>
      </c>
      <c r="CO258" s="536"/>
      <c r="CP258" s="536"/>
      <c r="CQ258" s="536"/>
      <c r="CR258" s="541">
        <f t="shared" si="95"/>
        <v>0</v>
      </c>
      <c r="CS258" s="536"/>
      <c r="CT258" s="536"/>
      <c r="CU258" s="536"/>
      <c r="CV258" s="541">
        <f t="shared" si="96"/>
        <v>0</v>
      </c>
      <c r="CW258" s="536"/>
      <c r="CX258" s="536"/>
      <c r="CY258" s="536"/>
      <c r="CZ258" s="541">
        <f t="shared" si="97"/>
        <v>0</v>
      </c>
      <c r="DA258" s="536"/>
      <c r="DB258" s="536"/>
      <c r="DC258" s="536"/>
      <c r="DD258" s="541">
        <f t="shared" si="98"/>
        <v>0</v>
      </c>
      <c r="DE258" s="536"/>
      <c r="DF258" s="536"/>
      <c r="DG258" s="536"/>
      <c r="DH258" s="541">
        <f t="shared" si="99"/>
        <v>0</v>
      </c>
      <c r="DI258" s="536"/>
      <c r="DJ258" s="536"/>
      <c r="DK258" s="536"/>
      <c r="DL258" s="541">
        <f t="shared" si="100"/>
        <v>0</v>
      </c>
      <c r="DM258" s="536"/>
      <c r="DN258" s="536"/>
      <c r="DO258" s="536"/>
      <c r="DP258" s="541">
        <f>IF( SUM((DJ258*(20/100))+(DK258*(30/100))+(DL258*(50/100))) &gt;=9.3,9.5,
IF(AND( SUM((DJ258*(20/100))+(DK258*(30/100))+(DL258*(50/100))) &lt;=9.3, SUM((DJ258*(20/100))+(DK258*(30/100))+(DL258*(50/100))) &gt;=8.8),9,
IF(AND( SUM((DJ258*(20/100))+(DK258*(30/100))+(DL258*(50/100))) &lt;=8.8, SUM((DJ258*(20/100))+(DK258*(30/100))+(DL258*(50/100))) &gt;=8.3),8.5,
IF(AND( SUM((DJ258*(20/100))+(DK258*(30/100))+(DL258*(50/100))) &lt;=8.3, SUM((DJ258*(20/100))+(DK258*(30/100))+(DL258*(50/100))) &gt;=7.8),8,
IF(AND( SUM((DJ258*(20/100))+(DK258*(30/100))+(DL258*(50/100))) &lt;=7.8, SUM((DJ258*(20/100))+(DK258*(30/100))+(DL258*(50/100))) &gt;=7.3),7.5,
IF(AND( SUM((DJ258*(20/100))+(DK258*(30/100))+(DL258*(50/100))) &lt;=7.3, SUM((DJ258*(20/100))+(DK258*(30/100))+(DL258*(50/100))) &gt;=6.8),7,
IF(AND( SUM((DJ258*(20/100))+(DK258*(30/100))+(DL258*(50/100))) &lt;=6.8, SUM((DJ258*(20/100))+(DK258*(30/100))+(DL258*(50/100))) &gt;=6.3),6.5,
IF(AND( SUM((DJ258*(20/100))+(DK258*(30/100))+(DL258*(50/100))) &lt;=6.3, SUM((DJ258*(20/100))+(DK258*(30/100))+(DL258*(50/100))) &gt;=5.8),6,
IF(AND( SUM((DJ258*(20/100))+(DK258*(30/100))+(DL258*(50/100))) &lt;=5.8, SUM((DJ258*(20/100))+(DK258*(30/100))+(DL258*(50/100))) &gt;=5.3),5.5,
IF(AND( SUM((DJ258*(20/100))+(DK258*(30/100))+(DL258*(50/100))) &lt;=5.3, SUM((DJ258*(20/100))+(DK258*(30/100))+(DL258*(50/100))) &gt;=4.8),5,
IF(AND( SUM((DJ258*(20/100))+(DK258*(30/100))+(DL258*(50/100))) &lt;=4.8, SUM((DJ258*(20/100))+(DK258*(30/100))+(DL258*(50/100))) &gt;=4.3),4.5,
IF(AND( SUM((DJ258*(20/100))+(DK258*(30/100))+(DL258*(50/100))) &lt;=4.3, SUM((DJ258*(20/100))+(DK258*(30/100))+(DL258*(50/100))) &gt;=3.8),4,
IF(AND( SUM((DJ258*(20/100))+(DK258*(30/100))+(DL258*(50/100))) &lt;=3.8, SUM((DJ258*(20/100))+(DK258*(30/100))+(DL258*(50/100))) &gt;=3.5),3.5,0)))))))))))))</f>
        <v>0</v>
      </c>
      <c r="DQ258" s="541"/>
      <c r="DR258" s="541"/>
      <c r="DS258" s="541"/>
      <c r="DT258" s="541"/>
      <c r="DU258" s="541"/>
      <c r="DV258" s="541"/>
      <c r="DW258" s="541"/>
      <c r="DX258" s="541"/>
      <c r="DY258" s="541"/>
      <c r="DZ258" s="541"/>
    </row>
    <row r="259" spans="2:130" x14ac:dyDescent="0.25">
      <c r="B259" s="334">
        <v>2</v>
      </c>
      <c r="C259" s="541"/>
      <c r="D259" s="334"/>
      <c r="E259" s="334"/>
      <c r="F259" s="334"/>
      <c r="G259" s="334"/>
      <c r="H259" s="334"/>
      <c r="I259" s="334"/>
      <c r="J259" s="536"/>
      <c r="K259" s="536"/>
      <c r="L259" s="536"/>
      <c r="M259" s="536"/>
      <c r="N259" s="536"/>
      <c r="O259" s="536"/>
      <c r="P259" s="536">
        <f t="shared" si="76"/>
        <v>0</v>
      </c>
      <c r="Q259" s="536"/>
      <c r="R259" s="536"/>
      <c r="S259" s="536"/>
      <c r="T259" s="536">
        <f t="shared" si="77"/>
        <v>0</v>
      </c>
      <c r="U259" s="536"/>
      <c r="V259" s="536"/>
      <c r="W259" s="536"/>
      <c r="X259" s="536">
        <f t="shared" si="78"/>
        <v>0</v>
      </c>
      <c r="Y259" s="536"/>
      <c r="Z259" s="536"/>
      <c r="AA259" s="536"/>
      <c r="AB259" s="536">
        <f t="shared" si="79"/>
        <v>0</v>
      </c>
      <c r="AC259" s="536"/>
      <c r="AD259" s="536"/>
      <c r="AE259" s="536"/>
      <c r="AF259" s="536">
        <f t="shared" si="80"/>
        <v>0</v>
      </c>
      <c r="AG259" s="536"/>
      <c r="AH259" s="536"/>
      <c r="AI259" s="536"/>
      <c r="AJ259" s="536">
        <f t="shared" si="81"/>
        <v>0</v>
      </c>
      <c r="AK259" s="536"/>
      <c r="AL259" s="536"/>
      <c r="AM259" s="536"/>
      <c r="AN259" s="542">
        <f t="shared" si="82"/>
        <v>0</v>
      </c>
      <c r="AO259" s="536"/>
      <c r="AP259" s="536"/>
      <c r="AQ259" s="536"/>
      <c r="AR259" s="542">
        <f t="shared" si="83"/>
        <v>0</v>
      </c>
      <c r="AS259" s="536"/>
      <c r="AT259" s="536"/>
      <c r="AU259" s="536"/>
      <c r="AV259" s="542">
        <f t="shared" si="84"/>
        <v>0</v>
      </c>
      <c r="AW259" s="536"/>
      <c r="AX259" s="536"/>
      <c r="AY259" s="536"/>
      <c r="AZ259" s="542">
        <f t="shared" si="85"/>
        <v>0</v>
      </c>
      <c r="BA259" s="536"/>
      <c r="BB259" s="536"/>
      <c r="BC259" s="536"/>
      <c r="BD259" s="542">
        <f t="shared" si="86"/>
        <v>0</v>
      </c>
      <c r="BE259" s="536"/>
      <c r="BF259" s="536"/>
      <c r="BG259" s="536"/>
      <c r="BH259" s="542">
        <f t="shared" si="87"/>
        <v>0</v>
      </c>
      <c r="BI259" s="536"/>
      <c r="BJ259" s="536"/>
      <c r="BK259" s="536"/>
      <c r="BL259" s="542">
        <f t="shared" si="88"/>
        <v>0</v>
      </c>
      <c r="BM259" s="536"/>
      <c r="BN259" s="536"/>
      <c r="BO259" s="536"/>
      <c r="BP259" s="542">
        <f t="shared" si="89"/>
        <v>0</v>
      </c>
      <c r="BQ259" s="536"/>
      <c r="BR259" s="536"/>
      <c r="BS259" s="536"/>
      <c r="BT259" s="542">
        <f t="shared" si="90"/>
        <v>0</v>
      </c>
      <c r="BU259" s="536"/>
      <c r="BV259" s="536"/>
      <c r="BW259" s="536"/>
      <c r="BX259" s="542">
        <f t="shared" si="91"/>
        <v>0</v>
      </c>
      <c r="BY259" s="536"/>
      <c r="BZ259" s="536"/>
      <c r="CA259" s="536"/>
      <c r="CB259" s="542">
        <v>0</v>
      </c>
      <c r="CC259" s="536"/>
      <c r="CD259" s="536"/>
      <c r="CE259" s="536"/>
      <c r="CF259" s="541">
        <f t="shared" si="92"/>
        <v>0</v>
      </c>
      <c r="CG259" s="536"/>
      <c r="CH259" s="536"/>
      <c r="CI259" s="536"/>
      <c r="CJ259" s="541">
        <f t="shared" si="93"/>
        <v>0</v>
      </c>
      <c r="CK259" s="536"/>
      <c r="CL259" s="536"/>
      <c r="CM259" s="536"/>
      <c r="CN259" s="541">
        <f t="shared" si="94"/>
        <v>0</v>
      </c>
      <c r="CO259" s="536"/>
      <c r="CP259" s="536"/>
      <c r="CQ259" s="536"/>
      <c r="CR259" s="541">
        <f t="shared" si="95"/>
        <v>0</v>
      </c>
      <c r="CS259" s="536"/>
      <c r="CT259" s="536"/>
      <c r="CU259" s="536"/>
      <c r="CV259" s="541">
        <f t="shared" si="96"/>
        <v>0</v>
      </c>
      <c r="CW259" s="536"/>
      <c r="CX259" s="536"/>
      <c r="CY259" s="536"/>
      <c r="CZ259" s="541">
        <f t="shared" si="97"/>
        <v>0</v>
      </c>
      <c r="DA259" s="536"/>
      <c r="DB259" s="536"/>
      <c r="DC259" s="536"/>
      <c r="DD259" s="541">
        <f t="shared" si="98"/>
        <v>0</v>
      </c>
      <c r="DE259" s="536"/>
      <c r="DF259" s="536"/>
      <c r="DG259" s="536"/>
      <c r="DH259" s="541">
        <f t="shared" si="99"/>
        <v>0</v>
      </c>
      <c r="DI259" s="536"/>
      <c r="DJ259" s="536"/>
      <c r="DK259" s="536"/>
      <c r="DL259" s="541">
        <f t="shared" si="100"/>
        <v>0</v>
      </c>
      <c r="DM259" s="536"/>
      <c r="DN259" s="536"/>
      <c r="DO259" s="536"/>
      <c r="DP259" s="541">
        <f>IF( SUM((DJ259*(20/100))+(DK259*(30/100))+(DL259*(50/100))) &gt;=9.3,9.5,
IF(AND( SUM((DJ259*(20/100))+(DK259*(30/100))+(DL259*(50/100))) &lt;=9.3, SUM((DJ259*(20/100))+(DK259*(30/100))+(DL259*(50/100))) &gt;=8.8),9,
IF(AND( SUM((DJ259*(20/100))+(DK259*(30/100))+(DL259*(50/100))) &lt;=8.8, SUM((DJ259*(20/100))+(DK259*(30/100))+(DL259*(50/100))) &gt;=8.3),8.5,
IF(AND( SUM((DJ259*(20/100))+(DK259*(30/100))+(DL259*(50/100))) &lt;=8.3, SUM((DJ259*(20/100))+(DK259*(30/100))+(DL259*(50/100))) &gt;=7.8),8,
IF(AND( SUM((DJ259*(20/100))+(DK259*(30/100))+(DL259*(50/100))) &lt;=7.8, SUM((DJ259*(20/100))+(DK259*(30/100))+(DL259*(50/100))) &gt;=7.3),7.5,
IF(AND( SUM((DJ259*(20/100))+(DK259*(30/100))+(DL259*(50/100))) &lt;=7.3, SUM((DJ259*(20/100))+(DK259*(30/100))+(DL259*(50/100))) &gt;=6.8),7,
IF(AND( SUM((DJ259*(20/100))+(DK259*(30/100))+(DL259*(50/100))) &lt;=6.8, SUM((DJ259*(20/100))+(DK259*(30/100))+(DL259*(50/100))) &gt;=6.3),6.5,
IF(AND( SUM((DJ259*(20/100))+(DK259*(30/100))+(DL259*(50/100))) &lt;=6.3, SUM((DJ259*(20/100))+(DK259*(30/100))+(DL259*(50/100))) &gt;=5.8),6,
IF(AND( SUM((DJ259*(20/100))+(DK259*(30/100))+(DL259*(50/100))) &lt;=5.8, SUM((DJ259*(20/100))+(DK259*(30/100))+(DL259*(50/100))) &gt;=5.3),5.5,
IF(AND( SUM((DJ259*(20/100))+(DK259*(30/100))+(DL259*(50/100))) &lt;=5.3, SUM((DJ259*(20/100))+(DK259*(30/100))+(DL259*(50/100))) &gt;=4.8),5,
IF(AND( SUM((DJ259*(20/100))+(DK259*(30/100))+(DL259*(50/100))) &lt;=4.8, SUM((DJ259*(20/100))+(DK259*(30/100))+(DL259*(50/100))) &gt;=4.3),4.5,
IF(AND( SUM((DJ259*(20/100))+(DK259*(30/100))+(DL259*(50/100))) &lt;=4.3, SUM((DJ259*(20/100))+(DK259*(30/100))+(DL259*(50/100))) &gt;=3.8),4,
IF(AND( SUM((DJ259*(20/100))+(DK259*(30/100))+(DL259*(50/100))) &lt;=3.8, SUM((DJ259*(20/100))+(DK259*(30/100))+(DL259*(50/100))) &gt;=3.5),3.5,0)))))))))))))</f>
        <v>0</v>
      </c>
      <c r="DQ259" s="541"/>
      <c r="DR259" s="541"/>
      <c r="DS259" s="541"/>
      <c r="DT259" s="541"/>
      <c r="DU259" s="541"/>
      <c r="DV259" s="541"/>
      <c r="DW259" s="541"/>
      <c r="DX259" s="541"/>
      <c r="DY259" s="541"/>
      <c r="DZ259" s="541"/>
    </row>
    <row r="260" spans="2:130" x14ac:dyDescent="0.25">
      <c r="B260" s="334">
        <v>3</v>
      </c>
      <c r="C260" s="541"/>
      <c r="D260" s="334"/>
      <c r="E260" s="334"/>
      <c r="F260" s="334"/>
      <c r="G260" s="334"/>
      <c r="H260" s="334"/>
      <c r="I260" s="334"/>
      <c r="J260" s="536"/>
      <c r="K260" s="536"/>
      <c r="L260" s="536"/>
      <c r="M260" s="536"/>
      <c r="N260" s="536"/>
      <c r="O260" s="536"/>
      <c r="P260" s="536">
        <f t="shared" si="76"/>
        <v>0</v>
      </c>
      <c r="Q260" s="536"/>
      <c r="R260" s="536"/>
      <c r="S260" s="536"/>
      <c r="T260" s="536">
        <f t="shared" si="77"/>
        <v>0</v>
      </c>
      <c r="U260" s="536"/>
      <c r="V260" s="536"/>
      <c r="W260" s="536"/>
      <c r="X260" s="536">
        <f t="shared" si="78"/>
        <v>0</v>
      </c>
      <c r="Y260" s="536"/>
      <c r="Z260" s="536"/>
      <c r="AA260" s="536"/>
      <c r="AB260" s="536">
        <f t="shared" si="79"/>
        <v>0</v>
      </c>
      <c r="AC260" s="536"/>
      <c r="AD260" s="536"/>
      <c r="AE260" s="536"/>
      <c r="AF260" s="536">
        <f t="shared" si="80"/>
        <v>0</v>
      </c>
      <c r="AG260" s="536"/>
      <c r="AH260" s="536"/>
      <c r="AI260" s="536"/>
      <c r="AJ260" s="536">
        <f t="shared" si="81"/>
        <v>0</v>
      </c>
      <c r="AK260" s="536"/>
      <c r="AL260" s="536"/>
      <c r="AM260" s="536"/>
      <c r="AN260" s="542">
        <f t="shared" si="82"/>
        <v>0</v>
      </c>
      <c r="AO260" s="536"/>
      <c r="AP260" s="536"/>
      <c r="AQ260" s="536"/>
      <c r="AR260" s="542">
        <f t="shared" si="83"/>
        <v>0</v>
      </c>
      <c r="AS260" s="536"/>
      <c r="AT260" s="536"/>
      <c r="AU260" s="536"/>
      <c r="AV260" s="542">
        <f t="shared" si="84"/>
        <v>0</v>
      </c>
      <c r="AW260" s="536"/>
      <c r="AX260" s="536"/>
      <c r="AY260" s="536"/>
      <c r="AZ260" s="542">
        <f t="shared" si="85"/>
        <v>0</v>
      </c>
      <c r="BA260" s="536"/>
      <c r="BB260" s="536"/>
      <c r="BC260" s="536"/>
      <c r="BD260" s="542">
        <f t="shared" si="86"/>
        <v>0</v>
      </c>
      <c r="BE260" s="536"/>
      <c r="BF260" s="536"/>
      <c r="BG260" s="536"/>
      <c r="BH260" s="542">
        <f t="shared" si="87"/>
        <v>0</v>
      </c>
      <c r="BI260" s="536"/>
      <c r="BJ260" s="536"/>
      <c r="BK260" s="536"/>
      <c r="BL260" s="542">
        <f t="shared" si="88"/>
        <v>0</v>
      </c>
      <c r="BM260" s="536"/>
      <c r="BN260" s="536"/>
      <c r="BO260" s="536"/>
      <c r="BP260" s="542">
        <f t="shared" si="89"/>
        <v>0</v>
      </c>
      <c r="BQ260" s="536"/>
      <c r="BR260" s="536"/>
      <c r="BS260" s="536"/>
      <c r="BT260" s="542">
        <f t="shared" si="90"/>
        <v>0</v>
      </c>
      <c r="BU260" s="536"/>
      <c r="BV260" s="536"/>
      <c r="BW260" s="536"/>
      <c r="BX260" s="542">
        <f t="shared" si="91"/>
        <v>0</v>
      </c>
      <c r="BY260" s="536"/>
      <c r="BZ260" s="536"/>
      <c r="CA260" s="536"/>
      <c r="CB260" s="542">
        <v>0</v>
      </c>
      <c r="CC260" s="536"/>
      <c r="CD260" s="536"/>
      <c r="CE260" s="536"/>
      <c r="CF260" s="541">
        <f t="shared" si="92"/>
        <v>0</v>
      </c>
      <c r="CG260" s="536"/>
      <c r="CH260" s="536"/>
      <c r="CI260" s="536"/>
      <c r="CJ260" s="541">
        <f t="shared" si="93"/>
        <v>0</v>
      </c>
      <c r="CK260" s="536"/>
      <c r="CL260" s="536"/>
      <c r="CM260" s="536"/>
      <c r="CN260" s="541">
        <f t="shared" si="94"/>
        <v>0</v>
      </c>
      <c r="CO260" s="536"/>
      <c r="CP260" s="536"/>
      <c r="CQ260" s="536"/>
      <c r="CR260" s="541">
        <f t="shared" si="95"/>
        <v>0</v>
      </c>
      <c r="CS260" s="536"/>
      <c r="CT260" s="536"/>
      <c r="CU260" s="536"/>
      <c r="CV260" s="541">
        <f t="shared" si="96"/>
        <v>0</v>
      </c>
      <c r="CW260" s="536"/>
      <c r="CX260" s="536"/>
      <c r="CY260" s="536"/>
      <c r="CZ260" s="541">
        <f t="shared" si="97"/>
        <v>0</v>
      </c>
      <c r="DA260" s="536"/>
      <c r="DB260" s="536"/>
      <c r="DC260" s="536"/>
      <c r="DD260" s="541">
        <f t="shared" si="98"/>
        <v>0</v>
      </c>
      <c r="DE260" s="536"/>
      <c r="DF260" s="536"/>
      <c r="DG260" s="536"/>
      <c r="DH260" s="541">
        <f t="shared" si="99"/>
        <v>0</v>
      </c>
      <c r="DI260" s="536"/>
      <c r="DJ260" s="536"/>
      <c r="DK260" s="536"/>
      <c r="DL260" s="541">
        <f t="shared" si="100"/>
        <v>0</v>
      </c>
      <c r="DM260" s="536"/>
      <c r="DN260" s="536"/>
      <c r="DO260" s="536"/>
      <c r="DP260" s="541">
        <f>IF( SUM((DJ260*(20/100))+(DK260*(30/100))+(DL260*(50/100))) &gt;=9.3,9.5,
IF(AND( SUM((DJ260*(20/100))+(DK260*(30/100))+(DL260*(50/100))) &lt;=9.3, SUM((DJ260*(20/100))+(DK260*(30/100))+(DL260*(50/100))) &gt;=8.8),9,
IF(AND( SUM((DJ260*(20/100))+(DK260*(30/100))+(DL260*(50/100))) &lt;=8.8, SUM((DJ260*(20/100))+(DK260*(30/100))+(DL260*(50/100))) &gt;=8.3),8.5,
IF(AND( SUM((DJ260*(20/100))+(DK260*(30/100))+(DL260*(50/100))) &lt;=8.3, SUM((DJ260*(20/100))+(DK260*(30/100))+(DL260*(50/100))) &gt;=7.8),8,
IF(AND( SUM((DJ260*(20/100))+(DK260*(30/100))+(DL260*(50/100))) &lt;=7.8, SUM((DJ260*(20/100))+(DK260*(30/100))+(DL260*(50/100))) &gt;=7.3),7.5,
IF(AND( SUM((DJ260*(20/100))+(DK260*(30/100))+(DL260*(50/100))) &lt;=7.3, SUM((DJ260*(20/100))+(DK260*(30/100))+(DL260*(50/100))) &gt;=6.8),7,
IF(AND( SUM((DJ260*(20/100))+(DK260*(30/100))+(DL260*(50/100))) &lt;=6.8, SUM((DJ260*(20/100))+(DK260*(30/100))+(DL260*(50/100))) &gt;=6.3),6.5,
IF(AND( SUM((DJ260*(20/100))+(DK260*(30/100))+(DL260*(50/100))) &lt;=6.3, SUM((DJ260*(20/100))+(DK260*(30/100))+(DL260*(50/100))) &gt;=5.8),6,
IF(AND( SUM((DJ260*(20/100))+(DK260*(30/100))+(DL260*(50/100))) &lt;=5.8, SUM((DJ260*(20/100))+(DK260*(30/100))+(DL260*(50/100))) &gt;=5.3),5.5,
IF(AND( SUM((DJ260*(20/100))+(DK260*(30/100))+(DL260*(50/100))) &lt;=5.3, SUM((DJ260*(20/100))+(DK260*(30/100))+(DL260*(50/100))) &gt;=4.8),5,
IF(AND( SUM((DJ260*(20/100))+(DK260*(30/100))+(DL260*(50/100))) &lt;=4.8, SUM((DJ260*(20/100))+(DK260*(30/100))+(DL260*(50/100))) &gt;=4.3),4.5,
IF(AND( SUM((DJ260*(20/100))+(DK260*(30/100))+(DL260*(50/100))) &lt;=4.3, SUM((DJ260*(20/100))+(DK260*(30/100))+(DL260*(50/100))) &gt;=3.8),4,
IF(AND( SUM((DJ260*(20/100))+(DK260*(30/100))+(DL260*(50/100))) &lt;=3.8, SUM((DJ260*(20/100))+(DK260*(30/100))+(DL260*(50/100))) &gt;=3.5),3.5,0)))))))))))))</f>
        <v>0</v>
      </c>
      <c r="DQ260" s="541"/>
      <c r="DR260" s="541"/>
      <c r="DS260" s="541"/>
      <c r="DT260" s="541"/>
      <c r="DU260" s="541"/>
      <c r="DV260" s="541"/>
      <c r="DW260" s="541"/>
      <c r="DX260" s="541"/>
      <c r="DY260" s="541"/>
      <c r="DZ260" s="541"/>
    </row>
    <row r="261" spans="2:130" x14ac:dyDescent="0.25">
      <c r="B261" s="334">
        <v>4</v>
      </c>
      <c r="C261" s="541"/>
      <c r="D261" s="334"/>
      <c r="E261" s="334"/>
      <c r="F261" s="334"/>
      <c r="G261" s="334"/>
      <c r="H261" s="334"/>
      <c r="I261" s="334"/>
      <c r="J261" s="536"/>
      <c r="K261" s="536"/>
      <c r="L261" s="536"/>
      <c r="M261" s="536"/>
      <c r="N261" s="536"/>
      <c r="O261" s="536"/>
      <c r="P261" s="536">
        <f t="shared" si="76"/>
        <v>0</v>
      </c>
      <c r="Q261" s="536"/>
      <c r="R261" s="536"/>
      <c r="S261" s="536"/>
      <c r="T261" s="536">
        <f t="shared" si="77"/>
        <v>0</v>
      </c>
      <c r="U261" s="536"/>
      <c r="V261" s="536"/>
      <c r="W261" s="536"/>
      <c r="X261" s="536">
        <f t="shared" si="78"/>
        <v>0</v>
      </c>
      <c r="Y261" s="536"/>
      <c r="Z261" s="536"/>
      <c r="AA261" s="536"/>
      <c r="AB261" s="536">
        <f t="shared" si="79"/>
        <v>0</v>
      </c>
      <c r="AC261" s="536"/>
      <c r="AD261" s="536"/>
      <c r="AE261" s="536"/>
      <c r="AF261" s="536">
        <f t="shared" si="80"/>
        <v>0</v>
      </c>
      <c r="AG261" s="536"/>
      <c r="AH261" s="536"/>
      <c r="AI261" s="536"/>
      <c r="AJ261" s="536">
        <f t="shared" si="81"/>
        <v>0</v>
      </c>
      <c r="AK261" s="536"/>
      <c r="AL261" s="536"/>
      <c r="AM261" s="536"/>
      <c r="AN261" s="542">
        <f t="shared" si="82"/>
        <v>0</v>
      </c>
      <c r="AO261" s="536"/>
      <c r="AP261" s="536"/>
      <c r="AQ261" s="536"/>
      <c r="AR261" s="542">
        <f t="shared" si="83"/>
        <v>0</v>
      </c>
      <c r="AS261" s="536"/>
      <c r="AT261" s="536"/>
      <c r="AU261" s="536"/>
      <c r="AV261" s="542">
        <f t="shared" si="84"/>
        <v>0</v>
      </c>
      <c r="AW261" s="536"/>
      <c r="AX261" s="536"/>
      <c r="AY261" s="536"/>
      <c r="AZ261" s="542">
        <f t="shared" si="85"/>
        <v>0</v>
      </c>
      <c r="BA261" s="536"/>
      <c r="BB261" s="536"/>
      <c r="BC261" s="536"/>
      <c r="BD261" s="542">
        <f t="shared" si="86"/>
        <v>0</v>
      </c>
      <c r="BE261" s="536"/>
      <c r="BF261" s="536"/>
      <c r="BG261" s="536"/>
      <c r="BH261" s="542">
        <f t="shared" si="87"/>
        <v>0</v>
      </c>
      <c r="BI261" s="536"/>
      <c r="BJ261" s="536"/>
      <c r="BK261" s="536"/>
      <c r="BL261" s="542">
        <f t="shared" si="88"/>
        <v>0</v>
      </c>
      <c r="BM261" s="536"/>
      <c r="BN261" s="536"/>
      <c r="BO261" s="536"/>
      <c r="BP261" s="542">
        <f t="shared" si="89"/>
        <v>0</v>
      </c>
      <c r="BQ261" s="536"/>
      <c r="BR261" s="536"/>
      <c r="BS261" s="536"/>
      <c r="BT261" s="542">
        <f t="shared" si="90"/>
        <v>0</v>
      </c>
      <c r="BU261" s="536"/>
      <c r="BV261" s="536"/>
      <c r="BW261" s="536"/>
      <c r="BX261" s="542">
        <f t="shared" si="91"/>
        <v>0</v>
      </c>
      <c r="BY261" s="536"/>
      <c r="BZ261" s="536"/>
      <c r="CA261" s="536"/>
      <c r="CB261" s="542">
        <v>0</v>
      </c>
      <c r="CC261" s="536"/>
      <c r="CD261" s="536"/>
      <c r="CE261" s="536"/>
      <c r="CF261" s="541">
        <f t="shared" si="92"/>
        <v>0</v>
      </c>
      <c r="CG261" s="536"/>
      <c r="CH261" s="536"/>
      <c r="CI261" s="536"/>
      <c r="CJ261" s="541">
        <f t="shared" si="93"/>
        <v>0</v>
      </c>
      <c r="CK261" s="536"/>
      <c r="CL261" s="536"/>
      <c r="CM261" s="536"/>
      <c r="CN261" s="541">
        <f t="shared" si="94"/>
        <v>0</v>
      </c>
      <c r="CO261" s="536"/>
      <c r="CP261" s="536"/>
      <c r="CQ261" s="536"/>
      <c r="CR261" s="541">
        <f t="shared" si="95"/>
        <v>0</v>
      </c>
      <c r="CS261" s="536"/>
      <c r="CT261" s="536"/>
      <c r="CU261" s="536"/>
      <c r="CV261" s="541">
        <f t="shared" si="96"/>
        <v>0</v>
      </c>
      <c r="CW261" s="536"/>
      <c r="CX261" s="536"/>
      <c r="CY261" s="536"/>
      <c r="CZ261" s="541">
        <f t="shared" si="97"/>
        <v>0</v>
      </c>
      <c r="DA261" s="536"/>
      <c r="DB261" s="536"/>
      <c r="DC261" s="536"/>
      <c r="DD261" s="541">
        <f t="shared" si="98"/>
        <v>0</v>
      </c>
      <c r="DE261" s="536"/>
      <c r="DF261" s="536"/>
      <c r="DG261" s="536"/>
      <c r="DH261" s="541">
        <f t="shared" si="99"/>
        <v>0</v>
      </c>
      <c r="DI261" s="536"/>
      <c r="DJ261" s="536"/>
      <c r="DK261" s="536"/>
      <c r="DL261" s="541">
        <f t="shared" si="100"/>
        <v>0</v>
      </c>
      <c r="DM261" s="536"/>
      <c r="DN261" s="536"/>
      <c r="DO261" s="536"/>
      <c r="DP261" s="541">
        <f>IF( SUM((DJ261*(20/100))+(DK261*(30/100))+(DL261*(50/100))) &gt;=9.3,9.5,
IF(AND( SUM((DJ261*(20/100))+(DK261*(30/100))+(DL261*(50/100))) &lt;=9.3, SUM((DJ261*(20/100))+(DK261*(30/100))+(DL261*(50/100))) &gt;=8.8),9,
IF(AND( SUM((DJ261*(20/100))+(DK261*(30/100))+(DL261*(50/100))) &lt;=8.8, SUM((DJ261*(20/100))+(DK261*(30/100))+(DL261*(50/100))) &gt;=8.3),8.5,
IF(AND( SUM((DJ261*(20/100))+(DK261*(30/100))+(DL261*(50/100))) &lt;=8.3, SUM((DJ261*(20/100))+(DK261*(30/100))+(DL261*(50/100))) &gt;=7.8),8,
IF(AND( SUM((DJ261*(20/100))+(DK261*(30/100))+(DL261*(50/100))) &lt;=7.8, SUM((DJ261*(20/100))+(DK261*(30/100))+(DL261*(50/100))) &gt;=7.3),7.5,
IF(AND( SUM((DJ261*(20/100))+(DK261*(30/100))+(DL261*(50/100))) &lt;=7.3, SUM((DJ261*(20/100))+(DK261*(30/100))+(DL261*(50/100))) &gt;=6.8),7,
IF(AND( SUM((DJ261*(20/100))+(DK261*(30/100))+(DL261*(50/100))) &lt;=6.8, SUM((DJ261*(20/100))+(DK261*(30/100))+(DL261*(50/100))) &gt;=6.3),6.5,
IF(AND( SUM((DJ261*(20/100))+(DK261*(30/100))+(DL261*(50/100))) &lt;=6.3, SUM((DJ261*(20/100))+(DK261*(30/100))+(DL261*(50/100))) &gt;=5.8),6,
IF(AND( SUM((DJ261*(20/100))+(DK261*(30/100))+(DL261*(50/100))) &lt;=5.8, SUM((DJ261*(20/100))+(DK261*(30/100))+(DL261*(50/100))) &gt;=5.3),5.5,
IF(AND( SUM((DJ261*(20/100))+(DK261*(30/100))+(DL261*(50/100))) &lt;=5.3, SUM((DJ261*(20/100))+(DK261*(30/100))+(DL261*(50/100))) &gt;=4.8),5,
IF(AND( SUM((DJ261*(20/100))+(DK261*(30/100))+(DL261*(50/100))) &lt;=4.8, SUM((DJ261*(20/100))+(DK261*(30/100))+(DL261*(50/100))) &gt;=4.3),4.5,
IF(AND( SUM((DJ261*(20/100))+(DK261*(30/100))+(DL261*(50/100))) &lt;=4.3, SUM((DJ261*(20/100))+(DK261*(30/100))+(DL261*(50/100))) &gt;=3.8),4,
IF(AND( SUM((DJ261*(20/100))+(DK261*(30/100))+(DL261*(50/100))) &lt;=3.8, SUM((DJ261*(20/100))+(DK261*(30/100))+(DL261*(50/100))) &gt;=3.5),3.5,0)))))))))))))</f>
        <v>0</v>
      </c>
      <c r="DQ261" s="541"/>
      <c r="DR261" s="541"/>
      <c r="DS261" s="541"/>
      <c r="DT261" s="541"/>
      <c r="DU261" s="541"/>
      <c r="DV261" s="541"/>
      <c r="DW261" s="541"/>
      <c r="DX261" s="541"/>
      <c r="DY261" s="541"/>
      <c r="DZ261" s="541"/>
    </row>
    <row r="262" spans="2:130" x14ac:dyDescent="0.25">
      <c r="B262" s="334">
        <v>5</v>
      </c>
      <c r="C262" s="541"/>
      <c r="D262" s="334"/>
      <c r="E262" s="334"/>
      <c r="F262" s="334"/>
      <c r="G262" s="334"/>
      <c r="H262" s="334"/>
      <c r="I262" s="334"/>
      <c r="J262" s="536"/>
      <c r="K262" s="536"/>
      <c r="L262" s="536"/>
      <c r="M262" s="536"/>
      <c r="N262" s="536"/>
      <c r="O262" s="536"/>
      <c r="P262" s="536">
        <f t="shared" si="76"/>
        <v>0</v>
      </c>
      <c r="Q262" s="536"/>
      <c r="R262" s="536"/>
      <c r="S262" s="536"/>
      <c r="T262" s="536">
        <f t="shared" si="77"/>
        <v>0</v>
      </c>
      <c r="U262" s="536"/>
      <c r="V262" s="536"/>
      <c r="W262" s="536"/>
      <c r="X262" s="536">
        <f t="shared" si="78"/>
        <v>0</v>
      </c>
      <c r="Y262" s="536"/>
      <c r="Z262" s="536"/>
      <c r="AA262" s="536"/>
      <c r="AB262" s="536">
        <f t="shared" si="79"/>
        <v>0</v>
      </c>
      <c r="AC262" s="536"/>
      <c r="AD262" s="536"/>
      <c r="AE262" s="536"/>
      <c r="AF262" s="536">
        <f t="shared" si="80"/>
        <v>0</v>
      </c>
      <c r="AG262" s="536"/>
      <c r="AH262" s="536"/>
      <c r="AI262" s="536"/>
      <c r="AJ262" s="536">
        <f t="shared" si="81"/>
        <v>0</v>
      </c>
      <c r="AK262" s="536"/>
      <c r="AL262" s="536"/>
      <c r="AM262" s="536"/>
      <c r="AN262" s="542">
        <f t="shared" si="82"/>
        <v>0</v>
      </c>
      <c r="AO262" s="536"/>
      <c r="AP262" s="536"/>
      <c r="AQ262" s="536"/>
      <c r="AR262" s="542">
        <f t="shared" si="83"/>
        <v>0</v>
      </c>
      <c r="AS262" s="536"/>
      <c r="AT262" s="536"/>
      <c r="AU262" s="536"/>
      <c r="AV262" s="542">
        <f t="shared" si="84"/>
        <v>0</v>
      </c>
      <c r="AW262" s="536"/>
      <c r="AX262" s="536"/>
      <c r="AY262" s="536"/>
      <c r="AZ262" s="542">
        <f t="shared" si="85"/>
        <v>0</v>
      </c>
      <c r="BA262" s="536"/>
      <c r="BB262" s="536"/>
      <c r="BC262" s="536"/>
      <c r="BD262" s="542">
        <f t="shared" si="86"/>
        <v>0</v>
      </c>
      <c r="BE262" s="536"/>
      <c r="BF262" s="536"/>
      <c r="BG262" s="536"/>
      <c r="BH262" s="542">
        <f t="shared" si="87"/>
        <v>0</v>
      </c>
      <c r="BI262" s="536"/>
      <c r="BJ262" s="536"/>
      <c r="BK262" s="536"/>
      <c r="BL262" s="542">
        <f t="shared" si="88"/>
        <v>0</v>
      </c>
      <c r="BM262" s="536"/>
      <c r="BN262" s="536"/>
      <c r="BO262" s="536"/>
      <c r="BP262" s="542">
        <f t="shared" si="89"/>
        <v>0</v>
      </c>
      <c r="BQ262" s="536"/>
      <c r="BR262" s="536"/>
      <c r="BS262" s="536"/>
      <c r="BT262" s="542">
        <f t="shared" si="90"/>
        <v>0</v>
      </c>
      <c r="BU262" s="536"/>
      <c r="BV262" s="536"/>
      <c r="BW262" s="536"/>
      <c r="BX262" s="542">
        <f t="shared" si="91"/>
        <v>0</v>
      </c>
      <c r="BY262" s="536"/>
      <c r="BZ262" s="536"/>
      <c r="CA262" s="536"/>
      <c r="CB262" s="542">
        <v>0</v>
      </c>
      <c r="CC262" s="536"/>
      <c r="CD262" s="536"/>
      <c r="CE262" s="536"/>
      <c r="CF262" s="541">
        <f t="shared" si="92"/>
        <v>0</v>
      </c>
      <c r="CG262" s="536"/>
      <c r="CH262" s="536"/>
      <c r="CI262" s="536"/>
      <c r="CJ262" s="541">
        <f t="shared" si="93"/>
        <v>0</v>
      </c>
      <c r="CK262" s="536"/>
      <c r="CL262" s="536"/>
      <c r="CM262" s="536"/>
      <c r="CN262" s="541">
        <f t="shared" si="94"/>
        <v>0</v>
      </c>
      <c r="CO262" s="536"/>
      <c r="CP262" s="536"/>
      <c r="CQ262" s="536"/>
      <c r="CR262" s="541">
        <f t="shared" si="95"/>
        <v>0</v>
      </c>
      <c r="CS262" s="536"/>
      <c r="CT262" s="536"/>
      <c r="CU262" s="536"/>
      <c r="CV262" s="541">
        <f t="shared" si="96"/>
        <v>0</v>
      </c>
      <c r="CW262" s="536"/>
      <c r="CX262" s="536"/>
      <c r="CY262" s="536"/>
      <c r="CZ262" s="541">
        <f t="shared" si="97"/>
        <v>0</v>
      </c>
      <c r="DA262" s="536"/>
      <c r="DB262" s="536"/>
      <c r="DC262" s="536"/>
      <c r="DD262" s="541">
        <f t="shared" si="98"/>
        <v>0</v>
      </c>
      <c r="DE262" s="536"/>
      <c r="DF262" s="536"/>
      <c r="DG262" s="536"/>
      <c r="DH262" s="541">
        <f t="shared" si="99"/>
        <v>0</v>
      </c>
      <c r="DI262" s="536"/>
      <c r="DJ262" s="536"/>
      <c r="DK262" s="536"/>
      <c r="DL262" s="541">
        <f t="shared" si="100"/>
        <v>0</v>
      </c>
      <c r="DM262" s="536"/>
      <c r="DN262" s="536"/>
      <c r="DO262" s="536"/>
      <c r="DP262" s="541">
        <f>IF( SUM((DJ262*(20/100))+(DK262*(30/100))+(DL262*(50/100))) &gt;=9.3,9.5,
IF(AND( SUM((DJ262*(20/100))+(DK262*(30/100))+(DL262*(50/100))) &lt;=9.3, SUM((DJ262*(20/100))+(DK262*(30/100))+(DL262*(50/100))) &gt;=8.8),9,
IF(AND( SUM((DJ262*(20/100))+(DK262*(30/100))+(DL262*(50/100))) &lt;=8.8, SUM((DJ262*(20/100))+(DK262*(30/100))+(DL262*(50/100))) &gt;=8.3),8.5,
IF(AND( SUM((DJ262*(20/100))+(DK262*(30/100))+(DL262*(50/100))) &lt;=8.3, SUM((DJ262*(20/100))+(DK262*(30/100))+(DL262*(50/100))) &gt;=7.8),8,
IF(AND( SUM((DJ262*(20/100))+(DK262*(30/100))+(DL262*(50/100))) &lt;=7.8, SUM((DJ262*(20/100))+(DK262*(30/100))+(DL262*(50/100))) &gt;=7.3),7.5,
IF(AND( SUM((DJ262*(20/100))+(DK262*(30/100))+(DL262*(50/100))) &lt;=7.3, SUM((DJ262*(20/100))+(DK262*(30/100))+(DL262*(50/100))) &gt;=6.8),7,
IF(AND( SUM((DJ262*(20/100))+(DK262*(30/100))+(DL262*(50/100))) &lt;=6.8, SUM((DJ262*(20/100))+(DK262*(30/100))+(DL262*(50/100))) &gt;=6.3),6.5,
IF(AND( SUM((DJ262*(20/100))+(DK262*(30/100))+(DL262*(50/100))) &lt;=6.3, SUM((DJ262*(20/100))+(DK262*(30/100))+(DL262*(50/100))) &gt;=5.8),6,
IF(AND( SUM((DJ262*(20/100))+(DK262*(30/100))+(DL262*(50/100))) &lt;=5.8, SUM((DJ262*(20/100))+(DK262*(30/100))+(DL262*(50/100))) &gt;=5.3),5.5,
IF(AND( SUM((DJ262*(20/100))+(DK262*(30/100))+(DL262*(50/100))) &lt;=5.3, SUM((DJ262*(20/100))+(DK262*(30/100))+(DL262*(50/100))) &gt;=4.8),5,
IF(AND( SUM((DJ262*(20/100))+(DK262*(30/100))+(DL262*(50/100))) &lt;=4.8, SUM((DJ262*(20/100))+(DK262*(30/100))+(DL262*(50/100))) &gt;=4.3),4.5,
IF(AND( SUM((DJ262*(20/100))+(DK262*(30/100))+(DL262*(50/100))) &lt;=4.3, SUM((DJ262*(20/100))+(DK262*(30/100))+(DL262*(50/100))) &gt;=3.8),4,
IF(AND( SUM((DJ262*(20/100))+(DK262*(30/100))+(DL262*(50/100))) &lt;=3.8, SUM((DJ262*(20/100))+(DK262*(30/100))+(DL262*(50/100))) &gt;=3.5),3.5,0)))))))))))))</f>
        <v>0</v>
      </c>
      <c r="DQ262" s="541"/>
      <c r="DR262" s="541"/>
      <c r="DS262" s="541"/>
      <c r="DT262" s="541"/>
      <c r="DU262" s="541"/>
      <c r="DV262" s="541"/>
      <c r="DW262" s="541"/>
      <c r="DX262" s="541"/>
      <c r="DY262" s="541"/>
      <c r="DZ262" s="541"/>
    </row>
    <row r="263" spans="2:130" x14ac:dyDescent="0.25">
      <c r="B263" s="334">
        <v>6</v>
      </c>
      <c r="C263" s="541"/>
      <c r="D263" s="334"/>
      <c r="E263" s="334"/>
      <c r="F263" s="334"/>
      <c r="G263" s="334"/>
      <c r="H263" s="334"/>
      <c r="I263" s="334"/>
      <c r="J263" s="536"/>
      <c r="K263" s="536"/>
      <c r="L263" s="536"/>
      <c r="M263" s="536"/>
      <c r="N263" s="536"/>
      <c r="O263" s="536"/>
      <c r="P263" s="536">
        <f t="shared" si="76"/>
        <v>0</v>
      </c>
      <c r="Q263" s="536"/>
      <c r="R263" s="536"/>
      <c r="S263" s="536"/>
      <c r="T263" s="536">
        <f t="shared" si="77"/>
        <v>0</v>
      </c>
      <c r="U263" s="536"/>
      <c r="V263" s="536"/>
      <c r="W263" s="536"/>
      <c r="X263" s="536">
        <f t="shared" si="78"/>
        <v>0</v>
      </c>
      <c r="Y263" s="536"/>
      <c r="Z263" s="536"/>
      <c r="AA263" s="536"/>
      <c r="AB263" s="536">
        <f t="shared" si="79"/>
        <v>0</v>
      </c>
      <c r="AC263" s="536"/>
      <c r="AD263" s="536"/>
      <c r="AE263" s="536"/>
      <c r="AF263" s="536">
        <f t="shared" si="80"/>
        <v>0</v>
      </c>
      <c r="AG263" s="536"/>
      <c r="AH263" s="536"/>
      <c r="AI263" s="536"/>
      <c r="AJ263" s="536">
        <f t="shared" si="81"/>
        <v>0</v>
      </c>
      <c r="AK263" s="536"/>
      <c r="AL263" s="536"/>
      <c r="AM263" s="536"/>
      <c r="AN263" s="542">
        <f t="shared" si="82"/>
        <v>0</v>
      </c>
      <c r="AO263" s="536"/>
      <c r="AP263" s="536"/>
      <c r="AQ263" s="536"/>
      <c r="AR263" s="542">
        <f t="shared" si="83"/>
        <v>0</v>
      </c>
      <c r="AS263" s="536"/>
      <c r="AT263" s="536"/>
      <c r="AU263" s="536"/>
      <c r="AV263" s="542">
        <f t="shared" si="84"/>
        <v>0</v>
      </c>
      <c r="AW263" s="536"/>
      <c r="AX263" s="536"/>
      <c r="AY263" s="536"/>
      <c r="AZ263" s="542">
        <f t="shared" si="85"/>
        <v>0</v>
      </c>
      <c r="BA263" s="536"/>
      <c r="BB263" s="536"/>
      <c r="BC263" s="536"/>
      <c r="BD263" s="542">
        <f t="shared" si="86"/>
        <v>0</v>
      </c>
      <c r="BE263" s="536"/>
      <c r="BF263" s="536"/>
      <c r="BG263" s="536"/>
      <c r="BH263" s="542">
        <f t="shared" si="87"/>
        <v>0</v>
      </c>
      <c r="BI263" s="536"/>
      <c r="BJ263" s="536"/>
      <c r="BK263" s="536"/>
      <c r="BL263" s="542">
        <f t="shared" si="88"/>
        <v>0</v>
      </c>
      <c r="BM263" s="536"/>
      <c r="BN263" s="536"/>
      <c r="BO263" s="536"/>
      <c r="BP263" s="542">
        <f t="shared" si="89"/>
        <v>0</v>
      </c>
      <c r="BQ263" s="536"/>
      <c r="BR263" s="536"/>
      <c r="BS263" s="536"/>
      <c r="BT263" s="542">
        <f t="shared" si="90"/>
        <v>0</v>
      </c>
      <c r="BU263" s="536"/>
      <c r="BV263" s="536"/>
      <c r="BW263" s="536"/>
      <c r="BX263" s="542">
        <f t="shared" si="91"/>
        <v>0</v>
      </c>
      <c r="BY263" s="536"/>
      <c r="BZ263" s="536"/>
      <c r="CA263" s="536"/>
      <c r="CB263" s="542">
        <v>0</v>
      </c>
      <c r="CC263" s="536"/>
      <c r="CD263" s="536"/>
      <c r="CE263" s="536"/>
      <c r="CF263" s="541">
        <f t="shared" si="92"/>
        <v>0</v>
      </c>
      <c r="CG263" s="536"/>
      <c r="CH263" s="536"/>
      <c r="CI263" s="536"/>
      <c r="CJ263" s="541">
        <f t="shared" si="93"/>
        <v>0</v>
      </c>
      <c r="CK263" s="536"/>
      <c r="CL263" s="536"/>
      <c r="CM263" s="536"/>
      <c r="CN263" s="541">
        <f t="shared" si="94"/>
        <v>0</v>
      </c>
      <c r="CO263" s="536"/>
      <c r="CP263" s="536"/>
      <c r="CQ263" s="536"/>
      <c r="CR263" s="541">
        <f t="shared" si="95"/>
        <v>0</v>
      </c>
      <c r="CS263" s="536"/>
      <c r="CT263" s="536"/>
      <c r="CU263" s="536"/>
      <c r="CV263" s="541">
        <f t="shared" si="96"/>
        <v>0</v>
      </c>
      <c r="CW263" s="536"/>
      <c r="CX263" s="536"/>
      <c r="CY263" s="536"/>
      <c r="CZ263" s="541">
        <f t="shared" si="97"/>
        <v>0</v>
      </c>
      <c r="DA263" s="536"/>
      <c r="DB263" s="536"/>
      <c r="DC263" s="536"/>
      <c r="DD263" s="541">
        <f t="shared" si="98"/>
        <v>0</v>
      </c>
      <c r="DE263" s="536"/>
      <c r="DF263" s="536"/>
      <c r="DG263" s="536"/>
      <c r="DH263" s="541">
        <f t="shared" si="99"/>
        <v>0</v>
      </c>
      <c r="DI263" s="536"/>
      <c r="DJ263" s="536"/>
      <c r="DK263" s="536"/>
      <c r="DL263" s="541">
        <f t="shared" si="100"/>
        <v>0</v>
      </c>
      <c r="DM263" s="536"/>
      <c r="DN263" s="536"/>
      <c r="DO263" s="536"/>
      <c r="DP263" s="541">
        <f>IF( SUM((DJ263*(20/100))+(DK263*(30/100))+(DL263*(50/100))) &gt;=9.3,9.5,
IF(AND( SUM((DJ263*(20/100))+(DK263*(30/100))+(DL263*(50/100))) &lt;=9.3, SUM((DJ263*(20/100))+(DK263*(30/100))+(DL263*(50/100))) &gt;=8.8),9,
IF(AND( SUM((DJ263*(20/100))+(DK263*(30/100))+(DL263*(50/100))) &lt;=8.8, SUM((DJ263*(20/100))+(DK263*(30/100))+(DL263*(50/100))) &gt;=8.3),8.5,
IF(AND( SUM((DJ263*(20/100))+(DK263*(30/100))+(DL263*(50/100))) &lt;=8.3, SUM((DJ263*(20/100))+(DK263*(30/100))+(DL263*(50/100))) &gt;=7.8),8,
IF(AND( SUM((DJ263*(20/100))+(DK263*(30/100))+(DL263*(50/100))) &lt;=7.8, SUM((DJ263*(20/100))+(DK263*(30/100))+(DL263*(50/100))) &gt;=7.3),7.5,
IF(AND( SUM((DJ263*(20/100))+(DK263*(30/100))+(DL263*(50/100))) &lt;=7.3, SUM((DJ263*(20/100))+(DK263*(30/100))+(DL263*(50/100))) &gt;=6.8),7,
IF(AND( SUM((DJ263*(20/100))+(DK263*(30/100))+(DL263*(50/100))) &lt;=6.8, SUM((DJ263*(20/100))+(DK263*(30/100))+(DL263*(50/100))) &gt;=6.3),6.5,
IF(AND( SUM((DJ263*(20/100))+(DK263*(30/100))+(DL263*(50/100))) &lt;=6.3, SUM((DJ263*(20/100))+(DK263*(30/100))+(DL263*(50/100))) &gt;=5.8),6,
IF(AND( SUM((DJ263*(20/100))+(DK263*(30/100))+(DL263*(50/100))) &lt;=5.8, SUM((DJ263*(20/100))+(DK263*(30/100))+(DL263*(50/100))) &gt;=5.3),5.5,
IF(AND( SUM((DJ263*(20/100))+(DK263*(30/100))+(DL263*(50/100))) &lt;=5.3, SUM((DJ263*(20/100))+(DK263*(30/100))+(DL263*(50/100))) &gt;=4.8),5,
IF(AND( SUM((DJ263*(20/100))+(DK263*(30/100))+(DL263*(50/100))) &lt;=4.8, SUM((DJ263*(20/100))+(DK263*(30/100))+(DL263*(50/100))) &gt;=4.3),4.5,
IF(AND( SUM((DJ263*(20/100))+(DK263*(30/100))+(DL263*(50/100))) &lt;=4.3, SUM((DJ263*(20/100))+(DK263*(30/100))+(DL263*(50/100))) &gt;=3.8),4,
IF(AND( SUM((DJ263*(20/100))+(DK263*(30/100))+(DL263*(50/100))) &lt;=3.8, SUM((DJ263*(20/100))+(DK263*(30/100))+(DL263*(50/100))) &gt;=3.5),3.5,0)))))))))))))</f>
        <v>0</v>
      </c>
      <c r="DQ263" s="541"/>
      <c r="DR263" s="541"/>
      <c r="DS263" s="541"/>
      <c r="DT263" s="541"/>
      <c r="DU263" s="541"/>
      <c r="DV263" s="541"/>
      <c r="DW263" s="541"/>
      <c r="DX263" s="541"/>
      <c r="DY263" s="541"/>
      <c r="DZ263" s="541"/>
    </row>
    <row r="264" spans="2:130" x14ac:dyDescent="0.25">
      <c r="B264" s="334">
        <v>7</v>
      </c>
      <c r="C264" s="541"/>
      <c r="D264" s="334"/>
      <c r="E264" s="334"/>
      <c r="F264" s="334"/>
      <c r="G264" s="334"/>
      <c r="H264" s="334"/>
      <c r="I264" s="334"/>
      <c r="J264" s="536"/>
      <c r="K264" s="536"/>
      <c r="L264" s="536"/>
      <c r="M264" s="536"/>
      <c r="N264" s="536"/>
      <c r="O264" s="536"/>
      <c r="P264" s="536">
        <f t="shared" si="76"/>
        <v>0</v>
      </c>
      <c r="Q264" s="536"/>
      <c r="R264" s="536"/>
      <c r="S264" s="536"/>
      <c r="T264" s="536">
        <f t="shared" si="77"/>
        <v>0</v>
      </c>
      <c r="U264" s="536"/>
      <c r="V264" s="536"/>
      <c r="W264" s="536"/>
      <c r="X264" s="536">
        <f t="shared" si="78"/>
        <v>0</v>
      </c>
      <c r="Y264" s="536"/>
      <c r="Z264" s="536"/>
      <c r="AA264" s="536"/>
      <c r="AB264" s="536">
        <f t="shared" si="79"/>
        <v>0</v>
      </c>
      <c r="AC264" s="536"/>
      <c r="AD264" s="536"/>
      <c r="AE264" s="536"/>
      <c r="AF264" s="536">
        <f t="shared" si="80"/>
        <v>0</v>
      </c>
      <c r="AG264" s="536"/>
      <c r="AH264" s="536"/>
      <c r="AI264" s="536"/>
      <c r="AJ264" s="536">
        <f t="shared" si="81"/>
        <v>0</v>
      </c>
      <c r="AK264" s="536"/>
      <c r="AL264" s="536"/>
      <c r="AM264" s="536"/>
      <c r="AN264" s="542">
        <f t="shared" si="82"/>
        <v>0</v>
      </c>
      <c r="AO264" s="536"/>
      <c r="AP264" s="536"/>
      <c r="AQ264" s="536"/>
      <c r="AR264" s="542">
        <f t="shared" si="83"/>
        <v>0</v>
      </c>
      <c r="AS264" s="536"/>
      <c r="AT264" s="536"/>
      <c r="AU264" s="536"/>
      <c r="AV264" s="542">
        <f t="shared" si="84"/>
        <v>0</v>
      </c>
      <c r="AW264" s="536"/>
      <c r="AX264" s="536"/>
      <c r="AY264" s="536"/>
      <c r="AZ264" s="542">
        <f t="shared" si="85"/>
        <v>0</v>
      </c>
      <c r="BA264" s="536"/>
      <c r="BB264" s="536"/>
      <c r="BC264" s="536"/>
      <c r="BD264" s="542">
        <f t="shared" si="86"/>
        <v>0</v>
      </c>
      <c r="BE264" s="536"/>
      <c r="BF264" s="536"/>
      <c r="BG264" s="536"/>
      <c r="BH264" s="542">
        <f t="shared" si="87"/>
        <v>0</v>
      </c>
      <c r="BI264" s="536"/>
      <c r="BJ264" s="536"/>
      <c r="BK264" s="536"/>
      <c r="BL264" s="542">
        <f t="shared" si="88"/>
        <v>0</v>
      </c>
      <c r="BM264" s="536"/>
      <c r="BN264" s="536"/>
      <c r="BO264" s="536"/>
      <c r="BP264" s="542">
        <f t="shared" si="89"/>
        <v>0</v>
      </c>
      <c r="BQ264" s="536"/>
      <c r="BR264" s="536"/>
      <c r="BS264" s="536"/>
      <c r="BT264" s="542">
        <f t="shared" si="90"/>
        <v>0</v>
      </c>
      <c r="BU264" s="536"/>
      <c r="BV264" s="536"/>
      <c r="BW264" s="536"/>
      <c r="BX264" s="542">
        <f t="shared" si="91"/>
        <v>0</v>
      </c>
      <c r="BY264" s="536"/>
      <c r="BZ264" s="536"/>
      <c r="CA264" s="536"/>
      <c r="CB264" s="542">
        <v>0</v>
      </c>
      <c r="CC264" s="536"/>
      <c r="CD264" s="536"/>
      <c r="CE264" s="536"/>
      <c r="CF264" s="541">
        <f t="shared" si="92"/>
        <v>0</v>
      </c>
      <c r="CG264" s="536"/>
      <c r="CH264" s="536"/>
      <c r="CI264" s="536"/>
      <c r="CJ264" s="541">
        <f t="shared" si="93"/>
        <v>0</v>
      </c>
      <c r="CK264" s="536"/>
      <c r="CL264" s="536"/>
      <c r="CM264" s="536"/>
      <c r="CN264" s="541">
        <f t="shared" si="94"/>
        <v>0</v>
      </c>
      <c r="CO264" s="536"/>
      <c r="CP264" s="536"/>
      <c r="CQ264" s="536"/>
      <c r="CR264" s="541">
        <f t="shared" si="95"/>
        <v>0</v>
      </c>
      <c r="CS264" s="536"/>
      <c r="CT264" s="536"/>
      <c r="CU264" s="536"/>
      <c r="CV264" s="541">
        <f t="shared" si="96"/>
        <v>0</v>
      </c>
      <c r="CW264" s="536"/>
      <c r="CX264" s="536"/>
      <c r="CY264" s="536"/>
      <c r="CZ264" s="541">
        <f t="shared" si="97"/>
        <v>0</v>
      </c>
      <c r="DA264" s="536"/>
      <c r="DB264" s="536"/>
      <c r="DC264" s="536"/>
      <c r="DD264" s="541">
        <f t="shared" si="98"/>
        <v>0</v>
      </c>
      <c r="DE264" s="536"/>
      <c r="DF264" s="536"/>
      <c r="DG264" s="536"/>
      <c r="DH264" s="541">
        <f t="shared" si="99"/>
        <v>0</v>
      </c>
      <c r="DI264" s="536"/>
      <c r="DJ264" s="536"/>
      <c r="DK264" s="536"/>
      <c r="DL264" s="541">
        <f t="shared" si="100"/>
        <v>0</v>
      </c>
      <c r="DM264" s="536"/>
      <c r="DN264" s="536"/>
      <c r="DO264" s="536"/>
      <c r="DP264" s="541">
        <f>IF( SUM((DJ264*(20/100))+(DK264*(30/100))+(DL264*(50/100))) &gt;=9.3,9.5,
IF(AND( SUM((DJ264*(20/100))+(DK264*(30/100))+(DL264*(50/100))) &lt;=9.3, SUM((DJ264*(20/100))+(DK264*(30/100))+(DL264*(50/100))) &gt;=8.8),9,
IF(AND( SUM((DJ264*(20/100))+(DK264*(30/100))+(DL264*(50/100))) &lt;=8.8, SUM((DJ264*(20/100))+(DK264*(30/100))+(DL264*(50/100))) &gt;=8.3),8.5,
IF(AND( SUM((DJ264*(20/100))+(DK264*(30/100))+(DL264*(50/100))) &lt;=8.3, SUM((DJ264*(20/100))+(DK264*(30/100))+(DL264*(50/100))) &gt;=7.8),8,
IF(AND( SUM((DJ264*(20/100))+(DK264*(30/100))+(DL264*(50/100))) &lt;=7.8, SUM((DJ264*(20/100))+(DK264*(30/100))+(DL264*(50/100))) &gt;=7.3),7.5,
IF(AND( SUM((DJ264*(20/100))+(DK264*(30/100))+(DL264*(50/100))) &lt;=7.3, SUM((DJ264*(20/100))+(DK264*(30/100))+(DL264*(50/100))) &gt;=6.8),7,
IF(AND( SUM((DJ264*(20/100))+(DK264*(30/100))+(DL264*(50/100))) &lt;=6.8, SUM((DJ264*(20/100))+(DK264*(30/100))+(DL264*(50/100))) &gt;=6.3),6.5,
IF(AND( SUM((DJ264*(20/100))+(DK264*(30/100))+(DL264*(50/100))) &lt;=6.3, SUM((DJ264*(20/100))+(DK264*(30/100))+(DL264*(50/100))) &gt;=5.8),6,
IF(AND( SUM((DJ264*(20/100))+(DK264*(30/100))+(DL264*(50/100))) &lt;=5.8, SUM((DJ264*(20/100))+(DK264*(30/100))+(DL264*(50/100))) &gt;=5.3),5.5,
IF(AND( SUM((DJ264*(20/100))+(DK264*(30/100))+(DL264*(50/100))) &lt;=5.3, SUM((DJ264*(20/100))+(DK264*(30/100))+(DL264*(50/100))) &gt;=4.8),5,
IF(AND( SUM((DJ264*(20/100))+(DK264*(30/100))+(DL264*(50/100))) &lt;=4.8, SUM((DJ264*(20/100))+(DK264*(30/100))+(DL264*(50/100))) &gt;=4.3),4.5,
IF(AND( SUM((DJ264*(20/100))+(DK264*(30/100))+(DL264*(50/100))) &lt;=4.3, SUM((DJ264*(20/100))+(DK264*(30/100))+(DL264*(50/100))) &gt;=3.8),4,
IF(AND( SUM((DJ264*(20/100))+(DK264*(30/100))+(DL264*(50/100))) &lt;=3.8, SUM((DJ264*(20/100))+(DK264*(30/100))+(DL264*(50/100))) &gt;=3.5),3.5,0)))))))))))))</f>
        <v>0</v>
      </c>
      <c r="DQ264" s="541"/>
      <c r="DR264" s="541"/>
      <c r="DS264" s="541"/>
      <c r="DT264" s="541"/>
      <c r="DU264" s="541"/>
      <c r="DV264" s="541"/>
      <c r="DW264" s="541"/>
      <c r="DX264" s="541"/>
      <c r="DY264" s="541"/>
      <c r="DZ264" s="541"/>
    </row>
    <row r="265" spans="2:130" x14ac:dyDescent="0.25">
      <c r="B265" s="334">
        <v>8</v>
      </c>
      <c r="C265" s="541"/>
      <c r="D265" s="334"/>
      <c r="E265" s="334"/>
      <c r="F265" s="334"/>
      <c r="G265" s="334"/>
      <c r="H265" s="334"/>
      <c r="I265" s="334"/>
      <c r="J265" s="536"/>
      <c r="K265" s="536"/>
      <c r="L265" s="536"/>
      <c r="M265" s="536"/>
      <c r="N265" s="536"/>
      <c r="O265" s="536"/>
      <c r="P265" s="536">
        <f t="shared" ref="P265:P328" si="101">IF( SUM((M265*(20/100))+(N265*(30/100))+(O265*(50/100))) &gt;=9.3,9.5,
IF(AND( SUM((M265*(20/100))+(N265*(30/100))+(O265*(50/100))) &lt;=9.3, SUM((M265*(20/100))+(N265*(30/100))+(O265*(50/100))) &gt;=8.8),9,
IF(AND( SUM((M265*(20/100))+(N265*(30/100))+(O265*(50/100))) &lt;=8.8, SUM((M265*(20/100))+(N265*(30/100))+(O265*(50/100))) &gt;=8.3),8.5,
IF(AND( SUM((M265*(20/100))+(N265*(30/100))+(O265*(50/100))) &lt;=8.3, SUM((M265*(20/100))+(N265*(30/100))+(O265*(50/100))) &gt;=7.8),8,
IF(AND( SUM((M265*(20/100))+(N265*(30/100))+(O265*(50/100))) &lt;=7.8, SUM((M265*(20/100))+(N265*(30/100))+(O265*(50/100))) &gt;=7.3),7.5,
IF(AND( SUM((M265*(20/100))+(N265*(30/100))+(O265*(50/100))) &lt;=7.3, SUM((M265*(20/100))+(N265*(30/100))+(O265*(50/100))) &gt;=6.8),7,
IF(AND( SUM((M265*(20/100))+(N265*(30/100))+(O265*(50/100))) &lt;=6.8, SUM((M265*(20/100))+(N265*(30/100))+(O265*(50/100))) &gt;=6.3),6.5,
IF(AND( SUM((M265*(20/100))+(N265*(30/100))+(O265*(50/100))) &lt;=6.3, SUM((M265*(20/100))+(N265*(30/100))+(O265*(50/100))) &gt;=5.8),6,
IF(AND( SUM((M265*(20/100))+(N265*(30/100))+(O265*(50/100))) &lt;=5.8, SUM((M265*(20/100))+(N265*(30/100))+(O265*(50/100))) &gt;=5.3),5.5,
IF(AND( SUM((M265*(20/100))+(N265*(30/100))+(O265*(50/100))) &lt;=5.3, SUM((M265*(20/100))+(N265*(30/100))+(O265*(50/100))) &gt;=4.8),5,
IF(AND( SUM((M265*(20/100))+(N265*(30/100))+(O265*(50/100))) &lt;=4.8, SUM((M265*(20/100))+(N265*(30/100))+(O265*(50/100))) &gt;=4.3),4.5,
IF(AND( SUM((M265*(20/100))+(N265*(30/100))+(O265*(50/100))) &lt;=4.3, SUM((M265*(20/100))+(N265*(30/100))+(O265*(50/100))) &gt;=3.8),4,
IF(AND( SUM((M265*(20/100))+(N265*(30/100))+(O265*(50/100))) &lt;=3.8, SUM((M265*(20/100))+(N265*(30/100))+(O265*(50/100))) &gt;=3.5),3.5,0)))))))))))))</f>
        <v>0</v>
      </c>
      <c r="Q265" s="536"/>
      <c r="R265" s="536"/>
      <c r="S265" s="536"/>
      <c r="T265" s="536">
        <f t="shared" ref="T265:T328" si="102">IF( SUM((Q265*(20/100))+(R265*(30/100))+(S265*(50/100))) &gt;=9.3,9.5,
IF(AND( SUM((Q265*(20/100))+(R265*(30/100))+(S265*(50/100))) &lt;=9.3, SUM((Q265*(20/100))+(R265*(30/100))+(S265*(50/100))) &gt;=8.8),9,
IF(AND( SUM((Q265*(20/100))+(R265*(30/100))+(S265*(50/100))) &lt;=8.8, SUM((Q265*(20/100))+(R265*(30/100))+(S265*(50/100))) &gt;=8.3),8.5,
IF(AND( SUM((Q265*(20/100))+(R265*(30/100))+(S265*(50/100))) &lt;=8.3, SUM((Q265*(20/100))+(R265*(30/100))+(S265*(50/100))) &gt;=7.8),8,
IF(AND( SUM((Q265*(20/100))+(R265*(30/100))+(S265*(50/100))) &lt;=7.8, SUM((Q265*(20/100))+(R265*(30/100))+(S265*(50/100))) &gt;=7.3),7.5,
IF(AND( SUM((Q265*(20/100))+(R265*(30/100))+(S265*(50/100))) &lt;=7.3, SUM((Q265*(20/100))+(R265*(30/100))+(S265*(50/100))) &gt;=6.8),7,
IF(AND( SUM((Q265*(20/100))+(R265*(30/100))+(S265*(50/100))) &lt;=6.8, SUM((Q265*(20/100))+(R265*(30/100))+(S265*(50/100))) &gt;=6.3),6.5,
IF(AND( SUM((Q265*(20/100))+(R265*(30/100))+(S265*(50/100))) &lt;=6.3, SUM((Q265*(20/100))+(R265*(30/100))+(S265*(50/100))) &gt;=5.8),6,
IF(AND( SUM((Q265*(20/100))+(R265*(30/100))+(S265*(50/100))) &lt;=5.8, SUM((Q265*(20/100))+(R265*(30/100))+(S265*(50/100))) &gt;=5.3),5.5,
IF(AND( SUM((Q265*(20/100))+(R265*(30/100))+(S265*(50/100))) &lt;=5.3, SUM((Q265*(20/100))+(R265*(30/100))+(S265*(50/100))) &gt;=4.8),5,
IF(AND( SUM((Q265*(20/100))+(R265*(30/100))+(S265*(50/100))) &lt;=4.8, SUM((Q265*(20/100))+(R265*(30/100))+(S265*(50/100))) &gt;=4.3),4.5,
IF(AND( SUM((Q265*(20/100))+(R265*(30/100))+(S265*(50/100))) &lt;=4.3, SUM((Q265*(20/100))+(R265*(30/100))+(S265*(50/100))) &gt;=3.8),4,
IF(AND( SUM((Q265*(20/100))+(R265*(30/100))+(S265*(50/100))) &lt;=3.8, SUM((Q265*(20/100))+(R265*(30/100))+(S265*(50/100))) &gt;=3.5),3.5,0)))))))))))))</f>
        <v>0</v>
      </c>
      <c r="U265" s="536"/>
      <c r="V265" s="536"/>
      <c r="W265" s="536"/>
      <c r="X265" s="536">
        <f t="shared" ref="X265:X328" si="103">IF( SUM((U265*(20/100))+(V265*(30/100))+(W265*(50/100))) &gt;=9.3,9.5,
IF(AND( SUM((U265*(20/100))+(V265*(30/100))+(W265*(50/100))) &lt;=9.3, SUM((U265*(20/100))+(V265*(30/100))+(W265*(50/100))) &gt;=8.8),9,
IF(AND( SUM((U265*(20/100))+(V265*(30/100))+(W265*(50/100))) &lt;=8.8, SUM((U265*(20/100))+(V265*(30/100))+(W265*(50/100))) &gt;=8.3),8.5,
IF(AND( SUM((U265*(20/100))+(V265*(30/100))+(W265*(50/100))) &lt;=8.3, SUM((U265*(20/100))+(V265*(30/100))+(W265*(50/100))) &gt;=7.8),8,
IF(AND( SUM((U265*(20/100))+(V265*(30/100))+(W265*(50/100))) &lt;=7.8, SUM((U265*(20/100))+(V265*(30/100))+(W265*(50/100))) &gt;=7.3),7.5,
IF(AND( SUM((U265*(20/100))+(V265*(30/100))+(W265*(50/100))) &lt;=7.3, SUM((U265*(20/100))+(V265*(30/100))+(W265*(50/100))) &gt;=6.8),7,
IF(AND( SUM((U265*(20/100))+(V265*(30/100))+(W265*(50/100))) &lt;=6.8, SUM((U265*(20/100))+(V265*(30/100))+(W265*(50/100))) &gt;=6.3),6.5,
IF(AND( SUM((U265*(20/100))+(V265*(30/100))+(W265*(50/100))) &lt;=6.3, SUM((U265*(20/100))+(V265*(30/100))+(W265*(50/100))) &gt;=5.8),6,
IF(AND( SUM((U265*(20/100))+(V265*(30/100))+(W265*(50/100))) &lt;=5.8, SUM((U265*(20/100))+(V265*(30/100))+(W265*(50/100))) &gt;=5.3),5.5,
IF(AND( SUM((U265*(20/100))+(V265*(30/100))+(W265*(50/100))) &lt;=5.3, SUM((U265*(20/100))+(V265*(30/100))+(W265*(50/100))) &gt;=4.8),5,
IF(AND( SUM((U265*(20/100))+(V265*(30/100))+(W265*(50/100))) &lt;=4.8, SUM((U265*(20/100))+(V265*(30/100))+(W265*(50/100))) &gt;=4.3),4.5,
IF(AND( SUM((U265*(20/100))+(V265*(30/100))+(W265*(50/100))) &lt;=4.3, SUM((U265*(20/100))+(V265*(30/100))+(W265*(50/100))) &gt;=3.8),4,
IF(AND( SUM((U265*(20/100))+(V265*(30/100))+(W265*(50/100))) &lt;=3.8, SUM((U265*(20/100))+(V265*(30/100))+(W265*(50/100))) &gt;=3.5),3.5,0)))))))))))))</f>
        <v>0</v>
      </c>
      <c r="Y265" s="536"/>
      <c r="Z265" s="536"/>
      <c r="AA265" s="536"/>
      <c r="AB265" s="536">
        <f t="shared" ref="AB265:AB328" si="104">IF( SUM((Y265*(20/100))+(Z265*(30/100))+(AA265*(50/100))) &gt;=9.3,9.5,
IF(AND( SUM((Y265*(20/100))+(Z265*(30/100))+(AA265*(50/100))) &lt;=9.3, SUM((Y265*(20/100))+(Z265*(30/100))+(AA265*(50/100))) &gt;=8.8),9,
IF(AND( SUM((Y265*(20/100))+(Z265*(30/100))+(AA265*(50/100))) &lt;=8.8, SUM((Y265*(20/100))+(Z265*(30/100))+(AA265*(50/100))) &gt;=8.3),8.5,
IF(AND( SUM((Y265*(20/100))+(Z265*(30/100))+(AA265*(50/100))) &lt;=8.3, SUM((Y265*(20/100))+(Z265*(30/100))+(AA265*(50/100))) &gt;=7.8),8,
IF(AND( SUM((Y265*(20/100))+(Z265*(30/100))+(AA265*(50/100))) &lt;=7.8, SUM((Y265*(20/100))+(Z265*(30/100))+(AA265*(50/100))) &gt;=7.3),7.5,
IF(AND( SUM((Y265*(20/100))+(Z265*(30/100))+(AA265*(50/100))) &lt;=7.3, SUM((Y265*(20/100))+(Z265*(30/100))+(AA265*(50/100))) &gt;=6.8),7,
IF(AND( SUM((Y265*(20/100))+(Z265*(30/100))+(AA265*(50/100))) &lt;=6.8, SUM((Y265*(20/100))+(Z265*(30/100))+(AA265*(50/100))) &gt;=6.3),6.5,
IF(AND( SUM((Y265*(20/100))+(Z265*(30/100))+(AA265*(50/100))) &lt;=6.3, SUM((Y265*(20/100))+(Z265*(30/100))+(AA265*(50/100))) &gt;=5.8),6,
IF(AND( SUM((Y265*(20/100))+(Z265*(30/100))+(AA265*(50/100))) &lt;=5.8, SUM((Y265*(20/100))+(Z265*(30/100))+(AA265*(50/100))) &gt;=5.3),5.5,
IF(AND( SUM((Y265*(20/100))+(Z265*(30/100))+(AA265*(50/100))) &lt;=5.3, SUM((Y265*(20/100))+(Z265*(30/100))+(AA265*(50/100))) &gt;=4.8),5,
IF(AND( SUM((Y265*(20/100))+(Z265*(30/100))+(AA265*(50/100))) &lt;=4.8, SUM((Y265*(20/100))+(Z265*(30/100))+(AA265*(50/100))) &gt;=4.3),4.5,
IF(AND( SUM((Y265*(20/100))+(Z265*(30/100))+(AA265*(50/100))) &lt;=4.3, SUM((Y265*(20/100))+(Z265*(30/100))+(AA265*(50/100))) &gt;=3.8),4,
IF(AND( SUM((Y265*(20/100))+(Z265*(30/100))+(AA265*(50/100))) &lt;=3.8, SUM((Y265*(20/100))+(Z265*(30/100))+(AA265*(50/100))) &gt;=3.5),3.5,0)))))))))))))</f>
        <v>0</v>
      </c>
      <c r="AC265" s="536"/>
      <c r="AD265" s="536"/>
      <c r="AE265" s="536"/>
      <c r="AF265" s="536">
        <f t="shared" ref="AF265:AF328" si="105">IF( SUM((AC265*(20/100))+(AD265*(30/100))+(AE265*(50/100))) &gt;=9.3,9.5,
IF(AND( SUM((AC265*(20/100))+(AD265*(30/100))+(AE265*(50/100))) &lt;=9.3, SUM((AC265*(20/100))+(AD265*(30/100))+(AE265*(50/100))) &gt;=8.8),9,
IF(AND( SUM((AC265*(20/100))+(AD265*(30/100))+(AE265*(50/100))) &lt;=8.8, SUM((AC265*(20/100))+(AD265*(30/100))+(AE265*(50/100))) &gt;=8.3),8.5,
IF(AND( SUM((AC265*(20/100))+(AD265*(30/100))+(AE265*(50/100))) &lt;=8.3, SUM((AC265*(20/100))+(AD265*(30/100))+(AE265*(50/100))) &gt;=7.8),8,
IF(AND( SUM((AC265*(20/100))+(AD265*(30/100))+(AE265*(50/100))) &lt;=7.8, SUM((AC265*(20/100))+(AD265*(30/100))+(AE265*(50/100))) &gt;=7.3),7.5,
IF(AND( SUM((AC265*(20/100))+(AD265*(30/100))+(AE265*(50/100))) &lt;=7.3, SUM((AC265*(20/100))+(AD265*(30/100))+(AE265*(50/100))) &gt;=6.8),7,
IF(AND( SUM((AC265*(20/100))+(AD265*(30/100))+(AE265*(50/100))) &lt;=6.8, SUM((AC265*(20/100))+(AD265*(30/100))+(AE265*(50/100))) &gt;=6.3),6.5,
IF(AND( SUM((AC265*(20/100))+(AD265*(30/100))+(AE265*(50/100))) &lt;=6.3, SUM((AC265*(20/100))+(AD265*(30/100))+(AE265*(50/100))) &gt;=5.8),6,
IF(AND( SUM((AC265*(20/100))+(AD265*(30/100))+(AE265*(50/100))) &lt;=5.8, SUM((AC265*(20/100))+(AD265*(30/100))+(AE265*(50/100))) &gt;=5.3),5.5,
IF(AND( SUM((AC265*(20/100))+(AD265*(30/100))+(AE265*(50/100))) &lt;=5.3, SUM((AC265*(20/100))+(AD265*(30/100))+(AE265*(50/100))) &gt;=4.8),5,
IF(AND( SUM((AC265*(20/100))+(AD265*(30/100))+(AE265*(50/100))) &lt;=4.8, SUM((AC265*(20/100))+(AD265*(30/100))+(AE265*(50/100))) &gt;=4.3),4.5,
IF(AND( SUM((AC265*(20/100))+(AD265*(30/100))+(AE265*(50/100))) &lt;=4.3, SUM((AC265*(20/100))+(AD265*(30/100))+(AE265*(50/100))) &gt;=3.8),4,
IF(AND( SUM((AC265*(20/100))+(AD265*(30/100))+(AE265*(50/100))) &lt;=3.8, SUM((AC265*(20/100))+(AD265*(30/100))+(AE265*(50/100))) &gt;=3.5),3.5,0)))))))))))))</f>
        <v>0</v>
      </c>
      <c r="AG265" s="536"/>
      <c r="AH265" s="536"/>
      <c r="AI265" s="536"/>
      <c r="AJ265" s="536">
        <f t="shared" ref="AJ265:AJ328" si="106">IF( SUM((AG265*(20/100))+(AH265*(30/100))+(AI265*(50/100))) &gt;=9.3,9.5,
IF(AND( SUM((AG265*(20/100))+(AH265*(30/100))+(AI265*(50/100))) &lt;=9.3, SUM((AG265*(20/100))+(AH265*(30/100))+(AI265*(50/100))) &gt;=8.8),9,
IF(AND( SUM((AG265*(20/100))+(AH265*(30/100))+(AI265*(50/100))) &lt;=8.8, SUM((AG265*(20/100))+(AH265*(30/100))+(AI265*(50/100))) &gt;=8.3),8.5,
IF(AND( SUM((AG265*(20/100))+(AH265*(30/100))+(AI265*(50/100))) &lt;=8.3, SUM((AG265*(20/100))+(AH265*(30/100))+(AI265*(50/100))) &gt;=7.8),8,
IF(AND( SUM((AG265*(20/100))+(AH265*(30/100))+(AI265*(50/100))) &lt;=7.8, SUM((AG265*(20/100))+(AH265*(30/100))+(AI265*(50/100))) &gt;=7.3),7.5,
IF(AND( SUM((AG265*(20/100))+(AH265*(30/100))+(AI265*(50/100))) &lt;=7.3, SUM((AG265*(20/100))+(AH265*(30/100))+(AI265*(50/100))) &gt;=6.8),7,
IF(AND( SUM((AG265*(20/100))+(AH265*(30/100))+(AI265*(50/100))) &lt;=6.8, SUM((AG265*(20/100))+(AH265*(30/100))+(AI265*(50/100))) &gt;=6.3),6.5,
IF(AND( SUM((AG265*(20/100))+(AH265*(30/100))+(AI265*(50/100))) &lt;=6.3, SUM((AG265*(20/100))+(AH265*(30/100))+(AI265*(50/100))) &gt;=5.8),6,
IF(AND( SUM((AG265*(20/100))+(AH265*(30/100))+(AI265*(50/100))) &lt;=5.8, SUM((AG265*(20/100))+(AH265*(30/100))+(AI265*(50/100))) &gt;=5.3),5.5,
IF(AND( SUM((AG265*(20/100))+(AH265*(30/100))+(AI265*(50/100))) &lt;=5.3, SUM((AG265*(20/100))+(AH265*(30/100))+(AI265*(50/100))) &gt;=4.8),5,
IF(AND( SUM((AG265*(20/100))+(AH265*(30/100))+(AI265*(50/100))) &lt;=4.8, SUM((AG265*(20/100))+(AH265*(30/100))+(AI265*(50/100))) &gt;=4.3),4.5,
IF(AND( SUM((AG265*(20/100))+(AH265*(30/100))+(AI265*(50/100))) &lt;=4.3, SUM((AG265*(20/100))+(AH265*(30/100))+(AI265*(50/100))) &gt;=3.8),4,
IF(AND( SUM((AG265*(20/100))+(AH265*(30/100))+(AI265*(50/100))) &lt;=3.8, SUM((AG265*(20/100))+(AH265*(30/100))+(AI265*(50/100))) &gt;=3.5),3.5,0)))))))))))))</f>
        <v>0</v>
      </c>
      <c r="AK265" s="536"/>
      <c r="AL265" s="536"/>
      <c r="AM265" s="536"/>
      <c r="AN265" s="542">
        <f t="shared" ref="AN265:AN328" si="107">IF( SUM((AK265*(20/100))+(AL265*(30/100))+(AM265*(50/100))) &gt;=9.3,9.5,
IF(AND( SUM((AK265*(20/100))+(AL265*(30/100))+(AM265*(50/100))) &lt;=9.3, SUM((AK265*(20/100))+(AL265*(30/100))+(AM265*(50/100))) &gt;=8.8),9,
IF(AND( SUM((AK265*(20/100))+(AL265*(30/100))+(AM265*(50/100))) &lt;=8.8, SUM((AK265*(20/100))+(AL265*(30/100))+(AM265*(50/100))) &gt;=8.3),8.5,
IF(AND( SUM((AK265*(20/100))+(AL265*(30/100))+(AM265*(50/100))) &lt;=8.3, SUM((AK265*(20/100))+(AL265*(30/100))+(AM265*(50/100))) &gt;=7.8),8,
IF(AND( SUM((AK265*(20/100))+(AL265*(30/100))+(AM265*(50/100))) &lt;=7.8, SUM((AK265*(20/100))+(AL265*(30/100))+(AM265*(50/100))) &gt;=7.3),7.5,
IF(AND( SUM((AK265*(20/100))+(AL265*(30/100))+(AM265*(50/100))) &lt;=7.3, SUM((AK265*(20/100))+(AL265*(30/100))+(AM265*(50/100))) &gt;=6.8),7,
IF(AND( SUM((AK265*(20/100))+(AL265*(30/100))+(AM265*(50/100))) &lt;=6.8, SUM((AK265*(20/100))+(AL265*(30/100))+(AM265*(50/100))) &gt;=6.3),6.5,
IF(AND( SUM((AK265*(20/100))+(AL265*(30/100))+(AM265*(50/100))) &lt;=6.3, SUM((AK265*(20/100))+(AL265*(30/100))+(AM265*(50/100))) &gt;=5.8),6,
IF(AND( SUM((AK265*(20/100))+(AL265*(30/100))+(AM265*(50/100))) &lt;=5.8, SUM((AK265*(20/100))+(AL265*(30/100))+(AM265*(50/100))) &gt;=5.3),5.5,
IF(AND( SUM((AK265*(20/100))+(AL265*(30/100))+(AM265*(50/100))) &lt;=5.3, SUM((AK265*(20/100))+(AL265*(30/100))+(AM265*(50/100))) &gt;=4.8),5,
IF(AND( SUM((AK265*(20/100))+(AL265*(30/100))+(AM265*(50/100))) &lt;=4.8, SUM((AK265*(20/100))+(AL265*(30/100))+(AM265*(50/100))) &gt;=4.3),4.5,
IF(AND( SUM((AK265*(20/100))+(AL265*(30/100))+(AM265*(50/100))) &lt;=4.3, SUM((AK265*(20/100))+(AL265*(30/100))+(AM265*(50/100))) &gt;=3.8),4,
IF(AND( SUM((AK265*(20/100))+(AL265*(30/100))+(AM265*(50/100))) &lt;=3.8, SUM((AK265*(20/100))+(AL265*(30/100))+(AM265*(50/100))) &gt;=3.5),3.5,0)))))))))))))</f>
        <v>0</v>
      </c>
      <c r="AO265" s="536"/>
      <c r="AP265" s="536"/>
      <c r="AQ265" s="536"/>
      <c r="AR265" s="542">
        <f t="shared" ref="AR265:AR328" si="108">IF( SUM((AO265*(20/100))+(AP265*(30/100))+(AQ265*(50/100))) &gt;=9.3,9.5,
IF(AND( SUM((AO265*(20/100))+(AP265*(30/100))+(AQ265*(50/100))) &lt;=9.3, SUM((AO265*(20/100))+(AP265*(30/100))+(AQ265*(50/100))) &gt;=8.8),9,
IF(AND( SUM((AO265*(20/100))+(AP265*(30/100))+(AQ265*(50/100))) &lt;=8.8, SUM((AO265*(20/100))+(AP265*(30/100))+(AQ265*(50/100))) &gt;=8.3),8.5,
IF(AND( SUM((AO265*(20/100))+(AP265*(30/100))+(AQ265*(50/100))) &lt;=8.3, SUM((AO265*(20/100))+(AP265*(30/100))+(AQ265*(50/100))) &gt;=7.8),8,
IF(AND( SUM((AO265*(20/100))+(AP265*(30/100))+(AQ265*(50/100))) &lt;=7.8, SUM((AO265*(20/100))+(AP265*(30/100))+(AQ265*(50/100))) &gt;=7.3),7.5,
IF(AND( SUM((AO265*(20/100))+(AP265*(30/100))+(AQ265*(50/100))) &lt;=7.3, SUM((AO265*(20/100))+(AP265*(30/100))+(AQ265*(50/100))) &gt;=6.8),7,
IF(AND( SUM((AO265*(20/100))+(AP265*(30/100))+(AQ265*(50/100))) &lt;=6.8, SUM((AO265*(20/100))+(AP265*(30/100))+(AQ265*(50/100))) &gt;=6.3),6.5,
IF(AND( SUM((AO265*(20/100))+(AP265*(30/100))+(AQ265*(50/100))) &lt;=6.3, SUM((AO265*(20/100))+(AP265*(30/100))+(AQ265*(50/100))) &gt;=5.8),6,
IF(AND( SUM((AO265*(20/100))+(AP265*(30/100))+(AQ265*(50/100))) &lt;=5.8, SUM((AO265*(20/100))+(AP265*(30/100))+(AQ265*(50/100))) &gt;=5.3),5.5,
IF(AND( SUM((AO265*(20/100))+(AP265*(30/100))+(AQ265*(50/100))) &lt;=5.3, SUM((AO265*(20/100))+(AP265*(30/100))+(AQ265*(50/100))) &gt;=4.8),5,
IF(AND( SUM((AO265*(20/100))+(AP265*(30/100))+(AQ265*(50/100))) &lt;=4.8, SUM((AO265*(20/100))+(AP265*(30/100))+(AQ265*(50/100))) &gt;=4.3),4.5,
IF(AND( SUM((AO265*(20/100))+(AP265*(30/100))+(AQ265*(50/100))) &lt;=4.3, SUM((AO265*(20/100))+(AP265*(30/100))+(AQ265*(50/100))) &gt;=3.8),4,
IF(AND( SUM((AO265*(20/100))+(AP265*(30/100))+(AQ265*(50/100))) &lt;=3.8, SUM((AO265*(20/100))+(AP265*(30/100))+(AQ265*(50/100))) &gt;=3.5),3.5,0)))))))))))))</f>
        <v>0</v>
      </c>
      <c r="AS265" s="536"/>
      <c r="AT265" s="536"/>
      <c r="AU265" s="536"/>
      <c r="AV265" s="542">
        <f t="shared" ref="AV265:AV328" si="109">IF( SUM((AS265*(20/100))+(AT265*(30/100))+(AU265*(50/100))) &gt;=9.3,9.5,
IF(AND( SUM((AS265*(20/100))+(AT265*(30/100))+(AU265*(50/100))) &lt;=9.3, SUM((AS265*(20/100))+(AT265*(30/100))+(AU265*(50/100))) &gt;=8.8),9,
IF(AND( SUM((AS265*(20/100))+(AT265*(30/100))+(AU265*(50/100))) &lt;=8.8, SUM((AS265*(20/100))+(AT265*(30/100))+(AU265*(50/100))) &gt;=8.3),8.5,
IF(AND( SUM((AS265*(20/100))+(AT265*(30/100))+(AU265*(50/100))) &lt;=8.3, SUM((AS265*(20/100))+(AT265*(30/100))+(AU265*(50/100))) &gt;=7.8),8,
IF(AND( SUM((AS265*(20/100))+(AT265*(30/100))+(AU265*(50/100))) &lt;=7.8, SUM((AS265*(20/100))+(AT265*(30/100))+(AU265*(50/100))) &gt;=7.3),7.5,
IF(AND( SUM((AS265*(20/100))+(AT265*(30/100))+(AU265*(50/100))) &lt;=7.3, SUM((AS265*(20/100))+(AT265*(30/100))+(AU265*(50/100))) &gt;=6.8),7,
IF(AND( SUM((AS265*(20/100))+(AT265*(30/100))+(AU265*(50/100))) &lt;=6.8, SUM((AS265*(20/100))+(AT265*(30/100))+(AU265*(50/100))) &gt;=6.3),6.5,
IF(AND( SUM((AS265*(20/100))+(AT265*(30/100))+(AU265*(50/100))) &lt;=6.3, SUM((AS265*(20/100))+(AT265*(30/100))+(AU265*(50/100))) &gt;=5.8),6,
IF(AND( SUM((AS265*(20/100))+(AT265*(30/100))+(AU265*(50/100))) &lt;=5.8, SUM((AS265*(20/100))+(AT265*(30/100))+(AU265*(50/100))) &gt;=5.3),5.5,
IF(AND( SUM((AS265*(20/100))+(AT265*(30/100))+(AU265*(50/100))) &lt;=5.3, SUM((AS265*(20/100))+(AT265*(30/100))+(AU265*(50/100))) &gt;=4.8),5,
IF(AND( SUM((AS265*(20/100))+(AT265*(30/100))+(AU265*(50/100))) &lt;=4.8, SUM((AS265*(20/100))+(AT265*(30/100))+(AU265*(50/100))) &gt;=4.3),4.5,
IF(AND( SUM((AS265*(20/100))+(AT265*(30/100))+(AU265*(50/100))) &lt;=4.3, SUM((AS265*(20/100))+(AT265*(30/100))+(AU265*(50/100))) &gt;=3.8),4,
IF(AND( SUM((AS265*(20/100))+(AT265*(30/100))+(AU265*(50/100))) &lt;=3.8, SUM((AS265*(20/100))+(AT265*(30/100))+(AU265*(50/100))) &gt;=3.5),3.5,0)))))))))))))</f>
        <v>0</v>
      </c>
      <c r="AW265" s="536"/>
      <c r="AX265" s="536"/>
      <c r="AY265" s="536"/>
      <c r="AZ265" s="542">
        <f t="shared" ref="AZ265:AZ328" si="110">IF( SUM((AW265*(20/100))+(AX265*(30/100))+(AY265*(50/100))) &gt;=9.3,9.5,
IF(AND( SUM((AW265*(20/100))+(AX265*(30/100))+(AY265*(50/100))) &lt;=9.3, SUM((AW265*(20/100))+(AX265*(30/100))+(AY265*(50/100))) &gt;=8.8),9,
IF(AND( SUM((AW265*(20/100))+(AX265*(30/100))+(AY265*(50/100))) &lt;=8.8, SUM((AW265*(20/100))+(AX265*(30/100))+(AY265*(50/100))) &gt;=8.3),8.5,
IF(AND( SUM((AW265*(20/100))+(AX265*(30/100))+(AY265*(50/100))) &lt;=8.3, SUM((AW265*(20/100))+(AX265*(30/100))+(AY265*(50/100))) &gt;=7.8),8,
IF(AND( SUM((AW265*(20/100))+(AX265*(30/100))+(AY265*(50/100))) &lt;=7.8, SUM((AW265*(20/100))+(AX265*(30/100))+(AY265*(50/100))) &gt;=7.3),7.5,
IF(AND( SUM((AW265*(20/100))+(AX265*(30/100))+(AY265*(50/100))) &lt;=7.3, SUM((AW265*(20/100))+(AX265*(30/100))+(AY265*(50/100))) &gt;=6.8),7,
IF(AND( SUM((AW265*(20/100))+(AX265*(30/100))+(AY265*(50/100))) &lt;=6.8, SUM((AW265*(20/100))+(AX265*(30/100))+(AY265*(50/100))) &gt;=6.3),6.5,
IF(AND( SUM((AW265*(20/100))+(AX265*(30/100))+(AY265*(50/100))) &lt;=6.3, SUM((AW265*(20/100))+(AX265*(30/100))+(AY265*(50/100))) &gt;=5.8),6,
IF(AND( SUM((AW265*(20/100))+(AX265*(30/100))+(AY265*(50/100))) &lt;=5.8, SUM((AW265*(20/100))+(AX265*(30/100))+(AY265*(50/100))) &gt;=5.3),5.5,
IF(AND( SUM((AW265*(20/100))+(AX265*(30/100))+(AY265*(50/100))) &lt;=5.3, SUM((AW265*(20/100))+(AX265*(30/100))+(AY265*(50/100))) &gt;=4.8),5,
IF(AND( SUM((AW265*(20/100))+(AX265*(30/100))+(AY265*(50/100))) &lt;=4.8, SUM((AW265*(20/100))+(AX265*(30/100))+(AY265*(50/100))) &gt;=4.3),4.5,
IF(AND( SUM((AW265*(20/100))+(AX265*(30/100))+(AY265*(50/100))) &lt;=4.3, SUM((AW265*(20/100))+(AX265*(30/100))+(AY265*(50/100))) &gt;=3.8),4,
IF(AND( SUM((AW265*(20/100))+(AX265*(30/100))+(AY265*(50/100))) &lt;=3.8, SUM((AW265*(20/100))+(AX265*(30/100))+(AY265*(50/100))) &gt;=3.5),3.5,0)))))))))))))</f>
        <v>0</v>
      </c>
      <c r="BA265" s="536"/>
      <c r="BB265" s="536"/>
      <c r="BC265" s="536"/>
      <c r="BD265" s="542">
        <f t="shared" ref="BD265:BD328" si="111">IF( SUM((BA265*(20/100))+(BB265*(30/100))+(BC265*(50/100))) &gt;=9.3,9.5,
IF(AND( SUM((BA265*(20/100))+(BB265*(30/100))+(BC265*(50/100))) &lt;=9.3, SUM((BA265*(20/100))+(BB265*(30/100))+(BC265*(50/100))) &gt;=8.8),9,
IF(AND( SUM((BA265*(20/100))+(BB265*(30/100))+(BC265*(50/100))) &lt;=8.8, SUM((BA265*(20/100))+(BB265*(30/100))+(BC265*(50/100))) &gt;=8.3),8.5,
IF(AND( SUM((BA265*(20/100))+(BB265*(30/100))+(BC265*(50/100))) &lt;=8.3, SUM((BA265*(20/100))+(BB265*(30/100))+(BC265*(50/100))) &gt;=7.8),8,
IF(AND( SUM((BA265*(20/100))+(BB265*(30/100))+(BC265*(50/100))) &lt;=7.8, SUM((BA265*(20/100))+(BB265*(30/100))+(BC265*(50/100))) &gt;=7.3),7.5,
IF(AND( SUM((BA265*(20/100))+(BB265*(30/100))+(BC265*(50/100))) &lt;=7.3, SUM((BA265*(20/100))+(BB265*(30/100))+(BC265*(50/100))) &gt;=6.8),7,
IF(AND( SUM((BA265*(20/100))+(BB265*(30/100))+(BC265*(50/100))) &lt;=6.8, SUM((BA265*(20/100))+(BB265*(30/100))+(BC265*(50/100))) &gt;=6.3),6.5,
IF(AND( SUM((BA265*(20/100))+(BB265*(30/100))+(BC265*(50/100))) &lt;=6.3, SUM((BA265*(20/100))+(BB265*(30/100))+(BC265*(50/100))) &gt;=5.8),6,
IF(AND( SUM((BA265*(20/100))+(BB265*(30/100))+(BC265*(50/100))) &lt;=5.8, SUM((BA265*(20/100))+(BB265*(30/100))+(BC265*(50/100))) &gt;=5.3),5.5,
IF(AND( SUM((BA265*(20/100))+(BB265*(30/100))+(BC265*(50/100))) &lt;=5.3, SUM((BA265*(20/100))+(BB265*(30/100))+(BC265*(50/100))) &gt;=4.8),5,
IF(AND( SUM((BA265*(20/100))+(BB265*(30/100))+(BC265*(50/100))) &lt;=4.8, SUM((BA265*(20/100))+(BB265*(30/100))+(BC265*(50/100))) &gt;=4.3),4.5,
IF(AND( SUM((BA265*(20/100))+(BB265*(30/100))+(BC265*(50/100))) &lt;=4.3, SUM((BA265*(20/100))+(BB265*(30/100))+(BC265*(50/100))) &gt;=3.8),4,
IF(AND( SUM((BA265*(20/100))+(BB265*(30/100))+(BC265*(50/100))) &lt;=3.8, SUM((BA265*(20/100))+(BB265*(30/100))+(BC265*(50/100))) &gt;=3.5),3.5,0)))))))))))))</f>
        <v>0</v>
      </c>
      <c r="BE265" s="536"/>
      <c r="BF265" s="536"/>
      <c r="BG265" s="536"/>
      <c r="BH265" s="542">
        <f t="shared" ref="BH265:BH328" si="112">IF( SUM((BE265*(20/100))+(BF265*(30/100))+(BG265*(50/100))) &gt;=9.3,9.5,
IF(AND( SUM((BE265*(20/100))+(BF265*(30/100))+(BG265*(50/100))) &lt;=9.3, SUM((BE265*(20/100))+(BF265*(30/100))+(BG265*(50/100))) &gt;=8.8),9,
IF(AND( SUM((BE265*(20/100))+(BF265*(30/100))+(BG265*(50/100))) &lt;=8.8, SUM((BE265*(20/100))+(BF265*(30/100))+(BG265*(50/100))) &gt;=8.3),8.5,
IF(AND( SUM((BE265*(20/100))+(BF265*(30/100))+(BG265*(50/100))) &lt;=8.3, SUM((BE265*(20/100))+(BF265*(30/100))+(BG265*(50/100))) &gt;=7.8),8,
IF(AND( SUM((BE265*(20/100))+(BF265*(30/100))+(BG265*(50/100))) &lt;=7.8, SUM((BE265*(20/100))+(BF265*(30/100))+(BG265*(50/100))) &gt;=7.3),7.5,
IF(AND( SUM((BE265*(20/100))+(BF265*(30/100))+(BG265*(50/100))) &lt;=7.3, SUM((BE265*(20/100))+(BF265*(30/100))+(BG265*(50/100))) &gt;=6.8),7,
IF(AND( SUM((BE265*(20/100))+(BF265*(30/100))+(BG265*(50/100))) &lt;=6.8, SUM((BE265*(20/100))+(BF265*(30/100))+(BG265*(50/100))) &gt;=6.3),6.5,
IF(AND( SUM((BE265*(20/100))+(BF265*(30/100))+(BG265*(50/100))) &lt;=6.3, SUM((BE265*(20/100))+(BF265*(30/100))+(BG265*(50/100))) &gt;=5.8),6,
IF(AND( SUM((BE265*(20/100))+(BF265*(30/100))+(BG265*(50/100))) &lt;=5.8, SUM((BE265*(20/100))+(BF265*(30/100))+(BG265*(50/100))) &gt;=5.3),5.5,
IF(AND( SUM((BE265*(20/100))+(BF265*(30/100))+(BG265*(50/100))) &lt;=5.3, SUM((BE265*(20/100))+(BF265*(30/100))+(BG265*(50/100))) &gt;=4.8),5,
IF(AND( SUM((BE265*(20/100))+(BF265*(30/100))+(BG265*(50/100))) &lt;=4.8, SUM((BE265*(20/100))+(BF265*(30/100))+(BG265*(50/100))) &gt;=4.3),4.5,
IF(AND( SUM((BE265*(20/100))+(BF265*(30/100))+(BG265*(50/100))) &lt;=4.3, SUM((BE265*(20/100))+(BF265*(30/100))+(BG265*(50/100))) &gt;=3.8),4,
IF(AND( SUM((BE265*(20/100))+(BF265*(30/100))+(BG265*(50/100))) &lt;=3.8, SUM((BE265*(20/100))+(BF265*(30/100))+(BG265*(50/100))) &gt;=3.5),3.5,0)))))))))))))</f>
        <v>0</v>
      </c>
      <c r="BI265" s="536"/>
      <c r="BJ265" s="536"/>
      <c r="BK265" s="536"/>
      <c r="BL265" s="542">
        <f t="shared" ref="BL265:BL328" si="113">IF( SUM((BI265*(20/100))+(BJ265*(30/100))+(BK265*(50/100))) &gt;=9.3,9.5,
IF(AND( SUM((BI265*(20/100))+(BJ265*(30/100))+(BK265*(50/100))) &lt;=9.3, SUM((BI265*(20/100))+(BJ265*(30/100))+(BK265*(50/100))) &gt;=8.8),9,
IF(AND( SUM((BI265*(20/100))+(BJ265*(30/100))+(BK265*(50/100))) &lt;=8.8, SUM((BI265*(20/100))+(BJ265*(30/100))+(BK265*(50/100))) &gt;=8.3),8.5,
IF(AND( SUM((BI265*(20/100))+(BJ265*(30/100))+(BK265*(50/100))) &lt;=8.3, SUM((BI265*(20/100))+(BJ265*(30/100))+(BK265*(50/100))) &gt;=7.8),8,
IF(AND( SUM((BI265*(20/100))+(BJ265*(30/100))+(BK265*(50/100))) &lt;=7.8, SUM((BI265*(20/100))+(BJ265*(30/100))+(BK265*(50/100))) &gt;=7.3),7.5,
IF(AND( SUM((BI265*(20/100))+(BJ265*(30/100))+(BK265*(50/100))) &lt;=7.3, SUM((BI265*(20/100))+(BJ265*(30/100))+(BK265*(50/100))) &gt;=6.8),7,
IF(AND( SUM((BI265*(20/100))+(BJ265*(30/100))+(BK265*(50/100))) &lt;=6.8, SUM((BI265*(20/100))+(BJ265*(30/100))+(BK265*(50/100))) &gt;=6.3),6.5,
IF(AND( SUM((BI265*(20/100))+(BJ265*(30/100))+(BK265*(50/100))) &lt;=6.3, SUM((BI265*(20/100))+(BJ265*(30/100))+(BK265*(50/100))) &gt;=5.8),6,
IF(AND( SUM((BI265*(20/100))+(BJ265*(30/100))+(BK265*(50/100))) &lt;=5.8, SUM((BI265*(20/100))+(BJ265*(30/100))+(BK265*(50/100))) &gt;=5.3),5.5,
IF(AND( SUM((BI265*(20/100))+(BJ265*(30/100))+(BK265*(50/100))) &lt;=5.3, SUM((BI265*(20/100))+(BJ265*(30/100))+(BK265*(50/100))) &gt;=4.8),5,
IF(AND( SUM((BI265*(20/100))+(BJ265*(30/100))+(BK265*(50/100))) &lt;=4.8, SUM((BI265*(20/100))+(BJ265*(30/100))+(BK265*(50/100))) &gt;=4.3),4.5,
IF(AND( SUM((BI265*(20/100))+(BJ265*(30/100))+(BK265*(50/100))) &lt;=4.3, SUM((BI265*(20/100))+(BJ265*(30/100))+(BK265*(50/100))) &gt;=3.8),4,
IF(AND( SUM((BI265*(20/100))+(BJ265*(30/100))+(BK265*(50/100))) &lt;=3.8, SUM((BI265*(20/100))+(BJ265*(30/100))+(BK265*(50/100))) &gt;=3.5),3.5,0)))))))))))))</f>
        <v>0</v>
      </c>
      <c r="BM265" s="536"/>
      <c r="BN265" s="536"/>
      <c r="BO265" s="536"/>
      <c r="BP265" s="542">
        <f t="shared" ref="BP265:BP328" si="114">IF( SUM((BM265*(20/100))+(BN265*(30/100))+(BO265*(50/100))) &gt;=9.3,9.5,
IF(AND( SUM((BM265*(20/100))+(BN265*(30/100))+(BO265*(50/100))) &lt;=9.3, SUM((BM265*(20/100))+(BN265*(30/100))+(BO265*(50/100))) &gt;=8.8),9,
IF(AND( SUM((BM265*(20/100))+(BN265*(30/100))+(BO265*(50/100))) &lt;=8.8, SUM((BM265*(20/100))+(BN265*(30/100))+(BO265*(50/100))) &gt;=8.3),8.5,
IF(AND( SUM((BM265*(20/100))+(BN265*(30/100))+(BO265*(50/100))) &lt;=8.3, SUM((BM265*(20/100))+(BN265*(30/100))+(BO265*(50/100))) &gt;=7.8),8,
IF(AND( SUM((BM265*(20/100))+(BN265*(30/100))+(BO265*(50/100))) &lt;=7.8, SUM((BM265*(20/100))+(BN265*(30/100))+(BO265*(50/100))) &gt;=7.3),7.5,
IF(AND( SUM((BM265*(20/100))+(BN265*(30/100))+(BO265*(50/100))) &lt;=7.3, SUM((BM265*(20/100))+(BN265*(30/100))+(BO265*(50/100))) &gt;=6.8),7,
IF(AND( SUM((BM265*(20/100))+(BN265*(30/100))+(BO265*(50/100))) &lt;=6.8, SUM((BM265*(20/100))+(BN265*(30/100))+(BO265*(50/100))) &gt;=6.3),6.5,
IF(AND( SUM((BM265*(20/100))+(BN265*(30/100))+(BO265*(50/100))) &lt;=6.3, SUM((BM265*(20/100))+(BN265*(30/100))+(BO265*(50/100))) &gt;=5.8),6,
IF(AND( SUM((BM265*(20/100))+(BN265*(30/100))+(BO265*(50/100))) &lt;=5.8, SUM((BM265*(20/100))+(BN265*(30/100))+(BO265*(50/100))) &gt;=5.3),5.5,
IF(AND( SUM((BM265*(20/100))+(BN265*(30/100))+(BO265*(50/100))) &lt;=5.3, SUM((BM265*(20/100))+(BN265*(30/100))+(BO265*(50/100))) &gt;=4.8),5,
IF(AND( SUM((BM265*(20/100))+(BN265*(30/100))+(BO265*(50/100))) &lt;=4.8, SUM((BM265*(20/100))+(BN265*(30/100))+(BO265*(50/100))) &gt;=4.3),4.5,
IF(AND( SUM((BM265*(20/100))+(BN265*(30/100))+(BO265*(50/100))) &lt;=4.3, SUM((BM265*(20/100))+(BN265*(30/100))+(BO265*(50/100))) &gt;=3.8),4,
IF(AND( SUM((BM265*(20/100))+(BN265*(30/100))+(BO265*(50/100))) &lt;=3.8, SUM((BM265*(20/100))+(BN265*(30/100))+(BO265*(50/100))) &gt;=3.5),3.5,0)))))))))))))</f>
        <v>0</v>
      </c>
      <c r="BQ265" s="536"/>
      <c r="BR265" s="536"/>
      <c r="BS265" s="536"/>
      <c r="BT265" s="542">
        <f t="shared" ref="BT265:BT328" si="115">IF( SUM((BQ265*(20/100))+(BR265*(30/100))+(BS265*(50/100))) &gt;=9.3,9.5,
IF(AND( SUM((BQ265*(20/100))+(BR265*(30/100))+(BS265*(50/100))) &lt;=9.3, SUM((BQ265*(20/100))+(BR265*(30/100))+(BS265*(50/100))) &gt;=8.8),9,
IF(AND( SUM((BQ265*(20/100))+(BR265*(30/100))+(BS265*(50/100))) &lt;=8.8, SUM((BQ265*(20/100))+(BR265*(30/100))+(BS265*(50/100))) &gt;=8.3),8.5,
IF(AND( SUM((BQ265*(20/100))+(BR265*(30/100))+(BS265*(50/100))) &lt;=8.3, SUM((BQ265*(20/100))+(BR265*(30/100))+(BS265*(50/100))) &gt;=7.8),8,
IF(AND( SUM((BQ265*(20/100))+(BR265*(30/100))+(BS265*(50/100))) &lt;=7.8, SUM((BQ265*(20/100))+(BR265*(30/100))+(BS265*(50/100))) &gt;=7.3),7.5,
IF(AND( SUM((BQ265*(20/100))+(BR265*(30/100))+(BS265*(50/100))) &lt;=7.3, SUM((BQ265*(20/100))+(BR265*(30/100))+(BS265*(50/100))) &gt;=6.8),7,
IF(AND( SUM((BQ265*(20/100))+(BR265*(30/100))+(BS265*(50/100))) &lt;=6.8, SUM((BQ265*(20/100))+(BR265*(30/100))+(BS265*(50/100))) &gt;=6.3),6.5,
IF(AND( SUM((BQ265*(20/100))+(BR265*(30/100))+(BS265*(50/100))) &lt;=6.3, SUM((BQ265*(20/100))+(BR265*(30/100))+(BS265*(50/100))) &gt;=5.8),6,
IF(AND( SUM((BQ265*(20/100))+(BR265*(30/100))+(BS265*(50/100))) &lt;=5.8, SUM((BQ265*(20/100))+(BR265*(30/100))+(BS265*(50/100))) &gt;=5.3),5.5,
IF(AND( SUM((BQ265*(20/100))+(BR265*(30/100))+(BS265*(50/100))) &lt;=5.3, SUM((BQ265*(20/100))+(BR265*(30/100))+(BS265*(50/100))) &gt;=4.8),5,
IF(AND( SUM((BQ265*(20/100))+(BR265*(30/100))+(BS265*(50/100))) &lt;=4.8, SUM((BQ265*(20/100))+(BR265*(30/100))+(BS265*(50/100))) &gt;=4.3),4.5,
IF(AND( SUM((BQ265*(20/100))+(BR265*(30/100))+(BS265*(50/100))) &lt;=4.3, SUM((BQ265*(20/100))+(BR265*(30/100))+(BS265*(50/100))) &gt;=3.8),4,
IF(AND( SUM((BQ265*(20/100))+(BR265*(30/100))+(BS265*(50/100))) &lt;=3.8, SUM((BQ265*(20/100))+(BR265*(30/100))+(BS265*(50/100))) &gt;=3.5),3.5,0)))))))))))))</f>
        <v>0</v>
      </c>
      <c r="BU265" s="536"/>
      <c r="BV265" s="536"/>
      <c r="BW265" s="536"/>
      <c r="BX265" s="542">
        <f t="shared" ref="BX265:BX328" si="116">IF( SUM((BU265*(20/100))+(BV265*(30/100))+(BW265*(50/100))) &gt;=9.3,9.5,
IF(AND( SUM((BU265*(20/100))+(BV265*(30/100))+(BW265*(50/100))) &lt;=9.3, SUM((BU265*(20/100))+(BV265*(30/100))+(BW265*(50/100))) &gt;=8.8),9,
IF(AND( SUM((BU265*(20/100))+(BV265*(30/100))+(BW265*(50/100))) &lt;=8.8, SUM((BU265*(20/100))+(BV265*(30/100))+(BW265*(50/100))) &gt;=8.3),8.5,
IF(AND( SUM((BU265*(20/100))+(BV265*(30/100))+(BW265*(50/100))) &lt;=8.3, SUM((BU265*(20/100))+(BV265*(30/100))+(BW265*(50/100))) &gt;=7.8),8,
IF(AND( SUM((BU265*(20/100))+(BV265*(30/100))+(BW265*(50/100))) &lt;=7.8, SUM((BU265*(20/100))+(BV265*(30/100))+(BW265*(50/100))) &gt;=7.3),7.5,
IF(AND( SUM((BU265*(20/100))+(BV265*(30/100))+(BW265*(50/100))) &lt;=7.3, SUM((BU265*(20/100))+(BV265*(30/100))+(BW265*(50/100))) &gt;=6.8),7,
IF(AND( SUM((BU265*(20/100))+(BV265*(30/100))+(BW265*(50/100))) &lt;=6.8, SUM((BU265*(20/100))+(BV265*(30/100))+(BW265*(50/100))) &gt;=6.3),6.5,
IF(AND( SUM((BU265*(20/100))+(BV265*(30/100))+(BW265*(50/100))) &lt;=6.3, SUM((BU265*(20/100))+(BV265*(30/100))+(BW265*(50/100))) &gt;=5.8),6,
IF(AND( SUM((BU265*(20/100))+(BV265*(30/100))+(BW265*(50/100))) &lt;=5.8, SUM((BU265*(20/100))+(BV265*(30/100))+(BW265*(50/100))) &gt;=5.3),5.5,
IF(AND( SUM((BU265*(20/100))+(BV265*(30/100))+(BW265*(50/100))) &lt;=5.3, SUM((BU265*(20/100))+(BV265*(30/100))+(BW265*(50/100))) &gt;=4.8),5,
IF(AND( SUM((BU265*(20/100))+(BV265*(30/100))+(BW265*(50/100))) &lt;=4.8, SUM((BU265*(20/100))+(BV265*(30/100))+(BW265*(50/100))) &gt;=4.3),4.5,
IF(AND( SUM((BU265*(20/100))+(BV265*(30/100))+(BW265*(50/100))) &lt;=4.3, SUM((BU265*(20/100))+(BV265*(30/100))+(BW265*(50/100))) &gt;=3.8),4,
IF(AND( SUM((BU265*(20/100))+(BV265*(30/100))+(BW265*(50/100))) &lt;=3.8, SUM((BU265*(20/100))+(BV265*(30/100))+(BW265*(50/100))) &gt;=3.5),3.5,0)))))))))))))</f>
        <v>0</v>
      </c>
      <c r="BY265" s="536"/>
      <c r="BZ265" s="536"/>
      <c r="CA265" s="536"/>
      <c r="CB265" s="542">
        <v>0</v>
      </c>
      <c r="CC265" s="536"/>
      <c r="CD265" s="536"/>
      <c r="CE265" s="536"/>
      <c r="CF265" s="541">
        <f t="shared" ref="CF265:CF328" si="117">IF( SUM((CC265*(20/100))+(CD265*(30/100))+(CE265*(50/100))) &gt;=9.3,9.5,
IF(AND( SUM((CC265*(20/100))+(CD265*(30/100))+(CE265*(50/100))) &lt;=9.3, SUM((CC265*(20/100))+(CD265*(30/100))+(CE265*(50/100))) &gt;=8.8),9,
IF(AND( SUM((CC265*(20/100))+(CD265*(30/100))+(CE265*(50/100))) &lt;=8.8, SUM((CC265*(20/100))+(CD265*(30/100))+(CE265*(50/100))) &gt;=8.3),8.5,
IF(AND( SUM((CC265*(20/100))+(CD265*(30/100))+(CE265*(50/100))) &lt;=8.3, SUM((CC265*(20/100))+(CD265*(30/100))+(CE265*(50/100))) &gt;=7.8),8,
IF(AND( SUM((CC265*(20/100))+(CD265*(30/100))+(CE265*(50/100))) &lt;=7.8, SUM((CC265*(20/100))+(CD265*(30/100))+(CE265*(50/100))) &gt;=7.3),7.5,
IF(AND( SUM((CC265*(20/100))+(CD265*(30/100))+(CE265*(50/100))) &lt;=7.3, SUM((CC265*(20/100))+(CD265*(30/100))+(CE265*(50/100))) &gt;=6.8),7,
IF(AND( SUM((CC265*(20/100))+(CD265*(30/100))+(CE265*(50/100))) &lt;=6.8, SUM((CC265*(20/100))+(CD265*(30/100))+(CE265*(50/100))) &gt;=6.3),6.5,
IF(AND( SUM((CC265*(20/100))+(CD265*(30/100))+(CE265*(50/100))) &lt;=6.3, SUM((CC265*(20/100))+(CD265*(30/100))+(CE265*(50/100))) &gt;=5.8),6,
IF(AND( SUM((CC265*(20/100))+(CD265*(30/100))+(CE265*(50/100))) &lt;=5.8, SUM((CC265*(20/100))+(CD265*(30/100))+(CE265*(50/100))) &gt;=5.3),5.5,
IF(AND( SUM((CC265*(20/100))+(CD265*(30/100))+(CE265*(50/100))) &lt;=5.3, SUM((CC265*(20/100))+(CD265*(30/100))+(CE265*(50/100))) &gt;=4.8),5,
IF(AND( SUM((CC265*(20/100))+(CD265*(30/100))+(CE265*(50/100))) &lt;=4.8, SUM((CC265*(20/100))+(CD265*(30/100))+(CE265*(50/100))) &gt;=4.3),4.5,
IF(AND( SUM((CC265*(20/100))+(CD265*(30/100))+(CE265*(50/100))) &lt;=4.3, SUM((CC265*(20/100))+(CD265*(30/100))+(CE265*(50/100))) &gt;=3.8),4,
IF(AND( SUM((CC265*(20/100))+(CD265*(30/100))+(CE265*(50/100))) &lt;=3.8, SUM((CC265*(20/100))+(CD265*(30/100))+(CE265*(50/100))) &gt;=3.5),3.5,0)))))))))))))</f>
        <v>0</v>
      </c>
      <c r="CG265" s="536"/>
      <c r="CH265" s="536"/>
      <c r="CI265" s="536"/>
      <c r="CJ265" s="541">
        <f t="shared" ref="CJ265:CJ328" si="118">IF( SUM((CG265*(20/100))+(CH265*(30/100))+(CI265*(50/100))) &gt;=9.3,9.5,
IF(AND( SUM((CG265*(20/100))+(CH265*(30/100))+(CI265*(50/100))) &lt;=9.3, SUM((CG265*(20/100))+(CH265*(30/100))+(CI265*(50/100))) &gt;=8.8),9,
IF(AND( SUM((CG265*(20/100))+(CH265*(30/100))+(CI265*(50/100))) &lt;=8.8, SUM((CG265*(20/100))+(CH265*(30/100))+(CI265*(50/100))) &gt;=8.3),8.5,
IF(AND( SUM((CG265*(20/100))+(CH265*(30/100))+(CI265*(50/100))) &lt;=8.3, SUM((CG265*(20/100))+(CH265*(30/100))+(CI265*(50/100))) &gt;=7.8),8,
IF(AND( SUM((CG265*(20/100))+(CH265*(30/100))+(CI265*(50/100))) &lt;=7.8, SUM((CG265*(20/100))+(CH265*(30/100))+(CI265*(50/100))) &gt;=7.3),7.5,
IF(AND( SUM((CG265*(20/100))+(CH265*(30/100))+(CI265*(50/100))) &lt;=7.3, SUM((CG265*(20/100))+(CH265*(30/100))+(CI265*(50/100))) &gt;=6.8),7,
IF(AND( SUM((CG265*(20/100))+(CH265*(30/100))+(CI265*(50/100))) &lt;=6.8, SUM((CG265*(20/100))+(CH265*(30/100))+(CI265*(50/100))) &gt;=6.3),6.5,
IF(AND( SUM((CG265*(20/100))+(CH265*(30/100))+(CI265*(50/100))) &lt;=6.3, SUM((CG265*(20/100))+(CH265*(30/100))+(CI265*(50/100))) &gt;=5.8),6,
IF(AND( SUM((CG265*(20/100))+(CH265*(30/100))+(CI265*(50/100))) &lt;=5.8, SUM((CG265*(20/100))+(CH265*(30/100))+(CI265*(50/100))) &gt;=5.3),5.5,
IF(AND( SUM((CG265*(20/100))+(CH265*(30/100))+(CI265*(50/100))) &lt;=5.3, SUM((CG265*(20/100))+(CH265*(30/100))+(CI265*(50/100))) &gt;=4.8),5,
IF(AND( SUM((CG265*(20/100))+(CH265*(30/100))+(CI265*(50/100))) &lt;=4.8, SUM((CG265*(20/100))+(CH265*(30/100))+(CI265*(50/100))) &gt;=4.3),4.5,
IF(AND( SUM((CG265*(20/100))+(CH265*(30/100))+(CI265*(50/100))) &lt;=4.3, SUM((CG265*(20/100))+(CH265*(30/100))+(CI265*(50/100))) &gt;=3.8),4,
IF(AND( SUM((CG265*(20/100))+(CH265*(30/100))+(CI265*(50/100))) &lt;=3.8, SUM((CG265*(20/100))+(CH265*(30/100))+(CI265*(50/100))) &gt;=3.5),3.5,0)))))))))))))</f>
        <v>0</v>
      </c>
      <c r="CK265" s="536"/>
      <c r="CL265" s="536"/>
      <c r="CM265" s="536"/>
      <c r="CN265" s="541">
        <f t="shared" ref="CN265:CN328" si="119">IF( SUM((CK265*(20/100))+(CL265*(30/100))+(CM265*(50/100))) &gt;=9.3,9.5,
IF(AND( SUM((CK265*(20/100))+(CL265*(30/100))+(CM265*(50/100))) &lt;=9.3, SUM((CK265*(20/100))+(CL265*(30/100))+(CM265*(50/100))) &gt;=8.8),9,
IF(AND( SUM((CK265*(20/100))+(CL265*(30/100))+(CM265*(50/100))) &lt;=8.8, SUM((CK265*(20/100))+(CL265*(30/100))+(CM265*(50/100))) &gt;=8.3),8.5,
IF(AND( SUM((CK265*(20/100))+(CL265*(30/100))+(CM265*(50/100))) &lt;=8.3, SUM((CK265*(20/100))+(CL265*(30/100))+(CM265*(50/100))) &gt;=7.8),8,
IF(AND( SUM((CK265*(20/100))+(CL265*(30/100))+(CM265*(50/100))) &lt;=7.8, SUM((CK265*(20/100))+(CL265*(30/100))+(CM265*(50/100))) &gt;=7.3),7.5,
IF(AND( SUM((CK265*(20/100))+(CL265*(30/100))+(CM265*(50/100))) &lt;=7.3, SUM((CK265*(20/100))+(CL265*(30/100))+(CM265*(50/100))) &gt;=6.8),7,
IF(AND( SUM((CK265*(20/100))+(CL265*(30/100))+(CM265*(50/100))) &lt;=6.8, SUM((CK265*(20/100))+(CL265*(30/100))+(CM265*(50/100))) &gt;=6.3),6.5,
IF(AND( SUM((CK265*(20/100))+(CL265*(30/100))+(CM265*(50/100))) &lt;=6.3, SUM((CK265*(20/100))+(CL265*(30/100))+(CM265*(50/100))) &gt;=5.8),6,
IF(AND( SUM((CK265*(20/100))+(CL265*(30/100))+(CM265*(50/100))) &lt;=5.8, SUM((CK265*(20/100))+(CL265*(30/100))+(CM265*(50/100))) &gt;=5.3),5.5,
IF(AND( SUM((CK265*(20/100))+(CL265*(30/100))+(CM265*(50/100))) &lt;=5.3, SUM((CK265*(20/100))+(CL265*(30/100))+(CM265*(50/100))) &gt;=4.8),5,
IF(AND( SUM((CK265*(20/100))+(CL265*(30/100))+(CM265*(50/100))) &lt;=4.8, SUM((CK265*(20/100))+(CL265*(30/100))+(CM265*(50/100))) &gt;=4.3),4.5,
IF(AND( SUM((CK265*(20/100))+(CL265*(30/100))+(CM265*(50/100))) &lt;=4.3, SUM((CK265*(20/100))+(CL265*(30/100))+(CM265*(50/100))) &gt;=3.8),4,
IF(AND( SUM((CK265*(20/100))+(CL265*(30/100))+(CM265*(50/100))) &lt;=3.8, SUM((CK265*(20/100))+(CL265*(30/100))+(CM265*(50/100))) &gt;=3.5),3.5,0)))))))))))))</f>
        <v>0</v>
      </c>
      <c r="CO265" s="536"/>
      <c r="CP265" s="536"/>
      <c r="CQ265" s="536"/>
      <c r="CR265" s="541">
        <f t="shared" ref="CR265:CR328" si="120">IF( SUM((CO265*(20/100))+(CP265*(30/100))+(CQ265*(50/100))) &gt;=9.3,9.5,
IF(AND( SUM((CO265*(20/100))+(CP265*(30/100))+(CQ265*(50/100))) &lt;=9.3, SUM((CO265*(20/100))+(CP265*(30/100))+(CQ265*(50/100))) &gt;=8.8),9,
IF(AND( SUM((CO265*(20/100))+(CP265*(30/100))+(CQ265*(50/100))) &lt;=8.8, SUM((CO265*(20/100))+(CP265*(30/100))+(CQ265*(50/100))) &gt;=8.3),8.5,
IF(AND( SUM((CO265*(20/100))+(CP265*(30/100))+(CQ265*(50/100))) &lt;=8.3, SUM((CO265*(20/100))+(CP265*(30/100))+(CQ265*(50/100))) &gt;=7.8),8,
IF(AND( SUM((CO265*(20/100))+(CP265*(30/100))+(CQ265*(50/100))) &lt;=7.8, SUM((CO265*(20/100))+(CP265*(30/100))+(CQ265*(50/100))) &gt;=7.3),7.5,
IF(AND( SUM((CO265*(20/100))+(CP265*(30/100))+(CQ265*(50/100))) &lt;=7.3, SUM((CO265*(20/100))+(CP265*(30/100))+(CQ265*(50/100))) &gt;=6.8),7,
IF(AND( SUM((CO265*(20/100))+(CP265*(30/100))+(CQ265*(50/100))) &lt;=6.8, SUM((CO265*(20/100))+(CP265*(30/100))+(CQ265*(50/100))) &gt;=6.3),6.5,
IF(AND( SUM((CO265*(20/100))+(CP265*(30/100))+(CQ265*(50/100))) &lt;=6.3, SUM((CO265*(20/100))+(CP265*(30/100))+(CQ265*(50/100))) &gt;=5.8),6,
IF(AND( SUM((CO265*(20/100))+(CP265*(30/100))+(CQ265*(50/100))) &lt;=5.8, SUM((CO265*(20/100))+(CP265*(30/100))+(CQ265*(50/100))) &gt;=5.3),5.5,
IF(AND( SUM((CO265*(20/100))+(CP265*(30/100))+(CQ265*(50/100))) &lt;=5.3, SUM((CO265*(20/100))+(CP265*(30/100))+(CQ265*(50/100))) &gt;=4.8),5,
IF(AND( SUM((CO265*(20/100))+(CP265*(30/100))+(CQ265*(50/100))) &lt;=4.8, SUM((CO265*(20/100))+(CP265*(30/100))+(CQ265*(50/100))) &gt;=4.3),4.5,
IF(AND( SUM((CO265*(20/100))+(CP265*(30/100))+(CQ265*(50/100))) &lt;=4.3, SUM((CO265*(20/100))+(CP265*(30/100))+(CQ265*(50/100))) &gt;=3.8),4,
IF(AND( SUM((CO265*(20/100))+(CP265*(30/100))+(CQ265*(50/100))) &lt;=3.8, SUM((CO265*(20/100))+(CP265*(30/100))+(CQ265*(50/100))) &gt;=3.5),3.5,0)))))))))))))</f>
        <v>0</v>
      </c>
      <c r="CS265" s="536"/>
      <c r="CT265" s="536"/>
      <c r="CU265" s="536"/>
      <c r="CV265" s="541">
        <f t="shared" ref="CV265:CV328" si="121">IF( SUM((CS265*(20/100))+(CT265*(30/100))+(CU265*(50/100))) &gt;=9.3,9.5,
IF(AND( SUM((CS265*(20/100))+(CT265*(30/100))+(CU265*(50/100))) &lt;=9.3, SUM((CS265*(20/100))+(CT265*(30/100))+(CU265*(50/100))) &gt;=8.8),9,
IF(AND( SUM((CS265*(20/100))+(CT265*(30/100))+(CU265*(50/100))) &lt;=8.8, SUM((CS265*(20/100))+(CT265*(30/100))+(CU265*(50/100))) &gt;=8.3),8.5,
IF(AND( SUM((CS265*(20/100))+(CT265*(30/100))+(CU265*(50/100))) &lt;=8.3, SUM((CS265*(20/100))+(CT265*(30/100))+(CU265*(50/100))) &gt;=7.8),8,
IF(AND( SUM((CS265*(20/100))+(CT265*(30/100))+(CU265*(50/100))) &lt;=7.8, SUM((CS265*(20/100))+(CT265*(30/100))+(CU265*(50/100))) &gt;=7.3),7.5,
IF(AND( SUM((CS265*(20/100))+(CT265*(30/100))+(CU265*(50/100))) &lt;=7.3, SUM((CS265*(20/100))+(CT265*(30/100))+(CU265*(50/100))) &gt;=6.8),7,
IF(AND( SUM((CS265*(20/100))+(CT265*(30/100))+(CU265*(50/100))) &lt;=6.8, SUM((CS265*(20/100))+(CT265*(30/100))+(CU265*(50/100))) &gt;=6.3),6.5,
IF(AND( SUM((CS265*(20/100))+(CT265*(30/100))+(CU265*(50/100))) &lt;=6.3, SUM((CS265*(20/100))+(CT265*(30/100))+(CU265*(50/100))) &gt;=5.8),6,
IF(AND( SUM((CS265*(20/100))+(CT265*(30/100))+(CU265*(50/100))) &lt;=5.8, SUM((CS265*(20/100))+(CT265*(30/100))+(CU265*(50/100))) &gt;=5.3),5.5,
IF(AND( SUM((CS265*(20/100))+(CT265*(30/100))+(CU265*(50/100))) &lt;=5.3, SUM((CS265*(20/100))+(CT265*(30/100))+(CU265*(50/100))) &gt;=4.8),5,
IF(AND( SUM((CS265*(20/100))+(CT265*(30/100))+(CU265*(50/100))) &lt;=4.8, SUM((CS265*(20/100))+(CT265*(30/100))+(CU265*(50/100))) &gt;=4.3),4.5,
IF(AND( SUM((CS265*(20/100))+(CT265*(30/100))+(CU265*(50/100))) &lt;=4.3, SUM((CS265*(20/100))+(CT265*(30/100))+(CU265*(50/100))) &gt;=3.8),4,
IF(AND( SUM((CS265*(20/100))+(CT265*(30/100))+(CU265*(50/100))) &lt;=3.8, SUM((CS265*(20/100))+(CT265*(30/100))+(CU265*(50/100))) &gt;=3.5),3.5,0)))))))))))))</f>
        <v>0</v>
      </c>
      <c r="CW265" s="536"/>
      <c r="CX265" s="536"/>
      <c r="CY265" s="536"/>
      <c r="CZ265" s="541">
        <f t="shared" ref="CZ265:CZ328" si="122">IF( SUM((CW265*(20/100))+(CX265*(30/100))+(CY265*(50/100))) &gt;=9.3,9.5,
IF(AND( SUM((CW265*(20/100))+(CX265*(30/100))+(CY265*(50/100))) &lt;=9.3, SUM((CW265*(20/100))+(CX265*(30/100))+(CY265*(50/100))) &gt;=8.8),9,
IF(AND( SUM((CW265*(20/100))+(CX265*(30/100))+(CY265*(50/100))) &lt;=8.8, SUM((CW265*(20/100))+(CX265*(30/100))+(CY265*(50/100))) &gt;=8.3),8.5,
IF(AND( SUM((CW265*(20/100))+(CX265*(30/100))+(CY265*(50/100))) &lt;=8.3, SUM((CW265*(20/100))+(CX265*(30/100))+(CY265*(50/100))) &gt;=7.8),8,
IF(AND( SUM((CW265*(20/100))+(CX265*(30/100))+(CY265*(50/100))) &lt;=7.8, SUM((CW265*(20/100))+(CX265*(30/100))+(CY265*(50/100))) &gt;=7.3),7.5,
IF(AND( SUM((CW265*(20/100))+(CX265*(30/100))+(CY265*(50/100))) &lt;=7.3, SUM((CW265*(20/100))+(CX265*(30/100))+(CY265*(50/100))) &gt;=6.8),7,
IF(AND( SUM((CW265*(20/100))+(CX265*(30/100))+(CY265*(50/100))) &lt;=6.8, SUM((CW265*(20/100))+(CX265*(30/100))+(CY265*(50/100))) &gt;=6.3),6.5,
IF(AND( SUM((CW265*(20/100))+(CX265*(30/100))+(CY265*(50/100))) &lt;=6.3, SUM((CW265*(20/100))+(CX265*(30/100))+(CY265*(50/100))) &gt;=5.8),6,
IF(AND( SUM((CW265*(20/100))+(CX265*(30/100))+(CY265*(50/100))) &lt;=5.8, SUM((CW265*(20/100))+(CX265*(30/100))+(CY265*(50/100))) &gt;=5.3),5.5,
IF(AND( SUM((CW265*(20/100))+(CX265*(30/100))+(CY265*(50/100))) &lt;=5.3, SUM((CW265*(20/100))+(CX265*(30/100))+(CY265*(50/100))) &gt;=4.8),5,
IF(AND( SUM((CW265*(20/100))+(CX265*(30/100))+(CY265*(50/100))) &lt;=4.8, SUM((CW265*(20/100))+(CX265*(30/100))+(CY265*(50/100))) &gt;=4.3),4.5,
IF(AND( SUM((CW265*(20/100))+(CX265*(30/100))+(CY265*(50/100))) &lt;=4.3, SUM((CW265*(20/100))+(CX265*(30/100))+(CY265*(50/100))) &gt;=3.8),4,
IF(AND( SUM((CW265*(20/100))+(CX265*(30/100))+(CY265*(50/100))) &lt;=3.8, SUM((CW265*(20/100))+(CX265*(30/100))+(CY265*(50/100))) &gt;=3.5),3.5,0)))))))))))))</f>
        <v>0</v>
      </c>
      <c r="DA265" s="536"/>
      <c r="DB265" s="536"/>
      <c r="DC265" s="536"/>
      <c r="DD265" s="541">
        <f t="shared" ref="DD265:DD328" si="123">IF( SUM((DA265*(20/100))+(DB265*(30/100))+(DC265*(50/100))) &gt;=9.3,9.5,
IF(AND( SUM((DA265*(20/100))+(DB265*(30/100))+(DC265*(50/100))) &lt;=9.3, SUM((DA265*(20/100))+(DB265*(30/100))+(DC265*(50/100))) &gt;=8.8),9,
IF(AND( SUM((DA265*(20/100))+(DB265*(30/100))+(DC265*(50/100))) &lt;=8.8, SUM((DA265*(20/100))+(DB265*(30/100))+(DC265*(50/100))) &gt;=8.3),8.5,
IF(AND( SUM((DA265*(20/100))+(DB265*(30/100))+(DC265*(50/100))) &lt;=8.3, SUM((DA265*(20/100))+(DB265*(30/100))+(DC265*(50/100))) &gt;=7.8),8,
IF(AND( SUM((DA265*(20/100))+(DB265*(30/100))+(DC265*(50/100))) &lt;=7.8, SUM((DA265*(20/100))+(DB265*(30/100))+(DC265*(50/100))) &gt;=7.3),7.5,
IF(AND( SUM((DA265*(20/100))+(DB265*(30/100))+(DC265*(50/100))) &lt;=7.3, SUM((DA265*(20/100))+(DB265*(30/100))+(DC265*(50/100))) &gt;=6.8),7,
IF(AND( SUM((DA265*(20/100))+(DB265*(30/100))+(DC265*(50/100))) &lt;=6.8, SUM((DA265*(20/100))+(DB265*(30/100))+(DC265*(50/100))) &gt;=6.3),6.5,
IF(AND( SUM((DA265*(20/100))+(DB265*(30/100))+(DC265*(50/100))) &lt;=6.3, SUM((DA265*(20/100))+(DB265*(30/100))+(DC265*(50/100))) &gt;=5.8),6,
IF(AND( SUM((DA265*(20/100))+(DB265*(30/100))+(DC265*(50/100))) &lt;=5.8, SUM((DA265*(20/100))+(DB265*(30/100))+(DC265*(50/100))) &gt;=5.3),5.5,
IF(AND( SUM((DA265*(20/100))+(DB265*(30/100))+(DC265*(50/100))) &lt;=5.3, SUM((DA265*(20/100))+(DB265*(30/100))+(DC265*(50/100))) &gt;=4.8),5,
IF(AND( SUM((DA265*(20/100))+(DB265*(30/100))+(DC265*(50/100))) &lt;=4.8, SUM((DA265*(20/100))+(DB265*(30/100))+(DC265*(50/100))) &gt;=4.3),4.5,
IF(AND( SUM((DA265*(20/100))+(DB265*(30/100))+(DC265*(50/100))) &lt;=4.3, SUM((DA265*(20/100))+(DB265*(30/100))+(DC265*(50/100))) &gt;=3.8),4,
IF(AND( SUM((DA265*(20/100))+(DB265*(30/100))+(DC265*(50/100))) &lt;=3.8, SUM((DA265*(20/100))+(DB265*(30/100))+(DC265*(50/100))) &gt;=3.5),3.5,0)))))))))))))</f>
        <v>0</v>
      </c>
      <c r="DE265" s="536"/>
      <c r="DF265" s="536"/>
      <c r="DG265" s="536"/>
      <c r="DH265" s="541">
        <f t="shared" ref="DH265:DH328" si="124">IF( SUM((DE265*(20/100))+(DF265*(30/100))+(DG265*(50/100))) &gt;=9.3,9.5,
IF(AND( SUM((DE265*(20/100))+(DF265*(30/100))+(DG265*(50/100))) &lt;=9.3, SUM((DE265*(20/100))+(DF265*(30/100))+(DG265*(50/100))) &gt;=8.8),9,
IF(AND( SUM((DE265*(20/100))+(DF265*(30/100))+(DG265*(50/100))) &lt;=8.8, SUM((DE265*(20/100))+(DF265*(30/100))+(DG265*(50/100))) &gt;=8.3),8.5,
IF(AND( SUM((DE265*(20/100))+(DF265*(30/100))+(DG265*(50/100))) &lt;=8.3, SUM((DE265*(20/100))+(DF265*(30/100))+(DG265*(50/100))) &gt;=7.8),8,
IF(AND( SUM((DE265*(20/100))+(DF265*(30/100))+(DG265*(50/100))) &lt;=7.8, SUM((DE265*(20/100))+(DF265*(30/100))+(DG265*(50/100))) &gt;=7.3),7.5,
IF(AND( SUM((DE265*(20/100))+(DF265*(30/100))+(DG265*(50/100))) &lt;=7.3, SUM((DE265*(20/100))+(DF265*(30/100))+(DG265*(50/100))) &gt;=6.8),7,
IF(AND( SUM((DE265*(20/100))+(DF265*(30/100))+(DG265*(50/100))) &lt;=6.8, SUM((DE265*(20/100))+(DF265*(30/100))+(DG265*(50/100))) &gt;=6.3),6.5,
IF(AND( SUM((DE265*(20/100))+(DF265*(30/100))+(DG265*(50/100))) &lt;=6.3, SUM((DE265*(20/100))+(DF265*(30/100))+(DG265*(50/100))) &gt;=5.8),6,
IF(AND( SUM((DE265*(20/100))+(DF265*(30/100))+(DG265*(50/100))) &lt;=5.8, SUM((DE265*(20/100))+(DF265*(30/100))+(DG265*(50/100))) &gt;=5.3),5.5,
IF(AND( SUM((DE265*(20/100))+(DF265*(30/100))+(DG265*(50/100))) &lt;=5.3, SUM((DE265*(20/100))+(DF265*(30/100))+(DG265*(50/100))) &gt;=4.8),5,
IF(AND( SUM((DE265*(20/100))+(DF265*(30/100))+(DG265*(50/100))) &lt;=4.8, SUM((DE265*(20/100))+(DF265*(30/100))+(DG265*(50/100))) &gt;=4.3),4.5,
IF(AND( SUM((DE265*(20/100))+(DF265*(30/100))+(DG265*(50/100))) &lt;=4.3, SUM((DE265*(20/100))+(DF265*(30/100))+(DG265*(50/100))) &gt;=3.8),4,
IF(AND( SUM((DE265*(20/100))+(DF265*(30/100))+(DG265*(50/100))) &lt;=3.8, SUM((DE265*(20/100))+(DF265*(30/100))+(DG265*(50/100))) &gt;=3.5),3.5,0)))))))))))))</f>
        <v>0</v>
      </c>
      <c r="DI265" s="536"/>
      <c r="DJ265" s="536"/>
      <c r="DK265" s="536"/>
      <c r="DL265" s="541">
        <f t="shared" ref="DL265:DL328" si="125">IF( SUM((DI265*(20/100))+(DJ265*(30/100))+(DK265*(50/100))) &gt;=9.3,9.5,
IF(AND( SUM((DI265*(20/100))+(DJ265*(30/100))+(DK265*(50/100))) &lt;=9.3, SUM((DI265*(20/100))+(DJ265*(30/100))+(DK265*(50/100))) &gt;=8.8),9,
IF(AND( SUM((DI265*(20/100))+(DJ265*(30/100))+(DK265*(50/100))) &lt;=8.8, SUM((DI265*(20/100))+(DJ265*(30/100))+(DK265*(50/100))) &gt;=8.3),8.5,
IF(AND( SUM((DI265*(20/100))+(DJ265*(30/100))+(DK265*(50/100))) &lt;=8.3, SUM((DI265*(20/100))+(DJ265*(30/100))+(DK265*(50/100))) &gt;=7.8),8,
IF(AND( SUM((DI265*(20/100))+(DJ265*(30/100))+(DK265*(50/100))) &lt;=7.8, SUM((DI265*(20/100))+(DJ265*(30/100))+(DK265*(50/100))) &gt;=7.3),7.5,
IF(AND( SUM((DI265*(20/100))+(DJ265*(30/100))+(DK265*(50/100))) &lt;=7.3, SUM((DI265*(20/100))+(DJ265*(30/100))+(DK265*(50/100))) &gt;=6.8),7,
IF(AND( SUM((DI265*(20/100))+(DJ265*(30/100))+(DK265*(50/100))) &lt;=6.8, SUM((DI265*(20/100))+(DJ265*(30/100))+(DK265*(50/100))) &gt;=6.3),6.5,
IF(AND( SUM((DI265*(20/100))+(DJ265*(30/100))+(DK265*(50/100))) &lt;=6.3, SUM((DI265*(20/100))+(DJ265*(30/100))+(DK265*(50/100))) &gt;=5.8),6,
IF(AND( SUM((DI265*(20/100))+(DJ265*(30/100))+(DK265*(50/100))) &lt;=5.8, SUM((DI265*(20/100))+(DJ265*(30/100))+(DK265*(50/100))) &gt;=5.3),5.5,
IF(AND( SUM((DI265*(20/100))+(DJ265*(30/100))+(DK265*(50/100))) &lt;=5.3, SUM((DI265*(20/100))+(DJ265*(30/100))+(DK265*(50/100))) &gt;=4.8),5,
IF(AND( SUM((DI265*(20/100))+(DJ265*(30/100))+(DK265*(50/100))) &lt;=4.8, SUM((DI265*(20/100))+(DJ265*(30/100))+(DK265*(50/100))) &gt;=4.3),4.5,
IF(AND( SUM((DI265*(20/100))+(DJ265*(30/100))+(DK265*(50/100))) &lt;=4.3, SUM((DI265*(20/100))+(DJ265*(30/100))+(DK265*(50/100))) &gt;=3.8),4,
IF(AND( SUM((DI265*(20/100))+(DJ265*(30/100))+(DK265*(50/100))) &lt;=3.8, SUM((DI265*(20/100))+(DJ265*(30/100))+(DK265*(50/100))) &gt;=3.5),3.5,0)))))))))))))</f>
        <v>0</v>
      </c>
      <c r="DM265" s="536"/>
      <c r="DN265" s="536"/>
      <c r="DO265" s="536"/>
      <c r="DP265" s="541">
        <f>IF( SUM((DJ265*(20/100))+(DK265*(30/100))+(DL265*(50/100))) &gt;=9.3,9.5,
IF(AND( SUM((DJ265*(20/100))+(DK265*(30/100))+(DL265*(50/100))) &lt;=9.3, SUM((DJ265*(20/100))+(DK265*(30/100))+(DL265*(50/100))) &gt;=8.8),9,
IF(AND( SUM((DJ265*(20/100))+(DK265*(30/100))+(DL265*(50/100))) &lt;=8.8, SUM((DJ265*(20/100))+(DK265*(30/100))+(DL265*(50/100))) &gt;=8.3),8.5,
IF(AND( SUM((DJ265*(20/100))+(DK265*(30/100))+(DL265*(50/100))) &lt;=8.3, SUM((DJ265*(20/100))+(DK265*(30/100))+(DL265*(50/100))) &gt;=7.8),8,
IF(AND( SUM((DJ265*(20/100))+(DK265*(30/100))+(DL265*(50/100))) &lt;=7.8, SUM((DJ265*(20/100))+(DK265*(30/100))+(DL265*(50/100))) &gt;=7.3),7.5,
IF(AND( SUM((DJ265*(20/100))+(DK265*(30/100))+(DL265*(50/100))) &lt;=7.3, SUM((DJ265*(20/100))+(DK265*(30/100))+(DL265*(50/100))) &gt;=6.8),7,
IF(AND( SUM((DJ265*(20/100))+(DK265*(30/100))+(DL265*(50/100))) &lt;=6.8, SUM((DJ265*(20/100))+(DK265*(30/100))+(DL265*(50/100))) &gt;=6.3),6.5,
IF(AND( SUM((DJ265*(20/100))+(DK265*(30/100))+(DL265*(50/100))) &lt;=6.3, SUM((DJ265*(20/100))+(DK265*(30/100))+(DL265*(50/100))) &gt;=5.8),6,
IF(AND( SUM((DJ265*(20/100))+(DK265*(30/100))+(DL265*(50/100))) &lt;=5.8, SUM((DJ265*(20/100))+(DK265*(30/100))+(DL265*(50/100))) &gt;=5.3),5.5,
IF(AND( SUM((DJ265*(20/100))+(DK265*(30/100))+(DL265*(50/100))) &lt;=5.3, SUM((DJ265*(20/100))+(DK265*(30/100))+(DL265*(50/100))) &gt;=4.8),5,
IF(AND( SUM((DJ265*(20/100))+(DK265*(30/100))+(DL265*(50/100))) &lt;=4.8, SUM((DJ265*(20/100))+(DK265*(30/100))+(DL265*(50/100))) &gt;=4.3),4.5,
IF(AND( SUM((DJ265*(20/100))+(DK265*(30/100))+(DL265*(50/100))) &lt;=4.3, SUM((DJ265*(20/100))+(DK265*(30/100))+(DL265*(50/100))) &gt;=3.8),4,
IF(AND( SUM((DJ265*(20/100))+(DK265*(30/100))+(DL265*(50/100))) &lt;=3.8, SUM((DJ265*(20/100))+(DK265*(30/100))+(DL265*(50/100))) &gt;=3.5),3.5,0)))))))))))))</f>
        <v>0</v>
      </c>
      <c r="DQ265" s="541"/>
      <c r="DR265" s="541"/>
      <c r="DS265" s="541"/>
      <c r="DT265" s="541"/>
      <c r="DU265" s="541"/>
      <c r="DV265" s="541"/>
      <c r="DW265" s="541"/>
      <c r="DX265" s="541"/>
      <c r="DY265" s="541"/>
      <c r="DZ265" s="541"/>
    </row>
    <row r="266" spans="2:130" x14ac:dyDescent="0.25">
      <c r="B266" s="334">
        <v>9</v>
      </c>
      <c r="C266" s="541"/>
      <c r="D266" s="334"/>
      <c r="E266" s="334"/>
      <c r="F266" s="334"/>
      <c r="G266" s="334"/>
      <c r="H266" s="334"/>
      <c r="I266" s="334"/>
      <c r="J266" s="536"/>
      <c r="K266" s="536"/>
      <c r="L266" s="536"/>
      <c r="M266" s="536"/>
      <c r="N266" s="536"/>
      <c r="O266" s="536"/>
      <c r="P266" s="536">
        <f t="shared" si="101"/>
        <v>0</v>
      </c>
      <c r="Q266" s="536"/>
      <c r="R266" s="536"/>
      <c r="S266" s="536"/>
      <c r="T266" s="536">
        <f t="shared" si="102"/>
        <v>0</v>
      </c>
      <c r="U266" s="536"/>
      <c r="V266" s="536"/>
      <c r="W266" s="536"/>
      <c r="X266" s="536">
        <f t="shared" si="103"/>
        <v>0</v>
      </c>
      <c r="Y266" s="536"/>
      <c r="Z266" s="536"/>
      <c r="AA266" s="536"/>
      <c r="AB266" s="536">
        <f t="shared" si="104"/>
        <v>0</v>
      </c>
      <c r="AC266" s="536"/>
      <c r="AD266" s="536"/>
      <c r="AE266" s="536"/>
      <c r="AF266" s="536">
        <f t="shared" si="105"/>
        <v>0</v>
      </c>
      <c r="AG266" s="536"/>
      <c r="AH266" s="536"/>
      <c r="AI266" s="536"/>
      <c r="AJ266" s="536">
        <f t="shared" si="106"/>
        <v>0</v>
      </c>
      <c r="AK266" s="536"/>
      <c r="AL266" s="536"/>
      <c r="AM266" s="536"/>
      <c r="AN266" s="542">
        <f t="shared" si="107"/>
        <v>0</v>
      </c>
      <c r="AO266" s="536"/>
      <c r="AP266" s="536"/>
      <c r="AQ266" s="536"/>
      <c r="AR266" s="542">
        <f t="shared" si="108"/>
        <v>0</v>
      </c>
      <c r="AS266" s="536"/>
      <c r="AT266" s="536"/>
      <c r="AU266" s="536"/>
      <c r="AV266" s="542">
        <f t="shared" si="109"/>
        <v>0</v>
      </c>
      <c r="AW266" s="536"/>
      <c r="AX266" s="536"/>
      <c r="AY266" s="536"/>
      <c r="AZ266" s="542">
        <f t="shared" si="110"/>
        <v>0</v>
      </c>
      <c r="BA266" s="536"/>
      <c r="BB266" s="536"/>
      <c r="BC266" s="536"/>
      <c r="BD266" s="542">
        <f t="shared" si="111"/>
        <v>0</v>
      </c>
      <c r="BE266" s="536"/>
      <c r="BF266" s="536"/>
      <c r="BG266" s="536"/>
      <c r="BH266" s="542">
        <f t="shared" si="112"/>
        <v>0</v>
      </c>
      <c r="BI266" s="536"/>
      <c r="BJ266" s="536"/>
      <c r="BK266" s="536"/>
      <c r="BL266" s="542">
        <f t="shared" si="113"/>
        <v>0</v>
      </c>
      <c r="BM266" s="536"/>
      <c r="BN266" s="536"/>
      <c r="BO266" s="536"/>
      <c r="BP266" s="542">
        <f t="shared" si="114"/>
        <v>0</v>
      </c>
      <c r="BQ266" s="536"/>
      <c r="BR266" s="536"/>
      <c r="BS266" s="536"/>
      <c r="BT266" s="542">
        <f t="shared" si="115"/>
        <v>0</v>
      </c>
      <c r="BU266" s="536"/>
      <c r="BV266" s="536"/>
      <c r="BW266" s="536"/>
      <c r="BX266" s="542">
        <f t="shared" si="116"/>
        <v>0</v>
      </c>
      <c r="BY266" s="536"/>
      <c r="BZ266" s="536"/>
      <c r="CA266" s="536"/>
      <c r="CB266" s="542">
        <v>0</v>
      </c>
      <c r="CC266" s="536"/>
      <c r="CD266" s="536"/>
      <c r="CE266" s="536"/>
      <c r="CF266" s="541">
        <f t="shared" si="117"/>
        <v>0</v>
      </c>
      <c r="CG266" s="536"/>
      <c r="CH266" s="536"/>
      <c r="CI266" s="536"/>
      <c r="CJ266" s="541">
        <f t="shared" si="118"/>
        <v>0</v>
      </c>
      <c r="CK266" s="536"/>
      <c r="CL266" s="536"/>
      <c r="CM266" s="536"/>
      <c r="CN266" s="541">
        <f t="shared" si="119"/>
        <v>0</v>
      </c>
      <c r="CO266" s="536"/>
      <c r="CP266" s="536"/>
      <c r="CQ266" s="536"/>
      <c r="CR266" s="541">
        <f t="shared" si="120"/>
        <v>0</v>
      </c>
      <c r="CS266" s="536"/>
      <c r="CT266" s="536"/>
      <c r="CU266" s="536"/>
      <c r="CV266" s="541">
        <f t="shared" si="121"/>
        <v>0</v>
      </c>
      <c r="CW266" s="536"/>
      <c r="CX266" s="536"/>
      <c r="CY266" s="536"/>
      <c r="CZ266" s="541">
        <f t="shared" si="122"/>
        <v>0</v>
      </c>
      <c r="DA266" s="536"/>
      <c r="DB266" s="536"/>
      <c r="DC266" s="536"/>
      <c r="DD266" s="541">
        <f t="shared" si="123"/>
        <v>0</v>
      </c>
      <c r="DE266" s="536"/>
      <c r="DF266" s="536"/>
      <c r="DG266" s="536"/>
      <c r="DH266" s="541">
        <f t="shared" si="124"/>
        <v>0</v>
      </c>
      <c r="DI266" s="536"/>
      <c r="DJ266" s="536"/>
      <c r="DK266" s="536"/>
      <c r="DL266" s="541">
        <f t="shared" si="125"/>
        <v>0</v>
      </c>
      <c r="DM266" s="536"/>
      <c r="DN266" s="536"/>
      <c r="DO266" s="536"/>
      <c r="DP266" s="541">
        <f>IF( SUM((DJ266*(20/100))+(DK266*(30/100))+(DL266*(50/100))) &gt;=9.3,9.5,
IF(AND( SUM((DJ266*(20/100))+(DK266*(30/100))+(DL266*(50/100))) &lt;=9.3, SUM((DJ266*(20/100))+(DK266*(30/100))+(DL266*(50/100))) &gt;=8.8),9,
IF(AND( SUM((DJ266*(20/100))+(DK266*(30/100))+(DL266*(50/100))) &lt;=8.8, SUM((DJ266*(20/100))+(DK266*(30/100))+(DL266*(50/100))) &gt;=8.3),8.5,
IF(AND( SUM((DJ266*(20/100))+(DK266*(30/100))+(DL266*(50/100))) &lt;=8.3, SUM((DJ266*(20/100))+(DK266*(30/100))+(DL266*(50/100))) &gt;=7.8),8,
IF(AND( SUM((DJ266*(20/100))+(DK266*(30/100))+(DL266*(50/100))) &lt;=7.8, SUM((DJ266*(20/100))+(DK266*(30/100))+(DL266*(50/100))) &gt;=7.3),7.5,
IF(AND( SUM((DJ266*(20/100))+(DK266*(30/100))+(DL266*(50/100))) &lt;=7.3, SUM((DJ266*(20/100))+(DK266*(30/100))+(DL266*(50/100))) &gt;=6.8),7,
IF(AND( SUM((DJ266*(20/100))+(DK266*(30/100))+(DL266*(50/100))) &lt;=6.8, SUM((DJ266*(20/100))+(DK266*(30/100))+(DL266*(50/100))) &gt;=6.3),6.5,
IF(AND( SUM((DJ266*(20/100))+(DK266*(30/100))+(DL266*(50/100))) &lt;=6.3, SUM((DJ266*(20/100))+(DK266*(30/100))+(DL266*(50/100))) &gt;=5.8),6,
IF(AND( SUM((DJ266*(20/100))+(DK266*(30/100))+(DL266*(50/100))) &lt;=5.8, SUM((DJ266*(20/100))+(DK266*(30/100))+(DL266*(50/100))) &gt;=5.3),5.5,
IF(AND( SUM((DJ266*(20/100))+(DK266*(30/100))+(DL266*(50/100))) &lt;=5.3, SUM((DJ266*(20/100))+(DK266*(30/100))+(DL266*(50/100))) &gt;=4.8),5,
IF(AND( SUM((DJ266*(20/100))+(DK266*(30/100))+(DL266*(50/100))) &lt;=4.8, SUM((DJ266*(20/100))+(DK266*(30/100))+(DL266*(50/100))) &gt;=4.3),4.5,
IF(AND( SUM((DJ266*(20/100))+(DK266*(30/100))+(DL266*(50/100))) &lt;=4.3, SUM((DJ266*(20/100))+(DK266*(30/100))+(DL266*(50/100))) &gt;=3.8),4,
IF(AND( SUM((DJ266*(20/100))+(DK266*(30/100))+(DL266*(50/100))) &lt;=3.8, SUM((DJ266*(20/100))+(DK266*(30/100))+(DL266*(50/100))) &gt;=3.5),3.5,0)))))))))))))</f>
        <v>0</v>
      </c>
      <c r="DQ266" s="541"/>
      <c r="DR266" s="541"/>
      <c r="DS266" s="541"/>
      <c r="DT266" s="541"/>
      <c r="DU266" s="541"/>
      <c r="DV266" s="541"/>
      <c r="DW266" s="541"/>
      <c r="DX266" s="541"/>
      <c r="DY266" s="541"/>
      <c r="DZ266" s="541"/>
    </row>
    <row r="267" spans="2:130" x14ac:dyDescent="0.25">
      <c r="B267" s="334">
        <v>10</v>
      </c>
      <c r="C267" s="541"/>
      <c r="D267" s="334"/>
      <c r="E267" s="334"/>
      <c r="F267" s="334"/>
      <c r="G267" s="334"/>
      <c r="H267" s="334"/>
      <c r="I267" s="334"/>
      <c r="J267" s="536"/>
      <c r="K267" s="536"/>
      <c r="L267" s="536"/>
      <c r="M267" s="536"/>
      <c r="N267" s="536"/>
      <c r="O267" s="536"/>
      <c r="P267" s="536">
        <f t="shared" si="101"/>
        <v>0</v>
      </c>
      <c r="Q267" s="536"/>
      <c r="R267" s="536"/>
      <c r="S267" s="536"/>
      <c r="T267" s="536">
        <f t="shared" si="102"/>
        <v>0</v>
      </c>
      <c r="U267" s="536"/>
      <c r="V267" s="536"/>
      <c r="W267" s="536"/>
      <c r="X267" s="536">
        <f t="shared" si="103"/>
        <v>0</v>
      </c>
      <c r="Y267" s="536"/>
      <c r="Z267" s="536"/>
      <c r="AA267" s="536"/>
      <c r="AB267" s="536">
        <f t="shared" si="104"/>
        <v>0</v>
      </c>
      <c r="AC267" s="536"/>
      <c r="AD267" s="536"/>
      <c r="AE267" s="536"/>
      <c r="AF267" s="536">
        <f t="shared" si="105"/>
        <v>0</v>
      </c>
      <c r="AG267" s="536"/>
      <c r="AH267" s="536"/>
      <c r="AI267" s="536"/>
      <c r="AJ267" s="536">
        <f t="shared" si="106"/>
        <v>0</v>
      </c>
      <c r="AK267" s="536"/>
      <c r="AL267" s="536"/>
      <c r="AM267" s="536"/>
      <c r="AN267" s="542">
        <f t="shared" si="107"/>
        <v>0</v>
      </c>
      <c r="AO267" s="536"/>
      <c r="AP267" s="536"/>
      <c r="AQ267" s="536"/>
      <c r="AR267" s="542">
        <f t="shared" si="108"/>
        <v>0</v>
      </c>
      <c r="AS267" s="536"/>
      <c r="AT267" s="536"/>
      <c r="AU267" s="536"/>
      <c r="AV267" s="542">
        <f t="shared" si="109"/>
        <v>0</v>
      </c>
      <c r="AW267" s="536"/>
      <c r="AX267" s="536"/>
      <c r="AY267" s="536"/>
      <c r="AZ267" s="542">
        <f t="shared" si="110"/>
        <v>0</v>
      </c>
      <c r="BA267" s="536"/>
      <c r="BB267" s="536"/>
      <c r="BC267" s="536"/>
      <c r="BD267" s="542">
        <f t="shared" si="111"/>
        <v>0</v>
      </c>
      <c r="BE267" s="536"/>
      <c r="BF267" s="536"/>
      <c r="BG267" s="536"/>
      <c r="BH267" s="542">
        <f t="shared" si="112"/>
        <v>0</v>
      </c>
      <c r="BI267" s="536"/>
      <c r="BJ267" s="536"/>
      <c r="BK267" s="536"/>
      <c r="BL267" s="542">
        <f t="shared" si="113"/>
        <v>0</v>
      </c>
      <c r="BM267" s="536"/>
      <c r="BN267" s="536"/>
      <c r="BO267" s="536"/>
      <c r="BP267" s="542">
        <f t="shared" si="114"/>
        <v>0</v>
      </c>
      <c r="BQ267" s="536"/>
      <c r="BR267" s="536"/>
      <c r="BS267" s="536"/>
      <c r="BT267" s="542">
        <f t="shared" si="115"/>
        <v>0</v>
      </c>
      <c r="BU267" s="536"/>
      <c r="BV267" s="536"/>
      <c r="BW267" s="536"/>
      <c r="BX267" s="542">
        <f t="shared" si="116"/>
        <v>0</v>
      </c>
      <c r="BY267" s="536"/>
      <c r="BZ267" s="536"/>
      <c r="CA267" s="536"/>
      <c r="CB267" s="542">
        <v>0</v>
      </c>
      <c r="CC267" s="536"/>
      <c r="CD267" s="536"/>
      <c r="CE267" s="536"/>
      <c r="CF267" s="541">
        <f t="shared" si="117"/>
        <v>0</v>
      </c>
      <c r="CG267" s="536"/>
      <c r="CH267" s="536"/>
      <c r="CI267" s="536"/>
      <c r="CJ267" s="541">
        <f t="shared" si="118"/>
        <v>0</v>
      </c>
      <c r="CK267" s="536"/>
      <c r="CL267" s="536"/>
      <c r="CM267" s="536"/>
      <c r="CN267" s="541">
        <f t="shared" si="119"/>
        <v>0</v>
      </c>
      <c r="CO267" s="536"/>
      <c r="CP267" s="536"/>
      <c r="CQ267" s="536"/>
      <c r="CR267" s="541">
        <f t="shared" si="120"/>
        <v>0</v>
      </c>
      <c r="CS267" s="536"/>
      <c r="CT267" s="536"/>
      <c r="CU267" s="536"/>
      <c r="CV267" s="541">
        <f t="shared" si="121"/>
        <v>0</v>
      </c>
      <c r="CW267" s="536"/>
      <c r="CX267" s="536"/>
      <c r="CY267" s="536"/>
      <c r="CZ267" s="541">
        <f t="shared" si="122"/>
        <v>0</v>
      </c>
      <c r="DA267" s="536"/>
      <c r="DB267" s="536"/>
      <c r="DC267" s="536"/>
      <c r="DD267" s="541">
        <f t="shared" si="123"/>
        <v>0</v>
      </c>
      <c r="DE267" s="536"/>
      <c r="DF267" s="536"/>
      <c r="DG267" s="536"/>
      <c r="DH267" s="541">
        <f t="shared" si="124"/>
        <v>0</v>
      </c>
      <c r="DI267" s="536"/>
      <c r="DJ267" s="536"/>
      <c r="DK267" s="536"/>
      <c r="DL267" s="541">
        <f t="shared" si="125"/>
        <v>0</v>
      </c>
      <c r="DM267" s="536"/>
      <c r="DN267" s="536"/>
      <c r="DO267" s="536"/>
      <c r="DP267" s="541">
        <f>IF( SUM((DJ267*(20/100))+(DK267*(30/100))+(DL267*(50/100))) &gt;=9.3,9.5,
IF(AND( SUM((DJ267*(20/100))+(DK267*(30/100))+(DL267*(50/100))) &lt;=9.3, SUM((DJ267*(20/100))+(DK267*(30/100))+(DL267*(50/100))) &gt;=8.8),9,
IF(AND( SUM((DJ267*(20/100))+(DK267*(30/100))+(DL267*(50/100))) &lt;=8.8, SUM((DJ267*(20/100))+(DK267*(30/100))+(DL267*(50/100))) &gt;=8.3),8.5,
IF(AND( SUM((DJ267*(20/100))+(DK267*(30/100))+(DL267*(50/100))) &lt;=8.3, SUM((DJ267*(20/100))+(DK267*(30/100))+(DL267*(50/100))) &gt;=7.8),8,
IF(AND( SUM((DJ267*(20/100))+(DK267*(30/100))+(DL267*(50/100))) &lt;=7.8, SUM((DJ267*(20/100))+(DK267*(30/100))+(DL267*(50/100))) &gt;=7.3),7.5,
IF(AND( SUM((DJ267*(20/100))+(DK267*(30/100))+(DL267*(50/100))) &lt;=7.3, SUM((DJ267*(20/100))+(DK267*(30/100))+(DL267*(50/100))) &gt;=6.8),7,
IF(AND( SUM((DJ267*(20/100))+(DK267*(30/100))+(DL267*(50/100))) &lt;=6.8, SUM((DJ267*(20/100))+(DK267*(30/100))+(DL267*(50/100))) &gt;=6.3),6.5,
IF(AND( SUM((DJ267*(20/100))+(DK267*(30/100))+(DL267*(50/100))) &lt;=6.3, SUM((DJ267*(20/100))+(DK267*(30/100))+(DL267*(50/100))) &gt;=5.8),6,
IF(AND( SUM((DJ267*(20/100))+(DK267*(30/100))+(DL267*(50/100))) &lt;=5.8, SUM((DJ267*(20/100))+(DK267*(30/100))+(DL267*(50/100))) &gt;=5.3),5.5,
IF(AND( SUM((DJ267*(20/100))+(DK267*(30/100))+(DL267*(50/100))) &lt;=5.3, SUM((DJ267*(20/100))+(DK267*(30/100))+(DL267*(50/100))) &gt;=4.8),5,
IF(AND( SUM((DJ267*(20/100))+(DK267*(30/100))+(DL267*(50/100))) &lt;=4.8, SUM((DJ267*(20/100))+(DK267*(30/100))+(DL267*(50/100))) &gt;=4.3),4.5,
IF(AND( SUM((DJ267*(20/100))+(DK267*(30/100))+(DL267*(50/100))) &lt;=4.3, SUM((DJ267*(20/100))+(DK267*(30/100))+(DL267*(50/100))) &gt;=3.8),4,
IF(AND( SUM((DJ267*(20/100))+(DK267*(30/100))+(DL267*(50/100))) &lt;=3.8, SUM((DJ267*(20/100))+(DK267*(30/100))+(DL267*(50/100))) &gt;=3.5),3.5,0)))))))))))))</f>
        <v>0</v>
      </c>
      <c r="DQ267" s="541"/>
      <c r="DR267" s="541"/>
      <c r="DS267" s="541"/>
      <c r="DT267" s="541"/>
      <c r="DU267" s="541"/>
      <c r="DV267" s="541"/>
      <c r="DW267" s="541"/>
      <c r="DX267" s="541"/>
      <c r="DY267" s="541"/>
      <c r="DZ267" s="541"/>
    </row>
    <row r="268" spans="2:130" x14ac:dyDescent="0.25">
      <c r="B268" s="334">
        <v>11</v>
      </c>
      <c r="C268" s="541"/>
      <c r="D268" s="334"/>
      <c r="E268" s="334"/>
      <c r="F268" s="334"/>
      <c r="G268" s="334"/>
      <c r="H268" s="334"/>
      <c r="I268" s="334"/>
      <c r="J268" s="536"/>
      <c r="K268" s="536"/>
      <c r="L268" s="536"/>
      <c r="M268" s="536"/>
      <c r="N268" s="536"/>
      <c r="O268" s="536"/>
      <c r="P268" s="536">
        <f t="shared" si="101"/>
        <v>0</v>
      </c>
      <c r="Q268" s="536"/>
      <c r="R268" s="536"/>
      <c r="S268" s="536"/>
      <c r="T268" s="536">
        <f t="shared" si="102"/>
        <v>0</v>
      </c>
      <c r="U268" s="536"/>
      <c r="V268" s="536"/>
      <c r="W268" s="536"/>
      <c r="X268" s="536">
        <f t="shared" si="103"/>
        <v>0</v>
      </c>
      <c r="Y268" s="536"/>
      <c r="Z268" s="536"/>
      <c r="AA268" s="536"/>
      <c r="AB268" s="536">
        <f t="shared" si="104"/>
        <v>0</v>
      </c>
      <c r="AC268" s="536"/>
      <c r="AD268" s="536"/>
      <c r="AE268" s="536"/>
      <c r="AF268" s="536">
        <f t="shared" si="105"/>
        <v>0</v>
      </c>
      <c r="AG268" s="536"/>
      <c r="AH268" s="536"/>
      <c r="AI268" s="536"/>
      <c r="AJ268" s="536">
        <f t="shared" si="106"/>
        <v>0</v>
      </c>
      <c r="AK268" s="536"/>
      <c r="AL268" s="536"/>
      <c r="AM268" s="536"/>
      <c r="AN268" s="542">
        <f t="shared" si="107"/>
        <v>0</v>
      </c>
      <c r="AO268" s="536"/>
      <c r="AP268" s="536"/>
      <c r="AQ268" s="536"/>
      <c r="AR268" s="542">
        <f t="shared" si="108"/>
        <v>0</v>
      </c>
      <c r="AS268" s="536"/>
      <c r="AT268" s="536"/>
      <c r="AU268" s="536"/>
      <c r="AV268" s="542">
        <f t="shared" si="109"/>
        <v>0</v>
      </c>
      <c r="AW268" s="536"/>
      <c r="AX268" s="536"/>
      <c r="AY268" s="536"/>
      <c r="AZ268" s="542">
        <f t="shared" si="110"/>
        <v>0</v>
      </c>
      <c r="BA268" s="536"/>
      <c r="BB268" s="536"/>
      <c r="BC268" s="536"/>
      <c r="BD268" s="542">
        <f t="shared" si="111"/>
        <v>0</v>
      </c>
      <c r="BE268" s="536"/>
      <c r="BF268" s="536"/>
      <c r="BG268" s="536"/>
      <c r="BH268" s="542">
        <f t="shared" si="112"/>
        <v>0</v>
      </c>
      <c r="BI268" s="536"/>
      <c r="BJ268" s="536"/>
      <c r="BK268" s="536"/>
      <c r="BL268" s="542">
        <f t="shared" si="113"/>
        <v>0</v>
      </c>
      <c r="BM268" s="536"/>
      <c r="BN268" s="536"/>
      <c r="BO268" s="536"/>
      <c r="BP268" s="542">
        <f t="shared" si="114"/>
        <v>0</v>
      </c>
      <c r="BQ268" s="536"/>
      <c r="BR268" s="536"/>
      <c r="BS268" s="536"/>
      <c r="BT268" s="542">
        <f t="shared" si="115"/>
        <v>0</v>
      </c>
      <c r="BU268" s="536"/>
      <c r="BV268" s="536"/>
      <c r="BW268" s="536"/>
      <c r="BX268" s="542">
        <f t="shared" si="116"/>
        <v>0</v>
      </c>
      <c r="BY268" s="536"/>
      <c r="BZ268" s="536"/>
      <c r="CA268" s="536"/>
      <c r="CB268" s="542">
        <v>0</v>
      </c>
      <c r="CC268" s="536"/>
      <c r="CD268" s="536"/>
      <c r="CE268" s="536"/>
      <c r="CF268" s="541">
        <f t="shared" si="117"/>
        <v>0</v>
      </c>
      <c r="CG268" s="536"/>
      <c r="CH268" s="536"/>
      <c r="CI268" s="536"/>
      <c r="CJ268" s="541">
        <f t="shared" si="118"/>
        <v>0</v>
      </c>
      <c r="CK268" s="536"/>
      <c r="CL268" s="536"/>
      <c r="CM268" s="536"/>
      <c r="CN268" s="541">
        <f t="shared" si="119"/>
        <v>0</v>
      </c>
      <c r="CO268" s="536"/>
      <c r="CP268" s="536"/>
      <c r="CQ268" s="536"/>
      <c r="CR268" s="541">
        <f t="shared" si="120"/>
        <v>0</v>
      </c>
      <c r="CS268" s="536"/>
      <c r="CT268" s="536"/>
      <c r="CU268" s="536"/>
      <c r="CV268" s="541">
        <f t="shared" si="121"/>
        <v>0</v>
      </c>
      <c r="CW268" s="536"/>
      <c r="CX268" s="536"/>
      <c r="CY268" s="536"/>
      <c r="CZ268" s="541">
        <f t="shared" si="122"/>
        <v>0</v>
      </c>
      <c r="DA268" s="536"/>
      <c r="DB268" s="536"/>
      <c r="DC268" s="536"/>
      <c r="DD268" s="541">
        <f t="shared" si="123"/>
        <v>0</v>
      </c>
      <c r="DE268" s="536"/>
      <c r="DF268" s="536"/>
      <c r="DG268" s="536"/>
      <c r="DH268" s="541">
        <f t="shared" si="124"/>
        <v>0</v>
      </c>
      <c r="DI268" s="536"/>
      <c r="DJ268" s="536"/>
      <c r="DK268" s="536"/>
      <c r="DL268" s="541">
        <f t="shared" si="125"/>
        <v>0</v>
      </c>
      <c r="DM268" s="536"/>
      <c r="DN268" s="536"/>
      <c r="DO268" s="536"/>
      <c r="DP268" s="541">
        <f>IF( SUM((DJ268*(20/100))+(DK268*(30/100))+(DL268*(50/100))) &gt;=9.3,9.5,
IF(AND( SUM((DJ268*(20/100))+(DK268*(30/100))+(DL268*(50/100))) &lt;=9.3, SUM((DJ268*(20/100))+(DK268*(30/100))+(DL268*(50/100))) &gt;=8.8),9,
IF(AND( SUM((DJ268*(20/100))+(DK268*(30/100))+(DL268*(50/100))) &lt;=8.8, SUM((DJ268*(20/100))+(DK268*(30/100))+(DL268*(50/100))) &gt;=8.3),8.5,
IF(AND( SUM((DJ268*(20/100))+(DK268*(30/100))+(DL268*(50/100))) &lt;=8.3, SUM((DJ268*(20/100))+(DK268*(30/100))+(DL268*(50/100))) &gt;=7.8),8,
IF(AND( SUM((DJ268*(20/100))+(DK268*(30/100))+(DL268*(50/100))) &lt;=7.8, SUM((DJ268*(20/100))+(DK268*(30/100))+(DL268*(50/100))) &gt;=7.3),7.5,
IF(AND( SUM((DJ268*(20/100))+(DK268*(30/100))+(DL268*(50/100))) &lt;=7.3, SUM((DJ268*(20/100))+(DK268*(30/100))+(DL268*(50/100))) &gt;=6.8),7,
IF(AND( SUM((DJ268*(20/100))+(DK268*(30/100))+(DL268*(50/100))) &lt;=6.8, SUM((DJ268*(20/100))+(DK268*(30/100))+(DL268*(50/100))) &gt;=6.3),6.5,
IF(AND( SUM((DJ268*(20/100))+(DK268*(30/100))+(DL268*(50/100))) &lt;=6.3, SUM((DJ268*(20/100))+(DK268*(30/100))+(DL268*(50/100))) &gt;=5.8),6,
IF(AND( SUM((DJ268*(20/100))+(DK268*(30/100))+(DL268*(50/100))) &lt;=5.8, SUM((DJ268*(20/100))+(DK268*(30/100))+(DL268*(50/100))) &gt;=5.3),5.5,
IF(AND( SUM((DJ268*(20/100))+(DK268*(30/100))+(DL268*(50/100))) &lt;=5.3, SUM((DJ268*(20/100))+(DK268*(30/100))+(DL268*(50/100))) &gt;=4.8),5,
IF(AND( SUM((DJ268*(20/100))+(DK268*(30/100))+(DL268*(50/100))) &lt;=4.8, SUM((DJ268*(20/100))+(DK268*(30/100))+(DL268*(50/100))) &gt;=4.3),4.5,
IF(AND( SUM((DJ268*(20/100))+(DK268*(30/100))+(DL268*(50/100))) &lt;=4.3, SUM((DJ268*(20/100))+(DK268*(30/100))+(DL268*(50/100))) &gt;=3.8),4,
IF(AND( SUM((DJ268*(20/100))+(DK268*(30/100))+(DL268*(50/100))) &lt;=3.8, SUM((DJ268*(20/100))+(DK268*(30/100))+(DL268*(50/100))) &gt;=3.5),3.5,0)))))))))))))</f>
        <v>0</v>
      </c>
      <c r="DQ268" s="541"/>
      <c r="DR268" s="541"/>
      <c r="DS268" s="541"/>
      <c r="DT268" s="541"/>
      <c r="DU268" s="541"/>
      <c r="DV268" s="541"/>
      <c r="DW268" s="541"/>
      <c r="DX268" s="541"/>
      <c r="DY268" s="541"/>
      <c r="DZ268" s="541"/>
    </row>
    <row r="269" spans="2:130" x14ac:dyDescent="0.25">
      <c r="B269" s="334">
        <v>12</v>
      </c>
      <c r="C269" s="541"/>
      <c r="D269" s="334"/>
      <c r="E269" s="334"/>
      <c r="F269" s="334"/>
      <c r="G269" s="334"/>
      <c r="H269" s="334"/>
      <c r="I269" s="334"/>
      <c r="J269" s="536"/>
      <c r="K269" s="536"/>
      <c r="L269" s="536"/>
      <c r="M269" s="536"/>
      <c r="N269" s="536"/>
      <c r="O269" s="536"/>
      <c r="P269" s="536">
        <f t="shared" si="101"/>
        <v>0</v>
      </c>
      <c r="Q269" s="536"/>
      <c r="R269" s="536"/>
      <c r="S269" s="536"/>
      <c r="T269" s="536">
        <f t="shared" si="102"/>
        <v>0</v>
      </c>
      <c r="U269" s="536"/>
      <c r="V269" s="536"/>
      <c r="W269" s="536"/>
      <c r="X269" s="536">
        <f t="shared" si="103"/>
        <v>0</v>
      </c>
      <c r="Y269" s="536"/>
      <c r="Z269" s="536"/>
      <c r="AA269" s="536"/>
      <c r="AB269" s="536">
        <f t="shared" si="104"/>
        <v>0</v>
      </c>
      <c r="AC269" s="536"/>
      <c r="AD269" s="536"/>
      <c r="AE269" s="536"/>
      <c r="AF269" s="536">
        <f t="shared" si="105"/>
        <v>0</v>
      </c>
      <c r="AG269" s="536"/>
      <c r="AH269" s="536"/>
      <c r="AI269" s="536"/>
      <c r="AJ269" s="536">
        <f t="shared" si="106"/>
        <v>0</v>
      </c>
      <c r="AK269" s="536"/>
      <c r="AL269" s="536"/>
      <c r="AM269" s="536"/>
      <c r="AN269" s="542">
        <f t="shared" si="107"/>
        <v>0</v>
      </c>
      <c r="AO269" s="536"/>
      <c r="AP269" s="536"/>
      <c r="AQ269" s="536"/>
      <c r="AR269" s="542">
        <f t="shared" si="108"/>
        <v>0</v>
      </c>
      <c r="AS269" s="536"/>
      <c r="AT269" s="536"/>
      <c r="AU269" s="536"/>
      <c r="AV269" s="542">
        <f t="shared" si="109"/>
        <v>0</v>
      </c>
      <c r="AW269" s="536"/>
      <c r="AX269" s="536"/>
      <c r="AY269" s="536"/>
      <c r="AZ269" s="542">
        <f t="shared" si="110"/>
        <v>0</v>
      </c>
      <c r="BA269" s="536"/>
      <c r="BB269" s="536"/>
      <c r="BC269" s="536"/>
      <c r="BD269" s="542">
        <f t="shared" si="111"/>
        <v>0</v>
      </c>
      <c r="BE269" s="536"/>
      <c r="BF269" s="536"/>
      <c r="BG269" s="536"/>
      <c r="BH269" s="542">
        <f t="shared" si="112"/>
        <v>0</v>
      </c>
      <c r="BI269" s="536"/>
      <c r="BJ269" s="536"/>
      <c r="BK269" s="536"/>
      <c r="BL269" s="542">
        <f t="shared" si="113"/>
        <v>0</v>
      </c>
      <c r="BM269" s="536"/>
      <c r="BN269" s="536"/>
      <c r="BO269" s="536"/>
      <c r="BP269" s="542">
        <f t="shared" si="114"/>
        <v>0</v>
      </c>
      <c r="BQ269" s="536"/>
      <c r="BR269" s="536"/>
      <c r="BS269" s="536"/>
      <c r="BT269" s="542">
        <f t="shared" si="115"/>
        <v>0</v>
      </c>
      <c r="BU269" s="536"/>
      <c r="BV269" s="536"/>
      <c r="BW269" s="536"/>
      <c r="BX269" s="542">
        <f t="shared" si="116"/>
        <v>0</v>
      </c>
      <c r="BY269" s="536"/>
      <c r="BZ269" s="536"/>
      <c r="CA269" s="536"/>
      <c r="CB269" s="542">
        <v>0</v>
      </c>
      <c r="CC269" s="536"/>
      <c r="CD269" s="536"/>
      <c r="CE269" s="536"/>
      <c r="CF269" s="541">
        <f t="shared" si="117"/>
        <v>0</v>
      </c>
      <c r="CG269" s="536"/>
      <c r="CH269" s="536"/>
      <c r="CI269" s="536"/>
      <c r="CJ269" s="541">
        <f t="shared" si="118"/>
        <v>0</v>
      </c>
      <c r="CK269" s="536"/>
      <c r="CL269" s="536"/>
      <c r="CM269" s="536"/>
      <c r="CN269" s="541">
        <f t="shared" si="119"/>
        <v>0</v>
      </c>
      <c r="CO269" s="536"/>
      <c r="CP269" s="536"/>
      <c r="CQ269" s="536"/>
      <c r="CR269" s="541">
        <f t="shared" si="120"/>
        <v>0</v>
      </c>
      <c r="CS269" s="536"/>
      <c r="CT269" s="536"/>
      <c r="CU269" s="536"/>
      <c r="CV269" s="541">
        <f t="shared" si="121"/>
        <v>0</v>
      </c>
      <c r="CW269" s="536"/>
      <c r="CX269" s="536"/>
      <c r="CY269" s="536"/>
      <c r="CZ269" s="541">
        <f t="shared" si="122"/>
        <v>0</v>
      </c>
      <c r="DA269" s="536"/>
      <c r="DB269" s="536"/>
      <c r="DC269" s="536"/>
      <c r="DD269" s="541">
        <f t="shared" si="123"/>
        <v>0</v>
      </c>
      <c r="DE269" s="536"/>
      <c r="DF269" s="536"/>
      <c r="DG269" s="536"/>
      <c r="DH269" s="541">
        <f t="shared" si="124"/>
        <v>0</v>
      </c>
      <c r="DI269" s="536"/>
      <c r="DJ269" s="536"/>
      <c r="DK269" s="536"/>
      <c r="DL269" s="541">
        <f t="shared" si="125"/>
        <v>0</v>
      </c>
      <c r="DM269" s="536"/>
      <c r="DN269" s="536"/>
      <c r="DO269" s="536"/>
      <c r="DP269" s="541">
        <f>IF( SUM((DJ269*(20/100))+(DK269*(30/100))+(DL269*(50/100))) &gt;=9.3,9.5,
IF(AND( SUM((DJ269*(20/100))+(DK269*(30/100))+(DL269*(50/100))) &lt;=9.3, SUM((DJ269*(20/100))+(DK269*(30/100))+(DL269*(50/100))) &gt;=8.8),9,
IF(AND( SUM((DJ269*(20/100))+(DK269*(30/100))+(DL269*(50/100))) &lt;=8.8, SUM((DJ269*(20/100))+(DK269*(30/100))+(DL269*(50/100))) &gt;=8.3),8.5,
IF(AND( SUM((DJ269*(20/100))+(DK269*(30/100))+(DL269*(50/100))) &lt;=8.3, SUM((DJ269*(20/100))+(DK269*(30/100))+(DL269*(50/100))) &gt;=7.8),8,
IF(AND( SUM((DJ269*(20/100))+(DK269*(30/100))+(DL269*(50/100))) &lt;=7.8, SUM((DJ269*(20/100))+(DK269*(30/100))+(DL269*(50/100))) &gt;=7.3),7.5,
IF(AND( SUM((DJ269*(20/100))+(DK269*(30/100))+(DL269*(50/100))) &lt;=7.3, SUM((DJ269*(20/100))+(DK269*(30/100))+(DL269*(50/100))) &gt;=6.8),7,
IF(AND( SUM((DJ269*(20/100))+(DK269*(30/100))+(DL269*(50/100))) &lt;=6.8, SUM((DJ269*(20/100))+(DK269*(30/100))+(DL269*(50/100))) &gt;=6.3),6.5,
IF(AND( SUM((DJ269*(20/100))+(DK269*(30/100))+(DL269*(50/100))) &lt;=6.3, SUM((DJ269*(20/100))+(DK269*(30/100))+(DL269*(50/100))) &gt;=5.8),6,
IF(AND( SUM((DJ269*(20/100))+(DK269*(30/100))+(DL269*(50/100))) &lt;=5.8, SUM((DJ269*(20/100))+(DK269*(30/100))+(DL269*(50/100))) &gt;=5.3),5.5,
IF(AND( SUM((DJ269*(20/100))+(DK269*(30/100))+(DL269*(50/100))) &lt;=5.3, SUM((DJ269*(20/100))+(DK269*(30/100))+(DL269*(50/100))) &gt;=4.8),5,
IF(AND( SUM((DJ269*(20/100))+(DK269*(30/100))+(DL269*(50/100))) &lt;=4.8, SUM((DJ269*(20/100))+(DK269*(30/100))+(DL269*(50/100))) &gt;=4.3),4.5,
IF(AND( SUM((DJ269*(20/100))+(DK269*(30/100))+(DL269*(50/100))) &lt;=4.3, SUM((DJ269*(20/100))+(DK269*(30/100))+(DL269*(50/100))) &gt;=3.8),4,
IF(AND( SUM((DJ269*(20/100))+(DK269*(30/100))+(DL269*(50/100))) &lt;=3.8, SUM((DJ269*(20/100))+(DK269*(30/100))+(DL269*(50/100))) &gt;=3.5),3.5,0)))))))))))))</f>
        <v>0</v>
      </c>
      <c r="DQ269" s="541"/>
      <c r="DR269" s="541"/>
      <c r="DS269" s="541"/>
      <c r="DT269" s="541"/>
      <c r="DU269" s="541"/>
      <c r="DV269" s="541"/>
      <c r="DW269" s="541"/>
      <c r="DX269" s="541"/>
      <c r="DY269" s="541"/>
      <c r="DZ269" s="541"/>
    </row>
    <row r="270" spans="2:130" x14ac:dyDescent="0.25">
      <c r="B270" s="334">
        <v>13</v>
      </c>
      <c r="C270" s="541"/>
      <c r="D270" s="334"/>
      <c r="E270" s="334"/>
      <c r="F270" s="334"/>
      <c r="G270" s="334"/>
      <c r="H270" s="334"/>
      <c r="I270" s="334"/>
      <c r="J270" s="536"/>
      <c r="K270" s="536"/>
      <c r="L270" s="536"/>
      <c r="M270" s="536"/>
      <c r="N270" s="536"/>
      <c r="O270" s="536"/>
      <c r="P270" s="536">
        <f t="shared" si="101"/>
        <v>0</v>
      </c>
      <c r="Q270" s="536"/>
      <c r="R270" s="536"/>
      <c r="S270" s="536"/>
      <c r="T270" s="536">
        <f t="shared" si="102"/>
        <v>0</v>
      </c>
      <c r="U270" s="536"/>
      <c r="V270" s="536"/>
      <c r="W270" s="536"/>
      <c r="X270" s="536">
        <f t="shared" si="103"/>
        <v>0</v>
      </c>
      <c r="Y270" s="536"/>
      <c r="Z270" s="536"/>
      <c r="AA270" s="536"/>
      <c r="AB270" s="536">
        <f t="shared" si="104"/>
        <v>0</v>
      </c>
      <c r="AC270" s="536"/>
      <c r="AD270" s="536"/>
      <c r="AE270" s="536"/>
      <c r="AF270" s="536">
        <f t="shared" si="105"/>
        <v>0</v>
      </c>
      <c r="AG270" s="536"/>
      <c r="AH270" s="536"/>
      <c r="AI270" s="536"/>
      <c r="AJ270" s="536">
        <f t="shared" si="106"/>
        <v>0</v>
      </c>
      <c r="AK270" s="536"/>
      <c r="AL270" s="536"/>
      <c r="AM270" s="536"/>
      <c r="AN270" s="542">
        <f t="shared" si="107"/>
        <v>0</v>
      </c>
      <c r="AO270" s="536"/>
      <c r="AP270" s="536"/>
      <c r="AQ270" s="536"/>
      <c r="AR270" s="542">
        <f t="shared" si="108"/>
        <v>0</v>
      </c>
      <c r="AS270" s="536"/>
      <c r="AT270" s="536"/>
      <c r="AU270" s="536"/>
      <c r="AV270" s="542">
        <f t="shared" si="109"/>
        <v>0</v>
      </c>
      <c r="AW270" s="536"/>
      <c r="AX270" s="536"/>
      <c r="AY270" s="536"/>
      <c r="AZ270" s="542">
        <f t="shared" si="110"/>
        <v>0</v>
      </c>
      <c r="BA270" s="536"/>
      <c r="BB270" s="536"/>
      <c r="BC270" s="536"/>
      <c r="BD270" s="542">
        <f t="shared" si="111"/>
        <v>0</v>
      </c>
      <c r="BE270" s="536"/>
      <c r="BF270" s="536"/>
      <c r="BG270" s="536"/>
      <c r="BH270" s="542">
        <f t="shared" si="112"/>
        <v>0</v>
      </c>
      <c r="BI270" s="536"/>
      <c r="BJ270" s="536"/>
      <c r="BK270" s="536"/>
      <c r="BL270" s="542">
        <f t="shared" si="113"/>
        <v>0</v>
      </c>
      <c r="BM270" s="536"/>
      <c r="BN270" s="536"/>
      <c r="BO270" s="536"/>
      <c r="BP270" s="542">
        <f t="shared" si="114"/>
        <v>0</v>
      </c>
      <c r="BQ270" s="536"/>
      <c r="BR270" s="536"/>
      <c r="BS270" s="536"/>
      <c r="BT270" s="542">
        <f t="shared" si="115"/>
        <v>0</v>
      </c>
      <c r="BU270" s="536"/>
      <c r="BV270" s="536"/>
      <c r="BW270" s="536"/>
      <c r="BX270" s="542">
        <f t="shared" si="116"/>
        <v>0</v>
      </c>
      <c r="BY270" s="536"/>
      <c r="BZ270" s="536"/>
      <c r="CA270" s="536"/>
      <c r="CB270" s="542">
        <v>0</v>
      </c>
      <c r="CC270" s="536"/>
      <c r="CD270" s="536"/>
      <c r="CE270" s="536"/>
      <c r="CF270" s="541">
        <f t="shared" si="117"/>
        <v>0</v>
      </c>
      <c r="CG270" s="536"/>
      <c r="CH270" s="536"/>
      <c r="CI270" s="536"/>
      <c r="CJ270" s="541">
        <f t="shared" si="118"/>
        <v>0</v>
      </c>
      <c r="CK270" s="536"/>
      <c r="CL270" s="536"/>
      <c r="CM270" s="536"/>
      <c r="CN270" s="541">
        <f t="shared" si="119"/>
        <v>0</v>
      </c>
      <c r="CO270" s="536"/>
      <c r="CP270" s="536"/>
      <c r="CQ270" s="536"/>
      <c r="CR270" s="541">
        <f t="shared" si="120"/>
        <v>0</v>
      </c>
      <c r="CS270" s="536"/>
      <c r="CT270" s="536"/>
      <c r="CU270" s="536"/>
      <c r="CV270" s="541">
        <f t="shared" si="121"/>
        <v>0</v>
      </c>
      <c r="CW270" s="536"/>
      <c r="CX270" s="536"/>
      <c r="CY270" s="536"/>
      <c r="CZ270" s="541">
        <f t="shared" si="122"/>
        <v>0</v>
      </c>
      <c r="DA270" s="536"/>
      <c r="DB270" s="536"/>
      <c r="DC270" s="536"/>
      <c r="DD270" s="541">
        <f t="shared" si="123"/>
        <v>0</v>
      </c>
      <c r="DE270" s="536"/>
      <c r="DF270" s="536"/>
      <c r="DG270" s="536"/>
      <c r="DH270" s="541">
        <f t="shared" si="124"/>
        <v>0</v>
      </c>
      <c r="DI270" s="536"/>
      <c r="DJ270" s="536"/>
      <c r="DK270" s="536"/>
      <c r="DL270" s="541">
        <f t="shared" si="125"/>
        <v>0</v>
      </c>
      <c r="DM270" s="536"/>
      <c r="DN270" s="536"/>
      <c r="DO270" s="536"/>
      <c r="DP270" s="541">
        <f>IF( SUM((DJ270*(20/100))+(DK270*(30/100))+(DL270*(50/100))) &gt;=9.3,9.5,
IF(AND( SUM((DJ270*(20/100))+(DK270*(30/100))+(DL270*(50/100))) &lt;=9.3, SUM((DJ270*(20/100))+(DK270*(30/100))+(DL270*(50/100))) &gt;=8.8),9,
IF(AND( SUM((DJ270*(20/100))+(DK270*(30/100))+(DL270*(50/100))) &lt;=8.8, SUM((DJ270*(20/100))+(DK270*(30/100))+(DL270*(50/100))) &gt;=8.3),8.5,
IF(AND( SUM((DJ270*(20/100))+(DK270*(30/100))+(DL270*(50/100))) &lt;=8.3, SUM((DJ270*(20/100))+(DK270*(30/100))+(DL270*(50/100))) &gt;=7.8),8,
IF(AND( SUM((DJ270*(20/100))+(DK270*(30/100))+(DL270*(50/100))) &lt;=7.8, SUM((DJ270*(20/100))+(DK270*(30/100))+(DL270*(50/100))) &gt;=7.3),7.5,
IF(AND( SUM((DJ270*(20/100))+(DK270*(30/100))+(DL270*(50/100))) &lt;=7.3, SUM((DJ270*(20/100))+(DK270*(30/100))+(DL270*(50/100))) &gt;=6.8),7,
IF(AND( SUM((DJ270*(20/100))+(DK270*(30/100))+(DL270*(50/100))) &lt;=6.8, SUM((DJ270*(20/100))+(DK270*(30/100))+(DL270*(50/100))) &gt;=6.3),6.5,
IF(AND( SUM((DJ270*(20/100))+(DK270*(30/100))+(DL270*(50/100))) &lt;=6.3, SUM((DJ270*(20/100))+(DK270*(30/100))+(DL270*(50/100))) &gt;=5.8),6,
IF(AND( SUM((DJ270*(20/100))+(DK270*(30/100))+(DL270*(50/100))) &lt;=5.8, SUM((DJ270*(20/100))+(DK270*(30/100))+(DL270*(50/100))) &gt;=5.3),5.5,
IF(AND( SUM((DJ270*(20/100))+(DK270*(30/100))+(DL270*(50/100))) &lt;=5.3, SUM((DJ270*(20/100))+(DK270*(30/100))+(DL270*(50/100))) &gt;=4.8),5,
IF(AND( SUM((DJ270*(20/100))+(DK270*(30/100))+(DL270*(50/100))) &lt;=4.8, SUM((DJ270*(20/100))+(DK270*(30/100))+(DL270*(50/100))) &gt;=4.3),4.5,
IF(AND( SUM((DJ270*(20/100))+(DK270*(30/100))+(DL270*(50/100))) &lt;=4.3, SUM((DJ270*(20/100))+(DK270*(30/100))+(DL270*(50/100))) &gt;=3.8),4,
IF(AND( SUM((DJ270*(20/100))+(DK270*(30/100))+(DL270*(50/100))) &lt;=3.8, SUM((DJ270*(20/100))+(DK270*(30/100))+(DL270*(50/100))) &gt;=3.5),3.5,0)))))))))))))</f>
        <v>0</v>
      </c>
      <c r="DQ270" s="541"/>
      <c r="DR270" s="541"/>
      <c r="DS270" s="541"/>
      <c r="DT270" s="541"/>
      <c r="DU270" s="541"/>
      <c r="DV270" s="541"/>
      <c r="DW270" s="541"/>
      <c r="DX270" s="541"/>
      <c r="DY270" s="541"/>
      <c r="DZ270" s="541"/>
    </row>
    <row r="271" spans="2:130" x14ac:dyDescent="0.25">
      <c r="B271" s="334">
        <v>14</v>
      </c>
      <c r="C271" s="541"/>
      <c r="D271" s="334"/>
      <c r="E271" s="334"/>
      <c r="F271" s="334"/>
      <c r="G271" s="334"/>
      <c r="H271" s="334"/>
      <c r="I271" s="334"/>
      <c r="J271" s="536"/>
      <c r="K271" s="536"/>
      <c r="L271" s="536"/>
      <c r="M271" s="536"/>
      <c r="N271" s="536"/>
      <c r="O271" s="536"/>
      <c r="P271" s="536">
        <f t="shared" si="101"/>
        <v>0</v>
      </c>
      <c r="Q271" s="536"/>
      <c r="R271" s="536"/>
      <c r="S271" s="536"/>
      <c r="T271" s="536">
        <f t="shared" si="102"/>
        <v>0</v>
      </c>
      <c r="U271" s="536"/>
      <c r="V271" s="536"/>
      <c r="W271" s="536"/>
      <c r="X271" s="536">
        <f t="shared" si="103"/>
        <v>0</v>
      </c>
      <c r="Y271" s="536"/>
      <c r="Z271" s="536"/>
      <c r="AA271" s="536"/>
      <c r="AB271" s="536">
        <f t="shared" si="104"/>
        <v>0</v>
      </c>
      <c r="AC271" s="536"/>
      <c r="AD271" s="536"/>
      <c r="AE271" s="536"/>
      <c r="AF271" s="536">
        <f t="shared" si="105"/>
        <v>0</v>
      </c>
      <c r="AG271" s="536"/>
      <c r="AH271" s="536"/>
      <c r="AI271" s="536"/>
      <c r="AJ271" s="536">
        <f t="shared" si="106"/>
        <v>0</v>
      </c>
      <c r="AK271" s="536"/>
      <c r="AL271" s="536"/>
      <c r="AM271" s="536"/>
      <c r="AN271" s="542">
        <f t="shared" si="107"/>
        <v>0</v>
      </c>
      <c r="AO271" s="536"/>
      <c r="AP271" s="536"/>
      <c r="AQ271" s="536"/>
      <c r="AR271" s="542">
        <f t="shared" si="108"/>
        <v>0</v>
      </c>
      <c r="AS271" s="536"/>
      <c r="AT271" s="536"/>
      <c r="AU271" s="536"/>
      <c r="AV271" s="542">
        <f t="shared" si="109"/>
        <v>0</v>
      </c>
      <c r="AW271" s="536"/>
      <c r="AX271" s="536"/>
      <c r="AY271" s="536"/>
      <c r="AZ271" s="542">
        <f t="shared" si="110"/>
        <v>0</v>
      </c>
      <c r="BA271" s="536"/>
      <c r="BB271" s="536"/>
      <c r="BC271" s="536"/>
      <c r="BD271" s="542">
        <f t="shared" si="111"/>
        <v>0</v>
      </c>
      <c r="BE271" s="536"/>
      <c r="BF271" s="536"/>
      <c r="BG271" s="536"/>
      <c r="BH271" s="542">
        <f t="shared" si="112"/>
        <v>0</v>
      </c>
      <c r="BI271" s="536"/>
      <c r="BJ271" s="536"/>
      <c r="BK271" s="536"/>
      <c r="BL271" s="542">
        <f t="shared" si="113"/>
        <v>0</v>
      </c>
      <c r="BM271" s="536"/>
      <c r="BN271" s="536"/>
      <c r="BO271" s="536"/>
      <c r="BP271" s="542">
        <f t="shared" si="114"/>
        <v>0</v>
      </c>
      <c r="BQ271" s="536"/>
      <c r="BR271" s="536"/>
      <c r="BS271" s="536"/>
      <c r="BT271" s="542">
        <f t="shared" si="115"/>
        <v>0</v>
      </c>
      <c r="BU271" s="536"/>
      <c r="BV271" s="536"/>
      <c r="BW271" s="536"/>
      <c r="BX271" s="542">
        <f t="shared" si="116"/>
        <v>0</v>
      </c>
      <c r="BY271" s="536"/>
      <c r="BZ271" s="536"/>
      <c r="CA271" s="536"/>
      <c r="CB271" s="542">
        <v>0</v>
      </c>
      <c r="CC271" s="536"/>
      <c r="CD271" s="536"/>
      <c r="CE271" s="536"/>
      <c r="CF271" s="541">
        <f t="shared" si="117"/>
        <v>0</v>
      </c>
      <c r="CG271" s="536"/>
      <c r="CH271" s="536"/>
      <c r="CI271" s="536"/>
      <c r="CJ271" s="541">
        <f t="shared" si="118"/>
        <v>0</v>
      </c>
      <c r="CK271" s="536"/>
      <c r="CL271" s="536"/>
      <c r="CM271" s="536"/>
      <c r="CN271" s="541">
        <f t="shared" si="119"/>
        <v>0</v>
      </c>
      <c r="CO271" s="536"/>
      <c r="CP271" s="536"/>
      <c r="CQ271" s="536"/>
      <c r="CR271" s="541">
        <f t="shared" si="120"/>
        <v>0</v>
      </c>
      <c r="CS271" s="536"/>
      <c r="CT271" s="536"/>
      <c r="CU271" s="536"/>
      <c r="CV271" s="541">
        <f t="shared" si="121"/>
        <v>0</v>
      </c>
      <c r="CW271" s="536"/>
      <c r="CX271" s="536"/>
      <c r="CY271" s="536"/>
      <c r="CZ271" s="541">
        <f t="shared" si="122"/>
        <v>0</v>
      </c>
      <c r="DA271" s="536"/>
      <c r="DB271" s="536"/>
      <c r="DC271" s="536"/>
      <c r="DD271" s="541">
        <f t="shared" si="123"/>
        <v>0</v>
      </c>
      <c r="DE271" s="536"/>
      <c r="DF271" s="536"/>
      <c r="DG271" s="536"/>
      <c r="DH271" s="541">
        <f t="shared" si="124"/>
        <v>0</v>
      </c>
      <c r="DI271" s="536"/>
      <c r="DJ271" s="536"/>
      <c r="DK271" s="536"/>
      <c r="DL271" s="541">
        <f t="shared" si="125"/>
        <v>0</v>
      </c>
      <c r="DM271" s="536"/>
      <c r="DN271" s="536"/>
      <c r="DO271" s="536"/>
      <c r="DP271" s="541">
        <f>IF( SUM((DJ271*(20/100))+(DK271*(30/100))+(DL271*(50/100))) &gt;=9.3,9.5,
IF(AND( SUM((DJ271*(20/100))+(DK271*(30/100))+(DL271*(50/100))) &lt;=9.3, SUM((DJ271*(20/100))+(DK271*(30/100))+(DL271*(50/100))) &gt;=8.8),9,
IF(AND( SUM((DJ271*(20/100))+(DK271*(30/100))+(DL271*(50/100))) &lt;=8.8, SUM((DJ271*(20/100))+(DK271*(30/100))+(DL271*(50/100))) &gt;=8.3),8.5,
IF(AND( SUM((DJ271*(20/100))+(DK271*(30/100))+(DL271*(50/100))) &lt;=8.3, SUM((DJ271*(20/100))+(DK271*(30/100))+(DL271*(50/100))) &gt;=7.8),8,
IF(AND( SUM((DJ271*(20/100))+(DK271*(30/100))+(DL271*(50/100))) &lt;=7.8, SUM((DJ271*(20/100))+(DK271*(30/100))+(DL271*(50/100))) &gt;=7.3),7.5,
IF(AND( SUM((DJ271*(20/100))+(DK271*(30/100))+(DL271*(50/100))) &lt;=7.3, SUM((DJ271*(20/100))+(DK271*(30/100))+(DL271*(50/100))) &gt;=6.8),7,
IF(AND( SUM((DJ271*(20/100))+(DK271*(30/100))+(DL271*(50/100))) &lt;=6.8, SUM((DJ271*(20/100))+(DK271*(30/100))+(DL271*(50/100))) &gt;=6.3),6.5,
IF(AND( SUM((DJ271*(20/100))+(DK271*(30/100))+(DL271*(50/100))) &lt;=6.3, SUM((DJ271*(20/100))+(DK271*(30/100))+(DL271*(50/100))) &gt;=5.8),6,
IF(AND( SUM((DJ271*(20/100))+(DK271*(30/100))+(DL271*(50/100))) &lt;=5.8, SUM((DJ271*(20/100))+(DK271*(30/100))+(DL271*(50/100))) &gt;=5.3),5.5,
IF(AND( SUM((DJ271*(20/100))+(DK271*(30/100))+(DL271*(50/100))) &lt;=5.3, SUM((DJ271*(20/100))+(DK271*(30/100))+(DL271*(50/100))) &gt;=4.8),5,
IF(AND( SUM((DJ271*(20/100))+(DK271*(30/100))+(DL271*(50/100))) &lt;=4.8, SUM((DJ271*(20/100))+(DK271*(30/100))+(DL271*(50/100))) &gt;=4.3),4.5,
IF(AND( SUM((DJ271*(20/100))+(DK271*(30/100))+(DL271*(50/100))) &lt;=4.3, SUM((DJ271*(20/100))+(DK271*(30/100))+(DL271*(50/100))) &gt;=3.8),4,
IF(AND( SUM((DJ271*(20/100))+(DK271*(30/100))+(DL271*(50/100))) &lt;=3.8, SUM((DJ271*(20/100))+(DK271*(30/100))+(DL271*(50/100))) &gt;=3.5),3.5,0)))))))))))))</f>
        <v>0</v>
      </c>
      <c r="DQ271" s="541"/>
      <c r="DR271" s="541"/>
      <c r="DS271" s="541"/>
      <c r="DT271" s="541"/>
      <c r="DU271" s="541"/>
      <c r="DV271" s="541"/>
      <c r="DW271" s="541"/>
      <c r="DX271" s="541"/>
      <c r="DY271" s="541"/>
      <c r="DZ271" s="541"/>
    </row>
    <row r="272" spans="2:130" x14ac:dyDescent="0.25">
      <c r="B272" s="334">
        <v>15</v>
      </c>
      <c r="C272" s="541"/>
      <c r="D272" s="334"/>
      <c r="E272" s="334"/>
      <c r="F272" s="334"/>
      <c r="G272" s="334"/>
      <c r="H272" s="334"/>
      <c r="I272" s="334"/>
      <c r="J272" s="536"/>
      <c r="K272" s="536"/>
      <c r="L272" s="536"/>
      <c r="M272" s="536"/>
      <c r="N272" s="536"/>
      <c r="O272" s="536"/>
      <c r="P272" s="536">
        <f t="shared" si="101"/>
        <v>0</v>
      </c>
      <c r="Q272" s="536"/>
      <c r="R272" s="536"/>
      <c r="S272" s="536"/>
      <c r="T272" s="536">
        <f t="shared" si="102"/>
        <v>0</v>
      </c>
      <c r="U272" s="536"/>
      <c r="V272" s="536"/>
      <c r="W272" s="536"/>
      <c r="X272" s="536">
        <f t="shared" si="103"/>
        <v>0</v>
      </c>
      <c r="Y272" s="536"/>
      <c r="Z272" s="536"/>
      <c r="AA272" s="536"/>
      <c r="AB272" s="536">
        <f t="shared" si="104"/>
        <v>0</v>
      </c>
      <c r="AC272" s="536"/>
      <c r="AD272" s="536"/>
      <c r="AE272" s="536"/>
      <c r="AF272" s="536">
        <f t="shared" si="105"/>
        <v>0</v>
      </c>
      <c r="AG272" s="536"/>
      <c r="AH272" s="536"/>
      <c r="AI272" s="536"/>
      <c r="AJ272" s="536">
        <f t="shared" si="106"/>
        <v>0</v>
      </c>
      <c r="AK272" s="536"/>
      <c r="AL272" s="536"/>
      <c r="AM272" s="536"/>
      <c r="AN272" s="542">
        <f t="shared" si="107"/>
        <v>0</v>
      </c>
      <c r="AO272" s="536"/>
      <c r="AP272" s="536"/>
      <c r="AQ272" s="536"/>
      <c r="AR272" s="542">
        <f t="shared" si="108"/>
        <v>0</v>
      </c>
      <c r="AS272" s="536"/>
      <c r="AT272" s="536"/>
      <c r="AU272" s="536"/>
      <c r="AV272" s="542">
        <f t="shared" si="109"/>
        <v>0</v>
      </c>
      <c r="AW272" s="536"/>
      <c r="AX272" s="536"/>
      <c r="AY272" s="536"/>
      <c r="AZ272" s="542">
        <f t="shared" si="110"/>
        <v>0</v>
      </c>
      <c r="BA272" s="536"/>
      <c r="BB272" s="536"/>
      <c r="BC272" s="536"/>
      <c r="BD272" s="542">
        <f t="shared" si="111"/>
        <v>0</v>
      </c>
      <c r="BE272" s="536"/>
      <c r="BF272" s="536"/>
      <c r="BG272" s="536"/>
      <c r="BH272" s="542">
        <f t="shared" si="112"/>
        <v>0</v>
      </c>
      <c r="BI272" s="536"/>
      <c r="BJ272" s="536"/>
      <c r="BK272" s="536"/>
      <c r="BL272" s="542">
        <f t="shared" si="113"/>
        <v>0</v>
      </c>
      <c r="BM272" s="536"/>
      <c r="BN272" s="536"/>
      <c r="BO272" s="536"/>
      <c r="BP272" s="542">
        <f t="shared" si="114"/>
        <v>0</v>
      </c>
      <c r="BQ272" s="536"/>
      <c r="BR272" s="536"/>
      <c r="BS272" s="536"/>
      <c r="BT272" s="542">
        <f t="shared" si="115"/>
        <v>0</v>
      </c>
      <c r="BU272" s="536"/>
      <c r="BV272" s="536"/>
      <c r="BW272" s="536"/>
      <c r="BX272" s="542">
        <f t="shared" si="116"/>
        <v>0</v>
      </c>
      <c r="BY272" s="536"/>
      <c r="BZ272" s="536"/>
      <c r="CA272" s="536"/>
      <c r="CB272" s="542">
        <v>0</v>
      </c>
      <c r="CC272" s="536"/>
      <c r="CD272" s="536"/>
      <c r="CE272" s="536"/>
      <c r="CF272" s="541">
        <f t="shared" si="117"/>
        <v>0</v>
      </c>
      <c r="CG272" s="536"/>
      <c r="CH272" s="536"/>
      <c r="CI272" s="536"/>
      <c r="CJ272" s="541">
        <f t="shared" si="118"/>
        <v>0</v>
      </c>
      <c r="CK272" s="536"/>
      <c r="CL272" s="536"/>
      <c r="CM272" s="536"/>
      <c r="CN272" s="541">
        <f t="shared" si="119"/>
        <v>0</v>
      </c>
      <c r="CO272" s="536"/>
      <c r="CP272" s="536"/>
      <c r="CQ272" s="536"/>
      <c r="CR272" s="541">
        <f t="shared" si="120"/>
        <v>0</v>
      </c>
      <c r="CS272" s="536"/>
      <c r="CT272" s="536"/>
      <c r="CU272" s="536"/>
      <c r="CV272" s="541">
        <f t="shared" si="121"/>
        <v>0</v>
      </c>
      <c r="CW272" s="536"/>
      <c r="CX272" s="536"/>
      <c r="CY272" s="536"/>
      <c r="CZ272" s="541">
        <f t="shared" si="122"/>
        <v>0</v>
      </c>
      <c r="DA272" s="536"/>
      <c r="DB272" s="536"/>
      <c r="DC272" s="536"/>
      <c r="DD272" s="541">
        <f t="shared" si="123"/>
        <v>0</v>
      </c>
      <c r="DE272" s="536"/>
      <c r="DF272" s="536"/>
      <c r="DG272" s="536"/>
      <c r="DH272" s="541">
        <f t="shared" si="124"/>
        <v>0</v>
      </c>
      <c r="DI272" s="536"/>
      <c r="DJ272" s="536"/>
      <c r="DK272" s="536"/>
      <c r="DL272" s="541">
        <f t="shared" si="125"/>
        <v>0</v>
      </c>
      <c r="DM272" s="536"/>
      <c r="DN272" s="536"/>
      <c r="DO272" s="536"/>
      <c r="DP272" s="541">
        <f>IF( SUM((DJ272*(20/100))+(DK272*(30/100))+(DL272*(50/100))) &gt;=9.3,9.5,
IF(AND( SUM((DJ272*(20/100))+(DK272*(30/100))+(DL272*(50/100))) &lt;=9.3, SUM((DJ272*(20/100))+(DK272*(30/100))+(DL272*(50/100))) &gt;=8.8),9,
IF(AND( SUM((DJ272*(20/100))+(DK272*(30/100))+(DL272*(50/100))) &lt;=8.8, SUM((DJ272*(20/100))+(DK272*(30/100))+(DL272*(50/100))) &gt;=8.3),8.5,
IF(AND( SUM((DJ272*(20/100))+(DK272*(30/100))+(DL272*(50/100))) &lt;=8.3, SUM((DJ272*(20/100))+(DK272*(30/100))+(DL272*(50/100))) &gt;=7.8),8,
IF(AND( SUM((DJ272*(20/100))+(DK272*(30/100))+(DL272*(50/100))) &lt;=7.8, SUM((DJ272*(20/100))+(DK272*(30/100))+(DL272*(50/100))) &gt;=7.3),7.5,
IF(AND( SUM((DJ272*(20/100))+(DK272*(30/100))+(DL272*(50/100))) &lt;=7.3, SUM((DJ272*(20/100))+(DK272*(30/100))+(DL272*(50/100))) &gt;=6.8),7,
IF(AND( SUM((DJ272*(20/100))+(DK272*(30/100))+(DL272*(50/100))) &lt;=6.8, SUM((DJ272*(20/100))+(DK272*(30/100))+(DL272*(50/100))) &gt;=6.3),6.5,
IF(AND( SUM((DJ272*(20/100))+(DK272*(30/100))+(DL272*(50/100))) &lt;=6.3, SUM((DJ272*(20/100))+(DK272*(30/100))+(DL272*(50/100))) &gt;=5.8),6,
IF(AND( SUM((DJ272*(20/100))+(DK272*(30/100))+(DL272*(50/100))) &lt;=5.8, SUM((DJ272*(20/100))+(DK272*(30/100))+(DL272*(50/100))) &gt;=5.3),5.5,
IF(AND( SUM((DJ272*(20/100))+(DK272*(30/100))+(DL272*(50/100))) &lt;=5.3, SUM((DJ272*(20/100))+(DK272*(30/100))+(DL272*(50/100))) &gt;=4.8),5,
IF(AND( SUM((DJ272*(20/100))+(DK272*(30/100))+(DL272*(50/100))) &lt;=4.8, SUM((DJ272*(20/100))+(DK272*(30/100))+(DL272*(50/100))) &gt;=4.3),4.5,
IF(AND( SUM((DJ272*(20/100))+(DK272*(30/100))+(DL272*(50/100))) &lt;=4.3, SUM((DJ272*(20/100))+(DK272*(30/100))+(DL272*(50/100))) &gt;=3.8),4,
IF(AND( SUM((DJ272*(20/100))+(DK272*(30/100))+(DL272*(50/100))) &lt;=3.8, SUM((DJ272*(20/100))+(DK272*(30/100))+(DL272*(50/100))) &gt;=3.5),3.5,0)))))))))))))</f>
        <v>0</v>
      </c>
      <c r="DQ272" s="541"/>
      <c r="DR272" s="541"/>
      <c r="DS272" s="541"/>
      <c r="DT272" s="541"/>
      <c r="DU272" s="541"/>
      <c r="DV272" s="541"/>
      <c r="DW272" s="541"/>
      <c r="DX272" s="541"/>
      <c r="DY272" s="541"/>
      <c r="DZ272" s="541"/>
    </row>
    <row r="273" spans="2:130" x14ac:dyDescent="0.25">
      <c r="B273" s="334">
        <v>16</v>
      </c>
      <c r="C273" s="541"/>
      <c r="D273" s="334"/>
      <c r="E273" s="334"/>
      <c r="F273" s="334"/>
      <c r="G273" s="334"/>
      <c r="H273" s="334"/>
      <c r="I273" s="334"/>
      <c r="J273" s="536"/>
      <c r="K273" s="536"/>
      <c r="L273" s="536"/>
      <c r="M273" s="536"/>
      <c r="N273" s="536"/>
      <c r="O273" s="536"/>
      <c r="P273" s="536">
        <f t="shared" si="101"/>
        <v>0</v>
      </c>
      <c r="Q273" s="536"/>
      <c r="R273" s="536"/>
      <c r="S273" s="536"/>
      <c r="T273" s="536">
        <f t="shared" si="102"/>
        <v>0</v>
      </c>
      <c r="U273" s="536"/>
      <c r="V273" s="536"/>
      <c r="W273" s="536"/>
      <c r="X273" s="536">
        <f t="shared" si="103"/>
        <v>0</v>
      </c>
      <c r="Y273" s="536"/>
      <c r="Z273" s="536"/>
      <c r="AA273" s="536"/>
      <c r="AB273" s="536">
        <f t="shared" si="104"/>
        <v>0</v>
      </c>
      <c r="AC273" s="536"/>
      <c r="AD273" s="536"/>
      <c r="AE273" s="536"/>
      <c r="AF273" s="536">
        <f t="shared" si="105"/>
        <v>0</v>
      </c>
      <c r="AG273" s="536"/>
      <c r="AH273" s="536"/>
      <c r="AI273" s="536"/>
      <c r="AJ273" s="536">
        <f t="shared" si="106"/>
        <v>0</v>
      </c>
      <c r="AK273" s="536"/>
      <c r="AL273" s="536"/>
      <c r="AM273" s="536"/>
      <c r="AN273" s="542">
        <f t="shared" si="107"/>
        <v>0</v>
      </c>
      <c r="AO273" s="536"/>
      <c r="AP273" s="536"/>
      <c r="AQ273" s="536"/>
      <c r="AR273" s="542">
        <f t="shared" si="108"/>
        <v>0</v>
      </c>
      <c r="AS273" s="536"/>
      <c r="AT273" s="536"/>
      <c r="AU273" s="536"/>
      <c r="AV273" s="542">
        <f t="shared" si="109"/>
        <v>0</v>
      </c>
      <c r="AW273" s="536"/>
      <c r="AX273" s="536"/>
      <c r="AY273" s="536"/>
      <c r="AZ273" s="542">
        <f t="shared" si="110"/>
        <v>0</v>
      </c>
      <c r="BA273" s="536"/>
      <c r="BB273" s="536"/>
      <c r="BC273" s="536"/>
      <c r="BD273" s="542">
        <f t="shared" si="111"/>
        <v>0</v>
      </c>
      <c r="BE273" s="536"/>
      <c r="BF273" s="536"/>
      <c r="BG273" s="536"/>
      <c r="BH273" s="542">
        <f t="shared" si="112"/>
        <v>0</v>
      </c>
      <c r="BI273" s="536"/>
      <c r="BJ273" s="536"/>
      <c r="BK273" s="536"/>
      <c r="BL273" s="542">
        <f t="shared" si="113"/>
        <v>0</v>
      </c>
      <c r="BM273" s="536"/>
      <c r="BN273" s="536"/>
      <c r="BO273" s="536"/>
      <c r="BP273" s="542">
        <f t="shared" si="114"/>
        <v>0</v>
      </c>
      <c r="BQ273" s="536"/>
      <c r="BR273" s="536"/>
      <c r="BS273" s="536"/>
      <c r="BT273" s="542">
        <f t="shared" si="115"/>
        <v>0</v>
      </c>
      <c r="BU273" s="536"/>
      <c r="BV273" s="536"/>
      <c r="BW273" s="536"/>
      <c r="BX273" s="542">
        <f t="shared" si="116"/>
        <v>0</v>
      </c>
      <c r="BY273" s="536"/>
      <c r="BZ273" s="536"/>
      <c r="CA273" s="536"/>
      <c r="CB273" s="542">
        <v>0</v>
      </c>
      <c r="CC273" s="536"/>
      <c r="CD273" s="536"/>
      <c r="CE273" s="536"/>
      <c r="CF273" s="541">
        <f t="shared" si="117"/>
        <v>0</v>
      </c>
      <c r="CG273" s="536"/>
      <c r="CH273" s="536"/>
      <c r="CI273" s="536"/>
      <c r="CJ273" s="541">
        <f t="shared" si="118"/>
        <v>0</v>
      </c>
      <c r="CK273" s="536"/>
      <c r="CL273" s="536"/>
      <c r="CM273" s="536"/>
      <c r="CN273" s="541">
        <f t="shared" si="119"/>
        <v>0</v>
      </c>
      <c r="CO273" s="536"/>
      <c r="CP273" s="536"/>
      <c r="CQ273" s="536"/>
      <c r="CR273" s="541">
        <f t="shared" si="120"/>
        <v>0</v>
      </c>
      <c r="CS273" s="536"/>
      <c r="CT273" s="536"/>
      <c r="CU273" s="536"/>
      <c r="CV273" s="541">
        <f t="shared" si="121"/>
        <v>0</v>
      </c>
      <c r="CW273" s="536"/>
      <c r="CX273" s="536"/>
      <c r="CY273" s="536"/>
      <c r="CZ273" s="541">
        <f t="shared" si="122"/>
        <v>0</v>
      </c>
      <c r="DA273" s="536"/>
      <c r="DB273" s="536"/>
      <c r="DC273" s="536"/>
      <c r="DD273" s="541">
        <f t="shared" si="123"/>
        <v>0</v>
      </c>
      <c r="DE273" s="536"/>
      <c r="DF273" s="536"/>
      <c r="DG273" s="536"/>
      <c r="DH273" s="541">
        <f t="shared" si="124"/>
        <v>0</v>
      </c>
      <c r="DI273" s="536"/>
      <c r="DJ273" s="536"/>
      <c r="DK273" s="536"/>
      <c r="DL273" s="541">
        <f t="shared" si="125"/>
        <v>0</v>
      </c>
      <c r="DM273" s="536"/>
      <c r="DN273" s="536"/>
      <c r="DO273" s="536"/>
      <c r="DP273" s="541">
        <f>IF( SUM((DJ273*(20/100))+(DK273*(30/100))+(DL273*(50/100))) &gt;=9.3,9.5,
IF(AND( SUM((DJ273*(20/100))+(DK273*(30/100))+(DL273*(50/100))) &lt;=9.3, SUM((DJ273*(20/100))+(DK273*(30/100))+(DL273*(50/100))) &gt;=8.8),9,
IF(AND( SUM((DJ273*(20/100))+(DK273*(30/100))+(DL273*(50/100))) &lt;=8.8, SUM((DJ273*(20/100))+(DK273*(30/100))+(DL273*(50/100))) &gt;=8.3),8.5,
IF(AND( SUM((DJ273*(20/100))+(DK273*(30/100))+(DL273*(50/100))) &lt;=8.3, SUM((DJ273*(20/100))+(DK273*(30/100))+(DL273*(50/100))) &gt;=7.8),8,
IF(AND( SUM((DJ273*(20/100))+(DK273*(30/100))+(DL273*(50/100))) &lt;=7.8, SUM((DJ273*(20/100))+(DK273*(30/100))+(DL273*(50/100))) &gt;=7.3),7.5,
IF(AND( SUM((DJ273*(20/100))+(DK273*(30/100))+(DL273*(50/100))) &lt;=7.3, SUM((DJ273*(20/100))+(DK273*(30/100))+(DL273*(50/100))) &gt;=6.8),7,
IF(AND( SUM((DJ273*(20/100))+(DK273*(30/100))+(DL273*(50/100))) &lt;=6.8, SUM((DJ273*(20/100))+(DK273*(30/100))+(DL273*(50/100))) &gt;=6.3),6.5,
IF(AND( SUM((DJ273*(20/100))+(DK273*(30/100))+(DL273*(50/100))) &lt;=6.3, SUM((DJ273*(20/100))+(DK273*(30/100))+(DL273*(50/100))) &gt;=5.8),6,
IF(AND( SUM((DJ273*(20/100))+(DK273*(30/100))+(DL273*(50/100))) &lt;=5.8, SUM((DJ273*(20/100))+(DK273*(30/100))+(DL273*(50/100))) &gt;=5.3),5.5,
IF(AND( SUM((DJ273*(20/100))+(DK273*(30/100))+(DL273*(50/100))) &lt;=5.3, SUM((DJ273*(20/100))+(DK273*(30/100))+(DL273*(50/100))) &gt;=4.8),5,
IF(AND( SUM((DJ273*(20/100))+(DK273*(30/100))+(DL273*(50/100))) &lt;=4.8, SUM((DJ273*(20/100))+(DK273*(30/100))+(DL273*(50/100))) &gt;=4.3),4.5,
IF(AND( SUM((DJ273*(20/100))+(DK273*(30/100))+(DL273*(50/100))) &lt;=4.3, SUM((DJ273*(20/100))+(DK273*(30/100))+(DL273*(50/100))) &gt;=3.8),4,
IF(AND( SUM((DJ273*(20/100))+(DK273*(30/100))+(DL273*(50/100))) &lt;=3.8, SUM((DJ273*(20/100))+(DK273*(30/100))+(DL273*(50/100))) &gt;=3.5),3.5,0)))))))))))))</f>
        <v>0</v>
      </c>
      <c r="DQ273" s="541"/>
      <c r="DR273" s="541"/>
      <c r="DS273" s="541"/>
      <c r="DT273" s="541"/>
      <c r="DU273" s="541"/>
      <c r="DV273" s="541"/>
      <c r="DW273" s="541"/>
      <c r="DX273" s="541"/>
      <c r="DY273" s="541"/>
      <c r="DZ273" s="541"/>
    </row>
    <row r="274" spans="2:130" x14ac:dyDescent="0.25">
      <c r="B274" s="334">
        <v>17</v>
      </c>
      <c r="C274" s="541"/>
      <c r="D274" s="334"/>
      <c r="E274" s="334"/>
      <c r="F274" s="334"/>
      <c r="G274" s="334"/>
      <c r="H274" s="334"/>
      <c r="I274" s="334"/>
      <c r="J274" s="536"/>
      <c r="K274" s="536"/>
      <c r="L274" s="536"/>
      <c r="M274" s="536"/>
      <c r="N274" s="536"/>
      <c r="O274" s="536"/>
      <c r="P274" s="536">
        <f t="shared" si="101"/>
        <v>0</v>
      </c>
      <c r="Q274" s="536"/>
      <c r="R274" s="536"/>
      <c r="S274" s="536"/>
      <c r="T274" s="536">
        <f t="shared" si="102"/>
        <v>0</v>
      </c>
      <c r="U274" s="536"/>
      <c r="V274" s="536"/>
      <c r="W274" s="536"/>
      <c r="X274" s="536">
        <f t="shared" si="103"/>
        <v>0</v>
      </c>
      <c r="Y274" s="536"/>
      <c r="Z274" s="536"/>
      <c r="AA274" s="536"/>
      <c r="AB274" s="536">
        <f t="shared" si="104"/>
        <v>0</v>
      </c>
      <c r="AC274" s="536"/>
      <c r="AD274" s="536"/>
      <c r="AE274" s="536"/>
      <c r="AF274" s="536">
        <f t="shared" si="105"/>
        <v>0</v>
      </c>
      <c r="AG274" s="536"/>
      <c r="AH274" s="536"/>
      <c r="AI274" s="536"/>
      <c r="AJ274" s="536">
        <f t="shared" si="106"/>
        <v>0</v>
      </c>
      <c r="AK274" s="536"/>
      <c r="AL274" s="536"/>
      <c r="AM274" s="536"/>
      <c r="AN274" s="542">
        <f t="shared" si="107"/>
        <v>0</v>
      </c>
      <c r="AO274" s="536"/>
      <c r="AP274" s="536"/>
      <c r="AQ274" s="536"/>
      <c r="AR274" s="542">
        <f t="shared" si="108"/>
        <v>0</v>
      </c>
      <c r="AS274" s="536"/>
      <c r="AT274" s="536"/>
      <c r="AU274" s="536"/>
      <c r="AV274" s="542">
        <f t="shared" si="109"/>
        <v>0</v>
      </c>
      <c r="AW274" s="536"/>
      <c r="AX274" s="536"/>
      <c r="AY274" s="536"/>
      <c r="AZ274" s="542">
        <f t="shared" si="110"/>
        <v>0</v>
      </c>
      <c r="BA274" s="536"/>
      <c r="BB274" s="536"/>
      <c r="BC274" s="536"/>
      <c r="BD274" s="542">
        <f t="shared" si="111"/>
        <v>0</v>
      </c>
      <c r="BE274" s="536"/>
      <c r="BF274" s="536"/>
      <c r="BG274" s="536"/>
      <c r="BH274" s="542">
        <f t="shared" si="112"/>
        <v>0</v>
      </c>
      <c r="BI274" s="536"/>
      <c r="BJ274" s="536"/>
      <c r="BK274" s="536"/>
      <c r="BL274" s="542">
        <f t="shared" si="113"/>
        <v>0</v>
      </c>
      <c r="BM274" s="536"/>
      <c r="BN274" s="536"/>
      <c r="BO274" s="536"/>
      <c r="BP274" s="542">
        <f t="shared" si="114"/>
        <v>0</v>
      </c>
      <c r="BQ274" s="536"/>
      <c r="BR274" s="536"/>
      <c r="BS274" s="536"/>
      <c r="BT274" s="542">
        <f t="shared" si="115"/>
        <v>0</v>
      </c>
      <c r="BU274" s="536"/>
      <c r="BV274" s="536"/>
      <c r="BW274" s="536"/>
      <c r="BX274" s="542">
        <f t="shared" si="116"/>
        <v>0</v>
      </c>
      <c r="BY274" s="536"/>
      <c r="BZ274" s="536"/>
      <c r="CA274" s="536"/>
      <c r="CB274" s="542">
        <v>0</v>
      </c>
      <c r="CC274" s="536"/>
      <c r="CD274" s="536"/>
      <c r="CE274" s="536"/>
      <c r="CF274" s="541">
        <f t="shared" si="117"/>
        <v>0</v>
      </c>
      <c r="CG274" s="536"/>
      <c r="CH274" s="536"/>
      <c r="CI274" s="536"/>
      <c r="CJ274" s="541">
        <f t="shared" si="118"/>
        <v>0</v>
      </c>
      <c r="CK274" s="536"/>
      <c r="CL274" s="536"/>
      <c r="CM274" s="536"/>
      <c r="CN274" s="541">
        <f t="shared" si="119"/>
        <v>0</v>
      </c>
      <c r="CO274" s="536"/>
      <c r="CP274" s="536"/>
      <c r="CQ274" s="536"/>
      <c r="CR274" s="541">
        <f t="shared" si="120"/>
        <v>0</v>
      </c>
      <c r="CS274" s="536"/>
      <c r="CT274" s="536"/>
      <c r="CU274" s="536"/>
      <c r="CV274" s="541">
        <f t="shared" si="121"/>
        <v>0</v>
      </c>
      <c r="CW274" s="536"/>
      <c r="CX274" s="536"/>
      <c r="CY274" s="536"/>
      <c r="CZ274" s="541">
        <f t="shared" si="122"/>
        <v>0</v>
      </c>
      <c r="DA274" s="536"/>
      <c r="DB274" s="536"/>
      <c r="DC274" s="536"/>
      <c r="DD274" s="541">
        <f t="shared" si="123"/>
        <v>0</v>
      </c>
      <c r="DE274" s="536"/>
      <c r="DF274" s="536"/>
      <c r="DG274" s="536"/>
      <c r="DH274" s="541">
        <f t="shared" si="124"/>
        <v>0</v>
      </c>
      <c r="DI274" s="536"/>
      <c r="DJ274" s="536"/>
      <c r="DK274" s="536"/>
      <c r="DL274" s="541">
        <f t="shared" si="125"/>
        <v>0</v>
      </c>
      <c r="DM274" s="536"/>
      <c r="DN274" s="536"/>
      <c r="DO274" s="536"/>
      <c r="DP274" s="541">
        <f>IF( SUM((DJ274*(20/100))+(DK274*(30/100))+(DL274*(50/100))) &gt;=9.3,9.5,
IF(AND( SUM((DJ274*(20/100))+(DK274*(30/100))+(DL274*(50/100))) &lt;=9.3, SUM((DJ274*(20/100))+(DK274*(30/100))+(DL274*(50/100))) &gt;=8.8),9,
IF(AND( SUM((DJ274*(20/100))+(DK274*(30/100))+(DL274*(50/100))) &lt;=8.8, SUM((DJ274*(20/100))+(DK274*(30/100))+(DL274*(50/100))) &gt;=8.3),8.5,
IF(AND( SUM((DJ274*(20/100))+(DK274*(30/100))+(DL274*(50/100))) &lt;=8.3, SUM((DJ274*(20/100))+(DK274*(30/100))+(DL274*(50/100))) &gt;=7.8),8,
IF(AND( SUM((DJ274*(20/100))+(DK274*(30/100))+(DL274*(50/100))) &lt;=7.8, SUM((DJ274*(20/100))+(DK274*(30/100))+(DL274*(50/100))) &gt;=7.3),7.5,
IF(AND( SUM((DJ274*(20/100))+(DK274*(30/100))+(DL274*(50/100))) &lt;=7.3, SUM((DJ274*(20/100))+(DK274*(30/100))+(DL274*(50/100))) &gt;=6.8),7,
IF(AND( SUM((DJ274*(20/100))+(DK274*(30/100))+(DL274*(50/100))) &lt;=6.8, SUM((DJ274*(20/100))+(DK274*(30/100))+(DL274*(50/100))) &gt;=6.3),6.5,
IF(AND( SUM((DJ274*(20/100))+(DK274*(30/100))+(DL274*(50/100))) &lt;=6.3, SUM((DJ274*(20/100))+(DK274*(30/100))+(DL274*(50/100))) &gt;=5.8),6,
IF(AND( SUM((DJ274*(20/100))+(DK274*(30/100))+(DL274*(50/100))) &lt;=5.8, SUM((DJ274*(20/100))+(DK274*(30/100))+(DL274*(50/100))) &gt;=5.3),5.5,
IF(AND( SUM((DJ274*(20/100))+(DK274*(30/100))+(DL274*(50/100))) &lt;=5.3, SUM((DJ274*(20/100))+(DK274*(30/100))+(DL274*(50/100))) &gt;=4.8),5,
IF(AND( SUM((DJ274*(20/100))+(DK274*(30/100))+(DL274*(50/100))) &lt;=4.8, SUM((DJ274*(20/100))+(DK274*(30/100))+(DL274*(50/100))) &gt;=4.3),4.5,
IF(AND( SUM((DJ274*(20/100))+(DK274*(30/100))+(DL274*(50/100))) &lt;=4.3, SUM((DJ274*(20/100))+(DK274*(30/100))+(DL274*(50/100))) &gt;=3.8),4,
IF(AND( SUM((DJ274*(20/100))+(DK274*(30/100))+(DL274*(50/100))) &lt;=3.8, SUM((DJ274*(20/100))+(DK274*(30/100))+(DL274*(50/100))) &gt;=3.5),3.5,0)))))))))))))</f>
        <v>0</v>
      </c>
      <c r="DQ274" s="541"/>
      <c r="DR274" s="541"/>
      <c r="DS274" s="541"/>
      <c r="DT274" s="541"/>
      <c r="DU274" s="541"/>
      <c r="DV274" s="541"/>
      <c r="DW274" s="541"/>
      <c r="DX274" s="541"/>
      <c r="DY274" s="541"/>
      <c r="DZ274" s="541"/>
    </row>
    <row r="275" spans="2:130" x14ac:dyDescent="0.25">
      <c r="B275" s="334">
        <v>18</v>
      </c>
      <c r="C275" s="541"/>
      <c r="D275" s="334"/>
      <c r="E275" s="334"/>
      <c r="F275" s="334"/>
      <c r="G275" s="334"/>
      <c r="H275" s="334"/>
      <c r="I275" s="334"/>
      <c r="J275" s="536"/>
      <c r="K275" s="536"/>
      <c r="L275" s="536"/>
      <c r="M275" s="536"/>
      <c r="N275" s="536"/>
      <c r="O275" s="536"/>
      <c r="P275" s="536">
        <f t="shared" si="101"/>
        <v>0</v>
      </c>
      <c r="Q275" s="536"/>
      <c r="R275" s="536"/>
      <c r="S275" s="536"/>
      <c r="T275" s="536">
        <f t="shared" si="102"/>
        <v>0</v>
      </c>
      <c r="U275" s="536"/>
      <c r="V275" s="536"/>
      <c r="W275" s="536"/>
      <c r="X275" s="536">
        <f t="shared" si="103"/>
        <v>0</v>
      </c>
      <c r="Y275" s="536"/>
      <c r="Z275" s="536"/>
      <c r="AA275" s="536"/>
      <c r="AB275" s="536">
        <f t="shared" si="104"/>
        <v>0</v>
      </c>
      <c r="AC275" s="536"/>
      <c r="AD275" s="536"/>
      <c r="AE275" s="536"/>
      <c r="AF275" s="536">
        <f t="shared" si="105"/>
        <v>0</v>
      </c>
      <c r="AG275" s="536"/>
      <c r="AH275" s="536"/>
      <c r="AI275" s="536"/>
      <c r="AJ275" s="536">
        <f t="shared" si="106"/>
        <v>0</v>
      </c>
      <c r="AK275" s="536"/>
      <c r="AL275" s="536"/>
      <c r="AM275" s="536"/>
      <c r="AN275" s="542">
        <f t="shared" si="107"/>
        <v>0</v>
      </c>
      <c r="AO275" s="536"/>
      <c r="AP275" s="536"/>
      <c r="AQ275" s="536"/>
      <c r="AR275" s="542">
        <f t="shared" si="108"/>
        <v>0</v>
      </c>
      <c r="AS275" s="536"/>
      <c r="AT275" s="536"/>
      <c r="AU275" s="536"/>
      <c r="AV275" s="542">
        <f t="shared" si="109"/>
        <v>0</v>
      </c>
      <c r="AW275" s="536"/>
      <c r="AX275" s="536"/>
      <c r="AY275" s="536"/>
      <c r="AZ275" s="542">
        <f t="shared" si="110"/>
        <v>0</v>
      </c>
      <c r="BA275" s="536"/>
      <c r="BB275" s="536"/>
      <c r="BC275" s="536"/>
      <c r="BD275" s="542">
        <f t="shared" si="111"/>
        <v>0</v>
      </c>
      <c r="BE275" s="536"/>
      <c r="BF275" s="536"/>
      <c r="BG275" s="536"/>
      <c r="BH275" s="542">
        <f t="shared" si="112"/>
        <v>0</v>
      </c>
      <c r="BI275" s="536"/>
      <c r="BJ275" s="536"/>
      <c r="BK275" s="536"/>
      <c r="BL275" s="542">
        <f t="shared" si="113"/>
        <v>0</v>
      </c>
      <c r="BM275" s="536"/>
      <c r="BN275" s="536"/>
      <c r="BO275" s="536"/>
      <c r="BP275" s="542">
        <f t="shared" si="114"/>
        <v>0</v>
      </c>
      <c r="BQ275" s="536"/>
      <c r="BR275" s="536"/>
      <c r="BS275" s="536"/>
      <c r="BT275" s="542">
        <f t="shared" si="115"/>
        <v>0</v>
      </c>
      <c r="BU275" s="536"/>
      <c r="BV275" s="536"/>
      <c r="BW275" s="536"/>
      <c r="BX275" s="542">
        <f t="shared" si="116"/>
        <v>0</v>
      </c>
      <c r="BY275" s="536"/>
      <c r="BZ275" s="536"/>
      <c r="CA275" s="536"/>
      <c r="CB275" s="542">
        <v>0</v>
      </c>
      <c r="CC275" s="536"/>
      <c r="CD275" s="536"/>
      <c r="CE275" s="536"/>
      <c r="CF275" s="541">
        <f t="shared" si="117"/>
        <v>0</v>
      </c>
      <c r="CG275" s="536"/>
      <c r="CH275" s="536"/>
      <c r="CI275" s="536"/>
      <c r="CJ275" s="541">
        <f t="shared" si="118"/>
        <v>0</v>
      </c>
      <c r="CK275" s="536"/>
      <c r="CL275" s="536"/>
      <c r="CM275" s="536"/>
      <c r="CN275" s="541">
        <f t="shared" si="119"/>
        <v>0</v>
      </c>
      <c r="CO275" s="536"/>
      <c r="CP275" s="536"/>
      <c r="CQ275" s="536"/>
      <c r="CR275" s="541">
        <f t="shared" si="120"/>
        <v>0</v>
      </c>
      <c r="CS275" s="536"/>
      <c r="CT275" s="536"/>
      <c r="CU275" s="536"/>
      <c r="CV275" s="541">
        <f t="shared" si="121"/>
        <v>0</v>
      </c>
      <c r="CW275" s="536"/>
      <c r="CX275" s="536"/>
      <c r="CY275" s="536"/>
      <c r="CZ275" s="541">
        <f t="shared" si="122"/>
        <v>0</v>
      </c>
      <c r="DA275" s="536"/>
      <c r="DB275" s="536"/>
      <c r="DC275" s="536"/>
      <c r="DD275" s="541">
        <f t="shared" si="123"/>
        <v>0</v>
      </c>
      <c r="DE275" s="536"/>
      <c r="DF275" s="536"/>
      <c r="DG275" s="536"/>
      <c r="DH275" s="541">
        <f t="shared" si="124"/>
        <v>0</v>
      </c>
      <c r="DI275" s="536"/>
      <c r="DJ275" s="536"/>
      <c r="DK275" s="536"/>
      <c r="DL275" s="541">
        <f t="shared" si="125"/>
        <v>0</v>
      </c>
      <c r="DM275" s="536"/>
      <c r="DN275" s="536"/>
      <c r="DO275" s="536"/>
      <c r="DP275" s="541">
        <f>IF( SUM((DJ275*(20/100))+(DK275*(30/100))+(DL275*(50/100))) &gt;=9.3,9.5,
IF(AND( SUM((DJ275*(20/100))+(DK275*(30/100))+(DL275*(50/100))) &lt;=9.3, SUM((DJ275*(20/100))+(DK275*(30/100))+(DL275*(50/100))) &gt;=8.8),9,
IF(AND( SUM((DJ275*(20/100))+(DK275*(30/100))+(DL275*(50/100))) &lt;=8.8, SUM((DJ275*(20/100))+(DK275*(30/100))+(DL275*(50/100))) &gt;=8.3),8.5,
IF(AND( SUM((DJ275*(20/100))+(DK275*(30/100))+(DL275*(50/100))) &lt;=8.3, SUM((DJ275*(20/100))+(DK275*(30/100))+(DL275*(50/100))) &gt;=7.8),8,
IF(AND( SUM((DJ275*(20/100))+(DK275*(30/100))+(DL275*(50/100))) &lt;=7.8, SUM((DJ275*(20/100))+(DK275*(30/100))+(DL275*(50/100))) &gt;=7.3),7.5,
IF(AND( SUM((DJ275*(20/100))+(DK275*(30/100))+(DL275*(50/100))) &lt;=7.3, SUM((DJ275*(20/100))+(DK275*(30/100))+(DL275*(50/100))) &gt;=6.8),7,
IF(AND( SUM((DJ275*(20/100))+(DK275*(30/100))+(DL275*(50/100))) &lt;=6.8, SUM((DJ275*(20/100))+(DK275*(30/100))+(DL275*(50/100))) &gt;=6.3),6.5,
IF(AND( SUM((DJ275*(20/100))+(DK275*(30/100))+(DL275*(50/100))) &lt;=6.3, SUM((DJ275*(20/100))+(DK275*(30/100))+(DL275*(50/100))) &gt;=5.8),6,
IF(AND( SUM((DJ275*(20/100))+(DK275*(30/100))+(DL275*(50/100))) &lt;=5.8, SUM((DJ275*(20/100))+(DK275*(30/100))+(DL275*(50/100))) &gt;=5.3),5.5,
IF(AND( SUM((DJ275*(20/100))+(DK275*(30/100))+(DL275*(50/100))) &lt;=5.3, SUM((DJ275*(20/100))+(DK275*(30/100))+(DL275*(50/100))) &gt;=4.8),5,
IF(AND( SUM((DJ275*(20/100))+(DK275*(30/100))+(DL275*(50/100))) &lt;=4.8, SUM((DJ275*(20/100))+(DK275*(30/100))+(DL275*(50/100))) &gt;=4.3),4.5,
IF(AND( SUM((DJ275*(20/100))+(DK275*(30/100))+(DL275*(50/100))) &lt;=4.3, SUM((DJ275*(20/100))+(DK275*(30/100))+(DL275*(50/100))) &gt;=3.8),4,
IF(AND( SUM((DJ275*(20/100))+(DK275*(30/100))+(DL275*(50/100))) &lt;=3.8, SUM((DJ275*(20/100))+(DK275*(30/100))+(DL275*(50/100))) &gt;=3.5),3.5,0)))))))))))))</f>
        <v>0</v>
      </c>
      <c r="DQ275" s="541"/>
      <c r="DR275" s="541"/>
      <c r="DS275" s="541"/>
      <c r="DT275" s="541"/>
      <c r="DU275" s="541"/>
      <c r="DV275" s="541"/>
      <c r="DW275" s="541"/>
      <c r="DX275" s="541"/>
      <c r="DY275" s="541"/>
      <c r="DZ275" s="541"/>
    </row>
    <row r="276" spans="2:130" x14ac:dyDescent="0.25">
      <c r="B276" s="334">
        <v>19</v>
      </c>
      <c r="C276" s="541"/>
      <c r="D276" s="334"/>
      <c r="E276" s="334"/>
      <c r="F276" s="334"/>
      <c r="G276" s="334"/>
      <c r="H276" s="334"/>
      <c r="I276" s="334"/>
      <c r="J276" s="536"/>
      <c r="K276" s="536"/>
      <c r="L276" s="536"/>
      <c r="M276" s="536"/>
      <c r="N276" s="536"/>
      <c r="O276" s="536"/>
      <c r="P276" s="536">
        <f t="shared" si="101"/>
        <v>0</v>
      </c>
      <c r="Q276" s="536"/>
      <c r="R276" s="536"/>
      <c r="S276" s="536"/>
      <c r="T276" s="536">
        <f t="shared" si="102"/>
        <v>0</v>
      </c>
      <c r="U276" s="536"/>
      <c r="V276" s="536"/>
      <c r="W276" s="536"/>
      <c r="X276" s="536">
        <f t="shared" si="103"/>
        <v>0</v>
      </c>
      <c r="Y276" s="536"/>
      <c r="Z276" s="536"/>
      <c r="AA276" s="536"/>
      <c r="AB276" s="536">
        <f t="shared" si="104"/>
        <v>0</v>
      </c>
      <c r="AC276" s="536"/>
      <c r="AD276" s="536"/>
      <c r="AE276" s="536"/>
      <c r="AF276" s="536">
        <f t="shared" si="105"/>
        <v>0</v>
      </c>
      <c r="AG276" s="536"/>
      <c r="AH276" s="536"/>
      <c r="AI276" s="536"/>
      <c r="AJ276" s="536">
        <f t="shared" si="106"/>
        <v>0</v>
      </c>
      <c r="AK276" s="536"/>
      <c r="AL276" s="536"/>
      <c r="AM276" s="536"/>
      <c r="AN276" s="542">
        <f t="shared" si="107"/>
        <v>0</v>
      </c>
      <c r="AO276" s="536"/>
      <c r="AP276" s="536"/>
      <c r="AQ276" s="536"/>
      <c r="AR276" s="542">
        <f t="shared" si="108"/>
        <v>0</v>
      </c>
      <c r="AS276" s="536"/>
      <c r="AT276" s="536"/>
      <c r="AU276" s="536"/>
      <c r="AV276" s="542">
        <f t="shared" si="109"/>
        <v>0</v>
      </c>
      <c r="AW276" s="536"/>
      <c r="AX276" s="536"/>
      <c r="AY276" s="536"/>
      <c r="AZ276" s="542">
        <f t="shared" si="110"/>
        <v>0</v>
      </c>
      <c r="BA276" s="536"/>
      <c r="BB276" s="536"/>
      <c r="BC276" s="536"/>
      <c r="BD276" s="542">
        <f t="shared" si="111"/>
        <v>0</v>
      </c>
      <c r="BE276" s="536"/>
      <c r="BF276" s="536"/>
      <c r="BG276" s="536"/>
      <c r="BH276" s="542">
        <f t="shared" si="112"/>
        <v>0</v>
      </c>
      <c r="BI276" s="536"/>
      <c r="BJ276" s="536"/>
      <c r="BK276" s="536"/>
      <c r="BL276" s="542">
        <f t="shared" si="113"/>
        <v>0</v>
      </c>
      <c r="BM276" s="536"/>
      <c r="BN276" s="536"/>
      <c r="BO276" s="536"/>
      <c r="BP276" s="542">
        <f t="shared" si="114"/>
        <v>0</v>
      </c>
      <c r="BQ276" s="536"/>
      <c r="BR276" s="536"/>
      <c r="BS276" s="536"/>
      <c r="BT276" s="542">
        <f t="shared" si="115"/>
        <v>0</v>
      </c>
      <c r="BU276" s="536"/>
      <c r="BV276" s="536"/>
      <c r="BW276" s="536"/>
      <c r="BX276" s="542">
        <f t="shared" si="116"/>
        <v>0</v>
      </c>
      <c r="BY276" s="536"/>
      <c r="BZ276" s="536"/>
      <c r="CA276" s="536"/>
      <c r="CB276" s="542">
        <v>0</v>
      </c>
      <c r="CC276" s="536"/>
      <c r="CD276" s="536"/>
      <c r="CE276" s="536"/>
      <c r="CF276" s="541">
        <f t="shared" si="117"/>
        <v>0</v>
      </c>
      <c r="CG276" s="536"/>
      <c r="CH276" s="536"/>
      <c r="CI276" s="536"/>
      <c r="CJ276" s="541">
        <f t="shared" si="118"/>
        <v>0</v>
      </c>
      <c r="CK276" s="536"/>
      <c r="CL276" s="536"/>
      <c r="CM276" s="536"/>
      <c r="CN276" s="541">
        <f t="shared" si="119"/>
        <v>0</v>
      </c>
      <c r="CO276" s="536"/>
      <c r="CP276" s="536"/>
      <c r="CQ276" s="536"/>
      <c r="CR276" s="541">
        <f t="shared" si="120"/>
        <v>0</v>
      </c>
      <c r="CS276" s="536"/>
      <c r="CT276" s="536"/>
      <c r="CU276" s="536"/>
      <c r="CV276" s="541">
        <f t="shared" si="121"/>
        <v>0</v>
      </c>
      <c r="CW276" s="536"/>
      <c r="CX276" s="536"/>
      <c r="CY276" s="536"/>
      <c r="CZ276" s="541">
        <f t="shared" si="122"/>
        <v>0</v>
      </c>
      <c r="DA276" s="536"/>
      <c r="DB276" s="536"/>
      <c r="DC276" s="536"/>
      <c r="DD276" s="541">
        <f t="shared" si="123"/>
        <v>0</v>
      </c>
      <c r="DE276" s="536"/>
      <c r="DF276" s="536"/>
      <c r="DG276" s="536"/>
      <c r="DH276" s="541">
        <f t="shared" si="124"/>
        <v>0</v>
      </c>
      <c r="DI276" s="536"/>
      <c r="DJ276" s="536"/>
      <c r="DK276" s="536"/>
      <c r="DL276" s="541">
        <f t="shared" si="125"/>
        <v>0</v>
      </c>
      <c r="DM276" s="536"/>
      <c r="DN276" s="536"/>
      <c r="DO276" s="536"/>
      <c r="DP276" s="541">
        <f>IF( SUM((DJ276*(20/100))+(DK276*(30/100))+(DL276*(50/100))) &gt;=9.3,9.5,
IF(AND( SUM((DJ276*(20/100))+(DK276*(30/100))+(DL276*(50/100))) &lt;=9.3, SUM((DJ276*(20/100))+(DK276*(30/100))+(DL276*(50/100))) &gt;=8.8),9,
IF(AND( SUM((DJ276*(20/100))+(DK276*(30/100))+(DL276*(50/100))) &lt;=8.8, SUM((DJ276*(20/100))+(DK276*(30/100))+(DL276*(50/100))) &gt;=8.3),8.5,
IF(AND( SUM((DJ276*(20/100))+(DK276*(30/100))+(DL276*(50/100))) &lt;=8.3, SUM((DJ276*(20/100))+(DK276*(30/100))+(DL276*(50/100))) &gt;=7.8),8,
IF(AND( SUM((DJ276*(20/100))+(DK276*(30/100))+(DL276*(50/100))) &lt;=7.8, SUM((DJ276*(20/100))+(DK276*(30/100))+(DL276*(50/100))) &gt;=7.3),7.5,
IF(AND( SUM((DJ276*(20/100))+(DK276*(30/100))+(DL276*(50/100))) &lt;=7.3, SUM((DJ276*(20/100))+(DK276*(30/100))+(DL276*(50/100))) &gt;=6.8),7,
IF(AND( SUM((DJ276*(20/100))+(DK276*(30/100))+(DL276*(50/100))) &lt;=6.8, SUM((DJ276*(20/100))+(DK276*(30/100))+(DL276*(50/100))) &gt;=6.3),6.5,
IF(AND( SUM((DJ276*(20/100))+(DK276*(30/100))+(DL276*(50/100))) &lt;=6.3, SUM((DJ276*(20/100))+(DK276*(30/100))+(DL276*(50/100))) &gt;=5.8),6,
IF(AND( SUM((DJ276*(20/100))+(DK276*(30/100))+(DL276*(50/100))) &lt;=5.8, SUM((DJ276*(20/100))+(DK276*(30/100))+(DL276*(50/100))) &gt;=5.3),5.5,
IF(AND( SUM((DJ276*(20/100))+(DK276*(30/100))+(DL276*(50/100))) &lt;=5.3, SUM((DJ276*(20/100))+(DK276*(30/100))+(DL276*(50/100))) &gt;=4.8),5,
IF(AND( SUM((DJ276*(20/100))+(DK276*(30/100))+(DL276*(50/100))) &lt;=4.8, SUM((DJ276*(20/100))+(DK276*(30/100))+(DL276*(50/100))) &gt;=4.3),4.5,
IF(AND( SUM((DJ276*(20/100))+(DK276*(30/100))+(DL276*(50/100))) &lt;=4.3, SUM((DJ276*(20/100))+(DK276*(30/100))+(DL276*(50/100))) &gt;=3.8),4,
IF(AND( SUM((DJ276*(20/100))+(DK276*(30/100))+(DL276*(50/100))) &lt;=3.8, SUM((DJ276*(20/100))+(DK276*(30/100))+(DL276*(50/100))) &gt;=3.5),3.5,0)))))))))))))</f>
        <v>0</v>
      </c>
      <c r="DQ276" s="541"/>
      <c r="DR276" s="541"/>
      <c r="DS276" s="541"/>
      <c r="DT276" s="541"/>
      <c r="DU276" s="541"/>
      <c r="DV276" s="541"/>
      <c r="DW276" s="541"/>
      <c r="DX276" s="541"/>
      <c r="DY276" s="541"/>
      <c r="DZ276" s="541"/>
    </row>
    <row r="277" spans="2:130" x14ac:dyDescent="0.25">
      <c r="B277" s="334">
        <v>20</v>
      </c>
      <c r="C277" s="541"/>
      <c r="D277" s="334"/>
      <c r="E277" s="334"/>
      <c r="F277" s="334"/>
      <c r="G277" s="334"/>
      <c r="H277" s="334"/>
      <c r="I277" s="334"/>
      <c r="J277" s="536"/>
      <c r="K277" s="536"/>
      <c r="L277" s="536"/>
      <c r="M277" s="536"/>
      <c r="N277" s="536"/>
      <c r="O277" s="536"/>
      <c r="P277" s="536">
        <f t="shared" si="101"/>
        <v>0</v>
      </c>
      <c r="Q277" s="536"/>
      <c r="R277" s="536"/>
      <c r="S277" s="536"/>
      <c r="T277" s="536">
        <f t="shared" si="102"/>
        <v>0</v>
      </c>
      <c r="U277" s="536"/>
      <c r="V277" s="536"/>
      <c r="W277" s="536"/>
      <c r="X277" s="536">
        <f t="shared" si="103"/>
        <v>0</v>
      </c>
      <c r="Y277" s="536"/>
      <c r="Z277" s="536"/>
      <c r="AA277" s="536"/>
      <c r="AB277" s="536">
        <f t="shared" si="104"/>
        <v>0</v>
      </c>
      <c r="AC277" s="536"/>
      <c r="AD277" s="536"/>
      <c r="AE277" s="536"/>
      <c r="AF277" s="536">
        <f t="shared" si="105"/>
        <v>0</v>
      </c>
      <c r="AG277" s="536"/>
      <c r="AH277" s="536"/>
      <c r="AI277" s="536"/>
      <c r="AJ277" s="536">
        <f t="shared" si="106"/>
        <v>0</v>
      </c>
      <c r="AK277" s="536"/>
      <c r="AL277" s="536"/>
      <c r="AM277" s="536"/>
      <c r="AN277" s="542">
        <f t="shared" si="107"/>
        <v>0</v>
      </c>
      <c r="AO277" s="536"/>
      <c r="AP277" s="536"/>
      <c r="AQ277" s="536"/>
      <c r="AR277" s="542">
        <f t="shared" si="108"/>
        <v>0</v>
      </c>
      <c r="AS277" s="536"/>
      <c r="AT277" s="536"/>
      <c r="AU277" s="536"/>
      <c r="AV277" s="542">
        <f t="shared" si="109"/>
        <v>0</v>
      </c>
      <c r="AW277" s="536"/>
      <c r="AX277" s="536"/>
      <c r="AY277" s="536"/>
      <c r="AZ277" s="542">
        <f t="shared" si="110"/>
        <v>0</v>
      </c>
      <c r="BA277" s="536"/>
      <c r="BB277" s="536"/>
      <c r="BC277" s="536"/>
      <c r="BD277" s="542">
        <f t="shared" si="111"/>
        <v>0</v>
      </c>
      <c r="BE277" s="536"/>
      <c r="BF277" s="536"/>
      <c r="BG277" s="536"/>
      <c r="BH277" s="542">
        <f t="shared" si="112"/>
        <v>0</v>
      </c>
      <c r="BI277" s="536"/>
      <c r="BJ277" s="536"/>
      <c r="BK277" s="536"/>
      <c r="BL277" s="542">
        <f t="shared" si="113"/>
        <v>0</v>
      </c>
      <c r="BM277" s="536"/>
      <c r="BN277" s="536"/>
      <c r="BO277" s="536"/>
      <c r="BP277" s="542">
        <f t="shared" si="114"/>
        <v>0</v>
      </c>
      <c r="BQ277" s="536"/>
      <c r="BR277" s="536"/>
      <c r="BS277" s="536"/>
      <c r="BT277" s="542">
        <f t="shared" si="115"/>
        <v>0</v>
      </c>
      <c r="BU277" s="536"/>
      <c r="BV277" s="536"/>
      <c r="BW277" s="536"/>
      <c r="BX277" s="542">
        <f t="shared" si="116"/>
        <v>0</v>
      </c>
      <c r="BY277" s="536"/>
      <c r="BZ277" s="536"/>
      <c r="CA277" s="536"/>
      <c r="CB277" s="542">
        <v>0</v>
      </c>
      <c r="CC277" s="536"/>
      <c r="CD277" s="536"/>
      <c r="CE277" s="536"/>
      <c r="CF277" s="541">
        <f t="shared" si="117"/>
        <v>0</v>
      </c>
      <c r="CG277" s="536"/>
      <c r="CH277" s="536"/>
      <c r="CI277" s="536"/>
      <c r="CJ277" s="541">
        <f t="shared" si="118"/>
        <v>0</v>
      </c>
      <c r="CK277" s="536"/>
      <c r="CL277" s="536"/>
      <c r="CM277" s="536"/>
      <c r="CN277" s="541">
        <f t="shared" si="119"/>
        <v>0</v>
      </c>
      <c r="CO277" s="536"/>
      <c r="CP277" s="536"/>
      <c r="CQ277" s="536"/>
      <c r="CR277" s="541">
        <f t="shared" si="120"/>
        <v>0</v>
      </c>
      <c r="CS277" s="536"/>
      <c r="CT277" s="536"/>
      <c r="CU277" s="536"/>
      <c r="CV277" s="541">
        <f t="shared" si="121"/>
        <v>0</v>
      </c>
      <c r="CW277" s="536"/>
      <c r="CX277" s="536"/>
      <c r="CY277" s="536"/>
      <c r="CZ277" s="541">
        <f t="shared" si="122"/>
        <v>0</v>
      </c>
      <c r="DA277" s="536"/>
      <c r="DB277" s="536"/>
      <c r="DC277" s="536"/>
      <c r="DD277" s="541">
        <f t="shared" si="123"/>
        <v>0</v>
      </c>
      <c r="DE277" s="536"/>
      <c r="DF277" s="536"/>
      <c r="DG277" s="536"/>
      <c r="DH277" s="541">
        <f t="shared" si="124"/>
        <v>0</v>
      </c>
      <c r="DI277" s="536"/>
      <c r="DJ277" s="536"/>
      <c r="DK277" s="536"/>
      <c r="DL277" s="541">
        <f t="shared" si="125"/>
        <v>0</v>
      </c>
      <c r="DM277" s="536"/>
      <c r="DN277" s="536"/>
      <c r="DO277" s="536"/>
      <c r="DP277" s="541">
        <f>IF( SUM((DJ277*(20/100))+(DK277*(30/100))+(DL277*(50/100))) &gt;=9.3,9.5,
IF(AND( SUM((DJ277*(20/100))+(DK277*(30/100))+(DL277*(50/100))) &lt;=9.3, SUM((DJ277*(20/100))+(DK277*(30/100))+(DL277*(50/100))) &gt;=8.8),9,
IF(AND( SUM((DJ277*(20/100))+(DK277*(30/100))+(DL277*(50/100))) &lt;=8.8, SUM((DJ277*(20/100))+(DK277*(30/100))+(DL277*(50/100))) &gt;=8.3),8.5,
IF(AND( SUM((DJ277*(20/100))+(DK277*(30/100))+(DL277*(50/100))) &lt;=8.3, SUM((DJ277*(20/100))+(DK277*(30/100))+(DL277*(50/100))) &gt;=7.8),8,
IF(AND( SUM((DJ277*(20/100))+(DK277*(30/100))+(DL277*(50/100))) &lt;=7.8, SUM((DJ277*(20/100))+(DK277*(30/100))+(DL277*(50/100))) &gt;=7.3),7.5,
IF(AND( SUM((DJ277*(20/100))+(DK277*(30/100))+(DL277*(50/100))) &lt;=7.3, SUM((DJ277*(20/100))+(DK277*(30/100))+(DL277*(50/100))) &gt;=6.8),7,
IF(AND( SUM((DJ277*(20/100))+(DK277*(30/100))+(DL277*(50/100))) &lt;=6.8, SUM((DJ277*(20/100))+(DK277*(30/100))+(DL277*(50/100))) &gt;=6.3),6.5,
IF(AND( SUM((DJ277*(20/100))+(DK277*(30/100))+(DL277*(50/100))) &lt;=6.3, SUM((DJ277*(20/100))+(DK277*(30/100))+(DL277*(50/100))) &gt;=5.8),6,
IF(AND( SUM((DJ277*(20/100))+(DK277*(30/100))+(DL277*(50/100))) &lt;=5.8, SUM((DJ277*(20/100))+(DK277*(30/100))+(DL277*(50/100))) &gt;=5.3),5.5,
IF(AND( SUM((DJ277*(20/100))+(DK277*(30/100))+(DL277*(50/100))) &lt;=5.3, SUM((DJ277*(20/100))+(DK277*(30/100))+(DL277*(50/100))) &gt;=4.8),5,
IF(AND( SUM((DJ277*(20/100))+(DK277*(30/100))+(DL277*(50/100))) &lt;=4.8, SUM((DJ277*(20/100))+(DK277*(30/100))+(DL277*(50/100))) &gt;=4.3),4.5,
IF(AND( SUM((DJ277*(20/100))+(DK277*(30/100))+(DL277*(50/100))) &lt;=4.3, SUM((DJ277*(20/100))+(DK277*(30/100))+(DL277*(50/100))) &gt;=3.8),4,
IF(AND( SUM((DJ277*(20/100))+(DK277*(30/100))+(DL277*(50/100))) &lt;=3.8, SUM((DJ277*(20/100))+(DK277*(30/100))+(DL277*(50/100))) &gt;=3.5),3.5,0)))))))))))))</f>
        <v>0</v>
      </c>
      <c r="DQ277" s="541"/>
      <c r="DR277" s="541"/>
      <c r="DS277" s="541"/>
      <c r="DT277" s="541"/>
      <c r="DU277" s="541"/>
      <c r="DV277" s="541"/>
      <c r="DW277" s="541"/>
      <c r="DX277" s="541"/>
      <c r="DY277" s="541"/>
      <c r="DZ277" s="541"/>
    </row>
    <row r="278" spans="2:130" x14ac:dyDescent="0.25">
      <c r="B278" s="334">
        <v>21</v>
      </c>
      <c r="C278" s="541"/>
      <c r="D278" s="334"/>
      <c r="E278" s="334"/>
      <c r="F278" s="334"/>
      <c r="G278" s="334"/>
      <c r="H278" s="334"/>
      <c r="I278" s="334"/>
      <c r="J278" s="536"/>
      <c r="K278" s="536"/>
      <c r="L278" s="536"/>
      <c r="M278" s="536"/>
      <c r="N278" s="536"/>
      <c r="O278" s="536"/>
      <c r="P278" s="536">
        <f t="shared" si="101"/>
        <v>0</v>
      </c>
      <c r="Q278" s="536"/>
      <c r="R278" s="536"/>
      <c r="S278" s="536"/>
      <c r="T278" s="536">
        <f t="shared" si="102"/>
        <v>0</v>
      </c>
      <c r="U278" s="536"/>
      <c r="V278" s="536"/>
      <c r="W278" s="536"/>
      <c r="X278" s="536">
        <f t="shared" si="103"/>
        <v>0</v>
      </c>
      <c r="Y278" s="536"/>
      <c r="Z278" s="536"/>
      <c r="AA278" s="536"/>
      <c r="AB278" s="536">
        <f t="shared" si="104"/>
        <v>0</v>
      </c>
      <c r="AC278" s="536"/>
      <c r="AD278" s="536"/>
      <c r="AE278" s="536"/>
      <c r="AF278" s="536">
        <f t="shared" si="105"/>
        <v>0</v>
      </c>
      <c r="AG278" s="536"/>
      <c r="AH278" s="536"/>
      <c r="AI278" s="536"/>
      <c r="AJ278" s="536">
        <f t="shared" si="106"/>
        <v>0</v>
      </c>
      <c r="AK278" s="536"/>
      <c r="AL278" s="536"/>
      <c r="AM278" s="536"/>
      <c r="AN278" s="542">
        <f t="shared" si="107"/>
        <v>0</v>
      </c>
      <c r="AO278" s="536"/>
      <c r="AP278" s="536"/>
      <c r="AQ278" s="536"/>
      <c r="AR278" s="542">
        <f t="shared" si="108"/>
        <v>0</v>
      </c>
      <c r="AS278" s="536"/>
      <c r="AT278" s="536"/>
      <c r="AU278" s="536"/>
      <c r="AV278" s="542">
        <f t="shared" si="109"/>
        <v>0</v>
      </c>
      <c r="AW278" s="536"/>
      <c r="AX278" s="536"/>
      <c r="AY278" s="536"/>
      <c r="AZ278" s="542">
        <f t="shared" si="110"/>
        <v>0</v>
      </c>
      <c r="BA278" s="536"/>
      <c r="BB278" s="536"/>
      <c r="BC278" s="536"/>
      <c r="BD278" s="542">
        <f t="shared" si="111"/>
        <v>0</v>
      </c>
      <c r="BE278" s="536"/>
      <c r="BF278" s="536"/>
      <c r="BG278" s="536"/>
      <c r="BH278" s="542">
        <f t="shared" si="112"/>
        <v>0</v>
      </c>
      <c r="BI278" s="536"/>
      <c r="BJ278" s="536"/>
      <c r="BK278" s="536"/>
      <c r="BL278" s="542">
        <f t="shared" si="113"/>
        <v>0</v>
      </c>
      <c r="BM278" s="536"/>
      <c r="BN278" s="536"/>
      <c r="BO278" s="536"/>
      <c r="BP278" s="542">
        <f t="shared" si="114"/>
        <v>0</v>
      </c>
      <c r="BQ278" s="536"/>
      <c r="BR278" s="536"/>
      <c r="BS278" s="536"/>
      <c r="BT278" s="542">
        <f t="shared" si="115"/>
        <v>0</v>
      </c>
      <c r="BU278" s="536"/>
      <c r="BV278" s="536"/>
      <c r="BW278" s="536"/>
      <c r="BX278" s="542">
        <f t="shared" si="116"/>
        <v>0</v>
      </c>
      <c r="BY278" s="536"/>
      <c r="BZ278" s="536"/>
      <c r="CA278" s="536"/>
      <c r="CB278" s="542">
        <v>0</v>
      </c>
      <c r="CC278" s="536"/>
      <c r="CD278" s="536"/>
      <c r="CE278" s="536"/>
      <c r="CF278" s="541">
        <f t="shared" si="117"/>
        <v>0</v>
      </c>
      <c r="CG278" s="536"/>
      <c r="CH278" s="536"/>
      <c r="CI278" s="536"/>
      <c r="CJ278" s="541">
        <f t="shared" si="118"/>
        <v>0</v>
      </c>
      <c r="CK278" s="536"/>
      <c r="CL278" s="536"/>
      <c r="CM278" s="536"/>
      <c r="CN278" s="541">
        <f t="shared" si="119"/>
        <v>0</v>
      </c>
      <c r="CO278" s="536"/>
      <c r="CP278" s="536"/>
      <c r="CQ278" s="536"/>
      <c r="CR278" s="541">
        <f t="shared" si="120"/>
        <v>0</v>
      </c>
      <c r="CS278" s="536"/>
      <c r="CT278" s="536"/>
      <c r="CU278" s="536"/>
      <c r="CV278" s="541">
        <f t="shared" si="121"/>
        <v>0</v>
      </c>
      <c r="CW278" s="536"/>
      <c r="CX278" s="536"/>
      <c r="CY278" s="536"/>
      <c r="CZ278" s="541">
        <f t="shared" si="122"/>
        <v>0</v>
      </c>
      <c r="DA278" s="536"/>
      <c r="DB278" s="536"/>
      <c r="DC278" s="536"/>
      <c r="DD278" s="541">
        <f t="shared" si="123"/>
        <v>0</v>
      </c>
      <c r="DE278" s="536"/>
      <c r="DF278" s="536"/>
      <c r="DG278" s="536"/>
      <c r="DH278" s="541">
        <f t="shared" si="124"/>
        <v>0</v>
      </c>
      <c r="DI278" s="536"/>
      <c r="DJ278" s="536"/>
      <c r="DK278" s="536"/>
      <c r="DL278" s="541">
        <f t="shared" si="125"/>
        <v>0</v>
      </c>
      <c r="DM278" s="536"/>
      <c r="DN278" s="536"/>
      <c r="DO278" s="536"/>
      <c r="DP278" s="541">
        <f>IF( SUM((DJ278*(20/100))+(DK278*(30/100))+(DL278*(50/100))) &gt;=9.3,9.5,
IF(AND( SUM((DJ278*(20/100))+(DK278*(30/100))+(DL278*(50/100))) &lt;=9.3, SUM((DJ278*(20/100))+(DK278*(30/100))+(DL278*(50/100))) &gt;=8.8),9,
IF(AND( SUM((DJ278*(20/100))+(DK278*(30/100))+(DL278*(50/100))) &lt;=8.8, SUM((DJ278*(20/100))+(DK278*(30/100))+(DL278*(50/100))) &gt;=8.3),8.5,
IF(AND( SUM((DJ278*(20/100))+(DK278*(30/100))+(DL278*(50/100))) &lt;=8.3, SUM((DJ278*(20/100))+(DK278*(30/100))+(DL278*(50/100))) &gt;=7.8),8,
IF(AND( SUM((DJ278*(20/100))+(DK278*(30/100))+(DL278*(50/100))) &lt;=7.8, SUM((DJ278*(20/100))+(DK278*(30/100))+(DL278*(50/100))) &gt;=7.3),7.5,
IF(AND( SUM((DJ278*(20/100))+(DK278*(30/100))+(DL278*(50/100))) &lt;=7.3, SUM((DJ278*(20/100))+(DK278*(30/100))+(DL278*(50/100))) &gt;=6.8),7,
IF(AND( SUM((DJ278*(20/100))+(DK278*(30/100))+(DL278*(50/100))) &lt;=6.8, SUM((DJ278*(20/100))+(DK278*(30/100))+(DL278*(50/100))) &gt;=6.3),6.5,
IF(AND( SUM((DJ278*(20/100))+(DK278*(30/100))+(DL278*(50/100))) &lt;=6.3, SUM((DJ278*(20/100))+(DK278*(30/100))+(DL278*(50/100))) &gt;=5.8),6,
IF(AND( SUM((DJ278*(20/100))+(DK278*(30/100))+(DL278*(50/100))) &lt;=5.8, SUM((DJ278*(20/100))+(DK278*(30/100))+(DL278*(50/100))) &gt;=5.3),5.5,
IF(AND( SUM((DJ278*(20/100))+(DK278*(30/100))+(DL278*(50/100))) &lt;=5.3, SUM((DJ278*(20/100))+(DK278*(30/100))+(DL278*(50/100))) &gt;=4.8),5,
IF(AND( SUM((DJ278*(20/100))+(DK278*(30/100))+(DL278*(50/100))) &lt;=4.8, SUM((DJ278*(20/100))+(DK278*(30/100))+(DL278*(50/100))) &gt;=4.3),4.5,
IF(AND( SUM((DJ278*(20/100))+(DK278*(30/100))+(DL278*(50/100))) &lt;=4.3, SUM((DJ278*(20/100))+(DK278*(30/100))+(DL278*(50/100))) &gt;=3.8),4,
IF(AND( SUM((DJ278*(20/100))+(DK278*(30/100))+(DL278*(50/100))) &lt;=3.8, SUM((DJ278*(20/100))+(DK278*(30/100))+(DL278*(50/100))) &gt;=3.5),3.5,0)))))))))))))</f>
        <v>0</v>
      </c>
      <c r="DQ278" s="541"/>
      <c r="DR278" s="541"/>
      <c r="DS278" s="541"/>
      <c r="DT278" s="541"/>
      <c r="DU278" s="541"/>
      <c r="DV278" s="541"/>
      <c r="DW278" s="541"/>
      <c r="DX278" s="541"/>
      <c r="DY278" s="541"/>
      <c r="DZ278" s="541"/>
    </row>
    <row r="279" spans="2:130" x14ac:dyDescent="0.25">
      <c r="B279" s="334">
        <v>22</v>
      </c>
      <c r="C279" s="541"/>
      <c r="D279" s="334"/>
      <c r="E279" s="334"/>
      <c r="F279" s="334"/>
      <c r="G279" s="334"/>
      <c r="H279" s="334"/>
      <c r="I279" s="334"/>
      <c r="J279" s="536"/>
      <c r="K279" s="536"/>
      <c r="L279" s="536"/>
      <c r="M279" s="536"/>
      <c r="N279" s="536"/>
      <c r="O279" s="536"/>
      <c r="P279" s="536">
        <f t="shared" si="101"/>
        <v>0</v>
      </c>
      <c r="Q279" s="536"/>
      <c r="R279" s="536"/>
      <c r="S279" s="536"/>
      <c r="T279" s="536">
        <f t="shared" si="102"/>
        <v>0</v>
      </c>
      <c r="U279" s="536"/>
      <c r="V279" s="536"/>
      <c r="W279" s="536"/>
      <c r="X279" s="536">
        <f t="shared" si="103"/>
        <v>0</v>
      </c>
      <c r="Y279" s="536"/>
      <c r="Z279" s="536"/>
      <c r="AA279" s="536"/>
      <c r="AB279" s="536">
        <f t="shared" si="104"/>
        <v>0</v>
      </c>
      <c r="AC279" s="536"/>
      <c r="AD279" s="536"/>
      <c r="AE279" s="536"/>
      <c r="AF279" s="536">
        <f t="shared" si="105"/>
        <v>0</v>
      </c>
      <c r="AG279" s="536"/>
      <c r="AH279" s="536"/>
      <c r="AI279" s="536"/>
      <c r="AJ279" s="536">
        <f t="shared" si="106"/>
        <v>0</v>
      </c>
      <c r="AK279" s="536"/>
      <c r="AL279" s="536"/>
      <c r="AM279" s="536"/>
      <c r="AN279" s="542">
        <f t="shared" si="107"/>
        <v>0</v>
      </c>
      <c r="AO279" s="536"/>
      <c r="AP279" s="536"/>
      <c r="AQ279" s="536"/>
      <c r="AR279" s="542">
        <f t="shared" si="108"/>
        <v>0</v>
      </c>
      <c r="AS279" s="536"/>
      <c r="AT279" s="536"/>
      <c r="AU279" s="536"/>
      <c r="AV279" s="542">
        <f t="shared" si="109"/>
        <v>0</v>
      </c>
      <c r="AW279" s="536"/>
      <c r="AX279" s="536"/>
      <c r="AY279" s="536"/>
      <c r="AZ279" s="542">
        <f t="shared" si="110"/>
        <v>0</v>
      </c>
      <c r="BA279" s="536"/>
      <c r="BB279" s="536"/>
      <c r="BC279" s="536"/>
      <c r="BD279" s="542">
        <f t="shared" si="111"/>
        <v>0</v>
      </c>
      <c r="BE279" s="536"/>
      <c r="BF279" s="536"/>
      <c r="BG279" s="536"/>
      <c r="BH279" s="542">
        <f t="shared" si="112"/>
        <v>0</v>
      </c>
      <c r="BI279" s="536"/>
      <c r="BJ279" s="536"/>
      <c r="BK279" s="536"/>
      <c r="BL279" s="542">
        <f t="shared" si="113"/>
        <v>0</v>
      </c>
      <c r="BM279" s="536"/>
      <c r="BN279" s="536"/>
      <c r="BO279" s="536"/>
      <c r="BP279" s="542">
        <f t="shared" si="114"/>
        <v>0</v>
      </c>
      <c r="BQ279" s="536"/>
      <c r="BR279" s="536"/>
      <c r="BS279" s="536"/>
      <c r="BT279" s="542">
        <f t="shared" si="115"/>
        <v>0</v>
      </c>
      <c r="BU279" s="536"/>
      <c r="BV279" s="536"/>
      <c r="BW279" s="536"/>
      <c r="BX279" s="542">
        <f t="shared" si="116"/>
        <v>0</v>
      </c>
      <c r="BY279" s="536"/>
      <c r="BZ279" s="536"/>
      <c r="CA279" s="536"/>
      <c r="CB279" s="542">
        <v>0</v>
      </c>
      <c r="CC279" s="536"/>
      <c r="CD279" s="536"/>
      <c r="CE279" s="536"/>
      <c r="CF279" s="541">
        <f t="shared" si="117"/>
        <v>0</v>
      </c>
      <c r="CG279" s="536"/>
      <c r="CH279" s="536"/>
      <c r="CI279" s="536"/>
      <c r="CJ279" s="541">
        <f t="shared" si="118"/>
        <v>0</v>
      </c>
      <c r="CK279" s="536"/>
      <c r="CL279" s="536"/>
      <c r="CM279" s="536"/>
      <c r="CN279" s="541">
        <f t="shared" si="119"/>
        <v>0</v>
      </c>
      <c r="CO279" s="536"/>
      <c r="CP279" s="536"/>
      <c r="CQ279" s="536"/>
      <c r="CR279" s="541">
        <f t="shared" si="120"/>
        <v>0</v>
      </c>
      <c r="CS279" s="536"/>
      <c r="CT279" s="536"/>
      <c r="CU279" s="536"/>
      <c r="CV279" s="541">
        <f t="shared" si="121"/>
        <v>0</v>
      </c>
      <c r="CW279" s="536"/>
      <c r="CX279" s="536"/>
      <c r="CY279" s="536"/>
      <c r="CZ279" s="541">
        <f t="shared" si="122"/>
        <v>0</v>
      </c>
      <c r="DA279" s="536"/>
      <c r="DB279" s="536"/>
      <c r="DC279" s="536"/>
      <c r="DD279" s="541">
        <f t="shared" si="123"/>
        <v>0</v>
      </c>
      <c r="DE279" s="536"/>
      <c r="DF279" s="536"/>
      <c r="DG279" s="536"/>
      <c r="DH279" s="541">
        <f t="shared" si="124"/>
        <v>0</v>
      </c>
      <c r="DI279" s="536"/>
      <c r="DJ279" s="536"/>
      <c r="DK279" s="536"/>
      <c r="DL279" s="541">
        <f t="shared" si="125"/>
        <v>0</v>
      </c>
      <c r="DM279" s="536"/>
      <c r="DN279" s="536"/>
      <c r="DO279" s="536"/>
      <c r="DP279" s="541">
        <f>IF( SUM((DJ279*(20/100))+(DK279*(30/100))+(DL279*(50/100))) &gt;=9.3,9.5,
IF(AND( SUM((DJ279*(20/100))+(DK279*(30/100))+(DL279*(50/100))) &lt;=9.3, SUM((DJ279*(20/100))+(DK279*(30/100))+(DL279*(50/100))) &gt;=8.8),9,
IF(AND( SUM((DJ279*(20/100))+(DK279*(30/100))+(DL279*(50/100))) &lt;=8.8, SUM((DJ279*(20/100))+(DK279*(30/100))+(DL279*(50/100))) &gt;=8.3),8.5,
IF(AND( SUM((DJ279*(20/100))+(DK279*(30/100))+(DL279*(50/100))) &lt;=8.3, SUM((DJ279*(20/100))+(DK279*(30/100))+(DL279*(50/100))) &gt;=7.8),8,
IF(AND( SUM((DJ279*(20/100))+(DK279*(30/100))+(DL279*(50/100))) &lt;=7.8, SUM((DJ279*(20/100))+(DK279*(30/100))+(DL279*(50/100))) &gt;=7.3),7.5,
IF(AND( SUM((DJ279*(20/100))+(DK279*(30/100))+(DL279*(50/100))) &lt;=7.3, SUM((DJ279*(20/100))+(DK279*(30/100))+(DL279*(50/100))) &gt;=6.8),7,
IF(AND( SUM((DJ279*(20/100))+(DK279*(30/100))+(DL279*(50/100))) &lt;=6.8, SUM((DJ279*(20/100))+(DK279*(30/100))+(DL279*(50/100))) &gt;=6.3),6.5,
IF(AND( SUM((DJ279*(20/100))+(DK279*(30/100))+(DL279*(50/100))) &lt;=6.3, SUM((DJ279*(20/100))+(DK279*(30/100))+(DL279*(50/100))) &gt;=5.8),6,
IF(AND( SUM((DJ279*(20/100))+(DK279*(30/100))+(DL279*(50/100))) &lt;=5.8, SUM((DJ279*(20/100))+(DK279*(30/100))+(DL279*(50/100))) &gt;=5.3),5.5,
IF(AND( SUM((DJ279*(20/100))+(DK279*(30/100))+(DL279*(50/100))) &lt;=5.3, SUM((DJ279*(20/100))+(DK279*(30/100))+(DL279*(50/100))) &gt;=4.8),5,
IF(AND( SUM((DJ279*(20/100))+(DK279*(30/100))+(DL279*(50/100))) &lt;=4.8, SUM((DJ279*(20/100))+(DK279*(30/100))+(DL279*(50/100))) &gt;=4.3),4.5,
IF(AND( SUM((DJ279*(20/100))+(DK279*(30/100))+(DL279*(50/100))) &lt;=4.3, SUM((DJ279*(20/100))+(DK279*(30/100))+(DL279*(50/100))) &gt;=3.8),4,
IF(AND( SUM((DJ279*(20/100))+(DK279*(30/100))+(DL279*(50/100))) &lt;=3.8, SUM((DJ279*(20/100))+(DK279*(30/100))+(DL279*(50/100))) &gt;=3.5),3.5,0)))))))))))))</f>
        <v>0</v>
      </c>
      <c r="DQ279" s="541"/>
      <c r="DR279" s="541"/>
      <c r="DS279" s="541"/>
      <c r="DT279" s="541"/>
      <c r="DU279" s="541"/>
      <c r="DV279" s="541"/>
      <c r="DW279" s="541"/>
      <c r="DX279" s="541"/>
      <c r="DY279" s="541"/>
      <c r="DZ279" s="541"/>
    </row>
    <row r="280" spans="2:130" x14ac:dyDescent="0.25">
      <c r="B280" s="334">
        <v>23</v>
      </c>
      <c r="C280" s="541"/>
      <c r="D280" s="334"/>
      <c r="E280" s="334"/>
      <c r="F280" s="334"/>
      <c r="G280" s="334"/>
      <c r="H280" s="334"/>
      <c r="I280" s="334"/>
      <c r="J280" s="536"/>
      <c r="K280" s="536"/>
      <c r="L280" s="536"/>
      <c r="M280" s="536"/>
      <c r="N280" s="536"/>
      <c r="O280" s="536"/>
      <c r="P280" s="536">
        <f t="shared" si="101"/>
        <v>0</v>
      </c>
      <c r="Q280" s="536"/>
      <c r="R280" s="536"/>
      <c r="S280" s="536"/>
      <c r="T280" s="536">
        <f t="shared" si="102"/>
        <v>0</v>
      </c>
      <c r="U280" s="536"/>
      <c r="V280" s="536"/>
      <c r="W280" s="536"/>
      <c r="X280" s="536">
        <f t="shared" si="103"/>
        <v>0</v>
      </c>
      <c r="Y280" s="536"/>
      <c r="Z280" s="536"/>
      <c r="AA280" s="536"/>
      <c r="AB280" s="536">
        <f t="shared" si="104"/>
        <v>0</v>
      </c>
      <c r="AC280" s="536"/>
      <c r="AD280" s="536"/>
      <c r="AE280" s="536"/>
      <c r="AF280" s="536">
        <f t="shared" si="105"/>
        <v>0</v>
      </c>
      <c r="AG280" s="536"/>
      <c r="AH280" s="536"/>
      <c r="AI280" s="536"/>
      <c r="AJ280" s="536">
        <f t="shared" si="106"/>
        <v>0</v>
      </c>
      <c r="AK280" s="536"/>
      <c r="AL280" s="536"/>
      <c r="AM280" s="536"/>
      <c r="AN280" s="542">
        <f t="shared" si="107"/>
        <v>0</v>
      </c>
      <c r="AO280" s="536"/>
      <c r="AP280" s="536"/>
      <c r="AQ280" s="536"/>
      <c r="AR280" s="542">
        <f t="shared" si="108"/>
        <v>0</v>
      </c>
      <c r="AS280" s="536"/>
      <c r="AT280" s="536"/>
      <c r="AU280" s="536"/>
      <c r="AV280" s="542">
        <f t="shared" si="109"/>
        <v>0</v>
      </c>
      <c r="AW280" s="536"/>
      <c r="AX280" s="536"/>
      <c r="AY280" s="536"/>
      <c r="AZ280" s="542">
        <f t="shared" si="110"/>
        <v>0</v>
      </c>
      <c r="BA280" s="536"/>
      <c r="BB280" s="536"/>
      <c r="BC280" s="536"/>
      <c r="BD280" s="542">
        <f t="shared" si="111"/>
        <v>0</v>
      </c>
      <c r="BE280" s="536"/>
      <c r="BF280" s="536"/>
      <c r="BG280" s="536"/>
      <c r="BH280" s="542">
        <f t="shared" si="112"/>
        <v>0</v>
      </c>
      <c r="BI280" s="536"/>
      <c r="BJ280" s="536"/>
      <c r="BK280" s="536"/>
      <c r="BL280" s="542">
        <f t="shared" si="113"/>
        <v>0</v>
      </c>
      <c r="BM280" s="536"/>
      <c r="BN280" s="536"/>
      <c r="BO280" s="536"/>
      <c r="BP280" s="542">
        <f t="shared" si="114"/>
        <v>0</v>
      </c>
      <c r="BQ280" s="536"/>
      <c r="BR280" s="536"/>
      <c r="BS280" s="536"/>
      <c r="BT280" s="542">
        <f t="shared" si="115"/>
        <v>0</v>
      </c>
      <c r="BU280" s="536"/>
      <c r="BV280" s="536"/>
      <c r="BW280" s="536"/>
      <c r="BX280" s="542">
        <f t="shared" si="116"/>
        <v>0</v>
      </c>
      <c r="BY280" s="536"/>
      <c r="BZ280" s="536"/>
      <c r="CA280" s="536"/>
      <c r="CB280" s="542">
        <v>0</v>
      </c>
      <c r="CC280" s="536"/>
      <c r="CD280" s="536"/>
      <c r="CE280" s="536"/>
      <c r="CF280" s="541">
        <f t="shared" si="117"/>
        <v>0</v>
      </c>
      <c r="CG280" s="536"/>
      <c r="CH280" s="536"/>
      <c r="CI280" s="536"/>
      <c r="CJ280" s="541">
        <f t="shared" si="118"/>
        <v>0</v>
      </c>
      <c r="CK280" s="536"/>
      <c r="CL280" s="536"/>
      <c r="CM280" s="536"/>
      <c r="CN280" s="541">
        <f t="shared" si="119"/>
        <v>0</v>
      </c>
      <c r="CO280" s="536"/>
      <c r="CP280" s="536"/>
      <c r="CQ280" s="536"/>
      <c r="CR280" s="541">
        <f t="shared" si="120"/>
        <v>0</v>
      </c>
      <c r="CS280" s="536"/>
      <c r="CT280" s="536"/>
      <c r="CU280" s="536"/>
      <c r="CV280" s="541">
        <f t="shared" si="121"/>
        <v>0</v>
      </c>
      <c r="CW280" s="536"/>
      <c r="CX280" s="536"/>
      <c r="CY280" s="536"/>
      <c r="CZ280" s="541">
        <f t="shared" si="122"/>
        <v>0</v>
      </c>
      <c r="DA280" s="536"/>
      <c r="DB280" s="536"/>
      <c r="DC280" s="536"/>
      <c r="DD280" s="541">
        <f t="shared" si="123"/>
        <v>0</v>
      </c>
      <c r="DE280" s="536"/>
      <c r="DF280" s="536"/>
      <c r="DG280" s="536"/>
      <c r="DH280" s="541">
        <f t="shared" si="124"/>
        <v>0</v>
      </c>
      <c r="DI280" s="536"/>
      <c r="DJ280" s="536"/>
      <c r="DK280" s="536"/>
      <c r="DL280" s="541">
        <f t="shared" si="125"/>
        <v>0</v>
      </c>
      <c r="DM280" s="536"/>
      <c r="DN280" s="536"/>
      <c r="DO280" s="536"/>
      <c r="DP280" s="541">
        <f>IF( SUM((DJ280*(20/100))+(DK280*(30/100))+(DL280*(50/100))) &gt;=9.3,9.5,
IF(AND( SUM((DJ280*(20/100))+(DK280*(30/100))+(DL280*(50/100))) &lt;=9.3, SUM((DJ280*(20/100))+(DK280*(30/100))+(DL280*(50/100))) &gt;=8.8),9,
IF(AND( SUM((DJ280*(20/100))+(DK280*(30/100))+(DL280*(50/100))) &lt;=8.8, SUM((DJ280*(20/100))+(DK280*(30/100))+(DL280*(50/100))) &gt;=8.3),8.5,
IF(AND( SUM((DJ280*(20/100))+(DK280*(30/100))+(DL280*(50/100))) &lt;=8.3, SUM((DJ280*(20/100))+(DK280*(30/100))+(DL280*(50/100))) &gt;=7.8),8,
IF(AND( SUM((DJ280*(20/100))+(DK280*(30/100))+(DL280*(50/100))) &lt;=7.8, SUM((DJ280*(20/100))+(DK280*(30/100))+(DL280*(50/100))) &gt;=7.3),7.5,
IF(AND( SUM((DJ280*(20/100))+(DK280*(30/100))+(DL280*(50/100))) &lt;=7.3, SUM((DJ280*(20/100))+(DK280*(30/100))+(DL280*(50/100))) &gt;=6.8),7,
IF(AND( SUM((DJ280*(20/100))+(DK280*(30/100))+(DL280*(50/100))) &lt;=6.8, SUM((DJ280*(20/100))+(DK280*(30/100))+(DL280*(50/100))) &gt;=6.3),6.5,
IF(AND( SUM((DJ280*(20/100))+(DK280*(30/100))+(DL280*(50/100))) &lt;=6.3, SUM((DJ280*(20/100))+(DK280*(30/100))+(DL280*(50/100))) &gt;=5.8),6,
IF(AND( SUM((DJ280*(20/100))+(DK280*(30/100))+(DL280*(50/100))) &lt;=5.8, SUM((DJ280*(20/100))+(DK280*(30/100))+(DL280*(50/100))) &gt;=5.3),5.5,
IF(AND( SUM((DJ280*(20/100))+(DK280*(30/100))+(DL280*(50/100))) &lt;=5.3, SUM((DJ280*(20/100))+(DK280*(30/100))+(DL280*(50/100))) &gt;=4.8),5,
IF(AND( SUM((DJ280*(20/100))+(DK280*(30/100))+(DL280*(50/100))) &lt;=4.8, SUM((DJ280*(20/100))+(DK280*(30/100))+(DL280*(50/100))) &gt;=4.3),4.5,
IF(AND( SUM((DJ280*(20/100))+(DK280*(30/100))+(DL280*(50/100))) &lt;=4.3, SUM((DJ280*(20/100))+(DK280*(30/100))+(DL280*(50/100))) &gt;=3.8),4,
IF(AND( SUM((DJ280*(20/100))+(DK280*(30/100))+(DL280*(50/100))) &lt;=3.8, SUM((DJ280*(20/100))+(DK280*(30/100))+(DL280*(50/100))) &gt;=3.5),3.5,0)))))))))))))</f>
        <v>0</v>
      </c>
      <c r="DQ280" s="541"/>
      <c r="DR280" s="541"/>
      <c r="DS280" s="541"/>
      <c r="DT280" s="541"/>
      <c r="DU280" s="541"/>
      <c r="DV280" s="541"/>
      <c r="DW280" s="541"/>
      <c r="DX280" s="541"/>
      <c r="DY280" s="541"/>
      <c r="DZ280" s="541"/>
    </row>
    <row r="281" spans="2:130" x14ac:dyDescent="0.25">
      <c r="B281" s="334">
        <v>24</v>
      </c>
      <c r="C281" s="541"/>
      <c r="D281" s="334"/>
      <c r="E281" s="334"/>
      <c r="F281" s="334"/>
      <c r="G281" s="334"/>
      <c r="H281" s="334"/>
      <c r="I281" s="334"/>
      <c r="J281" s="536"/>
      <c r="K281" s="536"/>
      <c r="L281" s="536"/>
      <c r="M281" s="536"/>
      <c r="N281" s="536"/>
      <c r="O281" s="536"/>
      <c r="P281" s="536">
        <f t="shared" si="101"/>
        <v>0</v>
      </c>
      <c r="Q281" s="536"/>
      <c r="R281" s="536"/>
      <c r="S281" s="536"/>
      <c r="T281" s="536">
        <f t="shared" si="102"/>
        <v>0</v>
      </c>
      <c r="U281" s="536"/>
      <c r="V281" s="536"/>
      <c r="W281" s="536"/>
      <c r="X281" s="536">
        <f t="shared" si="103"/>
        <v>0</v>
      </c>
      <c r="Y281" s="536"/>
      <c r="Z281" s="536"/>
      <c r="AA281" s="536"/>
      <c r="AB281" s="536">
        <f t="shared" si="104"/>
        <v>0</v>
      </c>
      <c r="AC281" s="536"/>
      <c r="AD281" s="536"/>
      <c r="AE281" s="536"/>
      <c r="AF281" s="536">
        <f t="shared" si="105"/>
        <v>0</v>
      </c>
      <c r="AG281" s="536"/>
      <c r="AH281" s="536"/>
      <c r="AI281" s="536"/>
      <c r="AJ281" s="536">
        <f t="shared" si="106"/>
        <v>0</v>
      </c>
      <c r="AK281" s="536"/>
      <c r="AL281" s="536"/>
      <c r="AM281" s="536"/>
      <c r="AN281" s="542">
        <f t="shared" si="107"/>
        <v>0</v>
      </c>
      <c r="AO281" s="536"/>
      <c r="AP281" s="536"/>
      <c r="AQ281" s="536"/>
      <c r="AR281" s="542">
        <f t="shared" si="108"/>
        <v>0</v>
      </c>
      <c r="AS281" s="536"/>
      <c r="AT281" s="536"/>
      <c r="AU281" s="536"/>
      <c r="AV281" s="542">
        <f t="shared" si="109"/>
        <v>0</v>
      </c>
      <c r="AW281" s="536"/>
      <c r="AX281" s="536"/>
      <c r="AY281" s="536"/>
      <c r="AZ281" s="542">
        <f t="shared" si="110"/>
        <v>0</v>
      </c>
      <c r="BA281" s="536"/>
      <c r="BB281" s="536"/>
      <c r="BC281" s="536"/>
      <c r="BD281" s="542">
        <f t="shared" si="111"/>
        <v>0</v>
      </c>
      <c r="BE281" s="536"/>
      <c r="BF281" s="536"/>
      <c r="BG281" s="536"/>
      <c r="BH281" s="542">
        <f t="shared" si="112"/>
        <v>0</v>
      </c>
      <c r="BI281" s="536"/>
      <c r="BJ281" s="536"/>
      <c r="BK281" s="536"/>
      <c r="BL281" s="542">
        <f t="shared" si="113"/>
        <v>0</v>
      </c>
      <c r="BM281" s="536"/>
      <c r="BN281" s="536"/>
      <c r="BO281" s="536"/>
      <c r="BP281" s="542">
        <f t="shared" si="114"/>
        <v>0</v>
      </c>
      <c r="BQ281" s="536"/>
      <c r="BR281" s="536"/>
      <c r="BS281" s="536"/>
      <c r="BT281" s="542">
        <f t="shared" si="115"/>
        <v>0</v>
      </c>
      <c r="BU281" s="536"/>
      <c r="BV281" s="536"/>
      <c r="BW281" s="536"/>
      <c r="BX281" s="542">
        <f t="shared" si="116"/>
        <v>0</v>
      </c>
      <c r="BY281" s="536"/>
      <c r="BZ281" s="536"/>
      <c r="CA281" s="536"/>
      <c r="CB281" s="542">
        <v>0</v>
      </c>
      <c r="CC281" s="536"/>
      <c r="CD281" s="536"/>
      <c r="CE281" s="536"/>
      <c r="CF281" s="541">
        <f t="shared" si="117"/>
        <v>0</v>
      </c>
      <c r="CG281" s="536"/>
      <c r="CH281" s="536"/>
      <c r="CI281" s="536"/>
      <c r="CJ281" s="541">
        <f t="shared" si="118"/>
        <v>0</v>
      </c>
      <c r="CK281" s="536"/>
      <c r="CL281" s="536"/>
      <c r="CM281" s="536"/>
      <c r="CN281" s="541">
        <f t="shared" si="119"/>
        <v>0</v>
      </c>
      <c r="CO281" s="536"/>
      <c r="CP281" s="536"/>
      <c r="CQ281" s="536"/>
      <c r="CR281" s="541">
        <f t="shared" si="120"/>
        <v>0</v>
      </c>
      <c r="CS281" s="536"/>
      <c r="CT281" s="536"/>
      <c r="CU281" s="536"/>
      <c r="CV281" s="541">
        <f t="shared" si="121"/>
        <v>0</v>
      </c>
      <c r="CW281" s="536"/>
      <c r="CX281" s="536"/>
      <c r="CY281" s="536"/>
      <c r="CZ281" s="541">
        <f t="shared" si="122"/>
        <v>0</v>
      </c>
      <c r="DA281" s="536"/>
      <c r="DB281" s="536"/>
      <c r="DC281" s="536"/>
      <c r="DD281" s="541">
        <f t="shared" si="123"/>
        <v>0</v>
      </c>
      <c r="DE281" s="536"/>
      <c r="DF281" s="536"/>
      <c r="DG281" s="536"/>
      <c r="DH281" s="541">
        <f t="shared" si="124"/>
        <v>0</v>
      </c>
      <c r="DI281" s="536"/>
      <c r="DJ281" s="536"/>
      <c r="DK281" s="536"/>
      <c r="DL281" s="541">
        <f t="shared" si="125"/>
        <v>0</v>
      </c>
      <c r="DM281" s="536"/>
      <c r="DN281" s="536"/>
      <c r="DO281" s="536"/>
      <c r="DP281" s="541">
        <f>IF( SUM((DJ281*(20/100))+(DK281*(30/100))+(DL281*(50/100))) &gt;=9.3,9.5,
IF(AND( SUM((DJ281*(20/100))+(DK281*(30/100))+(DL281*(50/100))) &lt;=9.3, SUM((DJ281*(20/100))+(DK281*(30/100))+(DL281*(50/100))) &gt;=8.8),9,
IF(AND( SUM((DJ281*(20/100))+(DK281*(30/100))+(DL281*(50/100))) &lt;=8.8, SUM((DJ281*(20/100))+(DK281*(30/100))+(DL281*(50/100))) &gt;=8.3),8.5,
IF(AND( SUM((DJ281*(20/100))+(DK281*(30/100))+(DL281*(50/100))) &lt;=8.3, SUM((DJ281*(20/100))+(DK281*(30/100))+(DL281*(50/100))) &gt;=7.8),8,
IF(AND( SUM((DJ281*(20/100))+(DK281*(30/100))+(DL281*(50/100))) &lt;=7.8, SUM((DJ281*(20/100))+(DK281*(30/100))+(DL281*(50/100))) &gt;=7.3),7.5,
IF(AND( SUM((DJ281*(20/100))+(DK281*(30/100))+(DL281*(50/100))) &lt;=7.3, SUM((DJ281*(20/100))+(DK281*(30/100))+(DL281*(50/100))) &gt;=6.8),7,
IF(AND( SUM((DJ281*(20/100))+(DK281*(30/100))+(DL281*(50/100))) &lt;=6.8, SUM((DJ281*(20/100))+(DK281*(30/100))+(DL281*(50/100))) &gt;=6.3),6.5,
IF(AND( SUM((DJ281*(20/100))+(DK281*(30/100))+(DL281*(50/100))) &lt;=6.3, SUM((DJ281*(20/100))+(DK281*(30/100))+(DL281*(50/100))) &gt;=5.8),6,
IF(AND( SUM((DJ281*(20/100))+(DK281*(30/100))+(DL281*(50/100))) &lt;=5.8, SUM((DJ281*(20/100))+(DK281*(30/100))+(DL281*(50/100))) &gt;=5.3),5.5,
IF(AND( SUM((DJ281*(20/100))+(DK281*(30/100))+(DL281*(50/100))) &lt;=5.3, SUM((DJ281*(20/100))+(DK281*(30/100))+(DL281*(50/100))) &gt;=4.8),5,
IF(AND( SUM((DJ281*(20/100))+(DK281*(30/100))+(DL281*(50/100))) &lt;=4.8, SUM((DJ281*(20/100))+(DK281*(30/100))+(DL281*(50/100))) &gt;=4.3),4.5,
IF(AND( SUM((DJ281*(20/100))+(DK281*(30/100))+(DL281*(50/100))) &lt;=4.3, SUM((DJ281*(20/100))+(DK281*(30/100))+(DL281*(50/100))) &gt;=3.8),4,
IF(AND( SUM((DJ281*(20/100))+(DK281*(30/100))+(DL281*(50/100))) &lt;=3.8, SUM((DJ281*(20/100))+(DK281*(30/100))+(DL281*(50/100))) &gt;=3.5),3.5,0)))))))))))))</f>
        <v>0</v>
      </c>
      <c r="DQ281" s="541"/>
      <c r="DR281" s="541"/>
      <c r="DS281" s="541"/>
      <c r="DT281" s="541"/>
      <c r="DU281" s="541"/>
      <c r="DV281" s="541"/>
      <c r="DW281" s="541"/>
      <c r="DX281" s="541"/>
      <c r="DY281" s="541"/>
      <c r="DZ281" s="541"/>
    </row>
    <row r="282" spans="2:130" x14ac:dyDescent="0.25">
      <c r="B282" s="334">
        <v>25</v>
      </c>
      <c r="C282" s="541"/>
      <c r="D282" s="334"/>
      <c r="E282" s="334"/>
      <c r="F282" s="334"/>
      <c r="G282" s="334"/>
      <c r="H282" s="334"/>
      <c r="I282" s="334"/>
      <c r="J282" s="536"/>
      <c r="K282" s="536"/>
      <c r="L282" s="536"/>
      <c r="M282" s="536"/>
      <c r="N282" s="536"/>
      <c r="O282" s="536"/>
      <c r="P282" s="536">
        <f t="shared" si="101"/>
        <v>0</v>
      </c>
      <c r="Q282" s="536"/>
      <c r="R282" s="536"/>
      <c r="S282" s="536"/>
      <c r="T282" s="536">
        <f t="shared" si="102"/>
        <v>0</v>
      </c>
      <c r="U282" s="536"/>
      <c r="V282" s="536"/>
      <c r="W282" s="536"/>
      <c r="X282" s="536">
        <f t="shared" si="103"/>
        <v>0</v>
      </c>
      <c r="Y282" s="536"/>
      <c r="Z282" s="536"/>
      <c r="AA282" s="536"/>
      <c r="AB282" s="536">
        <f t="shared" si="104"/>
        <v>0</v>
      </c>
      <c r="AC282" s="536"/>
      <c r="AD282" s="536"/>
      <c r="AE282" s="536"/>
      <c r="AF282" s="536">
        <f t="shared" si="105"/>
        <v>0</v>
      </c>
      <c r="AG282" s="536"/>
      <c r="AH282" s="536"/>
      <c r="AI282" s="536"/>
      <c r="AJ282" s="536">
        <f t="shared" si="106"/>
        <v>0</v>
      </c>
      <c r="AK282" s="536"/>
      <c r="AL282" s="536"/>
      <c r="AM282" s="536"/>
      <c r="AN282" s="542">
        <f t="shared" si="107"/>
        <v>0</v>
      </c>
      <c r="AO282" s="536"/>
      <c r="AP282" s="536"/>
      <c r="AQ282" s="536"/>
      <c r="AR282" s="542">
        <f t="shared" si="108"/>
        <v>0</v>
      </c>
      <c r="AS282" s="536"/>
      <c r="AT282" s="536"/>
      <c r="AU282" s="536"/>
      <c r="AV282" s="542">
        <f t="shared" si="109"/>
        <v>0</v>
      </c>
      <c r="AW282" s="536"/>
      <c r="AX282" s="536"/>
      <c r="AY282" s="536"/>
      <c r="AZ282" s="542">
        <f t="shared" si="110"/>
        <v>0</v>
      </c>
      <c r="BA282" s="536"/>
      <c r="BB282" s="536"/>
      <c r="BC282" s="536"/>
      <c r="BD282" s="542">
        <f t="shared" si="111"/>
        <v>0</v>
      </c>
      <c r="BE282" s="536"/>
      <c r="BF282" s="536"/>
      <c r="BG282" s="536"/>
      <c r="BH282" s="542">
        <f t="shared" si="112"/>
        <v>0</v>
      </c>
      <c r="BI282" s="536"/>
      <c r="BJ282" s="536"/>
      <c r="BK282" s="536"/>
      <c r="BL282" s="542">
        <f t="shared" si="113"/>
        <v>0</v>
      </c>
      <c r="BM282" s="536"/>
      <c r="BN282" s="536"/>
      <c r="BO282" s="536"/>
      <c r="BP282" s="542">
        <f t="shared" si="114"/>
        <v>0</v>
      </c>
      <c r="BQ282" s="536"/>
      <c r="BR282" s="536"/>
      <c r="BS282" s="536"/>
      <c r="BT282" s="542">
        <f t="shared" si="115"/>
        <v>0</v>
      </c>
      <c r="BU282" s="536"/>
      <c r="BV282" s="536"/>
      <c r="BW282" s="536"/>
      <c r="BX282" s="542">
        <f t="shared" si="116"/>
        <v>0</v>
      </c>
      <c r="BY282" s="536"/>
      <c r="BZ282" s="536"/>
      <c r="CA282" s="536"/>
      <c r="CB282" s="542">
        <v>0</v>
      </c>
      <c r="CC282" s="536"/>
      <c r="CD282" s="536"/>
      <c r="CE282" s="536"/>
      <c r="CF282" s="541">
        <f t="shared" si="117"/>
        <v>0</v>
      </c>
      <c r="CG282" s="536"/>
      <c r="CH282" s="536"/>
      <c r="CI282" s="536"/>
      <c r="CJ282" s="541">
        <f t="shared" si="118"/>
        <v>0</v>
      </c>
      <c r="CK282" s="536"/>
      <c r="CL282" s="536"/>
      <c r="CM282" s="536"/>
      <c r="CN282" s="541">
        <f t="shared" si="119"/>
        <v>0</v>
      </c>
      <c r="CO282" s="536"/>
      <c r="CP282" s="536"/>
      <c r="CQ282" s="536"/>
      <c r="CR282" s="541">
        <f t="shared" si="120"/>
        <v>0</v>
      </c>
      <c r="CS282" s="536"/>
      <c r="CT282" s="536"/>
      <c r="CU282" s="536"/>
      <c r="CV282" s="541">
        <f t="shared" si="121"/>
        <v>0</v>
      </c>
      <c r="CW282" s="536"/>
      <c r="CX282" s="536"/>
      <c r="CY282" s="536"/>
      <c r="CZ282" s="541">
        <f t="shared" si="122"/>
        <v>0</v>
      </c>
      <c r="DA282" s="536"/>
      <c r="DB282" s="536"/>
      <c r="DC282" s="536"/>
      <c r="DD282" s="541">
        <f t="shared" si="123"/>
        <v>0</v>
      </c>
      <c r="DE282" s="536"/>
      <c r="DF282" s="536"/>
      <c r="DG282" s="536"/>
      <c r="DH282" s="541">
        <f t="shared" si="124"/>
        <v>0</v>
      </c>
      <c r="DI282" s="536"/>
      <c r="DJ282" s="536"/>
      <c r="DK282" s="536"/>
      <c r="DL282" s="541">
        <f t="shared" si="125"/>
        <v>0</v>
      </c>
      <c r="DM282" s="536"/>
      <c r="DN282" s="536"/>
      <c r="DO282" s="536"/>
      <c r="DP282" s="541">
        <f>IF( SUM((DJ282*(20/100))+(DK282*(30/100))+(DL282*(50/100))) &gt;=9.3,9.5,
IF(AND( SUM((DJ282*(20/100))+(DK282*(30/100))+(DL282*(50/100))) &lt;=9.3, SUM((DJ282*(20/100))+(DK282*(30/100))+(DL282*(50/100))) &gt;=8.8),9,
IF(AND( SUM((DJ282*(20/100))+(DK282*(30/100))+(DL282*(50/100))) &lt;=8.8, SUM((DJ282*(20/100))+(DK282*(30/100))+(DL282*(50/100))) &gt;=8.3),8.5,
IF(AND( SUM((DJ282*(20/100))+(DK282*(30/100))+(DL282*(50/100))) &lt;=8.3, SUM((DJ282*(20/100))+(DK282*(30/100))+(DL282*(50/100))) &gt;=7.8),8,
IF(AND( SUM((DJ282*(20/100))+(DK282*(30/100))+(DL282*(50/100))) &lt;=7.8, SUM((DJ282*(20/100))+(DK282*(30/100))+(DL282*(50/100))) &gt;=7.3),7.5,
IF(AND( SUM((DJ282*(20/100))+(DK282*(30/100))+(DL282*(50/100))) &lt;=7.3, SUM((DJ282*(20/100))+(DK282*(30/100))+(DL282*(50/100))) &gt;=6.8),7,
IF(AND( SUM((DJ282*(20/100))+(DK282*(30/100))+(DL282*(50/100))) &lt;=6.8, SUM((DJ282*(20/100))+(DK282*(30/100))+(DL282*(50/100))) &gt;=6.3),6.5,
IF(AND( SUM((DJ282*(20/100))+(DK282*(30/100))+(DL282*(50/100))) &lt;=6.3, SUM((DJ282*(20/100))+(DK282*(30/100))+(DL282*(50/100))) &gt;=5.8),6,
IF(AND( SUM((DJ282*(20/100))+(DK282*(30/100))+(DL282*(50/100))) &lt;=5.8, SUM((DJ282*(20/100))+(DK282*(30/100))+(DL282*(50/100))) &gt;=5.3),5.5,
IF(AND( SUM((DJ282*(20/100))+(DK282*(30/100))+(DL282*(50/100))) &lt;=5.3, SUM((DJ282*(20/100))+(DK282*(30/100))+(DL282*(50/100))) &gt;=4.8),5,
IF(AND( SUM((DJ282*(20/100))+(DK282*(30/100))+(DL282*(50/100))) &lt;=4.8, SUM((DJ282*(20/100))+(DK282*(30/100))+(DL282*(50/100))) &gt;=4.3),4.5,
IF(AND( SUM((DJ282*(20/100))+(DK282*(30/100))+(DL282*(50/100))) &lt;=4.3, SUM((DJ282*(20/100))+(DK282*(30/100))+(DL282*(50/100))) &gt;=3.8),4,
IF(AND( SUM((DJ282*(20/100))+(DK282*(30/100))+(DL282*(50/100))) &lt;=3.8, SUM((DJ282*(20/100))+(DK282*(30/100))+(DL282*(50/100))) &gt;=3.5),3.5,0)))))))))))))</f>
        <v>0</v>
      </c>
      <c r="DQ282" s="541"/>
      <c r="DR282" s="541"/>
      <c r="DS282" s="541"/>
      <c r="DT282" s="541"/>
      <c r="DU282" s="541"/>
      <c r="DV282" s="541"/>
      <c r="DW282" s="541"/>
      <c r="DX282" s="541"/>
      <c r="DY282" s="541"/>
      <c r="DZ282" s="541"/>
    </row>
    <row r="283" spans="2:130" x14ac:dyDescent="0.25">
      <c r="B283" s="334">
        <v>26</v>
      </c>
      <c r="C283" s="541"/>
      <c r="D283" s="334"/>
      <c r="E283" s="334"/>
      <c r="F283" s="334"/>
      <c r="G283" s="334"/>
      <c r="H283" s="334"/>
      <c r="I283" s="334"/>
      <c r="J283" s="536"/>
      <c r="K283" s="536"/>
      <c r="L283" s="536"/>
      <c r="M283" s="536"/>
      <c r="N283" s="536"/>
      <c r="O283" s="536"/>
      <c r="P283" s="536">
        <f t="shared" si="101"/>
        <v>0</v>
      </c>
      <c r="Q283" s="536"/>
      <c r="R283" s="536"/>
      <c r="S283" s="536"/>
      <c r="T283" s="536">
        <f t="shared" si="102"/>
        <v>0</v>
      </c>
      <c r="U283" s="536"/>
      <c r="V283" s="536"/>
      <c r="W283" s="536"/>
      <c r="X283" s="536">
        <f t="shared" si="103"/>
        <v>0</v>
      </c>
      <c r="Y283" s="536"/>
      <c r="Z283" s="536"/>
      <c r="AA283" s="536"/>
      <c r="AB283" s="536">
        <f t="shared" si="104"/>
        <v>0</v>
      </c>
      <c r="AC283" s="536"/>
      <c r="AD283" s="536"/>
      <c r="AE283" s="536"/>
      <c r="AF283" s="536">
        <f t="shared" si="105"/>
        <v>0</v>
      </c>
      <c r="AG283" s="536"/>
      <c r="AH283" s="536"/>
      <c r="AI283" s="536"/>
      <c r="AJ283" s="536">
        <f t="shared" si="106"/>
        <v>0</v>
      </c>
      <c r="AK283" s="536"/>
      <c r="AL283" s="536"/>
      <c r="AM283" s="536"/>
      <c r="AN283" s="542">
        <f t="shared" si="107"/>
        <v>0</v>
      </c>
      <c r="AO283" s="536"/>
      <c r="AP283" s="536"/>
      <c r="AQ283" s="536"/>
      <c r="AR283" s="542">
        <f t="shared" si="108"/>
        <v>0</v>
      </c>
      <c r="AS283" s="536"/>
      <c r="AT283" s="536"/>
      <c r="AU283" s="536"/>
      <c r="AV283" s="542">
        <f t="shared" si="109"/>
        <v>0</v>
      </c>
      <c r="AW283" s="536"/>
      <c r="AX283" s="536"/>
      <c r="AY283" s="536"/>
      <c r="AZ283" s="542">
        <f t="shared" si="110"/>
        <v>0</v>
      </c>
      <c r="BA283" s="536"/>
      <c r="BB283" s="536"/>
      <c r="BC283" s="536"/>
      <c r="BD283" s="542">
        <f t="shared" si="111"/>
        <v>0</v>
      </c>
      <c r="BE283" s="536"/>
      <c r="BF283" s="536"/>
      <c r="BG283" s="536"/>
      <c r="BH283" s="542">
        <f t="shared" si="112"/>
        <v>0</v>
      </c>
      <c r="BI283" s="536"/>
      <c r="BJ283" s="536"/>
      <c r="BK283" s="536"/>
      <c r="BL283" s="542">
        <f t="shared" si="113"/>
        <v>0</v>
      </c>
      <c r="BM283" s="536"/>
      <c r="BN283" s="536"/>
      <c r="BO283" s="536"/>
      <c r="BP283" s="542">
        <f t="shared" si="114"/>
        <v>0</v>
      </c>
      <c r="BQ283" s="536"/>
      <c r="BR283" s="536"/>
      <c r="BS283" s="536"/>
      <c r="BT283" s="542">
        <f t="shared" si="115"/>
        <v>0</v>
      </c>
      <c r="BU283" s="536"/>
      <c r="BV283" s="536"/>
      <c r="BW283" s="536"/>
      <c r="BX283" s="542">
        <f t="shared" si="116"/>
        <v>0</v>
      </c>
      <c r="BY283" s="536"/>
      <c r="BZ283" s="536"/>
      <c r="CA283" s="536"/>
      <c r="CB283" s="542">
        <v>0</v>
      </c>
      <c r="CC283" s="536"/>
      <c r="CD283" s="536"/>
      <c r="CE283" s="536"/>
      <c r="CF283" s="541">
        <f t="shared" si="117"/>
        <v>0</v>
      </c>
      <c r="CG283" s="536"/>
      <c r="CH283" s="536"/>
      <c r="CI283" s="536"/>
      <c r="CJ283" s="541">
        <f t="shared" si="118"/>
        <v>0</v>
      </c>
      <c r="CK283" s="536"/>
      <c r="CL283" s="536"/>
      <c r="CM283" s="536"/>
      <c r="CN283" s="541">
        <f t="shared" si="119"/>
        <v>0</v>
      </c>
      <c r="CO283" s="536"/>
      <c r="CP283" s="536"/>
      <c r="CQ283" s="536"/>
      <c r="CR283" s="541">
        <f t="shared" si="120"/>
        <v>0</v>
      </c>
      <c r="CS283" s="536"/>
      <c r="CT283" s="536"/>
      <c r="CU283" s="536"/>
      <c r="CV283" s="541">
        <f t="shared" si="121"/>
        <v>0</v>
      </c>
      <c r="CW283" s="536"/>
      <c r="CX283" s="536"/>
      <c r="CY283" s="536"/>
      <c r="CZ283" s="541">
        <f t="shared" si="122"/>
        <v>0</v>
      </c>
      <c r="DA283" s="536"/>
      <c r="DB283" s="536"/>
      <c r="DC283" s="536"/>
      <c r="DD283" s="541">
        <f t="shared" si="123"/>
        <v>0</v>
      </c>
      <c r="DE283" s="536"/>
      <c r="DF283" s="536"/>
      <c r="DG283" s="536"/>
      <c r="DH283" s="541">
        <f t="shared" si="124"/>
        <v>0</v>
      </c>
      <c r="DI283" s="536"/>
      <c r="DJ283" s="536"/>
      <c r="DK283" s="536"/>
      <c r="DL283" s="541">
        <f t="shared" si="125"/>
        <v>0</v>
      </c>
      <c r="DM283" s="536"/>
      <c r="DN283" s="536"/>
      <c r="DO283" s="536"/>
      <c r="DP283" s="541">
        <f>IF( SUM((DJ283*(20/100))+(DK283*(30/100))+(DL283*(50/100))) &gt;=9.3,9.5,
IF(AND( SUM((DJ283*(20/100))+(DK283*(30/100))+(DL283*(50/100))) &lt;=9.3, SUM((DJ283*(20/100))+(DK283*(30/100))+(DL283*(50/100))) &gt;=8.8),9,
IF(AND( SUM((DJ283*(20/100))+(DK283*(30/100))+(DL283*(50/100))) &lt;=8.8, SUM((DJ283*(20/100))+(DK283*(30/100))+(DL283*(50/100))) &gt;=8.3),8.5,
IF(AND( SUM((DJ283*(20/100))+(DK283*(30/100))+(DL283*(50/100))) &lt;=8.3, SUM((DJ283*(20/100))+(DK283*(30/100))+(DL283*(50/100))) &gt;=7.8),8,
IF(AND( SUM((DJ283*(20/100))+(DK283*(30/100))+(DL283*(50/100))) &lt;=7.8, SUM((DJ283*(20/100))+(DK283*(30/100))+(DL283*(50/100))) &gt;=7.3),7.5,
IF(AND( SUM((DJ283*(20/100))+(DK283*(30/100))+(DL283*(50/100))) &lt;=7.3, SUM((DJ283*(20/100))+(DK283*(30/100))+(DL283*(50/100))) &gt;=6.8),7,
IF(AND( SUM((DJ283*(20/100))+(DK283*(30/100))+(DL283*(50/100))) &lt;=6.8, SUM((DJ283*(20/100))+(DK283*(30/100))+(DL283*(50/100))) &gt;=6.3),6.5,
IF(AND( SUM((DJ283*(20/100))+(DK283*(30/100))+(DL283*(50/100))) &lt;=6.3, SUM((DJ283*(20/100))+(DK283*(30/100))+(DL283*(50/100))) &gt;=5.8),6,
IF(AND( SUM((DJ283*(20/100))+(DK283*(30/100))+(DL283*(50/100))) &lt;=5.8, SUM((DJ283*(20/100))+(DK283*(30/100))+(DL283*(50/100))) &gt;=5.3),5.5,
IF(AND( SUM((DJ283*(20/100))+(DK283*(30/100))+(DL283*(50/100))) &lt;=5.3, SUM((DJ283*(20/100))+(DK283*(30/100))+(DL283*(50/100))) &gt;=4.8),5,
IF(AND( SUM((DJ283*(20/100))+(DK283*(30/100))+(DL283*(50/100))) &lt;=4.8, SUM((DJ283*(20/100))+(DK283*(30/100))+(DL283*(50/100))) &gt;=4.3),4.5,
IF(AND( SUM((DJ283*(20/100))+(DK283*(30/100))+(DL283*(50/100))) &lt;=4.3, SUM((DJ283*(20/100))+(DK283*(30/100))+(DL283*(50/100))) &gt;=3.8),4,
IF(AND( SUM((DJ283*(20/100))+(DK283*(30/100))+(DL283*(50/100))) &lt;=3.8, SUM((DJ283*(20/100))+(DK283*(30/100))+(DL283*(50/100))) &gt;=3.5),3.5,0)))))))))))))</f>
        <v>0</v>
      </c>
      <c r="DQ283" s="541"/>
      <c r="DR283" s="541"/>
      <c r="DS283" s="541"/>
      <c r="DT283" s="541"/>
      <c r="DU283" s="541"/>
      <c r="DV283" s="541"/>
      <c r="DW283" s="541"/>
      <c r="DX283" s="541"/>
      <c r="DY283" s="541"/>
      <c r="DZ283" s="541"/>
    </row>
    <row r="284" spans="2:130" x14ac:dyDescent="0.25">
      <c r="B284" s="334">
        <v>27</v>
      </c>
      <c r="C284" s="541"/>
      <c r="D284" s="334"/>
      <c r="E284" s="334"/>
      <c r="F284" s="334"/>
      <c r="G284" s="334"/>
      <c r="H284" s="334"/>
      <c r="I284" s="334"/>
      <c r="J284" s="536"/>
      <c r="K284" s="536"/>
      <c r="L284" s="536"/>
      <c r="M284" s="536"/>
      <c r="N284" s="536"/>
      <c r="O284" s="536"/>
      <c r="P284" s="536">
        <f t="shared" si="101"/>
        <v>0</v>
      </c>
      <c r="Q284" s="536"/>
      <c r="R284" s="536"/>
      <c r="S284" s="536"/>
      <c r="T284" s="536">
        <f t="shared" si="102"/>
        <v>0</v>
      </c>
      <c r="U284" s="536"/>
      <c r="V284" s="536"/>
      <c r="W284" s="536"/>
      <c r="X284" s="536">
        <f t="shared" si="103"/>
        <v>0</v>
      </c>
      <c r="Y284" s="536"/>
      <c r="Z284" s="536"/>
      <c r="AA284" s="536"/>
      <c r="AB284" s="536">
        <f t="shared" si="104"/>
        <v>0</v>
      </c>
      <c r="AC284" s="536"/>
      <c r="AD284" s="536"/>
      <c r="AE284" s="536"/>
      <c r="AF284" s="536">
        <f t="shared" si="105"/>
        <v>0</v>
      </c>
      <c r="AG284" s="536"/>
      <c r="AH284" s="536"/>
      <c r="AI284" s="536"/>
      <c r="AJ284" s="536">
        <f t="shared" si="106"/>
        <v>0</v>
      </c>
      <c r="AK284" s="536"/>
      <c r="AL284" s="536"/>
      <c r="AM284" s="536"/>
      <c r="AN284" s="542">
        <f t="shared" si="107"/>
        <v>0</v>
      </c>
      <c r="AO284" s="536"/>
      <c r="AP284" s="536"/>
      <c r="AQ284" s="536"/>
      <c r="AR284" s="542">
        <f t="shared" si="108"/>
        <v>0</v>
      </c>
      <c r="AS284" s="536"/>
      <c r="AT284" s="536"/>
      <c r="AU284" s="536"/>
      <c r="AV284" s="542">
        <f t="shared" si="109"/>
        <v>0</v>
      </c>
      <c r="AW284" s="536"/>
      <c r="AX284" s="536"/>
      <c r="AY284" s="536"/>
      <c r="AZ284" s="542">
        <f t="shared" si="110"/>
        <v>0</v>
      </c>
      <c r="BA284" s="536"/>
      <c r="BB284" s="536"/>
      <c r="BC284" s="536"/>
      <c r="BD284" s="542">
        <f t="shared" si="111"/>
        <v>0</v>
      </c>
      <c r="BE284" s="536"/>
      <c r="BF284" s="536"/>
      <c r="BG284" s="536"/>
      <c r="BH284" s="542">
        <f t="shared" si="112"/>
        <v>0</v>
      </c>
      <c r="BI284" s="536"/>
      <c r="BJ284" s="536"/>
      <c r="BK284" s="536"/>
      <c r="BL284" s="542">
        <f t="shared" si="113"/>
        <v>0</v>
      </c>
      <c r="BM284" s="536"/>
      <c r="BN284" s="536"/>
      <c r="BO284" s="536"/>
      <c r="BP284" s="542">
        <f t="shared" si="114"/>
        <v>0</v>
      </c>
      <c r="BQ284" s="536"/>
      <c r="BR284" s="536"/>
      <c r="BS284" s="536"/>
      <c r="BT284" s="542">
        <f t="shared" si="115"/>
        <v>0</v>
      </c>
      <c r="BU284" s="536"/>
      <c r="BV284" s="536"/>
      <c r="BW284" s="536"/>
      <c r="BX284" s="542">
        <f t="shared" si="116"/>
        <v>0</v>
      </c>
      <c r="BY284" s="536"/>
      <c r="BZ284" s="536"/>
      <c r="CA284" s="536"/>
      <c r="CB284" s="542">
        <v>0</v>
      </c>
      <c r="CC284" s="536"/>
      <c r="CD284" s="536"/>
      <c r="CE284" s="536"/>
      <c r="CF284" s="541">
        <f t="shared" si="117"/>
        <v>0</v>
      </c>
      <c r="CG284" s="536"/>
      <c r="CH284" s="536"/>
      <c r="CI284" s="536"/>
      <c r="CJ284" s="541">
        <f t="shared" si="118"/>
        <v>0</v>
      </c>
      <c r="CK284" s="536"/>
      <c r="CL284" s="536"/>
      <c r="CM284" s="536"/>
      <c r="CN284" s="541">
        <f t="shared" si="119"/>
        <v>0</v>
      </c>
      <c r="CO284" s="536"/>
      <c r="CP284" s="536"/>
      <c r="CQ284" s="536"/>
      <c r="CR284" s="541">
        <f t="shared" si="120"/>
        <v>0</v>
      </c>
      <c r="CS284" s="536"/>
      <c r="CT284" s="536"/>
      <c r="CU284" s="536"/>
      <c r="CV284" s="541">
        <f t="shared" si="121"/>
        <v>0</v>
      </c>
      <c r="CW284" s="536"/>
      <c r="CX284" s="536"/>
      <c r="CY284" s="536"/>
      <c r="CZ284" s="541">
        <f t="shared" si="122"/>
        <v>0</v>
      </c>
      <c r="DA284" s="536"/>
      <c r="DB284" s="536"/>
      <c r="DC284" s="536"/>
      <c r="DD284" s="541">
        <f t="shared" si="123"/>
        <v>0</v>
      </c>
      <c r="DE284" s="536"/>
      <c r="DF284" s="536"/>
      <c r="DG284" s="536"/>
      <c r="DH284" s="541">
        <f t="shared" si="124"/>
        <v>0</v>
      </c>
      <c r="DI284" s="536"/>
      <c r="DJ284" s="536"/>
      <c r="DK284" s="536"/>
      <c r="DL284" s="541">
        <f t="shared" si="125"/>
        <v>0</v>
      </c>
      <c r="DM284" s="536"/>
      <c r="DN284" s="536"/>
      <c r="DO284" s="536"/>
      <c r="DP284" s="541">
        <f>IF( SUM((DJ284*(20/100))+(DK284*(30/100))+(DL284*(50/100))) &gt;=9.3,9.5,
IF(AND( SUM((DJ284*(20/100))+(DK284*(30/100))+(DL284*(50/100))) &lt;=9.3, SUM((DJ284*(20/100))+(DK284*(30/100))+(DL284*(50/100))) &gt;=8.8),9,
IF(AND( SUM((DJ284*(20/100))+(DK284*(30/100))+(DL284*(50/100))) &lt;=8.8, SUM((DJ284*(20/100))+(DK284*(30/100))+(DL284*(50/100))) &gt;=8.3),8.5,
IF(AND( SUM((DJ284*(20/100))+(DK284*(30/100))+(DL284*(50/100))) &lt;=8.3, SUM((DJ284*(20/100))+(DK284*(30/100))+(DL284*(50/100))) &gt;=7.8),8,
IF(AND( SUM((DJ284*(20/100))+(DK284*(30/100))+(DL284*(50/100))) &lt;=7.8, SUM((DJ284*(20/100))+(DK284*(30/100))+(DL284*(50/100))) &gt;=7.3),7.5,
IF(AND( SUM((DJ284*(20/100))+(DK284*(30/100))+(DL284*(50/100))) &lt;=7.3, SUM((DJ284*(20/100))+(DK284*(30/100))+(DL284*(50/100))) &gt;=6.8),7,
IF(AND( SUM((DJ284*(20/100))+(DK284*(30/100))+(DL284*(50/100))) &lt;=6.8, SUM((DJ284*(20/100))+(DK284*(30/100))+(DL284*(50/100))) &gt;=6.3),6.5,
IF(AND( SUM((DJ284*(20/100))+(DK284*(30/100))+(DL284*(50/100))) &lt;=6.3, SUM((DJ284*(20/100))+(DK284*(30/100))+(DL284*(50/100))) &gt;=5.8),6,
IF(AND( SUM((DJ284*(20/100))+(DK284*(30/100))+(DL284*(50/100))) &lt;=5.8, SUM((DJ284*(20/100))+(DK284*(30/100))+(DL284*(50/100))) &gt;=5.3),5.5,
IF(AND( SUM((DJ284*(20/100))+(DK284*(30/100))+(DL284*(50/100))) &lt;=5.3, SUM((DJ284*(20/100))+(DK284*(30/100))+(DL284*(50/100))) &gt;=4.8),5,
IF(AND( SUM((DJ284*(20/100))+(DK284*(30/100))+(DL284*(50/100))) &lt;=4.8, SUM((DJ284*(20/100))+(DK284*(30/100))+(DL284*(50/100))) &gt;=4.3),4.5,
IF(AND( SUM((DJ284*(20/100))+(DK284*(30/100))+(DL284*(50/100))) &lt;=4.3, SUM((DJ284*(20/100))+(DK284*(30/100))+(DL284*(50/100))) &gt;=3.8),4,
IF(AND( SUM((DJ284*(20/100))+(DK284*(30/100))+(DL284*(50/100))) &lt;=3.8, SUM((DJ284*(20/100))+(DK284*(30/100))+(DL284*(50/100))) &gt;=3.5),3.5,0)))))))))))))</f>
        <v>0</v>
      </c>
      <c r="DQ284" s="541"/>
      <c r="DR284" s="541"/>
      <c r="DS284" s="541"/>
      <c r="DT284" s="541"/>
      <c r="DU284" s="541"/>
      <c r="DV284" s="541"/>
      <c r="DW284" s="541"/>
      <c r="DX284" s="541"/>
      <c r="DY284" s="541"/>
      <c r="DZ284" s="541"/>
    </row>
    <row r="285" spans="2:130" x14ac:dyDescent="0.25">
      <c r="B285" s="334">
        <v>28</v>
      </c>
      <c r="C285" s="541"/>
      <c r="D285" s="334"/>
      <c r="E285" s="334"/>
      <c r="F285" s="334"/>
      <c r="G285" s="334"/>
      <c r="H285" s="334"/>
      <c r="I285" s="334"/>
      <c r="J285" s="536"/>
      <c r="K285" s="536"/>
      <c r="L285" s="536"/>
      <c r="M285" s="536"/>
      <c r="N285" s="536"/>
      <c r="O285" s="536"/>
      <c r="P285" s="536">
        <f t="shared" si="101"/>
        <v>0</v>
      </c>
      <c r="Q285" s="536"/>
      <c r="R285" s="536"/>
      <c r="S285" s="536"/>
      <c r="T285" s="536">
        <f t="shared" si="102"/>
        <v>0</v>
      </c>
      <c r="U285" s="536"/>
      <c r="V285" s="536"/>
      <c r="W285" s="536"/>
      <c r="X285" s="536">
        <f t="shared" si="103"/>
        <v>0</v>
      </c>
      <c r="Y285" s="536"/>
      <c r="Z285" s="536"/>
      <c r="AA285" s="536"/>
      <c r="AB285" s="536">
        <f t="shared" si="104"/>
        <v>0</v>
      </c>
      <c r="AC285" s="536"/>
      <c r="AD285" s="536"/>
      <c r="AE285" s="536"/>
      <c r="AF285" s="536">
        <f t="shared" si="105"/>
        <v>0</v>
      </c>
      <c r="AG285" s="536"/>
      <c r="AH285" s="536"/>
      <c r="AI285" s="536"/>
      <c r="AJ285" s="536">
        <f t="shared" si="106"/>
        <v>0</v>
      </c>
      <c r="AK285" s="536"/>
      <c r="AL285" s="536"/>
      <c r="AM285" s="536"/>
      <c r="AN285" s="542">
        <f t="shared" si="107"/>
        <v>0</v>
      </c>
      <c r="AO285" s="536"/>
      <c r="AP285" s="536"/>
      <c r="AQ285" s="536"/>
      <c r="AR285" s="542">
        <f t="shared" si="108"/>
        <v>0</v>
      </c>
      <c r="AS285" s="536"/>
      <c r="AT285" s="536"/>
      <c r="AU285" s="536"/>
      <c r="AV285" s="542">
        <f t="shared" si="109"/>
        <v>0</v>
      </c>
      <c r="AW285" s="536"/>
      <c r="AX285" s="536"/>
      <c r="AY285" s="536"/>
      <c r="AZ285" s="542">
        <f t="shared" si="110"/>
        <v>0</v>
      </c>
      <c r="BA285" s="536"/>
      <c r="BB285" s="536"/>
      <c r="BC285" s="536"/>
      <c r="BD285" s="542">
        <f t="shared" si="111"/>
        <v>0</v>
      </c>
      <c r="BE285" s="536"/>
      <c r="BF285" s="536"/>
      <c r="BG285" s="536"/>
      <c r="BH285" s="542">
        <f t="shared" si="112"/>
        <v>0</v>
      </c>
      <c r="BI285" s="536"/>
      <c r="BJ285" s="536"/>
      <c r="BK285" s="536"/>
      <c r="BL285" s="542">
        <f t="shared" si="113"/>
        <v>0</v>
      </c>
      <c r="BM285" s="536"/>
      <c r="BN285" s="536"/>
      <c r="BO285" s="536"/>
      <c r="BP285" s="542">
        <f t="shared" si="114"/>
        <v>0</v>
      </c>
      <c r="BQ285" s="536"/>
      <c r="BR285" s="536"/>
      <c r="BS285" s="536"/>
      <c r="BT285" s="542">
        <f t="shared" si="115"/>
        <v>0</v>
      </c>
      <c r="BU285" s="536"/>
      <c r="BV285" s="536"/>
      <c r="BW285" s="536"/>
      <c r="BX285" s="542">
        <f t="shared" si="116"/>
        <v>0</v>
      </c>
      <c r="BY285" s="536"/>
      <c r="BZ285" s="536"/>
      <c r="CA285" s="536"/>
      <c r="CB285" s="542">
        <v>0</v>
      </c>
      <c r="CC285" s="536"/>
      <c r="CD285" s="536"/>
      <c r="CE285" s="536"/>
      <c r="CF285" s="541">
        <f t="shared" si="117"/>
        <v>0</v>
      </c>
      <c r="CG285" s="536"/>
      <c r="CH285" s="536"/>
      <c r="CI285" s="536"/>
      <c r="CJ285" s="541">
        <f t="shared" si="118"/>
        <v>0</v>
      </c>
      <c r="CK285" s="536"/>
      <c r="CL285" s="536"/>
      <c r="CM285" s="536"/>
      <c r="CN285" s="541">
        <f t="shared" si="119"/>
        <v>0</v>
      </c>
      <c r="CO285" s="536"/>
      <c r="CP285" s="536"/>
      <c r="CQ285" s="536"/>
      <c r="CR285" s="541">
        <f t="shared" si="120"/>
        <v>0</v>
      </c>
      <c r="CS285" s="536"/>
      <c r="CT285" s="536"/>
      <c r="CU285" s="536"/>
      <c r="CV285" s="541">
        <f t="shared" si="121"/>
        <v>0</v>
      </c>
      <c r="CW285" s="536"/>
      <c r="CX285" s="536"/>
      <c r="CY285" s="536"/>
      <c r="CZ285" s="541">
        <f t="shared" si="122"/>
        <v>0</v>
      </c>
      <c r="DA285" s="536"/>
      <c r="DB285" s="536"/>
      <c r="DC285" s="536"/>
      <c r="DD285" s="541">
        <f t="shared" si="123"/>
        <v>0</v>
      </c>
      <c r="DE285" s="536"/>
      <c r="DF285" s="536"/>
      <c r="DG285" s="536"/>
      <c r="DH285" s="541">
        <f t="shared" si="124"/>
        <v>0</v>
      </c>
      <c r="DI285" s="536"/>
      <c r="DJ285" s="536"/>
      <c r="DK285" s="536"/>
      <c r="DL285" s="541">
        <f t="shared" si="125"/>
        <v>0</v>
      </c>
      <c r="DM285" s="536"/>
      <c r="DN285" s="536"/>
      <c r="DO285" s="536"/>
      <c r="DP285" s="541">
        <f>IF( SUM((DJ285*(20/100))+(DK285*(30/100))+(DL285*(50/100))) &gt;=9.3,9.5,
IF(AND( SUM((DJ285*(20/100))+(DK285*(30/100))+(DL285*(50/100))) &lt;=9.3, SUM((DJ285*(20/100))+(DK285*(30/100))+(DL285*(50/100))) &gt;=8.8),9,
IF(AND( SUM((DJ285*(20/100))+(DK285*(30/100))+(DL285*(50/100))) &lt;=8.8, SUM((DJ285*(20/100))+(DK285*(30/100))+(DL285*(50/100))) &gt;=8.3),8.5,
IF(AND( SUM((DJ285*(20/100))+(DK285*(30/100))+(DL285*(50/100))) &lt;=8.3, SUM((DJ285*(20/100))+(DK285*(30/100))+(DL285*(50/100))) &gt;=7.8),8,
IF(AND( SUM((DJ285*(20/100))+(DK285*(30/100))+(DL285*(50/100))) &lt;=7.8, SUM((DJ285*(20/100))+(DK285*(30/100))+(DL285*(50/100))) &gt;=7.3),7.5,
IF(AND( SUM((DJ285*(20/100))+(DK285*(30/100))+(DL285*(50/100))) &lt;=7.3, SUM((DJ285*(20/100))+(DK285*(30/100))+(DL285*(50/100))) &gt;=6.8),7,
IF(AND( SUM((DJ285*(20/100))+(DK285*(30/100))+(DL285*(50/100))) &lt;=6.8, SUM((DJ285*(20/100))+(DK285*(30/100))+(DL285*(50/100))) &gt;=6.3),6.5,
IF(AND( SUM((DJ285*(20/100))+(DK285*(30/100))+(DL285*(50/100))) &lt;=6.3, SUM((DJ285*(20/100))+(DK285*(30/100))+(DL285*(50/100))) &gt;=5.8),6,
IF(AND( SUM((DJ285*(20/100))+(DK285*(30/100))+(DL285*(50/100))) &lt;=5.8, SUM((DJ285*(20/100))+(DK285*(30/100))+(DL285*(50/100))) &gt;=5.3),5.5,
IF(AND( SUM((DJ285*(20/100))+(DK285*(30/100))+(DL285*(50/100))) &lt;=5.3, SUM((DJ285*(20/100))+(DK285*(30/100))+(DL285*(50/100))) &gt;=4.8),5,
IF(AND( SUM((DJ285*(20/100))+(DK285*(30/100))+(DL285*(50/100))) &lt;=4.8, SUM((DJ285*(20/100))+(DK285*(30/100))+(DL285*(50/100))) &gt;=4.3),4.5,
IF(AND( SUM((DJ285*(20/100))+(DK285*(30/100))+(DL285*(50/100))) &lt;=4.3, SUM((DJ285*(20/100))+(DK285*(30/100))+(DL285*(50/100))) &gt;=3.8),4,
IF(AND( SUM((DJ285*(20/100))+(DK285*(30/100))+(DL285*(50/100))) &lt;=3.8, SUM((DJ285*(20/100))+(DK285*(30/100))+(DL285*(50/100))) &gt;=3.5),3.5,0)))))))))))))</f>
        <v>0</v>
      </c>
      <c r="DQ285" s="541"/>
      <c r="DR285" s="541"/>
      <c r="DS285" s="541"/>
      <c r="DT285" s="541"/>
      <c r="DU285" s="541"/>
      <c r="DV285" s="541"/>
      <c r="DW285" s="541"/>
      <c r="DX285" s="541"/>
      <c r="DY285" s="541"/>
      <c r="DZ285" s="541"/>
    </row>
    <row r="286" spans="2:130" x14ac:dyDescent="0.25">
      <c r="B286" s="334">
        <v>29</v>
      </c>
      <c r="C286" s="541"/>
      <c r="D286" s="334"/>
      <c r="E286" s="334"/>
      <c r="F286" s="334"/>
      <c r="G286" s="334"/>
      <c r="H286" s="334"/>
      <c r="I286" s="334"/>
      <c r="J286" s="536"/>
      <c r="K286" s="536"/>
      <c r="L286" s="536"/>
      <c r="M286" s="536"/>
      <c r="N286" s="536"/>
      <c r="O286" s="536"/>
      <c r="P286" s="536">
        <f t="shared" si="101"/>
        <v>0</v>
      </c>
      <c r="Q286" s="536"/>
      <c r="R286" s="536"/>
      <c r="S286" s="536"/>
      <c r="T286" s="536">
        <f t="shared" si="102"/>
        <v>0</v>
      </c>
      <c r="U286" s="536"/>
      <c r="V286" s="536"/>
      <c r="W286" s="536"/>
      <c r="X286" s="536">
        <f t="shared" si="103"/>
        <v>0</v>
      </c>
      <c r="Y286" s="536"/>
      <c r="Z286" s="536"/>
      <c r="AA286" s="536"/>
      <c r="AB286" s="536">
        <f t="shared" si="104"/>
        <v>0</v>
      </c>
      <c r="AC286" s="536"/>
      <c r="AD286" s="536"/>
      <c r="AE286" s="536"/>
      <c r="AF286" s="536">
        <f t="shared" si="105"/>
        <v>0</v>
      </c>
      <c r="AG286" s="536"/>
      <c r="AH286" s="536"/>
      <c r="AI286" s="536"/>
      <c r="AJ286" s="536">
        <f t="shared" si="106"/>
        <v>0</v>
      </c>
      <c r="AK286" s="536"/>
      <c r="AL286" s="536"/>
      <c r="AM286" s="536"/>
      <c r="AN286" s="542">
        <f t="shared" si="107"/>
        <v>0</v>
      </c>
      <c r="AO286" s="536"/>
      <c r="AP286" s="536"/>
      <c r="AQ286" s="536"/>
      <c r="AR286" s="542">
        <f t="shared" si="108"/>
        <v>0</v>
      </c>
      <c r="AS286" s="536"/>
      <c r="AT286" s="536"/>
      <c r="AU286" s="536"/>
      <c r="AV286" s="542">
        <f t="shared" si="109"/>
        <v>0</v>
      </c>
      <c r="AW286" s="536"/>
      <c r="AX286" s="536"/>
      <c r="AY286" s="536"/>
      <c r="AZ286" s="542">
        <f t="shared" si="110"/>
        <v>0</v>
      </c>
      <c r="BA286" s="536"/>
      <c r="BB286" s="536"/>
      <c r="BC286" s="536"/>
      <c r="BD286" s="542">
        <f t="shared" si="111"/>
        <v>0</v>
      </c>
      <c r="BE286" s="536"/>
      <c r="BF286" s="536"/>
      <c r="BG286" s="536"/>
      <c r="BH286" s="542">
        <f t="shared" si="112"/>
        <v>0</v>
      </c>
      <c r="BI286" s="536"/>
      <c r="BJ286" s="536"/>
      <c r="BK286" s="536"/>
      <c r="BL286" s="542">
        <f t="shared" si="113"/>
        <v>0</v>
      </c>
      <c r="BM286" s="536"/>
      <c r="BN286" s="536"/>
      <c r="BO286" s="536"/>
      <c r="BP286" s="542">
        <f t="shared" si="114"/>
        <v>0</v>
      </c>
      <c r="BQ286" s="536"/>
      <c r="BR286" s="536"/>
      <c r="BS286" s="536"/>
      <c r="BT286" s="542">
        <f t="shared" si="115"/>
        <v>0</v>
      </c>
      <c r="BU286" s="536"/>
      <c r="BV286" s="536"/>
      <c r="BW286" s="536"/>
      <c r="BX286" s="542">
        <f t="shared" si="116"/>
        <v>0</v>
      </c>
      <c r="BY286" s="536"/>
      <c r="BZ286" s="536"/>
      <c r="CA286" s="536"/>
      <c r="CB286" s="542">
        <v>0</v>
      </c>
      <c r="CC286" s="536"/>
      <c r="CD286" s="536"/>
      <c r="CE286" s="536"/>
      <c r="CF286" s="541">
        <f t="shared" si="117"/>
        <v>0</v>
      </c>
      <c r="CG286" s="536"/>
      <c r="CH286" s="536"/>
      <c r="CI286" s="536"/>
      <c r="CJ286" s="541">
        <f t="shared" si="118"/>
        <v>0</v>
      </c>
      <c r="CK286" s="536"/>
      <c r="CL286" s="536"/>
      <c r="CM286" s="536"/>
      <c r="CN286" s="541">
        <f t="shared" si="119"/>
        <v>0</v>
      </c>
      <c r="CO286" s="536"/>
      <c r="CP286" s="536"/>
      <c r="CQ286" s="536"/>
      <c r="CR286" s="541">
        <f t="shared" si="120"/>
        <v>0</v>
      </c>
      <c r="CS286" s="536"/>
      <c r="CT286" s="536"/>
      <c r="CU286" s="536"/>
      <c r="CV286" s="541">
        <f t="shared" si="121"/>
        <v>0</v>
      </c>
      <c r="CW286" s="536"/>
      <c r="CX286" s="536"/>
      <c r="CY286" s="536"/>
      <c r="CZ286" s="541">
        <f t="shared" si="122"/>
        <v>0</v>
      </c>
      <c r="DA286" s="536"/>
      <c r="DB286" s="536"/>
      <c r="DC286" s="536"/>
      <c r="DD286" s="541">
        <f t="shared" si="123"/>
        <v>0</v>
      </c>
      <c r="DE286" s="536"/>
      <c r="DF286" s="536"/>
      <c r="DG286" s="536"/>
      <c r="DH286" s="541">
        <f t="shared" si="124"/>
        <v>0</v>
      </c>
      <c r="DI286" s="536"/>
      <c r="DJ286" s="536"/>
      <c r="DK286" s="536"/>
      <c r="DL286" s="541">
        <f t="shared" si="125"/>
        <v>0</v>
      </c>
      <c r="DM286" s="536"/>
      <c r="DN286" s="536"/>
      <c r="DO286" s="536"/>
      <c r="DP286" s="541">
        <f>IF( SUM((DJ286*(20/100))+(DK286*(30/100))+(DL286*(50/100))) &gt;=9.3,9.5,
IF(AND( SUM((DJ286*(20/100))+(DK286*(30/100))+(DL286*(50/100))) &lt;=9.3, SUM((DJ286*(20/100))+(DK286*(30/100))+(DL286*(50/100))) &gt;=8.8),9,
IF(AND( SUM((DJ286*(20/100))+(DK286*(30/100))+(DL286*(50/100))) &lt;=8.8, SUM((DJ286*(20/100))+(DK286*(30/100))+(DL286*(50/100))) &gt;=8.3),8.5,
IF(AND( SUM((DJ286*(20/100))+(DK286*(30/100))+(DL286*(50/100))) &lt;=8.3, SUM((DJ286*(20/100))+(DK286*(30/100))+(DL286*(50/100))) &gt;=7.8),8,
IF(AND( SUM((DJ286*(20/100))+(DK286*(30/100))+(DL286*(50/100))) &lt;=7.8, SUM((DJ286*(20/100))+(DK286*(30/100))+(DL286*(50/100))) &gt;=7.3),7.5,
IF(AND( SUM((DJ286*(20/100))+(DK286*(30/100))+(DL286*(50/100))) &lt;=7.3, SUM((DJ286*(20/100))+(DK286*(30/100))+(DL286*(50/100))) &gt;=6.8),7,
IF(AND( SUM((DJ286*(20/100))+(DK286*(30/100))+(DL286*(50/100))) &lt;=6.8, SUM((DJ286*(20/100))+(DK286*(30/100))+(DL286*(50/100))) &gt;=6.3),6.5,
IF(AND( SUM((DJ286*(20/100))+(DK286*(30/100))+(DL286*(50/100))) &lt;=6.3, SUM((DJ286*(20/100))+(DK286*(30/100))+(DL286*(50/100))) &gt;=5.8),6,
IF(AND( SUM((DJ286*(20/100))+(DK286*(30/100))+(DL286*(50/100))) &lt;=5.8, SUM((DJ286*(20/100))+(DK286*(30/100))+(DL286*(50/100))) &gt;=5.3),5.5,
IF(AND( SUM((DJ286*(20/100))+(DK286*(30/100))+(DL286*(50/100))) &lt;=5.3, SUM((DJ286*(20/100))+(DK286*(30/100))+(DL286*(50/100))) &gt;=4.8),5,
IF(AND( SUM((DJ286*(20/100))+(DK286*(30/100))+(DL286*(50/100))) &lt;=4.8, SUM((DJ286*(20/100))+(DK286*(30/100))+(DL286*(50/100))) &gt;=4.3),4.5,
IF(AND( SUM((DJ286*(20/100))+(DK286*(30/100))+(DL286*(50/100))) &lt;=4.3, SUM((DJ286*(20/100))+(DK286*(30/100))+(DL286*(50/100))) &gt;=3.8),4,
IF(AND( SUM((DJ286*(20/100))+(DK286*(30/100))+(DL286*(50/100))) &lt;=3.8, SUM((DJ286*(20/100))+(DK286*(30/100))+(DL286*(50/100))) &gt;=3.5),3.5,0)))))))))))))</f>
        <v>0</v>
      </c>
      <c r="DQ286" s="541"/>
      <c r="DR286" s="541"/>
      <c r="DS286" s="541"/>
      <c r="DT286" s="541"/>
      <c r="DU286" s="541"/>
      <c r="DV286" s="541"/>
      <c r="DW286" s="541"/>
      <c r="DX286" s="541"/>
      <c r="DY286" s="541"/>
      <c r="DZ286" s="541"/>
    </row>
    <row r="287" spans="2:130" x14ac:dyDescent="0.25">
      <c r="B287" s="334">
        <v>30</v>
      </c>
      <c r="C287" s="541"/>
      <c r="D287" s="334"/>
      <c r="E287" s="334"/>
      <c r="F287" s="334"/>
      <c r="G287" s="334"/>
      <c r="H287" s="334"/>
      <c r="I287" s="334"/>
      <c r="J287" s="536"/>
      <c r="K287" s="536"/>
      <c r="L287" s="536"/>
      <c r="M287" s="536"/>
      <c r="N287" s="536"/>
      <c r="O287" s="536"/>
      <c r="P287" s="536">
        <f t="shared" si="101"/>
        <v>0</v>
      </c>
      <c r="Q287" s="536"/>
      <c r="R287" s="536"/>
      <c r="S287" s="536"/>
      <c r="T287" s="536">
        <f t="shared" si="102"/>
        <v>0</v>
      </c>
      <c r="U287" s="536"/>
      <c r="V287" s="536"/>
      <c r="W287" s="536"/>
      <c r="X287" s="536">
        <f t="shared" si="103"/>
        <v>0</v>
      </c>
      <c r="Y287" s="536"/>
      <c r="Z287" s="536"/>
      <c r="AA287" s="536"/>
      <c r="AB287" s="536">
        <f t="shared" si="104"/>
        <v>0</v>
      </c>
      <c r="AC287" s="536"/>
      <c r="AD287" s="536"/>
      <c r="AE287" s="536"/>
      <c r="AF287" s="536">
        <f t="shared" si="105"/>
        <v>0</v>
      </c>
      <c r="AG287" s="536"/>
      <c r="AH287" s="536"/>
      <c r="AI287" s="536"/>
      <c r="AJ287" s="536">
        <f t="shared" si="106"/>
        <v>0</v>
      </c>
      <c r="AK287" s="536"/>
      <c r="AL287" s="536"/>
      <c r="AM287" s="536"/>
      <c r="AN287" s="542">
        <f t="shared" si="107"/>
        <v>0</v>
      </c>
      <c r="AO287" s="536"/>
      <c r="AP287" s="536"/>
      <c r="AQ287" s="536"/>
      <c r="AR287" s="542">
        <f t="shared" si="108"/>
        <v>0</v>
      </c>
      <c r="AS287" s="536"/>
      <c r="AT287" s="536"/>
      <c r="AU287" s="536"/>
      <c r="AV287" s="542">
        <f t="shared" si="109"/>
        <v>0</v>
      </c>
      <c r="AW287" s="536"/>
      <c r="AX287" s="536"/>
      <c r="AY287" s="536"/>
      <c r="AZ287" s="542">
        <f t="shared" si="110"/>
        <v>0</v>
      </c>
      <c r="BA287" s="536"/>
      <c r="BB287" s="536"/>
      <c r="BC287" s="536"/>
      <c r="BD287" s="542">
        <f t="shared" si="111"/>
        <v>0</v>
      </c>
      <c r="BE287" s="536"/>
      <c r="BF287" s="536"/>
      <c r="BG287" s="536"/>
      <c r="BH287" s="542">
        <f t="shared" si="112"/>
        <v>0</v>
      </c>
      <c r="BI287" s="536"/>
      <c r="BJ287" s="536"/>
      <c r="BK287" s="536"/>
      <c r="BL287" s="542">
        <f t="shared" si="113"/>
        <v>0</v>
      </c>
      <c r="BM287" s="536"/>
      <c r="BN287" s="536"/>
      <c r="BO287" s="536"/>
      <c r="BP287" s="542">
        <f t="shared" si="114"/>
        <v>0</v>
      </c>
      <c r="BQ287" s="536"/>
      <c r="BR287" s="536"/>
      <c r="BS287" s="536"/>
      <c r="BT287" s="542">
        <f t="shared" si="115"/>
        <v>0</v>
      </c>
      <c r="BU287" s="536"/>
      <c r="BV287" s="536"/>
      <c r="BW287" s="536"/>
      <c r="BX287" s="542">
        <f t="shared" si="116"/>
        <v>0</v>
      </c>
      <c r="BY287" s="536"/>
      <c r="BZ287" s="536"/>
      <c r="CA287" s="536"/>
      <c r="CB287" s="542">
        <v>0</v>
      </c>
      <c r="CC287" s="536"/>
      <c r="CD287" s="536"/>
      <c r="CE287" s="536"/>
      <c r="CF287" s="541">
        <f t="shared" si="117"/>
        <v>0</v>
      </c>
      <c r="CG287" s="536"/>
      <c r="CH287" s="536"/>
      <c r="CI287" s="536"/>
      <c r="CJ287" s="541">
        <f t="shared" si="118"/>
        <v>0</v>
      </c>
      <c r="CK287" s="536"/>
      <c r="CL287" s="536"/>
      <c r="CM287" s="536"/>
      <c r="CN287" s="541">
        <f t="shared" si="119"/>
        <v>0</v>
      </c>
      <c r="CO287" s="536"/>
      <c r="CP287" s="536"/>
      <c r="CQ287" s="536"/>
      <c r="CR287" s="541">
        <f t="shared" si="120"/>
        <v>0</v>
      </c>
      <c r="CS287" s="536"/>
      <c r="CT287" s="536"/>
      <c r="CU287" s="536"/>
      <c r="CV287" s="541">
        <f t="shared" si="121"/>
        <v>0</v>
      </c>
      <c r="CW287" s="536"/>
      <c r="CX287" s="536"/>
      <c r="CY287" s="536"/>
      <c r="CZ287" s="541">
        <f t="shared" si="122"/>
        <v>0</v>
      </c>
      <c r="DA287" s="536"/>
      <c r="DB287" s="536"/>
      <c r="DC287" s="536"/>
      <c r="DD287" s="541">
        <f t="shared" si="123"/>
        <v>0</v>
      </c>
      <c r="DE287" s="536"/>
      <c r="DF287" s="536"/>
      <c r="DG287" s="536"/>
      <c r="DH287" s="541">
        <f t="shared" si="124"/>
        <v>0</v>
      </c>
      <c r="DI287" s="536"/>
      <c r="DJ287" s="536"/>
      <c r="DK287" s="536"/>
      <c r="DL287" s="541">
        <f t="shared" si="125"/>
        <v>0</v>
      </c>
      <c r="DM287" s="536"/>
      <c r="DN287" s="536"/>
      <c r="DO287" s="536"/>
      <c r="DP287" s="541">
        <f>IF( SUM((DJ287*(20/100))+(DK287*(30/100))+(DL287*(50/100))) &gt;=9.3,9.5,
IF(AND( SUM((DJ287*(20/100))+(DK287*(30/100))+(DL287*(50/100))) &lt;=9.3, SUM((DJ287*(20/100))+(DK287*(30/100))+(DL287*(50/100))) &gt;=8.8),9,
IF(AND( SUM((DJ287*(20/100))+(DK287*(30/100))+(DL287*(50/100))) &lt;=8.8, SUM((DJ287*(20/100))+(DK287*(30/100))+(DL287*(50/100))) &gt;=8.3),8.5,
IF(AND( SUM((DJ287*(20/100))+(DK287*(30/100))+(DL287*(50/100))) &lt;=8.3, SUM((DJ287*(20/100))+(DK287*(30/100))+(DL287*(50/100))) &gt;=7.8),8,
IF(AND( SUM((DJ287*(20/100))+(DK287*(30/100))+(DL287*(50/100))) &lt;=7.8, SUM((DJ287*(20/100))+(DK287*(30/100))+(DL287*(50/100))) &gt;=7.3),7.5,
IF(AND( SUM((DJ287*(20/100))+(DK287*(30/100))+(DL287*(50/100))) &lt;=7.3, SUM((DJ287*(20/100))+(DK287*(30/100))+(DL287*(50/100))) &gt;=6.8),7,
IF(AND( SUM((DJ287*(20/100))+(DK287*(30/100))+(DL287*(50/100))) &lt;=6.8, SUM((DJ287*(20/100))+(DK287*(30/100))+(DL287*(50/100))) &gt;=6.3),6.5,
IF(AND( SUM((DJ287*(20/100))+(DK287*(30/100))+(DL287*(50/100))) &lt;=6.3, SUM((DJ287*(20/100))+(DK287*(30/100))+(DL287*(50/100))) &gt;=5.8),6,
IF(AND( SUM((DJ287*(20/100))+(DK287*(30/100))+(DL287*(50/100))) &lt;=5.8, SUM((DJ287*(20/100))+(DK287*(30/100))+(DL287*(50/100))) &gt;=5.3),5.5,
IF(AND( SUM((DJ287*(20/100))+(DK287*(30/100))+(DL287*(50/100))) &lt;=5.3, SUM((DJ287*(20/100))+(DK287*(30/100))+(DL287*(50/100))) &gt;=4.8),5,
IF(AND( SUM((DJ287*(20/100))+(DK287*(30/100))+(DL287*(50/100))) &lt;=4.8, SUM((DJ287*(20/100))+(DK287*(30/100))+(DL287*(50/100))) &gt;=4.3),4.5,
IF(AND( SUM((DJ287*(20/100))+(DK287*(30/100))+(DL287*(50/100))) &lt;=4.3, SUM((DJ287*(20/100))+(DK287*(30/100))+(DL287*(50/100))) &gt;=3.8),4,
IF(AND( SUM((DJ287*(20/100))+(DK287*(30/100))+(DL287*(50/100))) &lt;=3.8, SUM((DJ287*(20/100))+(DK287*(30/100))+(DL287*(50/100))) &gt;=3.5),3.5,0)))))))))))))</f>
        <v>0</v>
      </c>
      <c r="DQ287" s="541"/>
      <c r="DR287" s="541"/>
      <c r="DS287" s="541"/>
      <c r="DT287" s="541"/>
      <c r="DU287" s="541"/>
      <c r="DV287" s="541"/>
      <c r="DW287" s="541"/>
      <c r="DX287" s="541"/>
      <c r="DY287" s="541"/>
      <c r="DZ287" s="541"/>
    </row>
    <row r="288" spans="2:130" x14ac:dyDescent="0.25">
      <c r="B288" s="334">
        <v>31</v>
      </c>
      <c r="C288" s="541"/>
      <c r="D288" s="334"/>
      <c r="E288" s="334"/>
      <c r="F288" s="334"/>
      <c r="G288" s="334"/>
      <c r="H288" s="334"/>
      <c r="I288" s="334"/>
      <c r="J288" s="536"/>
      <c r="K288" s="536"/>
      <c r="L288" s="536"/>
      <c r="M288" s="536"/>
      <c r="N288" s="536"/>
      <c r="O288" s="536"/>
      <c r="P288" s="536">
        <f t="shared" si="101"/>
        <v>0</v>
      </c>
      <c r="Q288" s="536"/>
      <c r="R288" s="536"/>
      <c r="S288" s="536"/>
      <c r="T288" s="536">
        <f t="shared" si="102"/>
        <v>0</v>
      </c>
      <c r="U288" s="536"/>
      <c r="V288" s="536"/>
      <c r="W288" s="536"/>
      <c r="X288" s="536">
        <f t="shared" si="103"/>
        <v>0</v>
      </c>
      <c r="Y288" s="536"/>
      <c r="Z288" s="536"/>
      <c r="AA288" s="536"/>
      <c r="AB288" s="536">
        <f t="shared" si="104"/>
        <v>0</v>
      </c>
      <c r="AC288" s="536"/>
      <c r="AD288" s="536"/>
      <c r="AE288" s="536"/>
      <c r="AF288" s="536">
        <f t="shared" si="105"/>
        <v>0</v>
      </c>
      <c r="AG288" s="536"/>
      <c r="AH288" s="536"/>
      <c r="AI288" s="536"/>
      <c r="AJ288" s="536">
        <f t="shared" si="106"/>
        <v>0</v>
      </c>
      <c r="AK288" s="536"/>
      <c r="AL288" s="536"/>
      <c r="AM288" s="536"/>
      <c r="AN288" s="542">
        <f t="shared" si="107"/>
        <v>0</v>
      </c>
      <c r="AO288" s="536"/>
      <c r="AP288" s="536"/>
      <c r="AQ288" s="536"/>
      <c r="AR288" s="542">
        <f t="shared" si="108"/>
        <v>0</v>
      </c>
      <c r="AS288" s="536"/>
      <c r="AT288" s="536"/>
      <c r="AU288" s="536"/>
      <c r="AV288" s="542">
        <f t="shared" si="109"/>
        <v>0</v>
      </c>
      <c r="AW288" s="536"/>
      <c r="AX288" s="536"/>
      <c r="AY288" s="536"/>
      <c r="AZ288" s="542">
        <f t="shared" si="110"/>
        <v>0</v>
      </c>
      <c r="BA288" s="536"/>
      <c r="BB288" s="536"/>
      <c r="BC288" s="536"/>
      <c r="BD288" s="542">
        <f t="shared" si="111"/>
        <v>0</v>
      </c>
      <c r="BE288" s="536"/>
      <c r="BF288" s="536"/>
      <c r="BG288" s="536"/>
      <c r="BH288" s="542">
        <f t="shared" si="112"/>
        <v>0</v>
      </c>
      <c r="BI288" s="536"/>
      <c r="BJ288" s="536"/>
      <c r="BK288" s="536"/>
      <c r="BL288" s="542">
        <f t="shared" si="113"/>
        <v>0</v>
      </c>
      <c r="BM288" s="536"/>
      <c r="BN288" s="536"/>
      <c r="BO288" s="536"/>
      <c r="BP288" s="542">
        <f t="shared" si="114"/>
        <v>0</v>
      </c>
      <c r="BQ288" s="536"/>
      <c r="BR288" s="536"/>
      <c r="BS288" s="536"/>
      <c r="BT288" s="542">
        <f t="shared" si="115"/>
        <v>0</v>
      </c>
      <c r="BU288" s="536"/>
      <c r="BV288" s="536"/>
      <c r="BW288" s="536"/>
      <c r="BX288" s="542">
        <f t="shared" si="116"/>
        <v>0</v>
      </c>
      <c r="BY288" s="536"/>
      <c r="BZ288" s="536"/>
      <c r="CA288" s="536"/>
      <c r="CB288" s="542">
        <v>0</v>
      </c>
      <c r="CC288" s="536"/>
      <c r="CD288" s="536"/>
      <c r="CE288" s="536"/>
      <c r="CF288" s="541">
        <f t="shared" si="117"/>
        <v>0</v>
      </c>
      <c r="CG288" s="536"/>
      <c r="CH288" s="536"/>
      <c r="CI288" s="536"/>
      <c r="CJ288" s="541">
        <f t="shared" si="118"/>
        <v>0</v>
      </c>
      <c r="CK288" s="536"/>
      <c r="CL288" s="536"/>
      <c r="CM288" s="536"/>
      <c r="CN288" s="541">
        <f t="shared" si="119"/>
        <v>0</v>
      </c>
      <c r="CO288" s="536"/>
      <c r="CP288" s="536"/>
      <c r="CQ288" s="536"/>
      <c r="CR288" s="541">
        <f t="shared" si="120"/>
        <v>0</v>
      </c>
      <c r="CS288" s="536"/>
      <c r="CT288" s="536"/>
      <c r="CU288" s="536"/>
      <c r="CV288" s="541">
        <f t="shared" si="121"/>
        <v>0</v>
      </c>
      <c r="CW288" s="536"/>
      <c r="CX288" s="536"/>
      <c r="CY288" s="536"/>
      <c r="CZ288" s="541">
        <f t="shared" si="122"/>
        <v>0</v>
      </c>
      <c r="DA288" s="536"/>
      <c r="DB288" s="536"/>
      <c r="DC288" s="536"/>
      <c r="DD288" s="541">
        <f t="shared" si="123"/>
        <v>0</v>
      </c>
      <c r="DE288" s="536"/>
      <c r="DF288" s="536"/>
      <c r="DG288" s="536"/>
      <c r="DH288" s="541">
        <f t="shared" si="124"/>
        <v>0</v>
      </c>
      <c r="DI288" s="536"/>
      <c r="DJ288" s="536"/>
      <c r="DK288" s="536"/>
      <c r="DL288" s="541">
        <f t="shared" si="125"/>
        <v>0</v>
      </c>
      <c r="DM288" s="536"/>
      <c r="DN288" s="536"/>
      <c r="DO288" s="536"/>
      <c r="DP288" s="541">
        <f>IF( SUM((DJ288*(20/100))+(DK288*(30/100))+(DL288*(50/100))) &gt;=9.3,9.5,
IF(AND( SUM((DJ288*(20/100))+(DK288*(30/100))+(DL288*(50/100))) &lt;=9.3, SUM((DJ288*(20/100))+(DK288*(30/100))+(DL288*(50/100))) &gt;=8.8),9,
IF(AND( SUM((DJ288*(20/100))+(DK288*(30/100))+(DL288*(50/100))) &lt;=8.8, SUM((DJ288*(20/100))+(DK288*(30/100))+(DL288*(50/100))) &gt;=8.3),8.5,
IF(AND( SUM((DJ288*(20/100))+(DK288*(30/100))+(DL288*(50/100))) &lt;=8.3, SUM((DJ288*(20/100))+(DK288*(30/100))+(DL288*(50/100))) &gt;=7.8),8,
IF(AND( SUM((DJ288*(20/100))+(DK288*(30/100))+(DL288*(50/100))) &lt;=7.8, SUM((DJ288*(20/100))+(DK288*(30/100))+(DL288*(50/100))) &gt;=7.3),7.5,
IF(AND( SUM((DJ288*(20/100))+(DK288*(30/100))+(DL288*(50/100))) &lt;=7.3, SUM((DJ288*(20/100))+(DK288*(30/100))+(DL288*(50/100))) &gt;=6.8),7,
IF(AND( SUM((DJ288*(20/100))+(DK288*(30/100))+(DL288*(50/100))) &lt;=6.8, SUM((DJ288*(20/100))+(DK288*(30/100))+(DL288*(50/100))) &gt;=6.3),6.5,
IF(AND( SUM((DJ288*(20/100))+(DK288*(30/100))+(DL288*(50/100))) &lt;=6.3, SUM((DJ288*(20/100))+(DK288*(30/100))+(DL288*(50/100))) &gt;=5.8),6,
IF(AND( SUM((DJ288*(20/100))+(DK288*(30/100))+(DL288*(50/100))) &lt;=5.8, SUM((DJ288*(20/100))+(DK288*(30/100))+(DL288*(50/100))) &gt;=5.3),5.5,
IF(AND( SUM((DJ288*(20/100))+(DK288*(30/100))+(DL288*(50/100))) &lt;=5.3, SUM((DJ288*(20/100))+(DK288*(30/100))+(DL288*(50/100))) &gt;=4.8),5,
IF(AND( SUM((DJ288*(20/100))+(DK288*(30/100))+(DL288*(50/100))) &lt;=4.8, SUM((DJ288*(20/100))+(DK288*(30/100))+(DL288*(50/100))) &gt;=4.3),4.5,
IF(AND( SUM((DJ288*(20/100))+(DK288*(30/100))+(DL288*(50/100))) &lt;=4.3, SUM((DJ288*(20/100))+(DK288*(30/100))+(DL288*(50/100))) &gt;=3.8),4,
IF(AND( SUM((DJ288*(20/100))+(DK288*(30/100))+(DL288*(50/100))) &lt;=3.8, SUM((DJ288*(20/100))+(DK288*(30/100))+(DL288*(50/100))) &gt;=3.5),3.5,0)))))))))))))</f>
        <v>0</v>
      </c>
      <c r="DQ288" s="541"/>
      <c r="DR288" s="541"/>
      <c r="DS288" s="541"/>
      <c r="DT288" s="541"/>
      <c r="DU288" s="541"/>
      <c r="DV288" s="541"/>
      <c r="DW288" s="541"/>
      <c r="DX288" s="541"/>
      <c r="DY288" s="541"/>
      <c r="DZ288" s="541"/>
    </row>
    <row r="289" spans="2:130" x14ac:dyDescent="0.25">
      <c r="B289" s="334">
        <v>32</v>
      </c>
      <c r="C289" s="541"/>
      <c r="D289" s="334"/>
      <c r="E289" s="334"/>
      <c r="F289" s="334"/>
      <c r="G289" s="334"/>
      <c r="H289" s="334"/>
      <c r="I289" s="334"/>
      <c r="J289" s="536"/>
      <c r="K289" s="536"/>
      <c r="L289" s="536"/>
      <c r="M289" s="536"/>
      <c r="N289" s="536"/>
      <c r="O289" s="536"/>
      <c r="P289" s="536">
        <f t="shared" si="101"/>
        <v>0</v>
      </c>
      <c r="Q289" s="536"/>
      <c r="R289" s="536"/>
      <c r="S289" s="536"/>
      <c r="T289" s="536">
        <f t="shared" si="102"/>
        <v>0</v>
      </c>
      <c r="U289" s="536"/>
      <c r="V289" s="536"/>
      <c r="W289" s="536"/>
      <c r="X289" s="536">
        <f t="shared" si="103"/>
        <v>0</v>
      </c>
      <c r="Y289" s="536"/>
      <c r="Z289" s="536"/>
      <c r="AA289" s="536"/>
      <c r="AB289" s="536">
        <f t="shared" si="104"/>
        <v>0</v>
      </c>
      <c r="AC289" s="536"/>
      <c r="AD289" s="536"/>
      <c r="AE289" s="536"/>
      <c r="AF289" s="536">
        <f t="shared" si="105"/>
        <v>0</v>
      </c>
      <c r="AG289" s="536"/>
      <c r="AH289" s="536"/>
      <c r="AI289" s="536"/>
      <c r="AJ289" s="536">
        <f t="shared" si="106"/>
        <v>0</v>
      </c>
      <c r="AK289" s="536"/>
      <c r="AL289" s="536"/>
      <c r="AM289" s="536"/>
      <c r="AN289" s="542">
        <f t="shared" si="107"/>
        <v>0</v>
      </c>
      <c r="AO289" s="536"/>
      <c r="AP289" s="536"/>
      <c r="AQ289" s="536"/>
      <c r="AR289" s="542">
        <f t="shared" si="108"/>
        <v>0</v>
      </c>
      <c r="AS289" s="536"/>
      <c r="AT289" s="536"/>
      <c r="AU289" s="536"/>
      <c r="AV289" s="542">
        <f t="shared" si="109"/>
        <v>0</v>
      </c>
      <c r="AW289" s="536"/>
      <c r="AX289" s="536"/>
      <c r="AY289" s="536"/>
      <c r="AZ289" s="542">
        <f t="shared" si="110"/>
        <v>0</v>
      </c>
      <c r="BA289" s="536"/>
      <c r="BB289" s="536"/>
      <c r="BC289" s="536"/>
      <c r="BD289" s="542">
        <f t="shared" si="111"/>
        <v>0</v>
      </c>
      <c r="BE289" s="536"/>
      <c r="BF289" s="536"/>
      <c r="BG289" s="536"/>
      <c r="BH289" s="542">
        <f t="shared" si="112"/>
        <v>0</v>
      </c>
      <c r="BI289" s="536"/>
      <c r="BJ289" s="536"/>
      <c r="BK289" s="536"/>
      <c r="BL289" s="542">
        <f t="shared" si="113"/>
        <v>0</v>
      </c>
      <c r="BM289" s="536"/>
      <c r="BN289" s="536"/>
      <c r="BO289" s="536"/>
      <c r="BP289" s="542">
        <f t="shared" si="114"/>
        <v>0</v>
      </c>
      <c r="BQ289" s="536"/>
      <c r="BR289" s="536"/>
      <c r="BS289" s="536"/>
      <c r="BT289" s="542">
        <f t="shared" si="115"/>
        <v>0</v>
      </c>
      <c r="BU289" s="536"/>
      <c r="BV289" s="536"/>
      <c r="BW289" s="536"/>
      <c r="BX289" s="542">
        <f t="shared" si="116"/>
        <v>0</v>
      </c>
      <c r="BY289" s="536"/>
      <c r="BZ289" s="536"/>
      <c r="CA289" s="536"/>
      <c r="CB289" s="542">
        <v>0</v>
      </c>
      <c r="CC289" s="536"/>
      <c r="CD289" s="536"/>
      <c r="CE289" s="536"/>
      <c r="CF289" s="541">
        <f t="shared" si="117"/>
        <v>0</v>
      </c>
      <c r="CG289" s="536"/>
      <c r="CH289" s="536"/>
      <c r="CI289" s="536"/>
      <c r="CJ289" s="541">
        <f t="shared" si="118"/>
        <v>0</v>
      </c>
      <c r="CK289" s="536"/>
      <c r="CL289" s="536"/>
      <c r="CM289" s="536"/>
      <c r="CN289" s="541">
        <f t="shared" si="119"/>
        <v>0</v>
      </c>
      <c r="CO289" s="536"/>
      <c r="CP289" s="536"/>
      <c r="CQ289" s="536"/>
      <c r="CR289" s="541">
        <f t="shared" si="120"/>
        <v>0</v>
      </c>
      <c r="CS289" s="536"/>
      <c r="CT289" s="536"/>
      <c r="CU289" s="536"/>
      <c r="CV289" s="541">
        <f t="shared" si="121"/>
        <v>0</v>
      </c>
      <c r="CW289" s="536"/>
      <c r="CX289" s="536"/>
      <c r="CY289" s="536"/>
      <c r="CZ289" s="541">
        <f t="shared" si="122"/>
        <v>0</v>
      </c>
      <c r="DA289" s="536"/>
      <c r="DB289" s="536"/>
      <c r="DC289" s="536"/>
      <c r="DD289" s="541">
        <f t="shared" si="123"/>
        <v>0</v>
      </c>
      <c r="DE289" s="536"/>
      <c r="DF289" s="536"/>
      <c r="DG289" s="536"/>
      <c r="DH289" s="541">
        <f t="shared" si="124"/>
        <v>0</v>
      </c>
      <c r="DI289" s="536"/>
      <c r="DJ289" s="536"/>
      <c r="DK289" s="536"/>
      <c r="DL289" s="541">
        <f t="shared" si="125"/>
        <v>0</v>
      </c>
      <c r="DM289" s="536"/>
      <c r="DN289" s="536"/>
      <c r="DO289" s="536"/>
      <c r="DP289" s="541">
        <f>IF( SUM((DJ289*(20/100))+(DK289*(30/100))+(DL289*(50/100))) &gt;=9.3,9.5,
IF(AND( SUM((DJ289*(20/100))+(DK289*(30/100))+(DL289*(50/100))) &lt;=9.3, SUM((DJ289*(20/100))+(DK289*(30/100))+(DL289*(50/100))) &gt;=8.8),9,
IF(AND( SUM((DJ289*(20/100))+(DK289*(30/100))+(DL289*(50/100))) &lt;=8.8, SUM((DJ289*(20/100))+(DK289*(30/100))+(DL289*(50/100))) &gt;=8.3),8.5,
IF(AND( SUM((DJ289*(20/100))+(DK289*(30/100))+(DL289*(50/100))) &lt;=8.3, SUM((DJ289*(20/100))+(DK289*(30/100))+(DL289*(50/100))) &gt;=7.8),8,
IF(AND( SUM((DJ289*(20/100))+(DK289*(30/100))+(DL289*(50/100))) &lt;=7.8, SUM((DJ289*(20/100))+(DK289*(30/100))+(DL289*(50/100))) &gt;=7.3),7.5,
IF(AND( SUM((DJ289*(20/100))+(DK289*(30/100))+(DL289*(50/100))) &lt;=7.3, SUM((DJ289*(20/100))+(DK289*(30/100))+(DL289*(50/100))) &gt;=6.8),7,
IF(AND( SUM((DJ289*(20/100))+(DK289*(30/100))+(DL289*(50/100))) &lt;=6.8, SUM((DJ289*(20/100))+(DK289*(30/100))+(DL289*(50/100))) &gt;=6.3),6.5,
IF(AND( SUM((DJ289*(20/100))+(DK289*(30/100))+(DL289*(50/100))) &lt;=6.3, SUM((DJ289*(20/100))+(DK289*(30/100))+(DL289*(50/100))) &gt;=5.8),6,
IF(AND( SUM((DJ289*(20/100))+(DK289*(30/100))+(DL289*(50/100))) &lt;=5.8, SUM((DJ289*(20/100))+(DK289*(30/100))+(DL289*(50/100))) &gt;=5.3),5.5,
IF(AND( SUM((DJ289*(20/100))+(DK289*(30/100))+(DL289*(50/100))) &lt;=5.3, SUM((DJ289*(20/100))+(DK289*(30/100))+(DL289*(50/100))) &gt;=4.8),5,
IF(AND( SUM((DJ289*(20/100))+(DK289*(30/100))+(DL289*(50/100))) &lt;=4.8, SUM((DJ289*(20/100))+(DK289*(30/100))+(DL289*(50/100))) &gt;=4.3),4.5,
IF(AND( SUM((DJ289*(20/100))+(DK289*(30/100))+(DL289*(50/100))) &lt;=4.3, SUM((DJ289*(20/100))+(DK289*(30/100))+(DL289*(50/100))) &gt;=3.8),4,
IF(AND( SUM((DJ289*(20/100))+(DK289*(30/100))+(DL289*(50/100))) &lt;=3.8, SUM((DJ289*(20/100))+(DK289*(30/100))+(DL289*(50/100))) &gt;=3.5),3.5,0)))))))))))))</f>
        <v>0</v>
      </c>
      <c r="DQ289" s="541"/>
      <c r="DR289" s="541"/>
      <c r="DS289" s="541"/>
      <c r="DT289" s="541"/>
      <c r="DU289" s="541"/>
      <c r="DV289" s="541"/>
      <c r="DW289" s="541"/>
      <c r="DX289" s="541"/>
      <c r="DY289" s="541"/>
      <c r="DZ289" s="541"/>
    </row>
    <row r="290" spans="2:130" x14ac:dyDescent="0.25">
      <c r="B290" s="334">
        <v>33</v>
      </c>
      <c r="C290" s="541"/>
      <c r="D290" s="334"/>
      <c r="E290" s="334"/>
      <c r="F290" s="334"/>
      <c r="G290" s="334"/>
      <c r="H290" s="334"/>
      <c r="I290" s="334"/>
      <c r="J290" s="536"/>
      <c r="K290" s="536"/>
      <c r="L290" s="536"/>
      <c r="M290" s="536"/>
      <c r="N290" s="536"/>
      <c r="O290" s="536"/>
      <c r="P290" s="536">
        <f t="shared" si="101"/>
        <v>0</v>
      </c>
      <c r="Q290" s="536"/>
      <c r="R290" s="536"/>
      <c r="S290" s="536"/>
      <c r="T290" s="536">
        <f t="shared" si="102"/>
        <v>0</v>
      </c>
      <c r="U290" s="536"/>
      <c r="V290" s="536"/>
      <c r="W290" s="536"/>
      <c r="X290" s="536">
        <f t="shared" si="103"/>
        <v>0</v>
      </c>
      <c r="Y290" s="536"/>
      <c r="Z290" s="536"/>
      <c r="AA290" s="536"/>
      <c r="AB290" s="536">
        <f t="shared" si="104"/>
        <v>0</v>
      </c>
      <c r="AC290" s="536"/>
      <c r="AD290" s="536"/>
      <c r="AE290" s="536"/>
      <c r="AF290" s="536">
        <f t="shared" si="105"/>
        <v>0</v>
      </c>
      <c r="AG290" s="536"/>
      <c r="AH290" s="536"/>
      <c r="AI290" s="536"/>
      <c r="AJ290" s="536">
        <f t="shared" si="106"/>
        <v>0</v>
      </c>
      <c r="AK290" s="536"/>
      <c r="AL290" s="536"/>
      <c r="AM290" s="536"/>
      <c r="AN290" s="542">
        <f t="shared" si="107"/>
        <v>0</v>
      </c>
      <c r="AO290" s="536"/>
      <c r="AP290" s="536"/>
      <c r="AQ290" s="536"/>
      <c r="AR290" s="542">
        <f t="shared" si="108"/>
        <v>0</v>
      </c>
      <c r="AS290" s="536"/>
      <c r="AT290" s="536"/>
      <c r="AU290" s="536"/>
      <c r="AV290" s="542">
        <f t="shared" si="109"/>
        <v>0</v>
      </c>
      <c r="AW290" s="536"/>
      <c r="AX290" s="536"/>
      <c r="AY290" s="536"/>
      <c r="AZ290" s="542">
        <f t="shared" si="110"/>
        <v>0</v>
      </c>
      <c r="BA290" s="536"/>
      <c r="BB290" s="536"/>
      <c r="BC290" s="536"/>
      <c r="BD290" s="542">
        <f t="shared" si="111"/>
        <v>0</v>
      </c>
      <c r="BE290" s="536"/>
      <c r="BF290" s="536"/>
      <c r="BG290" s="536"/>
      <c r="BH290" s="542">
        <f t="shared" si="112"/>
        <v>0</v>
      </c>
      <c r="BI290" s="536"/>
      <c r="BJ290" s="536"/>
      <c r="BK290" s="536"/>
      <c r="BL290" s="542">
        <f t="shared" si="113"/>
        <v>0</v>
      </c>
      <c r="BM290" s="536"/>
      <c r="BN290" s="536"/>
      <c r="BO290" s="536"/>
      <c r="BP290" s="542">
        <f t="shared" si="114"/>
        <v>0</v>
      </c>
      <c r="BQ290" s="536"/>
      <c r="BR290" s="536"/>
      <c r="BS290" s="536"/>
      <c r="BT290" s="542">
        <f t="shared" si="115"/>
        <v>0</v>
      </c>
      <c r="BU290" s="536"/>
      <c r="BV290" s="536"/>
      <c r="BW290" s="536"/>
      <c r="BX290" s="542">
        <f t="shared" si="116"/>
        <v>0</v>
      </c>
      <c r="BY290" s="536"/>
      <c r="BZ290" s="536"/>
      <c r="CA290" s="536"/>
      <c r="CB290" s="542">
        <v>0</v>
      </c>
      <c r="CC290" s="536"/>
      <c r="CD290" s="536"/>
      <c r="CE290" s="536"/>
      <c r="CF290" s="541">
        <f t="shared" si="117"/>
        <v>0</v>
      </c>
      <c r="CG290" s="536"/>
      <c r="CH290" s="536"/>
      <c r="CI290" s="536"/>
      <c r="CJ290" s="541">
        <f t="shared" si="118"/>
        <v>0</v>
      </c>
      <c r="CK290" s="536"/>
      <c r="CL290" s="536"/>
      <c r="CM290" s="536"/>
      <c r="CN290" s="541">
        <f t="shared" si="119"/>
        <v>0</v>
      </c>
      <c r="CO290" s="536"/>
      <c r="CP290" s="536"/>
      <c r="CQ290" s="536"/>
      <c r="CR290" s="541">
        <f t="shared" si="120"/>
        <v>0</v>
      </c>
      <c r="CS290" s="536"/>
      <c r="CT290" s="536"/>
      <c r="CU290" s="536"/>
      <c r="CV290" s="541">
        <f t="shared" si="121"/>
        <v>0</v>
      </c>
      <c r="CW290" s="536"/>
      <c r="CX290" s="536"/>
      <c r="CY290" s="536"/>
      <c r="CZ290" s="541">
        <f t="shared" si="122"/>
        <v>0</v>
      </c>
      <c r="DA290" s="536"/>
      <c r="DB290" s="536"/>
      <c r="DC290" s="536"/>
      <c r="DD290" s="541">
        <f t="shared" si="123"/>
        <v>0</v>
      </c>
      <c r="DE290" s="536"/>
      <c r="DF290" s="536"/>
      <c r="DG290" s="536"/>
      <c r="DH290" s="541">
        <f t="shared" si="124"/>
        <v>0</v>
      </c>
      <c r="DI290" s="536"/>
      <c r="DJ290" s="536"/>
      <c r="DK290" s="536"/>
      <c r="DL290" s="541">
        <f t="shared" si="125"/>
        <v>0</v>
      </c>
      <c r="DM290" s="536"/>
      <c r="DN290" s="536"/>
      <c r="DO290" s="536"/>
      <c r="DP290" s="541">
        <f>IF( SUM((DJ290*(20/100))+(DK290*(30/100))+(DL290*(50/100))) &gt;=9.3,9.5,
IF(AND( SUM((DJ290*(20/100))+(DK290*(30/100))+(DL290*(50/100))) &lt;=9.3, SUM((DJ290*(20/100))+(DK290*(30/100))+(DL290*(50/100))) &gt;=8.8),9,
IF(AND( SUM((DJ290*(20/100))+(DK290*(30/100))+(DL290*(50/100))) &lt;=8.8, SUM((DJ290*(20/100))+(DK290*(30/100))+(DL290*(50/100))) &gt;=8.3),8.5,
IF(AND( SUM((DJ290*(20/100))+(DK290*(30/100))+(DL290*(50/100))) &lt;=8.3, SUM((DJ290*(20/100))+(DK290*(30/100))+(DL290*(50/100))) &gt;=7.8),8,
IF(AND( SUM((DJ290*(20/100))+(DK290*(30/100))+(DL290*(50/100))) &lt;=7.8, SUM((DJ290*(20/100))+(DK290*(30/100))+(DL290*(50/100))) &gt;=7.3),7.5,
IF(AND( SUM((DJ290*(20/100))+(DK290*(30/100))+(DL290*(50/100))) &lt;=7.3, SUM((DJ290*(20/100))+(DK290*(30/100))+(DL290*(50/100))) &gt;=6.8),7,
IF(AND( SUM((DJ290*(20/100))+(DK290*(30/100))+(DL290*(50/100))) &lt;=6.8, SUM((DJ290*(20/100))+(DK290*(30/100))+(DL290*(50/100))) &gt;=6.3),6.5,
IF(AND( SUM((DJ290*(20/100))+(DK290*(30/100))+(DL290*(50/100))) &lt;=6.3, SUM((DJ290*(20/100))+(DK290*(30/100))+(DL290*(50/100))) &gt;=5.8),6,
IF(AND( SUM((DJ290*(20/100))+(DK290*(30/100))+(DL290*(50/100))) &lt;=5.8, SUM((DJ290*(20/100))+(DK290*(30/100))+(DL290*(50/100))) &gt;=5.3),5.5,
IF(AND( SUM((DJ290*(20/100))+(DK290*(30/100))+(DL290*(50/100))) &lt;=5.3, SUM((DJ290*(20/100))+(DK290*(30/100))+(DL290*(50/100))) &gt;=4.8),5,
IF(AND( SUM((DJ290*(20/100))+(DK290*(30/100))+(DL290*(50/100))) &lt;=4.8, SUM((DJ290*(20/100))+(DK290*(30/100))+(DL290*(50/100))) &gt;=4.3),4.5,
IF(AND( SUM((DJ290*(20/100))+(DK290*(30/100))+(DL290*(50/100))) &lt;=4.3, SUM((DJ290*(20/100))+(DK290*(30/100))+(DL290*(50/100))) &gt;=3.8),4,
IF(AND( SUM((DJ290*(20/100))+(DK290*(30/100))+(DL290*(50/100))) &lt;=3.8, SUM((DJ290*(20/100))+(DK290*(30/100))+(DL290*(50/100))) &gt;=3.5),3.5,0)))))))))))))</f>
        <v>0</v>
      </c>
      <c r="DQ290" s="541"/>
      <c r="DR290" s="541"/>
      <c r="DS290" s="541"/>
      <c r="DT290" s="541"/>
      <c r="DU290" s="541"/>
      <c r="DV290" s="541"/>
      <c r="DW290" s="541"/>
      <c r="DX290" s="541"/>
      <c r="DY290" s="541"/>
      <c r="DZ290" s="541"/>
    </row>
    <row r="291" spans="2:130" x14ac:dyDescent="0.25">
      <c r="B291" s="334">
        <v>34</v>
      </c>
      <c r="C291" s="541"/>
      <c r="D291" s="334"/>
      <c r="E291" s="334"/>
      <c r="F291" s="334"/>
      <c r="G291" s="334"/>
      <c r="H291" s="334"/>
      <c r="I291" s="334"/>
      <c r="J291" s="536"/>
      <c r="K291" s="536"/>
      <c r="L291" s="536"/>
      <c r="M291" s="536"/>
      <c r="N291" s="536"/>
      <c r="O291" s="536"/>
      <c r="P291" s="536">
        <f t="shared" si="101"/>
        <v>0</v>
      </c>
      <c r="Q291" s="536"/>
      <c r="R291" s="536"/>
      <c r="S291" s="536"/>
      <c r="T291" s="536">
        <f t="shared" si="102"/>
        <v>0</v>
      </c>
      <c r="U291" s="536"/>
      <c r="V291" s="536"/>
      <c r="W291" s="536"/>
      <c r="X291" s="536">
        <f t="shared" si="103"/>
        <v>0</v>
      </c>
      <c r="Y291" s="536"/>
      <c r="Z291" s="536"/>
      <c r="AA291" s="536"/>
      <c r="AB291" s="536">
        <f t="shared" si="104"/>
        <v>0</v>
      </c>
      <c r="AC291" s="536"/>
      <c r="AD291" s="536"/>
      <c r="AE291" s="536"/>
      <c r="AF291" s="536">
        <f t="shared" si="105"/>
        <v>0</v>
      </c>
      <c r="AG291" s="536"/>
      <c r="AH291" s="536"/>
      <c r="AI291" s="536"/>
      <c r="AJ291" s="536">
        <f t="shared" si="106"/>
        <v>0</v>
      </c>
      <c r="AK291" s="536"/>
      <c r="AL291" s="536"/>
      <c r="AM291" s="536"/>
      <c r="AN291" s="542">
        <f t="shared" si="107"/>
        <v>0</v>
      </c>
      <c r="AO291" s="536"/>
      <c r="AP291" s="536"/>
      <c r="AQ291" s="536"/>
      <c r="AR291" s="542">
        <f t="shared" si="108"/>
        <v>0</v>
      </c>
      <c r="AS291" s="536"/>
      <c r="AT291" s="536"/>
      <c r="AU291" s="536"/>
      <c r="AV291" s="542">
        <f t="shared" si="109"/>
        <v>0</v>
      </c>
      <c r="AW291" s="536"/>
      <c r="AX291" s="536"/>
      <c r="AY291" s="536"/>
      <c r="AZ291" s="542">
        <f t="shared" si="110"/>
        <v>0</v>
      </c>
      <c r="BA291" s="536"/>
      <c r="BB291" s="536"/>
      <c r="BC291" s="536"/>
      <c r="BD291" s="542">
        <f t="shared" si="111"/>
        <v>0</v>
      </c>
      <c r="BE291" s="536"/>
      <c r="BF291" s="536"/>
      <c r="BG291" s="536"/>
      <c r="BH291" s="542">
        <f t="shared" si="112"/>
        <v>0</v>
      </c>
      <c r="BI291" s="536"/>
      <c r="BJ291" s="536"/>
      <c r="BK291" s="536"/>
      <c r="BL291" s="542">
        <f t="shared" si="113"/>
        <v>0</v>
      </c>
      <c r="BM291" s="536"/>
      <c r="BN291" s="536"/>
      <c r="BO291" s="536"/>
      <c r="BP291" s="542">
        <f t="shared" si="114"/>
        <v>0</v>
      </c>
      <c r="BQ291" s="536"/>
      <c r="BR291" s="536"/>
      <c r="BS291" s="536"/>
      <c r="BT291" s="542">
        <f t="shared" si="115"/>
        <v>0</v>
      </c>
      <c r="BU291" s="536"/>
      <c r="BV291" s="536"/>
      <c r="BW291" s="536"/>
      <c r="BX291" s="542">
        <f t="shared" si="116"/>
        <v>0</v>
      </c>
      <c r="BY291" s="536"/>
      <c r="BZ291" s="536"/>
      <c r="CA291" s="536"/>
      <c r="CB291" s="542">
        <v>0</v>
      </c>
      <c r="CC291" s="536"/>
      <c r="CD291" s="536"/>
      <c r="CE291" s="536"/>
      <c r="CF291" s="541">
        <f t="shared" si="117"/>
        <v>0</v>
      </c>
      <c r="CG291" s="536"/>
      <c r="CH291" s="536"/>
      <c r="CI291" s="536"/>
      <c r="CJ291" s="541">
        <f t="shared" si="118"/>
        <v>0</v>
      </c>
      <c r="CK291" s="536"/>
      <c r="CL291" s="536"/>
      <c r="CM291" s="536"/>
      <c r="CN291" s="541">
        <f t="shared" si="119"/>
        <v>0</v>
      </c>
      <c r="CO291" s="536"/>
      <c r="CP291" s="536"/>
      <c r="CQ291" s="536"/>
      <c r="CR291" s="541">
        <f t="shared" si="120"/>
        <v>0</v>
      </c>
      <c r="CS291" s="536"/>
      <c r="CT291" s="536"/>
      <c r="CU291" s="536"/>
      <c r="CV291" s="541">
        <f t="shared" si="121"/>
        <v>0</v>
      </c>
      <c r="CW291" s="536"/>
      <c r="CX291" s="536"/>
      <c r="CY291" s="536"/>
      <c r="CZ291" s="541">
        <f t="shared" si="122"/>
        <v>0</v>
      </c>
      <c r="DA291" s="536"/>
      <c r="DB291" s="536"/>
      <c r="DC291" s="536"/>
      <c r="DD291" s="541">
        <f t="shared" si="123"/>
        <v>0</v>
      </c>
      <c r="DE291" s="536"/>
      <c r="DF291" s="536"/>
      <c r="DG291" s="536"/>
      <c r="DH291" s="541">
        <f t="shared" si="124"/>
        <v>0</v>
      </c>
      <c r="DI291" s="536"/>
      <c r="DJ291" s="536"/>
      <c r="DK291" s="536"/>
      <c r="DL291" s="541">
        <f t="shared" si="125"/>
        <v>0</v>
      </c>
      <c r="DM291" s="536"/>
      <c r="DN291" s="536"/>
      <c r="DO291" s="536"/>
      <c r="DP291" s="541">
        <f>IF( SUM((DJ291*(20/100))+(DK291*(30/100))+(DL291*(50/100))) &gt;=9.3,9.5,
IF(AND( SUM((DJ291*(20/100))+(DK291*(30/100))+(DL291*(50/100))) &lt;=9.3, SUM((DJ291*(20/100))+(DK291*(30/100))+(DL291*(50/100))) &gt;=8.8),9,
IF(AND( SUM((DJ291*(20/100))+(DK291*(30/100))+(DL291*(50/100))) &lt;=8.8, SUM((DJ291*(20/100))+(DK291*(30/100))+(DL291*(50/100))) &gt;=8.3),8.5,
IF(AND( SUM((DJ291*(20/100))+(DK291*(30/100))+(DL291*(50/100))) &lt;=8.3, SUM((DJ291*(20/100))+(DK291*(30/100))+(DL291*(50/100))) &gt;=7.8),8,
IF(AND( SUM((DJ291*(20/100))+(DK291*(30/100))+(DL291*(50/100))) &lt;=7.8, SUM((DJ291*(20/100))+(DK291*(30/100))+(DL291*(50/100))) &gt;=7.3),7.5,
IF(AND( SUM((DJ291*(20/100))+(DK291*(30/100))+(DL291*(50/100))) &lt;=7.3, SUM((DJ291*(20/100))+(DK291*(30/100))+(DL291*(50/100))) &gt;=6.8),7,
IF(AND( SUM((DJ291*(20/100))+(DK291*(30/100))+(DL291*(50/100))) &lt;=6.8, SUM((DJ291*(20/100))+(DK291*(30/100))+(DL291*(50/100))) &gt;=6.3),6.5,
IF(AND( SUM((DJ291*(20/100))+(DK291*(30/100))+(DL291*(50/100))) &lt;=6.3, SUM((DJ291*(20/100))+(DK291*(30/100))+(DL291*(50/100))) &gt;=5.8),6,
IF(AND( SUM((DJ291*(20/100))+(DK291*(30/100))+(DL291*(50/100))) &lt;=5.8, SUM((DJ291*(20/100))+(DK291*(30/100))+(DL291*(50/100))) &gt;=5.3),5.5,
IF(AND( SUM((DJ291*(20/100))+(DK291*(30/100))+(DL291*(50/100))) &lt;=5.3, SUM((DJ291*(20/100))+(DK291*(30/100))+(DL291*(50/100))) &gt;=4.8),5,
IF(AND( SUM((DJ291*(20/100))+(DK291*(30/100))+(DL291*(50/100))) &lt;=4.8, SUM((DJ291*(20/100))+(DK291*(30/100))+(DL291*(50/100))) &gt;=4.3),4.5,
IF(AND( SUM((DJ291*(20/100))+(DK291*(30/100))+(DL291*(50/100))) &lt;=4.3, SUM((DJ291*(20/100))+(DK291*(30/100))+(DL291*(50/100))) &gt;=3.8),4,
IF(AND( SUM((DJ291*(20/100))+(DK291*(30/100))+(DL291*(50/100))) &lt;=3.8, SUM((DJ291*(20/100))+(DK291*(30/100))+(DL291*(50/100))) &gt;=3.5),3.5,0)))))))))))))</f>
        <v>0</v>
      </c>
      <c r="DQ291" s="541"/>
      <c r="DR291" s="541"/>
      <c r="DS291" s="541"/>
      <c r="DT291" s="541"/>
      <c r="DU291" s="541"/>
      <c r="DV291" s="541"/>
      <c r="DW291" s="541"/>
      <c r="DX291" s="541"/>
      <c r="DY291" s="541"/>
      <c r="DZ291" s="541"/>
    </row>
    <row r="292" spans="2:130" x14ac:dyDescent="0.25">
      <c r="B292" s="334">
        <v>35</v>
      </c>
      <c r="C292" s="541"/>
      <c r="D292" s="334"/>
      <c r="E292" s="334"/>
      <c r="F292" s="334"/>
      <c r="G292" s="334"/>
      <c r="H292" s="334"/>
      <c r="I292" s="334"/>
      <c r="J292" s="536"/>
      <c r="K292" s="536"/>
      <c r="L292" s="536"/>
      <c r="M292" s="536"/>
      <c r="N292" s="536"/>
      <c r="O292" s="536"/>
      <c r="P292" s="536">
        <f t="shared" si="101"/>
        <v>0</v>
      </c>
      <c r="Q292" s="536"/>
      <c r="R292" s="536"/>
      <c r="S292" s="536"/>
      <c r="T292" s="536">
        <f t="shared" si="102"/>
        <v>0</v>
      </c>
      <c r="U292" s="536"/>
      <c r="V292" s="536"/>
      <c r="W292" s="536"/>
      <c r="X292" s="536">
        <f t="shared" si="103"/>
        <v>0</v>
      </c>
      <c r="Y292" s="536"/>
      <c r="Z292" s="536"/>
      <c r="AA292" s="536"/>
      <c r="AB292" s="536">
        <f t="shared" si="104"/>
        <v>0</v>
      </c>
      <c r="AC292" s="536"/>
      <c r="AD292" s="536"/>
      <c r="AE292" s="536"/>
      <c r="AF292" s="536">
        <f t="shared" si="105"/>
        <v>0</v>
      </c>
      <c r="AG292" s="536"/>
      <c r="AH292" s="536"/>
      <c r="AI292" s="536"/>
      <c r="AJ292" s="536">
        <f t="shared" si="106"/>
        <v>0</v>
      </c>
      <c r="AK292" s="536"/>
      <c r="AL292" s="536"/>
      <c r="AM292" s="536"/>
      <c r="AN292" s="542">
        <f t="shared" si="107"/>
        <v>0</v>
      </c>
      <c r="AO292" s="536"/>
      <c r="AP292" s="536"/>
      <c r="AQ292" s="536"/>
      <c r="AR292" s="542">
        <f t="shared" si="108"/>
        <v>0</v>
      </c>
      <c r="AS292" s="536"/>
      <c r="AT292" s="536"/>
      <c r="AU292" s="536"/>
      <c r="AV292" s="542">
        <f t="shared" si="109"/>
        <v>0</v>
      </c>
      <c r="AW292" s="536"/>
      <c r="AX292" s="536"/>
      <c r="AY292" s="536"/>
      <c r="AZ292" s="542">
        <f t="shared" si="110"/>
        <v>0</v>
      </c>
      <c r="BA292" s="536"/>
      <c r="BB292" s="536"/>
      <c r="BC292" s="536"/>
      <c r="BD292" s="542">
        <f t="shared" si="111"/>
        <v>0</v>
      </c>
      <c r="BE292" s="536"/>
      <c r="BF292" s="536"/>
      <c r="BG292" s="536"/>
      <c r="BH292" s="542">
        <f t="shared" si="112"/>
        <v>0</v>
      </c>
      <c r="BI292" s="536"/>
      <c r="BJ292" s="536"/>
      <c r="BK292" s="536"/>
      <c r="BL292" s="542">
        <f t="shared" si="113"/>
        <v>0</v>
      </c>
      <c r="BM292" s="536"/>
      <c r="BN292" s="536"/>
      <c r="BO292" s="536"/>
      <c r="BP292" s="542">
        <f t="shared" si="114"/>
        <v>0</v>
      </c>
      <c r="BQ292" s="536"/>
      <c r="BR292" s="536"/>
      <c r="BS292" s="536"/>
      <c r="BT292" s="542">
        <f t="shared" si="115"/>
        <v>0</v>
      </c>
      <c r="BU292" s="536"/>
      <c r="BV292" s="536"/>
      <c r="BW292" s="536"/>
      <c r="BX292" s="542">
        <f t="shared" si="116"/>
        <v>0</v>
      </c>
      <c r="BY292" s="536"/>
      <c r="BZ292" s="536"/>
      <c r="CA292" s="536"/>
      <c r="CB292" s="542">
        <v>0</v>
      </c>
      <c r="CC292" s="536"/>
      <c r="CD292" s="536"/>
      <c r="CE292" s="536"/>
      <c r="CF292" s="541">
        <f t="shared" si="117"/>
        <v>0</v>
      </c>
      <c r="CG292" s="536"/>
      <c r="CH292" s="536"/>
      <c r="CI292" s="536"/>
      <c r="CJ292" s="541">
        <f t="shared" si="118"/>
        <v>0</v>
      </c>
      <c r="CK292" s="536"/>
      <c r="CL292" s="536"/>
      <c r="CM292" s="536"/>
      <c r="CN292" s="541">
        <f t="shared" si="119"/>
        <v>0</v>
      </c>
      <c r="CO292" s="536"/>
      <c r="CP292" s="536"/>
      <c r="CQ292" s="536"/>
      <c r="CR292" s="541">
        <f t="shared" si="120"/>
        <v>0</v>
      </c>
      <c r="CS292" s="536"/>
      <c r="CT292" s="536"/>
      <c r="CU292" s="536"/>
      <c r="CV292" s="541">
        <f t="shared" si="121"/>
        <v>0</v>
      </c>
      <c r="CW292" s="536"/>
      <c r="CX292" s="536"/>
      <c r="CY292" s="536"/>
      <c r="CZ292" s="541">
        <f t="shared" si="122"/>
        <v>0</v>
      </c>
      <c r="DA292" s="536"/>
      <c r="DB292" s="536"/>
      <c r="DC292" s="536"/>
      <c r="DD292" s="541">
        <f t="shared" si="123"/>
        <v>0</v>
      </c>
      <c r="DE292" s="536"/>
      <c r="DF292" s="536"/>
      <c r="DG292" s="536"/>
      <c r="DH292" s="541">
        <f t="shared" si="124"/>
        <v>0</v>
      </c>
      <c r="DI292" s="536"/>
      <c r="DJ292" s="536"/>
      <c r="DK292" s="536"/>
      <c r="DL292" s="541">
        <f t="shared" si="125"/>
        <v>0</v>
      </c>
      <c r="DM292" s="536"/>
      <c r="DN292" s="536"/>
      <c r="DO292" s="536"/>
      <c r="DP292" s="541">
        <f>IF( SUM((DJ292*(20/100))+(DK292*(30/100))+(DL292*(50/100))) &gt;=9.3,9.5,
IF(AND( SUM((DJ292*(20/100))+(DK292*(30/100))+(DL292*(50/100))) &lt;=9.3, SUM((DJ292*(20/100))+(DK292*(30/100))+(DL292*(50/100))) &gt;=8.8),9,
IF(AND( SUM((DJ292*(20/100))+(DK292*(30/100))+(DL292*(50/100))) &lt;=8.8, SUM((DJ292*(20/100))+(DK292*(30/100))+(DL292*(50/100))) &gt;=8.3),8.5,
IF(AND( SUM((DJ292*(20/100))+(DK292*(30/100))+(DL292*(50/100))) &lt;=8.3, SUM((DJ292*(20/100))+(DK292*(30/100))+(DL292*(50/100))) &gt;=7.8),8,
IF(AND( SUM((DJ292*(20/100))+(DK292*(30/100))+(DL292*(50/100))) &lt;=7.8, SUM((DJ292*(20/100))+(DK292*(30/100))+(DL292*(50/100))) &gt;=7.3),7.5,
IF(AND( SUM((DJ292*(20/100))+(DK292*(30/100))+(DL292*(50/100))) &lt;=7.3, SUM((DJ292*(20/100))+(DK292*(30/100))+(DL292*(50/100))) &gt;=6.8),7,
IF(AND( SUM((DJ292*(20/100))+(DK292*(30/100))+(DL292*(50/100))) &lt;=6.8, SUM((DJ292*(20/100))+(DK292*(30/100))+(DL292*(50/100))) &gt;=6.3),6.5,
IF(AND( SUM((DJ292*(20/100))+(DK292*(30/100))+(DL292*(50/100))) &lt;=6.3, SUM((DJ292*(20/100))+(DK292*(30/100))+(DL292*(50/100))) &gt;=5.8),6,
IF(AND( SUM((DJ292*(20/100))+(DK292*(30/100))+(DL292*(50/100))) &lt;=5.8, SUM((DJ292*(20/100))+(DK292*(30/100))+(DL292*(50/100))) &gt;=5.3),5.5,
IF(AND( SUM((DJ292*(20/100))+(DK292*(30/100))+(DL292*(50/100))) &lt;=5.3, SUM((DJ292*(20/100))+(DK292*(30/100))+(DL292*(50/100))) &gt;=4.8),5,
IF(AND( SUM((DJ292*(20/100))+(DK292*(30/100))+(DL292*(50/100))) &lt;=4.8, SUM((DJ292*(20/100))+(DK292*(30/100))+(DL292*(50/100))) &gt;=4.3),4.5,
IF(AND( SUM((DJ292*(20/100))+(DK292*(30/100))+(DL292*(50/100))) &lt;=4.3, SUM((DJ292*(20/100))+(DK292*(30/100))+(DL292*(50/100))) &gt;=3.8),4,
IF(AND( SUM((DJ292*(20/100))+(DK292*(30/100))+(DL292*(50/100))) &lt;=3.8, SUM((DJ292*(20/100))+(DK292*(30/100))+(DL292*(50/100))) &gt;=3.5),3.5,0)))))))))))))</f>
        <v>0</v>
      </c>
      <c r="DQ292" s="541"/>
      <c r="DR292" s="541"/>
      <c r="DS292" s="541"/>
      <c r="DT292" s="541"/>
      <c r="DU292" s="541"/>
      <c r="DV292" s="541"/>
      <c r="DW292" s="541"/>
      <c r="DX292" s="541"/>
      <c r="DY292" s="541"/>
      <c r="DZ292" s="541"/>
    </row>
    <row r="293" spans="2:130" x14ac:dyDescent="0.25">
      <c r="B293" s="334">
        <v>36</v>
      </c>
      <c r="C293" s="541"/>
      <c r="D293" s="334"/>
      <c r="E293" s="334"/>
      <c r="F293" s="334"/>
      <c r="G293" s="334"/>
      <c r="H293" s="334"/>
      <c r="I293" s="334"/>
      <c r="J293" s="536"/>
      <c r="K293" s="536"/>
      <c r="L293" s="536"/>
      <c r="M293" s="536"/>
      <c r="N293" s="536"/>
      <c r="O293" s="536"/>
      <c r="P293" s="536">
        <f t="shared" si="101"/>
        <v>0</v>
      </c>
      <c r="Q293" s="536"/>
      <c r="R293" s="536"/>
      <c r="S293" s="536"/>
      <c r="T293" s="536">
        <f t="shared" si="102"/>
        <v>0</v>
      </c>
      <c r="U293" s="536"/>
      <c r="V293" s="536"/>
      <c r="W293" s="536"/>
      <c r="X293" s="536">
        <f t="shared" si="103"/>
        <v>0</v>
      </c>
      <c r="Y293" s="536"/>
      <c r="Z293" s="536"/>
      <c r="AA293" s="536"/>
      <c r="AB293" s="536">
        <f t="shared" si="104"/>
        <v>0</v>
      </c>
      <c r="AC293" s="536"/>
      <c r="AD293" s="536"/>
      <c r="AE293" s="536"/>
      <c r="AF293" s="536">
        <f t="shared" si="105"/>
        <v>0</v>
      </c>
      <c r="AG293" s="536"/>
      <c r="AH293" s="536"/>
      <c r="AI293" s="536"/>
      <c r="AJ293" s="536">
        <f t="shared" si="106"/>
        <v>0</v>
      </c>
      <c r="AK293" s="536"/>
      <c r="AL293" s="536"/>
      <c r="AM293" s="536"/>
      <c r="AN293" s="542">
        <f t="shared" si="107"/>
        <v>0</v>
      </c>
      <c r="AO293" s="536"/>
      <c r="AP293" s="536"/>
      <c r="AQ293" s="536"/>
      <c r="AR293" s="542">
        <f t="shared" si="108"/>
        <v>0</v>
      </c>
      <c r="AS293" s="536"/>
      <c r="AT293" s="536"/>
      <c r="AU293" s="536"/>
      <c r="AV293" s="542">
        <f t="shared" si="109"/>
        <v>0</v>
      </c>
      <c r="AW293" s="536"/>
      <c r="AX293" s="536"/>
      <c r="AY293" s="536"/>
      <c r="AZ293" s="542">
        <f t="shared" si="110"/>
        <v>0</v>
      </c>
      <c r="BA293" s="536"/>
      <c r="BB293" s="536"/>
      <c r="BC293" s="536"/>
      <c r="BD293" s="542">
        <f t="shared" si="111"/>
        <v>0</v>
      </c>
      <c r="BE293" s="536"/>
      <c r="BF293" s="536"/>
      <c r="BG293" s="536"/>
      <c r="BH293" s="542">
        <f t="shared" si="112"/>
        <v>0</v>
      </c>
      <c r="BI293" s="536"/>
      <c r="BJ293" s="536"/>
      <c r="BK293" s="536"/>
      <c r="BL293" s="542">
        <f t="shared" si="113"/>
        <v>0</v>
      </c>
      <c r="BM293" s="536"/>
      <c r="BN293" s="536"/>
      <c r="BO293" s="536"/>
      <c r="BP293" s="542">
        <f t="shared" si="114"/>
        <v>0</v>
      </c>
      <c r="BQ293" s="536"/>
      <c r="BR293" s="536"/>
      <c r="BS293" s="536"/>
      <c r="BT293" s="542">
        <f t="shared" si="115"/>
        <v>0</v>
      </c>
      <c r="BU293" s="536"/>
      <c r="BV293" s="536"/>
      <c r="BW293" s="536"/>
      <c r="BX293" s="542">
        <f t="shared" si="116"/>
        <v>0</v>
      </c>
      <c r="BY293" s="536"/>
      <c r="BZ293" s="536"/>
      <c r="CA293" s="536"/>
      <c r="CB293" s="542">
        <v>0</v>
      </c>
      <c r="CC293" s="536"/>
      <c r="CD293" s="536"/>
      <c r="CE293" s="536"/>
      <c r="CF293" s="541">
        <f t="shared" si="117"/>
        <v>0</v>
      </c>
      <c r="CG293" s="536"/>
      <c r="CH293" s="536"/>
      <c r="CI293" s="536"/>
      <c r="CJ293" s="541">
        <f t="shared" si="118"/>
        <v>0</v>
      </c>
      <c r="CK293" s="536"/>
      <c r="CL293" s="536"/>
      <c r="CM293" s="536"/>
      <c r="CN293" s="541">
        <f t="shared" si="119"/>
        <v>0</v>
      </c>
      <c r="CO293" s="536"/>
      <c r="CP293" s="536"/>
      <c r="CQ293" s="536"/>
      <c r="CR293" s="541">
        <f t="shared" si="120"/>
        <v>0</v>
      </c>
      <c r="CS293" s="536"/>
      <c r="CT293" s="536"/>
      <c r="CU293" s="536"/>
      <c r="CV293" s="541">
        <f t="shared" si="121"/>
        <v>0</v>
      </c>
      <c r="CW293" s="536"/>
      <c r="CX293" s="536"/>
      <c r="CY293" s="536"/>
      <c r="CZ293" s="541">
        <f t="shared" si="122"/>
        <v>0</v>
      </c>
      <c r="DA293" s="536"/>
      <c r="DB293" s="536"/>
      <c r="DC293" s="536"/>
      <c r="DD293" s="541">
        <f t="shared" si="123"/>
        <v>0</v>
      </c>
      <c r="DE293" s="536"/>
      <c r="DF293" s="536"/>
      <c r="DG293" s="536"/>
      <c r="DH293" s="541">
        <f t="shared" si="124"/>
        <v>0</v>
      </c>
      <c r="DI293" s="536"/>
      <c r="DJ293" s="536"/>
      <c r="DK293" s="536"/>
      <c r="DL293" s="541">
        <f t="shared" si="125"/>
        <v>0</v>
      </c>
      <c r="DM293" s="536"/>
      <c r="DN293" s="536"/>
      <c r="DO293" s="536"/>
      <c r="DP293" s="541">
        <f>IF( SUM((DJ293*(20/100))+(DK293*(30/100))+(DL293*(50/100))) &gt;=9.3,9.5,
IF(AND( SUM((DJ293*(20/100))+(DK293*(30/100))+(DL293*(50/100))) &lt;=9.3, SUM((DJ293*(20/100))+(DK293*(30/100))+(DL293*(50/100))) &gt;=8.8),9,
IF(AND( SUM((DJ293*(20/100))+(DK293*(30/100))+(DL293*(50/100))) &lt;=8.8, SUM((DJ293*(20/100))+(DK293*(30/100))+(DL293*(50/100))) &gt;=8.3),8.5,
IF(AND( SUM((DJ293*(20/100))+(DK293*(30/100))+(DL293*(50/100))) &lt;=8.3, SUM((DJ293*(20/100))+(DK293*(30/100))+(DL293*(50/100))) &gt;=7.8),8,
IF(AND( SUM((DJ293*(20/100))+(DK293*(30/100))+(DL293*(50/100))) &lt;=7.8, SUM((DJ293*(20/100))+(DK293*(30/100))+(DL293*(50/100))) &gt;=7.3),7.5,
IF(AND( SUM((DJ293*(20/100))+(DK293*(30/100))+(DL293*(50/100))) &lt;=7.3, SUM((DJ293*(20/100))+(DK293*(30/100))+(DL293*(50/100))) &gt;=6.8),7,
IF(AND( SUM((DJ293*(20/100))+(DK293*(30/100))+(DL293*(50/100))) &lt;=6.8, SUM((DJ293*(20/100))+(DK293*(30/100))+(DL293*(50/100))) &gt;=6.3),6.5,
IF(AND( SUM((DJ293*(20/100))+(DK293*(30/100))+(DL293*(50/100))) &lt;=6.3, SUM((DJ293*(20/100))+(DK293*(30/100))+(DL293*(50/100))) &gt;=5.8),6,
IF(AND( SUM((DJ293*(20/100))+(DK293*(30/100))+(DL293*(50/100))) &lt;=5.8, SUM((DJ293*(20/100))+(DK293*(30/100))+(DL293*(50/100))) &gt;=5.3),5.5,
IF(AND( SUM((DJ293*(20/100))+(DK293*(30/100))+(DL293*(50/100))) &lt;=5.3, SUM((DJ293*(20/100))+(DK293*(30/100))+(DL293*(50/100))) &gt;=4.8),5,
IF(AND( SUM((DJ293*(20/100))+(DK293*(30/100))+(DL293*(50/100))) &lt;=4.8, SUM((DJ293*(20/100))+(DK293*(30/100))+(DL293*(50/100))) &gt;=4.3),4.5,
IF(AND( SUM((DJ293*(20/100))+(DK293*(30/100))+(DL293*(50/100))) &lt;=4.3, SUM((DJ293*(20/100))+(DK293*(30/100))+(DL293*(50/100))) &gt;=3.8),4,
IF(AND( SUM((DJ293*(20/100))+(DK293*(30/100))+(DL293*(50/100))) &lt;=3.8, SUM((DJ293*(20/100))+(DK293*(30/100))+(DL293*(50/100))) &gt;=3.5),3.5,0)))))))))))))</f>
        <v>0</v>
      </c>
      <c r="DQ293" s="541"/>
      <c r="DR293" s="541"/>
      <c r="DS293" s="541"/>
      <c r="DT293" s="541"/>
      <c r="DU293" s="541"/>
      <c r="DV293" s="541"/>
      <c r="DW293" s="541"/>
      <c r="DX293" s="541"/>
      <c r="DY293" s="541"/>
      <c r="DZ293" s="541"/>
    </row>
    <row r="294" spans="2:130" x14ac:dyDescent="0.25">
      <c r="B294" s="334">
        <v>37</v>
      </c>
      <c r="C294" s="541"/>
      <c r="D294" s="334"/>
      <c r="E294" s="334"/>
      <c r="F294" s="334"/>
      <c r="G294" s="334"/>
      <c r="H294" s="334"/>
      <c r="I294" s="334"/>
      <c r="J294" s="536"/>
      <c r="K294" s="536"/>
      <c r="L294" s="536"/>
      <c r="M294" s="536"/>
      <c r="N294" s="536"/>
      <c r="O294" s="536"/>
      <c r="P294" s="536">
        <f t="shared" si="101"/>
        <v>0</v>
      </c>
      <c r="Q294" s="536"/>
      <c r="R294" s="536"/>
      <c r="S294" s="536"/>
      <c r="T294" s="536">
        <f t="shared" si="102"/>
        <v>0</v>
      </c>
      <c r="U294" s="536"/>
      <c r="V294" s="536"/>
      <c r="W294" s="536"/>
      <c r="X294" s="536">
        <f t="shared" si="103"/>
        <v>0</v>
      </c>
      <c r="Y294" s="536"/>
      <c r="Z294" s="536"/>
      <c r="AA294" s="536"/>
      <c r="AB294" s="536">
        <f t="shared" si="104"/>
        <v>0</v>
      </c>
      <c r="AC294" s="536"/>
      <c r="AD294" s="536"/>
      <c r="AE294" s="536"/>
      <c r="AF294" s="536">
        <f t="shared" si="105"/>
        <v>0</v>
      </c>
      <c r="AG294" s="536"/>
      <c r="AH294" s="536"/>
      <c r="AI294" s="536"/>
      <c r="AJ294" s="536">
        <f t="shared" si="106"/>
        <v>0</v>
      </c>
      <c r="AK294" s="536"/>
      <c r="AL294" s="536"/>
      <c r="AM294" s="536"/>
      <c r="AN294" s="542">
        <f t="shared" si="107"/>
        <v>0</v>
      </c>
      <c r="AO294" s="536"/>
      <c r="AP294" s="536"/>
      <c r="AQ294" s="536"/>
      <c r="AR294" s="542">
        <f t="shared" si="108"/>
        <v>0</v>
      </c>
      <c r="AS294" s="536"/>
      <c r="AT294" s="536"/>
      <c r="AU294" s="536"/>
      <c r="AV294" s="542">
        <f t="shared" si="109"/>
        <v>0</v>
      </c>
      <c r="AW294" s="536"/>
      <c r="AX294" s="536"/>
      <c r="AY294" s="536"/>
      <c r="AZ294" s="542">
        <f t="shared" si="110"/>
        <v>0</v>
      </c>
      <c r="BA294" s="536"/>
      <c r="BB294" s="536"/>
      <c r="BC294" s="536"/>
      <c r="BD294" s="542">
        <f t="shared" si="111"/>
        <v>0</v>
      </c>
      <c r="BE294" s="536"/>
      <c r="BF294" s="536"/>
      <c r="BG294" s="536"/>
      <c r="BH294" s="542">
        <f t="shared" si="112"/>
        <v>0</v>
      </c>
      <c r="BI294" s="536"/>
      <c r="BJ294" s="536"/>
      <c r="BK294" s="536"/>
      <c r="BL294" s="542">
        <f t="shared" si="113"/>
        <v>0</v>
      </c>
      <c r="BM294" s="536"/>
      <c r="BN294" s="536"/>
      <c r="BO294" s="536"/>
      <c r="BP294" s="542">
        <f t="shared" si="114"/>
        <v>0</v>
      </c>
      <c r="BQ294" s="536"/>
      <c r="BR294" s="536"/>
      <c r="BS294" s="536"/>
      <c r="BT294" s="542">
        <f t="shared" si="115"/>
        <v>0</v>
      </c>
      <c r="BU294" s="536"/>
      <c r="BV294" s="536"/>
      <c r="BW294" s="536"/>
      <c r="BX294" s="542">
        <f t="shared" si="116"/>
        <v>0</v>
      </c>
      <c r="BY294" s="536"/>
      <c r="BZ294" s="536"/>
      <c r="CA294" s="536"/>
      <c r="CB294" s="542">
        <v>0</v>
      </c>
      <c r="CC294" s="536"/>
      <c r="CD294" s="536"/>
      <c r="CE294" s="536"/>
      <c r="CF294" s="541">
        <f t="shared" si="117"/>
        <v>0</v>
      </c>
      <c r="CG294" s="536"/>
      <c r="CH294" s="536"/>
      <c r="CI294" s="536"/>
      <c r="CJ294" s="541">
        <f t="shared" si="118"/>
        <v>0</v>
      </c>
      <c r="CK294" s="536"/>
      <c r="CL294" s="536"/>
      <c r="CM294" s="536"/>
      <c r="CN294" s="541">
        <f t="shared" si="119"/>
        <v>0</v>
      </c>
      <c r="CO294" s="536"/>
      <c r="CP294" s="536"/>
      <c r="CQ294" s="536"/>
      <c r="CR294" s="541">
        <f t="shared" si="120"/>
        <v>0</v>
      </c>
      <c r="CS294" s="536"/>
      <c r="CT294" s="536"/>
      <c r="CU294" s="536"/>
      <c r="CV294" s="541">
        <f t="shared" si="121"/>
        <v>0</v>
      </c>
      <c r="CW294" s="536"/>
      <c r="CX294" s="536"/>
      <c r="CY294" s="536"/>
      <c r="CZ294" s="541">
        <f t="shared" si="122"/>
        <v>0</v>
      </c>
      <c r="DA294" s="536"/>
      <c r="DB294" s="536"/>
      <c r="DC294" s="536"/>
      <c r="DD294" s="541">
        <f t="shared" si="123"/>
        <v>0</v>
      </c>
      <c r="DE294" s="536"/>
      <c r="DF294" s="536"/>
      <c r="DG294" s="536"/>
      <c r="DH294" s="541">
        <f t="shared" si="124"/>
        <v>0</v>
      </c>
      <c r="DI294" s="536"/>
      <c r="DJ294" s="536"/>
      <c r="DK294" s="536"/>
      <c r="DL294" s="541">
        <f t="shared" si="125"/>
        <v>0</v>
      </c>
      <c r="DM294" s="536"/>
      <c r="DN294" s="536"/>
      <c r="DO294" s="536"/>
      <c r="DP294" s="541">
        <f>IF( SUM((DJ294*(20/100))+(DK294*(30/100))+(DL294*(50/100))) &gt;=9.3,9.5,
IF(AND( SUM((DJ294*(20/100))+(DK294*(30/100))+(DL294*(50/100))) &lt;=9.3, SUM((DJ294*(20/100))+(DK294*(30/100))+(DL294*(50/100))) &gt;=8.8),9,
IF(AND( SUM((DJ294*(20/100))+(DK294*(30/100))+(DL294*(50/100))) &lt;=8.8, SUM((DJ294*(20/100))+(DK294*(30/100))+(DL294*(50/100))) &gt;=8.3),8.5,
IF(AND( SUM((DJ294*(20/100))+(DK294*(30/100))+(DL294*(50/100))) &lt;=8.3, SUM((DJ294*(20/100))+(DK294*(30/100))+(DL294*(50/100))) &gt;=7.8),8,
IF(AND( SUM((DJ294*(20/100))+(DK294*(30/100))+(DL294*(50/100))) &lt;=7.8, SUM((DJ294*(20/100))+(DK294*(30/100))+(DL294*(50/100))) &gt;=7.3),7.5,
IF(AND( SUM((DJ294*(20/100))+(DK294*(30/100))+(DL294*(50/100))) &lt;=7.3, SUM((DJ294*(20/100))+(DK294*(30/100))+(DL294*(50/100))) &gt;=6.8),7,
IF(AND( SUM((DJ294*(20/100))+(DK294*(30/100))+(DL294*(50/100))) &lt;=6.8, SUM((DJ294*(20/100))+(DK294*(30/100))+(DL294*(50/100))) &gt;=6.3),6.5,
IF(AND( SUM((DJ294*(20/100))+(DK294*(30/100))+(DL294*(50/100))) &lt;=6.3, SUM((DJ294*(20/100))+(DK294*(30/100))+(DL294*(50/100))) &gt;=5.8),6,
IF(AND( SUM((DJ294*(20/100))+(DK294*(30/100))+(DL294*(50/100))) &lt;=5.8, SUM((DJ294*(20/100))+(DK294*(30/100))+(DL294*(50/100))) &gt;=5.3),5.5,
IF(AND( SUM((DJ294*(20/100))+(DK294*(30/100))+(DL294*(50/100))) &lt;=5.3, SUM((DJ294*(20/100))+(DK294*(30/100))+(DL294*(50/100))) &gt;=4.8),5,
IF(AND( SUM((DJ294*(20/100))+(DK294*(30/100))+(DL294*(50/100))) &lt;=4.8, SUM((DJ294*(20/100))+(DK294*(30/100))+(DL294*(50/100))) &gt;=4.3),4.5,
IF(AND( SUM((DJ294*(20/100))+(DK294*(30/100))+(DL294*(50/100))) &lt;=4.3, SUM((DJ294*(20/100))+(DK294*(30/100))+(DL294*(50/100))) &gt;=3.8),4,
IF(AND( SUM((DJ294*(20/100))+(DK294*(30/100))+(DL294*(50/100))) &lt;=3.8, SUM((DJ294*(20/100))+(DK294*(30/100))+(DL294*(50/100))) &gt;=3.5),3.5,0)))))))))))))</f>
        <v>0</v>
      </c>
      <c r="DQ294" s="541"/>
      <c r="DR294" s="541"/>
      <c r="DS294" s="541"/>
      <c r="DT294" s="541"/>
      <c r="DU294" s="541"/>
      <c r="DV294" s="541"/>
      <c r="DW294" s="541"/>
      <c r="DX294" s="541"/>
      <c r="DY294" s="541"/>
      <c r="DZ294" s="541"/>
    </row>
    <row r="295" spans="2:130" x14ac:dyDescent="0.25">
      <c r="B295" s="334">
        <v>38</v>
      </c>
      <c r="C295" s="541"/>
      <c r="D295" s="334"/>
      <c r="E295" s="334"/>
      <c r="F295" s="334"/>
      <c r="G295" s="334"/>
      <c r="H295" s="334"/>
      <c r="I295" s="334"/>
      <c r="J295" s="536"/>
      <c r="K295" s="536"/>
      <c r="L295" s="536"/>
      <c r="M295" s="536"/>
      <c r="N295" s="536"/>
      <c r="O295" s="536"/>
      <c r="P295" s="536">
        <f t="shared" si="101"/>
        <v>0</v>
      </c>
      <c r="Q295" s="536"/>
      <c r="R295" s="536"/>
      <c r="S295" s="536"/>
      <c r="T295" s="536">
        <f t="shared" si="102"/>
        <v>0</v>
      </c>
      <c r="U295" s="536"/>
      <c r="V295" s="536"/>
      <c r="W295" s="536"/>
      <c r="X295" s="536">
        <f t="shared" si="103"/>
        <v>0</v>
      </c>
      <c r="Y295" s="536"/>
      <c r="Z295" s="536"/>
      <c r="AA295" s="536"/>
      <c r="AB295" s="536">
        <f t="shared" si="104"/>
        <v>0</v>
      </c>
      <c r="AC295" s="536"/>
      <c r="AD295" s="536"/>
      <c r="AE295" s="536"/>
      <c r="AF295" s="536">
        <f t="shared" si="105"/>
        <v>0</v>
      </c>
      <c r="AG295" s="536"/>
      <c r="AH295" s="536"/>
      <c r="AI295" s="536"/>
      <c r="AJ295" s="536">
        <f t="shared" si="106"/>
        <v>0</v>
      </c>
      <c r="AK295" s="536"/>
      <c r="AL295" s="536"/>
      <c r="AM295" s="536"/>
      <c r="AN295" s="542">
        <f t="shared" si="107"/>
        <v>0</v>
      </c>
      <c r="AO295" s="536"/>
      <c r="AP295" s="536"/>
      <c r="AQ295" s="536"/>
      <c r="AR295" s="542">
        <f t="shared" si="108"/>
        <v>0</v>
      </c>
      <c r="AS295" s="536"/>
      <c r="AT295" s="536"/>
      <c r="AU295" s="536"/>
      <c r="AV295" s="542">
        <f t="shared" si="109"/>
        <v>0</v>
      </c>
      <c r="AW295" s="536"/>
      <c r="AX295" s="536"/>
      <c r="AY295" s="536"/>
      <c r="AZ295" s="542">
        <f t="shared" si="110"/>
        <v>0</v>
      </c>
      <c r="BA295" s="536"/>
      <c r="BB295" s="536"/>
      <c r="BC295" s="536"/>
      <c r="BD295" s="542">
        <f t="shared" si="111"/>
        <v>0</v>
      </c>
      <c r="BE295" s="536"/>
      <c r="BF295" s="536"/>
      <c r="BG295" s="536"/>
      <c r="BH295" s="542">
        <f t="shared" si="112"/>
        <v>0</v>
      </c>
      <c r="BI295" s="536"/>
      <c r="BJ295" s="536"/>
      <c r="BK295" s="536"/>
      <c r="BL295" s="542">
        <f t="shared" si="113"/>
        <v>0</v>
      </c>
      <c r="BM295" s="536"/>
      <c r="BN295" s="536"/>
      <c r="BO295" s="536"/>
      <c r="BP295" s="542">
        <f t="shared" si="114"/>
        <v>0</v>
      </c>
      <c r="BQ295" s="536"/>
      <c r="BR295" s="536"/>
      <c r="BS295" s="536"/>
      <c r="BT295" s="542">
        <f t="shared" si="115"/>
        <v>0</v>
      </c>
      <c r="BU295" s="536"/>
      <c r="BV295" s="536"/>
      <c r="BW295" s="536"/>
      <c r="BX295" s="542">
        <f t="shared" si="116"/>
        <v>0</v>
      </c>
      <c r="BY295" s="536"/>
      <c r="BZ295" s="536"/>
      <c r="CA295" s="536"/>
      <c r="CB295" s="542">
        <v>0</v>
      </c>
      <c r="CC295" s="536"/>
      <c r="CD295" s="536"/>
      <c r="CE295" s="536"/>
      <c r="CF295" s="541">
        <f t="shared" si="117"/>
        <v>0</v>
      </c>
      <c r="CG295" s="536"/>
      <c r="CH295" s="536"/>
      <c r="CI295" s="536"/>
      <c r="CJ295" s="541">
        <f t="shared" si="118"/>
        <v>0</v>
      </c>
      <c r="CK295" s="536"/>
      <c r="CL295" s="536"/>
      <c r="CM295" s="536"/>
      <c r="CN295" s="541">
        <f t="shared" si="119"/>
        <v>0</v>
      </c>
      <c r="CO295" s="536"/>
      <c r="CP295" s="536"/>
      <c r="CQ295" s="536"/>
      <c r="CR295" s="541">
        <f t="shared" si="120"/>
        <v>0</v>
      </c>
      <c r="CS295" s="536"/>
      <c r="CT295" s="536"/>
      <c r="CU295" s="536"/>
      <c r="CV295" s="541">
        <f t="shared" si="121"/>
        <v>0</v>
      </c>
      <c r="CW295" s="536"/>
      <c r="CX295" s="536"/>
      <c r="CY295" s="536"/>
      <c r="CZ295" s="541">
        <f t="shared" si="122"/>
        <v>0</v>
      </c>
      <c r="DA295" s="536"/>
      <c r="DB295" s="536"/>
      <c r="DC295" s="536"/>
      <c r="DD295" s="541">
        <f t="shared" si="123"/>
        <v>0</v>
      </c>
      <c r="DE295" s="536"/>
      <c r="DF295" s="536"/>
      <c r="DG295" s="536"/>
      <c r="DH295" s="541">
        <f t="shared" si="124"/>
        <v>0</v>
      </c>
      <c r="DI295" s="536"/>
      <c r="DJ295" s="536"/>
      <c r="DK295" s="536"/>
      <c r="DL295" s="541">
        <f t="shared" si="125"/>
        <v>0</v>
      </c>
      <c r="DM295" s="536"/>
      <c r="DN295" s="536"/>
      <c r="DO295" s="536"/>
      <c r="DP295" s="541">
        <f>IF( SUM((DJ295*(20/100))+(DK295*(30/100))+(DL295*(50/100))) &gt;=9.3,9.5,
IF(AND( SUM((DJ295*(20/100))+(DK295*(30/100))+(DL295*(50/100))) &lt;=9.3, SUM((DJ295*(20/100))+(DK295*(30/100))+(DL295*(50/100))) &gt;=8.8),9,
IF(AND( SUM((DJ295*(20/100))+(DK295*(30/100))+(DL295*(50/100))) &lt;=8.8, SUM((DJ295*(20/100))+(DK295*(30/100))+(DL295*(50/100))) &gt;=8.3),8.5,
IF(AND( SUM((DJ295*(20/100))+(DK295*(30/100))+(DL295*(50/100))) &lt;=8.3, SUM((DJ295*(20/100))+(DK295*(30/100))+(DL295*(50/100))) &gt;=7.8),8,
IF(AND( SUM((DJ295*(20/100))+(DK295*(30/100))+(DL295*(50/100))) &lt;=7.8, SUM((DJ295*(20/100))+(DK295*(30/100))+(DL295*(50/100))) &gt;=7.3),7.5,
IF(AND( SUM((DJ295*(20/100))+(DK295*(30/100))+(DL295*(50/100))) &lt;=7.3, SUM((DJ295*(20/100))+(DK295*(30/100))+(DL295*(50/100))) &gt;=6.8),7,
IF(AND( SUM((DJ295*(20/100))+(DK295*(30/100))+(DL295*(50/100))) &lt;=6.8, SUM((DJ295*(20/100))+(DK295*(30/100))+(DL295*(50/100))) &gt;=6.3),6.5,
IF(AND( SUM((DJ295*(20/100))+(DK295*(30/100))+(DL295*(50/100))) &lt;=6.3, SUM((DJ295*(20/100))+(DK295*(30/100))+(DL295*(50/100))) &gt;=5.8),6,
IF(AND( SUM((DJ295*(20/100))+(DK295*(30/100))+(DL295*(50/100))) &lt;=5.8, SUM((DJ295*(20/100))+(DK295*(30/100))+(DL295*(50/100))) &gt;=5.3),5.5,
IF(AND( SUM((DJ295*(20/100))+(DK295*(30/100))+(DL295*(50/100))) &lt;=5.3, SUM((DJ295*(20/100))+(DK295*(30/100))+(DL295*(50/100))) &gt;=4.8),5,
IF(AND( SUM((DJ295*(20/100))+(DK295*(30/100))+(DL295*(50/100))) &lt;=4.8, SUM((DJ295*(20/100))+(DK295*(30/100))+(DL295*(50/100))) &gt;=4.3),4.5,
IF(AND( SUM((DJ295*(20/100))+(DK295*(30/100))+(DL295*(50/100))) &lt;=4.3, SUM((DJ295*(20/100))+(DK295*(30/100))+(DL295*(50/100))) &gt;=3.8),4,
IF(AND( SUM((DJ295*(20/100))+(DK295*(30/100))+(DL295*(50/100))) &lt;=3.8, SUM((DJ295*(20/100))+(DK295*(30/100))+(DL295*(50/100))) &gt;=3.5),3.5,0)))))))))))))</f>
        <v>0</v>
      </c>
      <c r="DQ295" s="541"/>
      <c r="DR295" s="541"/>
      <c r="DS295" s="541"/>
      <c r="DT295" s="541"/>
      <c r="DU295" s="541"/>
      <c r="DV295" s="541"/>
      <c r="DW295" s="541"/>
      <c r="DX295" s="541"/>
      <c r="DY295" s="541"/>
      <c r="DZ295" s="541"/>
    </row>
    <row r="296" spans="2:130" x14ac:dyDescent="0.25">
      <c r="B296" s="334">
        <v>39</v>
      </c>
      <c r="C296" s="541"/>
      <c r="D296" s="334"/>
      <c r="E296" s="334"/>
      <c r="F296" s="334"/>
      <c r="G296" s="334"/>
      <c r="H296" s="334"/>
      <c r="I296" s="334"/>
      <c r="J296" s="536"/>
      <c r="K296" s="536"/>
      <c r="L296" s="536"/>
      <c r="M296" s="536"/>
      <c r="N296" s="536"/>
      <c r="O296" s="536"/>
      <c r="P296" s="536">
        <f t="shared" si="101"/>
        <v>0</v>
      </c>
      <c r="Q296" s="536"/>
      <c r="R296" s="536"/>
      <c r="S296" s="536"/>
      <c r="T296" s="536">
        <f t="shared" si="102"/>
        <v>0</v>
      </c>
      <c r="U296" s="536"/>
      <c r="V296" s="536"/>
      <c r="W296" s="536"/>
      <c r="X296" s="536">
        <f t="shared" si="103"/>
        <v>0</v>
      </c>
      <c r="Y296" s="536"/>
      <c r="Z296" s="536"/>
      <c r="AA296" s="536"/>
      <c r="AB296" s="536">
        <f t="shared" si="104"/>
        <v>0</v>
      </c>
      <c r="AC296" s="536"/>
      <c r="AD296" s="536"/>
      <c r="AE296" s="536"/>
      <c r="AF296" s="536">
        <f t="shared" si="105"/>
        <v>0</v>
      </c>
      <c r="AG296" s="536"/>
      <c r="AH296" s="536"/>
      <c r="AI296" s="536"/>
      <c r="AJ296" s="536">
        <f t="shared" si="106"/>
        <v>0</v>
      </c>
      <c r="AK296" s="536"/>
      <c r="AL296" s="536"/>
      <c r="AM296" s="536"/>
      <c r="AN296" s="542">
        <f t="shared" si="107"/>
        <v>0</v>
      </c>
      <c r="AO296" s="536"/>
      <c r="AP296" s="536"/>
      <c r="AQ296" s="536"/>
      <c r="AR296" s="542">
        <f t="shared" si="108"/>
        <v>0</v>
      </c>
      <c r="AS296" s="536"/>
      <c r="AT296" s="536"/>
      <c r="AU296" s="536"/>
      <c r="AV296" s="542">
        <f t="shared" si="109"/>
        <v>0</v>
      </c>
      <c r="AW296" s="536"/>
      <c r="AX296" s="536"/>
      <c r="AY296" s="536"/>
      <c r="AZ296" s="542">
        <f t="shared" si="110"/>
        <v>0</v>
      </c>
      <c r="BA296" s="536"/>
      <c r="BB296" s="536"/>
      <c r="BC296" s="536"/>
      <c r="BD296" s="542">
        <f t="shared" si="111"/>
        <v>0</v>
      </c>
      <c r="BE296" s="536"/>
      <c r="BF296" s="536"/>
      <c r="BG296" s="536"/>
      <c r="BH296" s="542">
        <f t="shared" si="112"/>
        <v>0</v>
      </c>
      <c r="BI296" s="536"/>
      <c r="BJ296" s="536"/>
      <c r="BK296" s="536"/>
      <c r="BL296" s="542">
        <f t="shared" si="113"/>
        <v>0</v>
      </c>
      <c r="BM296" s="536"/>
      <c r="BN296" s="536"/>
      <c r="BO296" s="536"/>
      <c r="BP296" s="542">
        <f t="shared" si="114"/>
        <v>0</v>
      </c>
      <c r="BQ296" s="536"/>
      <c r="BR296" s="536"/>
      <c r="BS296" s="536"/>
      <c r="BT296" s="542">
        <f t="shared" si="115"/>
        <v>0</v>
      </c>
      <c r="BU296" s="536"/>
      <c r="BV296" s="536"/>
      <c r="BW296" s="536"/>
      <c r="BX296" s="542">
        <f t="shared" si="116"/>
        <v>0</v>
      </c>
      <c r="BY296" s="536"/>
      <c r="BZ296" s="536"/>
      <c r="CA296" s="536"/>
      <c r="CB296" s="542">
        <v>0</v>
      </c>
      <c r="CC296" s="536"/>
      <c r="CD296" s="536"/>
      <c r="CE296" s="536"/>
      <c r="CF296" s="541">
        <f t="shared" si="117"/>
        <v>0</v>
      </c>
      <c r="CG296" s="536"/>
      <c r="CH296" s="536"/>
      <c r="CI296" s="536"/>
      <c r="CJ296" s="541">
        <f t="shared" si="118"/>
        <v>0</v>
      </c>
      <c r="CK296" s="536"/>
      <c r="CL296" s="536"/>
      <c r="CM296" s="536"/>
      <c r="CN296" s="541">
        <f t="shared" si="119"/>
        <v>0</v>
      </c>
      <c r="CO296" s="536"/>
      <c r="CP296" s="536"/>
      <c r="CQ296" s="536"/>
      <c r="CR296" s="541">
        <f t="shared" si="120"/>
        <v>0</v>
      </c>
      <c r="CS296" s="536"/>
      <c r="CT296" s="536"/>
      <c r="CU296" s="536"/>
      <c r="CV296" s="541">
        <f t="shared" si="121"/>
        <v>0</v>
      </c>
      <c r="CW296" s="536"/>
      <c r="CX296" s="536"/>
      <c r="CY296" s="536"/>
      <c r="CZ296" s="541">
        <f t="shared" si="122"/>
        <v>0</v>
      </c>
      <c r="DA296" s="536"/>
      <c r="DB296" s="536"/>
      <c r="DC296" s="536"/>
      <c r="DD296" s="541">
        <f t="shared" si="123"/>
        <v>0</v>
      </c>
      <c r="DE296" s="536"/>
      <c r="DF296" s="536"/>
      <c r="DG296" s="536"/>
      <c r="DH296" s="541">
        <f t="shared" si="124"/>
        <v>0</v>
      </c>
      <c r="DI296" s="536"/>
      <c r="DJ296" s="536"/>
      <c r="DK296" s="536"/>
      <c r="DL296" s="541">
        <f t="shared" si="125"/>
        <v>0</v>
      </c>
      <c r="DM296" s="536"/>
      <c r="DN296" s="536"/>
      <c r="DO296" s="536"/>
      <c r="DP296" s="541">
        <f>IF( SUM((DJ296*(20/100))+(DK296*(30/100))+(DL296*(50/100))) &gt;=9.3,9.5,
IF(AND( SUM((DJ296*(20/100))+(DK296*(30/100))+(DL296*(50/100))) &lt;=9.3, SUM((DJ296*(20/100))+(DK296*(30/100))+(DL296*(50/100))) &gt;=8.8),9,
IF(AND( SUM((DJ296*(20/100))+(DK296*(30/100))+(DL296*(50/100))) &lt;=8.8, SUM((DJ296*(20/100))+(DK296*(30/100))+(DL296*(50/100))) &gt;=8.3),8.5,
IF(AND( SUM((DJ296*(20/100))+(DK296*(30/100))+(DL296*(50/100))) &lt;=8.3, SUM((DJ296*(20/100))+(DK296*(30/100))+(DL296*(50/100))) &gt;=7.8),8,
IF(AND( SUM((DJ296*(20/100))+(DK296*(30/100))+(DL296*(50/100))) &lt;=7.8, SUM((DJ296*(20/100))+(DK296*(30/100))+(DL296*(50/100))) &gt;=7.3),7.5,
IF(AND( SUM((DJ296*(20/100))+(DK296*(30/100))+(DL296*(50/100))) &lt;=7.3, SUM((DJ296*(20/100))+(DK296*(30/100))+(DL296*(50/100))) &gt;=6.8),7,
IF(AND( SUM((DJ296*(20/100))+(DK296*(30/100))+(DL296*(50/100))) &lt;=6.8, SUM((DJ296*(20/100))+(DK296*(30/100))+(DL296*(50/100))) &gt;=6.3),6.5,
IF(AND( SUM((DJ296*(20/100))+(DK296*(30/100))+(DL296*(50/100))) &lt;=6.3, SUM((DJ296*(20/100))+(DK296*(30/100))+(DL296*(50/100))) &gt;=5.8),6,
IF(AND( SUM((DJ296*(20/100))+(DK296*(30/100))+(DL296*(50/100))) &lt;=5.8, SUM((DJ296*(20/100))+(DK296*(30/100))+(DL296*(50/100))) &gt;=5.3),5.5,
IF(AND( SUM((DJ296*(20/100))+(DK296*(30/100))+(DL296*(50/100))) &lt;=5.3, SUM((DJ296*(20/100))+(DK296*(30/100))+(DL296*(50/100))) &gt;=4.8),5,
IF(AND( SUM((DJ296*(20/100))+(DK296*(30/100))+(DL296*(50/100))) &lt;=4.8, SUM((DJ296*(20/100))+(DK296*(30/100))+(DL296*(50/100))) &gt;=4.3),4.5,
IF(AND( SUM((DJ296*(20/100))+(DK296*(30/100))+(DL296*(50/100))) &lt;=4.3, SUM((DJ296*(20/100))+(DK296*(30/100))+(DL296*(50/100))) &gt;=3.8),4,
IF(AND( SUM((DJ296*(20/100))+(DK296*(30/100))+(DL296*(50/100))) &lt;=3.8, SUM((DJ296*(20/100))+(DK296*(30/100))+(DL296*(50/100))) &gt;=3.5),3.5,0)))))))))))))</f>
        <v>0</v>
      </c>
      <c r="DQ296" s="541"/>
      <c r="DR296" s="541"/>
      <c r="DS296" s="541"/>
      <c r="DT296" s="541"/>
      <c r="DU296" s="541"/>
      <c r="DV296" s="541"/>
      <c r="DW296" s="541"/>
      <c r="DX296" s="541"/>
      <c r="DY296" s="541"/>
      <c r="DZ296" s="541"/>
    </row>
    <row r="297" spans="2:130" x14ac:dyDescent="0.25">
      <c r="B297" s="334">
        <v>40</v>
      </c>
      <c r="C297" s="541"/>
      <c r="D297" s="334"/>
      <c r="E297" s="334"/>
      <c r="F297" s="334"/>
      <c r="G297" s="334"/>
      <c r="H297" s="334"/>
      <c r="I297" s="334"/>
      <c r="J297" s="536"/>
      <c r="K297" s="536"/>
      <c r="L297" s="536"/>
      <c r="M297" s="536"/>
      <c r="N297" s="536"/>
      <c r="O297" s="536"/>
      <c r="P297" s="536">
        <f t="shared" si="101"/>
        <v>0</v>
      </c>
      <c r="Q297" s="536"/>
      <c r="R297" s="536"/>
      <c r="S297" s="536"/>
      <c r="T297" s="536">
        <f t="shared" si="102"/>
        <v>0</v>
      </c>
      <c r="U297" s="536"/>
      <c r="V297" s="536"/>
      <c r="W297" s="536"/>
      <c r="X297" s="536">
        <f t="shared" si="103"/>
        <v>0</v>
      </c>
      <c r="Y297" s="536"/>
      <c r="Z297" s="536"/>
      <c r="AA297" s="536"/>
      <c r="AB297" s="536">
        <f t="shared" si="104"/>
        <v>0</v>
      </c>
      <c r="AC297" s="536"/>
      <c r="AD297" s="536"/>
      <c r="AE297" s="536"/>
      <c r="AF297" s="536">
        <f t="shared" si="105"/>
        <v>0</v>
      </c>
      <c r="AG297" s="536"/>
      <c r="AH297" s="536"/>
      <c r="AI297" s="536"/>
      <c r="AJ297" s="536">
        <f t="shared" si="106"/>
        <v>0</v>
      </c>
      <c r="AK297" s="536"/>
      <c r="AL297" s="536"/>
      <c r="AM297" s="536"/>
      <c r="AN297" s="542">
        <f t="shared" si="107"/>
        <v>0</v>
      </c>
      <c r="AO297" s="536"/>
      <c r="AP297" s="536"/>
      <c r="AQ297" s="536"/>
      <c r="AR297" s="542">
        <f t="shared" si="108"/>
        <v>0</v>
      </c>
      <c r="AS297" s="536"/>
      <c r="AT297" s="536"/>
      <c r="AU297" s="536"/>
      <c r="AV297" s="542">
        <f t="shared" si="109"/>
        <v>0</v>
      </c>
      <c r="AW297" s="536"/>
      <c r="AX297" s="536"/>
      <c r="AY297" s="536"/>
      <c r="AZ297" s="542">
        <f t="shared" si="110"/>
        <v>0</v>
      </c>
      <c r="BA297" s="536"/>
      <c r="BB297" s="536"/>
      <c r="BC297" s="536"/>
      <c r="BD297" s="542">
        <f t="shared" si="111"/>
        <v>0</v>
      </c>
      <c r="BE297" s="536"/>
      <c r="BF297" s="536"/>
      <c r="BG297" s="536"/>
      <c r="BH297" s="542">
        <f t="shared" si="112"/>
        <v>0</v>
      </c>
      <c r="BI297" s="536"/>
      <c r="BJ297" s="536"/>
      <c r="BK297" s="536"/>
      <c r="BL297" s="542">
        <f t="shared" si="113"/>
        <v>0</v>
      </c>
      <c r="BM297" s="536"/>
      <c r="BN297" s="536"/>
      <c r="BO297" s="536"/>
      <c r="BP297" s="542">
        <f t="shared" si="114"/>
        <v>0</v>
      </c>
      <c r="BQ297" s="536"/>
      <c r="BR297" s="536"/>
      <c r="BS297" s="536"/>
      <c r="BT297" s="542">
        <f t="shared" si="115"/>
        <v>0</v>
      </c>
      <c r="BU297" s="536"/>
      <c r="BV297" s="536"/>
      <c r="BW297" s="536"/>
      <c r="BX297" s="542">
        <f t="shared" si="116"/>
        <v>0</v>
      </c>
      <c r="BY297" s="536"/>
      <c r="BZ297" s="536"/>
      <c r="CA297" s="536"/>
      <c r="CB297" s="542">
        <v>0</v>
      </c>
      <c r="CC297" s="536"/>
      <c r="CD297" s="536"/>
      <c r="CE297" s="536"/>
      <c r="CF297" s="541">
        <f t="shared" si="117"/>
        <v>0</v>
      </c>
      <c r="CG297" s="536"/>
      <c r="CH297" s="536"/>
      <c r="CI297" s="536"/>
      <c r="CJ297" s="541">
        <f t="shared" si="118"/>
        <v>0</v>
      </c>
      <c r="CK297" s="536"/>
      <c r="CL297" s="536"/>
      <c r="CM297" s="536"/>
      <c r="CN297" s="541">
        <f t="shared" si="119"/>
        <v>0</v>
      </c>
      <c r="CO297" s="536"/>
      <c r="CP297" s="536"/>
      <c r="CQ297" s="536"/>
      <c r="CR297" s="541">
        <f t="shared" si="120"/>
        <v>0</v>
      </c>
      <c r="CS297" s="536"/>
      <c r="CT297" s="536"/>
      <c r="CU297" s="536"/>
      <c r="CV297" s="541">
        <f t="shared" si="121"/>
        <v>0</v>
      </c>
      <c r="CW297" s="536"/>
      <c r="CX297" s="536"/>
      <c r="CY297" s="536"/>
      <c r="CZ297" s="541">
        <f t="shared" si="122"/>
        <v>0</v>
      </c>
      <c r="DA297" s="536"/>
      <c r="DB297" s="536"/>
      <c r="DC297" s="536"/>
      <c r="DD297" s="541">
        <f t="shared" si="123"/>
        <v>0</v>
      </c>
      <c r="DE297" s="536"/>
      <c r="DF297" s="536"/>
      <c r="DG297" s="536"/>
      <c r="DH297" s="541">
        <f t="shared" si="124"/>
        <v>0</v>
      </c>
      <c r="DI297" s="536"/>
      <c r="DJ297" s="536"/>
      <c r="DK297" s="536"/>
      <c r="DL297" s="541">
        <f t="shared" si="125"/>
        <v>0</v>
      </c>
      <c r="DM297" s="536"/>
      <c r="DN297" s="536"/>
      <c r="DO297" s="536"/>
      <c r="DP297" s="541">
        <f>IF( SUM((DJ297*(20/100))+(DK297*(30/100))+(DL297*(50/100))) &gt;=9.3,9.5,
IF(AND( SUM((DJ297*(20/100))+(DK297*(30/100))+(DL297*(50/100))) &lt;=9.3, SUM((DJ297*(20/100))+(DK297*(30/100))+(DL297*(50/100))) &gt;=8.8),9,
IF(AND( SUM((DJ297*(20/100))+(DK297*(30/100))+(DL297*(50/100))) &lt;=8.8, SUM((DJ297*(20/100))+(DK297*(30/100))+(DL297*(50/100))) &gt;=8.3),8.5,
IF(AND( SUM((DJ297*(20/100))+(DK297*(30/100))+(DL297*(50/100))) &lt;=8.3, SUM((DJ297*(20/100))+(DK297*(30/100))+(DL297*(50/100))) &gt;=7.8),8,
IF(AND( SUM((DJ297*(20/100))+(DK297*(30/100))+(DL297*(50/100))) &lt;=7.8, SUM((DJ297*(20/100))+(DK297*(30/100))+(DL297*(50/100))) &gt;=7.3),7.5,
IF(AND( SUM((DJ297*(20/100))+(DK297*(30/100))+(DL297*(50/100))) &lt;=7.3, SUM((DJ297*(20/100))+(DK297*(30/100))+(DL297*(50/100))) &gt;=6.8),7,
IF(AND( SUM((DJ297*(20/100))+(DK297*(30/100))+(DL297*(50/100))) &lt;=6.8, SUM((DJ297*(20/100))+(DK297*(30/100))+(DL297*(50/100))) &gt;=6.3),6.5,
IF(AND( SUM((DJ297*(20/100))+(DK297*(30/100))+(DL297*(50/100))) &lt;=6.3, SUM((DJ297*(20/100))+(DK297*(30/100))+(DL297*(50/100))) &gt;=5.8),6,
IF(AND( SUM((DJ297*(20/100))+(DK297*(30/100))+(DL297*(50/100))) &lt;=5.8, SUM((DJ297*(20/100))+(DK297*(30/100))+(DL297*(50/100))) &gt;=5.3),5.5,
IF(AND( SUM((DJ297*(20/100))+(DK297*(30/100))+(DL297*(50/100))) &lt;=5.3, SUM((DJ297*(20/100))+(DK297*(30/100))+(DL297*(50/100))) &gt;=4.8),5,
IF(AND( SUM((DJ297*(20/100))+(DK297*(30/100))+(DL297*(50/100))) &lt;=4.8, SUM((DJ297*(20/100))+(DK297*(30/100))+(DL297*(50/100))) &gt;=4.3),4.5,
IF(AND( SUM((DJ297*(20/100))+(DK297*(30/100))+(DL297*(50/100))) &lt;=4.3, SUM((DJ297*(20/100))+(DK297*(30/100))+(DL297*(50/100))) &gt;=3.8),4,
IF(AND( SUM((DJ297*(20/100))+(DK297*(30/100))+(DL297*(50/100))) &lt;=3.8, SUM((DJ297*(20/100))+(DK297*(30/100))+(DL297*(50/100))) &gt;=3.5),3.5,0)))))))))))))</f>
        <v>0</v>
      </c>
      <c r="DQ297" s="541"/>
      <c r="DR297" s="541"/>
      <c r="DS297" s="541"/>
      <c r="DT297" s="541"/>
      <c r="DU297" s="541"/>
      <c r="DV297" s="541"/>
      <c r="DW297" s="541"/>
      <c r="DX297" s="541"/>
      <c r="DY297" s="541"/>
      <c r="DZ297" s="541"/>
    </row>
    <row r="298" spans="2:130" x14ac:dyDescent="0.25">
      <c r="B298" s="334">
        <v>41</v>
      </c>
      <c r="C298" s="541"/>
      <c r="D298" s="334"/>
      <c r="E298" s="334"/>
      <c r="F298" s="334"/>
      <c r="G298" s="334"/>
      <c r="H298" s="334"/>
      <c r="I298" s="334"/>
      <c r="J298" s="536"/>
      <c r="K298" s="536"/>
      <c r="L298" s="536"/>
      <c r="M298" s="536"/>
      <c r="N298" s="536"/>
      <c r="O298" s="536"/>
      <c r="P298" s="536">
        <f t="shared" si="101"/>
        <v>0</v>
      </c>
      <c r="Q298" s="536"/>
      <c r="R298" s="536"/>
      <c r="S298" s="536"/>
      <c r="T298" s="536">
        <f t="shared" si="102"/>
        <v>0</v>
      </c>
      <c r="U298" s="536"/>
      <c r="V298" s="536"/>
      <c r="W298" s="536"/>
      <c r="X298" s="536">
        <f t="shared" si="103"/>
        <v>0</v>
      </c>
      <c r="Y298" s="536"/>
      <c r="Z298" s="536"/>
      <c r="AA298" s="536"/>
      <c r="AB298" s="536">
        <f t="shared" si="104"/>
        <v>0</v>
      </c>
      <c r="AC298" s="536"/>
      <c r="AD298" s="536"/>
      <c r="AE298" s="536"/>
      <c r="AF298" s="536">
        <f t="shared" si="105"/>
        <v>0</v>
      </c>
      <c r="AG298" s="536"/>
      <c r="AH298" s="536"/>
      <c r="AI298" s="536"/>
      <c r="AJ298" s="536">
        <f t="shared" si="106"/>
        <v>0</v>
      </c>
      <c r="AK298" s="536"/>
      <c r="AL298" s="536"/>
      <c r="AM298" s="536"/>
      <c r="AN298" s="542">
        <f t="shared" si="107"/>
        <v>0</v>
      </c>
      <c r="AO298" s="536"/>
      <c r="AP298" s="536"/>
      <c r="AQ298" s="536"/>
      <c r="AR298" s="542">
        <f t="shared" si="108"/>
        <v>0</v>
      </c>
      <c r="AS298" s="536"/>
      <c r="AT298" s="536"/>
      <c r="AU298" s="536"/>
      <c r="AV298" s="542">
        <f t="shared" si="109"/>
        <v>0</v>
      </c>
      <c r="AW298" s="536"/>
      <c r="AX298" s="536"/>
      <c r="AY298" s="536"/>
      <c r="AZ298" s="542">
        <f t="shared" si="110"/>
        <v>0</v>
      </c>
      <c r="BA298" s="536"/>
      <c r="BB298" s="536"/>
      <c r="BC298" s="536"/>
      <c r="BD298" s="542">
        <f t="shared" si="111"/>
        <v>0</v>
      </c>
      <c r="BE298" s="536"/>
      <c r="BF298" s="536"/>
      <c r="BG298" s="536"/>
      <c r="BH298" s="542">
        <f t="shared" si="112"/>
        <v>0</v>
      </c>
      <c r="BI298" s="536"/>
      <c r="BJ298" s="536"/>
      <c r="BK298" s="536"/>
      <c r="BL298" s="542">
        <f t="shared" si="113"/>
        <v>0</v>
      </c>
      <c r="BM298" s="536"/>
      <c r="BN298" s="536"/>
      <c r="BO298" s="536"/>
      <c r="BP298" s="542">
        <f t="shared" si="114"/>
        <v>0</v>
      </c>
      <c r="BQ298" s="536"/>
      <c r="BR298" s="536"/>
      <c r="BS298" s="536"/>
      <c r="BT298" s="542">
        <f t="shared" si="115"/>
        <v>0</v>
      </c>
      <c r="BU298" s="536"/>
      <c r="BV298" s="536"/>
      <c r="BW298" s="536"/>
      <c r="BX298" s="542">
        <f t="shared" si="116"/>
        <v>0</v>
      </c>
      <c r="BY298" s="536"/>
      <c r="BZ298" s="536"/>
      <c r="CA298" s="536"/>
      <c r="CB298" s="542">
        <v>0</v>
      </c>
      <c r="CC298" s="536"/>
      <c r="CD298" s="536"/>
      <c r="CE298" s="536"/>
      <c r="CF298" s="541">
        <f t="shared" si="117"/>
        <v>0</v>
      </c>
      <c r="CG298" s="536"/>
      <c r="CH298" s="536"/>
      <c r="CI298" s="536"/>
      <c r="CJ298" s="541">
        <f t="shared" si="118"/>
        <v>0</v>
      </c>
      <c r="CK298" s="536"/>
      <c r="CL298" s="536"/>
      <c r="CM298" s="536"/>
      <c r="CN298" s="541">
        <f t="shared" si="119"/>
        <v>0</v>
      </c>
      <c r="CO298" s="536"/>
      <c r="CP298" s="536"/>
      <c r="CQ298" s="536"/>
      <c r="CR298" s="541">
        <f t="shared" si="120"/>
        <v>0</v>
      </c>
      <c r="CS298" s="536"/>
      <c r="CT298" s="536"/>
      <c r="CU298" s="536"/>
      <c r="CV298" s="541">
        <f t="shared" si="121"/>
        <v>0</v>
      </c>
      <c r="CW298" s="536"/>
      <c r="CX298" s="536"/>
      <c r="CY298" s="536"/>
      <c r="CZ298" s="541">
        <f t="shared" si="122"/>
        <v>0</v>
      </c>
      <c r="DA298" s="536"/>
      <c r="DB298" s="536"/>
      <c r="DC298" s="536"/>
      <c r="DD298" s="541">
        <f t="shared" si="123"/>
        <v>0</v>
      </c>
      <c r="DE298" s="536"/>
      <c r="DF298" s="536"/>
      <c r="DG298" s="536"/>
      <c r="DH298" s="541">
        <f t="shared" si="124"/>
        <v>0</v>
      </c>
      <c r="DI298" s="536"/>
      <c r="DJ298" s="536"/>
      <c r="DK298" s="536"/>
      <c r="DL298" s="541">
        <f t="shared" si="125"/>
        <v>0</v>
      </c>
      <c r="DM298" s="536"/>
      <c r="DN298" s="536"/>
      <c r="DO298" s="536"/>
      <c r="DP298" s="541">
        <f>IF( SUM((DJ298*(20/100))+(DK298*(30/100))+(DL298*(50/100))) &gt;=9.3,9.5,
IF(AND( SUM((DJ298*(20/100))+(DK298*(30/100))+(DL298*(50/100))) &lt;=9.3, SUM((DJ298*(20/100))+(DK298*(30/100))+(DL298*(50/100))) &gt;=8.8),9,
IF(AND( SUM((DJ298*(20/100))+(DK298*(30/100))+(DL298*(50/100))) &lt;=8.8, SUM((DJ298*(20/100))+(DK298*(30/100))+(DL298*(50/100))) &gt;=8.3),8.5,
IF(AND( SUM((DJ298*(20/100))+(DK298*(30/100))+(DL298*(50/100))) &lt;=8.3, SUM((DJ298*(20/100))+(DK298*(30/100))+(DL298*(50/100))) &gt;=7.8),8,
IF(AND( SUM((DJ298*(20/100))+(DK298*(30/100))+(DL298*(50/100))) &lt;=7.8, SUM((DJ298*(20/100))+(DK298*(30/100))+(DL298*(50/100))) &gt;=7.3),7.5,
IF(AND( SUM((DJ298*(20/100))+(DK298*(30/100))+(DL298*(50/100))) &lt;=7.3, SUM((DJ298*(20/100))+(DK298*(30/100))+(DL298*(50/100))) &gt;=6.8),7,
IF(AND( SUM((DJ298*(20/100))+(DK298*(30/100))+(DL298*(50/100))) &lt;=6.8, SUM((DJ298*(20/100))+(DK298*(30/100))+(DL298*(50/100))) &gt;=6.3),6.5,
IF(AND( SUM((DJ298*(20/100))+(DK298*(30/100))+(DL298*(50/100))) &lt;=6.3, SUM((DJ298*(20/100))+(DK298*(30/100))+(DL298*(50/100))) &gt;=5.8),6,
IF(AND( SUM((DJ298*(20/100))+(DK298*(30/100))+(DL298*(50/100))) &lt;=5.8, SUM((DJ298*(20/100))+(DK298*(30/100))+(DL298*(50/100))) &gt;=5.3),5.5,
IF(AND( SUM((DJ298*(20/100))+(DK298*(30/100))+(DL298*(50/100))) &lt;=5.3, SUM((DJ298*(20/100))+(DK298*(30/100))+(DL298*(50/100))) &gt;=4.8),5,
IF(AND( SUM((DJ298*(20/100))+(DK298*(30/100))+(DL298*(50/100))) &lt;=4.8, SUM((DJ298*(20/100))+(DK298*(30/100))+(DL298*(50/100))) &gt;=4.3),4.5,
IF(AND( SUM((DJ298*(20/100))+(DK298*(30/100))+(DL298*(50/100))) &lt;=4.3, SUM((DJ298*(20/100))+(DK298*(30/100))+(DL298*(50/100))) &gt;=3.8),4,
IF(AND( SUM((DJ298*(20/100))+(DK298*(30/100))+(DL298*(50/100))) &lt;=3.8, SUM((DJ298*(20/100))+(DK298*(30/100))+(DL298*(50/100))) &gt;=3.5),3.5,0)))))))))))))</f>
        <v>0</v>
      </c>
      <c r="DQ298" s="541"/>
      <c r="DR298" s="541"/>
      <c r="DS298" s="541"/>
      <c r="DT298" s="541"/>
      <c r="DU298" s="541"/>
      <c r="DV298" s="541"/>
      <c r="DW298" s="541"/>
      <c r="DX298" s="541"/>
      <c r="DY298" s="541"/>
      <c r="DZ298" s="541"/>
    </row>
    <row r="299" spans="2:130" x14ac:dyDescent="0.25">
      <c r="B299" s="334">
        <v>42</v>
      </c>
      <c r="C299" s="541"/>
      <c r="D299" s="334"/>
      <c r="E299" s="334"/>
      <c r="F299" s="334"/>
      <c r="G299" s="334"/>
      <c r="H299" s="334"/>
      <c r="I299" s="334"/>
      <c r="J299" s="536"/>
      <c r="K299" s="536"/>
      <c r="L299" s="536"/>
      <c r="M299" s="536"/>
      <c r="N299" s="536"/>
      <c r="O299" s="536"/>
      <c r="P299" s="536">
        <f t="shared" si="101"/>
        <v>0</v>
      </c>
      <c r="Q299" s="536"/>
      <c r="R299" s="536"/>
      <c r="S299" s="536"/>
      <c r="T299" s="536">
        <f t="shared" si="102"/>
        <v>0</v>
      </c>
      <c r="U299" s="536"/>
      <c r="V299" s="536"/>
      <c r="W299" s="536"/>
      <c r="X299" s="536">
        <f t="shared" si="103"/>
        <v>0</v>
      </c>
      <c r="Y299" s="536"/>
      <c r="Z299" s="536"/>
      <c r="AA299" s="536"/>
      <c r="AB299" s="536">
        <f t="shared" si="104"/>
        <v>0</v>
      </c>
      <c r="AC299" s="536"/>
      <c r="AD299" s="536"/>
      <c r="AE299" s="536"/>
      <c r="AF299" s="536">
        <f t="shared" si="105"/>
        <v>0</v>
      </c>
      <c r="AG299" s="536"/>
      <c r="AH299" s="536"/>
      <c r="AI299" s="536"/>
      <c r="AJ299" s="536">
        <f t="shared" si="106"/>
        <v>0</v>
      </c>
      <c r="AK299" s="536"/>
      <c r="AL299" s="536"/>
      <c r="AM299" s="536"/>
      <c r="AN299" s="542">
        <f t="shared" si="107"/>
        <v>0</v>
      </c>
      <c r="AO299" s="536"/>
      <c r="AP299" s="536"/>
      <c r="AQ299" s="536"/>
      <c r="AR299" s="542">
        <f t="shared" si="108"/>
        <v>0</v>
      </c>
      <c r="AS299" s="536"/>
      <c r="AT299" s="536"/>
      <c r="AU299" s="536"/>
      <c r="AV299" s="542">
        <f t="shared" si="109"/>
        <v>0</v>
      </c>
      <c r="AW299" s="536"/>
      <c r="AX299" s="536"/>
      <c r="AY299" s="536"/>
      <c r="AZ299" s="542">
        <f t="shared" si="110"/>
        <v>0</v>
      </c>
      <c r="BA299" s="536"/>
      <c r="BB299" s="536"/>
      <c r="BC299" s="536"/>
      <c r="BD299" s="542">
        <f t="shared" si="111"/>
        <v>0</v>
      </c>
      <c r="BE299" s="536"/>
      <c r="BF299" s="536"/>
      <c r="BG299" s="536"/>
      <c r="BH299" s="542">
        <f t="shared" si="112"/>
        <v>0</v>
      </c>
      <c r="BI299" s="536"/>
      <c r="BJ299" s="536"/>
      <c r="BK299" s="536"/>
      <c r="BL299" s="542">
        <f t="shared" si="113"/>
        <v>0</v>
      </c>
      <c r="BM299" s="536"/>
      <c r="BN299" s="536"/>
      <c r="BO299" s="536"/>
      <c r="BP299" s="542">
        <f t="shared" si="114"/>
        <v>0</v>
      </c>
      <c r="BQ299" s="536"/>
      <c r="BR299" s="536"/>
      <c r="BS299" s="536"/>
      <c r="BT299" s="542">
        <f t="shared" si="115"/>
        <v>0</v>
      </c>
      <c r="BU299" s="536"/>
      <c r="BV299" s="536"/>
      <c r="BW299" s="536"/>
      <c r="BX299" s="542">
        <f t="shared" si="116"/>
        <v>0</v>
      </c>
      <c r="BY299" s="536"/>
      <c r="BZ299" s="536"/>
      <c r="CA299" s="536"/>
      <c r="CB299" s="542">
        <v>0</v>
      </c>
      <c r="CC299" s="536"/>
      <c r="CD299" s="536"/>
      <c r="CE299" s="536"/>
      <c r="CF299" s="541">
        <f t="shared" si="117"/>
        <v>0</v>
      </c>
      <c r="CG299" s="536"/>
      <c r="CH299" s="536"/>
      <c r="CI299" s="536"/>
      <c r="CJ299" s="541">
        <f t="shared" si="118"/>
        <v>0</v>
      </c>
      <c r="CK299" s="536"/>
      <c r="CL299" s="536"/>
      <c r="CM299" s="536"/>
      <c r="CN299" s="541">
        <f t="shared" si="119"/>
        <v>0</v>
      </c>
      <c r="CO299" s="536"/>
      <c r="CP299" s="536"/>
      <c r="CQ299" s="536"/>
      <c r="CR299" s="541">
        <f t="shared" si="120"/>
        <v>0</v>
      </c>
      <c r="CS299" s="536"/>
      <c r="CT299" s="536"/>
      <c r="CU299" s="536"/>
      <c r="CV299" s="541">
        <f t="shared" si="121"/>
        <v>0</v>
      </c>
      <c r="CW299" s="536"/>
      <c r="CX299" s="536"/>
      <c r="CY299" s="536"/>
      <c r="CZ299" s="541">
        <f t="shared" si="122"/>
        <v>0</v>
      </c>
      <c r="DA299" s="536"/>
      <c r="DB299" s="536"/>
      <c r="DC299" s="536"/>
      <c r="DD299" s="541">
        <f t="shared" si="123"/>
        <v>0</v>
      </c>
      <c r="DE299" s="536"/>
      <c r="DF299" s="536"/>
      <c r="DG299" s="536"/>
      <c r="DH299" s="541">
        <f t="shared" si="124"/>
        <v>0</v>
      </c>
      <c r="DI299" s="536"/>
      <c r="DJ299" s="536"/>
      <c r="DK299" s="536"/>
      <c r="DL299" s="541">
        <f t="shared" si="125"/>
        <v>0</v>
      </c>
      <c r="DM299" s="536"/>
      <c r="DN299" s="536"/>
      <c r="DO299" s="536"/>
      <c r="DP299" s="541">
        <f>IF( SUM((DJ299*(20/100))+(DK299*(30/100))+(DL299*(50/100))) &gt;=9.3,9.5,
IF(AND( SUM((DJ299*(20/100))+(DK299*(30/100))+(DL299*(50/100))) &lt;=9.3, SUM((DJ299*(20/100))+(DK299*(30/100))+(DL299*(50/100))) &gt;=8.8),9,
IF(AND( SUM((DJ299*(20/100))+(DK299*(30/100))+(DL299*(50/100))) &lt;=8.8, SUM((DJ299*(20/100))+(DK299*(30/100))+(DL299*(50/100))) &gt;=8.3),8.5,
IF(AND( SUM((DJ299*(20/100))+(DK299*(30/100))+(DL299*(50/100))) &lt;=8.3, SUM((DJ299*(20/100))+(DK299*(30/100))+(DL299*(50/100))) &gt;=7.8),8,
IF(AND( SUM((DJ299*(20/100))+(DK299*(30/100))+(DL299*(50/100))) &lt;=7.8, SUM((DJ299*(20/100))+(DK299*(30/100))+(DL299*(50/100))) &gt;=7.3),7.5,
IF(AND( SUM((DJ299*(20/100))+(DK299*(30/100))+(DL299*(50/100))) &lt;=7.3, SUM((DJ299*(20/100))+(DK299*(30/100))+(DL299*(50/100))) &gt;=6.8),7,
IF(AND( SUM((DJ299*(20/100))+(DK299*(30/100))+(DL299*(50/100))) &lt;=6.8, SUM((DJ299*(20/100))+(DK299*(30/100))+(DL299*(50/100))) &gt;=6.3),6.5,
IF(AND( SUM((DJ299*(20/100))+(DK299*(30/100))+(DL299*(50/100))) &lt;=6.3, SUM((DJ299*(20/100))+(DK299*(30/100))+(DL299*(50/100))) &gt;=5.8),6,
IF(AND( SUM((DJ299*(20/100))+(DK299*(30/100))+(DL299*(50/100))) &lt;=5.8, SUM((DJ299*(20/100))+(DK299*(30/100))+(DL299*(50/100))) &gt;=5.3),5.5,
IF(AND( SUM((DJ299*(20/100))+(DK299*(30/100))+(DL299*(50/100))) &lt;=5.3, SUM((DJ299*(20/100))+(DK299*(30/100))+(DL299*(50/100))) &gt;=4.8),5,
IF(AND( SUM((DJ299*(20/100))+(DK299*(30/100))+(DL299*(50/100))) &lt;=4.8, SUM((DJ299*(20/100))+(DK299*(30/100))+(DL299*(50/100))) &gt;=4.3),4.5,
IF(AND( SUM((DJ299*(20/100))+(DK299*(30/100))+(DL299*(50/100))) &lt;=4.3, SUM((DJ299*(20/100))+(DK299*(30/100))+(DL299*(50/100))) &gt;=3.8),4,
IF(AND( SUM((DJ299*(20/100))+(DK299*(30/100))+(DL299*(50/100))) &lt;=3.8, SUM((DJ299*(20/100))+(DK299*(30/100))+(DL299*(50/100))) &gt;=3.5),3.5,0)))))))))))))</f>
        <v>0</v>
      </c>
      <c r="DQ299" s="541"/>
      <c r="DR299" s="541"/>
      <c r="DS299" s="541"/>
      <c r="DT299" s="541"/>
      <c r="DU299" s="541"/>
      <c r="DV299" s="541"/>
      <c r="DW299" s="541"/>
      <c r="DX299" s="541"/>
      <c r="DY299" s="541"/>
      <c r="DZ299" s="541"/>
    </row>
    <row r="300" spans="2:130" x14ac:dyDescent="0.25">
      <c r="B300" s="334">
        <v>43</v>
      </c>
      <c r="C300" s="541"/>
      <c r="D300" s="334"/>
      <c r="E300" s="334"/>
      <c r="F300" s="334"/>
      <c r="G300" s="334"/>
      <c r="H300" s="334"/>
      <c r="I300" s="334"/>
      <c r="J300" s="536"/>
      <c r="K300" s="536"/>
      <c r="L300" s="536"/>
      <c r="M300" s="536"/>
      <c r="N300" s="536"/>
      <c r="O300" s="536"/>
      <c r="P300" s="536">
        <f t="shared" si="101"/>
        <v>0</v>
      </c>
      <c r="Q300" s="536"/>
      <c r="R300" s="536"/>
      <c r="S300" s="536"/>
      <c r="T300" s="536">
        <f t="shared" si="102"/>
        <v>0</v>
      </c>
      <c r="U300" s="536"/>
      <c r="V300" s="536"/>
      <c r="W300" s="536"/>
      <c r="X300" s="536">
        <f t="shared" si="103"/>
        <v>0</v>
      </c>
      <c r="Y300" s="536"/>
      <c r="Z300" s="536"/>
      <c r="AA300" s="536"/>
      <c r="AB300" s="536">
        <f t="shared" si="104"/>
        <v>0</v>
      </c>
      <c r="AC300" s="536"/>
      <c r="AD300" s="536"/>
      <c r="AE300" s="536"/>
      <c r="AF300" s="536">
        <f t="shared" si="105"/>
        <v>0</v>
      </c>
      <c r="AG300" s="536"/>
      <c r="AH300" s="536"/>
      <c r="AI300" s="536"/>
      <c r="AJ300" s="536">
        <f t="shared" si="106"/>
        <v>0</v>
      </c>
      <c r="AK300" s="536"/>
      <c r="AL300" s="536"/>
      <c r="AM300" s="536"/>
      <c r="AN300" s="542">
        <f t="shared" si="107"/>
        <v>0</v>
      </c>
      <c r="AO300" s="536"/>
      <c r="AP300" s="536"/>
      <c r="AQ300" s="536"/>
      <c r="AR300" s="542">
        <f t="shared" si="108"/>
        <v>0</v>
      </c>
      <c r="AS300" s="536"/>
      <c r="AT300" s="536"/>
      <c r="AU300" s="536"/>
      <c r="AV300" s="542">
        <f t="shared" si="109"/>
        <v>0</v>
      </c>
      <c r="AW300" s="536"/>
      <c r="AX300" s="536"/>
      <c r="AY300" s="536"/>
      <c r="AZ300" s="542">
        <f t="shared" si="110"/>
        <v>0</v>
      </c>
      <c r="BA300" s="536"/>
      <c r="BB300" s="536"/>
      <c r="BC300" s="536"/>
      <c r="BD300" s="542">
        <f t="shared" si="111"/>
        <v>0</v>
      </c>
      <c r="BE300" s="536"/>
      <c r="BF300" s="536"/>
      <c r="BG300" s="536"/>
      <c r="BH300" s="542">
        <f t="shared" si="112"/>
        <v>0</v>
      </c>
      <c r="BI300" s="536"/>
      <c r="BJ300" s="536"/>
      <c r="BK300" s="536"/>
      <c r="BL300" s="542">
        <f t="shared" si="113"/>
        <v>0</v>
      </c>
      <c r="BM300" s="536"/>
      <c r="BN300" s="536"/>
      <c r="BO300" s="536"/>
      <c r="BP300" s="542">
        <f t="shared" si="114"/>
        <v>0</v>
      </c>
      <c r="BQ300" s="536"/>
      <c r="BR300" s="536"/>
      <c r="BS300" s="536"/>
      <c r="BT300" s="542">
        <f t="shared" si="115"/>
        <v>0</v>
      </c>
      <c r="BU300" s="536"/>
      <c r="BV300" s="536"/>
      <c r="BW300" s="536"/>
      <c r="BX300" s="542">
        <f t="shared" si="116"/>
        <v>0</v>
      </c>
      <c r="BY300" s="536"/>
      <c r="BZ300" s="536"/>
      <c r="CA300" s="536"/>
      <c r="CB300" s="542">
        <v>0</v>
      </c>
      <c r="CC300" s="536"/>
      <c r="CD300" s="536"/>
      <c r="CE300" s="536"/>
      <c r="CF300" s="541">
        <f t="shared" si="117"/>
        <v>0</v>
      </c>
      <c r="CG300" s="536"/>
      <c r="CH300" s="536"/>
      <c r="CI300" s="536"/>
      <c r="CJ300" s="541">
        <f t="shared" si="118"/>
        <v>0</v>
      </c>
      <c r="CK300" s="536"/>
      <c r="CL300" s="536"/>
      <c r="CM300" s="536"/>
      <c r="CN300" s="541">
        <f t="shared" si="119"/>
        <v>0</v>
      </c>
      <c r="CO300" s="536"/>
      <c r="CP300" s="536"/>
      <c r="CQ300" s="536"/>
      <c r="CR300" s="541">
        <f t="shared" si="120"/>
        <v>0</v>
      </c>
      <c r="CS300" s="536"/>
      <c r="CT300" s="536"/>
      <c r="CU300" s="536"/>
      <c r="CV300" s="541">
        <f t="shared" si="121"/>
        <v>0</v>
      </c>
      <c r="CW300" s="536"/>
      <c r="CX300" s="536"/>
      <c r="CY300" s="536"/>
      <c r="CZ300" s="541">
        <f t="shared" si="122"/>
        <v>0</v>
      </c>
      <c r="DA300" s="536"/>
      <c r="DB300" s="536"/>
      <c r="DC300" s="536"/>
      <c r="DD300" s="541">
        <f t="shared" si="123"/>
        <v>0</v>
      </c>
      <c r="DE300" s="536"/>
      <c r="DF300" s="536"/>
      <c r="DG300" s="536"/>
      <c r="DH300" s="541">
        <f t="shared" si="124"/>
        <v>0</v>
      </c>
      <c r="DI300" s="536"/>
      <c r="DJ300" s="536"/>
      <c r="DK300" s="536"/>
      <c r="DL300" s="541">
        <f t="shared" si="125"/>
        <v>0</v>
      </c>
      <c r="DM300" s="536"/>
      <c r="DN300" s="536"/>
      <c r="DO300" s="536"/>
      <c r="DP300" s="541">
        <f>IF( SUM((DJ300*(20/100))+(DK300*(30/100))+(DL300*(50/100))) &gt;=9.3,9.5,
IF(AND( SUM((DJ300*(20/100))+(DK300*(30/100))+(DL300*(50/100))) &lt;=9.3, SUM((DJ300*(20/100))+(DK300*(30/100))+(DL300*(50/100))) &gt;=8.8),9,
IF(AND( SUM((DJ300*(20/100))+(DK300*(30/100))+(DL300*(50/100))) &lt;=8.8, SUM((DJ300*(20/100))+(DK300*(30/100))+(DL300*(50/100))) &gt;=8.3),8.5,
IF(AND( SUM((DJ300*(20/100))+(DK300*(30/100))+(DL300*(50/100))) &lt;=8.3, SUM((DJ300*(20/100))+(DK300*(30/100))+(DL300*(50/100))) &gt;=7.8),8,
IF(AND( SUM((DJ300*(20/100))+(DK300*(30/100))+(DL300*(50/100))) &lt;=7.8, SUM((DJ300*(20/100))+(DK300*(30/100))+(DL300*(50/100))) &gt;=7.3),7.5,
IF(AND( SUM((DJ300*(20/100))+(DK300*(30/100))+(DL300*(50/100))) &lt;=7.3, SUM((DJ300*(20/100))+(DK300*(30/100))+(DL300*(50/100))) &gt;=6.8),7,
IF(AND( SUM((DJ300*(20/100))+(DK300*(30/100))+(DL300*(50/100))) &lt;=6.8, SUM((DJ300*(20/100))+(DK300*(30/100))+(DL300*(50/100))) &gt;=6.3),6.5,
IF(AND( SUM((DJ300*(20/100))+(DK300*(30/100))+(DL300*(50/100))) &lt;=6.3, SUM((DJ300*(20/100))+(DK300*(30/100))+(DL300*(50/100))) &gt;=5.8),6,
IF(AND( SUM((DJ300*(20/100))+(DK300*(30/100))+(DL300*(50/100))) &lt;=5.8, SUM((DJ300*(20/100))+(DK300*(30/100))+(DL300*(50/100))) &gt;=5.3),5.5,
IF(AND( SUM((DJ300*(20/100))+(DK300*(30/100))+(DL300*(50/100))) &lt;=5.3, SUM((DJ300*(20/100))+(DK300*(30/100))+(DL300*(50/100))) &gt;=4.8),5,
IF(AND( SUM((DJ300*(20/100))+(DK300*(30/100))+(DL300*(50/100))) &lt;=4.8, SUM((DJ300*(20/100))+(DK300*(30/100))+(DL300*(50/100))) &gt;=4.3),4.5,
IF(AND( SUM((DJ300*(20/100))+(DK300*(30/100))+(DL300*(50/100))) &lt;=4.3, SUM((DJ300*(20/100))+(DK300*(30/100))+(DL300*(50/100))) &gt;=3.8),4,
IF(AND( SUM((DJ300*(20/100))+(DK300*(30/100))+(DL300*(50/100))) &lt;=3.8, SUM((DJ300*(20/100))+(DK300*(30/100))+(DL300*(50/100))) &gt;=3.5),3.5,0)))))))))))))</f>
        <v>0</v>
      </c>
      <c r="DQ300" s="541"/>
      <c r="DR300" s="541"/>
      <c r="DS300" s="541"/>
      <c r="DT300" s="541"/>
      <c r="DU300" s="541"/>
      <c r="DV300" s="541"/>
      <c r="DW300" s="541"/>
      <c r="DX300" s="541"/>
      <c r="DY300" s="541"/>
      <c r="DZ300" s="541"/>
    </row>
    <row r="301" spans="2:130" x14ac:dyDescent="0.25">
      <c r="B301" s="334">
        <v>44</v>
      </c>
      <c r="C301" s="541"/>
      <c r="D301" s="334"/>
      <c r="E301" s="334"/>
      <c r="F301" s="334"/>
      <c r="G301" s="334"/>
      <c r="H301" s="334"/>
      <c r="I301" s="334"/>
      <c r="J301" s="536"/>
      <c r="K301" s="536"/>
      <c r="L301" s="536"/>
      <c r="M301" s="536"/>
      <c r="N301" s="536"/>
      <c r="O301" s="536"/>
      <c r="P301" s="536">
        <f t="shared" si="101"/>
        <v>0</v>
      </c>
      <c r="Q301" s="536"/>
      <c r="R301" s="536"/>
      <c r="S301" s="536"/>
      <c r="T301" s="536">
        <f t="shared" si="102"/>
        <v>0</v>
      </c>
      <c r="U301" s="536"/>
      <c r="V301" s="536"/>
      <c r="W301" s="536"/>
      <c r="X301" s="536">
        <f t="shared" si="103"/>
        <v>0</v>
      </c>
      <c r="Y301" s="536"/>
      <c r="Z301" s="536"/>
      <c r="AA301" s="536"/>
      <c r="AB301" s="536">
        <f t="shared" si="104"/>
        <v>0</v>
      </c>
      <c r="AC301" s="536"/>
      <c r="AD301" s="536"/>
      <c r="AE301" s="536"/>
      <c r="AF301" s="536">
        <f t="shared" si="105"/>
        <v>0</v>
      </c>
      <c r="AG301" s="536"/>
      <c r="AH301" s="536"/>
      <c r="AI301" s="536"/>
      <c r="AJ301" s="536">
        <f t="shared" si="106"/>
        <v>0</v>
      </c>
      <c r="AK301" s="536"/>
      <c r="AL301" s="536"/>
      <c r="AM301" s="536"/>
      <c r="AN301" s="542">
        <f t="shared" si="107"/>
        <v>0</v>
      </c>
      <c r="AO301" s="536"/>
      <c r="AP301" s="536"/>
      <c r="AQ301" s="536"/>
      <c r="AR301" s="542">
        <f t="shared" si="108"/>
        <v>0</v>
      </c>
      <c r="AS301" s="536"/>
      <c r="AT301" s="536"/>
      <c r="AU301" s="536"/>
      <c r="AV301" s="542">
        <f t="shared" si="109"/>
        <v>0</v>
      </c>
      <c r="AW301" s="536"/>
      <c r="AX301" s="536"/>
      <c r="AY301" s="536"/>
      <c r="AZ301" s="542">
        <f t="shared" si="110"/>
        <v>0</v>
      </c>
      <c r="BA301" s="536"/>
      <c r="BB301" s="536"/>
      <c r="BC301" s="536"/>
      <c r="BD301" s="542">
        <f t="shared" si="111"/>
        <v>0</v>
      </c>
      <c r="BE301" s="536"/>
      <c r="BF301" s="536"/>
      <c r="BG301" s="536"/>
      <c r="BH301" s="542">
        <f t="shared" si="112"/>
        <v>0</v>
      </c>
      <c r="BI301" s="536"/>
      <c r="BJ301" s="536"/>
      <c r="BK301" s="536"/>
      <c r="BL301" s="542">
        <f t="shared" si="113"/>
        <v>0</v>
      </c>
      <c r="BM301" s="536"/>
      <c r="BN301" s="536"/>
      <c r="BO301" s="536"/>
      <c r="BP301" s="542">
        <f t="shared" si="114"/>
        <v>0</v>
      </c>
      <c r="BQ301" s="536"/>
      <c r="BR301" s="536"/>
      <c r="BS301" s="536"/>
      <c r="BT301" s="542">
        <f t="shared" si="115"/>
        <v>0</v>
      </c>
      <c r="BU301" s="536"/>
      <c r="BV301" s="536"/>
      <c r="BW301" s="536"/>
      <c r="BX301" s="542">
        <f t="shared" si="116"/>
        <v>0</v>
      </c>
      <c r="BY301" s="536"/>
      <c r="BZ301" s="536"/>
      <c r="CA301" s="536"/>
      <c r="CB301" s="542">
        <v>0</v>
      </c>
      <c r="CC301" s="536"/>
      <c r="CD301" s="536"/>
      <c r="CE301" s="536"/>
      <c r="CF301" s="541">
        <f t="shared" si="117"/>
        <v>0</v>
      </c>
      <c r="CG301" s="536"/>
      <c r="CH301" s="536"/>
      <c r="CI301" s="536"/>
      <c r="CJ301" s="541">
        <f t="shared" si="118"/>
        <v>0</v>
      </c>
      <c r="CK301" s="536"/>
      <c r="CL301" s="536"/>
      <c r="CM301" s="536"/>
      <c r="CN301" s="541">
        <f t="shared" si="119"/>
        <v>0</v>
      </c>
      <c r="CO301" s="536"/>
      <c r="CP301" s="536"/>
      <c r="CQ301" s="536"/>
      <c r="CR301" s="541">
        <f t="shared" si="120"/>
        <v>0</v>
      </c>
      <c r="CS301" s="536"/>
      <c r="CT301" s="536"/>
      <c r="CU301" s="536"/>
      <c r="CV301" s="541">
        <f t="shared" si="121"/>
        <v>0</v>
      </c>
      <c r="CW301" s="536"/>
      <c r="CX301" s="536"/>
      <c r="CY301" s="536"/>
      <c r="CZ301" s="541">
        <f t="shared" si="122"/>
        <v>0</v>
      </c>
      <c r="DA301" s="536"/>
      <c r="DB301" s="536"/>
      <c r="DC301" s="536"/>
      <c r="DD301" s="541">
        <f t="shared" si="123"/>
        <v>0</v>
      </c>
      <c r="DE301" s="536"/>
      <c r="DF301" s="536"/>
      <c r="DG301" s="536"/>
      <c r="DH301" s="541">
        <f t="shared" si="124"/>
        <v>0</v>
      </c>
      <c r="DI301" s="536"/>
      <c r="DJ301" s="536"/>
      <c r="DK301" s="536"/>
      <c r="DL301" s="541">
        <f t="shared" si="125"/>
        <v>0</v>
      </c>
      <c r="DM301" s="536"/>
      <c r="DN301" s="536"/>
      <c r="DO301" s="536"/>
      <c r="DP301" s="541">
        <f>IF( SUM((DJ301*(20/100))+(DK301*(30/100))+(DL301*(50/100))) &gt;=9.3,9.5,
IF(AND( SUM((DJ301*(20/100))+(DK301*(30/100))+(DL301*(50/100))) &lt;=9.3, SUM((DJ301*(20/100))+(DK301*(30/100))+(DL301*(50/100))) &gt;=8.8),9,
IF(AND( SUM((DJ301*(20/100))+(DK301*(30/100))+(DL301*(50/100))) &lt;=8.8, SUM((DJ301*(20/100))+(DK301*(30/100))+(DL301*(50/100))) &gt;=8.3),8.5,
IF(AND( SUM((DJ301*(20/100))+(DK301*(30/100))+(DL301*(50/100))) &lt;=8.3, SUM((DJ301*(20/100))+(DK301*(30/100))+(DL301*(50/100))) &gt;=7.8),8,
IF(AND( SUM((DJ301*(20/100))+(DK301*(30/100))+(DL301*(50/100))) &lt;=7.8, SUM((DJ301*(20/100))+(DK301*(30/100))+(DL301*(50/100))) &gt;=7.3),7.5,
IF(AND( SUM((DJ301*(20/100))+(DK301*(30/100))+(DL301*(50/100))) &lt;=7.3, SUM((DJ301*(20/100))+(DK301*(30/100))+(DL301*(50/100))) &gt;=6.8),7,
IF(AND( SUM((DJ301*(20/100))+(DK301*(30/100))+(DL301*(50/100))) &lt;=6.8, SUM((DJ301*(20/100))+(DK301*(30/100))+(DL301*(50/100))) &gt;=6.3),6.5,
IF(AND( SUM((DJ301*(20/100))+(DK301*(30/100))+(DL301*(50/100))) &lt;=6.3, SUM((DJ301*(20/100))+(DK301*(30/100))+(DL301*(50/100))) &gt;=5.8),6,
IF(AND( SUM((DJ301*(20/100))+(DK301*(30/100))+(DL301*(50/100))) &lt;=5.8, SUM((DJ301*(20/100))+(DK301*(30/100))+(DL301*(50/100))) &gt;=5.3),5.5,
IF(AND( SUM((DJ301*(20/100))+(DK301*(30/100))+(DL301*(50/100))) &lt;=5.3, SUM((DJ301*(20/100))+(DK301*(30/100))+(DL301*(50/100))) &gt;=4.8),5,
IF(AND( SUM((DJ301*(20/100))+(DK301*(30/100))+(DL301*(50/100))) &lt;=4.8, SUM((DJ301*(20/100))+(DK301*(30/100))+(DL301*(50/100))) &gt;=4.3),4.5,
IF(AND( SUM((DJ301*(20/100))+(DK301*(30/100))+(DL301*(50/100))) &lt;=4.3, SUM((DJ301*(20/100))+(DK301*(30/100))+(DL301*(50/100))) &gt;=3.8),4,
IF(AND( SUM((DJ301*(20/100))+(DK301*(30/100))+(DL301*(50/100))) &lt;=3.8, SUM((DJ301*(20/100))+(DK301*(30/100))+(DL301*(50/100))) &gt;=3.5),3.5,0)))))))))))))</f>
        <v>0</v>
      </c>
      <c r="DQ301" s="541"/>
      <c r="DR301" s="541"/>
      <c r="DS301" s="541"/>
      <c r="DT301" s="541"/>
      <c r="DU301" s="541"/>
      <c r="DV301" s="541"/>
      <c r="DW301" s="541"/>
      <c r="DX301" s="541"/>
      <c r="DY301" s="541"/>
      <c r="DZ301" s="541"/>
    </row>
    <row r="302" spans="2:130" x14ac:dyDescent="0.25">
      <c r="B302" s="334">
        <v>45</v>
      </c>
      <c r="C302" s="541"/>
      <c r="D302" s="334"/>
      <c r="E302" s="334"/>
      <c r="F302" s="334"/>
      <c r="G302" s="334"/>
      <c r="H302" s="334"/>
      <c r="I302" s="334"/>
      <c r="J302" s="536"/>
      <c r="K302" s="536"/>
      <c r="L302" s="536"/>
      <c r="M302" s="536"/>
      <c r="N302" s="536"/>
      <c r="O302" s="536"/>
      <c r="P302" s="536">
        <f t="shared" si="101"/>
        <v>0</v>
      </c>
      <c r="Q302" s="536"/>
      <c r="R302" s="536"/>
      <c r="S302" s="536"/>
      <c r="T302" s="536">
        <f t="shared" si="102"/>
        <v>0</v>
      </c>
      <c r="U302" s="536"/>
      <c r="V302" s="536"/>
      <c r="W302" s="536"/>
      <c r="X302" s="536">
        <f t="shared" si="103"/>
        <v>0</v>
      </c>
      <c r="Y302" s="536"/>
      <c r="Z302" s="536"/>
      <c r="AA302" s="536"/>
      <c r="AB302" s="536">
        <f t="shared" si="104"/>
        <v>0</v>
      </c>
      <c r="AC302" s="536"/>
      <c r="AD302" s="536"/>
      <c r="AE302" s="536"/>
      <c r="AF302" s="536">
        <f t="shared" si="105"/>
        <v>0</v>
      </c>
      <c r="AG302" s="536"/>
      <c r="AH302" s="536"/>
      <c r="AI302" s="536"/>
      <c r="AJ302" s="536">
        <f t="shared" si="106"/>
        <v>0</v>
      </c>
      <c r="AK302" s="536"/>
      <c r="AL302" s="536"/>
      <c r="AM302" s="536"/>
      <c r="AN302" s="542">
        <f t="shared" si="107"/>
        <v>0</v>
      </c>
      <c r="AO302" s="536"/>
      <c r="AP302" s="536"/>
      <c r="AQ302" s="536"/>
      <c r="AR302" s="542">
        <f t="shared" si="108"/>
        <v>0</v>
      </c>
      <c r="AS302" s="536"/>
      <c r="AT302" s="536"/>
      <c r="AU302" s="536"/>
      <c r="AV302" s="542">
        <f t="shared" si="109"/>
        <v>0</v>
      </c>
      <c r="AW302" s="536"/>
      <c r="AX302" s="536"/>
      <c r="AY302" s="536"/>
      <c r="AZ302" s="542">
        <f t="shared" si="110"/>
        <v>0</v>
      </c>
      <c r="BA302" s="536"/>
      <c r="BB302" s="536"/>
      <c r="BC302" s="536"/>
      <c r="BD302" s="542">
        <f t="shared" si="111"/>
        <v>0</v>
      </c>
      <c r="BE302" s="536"/>
      <c r="BF302" s="536"/>
      <c r="BG302" s="536"/>
      <c r="BH302" s="542">
        <f t="shared" si="112"/>
        <v>0</v>
      </c>
      <c r="BI302" s="536"/>
      <c r="BJ302" s="536"/>
      <c r="BK302" s="536"/>
      <c r="BL302" s="542">
        <f t="shared" si="113"/>
        <v>0</v>
      </c>
      <c r="BM302" s="536"/>
      <c r="BN302" s="536"/>
      <c r="BO302" s="536"/>
      <c r="BP302" s="542">
        <f t="shared" si="114"/>
        <v>0</v>
      </c>
      <c r="BQ302" s="536"/>
      <c r="BR302" s="536"/>
      <c r="BS302" s="536"/>
      <c r="BT302" s="542">
        <f t="shared" si="115"/>
        <v>0</v>
      </c>
      <c r="BU302" s="536"/>
      <c r="BV302" s="536"/>
      <c r="BW302" s="536"/>
      <c r="BX302" s="542">
        <f t="shared" si="116"/>
        <v>0</v>
      </c>
      <c r="BY302" s="536"/>
      <c r="BZ302" s="536"/>
      <c r="CA302" s="536"/>
      <c r="CB302" s="542">
        <v>0</v>
      </c>
      <c r="CC302" s="536"/>
      <c r="CD302" s="536"/>
      <c r="CE302" s="536"/>
      <c r="CF302" s="541">
        <f t="shared" si="117"/>
        <v>0</v>
      </c>
      <c r="CG302" s="536"/>
      <c r="CH302" s="536"/>
      <c r="CI302" s="536"/>
      <c r="CJ302" s="541">
        <f t="shared" si="118"/>
        <v>0</v>
      </c>
      <c r="CK302" s="536"/>
      <c r="CL302" s="536"/>
      <c r="CM302" s="536"/>
      <c r="CN302" s="541">
        <f t="shared" si="119"/>
        <v>0</v>
      </c>
      <c r="CO302" s="536"/>
      <c r="CP302" s="536"/>
      <c r="CQ302" s="536"/>
      <c r="CR302" s="541">
        <f t="shared" si="120"/>
        <v>0</v>
      </c>
      <c r="CS302" s="536"/>
      <c r="CT302" s="536"/>
      <c r="CU302" s="536"/>
      <c r="CV302" s="541">
        <f t="shared" si="121"/>
        <v>0</v>
      </c>
      <c r="CW302" s="536"/>
      <c r="CX302" s="536"/>
      <c r="CY302" s="536"/>
      <c r="CZ302" s="541">
        <f t="shared" si="122"/>
        <v>0</v>
      </c>
      <c r="DA302" s="536"/>
      <c r="DB302" s="536"/>
      <c r="DC302" s="536"/>
      <c r="DD302" s="541">
        <f t="shared" si="123"/>
        <v>0</v>
      </c>
      <c r="DE302" s="536"/>
      <c r="DF302" s="536"/>
      <c r="DG302" s="536"/>
      <c r="DH302" s="541">
        <f t="shared" si="124"/>
        <v>0</v>
      </c>
      <c r="DI302" s="536"/>
      <c r="DJ302" s="536"/>
      <c r="DK302" s="536"/>
      <c r="DL302" s="541">
        <f t="shared" si="125"/>
        <v>0</v>
      </c>
      <c r="DM302" s="536"/>
      <c r="DN302" s="536"/>
      <c r="DO302" s="536"/>
      <c r="DP302" s="541">
        <f>IF( SUM((DJ302*(20/100))+(DK302*(30/100))+(DL302*(50/100))) &gt;=9.3,9.5,
IF(AND( SUM((DJ302*(20/100))+(DK302*(30/100))+(DL302*(50/100))) &lt;=9.3, SUM((DJ302*(20/100))+(DK302*(30/100))+(DL302*(50/100))) &gt;=8.8),9,
IF(AND( SUM((DJ302*(20/100))+(DK302*(30/100))+(DL302*(50/100))) &lt;=8.8, SUM((DJ302*(20/100))+(DK302*(30/100))+(DL302*(50/100))) &gt;=8.3),8.5,
IF(AND( SUM((DJ302*(20/100))+(DK302*(30/100))+(DL302*(50/100))) &lt;=8.3, SUM((DJ302*(20/100))+(DK302*(30/100))+(DL302*(50/100))) &gt;=7.8),8,
IF(AND( SUM((DJ302*(20/100))+(DK302*(30/100))+(DL302*(50/100))) &lt;=7.8, SUM((DJ302*(20/100))+(DK302*(30/100))+(DL302*(50/100))) &gt;=7.3),7.5,
IF(AND( SUM((DJ302*(20/100))+(DK302*(30/100))+(DL302*(50/100))) &lt;=7.3, SUM((DJ302*(20/100))+(DK302*(30/100))+(DL302*(50/100))) &gt;=6.8),7,
IF(AND( SUM((DJ302*(20/100))+(DK302*(30/100))+(DL302*(50/100))) &lt;=6.8, SUM((DJ302*(20/100))+(DK302*(30/100))+(DL302*(50/100))) &gt;=6.3),6.5,
IF(AND( SUM((DJ302*(20/100))+(DK302*(30/100))+(DL302*(50/100))) &lt;=6.3, SUM((DJ302*(20/100))+(DK302*(30/100))+(DL302*(50/100))) &gt;=5.8),6,
IF(AND( SUM((DJ302*(20/100))+(DK302*(30/100))+(DL302*(50/100))) &lt;=5.8, SUM((DJ302*(20/100))+(DK302*(30/100))+(DL302*(50/100))) &gt;=5.3),5.5,
IF(AND( SUM((DJ302*(20/100))+(DK302*(30/100))+(DL302*(50/100))) &lt;=5.3, SUM((DJ302*(20/100))+(DK302*(30/100))+(DL302*(50/100))) &gt;=4.8),5,
IF(AND( SUM((DJ302*(20/100))+(DK302*(30/100))+(DL302*(50/100))) &lt;=4.8, SUM((DJ302*(20/100))+(DK302*(30/100))+(DL302*(50/100))) &gt;=4.3),4.5,
IF(AND( SUM((DJ302*(20/100))+(DK302*(30/100))+(DL302*(50/100))) &lt;=4.3, SUM((DJ302*(20/100))+(DK302*(30/100))+(DL302*(50/100))) &gt;=3.8),4,
IF(AND( SUM((DJ302*(20/100))+(DK302*(30/100))+(DL302*(50/100))) &lt;=3.8, SUM((DJ302*(20/100))+(DK302*(30/100))+(DL302*(50/100))) &gt;=3.5),3.5,0)))))))))))))</f>
        <v>0</v>
      </c>
      <c r="DQ302" s="541"/>
      <c r="DR302" s="541"/>
      <c r="DS302" s="541"/>
      <c r="DT302" s="541"/>
      <c r="DU302" s="541"/>
      <c r="DV302" s="541"/>
      <c r="DW302" s="541"/>
      <c r="DX302" s="541"/>
      <c r="DY302" s="541"/>
      <c r="DZ302" s="541"/>
    </row>
    <row r="303" spans="2:130" x14ac:dyDescent="0.25">
      <c r="B303" s="334">
        <v>46</v>
      </c>
      <c r="C303" s="541"/>
      <c r="D303" s="334"/>
      <c r="E303" s="334"/>
      <c r="F303" s="334"/>
      <c r="G303" s="334"/>
      <c r="H303" s="334"/>
      <c r="I303" s="334"/>
      <c r="J303" s="536"/>
      <c r="K303" s="536"/>
      <c r="L303" s="536"/>
      <c r="M303" s="536"/>
      <c r="N303" s="536"/>
      <c r="O303" s="536"/>
      <c r="P303" s="536">
        <f t="shared" si="101"/>
        <v>0</v>
      </c>
      <c r="Q303" s="536"/>
      <c r="R303" s="536"/>
      <c r="S303" s="536"/>
      <c r="T303" s="536">
        <f t="shared" si="102"/>
        <v>0</v>
      </c>
      <c r="U303" s="536"/>
      <c r="V303" s="536"/>
      <c r="W303" s="536"/>
      <c r="X303" s="536">
        <f t="shared" si="103"/>
        <v>0</v>
      </c>
      <c r="Y303" s="536"/>
      <c r="Z303" s="536"/>
      <c r="AA303" s="536"/>
      <c r="AB303" s="536">
        <f t="shared" si="104"/>
        <v>0</v>
      </c>
      <c r="AC303" s="536"/>
      <c r="AD303" s="536"/>
      <c r="AE303" s="536"/>
      <c r="AF303" s="536">
        <f t="shared" si="105"/>
        <v>0</v>
      </c>
      <c r="AG303" s="536"/>
      <c r="AH303" s="536"/>
      <c r="AI303" s="536"/>
      <c r="AJ303" s="536">
        <f t="shared" si="106"/>
        <v>0</v>
      </c>
      <c r="AK303" s="536"/>
      <c r="AL303" s="536"/>
      <c r="AM303" s="536"/>
      <c r="AN303" s="542">
        <f t="shared" si="107"/>
        <v>0</v>
      </c>
      <c r="AO303" s="536"/>
      <c r="AP303" s="536"/>
      <c r="AQ303" s="536"/>
      <c r="AR303" s="542">
        <f t="shared" si="108"/>
        <v>0</v>
      </c>
      <c r="AS303" s="536"/>
      <c r="AT303" s="536"/>
      <c r="AU303" s="536"/>
      <c r="AV303" s="542">
        <f t="shared" si="109"/>
        <v>0</v>
      </c>
      <c r="AW303" s="536"/>
      <c r="AX303" s="536"/>
      <c r="AY303" s="536"/>
      <c r="AZ303" s="542">
        <f t="shared" si="110"/>
        <v>0</v>
      </c>
      <c r="BA303" s="536"/>
      <c r="BB303" s="536"/>
      <c r="BC303" s="536"/>
      <c r="BD303" s="542">
        <f t="shared" si="111"/>
        <v>0</v>
      </c>
      <c r="BE303" s="536"/>
      <c r="BF303" s="536"/>
      <c r="BG303" s="536"/>
      <c r="BH303" s="542">
        <f t="shared" si="112"/>
        <v>0</v>
      </c>
      <c r="BI303" s="536"/>
      <c r="BJ303" s="536"/>
      <c r="BK303" s="536"/>
      <c r="BL303" s="542">
        <f t="shared" si="113"/>
        <v>0</v>
      </c>
      <c r="BM303" s="536"/>
      <c r="BN303" s="536"/>
      <c r="BO303" s="536"/>
      <c r="BP303" s="542">
        <f t="shared" si="114"/>
        <v>0</v>
      </c>
      <c r="BQ303" s="536"/>
      <c r="BR303" s="536"/>
      <c r="BS303" s="536"/>
      <c r="BT303" s="542">
        <f t="shared" si="115"/>
        <v>0</v>
      </c>
      <c r="BU303" s="536"/>
      <c r="BV303" s="536"/>
      <c r="BW303" s="536"/>
      <c r="BX303" s="542">
        <f t="shared" si="116"/>
        <v>0</v>
      </c>
      <c r="BY303" s="536"/>
      <c r="BZ303" s="536"/>
      <c r="CA303" s="536"/>
      <c r="CB303" s="542">
        <v>0</v>
      </c>
      <c r="CC303" s="536"/>
      <c r="CD303" s="536"/>
      <c r="CE303" s="536"/>
      <c r="CF303" s="541">
        <f t="shared" si="117"/>
        <v>0</v>
      </c>
      <c r="CG303" s="536"/>
      <c r="CH303" s="536"/>
      <c r="CI303" s="536"/>
      <c r="CJ303" s="541">
        <f t="shared" si="118"/>
        <v>0</v>
      </c>
      <c r="CK303" s="536"/>
      <c r="CL303" s="536"/>
      <c r="CM303" s="536"/>
      <c r="CN303" s="541">
        <f t="shared" si="119"/>
        <v>0</v>
      </c>
      <c r="CO303" s="536"/>
      <c r="CP303" s="536"/>
      <c r="CQ303" s="536"/>
      <c r="CR303" s="541">
        <f t="shared" si="120"/>
        <v>0</v>
      </c>
      <c r="CS303" s="536"/>
      <c r="CT303" s="536"/>
      <c r="CU303" s="536"/>
      <c r="CV303" s="541">
        <f t="shared" si="121"/>
        <v>0</v>
      </c>
      <c r="CW303" s="536"/>
      <c r="CX303" s="536"/>
      <c r="CY303" s="536"/>
      <c r="CZ303" s="541">
        <f t="shared" si="122"/>
        <v>0</v>
      </c>
      <c r="DA303" s="536"/>
      <c r="DB303" s="536"/>
      <c r="DC303" s="536"/>
      <c r="DD303" s="541">
        <f t="shared" si="123"/>
        <v>0</v>
      </c>
      <c r="DE303" s="536"/>
      <c r="DF303" s="536"/>
      <c r="DG303" s="536"/>
      <c r="DH303" s="541">
        <f t="shared" si="124"/>
        <v>0</v>
      </c>
      <c r="DI303" s="536"/>
      <c r="DJ303" s="536"/>
      <c r="DK303" s="536"/>
      <c r="DL303" s="541">
        <f t="shared" si="125"/>
        <v>0</v>
      </c>
      <c r="DM303" s="536"/>
      <c r="DN303" s="536"/>
      <c r="DO303" s="536"/>
      <c r="DP303" s="541">
        <f>IF( SUM((DJ303*(20/100))+(DK303*(30/100))+(DL303*(50/100))) &gt;=9.3,9.5,
IF(AND( SUM((DJ303*(20/100))+(DK303*(30/100))+(DL303*(50/100))) &lt;=9.3, SUM((DJ303*(20/100))+(DK303*(30/100))+(DL303*(50/100))) &gt;=8.8),9,
IF(AND( SUM((DJ303*(20/100))+(DK303*(30/100))+(DL303*(50/100))) &lt;=8.8, SUM((DJ303*(20/100))+(DK303*(30/100))+(DL303*(50/100))) &gt;=8.3),8.5,
IF(AND( SUM((DJ303*(20/100))+(DK303*(30/100))+(DL303*(50/100))) &lt;=8.3, SUM((DJ303*(20/100))+(DK303*(30/100))+(DL303*(50/100))) &gt;=7.8),8,
IF(AND( SUM((DJ303*(20/100))+(DK303*(30/100))+(DL303*(50/100))) &lt;=7.8, SUM((DJ303*(20/100))+(DK303*(30/100))+(DL303*(50/100))) &gt;=7.3),7.5,
IF(AND( SUM((DJ303*(20/100))+(DK303*(30/100))+(DL303*(50/100))) &lt;=7.3, SUM((DJ303*(20/100))+(DK303*(30/100))+(DL303*(50/100))) &gt;=6.8),7,
IF(AND( SUM((DJ303*(20/100))+(DK303*(30/100))+(DL303*(50/100))) &lt;=6.8, SUM((DJ303*(20/100))+(DK303*(30/100))+(DL303*(50/100))) &gt;=6.3),6.5,
IF(AND( SUM((DJ303*(20/100))+(DK303*(30/100))+(DL303*(50/100))) &lt;=6.3, SUM((DJ303*(20/100))+(DK303*(30/100))+(DL303*(50/100))) &gt;=5.8),6,
IF(AND( SUM((DJ303*(20/100))+(DK303*(30/100))+(DL303*(50/100))) &lt;=5.8, SUM((DJ303*(20/100))+(DK303*(30/100))+(DL303*(50/100))) &gt;=5.3),5.5,
IF(AND( SUM((DJ303*(20/100))+(DK303*(30/100))+(DL303*(50/100))) &lt;=5.3, SUM((DJ303*(20/100))+(DK303*(30/100))+(DL303*(50/100))) &gt;=4.8),5,
IF(AND( SUM((DJ303*(20/100))+(DK303*(30/100))+(DL303*(50/100))) &lt;=4.8, SUM((DJ303*(20/100))+(DK303*(30/100))+(DL303*(50/100))) &gt;=4.3),4.5,
IF(AND( SUM((DJ303*(20/100))+(DK303*(30/100))+(DL303*(50/100))) &lt;=4.3, SUM((DJ303*(20/100))+(DK303*(30/100))+(DL303*(50/100))) &gt;=3.8),4,
IF(AND( SUM((DJ303*(20/100))+(DK303*(30/100))+(DL303*(50/100))) &lt;=3.8, SUM((DJ303*(20/100))+(DK303*(30/100))+(DL303*(50/100))) &gt;=3.5),3.5,0)))))))))))))</f>
        <v>0</v>
      </c>
      <c r="DQ303" s="541"/>
      <c r="DR303" s="541"/>
      <c r="DS303" s="541"/>
      <c r="DT303" s="541"/>
      <c r="DU303" s="541"/>
      <c r="DV303" s="541"/>
      <c r="DW303" s="541"/>
      <c r="DX303" s="541"/>
      <c r="DY303" s="541"/>
      <c r="DZ303" s="541"/>
    </row>
    <row r="304" spans="2:130" x14ac:dyDescent="0.25">
      <c r="B304" s="334">
        <v>47</v>
      </c>
      <c r="C304" s="541"/>
      <c r="D304" s="334"/>
      <c r="E304" s="334"/>
      <c r="F304" s="334"/>
      <c r="G304" s="334"/>
      <c r="H304" s="334"/>
      <c r="I304" s="334"/>
      <c r="J304" s="536"/>
      <c r="K304" s="536"/>
      <c r="L304" s="536"/>
      <c r="M304" s="536"/>
      <c r="N304" s="536"/>
      <c r="O304" s="536"/>
      <c r="P304" s="536">
        <f t="shared" si="101"/>
        <v>0</v>
      </c>
      <c r="Q304" s="536"/>
      <c r="R304" s="536"/>
      <c r="S304" s="536"/>
      <c r="T304" s="536">
        <f t="shared" si="102"/>
        <v>0</v>
      </c>
      <c r="U304" s="536"/>
      <c r="V304" s="536"/>
      <c r="W304" s="536"/>
      <c r="X304" s="536">
        <f t="shared" si="103"/>
        <v>0</v>
      </c>
      <c r="Y304" s="536"/>
      <c r="Z304" s="536"/>
      <c r="AA304" s="536"/>
      <c r="AB304" s="536">
        <f t="shared" si="104"/>
        <v>0</v>
      </c>
      <c r="AC304" s="536"/>
      <c r="AD304" s="536"/>
      <c r="AE304" s="536"/>
      <c r="AF304" s="536">
        <f t="shared" si="105"/>
        <v>0</v>
      </c>
      <c r="AG304" s="536"/>
      <c r="AH304" s="536"/>
      <c r="AI304" s="536"/>
      <c r="AJ304" s="536">
        <f t="shared" si="106"/>
        <v>0</v>
      </c>
      <c r="AK304" s="536"/>
      <c r="AL304" s="536"/>
      <c r="AM304" s="536"/>
      <c r="AN304" s="542">
        <f t="shared" si="107"/>
        <v>0</v>
      </c>
      <c r="AO304" s="536"/>
      <c r="AP304" s="536"/>
      <c r="AQ304" s="536"/>
      <c r="AR304" s="542">
        <f t="shared" si="108"/>
        <v>0</v>
      </c>
      <c r="AS304" s="536"/>
      <c r="AT304" s="536"/>
      <c r="AU304" s="536"/>
      <c r="AV304" s="542">
        <f t="shared" si="109"/>
        <v>0</v>
      </c>
      <c r="AW304" s="536"/>
      <c r="AX304" s="536"/>
      <c r="AY304" s="536"/>
      <c r="AZ304" s="542">
        <f t="shared" si="110"/>
        <v>0</v>
      </c>
      <c r="BA304" s="536"/>
      <c r="BB304" s="536"/>
      <c r="BC304" s="536"/>
      <c r="BD304" s="542">
        <f t="shared" si="111"/>
        <v>0</v>
      </c>
      <c r="BE304" s="536"/>
      <c r="BF304" s="536"/>
      <c r="BG304" s="536"/>
      <c r="BH304" s="542">
        <f t="shared" si="112"/>
        <v>0</v>
      </c>
      <c r="BI304" s="536"/>
      <c r="BJ304" s="536"/>
      <c r="BK304" s="536"/>
      <c r="BL304" s="542">
        <f t="shared" si="113"/>
        <v>0</v>
      </c>
      <c r="BM304" s="536"/>
      <c r="BN304" s="536"/>
      <c r="BO304" s="536"/>
      <c r="BP304" s="542">
        <f t="shared" si="114"/>
        <v>0</v>
      </c>
      <c r="BQ304" s="536"/>
      <c r="BR304" s="536"/>
      <c r="BS304" s="536"/>
      <c r="BT304" s="542">
        <f t="shared" si="115"/>
        <v>0</v>
      </c>
      <c r="BU304" s="536"/>
      <c r="BV304" s="536"/>
      <c r="BW304" s="536"/>
      <c r="BX304" s="542">
        <f t="shared" si="116"/>
        <v>0</v>
      </c>
      <c r="BY304" s="536"/>
      <c r="BZ304" s="536"/>
      <c r="CA304" s="536"/>
      <c r="CB304" s="542">
        <v>0</v>
      </c>
      <c r="CC304" s="536"/>
      <c r="CD304" s="536"/>
      <c r="CE304" s="536"/>
      <c r="CF304" s="541">
        <f t="shared" si="117"/>
        <v>0</v>
      </c>
      <c r="CG304" s="536"/>
      <c r="CH304" s="536"/>
      <c r="CI304" s="536"/>
      <c r="CJ304" s="541">
        <f t="shared" si="118"/>
        <v>0</v>
      </c>
      <c r="CK304" s="536"/>
      <c r="CL304" s="536"/>
      <c r="CM304" s="536"/>
      <c r="CN304" s="541">
        <f t="shared" si="119"/>
        <v>0</v>
      </c>
      <c r="CO304" s="536"/>
      <c r="CP304" s="536"/>
      <c r="CQ304" s="536"/>
      <c r="CR304" s="541">
        <f t="shared" si="120"/>
        <v>0</v>
      </c>
      <c r="CS304" s="536"/>
      <c r="CT304" s="536"/>
      <c r="CU304" s="536"/>
      <c r="CV304" s="541">
        <f t="shared" si="121"/>
        <v>0</v>
      </c>
      <c r="CW304" s="536"/>
      <c r="CX304" s="536"/>
      <c r="CY304" s="536"/>
      <c r="CZ304" s="541">
        <f t="shared" si="122"/>
        <v>0</v>
      </c>
      <c r="DA304" s="536"/>
      <c r="DB304" s="536"/>
      <c r="DC304" s="536"/>
      <c r="DD304" s="541">
        <f t="shared" si="123"/>
        <v>0</v>
      </c>
      <c r="DE304" s="536"/>
      <c r="DF304" s="536"/>
      <c r="DG304" s="536"/>
      <c r="DH304" s="541">
        <f t="shared" si="124"/>
        <v>0</v>
      </c>
      <c r="DI304" s="536"/>
      <c r="DJ304" s="536"/>
      <c r="DK304" s="536"/>
      <c r="DL304" s="541">
        <f t="shared" si="125"/>
        <v>0</v>
      </c>
      <c r="DM304" s="536"/>
      <c r="DN304" s="536"/>
      <c r="DO304" s="536"/>
      <c r="DP304" s="541">
        <f>IF( SUM((DJ304*(20/100))+(DK304*(30/100))+(DL304*(50/100))) &gt;=9.3,9.5,
IF(AND( SUM((DJ304*(20/100))+(DK304*(30/100))+(DL304*(50/100))) &lt;=9.3, SUM((DJ304*(20/100))+(DK304*(30/100))+(DL304*(50/100))) &gt;=8.8),9,
IF(AND( SUM((DJ304*(20/100))+(DK304*(30/100))+(DL304*(50/100))) &lt;=8.8, SUM((DJ304*(20/100))+(DK304*(30/100))+(DL304*(50/100))) &gt;=8.3),8.5,
IF(AND( SUM((DJ304*(20/100))+(DK304*(30/100))+(DL304*(50/100))) &lt;=8.3, SUM((DJ304*(20/100))+(DK304*(30/100))+(DL304*(50/100))) &gt;=7.8),8,
IF(AND( SUM((DJ304*(20/100))+(DK304*(30/100))+(DL304*(50/100))) &lt;=7.8, SUM((DJ304*(20/100))+(DK304*(30/100))+(DL304*(50/100))) &gt;=7.3),7.5,
IF(AND( SUM((DJ304*(20/100))+(DK304*(30/100))+(DL304*(50/100))) &lt;=7.3, SUM((DJ304*(20/100))+(DK304*(30/100))+(DL304*(50/100))) &gt;=6.8),7,
IF(AND( SUM((DJ304*(20/100))+(DK304*(30/100))+(DL304*(50/100))) &lt;=6.8, SUM((DJ304*(20/100))+(DK304*(30/100))+(DL304*(50/100))) &gt;=6.3),6.5,
IF(AND( SUM((DJ304*(20/100))+(DK304*(30/100))+(DL304*(50/100))) &lt;=6.3, SUM((DJ304*(20/100))+(DK304*(30/100))+(DL304*(50/100))) &gt;=5.8),6,
IF(AND( SUM((DJ304*(20/100))+(DK304*(30/100))+(DL304*(50/100))) &lt;=5.8, SUM((DJ304*(20/100))+(DK304*(30/100))+(DL304*(50/100))) &gt;=5.3),5.5,
IF(AND( SUM((DJ304*(20/100))+(DK304*(30/100))+(DL304*(50/100))) &lt;=5.3, SUM((DJ304*(20/100))+(DK304*(30/100))+(DL304*(50/100))) &gt;=4.8),5,
IF(AND( SUM((DJ304*(20/100))+(DK304*(30/100))+(DL304*(50/100))) &lt;=4.8, SUM((DJ304*(20/100))+(DK304*(30/100))+(DL304*(50/100))) &gt;=4.3),4.5,
IF(AND( SUM((DJ304*(20/100))+(DK304*(30/100))+(DL304*(50/100))) &lt;=4.3, SUM((DJ304*(20/100))+(DK304*(30/100))+(DL304*(50/100))) &gt;=3.8),4,
IF(AND( SUM((DJ304*(20/100))+(DK304*(30/100))+(DL304*(50/100))) &lt;=3.8, SUM((DJ304*(20/100))+(DK304*(30/100))+(DL304*(50/100))) &gt;=3.5),3.5,0)))))))))))))</f>
        <v>0</v>
      </c>
      <c r="DQ304" s="541"/>
      <c r="DR304" s="541"/>
      <c r="DS304" s="541"/>
      <c r="DT304" s="541"/>
      <c r="DU304" s="541"/>
      <c r="DV304" s="541"/>
      <c r="DW304" s="541"/>
      <c r="DX304" s="541"/>
      <c r="DY304" s="541"/>
      <c r="DZ304" s="541"/>
    </row>
    <row r="305" spans="2:130" x14ac:dyDescent="0.25">
      <c r="B305" s="334">
        <v>48</v>
      </c>
      <c r="C305" s="541"/>
      <c r="D305" s="334"/>
      <c r="E305" s="334"/>
      <c r="F305" s="334"/>
      <c r="G305" s="334"/>
      <c r="H305" s="334"/>
      <c r="I305" s="334"/>
      <c r="J305" s="536"/>
      <c r="K305" s="536"/>
      <c r="L305" s="536"/>
      <c r="M305" s="536"/>
      <c r="N305" s="536"/>
      <c r="O305" s="536"/>
      <c r="P305" s="536">
        <f t="shared" si="101"/>
        <v>0</v>
      </c>
      <c r="Q305" s="536"/>
      <c r="R305" s="536"/>
      <c r="S305" s="536"/>
      <c r="T305" s="536">
        <f t="shared" si="102"/>
        <v>0</v>
      </c>
      <c r="U305" s="536"/>
      <c r="V305" s="536"/>
      <c r="W305" s="536"/>
      <c r="X305" s="536">
        <f t="shared" si="103"/>
        <v>0</v>
      </c>
      <c r="Y305" s="536"/>
      <c r="Z305" s="536"/>
      <c r="AA305" s="536"/>
      <c r="AB305" s="536">
        <f t="shared" si="104"/>
        <v>0</v>
      </c>
      <c r="AC305" s="536"/>
      <c r="AD305" s="536"/>
      <c r="AE305" s="536"/>
      <c r="AF305" s="536">
        <f t="shared" si="105"/>
        <v>0</v>
      </c>
      <c r="AG305" s="536"/>
      <c r="AH305" s="536"/>
      <c r="AI305" s="536"/>
      <c r="AJ305" s="536">
        <f t="shared" si="106"/>
        <v>0</v>
      </c>
      <c r="AK305" s="536"/>
      <c r="AL305" s="536"/>
      <c r="AM305" s="536"/>
      <c r="AN305" s="542">
        <f t="shared" si="107"/>
        <v>0</v>
      </c>
      <c r="AO305" s="536"/>
      <c r="AP305" s="536"/>
      <c r="AQ305" s="536"/>
      <c r="AR305" s="542">
        <f t="shared" si="108"/>
        <v>0</v>
      </c>
      <c r="AS305" s="536"/>
      <c r="AT305" s="536"/>
      <c r="AU305" s="536"/>
      <c r="AV305" s="542">
        <f t="shared" si="109"/>
        <v>0</v>
      </c>
      <c r="AW305" s="536"/>
      <c r="AX305" s="536"/>
      <c r="AY305" s="536"/>
      <c r="AZ305" s="542">
        <f t="shared" si="110"/>
        <v>0</v>
      </c>
      <c r="BA305" s="536"/>
      <c r="BB305" s="536"/>
      <c r="BC305" s="536"/>
      <c r="BD305" s="542">
        <f t="shared" si="111"/>
        <v>0</v>
      </c>
      <c r="BE305" s="536"/>
      <c r="BF305" s="536"/>
      <c r="BG305" s="536"/>
      <c r="BH305" s="542">
        <f t="shared" si="112"/>
        <v>0</v>
      </c>
      <c r="BI305" s="536"/>
      <c r="BJ305" s="536"/>
      <c r="BK305" s="536"/>
      <c r="BL305" s="542">
        <f t="shared" si="113"/>
        <v>0</v>
      </c>
      <c r="BM305" s="536"/>
      <c r="BN305" s="536"/>
      <c r="BO305" s="536"/>
      <c r="BP305" s="542">
        <f t="shared" si="114"/>
        <v>0</v>
      </c>
      <c r="BQ305" s="536"/>
      <c r="BR305" s="536"/>
      <c r="BS305" s="536"/>
      <c r="BT305" s="542">
        <f t="shared" si="115"/>
        <v>0</v>
      </c>
      <c r="BU305" s="536"/>
      <c r="BV305" s="536"/>
      <c r="BW305" s="536"/>
      <c r="BX305" s="542">
        <f t="shared" si="116"/>
        <v>0</v>
      </c>
      <c r="BY305" s="536"/>
      <c r="BZ305" s="536"/>
      <c r="CA305" s="536"/>
      <c r="CB305" s="542">
        <v>0</v>
      </c>
      <c r="CC305" s="536"/>
      <c r="CD305" s="536"/>
      <c r="CE305" s="536"/>
      <c r="CF305" s="541">
        <f t="shared" si="117"/>
        <v>0</v>
      </c>
      <c r="CG305" s="536"/>
      <c r="CH305" s="536"/>
      <c r="CI305" s="536"/>
      <c r="CJ305" s="541">
        <f t="shared" si="118"/>
        <v>0</v>
      </c>
      <c r="CK305" s="536"/>
      <c r="CL305" s="536"/>
      <c r="CM305" s="536"/>
      <c r="CN305" s="541">
        <f t="shared" si="119"/>
        <v>0</v>
      </c>
      <c r="CO305" s="536"/>
      <c r="CP305" s="536"/>
      <c r="CQ305" s="536"/>
      <c r="CR305" s="541">
        <f t="shared" si="120"/>
        <v>0</v>
      </c>
      <c r="CS305" s="536"/>
      <c r="CT305" s="536"/>
      <c r="CU305" s="536"/>
      <c r="CV305" s="541">
        <f t="shared" si="121"/>
        <v>0</v>
      </c>
      <c r="CW305" s="536"/>
      <c r="CX305" s="536"/>
      <c r="CY305" s="536"/>
      <c r="CZ305" s="541">
        <f t="shared" si="122"/>
        <v>0</v>
      </c>
      <c r="DA305" s="536"/>
      <c r="DB305" s="536"/>
      <c r="DC305" s="536"/>
      <c r="DD305" s="541">
        <f t="shared" si="123"/>
        <v>0</v>
      </c>
      <c r="DE305" s="536"/>
      <c r="DF305" s="536"/>
      <c r="DG305" s="536"/>
      <c r="DH305" s="541">
        <f t="shared" si="124"/>
        <v>0</v>
      </c>
      <c r="DI305" s="536"/>
      <c r="DJ305" s="536"/>
      <c r="DK305" s="536"/>
      <c r="DL305" s="541">
        <f t="shared" si="125"/>
        <v>0</v>
      </c>
      <c r="DM305" s="536"/>
      <c r="DN305" s="536"/>
      <c r="DO305" s="536"/>
      <c r="DP305" s="541">
        <f>IF( SUM((DJ305*(20/100))+(DK305*(30/100))+(DL305*(50/100))) &gt;=9.3,9.5,
IF(AND( SUM((DJ305*(20/100))+(DK305*(30/100))+(DL305*(50/100))) &lt;=9.3, SUM((DJ305*(20/100))+(DK305*(30/100))+(DL305*(50/100))) &gt;=8.8),9,
IF(AND( SUM((DJ305*(20/100))+(DK305*(30/100))+(DL305*(50/100))) &lt;=8.8, SUM((DJ305*(20/100))+(DK305*(30/100))+(DL305*(50/100))) &gt;=8.3),8.5,
IF(AND( SUM((DJ305*(20/100))+(DK305*(30/100))+(DL305*(50/100))) &lt;=8.3, SUM((DJ305*(20/100))+(DK305*(30/100))+(DL305*(50/100))) &gt;=7.8),8,
IF(AND( SUM((DJ305*(20/100))+(DK305*(30/100))+(DL305*(50/100))) &lt;=7.8, SUM((DJ305*(20/100))+(DK305*(30/100))+(DL305*(50/100))) &gt;=7.3),7.5,
IF(AND( SUM((DJ305*(20/100))+(DK305*(30/100))+(DL305*(50/100))) &lt;=7.3, SUM((DJ305*(20/100))+(DK305*(30/100))+(DL305*(50/100))) &gt;=6.8),7,
IF(AND( SUM((DJ305*(20/100))+(DK305*(30/100))+(DL305*(50/100))) &lt;=6.8, SUM((DJ305*(20/100))+(DK305*(30/100))+(DL305*(50/100))) &gt;=6.3),6.5,
IF(AND( SUM((DJ305*(20/100))+(DK305*(30/100))+(DL305*(50/100))) &lt;=6.3, SUM((DJ305*(20/100))+(DK305*(30/100))+(DL305*(50/100))) &gt;=5.8),6,
IF(AND( SUM((DJ305*(20/100))+(DK305*(30/100))+(DL305*(50/100))) &lt;=5.8, SUM((DJ305*(20/100))+(DK305*(30/100))+(DL305*(50/100))) &gt;=5.3),5.5,
IF(AND( SUM((DJ305*(20/100))+(DK305*(30/100))+(DL305*(50/100))) &lt;=5.3, SUM((DJ305*(20/100))+(DK305*(30/100))+(DL305*(50/100))) &gt;=4.8),5,
IF(AND( SUM((DJ305*(20/100))+(DK305*(30/100))+(DL305*(50/100))) &lt;=4.8, SUM((DJ305*(20/100))+(DK305*(30/100))+(DL305*(50/100))) &gt;=4.3),4.5,
IF(AND( SUM((DJ305*(20/100))+(DK305*(30/100))+(DL305*(50/100))) &lt;=4.3, SUM((DJ305*(20/100))+(DK305*(30/100))+(DL305*(50/100))) &gt;=3.8),4,
IF(AND( SUM((DJ305*(20/100))+(DK305*(30/100))+(DL305*(50/100))) &lt;=3.8, SUM((DJ305*(20/100))+(DK305*(30/100))+(DL305*(50/100))) &gt;=3.5),3.5,0)))))))))))))</f>
        <v>0</v>
      </c>
      <c r="DQ305" s="541"/>
      <c r="DR305" s="541"/>
      <c r="DS305" s="541"/>
      <c r="DT305" s="541"/>
      <c r="DU305" s="541"/>
      <c r="DV305" s="541"/>
      <c r="DW305" s="541"/>
      <c r="DX305" s="541"/>
      <c r="DY305" s="541"/>
      <c r="DZ305" s="541"/>
    </row>
    <row r="306" spans="2:130" x14ac:dyDescent="0.25">
      <c r="B306" s="334">
        <v>49</v>
      </c>
      <c r="C306" s="541"/>
      <c r="D306" s="334"/>
      <c r="E306" s="334"/>
      <c r="F306" s="334"/>
      <c r="G306" s="334"/>
      <c r="H306" s="334"/>
      <c r="I306" s="334"/>
      <c r="J306" s="536"/>
      <c r="K306" s="536"/>
      <c r="L306" s="536"/>
      <c r="M306" s="536"/>
      <c r="N306" s="536"/>
      <c r="O306" s="536"/>
      <c r="P306" s="536">
        <f t="shared" si="101"/>
        <v>0</v>
      </c>
      <c r="Q306" s="536"/>
      <c r="R306" s="536"/>
      <c r="S306" s="536"/>
      <c r="T306" s="536">
        <f t="shared" si="102"/>
        <v>0</v>
      </c>
      <c r="U306" s="536"/>
      <c r="V306" s="536"/>
      <c r="W306" s="536"/>
      <c r="X306" s="536">
        <f t="shared" si="103"/>
        <v>0</v>
      </c>
      <c r="Y306" s="536"/>
      <c r="Z306" s="536"/>
      <c r="AA306" s="536"/>
      <c r="AB306" s="536">
        <f t="shared" si="104"/>
        <v>0</v>
      </c>
      <c r="AC306" s="536"/>
      <c r="AD306" s="536"/>
      <c r="AE306" s="536"/>
      <c r="AF306" s="536">
        <f t="shared" si="105"/>
        <v>0</v>
      </c>
      <c r="AG306" s="536"/>
      <c r="AH306" s="536"/>
      <c r="AI306" s="536"/>
      <c r="AJ306" s="536">
        <f t="shared" si="106"/>
        <v>0</v>
      </c>
      <c r="AK306" s="536"/>
      <c r="AL306" s="536"/>
      <c r="AM306" s="536"/>
      <c r="AN306" s="542">
        <f t="shared" si="107"/>
        <v>0</v>
      </c>
      <c r="AO306" s="536"/>
      <c r="AP306" s="536"/>
      <c r="AQ306" s="536"/>
      <c r="AR306" s="542">
        <f t="shared" si="108"/>
        <v>0</v>
      </c>
      <c r="AS306" s="536"/>
      <c r="AT306" s="536"/>
      <c r="AU306" s="536"/>
      <c r="AV306" s="542">
        <f t="shared" si="109"/>
        <v>0</v>
      </c>
      <c r="AW306" s="536"/>
      <c r="AX306" s="536"/>
      <c r="AY306" s="536"/>
      <c r="AZ306" s="542">
        <f t="shared" si="110"/>
        <v>0</v>
      </c>
      <c r="BA306" s="536"/>
      <c r="BB306" s="536"/>
      <c r="BC306" s="536"/>
      <c r="BD306" s="542">
        <f t="shared" si="111"/>
        <v>0</v>
      </c>
      <c r="BE306" s="536"/>
      <c r="BF306" s="536"/>
      <c r="BG306" s="536"/>
      <c r="BH306" s="542">
        <f t="shared" si="112"/>
        <v>0</v>
      </c>
      <c r="BI306" s="536"/>
      <c r="BJ306" s="536"/>
      <c r="BK306" s="536"/>
      <c r="BL306" s="542">
        <f t="shared" si="113"/>
        <v>0</v>
      </c>
      <c r="BM306" s="536"/>
      <c r="BN306" s="536"/>
      <c r="BO306" s="536"/>
      <c r="BP306" s="542">
        <f t="shared" si="114"/>
        <v>0</v>
      </c>
      <c r="BQ306" s="536"/>
      <c r="BR306" s="536"/>
      <c r="BS306" s="536"/>
      <c r="BT306" s="542">
        <f t="shared" si="115"/>
        <v>0</v>
      </c>
      <c r="BU306" s="536"/>
      <c r="BV306" s="536"/>
      <c r="BW306" s="536"/>
      <c r="BX306" s="542">
        <f t="shared" si="116"/>
        <v>0</v>
      </c>
      <c r="BY306" s="536"/>
      <c r="BZ306" s="536"/>
      <c r="CA306" s="536"/>
      <c r="CB306" s="542">
        <v>0</v>
      </c>
      <c r="CC306" s="536"/>
      <c r="CD306" s="536"/>
      <c r="CE306" s="536"/>
      <c r="CF306" s="541">
        <f t="shared" si="117"/>
        <v>0</v>
      </c>
      <c r="CG306" s="536"/>
      <c r="CH306" s="536"/>
      <c r="CI306" s="536"/>
      <c r="CJ306" s="541">
        <f t="shared" si="118"/>
        <v>0</v>
      </c>
      <c r="CK306" s="536"/>
      <c r="CL306" s="536"/>
      <c r="CM306" s="536"/>
      <c r="CN306" s="541">
        <f t="shared" si="119"/>
        <v>0</v>
      </c>
      <c r="CO306" s="536"/>
      <c r="CP306" s="536"/>
      <c r="CQ306" s="536"/>
      <c r="CR306" s="541">
        <f t="shared" si="120"/>
        <v>0</v>
      </c>
      <c r="CS306" s="536"/>
      <c r="CT306" s="536"/>
      <c r="CU306" s="536"/>
      <c r="CV306" s="541">
        <f t="shared" si="121"/>
        <v>0</v>
      </c>
      <c r="CW306" s="536"/>
      <c r="CX306" s="536"/>
      <c r="CY306" s="536"/>
      <c r="CZ306" s="541">
        <f t="shared" si="122"/>
        <v>0</v>
      </c>
      <c r="DA306" s="536"/>
      <c r="DB306" s="536"/>
      <c r="DC306" s="536"/>
      <c r="DD306" s="541">
        <f t="shared" si="123"/>
        <v>0</v>
      </c>
      <c r="DE306" s="536"/>
      <c r="DF306" s="536"/>
      <c r="DG306" s="536"/>
      <c r="DH306" s="541">
        <f t="shared" si="124"/>
        <v>0</v>
      </c>
      <c r="DI306" s="536"/>
      <c r="DJ306" s="536"/>
      <c r="DK306" s="536"/>
      <c r="DL306" s="541">
        <f t="shared" si="125"/>
        <v>0</v>
      </c>
      <c r="DM306" s="536"/>
      <c r="DN306" s="536"/>
      <c r="DO306" s="536"/>
      <c r="DP306" s="541">
        <f>IF( SUM((DJ306*(20/100))+(DK306*(30/100))+(DL306*(50/100))) &gt;=9.3,9.5,
IF(AND( SUM((DJ306*(20/100))+(DK306*(30/100))+(DL306*(50/100))) &lt;=9.3, SUM((DJ306*(20/100))+(DK306*(30/100))+(DL306*(50/100))) &gt;=8.8),9,
IF(AND( SUM((DJ306*(20/100))+(DK306*(30/100))+(DL306*(50/100))) &lt;=8.8, SUM((DJ306*(20/100))+(DK306*(30/100))+(DL306*(50/100))) &gt;=8.3),8.5,
IF(AND( SUM((DJ306*(20/100))+(DK306*(30/100))+(DL306*(50/100))) &lt;=8.3, SUM((DJ306*(20/100))+(DK306*(30/100))+(DL306*(50/100))) &gt;=7.8),8,
IF(AND( SUM((DJ306*(20/100))+(DK306*(30/100))+(DL306*(50/100))) &lt;=7.8, SUM((DJ306*(20/100))+(DK306*(30/100))+(DL306*(50/100))) &gt;=7.3),7.5,
IF(AND( SUM((DJ306*(20/100))+(DK306*(30/100))+(DL306*(50/100))) &lt;=7.3, SUM((DJ306*(20/100))+(DK306*(30/100))+(DL306*(50/100))) &gt;=6.8),7,
IF(AND( SUM((DJ306*(20/100))+(DK306*(30/100))+(DL306*(50/100))) &lt;=6.8, SUM((DJ306*(20/100))+(DK306*(30/100))+(DL306*(50/100))) &gt;=6.3),6.5,
IF(AND( SUM((DJ306*(20/100))+(DK306*(30/100))+(DL306*(50/100))) &lt;=6.3, SUM((DJ306*(20/100))+(DK306*(30/100))+(DL306*(50/100))) &gt;=5.8),6,
IF(AND( SUM((DJ306*(20/100))+(DK306*(30/100))+(DL306*(50/100))) &lt;=5.8, SUM((DJ306*(20/100))+(DK306*(30/100))+(DL306*(50/100))) &gt;=5.3),5.5,
IF(AND( SUM((DJ306*(20/100))+(DK306*(30/100))+(DL306*(50/100))) &lt;=5.3, SUM((DJ306*(20/100))+(DK306*(30/100))+(DL306*(50/100))) &gt;=4.8),5,
IF(AND( SUM((DJ306*(20/100))+(DK306*(30/100))+(DL306*(50/100))) &lt;=4.8, SUM((DJ306*(20/100))+(DK306*(30/100))+(DL306*(50/100))) &gt;=4.3),4.5,
IF(AND( SUM((DJ306*(20/100))+(DK306*(30/100))+(DL306*(50/100))) &lt;=4.3, SUM((DJ306*(20/100))+(DK306*(30/100))+(DL306*(50/100))) &gt;=3.8),4,
IF(AND( SUM((DJ306*(20/100))+(DK306*(30/100))+(DL306*(50/100))) &lt;=3.8, SUM((DJ306*(20/100))+(DK306*(30/100))+(DL306*(50/100))) &gt;=3.5),3.5,0)))))))))))))</f>
        <v>0</v>
      </c>
      <c r="DQ306" s="541"/>
      <c r="DR306" s="541"/>
      <c r="DS306" s="541"/>
      <c r="DT306" s="541"/>
      <c r="DU306" s="541"/>
      <c r="DV306" s="541"/>
      <c r="DW306" s="541"/>
      <c r="DX306" s="541"/>
      <c r="DY306" s="541"/>
      <c r="DZ306" s="541"/>
    </row>
    <row r="307" spans="2:130" x14ac:dyDescent="0.25">
      <c r="B307" s="334">
        <v>50</v>
      </c>
      <c r="C307" s="541"/>
      <c r="D307" s="334"/>
      <c r="E307" s="334"/>
      <c r="F307" s="334"/>
      <c r="G307" s="334"/>
      <c r="H307" s="334"/>
      <c r="I307" s="334"/>
      <c r="J307" s="536"/>
      <c r="K307" s="536"/>
      <c r="L307" s="536"/>
      <c r="M307" s="536"/>
      <c r="N307" s="536"/>
      <c r="O307" s="536"/>
      <c r="P307" s="536">
        <f t="shared" si="101"/>
        <v>0</v>
      </c>
      <c r="Q307" s="536"/>
      <c r="R307" s="536"/>
      <c r="S307" s="536"/>
      <c r="T307" s="536">
        <f t="shared" si="102"/>
        <v>0</v>
      </c>
      <c r="U307" s="536"/>
      <c r="V307" s="536"/>
      <c r="W307" s="536"/>
      <c r="X307" s="536">
        <f t="shared" si="103"/>
        <v>0</v>
      </c>
      <c r="Y307" s="536"/>
      <c r="Z307" s="536"/>
      <c r="AA307" s="536"/>
      <c r="AB307" s="536">
        <f t="shared" si="104"/>
        <v>0</v>
      </c>
      <c r="AC307" s="536"/>
      <c r="AD307" s="536"/>
      <c r="AE307" s="536"/>
      <c r="AF307" s="536">
        <f t="shared" si="105"/>
        <v>0</v>
      </c>
      <c r="AG307" s="536"/>
      <c r="AH307" s="536"/>
      <c r="AI307" s="536"/>
      <c r="AJ307" s="536">
        <f t="shared" si="106"/>
        <v>0</v>
      </c>
      <c r="AK307" s="536"/>
      <c r="AL307" s="536"/>
      <c r="AM307" s="536"/>
      <c r="AN307" s="542">
        <f t="shared" si="107"/>
        <v>0</v>
      </c>
      <c r="AO307" s="536"/>
      <c r="AP307" s="536"/>
      <c r="AQ307" s="536"/>
      <c r="AR307" s="542">
        <f t="shared" si="108"/>
        <v>0</v>
      </c>
      <c r="AS307" s="536"/>
      <c r="AT307" s="536"/>
      <c r="AU307" s="536"/>
      <c r="AV307" s="542">
        <f t="shared" si="109"/>
        <v>0</v>
      </c>
      <c r="AW307" s="536"/>
      <c r="AX307" s="536"/>
      <c r="AY307" s="536"/>
      <c r="AZ307" s="542">
        <f t="shared" si="110"/>
        <v>0</v>
      </c>
      <c r="BA307" s="536"/>
      <c r="BB307" s="536"/>
      <c r="BC307" s="536"/>
      <c r="BD307" s="542">
        <f t="shared" si="111"/>
        <v>0</v>
      </c>
      <c r="BE307" s="536"/>
      <c r="BF307" s="536"/>
      <c r="BG307" s="536"/>
      <c r="BH307" s="542">
        <f t="shared" si="112"/>
        <v>0</v>
      </c>
      <c r="BI307" s="536"/>
      <c r="BJ307" s="536"/>
      <c r="BK307" s="536"/>
      <c r="BL307" s="542">
        <f t="shared" si="113"/>
        <v>0</v>
      </c>
      <c r="BM307" s="536"/>
      <c r="BN307" s="536"/>
      <c r="BO307" s="536"/>
      <c r="BP307" s="542">
        <f t="shared" si="114"/>
        <v>0</v>
      </c>
      <c r="BQ307" s="536"/>
      <c r="BR307" s="536"/>
      <c r="BS307" s="536"/>
      <c r="BT307" s="542">
        <f t="shared" si="115"/>
        <v>0</v>
      </c>
      <c r="BU307" s="536"/>
      <c r="BV307" s="536"/>
      <c r="BW307" s="536"/>
      <c r="BX307" s="542">
        <f t="shared" si="116"/>
        <v>0</v>
      </c>
      <c r="BY307" s="536"/>
      <c r="BZ307" s="536"/>
      <c r="CA307" s="536"/>
      <c r="CB307" s="542">
        <v>0</v>
      </c>
      <c r="CC307" s="536"/>
      <c r="CD307" s="536"/>
      <c r="CE307" s="536"/>
      <c r="CF307" s="541">
        <f t="shared" si="117"/>
        <v>0</v>
      </c>
      <c r="CG307" s="536"/>
      <c r="CH307" s="536"/>
      <c r="CI307" s="536"/>
      <c r="CJ307" s="541">
        <f t="shared" si="118"/>
        <v>0</v>
      </c>
      <c r="CK307" s="536"/>
      <c r="CL307" s="536"/>
      <c r="CM307" s="536"/>
      <c r="CN307" s="541">
        <f t="shared" si="119"/>
        <v>0</v>
      </c>
      <c r="CO307" s="536"/>
      <c r="CP307" s="536"/>
      <c r="CQ307" s="536"/>
      <c r="CR307" s="541">
        <f t="shared" si="120"/>
        <v>0</v>
      </c>
      <c r="CS307" s="536"/>
      <c r="CT307" s="536"/>
      <c r="CU307" s="536"/>
      <c r="CV307" s="541">
        <f t="shared" si="121"/>
        <v>0</v>
      </c>
      <c r="CW307" s="536"/>
      <c r="CX307" s="536"/>
      <c r="CY307" s="536"/>
      <c r="CZ307" s="541">
        <f t="shared" si="122"/>
        <v>0</v>
      </c>
      <c r="DA307" s="536"/>
      <c r="DB307" s="536"/>
      <c r="DC307" s="536"/>
      <c r="DD307" s="541">
        <f t="shared" si="123"/>
        <v>0</v>
      </c>
      <c r="DE307" s="536"/>
      <c r="DF307" s="536"/>
      <c r="DG307" s="536"/>
      <c r="DH307" s="541">
        <f t="shared" si="124"/>
        <v>0</v>
      </c>
      <c r="DI307" s="536"/>
      <c r="DJ307" s="536"/>
      <c r="DK307" s="536"/>
      <c r="DL307" s="541">
        <f t="shared" si="125"/>
        <v>0</v>
      </c>
      <c r="DM307" s="536"/>
      <c r="DN307" s="536"/>
      <c r="DO307" s="536"/>
      <c r="DP307" s="541">
        <f>IF( SUM((DJ307*(20/100))+(DK307*(30/100))+(DL307*(50/100))) &gt;=9.3,9.5,
IF(AND( SUM((DJ307*(20/100))+(DK307*(30/100))+(DL307*(50/100))) &lt;=9.3, SUM((DJ307*(20/100))+(DK307*(30/100))+(DL307*(50/100))) &gt;=8.8),9,
IF(AND( SUM((DJ307*(20/100))+(DK307*(30/100))+(DL307*(50/100))) &lt;=8.8, SUM((DJ307*(20/100))+(DK307*(30/100))+(DL307*(50/100))) &gt;=8.3),8.5,
IF(AND( SUM((DJ307*(20/100))+(DK307*(30/100))+(DL307*(50/100))) &lt;=8.3, SUM((DJ307*(20/100))+(DK307*(30/100))+(DL307*(50/100))) &gt;=7.8),8,
IF(AND( SUM((DJ307*(20/100))+(DK307*(30/100))+(DL307*(50/100))) &lt;=7.8, SUM((DJ307*(20/100))+(DK307*(30/100))+(DL307*(50/100))) &gt;=7.3),7.5,
IF(AND( SUM((DJ307*(20/100))+(DK307*(30/100))+(DL307*(50/100))) &lt;=7.3, SUM((DJ307*(20/100))+(DK307*(30/100))+(DL307*(50/100))) &gt;=6.8),7,
IF(AND( SUM((DJ307*(20/100))+(DK307*(30/100))+(DL307*(50/100))) &lt;=6.8, SUM((DJ307*(20/100))+(DK307*(30/100))+(DL307*(50/100))) &gt;=6.3),6.5,
IF(AND( SUM((DJ307*(20/100))+(DK307*(30/100))+(DL307*(50/100))) &lt;=6.3, SUM((DJ307*(20/100))+(DK307*(30/100))+(DL307*(50/100))) &gt;=5.8),6,
IF(AND( SUM((DJ307*(20/100))+(DK307*(30/100))+(DL307*(50/100))) &lt;=5.8, SUM((DJ307*(20/100))+(DK307*(30/100))+(DL307*(50/100))) &gt;=5.3),5.5,
IF(AND( SUM((DJ307*(20/100))+(DK307*(30/100))+(DL307*(50/100))) &lt;=5.3, SUM((DJ307*(20/100))+(DK307*(30/100))+(DL307*(50/100))) &gt;=4.8),5,
IF(AND( SUM((DJ307*(20/100))+(DK307*(30/100))+(DL307*(50/100))) &lt;=4.8, SUM((DJ307*(20/100))+(DK307*(30/100))+(DL307*(50/100))) &gt;=4.3),4.5,
IF(AND( SUM((DJ307*(20/100))+(DK307*(30/100))+(DL307*(50/100))) &lt;=4.3, SUM((DJ307*(20/100))+(DK307*(30/100))+(DL307*(50/100))) &gt;=3.8),4,
IF(AND( SUM((DJ307*(20/100))+(DK307*(30/100))+(DL307*(50/100))) &lt;=3.8, SUM((DJ307*(20/100))+(DK307*(30/100))+(DL307*(50/100))) &gt;=3.5),3.5,0)))))))))))))</f>
        <v>0</v>
      </c>
      <c r="DQ307" s="541"/>
      <c r="DR307" s="541"/>
      <c r="DS307" s="541"/>
      <c r="DT307" s="541"/>
      <c r="DU307" s="541"/>
      <c r="DV307" s="541"/>
      <c r="DW307" s="541"/>
      <c r="DX307" s="541"/>
      <c r="DY307" s="541"/>
      <c r="DZ307" s="541"/>
    </row>
    <row r="308" spans="2:130" x14ac:dyDescent="0.25">
      <c r="B308" s="334">
        <v>1</v>
      </c>
      <c r="C308" s="541"/>
      <c r="D308" s="334"/>
      <c r="E308" s="334"/>
      <c r="F308" s="334"/>
      <c r="G308" s="334"/>
      <c r="H308" s="334"/>
      <c r="I308" s="334"/>
      <c r="J308" s="536"/>
      <c r="K308" s="536"/>
      <c r="L308" s="536"/>
      <c r="M308" s="536"/>
      <c r="N308" s="536"/>
      <c r="O308" s="536"/>
      <c r="P308" s="536">
        <f t="shared" si="101"/>
        <v>0</v>
      </c>
      <c r="Q308" s="536"/>
      <c r="R308" s="536"/>
      <c r="S308" s="536"/>
      <c r="T308" s="536">
        <f t="shared" si="102"/>
        <v>0</v>
      </c>
      <c r="U308" s="536"/>
      <c r="V308" s="536"/>
      <c r="W308" s="536"/>
      <c r="X308" s="536">
        <f t="shared" si="103"/>
        <v>0</v>
      </c>
      <c r="Y308" s="536"/>
      <c r="Z308" s="536"/>
      <c r="AA308" s="536"/>
      <c r="AB308" s="536">
        <f t="shared" si="104"/>
        <v>0</v>
      </c>
      <c r="AC308" s="536"/>
      <c r="AD308" s="536"/>
      <c r="AE308" s="536"/>
      <c r="AF308" s="536">
        <f t="shared" si="105"/>
        <v>0</v>
      </c>
      <c r="AG308" s="536"/>
      <c r="AH308" s="536"/>
      <c r="AI308" s="536"/>
      <c r="AJ308" s="536">
        <f t="shared" si="106"/>
        <v>0</v>
      </c>
      <c r="AK308" s="536"/>
      <c r="AL308" s="536"/>
      <c r="AM308" s="536"/>
      <c r="AN308" s="542">
        <f t="shared" si="107"/>
        <v>0</v>
      </c>
      <c r="AO308" s="536"/>
      <c r="AP308" s="536"/>
      <c r="AQ308" s="536"/>
      <c r="AR308" s="542">
        <f t="shared" si="108"/>
        <v>0</v>
      </c>
      <c r="AS308" s="536"/>
      <c r="AT308" s="536"/>
      <c r="AU308" s="536"/>
      <c r="AV308" s="542">
        <f t="shared" si="109"/>
        <v>0</v>
      </c>
      <c r="AW308" s="536"/>
      <c r="AX308" s="536"/>
      <c r="AY308" s="536"/>
      <c r="AZ308" s="542">
        <f t="shared" si="110"/>
        <v>0</v>
      </c>
      <c r="BA308" s="536"/>
      <c r="BB308" s="536"/>
      <c r="BC308" s="536"/>
      <c r="BD308" s="542">
        <f t="shared" si="111"/>
        <v>0</v>
      </c>
      <c r="BE308" s="536"/>
      <c r="BF308" s="536"/>
      <c r="BG308" s="536"/>
      <c r="BH308" s="542">
        <f t="shared" si="112"/>
        <v>0</v>
      </c>
      <c r="BI308" s="536"/>
      <c r="BJ308" s="536"/>
      <c r="BK308" s="536"/>
      <c r="BL308" s="542">
        <f t="shared" si="113"/>
        <v>0</v>
      </c>
      <c r="BM308" s="536"/>
      <c r="BN308" s="536"/>
      <c r="BO308" s="536"/>
      <c r="BP308" s="542">
        <f t="shared" si="114"/>
        <v>0</v>
      </c>
      <c r="BQ308" s="536"/>
      <c r="BR308" s="536"/>
      <c r="BS308" s="536"/>
      <c r="BT308" s="542">
        <f t="shared" si="115"/>
        <v>0</v>
      </c>
      <c r="BU308" s="536"/>
      <c r="BV308" s="536"/>
      <c r="BW308" s="536"/>
      <c r="BX308" s="542">
        <f t="shared" si="116"/>
        <v>0</v>
      </c>
      <c r="BY308" s="536"/>
      <c r="BZ308" s="536"/>
      <c r="CA308" s="536"/>
      <c r="CB308" s="542">
        <v>0</v>
      </c>
      <c r="CC308" s="536"/>
      <c r="CD308" s="536"/>
      <c r="CE308" s="536"/>
      <c r="CF308" s="541">
        <f t="shared" si="117"/>
        <v>0</v>
      </c>
      <c r="CG308" s="536"/>
      <c r="CH308" s="536"/>
      <c r="CI308" s="536"/>
      <c r="CJ308" s="541">
        <f t="shared" si="118"/>
        <v>0</v>
      </c>
      <c r="CK308" s="536"/>
      <c r="CL308" s="536"/>
      <c r="CM308" s="536"/>
      <c r="CN308" s="541">
        <f t="shared" si="119"/>
        <v>0</v>
      </c>
      <c r="CO308" s="536"/>
      <c r="CP308" s="536"/>
      <c r="CQ308" s="536"/>
      <c r="CR308" s="541">
        <f t="shared" si="120"/>
        <v>0</v>
      </c>
      <c r="CS308" s="536"/>
      <c r="CT308" s="536"/>
      <c r="CU308" s="536"/>
      <c r="CV308" s="541">
        <f t="shared" si="121"/>
        <v>0</v>
      </c>
      <c r="CW308" s="536"/>
      <c r="CX308" s="536"/>
      <c r="CY308" s="536"/>
      <c r="CZ308" s="541">
        <f t="shared" si="122"/>
        <v>0</v>
      </c>
      <c r="DA308" s="536"/>
      <c r="DB308" s="536"/>
      <c r="DC308" s="536"/>
      <c r="DD308" s="541">
        <f t="shared" si="123"/>
        <v>0</v>
      </c>
      <c r="DE308" s="536"/>
      <c r="DF308" s="536"/>
      <c r="DG308" s="536"/>
      <c r="DH308" s="541">
        <f t="shared" si="124"/>
        <v>0</v>
      </c>
      <c r="DI308" s="536"/>
      <c r="DJ308" s="536"/>
      <c r="DK308" s="536"/>
      <c r="DL308" s="541">
        <f t="shared" si="125"/>
        <v>0</v>
      </c>
      <c r="DM308" s="536"/>
      <c r="DN308" s="536"/>
      <c r="DO308" s="536"/>
      <c r="DP308" s="541">
        <f>IF( SUM((DJ308*(20/100))+(DK308*(30/100))+(DL308*(50/100))) &gt;=9.3,9.5,
IF(AND( SUM((DJ308*(20/100))+(DK308*(30/100))+(DL308*(50/100))) &lt;=9.3, SUM((DJ308*(20/100))+(DK308*(30/100))+(DL308*(50/100))) &gt;=8.8),9,
IF(AND( SUM((DJ308*(20/100))+(DK308*(30/100))+(DL308*(50/100))) &lt;=8.8, SUM((DJ308*(20/100))+(DK308*(30/100))+(DL308*(50/100))) &gt;=8.3),8.5,
IF(AND( SUM((DJ308*(20/100))+(DK308*(30/100))+(DL308*(50/100))) &lt;=8.3, SUM((DJ308*(20/100))+(DK308*(30/100))+(DL308*(50/100))) &gt;=7.8),8,
IF(AND( SUM((DJ308*(20/100))+(DK308*(30/100))+(DL308*(50/100))) &lt;=7.8, SUM((DJ308*(20/100))+(DK308*(30/100))+(DL308*(50/100))) &gt;=7.3),7.5,
IF(AND( SUM((DJ308*(20/100))+(DK308*(30/100))+(DL308*(50/100))) &lt;=7.3, SUM((DJ308*(20/100))+(DK308*(30/100))+(DL308*(50/100))) &gt;=6.8),7,
IF(AND( SUM((DJ308*(20/100))+(DK308*(30/100))+(DL308*(50/100))) &lt;=6.8, SUM((DJ308*(20/100))+(DK308*(30/100))+(DL308*(50/100))) &gt;=6.3),6.5,
IF(AND( SUM((DJ308*(20/100))+(DK308*(30/100))+(DL308*(50/100))) &lt;=6.3, SUM((DJ308*(20/100))+(DK308*(30/100))+(DL308*(50/100))) &gt;=5.8),6,
IF(AND( SUM((DJ308*(20/100))+(DK308*(30/100))+(DL308*(50/100))) &lt;=5.8, SUM((DJ308*(20/100))+(DK308*(30/100))+(DL308*(50/100))) &gt;=5.3),5.5,
IF(AND( SUM((DJ308*(20/100))+(DK308*(30/100))+(DL308*(50/100))) &lt;=5.3, SUM((DJ308*(20/100))+(DK308*(30/100))+(DL308*(50/100))) &gt;=4.8),5,
IF(AND( SUM((DJ308*(20/100))+(DK308*(30/100))+(DL308*(50/100))) &lt;=4.8, SUM((DJ308*(20/100))+(DK308*(30/100))+(DL308*(50/100))) &gt;=4.3),4.5,
IF(AND( SUM((DJ308*(20/100))+(DK308*(30/100))+(DL308*(50/100))) &lt;=4.3, SUM((DJ308*(20/100))+(DK308*(30/100))+(DL308*(50/100))) &gt;=3.8),4,
IF(AND( SUM((DJ308*(20/100))+(DK308*(30/100))+(DL308*(50/100))) &lt;=3.8, SUM((DJ308*(20/100))+(DK308*(30/100))+(DL308*(50/100))) &gt;=3.5),3.5,0)))))))))))))</f>
        <v>0</v>
      </c>
      <c r="DQ308" s="541"/>
      <c r="DR308" s="541"/>
      <c r="DS308" s="541"/>
      <c r="DT308" s="541"/>
      <c r="DU308" s="541"/>
      <c r="DV308" s="541"/>
      <c r="DW308" s="541"/>
      <c r="DX308" s="541"/>
      <c r="DY308" s="541"/>
      <c r="DZ308" s="541"/>
    </row>
    <row r="309" spans="2:130" x14ac:dyDescent="0.25">
      <c r="B309" s="334">
        <v>2</v>
      </c>
      <c r="C309" s="541"/>
      <c r="D309" s="334"/>
      <c r="E309" s="334"/>
      <c r="F309" s="334"/>
      <c r="G309" s="334"/>
      <c r="H309" s="334"/>
      <c r="I309" s="334"/>
      <c r="J309" s="536"/>
      <c r="K309" s="536"/>
      <c r="L309" s="536"/>
      <c r="M309" s="536"/>
      <c r="N309" s="536"/>
      <c r="O309" s="536"/>
      <c r="P309" s="536">
        <f t="shared" si="101"/>
        <v>0</v>
      </c>
      <c r="Q309" s="536"/>
      <c r="R309" s="536"/>
      <c r="S309" s="536"/>
      <c r="T309" s="536">
        <f t="shared" si="102"/>
        <v>0</v>
      </c>
      <c r="U309" s="536"/>
      <c r="V309" s="536"/>
      <c r="W309" s="536"/>
      <c r="X309" s="536">
        <f t="shared" si="103"/>
        <v>0</v>
      </c>
      <c r="Y309" s="536"/>
      <c r="Z309" s="536"/>
      <c r="AA309" s="536"/>
      <c r="AB309" s="536">
        <f t="shared" si="104"/>
        <v>0</v>
      </c>
      <c r="AC309" s="536"/>
      <c r="AD309" s="536"/>
      <c r="AE309" s="536"/>
      <c r="AF309" s="536">
        <f t="shared" si="105"/>
        <v>0</v>
      </c>
      <c r="AG309" s="536"/>
      <c r="AH309" s="536"/>
      <c r="AI309" s="536"/>
      <c r="AJ309" s="536">
        <f t="shared" si="106"/>
        <v>0</v>
      </c>
      <c r="AK309" s="536"/>
      <c r="AL309" s="536"/>
      <c r="AM309" s="536"/>
      <c r="AN309" s="542">
        <f t="shared" si="107"/>
        <v>0</v>
      </c>
      <c r="AO309" s="536"/>
      <c r="AP309" s="536"/>
      <c r="AQ309" s="536"/>
      <c r="AR309" s="542">
        <f t="shared" si="108"/>
        <v>0</v>
      </c>
      <c r="AS309" s="536"/>
      <c r="AT309" s="536"/>
      <c r="AU309" s="536"/>
      <c r="AV309" s="542">
        <f t="shared" si="109"/>
        <v>0</v>
      </c>
      <c r="AW309" s="536"/>
      <c r="AX309" s="536"/>
      <c r="AY309" s="536"/>
      <c r="AZ309" s="542">
        <f t="shared" si="110"/>
        <v>0</v>
      </c>
      <c r="BA309" s="536"/>
      <c r="BB309" s="536"/>
      <c r="BC309" s="536"/>
      <c r="BD309" s="542">
        <f t="shared" si="111"/>
        <v>0</v>
      </c>
      <c r="BE309" s="536"/>
      <c r="BF309" s="536"/>
      <c r="BG309" s="536"/>
      <c r="BH309" s="542">
        <f t="shared" si="112"/>
        <v>0</v>
      </c>
      <c r="BI309" s="536"/>
      <c r="BJ309" s="536"/>
      <c r="BK309" s="536"/>
      <c r="BL309" s="542">
        <f t="shared" si="113"/>
        <v>0</v>
      </c>
      <c r="BM309" s="536"/>
      <c r="BN309" s="536"/>
      <c r="BO309" s="536"/>
      <c r="BP309" s="542">
        <f t="shared" si="114"/>
        <v>0</v>
      </c>
      <c r="BQ309" s="536"/>
      <c r="BR309" s="536"/>
      <c r="BS309" s="536"/>
      <c r="BT309" s="542">
        <f t="shared" si="115"/>
        <v>0</v>
      </c>
      <c r="BU309" s="536"/>
      <c r="BV309" s="536"/>
      <c r="BW309" s="536"/>
      <c r="BX309" s="542">
        <f t="shared" si="116"/>
        <v>0</v>
      </c>
      <c r="BY309" s="536"/>
      <c r="BZ309" s="536"/>
      <c r="CA309" s="536"/>
      <c r="CB309" s="542">
        <v>0</v>
      </c>
      <c r="CC309" s="536"/>
      <c r="CD309" s="536"/>
      <c r="CE309" s="536"/>
      <c r="CF309" s="541">
        <f t="shared" si="117"/>
        <v>0</v>
      </c>
      <c r="CG309" s="536"/>
      <c r="CH309" s="536"/>
      <c r="CI309" s="536"/>
      <c r="CJ309" s="541">
        <f t="shared" si="118"/>
        <v>0</v>
      </c>
      <c r="CK309" s="536"/>
      <c r="CL309" s="536"/>
      <c r="CM309" s="536"/>
      <c r="CN309" s="541">
        <f t="shared" si="119"/>
        <v>0</v>
      </c>
      <c r="CO309" s="536"/>
      <c r="CP309" s="536"/>
      <c r="CQ309" s="536"/>
      <c r="CR309" s="541">
        <f t="shared" si="120"/>
        <v>0</v>
      </c>
      <c r="CS309" s="536"/>
      <c r="CT309" s="536"/>
      <c r="CU309" s="536"/>
      <c r="CV309" s="541">
        <f t="shared" si="121"/>
        <v>0</v>
      </c>
      <c r="CW309" s="536"/>
      <c r="CX309" s="536"/>
      <c r="CY309" s="536"/>
      <c r="CZ309" s="541">
        <f t="shared" si="122"/>
        <v>0</v>
      </c>
      <c r="DA309" s="536"/>
      <c r="DB309" s="536"/>
      <c r="DC309" s="536"/>
      <c r="DD309" s="541">
        <f t="shared" si="123"/>
        <v>0</v>
      </c>
      <c r="DE309" s="536"/>
      <c r="DF309" s="536"/>
      <c r="DG309" s="536"/>
      <c r="DH309" s="541">
        <f t="shared" si="124"/>
        <v>0</v>
      </c>
      <c r="DI309" s="536"/>
      <c r="DJ309" s="536"/>
      <c r="DK309" s="536"/>
      <c r="DL309" s="541">
        <f t="shared" si="125"/>
        <v>0</v>
      </c>
      <c r="DM309" s="536"/>
      <c r="DN309" s="536"/>
      <c r="DO309" s="536"/>
      <c r="DP309" s="541">
        <f>IF( SUM((DJ309*(20/100))+(DK309*(30/100))+(DL309*(50/100))) &gt;=9.3,9.5,
IF(AND( SUM((DJ309*(20/100))+(DK309*(30/100))+(DL309*(50/100))) &lt;=9.3, SUM((DJ309*(20/100))+(DK309*(30/100))+(DL309*(50/100))) &gt;=8.8),9,
IF(AND( SUM((DJ309*(20/100))+(DK309*(30/100))+(DL309*(50/100))) &lt;=8.8, SUM((DJ309*(20/100))+(DK309*(30/100))+(DL309*(50/100))) &gt;=8.3),8.5,
IF(AND( SUM((DJ309*(20/100))+(DK309*(30/100))+(DL309*(50/100))) &lt;=8.3, SUM((DJ309*(20/100))+(DK309*(30/100))+(DL309*(50/100))) &gt;=7.8),8,
IF(AND( SUM((DJ309*(20/100))+(DK309*(30/100))+(DL309*(50/100))) &lt;=7.8, SUM((DJ309*(20/100))+(DK309*(30/100))+(DL309*(50/100))) &gt;=7.3),7.5,
IF(AND( SUM((DJ309*(20/100))+(DK309*(30/100))+(DL309*(50/100))) &lt;=7.3, SUM((DJ309*(20/100))+(DK309*(30/100))+(DL309*(50/100))) &gt;=6.8),7,
IF(AND( SUM((DJ309*(20/100))+(DK309*(30/100))+(DL309*(50/100))) &lt;=6.8, SUM((DJ309*(20/100))+(DK309*(30/100))+(DL309*(50/100))) &gt;=6.3),6.5,
IF(AND( SUM((DJ309*(20/100))+(DK309*(30/100))+(DL309*(50/100))) &lt;=6.3, SUM((DJ309*(20/100))+(DK309*(30/100))+(DL309*(50/100))) &gt;=5.8),6,
IF(AND( SUM((DJ309*(20/100))+(DK309*(30/100))+(DL309*(50/100))) &lt;=5.8, SUM((DJ309*(20/100))+(DK309*(30/100))+(DL309*(50/100))) &gt;=5.3),5.5,
IF(AND( SUM((DJ309*(20/100))+(DK309*(30/100))+(DL309*(50/100))) &lt;=5.3, SUM((DJ309*(20/100))+(DK309*(30/100))+(DL309*(50/100))) &gt;=4.8),5,
IF(AND( SUM((DJ309*(20/100))+(DK309*(30/100))+(DL309*(50/100))) &lt;=4.8, SUM((DJ309*(20/100))+(DK309*(30/100))+(DL309*(50/100))) &gt;=4.3),4.5,
IF(AND( SUM((DJ309*(20/100))+(DK309*(30/100))+(DL309*(50/100))) &lt;=4.3, SUM((DJ309*(20/100))+(DK309*(30/100))+(DL309*(50/100))) &gt;=3.8),4,
IF(AND( SUM((DJ309*(20/100))+(DK309*(30/100))+(DL309*(50/100))) &lt;=3.8, SUM((DJ309*(20/100))+(DK309*(30/100))+(DL309*(50/100))) &gt;=3.5),3.5,0)))))))))))))</f>
        <v>0</v>
      </c>
      <c r="DQ309" s="541"/>
      <c r="DR309" s="541"/>
      <c r="DS309" s="541"/>
      <c r="DT309" s="541"/>
      <c r="DU309" s="541"/>
      <c r="DV309" s="541"/>
      <c r="DW309" s="541"/>
      <c r="DX309" s="541"/>
      <c r="DY309" s="541"/>
      <c r="DZ309" s="541"/>
    </row>
    <row r="310" spans="2:130" x14ac:dyDescent="0.25">
      <c r="B310" s="334">
        <v>3</v>
      </c>
      <c r="C310" s="541"/>
      <c r="D310" s="334"/>
      <c r="E310" s="334"/>
      <c r="F310" s="334"/>
      <c r="G310" s="334"/>
      <c r="H310" s="334"/>
      <c r="I310" s="334"/>
      <c r="J310" s="536"/>
      <c r="K310" s="536"/>
      <c r="L310" s="536"/>
      <c r="M310" s="536"/>
      <c r="N310" s="536"/>
      <c r="O310" s="536"/>
      <c r="P310" s="536">
        <f t="shared" si="101"/>
        <v>0</v>
      </c>
      <c r="Q310" s="536"/>
      <c r="R310" s="536"/>
      <c r="S310" s="536"/>
      <c r="T310" s="536">
        <f t="shared" si="102"/>
        <v>0</v>
      </c>
      <c r="U310" s="536"/>
      <c r="V310" s="536"/>
      <c r="W310" s="536"/>
      <c r="X310" s="536">
        <f t="shared" si="103"/>
        <v>0</v>
      </c>
      <c r="Y310" s="536"/>
      <c r="Z310" s="536"/>
      <c r="AA310" s="536"/>
      <c r="AB310" s="536">
        <f t="shared" si="104"/>
        <v>0</v>
      </c>
      <c r="AC310" s="536"/>
      <c r="AD310" s="536"/>
      <c r="AE310" s="536"/>
      <c r="AF310" s="536">
        <f t="shared" si="105"/>
        <v>0</v>
      </c>
      <c r="AG310" s="536"/>
      <c r="AH310" s="536"/>
      <c r="AI310" s="536"/>
      <c r="AJ310" s="536">
        <f t="shared" si="106"/>
        <v>0</v>
      </c>
      <c r="AK310" s="536"/>
      <c r="AL310" s="536"/>
      <c r="AM310" s="536"/>
      <c r="AN310" s="542">
        <f t="shared" si="107"/>
        <v>0</v>
      </c>
      <c r="AO310" s="536"/>
      <c r="AP310" s="536"/>
      <c r="AQ310" s="536"/>
      <c r="AR310" s="542">
        <f t="shared" si="108"/>
        <v>0</v>
      </c>
      <c r="AS310" s="536"/>
      <c r="AT310" s="536"/>
      <c r="AU310" s="536"/>
      <c r="AV310" s="542">
        <f t="shared" si="109"/>
        <v>0</v>
      </c>
      <c r="AW310" s="536"/>
      <c r="AX310" s="536"/>
      <c r="AY310" s="536"/>
      <c r="AZ310" s="542">
        <f t="shared" si="110"/>
        <v>0</v>
      </c>
      <c r="BA310" s="536"/>
      <c r="BB310" s="536"/>
      <c r="BC310" s="536"/>
      <c r="BD310" s="542">
        <f t="shared" si="111"/>
        <v>0</v>
      </c>
      <c r="BE310" s="536"/>
      <c r="BF310" s="536"/>
      <c r="BG310" s="536"/>
      <c r="BH310" s="542">
        <f t="shared" si="112"/>
        <v>0</v>
      </c>
      <c r="BI310" s="536"/>
      <c r="BJ310" s="536"/>
      <c r="BK310" s="536"/>
      <c r="BL310" s="542">
        <f t="shared" si="113"/>
        <v>0</v>
      </c>
      <c r="BM310" s="536"/>
      <c r="BN310" s="536"/>
      <c r="BO310" s="536"/>
      <c r="BP310" s="542">
        <f t="shared" si="114"/>
        <v>0</v>
      </c>
      <c r="BQ310" s="536"/>
      <c r="BR310" s="536"/>
      <c r="BS310" s="536"/>
      <c r="BT310" s="542">
        <f t="shared" si="115"/>
        <v>0</v>
      </c>
      <c r="BU310" s="536"/>
      <c r="BV310" s="536"/>
      <c r="BW310" s="536"/>
      <c r="BX310" s="542">
        <f t="shared" si="116"/>
        <v>0</v>
      </c>
      <c r="BY310" s="536"/>
      <c r="BZ310" s="536"/>
      <c r="CA310" s="536"/>
      <c r="CB310" s="542">
        <v>0</v>
      </c>
      <c r="CC310" s="536"/>
      <c r="CD310" s="536"/>
      <c r="CE310" s="536"/>
      <c r="CF310" s="541">
        <f t="shared" si="117"/>
        <v>0</v>
      </c>
      <c r="CG310" s="536"/>
      <c r="CH310" s="536"/>
      <c r="CI310" s="536"/>
      <c r="CJ310" s="541">
        <f t="shared" si="118"/>
        <v>0</v>
      </c>
      <c r="CK310" s="536"/>
      <c r="CL310" s="536"/>
      <c r="CM310" s="536"/>
      <c r="CN310" s="541">
        <f t="shared" si="119"/>
        <v>0</v>
      </c>
      <c r="CO310" s="536"/>
      <c r="CP310" s="536"/>
      <c r="CQ310" s="536"/>
      <c r="CR310" s="541">
        <f t="shared" si="120"/>
        <v>0</v>
      </c>
      <c r="CS310" s="536"/>
      <c r="CT310" s="536"/>
      <c r="CU310" s="536"/>
      <c r="CV310" s="541">
        <f t="shared" si="121"/>
        <v>0</v>
      </c>
      <c r="CW310" s="536"/>
      <c r="CX310" s="536"/>
      <c r="CY310" s="536"/>
      <c r="CZ310" s="541">
        <f t="shared" si="122"/>
        <v>0</v>
      </c>
      <c r="DA310" s="536"/>
      <c r="DB310" s="536"/>
      <c r="DC310" s="536"/>
      <c r="DD310" s="541">
        <f t="shared" si="123"/>
        <v>0</v>
      </c>
      <c r="DE310" s="536"/>
      <c r="DF310" s="536"/>
      <c r="DG310" s="536"/>
      <c r="DH310" s="541">
        <f t="shared" si="124"/>
        <v>0</v>
      </c>
      <c r="DI310" s="536"/>
      <c r="DJ310" s="536"/>
      <c r="DK310" s="536"/>
      <c r="DL310" s="541">
        <f t="shared" si="125"/>
        <v>0</v>
      </c>
      <c r="DM310" s="536"/>
      <c r="DN310" s="536"/>
      <c r="DO310" s="536"/>
      <c r="DP310" s="541">
        <f>IF( SUM((DJ310*(20/100))+(DK310*(30/100))+(DL310*(50/100))) &gt;=9.3,9.5,
IF(AND( SUM((DJ310*(20/100))+(DK310*(30/100))+(DL310*(50/100))) &lt;=9.3, SUM((DJ310*(20/100))+(DK310*(30/100))+(DL310*(50/100))) &gt;=8.8),9,
IF(AND( SUM((DJ310*(20/100))+(DK310*(30/100))+(DL310*(50/100))) &lt;=8.8, SUM((DJ310*(20/100))+(DK310*(30/100))+(DL310*(50/100))) &gt;=8.3),8.5,
IF(AND( SUM((DJ310*(20/100))+(DK310*(30/100))+(DL310*(50/100))) &lt;=8.3, SUM((DJ310*(20/100))+(DK310*(30/100))+(DL310*(50/100))) &gt;=7.8),8,
IF(AND( SUM((DJ310*(20/100))+(DK310*(30/100))+(DL310*(50/100))) &lt;=7.8, SUM((DJ310*(20/100))+(DK310*(30/100))+(DL310*(50/100))) &gt;=7.3),7.5,
IF(AND( SUM((DJ310*(20/100))+(DK310*(30/100))+(DL310*(50/100))) &lt;=7.3, SUM((DJ310*(20/100))+(DK310*(30/100))+(DL310*(50/100))) &gt;=6.8),7,
IF(AND( SUM((DJ310*(20/100))+(DK310*(30/100))+(DL310*(50/100))) &lt;=6.8, SUM((DJ310*(20/100))+(DK310*(30/100))+(DL310*(50/100))) &gt;=6.3),6.5,
IF(AND( SUM((DJ310*(20/100))+(DK310*(30/100))+(DL310*(50/100))) &lt;=6.3, SUM((DJ310*(20/100))+(DK310*(30/100))+(DL310*(50/100))) &gt;=5.8),6,
IF(AND( SUM((DJ310*(20/100))+(DK310*(30/100))+(DL310*(50/100))) &lt;=5.8, SUM((DJ310*(20/100))+(DK310*(30/100))+(DL310*(50/100))) &gt;=5.3),5.5,
IF(AND( SUM((DJ310*(20/100))+(DK310*(30/100))+(DL310*(50/100))) &lt;=5.3, SUM((DJ310*(20/100))+(DK310*(30/100))+(DL310*(50/100))) &gt;=4.8),5,
IF(AND( SUM((DJ310*(20/100))+(DK310*(30/100))+(DL310*(50/100))) &lt;=4.8, SUM((DJ310*(20/100))+(DK310*(30/100))+(DL310*(50/100))) &gt;=4.3),4.5,
IF(AND( SUM((DJ310*(20/100))+(DK310*(30/100))+(DL310*(50/100))) &lt;=4.3, SUM((DJ310*(20/100))+(DK310*(30/100))+(DL310*(50/100))) &gt;=3.8),4,
IF(AND( SUM((DJ310*(20/100))+(DK310*(30/100))+(DL310*(50/100))) &lt;=3.8, SUM((DJ310*(20/100))+(DK310*(30/100))+(DL310*(50/100))) &gt;=3.5),3.5,0)))))))))))))</f>
        <v>0</v>
      </c>
      <c r="DQ310" s="541"/>
      <c r="DR310" s="541"/>
      <c r="DS310" s="541"/>
      <c r="DT310" s="541"/>
      <c r="DU310" s="541"/>
      <c r="DV310" s="541"/>
      <c r="DW310" s="541"/>
      <c r="DX310" s="541"/>
      <c r="DY310" s="541"/>
      <c r="DZ310" s="541"/>
    </row>
    <row r="311" spans="2:130" x14ac:dyDescent="0.25">
      <c r="B311" s="334">
        <v>4</v>
      </c>
      <c r="C311" s="541"/>
      <c r="D311" s="334"/>
      <c r="E311" s="334"/>
      <c r="F311" s="334"/>
      <c r="G311" s="334"/>
      <c r="H311" s="334"/>
      <c r="I311" s="334"/>
      <c r="J311" s="536"/>
      <c r="K311" s="536"/>
      <c r="L311" s="536"/>
      <c r="M311" s="536"/>
      <c r="N311" s="536"/>
      <c r="O311" s="536"/>
      <c r="P311" s="536">
        <f t="shared" si="101"/>
        <v>0</v>
      </c>
      <c r="Q311" s="536"/>
      <c r="R311" s="536"/>
      <c r="S311" s="536"/>
      <c r="T311" s="536">
        <f t="shared" si="102"/>
        <v>0</v>
      </c>
      <c r="U311" s="536"/>
      <c r="V311" s="536"/>
      <c r="W311" s="536"/>
      <c r="X311" s="536">
        <f t="shared" si="103"/>
        <v>0</v>
      </c>
      <c r="Y311" s="536"/>
      <c r="Z311" s="536"/>
      <c r="AA311" s="536"/>
      <c r="AB311" s="536">
        <f t="shared" si="104"/>
        <v>0</v>
      </c>
      <c r="AC311" s="536"/>
      <c r="AD311" s="536"/>
      <c r="AE311" s="536"/>
      <c r="AF311" s="536">
        <f t="shared" si="105"/>
        <v>0</v>
      </c>
      <c r="AG311" s="536"/>
      <c r="AH311" s="536"/>
      <c r="AI311" s="536"/>
      <c r="AJ311" s="536">
        <f t="shared" si="106"/>
        <v>0</v>
      </c>
      <c r="AK311" s="536"/>
      <c r="AL311" s="536"/>
      <c r="AM311" s="536"/>
      <c r="AN311" s="542">
        <f t="shared" si="107"/>
        <v>0</v>
      </c>
      <c r="AO311" s="536"/>
      <c r="AP311" s="536"/>
      <c r="AQ311" s="536"/>
      <c r="AR311" s="542">
        <f t="shared" si="108"/>
        <v>0</v>
      </c>
      <c r="AS311" s="536"/>
      <c r="AT311" s="536"/>
      <c r="AU311" s="536"/>
      <c r="AV311" s="542">
        <f t="shared" si="109"/>
        <v>0</v>
      </c>
      <c r="AW311" s="536"/>
      <c r="AX311" s="536"/>
      <c r="AY311" s="536"/>
      <c r="AZ311" s="542">
        <f t="shared" si="110"/>
        <v>0</v>
      </c>
      <c r="BA311" s="536"/>
      <c r="BB311" s="536"/>
      <c r="BC311" s="536"/>
      <c r="BD311" s="542">
        <f t="shared" si="111"/>
        <v>0</v>
      </c>
      <c r="BE311" s="536"/>
      <c r="BF311" s="536"/>
      <c r="BG311" s="536"/>
      <c r="BH311" s="542">
        <f t="shared" si="112"/>
        <v>0</v>
      </c>
      <c r="BI311" s="536"/>
      <c r="BJ311" s="536"/>
      <c r="BK311" s="536"/>
      <c r="BL311" s="542">
        <f t="shared" si="113"/>
        <v>0</v>
      </c>
      <c r="BM311" s="536"/>
      <c r="BN311" s="536"/>
      <c r="BO311" s="536"/>
      <c r="BP311" s="542">
        <f t="shared" si="114"/>
        <v>0</v>
      </c>
      <c r="BQ311" s="536"/>
      <c r="BR311" s="536"/>
      <c r="BS311" s="536"/>
      <c r="BT311" s="542">
        <f t="shared" si="115"/>
        <v>0</v>
      </c>
      <c r="BU311" s="536"/>
      <c r="BV311" s="536"/>
      <c r="BW311" s="536"/>
      <c r="BX311" s="542">
        <f t="shared" si="116"/>
        <v>0</v>
      </c>
      <c r="BY311" s="536"/>
      <c r="BZ311" s="536"/>
      <c r="CA311" s="536"/>
      <c r="CB311" s="542">
        <v>0</v>
      </c>
      <c r="CC311" s="536"/>
      <c r="CD311" s="536"/>
      <c r="CE311" s="536"/>
      <c r="CF311" s="541">
        <f t="shared" si="117"/>
        <v>0</v>
      </c>
      <c r="CG311" s="536"/>
      <c r="CH311" s="536"/>
      <c r="CI311" s="536"/>
      <c r="CJ311" s="541">
        <f t="shared" si="118"/>
        <v>0</v>
      </c>
      <c r="CK311" s="536"/>
      <c r="CL311" s="536"/>
      <c r="CM311" s="536"/>
      <c r="CN311" s="541">
        <f t="shared" si="119"/>
        <v>0</v>
      </c>
      <c r="CO311" s="536"/>
      <c r="CP311" s="536"/>
      <c r="CQ311" s="536"/>
      <c r="CR311" s="541">
        <f t="shared" si="120"/>
        <v>0</v>
      </c>
      <c r="CS311" s="536"/>
      <c r="CT311" s="536"/>
      <c r="CU311" s="536"/>
      <c r="CV311" s="541">
        <f t="shared" si="121"/>
        <v>0</v>
      </c>
      <c r="CW311" s="536"/>
      <c r="CX311" s="536"/>
      <c r="CY311" s="536"/>
      <c r="CZ311" s="541">
        <f t="shared" si="122"/>
        <v>0</v>
      </c>
      <c r="DA311" s="536"/>
      <c r="DB311" s="536"/>
      <c r="DC311" s="536"/>
      <c r="DD311" s="541">
        <f t="shared" si="123"/>
        <v>0</v>
      </c>
      <c r="DE311" s="536"/>
      <c r="DF311" s="536"/>
      <c r="DG311" s="536"/>
      <c r="DH311" s="541">
        <f t="shared" si="124"/>
        <v>0</v>
      </c>
      <c r="DI311" s="536"/>
      <c r="DJ311" s="536"/>
      <c r="DK311" s="536"/>
      <c r="DL311" s="541">
        <f t="shared" si="125"/>
        <v>0</v>
      </c>
      <c r="DM311" s="536"/>
      <c r="DN311" s="536"/>
      <c r="DO311" s="536"/>
      <c r="DP311" s="541">
        <f>IF( SUM((DJ311*(20/100))+(DK311*(30/100))+(DL311*(50/100))) &gt;=9.3,9.5,
IF(AND( SUM((DJ311*(20/100))+(DK311*(30/100))+(DL311*(50/100))) &lt;=9.3, SUM((DJ311*(20/100))+(DK311*(30/100))+(DL311*(50/100))) &gt;=8.8),9,
IF(AND( SUM((DJ311*(20/100))+(DK311*(30/100))+(DL311*(50/100))) &lt;=8.8, SUM((DJ311*(20/100))+(DK311*(30/100))+(DL311*(50/100))) &gt;=8.3),8.5,
IF(AND( SUM((DJ311*(20/100))+(DK311*(30/100))+(DL311*(50/100))) &lt;=8.3, SUM((DJ311*(20/100))+(DK311*(30/100))+(DL311*(50/100))) &gt;=7.8),8,
IF(AND( SUM((DJ311*(20/100))+(DK311*(30/100))+(DL311*(50/100))) &lt;=7.8, SUM((DJ311*(20/100))+(DK311*(30/100))+(DL311*(50/100))) &gt;=7.3),7.5,
IF(AND( SUM((DJ311*(20/100))+(DK311*(30/100))+(DL311*(50/100))) &lt;=7.3, SUM((DJ311*(20/100))+(DK311*(30/100))+(DL311*(50/100))) &gt;=6.8),7,
IF(AND( SUM((DJ311*(20/100))+(DK311*(30/100))+(DL311*(50/100))) &lt;=6.8, SUM((DJ311*(20/100))+(DK311*(30/100))+(DL311*(50/100))) &gt;=6.3),6.5,
IF(AND( SUM((DJ311*(20/100))+(DK311*(30/100))+(DL311*(50/100))) &lt;=6.3, SUM((DJ311*(20/100))+(DK311*(30/100))+(DL311*(50/100))) &gt;=5.8),6,
IF(AND( SUM((DJ311*(20/100))+(DK311*(30/100))+(DL311*(50/100))) &lt;=5.8, SUM((DJ311*(20/100))+(DK311*(30/100))+(DL311*(50/100))) &gt;=5.3),5.5,
IF(AND( SUM((DJ311*(20/100))+(DK311*(30/100))+(DL311*(50/100))) &lt;=5.3, SUM((DJ311*(20/100))+(DK311*(30/100))+(DL311*(50/100))) &gt;=4.8),5,
IF(AND( SUM((DJ311*(20/100))+(DK311*(30/100))+(DL311*(50/100))) &lt;=4.8, SUM((DJ311*(20/100))+(DK311*(30/100))+(DL311*(50/100))) &gt;=4.3),4.5,
IF(AND( SUM((DJ311*(20/100))+(DK311*(30/100))+(DL311*(50/100))) &lt;=4.3, SUM((DJ311*(20/100))+(DK311*(30/100))+(DL311*(50/100))) &gt;=3.8),4,
IF(AND( SUM((DJ311*(20/100))+(DK311*(30/100))+(DL311*(50/100))) &lt;=3.8, SUM((DJ311*(20/100))+(DK311*(30/100))+(DL311*(50/100))) &gt;=3.5),3.5,0)))))))))))))</f>
        <v>0</v>
      </c>
      <c r="DQ311" s="541"/>
      <c r="DR311" s="541"/>
      <c r="DS311" s="541"/>
      <c r="DT311" s="541"/>
      <c r="DU311" s="541"/>
      <c r="DV311" s="541"/>
      <c r="DW311" s="541"/>
      <c r="DX311" s="541"/>
      <c r="DY311" s="541"/>
      <c r="DZ311" s="541"/>
    </row>
    <row r="312" spans="2:130" x14ac:dyDescent="0.25">
      <c r="B312" s="334">
        <v>5</v>
      </c>
      <c r="C312" s="541"/>
      <c r="D312" s="334"/>
      <c r="E312" s="334"/>
      <c r="F312" s="334"/>
      <c r="G312" s="334"/>
      <c r="H312" s="334"/>
      <c r="I312" s="334"/>
      <c r="J312" s="536"/>
      <c r="K312" s="536"/>
      <c r="L312" s="536"/>
      <c r="M312" s="536"/>
      <c r="N312" s="536"/>
      <c r="O312" s="536"/>
      <c r="P312" s="536">
        <f t="shared" si="101"/>
        <v>0</v>
      </c>
      <c r="Q312" s="536"/>
      <c r="R312" s="536"/>
      <c r="S312" s="536"/>
      <c r="T312" s="536">
        <f t="shared" si="102"/>
        <v>0</v>
      </c>
      <c r="U312" s="536"/>
      <c r="V312" s="536"/>
      <c r="W312" s="536"/>
      <c r="X312" s="536">
        <f t="shared" si="103"/>
        <v>0</v>
      </c>
      <c r="Y312" s="536"/>
      <c r="Z312" s="536"/>
      <c r="AA312" s="536"/>
      <c r="AB312" s="536">
        <f t="shared" si="104"/>
        <v>0</v>
      </c>
      <c r="AC312" s="536"/>
      <c r="AD312" s="536"/>
      <c r="AE312" s="536"/>
      <c r="AF312" s="536">
        <f t="shared" si="105"/>
        <v>0</v>
      </c>
      <c r="AG312" s="536"/>
      <c r="AH312" s="536"/>
      <c r="AI312" s="536"/>
      <c r="AJ312" s="536">
        <f t="shared" si="106"/>
        <v>0</v>
      </c>
      <c r="AK312" s="536"/>
      <c r="AL312" s="536"/>
      <c r="AM312" s="536"/>
      <c r="AN312" s="542">
        <f t="shared" si="107"/>
        <v>0</v>
      </c>
      <c r="AO312" s="536"/>
      <c r="AP312" s="536"/>
      <c r="AQ312" s="536"/>
      <c r="AR312" s="542">
        <f t="shared" si="108"/>
        <v>0</v>
      </c>
      <c r="AS312" s="536"/>
      <c r="AT312" s="536"/>
      <c r="AU312" s="536"/>
      <c r="AV312" s="542">
        <f t="shared" si="109"/>
        <v>0</v>
      </c>
      <c r="AW312" s="536"/>
      <c r="AX312" s="536"/>
      <c r="AY312" s="536"/>
      <c r="AZ312" s="542">
        <f t="shared" si="110"/>
        <v>0</v>
      </c>
      <c r="BA312" s="536"/>
      <c r="BB312" s="536"/>
      <c r="BC312" s="536"/>
      <c r="BD312" s="542">
        <f t="shared" si="111"/>
        <v>0</v>
      </c>
      <c r="BE312" s="536"/>
      <c r="BF312" s="536"/>
      <c r="BG312" s="536"/>
      <c r="BH312" s="542">
        <f t="shared" si="112"/>
        <v>0</v>
      </c>
      <c r="BI312" s="536"/>
      <c r="BJ312" s="536"/>
      <c r="BK312" s="536"/>
      <c r="BL312" s="542">
        <f t="shared" si="113"/>
        <v>0</v>
      </c>
      <c r="BM312" s="536"/>
      <c r="BN312" s="536"/>
      <c r="BO312" s="536"/>
      <c r="BP312" s="542">
        <f t="shared" si="114"/>
        <v>0</v>
      </c>
      <c r="BQ312" s="536"/>
      <c r="BR312" s="536"/>
      <c r="BS312" s="536"/>
      <c r="BT312" s="542">
        <f t="shared" si="115"/>
        <v>0</v>
      </c>
      <c r="BU312" s="536"/>
      <c r="BV312" s="536"/>
      <c r="BW312" s="536"/>
      <c r="BX312" s="542">
        <f t="shared" si="116"/>
        <v>0</v>
      </c>
      <c r="BY312" s="536"/>
      <c r="BZ312" s="536"/>
      <c r="CA312" s="536"/>
      <c r="CB312" s="542">
        <v>0</v>
      </c>
      <c r="CC312" s="536"/>
      <c r="CD312" s="536"/>
      <c r="CE312" s="536"/>
      <c r="CF312" s="541">
        <f t="shared" si="117"/>
        <v>0</v>
      </c>
      <c r="CG312" s="536"/>
      <c r="CH312" s="536"/>
      <c r="CI312" s="536"/>
      <c r="CJ312" s="541">
        <f t="shared" si="118"/>
        <v>0</v>
      </c>
      <c r="CK312" s="536"/>
      <c r="CL312" s="536"/>
      <c r="CM312" s="536"/>
      <c r="CN312" s="541">
        <f t="shared" si="119"/>
        <v>0</v>
      </c>
      <c r="CO312" s="536"/>
      <c r="CP312" s="536"/>
      <c r="CQ312" s="536"/>
      <c r="CR312" s="541">
        <f t="shared" si="120"/>
        <v>0</v>
      </c>
      <c r="CS312" s="536"/>
      <c r="CT312" s="536"/>
      <c r="CU312" s="536"/>
      <c r="CV312" s="541">
        <f t="shared" si="121"/>
        <v>0</v>
      </c>
      <c r="CW312" s="536"/>
      <c r="CX312" s="536"/>
      <c r="CY312" s="536"/>
      <c r="CZ312" s="541">
        <f t="shared" si="122"/>
        <v>0</v>
      </c>
      <c r="DA312" s="536"/>
      <c r="DB312" s="536"/>
      <c r="DC312" s="536"/>
      <c r="DD312" s="541">
        <f t="shared" si="123"/>
        <v>0</v>
      </c>
      <c r="DE312" s="536"/>
      <c r="DF312" s="536"/>
      <c r="DG312" s="536"/>
      <c r="DH312" s="541">
        <f t="shared" si="124"/>
        <v>0</v>
      </c>
      <c r="DI312" s="536"/>
      <c r="DJ312" s="536"/>
      <c r="DK312" s="536"/>
      <c r="DL312" s="541">
        <f t="shared" si="125"/>
        <v>0</v>
      </c>
      <c r="DM312" s="536"/>
      <c r="DN312" s="536"/>
      <c r="DO312" s="536"/>
      <c r="DP312" s="541">
        <f>IF( SUM((DJ312*(20/100))+(DK312*(30/100))+(DL312*(50/100))) &gt;=9.3,9.5,
IF(AND( SUM((DJ312*(20/100))+(DK312*(30/100))+(DL312*(50/100))) &lt;=9.3, SUM((DJ312*(20/100))+(DK312*(30/100))+(DL312*(50/100))) &gt;=8.8),9,
IF(AND( SUM((DJ312*(20/100))+(DK312*(30/100))+(DL312*(50/100))) &lt;=8.8, SUM((DJ312*(20/100))+(DK312*(30/100))+(DL312*(50/100))) &gt;=8.3),8.5,
IF(AND( SUM((DJ312*(20/100))+(DK312*(30/100))+(DL312*(50/100))) &lt;=8.3, SUM((DJ312*(20/100))+(DK312*(30/100))+(DL312*(50/100))) &gt;=7.8),8,
IF(AND( SUM((DJ312*(20/100))+(DK312*(30/100))+(DL312*(50/100))) &lt;=7.8, SUM((DJ312*(20/100))+(DK312*(30/100))+(DL312*(50/100))) &gt;=7.3),7.5,
IF(AND( SUM((DJ312*(20/100))+(DK312*(30/100))+(DL312*(50/100))) &lt;=7.3, SUM((DJ312*(20/100))+(DK312*(30/100))+(DL312*(50/100))) &gt;=6.8),7,
IF(AND( SUM((DJ312*(20/100))+(DK312*(30/100))+(DL312*(50/100))) &lt;=6.8, SUM((DJ312*(20/100))+(DK312*(30/100))+(DL312*(50/100))) &gt;=6.3),6.5,
IF(AND( SUM((DJ312*(20/100))+(DK312*(30/100))+(DL312*(50/100))) &lt;=6.3, SUM((DJ312*(20/100))+(DK312*(30/100))+(DL312*(50/100))) &gt;=5.8),6,
IF(AND( SUM((DJ312*(20/100))+(DK312*(30/100))+(DL312*(50/100))) &lt;=5.8, SUM((DJ312*(20/100))+(DK312*(30/100))+(DL312*(50/100))) &gt;=5.3),5.5,
IF(AND( SUM((DJ312*(20/100))+(DK312*(30/100))+(DL312*(50/100))) &lt;=5.3, SUM((DJ312*(20/100))+(DK312*(30/100))+(DL312*(50/100))) &gt;=4.8),5,
IF(AND( SUM((DJ312*(20/100))+(DK312*(30/100))+(DL312*(50/100))) &lt;=4.8, SUM((DJ312*(20/100))+(DK312*(30/100))+(DL312*(50/100))) &gt;=4.3),4.5,
IF(AND( SUM((DJ312*(20/100))+(DK312*(30/100))+(DL312*(50/100))) &lt;=4.3, SUM((DJ312*(20/100))+(DK312*(30/100))+(DL312*(50/100))) &gt;=3.8),4,
IF(AND( SUM((DJ312*(20/100))+(DK312*(30/100))+(DL312*(50/100))) &lt;=3.8, SUM((DJ312*(20/100))+(DK312*(30/100))+(DL312*(50/100))) &gt;=3.5),3.5,0)))))))))))))</f>
        <v>0</v>
      </c>
      <c r="DQ312" s="541"/>
      <c r="DR312" s="541"/>
      <c r="DS312" s="541"/>
      <c r="DT312" s="541"/>
      <c r="DU312" s="541"/>
      <c r="DV312" s="541"/>
      <c r="DW312" s="541"/>
      <c r="DX312" s="541"/>
      <c r="DY312" s="541"/>
      <c r="DZ312" s="541"/>
    </row>
    <row r="313" spans="2:130" x14ac:dyDescent="0.25">
      <c r="B313" s="334">
        <v>6</v>
      </c>
      <c r="C313" s="541"/>
      <c r="D313" s="334"/>
      <c r="E313" s="334"/>
      <c r="F313" s="334"/>
      <c r="G313" s="334"/>
      <c r="H313" s="334"/>
      <c r="I313" s="334"/>
      <c r="J313" s="536"/>
      <c r="K313" s="536"/>
      <c r="L313" s="536"/>
      <c r="M313" s="536"/>
      <c r="N313" s="536"/>
      <c r="O313" s="536"/>
      <c r="P313" s="536">
        <f t="shared" si="101"/>
        <v>0</v>
      </c>
      <c r="Q313" s="536"/>
      <c r="R313" s="536"/>
      <c r="S313" s="536"/>
      <c r="T313" s="536">
        <f t="shared" si="102"/>
        <v>0</v>
      </c>
      <c r="U313" s="536"/>
      <c r="V313" s="536"/>
      <c r="W313" s="536"/>
      <c r="X313" s="536">
        <f t="shared" si="103"/>
        <v>0</v>
      </c>
      <c r="Y313" s="536"/>
      <c r="Z313" s="536"/>
      <c r="AA313" s="536"/>
      <c r="AB313" s="536">
        <f t="shared" si="104"/>
        <v>0</v>
      </c>
      <c r="AC313" s="536"/>
      <c r="AD313" s="536"/>
      <c r="AE313" s="536"/>
      <c r="AF313" s="536">
        <f t="shared" si="105"/>
        <v>0</v>
      </c>
      <c r="AG313" s="536"/>
      <c r="AH313" s="536"/>
      <c r="AI313" s="536"/>
      <c r="AJ313" s="536">
        <f t="shared" si="106"/>
        <v>0</v>
      </c>
      <c r="AK313" s="536"/>
      <c r="AL313" s="536"/>
      <c r="AM313" s="536"/>
      <c r="AN313" s="542">
        <f t="shared" si="107"/>
        <v>0</v>
      </c>
      <c r="AO313" s="536"/>
      <c r="AP313" s="536"/>
      <c r="AQ313" s="536"/>
      <c r="AR313" s="542">
        <f t="shared" si="108"/>
        <v>0</v>
      </c>
      <c r="AS313" s="536"/>
      <c r="AT313" s="536"/>
      <c r="AU313" s="536"/>
      <c r="AV313" s="542">
        <f t="shared" si="109"/>
        <v>0</v>
      </c>
      <c r="AW313" s="536"/>
      <c r="AX313" s="536"/>
      <c r="AY313" s="536"/>
      <c r="AZ313" s="542">
        <f t="shared" si="110"/>
        <v>0</v>
      </c>
      <c r="BA313" s="536"/>
      <c r="BB313" s="536"/>
      <c r="BC313" s="536"/>
      <c r="BD313" s="542">
        <f t="shared" si="111"/>
        <v>0</v>
      </c>
      <c r="BE313" s="536"/>
      <c r="BF313" s="536"/>
      <c r="BG313" s="536"/>
      <c r="BH313" s="542">
        <f t="shared" si="112"/>
        <v>0</v>
      </c>
      <c r="BI313" s="536"/>
      <c r="BJ313" s="536"/>
      <c r="BK313" s="536"/>
      <c r="BL313" s="542">
        <f t="shared" si="113"/>
        <v>0</v>
      </c>
      <c r="BM313" s="536"/>
      <c r="BN313" s="536"/>
      <c r="BO313" s="536"/>
      <c r="BP313" s="542">
        <f t="shared" si="114"/>
        <v>0</v>
      </c>
      <c r="BQ313" s="536"/>
      <c r="BR313" s="536"/>
      <c r="BS313" s="536"/>
      <c r="BT313" s="542">
        <f t="shared" si="115"/>
        <v>0</v>
      </c>
      <c r="BU313" s="536"/>
      <c r="BV313" s="536"/>
      <c r="BW313" s="536"/>
      <c r="BX313" s="542">
        <f t="shared" si="116"/>
        <v>0</v>
      </c>
      <c r="BY313" s="536"/>
      <c r="BZ313" s="536"/>
      <c r="CA313" s="536"/>
      <c r="CB313" s="542">
        <v>0</v>
      </c>
      <c r="CC313" s="536"/>
      <c r="CD313" s="536"/>
      <c r="CE313" s="536"/>
      <c r="CF313" s="541">
        <f t="shared" si="117"/>
        <v>0</v>
      </c>
      <c r="CG313" s="536"/>
      <c r="CH313" s="536"/>
      <c r="CI313" s="536"/>
      <c r="CJ313" s="541">
        <f t="shared" si="118"/>
        <v>0</v>
      </c>
      <c r="CK313" s="536"/>
      <c r="CL313" s="536"/>
      <c r="CM313" s="536"/>
      <c r="CN313" s="541">
        <f t="shared" si="119"/>
        <v>0</v>
      </c>
      <c r="CO313" s="536"/>
      <c r="CP313" s="536"/>
      <c r="CQ313" s="536"/>
      <c r="CR313" s="541">
        <f t="shared" si="120"/>
        <v>0</v>
      </c>
      <c r="CS313" s="536"/>
      <c r="CT313" s="536"/>
      <c r="CU313" s="536"/>
      <c r="CV313" s="541">
        <f t="shared" si="121"/>
        <v>0</v>
      </c>
      <c r="CW313" s="536"/>
      <c r="CX313" s="536"/>
      <c r="CY313" s="536"/>
      <c r="CZ313" s="541">
        <f t="shared" si="122"/>
        <v>0</v>
      </c>
      <c r="DA313" s="536"/>
      <c r="DB313" s="536"/>
      <c r="DC313" s="536"/>
      <c r="DD313" s="541">
        <f t="shared" si="123"/>
        <v>0</v>
      </c>
      <c r="DE313" s="536"/>
      <c r="DF313" s="536"/>
      <c r="DG313" s="536"/>
      <c r="DH313" s="541">
        <f t="shared" si="124"/>
        <v>0</v>
      </c>
      <c r="DI313" s="536"/>
      <c r="DJ313" s="536"/>
      <c r="DK313" s="536"/>
      <c r="DL313" s="541">
        <f t="shared" si="125"/>
        <v>0</v>
      </c>
      <c r="DM313" s="536"/>
      <c r="DN313" s="536"/>
      <c r="DO313" s="536"/>
      <c r="DP313" s="541">
        <f>IF( SUM((DJ313*(20/100))+(DK313*(30/100))+(DL313*(50/100))) &gt;=9.3,9.5,
IF(AND( SUM((DJ313*(20/100))+(DK313*(30/100))+(DL313*(50/100))) &lt;=9.3, SUM((DJ313*(20/100))+(DK313*(30/100))+(DL313*(50/100))) &gt;=8.8),9,
IF(AND( SUM((DJ313*(20/100))+(DK313*(30/100))+(DL313*(50/100))) &lt;=8.8, SUM((DJ313*(20/100))+(DK313*(30/100))+(DL313*(50/100))) &gt;=8.3),8.5,
IF(AND( SUM((DJ313*(20/100))+(DK313*(30/100))+(DL313*(50/100))) &lt;=8.3, SUM((DJ313*(20/100))+(DK313*(30/100))+(DL313*(50/100))) &gt;=7.8),8,
IF(AND( SUM((DJ313*(20/100))+(DK313*(30/100))+(DL313*(50/100))) &lt;=7.8, SUM((DJ313*(20/100))+(DK313*(30/100))+(DL313*(50/100))) &gt;=7.3),7.5,
IF(AND( SUM((DJ313*(20/100))+(DK313*(30/100))+(DL313*(50/100))) &lt;=7.3, SUM((DJ313*(20/100))+(DK313*(30/100))+(DL313*(50/100))) &gt;=6.8),7,
IF(AND( SUM((DJ313*(20/100))+(DK313*(30/100))+(DL313*(50/100))) &lt;=6.8, SUM((DJ313*(20/100))+(DK313*(30/100))+(DL313*(50/100))) &gt;=6.3),6.5,
IF(AND( SUM((DJ313*(20/100))+(DK313*(30/100))+(DL313*(50/100))) &lt;=6.3, SUM((DJ313*(20/100))+(DK313*(30/100))+(DL313*(50/100))) &gt;=5.8),6,
IF(AND( SUM((DJ313*(20/100))+(DK313*(30/100))+(DL313*(50/100))) &lt;=5.8, SUM((DJ313*(20/100))+(DK313*(30/100))+(DL313*(50/100))) &gt;=5.3),5.5,
IF(AND( SUM((DJ313*(20/100))+(DK313*(30/100))+(DL313*(50/100))) &lt;=5.3, SUM((DJ313*(20/100))+(DK313*(30/100))+(DL313*(50/100))) &gt;=4.8),5,
IF(AND( SUM((DJ313*(20/100))+(DK313*(30/100))+(DL313*(50/100))) &lt;=4.8, SUM((DJ313*(20/100))+(DK313*(30/100))+(DL313*(50/100))) &gt;=4.3),4.5,
IF(AND( SUM((DJ313*(20/100))+(DK313*(30/100))+(DL313*(50/100))) &lt;=4.3, SUM((DJ313*(20/100))+(DK313*(30/100))+(DL313*(50/100))) &gt;=3.8),4,
IF(AND( SUM((DJ313*(20/100))+(DK313*(30/100))+(DL313*(50/100))) &lt;=3.8, SUM((DJ313*(20/100))+(DK313*(30/100))+(DL313*(50/100))) &gt;=3.5),3.5,0)))))))))))))</f>
        <v>0</v>
      </c>
      <c r="DQ313" s="541"/>
      <c r="DR313" s="541"/>
      <c r="DS313" s="541"/>
      <c r="DT313" s="541"/>
      <c r="DU313" s="541"/>
      <c r="DV313" s="541"/>
      <c r="DW313" s="541"/>
      <c r="DX313" s="541"/>
      <c r="DY313" s="541"/>
      <c r="DZ313" s="541"/>
    </row>
    <row r="314" spans="2:130" x14ac:dyDescent="0.25">
      <c r="B314" s="334">
        <v>7</v>
      </c>
      <c r="C314" s="541"/>
      <c r="D314" s="334"/>
      <c r="E314" s="334"/>
      <c r="F314" s="334"/>
      <c r="G314" s="334"/>
      <c r="H314" s="334"/>
      <c r="I314" s="334"/>
      <c r="J314" s="536"/>
      <c r="K314" s="536"/>
      <c r="L314" s="536"/>
      <c r="M314" s="536"/>
      <c r="N314" s="536"/>
      <c r="O314" s="536"/>
      <c r="P314" s="536">
        <f t="shared" si="101"/>
        <v>0</v>
      </c>
      <c r="Q314" s="536"/>
      <c r="R314" s="536"/>
      <c r="S314" s="536"/>
      <c r="T314" s="536">
        <f t="shared" si="102"/>
        <v>0</v>
      </c>
      <c r="U314" s="536"/>
      <c r="V314" s="536"/>
      <c r="W314" s="536"/>
      <c r="X314" s="536">
        <f t="shared" si="103"/>
        <v>0</v>
      </c>
      <c r="Y314" s="536"/>
      <c r="Z314" s="536"/>
      <c r="AA314" s="536"/>
      <c r="AB314" s="536">
        <f t="shared" si="104"/>
        <v>0</v>
      </c>
      <c r="AC314" s="536"/>
      <c r="AD314" s="536"/>
      <c r="AE314" s="536"/>
      <c r="AF314" s="536">
        <f t="shared" si="105"/>
        <v>0</v>
      </c>
      <c r="AG314" s="536"/>
      <c r="AH314" s="536"/>
      <c r="AI314" s="536"/>
      <c r="AJ314" s="536">
        <f t="shared" si="106"/>
        <v>0</v>
      </c>
      <c r="AK314" s="536"/>
      <c r="AL314" s="536"/>
      <c r="AM314" s="536"/>
      <c r="AN314" s="542">
        <f t="shared" si="107"/>
        <v>0</v>
      </c>
      <c r="AO314" s="536"/>
      <c r="AP314" s="536"/>
      <c r="AQ314" s="536"/>
      <c r="AR314" s="542">
        <f t="shared" si="108"/>
        <v>0</v>
      </c>
      <c r="AS314" s="536"/>
      <c r="AT314" s="536"/>
      <c r="AU314" s="536"/>
      <c r="AV314" s="542">
        <f t="shared" si="109"/>
        <v>0</v>
      </c>
      <c r="AW314" s="536"/>
      <c r="AX314" s="536"/>
      <c r="AY314" s="536"/>
      <c r="AZ314" s="542">
        <f t="shared" si="110"/>
        <v>0</v>
      </c>
      <c r="BA314" s="536"/>
      <c r="BB314" s="536"/>
      <c r="BC314" s="536"/>
      <c r="BD314" s="542">
        <f t="shared" si="111"/>
        <v>0</v>
      </c>
      <c r="BE314" s="536"/>
      <c r="BF314" s="536"/>
      <c r="BG314" s="536"/>
      <c r="BH314" s="542">
        <f t="shared" si="112"/>
        <v>0</v>
      </c>
      <c r="BI314" s="536"/>
      <c r="BJ314" s="536"/>
      <c r="BK314" s="536"/>
      <c r="BL314" s="542">
        <f t="shared" si="113"/>
        <v>0</v>
      </c>
      <c r="BM314" s="536"/>
      <c r="BN314" s="536"/>
      <c r="BO314" s="536"/>
      <c r="BP314" s="542">
        <f t="shared" si="114"/>
        <v>0</v>
      </c>
      <c r="BQ314" s="536"/>
      <c r="BR314" s="536"/>
      <c r="BS314" s="536"/>
      <c r="BT314" s="542">
        <f t="shared" si="115"/>
        <v>0</v>
      </c>
      <c r="BU314" s="536"/>
      <c r="BV314" s="536"/>
      <c r="BW314" s="536"/>
      <c r="BX314" s="542">
        <f t="shared" si="116"/>
        <v>0</v>
      </c>
      <c r="BY314" s="536"/>
      <c r="BZ314" s="536"/>
      <c r="CA314" s="536"/>
      <c r="CB314" s="542">
        <v>0</v>
      </c>
      <c r="CC314" s="536"/>
      <c r="CD314" s="536"/>
      <c r="CE314" s="536"/>
      <c r="CF314" s="541">
        <f t="shared" si="117"/>
        <v>0</v>
      </c>
      <c r="CG314" s="536"/>
      <c r="CH314" s="536"/>
      <c r="CI314" s="536"/>
      <c r="CJ314" s="541">
        <f t="shared" si="118"/>
        <v>0</v>
      </c>
      <c r="CK314" s="536"/>
      <c r="CL314" s="536"/>
      <c r="CM314" s="536"/>
      <c r="CN314" s="541">
        <f t="shared" si="119"/>
        <v>0</v>
      </c>
      <c r="CO314" s="536"/>
      <c r="CP314" s="536"/>
      <c r="CQ314" s="536"/>
      <c r="CR314" s="541">
        <f t="shared" si="120"/>
        <v>0</v>
      </c>
      <c r="CS314" s="536"/>
      <c r="CT314" s="536"/>
      <c r="CU314" s="536"/>
      <c r="CV314" s="541">
        <f t="shared" si="121"/>
        <v>0</v>
      </c>
      <c r="CW314" s="536"/>
      <c r="CX314" s="536"/>
      <c r="CY314" s="536"/>
      <c r="CZ314" s="541">
        <f t="shared" si="122"/>
        <v>0</v>
      </c>
      <c r="DA314" s="536"/>
      <c r="DB314" s="536"/>
      <c r="DC314" s="536"/>
      <c r="DD314" s="541">
        <f t="shared" si="123"/>
        <v>0</v>
      </c>
      <c r="DE314" s="536"/>
      <c r="DF314" s="536"/>
      <c r="DG314" s="536"/>
      <c r="DH314" s="541">
        <f t="shared" si="124"/>
        <v>0</v>
      </c>
      <c r="DI314" s="536"/>
      <c r="DJ314" s="536"/>
      <c r="DK314" s="536"/>
      <c r="DL314" s="541">
        <f t="shared" si="125"/>
        <v>0</v>
      </c>
      <c r="DM314" s="536"/>
      <c r="DN314" s="536"/>
      <c r="DO314" s="536"/>
      <c r="DP314" s="541">
        <f>IF( SUM((DJ314*(20/100))+(DK314*(30/100))+(DL314*(50/100))) &gt;=9.3,9.5,
IF(AND( SUM((DJ314*(20/100))+(DK314*(30/100))+(DL314*(50/100))) &lt;=9.3, SUM((DJ314*(20/100))+(DK314*(30/100))+(DL314*(50/100))) &gt;=8.8),9,
IF(AND( SUM((DJ314*(20/100))+(DK314*(30/100))+(DL314*(50/100))) &lt;=8.8, SUM((DJ314*(20/100))+(DK314*(30/100))+(DL314*(50/100))) &gt;=8.3),8.5,
IF(AND( SUM((DJ314*(20/100))+(DK314*(30/100))+(DL314*(50/100))) &lt;=8.3, SUM((DJ314*(20/100))+(DK314*(30/100))+(DL314*(50/100))) &gt;=7.8),8,
IF(AND( SUM((DJ314*(20/100))+(DK314*(30/100))+(DL314*(50/100))) &lt;=7.8, SUM((DJ314*(20/100))+(DK314*(30/100))+(DL314*(50/100))) &gt;=7.3),7.5,
IF(AND( SUM((DJ314*(20/100))+(DK314*(30/100))+(DL314*(50/100))) &lt;=7.3, SUM((DJ314*(20/100))+(DK314*(30/100))+(DL314*(50/100))) &gt;=6.8),7,
IF(AND( SUM((DJ314*(20/100))+(DK314*(30/100))+(DL314*(50/100))) &lt;=6.8, SUM((DJ314*(20/100))+(DK314*(30/100))+(DL314*(50/100))) &gt;=6.3),6.5,
IF(AND( SUM((DJ314*(20/100))+(DK314*(30/100))+(DL314*(50/100))) &lt;=6.3, SUM((DJ314*(20/100))+(DK314*(30/100))+(DL314*(50/100))) &gt;=5.8),6,
IF(AND( SUM((DJ314*(20/100))+(DK314*(30/100))+(DL314*(50/100))) &lt;=5.8, SUM((DJ314*(20/100))+(DK314*(30/100))+(DL314*(50/100))) &gt;=5.3),5.5,
IF(AND( SUM((DJ314*(20/100))+(DK314*(30/100))+(DL314*(50/100))) &lt;=5.3, SUM((DJ314*(20/100))+(DK314*(30/100))+(DL314*(50/100))) &gt;=4.8),5,
IF(AND( SUM((DJ314*(20/100))+(DK314*(30/100))+(DL314*(50/100))) &lt;=4.8, SUM((DJ314*(20/100))+(DK314*(30/100))+(DL314*(50/100))) &gt;=4.3),4.5,
IF(AND( SUM((DJ314*(20/100))+(DK314*(30/100))+(DL314*(50/100))) &lt;=4.3, SUM((DJ314*(20/100))+(DK314*(30/100))+(DL314*(50/100))) &gt;=3.8),4,
IF(AND( SUM((DJ314*(20/100))+(DK314*(30/100))+(DL314*(50/100))) &lt;=3.8, SUM((DJ314*(20/100))+(DK314*(30/100))+(DL314*(50/100))) &gt;=3.5),3.5,0)))))))))))))</f>
        <v>0</v>
      </c>
      <c r="DQ314" s="541"/>
      <c r="DR314" s="541"/>
      <c r="DS314" s="541"/>
      <c r="DT314" s="541"/>
      <c r="DU314" s="541"/>
      <c r="DV314" s="541"/>
      <c r="DW314" s="541"/>
      <c r="DX314" s="541"/>
      <c r="DY314" s="541"/>
      <c r="DZ314" s="541"/>
    </row>
    <row r="315" spans="2:130" x14ac:dyDescent="0.25">
      <c r="B315" s="334">
        <v>8</v>
      </c>
      <c r="C315" s="541"/>
      <c r="D315" s="334"/>
      <c r="E315" s="334"/>
      <c r="F315" s="334"/>
      <c r="G315" s="334"/>
      <c r="H315" s="334"/>
      <c r="I315" s="334"/>
      <c r="J315" s="536"/>
      <c r="K315" s="536"/>
      <c r="L315" s="536"/>
      <c r="M315" s="536"/>
      <c r="N315" s="536"/>
      <c r="O315" s="536"/>
      <c r="P315" s="536">
        <f t="shared" si="101"/>
        <v>0</v>
      </c>
      <c r="Q315" s="536"/>
      <c r="R315" s="536"/>
      <c r="S315" s="536"/>
      <c r="T315" s="536">
        <f t="shared" si="102"/>
        <v>0</v>
      </c>
      <c r="U315" s="536"/>
      <c r="V315" s="536"/>
      <c r="W315" s="536"/>
      <c r="X315" s="536">
        <f t="shared" si="103"/>
        <v>0</v>
      </c>
      <c r="Y315" s="536"/>
      <c r="Z315" s="536"/>
      <c r="AA315" s="536"/>
      <c r="AB315" s="536">
        <f t="shared" si="104"/>
        <v>0</v>
      </c>
      <c r="AC315" s="536"/>
      <c r="AD315" s="536"/>
      <c r="AE315" s="536"/>
      <c r="AF315" s="536">
        <f t="shared" si="105"/>
        <v>0</v>
      </c>
      <c r="AG315" s="536"/>
      <c r="AH315" s="536"/>
      <c r="AI315" s="536"/>
      <c r="AJ315" s="536">
        <f t="shared" si="106"/>
        <v>0</v>
      </c>
      <c r="AK315" s="536"/>
      <c r="AL315" s="536"/>
      <c r="AM315" s="536"/>
      <c r="AN315" s="542">
        <f t="shared" si="107"/>
        <v>0</v>
      </c>
      <c r="AO315" s="536"/>
      <c r="AP315" s="536"/>
      <c r="AQ315" s="536"/>
      <c r="AR315" s="542">
        <f t="shared" si="108"/>
        <v>0</v>
      </c>
      <c r="AS315" s="536"/>
      <c r="AT315" s="536"/>
      <c r="AU315" s="536"/>
      <c r="AV315" s="542">
        <f t="shared" si="109"/>
        <v>0</v>
      </c>
      <c r="AW315" s="536"/>
      <c r="AX315" s="536"/>
      <c r="AY315" s="536"/>
      <c r="AZ315" s="542">
        <f t="shared" si="110"/>
        <v>0</v>
      </c>
      <c r="BA315" s="536"/>
      <c r="BB315" s="536"/>
      <c r="BC315" s="536"/>
      <c r="BD315" s="542">
        <f t="shared" si="111"/>
        <v>0</v>
      </c>
      <c r="BE315" s="536"/>
      <c r="BF315" s="536"/>
      <c r="BG315" s="536"/>
      <c r="BH315" s="542">
        <f t="shared" si="112"/>
        <v>0</v>
      </c>
      <c r="BI315" s="536"/>
      <c r="BJ315" s="536"/>
      <c r="BK315" s="536"/>
      <c r="BL315" s="542">
        <f t="shared" si="113"/>
        <v>0</v>
      </c>
      <c r="BM315" s="536"/>
      <c r="BN315" s="536"/>
      <c r="BO315" s="536"/>
      <c r="BP315" s="542">
        <f t="shared" si="114"/>
        <v>0</v>
      </c>
      <c r="BQ315" s="536"/>
      <c r="BR315" s="536"/>
      <c r="BS315" s="536"/>
      <c r="BT315" s="542">
        <f t="shared" si="115"/>
        <v>0</v>
      </c>
      <c r="BU315" s="536"/>
      <c r="BV315" s="536"/>
      <c r="BW315" s="536"/>
      <c r="BX315" s="542">
        <f t="shared" si="116"/>
        <v>0</v>
      </c>
      <c r="BY315" s="536"/>
      <c r="BZ315" s="536"/>
      <c r="CA315" s="536"/>
      <c r="CB315" s="542">
        <v>0</v>
      </c>
      <c r="CC315" s="536"/>
      <c r="CD315" s="536"/>
      <c r="CE315" s="536"/>
      <c r="CF315" s="541">
        <f t="shared" si="117"/>
        <v>0</v>
      </c>
      <c r="CG315" s="536"/>
      <c r="CH315" s="536"/>
      <c r="CI315" s="536"/>
      <c r="CJ315" s="541">
        <f t="shared" si="118"/>
        <v>0</v>
      </c>
      <c r="CK315" s="536"/>
      <c r="CL315" s="536"/>
      <c r="CM315" s="536"/>
      <c r="CN315" s="541">
        <f t="shared" si="119"/>
        <v>0</v>
      </c>
      <c r="CO315" s="536"/>
      <c r="CP315" s="536"/>
      <c r="CQ315" s="536"/>
      <c r="CR315" s="541">
        <f t="shared" si="120"/>
        <v>0</v>
      </c>
      <c r="CS315" s="536"/>
      <c r="CT315" s="536"/>
      <c r="CU315" s="536"/>
      <c r="CV315" s="541">
        <f t="shared" si="121"/>
        <v>0</v>
      </c>
      <c r="CW315" s="536"/>
      <c r="CX315" s="536"/>
      <c r="CY315" s="536"/>
      <c r="CZ315" s="541">
        <f t="shared" si="122"/>
        <v>0</v>
      </c>
      <c r="DA315" s="536"/>
      <c r="DB315" s="536"/>
      <c r="DC315" s="536"/>
      <c r="DD315" s="541">
        <f t="shared" si="123"/>
        <v>0</v>
      </c>
      <c r="DE315" s="536"/>
      <c r="DF315" s="536"/>
      <c r="DG315" s="536"/>
      <c r="DH315" s="541">
        <f t="shared" si="124"/>
        <v>0</v>
      </c>
      <c r="DI315" s="536"/>
      <c r="DJ315" s="536"/>
      <c r="DK315" s="536"/>
      <c r="DL315" s="541">
        <f t="shared" si="125"/>
        <v>0</v>
      </c>
      <c r="DM315" s="536"/>
      <c r="DN315" s="536"/>
      <c r="DO315" s="536"/>
      <c r="DP315" s="541">
        <f>IF( SUM((DJ315*(20/100))+(DK315*(30/100))+(DL315*(50/100))) &gt;=9.3,9.5,
IF(AND( SUM((DJ315*(20/100))+(DK315*(30/100))+(DL315*(50/100))) &lt;=9.3, SUM((DJ315*(20/100))+(DK315*(30/100))+(DL315*(50/100))) &gt;=8.8),9,
IF(AND( SUM((DJ315*(20/100))+(DK315*(30/100))+(DL315*(50/100))) &lt;=8.8, SUM((DJ315*(20/100))+(DK315*(30/100))+(DL315*(50/100))) &gt;=8.3),8.5,
IF(AND( SUM((DJ315*(20/100))+(DK315*(30/100))+(DL315*(50/100))) &lt;=8.3, SUM((DJ315*(20/100))+(DK315*(30/100))+(DL315*(50/100))) &gt;=7.8),8,
IF(AND( SUM((DJ315*(20/100))+(DK315*(30/100))+(DL315*(50/100))) &lt;=7.8, SUM((DJ315*(20/100))+(DK315*(30/100))+(DL315*(50/100))) &gt;=7.3),7.5,
IF(AND( SUM((DJ315*(20/100))+(DK315*(30/100))+(DL315*(50/100))) &lt;=7.3, SUM((DJ315*(20/100))+(DK315*(30/100))+(DL315*(50/100))) &gt;=6.8),7,
IF(AND( SUM((DJ315*(20/100))+(DK315*(30/100))+(DL315*(50/100))) &lt;=6.8, SUM((DJ315*(20/100))+(DK315*(30/100))+(DL315*(50/100))) &gt;=6.3),6.5,
IF(AND( SUM((DJ315*(20/100))+(DK315*(30/100))+(DL315*(50/100))) &lt;=6.3, SUM((DJ315*(20/100))+(DK315*(30/100))+(DL315*(50/100))) &gt;=5.8),6,
IF(AND( SUM((DJ315*(20/100))+(DK315*(30/100))+(DL315*(50/100))) &lt;=5.8, SUM((DJ315*(20/100))+(DK315*(30/100))+(DL315*(50/100))) &gt;=5.3),5.5,
IF(AND( SUM((DJ315*(20/100))+(DK315*(30/100))+(DL315*(50/100))) &lt;=5.3, SUM((DJ315*(20/100))+(DK315*(30/100))+(DL315*(50/100))) &gt;=4.8),5,
IF(AND( SUM((DJ315*(20/100))+(DK315*(30/100))+(DL315*(50/100))) &lt;=4.8, SUM((DJ315*(20/100))+(DK315*(30/100))+(DL315*(50/100))) &gt;=4.3),4.5,
IF(AND( SUM((DJ315*(20/100))+(DK315*(30/100))+(DL315*(50/100))) &lt;=4.3, SUM((DJ315*(20/100))+(DK315*(30/100))+(DL315*(50/100))) &gt;=3.8),4,
IF(AND( SUM((DJ315*(20/100))+(DK315*(30/100))+(DL315*(50/100))) &lt;=3.8, SUM((DJ315*(20/100))+(DK315*(30/100))+(DL315*(50/100))) &gt;=3.5),3.5,0)))))))))))))</f>
        <v>0</v>
      </c>
      <c r="DQ315" s="541"/>
      <c r="DR315" s="541"/>
      <c r="DS315" s="541"/>
      <c r="DT315" s="541"/>
      <c r="DU315" s="541"/>
      <c r="DV315" s="541"/>
      <c r="DW315" s="541"/>
      <c r="DX315" s="541"/>
      <c r="DY315" s="541"/>
      <c r="DZ315" s="541"/>
    </row>
    <row r="316" spans="2:130" x14ac:dyDescent="0.25">
      <c r="B316" s="334">
        <v>9</v>
      </c>
      <c r="C316" s="541"/>
      <c r="D316" s="334"/>
      <c r="E316" s="334"/>
      <c r="F316" s="334"/>
      <c r="G316" s="334"/>
      <c r="H316" s="334"/>
      <c r="I316" s="334"/>
      <c r="J316" s="536"/>
      <c r="K316" s="536"/>
      <c r="L316" s="536"/>
      <c r="M316" s="536"/>
      <c r="N316" s="536"/>
      <c r="O316" s="536"/>
      <c r="P316" s="536">
        <f t="shared" si="101"/>
        <v>0</v>
      </c>
      <c r="Q316" s="536"/>
      <c r="R316" s="536"/>
      <c r="S316" s="536"/>
      <c r="T316" s="536">
        <f t="shared" si="102"/>
        <v>0</v>
      </c>
      <c r="U316" s="536"/>
      <c r="V316" s="536"/>
      <c r="W316" s="536"/>
      <c r="X316" s="536">
        <f t="shared" si="103"/>
        <v>0</v>
      </c>
      <c r="Y316" s="536"/>
      <c r="Z316" s="536"/>
      <c r="AA316" s="536"/>
      <c r="AB316" s="536">
        <f t="shared" si="104"/>
        <v>0</v>
      </c>
      <c r="AC316" s="536"/>
      <c r="AD316" s="536"/>
      <c r="AE316" s="536"/>
      <c r="AF316" s="536">
        <f t="shared" si="105"/>
        <v>0</v>
      </c>
      <c r="AG316" s="536"/>
      <c r="AH316" s="536"/>
      <c r="AI316" s="536"/>
      <c r="AJ316" s="536">
        <f t="shared" si="106"/>
        <v>0</v>
      </c>
      <c r="AK316" s="536"/>
      <c r="AL316" s="536"/>
      <c r="AM316" s="536"/>
      <c r="AN316" s="542">
        <f t="shared" si="107"/>
        <v>0</v>
      </c>
      <c r="AO316" s="536"/>
      <c r="AP316" s="536"/>
      <c r="AQ316" s="536"/>
      <c r="AR316" s="542">
        <f t="shared" si="108"/>
        <v>0</v>
      </c>
      <c r="AS316" s="536"/>
      <c r="AT316" s="536"/>
      <c r="AU316" s="536"/>
      <c r="AV316" s="542">
        <f t="shared" si="109"/>
        <v>0</v>
      </c>
      <c r="AW316" s="536"/>
      <c r="AX316" s="536"/>
      <c r="AY316" s="536"/>
      <c r="AZ316" s="542">
        <f t="shared" si="110"/>
        <v>0</v>
      </c>
      <c r="BA316" s="536"/>
      <c r="BB316" s="536"/>
      <c r="BC316" s="536"/>
      <c r="BD316" s="542">
        <f t="shared" si="111"/>
        <v>0</v>
      </c>
      <c r="BE316" s="536"/>
      <c r="BF316" s="536"/>
      <c r="BG316" s="536"/>
      <c r="BH316" s="542">
        <f t="shared" si="112"/>
        <v>0</v>
      </c>
      <c r="BI316" s="536"/>
      <c r="BJ316" s="536"/>
      <c r="BK316" s="536"/>
      <c r="BL316" s="542">
        <f t="shared" si="113"/>
        <v>0</v>
      </c>
      <c r="BM316" s="536"/>
      <c r="BN316" s="536"/>
      <c r="BO316" s="536"/>
      <c r="BP316" s="542">
        <f t="shared" si="114"/>
        <v>0</v>
      </c>
      <c r="BQ316" s="536"/>
      <c r="BR316" s="536"/>
      <c r="BS316" s="536"/>
      <c r="BT316" s="542">
        <f t="shared" si="115"/>
        <v>0</v>
      </c>
      <c r="BU316" s="536"/>
      <c r="BV316" s="536"/>
      <c r="BW316" s="536"/>
      <c r="BX316" s="542">
        <f t="shared" si="116"/>
        <v>0</v>
      </c>
      <c r="BY316" s="536"/>
      <c r="BZ316" s="536"/>
      <c r="CA316" s="536"/>
      <c r="CB316" s="542">
        <v>0</v>
      </c>
      <c r="CC316" s="536"/>
      <c r="CD316" s="536"/>
      <c r="CE316" s="536"/>
      <c r="CF316" s="541">
        <f t="shared" si="117"/>
        <v>0</v>
      </c>
      <c r="CG316" s="536"/>
      <c r="CH316" s="536"/>
      <c r="CI316" s="536"/>
      <c r="CJ316" s="541">
        <f t="shared" si="118"/>
        <v>0</v>
      </c>
      <c r="CK316" s="536"/>
      <c r="CL316" s="536"/>
      <c r="CM316" s="536"/>
      <c r="CN316" s="541">
        <f t="shared" si="119"/>
        <v>0</v>
      </c>
      <c r="CO316" s="536"/>
      <c r="CP316" s="536"/>
      <c r="CQ316" s="536"/>
      <c r="CR316" s="541">
        <f t="shared" si="120"/>
        <v>0</v>
      </c>
      <c r="CS316" s="536"/>
      <c r="CT316" s="536"/>
      <c r="CU316" s="536"/>
      <c r="CV316" s="541">
        <f t="shared" si="121"/>
        <v>0</v>
      </c>
      <c r="CW316" s="536"/>
      <c r="CX316" s="536"/>
      <c r="CY316" s="536"/>
      <c r="CZ316" s="541">
        <f t="shared" si="122"/>
        <v>0</v>
      </c>
      <c r="DA316" s="536"/>
      <c r="DB316" s="536"/>
      <c r="DC316" s="536"/>
      <c r="DD316" s="541">
        <f t="shared" si="123"/>
        <v>0</v>
      </c>
      <c r="DE316" s="536"/>
      <c r="DF316" s="536"/>
      <c r="DG316" s="536"/>
      <c r="DH316" s="541">
        <f t="shared" si="124"/>
        <v>0</v>
      </c>
      <c r="DI316" s="536"/>
      <c r="DJ316" s="536"/>
      <c r="DK316" s="536"/>
      <c r="DL316" s="541">
        <f t="shared" si="125"/>
        <v>0</v>
      </c>
      <c r="DM316" s="536"/>
      <c r="DN316" s="536"/>
      <c r="DO316" s="536"/>
      <c r="DP316" s="541">
        <f>IF( SUM((DJ316*(20/100))+(DK316*(30/100))+(DL316*(50/100))) &gt;=9.3,9.5,
IF(AND( SUM((DJ316*(20/100))+(DK316*(30/100))+(DL316*(50/100))) &lt;=9.3, SUM((DJ316*(20/100))+(DK316*(30/100))+(DL316*(50/100))) &gt;=8.8),9,
IF(AND( SUM((DJ316*(20/100))+(DK316*(30/100))+(DL316*(50/100))) &lt;=8.8, SUM((DJ316*(20/100))+(DK316*(30/100))+(DL316*(50/100))) &gt;=8.3),8.5,
IF(AND( SUM((DJ316*(20/100))+(DK316*(30/100))+(DL316*(50/100))) &lt;=8.3, SUM((DJ316*(20/100))+(DK316*(30/100))+(DL316*(50/100))) &gt;=7.8),8,
IF(AND( SUM((DJ316*(20/100))+(DK316*(30/100))+(DL316*(50/100))) &lt;=7.8, SUM((DJ316*(20/100))+(DK316*(30/100))+(DL316*(50/100))) &gt;=7.3),7.5,
IF(AND( SUM((DJ316*(20/100))+(DK316*(30/100))+(DL316*(50/100))) &lt;=7.3, SUM((DJ316*(20/100))+(DK316*(30/100))+(DL316*(50/100))) &gt;=6.8),7,
IF(AND( SUM((DJ316*(20/100))+(DK316*(30/100))+(DL316*(50/100))) &lt;=6.8, SUM((DJ316*(20/100))+(DK316*(30/100))+(DL316*(50/100))) &gt;=6.3),6.5,
IF(AND( SUM((DJ316*(20/100))+(DK316*(30/100))+(DL316*(50/100))) &lt;=6.3, SUM((DJ316*(20/100))+(DK316*(30/100))+(DL316*(50/100))) &gt;=5.8),6,
IF(AND( SUM((DJ316*(20/100))+(DK316*(30/100))+(DL316*(50/100))) &lt;=5.8, SUM((DJ316*(20/100))+(DK316*(30/100))+(DL316*(50/100))) &gt;=5.3),5.5,
IF(AND( SUM((DJ316*(20/100))+(DK316*(30/100))+(DL316*(50/100))) &lt;=5.3, SUM((DJ316*(20/100))+(DK316*(30/100))+(DL316*(50/100))) &gt;=4.8),5,
IF(AND( SUM((DJ316*(20/100))+(DK316*(30/100))+(DL316*(50/100))) &lt;=4.8, SUM((DJ316*(20/100))+(DK316*(30/100))+(DL316*(50/100))) &gt;=4.3),4.5,
IF(AND( SUM((DJ316*(20/100))+(DK316*(30/100))+(DL316*(50/100))) &lt;=4.3, SUM((DJ316*(20/100))+(DK316*(30/100))+(DL316*(50/100))) &gt;=3.8),4,
IF(AND( SUM((DJ316*(20/100))+(DK316*(30/100))+(DL316*(50/100))) &lt;=3.8, SUM((DJ316*(20/100))+(DK316*(30/100))+(DL316*(50/100))) &gt;=3.5),3.5,0)))))))))))))</f>
        <v>0</v>
      </c>
      <c r="DQ316" s="541"/>
      <c r="DR316" s="541"/>
      <c r="DS316" s="541"/>
      <c r="DT316" s="541"/>
      <c r="DU316" s="541"/>
      <c r="DV316" s="541"/>
      <c r="DW316" s="541"/>
      <c r="DX316" s="541"/>
      <c r="DY316" s="541"/>
      <c r="DZ316" s="541"/>
    </row>
    <row r="317" spans="2:130" x14ac:dyDescent="0.25">
      <c r="B317" s="334">
        <v>10</v>
      </c>
      <c r="C317" s="541"/>
      <c r="D317" s="334"/>
      <c r="E317" s="334"/>
      <c r="F317" s="334"/>
      <c r="G317" s="334"/>
      <c r="H317" s="334"/>
      <c r="I317" s="334"/>
      <c r="J317" s="536"/>
      <c r="K317" s="536"/>
      <c r="L317" s="536"/>
      <c r="M317" s="536"/>
      <c r="N317" s="536"/>
      <c r="O317" s="536"/>
      <c r="P317" s="536">
        <f t="shared" si="101"/>
        <v>0</v>
      </c>
      <c r="Q317" s="536"/>
      <c r="R317" s="536"/>
      <c r="S317" s="536"/>
      <c r="T317" s="536">
        <f t="shared" si="102"/>
        <v>0</v>
      </c>
      <c r="U317" s="536"/>
      <c r="V317" s="536"/>
      <c r="W317" s="536"/>
      <c r="X317" s="536">
        <f t="shared" si="103"/>
        <v>0</v>
      </c>
      <c r="Y317" s="536"/>
      <c r="Z317" s="536"/>
      <c r="AA317" s="536"/>
      <c r="AB317" s="536">
        <f t="shared" si="104"/>
        <v>0</v>
      </c>
      <c r="AC317" s="536"/>
      <c r="AD317" s="536"/>
      <c r="AE317" s="536"/>
      <c r="AF317" s="536">
        <f t="shared" si="105"/>
        <v>0</v>
      </c>
      <c r="AG317" s="536"/>
      <c r="AH317" s="536"/>
      <c r="AI317" s="536"/>
      <c r="AJ317" s="536">
        <f t="shared" si="106"/>
        <v>0</v>
      </c>
      <c r="AK317" s="536"/>
      <c r="AL317" s="536"/>
      <c r="AM317" s="536"/>
      <c r="AN317" s="542">
        <f t="shared" si="107"/>
        <v>0</v>
      </c>
      <c r="AO317" s="536"/>
      <c r="AP317" s="536"/>
      <c r="AQ317" s="536"/>
      <c r="AR317" s="542">
        <f t="shared" si="108"/>
        <v>0</v>
      </c>
      <c r="AS317" s="536"/>
      <c r="AT317" s="536"/>
      <c r="AU317" s="536"/>
      <c r="AV317" s="542">
        <f t="shared" si="109"/>
        <v>0</v>
      </c>
      <c r="AW317" s="536"/>
      <c r="AX317" s="536"/>
      <c r="AY317" s="536"/>
      <c r="AZ317" s="542">
        <f t="shared" si="110"/>
        <v>0</v>
      </c>
      <c r="BA317" s="536"/>
      <c r="BB317" s="536"/>
      <c r="BC317" s="536"/>
      <c r="BD317" s="542">
        <f t="shared" si="111"/>
        <v>0</v>
      </c>
      <c r="BE317" s="536"/>
      <c r="BF317" s="536"/>
      <c r="BG317" s="536"/>
      <c r="BH317" s="542">
        <f t="shared" si="112"/>
        <v>0</v>
      </c>
      <c r="BI317" s="536"/>
      <c r="BJ317" s="536"/>
      <c r="BK317" s="536"/>
      <c r="BL317" s="542">
        <f t="shared" si="113"/>
        <v>0</v>
      </c>
      <c r="BM317" s="536"/>
      <c r="BN317" s="536"/>
      <c r="BO317" s="536"/>
      <c r="BP317" s="542">
        <f t="shared" si="114"/>
        <v>0</v>
      </c>
      <c r="BQ317" s="536"/>
      <c r="BR317" s="536"/>
      <c r="BS317" s="536"/>
      <c r="BT317" s="542">
        <f t="shared" si="115"/>
        <v>0</v>
      </c>
      <c r="BU317" s="536"/>
      <c r="BV317" s="536"/>
      <c r="BW317" s="536"/>
      <c r="BX317" s="542">
        <f t="shared" si="116"/>
        <v>0</v>
      </c>
      <c r="BY317" s="536"/>
      <c r="BZ317" s="536"/>
      <c r="CA317" s="536"/>
      <c r="CB317" s="542">
        <v>0</v>
      </c>
      <c r="CC317" s="536"/>
      <c r="CD317" s="536"/>
      <c r="CE317" s="536"/>
      <c r="CF317" s="541">
        <f t="shared" si="117"/>
        <v>0</v>
      </c>
      <c r="CG317" s="536"/>
      <c r="CH317" s="536"/>
      <c r="CI317" s="536"/>
      <c r="CJ317" s="541">
        <f t="shared" si="118"/>
        <v>0</v>
      </c>
      <c r="CK317" s="536"/>
      <c r="CL317" s="536"/>
      <c r="CM317" s="536"/>
      <c r="CN317" s="541">
        <f t="shared" si="119"/>
        <v>0</v>
      </c>
      <c r="CO317" s="536"/>
      <c r="CP317" s="536"/>
      <c r="CQ317" s="536"/>
      <c r="CR317" s="541">
        <f t="shared" si="120"/>
        <v>0</v>
      </c>
      <c r="CS317" s="536"/>
      <c r="CT317" s="536"/>
      <c r="CU317" s="536"/>
      <c r="CV317" s="541">
        <f t="shared" si="121"/>
        <v>0</v>
      </c>
      <c r="CW317" s="536"/>
      <c r="CX317" s="536"/>
      <c r="CY317" s="536"/>
      <c r="CZ317" s="541">
        <f t="shared" si="122"/>
        <v>0</v>
      </c>
      <c r="DA317" s="536"/>
      <c r="DB317" s="536"/>
      <c r="DC317" s="536"/>
      <c r="DD317" s="541">
        <f t="shared" si="123"/>
        <v>0</v>
      </c>
      <c r="DE317" s="536"/>
      <c r="DF317" s="536"/>
      <c r="DG317" s="536"/>
      <c r="DH317" s="541">
        <f t="shared" si="124"/>
        <v>0</v>
      </c>
      <c r="DI317" s="536"/>
      <c r="DJ317" s="536"/>
      <c r="DK317" s="536"/>
      <c r="DL317" s="541">
        <f t="shared" si="125"/>
        <v>0</v>
      </c>
      <c r="DM317" s="536"/>
      <c r="DN317" s="536"/>
      <c r="DO317" s="536"/>
      <c r="DP317" s="541">
        <f>IF( SUM((DJ317*(20/100))+(DK317*(30/100))+(DL317*(50/100))) &gt;=9.3,9.5,
IF(AND( SUM((DJ317*(20/100))+(DK317*(30/100))+(DL317*(50/100))) &lt;=9.3, SUM((DJ317*(20/100))+(DK317*(30/100))+(DL317*(50/100))) &gt;=8.8),9,
IF(AND( SUM((DJ317*(20/100))+(DK317*(30/100))+(DL317*(50/100))) &lt;=8.8, SUM((DJ317*(20/100))+(DK317*(30/100))+(DL317*(50/100))) &gt;=8.3),8.5,
IF(AND( SUM((DJ317*(20/100))+(DK317*(30/100))+(DL317*(50/100))) &lt;=8.3, SUM((DJ317*(20/100))+(DK317*(30/100))+(DL317*(50/100))) &gt;=7.8),8,
IF(AND( SUM((DJ317*(20/100))+(DK317*(30/100))+(DL317*(50/100))) &lt;=7.8, SUM((DJ317*(20/100))+(DK317*(30/100))+(DL317*(50/100))) &gt;=7.3),7.5,
IF(AND( SUM((DJ317*(20/100))+(DK317*(30/100))+(DL317*(50/100))) &lt;=7.3, SUM((DJ317*(20/100))+(DK317*(30/100))+(DL317*(50/100))) &gt;=6.8),7,
IF(AND( SUM((DJ317*(20/100))+(DK317*(30/100))+(DL317*(50/100))) &lt;=6.8, SUM((DJ317*(20/100))+(DK317*(30/100))+(DL317*(50/100))) &gt;=6.3),6.5,
IF(AND( SUM((DJ317*(20/100))+(DK317*(30/100))+(DL317*(50/100))) &lt;=6.3, SUM((DJ317*(20/100))+(DK317*(30/100))+(DL317*(50/100))) &gt;=5.8),6,
IF(AND( SUM((DJ317*(20/100))+(DK317*(30/100))+(DL317*(50/100))) &lt;=5.8, SUM((DJ317*(20/100))+(DK317*(30/100))+(DL317*(50/100))) &gt;=5.3),5.5,
IF(AND( SUM((DJ317*(20/100))+(DK317*(30/100))+(DL317*(50/100))) &lt;=5.3, SUM((DJ317*(20/100))+(DK317*(30/100))+(DL317*(50/100))) &gt;=4.8),5,
IF(AND( SUM((DJ317*(20/100))+(DK317*(30/100))+(DL317*(50/100))) &lt;=4.8, SUM((DJ317*(20/100))+(DK317*(30/100))+(DL317*(50/100))) &gt;=4.3),4.5,
IF(AND( SUM((DJ317*(20/100))+(DK317*(30/100))+(DL317*(50/100))) &lt;=4.3, SUM((DJ317*(20/100))+(DK317*(30/100))+(DL317*(50/100))) &gt;=3.8),4,
IF(AND( SUM((DJ317*(20/100))+(DK317*(30/100))+(DL317*(50/100))) &lt;=3.8, SUM((DJ317*(20/100))+(DK317*(30/100))+(DL317*(50/100))) &gt;=3.5),3.5,0)))))))))))))</f>
        <v>0</v>
      </c>
      <c r="DQ317" s="541"/>
      <c r="DR317" s="541"/>
      <c r="DS317" s="541"/>
      <c r="DT317" s="541"/>
      <c r="DU317" s="541"/>
      <c r="DV317" s="541"/>
      <c r="DW317" s="541"/>
      <c r="DX317" s="541"/>
      <c r="DY317" s="541"/>
      <c r="DZ317" s="541"/>
    </row>
    <row r="318" spans="2:130" x14ac:dyDescent="0.25">
      <c r="B318" s="334">
        <v>11</v>
      </c>
      <c r="C318" s="541"/>
      <c r="D318" s="334"/>
      <c r="E318" s="334"/>
      <c r="F318" s="334"/>
      <c r="G318" s="334"/>
      <c r="H318" s="334"/>
      <c r="I318" s="334"/>
      <c r="J318" s="536"/>
      <c r="K318" s="536"/>
      <c r="L318" s="536"/>
      <c r="M318" s="536"/>
      <c r="N318" s="536"/>
      <c r="O318" s="536"/>
      <c r="P318" s="536">
        <f t="shared" si="101"/>
        <v>0</v>
      </c>
      <c r="Q318" s="536"/>
      <c r="R318" s="536"/>
      <c r="S318" s="536"/>
      <c r="T318" s="536">
        <f t="shared" si="102"/>
        <v>0</v>
      </c>
      <c r="U318" s="536"/>
      <c r="V318" s="536"/>
      <c r="W318" s="536"/>
      <c r="X318" s="536">
        <f t="shared" si="103"/>
        <v>0</v>
      </c>
      <c r="Y318" s="536"/>
      <c r="Z318" s="536"/>
      <c r="AA318" s="536"/>
      <c r="AB318" s="536">
        <f t="shared" si="104"/>
        <v>0</v>
      </c>
      <c r="AC318" s="536"/>
      <c r="AD318" s="536"/>
      <c r="AE318" s="536"/>
      <c r="AF318" s="536">
        <f t="shared" si="105"/>
        <v>0</v>
      </c>
      <c r="AG318" s="536"/>
      <c r="AH318" s="536"/>
      <c r="AI318" s="536"/>
      <c r="AJ318" s="536">
        <f t="shared" si="106"/>
        <v>0</v>
      </c>
      <c r="AK318" s="536"/>
      <c r="AL318" s="536"/>
      <c r="AM318" s="536"/>
      <c r="AN318" s="542">
        <f t="shared" si="107"/>
        <v>0</v>
      </c>
      <c r="AO318" s="536"/>
      <c r="AP318" s="536"/>
      <c r="AQ318" s="536"/>
      <c r="AR318" s="542">
        <f t="shared" si="108"/>
        <v>0</v>
      </c>
      <c r="AS318" s="536"/>
      <c r="AT318" s="536"/>
      <c r="AU318" s="536"/>
      <c r="AV318" s="542">
        <f t="shared" si="109"/>
        <v>0</v>
      </c>
      <c r="AW318" s="536"/>
      <c r="AX318" s="536"/>
      <c r="AY318" s="536"/>
      <c r="AZ318" s="542">
        <f t="shared" si="110"/>
        <v>0</v>
      </c>
      <c r="BA318" s="536"/>
      <c r="BB318" s="536"/>
      <c r="BC318" s="536"/>
      <c r="BD318" s="542">
        <f t="shared" si="111"/>
        <v>0</v>
      </c>
      <c r="BE318" s="536"/>
      <c r="BF318" s="536"/>
      <c r="BG318" s="536"/>
      <c r="BH318" s="542">
        <f t="shared" si="112"/>
        <v>0</v>
      </c>
      <c r="BI318" s="536"/>
      <c r="BJ318" s="536"/>
      <c r="BK318" s="536"/>
      <c r="BL318" s="542">
        <f t="shared" si="113"/>
        <v>0</v>
      </c>
      <c r="BM318" s="536"/>
      <c r="BN318" s="536"/>
      <c r="BO318" s="536"/>
      <c r="BP318" s="542">
        <f t="shared" si="114"/>
        <v>0</v>
      </c>
      <c r="BQ318" s="536"/>
      <c r="BR318" s="536"/>
      <c r="BS318" s="536"/>
      <c r="BT318" s="542">
        <f t="shared" si="115"/>
        <v>0</v>
      </c>
      <c r="BU318" s="536"/>
      <c r="BV318" s="536"/>
      <c r="BW318" s="536"/>
      <c r="BX318" s="542">
        <f t="shared" si="116"/>
        <v>0</v>
      </c>
      <c r="BY318" s="536"/>
      <c r="BZ318" s="536"/>
      <c r="CA318" s="536"/>
      <c r="CB318" s="542">
        <v>0</v>
      </c>
      <c r="CC318" s="536"/>
      <c r="CD318" s="536"/>
      <c r="CE318" s="536"/>
      <c r="CF318" s="541">
        <f t="shared" si="117"/>
        <v>0</v>
      </c>
      <c r="CG318" s="536"/>
      <c r="CH318" s="536"/>
      <c r="CI318" s="536"/>
      <c r="CJ318" s="541">
        <f t="shared" si="118"/>
        <v>0</v>
      </c>
      <c r="CK318" s="536"/>
      <c r="CL318" s="536"/>
      <c r="CM318" s="536"/>
      <c r="CN318" s="541">
        <f t="shared" si="119"/>
        <v>0</v>
      </c>
      <c r="CO318" s="536"/>
      <c r="CP318" s="536"/>
      <c r="CQ318" s="536"/>
      <c r="CR318" s="541">
        <f t="shared" si="120"/>
        <v>0</v>
      </c>
      <c r="CS318" s="536"/>
      <c r="CT318" s="536"/>
      <c r="CU318" s="536"/>
      <c r="CV318" s="541">
        <f t="shared" si="121"/>
        <v>0</v>
      </c>
      <c r="CW318" s="536"/>
      <c r="CX318" s="536"/>
      <c r="CY318" s="536"/>
      <c r="CZ318" s="541">
        <f t="shared" si="122"/>
        <v>0</v>
      </c>
      <c r="DA318" s="536"/>
      <c r="DB318" s="536"/>
      <c r="DC318" s="536"/>
      <c r="DD318" s="541">
        <f t="shared" si="123"/>
        <v>0</v>
      </c>
      <c r="DE318" s="536"/>
      <c r="DF318" s="536"/>
      <c r="DG318" s="536"/>
      <c r="DH318" s="541">
        <f t="shared" si="124"/>
        <v>0</v>
      </c>
      <c r="DI318" s="536"/>
      <c r="DJ318" s="536"/>
      <c r="DK318" s="536"/>
      <c r="DL318" s="541">
        <f t="shared" si="125"/>
        <v>0</v>
      </c>
      <c r="DM318" s="536"/>
      <c r="DN318" s="536"/>
      <c r="DO318" s="536"/>
      <c r="DP318" s="541">
        <f>IF( SUM((DJ318*(20/100))+(DK318*(30/100))+(DL318*(50/100))) &gt;=9.3,9.5,
IF(AND( SUM((DJ318*(20/100))+(DK318*(30/100))+(DL318*(50/100))) &lt;=9.3, SUM((DJ318*(20/100))+(DK318*(30/100))+(DL318*(50/100))) &gt;=8.8),9,
IF(AND( SUM((DJ318*(20/100))+(DK318*(30/100))+(DL318*(50/100))) &lt;=8.8, SUM((DJ318*(20/100))+(DK318*(30/100))+(DL318*(50/100))) &gt;=8.3),8.5,
IF(AND( SUM((DJ318*(20/100))+(DK318*(30/100))+(DL318*(50/100))) &lt;=8.3, SUM((DJ318*(20/100))+(DK318*(30/100))+(DL318*(50/100))) &gt;=7.8),8,
IF(AND( SUM((DJ318*(20/100))+(DK318*(30/100))+(DL318*(50/100))) &lt;=7.8, SUM((DJ318*(20/100))+(DK318*(30/100))+(DL318*(50/100))) &gt;=7.3),7.5,
IF(AND( SUM((DJ318*(20/100))+(DK318*(30/100))+(DL318*(50/100))) &lt;=7.3, SUM((DJ318*(20/100))+(DK318*(30/100))+(DL318*(50/100))) &gt;=6.8),7,
IF(AND( SUM((DJ318*(20/100))+(DK318*(30/100))+(DL318*(50/100))) &lt;=6.8, SUM((DJ318*(20/100))+(DK318*(30/100))+(DL318*(50/100))) &gt;=6.3),6.5,
IF(AND( SUM((DJ318*(20/100))+(DK318*(30/100))+(DL318*(50/100))) &lt;=6.3, SUM((DJ318*(20/100))+(DK318*(30/100))+(DL318*(50/100))) &gt;=5.8),6,
IF(AND( SUM((DJ318*(20/100))+(DK318*(30/100))+(DL318*(50/100))) &lt;=5.8, SUM((DJ318*(20/100))+(DK318*(30/100))+(DL318*(50/100))) &gt;=5.3),5.5,
IF(AND( SUM((DJ318*(20/100))+(DK318*(30/100))+(DL318*(50/100))) &lt;=5.3, SUM((DJ318*(20/100))+(DK318*(30/100))+(DL318*(50/100))) &gt;=4.8),5,
IF(AND( SUM((DJ318*(20/100))+(DK318*(30/100))+(DL318*(50/100))) &lt;=4.8, SUM((DJ318*(20/100))+(DK318*(30/100))+(DL318*(50/100))) &gt;=4.3),4.5,
IF(AND( SUM((DJ318*(20/100))+(DK318*(30/100))+(DL318*(50/100))) &lt;=4.3, SUM((DJ318*(20/100))+(DK318*(30/100))+(DL318*(50/100))) &gt;=3.8),4,
IF(AND( SUM((DJ318*(20/100))+(DK318*(30/100))+(DL318*(50/100))) &lt;=3.8, SUM((DJ318*(20/100))+(DK318*(30/100))+(DL318*(50/100))) &gt;=3.5),3.5,0)))))))))))))</f>
        <v>0</v>
      </c>
      <c r="DQ318" s="541"/>
      <c r="DR318" s="541"/>
      <c r="DS318" s="541"/>
      <c r="DT318" s="541"/>
      <c r="DU318" s="541"/>
      <c r="DV318" s="541"/>
      <c r="DW318" s="541"/>
      <c r="DX318" s="541"/>
      <c r="DY318" s="541"/>
      <c r="DZ318" s="541"/>
    </row>
    <row r="319" spans="2:130" x14ac:dyDescent="0.25">
      <c r="B319" s="334">
        <v>12</v>
      </c>
      <c r="C319" s="541"/>
      <c r="D319" s="334"/>
      <c r="E319" s="334"/>
      <c r="F319" s="334"/>
      <c r="G319" s="334"/>
      <c r="H319" s="334"/>
      <c r="I319" s="334"/>
      <c r="J319" s="536"/>
      <c r="K319" s="536"/>
      <c r="L319" s="536"/>
      <c r="M319" s="536"/>
      <c r="N319" s="536"/>
      <c r="O319" s="536"/>
      <c r="P319" s="536">
        <f t="shared" si="101"/>
        <v>0</v>
      </c>
      <c r="Q319" s="536"/>
      <c r="R319" s="536"/>
      <c r="S319" s="536"/>
      <c r="T319" s="536">
        <f t="shared" si="102"/>
        <v>0</v>
      </c>
      <c r="U319" s="536"/>
      <c r="V319" s="536"/>
      <c r="W319" s="536"/>
      <c r="X319" s="536">
        <f t="shared" si="103"/>
        <v>0</v>
      </c>
      <c r="Y319" s="536"/>
      <c r="Z319" s="536"/>
      <c r="AA319" s="536"/>
      <c r="AB319" s="536">
        <f t="shared" si="104"/>
        <v>0</v>
      </c>
      <c r="AC319" s="536"/>
      <c r="AD319" s="536"/>
      <c r="AE319" s="536"/>
      <c r="AF319" s="536">
        <f t="shared" si="105"/>
        <v>0</v>
      </c>
      <c r="AG319" s="536"/>
      <c r="AH319" s="536"/>
      <c r="AI319" s="536"/>
      <c r="AJ319" s="536">
        <f t="shared" si="106"/>
        <v>0</v>
      </c>
      <c r="AK319" s="536"/>
      <c r="AL319" s="536"/>
      <c r="AM319" s="536"/>
      <c r="AN319" s="542">
        <f t="shared" si="107"/>
        <v>0</v>
      </c>
      <c r="AO319" s="536"/>
      <c r="AP319" s="536"/>
      <c r="AQ319" s="536"/>
      <c r="AR319" s="542">
        <f t="shared" si="108"/>
        <v>0</v>
      </c>
      <c r="AS319" s="536"/>
      <c r="AT319" s="536"/>
      <c r="AU319" s="536"/>
      <c r="AV319" s="542">
        <f t="shared" si="109"/>
        <v>0</v>
      </c>
      <c r="AW319" s="536"/>
      <c r="AX319" s="536"/>
      <c r="AY319" s="536"/>
      <c r="AZ319" s="542">
        <f t="shared" si="110"/>
        <v>0</v>
      </c>
      <c r="BA319" s="536"/>
      <c r="BB319" s="536"/>
      <c r="BC319" s="536"/>
      <c r="BD319" s="542">
        <f t="shared" si="111"/>
        <v>0</v>
      </c>
      <c r="BE319" s="536"/>
      <c r="BF319" s="536"/>
      <c r="BG319" s="536"/>
      <c r="BH319" s="542">
        <f t="shared" si="112"/>
        <v>0</v>
      </c>
      <c r="BI319" s="536"/>
      <c r="BJ319" s="536"/>
      <c r="BK319" s="536"/>
      <c r="BL319" s="542">
        <f t="shared" si="113"/>
        <v>0</v>
      </c>
      <c r="BM319" s="536"/>
      <c r="BN319" s="536"/>
      <c r="BO319" s="536"/>
      <c r="BP319" s="542">
        <f t="shared" si="114"/>
        <v>0</v>
      </c>
      <c r="BQ319" s="536"/>
      <c r="BR319" s="536"/>
      <c r="BS319" s="536"/>
      <c r="BT319" s="542">
        <f t="shared" si="115"/>
        <v>0</v>
      </c>
      <c r="BU319" s="536"/>
      <c r="BV319" s="536"/>
      <c r="BW319" s="536"/>
      <c r="BX319" s="542">
        <f t="shared" si="116"/>
        <v>0</v>
      </c>
      <c r="BY319" s="536"/>
      <c r="BZ319" s="536"/>
      <c r="CA319" s="536"/>
      <c r="CB319" s="542">
        <v>0</v>
      </c>
      <c r="CC319" s="536"/>
      <c r="CD319" s="536"/>
      <c r="CE319" s="536"/>
      <c r="CF319" s="541">
        <f t="shared" si="117"/>
        <v>0</v>
      </c>
      <c r="CG319" s="536"/>
      <c r="CH319" s="536"/>
      <c r="CI319" s="536"/>
      <c r="CJ319" s="541">
        <f t="shared" si="118"/>
        <v>0</v>
      </c>
      <c r="CK319" s="536"/>
      <c r="CL319" s="536"/>
      <c r="CM319" s="536"/>
      <c r="CN319" s="541">
        <f t="shared" si="119"/>
        <v>0</v>
      </c>
      <c r="CO319" s="536"/>
      <c r="CP319" s="536"/>
      <c r="CQ319" s="536"/>
      <c r="CR319" s="541">
        <f t="shared" si="120"/>
        <v>0</v>
      </c>
      <c r="CS319" s="536"/>
      <c r="CT319" s="536"/>
      <c r="CU319" s="536"/>
      <c r="CV319" s="541">
        <f t="shared" si="121"/>
        <v>0</v>
      </c>
      <c r="CW319" s="536"/>
      <c r="CX319" s="536"/>
      <c r="CY319" s="536"/>
      <c r="CZ319" s="541">
        <f t="shared" si="122"/>
        <v>0</v>
      </c>
      <c r="DA319" s="536"/>
      <c r="DB319" s="536"/>
      <c r="DC319" s="536"/>
      <c r="DD319" s="541">
        <f t="shared" si="123"/>
        <v>0</v>
      </c>
      <c r="DE319" s="536"/>
      <c r="DF319" s="536"/>
      <c r="DG319" s="536"/>
      <c r="DH319" s="541">
        <f t="shared" si="124"/>
        <v>0</v>
      </c>
      <c r="DI319" s="536"/>
      <c r="DJ319" s="536"/>
      <c r="DK319" s="536"/>
      <c r="DL319" s="541">
        <f t="shared" si="125"/>
        <v>0</v>
      </c>
      <c r="DM319" s="536"/>
      <c r="DN319" s="536"/>
      <c r="DO319" s="536"/>
      <c r="DP319" s="541">
        <f>IF( SUM((DJ319*(20/100))+(DK319*(30/100))+(DL319*(50/100))) &gt;=9.3,9.5,
IF(AND( SUM((DJ319*(20/100))+(DK319*(30/100))+(DL319*(50/100))) &lt;=9.3, SUM((DJ319*(20/100))+(DK319*(30/100))+(DL319*(50/100))) &gt;=8.8),9,
IF(AND( SUM((DJ319*(20/100))+(DK319*(30/100))+(DL319*(50/100))) &lt;=8.8, SUM((DJ319*(20/100))+(DK319*(30/100))+(DL319*(50/100))) &gt;=8.3),8.5,
IF(AND( SUM((DJ319*(20/100))+(DK319*(30/100))+(DL319*(50/100))) &lt;=8.3, SUM((DJ319*(20/100))+(DK319*(30/100))+(DL319*(50/100))) &gt;=7.8),8,
IF(AND( SUM((DJ319*(20/100))+(DK319*(30/100))+(DL319*(50/100))) &lt;=7.8, SUM((DJ319*(20/100))+(DK319*(30/100))+(DL319*(50/100))) &gt;=7.3),7.5,
IF(AND( SUM((DJ319*(20/100))+(DK319*(30/100))+(DL319*(50/100))) &lt;=7.3, SUM((DJ319*(20/100))+(DK319*(30/100))+(DL319*(50/100))) &gt;=6.8),7,
IF(AND( SUM((DJ319*(20/100))+(DK319*(30/100))+(DL319*(50/100))) &lt;=6.8, SUM((DJ319*(20/100))+(DK319*(30/100))+(DL319*(50/100))) &gt;=6.3),6.5,
IF(AND( SUM((DJ319*(20/100))+(DK319*(30/100))+(DL319*(50/100))) &lt;=6.3, SUM((DJ319*(20/100))+(DK319*(30/100))+(DL319*(50/100))) &gt;=5.8),6,
IF(AND( SUM((DJ319*(20/100))+(DK319*(30/100))+(DL319*(50/100))) &lt;=5.8, SUM((DJ319*(20/100))+(DK319*(30/100))+(DL319*(50/100))) &gt;=5.3),5.5,
IF(AND( SUM((DJ319*(20/100))+(DK319*(30/100))+(DL319*(50/100))) &lt;=5.3, SUM((DJ319*(20/100))+(DK319*(30/100))+(DL319*(50/100))) &gt;=4.8),5,
IF(AND( SUM((DJ319*(20/100))+(DK319*(30/100))+(DL319*(50/100))) &lt;=4.8, SUM((DJ319*(20/100))+(DK319*(30/100))+(DL319*(50/100))) &gt;=4.3),4.5,
IF(AND( SUM((DJ319*(20/100))+(DK319*(30/100))+(DL319*(50/100))) &lt;=4.3, SUM((DJ319*(20/100))+(DK319*(30/100))+(DL319*(50/100))) &gt;=3.8),4,
IF(AND( SUM((DJ319*(20/100))+(DK319*(30/100))+(DL319*(50/100))) &lt;=3.8, SUM((DJ319*(20/100))+(DK319*(30/100))+(DL319*(50/100))) &gt;=3.5),3.5,0)))))))))))))</f>
        <v>0</v>
      </c>
      <c r="DQ319" s="541"/>
      <c r="DR319" s="541"/>
      <c r="DS319" s="541"/>
      <c r="DT319" s="541"/>
      <c r="DU319" s="541"/>
      <c r="DV319" s="541"/>
      <c r="DW319" s="541"/>
      <c r="DX319" s="541"/>
      <c r="DY319" s="541"/>
      <c r="DZ319" s="541"/>
    </row>
    <row r="320" spans="2:130" x14ac:dyDescent="0.25">
      <c r="B320" s="334">
        <v>13</v>
      </c>
      <c r="C320" s="541"/>
      <c r="D320" s="334"/>
      <c r="E320" s="334"/>
      <c r="F320" s="334"/>
      <c r="G320" s="334"/>
      <c r="H320" s="334"/>
      <c r="I320" s="334"/>
      <c r="J320" s="536"/>
      <c r="K320" s="536"/>
      <c r="L320" s="536"/>
      <c r="M320" s="536"/>
      <c r="N320" s="536"/>
      <c r="O320" s="536"/>
      <c r="P320" s="536">
        <f t="shared" si="101"/>
        <v>0</v>
      </c>
      <c r="Q320" s="536"/>
      <c r="R320" s="536"/>
      <c r="S320" s="536"/>
      <c r="T320" s="536">
        <f t="shared" si="102"/>
        <v>0</v>
      </c>
      <c r="U320" s="536"/>
      <c r="V320" s="536"/>
      <c r="W320" s="536"/>
      <c r="X320" s="536">
        <f t="shared" si="103"/>
        <v>0</v>
      </c>
      <c r="Y320" s="536"/>
      <c r="Z320" s="536"/>
      <c r="AA320" s="536"/>
      <c r="AB320" s="536">
        <f t="shared" si="104"/>
        <v>0</v>
      </c>
      <c r="AC320" s="536"/>
      <c r="AD320" s="536"/>
      <c r="AE320" s="536"/>
      <c r="AF320" s="536">
        <f t="shared" si="105"/>
        <v>0</v>
      </c>
      <c r="AG320" s="536"/>
      <c r="AH320" s="536"/>
      <c r="AI320" s="536"/>
      <c r="AJ320" s="536">
        <f t="shared" si="106"/>
        <v>0</v>
      </c>
      <c r="AK320" s="536"/>
      <c r="AL320" s="536"/>
      <c r="AM320" s="536"/>
      <c r="AN320" s="542">
        <f t="shared" si="107"/>
        <v>0</v>
      </c>
      <c r="AO320" s="536"/>
      <c r="AP320" s="536"/>
      <c r="AQ320" s="536"/>
      <c r="AR320" s="542">
        <f t="shared" si="108"/>
        <v>0</v>
      </c>
      <c r="AS320" s="536"/>
      <c r="AT320" s="536"/>
      <c r="AU320" s="536"/>
      <c r="AV320" s="542">
        <f t="shared" si="109"/>
        <v>0</v>
      </c>
      <c r="AW320" s="536"/>
      <c r="AX320" s="536"/>
      <c r="AY320" s="536"/>
      <c r="AZ320" s="542">
        <f t="shared" si="110"/>
        <v>0</v>
      </c>
      <c r="BA320" s="536"/>
      <c r="BB320" s="536"/>
      <c r="BC320" s="536"/>
      <c r="BD320" s="542">
        <f t="shared" si="111"/>
        <v>0</v>
      </c>
      <c r="BE320" s="536"/>
      <c r="BF320" s="536"/>
      <c r="BG320" s="536"/>
      <c r="BH320" s="542">
        <f t="shared" si="112"/>
        <v>0</v>
      </c>
      <c r="BI320" s="536"/>
      <c r="BJ320" s="536"/>
      <c r="BK320" s="536"/>
      <c r="BL320" s="542">
        <f t="shared" si="113"/>
        <v>0</v>
      </c>
      <c r="BM320" s="536"/>
      <c r="BN320" s="536"/>
      <c r="BO320" s="536"/>
      <c r="BP320" s="542">
        <f t="shared" si="114"/>
        <v>0</v>
      </c>
      <c r="BQ320" s="536"/>
      <c r="BR320" s="536"/>
      <c r="BS320" s="536"/>
      <c r="BT320" s="542">
        <f t="shared" si="115"/>
        <v>0</v>
      </c>
      <c r="BU320" s="536"/>
      <c r="BV320" s="536"/>
      <c r="BW320" s="536"/>
      <c r="BX320" s="542">
        <f t="shared" si="116"/>
        <v>0</v>
      </c>
      <c r="BY320" s="536"/>
      <c r="BZ320" s="536"/>
      <c r="CA320" s="536"/>
      <c r="CB320" s="542">
        <v>0</v>
      </c>
      <c r="CC320" s="536"/>
      <c r="CD320" s="536"/>
      <c r="CE320" s="536"/>
      <c r="CF320" s="541">
        <f t="shared" si="117"/>
        <v>0</v>
      </c>
      <c r="CG320" s="536"/>
      <c r="CH320" s="536"/>
      <c r="CI320" s="536"/>
      <c r="CJ320" s="541">
        <f t="shared" si="118"/>
        <v>0</v>
      </c>
      <c r="CK320" s="536"/>
      <c r="CL320" s="536"/>
      <c r="CM320" s="536"/>
      <c r="CN320" s="541">
        <f t="shared" si="119"/>
        <v>0</v>
      </c>
      <c r="CO320" s="536"/>
      <c r="CP320" s="536"/>
      <c r="CQ320" s="536"/>
      <c r="CR320" s="541">
        <f t="shared" si="120"/>
        <v>0</v>
      </c>
      <c r="CS320" s="536"/>
      <c r="CT320" s="536"/>
      <c r="CU320" s="536"/>
      <c r="CV320" s="541">
        <f t="shared" si="121"/>
        <v>0</v>
      </c>
      <c r="CW320" s="536"/>
      <c r="CX320" s="536"/>
      <c r="CY320" s="536"/>
      <c r="CZ320" s="541">
        <f t="shared" si="122"/>
        <v>0</v>
      </c>
      <c r="DA320" s="536"/>
      <c r="DB320" s="536"/>
      <c r="DC320" s="536"/>
      <c r="DD320" s="541">
        <f t="shared" si="123"/>
        <v>0</v>
      </c>
      <c r="DE320" s="536"/>
      <c r="DF320" s="536"/>
      <c r="DG320" s="536"/>
      <c r="DH320" s="541">
        <f t="shared" si="124"/>
        <v>0</v>
      </c>
      <c r="DI320" s="536"/>
      <c r="DJ320" s="536"/>
      <c r="DK320" s="536"/>
      <c r="DL320" s="541">
        <f t="shared" si="125"/>
        <v>0</v>
      </c>
      <c r="DM320" s="536"/>
      <c r="DN320" s="536"/>
      <c r="DO320" s="536"/>
      <c r="DP320" s="541">
        <f>IF( SUM((DJ320*(20/100))+(DK320*(30/100))+(DL320*(50/100))) &gt;=9.3,9.5,
IF(AND( SUM((DJ320*(20/100))+(DK320*(30/100))+(DL320*(50/100))) &lt;=9.3, SUM((DJ320*(20/100))+(DK320*(30/100))+(DL320*(50/100))) &gt;=8.8),9,
IF(AND( SUM((DJ320*(20/100))+(DK320*(30/100))+(DL320*(50/100))) &lt;=8.8, SUM((DJ320*(20/100))+(DK320*(30/100))+(DL320*(50/100))) &gt;=8.3),8.5,
IF(AND( SUM((DJ320*(20/100))+(DK320*(30/100))+(DL320*(50/100))) &lt;=8.3, SUM((DJ320*(20/100))+(DK320*(30/100))+(DL320*(50/100))) &gt;=7.8),8,
IF(AND( SUM((DJ320*(20/100))+(DK320*(30/100))+(DL320*(50/100))) &lt;=7.8, SUM((DJ320*(20/100))+(DK320*(30/100))+(DL320*(50/100))) &gt;=7.3),7.5,
IF(AND( SUM((DJ320*(20/100))+(DK320*(30/100))+(DL320*(50/100))) &lt;=7.3, SUM((DJ320*(20/100))+(DK320*(30/100))+(DL320*(50/100))) &gt;=6.8),7,
IF(AND( SUM((DJ320*(20/100))+(DK320*(30/100))+(DL320*(50/100))) &lt;=6.8, SUM((DJ320*(20/100))+(DK320*(30/100))+(DL320*(50/100))) &gt;=6.3),6.5,
IF(AND( SUM((DJ320*(20/100))+(DK320*(30/100))+(DL320*(50/100))) &lt;=6.3, SUM((DJ320*(20/100))+(DK320*(30/100))+(DL320*(50/100))) &gt;=5.8),6,
IF(AND( SUM((DJ320*(20/100))+(DK320*(30/100))+(DL320*(50/100))) &lt;=5.8, SUM((DJ320*(20/100))+(DK320*(30/100))+(DL320*(50/100))) &gt;=5.3),5.5,
IF(AND( SUM((DJ320*(20/100))+(DK320*(30/100))+(DL320*(50/100))) &lt;=5.3, SUM((DJ320*(20/100))+(DK320*(30/100))+(DL320*(50/100))) &gt;=4.8),5,
IF(AND( SUM((DJ320*(20/100))+(DK320*(30/100))+(DL320*(50/100))) &lt;=4.8, SUM((DJ320*(20/100))+(DK320*(30/100))+(DL320*(50/100))) &gt;=4.3),4.5,
IF(AND( SUM((DJ320*(20/100))+(DK320*(30/100))+(DL320*(50/100))) &lt;=4.3, SUM((DJ320*(20/100))+(DK320*(30/100))+(DL320*(50/100))) &gt;=3.8),4,
IF(AND( SUM((DJ320*(20/100))+(DK320*(30/100))+(DL320*(50/100))) &lt;=3.8, SUM((DJ320*(20/100))+(DK320*(30/100))+(DL320*(50/100))) &gt;=3.5),3.5,0)))))))))))))</f>
        <v>0</v>
      </c>
      <c r="DQ320" s="541"/>
      <c r="DR320" s="541"/>
      <c r="DS320" s="541"/>
      <c r="DT320" s="541"/>
      <c r="DU320" s="541"/>
      <c r="DV320" s="541"/>
      <c r="DW320" s="541"/>
      <c r="DX320" s="541"/>
      <c r="DY320" s="541"/>
      <c r="DZ320" s="541"/>
    </row>
    <row r="321" spans="2:130" x14ac:dyDescent="0.25">
      <c r="B321" s="334">
        <v>14</v>
      </c>
      <c r="C321" s="541"/>
      <c r="D321" s="334"/>
      <c r="E321" s="334"/>
      <c r="F321" s="334"/>
      <c r="G321" s="334"/>
      <c r="H321" s="334"/>
      <c r="I321" s="334"/>
      <c r="J321" s="536"/>
      <c r="K321" s="536"/>
      <c r="L321" s="536"/>
      <c r="M321" s="536"/>
      <c r="N321" s="536"/>
      <c r="O321" s="536"/>
      <c r="P321" s="536">
        <f t="shared" si="101"/>
        <v>0</v>
      </c>
      <c r="Q321" s="536"/>
      <c r="R321" s="536"/>
      <c r="S321" s="536"/>
      <c r="T321" s="536">
        <f t="shared" si="102"/>
        <v>0</v>
      </c>
      <c r="U321" s="536"/>
      <c r="V321" s="536"/>
      <c r="W321" s="536"/>
      <c r="X321" s="536">
        <f t="shared" si="103"/>
        <v>0</v>
      </c>
      <c r="Y321" s="536"/>
      <c r="Z321" s="536"/>
      <c r="AA321" s="536"/>
      <c r="AB321" s="536">
        <f t="shared" si="104"/>
        <v>0</v>
      </c>
      <c r="AC321" s="536"/>
      <c r="AD321" s="536"/>
      <c r="AE321" s="536"/>
      <c r="AF321" s="536">
        <f t="shared" si="105"/>
        <v>0</v>
      </c>
      <c r="AG321" s="536"/>
      <c r="AH321" s="536"/>
      <c r="AI321" s="536"/>
      <c r="AJ321" s="536">
        <f t="shared" si="106"/>
        <v>0</v>
      </c>
      <c r="AK321" s="536"/>
      <c r="AL321" s="536"/>
      <c r="AM321" s="536"/>
      <c r="AN321" s="542">
        <f t="shared" si="107"/>
        <v>0</v>
      </c>
      <c r="AO321" s="536"/>
      <c r="AP321" s="536"/>
      <c r="AQ321" s="536"/>
      <c r="AR321" s="542">
        <f t="shared" si="108"/>
        <v>0</v>
      </c>
      <c r="AS321" s="536"/>
      <c r="AT321" s="536"/>
      <c r="AU321" s="536"/>
      <c r="AV321" s="542">
        <f t="shared" si="109"/>
        <v>0</v>
      </c>
      <c r="AW321" s="536"/>
      <c r="AX321" s="536"/>
      <c r="AY321" s="536"/>
      <c r="AZ321" s="542">
        <f t="shared" si="110"/>
        <v>0</v>
      </c>
      <c r="BA321" s="536"/>
      <c r="BB321" s="536"/>
      <c r="BC321" s="536"/>
      <c r="BD321" s="542">
        <f t="shared" si="111"/>
        <v>0</v>
      </c>
      <c r="BE321" s="536"/>
      <c r="BF321" s="536"/>
      <c r="BG321" s="536"/>
      <c r="BH321" s="542">
        <f t="shared" si="112"/>
        <v>0</v>
      </c>
      <c r="BI321" s="536"/>
      <c r="BJ321" s="536"/>
      <c r="BK321" s="536"/>
      <c r="BL321" s="542">
        <f t="shared" si="113"/>
        <v>0</v>
      </c>
      <c r="BM321" s="536"/>
      <c r="BN321" s="536"/>
      <c r="BO321" s="536"/>
      <c r="BP321" s="542">
        <f t="shared" si="114"/>
        <v>0</v>
      </c>
      <c r="BQ321" s="536"/>
      <c r="BR321" s="536"/>
      <c r="BS321" s="536"/>
      <c r="BT321" s="542">
        <f t="shared" si="115"/>
        <v>0</v>
      </c>
      <c r="BU321" s="536"/>
      <c r="BV321" s="536"/>
      <c r="BW321" s="536"/>
      <c r="BX321" s="542">
        <f t="shared" si="116"/>
        <v>0</v>
      </c>
      <c r="BY321" s="536"/>
      <c r="BZ321" s="536"/>
      <c r="CA321" s="536"/>
      <c r="CB321" s="542">
        <v>0</v>
      </c>
      <c r="CC321" s="536"/>
      <c r="CD321" s="536"/>
      <c r="CE321" s="536"/>
      <c r="CF321" s="541">
        <f t="shared" si="117"/>
        <v>0</v>
      </c>
      <c r="CG321" s="536"/>
      <c r="CH321" s="536"/>
      <c r="CI321" s="536"/>
      <c r="CJ321" s="541">
        <f t="shared" si="118"/>
        <v>0</v>
      </c>
      <c r="CK321" s="536"/>
      <c r="CL321" s="536"/>
      <c r="CM321" s="536"/>
      <c r="CN321" s="541">
        <f t="shared" si="119"/>
        <v>0</v>
      </c>
      <c r="CO321" s="536"/>
      <c r="CP321" s="536"/>
      <c r="CQ321" s="536"/>
      <c r="CR321" s="541">
        <f t="shared" si="120"/>
        <v>0</v>
      </c>
      <c r="CS321" s="536"/>
      <c r="CT321" s="536"/>
      <c r="CU321" s="536"/>
      <c r="CV321" s="541">
        <f t="shared" si="121"/>
        <v>0</v>
      </c>
      <c r="CW321" s="536"/>
      <c r="CX321" s="536"/>
      <c r="CY321" s="536"/>
      <c r="CZ321" s="541">
        <f t="shared" si="122"/>
        <v>0</v>
      </c>
      <c r="DA321" s="536"/>
      <c r="DB321" s="536"/>
      <c r="DC321" s="536"/>
      <c r="DD321" s="541">
        <f t="shared" si="123"/>
        <v>0</v>
      </c>
      <c r="DE321" s="536"/>
      <c r="DF321" s="536"/>
      <c r="DG321" s="536"/>
      <c r="DH321" s="541">
        <f t="shared" si="124"/>
        <v>0</v>
      </c>
      <c r="DI321" s="536"/>
      <c r="DJ321" s="536"/>
      <c r="DK321" s="536"/>
      <c r="DL321" s="541">
        <f t="shared" si="125"/>
        <v>0</v>
      </c>
      <c r="DM321" s="536"/>
      <c r="DN321" s="536"/>
      <c r="DO321" s="536"/>
      <c r="DP321" s="541">
        <f>IF( SUM((DJ321*(20/100))+(DK321*(30/100))+(DL321*(50/100))) &gt;=9.3,9.5,
IF(AND( SUM((DJ321*(20/100))+(DK321*(30/100))+(DL321*(50/100))) &lt;=9.3, SUM((DJ321*(20/100))+(DK321*(30/100))+(DL321*(50/100))) &gt;=8.8),9,
IF(AND( SUM((DJ321*(20/100))+(DK321*(30/100))+(DL321*(50/100))) &lt;=8.8, SUM((DJ321*(20/100))+(DK321*(30/100))+(DL321*(50/100))) &gt;=8.3),8.5,
IF(AND( SUM((DJ321*(20/100))+(DK321*(30/100))+(DL321*(50/100))) &lt;=8.3, SUM((DJ321*(20/100))+(DK321*(30/100))+(DL321*(50/100))) &gt;=7.8),8,
IF(AND( SUM((DJ321*(20/100))+(DK321*(30/100))+(DL321*(50/100))) &lt;=7.8, SUM((DJ321*(20/100))+(DK321*(30/100))+(DL321*(50/100))) &gt;=7.3),7.5,
IF(AND( SUM((DJ321*(20/100))+(DK321*(30/100))+(DL321*(50/100))) &lt;=7.3, SUM((DJ321*(20/100))+(DK321*(30/100))+(DL321*(50/100))) &gt;=6.8),7,
IF(AND( SUM((DJ321*(20/100))+(DK321*(30/100))+(DL321*(50/100))) &lt;=6.8, SUM((DJ321*(20/100))+(DK321*(30/100))+(DL321*(50/100))) &gt;=6.3),6.5,
IF(AND( SUM((DJ321*(20/100))+(DK321*(30/100))+(DL321*(50/100))) &lt;=6.3, SUM((DJ321*(20/100))+(DK321*(30/100))+(DL321*(50/100))) &gt;=5.8),6,
IF(AND( SUM((DJ321*(20/100))+(DK321*(30/100))+(DL321*(50/100))) &lt;=5.8, SUM((DJ321*(20/100))+(DK321*(30/100))+(DL321*(50/100))) &gt;=5.3),5.5,
IF(AND( SUM((DJ321*(20/100))+(DK321*(30/100))+(DL321*(50/100))) &lt;=5.3, SUM((DJ321*(20/100))+(DK321*(30/100))+(DL321*(50/100))) &gt;=4.8),5,
IF(AND( SUM((DJ321*(20/100))+(DK321*(30/100))+(DL321*(50/100))) &lt;=4.8, SUM((DJ321*(20/100))+(DK321*(30/100))+(DL321*(50/100))) &gt;=4.3),4.5,
IF(AND( SUM((DJ321*(20/100))+(DK321*(30/100))+(DL321*(50/100))) &lt;=4.3, SUM((DJ321*(20/100))+(DK321*(30/100))+(DL321*(50/100))) &gt;=3.8),4,
IF(AND( SUM((DJ321*(20/100))+(DK321*(30/100))+(DL321*(50/100))) &lt;=3.8, SUM((DJ321*(20/100))+(DK321*(30/100))+(DL321*(50/100))) &gt;=3.5),3.5,0)))))))))))))</f>
        <v>0</v>
      </c>
      <c r="DQ321" s="541"/>
      <c r="DR321" s="541"/>
      <c r="DS321" s="541"/>
      <c r="DT321" s="541"/>
      <c r="DU321" s="541"/>
      <c r="DV321" s="541"/>
      <c r="DW321" s="541"/>
      <c r="DX321" s="541"/>
      <c r="DY321" s="541"/>
      <c r="DZ321" s="541"/>
    </row>
    <row r="322" spans="2:130" x14ac:dyDescent="0.25">
      <c r="B322" s="334">
        <v>15</v>
      </c>
      <c r="C322" s="541"/>
      <c r="D322" s="334"/>
      <c r="E322" s="334"/>
      <c r="F322" s="334"/>
      <c r="G322" s="334"/>
      <c r="H322" s="334"/>
      <c r="I322" s="334"/>
      <c r="J322" s="536"/>
      <c r="K322" s="536"/>
      <c r="L322" s="536"/>
      <c r="M322" s="536"/>
      <c r="N322" s="536"/>
      <c r="O322" s="536"/>
      <c r="P322" s="536">
        <f t="shared" si="101"/>
        <v>0</v>
      </c>
      <c r="Q322" s="536"/>
      <c r="R322" s="536"/>
      <c r="S322" s="536"/>
      <c r="T322" s="536">
        <f t="shared" si="102"/>
        <v>0</v>
      </c>
      <c r="U322" s="536"/>
      <c r="V322" s="536"/>
      <c r="W322" s="536"/>
      <c r="X322" s="536">
        <f t="shared" si="103"/>
        <v>0</v>
      </c>
      <c r="Y322" s="536"/>
      <c r="Z322" s="536"/>
      <c r="AA322" s="536"/>
      <c r="AB322" s="536">
        <f t="shared" si="104"/>
        <v>0</v>
      </c>
      <c r="AC322" s="536"/>
      <c r="AD322" s="536"/>
      <c r="AE322" s="536"/>
      <c r="AF322" s="536">
        <f t="shared" si="105"/>
        <v>0</v>
      </c>
      <c r="AG322" s="536"/>
      <c r="AH322" s="536"/>
      <c r="AI322" s="536"/>
      <c r="AJ322" s="536">
        <f t="shared" si="106"/>
        <v>0</v>
      </c>
      <c r="AK322" s="536"/>
      <c r="AL322" s="536"/>
      <c r="AM322" s="536"/>
      <c r="AN322" s="542">
        <f t="shared" si="107"/>
        <v>0</v>
      </c>
      <c r="AO322" s="536"/>
      <c r="AP322" s="536"/>
      <c r="AQ322" s="536"/>
      <c r="AR322" s="542">
        <f t="shared" si="108"/>
        <v>0</v>
      </c>
      <c r="AS322" s="536"/>
      <c r="AT322" s="536"/>
      <c r="AU322" s="536"/>
      <c r="AV322" s="542">
        <f t="shared" si="109"/>
        <v>0</v>
      </c>
      <c r="AW322" s="536"/>
      <c r="AX322" s="536"/>
      <c r="AY322" s="536"/>
      <c r="AZ322" s="542">
        <f t="shared" si="110"/>
        <v>0</v>
      </c>
      <c r="BA322" s="536"/>
      <c r="BB322" s="536"/>
      <c r="BC322" s="536"/>
      <c r="BD322" s="542">
        <f t="shared" si="111"/>
        <v>0</v>
      </c>
      <c r="BE322" s="536"/>
      <c r="BF322" s="536"/>
      <c r="BG322" s="536"/>
      <c r="BH322" s="542">
        <f t="shared" si="112"/>
        <v>0</v>
      </c>
      <c r="BI322" s="536"/>
      <c r="BJ322" s="536"/>
      <c r="BK322" s="536"/>
      <c r="BL322" s="542">
        <f t="shared" si="113"/>
        <v>0</v>
      </c>
      <c r="BM322" s="536"/>
      <c r="BN322" s="536"/>
      <c r="BO322" s="536"/>
      <c r="BP322" s="542">
        <f t="shared" si="114"/>
        <v>0</v>
      </c>
      <c r="BQ322" s="536"/>
      <c r="BR322" s="536"/>
      <c r="BS322" s="536"/>
      <c r="BT322" s="542">
        <f t="shared" si="115"/>
        <v>0</v>
      </c>
      <c r="BU322" s="536"/>
      <c r="BV322" s="536"/>
      <c r="BW322" s="536"/>
      <c r="BX322" s="542">
        <f t="shared" si="116"/>
        <v>0</v>
      </c>
      <c r="BY322" s="536"/>
      <c r="BZ322" s="536"/>
      <c r="CA322" s="536"/>
      <c r="CB322" s="542">
        <v>0</v>
      </c>
      <c r="CC322" s="536"/>
      <c r="CD322" s="536"/>
      <c r="CE322" s="536"/>
      <c r="CF322" s="541">
        <f t="shared" si="117"/>
        <v>0</v>
      </c>
      <c r="CG322" s="536"/>
      <c r="CH322" s="536"/>
      <c r="CI322" s="536"/>
      <c r="CJ322" s="541">
        <f t="shared" si="118"/>
        <v>0</v>
      </c>
      <c r="CK322" s="536"/>
      <c r="CL322" s="536"/>
      <c r="CM322" s="536"/>
      <c r="CN322" s="541">
        <f t="shared" si="119"/>
        <v>0</v>
      </c>
      <c r="CO322" s="536"/>
      <c r="CP322" s="536"/>
      <c r="CQ322" s="536"/>
      <c r="CR322" s="541">
        <f t="shared" si="120"/>
        <v>0</v>
      </c>
      <c r="CS322" s="536"/>
      <c r="CT322" s="536"/>
      <c r="CU322" s="536"/>
      <c r="CV322" s="541">
        <f t="shared" si="121"/>
        <v>0</v>
      </c>
      <c r="CW322" s="536"/>
      <c r="CX322" s="536"/>
      <c r="CY322" s="536"/>
      <c r="CZ322" s="541">
        <f t="shared" si="122"/>
        <v>0</v>
      </c>
      <c r="DA322" s="536"/>
      <c r="DB322" s="536"/>
      <c r="DC322" s="536"/>
      <c r="DD322" s="541">
        <f t="shared" si="123"/>
        <v>0</v>
      </c>
      <c r="DE322" s="536"/>
      <c r="DF322" s="536"/>
      <c r="DG322" s="536"/>
      <c r="DH322" s="541">
        <f t="shared" si="124"/>
        <v>0</v>
      </c>
      <c r="DI322" s="536"/>
      <c r="DJ322" s="536"/>
      <c r="DK322" s="536"/>
      <c r="DL322" s="541">
        <f t="shared" si="125"/>
        <v>0</v>
      </c>
      <c r="DM322" s="536"/>
      <c r="DN322" s="536"/>
      <c r="DO322" s="536"/>
      <c r="DP322" s="541">
        <f>IF( SUM((DJ322*(20/100))+(DK322*(30/100))+(DL322*(50/100))) &gt;=9.3,9.5,
IF(AND( SUM((DJ322*(20/100))+(DK322*(30/100))+(DL322*(50/100))) &lt;=9.3, SUM((DJ322*(20/100))+(DK322*(30/100))+(DL322*(50/100))) &gt;=8.8),9,
IF(AND( SUM((DJ322*(20/100))+(DK322*(30/100))+(DL322*(50/100))) &lt;=8.8, SUM((DJ322*(20/100))+(DK322*(30/100))+(DL322*(50/100))) &gt;=8.3),8.5,
IF(AND( SUM((DJ322*(20/100))+(DK322*(30/100))+(DL322*(50/100))) &lt;=8.3, SUM((DJ322*(20/100))+(DK322*(30/100))+(DL322*(50/100))) &gt;=7.8),8,
IF(AND( SUM((DJ322*(20/100))+(DK322*(30/100))+(DL322*(50/100))) &lt;=7.8, SUM((DJ322*(20/100))+(DK322*(30/100))+(DL322*(50/100))) &gt;=7.3),7.5,
IF(AND( SUM((DJ322*(20/100))+(DK322*(30/100))+(DL322*(50/100))) &lt;=7.3, SUM((DJ322*(20/100))+(DK322*(30/100))+(DL322*(50/100))) &gt;=6.8),7,
IF(AND( SUM((DJ322*(20/100))+(DK322*(30/100))+(DL322*(50/100))) &lt;=6.8, SUM((DJ322*(20/100))+(DK322*(30/100))+(DL322*(50/100))) &gt;=6.3),6.5,
IF(AND( SUM((DJ322*(20/100))+(DK322*(30/100))+(DL322*(50/100))) &lt;=6.3, SUM((DJ322*(20/100))+(DK322*(30/100))+(DL322*(50/100))) &gt;=5.8),6,
IF(AND( SUM((DJ322*(20/100))+(DK322*(30/100))+(DL322*(50/100))) &lt;=5.8, SUM((DJ322*(20/100))+(DK322*(30/100))+(DL322*(50/100))) &gt;=5.3),5.5,
IF(AND( SUM((DJ322*(20/100))+(DK322*(30/100))+(DL322*(50/100))) &lt;=5.3, SUM((DJ322*(20/100))+(DK322*(30/100))+(DL322*(50/100))) &gt;=4.8),5,
IF(AND( SUM((DJ322*(20/100))+(DK322*(30/100))+(DL322*(50/100))) &lt;=4.8, SUM((DJ322*(20/100))+(DK322*(30/100))+(DL322*(50/100))) &gt;=4.3),4.5,
IF(AND( SUM((DJ322*(20/100))+(DK322*(30/100))+(DL322*(50/100))) &lt;=4.3, SUM((DJ322*(20/100))+(DK322*(30/100))+(DL322*(50/100))) &gt;=3.8),4,
IF(AND( SUM((DJ322*(20/100))+(DK322*(30/100))+(DL322*(50/100))) &lt;=3.8, SUM((DJ322*(20/100))+(DK322*(30/100))+(DL322*(50/100))) &gt;=3.5),3.5,0)))))))))))))</f>
        <v>0</v>
      </c>
      <c r="DQ322" s="541"/>
      <c r="DR322" s="541"/>
      <c r="DS322" s="541"/>
      <c r="DT322" s="541"/>
      <c r="DU322" s="541"/>
      <c r="DV322" s="541"/>
      <c r="DW322" s="541"/>
      <c r="DX322" s="541"/>
      <c r="DY322" s="541"/>
      <c r="DZ322" s="541"/>
    </row>
    <row r="323" spans="2:130" x14ac:dyDescent="0.25">
      <c r="B323" s="334">
        <v>16</v>
      </c>
      <c r="C323" s="541"/>
      <c r="D323" s="334"/>
      <c r="E323" s="334"/>
      <c r="F323" s="334"/>
      <c r="G323" s="334"/>
      <c r="H323" s="334"/>
      <c r="I323" s="334"/>
      <c r="J323" s="536"/>
      <c r="K323" s="536"/>
      <c r="L323" s="536"/>
      <c r="M323" s="536"/>
      <c r="N323" s="536"/>
      <c r="O323" s="536"/>
      <c r="P323" s="536">
        <f t="shared" si="101"/>
        <v>0</v>
      </c>
      <c r="Q323" s="536"/>
      <c r="R323" s="536"/>
      <c r="S323" s="536"/>
      <c r="T323" s="536">
        <f t="shared" si="102"/>
        <v>0</v>
      </c>
      <c r="U323" s="536"/>
      <c r="V323" s="536"/>
      <c r="W323" s="536"/>
      <c r="X323" s="536">
        <f t="shared" si="103"/>
        <v>0</v>
      </c>
      <c r="Y323" s="536"/>
      <c r="Z323" s="536"/>
      <c r="AA323" s="536"/>
      <c r="AB323" s="536">
        <f t="shared" si="104"/>
        <v>0</v>
      </c>
      <c r="AC323" s="536"/>
      <c r="AD323" s="536"/>
      <c r="AE323" s="536"/>
      <c r="AF323" s="536">
        <f t="shared" si="105"/>
        <v>0</v>
      </c>
      <c r="AG323" s="536"/>
      <c r="AH323" s="536"/>
      <c r="AI323" s="536"/>
      <c r="AJ323" s="536">
        <f t="shared" si="106"/>
        <v>0</v>
      </c>
      <c r="AK323" s="536"/>
      <c r="AL323" s="536"/>
      <c r="AM323" s="536"/>
      <c r="AN323" s="542">
        <f t="shared" si="107"/>
        <v>0</v>
      </c>
      <c r="AO323" s="536"/>
      <c r="AP323" s="536"/>
      <c r="AQ323" s="536"/>
      <c r="AR323" s="542">
        <f t="shared" si="108"/>
        <v>0</v>
      </c>
      <c r="AS323" s="536"/>
      <c r="AT323" s="536"/>
      <c r="AU323" s="536"/>
      <c r="AV323" s="542">
        <f t="shared" si="109"/>
        <v>0</v>
      </c>
      <c r="AW323" s="536"/>
      <c r="AX323" s="536"/>
      <c r="AY323" s="536"/>
      <c r="AZ323" s="542">
        <f t="shared" si="110"/>
        <v>0</v>
      </c>
      <c r="BA323" s="536"/>
      <c r="BB323" s="536"/>
      <c r="BC323" s="536"/>
      <c r="BD323" s="542">
        <f t="shared" si="111"/>
        <v>0</v>
      </c>
      <c r="BE323" s="536"/>
      <c r="BF323" s="536"/>
      <c r="BG323" s="536"/>
      <c r="BH323" s="542">
        <f t="shared" si="112"/>
        <v>0</v>
      </c>
      <c r="BI323" s="536"/>
      <c r="BJ323" s="536"/>
      <c r="BK323" s="536"/>
      <c r="BL323" s="542">
        <f t="shared" si="113"/>
        <v>0</v>
      </c>
      <c r="BM323" s="536"/>
      <c r="BN323" s="536"/>
      <c r="BO323" s="536"/>
      <c r="BP323" s="542">
        <f t="shared" si="114"/>
        <v>0</v>
      </c>
      <c r="BQ323" s="536"/>
      <c r="BR323" s="536"/>
      <c r="BS323" s="536"/>
      <c r="BT323" s="542">
        <f t="shared" si="115"/>
        <v>0</v>
      </c>
      <c r="BU323" s="536"/>
      <c r="BV323" s="536"/>
      <c r="BW323" s="536"/>
      <c r="BX323" s="542">
        <f t="shared" si="116"/>
        <v>0</v>
      </c>
      <c r="BY323" s="536"/>
      <c r="BZ323" s="536"/>
      <c r="CA323" s="536"/>
      <c r="CB323" s="542">
        <v>0</v>
      </c>
      <c r="CC323" s="536"/>
      <c r="CD323" s="536"/>
      <c r="CE323" s="536"/>
      <c r="CF323" s="541">
        <f t="shared" si="117"/>
        <v>0</v>
      </c>
      <c r="CG323" s="536"/>
      <c r="CH323" s="536"/>
      <c r="CI323" s="536"/>
      <c r="CJ323" s="541">
        <f t="shared" si="118"/>
        <v>0</v>
      </c>
      <c r="CK323" s="536"/>
      <c r="CL323" s="536"/>
      <c r="CM323" s="536"/>
      <c r="CN323" s="541">
        <f t="shared" si="119"/>
        <v>0</v>
      </c>
      <c r="CO323" s="536"/>
      <c r="CP323" s="536"/>
      <c r="CQ323" s="536"/>
      <c r="CR323" s="541">
        <f t="shared" si="120"/>
        <v>0</v>
      </c>
      <c r="CS323" s="536"/>
      <c r="CT323" s="536"/>
      <c r="CU323" s="536"/>
      <c r="CV323" s="541">
        <f t="shared" si="121"/>
        <v>0</v>
      </c>
      <c r="CW323" s="536"/>
      <c r="CX323" s="536"/>
      <c r="CY323" s="536"/>
      <c r="CZ323" s="541">
        <f t="shared" si="122"/>
        <v>0</v>
      </c>
      <c r="DA323" s="536"/>
      <c r="DB323" s="536"/>
      <c r="DC323" s="536"/>
      <c r="DD323" s="541">
        <f t="shared" si="123"/>
        <v>0</v>
      </c>
      <c r="DE323" s="536"/>
      <c r="DF323" s="536"/>
      <c r="DG323" s="536"/>
      <c r="DH323" s="541">
        <f t="shared" si="124"/>
        <v>0</v>
      </c>
      <c r="DI323" s="536"/>
      <c r="DJ323" s="536"/>
      <c r="DK323" s="536"/>
      <c r="DL323" s="541">
        <f t="shared" si="125"/>
        <v>0</v>
      </c>
      <c r="DM323" s="536"/>
      <c r="DN323" s="536"/>
      <c r="DO323" s="536"/>
      <c r="DP323" s="541">
        <f>IF( SUM((DJ323*(20/100))+(DK323*(30/100))+(DL323*(50/100))) &gt;=9.3,9.5,
IF(AND( SUM((DJ323*(20/100))+(DK323*(30/100))+(DL323*(50/100))) &lt;=9.3, SUM((DJ323*(20/100))+(DK323*(30/100))+(DL323*(50/100))) &gt;=8.8),9,
IF(AND( SUM((DJ323*(20/100))+(DK323*(30/100))+(DL323*(50/100))) &lt;=8.8, SUM((DJ323*(20/100))+(DK323*(30/100))+(DL323*(50/100))) &gt;=8.3),8.5,
IF(AND( SUM((DJ323*(20/100))+(DK323*(30/100))+(DL323*(50/100))) &lt;=8.3, SUM((DJ323*(20/100))+(DK323*(30/100))+(DL323*(50/100))) &gt;=7.8),8,
IF(AND( SUM((DJ323*(20/100))+(DK323*(30/100))+(DL323*(50/100))) &lt;=7.8, SUM((DJ323*(20/100))+(DK323*(30/100))+(DL323*(50/100))) &gt;=7.3),7.5,
IF(AND( SUM((DJ323*(20/100))+(DK323*(30/100))+(DL323*(50/100))) &lt;=7.3, SUM((DJ323*(20/100))+(DK323*(30/100))+(DL323*(50/100))) &gt;=6.8),7,
IF(AND( SUM((DJ323*(20/100))+(DK323*(30/100))+(DL323*(50/100))) &lt;=6.8, SUM((DJ323*(20/100))+(DK323*(30/100))+(DL323*(50/100))) &gt;=6.3),6.5,
IF(AND( SUM((DJ323*(20/100))+(DK323*(30/100))+(DL323*(50/100))) &lt;=6.3, SUM((DJ323*(20/100))+(DK323*(30/100))+(DL323*(50/100))) &gt;=5.8),6,
IF(AND( SUM((DJ323*(20/100))+(DK323*(30/100))+(DL323*(50/100))) &lt;=5.8, SUM((DJ323*(20/100))+(DK323*(30/100))+(DL323*(50/100))) &gt;=5.3),5.5,
IF(AND( SUM((DJ323*(20/100))+(DK323*(30/100))+(DL323*(50/100))) &lt;=5.3, SUM((DJ323*(20/100))+(DK323*(30/100))+(DL323*(50/100))) &gt;=4.8),5,
IF(AND( SUM((DJ323*(20/100))+(DK323*(30/100))+(DL323*(50/100))) &lt;=4.8, SUM((DJ323*(20/100))+(DK323*(30/100))+(DL323*(50/100))) &gt;=4.3),4.5,
IF(AND( SUM((DJ323*(20/100))+(DK323*(30/100))+(DL323*(50/100))) &lt;=4.3, SUM((DJ323*(20/100))+(DK323*(30/100))+(DL323*(50/100))) &gt;=3.8),4,
IF(AND( SUM((DJ323*(20/100))+(DK323*(30/100))+(DL323*(50/100))) &lt;=3.8, SUM((DJ323*(20/100))+(DK323*(30/100))+(DL323*(50/100))) &gt;=3.5),3.5,0)))))))))))))</f>
        <v>0</v>
      </c>
      <c r="DQ323" s="541"/>
      <c r="DR323" s="541"/>
      <c r="DS323" s="541"/>
      <c r="DT323" s="541"/>
      <c r="DU323" s="541"/>
      <c r="DV323" s="541"/>
      <c r="DW323" s="541"/>
      <c r="DX323" s="541"/>
      <c r="DY323" s="541"/>
      <c r="DZ323" s="541"/>
    </row>
    <row r="324" spans="2:130" x14ac:dyDescent="0.25">
      <c r="B324" s="334">
        <v>17</v>
      </c>
      <c r="C324" s="541"/>
      <c r="D324" s="334"/>
      <c r="E324" s="334"/>
      <c r="F324" s="334"/>
      <c r="G324" s="334"/>
      <c r="H324" s="334"/>
      <c r="I324" s="334"/>
      <c r="J324" s="536"/>
      <c r="K324" s="536"/>
      <c r="L324" s="536"/>
      <c r="M324" s="536"/>
      <c r="N324" s="536"/>
      <c r="O324" s="536"/>
      <c r="P324" s="536">
        <f t="shared" si="101"/>
        <v>0</v>
      </c>
      <c r="Q324" s="536"/>
      <c r="R324" s="536"/>
      <c r="S324" s="536"/>
      <c r="T324" s="536">
        <f t="shared" si="102"/>
        <v>0</v>
      </c>
      <c r="U324" s="536"/>
      <c r="V324" s="536"/>
      <c r="W324" s="536"/>
      <c r="X324" s="536">
        <f t="shared" si="103"/>
        <v>0</v>
      </c>
      <c r="Y324" s="536"/>
      <c r="Z324" s="536"/>
      <c r="AA324" s="536"/>
      <c r="AB324" s="536">
        <f t="shared" si="104"/>
        <v>0</v>
      </c>
      <c r="AC324" s="536"/>
      <c r="AD324" s="536"/>
      <c r="AE324" s="536"/>
      <c r="AF324" s="536">
        <f t="shared" si="105"/>
        <v>0</v>
      </c>
      <c r="AG324" s="536"/>
      <c r="AH324" s="536"/>
      <c r="AI324" s="536"/>
      <c r="AJ324" s="536">
        <f t="shared" si="106"/>
        <v>0</v>
      </c>
      <c r="AK324" s="536"/>
      <c r="AL324" s="536"/>
      <c r="AM324" s="536"/>
      <c r="AN324" s="542">
        <f t="shared" si="107"/>
        <v>0</v>
      </c>
      <c r="AO324" s="536"/>
      <c r="AP324" s="536"/>
      <c r="AQ324" s="536"/>
      <c r="AR324" s="542">
        <f t="shared" si="108"/>
        <v>0</v>
      </c>
      <c r="AS324" s="536"/>
      <c r="AT324" s="536"/>
      <c r="AU324" s="536"/>
      <c r="AV324" s="542">
        <f t="shared" si="109"/>
        <v>0</v>
      </c>
      <c r="AW324" s="536"/>
      <c r="AX324" s="536"/>
      <c r="AY324" s="536"/>
      <c r="AZ324" s="542">
        <f t="shared" si="110"/>
        <v>0</v>
      </c>
      <c r="BA324" s="536"/>
      <c r="BB324" s="536"/>
      <c r="BC324" s="536"/>
      <c r="BD324" s="542">
        <f t="shared" si="111"/>
        <v>0</v>
      </c>
      <c r="BE324" s="536"/>
      <c r="BF324" s="536"/>
      <c r="BG324" s="536"/>
      <c r="BH324" s="542">
        <f t="shared" si="112"/>
        <v>0</v>
      </c>
      <c r="BI324" s="536"/>
      <c r="BJ324" s="536"/>
      <c r="BK324" s="536"/>
      <c r="BL324" s="542">
        <f t="shared" si="113"/>
        <v>0</v>
      </c>
      <c r="BM324" s="536"/>
      <c r="BN324" s="536"/>
      <c r="BO324" s="536"/>
      <c r="BP324" s="542">
        <f t="shared" si="114"/>
        <v>0</v>
      </c>
      <c r="BQ324" s="536"/>
      <c r="BR324" s="536"/>
      <c r="BS324" s="536"/>
      <c r="BT324" s="542">
        <f t="shared" si="115"/>
        <v>0</v>
      </c>
      <c r="BU324" s="536"/>
      <c r="BV324" s="536"/>
      <c r="BW324" s="536"/>
      <c r="BX324" s="542">
        <f t="shared" si="116"/>
        <v>0</v>
      </c>
      <c r="BY324" s="536"/>
      <c r="BZ324" s="536"/>
      <c r="CA324" s="536"/>
      <c r="CB324" s="542">
        <v>0</v>
      </c>
      <c r="CC324" s="536"/>
      <c r="CD324" s="536"/>
      <c r="CE324" s="536"/>
      <c r="CF324" s="541">
        <f t="shared" si="117"/>
        <v>0</v>
      </c>
      <c r="CG324" s="536"/>
      <c r="CH324" s="536"/>
      <c r="CI324" s="536"/>
      <c r="CJ324" s="541">
        <f t="shared" si="118"/>
        <v>0</v>
      </c>
      <c r="CK324" s="536"/>
      <c r="CL324" s="536"/>
      <c r="CM324" s="536"/>
      <c r="CN324" s="541">
        <f t="shared" si="119"/>
        <v>0</v>
      </c>
      <c r="CO324" s="536"/>
      <c r="CP324" s="536"/>
      <c r="CQ324" s="536"/>
      <c r="CR324" s="541">
        <f t="shared" si="120"/>
        <v>0</v>
      </c>
      <c r="CS324" s="536"/>
      <c r="CT324" s="536"/>
      <c r="CU324" s="536"/>
      <c r="CV324" s="541">
        <f t="shared" si="121"/>
        <v>0</v>
      </c>
      <c r="CW324" s="536"/>
      <c r="CX324" s="536"/>
      <c r="CY324" s="536"/>
      <c r="CZ324" s="541">
        <f t="shared" si="122"/>
        <v>0</v>
      </c>
      <c r="DA324" s="536"/>
      <c r="DB324" s="536"/>
      <c r="DC324" s="536"/>
      <c r="DD324" s="541">
        <f t="shared" si="123"/>
        <v>0</v>
      </c>
      <c r="DE324" s="536"/>
      <c r="DF324" s="536"/>
      <c r="DG324" s="536"/>
      <c r="DH324" s="541">
        <f t="shared" si="124"/>
        <v>0</v>
      </c>
      <c r="DI324" s="536"/>
      <c r="DJ324" s="536"/>
      <c r="DK324" s="536"/>
      <c r="DL324" s="541">
        <f t="shared" si="125"/>
        <v>0</v>
      </c>
      <c r="DM324" s="536"/>
      <c r="DN324" s="536"/>
      <c r="DO324" s="536"/>
      <c r="DP324" s="541">
        <f>IF( SUM((DJ324*(20/100))+(DK324*(30/100))+(DL324*(50/100))) &gt;=9.3,9.5,
IF(AND( SUM((DJ324*(20/100))+(DK324*(30/100))+(DL324*(50/100))) &lt;=9.3, SUM((DJ324*(20/100))+(DK324*(30/100))+(DL324*(50/100))) &gt;=8.8),9,
IF(AND( SUM((DJ324*(20/100))+(DK324*(30/100))+(DL324*(50/100))) &lt;=8.8, SUM((DJ324*(20/100))+(DK324*(30/100))+(DL324*(50/100))) &gt;=8.3),8.5,
IF(AND( SUM((DJ324*(20/100))+(DK324*(30/100))+(DL324*(50/100))) &lt;=8.3, SUM((DJ324*(20/100))+(DK324*(30/100))+(DL324*(50/100))) &gt;=7.8),8,
IF(AND( SUM((DJ324*(20/100))+(DK324*(30/100))+(DL324*(50/100))) &lt;=7.8, SUM((DJ324*(20/100))+(DK324*(30/100))+(DL324*(50/100))) &gt;=7.3),7.5,
IF(AND( SUM((DJ324*(20/100))+(DK324*(30/100))+(DL324*(50/100))) &lt;=7.3, SUM((DJ324*(20/100))+(DK324*(30/100))+(DL324*(50/100))) &gt;=6.8),7,
IF(AND( SUM((DJ324*(20/100))+(DK324*(30/100))+(DL324*(50/100))) &lt;=6.8, SUM((DJ324*(20/100))+(DK324*(30/100))+(DL324*(50/100))) &gt;=6.3),6.5,
IF(AND( SUM((DJ324*(20/100))+(DK324*(30/100))+(DL324*(50/100))) &lt;=6.3, SUM((DJ324*(20/100))+(DK324*(30/100))+(DL324*(50/100))) &gt;=5.8),6,
IF(AND( SUM((DJ324*(20/100))+(DK324*(30/100))+(DL324*(50/100))) &lt;=5.8, SUM((DJ324*(20/100))+(DK324*(30/100))+(DL324*(50/100))) &gt;=5.3),5.5,
IF(AND( SUM((DJ324*(20/100))+(DK324*(30/100))+(DL324*(50/100))) &lt;=5.3, SUM((DJ324*(20/100))+(DK324*(30/100))+(DL324*(50/100))) &gt;=4.8),5,
IF(AND( SUM((DJ324*(20/100))+(DK324*(30/100))+(DL324*(50/100))) &lt;=4.8, SUM((DJ324*(20/100))+(DK324*(30/100))+(DL324*(50/100))) &gt;=4.3),4.5,
IF(AND( SUM((DJ324*(20/100))+(DK324*(30/100))+(DL324*(50/100))) &lt;=4.3, SUM((DJ324*(20/100))+(DK324*(30/100))+(DL324*(50/100))) &gt;=3.8),4,
IF(AND( SUM((DJ324*(20/100))+(DK324*(30/100))+(DL324*(50/100))) &lt;=3.8, SUM((DJ324*(20/100))+(DK324*(30/100))+(DL324*(50/100))) &gt;=3.5),3.5,0)))))))))))))</f>
        <v>0</v>
      </c>
      <c r="DQ324" s="541"/>
      <c r="DR324" s="541"/>
      <c r="DS324" s="541"/>
      <c r="DT324" s="541"/>
      <c r="DU324" s="541"/>
      <c r="DV324" s="541"/>
      <c r="DW324" s="541"/>
      <c r="DX324" s="541"/>
      <c r="DY324" s="541"/>
      <c r="DZ324" s="541"/>
    </row>
    <row r="325" spans="2:130" x14ac:dyDescent="0.25">
      <c r="B325" s="334">
        <v>18</v>
      </c>
      <c r="C325" s="541"/>
      <c r="D325" s="334"/>
      <c r="E325" s="334"/>
      <c r="F325" s="334"/>
      <c r="G325" s="334"/>
      <c r="H325" s="334"/>
      <c r="I325" s="334"/>
      <c r="J325" s="536"/>
      <c r="K325" s="536"/>
      <c r="L325" s="536"/>
      <c r="M325" s="536"/>
      <c r="N325" s="536"/>
      <c r="O325" s="536"/>
      <c r="P325" s="536">
        <f t="shared" si="101"/>
        <v>0</v>
      </c>
      <c r="Q325" s="536"/>
      <c r="R325" s="536"/>
      <c r="S325" s="536"/>
      <c r="T325" s="536">
        <f t="shared" si="102"/>
        <v>0</v>
      </c>
      <c r="U325" s="536"/>
      <c r="V325" s="536"/>
      <c r="W325" s="536"/>
      <c r="X325" s="536">
        <f t="shared" si="103"/>
        <v>0</v>
      </c>
      <c r="Y325" s="536"/>
      <c r="Z325" s="536"/>
      <c r="AA325" s="536"/>
      <c r="AB325" s="536">
        <f t="shared" si="104"/>
        <v>0</v>
      </c>
      <c r="AC325" s="536"/>
      <c r="AD325" s="536"/>
      <c r="AE325" s="536"/>
      <c r="AF325" s="536">
        <f t="shared" si="105"/>
        <v>0</v>
      </c>
      <c r="AG325" s="536"/>
      <c r="AH325" s="536"/>
      <c r="AI325" s="536"/>
      <c r="AJ325" s="536">
        <f t="shared" si="106"/>
        <v>0</v>
      </c>
      <c r="AK325" s="536"/>
      <c r="AL325" s="536"/>
      <c r="AM325" s="536"/>
      <c r="AN325" s="542">
        <f t="shared" si="107"/>
        <v>0</v>
      </c>
      <c r="AO325" s="536"/>
      <c r="AP325" s="536"/>
      <c r="AQ325" s="536"/>
      <c r="AR325" s="542">
        <f t="shared" si="108"/>
        <v>0</v>
      </c>
      <c r="AS325" s="536"/>
      <c r="AT325" s="536"/>
      <c r="AU325" s="536"/>
      <c r="AV325" s="542">
        <f t="shared" si="109"/>
        <v>0</v>
      </c>
      <c r="AW325" s="536"/>
      <c r="AX325" s="536"/>
      <c r="AY325" s="536"/>
      <c r="AZ325" s="542">
        <f t="shared" si="110"/>
        <v>0</v>
      </c>
      <c r="BA325" s="536"/>
      <c r="BB325" s="536"/>
      <c r="BC325" s="536"/>
      <c r="BD325" s="542">
        <f t="shared" si="111"/>
        <v>0</v>
      </c>
      <c r="BE325" s="536"/>
      <c r="BF325" s="536"/>
      <c r="BG325" s="536"/>
      <c r="BH325" s="542">
        <f t="shared" si="112"/>
        <v>0</v>
      </c>
      <c r="BI325" s="536"/>
      <c r="BJ325" s="536"/>
      <c r="BK325" s="536"/>
      <c r="BL325" s="542">
        <f t="shared" si="113"/>
        <v>0</v>
      </c>
      <c r="BM325" s="536"/>
      <c r="BN325" s="536"/>
      <c r="BO325" s="536"/>
      <c r="BP325" s="542">
        <f t="shared" si="114"/>
        <v>0</v>
      </c>
      <c r="BQ325" s="536"/>
      <c r="BR325" s="536"/>
      <c r="BS325" s="536"/>
      <c r="BT325" s="542">
        <f t="shared" si="115"/>
        <v>0</v>
      </c>
      <c r="BU325" s="536"/>
      <c r="BV325" s="536"/>
      <c r="BW325" s="536"/>
      <c r="BX325" s="542">
        <f t="shared" si="116"/>
        <v>0</v>
      </c>
      <c r="BY325" s="536"/>
      <c r="BZ325" s="536"/>
      <c r="CA325" s="536"/>
      <c r="CB325" s="542">
        <v>0</v>
      </c>
      <c r="CC325" s="536"/>
      <c r="CD325" s="536"/>
      <c r="CE325" s="536"/>
      <c r="CF325" s="541">
        <f t="shared" si="117"/>
        <v>0</v>
      </c>
      <c r="CG325" s="536"/>
      <c r="CH325" s="536"/>
      <c r="CI325" s="536"/>
      <c r="CJ325" s="541">
        <f t="shared" si="118"/>
        <v>0</v>
      </c>
      <c r="CK325" s="536"/>
      <c r="CL325" s="536"/>
      <c r="CM325" s="536"/>
      <c r="CN325" s="541">
        <f t="shared" si="119"/>
        <v>0</v>
      </c>
      <c r="CO325" s="536"/>
      <c r="CP325" s="536"/>
      <c r="CQ325" s="536"/>
      <c r="CR325" s="541">
        <f t="shared" si="120"/>
        <v>0</v>
      </c>
      <c r="CS325" s="536"/>
      <c r="CT325" s="536"/>
      <c r="CU325" s="536"/>
      <c r="CV325" s="541">
        <f t="shared" si="121"/>
        <v>0</v>
      </c>
      <c r="CW325" s="536"/>
      <c r="CX325" s="536"/>
      <c r="CY325" s="536"/>
      <c r="CZ325" s="541">
        <f t="shared" si="122"/>
        <v>0</v>
      </c>
      <c r="DA325" s="536"/>
      <c r="DB325" s="536"/>
      <c r="DC325" s="536"/>
      <c r="DD325" s="541">
        <f t="shared" si="123"/>
        <v>0</v>
      </c>
      <c r="DE325" s="536"/>
      <c r="DF325" s="536"/>
      <c r="DG325" s="536"/>
      <c r="DH325" s="541">
        <f t="shared" si="124"/>
        <v>0</v>
      </c>
      <c r="DI325" s="536"/>
      <c r="DJ325" s="536"/>
      <c r="DK325" s="536"/>
      <c r="DL325" s="541">
        <f t="shared" si="125"/>
        <v>0</v>
      </c>
      <c r="DM325" s="536"/>
      <c r="DN325" s="536"/>
      <c r="DO325" s="536"/>
      <c r="DP325" s="541">
        <f>IF( SUM((DJ325*(20/100))+(DK325*(30/100))+(DL325*(50/100))) &gt;=9.3,9.5,
IF(AND( SUM((DJ325*(20/100))+(DK325*(30/100))+(DL325*(50/100))) &lt;=9.3, SUM((DJ325*(20/100))+(DK325*(30/100))+(DL325*(50/100))) &gt;=8.8),9,
IF(AND( SUM((DJ325*(20/100))+(DK325*(30/100))+(DL325*(50/100))) &lt;=8.8, SUM((DJ325*(20/100))+(DK325*(30/100))+(DL325*(50/100))) &gt;=8.3),8.5,
IF(AND( SUM((DJ325*(20/100))+(DK325*(30/100))+(DL325*(50/100))) &lt;=8.3, SUM((DJ325*(20/100))+(DK325*(30/100))+(DL325*(50/100))) &gt;=7.8),8,
IF(AND( SUM((DJ325*(20/100))+(DK325*(30/100))+(DL325*(50/100))) &lt;=7.8, SUM((DJ325*(20/100))+(DK325*(30/100))+(DL325*(50/100))) &gt;=7.3),7.5,
IF(AND( SUM((DJ325*(20/100))+(DK325*(30/100))+(DL325*(50/100))) &lt;=7.3, SUM((DJ325*(20/100))+(DK325*(30/100))+(DL325*(50/100))) &gt;=6.8),7,
IF(AND( SUM((DJ325*(20/100))+(DK325*(30/100))+(DL325*(50/100))) &lt;=6.8, SUM((DJ325*(20/100))+(DK325*(30/100))+(DL325*(50/100))) &gt;=6.3),6.5,
IF(AND( SUM((DJ325*(20/100))+(DK325*(30/100))+(DL325*(50/100))) &lt;=6.3, SUM((DJ325*(20/100))+(DK325*(30/100))+(DL325*(50/100))) &gt;=5.8),6,
IF(AND( SUM((DJ325*(20/100))+(DK325*(30/100))+(DL325*(50/100))) &lt;=5.8, SUM((DJ325*(20/100))+(DK325*(30/100))+(DL325*(50/100))) &gt;=5.3),5.5,
IF(AND( SUM((DJ325*(20/100))+(DK325*(30/100))+(DL325*(50/100))) &lt;=5.3, SUM((DJ325*(20/100))+(DK325*(30/100))+(DL325*(50/100))) &gt;=4.8),5,
IF(AND( SUM((DJ325*(20/100))+(DK325*(30/100))+(DL325*(50/100))) &lt;=4.8, SUM((DJ325*(20/100))+(DK325*(30/100))+(DL325*(50/100))) &gt;=4.3),4.5,
IF(AND( SUM((DJ325*(20/100))+(DK325*(30/100))+(DL325*(50/100))) &lt;=4.3, SUM((DJ325*(20/100))+(DK325*(30/100))+(DL325*(50/100))) &gt;=3.8),4,
IF(AND( SUM((DJ325*(20/100))+(DK325*(30/100))+(DL325*(50/100))) &lt;=3.8, SUM((DJ325*(20/100))+(DK325*(30/100))+(DL325*(50/100))) &gt;=3.5),3.5,0)))))))))))))</f>
        <v>0</v>
      </c>
      <c r="DQ325" s="541"/>
      <c r="DR325" s="541"/>
      <c r="DS325" s="541"/>
      <c r="DT325" s="541"/>
      <c r="DU325" s="541"/>
      <c r="DV325" s="541"/>
      <c r="DW325" s="541"/>
      <c r="DX325" s="541"/>
      <c r="DY325" s="541"/>
      <c r="DZ325" s="541"/>
    </row>
    <row r="326" spans="2:130" x14ac:dyDescent="0.25">
      <c r="B326" s="334">
        <v>19</v>
      </c>
      <c r="C326" s="541"/>
      <c r="D326" s="334"/>
      <c r="E326" s="334"/>
      <c r="F326" s="334"/>
      <c r="G326" s="334"/>
      <c r="H326" s="334"/>
      <c r="I326" s="334"/>
      <c r="J326" s="536"/>
      <c r="K326" s="536"/>
      <c r="L326" s="536"/>
      <c r="M326" s="536"/>
      <c r="N326" s="536"/>
      <c r="O326" s="536"/>
      <c r="P326" s="536">
        <f t="shared" si="101"/>
        <v>0</v>
      </c>
      <c r="Q326" s="536"/>
      <c r="R326" s="536"/>
      <c r="S326" s="536"/>
      <c r="T326" s="536">
        <f t="shared" si="102"/>
        <v>0</v>
      </c>
      <c r="U326" s="536"/>
      <c r="V326" s="536"/>
      <c r="W326" s="536"/>
      <c r="X326" s="536">
        <f t="shared" si="103"/>
        <v>0</v>
      </c>
      <c r="Y326" s="536"/>
      <c r="Z326" s="536"/>
      <c r="AA326" s="536"/>
      <c r="AB326" s="536">
        <f t="shared" si="104"/>
        <v>0</v>
      </c>
      <c r="AC326" s="536"/>
      <c r="AD326" s="536"/>
      <c r="AE326" s="536"/>
      <c r="AF326" s="536">
        <f t="shared" si="105"/>
        <v>0</v>
      </c>
      <c r="AG326" s="536"/>
      <c r="AH326" s="536"/>
      <c r="AI326" s="536"/>
      <c r="AJ326" s="536">
        <f t="shared" si="106"/>
        <v>0</v>
      </c>
      <c r="AK326" s="536"/>
      <c r="AL326" s="536"/>
      <c r="AM326" s="536"/>
      <c r="AN326" s="542">
        <f t="shared" si="107"/>
        <v>0</v>
      </c>
      <c r="AO326" s="536"/>
      <c r="AP326" s="536"/>
      <c r="AQ326" s="536"/>
      <c r="AR326" s="542">
        <f t="shared" si="108"/>
        <v>0</v>
      </c>
      <c r="AS326" s="536"/>
      <c r="AT326" s="536"/>
      <c r="AU326" s="536"/>
      <c r="AV326" s="542">
        <f t="shared" si="109"/>
        <v>0</v>
      </c>
      <c r="AW326" s="536"/>
      <c r="AX326" s="536"/>
      <c r="AY326" s="536"/>
      <c r="AZ326" s="542">
        <f t="shared" si="110"/>
        <v>0</v>
      </c>
      <c r="BA326" s="536"/>
      <c r="BB326" s="536"/>
      <c r="BC326" s="536"/>
      <c r="BD326" s="542">
        <f t="shared" si="111"/>
        <v>0</v>
      </c>
      <c r="BE326" s="536"/>
      <c r="BF326" s="536"/>
      <c r="BG326" s="536"/>
      <c r="BH326" s="542">
        <f t="shared" si="112"/>
        <v>0</v>
      </c>
      <c r="BI326" s="536"/>
      <c r="BJ326" s="536"/>
      <c r="BK326" s="536"/>
      <c r="BL326" s="542">
        <f t="shared" si="113"/>
        <v>0</v>
      </c>
      <c r="BM326" s="536"/>
      <c r="BN326" s="536"/>
      <c r="BO326" s="536"/>
      <c r="BP326" s="542">
        <f t="shared" si="114"/>
        <v>0</v>
      </c>
      <c r="BQ326" s="536"/>
      <c r="BR326" s="536"/>
      <c r="BS326" s="536"/>
      <c r="BT326" s="542">
        <f t="shared" si="115"/>
        <v>0</v>
      </c>
      <c r="BU326" s="536"/>
      <c r="BV326" s="536"/>
      <c r="BW326" s="536"/>
      <c r="BX326" s="542">
        <f t="shared" si="116"/>
        <v>0</v>
      </c>
      <c r="BY326" s="536"/>
      <c r="BZ326" s="536"/>
      <c r="CA326" s="536"/>
      <c r="CB326" s="542">
        <v>0</v>
      </c>
      <c r="CC326" s="536"/>
      <c r="CD326" s="536"/>
      <c r="CE326" s="536"/>
      <c r="CF326" s="541">
        <f t="shared" si="117"/>
        <v>0</v>
      </c>
      <c r="CG326" s="536"/>
      <c r="CH326" s="536"/>
      <c r="CI326" s="536"/>
      <c r="CJ326" s="541">
        <f t="shared" si="118"/>
        <v>0</v>
      </c>
      <c r="CK326" s="536"/>
      <c r="CL326" s="536"/>
      <c r="CM326" s="536"/>
      <c r="CN326" s="541">
        <f t="shared" si="119"/>
        <v>0</v>
      </c>
      <c r="CO326" s="536"/>
      <c r="CP326" s="536"/>
      <c r="CQ326" s="536"/>
      <c r="CR326" s="541">
        <f t="shared" si="120"/>
        <v>0</v>
      </c>
      <c r="CS326" s="536"/>
      <c r="CT326" s="536"/>
      <c r="CU326" s="536"/>
      <c r="CV326" s="541">
        <f t="shared" si="121"/>
        <v>0</v>
      </c>
      <c r="CW326" s="536"/>
      <c r="CX326" s="536"/>
      <c r="CY326" s="536"/>
      <c r="CZ326" s="541">
        <f t="shared" si="122"/>
        <v>0</v>
      </c>
      <c r="DA326" s="536"/>
      <c r="DB326" s="536"/>
      <c r="DC326" s="536"/>
      <c r="DD326" s="541">
        <f t="shared" si="123"/>
        <v>0</v>
      </c>
      <c r="DE326" s="536"/>
      <c r="DF326" s="536"/>
      <c r="DG326" s="536"/>
      <c r="DH326" s="541">
        <f t="shared" si="124"/>
        <v>0</v>
      </c>
      <c r="DI326" s="536"/>
      <c r="DJ326" s="536"/>
      <c r="DK326" s="536"/>
      <c r="DL326" s="541">
        <f t="shared" si="125"/>
        <v>0</v>
      </c>
      <c r="DM326" s="536"/>
      <c r="DN326" s="536"/>
      <c r="DO326" s="536"/>
      <c r="DP326" s="541">
        <f>IF( SUM((DJ326*(20/100))+(DK326*(30/100))+(DL326*(50/100))) &gt;=9.3,9.5,
IF(AND( SUM((DJ326*(20/100))+(DK326*(30/100))+(DL326*(50/100))) &lt;=9.3, SUM((DJ326*(20/100))+(DK326*(30/100))+(DL326*(50/100))) &gt;=8.8),9,
IF(AND( SUM((DJ326*(20/100))+(DK326*(30/100))+(DL326*(50/100))) &lt;=8.8, SUM((DJ326*(20/100))+(DK326*(30/100))+(DL326*(50/100))) &gt;=8.3),8.5,
IF(AND( SUM((DJ326*(20/100))+(DK326*(30/100))+(DL326*(50/100))) &lt;=8.3, SUM((DJ326*(20/100))+(DK326*(30/100))+(DL326*(50/100))) &gt;=7.8),8,
IF(AND( SUM((DJ326*(20/100))+(DK326*(30/100))+(DL326*(50/100))) &lt;=7.8, SUM((DJ326*(20/100))+(DK326*(30/100))+(DL326*(50/100))) &gt;=7.3),7.5,
IF(AND( SUM((DJ326*(20/100))+(DK326*(30/100))+(DL326*(50/100))) &lt;=7.3, SUM((DJ326*(20/100))+(DK326*(30/100))+(DL326*(50/100))) &gt;=6.8),7,
IF(AND( SUM((DJ326*(20/100))+(DK326*(30/100))+(DL326*(50/100))) &lt;=6.8, SUM((DJ326*(20/100))+(DK326*(30/100))+(DL326*(50/100))) &gt;=6.3),6.5,
IF(AND( SUM((DJ326*(20/100))+(DK326*(30/100))+(DL326*(50/100))) &lt;=6.3, SUM((DJ326*(20/100))+(DK326*(30/100))+(DL326*(50/100))) &gt;=5.8),6,
IF(AND( SUM((DJ326*(20/100))+(DK326*(30/100))+(DL326*(50/100))) &lt;=5.8, SUM((DJ326*(20/100))+(DK326*(30/100))+(DL326*(50/100))) &gt;=5.3),5.5,
IF(AND( SUM((DJ326*(20/100))+(DK326*(30/100))+(DL326*(50/100))) &lt;=5.3, SUM((DJ326*(20/100))+(DK326*(30/100))+(DL326*(50/100))) &gt;=4.8),5,
IF(AND( SUM((DJ326*(20/100))+(DK326*(30/100))+(DL326*(50/100))) &lt;=4.8, SUM((DJ326*(20/100))+(DK326*(30/100))+(DL326*(50/100))) &gt;=4.3),4.5,
IF(AND( SUM((DJ326*(20/100))+(DK326*(30/100))+(DL326*(50/100))) &lt;=4.3, SUM((DJ326*(20/100))+(DK326*(30/100))+(DL326*(50/100))) &gt;=3.8),4,
IF(AND( SUM((DJ326*(20/100))+(DK326*(30/100))+(DL326*(50/100))) &lt;=3.8, SUM((DJ326*(20/100))+(DK326*(30/100))+(DL326*(50/100))) &gt;=3.5),3.5,0)))))))))))))</f>
        <v>0</v>
      </c>
      <c r="DQ326" s="541"/>
      <c r="DR326" s="541"/>
      <c r="DS326" s="541"/>
      <c r="DT326" s="541"/>
      <c r="DU326" s="541"/>
      <c r="DV326" s="541"/>
      <c r="DW326" s="541"/>
      <c r="DX326" s="541"/>
      <c r="DY326" s="541"/>
      <c r="DZ326" s="541"/>
    </row>
    <row r="327" spans="2:130" x14ac:dyDescent="0.25">
      <c r="B327" s="334">
        <v>20</v>
      </c>
      <c r="C327" s="541"/>
      <c r="D327" s="334"/>
      <c r="E327" s="334"/>
      <c r="F327" s="334"/>
      <c r="G327" s="334"/>
      <c r="H327" s="334"/>
      <c r="I327" s="334"/>
      <c r="J327" s="536"/>
      <c r="K327" s="536"/>
      <c r="L327" s="536"/>
      <c r="M327" s="536"/>
      <c r="N327" s="536"/>
      <c r="O327" s="536"/>
      <c r="P327" s="536">
        <f t="shared" si="101"/>
        <v>0</v>
      </c>
      <c r="Q327" s="536"/>
      <c r="R327" s="536"/>
      <c r="S327" s="536"/>
      <c r="T327" s="536">
        <f t="shared" si="102"/>
        <v>0</v>
      </c>
      <c r="U327" s="536"/>
      <c r="V327" s="536"/>
      <c r="W327" s="536"/>
      <c r="X327" s="536">
        <f t="shared" si="103"/>
        <v>0</v>
      </c>
      <c r="Y327" s="536"/>
      <c r="Z327" s="536"/>
      <c r="AA327" s="536"/>
      <c r="AB327" s="536">
        <f t="shared" si="104"/>
        <v>0</v>
      </c>
      <c r="AC327" s="536"/>
      <c r="AD327" s="536"/>
      <c r="AE327" s="536"/>
      <c r="AF327" s="536">
        <f t="shared" si="105"/>
        <v>0</v>
      </c>
      <c r="AG327" s="536"/>
      <c r="AH327" s="536"/>
      <c r="AI327" s="536"/>
      <c r="AJ327" s="536">
        <f t="shared" si="106"/>
        <v>0</v>
      </c>
      <c r="AK327" s="536"/>
      <c r="AL327" s="536"/>
      <c r="AM327" s="536"/>
      <c r="AN327" s="542">
        <f t="shared" si="107"/>
        <v>0</v>
      </c>
      <c r="AO327" s="536"/>
      <c r="AP327" s="536"/>
      <c r="AQ327" s="536"/>
      <c r="AR327" s="542">
        <f t="shared" si="108"/>
        <v>0</v>
      </c>
      <c r="AS327" s="536"/>
      <c r="AT327" s="536"/>
      <c r="AU327" s="536"/>
      <c r="AV327" s="542">
        <f t="shared" si="109"/>
        <v>0</v>
      </c>
      <c r="AW327" s="536"/>
      <c r="AX327" s="536"/>
      <c r="AY327" s="536"/>
      <c r="AZ327" s="542">
        <f t="shared" si="110"/>
        <v>0</v>
      </c>
      <c r="BA327" s="536"/>
      <c r="BB327" s="536"/>
      <c r="BC327" s="536"/>
      <c r="BD327" s="542">
        <f t="shared" si="111"/>
        <v>0</v>
      </c>
      <c r="BE327" s="536"/>
      <c r="BF327" s="536"/>
      <c r="BG327" s="536"/>
      <c r="BH327" s="542">
        <f t="shared" si="112"/>
        <v>0</v>
      </c>
      <c r="BI327" s="536"/>
      <c r="BJ327" s="536"/>
      <c r="BK327" s="536"/>
      <c r="BL327" s="542">
        <f t="shared" si="113"/>
        <v>0</v>
      </c>
      <c r="BM327" s="536"/>
      <c r="BN327" s="536"/>
      <c r="BO327" s="536"/>
      <c r="BP327" s="542">
        <f t="shared" si="114"/>
        <v>0</v>
      </c>
      <c r="BQ327" s="536"/>
      <c r="BR327" s="536"/>
      <c r="BS327" s="536"/>
      <c r="BT327" s="542">
        <f t="shared" si="115"/>
        <v>0</v>
      </c>
      <c r="BU327" s="536"/>
      <c r="BV327" s="536"/>
      <c r="BW327" s="536"/>
      <c r="BX327" s="542">
        <f t="shared" si="116"/>
        <v>0</v>
      </c>
      <c r="BY327" s="536"/>
      <c r="BZ327" s="536"/>
      <c r="CA327" s="536"/>
      <c r="CB327" s="542">
        <v>0</v>
      </c>
      <c r="CC327" s="536"/>
      <c r="CD327" s="536"/>
      <c r="CE327" s="536"/>
      <c r="CF327" s="541">
        <f t="shared" si="117"/>
        <v>0</v>
      </c>
      <c r="CG327" s="536"/>
      <c r="CH327" s="536"/>
      <c r="CI327" s="536"/>
      <c r="CJ327" s="541">
        <f t="shared" si="118"/>
        <v>0</v>
      </c>
      <c r="CK327" s="536"/>
      <c r="CL327" s="536"/>
      <c r="CM327" s="536"/>
      <c r="CN327" s="541">
        <f t="shared" si="119"/>
        <v>0</v>
      </c>
      <c r="CO327" s="536"/>
      <c r="CP327" s="536"/>
      <c r="CQ327" s="536"/>
      <c r="CR327" s="541">
        <f t="shared" si="120"/>
        <v>0</v>
      </c>
      <c r="CS327" s="536"/>
      <c r="CT327" s="536"/>
      <c r="CU327" s="536"/>
      <c r="CV327" s="541">
        <f t="shared" si="121"/>
        <v>0</v>
      </c>
      <c r="CW327" s="536"/>
      <c r="CX327" s="536"/>
      <c r="CY327" s="536"/>
      <c r="CZ327" s="541">
        <f t="shared" si="122"/>
        <v>0</v>
      </c>
      <c r="DA327" s="536"/>
      <c r="DB327" s="536"/>
      <c r="DC327" s="536"/>
      <c r="DD327" s="541">
        <f t="shared" si="123"/>
        <v>0</v>
      </c>
      <c r="DE327" s="536"/>
      <c r="DF327" s="536"/>
      <c r="DG327" s="536"/>
      <c r="DH327" s="541">
        <f t="shared" si="124"/>
        <v>0</v>
      </c>
      <c r="DI327" s="536"/>
      <c r="DJ327" s="536"/>
      <c r="DK327" s="536"/>
      <c r="DL327" s="541">
        <f t="shared" si="125"/>
        <v>0</v>
      </c>
      <c r="DM327" s="536"/>
      <c r="DN327" s="536"/>
      <c r="DO327" s="536"/>
      <c r="DP327" s="541">
        <f>IF( SUM((DJ327*(20/100))+(DK327*(30/100))+(DL327*(50/100))) &gt;=9.3,9.5,
IF(AND( SUM((DJ327*(20/100))+(DK327*(30/100))+(DL327*(50/100))) &lt;=9.3, SUM((DJ327*(20/100))+(DK327*(30/100))+(DL327*(50/100))) &gt;=8.8),9,
IF(AND( SUM((DJ327*(20/100))+(DK327*(30/100))+(DL327*(50/100))) &lt;=8.8, SUM((DJ327*(20/100))+(DK327*(30/100))+(DL327*(50/100))) &gt;=8.3),8.5,
IF(AND( SUM((DJ327*(20/100))+(DK327*(30/100))+(DL327*(50/100))) &lt;=8.3, SUM((DJ327*(20/100))+(DK327*(30/100))+(DL327*(50/100))) &gt;=7.8),8,
IF(AND( SUM((DJ327*(20/100))+(DK327*(30/100))+(DL327*(50/100))) &lt;=7.8, SUM((DJ327*(20/100))+(DK327*(30/100))+(DL327*(50/100))) &gt;=7.3),7.5,
IF(AND( SUM((DJ327*(20/100))+(DK327*(30/100))+(DL327*(50/100))) &lt;=7.3, SUM((DJ327*(20/100))+(DK327*(30/100))+(DL327*(50/100))) &gt;=6.8),7,
IF(AND( SUM((DJ327*(20/100))+(DK327*(30/100))+(DL327*(50/100))) &lt;=6.8, SUM((DJ327*(20/100))+(DK327*(30/100))+(DL327*(50/100))) &gt;=6.3),6.5,
IF(AND( SUM((DJ327*(20/100))+(DK327*(30/100))+(DL327*(50/100))) &lt;=6.3, SUM((DJ327*(20/100))+(DK327*(30/100))+(DL327*(50/100))) &gt;=5.8),6,
IF(AND( SUM((DJ327*(20/100))+(DK327*(30/100))+(DL327*(50/100))) &lt;=5.8, SUM((DJ327*(20/100))+(DK327*(30/100))+(DL327*(50/100))) &gt;=5.3),5.5,
IF(AND( SUM((DJ327*(20/100))+(DK327*(30/100))+(DL327*(50/100))) &lt;=5.3, SUM((DJ327*(20/100))+(DK327*(30/100))+(DL327*(50/100))) &gt;=4.8),5,
IF(AND( SUM((DJ327*(20/100))+(DK327*(30/100))+(DL327*(50/100))) &lt;=4.8, SUM((DJ327*(20/100))+(DK327*(30/100))+(DL327*(50/100))) &gt;=4.3),4.5,
IF(AND( SUM((DJ327*(20/100))+(DK327*(30/100))+(DL327*(50/100))) &lt;=4.3, SUM((DJ327*(20/100))+(DK327*(30/100))+(DL327*(50/100))) &gt;=3.8),4,
IF(AND( SUM((DJ327*(20/100))+(DK327*(30/100))+(DL327*(50/100))) &lt;=3.8, SUM((DJ327*(20/100))+(DK327*(30/100))+(DL327*(50/100))) &gt;=3.5),3.5,0)))))))))))))</f>
        <v>0</v>
      </c>
      <c r="DQ327" s="541"/>
      <c r="DR327" s="541"/>
      <c r="DS327" s="541"/>
      <c r="DT327" s="541"/>
      <c r="DU327" s="541"/>
      <c r="DV327" s="541"/>
      <c r="DW327" s="541"/>
      <c r="DX327" s="541"/>
      <c r="DY327" s="541"/>
      <c r="DZ327" s="541"/>
    </row>
    <row r="328" spans="2:130" x14ac:dyDescent="0.25">
      <c r="B328" s="334">
        <v>21</v>
      </c>
      <c r="C328" s="541"/>
      <c r="D328" s="334"/>
      <c r="E328" s="334"/>
      <c r="F328" s="334"/>
      <c r="G328" s="334"/>
      <c r="H328" s="334"/>
      <c r="I328" s="334"/>
      <c r="J328" s="536"/>
      <c r="K328" s="536"/>
      <c r="L328" s="536"/>
      <c r="M328" s="536"/>
      <c r="N328" s="536"/>
      <c r="O328" s="536"/>
      <c r="P328" s="536">
        <f t="shared" si="101"/>
        <v>0</v>
      </c>
      <c r="Q328" s="536"/>
      <c r="R328" s="536"/>
      <c r="S328" s="536"/>
      <c r="T328" s="536">
        <f t="shared" si="102"/>
        <v>0</v>
      </c>
      <c r="U328" s="536"/>
      <c r="V328" s="536"/>
      <c r="W328" s="536"/>
      <c r="X328" s="536">
        <f t="shared" si="103"/>
        <v>0</v>
      </c>
      <c r="Y328" s="536"/>
      <c r="Z328" s="536"/>
      <c r="AA328" s="536"/>
      <c r="AB328" s="536">
        <f t="shared" si="104"/>
        <v>0</v>
      </c>
      <c r="AC328" s="536"/>
      <c r="AD328" s="536"/>
      <c r="AE328" s="536"/>
      <c r="AF328" s="536">
        <f t="shared" si="105"/>
        <v>0</v>
      </c>
      <c r="AG328" s="536"/>
      <c r="AH328" s="536"/>
      <c r="AI328" s="536"/>
      <c r="AJ328" s="536">
        <f t="shared" si="106"/>
        <v>0</v>
      </c>
      <c r="AK328" s="536"/>
      <c r="AL328" s="536"/>
      <c r="AM328" s="536"/>
      <c r="AN328" s="542">
        <f t="shared" si="107"/>
        <v>0</v>
      </c>
      <c r="AO328" s="536"/>
      <c r="AP328" s="536"/>
      <c r="AQ328" s="536"/>
      <c r="AR328" s="542">
        <f t="shared" si="108"/>
        <v>0</v>
      </c>
      <c r="AS328" s="536"/>
      <c r="AT328" s="536"/>
      <c r="AU328" s="536"/>
      <c r="AV328" s="542">
        <f t="shared" si="109"/>
        <v>0</v>
      </c>
      <c r="AW328" s="536"/>
      <c r="AX328" s="536"/>
      <c r="AY328" s="536"/>
      <c r="AZ328" s="542">
        <f t="shared" si="110"/>
        <v>0</v>
      </c>
      <c r="BA328" s="536"/>
      <c r="BB328" s="536"/>
      <c r="BC328" s="536"/>
      <c r="BD328" s="542">
        <f t="shared" si="111"/>
        <v>0</v>
      </c>
      <c r="BE328" s="536"/>
      <c r="BF328" s="536"/>
      <c r="BG328" s="536"/>
      <c r="BH328" s="542">
        <f t="shared" si="112"/>
        <v>0</v>
      </c>
      <c r="BI328" s="536"/>
      <c r="BJ328" s="536"/>
      <c r="BK328" s="536"/>
      <c r="BL328" s="542">
        <f t="shared" si="113"/>
        <v>0</v>
      </c>
      <c r="BM328" s="536"/>
      <c r="BN328" s="536"/>
      <c r="BO328" s="536"/>
      <c r="BP328" s="542">
        <f t="shared" si="114"/>
        <v>0</v>
      </c>
      <c r="BQ328" s="536"/>
      <c r="BR328" s="536"/>
      <c r="BS328" s="536"/>
      <c r="BT328" s="542">
        <f t="shared" si="115"/>
        <v>0</v>
      </c>
      <c r="BU328" s="536"/>
      <c r="BV328" s="536"/>
      <c r="BW328" s="536"/>
      <c r="BX328" s="542">
        <f t="shared" si="116"/>
        <v>0</v>
      </c>
      <c r="BY328" s="536"/>
      <c r="BZ328" s="536"/>
      <c r="CA328" s="536"/>
      <c r="CB328" s="542">
        <v>0</v>
      </c>
      <c r="CC328" s="536"/>
      <c r="CD328" s="536"/>
      <c r="CE328" s="536"/>
      <c r="CF328" s="541">
        <f t="shared" si="117"/>
        <v>0</v>
      </c>
      <c r="CG328" s="536"/>
      <c r="CH328" s="536"/>
      <c r="CI328" s="536"/>
      <c r="CJ328" s="541">
        <f t="shared" si="118"/>
        <v>0</v>
      </c>
      <c r="CK328" s="536"/>
      <c r="CL328" s="536"/>
      <c r="CM328" s="536"/>
      <c r="CN328" s="541">
        <f t="shared" si="119"/>
        <v>0</v>
      </c>
      <c r="CO328" s="536"/>
      <c r="CP328" s="536"/>
      <c r="CQ328" s="536"/>
      <c r="CR328" s="541">
        <f t="shared" si="120"/>
        <v>0</v>
      </c>
      <c r="CS328" s="536"/>
      <c r="CT328" s="536"/>
      <c r="CU328" s="536"/>
      <c r="CV328" s="541">
        <f t="shared" si="121"/>
        <v>0</v>
      </c>
      <c r="CW328" s="536"/>
      <c r="CX328" s="536"/>
      <c r="CY328" s="536"/>
      <c r="CZ328" s="541">
        <f t="shared" si="122"/>
        <v>0</v>
      </c>
      <c r="DA328" s="536"/>
      <c r="DB328" s="536"/>
      <c r="DC328" s="536"/>
      <c r="DD328" s="541">
        <f t="shared" si="123"/>
        <v>0</v>
      </c>
      <c r="DE328" s="536"/>
      <c r="DF328" s="536"/>
      <c r="DG328" s="536"/>
      <c r="DH328" s="541">
        <f t="shared" si="124"/>
        <v>0</v>
      </c>
      <c r="DI328" s="536"/>
      <c r="DJ328" s="536"/>
      <c r="DK328" s="536"/>
      <c r="DL328" s="541">
        <f t="shared" si="125"/>
        <v>0</v>
      </c>
      <c r="DM328" s="536"/>
      <c r="DN328" s="536"/>
      <c r="DO328" s="536"/>
      <c r="DP328" s="541">
        <f>IF( SUM((DJ328*(20/100))+(DK328*(30/100))+(DL328*(50/100))) &gt;=9.3,9.5,
IF(AND( SUM((DJ328*(20/100))+(DK328*(30/100))+(DL328*(50/100))) &lt;=9.3, SUM((DJ328*(20/100))+(DK328*(30/100))+(DL328*(50/100))) &gt;=8.8),9,
IF(AND( SUM((DJ328*(20/100))+(DK328*(30/100))+(DL328*(50/100))) &lt;=8.8, SUM((DJ328*(20/100))+(DK328*(30/100))+(DL328*(50/100))) &gt;=8.3),8.5,
IF(AND( SUM((DJ328*(20/100))+(DK328*(30/100))+(DL328*(50/100))) &lt;=8.3, SUM((DJ328*(20/100))+(DK328*(30/100))+(DL328*(50/100))) &gt;=7.8),8,
IF(AND( SUM((DJ328*(20/100))+(DK328*(30/100))+(DL328*(50/100))) &lt;=7.8, SUM((DJ328*(20/100))+(DK328*(30/100))+(DL328*(50/100))) &gt;=7.3),7.5,
IF(AND( SUM((DJ328*(20/100))+(DK328*(30/100))+(DL328*(50/100))) &lt;=7.3, SUM((DJ328*(20/100))+(DK328*(30/100))+(DL328*(50/100))) &gt;=6.8),7,
IF(AND( SUM((DJ328*(20/100))+(DK328*(30/100))+(DL328*(50/100))) &lt;=6.8, SUM((DJ328*(20/100))+(DK328*(30/100))+(DL328*(50/100))) &gt;=6.3),6.5,
IF(AND( SUM((DJ328*(20/100))+(DK328*(30/100))+(DL328*(50/100))) &lt;=6.3, SUM((DJ328*(20/100))+(DK328*(30/100))+(DL328*(50/100))) &gt;=5.8),6,
IF(AND( SUM((DJ328*(20/100))+(DK328*(30/100))+(DL328*(50/100))) &lt;=5.8, SUM((DJ328*(20/100))+(DK328*(30/100))+(DL328*(50/100))) &gt;=5.3),5.5,
IF(AND( SUM((DJ328*(20/100))+(DK328*(30/100))+(DL328*(50/100))) &lt;=5.3, SUM((DJ328*(20/100))+(DK328*(30/100))+(DL328*(50/100))) &gt;=4.8),5,
IF(AND( SUM((DJ328*(20/100))+(DK328*(30/100))+(DL328*(50/100))) &lt;=4.8, SUM((DJ328*(20/100))+(DK328*(30/100))+(DL328*(50/100))) &gt;=4.3),4.5,
IF(AND( SUM((DJ328*(20/100))+(DK328*(30/100))+(DL328*(50/100))) &lt;=4.3, SUM((DJ328*(20/100))+(DK328*(30/100))+(DL328*(50/100))) &gt;=3.8),4,
IF(AND( SUM((DJ328*(20/100))+(DK328*(30/100))+(DL328*(50/100))) &lt;=3.8, SUM((DJ328*(20/100))+(DK328*(30/100))+(DL328*(50/100))) &gt;=3.5),3.5,0)))))))))))))</f>
        <v>0</v>
      </c>
      <c r="DQ328" s="541"/>
      <c r="DR328" s="541"/>
      <c r="DS328" s="541"/>
      <c r="DT328" s="541"/>
      <c r="DU328" s="541"/>
      <c r="DV328" s="541"/>
      <c r="DW328" s="541"/>
      <c r="DX328" s="541"/>
      <c r="DY328" s="541"/>
      <c r="DZ328" s="541"/>
    </row>
    <row r="329" spans="2:130" x14ac:dyDescent="0.25">
      <c r="B329" s="334">
        <v>22</v>
      </c>
      <c r="C329" s="541"/>
      <c r="D329" s="334"/>
      <c r="E329" s="334"/>
      <c r="F329" s="334"/>
      <c r="G329" s="334"/>
      <c r="H329" s="334"/>
      <c r="I329" s="334"/>
      <c r="J329" s="536"/>
      <c r="K329" s="536"/>
      <c r="L329" s="536"/>
      <c r="M329" s="536"/>
      <c r="N329" s="536"/>
      <c r="O329" s="536"/>
      <c r="P329" s="536">
        <f t="shared" ref="P329:P392" si="126">IF( SUM((M329*(20/100))+(N329*(30/100))+(O329*(50/100))) &gt;=9.3,9.5,
IF(AND( SUM((M329*(20/100))+(N329*(30/100))+(O329*(50/100))) &lt;=9.3, SUM((M329*(20/100))+(N329*(30/100))+(O329*(50/100))) &gt;=8.8),9,
IF(AND( SUM((M329*(20/100))+(N329*(30/100))+(O329*(50/100))) &lt;=8.8, SUM((M329*(20/100))+(N329*(30/100))+(O329*(50/100))) &gt;=8.3),8.5,
IF(AND( SUM((M329*(20/100))+(N329*(30/100))+(O329*(50/100))) &lt;=8.3, SUM((M329*(20/100))+(N329*(30/100))+(O329*(50/100))) &gt;=7.8),8,
IF(AND( SUM((M329*(20/100))+(N329*(30/100))+(O329*(50/100))) &lt;=7.8, SUM((M329*(20/100))+(N329*(30/100))+(O329*(50/100))) &gt;=7.3),7.5,
IF(AND( SUM((M329*(20/100))+(N329*(30/100))+(O329*(50/100))) &lt;=7.3, SUM((M329*(20/100))+(N329*(30/100))+(O329*(50/100))) &gt;=6.8),7,
IF(AND( SUM((M329*(20/100))+(N329*(30/100))+(O329*(50/100))) &lt;=6.8, SUM((M329*(20/100))+(N329*(30/100))+(O329*(50/100))) &gt;=6.3),6.5,
IF(AND( SUM((M329*(20/100))+(N329*(30/100))+(O329*(50/100))) &lt;=6.3, SUM((M329*(20/100))+(N329*(30/100))+(O329*(50/100))) &gt;=5.8),6,
IF(AND( SUM((M329*(20/100))+(N329*(30/100))+(O329*(50/100))) &lt;=5.8, SUM((M329*(20/100))+(N329*(30/100))+(O329*(50/100))) &gt;=5.3),5.5,
IF(AND( SUM((M329*(20/100))+(N329*(30/100))+(O329*(50/100))) &lt;=5.3, SUM((M329*(20/100))+(N329*(30/100))+(O329*(50/100))) &gt;=4.8),5,
IF(AND( SUM((M329*(20/100))+(N329*(30/100))+(O329*(50/100))) &lt;=4.8, SUM((M329*(20/100))+(N329*(30/100))+(O329*(50/100))) &gt;=4.3),4.5,
IF(AND( SUM((M329*(20/100))+(N329*(30/100))+(O329*(50/100))) &lt;=4.3, SUM((M329*(20/100))+(N329*(30/100))+(O329*(50/100))) &gt;=3.8),4,
IF(AND( SUM((M329*(20/100))+(N329*(30/100))+(O329*(50/100))) &lt;=3.8, SUM((M329*(20/100))+(N329*(30/100))+(O329*(50/100))) &gt;=3.5),3.5,0)))))))))))))</f>
        <v>0</v>
      </c>
      <c r="Q329" s="536"/>
      <c r="R329" s="536"/>
      <c r="S329" s="536"/>
      <c r="T329" s="536">
        <f t="shared" ref="T329:T392" si="127">IF( SUM((Q329*(20/100))+(R329*(30/100))+(S329*(50/100))) &gt;=9.3,9.5,
IF(AND( SUM((Q329*(20/100))+(R329*(30/100))+(S329*(50/100))) &lt;=9.3, SUM((Q329*(20/100))+(R329*(30/100))+(S329*(50/100))) &gt;=8.8),9,
IF(AND( SUM((Q329*(20/100))+(R329*(30/100))+(S329*(50/100))) &lt;=8.8, SUM((Q329*(20/100))+(R329*(30/100))+(S329*(50/100))) &gt;=8.3),8.5,
IF(AND( SUM((Q329*(20/100))+(R329*(30/100))+(S329*(50/100))) &lt;=8.3, SUM((Q329*(20/100))+(R329*(30/100))+(S329*(50/100))) &gt;=7.8),8,
IF(AND( SUM((Q329*(20/100))+(R329*(30/100))+(S329*(50/100))) &lt;=7.8, SUM((Q329*(20/100))+(R329*(30/100))+(S329*(50/100))) &gt;=7.3),7.5,
IF(AND( SUM((Q329*(20/100))+(R329*(30/100))+(S329*(50/100))) &lt;=7.3, SUM((Q329*(20/100))+(R329*(30/100))+(S329*(50/100))) &gt;=6.8),7,
IF(AND( SUM((Q329*(20/100))+(R329*(30/100))+(S329*(50/100))) &lt;=6.8, SUM((Q329*(20/100))+(R329*(30/100))+(S329*(50/100))) &gt;=6.3),6.5,
IF(AND( SUM((Q329*(20/100))+(R329*(30/100))+(S329*(50/100))) &lt;=6.3, SUM((Q329*(20/100))+(R329*(30/100))+(S329*(50/100))) &gt;=5.8),6,
IF(AND( SUM((Q329*(20/100))+(R329*(30/100))+(S329*(50/100))) &lt;=5.8, SUM((Q329*(20/100))+(R329*(30/100))+(S329*(50/100))) &gt;=5.3),5.5,
IF(AND( SUM((Q329*(20/100))+(R329*(30/100))+(S329*(50/100))) &lt;=5.3, SUM((Q329*(20/100))+(R329*(30/100))+(S329*(50/100))) &gt;=4.8),5,
IF(AND( SUM((Q329*(20/100))+(R329*(30/100))+(S329*(50/100))) &lt;=4.8, SUM((Q329*(20/100))+(R329*(30/100))+(S329*(50/100))) &gt;=4.3),4.5,
IF(AND( SUM((Q329*(20/100))+(R329*(30/100))+(S329*(50/100))) &lt;=4.3, SUM((Q329*(20/100))+(R329*(30/100))+(S329*(50/100))) &gt;=3.8),4,
IF(AND( SUM((Q329*(20/100))+(R329*(30/100))+(S329*(50/100))) &lt;=3.8, SUM((Q329*(20/100))+(R329*(30/100))+(S329*(50/100))) &gt;=3.5),3.5,0)))))))))))))</f>
        <v>0</v>
      </c>
      <c r="U329" s="536"/>
      <c r="V329" s="536"/>
      <c r="W329" s="536"/>
      <c r="X329" s="536">
        <f t="shared" ref="X329:X392" si="128">IF( SUM((U329*(20/100))+(V329*(30/100))+(W329*(50/100))) &gt;=9.3,9.5,
IF(AND( SUM((U329*(20/100))+(V329*(30/100))+(W329*(50/100))) &lt;=9.3, SUM((U329*(20/100))+(V329*(30/100))+(W329*(50/100))) &gt;=8.8),9,
IF(AND( SUM((U329*(20/100))+(V329*(30/100))+(W329*(50/100))) &lt;=8.8, SUM((U329*(20/100))+(V329*(30/100))+(W329*(50/100))) &gt;=8.3),8.5,
IF(AND( SUM((U329*(20/100))+(V329*(30/100))+(W329*(50/100))) &lt;=8.3, SUM((U329*(20/100))+(V329*(30/100))+(W329*(50/100))) &gt;=7.8),8,
IF(AND( SUM((U329*(20/100))+(V329*(30/100))+(W329*(50/100))) &lt;=7.8, SUM((U329*(20/100))+(V329*(30/100))+(W329*(50/100))) &gt;=7.3),7.5,
IF(AND( SUM((U329*(20/100))+(V329*(30/100))+(W329*(50/100))) &lt;=7.3, SUM((U329*(20/100))+(V329*(30/100))+(W329*(50/100))) &gt;=6.8),7,
IF(AND( SUM((U329*(20/100))+(V329*(30/100))+(W329*(50/100))) &lt;=6.8, SUM((U329*(20/100))+(V329*(30/100))+(W329*(50/100))) &gt;=6.3),6.5,
IF(AND( SUM((U329*(20/100))+(V329*(30/100))+(W329*(50/100))) &lt;=6.3, SUM((U329*(20/100))+(V329*(30/100))+(W329*(50/100))) &gt;=5.8),6,
IF(AND( SUM((U329*(20/100))+(V329*(30/100))+(W329*(50/100))) &lt;=5.8, SUM((U329*(20/100))+(V329*(30/100))+(W329*(50/100))) &gt;=5.3),5.5,
IF(AND( SUM((U329*(20/100))+(V329*(30/100))+(W329*(50/100))) &lt;=5.3, SUM((U329*(20/100))+(V329*(30/100))+(W329*(50/100))) &gt;=4.8),5,
IF(AND( SUM((U329*(20/100))+(V329*(30/100))+(W329*(50/100))) &lt;=4.8, SUM((U329*(20/100))+(V329*(30/100))+(W329*(50/100))) &gt;=4.3),4.5,
IF(AND( SUM((U329*(20/100))+(V329*(30/100))+(W329*(50/100))) &lt;=4.3, SUM((U329*(20/100))+(V329*(30/100))+(W329*(50/100))) &gt;=3.8),4,
IF(AND( SUM((U329*(20/100))+(V329*(30/100))+(W329*(50/100))) &lt;=3.8, SUM((U329*(20/100))+(V329*(30/100))+(W329*(50/100))) &gt;=3.5),3.5,0)))))))))))))</f>
        <v>0</v>
      </c>
      <c r="Y329" s="536"/>
      <c r="Z329" s="536"/>
      <c r="AA329" s="536"/>
      <c r="AB329" s="536">
        <f t="shared" ref="AB329:AB392" si="129">IF( SUM((Y329*(20/100))+(Z329*(30/100))+(AA329*(50/100))) &gt;=9.3,9.5,
IF(AND( SUM((Y329*(20/100))+(Z329*(30/100))+(AA329*(50/100))) &lt;=9.3, SUM((Y329*(20/100))+(Z329*(30/100))+(AA329*(50/100))) &gt;=8.8),9,
IF(AND( SUM((Y329*(20/100))+(Z329*(30/100))+(AA329*(50/100))) &lt;=8.8, SUM((Y329*(20/100))+(Z329*(30/100))+(AA329*(50/100))) &gt;=8.3),8.5,
IF(AND( SUM((Y329*(20/100))+(Z329*(30/100))+(AA329*(50/100))) &lt;=8.3, SUM((Y329*(20/100))+(Z329*(30/100))+(AA329*(50/100))) &gt;=7.8),8,
IF(AND( SUM((Y329*(20/100))+(Z329*(30/100))+(AA329*(50/100))) &lt;=7.8, SUM((Y329*(20/100))+(Z329*(30/100))+(AA329*(50/100))) &gt;=7.3),7.5,
IF(AND( SUM((Y329*(20/100))+(Z329*(30/100))+(AA329*(50/100))) &lt;=7.3, SUM((Y329*(20/100))+(Z329*(30/100))+(AA329*(50/100))) &gt;=6.8),7,
IF(AND( SUM((Y329*(20/100))+(Z329*(30/100))+(AA329*(50/100))) &lt;=6.8, SUM((Y329*(20/100))+(Z329*(30/100))+(AA329*(50/100))) &gt;=6.3),6.5,
IF(AND( SUM((Y329*(20/100))+(Z329*(30/100))+(AA329*(50/100))) &lt;=6.3, SUM((Y329*(20/100))+(Z329*(30/100))+(AA329*(50/100))) &gt;=5.8),6,
IF(AND( SUM((Y329*(20/100))+(Z329*(30/100))+(AA329*(50/100))) &lt;=5.8, SUM((Y329*(20/100))+(Z329*(30/100))+(AA329*(50/100))) &gt;=5.3),5.5,
IF(AND( SUM((Y329*(20/100))+(Z329*(30/100))+(AA329*(50/100))) &lt;=5.3, SUM((Y329*(20/100))+(Z329*(30/100))+(AA329*(50/100))) &gt;=4.8),5,
IF(AND( SUM((Y329*(20/100))+(Z329*(30/100))+(AA329*(50/100))) &lt;=4.8, SUM((Y329*(20/100))+(Z329*(30/100))+(AA329*(50/100))) &gt;=4.3),4.5,
IF(AND( SUM((Y329*(20/100))+(Z329*(30/100))+(AA329*(50/100))) &lt;=4.3, SUM((Y329*(20/100))+(Z329*(30/100))+(AA329*(50/100))) &gt;=3.8),4,
IF(AND( SUM((Y329*(20/100))+(Z329*(30/100))+(AA329*(50/100))) &lt;=3.8, SUM((Y329*(20/100))+(Z329*(30/100))+(AA329*(50/100))) &gt;=3.5),3.5,0)))))))))))))</f>
        <v>0</v>
      </c>
      <c r="AC329" s="536"/>
      <c r="AD329" s="536"/>
      <c r="AE329" s="536"/>
      <c r="AF329" s="536">
        <f t="shared" ref="AF329:AF392" si="130">IF( SUM((AC329*(20/100))+(AD329*(30/100))+(AE329*(50/100))) &gt;=9.3,9.5,
IF(AND( SUM((AC329*(20/100))+(AD329*(30/100))+(AE329*(50/100))) &lt;=9.3, SUM((AC329*(20/100))+(AD329*(30/100))+(AE329*(50/100))) &gt;=8.8),9,
IF(AND( SUM((AC329*(20/100))+(AD329*(30/100))+(AE329*(50/100))) &lt;=8.8, SUM((AC329*(20/100))+(AD329*(30/100))+(AE329*(50/100))) &gt;=8.3),8.5,
IF(AND( SUM((AC329*(20/100))+(AD329*(30/100))+(AE329*(50/100))) &lt;=8.3, SUM((AC329*(20/100))+(AD329*(30/100))+(AE329*(50/100))) &gt;=7.8),8,
IF(AND( SUM((AC329*(20/100))+(AD329*(30/100))+(AE329*(50/100))) &lt;=7.8, SUM((AC329*(20/100))+(AD329*(30/100))+(AE329*(50/100))) &gt;=7.3),7.5,
IF(AND( SUM((AC329*(20/100))+(AD329*(30/100))+(AE329*(50/100))) &lt;=7.3, SUM((AC329*(20/100))+(AD329*(30/100))+(AE329*(50/100))) &gt;=6.8),7,
IF(AND( SUM((AC329*(20/100))+(AD329*(30/100))+(AE329*(50/100))) &lt;=6.8, SUM((AC329*(20/100))+(AD329*(30/100))+(AE329*(50/100))) &gt;=6.3),6.5,
IF(AND( SUM((AC329*(20/100))+(AD329*(30/100))+(AE329*(50/100))) &lt;=6.3, SUM((AC329*(20/100))+(AD329*(30/100))+(AE329*(50/100))) &gt;=5.8),6,
IF(AND( SUM((AC329*(20/100))+(AD329*(30/100))+(AE329*(50/100))) &lt;=5.8, SUM((AC329*(20/100))+(AD329*(30/100))+(AE329*(50/100))) &gt;=5.3),5.5,
IF(AND( SUM((AC329*(20/100))+(AD329*(30/100))+(AE329*(50/100))) &lt;=5.3, SUM((AC329*(20/100))+(AD329*(30/100))+(AE329*(50/100))) &gt;=4.8),5,
IF(AND( SUM((AC329*(20/100))+(AD329*(30/100))+(AE329*(50/100))) &lt;=4.8, SUM((AC329*(20/100))+(AD329*(30/100))+(AE329*(50/100))) &gt;=4.3),4.5,
IF(AND( SUM((AC329*(20/100))+(AD329*(30/100))+(AE329*(50/100))) &lt;=4.3, SUM((AC329*(20/100))+(AD329*(30/100))+(AE329*(50/100))) &gt;=3.8),4,
IF(AND( SUM((AC329*(20/100))+(AD329*(30/100))+(AE329*(50/100))) &lt;=3.8, SUM((AC329*(20/100))+(AD329*(30/100))+(AE329*(50/100))) &gt;=3.5),3.5,0)))))))))))))</f>
        <v>0</v>
      </c>
      <c r="AG329" s="536"/>
      <c r="AH329" s="536"/>
      <c r="AI329" s="536"/>
      <c r="AJ329" s="536">
        <f t="shared" ref="AJ329:AJ392" si="131">IF( SUM((AG329*(20/100))+(AH329*(30/100))+(AI329*(50/100))) &gt;=9.3,9.5,
IF(AND( SUM((AG329*(20/100))+(AH329*(30/100))+(AI329*(50/100))) &lt;=9.3, SUM((AG329*(20/100))+(AH329*(30/100))+(AI329*(50/100))) &gt;=8.8),9,
IF(AND( SUM((AG329*(20/100))+(AH329*(30/100))+(AI329*(50/100))) &lt;=8.8, SUM((AG329*(20/100))+(AH329*(30/100))+(AI329*(50/100))) &gt;=8.3),8.5,
IF(AND( SUM((AG329*(20/100))+(AH329*(30/100))+(AI329*(50/100))) &lt;=8.3, SUM((AG329*(20/100))+(AH329*(30/100))+(AI329*(50/100))) &gt;=7.8),8,
IF(AND( SUM((AG329*(20/100))+(AH329*(30/100))+(AI329*(50/100))) &lt;=7.8, SUM((AG329*(20/100))+(AH329*(30/100))+(AI329*(50/100))) &gt;=7.3),7.5,
IF(AND( SUM((AG329*(20/100))+(AH329*(30/100))+(AI329*(50/100))) &lt;=7.3, SUM((AG329*(20/100))+(AH329*(30/100))+(AI329*(50/100))) &gt;=6.8),7,
IF(AND( SUM((AG329*(20/100))+(AH329*(30/100))+(AI329*(50/100))) &lt;=6.8, SUM((AG329*(20/100))+(AH329*(30/100))+(AI329*(50/100))) &gt;=6.3),6.5,
IF(AND( SUM((AG329*(20/100))+(AH329*(30/100))+(AI329*(50/100))) &lt;=6.3, SUM((AG329*(20/100))+(AH329*(30/100))+(AI329*(50/100))) &gt;=5.8),6,
IF(AND( SUM((AG329*(20/100))+(AH329*(30/100))+(AI329*(50/100))) &lt;=5.8, SUM((AG329*(20/100))+(AH329*(30/100))+(AI329*(50/100))) &gt;=5.3),5.5,
IF(AND( SUM((AG329*(20/100))+(AH329*(30/100))+(AI329*(50/100))) &lt;=5.3, SUM((AG329*(20/100))+(AH329*(30/100))+(AI329*(50/100))) &gt;=4.8),5,
IF(AND( SUM((AG329*(20/100))+(AH329*(30/100))+(AI329*(50/100))) &lt;=4.8, SUM((AG329*(20/100))+(AH329*(30/100))+(AI329*(50/100))) &gt;=4.3),4.5,
IF(AND( SUM((AG329*(20/100))+(AH329*(30/100))+(AI329*(50/100))) &lt;=4.3, SUM((AG329*(20/100))+(AH329*(30/100))+(AI329*(50/100))) &gt;=3.8),4,
IF(AND( SUM((AG329*(20/100))+(AH329*(30/100))+(AI329*(50/100))) &lt;=3.8, SUM((AG329*(20/100))+(AH329*(30/100))+(AI329*(50/100))) &gt;=3.5),3.5,0)))))))))))))</f>
        <v>0</v>
      </c>
      <c r="AK329" s="536"/>
      <c r="AL329" s="536"/>
      <c r="AM329" s="536"/>
      <c r="AN329" s="542">
        <f t="shared" ref="AN329:AN392" si="132">IF( SUM((AK329*(20/100))+(AL329*(30/100))+(AM329*(50/100))) &gt;=9.3,9.5,
IF(AND( SUM((AK329*(20/100))+(AL329*(30/100))+(AM329*(50/100))) &lt;=9.3, SUM((AK329*(20/100))+(AL329*(30/100))+(AM329*(50/100))) &gt;=8.8),9,
IF(AND( SUM((AK329*(20/100))+(AL329*(30/100))+(AM329*(50/100))) &lt;=8.8, SUM((AK329*(20/100))+(AL329*(30/100))+(AM329*(50/100))) &gt;=8.3),8.5,
IF(AND( SUM((AK329*(20/100))+(AL329*(30/100))+(AM329*(50/100))) &lt;=8.3, SUM((AK329*(20/100))+(AL329*(30/100))+(AM329*(50/100))) &gt;=7.8),8,
IF(AND( SUM((AK329*(20/100))+(AL329*(30/100))+(AM329*(50/100))) &lt;=7.8, SUM((AK329*(20/100))+(AL329*(30/100))+(AM329*(50/100))) &gt;=7.3),7.5,
IF(AND( SUM((AK329*(20/100))+(AL329*(30/100))+(AM329*(50/100))) &lt;=7.3, SUM((AK329*(20/100))+(AL329*(30/100))+(AM329*(50/100))) &gt;=6.8),7,
IF(AND( SUM((AK329*(20/100))+(AL329*(30/100))+(AM329*(50/100))) &lt;=6.8, SUM((AK329*(20/100))+(AL329*(30/100))+(AM329*(50/100))) &gt;=6.3),6.5,
IF(AND( SUM((AK329*(20/100))+(AL329*(30/100))+(AM329*(50/100))) &lt;=6.3, SUM((AK329*(20/100))+(AL329*(30/100))+(AM329*(50/100))) &gt;=5.8),6,
IF(AND( SUM((AK329*(20/100))+(AL329*(30/100))+(AM329*(50/100))) &lt;=5.8, SUM((AK329*(20/100))+(AL329*(30/100))+(AM329*(50/100))) &gt;=5.3),5.5,
IF(AND( SUM((AK329*(20/100))+(AL329*(30/100))+(AM329*(50/100))) &lt;=5.3, SUM((AK329*(20/100))+(AL329*(30/100))+(AM329*(50/100))) &gt;=4.8),5,
IF(AND( SUM((AK329*(20/100))+(AL329*(30/100))+(AM329*(50/100))) &lt;=4.8, SUM((AK329*(20/100))+(AL329*(30/100))+(AM329*(50/100))) &gt;=4.3),4.5,
IF(AND( SUM((AK329*(20/100))+(AL329*(30/100))+(AM329*(50/100))) &lt;=4.3, SUM((AK329*(20/100))+(AL329*(30/100))+(AM329*(50/100))) &gt;=3.8),4,
IF(AND( SUM((AK329*(20/100))+(AL329*(30/100))+(AM329*(50/100))) &lt;=3.8, SUM((AK329*(20/100))+(AL329*(30/100))+(AM329*(50/100))) &gt;=3.5),3.5,0)))))))))))))</f>
        <v>0</v>
      </c>
      <c r="AO329" s="536"/>
      <c r="AP329" s="536"/>
      <c r="AQ329" s="536"/>
      <c r="AR329" s="542">
        <f t="shared" ref="AR329:AR392" si="133">IF( SUM((AO329*(20/100))+(AP329*(30/100))+(AQ329*(50/100))) &gt;=9.3,9.5,
IF(AND( SUM((AO329*(20/100))+(AP329*(30/100))+(AQ329*(50/100))) &lt;=9.3, SUM((AO329*(20/100))+(AP329*(30/100))+(AQ329*(50/100))) &gt;=8.8),9,
IF(AND( SUM((AO329*(20/100))+(AP329*(30/100))+(AQ329*(50/100))) &lt;=8.8, SUM((AO329*(20/100))+(AP329*(30/100))+(AQ329*(50/100))) &gt;=8.3),8.5,
IF(AND( SUM((AO329*(20/100))+(AP329*(30/100))+(AQ329*(50/100))) &lt;=8.3, SUM((AO329*(20/100))+(AP329*(30/100))+(AQ329*(50/100))) &gt;=7.8),8,
IF(AND( SUM((AO329*(20/100))+(AP329*(30/100))+(AQ329*(50/100))) &lt;=7.8, SUM((AO329*(20/100))+(AP329*(30/100))+(AQ329*(50/100))) &gt;=7.3),7.5,
IF(AND( SUM((AO329*(20/100))+(AP329*(30/100))+(AQ329*(50/100))) &lt;=7.3, SUM((AO329*(20/100))+(AP329*(30/100))+(AQ329*(50/100))) &gt;=6.8),7,
IF(AND( SUM((AO329*(20/100))+(AP329*(30/100))+(AQ329*(50/100))) &lt;=6.8, SUM((AO329*(20/100))+(AP329*(30/100))+(AQ329*(50/100))) &gt;=6.3),6.5,
IF(AND( SUM((AO329*(20/100))+(AP329*(30/100))+(AQ329*(50/100))) &lt;=6.3, SUM((AO329*(20/100))+(AP329*(30/100))+(AQ329*(50/100))) &gt;=5.8),6,
IF(AND( SUM((AO329*(20/100))+(AP329*(30/100))+(AQ329*(50/100))) &lt;=5.8, SUM((AO329*(20/100))+(AP329*(30/100))+(AQ329*(50/100))) &gt;=5.3),5.5,
IF(AND( SUM((AO329*(20/100))+(AP329*(30/100))+(AQ329*(50/100))) &lt;=5.3, SUM((AO329*(20/100))+(AP329*(30/100))+(AQ329*(50/100))) &gt;=4.8),5,
IF(AND( SUM((AO329*(20/100))+(AP329*(30/100))+(AQ329*(50/100))) &lt;=4.8, SUM((AO329*(20/100))+(AP329*(30/100))+(AQ329*(50/100))) &gt;=4.3),4.5,
IF(AND( SUM((AO329*(20/100))+(AP329*(30/100))+(AQ329*(50/100))) &lt;=4.3, SUM((AO329*(20/100))+(AP329*(30/100))+(AQ329*(50/100))) &gt;=3.8),4,
IF(AND( SUM((AO329*(20/100))+(AP329*(30/100))+(AQ329*(50/100))) &lt;=3.8, SUM((AO329*(20/100))+(AP329*(30/100))+(AQ329*(50/100))) &gt;=3.5),3.5,0)))))))))))))</f>
        <v>0</v>
      </c>
      <c r="AS329" s="536"/>
      <c r="AT329" s="536"/>
      <c r="AU329" s="536"/>
      <c r="AV329" s="542">
        <f t="shared" ref="AV329:AV392" si="134">IF( SUM((AS329*(20/100))+(AT329*(30/100))+(AU329*(50/100))) &gt;=9.3,9.5,
IF(AND( SUM((AS329*(20/100))+(AT329*(30/100))+(AU329*(50/100))) &lt;=9.3, SUM((AS329*(20/100))+(AT329*(30/100))+(AU329*(50/100))) &gt;=8.8),9,
IF(AND( SUM((AS329*(20/100))+(AT329*(30/100))+(AU329*(50/100))) &lt;=8.8, SUM((AS329*(20/100))+(AT329*(30/100))+(AU329*(50/100))) &gt;=8.3),8.5,
IF(AND( SUM((AS329*(20/100))+(AT329*(30/100))+(AU329*(50/100))) &lt;=8.3, SUM((AS329*(20/100))+(AT329*(30/100))+(AU329*(50/100))) &gt;=7.8),8,
IF(AND( SUM((AS329*(20/100))+(AT329*(30/100))+(AU329*(50/100))) &lt;=7.8, SUM((AS329*(20/100))+(AT329*(30/100))+(AU329*(50/100))) &gt;=7.3),7.5,
IF(AND( SUM((AS329*(20/100))+(AT329*(30/100))+(AU329*(50/100))) &lt;=7.3, SUM((AS329*(20/100))+(AT329*(30/100))+(AU329*(50/100))) &gt;=6.8),7,
IF(AND( SUM((AS329*(20/100))+(AT329*(30/100))+(AU329*(50/100))) &lt;=6.8, SUM((AS329*(20/100))+(AT329*(30/100))+(AU329*(50/100))) &gt;=6.3),6.5,
IF(AND( SUM((AS329*(20/100))+(AT329*(30/100))+(AU329*(50/100))) &lt;=6.3, SUM((AS329*(20/100))+(AT329*(30/100))+(AU329*(50/100))) &gt;=5.8),6,
IF(AND( SUM((AS329*(20/100))+(AT329*(30/100))+(AU329*(50/100))) &lt;=5.8, SUM((AS329*(20/100))+(AT329*(30/100))+(AU329*(50/100))) &gt;=5.3),5.5,
IF(AND( SUM((AS329*(20/100))+(AT329*(30/100))+(AU329*(50/100))) &lt;=5.3, SUM((AS329*(20/100))+(AT329*(30/100))+(AU329*(50/100))) &gt;=4.8),5,
IF(AND( SUM((AS329*(20/100))+(AT329*(30/100))+(AU329*(50/100))) &lt;=4.8, SUM((AS329*(20/100))+(AT329*(30/100))+(AU329*(50/100))) &gt;=4.3),4.5,
IF(AND( SUM((AS329*(20/100))+(AT329*(30/100))+(AU329*(50/100))) &lt;=4.3, SUM((AS329*(20/100))+(AT329*(30/100))+(AU329*(50/100))) &gt;=3.8),4,
IF(AND( SUM((AS329*(20/100))+(AT329*(30/100))+(AU329*(50/100))) &lt;=3.8, SUM((AS329*(20/100))+(AT329*(30/100))+(AU329*(50/100))) &gt;=3.5),3.5,0)))))))))))))</f>
        <v>0</v>
      </c>
      <c r="AW329" s="536"/>
      <c r="AX329" s="536"/>
      <c r="AY329" s="536"/>
      <c r="AZ329" s="542">
        <f t="shared" ref="AZ329:AZ392" si="135">IF( SUM((AW329*(20/100))+(AX329*(30/100))+(AY329*(50/100))) &gt;=9.3,9.5,
IF(AND( SUM((AW329*(20/100))+(AX329*(30/100))+(AY329*(50/100))) &lt;=9.3, SUM((AW329*(20/100))+(AX329*(30/100))+(AY329*(50/100))) &gt;=8.8),9,
IF(AND( SUM((AW329*(20/100))+(AX329*(30/100))+(AY329*(50/100))) &lt;=8.8, SUM((AW329*(20/100))+(AX329*(30/100))+(AY329*(50/100))) &gt;=8.3),8.5,
IF(AND( SUM((AW329*(20/100))+(AX329*(30/100))+(AY329*(50/100))) &lt;=8.3, SUM((AW329*(20/100))+(AX329*(30/100))+(AY329*(50/100))) &gt;=7.8),8,
IF(AND( SUM((AW329*(20/100))+(AX329*(30/100))+(AY329*(50/100))) &lt;=7.8, SUM((AW329*(20/100))+(AX329*(30/100))+(AY329*(50/100))) &gt;=7.3),7.5,
IF(AND( SUM((AW329*(20/100))+(AX329*(30/100))+(AY329*(50/100))) &lt;=7.3, SUM((AW329*(20/100))+(AX329*(30/100))+(AY329*(50/100))) &gt;=6.8),7,
IF(AND( SUM((AW329*(20/100))+(AX329*(30/100))+(AY329*(50/100))) &lt;=6.8, SUM((AW329*(20/100))+(AX329*(30/100))+(AY329*(50/100))) &gt;=6.3),6.5,
IF(AND( SUM((AW329*(20/100))+(AX329*(30/100))+(AY329*(50/100))) &lt;=6.3, SUM((AW329*(20/100))+(AX329*(30/100))+(AY329*(50/100))) &gt;=5.8),6,
IF(AND( SUM((AW329*(20/100))+(AX329*(30/100))+(AY329*(50/100))) &lt;=5.8, SUM((AW329*(20/100))+(AX329*(30/100))+(AY329*(50/100))) &gt;=5.3),5.5,
IF(AND( SUM((AW329*(20/100))+(AX329*(30/100))+(AY329*(50/100))) &lt;=5.3, SUM((AW329*(20/100))+(AX329*(30/100))+(AY329*(50/100))) &gt;=4.8),5,
IF(AND( SUM((AW329*(20/100))+(AX329*(30/100))+(AY329*(50/100))) &lt;=4.8, SUM((AW329*(20/100))+(AX329*(30/100))+(AY329*(50/100))) &gt;=4.3),4.5,
IF(AND( SUM((AW329*(20/100))+(AX329*(30/100))+(AY329*(50/100))) &lt;=4.3, SUM((AW329*(20/100))+(AX329*(30/100))+(AY329*(50/100))) &gt;=3.8),4,
IF(AND( SUM((AW329*(20/100))+(AX329*(30/100))+(AY329*(50/100))) &lt;=3.8, SUM((AW329*(20/100))+(AX329*(30/100))+(AY329*(50/100))) &gt;=3.5),3.5,0)))))))))))))</f>
        <v>0</v>
      </c>
      <c r="BA329" s="536"/>
      <c r="BB329" s="536"/>
      <c r="BC329" s="536"/>
      <c r="BD329" s="542">
        <f t="shared" ref="BD329:BD392" si="136">IF( SUM((BA329*(20/100))+(BB329*(30/100))+(BC329*(50/100))) &gt;=9.3,9.5,
IF(AND( SUM((BA329*(20/100))+(BB329*(30/100))+(BC329*(50/100))) &lt;=9.3, SUM((BA329*(20/100))+(BB329*(30/100))+(BC329*(50/100))) &gt;=8.8),9,
IF(AND( SUM((BA329*(20/100))+(BB329*(30/100))+(BC329*(50/100))) &lt;=8.8, SUM((BA329*(20/100))+(BB329*(30/100))+(BC329*(50/100))) &gt;=8.3),8.5,
IF(AND( SUM((BA329*(20/100))+(BB329*(30/100))+(BC329*(50/100))) &lt;=8.3, SUM((BA329*(20/100))+(BB329*(30/100))+(BC329*(50/100))) &gt;=7.8),8,
IF(AND( SUM((BA329*(20/100))+(BB329*(30/100))+(BC329*(50/100))) &lt;=7.8, SUM((BA329*(20/100))+(BB329*(30/100))+(BC329*(50/100))) &gt;=7.3),7.5,
IF(AND( SUM((BA329*(20/100))+(BB329*(30/100))+(BC329*(50/100))) &lt;=7.3, SUM((BA329*(20/100))+(BB329*(30/100))+(BC329*(50/100))) &gt;=6.8),7,
IF(AND( SUM((BA329*(20/100))+(BB329*(30/100))+(BC329*(50/100))) &lt;=6.8, SUM((BA329*(20/100))+(BB329*(30/100))+(BC329*(50/100))) &gt;=6.3),6.5,
IF(AND( SUM((BA329*(20/100))+(BB329*(30/100))+(BC329*(50/100))) &lt;=6.3, SUM((BA329*(20/100))+(BB329*(30/100))+(BC329*(50/100))) &gt;=5.8),6,
IF(AND( SUM((BA329*(20/100))+(BB329*(30/100))+(BC329*(50/100))) &lt;=5.8, SUM((BA329*(20/100))+(BB329*(30/100))+(BC329*(50/100))) &gt;=5.3),5.5,
IF(AND( SUM((BA329*(20/100))+(BB329*(30/100))+(BC329*(50/100))) &lt;=5.3, SUM((BA329*(20/100))+(BB329*(30/100))+(BC329*(50/100))) &gt;=4.8),5,
IF(AND( SUM((BA329*(20/100))+(BB329*(30/100))+(BC329*(50/100))) &lt;=4.8, SUM((BA329*(20/100))+(BB329*(30/100))+(BC329*(50/100))) &gt;=4.3),4.5,
IF(AND( SUM((BA329*(20/100))+(BB329*(30/100))+(BC329*(50/100))) &lt;=4.3, SUM((BA329*(20/100))+(BB329*(30/100))+(BC329*(50/100))) &gt;=3.8),4,
IF(AND( SUM((BA329*(20/100))+(BB329*(30/100))+(BC329*(50/100))) &lt;=3.8, SUM((BA329*(20/100))+(BB329*(30/100))+(BC329*(50/100))) &gt;=3.5),3.5,0)))))))))))))</f>
        <v>0</v>
      </c>
      <c r="BE329" s="536"/>
      <c r="BF329" s="536"/>
      <c r="BG329" s="536"/>
      <c r="BH329" s="542">
        <f t="shared" ref="BH329:BH392" si="137">IF( SUM((BE329*(20/100))+(BF329*(30/100))+(BG329*(50/100))) &gt;=9.3,9.5,
IF(AND( SUM((BE329*(20/100))+(BF329*(30/100))+(BG329*(50/100))) &lt;=9.3, SUM((BE329*(20/100))+(BF329*(30/100))+(BG329*(50/100))) &gt;=8.8),9,
IF(AND( SUM((BE329*(20/100))+(BF329*(30/100))+(BG329*(50/100))) &lt;=8.8, SUM((BE329*(20/100))+(BF329*(30/100))+(BG329*(50/100))) &gt;=8.3),8.5,
IF(AND( SUM((BE329*(20/100))+(BF329*(30/100))+(BG329*(50/100))) &lt;=8.3, SUM((BE329*(20/100))+(BF329*(30/100))+(BG329*(50/100))) &gt;=7.8),8,
IF(AND( SUM((BE329*(20/100))+(BF329*(30/100))+(BG329*(50/100))) &lt;=7.8, SUM((BE329*(20/100))+(BF329*(30/100))+(BG329*(50/100))) &gt;=7.3),7.5,
IF(AND( SUM((BE329*(20/100))+(BF329*(30/100))+(BG329*(50/100))) &lt;=7.3, SUM((BE329*(20/100))+(BF329*(30/100))+(BG329*(50/100))) &gt;=6.8),7,
IF(AND( SUM((BE329*(20/100))+(BF329*(30/100))+(BG329*(50/100))) &lt;=6.8, SUM((BE329*(20/100))+(BF329*(30/100))+(BG329*(50/100))) &gt;=6.3),6.5,
IF(AND( SUM((BE329*(20/100))+(BF329*(30/100))+(BG329*(50/100))) &lt;=6.3, SUM((BE329*(20/100))+(BF329*(30/100))+(BG329*(50/100))) &gt;=5.8),6,
IF(AND( SUM((BE329*(20/100))+(BF329*(30/100))+(BG329*(50/100))) &lt;=5.8, SUM((BE329*(20/100))+(BF329*(30/100))+(BG329*(50/100))) &gt;=5.3),5.5,
IF(AND( SUM((BE329*(20/100))+(BF329*(30/100))+(BG329*(50/100))) &lt;=5.3, SUM((BE329*(20/100))+(BF329*(30/100))+(BG329*(50/100))) &gt;=4.8),5,
IF(AND( SUM((BE329*(20/100))+(BF329*(30/100))+(BG329*(50/100))) &lt;=4.8, SUM((BE329*(20/100))+(BF329*(30/100))+(BG329*(50/100))) &gt;=4.3),4.5,
IF(AND( SUM((BE329*(20/100))+(BF329*(30/100))+(BG329*(50/100))) &lt;=4.3, SUM((BE329*(20/100))+(BF329*(30/100))+(BG329*(50/100))) &gt;=3.8),4,
IF(AND( SUM((BE329*(20/100))+(BF329*(30/100))+(BG329*(50/100))) &lt;=3.8, SUM((BE329*(20/100))+(BF329*(30/100))+(BG329*(50/100))) &gt;=3.5),3.5,0)))))))))))))</f>
        <v>0</v>
      </c>
      <c r="BI329" s="536"/>
      <c r="BJ329" s="536"/>
      <c r="BK329" s="536"/>
      <c r="BL329" s="542">
        <f t="shared" ref="BL329:BL392" si="138">IF( SUM((BI329*(20/100))+(BJ329*(30/100))+(BK329*(50/100))) &gt;=9.3,9.5,
IF(AND( SUM((BI329*(20/100))+(BJ329*(30/100))+(BK329*(50/100))) &lt;=9.3, SUM((BI329*(20/100))+(BJ329*(30/100))+(BK329*(50/100))) &gt;=8.8),9,
IF(AND( SUM((BI329*(20/100))+(BJ329*(30/100))+(BK329*(50/100))) &lt;=8.8, SUM((BI329*(20/100))+(BJ329*(30/100))+(BK329*(50/100))) &gt;=8.3),8.5,
IF(AND( SUM((BI329*(20/100))+(BJ329*(30/100))+(BK329*(50/100))) &lt;=8.3, SUM((BI329*(20/100))+(BJ329*(30/100))+(BK329*(50/100))) &gt;=7.8),8,
IF(AND( SUM((BI329*(20/100))+(BJ329*(30/100))+(BK329*(50/100))) &lt;=7.8, SUM((BI329*(20/100))+(BJ329*(30/100))+(BK329*(50/100))) &gt;=7.3),7.5,
IF(AND( SUM((BI329*(20/100))+(BJ329*(30/100))+(BK329*(50/100))) &lt;=7.3, SUM((BI329*(20/100))+(BJ329*(30/100))+(BK329*(50/100))) &gt;=6.8),7,
IF(AND( SUM((BI329*(20/100))+(BJ329*(30/100))+(BK329*(50/100))) &lt;=6.8, SUM((BI329*(20/100))+(BJ329*(30/100))+(BK329*(50/100))) &gt;=6.3),6.5,
IF(AND( SUM((BI329*(20/100))+(BJ329*(30/100))+(BK329*(50/100))) &lt;=6.3, SUM((BI329*(20/100))+(BJ329*(30/100))+(BK329*(50/100))) &gt;=5.8),6,
IF(AND( SUM((BI329*(20/100))+(BJ329*(30/100))+(BK329*(50/100))) &lt;=5.8, SUM((BI329*(20/100))+(BJ329*(30/100))+(BK329*(50/100))) &gt;=5.3),5.5,
IF(AND( SUM((BI329*(20/100))+(BJ329*(30/100))+(BK329*(50/100))) &lt;=5.3, SUM((BI329*(20/100))+(BJ329*(30/100))+(BK329*(50/100))) &gt;=4.8),5,
IF(AND( SUM((BI329*(20/100))+(BJ329*(30/100))+(BK329*(50/100))) &lt;=4.8, SUM((BI329*(20/100))+(BJ329*(30/100))+(BK329*(50/100))) &gt;=4.3),4.5,
IF(AND( SUM((BI329*(20/100))+(BJ329*(30/100))+(BK329*(50/100))) &lt;=4.3, SUM((BI329*(20/100))+(BJ329*(30/100))+(BK329*(50/100))) &gt;=3.8),4,
IF(AND( SUM((BI329*(20/100))+(BJ329*(30/100))+(BK329*(50/100))) &lt;=3.8, SUM((BI329*(20/100))+(BJ329*(30/100))+(BK329*(50/100))) &gt;=3.5),3.5,0)))))))))))))</f>
        <v>0</v>
      </c>
      <c r="BM329" s="536"/>
      <c r="BN329" s="536"/>
      <c r="BO329" s="536"/>
      <c r="BP329" s="542">
        <f t="shared" ref="BP329:BP392" si="139">IF( SUM((BM329*(20/100))+(BN329*(30/100))+(BO329*(50/100))) &gt;=9.3,9.5,
IF(AND( SUM((BM329*(20/100))+(BN329*(30/100))+(BO329*(50/100))) &lt;=9.3, SUM((BM329*(20/100))+(BN329*(30/100))+(BO329*(50/100))) &gt;=8.8),9,
IF(AND( SUM((BM329*(20/100))+(BN329*(30/100))+(BO329*(50/100))) &lt;=8.8, SUM((BM329*(20/100))+(BN329*(30/100))+(BO329*(50/100))) &gt;=8.3),8.5,
IF(AND( SUM((BM329*(20/100))+(BN329*(30/100))+(BO329*(50/100))) &lt;=8.3, SUM((BM329*(20/100))+(BN329*(30/100))+(BO329*(50/100))) &gt;=7.8),8,
IF(AND( SUM((BM329*(20/100))+(BN329*(30/100))+(BO329*(50/100))) &lt;=7.8, SUM((BM329*(20/100))+(BN329*(30/100))+(BO329*(50/100))) &gt;=7.3),7.5,
IF(AND( SUM((BM329*(20/100))+(BN329*(30/100))+(BO329*(50/100))) &lt;=7.3, SUM((BM329*(20/100))+(BN329*(30/100))+(BO329*(50/100))) &gt;=6.8),7,
IF(AND( SUM((BM329*(20/100))+(BN329*(30/100))+(BO329*(50/100))) &lt;=6.8, SUM((BM329*(20/100))+(BN329*(30/100))+(BO329*(50/100))) &gt;=6.3),6.5,
IF(AND( SUM((BM329*(20/100))+(BN329*(30/100))+(BO329*(50/100))) &lt;=6.3, SUM((BM329*(20/100))+(BN329*(30/100))+(BO329*(50/100))) &gt;=5.8),6,
IF(AND( SUM((BM329*(20/100))+(BN329*(30/100))+(BO329*(50/100))) &lt;=5.8, SUM((BM329*(20/100))+(BN329*(30/100))+(BO329*(50/100))) &gt;=5.3),5.5,
IF(AND( SUM((BM329*(20/100))+(BN329*(30/100))+(BO329*(50/100))) &lt;=5.3, SUM((BM329*(20/100))+(BN329*(30/100))+(BO329*(50/100))) &gt;=4.8),5,
IF(AND( SUM((BM329*(20/100))+(BN329*(30/100))+(BO329*(50/100))) &lt;=4.8, SUM((BM329*(20/100))+(BN329*(30/100))+(BO329*(50/100))) &gt;=4.3),4.5,
IF(AND( SUM((BM329*(20/100))+(BN329*(30/100))+(BO329*(50/100))) &lt;=4.3, SUM((BM329*(20/100))+(BN329*(30/100))+(BO329*(50/100))) &gt;=3.8),4,
IF(AND( SUM((BM329*(20/100))+(BN329*(30/100))+(BO329*(50/100))) &lt;=3.8, SUM((BM329*(20/100))+(BN329*(30/100))+(BO329*(50/100))) &gt;=3.5),3.5,0)))))))))))))</f>
        <v>0</v>
      </c>
      <c r="BQ329" s="536"/>
      <c r="BR329" s="536"/>
      <c r="BS329" s="536"/>
      <c r="BT329" s="542">
        <f t="shared" ref="BT329:BT392" si="140">IF( SUM((BQ329*(20/100))+(BR329*(30/100))+(BS329*(50/100))) &gt;=9.3,9.5,
IF(AND( SUM((BQ329*(20/100))+(BR329*(30/100))+(BS329*(50/100))) &lt;=9.3, SUM((BQ329*(20/100))+(BR329*(30/100))+(BS329*(50/100))) &gt;=8.8),9,
IF(AND( SUM((BQ329*(20/100))+(BR329*(30/100))+(BS329*(50/100))) &lt;=8.8, SUM((BQ329*(20/100))+(BR329*(30/100))+(BS329*(50/100))) &gt;=8.3),8.5,
IF(AND( SUM((BQ329*(20/100))+(BR329*(30/100))+(BS329*(50/100))) &lt;=8.3, SUM((BQ329*(20/100))+(BR329*(30/100))+(BS329*(50/100))) &gt;=7.8),8,
IF(AND( SUM((BQ329*(20/100))+(BR329*(30/100))+(BS329*(50/100))) &lt;=7.8, SUM((BQ329*(20/100))+(BR329*(30/100))+(BS329*(50/100))) &gt;=7.3),7.5,
IF(AND( SUM((BQ329*(20/100))+(BR329*(30/100))+(BS329*(50/100))) &lt;=7.3, SUM((BQ329*(20/100))+(BR329*(30/100))+(BS329*(50/100))) &gt;=6.8),7,
IF(AND( SUM((BQ329*(20/100))+(BR329*(30/100))+(BS329*(50/100))) &lt;=6.8, SUM((BQ329*(20/100))+(BR329*(30/100))+(BS329*(50/100))) &gt;=6.3),6.5,
IF(AND( SUM((BQ329*(20/100))+(BR329*(30/100))+(BS329*(50/100))) &lt;=6.3, SUM((BQ329*(20/100))+(BR329*(30/100))+(BS329*(50/100))) &gt;=5.8),6,
IF(AND( SUM((BQ329*(20/100))+(BR329*(30/100))+(BS329*(50/100))) &lt;=5.8, SUM((BQ329*(20/100))+(BR329*(30/100))+(BS329*(50/100))) &gt;=5.3),5.5,
IF(AND( SUM((BQ329*(20/100))+(BR329*(30/100))+(BS329*(50/100))) &lt;=5.3, SUM((BQ329*(20/100))+(BR329*(30/100))+(BS329*(50/100))) &gt;=4.8),5,
IF(AND( SUM((BQ329*(20/100))+(BR329*(30/100))+(BS329*(50/100))) &lt;=4.8, SUM((BQ329*(20/100))+(BR329*(30/100))+(BS329*(50/100))) &gt;=4.3),4.5,
IF(AND( SUM((BQ329*(20/100))+(BR329*(30/100))+(BS329*(50/100))) &lt;=4.3, SUM((BQ329*(20/100))+(BR329*(30/100))+(BS329*(50/100))) &gt;=3.8),4,
IF(AND( SUM((BQ329*(20/100))+(BR329*(30/100))+(BS329*(50/100))) &lt;=3.8, SUM((BQ329*(20/100))+(BR329*(30/100))+(BS329*(50/100))) &gt;=3.5),3.5,0)))))))))))))</f>
        <v>0</v>
      </c>
      <c r="BU329" s="536"/>
      <c r="BV329" s="536"/>
      <c r="BW329" s="536"/>
      <c r="BX329" s="542">
        <f t="shared" ref="BX329:BX392" si="141">IF( SUM((BU329*(20/100))+(BV329*(30/100))+(BW329*(50/100))) &gt;=9.3,9.5,
IF(AND( SUM((BU329*(20/100))+(BV329*(30/100))+(BW329*(50/100))) &lt;=9.3, SUM((BU329*(20/100))+(BV329*(30/100))+(BW329*(50/100))) &gt;=8.8),9,
IF(AND( SUM((BU329*(20/100))+(BV329*(30/100))+(BW329*(50/100))) &lt;=8.8, SUM((BU329*(20/100))+(BV329*(30/100))+(BW329*(50/100))) &gt;=8.3),8.5,
IF(AND( SUM((BU329*(20/100))+(BV329*(30/100))+(BW329*(50/100))) &lt;=8.3, SUM((BU329*(20/100))+(BV329*(30/100))+(BW329*(50/100))) &gt;=7.8),8,
IF(AND( SUM((BU329*(20/100))+(BV329*(30/100))+(BW329*(50/100))) &lt;=7.8, SUM((BU329*(20/100))+(BV329*(30/100))+(BW329*(50/100))) &gt;=7.3),7.5,
IF(AND( SUM((BU329*(20/100))+(BV329*(30/100))+(BW329*(50/100))) &lt;=7.3, SUM((BU329*(20/100))+(BV329*(30/100))+(BW329*(50/100))) &gt;=6.8),7,
IF(AND( SUM((BU329*(20/100))+(BV329*(30/100))+(BW329*(50/100))) &lt;=6.8, SUM((BU329*(20/100))+(BV329*(30/100))+(BW329*(50/100))) &gt;=6.3),6.5,
IF(AND( SUM((BU329*(20/100))+(BV329*(30/100))+(BW329*(50/100))) &lt;=6.3, SUM((BU329*(20/100))+(BV329*(30/100))+(BW329*(50/100))) &gt;=5.8),6,
IF(AND( SUM((BU329*(20/100))+(BV329*(30/100))+(BW329*(50/100))) &lt;=5.8, SUM((BU329*(20/100))+(BV329*(30/100))+(BW329*(50/100))) &gt;=5.3),5.5,
IF(AND( SUM((BU329*(20/100))+(BV329*(30/100))+(BW329*(50/100))) &lt;=5.3, SUM((BU329*(20/100))+(BV329*(30/100))+(BW329*(50/100))) &gt;=4.8),5,
IF(AND( SUM((BU329*(20/100))+(BV329*(30/100))+(BW329*(50/100))) &lt;=4.8, SUM((BU329*(20/100))+(BV329*(30/100))+(BW329*(50/100))) &gt;=4.3),4.5,
IF(AND( SUM((BU329*(20/100))+(BV329*(30/100))+(BW329*(50/100))) &lt;=4.3, SUM((BU329*(20/100))+(BV329*(30/100))+(BW329*(50/100))) &gt;=3.8),4,
IF(AND( SUM((BU329*(20/100))+(BV329*(30/100))+(BW329*(50/100))) &lt;=3.8, SUM((BU329*(20/100))+(BV329*(30/100))+(BW329*(50/100))) &gt;=3.5),3.5,0)))))))))))))</f>
        <v>0</v>
      </c>
      <c r="BY329" s="536"/>
      <c r="BZ329" s="536"/>
      <c r="CA329" s="536"/>
      <c r="CB329" s="542">
        <v>0</v>
      </c>
      <c r="CC329" s="536"/>
      <c r="CD329" s="536"/>
      <c r="CE329" s="536"/>
      <c r="CF329" s="541">
        <f t="shared" ref="CF329:CF392" si="142">IF( SUM((CC329*(20/100))+(CD329*(30/100))+(CE329*(50/100))) &gt;=9.3,9.5,
IF(AND( SUM((CC329*(20/100))+(CD329*(30/100))+(CE329*(50/100))) &lt;=9.3, SUM((CC329*(20/100))+(CD329*(30/100))+(CE329*(50/100))) &gt;=8.8),9,
IF(AND( SUM((CC329*(20/100))+(CD329*(30/100))+(CE329*(50/100))) &lt;=8.8, SUM((CC329*(20/100))+(CD329*(30/100))+(CE329*(50/100))) &gt;=8.3),8.5,
IF(AND( SUM((CC329*(20/100))+(CD329*(30/100))+(CE329*(50/100))) &lt;=8.3, SUM((CC329*(20/100))+(CD329*(30/100))+(CE329*(50/100))) &gt;=7.8),8,
IF(AND( SUM((CC329*(20/100))+(CD329*(30/100))+(CE329*(50/100))) &lt;=7.8, SUM((CC329*(20/100))+(CD329*(30/100))+(CE329*(50/100))) &gt;=7.3),7.5,
IF(AND( SUM((CC329*(20/100))+(CD329*(30/100))+(CE329*(50/100))) &lt;=7.3, SUM((CC329*(20/100))+(CD329*(30/100))+(CE329*(50/100))) &gt;=6.8),7,
IF(AND( SUM((CC329*(20/100))+(CD329*(30/100))+(CE329*(50/100))) &lt;=6.8, SUM((CC329*(20/100))+(CD329*(30/100))+(CE329*(50/100))) &gt;=6.3),6.5,
IF(AND( SUM((CC329*(20/100))+(CD329*(30/100))+(CE329*(50/100))) &lt;=6.3, SUM((CC329*(20/100))+(CD329*(30/100))+(CE329*(50/100))) &gt;=5.8),6,
IF(AND( SUM((CC329*(20/100))+(CD329*(30/100))+(CE329*(50/100))) &lt;=5.8, SUM((CC329*(20/100))+(CD329*(30/100))+(CE329*(50/100))) &gt;=5.3),5.5,
IF(AND( SUM((CC329*(20/100))+(CD329*(30/100))+(CE329*(50/100))) &lt;=5.3, SUM((CC329*(20/100))+(CD329*(30/100))+(CE329*(50/100))) &gt;=4.8),5,
IF(AND( SUM((CC329*(20/100))+(CD329*(30/100))+(CE329*(50/100))) &lt;=4.8, SUM((CC329*(20/100))+(CD329*(30/100))+(CE329*(50/100))) &gt;=4.3),4.5,
IF(AND( SUM((CC329*(20/100))+(CD329*(30/100))+(CE329*(50/100))) &lt;=4.3, SUM((CC329*(20/100))+(CD329*(30/100))+(CE329*(50/100))) &gt;=3.8),4,
IF(AND( SUM((CC329*(20/100))+(CD329*(30/100))+(CE329*(50/100))) &lt;=3.8, SUM((CC329*(20/100))+(CD329*(30/100))+(CE329*(50/100))) &gt;=3.5),3.5,0)))))))))))))</f>
        <v>0</v>
      </c>
      <c r="CG329" s="536"/>
      <c r="CH329" s="536"/>
      <c r="CI329" s="536"/>
      <c r="CJ329" s="541">
        <f t="shared" ref="CJ329:CJ392" si="143">IF( SUM((CG329*(20/100))+(CH329*(30/100))+(CI329*(50/100))) &gt;=9.3,9.5,
IF(AND( SUM((CG329*(20/100))+(CH329*(30/100))+(CI329*(50/100))) &lt;=9.3, SUM((CG329*(20/100))+(CH329*(30/100))+(CI329*(50/100))) &gt;=8.8),9,
IF(AND( SUM((CG329*(20/100))+(CH329*(30/100))+(CI329*(50/100))) &lt;=8.8, SUM((CG329*(20/100))+(CH329*(30/100))+(CI329*(50/100))) &gt;=8.3),8.5,
IF(AND( SUM((CG329*(20/100))+(CH329*(30/100))+(CI329*(50/100))) &lt;=8.3, SUM((CG329*(20/100))+(CH329*(30/100))+(CI329*(50/100))) &gt;=7.8),8,
IF(AND( SUM((CG329*(20/100))+(CH329*(30/100))+(CI329*(50/100))) &lt;=7.8, SUM((CG329*(20/100))+(CH329*(30/100))+(CI329*(50/100))) &gt;=7.3),7.5,
IF(AND( SUM((CG329*(20/100))+(CH329*(30/100))+(CI329*(50/100))) &lt;=7.3, SUM((CG329*(20/100))+(CH329*(30/100))+(CI329*(50/100))) &gt;=6.8),7,
IF(AND( SUM((CG329*(20/100))+(CH329*(30/100))+(CI329*(50/100))) &lt;=6.8, SUM((CG329*(20/100))+(CH329*(30/100))+(CI329*(50/100))) &gt;=6.3),6.5,
IF(AND( SUM((CG329*(20/100))+(CH329*(30/100))+(CI329*(50/100))) &lt;=6.3, SUM((CG329*(20/100))+(CH329*(30/100))+(CI329*(50/100))) &gt;=5.8),6,
IF(AND( SUM((CG329*(20/100))+(CH329*(30/100))+(CI329*(50/100))) &lt;=5.8, SUM((CG329*(20/100))+(CH329*(30/100))+(CI329*(50/100))) &gt;=5.3),5.5,
IF(AND( SUM((CG329*(20/100))+(CH329*(30/100))+(CI329*(50/100))) &lt;=5.3, SUM((CG329*(20/100))+(CH329*(30/100))+(CI329*(50/100))) &gt;=4.8),5,
IF(AND( SUM((CG329*(20/100))+(CH329*(30/100))+(CI329*(50/100))) &lt;=4.8, SUM((CG329*(20/100))+(CH329*(30/100))+(CI329*(50/100))) &gt;=4.3),4.5,
IF(AND( SUM((CG329*(20/100))+(CH329*(30/100))+(CI329*(50/100))) &lt;=4.3, SUM((CG329*(20/100))+(CH329*(30/100))+(CI329*(50/100))) &gt;=3.8),4,
IF(AND( SUM((CG329*(20/100))+(CH329*(30/100))+(CI329*(50/100))) &lt;=3.8, SUM((CG329*(20/100))+(CH329*(30/100))+(CI329*(50/100))) &gt;=3.5),3.5,0)))))))))))))</f>
        <v>0</v>
      </c>
      <c r="CK329" s="536"/>
      <c r="CL329" s="536"/>
      <c r="CM329" s="536"/>
      <c r="CN329" s="541">
        <f t="shared" ref="CN329:CN392" si="144">IF( SUM((CK329*(20/100))+(CL329*(30/100))+(CM329*(50/100))) &gt;=9.3,9.5,
IF(AND( SUM((CK329*(20/100))+(CL329*(30/100))+(CM329*(50/100))) &lt;=9.3, SUM((CK329*(20/100))+(CL329*(30/100))+(CM329*(50/100))) &gt;=8.8),9,
IF(AND( SUM((CK329*(20/100))+(CL329*(30/100))+(CM329*(50/100))) &lt;=8.8, SUM((CK329*(20/100))+(CL329*(30/100))+(CM329*(50/100))) &gt;=8.3),8.5,
IF(AND( SUM((CK329*(20/100))+(CL329*(30/100))+(CM329*(50/100))) &lt;=8.3, SUM((CK329*(20/100))+(CL329*(30/100))+(CM329*(50/100))) &gt;=7.8),8,
IF(AND( SUM((CK329*(20/100))+(CL329*(30/100))+(CM329*(50/100))) &lt;=7.8, SUM((CK329*(20/100))+(CL329*(30/100))+(CM329*(50/100))) &gt;=7.3),7.5,
IF(AND( SUM((CK329*(20/100))+(CL329*(30/100))+(CM329*(50/100))) &lt;=7.3, SUM((CK329*(20/100))+(CL329*(30/100))+(CM329*(50/100))) &gt;=6.8),7,
IF(AND( SUM((CK329*(20/100))+(CL329*(30/100))+(CM329*(50/100))) &lt;=6.8, SUM((CK329*(20/100))+(CL329*(30/100))+(CM329*(50/100))) &gt;=6.3),6.5,
IF(AND( SUM((CK329*(20/100))+(CL329*(30/100))+(CM329*(50/100))) &lt;=6.3, SUM((CK329*(20/100))+(CL329*(30/100))+(CM329*(50/100))) &gt;=5.8),6,
IF(AND( SUM((CK329*(20/100))+(CL329*(30/100))+(CM329*(50/100))) &lt;=5.8, SUM((CK329*(20/100))+(CL329*(30/100))+(CM329*(50/100))) &gt;=5.3),5.5,
IF(AND( SUM((CK329*(20/100))+(CL329*(30/100))+(CM329*(50/100))) &lt;=5.3, SUM((CK329*(20/100))+(CL329*(30/100))+(CM329*(50/100))) &gt;=4.8),5,
IF(AND( SUM((CK329*(20/100))+(CL329*(30/100))+(CM329*(50/100))) &lt;=4.8, SUM((CK329*(20/100))+(CL329*(30/100))+(CM329*(50/100))) &gt;=4.3),4.5,
IF(AND( SUM((CK329*(20/100))+(CL329*(30/100))+(CM329*(50/100))) &lt;=4.3, SUM((CK329*(20/100))+(CL329*(30/100))+(CM329*(50/100))) &gt;=3.8),4,
IF(AND( SUM((CK329*(20/100))+(CL329*(30/100))+(CM329*(50/100))) &lt;=3.8, SUM((CK329*(20/100))+(CL329*(30/100))+(CM329*(50/100))) &gt;=3.5),3.5,0)))))))))))))</f>
        <v>0</v>
      </c>
      <c r="CO329" s="536"/>
      <c r="CP329" s="536"/>
      <c r="CQ329" s="536"/>
      <c r="CR329" s="541">
        <f t="shared" ref="CR329:CR392" si="145">IF( SUM((CO329*(20/100))+(CP329*(30/100))+(CQ329*(50/100))) &gt;=9.3,9.5,
IF(AND( SUM((CO329*(20/100))+(CP329*(30/100))+(CQ329*(50/100))) &lt;=9.3, SUM((CO329*(20/100))+(CP329*(30/100))+(CQ329*(50/100))) &gt;=8.8),9,
IF(AND( SUM((CO329*(20/100))+(CP329*(30/100))+(CQ329*(50/100))) &lt;=8.8, SUM((CO329*(20/100))+(CP329*(30/100))+(CQ329*(50/100))) &gt;=8.3),8.5,
IF(AND( SUM((CO329*(20/100))+(CP329*(30/100))+(CQ329*(50/100))) &lt;=8.3, SUM((CO329*(20/100))+(CP329*(30/100))+(CQ329*(50/100))) &gt;=7.8),8,
IF(AND( SUM((CO329*(20/100))+(CP329*(30/100))+(CQ329*(50/100))) &lt;=7.8, SUM((CO329*(20/100))+(CP329*(30/100))+(CQ329*(50/100))) &gt;=7.3),7.5,
IF(AND( SUM((CO329*(20/100))+(CP329*(30/100))+(CQ329*(50/100))) &lt;=7.3, SUM((CO329*(20/100))+(CP329*(30/100))+(CQ329*(50/100))) &gt;=6.8),7,
IF(AND( SUM((CO329*(20/100))+(CP329*(30/100))+(CQ329*(50/100))) &lt;=6.8, SUM((CO329*(20/100))+(CP329*(30/100))+(CQ329*(50/100))) &gt;=6.3),6.5,
IF(AND( SUM((CO329*(20/100))+(CP329*(30/100))+(CQ329*(50/100))) &lt;=6.3, SUM((CO329*(20/100))+(CP329*(30/100))+(CQ329*(50/100))) &gt;=5.8),6,
IF(AND( SUM((CO329*(20/100))+(CP329*(30/100))+(CQ329*(50/100))) &lt;=5.8, SUM((CO329*(20/100))+(CP329*(30/100))+(CQ329*(50/100))) &gt;=5.3),5.5,
IF(AND( SUM((CO329*(20/100))+(CP329*(30/100))+(CQ329*(50/100))) &lt;=5.3, SUM((CO329*(20/100))+(CP329*(30/100))+(CQ329*(50/100))) &gt;=4.8),5,
IF(AND( SUM((CO329*(20/100))+(CP329*(30/100))+(CQ329*(50/100))) &lt;=4.8, SUM((CO329*(20/100))+(CP329*(30/100))+(CQ329*(50/100))) &gt;=4.3),4.5,
IF(AND( SUM((CO329*(20/100))+(CP329*(30/100))+(CQ329*(50/100))) &lt;=4.3, SUM((CO329*(20/100))+(CP329*(30/100))+(CQ329*(50/100))) &gt;=3.8),4,
IF(AND( SUM((CO329*(20/100))+(CP329*(30/100))+(CQ329*(50/100))) &lt;=3.8, SUM((CO329*(20/100))+(CP329*(30/100))+(CQ329*(50/100))) &gt;=3.5),3.5,0)))))))))))))</f>
        <v>0</v>
      </c>
      <c r="CS329" s="536"/>
      <c r="CT329" s="536"/>
      <c r="CU329" s="536"/>
      <c r="CV329" s="541">
        <f t="shared" ref="CV329:CV392" si="146">IF( SUM((CS329*(20/100))+(CT329*(30/100))+(CU329*(50/100))) &gt;=9.3,9.5,
IF(AND( SUM((CS329*(20/100))+(CT329*(30/100))+(CU329*(50/100))) &lt;=9.3, SUM((CS329*(20/100))+(CT329*(30/100))+(CU329*(50/100))) &gt;=8.8),9,
IF(AND( SUM((CS329*(20/100))+(CT329*(30/100))+(CU329*(50/100))) &lt;=8.8, SUM((CS329*(20/100))+(CT329*(30/100))+(CU329*(50/100))) &gt;=8.3),8.5,
IF(AND( SUM((CS329*(20/100))+(CT329*(30/100))+(CU329*(50/100))) &lt;=8.3, SUM((CS329*(20/100))+(CT329*(30/100))+(CU329*(50/100))) &gt;=7.8),8,
IF(AND( SUM((CS329*(20/100))+(CT329*(30/100))+(CU329*(50/100))) &lt;=7.8, SUM((CS329*(20/100))+(CT329*(30/100))+(CU329*(50/100))) &gt;=7.3),7.5,
IF(AND( SUM((CS329*(20/100))+(CT329*(30/100))+(CU329*(50/100))) &lt;=7.3, SUM((CS329*(20/100))+(CT329*(30/100))+(CU329*(50/100))) &gt;=6.8),7,
IF(AND( SUM((CS329*(20/100))+(CT329*(30/100))+(CU329*(50/100))) &lt;=6.8, SUM((CS329*(20/100))+(CT329*(30/100))+(CU329*(50/100))) &gt;=6.3),6.5,
IF(AND( SUM((CS329*(20/100))+(CT329*(30/100))+(CU329*(50/100))) &lt;=6.3, SUM((CS329*(20/100))+(CT329*(30/100))+(CU329*(50/100))) &gt;=5.8),6,
IF(AND( SUM((CS329*(20/100))+(CT329*(30/100))+(CU329*(50/100))) &lt;=5.8, SUM((CS329*(20/100))+(CT329*(30/100))+(CU329*(50/100))) &gt;=5.3),5.5,
IF(AND( SUM((CS329*(20/100))+(CT329*(30/100))+(CU329*(50/100))) &lt;=5.3, SUM((CS329*(20/100))+(CT329*(30/100))+(CU329*(50/100))) &gt;=4.8),5,
IF(AND( SUM((CS329*(20/100))+(CT329*(30/100))+(CU329*(50/100))) &lt;=4.8, SUM((CS329*(20/100))+(CT329*(30/100))+(CU329*(50/100))) &gt;=4.3),4.5,
IF(AND( SUM((CS329*(20/100))+(CT329*(30/100))+(CU329*(50/100))) &lt;=4.3, SUM((CS329*(20/100))+(CT329*(30/100))+(CU329*(50/100))) &gt;=3.8),4,
IF(AND( SUM((CS329*(20/100))+(CT329*(30/100))+(CU329*(50/100))) &lt;=3.8, SUM((CS329*(20/100))+(CT329*(30/100))+(CU329*(50/100))) &gt;=3.5),3.5,0)))))))))))))</f>
        <v>0</v>
      </c>
      <c r="CW329" s="536"/>
      <c r="CX329" s="536"/>
      <c r="CY329" s="536"/>
      <c r="CZ329" s="541">
        <f t="shared" ref="CZ329:CZ392" si="147">IF( SUM((CW329*(20/100))+(CX329*(30/100))+(CY329*(50/100))) &gt;=9.3,9.5,
IF(AND( SUM((CW329*(20/100))+(CX329*(30/100))+(CY329*(50/100))) &lt;=9.3, SUM((CW329*(20/100))+(CX329*(30/100))+(CY329*(50/100))) &gt;=8.8),9,
IF(AND( SUM((CW329*(20/100))+(CX329*(30/100))+(CY329*(50/100))) &lt;=8.8, SUM((CW329*(20/100))+(CX329*(30/100))+(CY329*(50/100))) &gt;=8.3),8.5,
IF(AND( SUM((CW329*(20/100))+(CX329*(30/100))+(CY329*(50/100))) &lt;=8.3, SUM((CW329*(20/100))+(CX329*(30/100))+(CY329*(50/100))) &gt;=7.8),8,
IF(AND( SUM((CW329*(20/100))+(CX329*(30/100))+(CY329*(50/100))) &lt;=7.8, SUM((CW329*(20/100))+(CX329*(30/100))+(CY329*(50/100))) &gt;=7.3),7.5,
IF(AND( SUM((CW329*(20/100))+(CX329*(30/100))+(CY329*(50/100))) &lt;=7.3, SUM((CW329*(20/100))+(CX329*(30/100))+(CY329*(50/100))) &gt;=6.8),7,
IF(AND( SUM((CW329*(20/100))+(CX329*(30/100))+(CY329*(50/100))) &lt;=6.8, SUM((CW329*(20/100))+(CX329*(30/100))+(CY329*(50/100))) &gt;=6.3),6.5,
IF(AND( SUM((CW329*(20/100))+(CX329*(30/100))+(CY329*(50/100))) &lt;=6.3, SUM((CW329*(20/100))+(CX329*(30/100))+(CY329*(50/100))) &gt;=5.8),6,
IF(AND( SUM((CW329*(20/100))+(CX329*(30/100))+(CY329*(50/100))) &lt;=5.8, SUM((CW329*(20/100))+(CX329*(30/100))+(CY329*(50/100))) &gt;=5.3),5.5,
IF(AND( SUM((CW329*(20/100))+(CX329*(30/100))+(CY329*(50/100))) &lt;=5.3, SUM((CW329*(20/100))+(CX329*(30/100))+(CY329*(50/100))) &gt;=4.8),5,
IF(AND( SUM((CW329*(20/100))+(CX329*(30/100))+(CY329*(50/100))) &lt;=4.8, SUM((CW329*(20/100))+(CX329*(30/100))+(CY329*(50/100))) &gt;=4.3),4.5,
IF(AND( SUM((CW329*(20/100))+(CX329*(30/100))+(CY329*(50/100))) &lt;=4.3, SUM((CW329*(20/100))+(CX329*(30/100))+(CY329*(50/100))) &gt;=3.8),4,
IF(AND( SUM((CW329*(20/100))+(CX329*(30/100))+(CY329*(50/100))) &lt;=3.8, SUM((CW329*(20/100))+(CX329*(30/100))+(CY329*(50/100))) &gt;=3.5),3.5,0)))))))))))))</f>
        <v>0</v>
      </c>
      <c r="DA329" s="536"/>
      <c r="DB329" s="536"/>
      <c r="DC329" s="536"/>
      <c r="DD329" s="541">
        <f t="shared" ref="DD329:DD392" si="148">IF( SUM((DA329*(20/100))+(DB329*(30/100))+(DC329*(50/100))) &gt;=9.3,9.5,
IF(AND( SUM((DA329*(20/100))+(DB329*(30/100))+(DC329*(50/100))) &lt;=9.3, SUM((DA329*(20/100))+(DB329*(30/100))+(DC329*(50/100))) &gt;=8.8),9,
IF(AND( SUM((DA329*(20/100))+(DB329*(30/100))+(DC329*(50/100))) &lt;=8.8, SUM((DA329*(20/100))+(DB329*(30/100))+(DC329*(50/100))) &gt;=8.3),8.5,
IF(AND( SUM((DA329*(20/100))+(DB329*(30/100))+(DC329*(50/100))) &lt;=8.3, SUM((DA329*(20/100))+(DB329*(30/100))+(DC329*(50/100))) &gt;=7.8),8,
IF(AND( SUM((DA329*(20/100))+(DB329*(30/100))+(DC329*(50/100))) &lt;=7.8, SUM((DA329*(20/100))+(DB329*(30/100))+(DC329*(50/100))) &gt;=7.3),7.5,
IF(AND( SUM((DA329*(20/100))+(DB329*(30/100))+(DC329*(50/100))) &lt;=7.3, SUM((DA329*(20/100))+(DB329*(30/100))+(DC329*(50/100))) &gt;=6.8),7,
IF(AND( SUM((DA329*(20/100))+(DB329*(30/100))+(DC329*(50/100))) &lt;=6.8, SUM((DA329*(20/100))+(DB329*(30/100))+(DC329*(50/100))) &gt;=6.3),6.5,
IF(AND( SUM((DA329*(20/100))+(DB329*(30/100))+(DC329*(50/100))) &lt;=6.3, SUM((DA329*(20/100))+(DB329*(30/100))+(DC329*(50/100))) &gt;=5.8),6,
IF(AND( SUM((DA329*(20/100))+(DB329*(30/100))+(DC329*(50/100))) &lt;=5.8, SUM((DA329*(20/100))+(DB329*(30/100))+(DC329*(50/100))) &gt;=5.3),5.5,
IF(AND( SUM((DA329*(20/100))+(DB329*(30/100))+(DC329*(50/100))) &lt;=5.3, SUM((DA329*(20/100))+(DB329*(30/100))+(DC329*(50/100))) &gt;=4.8),5,
IF(AND( SUM((DA329*(20/100))+(DB329*(30/100))+(DC329*(50/100))) &lt;=4.8, SUM((DA329*(20/100))+(DB329*(30/100))+(DC329*(50/100))) &gt;=4.3),4.5,
IF(AND( SUM((DA329*(20/100))+(DB329*(30/100))+(DC329*(50/100))) &lt;=4.3, SUM((DA329*(20/100))+(DB329*(30/100))+(DC329*(50/100))) &gt;=3.8),4,
IF(AND( SUM((DA329*(20/100))+(DB329*(30/100))+(DC329*(50/100))) &lt;=3.8, SUM((DA329*(20/100))+(DB329*(30/100))+(DC329*(50/100))) &gt;=3.5),3.5,0)))))))))))))</f>
        <v>0</v>
      </c>
      <c r="DE329" s="536"/>
      <c r="DF329" s="536"/>
      <c r="DG329" s="536"/>
      <c r="DH329" s="541">
        <f t="shared" ref="DH329:DH392" si="149">IF( SUM((DE329*(20/100))+(DF329*(30/100))+(DG329*(50/100))) &gt;=9.3,9.5,
IF(AND( SUM((DE329*(20/100))+(DF329*(30/100))+(DG329*(50/100))) &lt;=9.3, SUM((DE329*(20/100))+(DF329*(30/100))+(DG329*(50/100))) &gt;=8.8),9,
IF(AND( SUM((DE329*(20/100))+(DF329*(30/100))+(DG329*(50/100))) &lt;=8.8, SUM((DE329*(20/100))+(DF329*(30/100))+(DG329*(50/100))) &gt;=8.3),8.5,
IF(AND( SUM((DE329*(20/100))+(DF329*(30/100))+(DG329*(50/100))) &lt;=8.3, SUM((DE329*(20/100))+(DF329*(30/100))+(DG329*(50/100))) &gt;=7.8),8,
IF(AND( SUM((DE329*(20/100))+(DF329*(30/100))+(DG329*(50/100))) &lt;=7.8, SUM((DE329*(20/100))+(DF329*(30/100))+(DG329*(50/100))) &gt;=7.3),7.5,
IF(AND( SUM((DE329*(20/100))+(DF329*(30/100))+(DG329*(50/100))) &lt;=7.3, SUM((DE329*(20/100))+(DF329*(30/100))+(DG329*(50/100))) &gt;=6.8),7,
IF(AND( SUM((DE329*(20/100))+(DF329*(30/100))+(DG329*(50/100))) &lt;=6.8, SUM((DE329*(20/100))+(DF329*(30/100))+(DG329*(50/100))) &gt;=6.3),6.5,
IF(AND( SUM((DE329*(20/100))+(DF329*(30/100))+(DG329*(50/100))) &lt;=6.3, SUM((DE329*(20/100))+(DF329*(30/100))+(DG329*(50/100))) &gt;=5.8),6,
IF(AND( SUM((DE329*(20/100))+(DF329*(30/100))+(DG329*(50/100))) &lt;=5.8, SUM((DE329*(20/100))+(DF329*(30/100))+(DG329*(50/100))) &gt;=5.3),5.5,
IF(AND( SUM((DE329*(20/100))+(DF329*(30/100))+(DG329*(50/100))) &lt;=5.3, SUM((DE329*(20/100))+(DF329*(30/100))+(DG329*(50/100))) &gt;=4.8),5,
IF(AND( SUM((DE329*(20/100))+(DF329*(30/100))+(DG329*(50/100))) &lt;=4.8, SUM((DE329*(20/100))+(DF329*(30/100))+(DG329*(50/100))) &gt;=4.3),4.5,
IF(AND( SUM((DE329*(20/100))+(DF329*(30/100))+(DG329*(50/100))) &lt;=4.3, SUM((DE329*(20/100))+(DF329*(30/100))+(DG329*(50/100))) &gt;=3.8),4,
IF(AND( SUM((DE329*(20/100))+(DF329*(30/100))+(DG329*(50/100))) &lt;=3.8, SUM((DE329*(20/100))+(DF329*(30/100))+(DG329*(50/100))) &gt;=3.5),3.5,0)))))))))))))</f>
        <v>0</v>
      </c>
      <c r="DI329" s="536"/>
      <c r="DJ329" s="536"/>
      <c r="DK329" s="536"/>
      <c r="DL329" s="541">
        <f t="shared" ref="DL329:DL392" si="150">IF( SUM((DI329*(20/100))+(DJ329*(30/100))+(DK329*(50/100))) &gt;=9.3,9.5,
IF(AND( SUM((DI329*(20/100))+(DJ329*(30/100))+(DK329*(50/100))) &lt;=9.3, SUM((DI329*(20/100))+(DJ329*(30/100))+(DK329*(50/100))) &gt;=8.8),9,
IF(AND( SUM((DI329*(20/100))+(DJ329*(30/100))+(DK329*(50/100))) &lt;=8.8, SUM((DI329*(20/100))+(DJ329*(30/100))+(DK329*(50/100))) &gt;=8.3),8.5,
IF(AND( SUM((DI329*(20/100))+(DJ329*(30/100))+(DK329*(50/100))) &lt;=8.3, SUM((DI329*(20/100))+(DJ329*(30/100))+(DK329*(50/100))) &gt;=7.8),8,
IF(AND( SUM((DI329*(20/100))+(DJ329*(30/100))+(DK329*(50/100))) &lt;=7.8, SUM((DI329*(20/100))+(DJ329*(30/100))+(DK329*(50/100))) &gt;=7.3),7.5,
IF(AND( SUM((DI329*(20/100))+(DJ329*(30/100))+(DK329*(50/100))) &lt;=7.3, SUM((DI329*(20/100))+(DJ329*(30/100))+(DK329*(50/100))) &gt;=6.8),7,
IF(AND( SUM((DI329*(20/100))+(DJ329*(30/100))+(DK329*(50/100))) &lt;=6.8, SUM((DI329*(20/100))+(DJ329*(30/100))+(DK329*(50/100))) &gt;=6.3),6.5,
IF(AND( SUM((DI329*(20/100))+(DJ329*(30/100))+(DK329*(50/100))) &lt;=6.3, SUM((DI329*(20/100))+(DJ329*(30/100))+(DK329*(50/100))) &gt;=5.8),6,
IF(AND( SUM((DI329*(20/100))+(DJ329*(30/100))+(DK329*(50/100))) &lt;=5.8, SUM((DI329*(20/100))+(DJ329*(30/100))+(DK329*(50/100))) &gt;=5.3),5.5,
IF(AND( SUM((DI329*(20/100))+(DJ329*(30/100))+(DK329*(50/100))) &lt;=5.3, SUM((DI329*(20/100))+(DJ329*(30/100))+(DK329*(50/100))) &gt;=4.8),5,
IF(AND( SUM((DI329*(20/100))+(DJ329*(30/100))+(DK329*(50/100))) &lt;=4.8, SUM((DI329*(20/100))+(DJ329*(30/100))+(DK329*(50/100))) &gt;=4.3),4.5,
IF(AND( SUM((DI329*(20/100))+(DJ329*(30/100))+(DK329*(50/100))) &lt;=4.3, SUM((DI329*(20/100))+(DJ329*(30/100))+(DK329*(50/100))) &gt;=3.8),4,
IF(AND( SUM((DI329*(20/100))+(DJ329*(30/100))+(DK329*(50/100))) &lt;=3.8, SUM((DI329*(20/100))+(DJ329*(30/100))+(DK329*(50/100))) &gt;=3.5),3.5,0)))))))))))))</f>
        <v>0</v>
      </c>
      <c r="DM329" s="536"/>
      <c r="DN329" s="536"/>
      <c r="DO329" s="536"/>
      <c r="DP329" s="541">
        <f>IF( SUM((DJ329*(20/100))+(DK329*(30/100))+(DL329*(50/100))) &gt;=9.3,9.5,
IF(AND( SUM((DJ329*(20/100))+(DK329*(30/100))+(DL329*(50/100))) &lt;=9.3, SUM((DJ329*(20/100))+(DK329*(30/100))+(DL329*(50/100))) &gt;=8.8),9,
IF(AND( SUM((DJ329*(20/100))+(DK329*(30/100))+(DL329*(50/100))) &lt;=8.8, SUM((DJ329*(20/100))+(DK329*(30/100))+(DL329*(50/100))) &gt;=8.3),8.5,
IF(AND( SUM((DJ329*(20/100))+(DK329*(30/100))+(DL329*(50/100))) &lt;=8.3, SUM((DJ329*(20/100))+(DK329*(30/100))+(DL329*(50/100))) &gt;=7.8),8,
IF(AND( SUM((DJ329*(20/100))+(DK329*(30/100))+(DL329*(50/100))) &lt;=7.8, SUM((DJ329*(20/100))+(DK329*(30/100))+(DL329*(50/100))) &gt;=7.3),7.5,
IF(AND( SUM((DJ329*(20/100))+(DK329*(30/100))+(DL329*(50/100))) &lt;=7.3, SUM((DJ329*(20/100))+(DK329*(30/100))+(DL329*(50/100))) &gt;=6.8),7,
IF(AND( SUM((DJ329*(20/100))+(DK329*(30/100))+(DL329*(50/100))) &lt;=6.8, SUM((DJ329*(20/100))+(DK329*(30/100))+(DL329*(50/100))) &gt;=6.3),6.5,
IF(AND( SUM((DJ329*(20/100))+(DK329*(30/100))+(DL329*(50/100))) &lt;=6.3, SUM((DJ329*(20/100))+(DK329*(30/100))+(DL329*(50/100))) &gt;=5.8),6,
IF(AND( SUM((DJ329*(20/100))+(DK329*(30/100))+(DL329*(50/100))) &lt;=5.8, SUM((DJ329*(20/100))+(DK329*(30/100))+(DL329*(50/100))) &gt;=5.3),5.5,
IF(AND( SUM((DJ329*(20/100))+(DK329*(30/100))+(DL329*(50/100))) &lt;=5.3, SUM((DJ329*(20/100))+(DK329*(30/100))+(DL329*(50/100))) &gt;=4.8),5,
IF(AND( SUM((DJ329*(20/100))+(DK329*(30/100))+(DL329*(50/100))) &lt;=4.8, SUM((DJ329*(20/100))+(DK329*(30/100))+(DL329*(50/100))) &gt;=4.3),4.5,
IF(AND( SUM((DJ329*(20/100))+(DK329*(30/100))+(DL329*(50/100))) &lt;=4.3, SUM((DJ329*(20/100))+(DK329*(30/100))+(DL329*(50/100))) &gt;=3.8),4,
IF(AND( SUM((DJ329*(20/100))+(DK329*(30/100))+(DL329*(50/100))) &lt;=3.8, SUM((DJ329*(20/100))+(DK329*(30/100))+(DL329*(50/100))) &gt;=3.5),3.5,0)))))))))))))</f>
        <v>0</v>
      </c>
      <c r="DQ329" s="541"/>
      <c r="DR329" s="541"/>
      <c r="DS329" s="541"/>
      <c r="DT329" s="541"/>
      <c r="DU329" s="541"/>
      <c r="DV329" s="541"/>
      <c r="DW329" s="541"/>
      <c r="DX329" s="541"/>
      <c r="DY329" s="541"/>
      <c r="DZ329" s="541"/>
    </row>
    <row r="330" spans="2:130" x14ac:dyDescent="0.25">
      <c r="B330" s="334">
        <v>23</v>
      </c>
      <c r="C330" s="541"/>
      <c r="D330" s="334"/>
      <c r="E330" s="334"/>
      <c r="F330" s="334"/>
      <c r="G330" s="334"/>
      <c r="H330" s="334"/>
      <c r="I330" s="334"/>
      <c r="J330" s="536"/>
      <c r="K330" s="536"/>
      <c r="L330" s="536"/>
      <c r="M330" s="536"/>
      <c r="N330" s="536"/>
      <c r="O330" s="536"/>
      <c r="P330" s="536">
        <f t="shared" si="126"/>
        <v>0</v>
      </c>
      <c r="Q330" s="536"/>
      <c r="R330" s="536"/>
      <c r="S330" s="536"/>
      <c r="T330" s="536">
        <f t="shared" si="127"/>
        <v>0</v>
      </c>
      <c r="U330" s="536"/>
      <c r="V330" s="536"/>
      <c r="W330" s="536"/>
      <c r="X330" s="536">
        <f t="shared" si="128"/>
        <v>0</v>
      </c>
      <c r="Y330" s="536"/>
      <c r="Z330" s="536"/>
      <c r="AA330" s="536"/>
      <c r="AB330" s="536">
        <f t="shared" si="129"/>
        <v>0</v>
      </c>
      <c r="AC330" s="536"/>
      <c r="AD330" s="536"/>
      <c r="AE330" s="536"/>
      <c r="AF330" s="536">
        <f t="shared" si="130"/>
        <v>0</v>
      </c>
      <c r="AG330" s="536"/>
      <c r="AH330" s="536"/>
      <c r="AI330" s="536"/>
      <c r="AJ330" s="536">
        <f t="shared" si="131"/>
        <v>0</v>
      </c>
      <c r="AK330" s="536"/>
      <c r="AL330" s="536"/>
      <c r="AM330" s="536"/>
      <c r="AN330" s="542">
        <f t="shared" si="132"/>
        <v>0</v>
      </c>
      <c r="AO330" s="536"/>
      <c r="AP330" s="536"/>
      <c r="AQ330" s="536"/>
      <c r="AR330" s="542">
        <f t="shared" si="133"/>
        <v>0</v>
      </c>
      <c r="AS330" s="536"/>
      <c r="AT330" s="536"/>
      <c r="AU330" s="536"/>
      <c r="AV330" s="542">
        <f t="shared" si="134"/>
        <v>0</v>
      </c>
      <c r="AW330" s="536"/>
      <c r="AX330" s="536"/>
      <c r="AY330" s="536"/>
      <c r="AZ330" s="542">
        <f t="shared" si="135"/>
        <v>0</v>
      </c>
      <c r="BA330" s="536"/>
      <c r="BB330" s="536"/>
      <c r="BC330" s="536"/>
      <c r="BD330" s="542">
        <f t="shared" si="136"/>
        <v>0</v>
      </c>
      <c r="BE330" s="536"/>
      <c r="BF330" s="536"/>
      <c r="BG330" s="536"/>
      <c r="BH330" s="542">
        <f t="shared" si="137"/>
        <v>0</v>
      </c>
      <c r="BI330" s="536"/>
      <c r="BJ330" s="536"/>
      <c r="BK330" s="536"/>
      <c r="BL330" s="542">
        <f t="shared" si="138"/>
        <v>0</v>
      </c>
      <c r="BM330" s="536"/>
      <c r="BN330" s="536"/>
      <c r="BO330" s="536"/>
      <c r="BP330" s="542">
        <f t="shared" si="139"/>
        <v>0</v>
      </c>
      <c r="BQ330" s="536"/>
      <c r="BR330" s="536"/>
      <c r="BS330" s="536"/>
      <c r="BT330" s="542">
        <f t="shared" si="140"/>
        <v>0</v>
      </c>
      <c r="BU330" s="536"/>
      <c r="BV330" s="536"/>
      <c r="BW330" s="536"/>
      <c r="BX330" s="542">
        <f t="shared" si="141"/>
        <v>0</v>
      </c>
      <c r="BY330" s="536"/>
      <c r="BZ330" s="536"/>
      <c r="CA330" s="536"/>
      <c r="CB330" s="542">
        <v>0</v>
      </c>
      <c r="CC330" s="536"/>
      <c r="CD330" s="536"/>
      <c r="CE330" s="536"/>
      <c r="CF330" s="541">
        <f t="shared" si="142"/>
        <v>0</v>
      </c>
      <c r="CG330" s="536"/>
      <c r="CH330" s="536"/>
      <c r="CI330" s="536"/>
      <c r="CJ330" s="541">
        <f t="shared" si="143"/>
        <v>0</v>
      </c>
      <c r="CK330" s="536"/>
      <c r="CL330" s="536"/>
      <c r="CM330" s="536"/>
      <c r="CN330" s="541">
        <f t="shared" si="144"/>
        <v>0</v>
      </c>
      <c r="CO330" s="536"/>
      <c r="CP330" s="536"/>
      <c r="CQ330" s="536"/>
      <c r="CR330" s="541">
        <f t="shared" si="145"/>
        <v>0</v>
      </c>
      <c r="CS330" s="536"/>
      <c r="CT330" s="536"/>
      <c r="CU330" s="536"/>
      <c r="CV330" s="541">
        <f t="shared" si="146"/>
        <v>0</v>
      </c>
      <c r="CW330" s="536"/>
      <c r="CX330" s="536"/>
      <c r="CY330" s="536"/>
      <c r="CZ330" s="541">
        <f t="shared" si="147"/>
        <v>0</v>
      </c>
      <c r="DA330" s="536"/>
      <c r="DB330" s="536"/>
      <c r="DC330" s="536"/>
      <c r="DD330" s="541">
        <f t="shared" si="148"/>
        <v>0</v>
      </c>
      <c r="DE330" s="536"/>
      <c r="DF330" s="536"/>
      <c r="DG330" s="536"/>
      <c r="DH330" s="541">
        <f t="shared" si="149"/>
        <v>0</v>
      </c>
      <c r="DI330" s="536"/>
      <c r="DJ330" s="536"/>
      <c r="DK330" s="536"/>
      <c r="DL330" s="541">
        <f t="shared" si="150"/>
        <v>0</v>
      </c>
      <c r="DM330" s="536"/>
      <c r="DN330" s="536"/>
      <c r="DO330" s="536"/>
      <c r="DP330" s="541">
        <f>IF( SUM((DJ330*(20/100))+(DK330*(30/100))+(DL330*(50/100))) &gt;=9.3,9.5,
IF(AND( SUM((DJ330*(20/100))+(DK330*(30/100))+(DL330*(50/100))) &lt;=9.3, SUM((DJ330*(20/100))+(DK330*(30/100))+(DL330*(50/100))) &gt;=8.8),9,
IF(AND( SUM((DJ330*(20/100))+(DK330*(30/100))+(DL330*(50/100))) &lt;=8.8, SUM((DJ330*(20/100))+(DK330*(30/100))+(DL330*(50/100))) &gt;=8.3),8.5,
IF(AND( SUM((DJ330*(20/100))+(DK330*(30/100))+(DL330*(50/100))) &lt;=8.3, SUM((DJ330*(20/100))+(DK330*(30/100))+(DL330*(50/100))) &gt;=7.8),8,
IF(AND( SUM((DJ330*(20/100))+(DK330*(30/100))+(DL330*(50/100))) &lt;=7.8, SUM((DJ330*(20/100))+(DK330*(30/100))+(DL330*(50/100))) &gt;=7.3),7.5,
IF(AND( SUM((DJ330*(20/100))+(DK330*(30/100))+(DL330*(50/100))) &lt;=7.3, SUM((DJ330*(20/100))+(DK330*(30/100))+(DL330*(50/100))) &gt;=6.8),7,
IF(AND( SUM((DJ330*(20/100))+(DK330*(30/100))+(DL330*(50/100))) &lt;=6.8, SUM((DJ330*(20/100))+(DK330*(30/100))+(DL330*(50/100))) &gt;=6.3),6.5,
IF(AND( SUM((DJ330*(20/100))+(DK330*(30/100))+(DL330*(50/100))) &lt;=6.3, SUM((DJ330*(20/100))+(DK330*(30/100))+(DL330*(50/100))) &gt;=5.8),6,
IF(AND( SUM((DJ330*(20/100))+(DK330*(30/100))+(DL330*(50/100))) &lt;=5.8, SUM((DJ330*(20/100))+(DK330*(30/100))+(DL330*(50/100))) &gt;=5.3),5.5,
IF(AND( SUM((DJ330*(20/100))+(DK330*(30/100))+(DL330*(50/100))) &lt;=5.3, SUM((DJ330*(20/100))+(DK330*(30/100))+(DL330*(50/100))) &gt;=4.8),5,
IF(AND( SUM((DJ330*(20/100))+(DK330*(30/100))+(DL330*(50/100))) &lt;=4.8, SUM((DJ330*(20/100))+(DK330*(30/100))+(DL330*(50/100))) &gt;=4.3),4.5,
IF(AND( SUM((DJ330*(20/100))+(DK330*(30/100))+(DL330*(50/100))) &lt;=4.3, SUM((DJ330*(20/100))+(DK330*(30/100))+(DL330*(50/100))) &gt;=3.8),4,
IF(AND( SUM((DJ330*(20/100))+(DK330*(30/100))+(DL330*(50/100))) &lt;=3.8, SUM((DJ330*(20/100))+(DK330*(30/100))+(DL330*(50/100))) &gt;=3.5),3.5,0)))))))))))))</f>
        <v>0</v>
      </c>
      <c r="DQ330" s="541"/>
      <c r="DR330" s="541"/>
      <c r="DS330" s="541"/>
      <c r="DT330" s="541"/>
      <c r="DU330" s="541"/>
      <c r="DV330" s="541"/>
      <c r="DW330" s="541"/>
      <c r="DX330" s="541"/>
      <c r="DY330" s="541"/>
      <c r="DZ330" s="541"/>
    </row>
    <row r="331" spans="2:130" x14ac:dyDescent="0.25">
      <c r="B331" s="334">
        <v>24</v>
      </c>
      <c r="C331" s="541"/>
      <c r="D331" s="334"/>
      <c r="E331" s="334"/>
      <c r="F331" s="334"/>
      <c r="G331" s="334"/>
      <c r="H331" s="334"/>
      <c r="I331" s="334"/>
      <c r="J331" s="536"/>
      <c r="K331" s="536"/>
      <c r="L331" s="536"/>
      <c r="M331" s="536"/>
      <c r="N331" s="536"/>
      <c r="O331" s="536"/>
      <c r="P331" s="536">
        <f t="shared" si="126"/>
        <v>0</v>
      </c>
      <c r="Q331" s="536"/>
      <c r="R331" s="536"/>
      <c r="S331" s="536"/>
      <c r="T331" s="536">
        <f t="shared" si="127"/>
        <v>0</v>
      </c>
      <c r="U331" s="536"/>
      <c r="V331" s="536"/>
      <c r="W331" s="536"/>
      <c r="X331" s="536">
        <f t="shared" si="128"/>
        <v>0</v>
      </c>
      <c r="Y331" s="536"/>
      <c r="Z331" s="536"/>
      <c r="AA331" s="536"/>
      <c r="AB331" s="536">
        <f t="shared" si="129"/>
        <v>0</v>
      </c>
      <c r="AC331" s="536"/>
      <c r="AD331" s="536"/>
      <c r="AE331" s="536"/>
      <c r="AF331" s="536">
        <f t="shared" si="130"/>
        <v>0</v>
      </c>
      <c r="AG331" s="536"/>
      <c r="AH331" s="536"/>
      <c r="AI331" s="536"/>
      <c r="AJ331" s="536">
        <f t="shared" si="131"/>
        <v>0</v>
      </c>
      <c r="AK331" s="536"/>
      <c r="AL331" s="536"/>
      <c r="AM331" s="536"/>
      <c r="AN331" s="542">
        <f t="shared" si="132"/>
        <v>0</v>
      </c>
      <c r="AO331" s="536"/>
      <c r="AP331" s="536"/>
      <c r="AQ331" s="536"/>
      <c r="AR331" s="542">
        <f t="shared" si="133"/>
        <v>0</v>
      </c>
      <c r="AS331" s="536"/>
      <c r="AT331" s="536"/>
      <c r="AU331" s="536"/>
      <c r="AV331" s="542">
        <f t="shared" si="134"/>
        <v>0</v>
      </c>
      <c r="AW331" s="536"/>
      <c r="AX331" s="536"/>
      <c r="AY331" s="536"/>
      <c r="AZ331" s="542">
        <f t="shared" si="135"/>
        <v>0</v>
      </c>
      <c r="BA331" s="536"/>
      <c r="BB331" s="536"/>
      <c r="BC331" s="536"/>
      <c r="BD331" s="542">
        <f t="shared" si="136"/>
        <v>0</v>
      </c>
      <c r="BE331" s="536"/>
      <c r="BF331" s="536"/>
      <c r="BG331" s="536"/>
      <c r="BH331" s="542">
        <f t="shared" si="137"/>
        <v>0</v>
      </c>
      <c r="BI331" s="536"/>
      <c r="BJ331" s="536"/>
      <c r="BK331" s="536"/>
      <c r="BL331" s="542">
        <f t="shared" si="138"/>
        <v>0</v>
      </c>
      <c r="BM331" s="536"/>
      <c r="BN331" s="536"/>
      <c r="BO331" s="536"/>
      <c r="BP331" s="542">
        <f t="shared" si="139"/>
        <v>0</v>
      </c>
      <c r="BQ331" s="536"/>
      <c r="BR331" s="536"/>
      <c r="BS331" s="536"/>
      <c r="BT331" s="542">
        <f t="shared" si="140"/>
        <v>0</v>
      </c>
      <c r="BU331" s="536"/>
      <c r="BV331" s="536"/>
      <c r="BW331" s="536"/>
      <c r="BX331" s="542">
        <f t="shared" si="141"/>
        <v>0</v>
      </c>
      <c r="BY331" s="536"/>
      <c r="BZ331" s="536"/>
      <c r="CA331" s="536"/>
      <c r="CB331" s="542">
        <v>0</v>
      </c>
      <c r="CC331" s="536"/>
      <c r="CD331" s="536"/>
      <c r="CE331" s="536"/>
      <c r="CF331" s="541">
        <f t="shared" si="142"/>
        <v>0</v>
      </c>
      <c r="CG331" s="536"/>
      <c r="CH331" s="536"/>
      <c r="CI331" s="536"/>
      <c r="CJ331" s="541">
        <f t="shared" si="143"/>
        <v>0</v>
      </c>
      <c r="CK331" s="536"/>
      <c r="CL331" s="536"/>
      <c r="CM331" s="536"/>
      <c r="CN331" s="541">
        <f t="shared" si="144"/>
        <v>0</v>
      </c>
      <c r="CO331" s="536"/>
      <c r="CP331" s="536"/>
      <c r="CQ331" s="536"/>
      <c r="CR331" s="541">
        <f t="shared" si="145"/>
        <v>0</v>
      </c>
      <c r="CS331" s="536"/>
      <c r="CT331" s="536"/>
      <c r="CU331" s="536"/>
      <c r="CV331" s="541">
        <f t="shared" si="146"/>
        <v>0</v>
      </c>
      <c r="CW331" s="536"/>
      <c r="CX331" s="536"/>
      <c r="CY331" s="536"/>
      <c r="CZ331" s="541">
        <f t="shared" si="147"/>
        <v>0</v>
      </c>
      <c r="DA331" s="536"/>
      <c r="DB331" s="536"/>
      <c r="DC331" s="536"/>
      <c r="DD331" s="541">
        <f t="shared" si="148"/>
        <v>0</v>
      </c>
      <c r="DE331" s="536"/>
      <c r="DF331" s="536"/>
      <c r="DG331" s="536"/>
      <c r="DH331" s="541">
        <f t="shared" si="149"/>
        <v>0</v>
      </c>
      <c r="DI331" s="536"/>
      <c r="DJ331" s="536"/>
      <c r="DK331" s="536"/>
      <c r="DL331" s="541">
        <f t="shared" si="150"/>
        <v>0</v>
      </c>
      <c r="DM331" s="536"/>
      <c r="DN331" s="536"/>
      <c r="DO331" s="536"/>
      <c r="DP331" s="541">
        <f>IF( SUM((DJ331*(20/100))+(DK331*(30/100))+(DL331*(50/100))) &gt;=9.3,9.5,
IF(AND( SUM((DJ331*(20/100))+(DK331*(30/100))+(DL331*(50/100))) &lt;=9.3, SUM((DJ331*(20/100))+(DK331*(30/100))+(DL331*(50/100))) &gt;=8.8),9,
IF(AND( SUM((DJ331*(20/100))+(DK331*(30/100))+(DL331*(50/100))) &lt;=8.8, SUM((DJ331*(20/100))+(DK331*(30/100))+(DL331*(50/100))) &gt;=8.3),8.5,
IF(AND( SUM((DJ331*(20/100))+(DK331*(30/100))+(DL331*(50/100))) &lt;=8.3, SUM((DJ331*(20/100))+(DK331*(30/100))+(DL331*(50/100))) &gt;=7.8),8,
IF(AND( SUM((DJ331*(20/100))+(DK331*(30/100))+(DL331*(50/100))) &lt;=7.8, SUM((DJ331*(20/100))+(DK331*(30/100))+(DL331*(50/100))) &gt;=7.3),7.5,
IF(AND( SUM((DJ331*(20/100))+(DK331*(30/100))+(DL331*(50/100))) &lt;=7.3, SUM((DJ331*(20/100))+(DK331*(30/100))+(DL331*(50/100))) &gt;=6.8),7,
IF(AND( SUM((DJ331*(20/100))+(DK331*(30/100))+(DL331*(50/100))) &lt;=6.8, SUM((DJ331*(20/100))+(DK331*(30/100))+(DL331*(50/100))) &gt;=6.3),6.5,
IF(AND( SUM((DJ331*(20/100))+(DK331*(30/100))+(DL331*(50/100))) &lt;=6.3, SUM((DJ331*(20/100))+(DK331*(30/100))+(DL331*(50/100))) &gt;=5.8),6,
IF(AND( SUM((DJ331*(20/100))+(DK331*(30/100))+(DL331*(50/100))) &lt;=5.8, SUM((DJ331*(20/100))+(DK331*(30/100))+(DL331*(50/100))) &gt;=5.3),5.5,
IF(AND( SUM((DJ331*(20/100))+(DK331*(30/100))+(DL331*(50/100))) &lt;=5.3, SUM((DJ331*(20/100))+(DK331*(30/100))+(DL331*(50/100))) &gt;=4.8),5,
IF(AND( SUM((DJ331*(20/100))+(DK331*(30/100))+(DL331*(50/100))) &lt;=4.8, SUM((DJ331*(20/100))+(DK331*(30/100))+(DL331*(50/100))) &gt;=4.3),4.5,
IF(AND( SUM((DJ331*(20/100))+(DK331*(30/100))+(DL331*(50/100))) &lt;=4.3, SUM((DJ331*(20/100))+(DK331*(30/100))+(DL331*(50/100))) &gt;=3.8),4,
IF(AND( SUM((DJ331*(20/100))+(DK331*(30/100))+(DL331*(50/100))) &lt;=3.8, SUM((DJ331*(20/100))+(DK331*(30/100))+(DL331*(50/100))) &gt;=3.5),3.5,0)))))))))))))</f>
        <v>0</v>
      </c>
      <c r="DQ331" s="541"/>
      <c r="DR331" s="541"/>
      <c r="DS331" s="541"/>
      <c r="DT331" s="541"/>
      <c r="DU331" s="541"/>
      <c r="DV331" s="541"/>
      <c r="DW331" s="541"/>
      <c r="DX331" s="541"/>
      <c r="DY331" s="541"/>
      <c r="DZ331" s="541"/>
    </row>
    <row r="332" spans="2:130" x14ac:dyDescent="0.25">
      <c r="B332" s="334">
        <v>25</v>
      </c>
      <c r="C332" s="541"/>
      <c r="D332" s="334"/>
      <c r="E332" s="334"/>
      <c r="F332" s="334"/>
      <c r="G332" s="334"/>
      <c r="H332" s="334"/>
      <c r="I332" s="334"/>
      <c r="J332" s="536"/>
      <c r="K332" s="536"/>
      <c r="L332" s="536"/>
      <c r="M332" s="536"/>
      <c r="N332" s="536"/>
      <c r="O332" s="536"/>
      <c r="P332" s="536">
        <f t="shared" si="126"/>
        <v>0</v>
      </c>
      <c r="Q332" s="536"/>
      <c r="R332" s="536"/>
      <c r="S332" s="536"/>
      <c r="T332" s="536">
        <f t="shared" si="127"/>
        <v>0</v>
      </c>
      <c r="U332" s="536"/>
      <c r="V332" s="536"/>
      <c r="W332" s="536"/>
      <c r="X332" s="536">
        <f t="shared" si="128"/>
        <v>0</v>
      </c>
      <c r="Y332" s="536"/>
      <c r="Z332" s="536"/>
      <c r="AA332" s="536"/>
      <c r="AB332" s="536">
        <f t="shared" si="129"/>
        <v>0</v>
      </c>
      <c r="AC332" s="536"/>
      <c r="AD332" s="536"/>
      <c r="AE332" s="536"/>
      <c r="AF332" s="536">
        <f t="shared" si="130"/>
        <v>0</v>
      </c>
      <c r="AG332" s="536"/>
      <c r="AH332" s="536"/>
      <c r="AI332" s="536"/>
      <c r="AJ332" s="536">
        <f t="shared" si="131"/>
        <v>0</v>
      </c>
      <c r="AK332" s="536"/>
      <c r="AL332" s="536"/>
      <c r="AM332" s="536"/>
      <c r="AN332" s="542">
        <f t="shared" si="132"/>
        <v>0</v>
      </c>
      <c r="AO332" s="536"/>
      <c r="AP332" s="536"/>
      <c r="AQ332" s="536"/>
      <c r="AR332" s="542">
        <f t="shared" si="133"/>
        <v>0</v>
      </c>
      <c r="AS332" s="536"/>
      <c r="AT332" s="536"/>
      <c r="AU332" s="536"/>
      <c r="AV332" s="542">
        <f t="shared" si="134"/>
        <v>0</v>
      </c>
      <c r="AW332" s="536"/>
      <c r="AX332" s="536"/>
      <c r="AY332" s="536"/>
      <c r="AZ332" s="542">
        <f t="shared" si="135"/>
        <v>0</v>
      </c>
      <c r="BA332" s="536"/>
      <c r="BB332" s="536"/>
      <c r="BC332" s="536"/>
      <c r="BD332" s="542">
        <f t="shared" si="136"/>
        <v>0</v>
      </c>
      <c r="BE332" s="536"/>
      <c r="BF332" s="536"/>
      <c r="BG332" s="536"/>
      <c r="BH332" s="542">
        <f t="shared" si="137"/>
        <v>0</v>
      </c>
      <c r="BI332" s="536"/>
      <c r="BJ332" s="536"/>
      <c r="BK332" s="536"/>
      <c r="BL332" s="542">
        <f t="shared" si="138"/>
        <v>0</v>
      </c>
      <c r="BM332" s="536"/>
      <c r="BN332" s="536"/>
      <c r="BO332" s="536"/>
      <c r="BP332" s="542">
        <f t="shared" si="139"/>
        <v>0</v>
      </c>
      <c r="BQ332" s="536"/>
      <c r="BR332" s="536"/>
      <c r="BS332" s="536"/>
      <c r="BT332" s="542">
        <f t="shared" si="140"/>
        <v>0</v>
      </c>
      <c r="BU332" s="536"/>
      <c r="BV332" s="536"/>
      <c r="BW332" s="536"/>
      <c r="BX332" s="542">
        <f t="shared" si="141"/>
        <v>0</v>
      </c>
      <c r="BY332" s="536"/>
      <c r="BZ332" s="536"/>
      <c r="CA332" s="536"/>
      <c r="CB332" s="542">
        <v>0</v>
      </c>
      <c r="CC332" s="536"/>
      <c r="CD332" s="536"/>
      <c r="CE332" s="536"/>
      <c r="CF332" s="541">
        <f t="shared" si="142"/>
        <v>0</v>
      </c>
      <c r="CG332" s="536"/>
      <c r="CH332" s="536"/>
      <c r="CI332" s="536"/>
      <c r="CJ332" s="541">
        <f t="shared" si="143"/>
        <v>0</v>
      </c>
      <c r="CK332" s="536"/>
      <c r="CL332" s="536"/>
      <c r="CM332" s="536"/>
      <c r="CN332" s="541">
        <f t="shared" si="144"/>
        <v>0</v>
      </c>
      <c r="CO332" s="536"/>
      <c r="CP332" s="536"/>
      <c r="CQ332" s="536"/>
      <c r="CR332" s="541">
        <f t="shared" si="145"/>
        <v>0</v>
      </c>
      <c r="CS332" s="536"/>
      <c r="CT332" s="536"/>
      <c r="CU332" s="536"/>
      <c r="CV332" s="541">
        <f t="shared" si="146"/>
        <v>0</v>
      </c>
      <c r="CW332" s="536"/>
      <c r="CX332" s="536"/>
      <c r="CY332" s="536"/>
      <c r="CZ332" s="541">
        <f t="shared" si="147"/>
        <v>0</v>
      </c>
      <c r="DA332" s="536"/>
      <c r="DB332" s="536"/>
      <c r="DC332" s="536"/>
      <c r="DD332" s="541">
        <f t="shared" si="148"/>
        <v>0</v>
      </c>
      <c r="DE332" s="536"/>
      <c r="DF332" s="536"/>
      <c r="DG332" s="536"/>
      <c r="DH332" s="541">
        <f t="shared" si="149"/>
        <v>0</v>
      </c>
      <c r="DI332" s="536"/>
      <c r="DJ332" s="536"/>
      <c r="DK332" s="536"/>
      <c r="DL332" s="541">
        <f t="shared" si="150"/>
        <v>0</v>
      </c>
      <c r="DM332" s="536"/>
      <c r="DN332" s="536"/>
      <c r="DO332" s="536"/>
      <c r="DP332" s="541">
        <f>IF( SUM((DJ332*(20/100))+(DK332*(30/100))+(DL332*(50/100))) &gt;=9.3,9.5,
IF(AND( SUM((DJ332*(20/100))+(DK332*(30/100))+(DL332*(50/100))) &lt;=9.3, SUM((DJ332*(20/100))+(DK332*(30/100))+(DL332*(50/100))) &gt;=8.8),9,
IF(AND( SUM((DJ332*(20/100))+(DK332*(30/100))+(DL332*(50/100))) &lt;=8.8, SUM((DJ332*(20/100))+(DK332*(30/100))+(DL332*(50/100))) &gt;=8.3),8.5,
IF(AND( SUM((DJ332*(20/100))+(DK332*(30/100))+(DL332*(50/100))) &lt;=8.3, SUM((DJ332*(20/100))+(DK332*(30/100))+(DL332*(50/100))) &gt;=7.8),8,
IF(AND( SUM((DJ332*(20/100))+(DK332*(30/100))+(DL332*(50/100))) &lt;=7.8, SUM((DJ332*(20/100))+(DK332*(30/100))+(DL332*(50/100))) &gt;=7.3),7.5,
IF(AND( SUM((DJ332*(20/100))+(DK332*(30/100))+(DL332*(50/100))) &lt;=7.3, SUM((DJ332*(20/100))+(DK332*(30/100))+(DL332*(50/100))) &gt;=6.8),7,
IF(AND( SUM((DJ332*(20/100))+(DK332*(30/100))+(DL332*(50/100))) &lt;=6.8, SUM((DJ332*(20/100))+(DK332*(30/100))+(DL332*(50/100))) &gt;=6.3),6.5,
IF(AND( SUM((DJ332*(20/100))+(DK332*(30/100))+(DL332*(50/100))) &lt;=6.3, SUM((DJ332*(20/100))+(DK332*(30/100))+(DL332*(50/100))) &gt;=5.8),6,
IF(AND( SUM((DJ332*(20/100))+(DK332*(30/100))+(DL332*(50/100))) &lt;=5.8, SUM((DJ332*(20/100))+(DK332*(30/100))+(DL332*(50/100))) &gt;=5.3),5.5,
IF(AND( SUM((DJ332*(20/100))+(DK332*(30/100))+(DL332*(50/100))) &lt;=5.3, SUM((DJ332*(20/100))+(DK332*(30/100))+(DL332*(50/100))) &gt;=4.8),5,
IF(AND( SUM((DJ332*(20/100))+(DK332*(30/100))+(DL332*(50/100))) &lt;=4.8, SUM((DJ332*(20/100))+(DK332*(30/100))+(DL332*(50/100))) &gt;=4.3),4.5,
IF(AND( SUM((DJ332*(20/100))+(DK332*(30/100))+(DL332*(50/100))) &lt;=4.3, SUM((DJ332*(20/100))+(DK332*(30/100))+(DL332*(50/100))) &gt;=3.8),4,
IF(AND( SUM((DJ332*(20/100))+(DK332*(30/100))+(DL332*(50/100))) &lt;=3.8, SUM((DJ332*(20/100))+(DK332*(30/100))+(DL332*(50/100))) &gt;=3.5),3.5,0)))))))))))))</f>
        <v>0</v>
      </c>
      <c r="DQ332" s="541"/>
      <c r="DR332" s="541"/>
      <c r="DS332" s="541"/>
      <c r="DT332" s="541"/>
      <c r="DU332" s="541"/>
      <c r="DV332" s="541"/>
      <c r="DW332" s="541"/>
      <c r="DX332" s="541"/>
      <c r="DY332" s="541"/>
      <c r="DZ332" s="541"/>
    </row>
    <row r="333" spans="2:130" x14ac:dyDescent="0.25">
      <c r="B333" s="334">
        <v>26</v>
      </c>
      <c r="C333" s="541"/>
      <c r="D333" s="334"/>
      <c r="E333" s="334"/>
      <c r="F333" s="334"/>
      <c r="G333" s="334"/>
      <c r="H333" s="334"/>
      <c r="I333" s="334"/>
      <c r="J333" s="536"/>
      <c r="K333" s="536"/>
      <c r="L333" s="536"/>
      <c r="M333" s="536"/>
      <c r="N333" s="536"/>
      <c r="O333" s="536"/>
      <c r="P333" s="536">
        <f t="shared" si="126"/>
        <v>0</v>
      </c>
      <c r="Q333" s="536"/>
      <c r="R333" s="536"/>
      <c r="S333" s="536"/>
      <c r="T333" s="536">
        <f t="shared" si="127"/>
        <v>0</v>
      </c>
      <c r="U333" s="536"/>
      <c r="V333" s="536"/>
      <c r="W333" s="536"/>
      <c r="X333" s="536">
        <f t="shared" si="128"/>
        <v>0</v>
      </c>
      <c r="Y333" s="536"/>
      <c r="Z333" s="536"/>
      <c r="AA333" s="536"/>
      <c r="AB333" s="536">
        <f t="shared" si="129"/>
        <v>0</v>
      </c>
      <c r="AC333" s="536"/>
      <c r="AD333" s="536"/>
      <c r="AE333" s="536"/>
      <c r="AF333" s="536">
        <f t="shared" si="130"/>
        <v>0</v>
      </c>
      <c r="AG333" s="536"/>
      <c r="AH333" s="536"/>
      <c r="AI333" s="536"/>
      <c r="AJ333" s="536">
        <f t="shared" si="131"/>
        <v>0</v>
      </c>
      <c r="AK333" s="536"/>
      <c r="AL333" s="536"/>
      <c r="AM333" s="536"/>
      <c r="AN333" s="542">
        <f t="shared" si="132"/>
        <v>0</v>
      </c>
      <c r="AO333" s="536"/>
      <c r="AP333" s="536"/>
      <c r="AQ333" s="536"/>
      <c r="AR333" s="542">
        <f t="shared" si="133"/>
        <v>0</v>
      </c>
      <c r="AS333" s="536"/>
      <c r="AT333" s="536"/>
      <c r="AU333" s="536"/>
      <c r="AV333" s="542">
        <f t="shared" si="134"/>
        <v>0</v>
      </c>
      <c r="AW333" s="536"/>
      <c r="AX333" s="536"/>
      <c r="AY333" s="536"/>
      <c r="AZ333" s="542">
        <f t="shared" si="135"/>
        <v>0</v>
      </c>
      <c r="BA333" s="536"/>
      <c r="BB333" s="536"/>
      <c r="BC333" s="536"/>
      <c r="BD333" s="542">
        <f t="shared" si="136"/>
        <v>0</v>
      </c>
      <c r="BE333" s="536"/>
      <c r="BF333" s="536"/>
      <c r="BG333" s="536"/>
      <c r="BH333" s="542">
        <f t="shared" si="137"/>
        <v>0</v>
      </c>
      <c r="BI333" s="536"/>
      <c r="BJ333" s="536"/>
      <c r="BK333" s="536"/>
      <c r="BL333" s="542">
        <f t="shared" si="138"/>
        <v>0</v>
      </c>
      <c r="BM333" s="536"/>
      <c r="BN333" s="536"/>
      <c r="BO333" s="536"/>
      <c r="BP333" s="542">
        <f t="shared" si="139"/>
        <v>0</v>
      </c>
      <c r="BQ333" s="536"/>
      <c r="BR333" s="536"/>
      <c r="BS333" s="536"/>
      <c r="BT333" s="542">
        <f t="shared" si="140"/>
        <v>0</v>
      </c>
      <c r="BU333" s="536"/>
      <c r="BV333" s="536"/>
      <c r="BW333" s="536"/>
      <c r="BX333" s="542">
        <f t="shared" si="141"/>
        <v>0</v>
      </c>
      <c r="BY333" s="536"/>
      <c r="BZ333" s="536"/>
      <c r="CA333" s="536"/>
      <c r="CB333" s="542">
        <v>0</v>
      </c>
      <c r="CC333" s="536"/>
      <c r="CD333" s="536"/>
      <c r="CE333" s="536"/>
      <c r="CF333" s="541">
        <f t="shared" si="142"/>
        <v>0</v>
      </c>
      <c r="CG333" s="536"/>
      <c r="CH333" s="536"/>
      <c r="CI333" s="536"/>
      <c r="CJ333" s="541">
        <f t="shared" si="143"/>
        <v>0</v>
      </c>
      <c r="CK333" s="536"/>
      <c r="CL333" s="536"/>
      <c r="CM333" s="536"/>
      <c r="CN333" s="541">
        <f t="shared" si="144"/>
        <v>0</v>
      </c>
      <c r="CO333" s="536"/>
      <c r="CP333" s="536"/>
      <c r="CQ333" s="536"/>
      <c r="CR333" s="541">
        <f t="shared" si="145"/>
        <v>0</v>
      </c>
      <c r="CS333" s="536"/>
      <c r="CT333" s="536"/>
      <c r="CU333" s="536"/>
      <c r="CV333" s="541">
        <f t="shared" si="146"/>
        <v>0</v>
      </c>
      <c r="CW333" s="536"/>
      <c r="CX333" s="536"/>
      <c r="CY333" s="536"/>
      <c r="CZ333" s="541">
        <f t="shared" si="147"/>
        <v>0</v>
      </c>
      <c r="DA333" s="536"/>
      <c r="DB333" s="536"/>
      <c r="DC333" s="536"/>
      <c r="DD333" s="541">
        <f t="shared" si="148"/>
        <v>0</v>
      </c>
      <c r="DE333" s="536"/>
      <c r="DF333" s="536"/>
      <c r="DG333" s="536"/>
      <c r="DH333" s="541">
        <f t="shared" si="149"/>
        <v>0</v>
      </c>
      <c r="DI333" s="536"/>
      <c r="DJ333" s="536"/>
      <c r="DK333" s="536"/>
      <c r="DL333" s="541">
        <f t="shared" si="150"/>
        <v>0</v>
      </c>
      <c r="DM333" s="536"/>
      <c r="DN333" s="536"/>
      <c r="DO333" s="536"/>
      <c r="DP333" s="541">
        <f>IF( SUM((DJ333*(20/100))+(DK333*(30/100))+(DL333*(50/100))) &gt;=9.3,9.5,
IF(AND( SUM((DJ333*(20/100))+(DK333*(30/100))+(DL333*(50/100))) &lt;=9.3, SUM((DJ333*(20/100))+(DK333*(30/100))+(DL333*(50/100))) &gt;=8.8),9,
IF(AND( SUM((DJ333*(20/100))+(DK333*(30/100))+(DL333*(50/100))) &lt;=8.8, SUM((DJ333*(20/100))+(DK333*(30/100))+(DL333*(50/100))) &gt;=8.3),8.5,
IF(AND( SUM((DJ333*(20/100))+(DK333*(30/100))+(DL333*(50/100))) &lt;=8.3, SUM((DJ333*(20/100))+(DK333*(30/100))+(DL333*(50/100))) &gt;=7.8),8,
IF(AND( SUM((DJ333*(20/100))+(DK333*(30/100))+(DL333*(50/100))) &lt;=7.8, SUM((DJ333*(20/100))+(DK333*(30/100))+(DL333*(50/100))) &gt;=7.3),7.5,
IF(AND( SUM((DJ333*(20/100))+(DK333*(30/100))+(DL333*(50/100))) &lt;=7.3, SUM((DJ333*(20/100))+(DK333*(30/100))+(DL333*(50/100))) &gt;=6.8),7,
IF(AND( SUM((DJ333*(20/100))+(DK333*(30/100))+(DL333*(50/100))) &lt;=6.8, SUM((DJ333*(20/100))+(DK333*(30/100))+(DL333*(50/100))) &gt;=6.3),6.5,
IF(AND( SUM((DJ333*(20/100))+(DK333*(30/100))+(DL333*(50/100))) &lt;=6.3, SUM((DJ333*(20/100))+(DK333*(30/100))+(DL333*(50/100))) &gt;=5.8),6,
IF(AND( SUM((DJ333*(20/100))+(DK333*(30/100))+(DL333*(50/100))) &lt;=5.8, SUM((DJ333*(20/100))+(DK333*(30/100))+(DL333*(50/100))) &gt;=5.3),5.5,
IF(AND( SUM((DJ333*(20/100))+(DK333*(30/100))+(DL333*(50/100))) &lt;=5.3, SUM((DJ333*(20/100))+(DK333*(30/100))+(DL333*(50/100))) &gt;=4.8),5,
IF(AND( SUM((DJ333*(20/100))+(DK333*(30/100))+(DL333*(50/100))) &lt;=4.8, SUM((DJ333*(20/100))+(DK333*(30/100))+(DL333*(50/100))) &gt;=4.3),4.5,
IF(AND( SUM((DJ333*(20/100))+(DK333*(30/100))+(DL333*(50/100))) &lt;=4.3, SUM((DJ333*(20/100))+(DK333*(30/100))+(DL333*(50/100))) &gt;=3.8),4,
IF(AND( SUM((DJ333*(20/100))+(DK333*(30/100))+(DL333*(50/100))) &lt;=3.8, SUM((DJ333*(20/100))+(DK333*(30/100))+(DL333*(50/100))) &gt;=3.5),3.5,0)))))))))))))</f>
        <v>0</v>
      </c>
      <c r="DQ333" s="541"/>
      <c r="DR333" s="541"/>
      <c r="DS333" s="541"/>
      <c r="DT333" s="541"/>
      <c r="DU333" s="541"/>
      <c r="DV333" s="541"/>
      <c r="DW333" s="541"/>
      <c r="DX333" s="541"/>
      <c r="DY333" s="541"/>
      <c r="DZ333" s="541"/>
    </row>
    <row r="334" spans="2:130" x14ac:dyDescent="0.25">
      <c r="B334" s="334">
        <v>27</v>
      </c>
      <c r="C334" s="541"/>
      <c r="D334" s="334"/>
      <c r="E334" s="334"/>
      <c r="F334" s="334"/>
      <c r="G334" s="334"/>
      <c r="H334" s="334"/>
      <c r="I334" s="334"/>
      <c r="J334" s="536"/>
      <c r="K334" s="536"/>
      <c r="L334" s="536"/>
      <c r="M334" s="536"/>
      <c r="N334" s="536"/>
      <c r="O334" s="536"/>
      <c r="P334" s="536">
        <f t="shared" si="126"/>
        <v>0</v>
      </c>
      <c r="Q334" s="536"/>
      <c r="R334" s="536"/>
      <c r="S334" s="536"/>
      <c r="T334" s="536">
        <f t="shared" si="127"/>
        <v>0</v>
      </c>
      <c r="U334" s="536"/>
      <c r="V334" s="536"/>
      <c r="W334" s="536"/>
      <c r="X334" s="536">
        <f t="shared" si="128"/>
        <v>0</v>
      </c>
      <c r="Y334" s="536"/>
      <c r="Z334" s="536"/>
      <c r="AA334" s="536"/>
      <c r="AB334" s="536">
        <f t="shared" si="129"/>
        <v>0</v>
      </c>
      <c r="AC334" s="536"/>
      <c r="AD334" s="536"/>
      <c r="AE334" s="536"/>
      <c r="AF334" s="536">
        <f t="shared" si="130"/>
        <v>0</v>
      </c>
      <c r="AG334" s="536"/>
      <c r="AH334" s="536"/>
      <c r="AI334" s="536"/>
      <c r="AJ334" s="536">
        <f t="shared" si="131"/>
        <v>0</v>
      </c>
      <c r="AK334" s="536"/>
      <c r="AL334" s="536"/>
      <c r="AM334" s="536"/>
      <c r="AN334" s="542">
        <f t="shared" si="132"/>
        <v>0</v>
      </c>
      <c r="AO334" s="536"/>
      <c r="AP334" s="536"/>
      <c r="AQ334" s="536"/>
      <c r="AR334" s="542">
        <f t="shared" si="133"/>
        <v>0</v>
      </c>
      <c r="AS334" s="536"/>
      <c r="AT334" s="536"/>
      <c r="AU334" s="536"/>
      <c r="AV334" s="542">
        <f t="shared" si="134"/>
        <v>0</v>
      </c>
      <c r="AW334" s="536"/>
      <c r="AX334" s="536"/>
      <c r="AY334" s="536"/>
      <c r="AZ334" s="542">
        <f t="shared" si="135"/>
        <v>0</v>
      </c>
      <c r="BA334" s="536"/>
      <c r="BB334" s="536"/>
      <c r="BC334" s="536"/>
      <c r="BD334" s="542">
        <f t="shared" si="136"/>
        <v>0</v>
      </c>
      <c r="BE334" s="536"/>
      <c r="BF334" s="536"/>
      <c r="BG334" s="536"/>
      <c r="BH334" s="542">
        <f t="shared" si="137"/>
        <v>0</v>
      </c>
      <c r="BI334" s="536"/>
      <c r="BJ334" s="536"/>
      <c r="BK334" s="536"/>
      <c r="BL334" s="542">
        <f t="shared" si="138"/>
        <v>0</v>
      </c>
      <c r="BM334" s="536"/>
      <c r="BN334" s="536"/>
      <c r="BO334" s="536"/>
      <c r="BP334" s="542">
        <f t="shared" si="139"/>
        <v>0</v>
      </c>
      <c r="BQ334" s="536"/>
      <c r="BR334" s="536"/>
      <c r="BS334" s="536"/>
      <c r="BT334" s="542">
        <f t="shared" si="140"/>
        <v>0</v>
      </c>
      <c r="BU334" s="536"/>
      <c r="BV334" s="536"/>
      <c r="BW334" s="536"/>
      <c r="BX334" s="542">
        <f t="shared" si="141"/>
        <v>0</v>
      </c>
      <c r="BY334" s="536"/>
      <c r="BZ334" s="536"/>
      <c r="CA334" s="536"/>
      <c r="CB334" s="542">
        <v>0</v>
      </c>
      <c r="CC334" s="536"/>
      <c r="CD334" s="536"/>
      <c r="CE334" s="536"/>
      <c r="CF334" s="541">
        <f t="shared" si="142"/>
        <v>0</v>
      </c>
      <c r="CG334" s="536"/>
      <c r="CH334" s="536"/>
      <c r="CI334" s="536"/>
      <c r="CJ334" s="541">
        <f t="shared" si="143"/>
        <v>0</v>
      </c>
      <c r="CK334" s="536"/>
      <c r="CL334" s="536"/>
      <c r="CM334" s="536"/>
      <c r="CN334" s="541">
        <f t="shared" si="144"/>
        <v>0</v>
      </c>
      <c r="CO334" s="536"/>
      <c r="CP334" s="536"/>
      <c r="CQ334" s="536"/>
      <c r="CR334" s="541">
        <f t="shared" si="145"/>
        <v>0</v>
      </c>
      <c r="CS334" s="536"/>
      <c r="CT334" s="536"/>
      <c r="CU334" s="536"/>
      <c r="CV334" s="541">
        <f t="shared" si="146"/>
        <v>0</v>
      </c>
      <c r="CW334" s="536"/>
      <c r="CX334" s="536"/>
      <c r="CY334" s="536"/>
      <c r="CZ334" s="541">
        <f t="shared" si="147"/>
        <v>0</v>
      </c>
      <c r="DA334" s="536"/>
      <c r="DB334" s="536"/>
      <c r="DC334" s="536"/>
      <c r="DD334" s="541">
        <f t="shared" si="148"/>
        <v>0</v>
      </c>
      <c r="DE334" s="536"/>
      <c r="DF334" s="536"/>
      <c r="DG334" s="536"/>
      <c r="DH334" s="541">
        <f t="shared" si="149"/>
        <v>0</v>
      </c>
      <c r="DI334" s="536"/>
      <c r="DJ334" s="536"/>
      <c r="DK334" s="536"/>
      <c r="DL334" s="541">
        <f t="shared" si="150"/>
        <v>0</v>
      </c>
      <c r="DM334" s="536"/>
      <c r="DN334" s="536"/>
      <c r="DO334" s="536"/>
      <c r="DP334" s="541">
        <f>IF( SUM((DJ334*(20/100))+(DK334*(30/100))+(DL334*(50/100))) &gt;=9.3,9.5,
IF(AND( SUM((DJ334*(20/100))+(DK334*(30/100))+(DL334*(50/100))) &lt;=9.3, SUM((DJ334*(20/100))+(DK334*(30/100))+(DL334*(50/100))) &gt;=8.8),9,
IF(AND( SUM((DJ334*(20/100))+(DK334*(30/100))+(DL334*(50/100))) &lt;=8.8, SUM((DJ334*(20/100))+(DK334*(30/100))+(DL334*(50/100))) &gt;=8.3),8.5,
IF(AND( SUM((DJ334*(20/100))+(DK334*(30/100))+(DL334*(50/100))) &lt;=8.3, SUM((DJ334*(20/100))+(DK334*(30/100))+(DL334*(50/100))) &gt;=7.8),8,
IF(AND( SUM((DJ334*(20/100))+(DK334*(30/100))+(DL334*(50/100))) &lt;=7.8, SUM((DJ334*(20/100))+(DK334*(30/100))+(DL334*(50/100))) &gt;=7.3),7.5,
IF(AND( SUM((DJ334*(20/100))+(DK334*(30/100))+(DL334*(50/100))) &lt;=7.3, SUM((DJ334*(20/100))+(DK334*(30/100))+(DL334*(50/100))) &gt;=6.8),7,
IF(AND( SUM((DJ334*(20/100))+(DK334*(30/100))+(DL334*(50/100))) &lt;=6.8, SUM((DJ334*(20/100))+(DK334*(30/100))+(DL334*(50/100))) &gt;=6.3),6.5,
IF(AND( SUM((DJ334*(20/100))+(DK334*(30/100))+(DL334*(50/100))) &lt;=6.3, SUM((DJ334*(20/100))+(DK334*(30/100))+(DL334*(50/100))) &gt;=5.8),6,
IF(AND( SUM((DJ334*(20/100))+(DK334*(30/100))+(DL334*(50/100))) &lt;=5.8, SUM((DJ334*(20/100))+(DK334*(30/100))+(DL334*(50/100))) &gt;=5.3),5.5,
IF(AND( SUM((DJ334*(20/100))+(DK334*(30/100))+(DL334*(50/100))) &lt;=5.3, SUM((DJ334*(20/100))+(DK334*(30/100))+(DL334*(50/100))) &gt;=4.8),5,
IF(AND( SUM((DJ334*(20/100))+(DK334*(30/100))+(DL334*(50/100))) &lt;=4.8, SUM((DJ334*(20/100))+(DK334*(30/100))+(DL334*(50/100))) &gt;=4.3),4.5,
IF(AND( SUM((DJ334*(20/100))+(DK334*(30/100))+(DL334*(50/100))) &lt;=4.3, SUM((DJ334*(20/100))+(DK334*(30/100))+(DL334*(50/100))) &gt;=3.8),4,
IF(AND( SUM((DJ334*(20/100))+(DK334*(30/100))+(DL334*(50/100))) &lt;=3.8, SUM((DJ334*(20/100))+(DK334*(30/100))+(DL334*(50/100))) &gt;=3.5),3.5,0)))))))))))))</f>
        <v>0</v>
      </c>
      <c r="DQ334" s="541"/>
      <c r="DR334" s="541"/>
      <c r="DS334" s="541"/>
      <c r="DT334" s="541"/>
      <c r="DU334" s="541"/>
      <c r="DV334" s="541"/>
      <c r="DW334" s="541"/>
      <c r="DX334" s="541"/>
      <c r="DY334" s="541"/>
      <c r="DZ334" s="541"/>
    </row>
    <row r="335" spans="2:130" x14ac:dyDescent="0.25">
      <c r="B335" s="334">
        <v>28</v>
      </c>
      <c r="C335" s="541"/>
      <c r="D335" s="334"/>
      <c r="E335" s="334"/>
      <c r="F335" s="334"/>
      <c r="G335" s="334"/>
      <c r="H335" s="334"/>
      <c r="I335" s="334"/>
      <c r="J335" s="536"/>
      <c r="K335" s="536"/>
      <c r="L335" s="536"/>
      <c r="M335" s="536"/>
      <c r="N335" s="536"/>
      <c r="O335" s="536"/>
      <c r="P335" s="536">
        <f t="shared" si="126"/>
        <v>0</v>
      </c>
      <c r="Q335" s="536"/>
      <c r="R335" s="536"/>
      <c r="S335" s="536"/>
      <c r="T335" s="536">
        <f t="shared" si="127"/>
        <v>0</v>
      </c>
      <c r="U335" s="536"/>
      <c r="V335" s="536"/>
      <c r="W335" s="536"/>
      <c r="X335" s="536">
        <f t="shared" si="128"/>
        <v>0</v>
      </c>
      <c r="Y335" s="536"/>
      <c r="Z335" s="536"/>
      <c r="AA335" s="536"/>
      <c r="AB335" s="536">
        <f t="shared" si="129"/>
        <v>0</v>
      </c>
      <c r="AC335" s="536"/>
      <c r="AD335" s="536"/>
      <c r="AE335" s="536"/>
      <c r="AF335" s="536">
        <f t="shared" si="130"/>
        <v>0</v>
      </c>
      <c r="AG335" s="536"/>
      <c r="AH335" s="536"/>
      <c r="AI335" s="536"/>
      <c r="AJ335" s="536">
        <f t="shared" si="131"/>
        <v>0</v>
      </c>
      <c r="AK335" s="536"/>
      <c r="AL335" s="536"/>
      <c r="AM335" s="536"/>
      <c r="AN335" s="542">
        <f t="shared" si="132"/>
        <v>0</v>
      </c>
      <c r="AO335" s="536"/>
      <c r="AP335" s="536"/>
      <c r="AQ335" s="536"/>
      <c r="AR335" s="542">
        <f t="shared" si="133"/>
        <v>0</v>
      </c>
      <c r="AS335" s="536"/>
      <c r="AT335" s="536"/>
      <c r="AU335" s="536"/>
      <c r="AV335" s="542">
        <f t="shared" si="134"/>
        <v>0</v>
      </c>
      <c r="AW335" s="536"/>
      <c r="AX335" s="536"/>
      <c r="AY335" s="536"/>
      <c r="AZ335" s="542">
        <f t="shared" si="135"/>
        <v>0</v>
      </c>
      <c r="BA335" s="536"/>
      <c r="BB335" s="536"/>
      <c r="BC335" s="536"/>
      <c r="BD335" s="542">
        <f t="shared" si="136"/>
        <v>0</v>
      </c>
      <c r="BE335" s="536"/>
      <c r="BF335" s="536"/>
      <c r="BG335" s="536"/>
      <c r="BH335" s="542">
        <f t="shared" si="137"/>
        <v>0</v>
      </c>
      <c r="BI335" s="536"/>
      <c r="BJ335" s="536"/>
      <c r="BK335" s="536"/>
      <c r="BL335" s="542">
        <f t="shared" si="138"/>
        <v>0</v>
      </c>
      <c r="BM335" s="536"/>
      <c r="BN335" s="536"/>
      <c r="BO335" s="536"/>
      <c r="BP335" s="542">
        <f t="shared" si="139"/>
        <v>0</v>
      </c>
      <c r="BQ335" s="536"/>
      <c r="BR335" s="536"/>
      <c r="BS335" s="536"/>
      <c r="BT335" s="542">
        <f t="shared" si="140"/>
        <v>0</v>
      </c>
      <c r="BU335" s="536"/>
      <c r="BV335" s="536"/>
      <c r="BW335" s="536"/>
      <c r="BX335" s="542">
        <f t="shared" si="141"/>
        <v>0</v>
      </c>
      <c r="BY335" s="536"/>
      <c r="BZ335" s="536"/>
      <c r="CA335" s="536"/>
      <c r="CB335" s="542">
        <v>0</v>
      </c>
      <c r="CC335" s="536"/>
      <c r="CD335" s="536"/>
      <c r="CE335" s="536"/>
      <c r="CF335" s="541">
        <f t="shared" si="142"/>
        <v>0</v>
      </c>
      <c r="CG335" s="536"/>
      <c r="CH335" s="536"/>
      <c r="CI335" s="536"/>
      <c r="CJ335" s="541">
        <f t="shared" si="143"/>
        <v>0</v>
      </c>
      <c r="CK335" s="536"/>
      <c r="CL335" s="536"/>
      <c r="CM335" s="536"/>
      <c r="CN335" s="541">
        <f t="shared" si="144"/>
        <v>0</v>
      </c>
      <c r="CO335" s="536"/>
      <c r="CP335" s="536"/>
      <c r="CQ335" s="536"/>
      <c r="CR335" s="541">
        <f t="shared" si="145"/>
        <v>0</v>
      </c>
      <c r="CS335" s="536"/>
      <c r="CT335" s="536"/>
      <c r="CU335" s="536"/>
      <c r="CV335" s="541">
        <f t="shared" si="146"/>
        <v>0</v>
      </c>
      <c r="CW335" s="536"/>
      <c r="CX335" s="536"/>
      <c r="CY335" s="536"/>
      <c r="CZ335" s="541">
        <f t="shared" si="147"/>
        <v>0</v>
      </c>
      <c r="DA335" s="536"/>
      <c r="DB335" s="536"/>
      <c r="DC335" s="536"/>
      <c r="DD335" s="541">
        <f t="shared" si="148"/>
        <v>0</v>
      </c>
      <c r="DE335" s="536"/>
      <c r="DF335" s="536"/>
      <c r="DG335" s="536"/>
      <c r="DH335" s="541">
        <f t="shared" si="149"/>
        <v>0</v>
      </c>
      <c r="DI335" s="536"/>
      <c r="DJ335" s="536"/>
      <c r="DK335" s="536"/>
      <c r="DL335" s="541">
        <f t="shared" si="150"/>
        <v>0</v>
      </c>
      <c r="DM335" s="536"/>
      <c r="DN335" s="536"/>
      <c r="DO335" s="536"/>
      <c r="DP335" s="541">
        <f>IF( SUM((DJ335*(20/100))+(DK335*(30/100))+(DL335*(50/100))) &gt;=9.3,9.5,
IF(AND( SUM((DJ335*(20/100))+(DK335*(30/100))+(DL335*(50/100))) &lt;=9.3, SUM((DJ335*(20/100))+(DK335*(30/100))+(DL335*(50/100))) &gt;=8.8),9,
IF(AND( SUM((DJ335*(20/100))+(DK335*(30/100))+(DL335*(50/100))) &lt;=8.8, SUM((DJ335*(20/100))+(DK335*(30/100))+(DL335*(50/100))) &gt;=8.3),8.5,
IF(AND( SUM((DJ335*(20/100))+(DK335*(30/100))+(DL335*(50/100))) &lt;=8.3, SUM((DJ335*(20/100))+(DK335*(30/100))+(DL335*(50/100))) &gt;=7.8),8,
IF(AND( SUM((DJ335*(20/100))+(DK335*(30/100))+(DL335*(50/100))) &lt;=7.8, SUM((DJ335*(20/100))+(DK335*(30/100))+(DL335*(50/100))) &gt;=7.3),7.5,
IF(AND( SUM((DJ335*(20/100))+(DK335*(30/100))+(DL335*(50/100))) &lt;=7.3, SUM((DJ335*(20/100))+(DK335*(30/100))+(DL335*(50/100))) &gt;=6.8),7,
IF(AND( SUM((DJ335*(20/100))+(DK335*(30/100))+(DL335*(50/100))) &lt;=6.8, SUM((DJ335*(20/100))+(DK335*(30/100))+(DL335*(50/100))) &gt;=6.3),6.5,
IF(AND( SUM((DJ335*(20/100))+(DK335*(30/100))+(DL335*(50/100))) &lt;=6.3, SUM((DJ335*(20/100))+(DK335*(30/100))+(DL335*(50/100))) &gt;=5.8),6,
IF(AND( SUM((DJ335*(20/100))+(DK335*(30/100))+(DL335*(50/100))) &lt;=5.8, SUM((DJ335*(20/100))+(DK335*(30/100))+(DL335*(50/100))) &gt;=5.3),5.5,
IF(AND( SUM((DJ335*(20/100))+(DK335*(30/100))+(DL335*(50/100))) &lt;=5.3, SUM((DJ335*(20/100))+(DK335*(30/100))+(DL335*(50/100))) &gt;=4.8),5,
IF(AND( SUM((DJ335*(20/100))+(DK335*(30/100))+(DL335*(50/100))) &lt;=4.8, SUM((DJ335*(20/100))+(DK335*(30/100))+(DL335*(50/100))) &gt;=4.3),4.5,
IF(AND( SUM((DJ335*(20/100))+(DK335*(30/100))+(DL335*(50/100))) &lt;=4.3, SUM((DJ335*(20/100))+(DK335*(30/100))+(DL335*(50/100))) &gt;=3.8),4,
IF(AND( SUM((DJ335*(20/100))+(DK335*(30/100))+(DL335*(50/100))) &lt;=3.8, SUM((DJ335*(20/100))+(DK335*(30/100))+(DL335*(50/100))) &gt;=3.5),3.5,0)))))))))))))</f>
        <v>0</v>
      </c>
      <c r="DQ335" s="541"/>
      <c r="DR335" s="541"/>
      <c r="DS335" s="541"/>
      <c r="DT335" s="541"/>
      <c r="DU335" s="541"/>
      <c r="DV335" s="541"/>
      <c r="DW335" s="541"/>
      <c r="DX335" s="541"/>
      <c r="DY335" s="541"/>
      <c r="DZ335" s="541"/>
    </row>
    <row r="336" spans="2:130" x14ac:dyDescent="0.25">
      <c r="B336" s="334">
        <v>29</v>
      </c>
      <c r="C336" s="541"/>
      <c r="D336" s="334"/>
      <c r="E336" s="334"/>
      <c r="F336" s="334"/>
      <c r="G336" s="334"/>
      <c r="H336" s="334"/>
      <c r="I336" s="334"/>
      <c r="J336" s="536"/>
      <c r="K336" s="536"/>
      <c r="L336" s="536"/>
      <c r="M336" s="536"/>
      <c r="N336" s="536"/>
      <c r="O336" s="536"/>
      <c r="P336" s="536">
        <f t="shared" si="126"/>
        <v>0</v>
      </c>
      <c r="Q336" s="536"/>
      <c r="R336" s="536"/>
      <c r="S336" s="536"/>
      <c r="T336" s="536">
        <f t="shared" si="127"/>
        <v>0</v>
      </c>
      <c r="U336" s="536"/>
      <c r="V336" s="536"/>
      <c r="W336" s="536"/>
      <c r="X336" s="536">
        <f t="shared" si="128"/>
        <v>0</v>
      </c>
      <c r="Y336" s="536"/>
      <c r="Z336" s="536"/>
      <c r="AA336" s="536"/>
      <c r="AB336" s="536">
        <f t="shared" si="129"/>
        <v>0</v>
      </c>
      <c r="AC336" s="536"/>
      <c r="AD336" s="536"/>
      <c r="AE336" s="536"/>
      <c r="AF336" s="536">
        <f t="shared" si="130"/>
        <v>0</v>
      </c>
      <c r="AG336" s="536"/>
      <c r="AH336" s="536"/>
      <c r="AI336" s="536"/>
      <c r="AJ336" s="536">
        <f t="shared" si="131"/>
        <v>0</v>
      </c>
      <c r="AK336" s="536"/>
      <c r="AL336" s="536"/>
      <c r="AM336" s="536"/>
      <c r="AN336" s="542">
        <f t="shared" si="132"/>
        <v>0</v>
      </c>
      <c r="AO336" s="536"/>
      <c r="AP336" s="536"/>
      <c r="AQ336" s="536"/>
      <c r="AR336" s="542">
        <f t="shared" si="133"/>
        <v>0</v>
      </c>
      <c r="AS336" s="536"/>
      <c r="AT336" s="536"/>
      <c r="AU336" s="536"/>
      <c r="AV336" s="542">
        <f t="shared" si="134"/>
        <v>0</v>
      </c>
      <c r="AW336" s="536"/>
      <c r="AX336" s="536"/>
      <c r="AY336" s="536"/>
      <c r="AZ336" s="542">
        <f t="shared" si="135"/>
        <v>0</v>
      </c>
      <c r="BA336" s="536"/>
      <c r="BB336" s="536"/>
      <c r="BC336" s="536"/>
      <c r="BD336" s="542">
        <f t="shared" si="136"/>
        <v>0</v>
      </c>
      <c r="BE336" s="536"/>
      <c r="BF336" s="536"/>
      <c r="BG336" s="536"/>
      <c r="BH336" s="542">
        <f t="shared" si="137"/>
        <v>0</v>
      </c>
      <c r="BI336" s="536"/>
      <c r="BJ336" s="536"/>
      <c r="BK336" s="536"/>
      <c r="BL336" s="542">
        <f t="shared" si="138"/>
        <v>0</v>
      </c>
      <c r="BM336" s="536"/>
      <c r="BN336" s="536"/>
      <c r="BO336" s="536"/>
      <c r="BP336" s="542">
        <f t="shared" si="139"/>
        <v>0</v>
      </c>
      <c r="BQ336" s="536"/>
      <c r="BR336" s="536"/>
      <c r="BS336" s="536"/>
      <c r="BT336" s="542">
        <f t="shared" si="140"/>
        <v>0</v>
      </c>
      <c r="BU336" s="536"/>
      <c r="BV336" s="536"/>
      <c r="BW336" s="536"/>
      <c r="BX336" s="542">
        <f t="shared" si="141"/>
        <v>0</v>
      </c>
      <c r="BY336" s="536"/>
      <c r="BZ336" s="536"/>
      <c r="CA336" s="536"/>
      <c r="CB336" s="542">
        <v>0</v>
      </c>
      <c r="CC336" s="536"/>
      <c r="CD336" s="536"/>
      <c r="CE336" s="536"/>
      <c r="CF336" s="541">
        <f t="shared" si="142"/>
        <v>0</v>
      </c>
      <c r="CG336" s="536"/>
      <c r="CH336" s="536"/>
      <c r="CI336" s="536"/>
      <c r="CJ336" s="541">
        <f t="shared" si="143"/>
        <v>0</v>
      </c>
      <c r="CK336" s="536"/>
      <c r="CL336" s="536"/>
      <c r="CM336" s="536"/>
      <c r="CN336" s="541">
        <f t="shared" si="144"/>
        <v>0</v>
      </c>
      <c r="CO336" s="536"/>
      <c r="CP336" s="536"/>
      <c r="CQ336" s="536"/>
      <c r="CR336" s="541">
        <f t="shared" si="145"/>
        <v>0</v>
      </c>
      <c r="CS336" s="536"/>
      <c r="CT336" s="536"/>
      <c r="CU336" s="536"/>
      <c r="CV336" s="541">
        <f t="shared" si="146"/>
        <v>0</v>
      </c>
      <c r="CW336" s="536"/>
      <c r="CX336" s="536"/>
      <c r="CY336" s="536"/>
      <c r="CZ336" s="541">
        <f t="shared" si="147"/>
        <v>0</v>
      </c>
      <c r="DA336" s="536"/>
      <c r="DB336" s="536"/>
      <c r="DC336" s="536"/>
      <c r="DD336" s="541">
        <f t="shared" si="148"/>
        <v>0</v>
      </c>
      <c r="DE336" s="536"/>
      <c r="DF336" s="536"/>
      <c r="DG336" s="536"/>
      <c r="DH336" s="541">
        <f t="shared" si="149"/>
        <v>0</v>
      </c>
      <c r="DI336" s="536"/>
      <c r="DJ336" s="536"/>
      <c r="DK336" s="536"/>
      <c r="DL336" s="541">
        <f t="shared" si="150"/>
        <v>0</v>
      </c>
      <c r="DM336" s="536"/>
      <c r="DN336" s="536"/>
      <c r="DO336" s="536"/>
      <c r="DP336" s="541">
        <f>IF( SUM((DJ336*(20/100))+(DK336*(30/100))+(DL336*(50/100))) &gt;=9.3,9.5,
IF(AND( SUM((DJ336*(20/100))+(DK336*(30/100))+(DL336*(50/100))) &lt;=9.3, SUM((DJ336*(20/100))+(DK336*(30/100))+(DL336*(50/100))) &gt;=8.8),9,
IF(AND( SUM((DJ336*(20/100))+(DK336*(30/100))+(DL336*(50/100))) &lt;=8.8, SUM((DJ336*(20/100))+(DK336*(30/100))+(DL336*(50/100))) &gt;=8.3),8.5,
IF(AND( SUM((DJ336*(20/100))+(DK336*(30/100))+(DL336*(50/100))) &lt;=8.3, SUM((DJ336*(20/100))+(DK336*(30/100))+(DL336*(50/100))) &gt;=7.8),8,
IF(AND( SUM((DJ336*(20/100))+(DK336*(30/100))+(DL336*(50/100))) &lt;=7.8, SUM((DJ336*(20/100))+(DK336*(30/100))+(DL336*(50/100))) &gt;=7.3),7.5,
IF(AND( SUM((DJ336*(20/100))+(DK336*(30/100))+(DL336*(50/100))) &lt;=7.3, SUM((DJ336*(20/100))+(DK336*(30/100))+(DL336*(50/100))) &gt;=6.8),7,
IF(AND( SUM((DJ336*(20/100))+(DK336*(30/100))+(DL336*(50/100))) &lt;=6.8, SUM((DJ336*(20/100))+(DK336*(30/100))+(DL336*(50/100))) &gt;=6.3),6.5,
IF(AND( SUM((DJ336*(20/100))+(DK336*(30/100))+(DL336*(50/100))) &lt;=6.3, SUM((DJ336*(20/100))+(DK336*(30/100))+(DL336*(50/100))) &gt;=5.8),6,
IF(AND( SUM((DJ336*(20/100))+(DK336*(30/100))+(DL336*(50/100))) &lt;=5.8, SUM((DJ336*(20/100))+(DK336*(30/100))+(DL336*(50/100))) &gt;=5.3),5.5,
IF(AND( SUM((DJ336*(20/100))+(DK336*(30/100))+(DL336*(50/100))) &lt;=5.3, SUM((DJ336*(20/100))+(DK336*(30/100))+(DL336*(50/100))) &gt;=4.8),5,
IF(AND( SUM((DJ336*(20/100))+(DK336*(30/100))+(DL336*(50/100))) &lt;=4.8, SUM((DJ336*(20/100))+(DK336*(30/100))+(DL336*(50/100))) &gt;=4.3),4.5,
IF(AND( SUM((DJ336*(20/100))+(DK336*(30/100))+(DL336*(50/100))) &lt;=4.3, SUM((DJ336*(20/100))+(DK336*(30/100))+(DL336*(50/100))) &gt;=3.8),4,
IF(AND( SUM((DJ336*(20/100))+(DK336*(30/100))+(DL336*(50/100))) &lt;=3.8, SUM((DJ336*(20/100))+(DK336*(30/100))+(DL336*(50/100))) &gt;=3.5),3.5,0)))))))))))))</f>
        <v>0</v>
      </c>
      <c r="DQ336" s="541"/>
      <c r="DR336" s="541"/>
      <c r="DS336" s="541"/>
      <c r="DT336" s="541"/>
      <c r="DU336" s="541"/>
      <c r="DV336" s="541"/>
      <c r="DW336" s="541"/>
      <c r="DX336" s="541"/>
      <c r="DY336" s="541"/>
      <c r="DZ336" s="541"/>
    </row>
    <row r="337" spans="2:130" x14ac:dyDescent="0.25">
      <c r="B337" s="334">
        <v>30</v>
      </c>
      <c r="C337" s="541"/>
      <c r="D337" s="334"/>
      <c r="E337" s="334"/>
      <c r="F337" s="334"/>
      <c r="G337" s="334"/>
      <c r="H337" s="334"/>
      <c r="I337" s="334"/>
      <c r="J337" s="536"/>
      <c r="K337" s="536"/>
      <c r="L337" s="536"/>
      <c r="M337" s="536"/>
      <c r="N337" s="536"/>
      <c r="O337" s="536"/>
      <c r="P337" s="536">
        <f t="shared" si="126"/>
        <v>0</v>
      </c>
      <c r="Q337" s="536"/>
      <c r="R337" s="536"/>
      <c r="S337" s="536"/>
      <c r="T337" s="536">
        <f t="shared" si="127"/>
        <v>0</v>
      </c>
      <c r="U337" s="536"/>
      <c r="V337" s="536"/>
      <c r="W337" s="536"/>
      <c r="X337" s="536">
        <f t="shared" si="128"/>
        <v>0</v>
      </c>
      <c r="Y337" s="536"/>
      <c r="Z337" s="536"/>
      <c r="AA337" s="536"/>
      <c r="AB337" s="536">
        <f t="shared" si="129"/>
        <v>0</v>
      </c>
      <c r="AC337" s="536"/>
      <c r="AD337" s="536"/>
      <c r="AE337" s="536"/>
      <c r="AF337" s="536">
        <f t="shared" si="130"/>
        <v>0</v>
      </c>
      <c r="AG337" s="536"/>
      <c r="AH337" s="536"/>
      <c r="AI337" s="536"/>
      <c r="AJ337" s="536">
        <f t="shared" si="131"/>
        <v>0</v>
      </c>
      <c r="AK337" s="536"/>
      <c r="AL337" s="536"/>
      <c r="AM337" s="536"/>
      <c r="AN337" s="542">
        <f t="shared" si="132"/>
        <v>0</v>
      </c>
      <c r="AO337" s="536"/>
      <c r="AP337" s="536"/>
      <c r="AQ337" s="536"/>
      <c r="AR337" s="542">
        <f t="shared" si="133"/>
        <v>0</v>
      </c>
      <c r="AS337" s="536"/>
      <c r="AT337" s="536"/>
      <c r="AU337" s="536"/>
      <c r="AV337" s="542">
        <f t="shared" si="134"/>
        <v>0</v>
      </c>
      <c r="AW337" s="536"/>
      <c r="AX337" s="536"/>
      <c r="AY337" s="536"/>
      <c r="AZ337" s="542">
        <f t="shared" si="135"/>
        <v>0</v>
      </c>
      <c r="BA337" s="536"/>
      <c r="BB337" s="536"/>
      <c r="BC337" s="536"/>
      <c r="BD337" s="542">
        <f t="shared" si="136"/>
        <v>0</v>
      </c>
      <c r="BE337" s="536"/>
      <c r="BF337" s="536"/>
      <c r="BG337" s="536"/>
      <c r="BH337" s="542">
        <f t="shared" si="137"/>
        <v>0</v>
      </c>
      <c r="BI337" s="536"/>
      <c r="BJ337" s="536"/>
      <c r="BK337" s="536"/>
      <c r="BL337" s="542">
        <f t="shared" si="138"/>
        <v>0</v>
      </c>
      <c r="BM337" s="536"/>
      <c r="BN337" s="536"/>
      <c r="BO337" s="536"/>
      <c r="BP337" s="542">
        <f t="shared" si="139"/>
        <v>0</v>
      </c>
      <c r="BQ337" s="536"/>
      <c r="BR337" s="536"/>
      <c r="BS337" s="536"/>
      <c r="BT337" s="542">
        <f t="shared" si="140"/>
        <v>0</v>
      </c>
      <c r="BU337" s="536"/>
      <c r="BV337" s="536"/>
      <c r="BW337" s="536"/>
      <c r="BX337" s="542">
        <f t="shared" si="141"/>
        <v>0</v>
      </c>
      <c r="BY337" s="536"/>
      <c r="BZ337" s="536"/>
      <c r="CA337" s="536"/>
      <c r="CB337" s="542">
        <v>0</v>
      </c>
      <c r="CC337" s="536"/>
      <c r="CD337" s="536"/>
      <c r="CE337" s="536"/>
      <c r="CF337" s="541">
        <f t="shared" si="142"/>
        <v>0</v>
      </c>
      <c r="CG337" s="536"/>
      <c r="CH337" s="536"/>
      <c r="CI337" s="536"/>
      <c r="CJ337" s="541">
        <f t="shared" si="143"/>
        <v>0</v>
      </c>
      <c r="CK337" s="536"/>
      <c r="CL337" s="536"/>
      <c r="CM337" s="536"/>
      <c r="CN337" s="541">
        <f t="shared" si="144"/>
        <v>0</v>
      </c>
      <c r="CO337" s="536"/>
      <c r="CP337" s="536"/>
      <c r="CQ337" s="536"/>
      <c r="CR337" s="541">
        <f t="shared" si="145"/>
        <v>0</v>
      </c>
      <c r="CS337" s="536"/>
      <c r="CT337" s="536"/>
      <c r="CU337" s="536"/>
      <c r="CV337" s="541">
        <f t="shared" si="146"/>
        <v>0</v>
      </c>
      <c r="CW337" s="536"/>
      <c r="CX337" s="536"/>
      <c r="CY337" s="536"/>
      <c r="CZ337" s="541">
        <f t="shared" si="147"/>
        <v>0</v>
      </c>
      <c r="DA337" s="536"/>
      <c r="DB337" s="536"/>
      <c r="DC337" s="536"/>
      <c r="DD337" s="541">
        <f t="shared" si="148"/>
        <v>0</v>
      </c>
      <c r="DE337" s="536"/>
      <c r="DF337" s="536"/>
      <c r="DG337" s="536"/>
      <c r="DH337" s="541">
        <f t="shared" si="149"/>
        <v>0</v>
      </c>
      <c r="DI337" s="536"/>
      <c r="DJ337" s="536"/>
      <c r="DK337" s="536"/>
      <c r="DL337" s="541">
        <f t="shared" si="150"/>
        <v>0</v>
      </c>
      <c r="DM337" s="536"/>
      <c r="DN337" s="536"/>
      <c r="DO337" s="536"/>
      <c r="DP337" s="541">
        <f>IF( SUM((DJ337*(20/100))+(DK337*(30/100))+(DL337*(50/100))) &gt;=9.3,9.5,
IF(AND( SUM((DJ337*(20/100))+(DK337*(30/100))+(DL337*(50/100))) &lt;=9.3, SUM((DJ337*(20/100))+(DK337*(30/100))+(DL337*(50/100))) &gt;=8.8),9,
IF(AND( SUM((DJ337*(20/100))+(DK337*(30/100))+(DL337*(50/100))) &lt;=8.8, SUM((DJ337*(20/100))+(DK337*(30/100))+(DL337*(50/100))) &gt;=8.3),8.5,
IF(AND( SUM((DJ337*(20/100))+(DK337*(30/100))+(DL337*(50/100))) &lt;=8.3, SUM((DJ337*(20/100))+(DK337*(30/100))+(DL337*(50/100))) &gt;=7.8),8,
IF(AND( SUM((DJ337*(20/100))+(DK337*(30/100))+(DL337*(50/100))) &lt;=7.8, SUM((DJ337*(20/100))+(DK337*(30/100))+(DL337*(50/100))) &gt;=7.3),7.5,
IF(AND( SUM((DJ337*(20/100))+(DK337*(30/100))+(DL337*(50/100))) &lt;=7.3, SUM((DJ337*(20/100))+(DK337*(30/100))+(DL337*(50/100))) &gt;=6.8),7,
IF(AND( SUM((DJ337*(20/100))+(DK337*(30/100))+(DL337*(50/100))) &lt;=6.8, SUM((DJ337*(20/100))+(DK337*(30/100))+(DL337*(50/100))) &gt;=6.3),6.5,
IF(AND( SUM((DJ337*(20/100))+(DK337*(30/100))+(DL337*(50/100))) &lt;=6.3, SUM((DJ337*(20/100))+(DK337*(30/100))+(DL337*(50/100))) &gt;=5.8),6,
IF(AND( SUM((DJ337*(20/100))+(DK337*(30/100))+(DL337*(50/100))) &lt;=5.8, SUM((DJ337*(20/100))+(DK337*(30/100))+(DL337*(50/100))) &gt;=5.3),5.5,
IF(AND( SUM((DJ337*(20/100))+(DK337*(30/100))+(DL337*(50/100))) &lt;=5.3, SUM((DJ337*(20/100))+(DK337*(30/100))+(DL337*(50/100))) &gt;=4.8),5,
IF(AND( SUM((DJ337*(20/100))+(DK337*(30/100))+(DL337*(50/100))) &lt;=4.8, SUM((DJ337*(20/100))+(DK337*(30/100))+(DL337*(50/100))) &gt;=4.3),4.5,
IF(AND( SUM((DJ337*(20/100))+(DK337*(30/100))+(DL337*(50/100))) &lt;=4.3, SUM((DJ337*(20/100))+(DK337*(30/100))+(DL337*(50/100))) &gt;=3.8),4,
IF(AND( SUM((DJ337*(20/100))+(DK337*(30/100))+(DL337*(50/100))) &lt;=3.8, SUM((DJ337*(20/100))+(DK337*(30/100))+(DL337*(50/100))) &gt;=3.5),3.5,0)))))))))))))</f>
        <v>0</v>
      </c>
      <c r="DQ337" s="541"/>
      <c r="DR337" s="541"/>
      <c r="DS337" s="541"/>
      <c r="DT337" s="541"/>
      <c r="DU337" s="541"/>
      <c r="DV337" s="541"/>
      <c r="DW337" s="541"/>
      <c r="DX337" s="541"/>
      <c r="DY337" s="541"/>
      <c r="DZ337" s="541"/>
    </row>
    <row r="338" spans="2:130" x14ac:dyDescent="0.25">
      <c r="B338" s="334">
        <v>31</v>
      </c>
      <c r="C338" s="541"/>
      <c r="D338" s="334"/>
      <c r="E338" s="334"/>
      <c r="F338" s="334"/>
      <c r="G338" s="334"/>
      <c r="H338" s="334"/>
      <c r="I338" s="334"/>
      <c r="J338" s="536"/>
      <c r="K338" s="536"/>
      <c r="L338" s="536"/>
      <c r="M338" s="536"/>
      <c r="N338" s="536"/>
      <c r="O338" s="536"/>
      <c r="P338" s="536">
        <f t="shared" si="126"/>
        <v>0</v>
      </c>
      <c r="Q338" s="536"/>
      <c r="R338" s="536"/>
      <c r="S338" s="536"/>
      <c r="T338" s="536">
        <f t="shared" si="127"/>
        <v>0</v>
      </c>
      <c r="U338" s="536"/>
      <c r="V338" s="536"/>
      <c r="W338" s="536"/>
      <c r="X338" s="536">
        <f t="shared" si="128"/>
        <v>0</v>
      </c>
      <c r="Y338" s="536"/>
      <c r="Z338" s="536"/>
      <c r="AA338" s="536"/>
      <c r="AB338" s="536">
        <f t="shared" si="129"/>
        <v>0</v>
      </c>
      <c r="AC338" s="536"/>
      <c r="AD338" s="536"/>
      <c r="AE338" s="536"/>
      <c r="AF338" s="536">
        <f t="shared" si="130"/>
        <v>0</v>
      </c>
      <c r="AG338" s="536"/>
      <c r="AH338" s="536"/>
      <c r="AI338" s="536"/>
      <c r="AJ338" s="536">
        <f t="shared" si="131"/>
        <v>0</v>
      </c>
      <c r="AK338" s="536"/>
      <c r="AL338" s="536"/>
      <c r="AM338" s="536"/>
      <c r="AN338" s="542">
        <f t="shared" si="132"/>
        <v>0</v>
      </c>
      <c r="AO338" s="536"/>
      <c r="AP338" s="536"/>
      <c r="AQ338" s="536"/>
      <c r="AR338" s="542">
        <f t="shared" si="133"/>
        <v>0</v>
      </c>
      <c r="AS338" s="536"/>
      <c r="AT338" s="536"/>
      <c r="AU338" s="536"/>
      <c r="AV338" s="542">
        <f t="shared" si="134"/>
        <v>0</v>
      </c>
      <c r="AW338" s="536"/>
      <c r="AX338" s="536"/>
      <c r="AY338" s="536"/>
      <c r="AZ338" s="542">
        <f t="shared" si="135"/>
        <v>0</v>
      </c>
      <c r="BA338" s="536"/>
      <c r="BB338" s="536"/>
      <c r="BC338" s="536"/>
      <c r="BD338" s="542">
        <f t="shared" si="136"/>
        <v>0</v>
      </c>
      <c r="BE338" s="536"/>
      <c r="BF338" s="536"/>
      <c r="BG338" s="536"/>
      <c r="BH338" s="542">
        <f t="shared" si="137"/>
        <v>0</v>
      </c>
      <c r="BI338" s="536"/>
      <c r="BJ338" s="536"/>
      <c r="BK338" s="536"/>
      <c r="BL338" s="542">
        <f t="shared" si="138"/>
        <v>0</v>
      </c>
      <c r="BM338" s="536"/>
      <c r="BN338" s="536"/>
      <c r="BO338" s="536"/>
      <c r="BP338" s="542">
        <f t="shared" si="139"/>
        <v>0</v>
      </c>
      <c r="BQ338" s="536"/>
      <c r="BR338" s="536"/>
      <c r="BS338" s="536"/>
      <c r="BT338" s="542">
        <f t="shared" si="140"/>
        <v>0</v>
      </c>
      <c r="BU338" s="536"/>
      <c r="BV338" s="536"/>
      <c r="BW338" s="536"/>
      <c r="BX338" s="542">
        <f t="shared" si="141"/>
        <v>0</v>
      </c>
      <c r="BY338" s="536"/>
      <c r="BZ338" s="536"/>
      <c r="CA338" s="536"/>
      <c r="CB338" s="542">
        <v>0</v>
      </c>
      <c r="CC338" s="536"/>
      <c r="CD338" s="536"/>
      <c r="CE338" s="536"/>
      <c r="CF338" s="541">
        <f t="shared" si="142"/>
        <v>0</v>
      </c>
      <c r="CG338" s="536"/>
      <c r="CH338" s="536"/>
      <c r="CI338" s="536"/>
      <c r="CJ338" s="541">
        <f t="shared" si="143"/>
        <v>0</v>
      </c>
      <c r="CK338" s="536"/>
      <c r="CL338" s="536"/>
      <c r="CM338" s="536"/>
      <c r="CN338" s="541">
        <f t="shared" si="144"/>
        <v>0</v>
      </c>
      <c r="CO338" s="536"/>
      <c r="CP338" s="536"/>
      <c r="CQ338" s="536"/>
      <c r="CR338" s="541">
        <f t="shared" si="145"/>
        <v>0</v>
      </c>
      <c r="CS338" s="536"/>
      <c r="CT338" s="536"/>
      <c r="CU338" s="536"/>
      <c r="CV338" s="541">
        <f t="shared" si="146"/>
        <v>0</v>
      </c>
      <c r="CW338" s="536"/>
      <c r="CX338" s="536"/>
      <c r="CY338" s="536"/>
      <c r="CZ338" s="541">
        <f t="shared" si="147"/>
        <v>0</v>
      </c>
      <c r="DA338" s="536"/>
      <c r="DB338" s="536"/>
      <c r="DC338" s="536"/>
      <c r="DD338" s="541">
        <f t="shared" si="148"/>
        <v>0</v>
      </c>
      <c r="DE338" s="536"/>
      <c r="DF338" s="536"/>
      <c r="DG338" s="536"/>
      <c r="DH338" s="541">
        <f t="shared" si="149"/>
        <v>0</v>
      </c>
      <c r="DI338" s="536"/>
      <c r="DJ338" s="536"/>
      <c r="DK338" s="536"/>
      <c r="DL338" s="541">
        <f t="shared" si="150"/>
        <v>0</v>
      </c>
      <c r="DM338" s="536"/>
      <c r="DN338" s="536"/>
      <c r="DO338" s="536"/>
      <c r="DP338" s="541">
        <f>IF( SUM((DJ338*(20/100))+(DK338*(30/100))+(DL338*(50/100))) &gt;=9.3,9.5,
IF(AND( SUM((DJ338*(20/100))+(DK338*(30/100))+(DL338*(50/100))) &lt;=9.3, SUM((DJ338*(20/100))+(DK338*(30/100))+(DL338*(50/100))) &gt;=8.8),9,
IF(AND( SUM((DJ338*(20/100))+(DK338*(30/100))+(DL338*(50/100))) &lt;=8.8, SUM((DJ338*(20/100))+(DK338*(30/100))+(DL338*(50/100))) &gt;=8.3),8.5,
IF(AND( SUM((DJ338*(20/100))+(DK338*(30/100))+(DL338*(50/100))) &lt;=8.3, SUM((DJ338*(20/100))+(DK338*(30/100))+(DL338*(50/100))) &gt;=7.8),8,
IF(AND( SUM((DJ338*(20/100))+(DK338*(30/100))+(DL338*(50/100))) &lt;=7.8, SUM((DJ338*(20/100))+(DK338*(30/100))+(DL338*(50/100))) &gt;=7.3),7.5,
IF(AND( SUM((DJ338*(20/100))+(DK338*(30/100))+(DL338*(50/100))) &lt;=7.3, SUM((DJ338*(20/100))+(DK338*(30/100))+(DL338*(50/100))) &gt;=6.8),7,
IF(AND( SUM((DJ338*(20/100))+(DK338*(30/100))+(DL338*(50/100))) &lt;=6.8, SUM((DJ338*(20/100))+(DK338*(30/100))+(DL338*(50/100))) &gt;=6.3),6.5,
IF(AND( SUM((DJ338*(20/100))+(DK338*(30/100))+(DL338*(50/100))) &lt;=6.3, SUM((DJ338*(20/100))+(DK338*(30/100))+(DL338*(50/100))) &gt;=5.8),6,
IF(AND( SUM((DJ338*(20/100))+(DK338*(30/100))+(DL338*(50/100))) &lt;=5.8, SUM((DJ338*(20/100))+(DK338*(30/100))+(DL338*(50/100))) &gt;=5.3),5.5,
IF(AND( SUM((DJ338*(20/100))+(DK338*(30/100))+(DL338*(50/100))) &lt;=5.3, SUM((DJ338*(20/100))+(DK338*(30/100))+(DL338*(50/100))) &gt;=4.8),5,
IF(AND( SUM((DJ338*(20/100))+(DK338*(30/100))+(DL338*(50/100))) &lt;=4.8, SUM((DJ338*(20/100))+(DK338*(30/100))+(DL338*(50/100))) &gt;=4.3),4.5,
IF(AND( SUM((DJ338*(20/100))+(DK338*(30/100))+(DL338*(50/100))) &lt;=4.3, SUM((DJ338*(20/100))+(DK338*(30/100))+(DL338*(50/100))) &gt;=3.8),4,
IF(AND( SUM((DJ338*(20/100))+(DK338*(30/100))+(DL338*(50/100))) &lt;=3.8, SUM((DJ338*(20/100))+(DK338*(30/100))+(DL338*(50/100))) &gt;=3.5),3.5,0)))))))))))))</f>
        <v>0</v>
      </c>
      <c r="DQ338" s="541"/>
      <c r="DR338" s="541"/>
      <c r="DS338" s="541"/>
      <c r="DT338" s="541"/>
      <c r="DU338" s="541"/>
      <c r="DV338" s="541"/>
      <c r="DW338" s="541"/>
      <c r="DX338" s="541"/>
      <c r="DY338" s="541"/>
      <c r="DZ338" s="541"/>
    </row>
    <row r="339" spans="2:130" x14ac:dyDescent="0.25">
      <c r="B339" s="334">
        <v>32</v>
      </c>
      <c r="C339" s="541"/>
      <c r="D339" s="334"/>
      <c r="E339" s="334"/>
      <c r="F339" s="334"/>
      <c r="G339" s="334"/>
      <c r="H339" s="334"/>
      <c r="I339" s="334"/>
      <c r="J339" s="536"/>
      <c r="K339" s="536"/>
      <c r="L339" s="536"/>
      <c r="M339" s="536"/>
      <c r="N339" s="536"/>
      <c r="O339" s="536"/>
      <c r="P339" s="536">
        <f t="shared" si="126"/>
        <v>0</v>
      </c>
      <c r="Q339" s="536"/>
      <c r="R339" s="536"/>
      <c r="S339" s="536"/>
      <c r="T339" s="536">
        <f t="shared" si="127"/>
        <v>0</v>
      </c>
      <c r="U339" s="536"/>
      <c r="V339" s="536"/>
      <c r="W339" s="536"/>
      <c r="X339" s="536">
        <f t="shared" si="128"/>
        <v>0</v>
      </c>
      <c r="Y339" s="536"/>
      <c r="Z339" s="536"/>
      <c r="AA339" s="536"/>
      <c r="AB339" s="536">
        <f t="shared" si="129"/>
        <v>0</v>
      </c>
      <c r="AC339" s="536"/>
      <c r="AD339" s="536"/>
      <c r="AE339" s="536"/>
      <c r="AF339" s="536">
        <f t="shared" si="130"/>
        <v>0</v>
      </c>
      <c r="AG339" s="536"/>
      <c r="AH339" s="536"/>
      <c r="AI339" s="536"/>
      <c r="AJ339" s="536">
        <f t="shared" si="131"/>
        <v>0</v>
      </c>
      <c r="AK339" s="536"/>
      <c r="AL339" s="536"/>
      <c r="AM339" s="536"/>
      <c r="AN339" s="542">
        <f t="shared" si="132"/>
        <v>0</v>
      </c>
      <c r="AO339" s="536"/>
      <c r="AP339" s="536"/>
      <c r="AQ339" s="536"/>
      <c r="AR339" s="542">
        <f t="shared" si="133"/>
        <v>0</v>
      </c>
      <c r="AS339" s="536"/>
      <c r="AT339" s="536"/>
      <c r="AU339" s="536"/>
      <c r="AV339" s="542">
        <f t="shared" si="134"/>
        <v>0</v>
      </c>
      <c r="AW339" s="536"/>
      <c r="AX339" s="536"/>
      <c r="AY339" s="536"/>
      <c r="AZ339" s="542">
        <f t="shared" si="135"/>
        <v>0</v>
      </c>
      <c r="BA339" s="536"/>
      <c r="BB339" s="536"/>
      <c r="BC339" s="536"/>
      <c r="BD339" s="542">
        <f t="shared" si="136"/>
        <v>0</v>
      </c>
      <c r="BE339" s="536"/>
      <c r="BF339" s="536"/>
      <c r="BG339" s="536"/>
      <c r="BH339" s="542">
        <f t="shared" si="137"/>
        <v>0</v>
      </c>
      <c r="BI339" s="536"/>
      <c r="BJ339" s="536"/>
      <c r="BK339" s="536"/>
      <c r="BL339" s="542">
        <f t="shared" si="138"/>
        <v>0</v>
      </c>
      <c r="BM339" s="536"/>
      <c r="BN339" s="536"/>
      <c r="BO339" s="536"/>
      <c r="BP339" s="542">
        <f t="shared" si="139"/>
        <v>0</v>
      </c>
      <c r="BQ339" s="536"/>
      <c r="BR339" s="536"/>
      <c r="BS339" s="536"/>
      <c r="BT339" s="542">
        <f t="shared" si="140"/>
        <v>0</v>
      </c>
      <c r="BU339" s="536"/>
      <c r="BV339" s="536"/>
      <c r="BW339" s="536"/>
      <c r="BX339" s="542">
        <f t="shared" si="141"/>
        <v>0</v>
      </c>
      <c r="BY339" s="536"/>
      <c r="BZ339" s="536"/>
      <c r="CA339" s="536"/>
      <c r="CB339" s="542">
        <v>0</v>
      </c>
      <c r="CC339" s="536"/>
      <c r="CD339" s="536"/>
      <c r="CE339" s="536"/>
      <c r="CF339" s="541">
        <f t="shared" si="142"/>
        <v>0</v>
      </c>
      <c r="CG339" s="536"/>
      <c r="CH339" s="536"/>
      <c r="CI339" s="536"/>
      <c r="CJ339" s="541">
        <f t="shared" si="143"/>
        <v>0</v>
      </c>
      <c r="CK339" s="536"/>
      <c r="CL339" s="536"/>
      <c r="CM339" s="536"/>
      <c r="CN339" s="541">
        <f t="shared" si="144"/>
        <v>0</v>
      </c>
      <c r="CO339" s="536"/>
      <c r="CP339" s="536"/>
      <c r="CQ339" s="536"/>
      <c r="CR339" s="541">
        <f t="shared" si="145"/>
        <v>0</v>
      </c>
      <c r="CS339" s="536"/>
      <c r="CT339" s="536"/>
      <c r="CU339" s="536"/>
      <c r="CV339" s="541">
        <f t="shared" si="146"/>
        <v>0</v>
      </c>
      <c r="CW339" s="536"/>
      <c r="CX339" s="536"/>
      <c r="CY339" s="536"/>
      <c r="CZ339" s="541">
        <f t="shared" si="147"/>
        <v>0</v>
      </c>
      <c r="DA339" s="536"/>
      <c r="DB339" s="536"/>
      <c r="DC339" s="536"/>
      <c r="DD339" s="541">
        <f t="shared" si="148"/>
        <v>0</v>
      </c>
      <c r="DE339" s="536"/>
      <c r="DF339" s="536"/>
      <c r="DG339" s="536"/>
      <c r="DH339" s="541">
        <f t="shared" si="149"/>
        <v>0</v>
      </c>
      <c r="DI339" s="536"/>
      <c r="DJ339" s="536"/>
      <c r="DK339" s="536"/>
      <c r="DL339" s="541">
        <f t="shared" si="150"/>
        <v>0</v>
      </c>
      <c r="DM339" s="536"/>
      <c r="DN339" s="536"/>
      <c r="DO339" s="536"/>
      <c r="DP339" s="541">
        <f>IF( SUM((DJ339*(20/100))+(DK339*(30/100))+(DL339*(50/100))) &gt;=9.3,9.5,
IF(AND( SUM((DJ339*(20/100))+(DK339*(30/100))+(DL339*(50/100))) &lt;=9.3, SUM((DJ339*(20/100))+(DK339*(30/100))+(DL339*(50/100))) &gt;=8.8),9,
IF(AND( SUM((DJ339*(20/100))+(DK339*(30/100))+(DL339*(50/100))) &lt;=8.8, SUM((DJ339*(20/100))+(DK339*(30/100))+(DL339*(50/100))) &gt;=8.3),8.5,
IF(AND( SUM((DJ339*(20/100))+(DK339*(30/100))+(DL339*(50/100))) &lt;=8.3, SUM((DJ339*(20/100))+(DK339*(30/100))+(DL339*(50/100))) &gt;=7.8),8,
IF(AND( SUM((DJ339*(20/100))+(DK339*(30/100))+(DL339*(50/100))) &lt;=7.8, SUM((DJ339*(20/100))+(DK339*(30/100))+(DL339*(50/100))) &gt;=7.3),7.5,
IF(AND( SUM((DJ339*(20/100))+(DK339*(30/100))+(DL339*(50/100))) &lt;=7.3, SUM((DJ339*(20/100))+(DK339*(30/100))+(DL339*(50/100))) &gt;=6.8),7,
IF(AND( SUM((DJ339*(20/100))+(DK339*(30/100))+(DL339*(50/100))) &lt;=6.8, SUM((DJ339*(20/100))+(DK339*(30/100))+(DL339*(50/100))) &gt;=6.3),6.5,
IF(AND( SUM((DJ339*(20/100))+(DK339*(30/100))+(DL339*(50/100))) &lt;=6.3, SUM((DJ339*(20/100))+(DK339*(30/100))+(DL339*(50/100))) &gt;=5.8),6,
IF(AND( SUM((DJ339*(20/100))+(DK339*(30/100))+(DL339*(50/100))) &lt;=5.8, SUM((DJ339*(20/100))+(DK339*(30/100))+(DL339*(50/100))) &gt;=5.3),5.5,
IF(AND( SUM((DJ339*(20/100))+(DK339*(30/100))+(DL339*(50/100))) &lt;=5.3, SUM((DJ339*(20/100))+(DK339*(30/100))+(DL339*(50/100))) &gt;=4.8),5,
IF(AND( SUM((DJ339*(20/100))+(DK339*(30/100))+(DL339*(50/100))) &lt;=4.8, SUM((DJ339*(20/100))+(DK339*(30/100))+(DL339*(50/100))) &gt;=4.3),4.5,
IF(AND( SUM((DJ339*(20/100))+(DK339*(30/100))+(DL339*(50/100))) &lt;=4.3, SUM((DJ339*(20/100))+(DK339*(30/100))+(DL339*(50/100))) &gt;=3.8),4,
IF(AND( SUM((DJ339*(20/100))+(DK339*(30/100))+(DL339*(50/100))) &lt;=3.8, SUM((DJ339*(20/100))+(DK339*(30/100))+(DL339*(50/100))) &gt;=3.5),3.5,0)))))))))))))</f>
        <v>0</v>
      </c>
      <c r="DQ339" s="541"/>
      <c r="DR339" s="541"/>
      <c r="DS339" s="541"/>
      <c r="DT339" s="541"/>
      <c r="DU339" s="541"/>
      <c r="DV339" s="541"/>
      <c r="DW339" s="541"/>
      <c r="DX339" s="541"/>
      <c r="DY339" s="541"/>
      <c r="DZ339" s="541"/>
    </row>
    <row r="340" spans="2:130" x14ac:dyDescent="0.25">
      <c r="B340" s="334">
        <v>33</v>
      </c>
      <c r="C340" s="541"/>
      <c r="D340" s="334"/>
      <c r="E340" s="334"/>
      <c r="F340" s="334"/>
      <c r="G340" s="334"/>
      <c r="H340" s="334"/>
      <c r="I340" s="334"/>
      <c r="J340" s="536"/>
      <c r="K340" s="536"/>
      <c r="L340" s="536"/>
      <c r="M340" s="536"/>
      <c r="N340" s="536"/>
      <c r="O340" s="536"/>
      <c r="P340" s="536">
        <f t="shared" si="126"/>
        <v>0</v>
      </c>
      <c r="Q340" s="536"/>
      <c r="R340" s="536"/>
      <c r="S340" s="536"/>
      <c r="T340" s="536">
        <f t="shared" si="127"/>
        <v>0</v>
      </c>
      <c r="U340" s="536"/>
      <c r="V340" s="536"/>
      <c r="W340" s="536"/>
      <c r="X340" s="536">
        <f t="shared" si="128"/>
        <v>0</v>
      </c>
      <c r="Y340" s="536"/>
      <c r="Z340" s="536"/>
      <c r="AA340" s="536"/>
      <c r="AB340" s="536">
        <f t="shared" si="129"/>
        <v>0</v>
      </c>
      <c r="AC340" s="536"/>
      <c r="AD340" s="536"/>
      <c r="AE340" s="536"/>
      <c r="AF340" s="536">
        <f t="shared" si="130"/>
        <v>0</v>
      </c>
      <c r="AG340" s="536"/>
      <c r="AH340" s="536"/>
      <c r="AI340" s="536"/>
      <c r="AJ340" s="536">
        <f t="shared" si="131"/>
        <v>0</v>
      </c>
      <c r="AK340" s="536"/>
      <c r="AL340" s="536"/>
      <c r="AM340" s="536"/>
      <c r="AN340" s="542">
        <f t="shared" si="132"/>
        <v>0</v>
      </c>
      <c r="AO340" s="536"/>
      <c r="AP340" s="536"/>
      <c r="AQ340" s="536"/>
      <c r="AR340" s="542">
        <f t="shared" si="133"/>
        <v>0</v>
      </c>
      <c r="AS340" s="536"/>
      <c r="AT340" s="536"/>
      <c r="AU340" s="536"/>
      <c r="AV340" s="542">
        <f t="shared" si="134"/>
        <v>0</v>
      </c>
      <c r="AW340" s="536"/>
      <c r="AX340" s="536"/>
      <c r="AY340" s="536"/>
      <c r="AZ340" s="542">
        <f t="shared" si="135"/>
        <v>0</v>
      </c>
      <c r="BA340" s="536"/>
      <c r="BB340" s="536"/>
      <c r="BC340" s="536"/>
      <c r="BD340" s="542">
        <f t="shared" si="136"/>
        <v>0</v>
      </c>
      <c r="BE340" s="536"/>
      <c r="BF340" s="536"/>
      <c r="BG340" s="536"/>
      <c r="BH340" s="542">
        <f t="shared" si="137"/>
        <v>0</v>
      </c>
      <c r="BI340" s="536"/>
      <c r="BJ340" s="536"/>
      <c r="BK340" s="536"/>
      <c r="BL340" s="542">
        <f t="shared" si="138"/>
        <v>0</v>
      </c>
      <c r="BM340" s="536"/>
      <c r="BN340" s="536"/>
      <c r="BO340" s="536"/>
      <c r="BP340" s="542">
        <f t="shared" si="139"/>
        <v>0</v>
      </c>
      <c r="BQ340" s="536"/>
      <c r="BR340" s="536"/>
      <c r="BS340" s="536"/>
      <c r="BT340" s="542">
        <f t="shared" si="140"/>
        <v>0</v>
      </c>
      <c r="BU340" s="536"/>
      <c r="BV340" s="536"/>
      <c r="BW340" s="536"/>
      <c r="BX340" s="542">
        <f t="shared" si="141"/>
        <v>0</v>
      </c>
      <c r="BY340" s="536"/>
      <c r="BZ340" s="536"/>
      <c r="CA340" s="536"/>
      <c r="CB340" s="542">
        <v>0</v>
      </c>
      <c r="CC340" s="536"/>
      <c r="CD340" s="536"/>
      <c r="CE340" s="536"/>
      <c r="CF340" s="541">
        <f t="shared" si="142"/>
        <v>0</v>
      </c>
      <c r="CG340" s="536"/>
      <c r="CH340" s="536"/>
      <c r="CI340" s="536"/>
      <c r="CJ340" s="541">
        <f t="shared" si="143"/>
        <v>0</v>
      </c>
      <c r="CK340" s="536"/>
      <c r="CL340" s="536"/>
      <c r="CM340" s="536"/>
      <c r="CN340" s="541">
        <f t="shared" si="144"/>
        <v>0</v>
      </c>
      <c r="CO340" s="536"/>
      <c r="CP340" s="536"/>
      <c r="CQ340" s="536"/>
      <c r="CR340" s="541">
        <f t="shared" si="145"/>
        <v>0</v>
      </c>
      <c r="CS340" s="536"/>
      <c r="CT340" s="536"/>
      <c r="CU340" s="536"/>
      <c r="CV340" s="541">
        <f t="shared" si="146"/>
        <v>0</v>
      </c>
      <c r="CW340" s="536"/>
      <c r="CX340" s="536"/>
      <c r="CY340" s="536"/>
      <c r="CZ340" s="541">
        <f t="shared" si="147"/>
        <v>0</v>
      </c>
      <c r="DA340" s="536"/>
      <c r="DB340" s="536"/>
      <c r="DC340" s="536"/>
      <c r="DD340" s="541">
        <f t="shared" si="148"/>
        <v>0</v>
      </c>
      <c r="DE340" s="536"/>
      <c r="DF340" s="536"/>
      <c r="DG340" s="536"/>
      <c r="DH340" s="541">
        <f t="shared" si="149"/>
        <v>0</v>
      </c>
      <c r="DI340" s="536"/>
      <c r="DJ340" s="536"/>
      <c r="DK340" s="536"/>
      <c r="DL340" s="541">
        <f t="shared" si="150"/>
        <v>0</v>
      </c>
      <c r="DM340" s="536"/>
      <c r="DN340" s="536"/>
      <c r="DO340" s="536"/>
      <c r="DP340" s="541">
        <f>IF( SUM((DJ340*(20/100))+(DK340*(30/100))+(DL340*(50/100))) &gt;=9.3,9.5,
IF(AND( SUM((DJ340*(20/100))+(DK340*(30/100))+(DL340*(50/100))) &lt;=9.3, SUM((DJ340*(20/100))+(DK340*(30/100))+(DL340*(50/100))) &gt;=8.8),9,
IF(AND( SUM((DJ340*(20/100))+(DK340*(30/100))+(DL340*(50/100))) &lt;=8.8, SUM((DJ340*(20/100))+(DK340*(30/100))+(DL340*(50/100))) &gt;=8.3),8.5,
IF(AND( SUM((DJ340*(20/100))+(DK340*(30/100))+(DL340*(50/100))) &lt;=8.3, SUM((DJ340*(20/100))+(DK340*(30/100))+(DL340*(50/100))) &gt;=7.8),8,
IF(AND( SUM((DJ340*(20/100))+(DK340*(30/100))+(DL340*(50/100))) &lt;=7.8, SUM((DJ340*(20/100))+(DK340*(30/100))+(DL340*(50/100))) &gt;=7.3),7.5,
IF(AND( SUM((DJ340*(20/100))+(DK340*(30/100))+(DL340*(50/100))) &lt;=7.3, SUM((DJ340*(20/100))+(DK340*(30/100))+(DL340*(50/100))) &gt;=6.8),7,
IF(AND( SUM((DJ340*(20/100))+(DK340*(30/100))+(DL340*(50/100))) &lt;=6.8, SUM((DJ340*(20/100))+(DK340*(30/100))+(DL340*(50/100))) &gt;=6.3),6.5,
IF(AND( SUM((DJ340*(20/100))+(DK340*(30/100))+(DL340*(50/100))) &lt;=6.3, SUM((DJ340*(20/100))+(DK340*(30/100))+(DL340*(50/100))) &gt;=5.8),6,
IF(AND( SUM((DJ340*(20/100))+(DK340*(30/100))+(DL340*(50/100))) &lt;=5.8, SUM((DJ340*(20/100))+(DK340*(30/100))+(DL340*(50/100))) &gt;=5.3),5.5,
IF(AND( SUM((DJ340*(20/100))+(DK340*(30/100))+(DL340*(50/100))) &lt;=5.3, SUM((DJ340*(20/100))+(DK340*(30/100))+(DL340*(50/100))) &gt;=4.8),5,
IF(AND( SUM((DJ340*(20/100))+(DK340*(30/100))+(DL340*(50/100))) &lt;=4.8, SUM((DJ340*(20/100))+(DK340*(30/100))+(DL340*(50/100))) &gt;=4.3),4.5,
IF(AND( SUM((DJ340*(20/100))+(DK340*(30/100))+(DL340*(50/100))) &lt;=4.3, SUM((DJ340*(20/100))+(DK340*(30/100))+(DL340*(50/100))) &gt;=3.8),4,
IF(AND( SUM((DJ340*(20/100))+(DK340*(30/100))+(DL340*(50/100))) &lt;=3.8, SUM((DJ340*(20/100))+(DK340*(30/100))+(DL340*(50/100))) &gt;=3.5),3.5,0)))))))))))))</f>
        <v>0</v>
      </c>
      <c r="DQ340" s="541"/>
      <c r="DR340" s="541"/>
      <c r="DS340" s="541"/>
      <c r="DT340" s="541"/>
      <c r="DU340" s="541"/>
      <c r="DV340" s="541"/>
      <c r="DW340" s="541"/>
      <c r="DX340" s="541"/>
      <c r="DY340" s="541"/>
      <c r="DZ340" s="541"/>
    </row>
    <row r="341" spans="2:130" x14ac:dyDescent="0.25">
      <c r="B341" s="334">
        <v>34</v>
      </c>
      <c r="C341" s="541"/>
      <c r="D341" s="334"/>
      <c r="E341" s="334"/>
      <c r="F341" s="334"/>
      <c r="G341" s="334"/>
      <c r="H341" s="334"/>
      <c r="I341" s="334"/>
      <c r="J341" s="536"/>
      <c r="K341" s="536"/>
      <c r="L341" s="536"/>
      <c r="M341" s="536"/>
      <c r="N341" s="536"/>
      <c r="O341" s="536"/>
      <c r="P341" s="536">
        <f t="shared" si="126"/>
        <v>0</v>
      </c>
      <c r="Q341" s="536"/>
      <c r="R341" s="536"/>
      <c r="S341" s="536"/>
      <c r="T341" s="536">
        <f t="shared" si="127"/>
        <v>0</v>
      </c>
      <c r="U341" s="536"/>
      <c r="V341" s="536"/>
      <c r="W341" s="536"/>
      <c r="X341" s="536">
        <f t="shared" si="128"/>
        <v>0</v>
      </c>
      <c r="Y341" s="536"/>
      <c r="Z341" s="536"/>
      <c r="AA341" s="536"/>
      <c r="AB341" s="536">
        <f t="shared" si="129"/>
        <v>0</v>
      </c>
      <c r="AC341" s="536"/>
      <c r="AD341" s="536"/>
      <c r="AE341" s="536"/>
      <c r="AF341" s="536">
        <f t="shared" si="130"/>
        <v>0</v>
      </c>
      <c r="AG341" s="536"/>
      <c r="AH341" s="536"/>
      <c r="AI341" s="536"/>
      <c r="AJ341" s="536">
        <f t="shared" si="131"/>
        <v>0</v>
      </c>
      <c r="AK341" s="536"/>
      <c r="AL341" s="536"/>
      <c r="AM341" s="536"/>
      <c r="AN341" s="542">
        <f t="shared" si="132"/>
        <v>0</v>
      </c>
      <c r="AO341" s="536"/>
      <c r="AP341" s="536"/>
      <c r="AQ341" s="536"/>
      <c r="AR341" s="542">
        <f t="shared" si="133"/>
        <v>0</v>
      </c>
      <c r="AS341" s="536"/>
      <c r="AT341" s="536"/>
      <c r="AU341" s="536"/>
      <c r="AV341" s="542">
        <f t="shared" si="134"/>
        <v>0</v>
      </c>
      <c r="AW341" s="536"/>
      <c r="AX341" s="536"/>
      <c r="AY341" s="536"/>
      <c r="AZ341" s="542">
        <f t="shared" si="135"/>
        <v>0</v>
      </c>
      <c r="BA341" s="536"/>
      <c r="BB341" s="536"/>
      <c r="BC341" s="536"/>
      <c r="BD341" s="542">
        <f t="shared" si="136"/>
        <v>0</v>
      </c>
      <c r="BE341" s="536"/>
      <c r="BF341" s="536"/>
      <c r="BG341" s="536"/>
      <c r="BH341" s="542">
        <f t="shared" si="137"/>
        <v>0</v>
      </c>
      <c r="BI341" s="536"/>
      <c r="BJ341" s="536"/>
      <c r="BK341" s="536"/>
      <c r="BL341" s="542">
        <f t="shared" si="138"/>
        <v>0</v>
      </c>
      <c r="BM341" s="536"/>
      <c r="BN341" s="536"/>
      <c r="BO341" s="536"/>
      <c r="BP341" s="542">
        <f t="shared" si="139"/>
        <v>0</v>
      </c>
      <c r="BQ341" s="536"/>
      <c r="BR341" s="536"/>
      <c r="BS341" s="536"/>
      <c r="BT341" s="542">
        <f t="shared" si="140"/>
        <v>0</v>
      </c>
      <c r="BU341" s="536"/>
      <c r="BV341" s="536"/>
      <c r="BW341" s="536"/>
      <c r="BX341" s="542">
        <f t="shared" si="141"/>
        <v>0</v>
      </c>
      <c r="BY341" s="536"/>
      <c r="BZ341" s="536"/>
      <c r="CA341" s="536"/>
      <c r="CB341" s="542">
        <v>0</v>
      </c>
      <c r="CC341" s="536"/>
      <c r="CD341" s="536"/>
      <c r="CE341" s="536"/>
      <c r="CF341" s="541">
        <f t="shared" si="142"/>
        <v>0</v>
      </c>
      <c r="CG341" s="536"/>
      <c r="CH341" s="536"/>
      <c r="CI341" s="536"/>
      <c r="CJ341" s="541">
        <f t="shared" si="143"/>
        <v>0</v>
      </c>
      <c r="CK341" s="536"/>
      <c r="CL341" s="536"/>
      <c r="CM341" s="536"/>
      <c r="CN341" s="541">
        <f t="shared" si="144"/>
        <v>0</v>
      </c>
      <c r="CO341" s="536"/>
      <c r="CP341" s="536"/>
      <c r="CQ341" s="536"/>
      <c r="CR341" s="541">
        <f t="shared" si="145"/>
        <v>0</v>
      </c>
      <c r="CS341" s="536"/>
      <c r="CT341" s="536"/>
      <c r="CU341" s="536"/>
      <c r="CV341" s="541">
        <f t="shared" si="146"/>
        <v>0</v>
      </c>
      <c r="CW341" s="536"/>
      <c r="CX341" s="536"/>
      <c r="CY341" s="536"/>
      <c r="CZ341" s="541">
        <f t="shared" si="147"/>
        <v>0</v>
      </c>
      <c r="DA341" s="536"/>
      <c r="DB341" s="536"/>
      <c r="DC341" s="536"/>
      <c r="DD341" s="541">
        <f t="shared" si="148"/>
        <v>0</v>
      </c>
      <c r="DE341" s="536"/>
      <c r="DF341" s="536"/>
      <c r="DG341" s="536"/>
      <c r="DH341" s="541">
        <f t="shared" si="149"/>
        <v>0</v>
      </c>
      <c r="DI341" s="536"/>
      <c r="DJ341" s="536"/>
      <c r="DK341" s="536"/>
      <c r="DL341" s="541">
        <f t="shared" si="150"/>
        <v>0</v>
      </c>
      <c r="DM341" s="536"/>
      <c r="DN341" s="536"/>
      <c r="DO341" s="536"/>
      <c r="DP341" s="541">
        <f>IF( SUM((DJ341*(20/100))+(DK341*(30/100))+(DL341*(50/100))) &gt;=9.3,9.5,
IF(AND( SUM((DJ341*(20/100))+(DK341*(30/100))+(DL341*(50/100))) &lt;=9.3, SUM((DJ341*(20/100))+(DK341*(30/100))+(DL341*(50/100))) &gt;=8.8),9,
IF(AND( SUM((DJ341*(20/100))+(DK341*(30/100))+(DL341*(50/100))) &lt;=8.8, SUM((DJ341*(20/100))+(DK341*(30/100))+(DL341*(50/100))) &gt;=8.3),8.5,
IF(AND( SUM((DJ341*(20/100))+(DK341*(30/100))+(DL341*(50/100))) &lt;=8.3, SUM((DJ341*(20/100))+(DK341*(30/100))+(DL341*(50/100))) &gt;=7.8),8,
IF(AND( SUM((DJ341*(20/100))+(DK341*(30/100))+(DL341*(50/100))) &lt;=7.8, SUM((DJ341*(20/100))+(DK341*(30/100))+(DL341*(50/100))) &gt;=7.3),7.5,
IF(AND( SUM((DJ341*(20/100))+(DK341*(30/100))+(DL341*(50/100))) &lt;=7.3, SUM((DJ341*(20/100))+(DK341*(30/100))+(DL341*(50/100))) &gt;=6.8),7,
IF(AND( SUM((DJ341*(20/100))+(DK341*(30/100))+(DL341*(50/100))) &lt;=6.8, SUM((DJ341*(20/100))+(DK341*(30/100))+(DL341*(50/100))) &gt;=6.3),6.5,
IF(AND( SUM((DJ341*(20/100))+(DK341*(30/100))+(DL341*(50/100))) &lt;=6.3, SUM((DJ341*(20/100))+(DK341*(30/100))+(DL341*(50/100))) &gt;=5.8),6,
IF(AND( SUM((DJ341*(20/100))+(DK341*(30/100))+(DL341*(50/100))) &lt;=5.8, SUM((DJ341*(20/100))+(DK341*(30/100))+(DL341*(50/100))) &gt;=5.3),5.5,
IF(AND( SUM((DJ341*(20/100))+(DK341*(30/100))+(DL341*(50/100))) &lt;=5.3, SUM((DJ341*(20/100))+(DK341*(30/100))+(DL341*(50/100))) &gt;=4.8),5,
IF(AND( SUM((DJ341*(20/100))+(DK341*(30/100))+(DL341*(50/100))) &lt;=4.8, SUM((DJ341*(20/100))+(DK341*(30/100))+(DL341*(50/100))) &gt;=4.3),4.5,
IF(AND( SUM((DJ341*(20/100))+(DK341*(30/100))+(DL341*(50/100))) &lt;=4.3, SUM((DJ341*(20/100))+(DK341*(30/100))+(DL341*(50/100))) &gt;=3.8),4,
IF(AND( SUM((DJ341*(20/100))+(DK341*(30/100))+(DL341*(50/100))) &lt;=3.8, SUM((DJ341*(20/100))+(DK341*(30/100))+(DL341*(50/100))) &gt;=3.5),3.5,0)))))))))))))</f>
        <v>0</v>
      </c>
      <c r="DQ341" s="541"/>
      <c r="DR341" s="541"/>
      <c r="DS341" s="541"/>
      <c r="DT341" s="541"/>
      <c r="DU341" s="541"/>
      <c r="DV341" s="541"/>
      <c r="DW341" s="541"/>
      <c r="DX341" s="541"/>
      <c r="DY341" s="541"/>
      <c r="DZ341" s="541"/>
    </row>
    <row r="342" spans="2:130" x14ac:dyDescent="0.25">
      <c r="B342" s="334">
        <v>35</v>
      </c>
      <c r="C342" s="541"/>
      <c r="D342" s="334"/>
      <c r="E342" s="334"/>
      <c r="F342" s="334"/>
      <c r="G342" s="334"/>
      <c r="H342" s="334"/>
      <c r="I342" s="334"/>
      <c r="J342" s="536"/>
      <c r="K342" s="536"/>
      <c r="L342" s="536"/>
      <c r="M342" s="536"/>
      <c r="N342" s="536"/>
      <c r="O342" s="536"/>
      <c r="P342" s="536">
        <f t="shared" si="126"/>
        <v>0</v>
      </c>
      <c r="Q342" s="536"/>
      <c r="R342" s="536"/>
      <c r="S342" s="536"/>
      <c r="T342" s="536">
        <f t="shared" si="127"/>
        <v>0</v>
      </c>
      <c r="U342" s="536"/>
      <c r="V342" s="536"/>
      <c r="W342" s="536"/>
      <c r="X342" s="536">
        <f t="shared" si="128"/>
        <v>0</v>
      </c>
      <c r="Y342" s="536"/>
      <c r="Z342" s="536"/>
      <c r="AA342" s="536"/>
      <c r="AB342" s="536">
        <f t="shared" si="129"/>
        <v>0</v>
      </c>
      <c r="AC342" s="536"/>
      <c r="AD342" s="536"/>
      <c r="AE342" s="536"/>
      <c r="AF342" s="536">
        <f t="shared" si="130"/>
        <v>0</v>
      </c>
      <c r="AG342" s="536"/>
      <c r="AH342" s="536"/>
      <c r="AI342" s="536"/>
      <c r="AJ342" s="536">
        <f t="shared" si="131"/>
        <v>0</v>
      </c>
      <c r="AK342" s="536"/>
      <c r="AL342" s="536"/>
      <c r="AM342" s="536"/>
      <c r="AN342" s="542">
        <f t="shared" si="132"/>
        <v>0</v>
      </c>
      <c r="AO342" s="536"/>
      <c r="AP342" s="536"/>
      <c r="AQ342" s="536"/>
      <c r="AR342" s="542">
        <f t="shared" si="133"/>
        <v>0</v>
      </c>
      <c r="AS342" s="536"/>
      <c r="AT342" s="536"/>
      <c r="AU342" s="536"/>
      <c r="AV342" s="542">
        <f t="shared" si="134"/>
        <v>0</v>
      </c>
      <c r="AW342" s="536"/>
      <c r="AX342" s="536"/>
      <c r="AY342" s="536"/>
      <c r="AZ342" s="542">
        <f t="shared" si="135"/>
        <v>0</v>
      </c>
      <c r="BA342" s="536"/>
      <c r="BB342" s="536"/>
      <c r="BC342" s="536"/>
      <c r="BD342" s="542">
        <f t="shared" si="136"/>
        <v>0</v>
      </c>
      <c r="BE342" s="536"/>
      <c r="BF342" s="536"/>
      <c r="BG342" s="536"/>
      <c r="BH342" s="542">
        <f t="shared" si="137"/>
        <v>0</v>
      </c>
      <c r="BI342" s="536"/>
      <c r="BJ342" s="536"/>
      <c r="BK342" s="536"/>
      <c r="BL342" s="542">
        <f t="shared" si="138"/>
        <v>0</v>
      </c>
      <c r="BM342" s="536"/>
      <c r="BN342" s="536"/>
      <c r="BO342" s="536"/>
      <c r="BP342" s="542">
        <f t="shared" si="139"/>
        <v>0</v>
      </c>
      <c r="BQ342" s="536"/>
      <c r="BR342" s="536"/>
      <c r="BS342" s="536"/>
      <c r="BT342" s="542">
        <f t="shared" si="140"/>
        <v>0</v>
      </c>
      <c r="BU342" s="536"/>
      <c r="BV342" s="536"/>
      <c r="BW342" s="536"/>
      <c r="BX342" s="542">
        <f t="shared" si="141"/>
        <v>0</v>
      </c>
      <c r="BY342" s="536"/>
      <c r="BZ342" s="536"/>
      <c r="CA342" s="536"/>
      <c r="CB342" s="542">
        <v>0</v>
      </c>
      <c r="CC342" s="536"/>
      <c r="CD342" s="536"/>
      <c r="CE342" s="536"/>
      <c r="CF342" s="541">
        <f t="shared" si="142"/>
        <v>0</v>
      </c>
      <c r="CG342" s="536"/>
      <c r="CH342" s="536"/>
      <c r="CI342" s="536"/>
      <c r="CJ342" s="541">
        <f t="shared" si="143"/>
        <v>0</v>
      </c>
      <c r="CK342" s="536"/>
      <c r="CL342" s="536"/>
      <c r="CM342" s="536"/>
      <c r="CN342" s="541">
        <f t="shared" si="144"/>
        <v>0</v>
      </c>
      <c r="CO342" s="536"/>
      <c r="CP342" s="536"/>
      <c r="CQ342" s="536"/>
      <c r="CR342" s="541">
        <f t="shared" si="145"/>
        <v>0</v>
      </c>
      <c r="CS342" s="536"/>
      <c r="CT342" s="536"/>
      <c r="CU342" s="536"/>
      <c r="CV342" s="541">
        <f t="shared" si="146"/>
        <v>0</v>
      </c>
      <c r="CW342" s="536"/>
      <c r="CX342" s="536"/>
      <c r="CY342" s="536"/>
      <c r="CZ342" s="541">
        <f t="shared" si="147"/>
        <v>0</v>
      </c>
      <c r="DA342" s="536"/>
      <c r="DB342" s="536"/>
      <c r="DC342" s="536"/>
      <c r="DD342" s="541">
        <f t="shared" si="148"/>
        <v>0</v>
      </c>
      <c r="DE342" s="536"/>
      <c r="DF342" s="536"/>
      <c r="DG342" s="536"/>
      <c r="DH342" s="541">
        <f t="shared" si="149"/>
        <v>0</v>
      </c>
      <c r="DI342" s="536"/>
      <c r="DJ342" s="536"/>
      <c r="DK342" s="536"/>
      <c r="DL342" s="541">
        <f t="shared" si="150"/>
        <v>0</v>
      </c>
      <c r="DM342" s="536"/>
      <c r="DN342" s="536"/>
      <c r="DO342" s="536"/>
      <c r="DP342" s="541">
        <f>IF( SUM((DJ342*(20/100))+(DK342*(30/100))+(DL342*(50/100))) &gt;=9.3,9.5,
IF(AND( SUM((DJ342*(20/100))+(DK342*(30/100))+(DL342*(50/100))) &lt;=9.3, SUM((DJ342*(20/100))+(DK342*(30/100))+(DL342*(50/100))) &gt;=8.8),9,
IF(AND( SUM((DJ342*(20/100))+(DK342*(30/100))+(DL342*(50/100))) &lt;=8.8, SUM((DJ342*(20/100))+(DK342*(30/100))+(DL342*(50/100))) &gt;=8.3),8.5,
IF(AND( SUM((DJ342*(20/100))+(DK342*(30/100))+(DL342*(50/100))) &lt;=8.3, SUM((DJ342*(20/100))+(DK342*(30/100))+(DL342*(50/100))) &gt;=7.8),8,
IF(AND( SUM((DJ342*(20/100))+(DK342*(30/100))+(DL342*(50/100))) &lt;=7.8, SUM((DJ342*(20/100))+(DK342*(30/100))+(DL342*(50/100))) &gt;=7.3),7.5,
IF(AND( SUM((DJ342*(20/100))+(DK342*(30/100))+(DL342*(50/100))) &lt;=7.3, SUM((DJ342*(20/100))+(DK342*(30/100))+(DL342*(50/100))) &gt;=6.8),7,
IF(AND( SUM((DJ342*(20/100))+(DK342*(30/100))+(DL342*(50/100))) &lt;=6.8, SUM((DJ342*(20/100))+(DK342*(30/100))+(DL342*(50/100))) &gt;=6.3),6.5,
IF(AND( SUM((DJ342*(20/100))+(DK342*(30/100))+(DL342*(50/100))) &lt;=6.3, SUM((DJ342*(20/100))+(DK342*(30/100))+(DL342*(50/100))) &gt;=5.8),6,
IF(AND( SUM((DJ342*(20/100))+(DK342*(30/100))+(DL342*(50/100))) &lt;=5.8, SUM((DJ342*(20/100))+(DK342*(30/100))+(DL342*(50/100))) &gt;=5.3),5.5,
IF(AND( SUM((DJ342*(20/100))+(DK342*(30/100))+(DL342*(50/100))) &lt;=5.3, SUM((DJ342*(20/100))+(DK342*(30/100))+(DL342*(50/100))) &gt;=4.8),5,
IF(AND( SUM((DJ342*(20/100))+(DK342*(30/100))+(DL342*(50/100))) &lt;=4.8, SUM((DJ342*(20/100))+(DK342*(30/100))+(DL342*(50/100))) &gt;=4.3),4.5,
IF(AND( SUM((DJ342*(20/100))+(DK342*(30/100))+(DL342*(50/100))) &lt;=4.3, SUM((DJ342*(20/100))+(DK342*(30/100))+(DL342*(50/100))) &gt;=3.8),4,
IF(AND( SUM((DJ342*(20/100))+(DK342*(30/100))+(DL342*(50/100))) &lt;=3.8, SUM((DJ342*(20/100))+(DK342*(30/100))+(DL342*(50/100))) &gt;=3.5),3.5,0)))))))))))))</f>
        <v>0</v>
      </c>
      <c r="DQ342" s="541"/>
      <c r="DR342" s="541"/>
      <c r="DS342" s="541"/>
      <c r="DT342" s="541"/>
      <c r="DU342" s="541"/>
      <c r="DV342" s="541"/>
      <c r="DW342" s="541"/>
      <c r="DX342" s="541"/>
      <c r="DY342" s="541"/>
      <c r="DZ342" s="541"/>
    </row>
    <row r="343" spans="2:130" x14ac:dyDescent="0.25">
      <c r="B343" s="334">
        <v>36</v>
      </c>
      <c r="C343" s="541"/>
      <c r="D343" s="334"/>
      <c r="E343" s="334"/>
      <c r="F343" s="334"/>
      <c r="G343" s="334"/>
      <c r="H343" s="334"/>
      <c r="I343" s="334"/>
      <c r="J343" s="536"/>
      <c r="K343" s="536"/>
      <c r="L343" s="536"/>
      <c r="M343" s="536"/>
      <c r="N343" s="536"/>
      <c r="O343" s="536"/>
      <c r="P343" s="536">
        <f t="shared" si="126"/>
        <v>0</v>
      </c>
      <c r="Q343" s="536"/>
      <c r="R343" s="536"/>
      <c r="S343" s="536"/>
      <c r="T343" s="536">
        <f t="shared" si="127"/>
        <v>0</v>
      </c>
      <c r="U343" s="536"/>
      <c r="V343" s="536"/>
      <c r="W343" s="536"/>
      <c r="X343" s="536">
        <f t="shared" si="128"/>
        <v>0</v>
      </c>
      <c r="Y343" s="536"/>
      <c r="Z343" s="536"/>
      <c r="AA343" s="536"/>
      <c r="AB343" s="536">
        <f t="shared" si="129"/>
        <v>0</v>
      </c>
      <c r="AC343" s="536"/>
      <c r="AD343" s="536"/>
      <c r="AE343" s="536"/>
      <c r="AF343" s="536">
        <f t="shared" si="130"/>
        <v>0</v>
      </c>
      <c r="AG343" s="536"/>
      <c r="AH343" s="536"/>
      <c r="AI343" s="536"/>
      <c r="AJ343" s="536">
        <f t="shared" si="131"/>
        <v>0</v>
      </c>
      <c r="AK343" s="536"/>
      <c r="AL343" s="536"/>
      <c r="AM343" s="536"/>
      <c r="AN343" s="542">
        <f t="shared" si="132"/>
        <v>0</v>
      </c>
      <c r="AO343" s="536"/>
      <c r="AP343" s="536"/>
      <c r="AQ343" s="536"/>
      <c r="AR343" s="542">
        <f t="shared" si="133"/>
        <v>0</v>
      </c>
      <c r="AS343" s="536"/>
      <c r="AT343" s="536"/>
      <c r="AU343" s="536"/>
      <c r="AV343" s="542">
        <f t="shared" si="134"/>
        <v>0</v>
      </c>
      <c r="AW343" s="536"/>
      <c r="AX343" s="536"/>
      <c r="AY343" s="536"/>
      <c r="AZ343" s="542">
        <f t="shared" si="135"/>
        <v>0</v>
      </c>
      <c r="BA343" s="536"/>
      <c r="BB343" s="536"/>
      <c r="BC343" s="536"/>
      <c r="BD343" s="542">
        <f t="shared" si="136"/>
        <v>0</v>
      </c>
      <c r="BE343" s="536"/>
      <c r="BF343" s="536"/>
      <c r="BG343" s="536"/>
      <c r="BH343" s="542">
        <f t="shared" si="137"/>
        <v>0</v>
      </c>
      <c r="BI343" s="536"/>
      <c r="BJ343" s="536"/>
      <c r="BK343" s="536"/>
      <c r="BL343" s="542">
        <f t="shared" si="138"/>
        <v>0</v>
      </c>
      <c r="BM343" s="536"/>
      <c r="BN343" s="536"/>
      <c r="BO343" s="536"/>
      <c r="BP343" s="542">
        <f t="shared" si="139"/>
        <v>0</v>
      </c>
      <c r="BQ343" s="536"/>
      <c r="BR343" s="536"/>
      <c r="BS343" s="536"/>
      <c r="BT343" s="542">
        <f t="shared" si="140"/>
        <v>0</v>
      </c>
      <c r="BU343" s="536"/>
      <c r="BV343" s="536"/>
      <c r="BW343" s="536"/>
      <c r="BX343" s="542">
        <f t="shared" si="141"/>
        <v>0</v>
      </c>
      <c r="BY343" s="536"/>
      <c r="BZ343" s="536"/>
      <c r="CA343" s="536"/>
      <c r="CB343" s="542">
        <v>0</v>
      </c>
      <c r="CC343" s="536"/>
      <c r="CD343" s="536"/>
      <c r="CE343" s="536"/>
      <c r="CF343" s="541">
        <f t="shared" si="142"/>
        <v>0</v>
      </c>
      <c r="CG343" s="536"/>
      <c r="CH343" s="536"/>
      <c r="CI343" s="536"/>
      <c r="CJ343" s="541">
        <f t="shared" si="143"/>
        <v>0</v>
      </c>
      <c r="CK343" s="536"/>
      <c r="CL343" s="536"/>
      <c r="CM343" s="536"/>
      <c r="CN343" s="541">
        <f t="shared" si="144"/>
        <v>0</v>
      </c>
      <c r="CO343" s="536"/>
      <c r="CP343" s="536"/>
      <c r="CQ343" s="536"/>
      <c r="CR343" s="541">
        <f t="shared" si="145"/>
        <v>0</v>
      </c>
      <c r="CS343" s="536"/>
      <c r="CT343" s="536"/>
      <c r="CU343" s="536"/>
      <c r="CV343" s="541">
        <f t="shared" si="146"/>
        <v>0</v>
      </c>
      <c r="CW343" s="536"/>
      <c r="CX343" s="536"/>
      <c r="CY343" s="536"/>
      <c r="CZ343" s="541">
        <f t="shared" si="147"/>
        <v>0</v>
      </c>
      <c r="DA343" s="536"/>
      <c r="DB343" s="536"/>
      <c r="DC343" s="536"/>
      <c r="DD343" s="541">
        <f t="shared" si="148"/>
        <v>0</v>
      </c>
      <c r="DE343" s="536"/>
      <c r="DF343" s="536"/>
      <c r="DG343" s="536"/>
      <c r="DH343" s="541">
        <f t="shared" si="149"/>
        <v>0</v>
      </c>
      <c r="DI343" s="536"/>
      <c r="DJ343" s="536"/>
      <c r="DK343" s="536"/>
      <c r="DL343" s="541">
        <f t="shared" si="150"/>
        <v>0</v>
      </c>
      <c r="DM343" s="536"/>
      <c r="DN343" s="536"/>
      <c r="DO343" s="536"/>
      <c r="DP343" s="541">
        <f>IF( SUM((DJ343*(20/100))+(DK343*(30/100))+(DL343*(50/100))) &gt;=9.3,9.5,
IF(AND( SUM((DJ343*(20/100))+(DK343*(30/100))+(DL343*(50/100))) &lt;=9.3, SUM((DJ343*(20/100))+(DK343*(30/100))+(DL343*(50/100))) &gt;=8.8),9,
IF(AND( SUM((DJ343*(20/100))+(DK343*(30/100))+(DL343*(50/100))) &lt;=8.8, SUM((DJ343*(20/100))+(DK343*(30/100))+(DL343*(50/100))) &gt;=8.3),8.5,
IF(AND( SUM((DJ343*(20/100))+(DK343*(30/100))+(DL343*(50/100))) &lt;=8.3, SUM((DJ343*(20/100))+(DK343*(30/100))+(DL343*(50/100))) &gt;=7.8),8,
IF(AND( SUM((DJ343*(20/100))+(DK343*(30/100))+(DL343*(50/100))) &lt;=7.8, SUM((DJ343*(20/100))+(DK343*(30/100))+(DL343*(50/100))) &gt;=7.3),7.5,
IF(AND( SUM((DJ343*(20/100))+(DK343*(30/100))+(DL343*(50/100))) &lt;=7.3, SUM((DJ343*(20/100))+(DK343*(30/100))+(DL343*(50/100))) &gt;=6.8),7,
IF(AND( SUM((DJ343*(20/100))+(DK343*(30/100))+(DL343*(50/100))) &lt;=6.8, SUM((DJ343*(20/100))+(DK343*(30/100))+(DL343*(50/100))) &gt;=6.3),6.5,
IF(AND( SUM((DJ343*(20/100))+(DK343*(30/100))+(DL343*(50/100))) &lt;=6.3, SUM((DJ343*(20/100))+(DK343*(30/100))+(DL343*(50/100))) &gt;=5.8),6,
IF(AND( SUM((DJ343*(20/100))+(DK343*(30/100))+(DL343*(50/100))) &lt;=5.8, SUM((DJ343*(20/100))+(DK343*(30/100))+(DL343*(50/100))) &gt;=5.3),5.5,
IF(AND( SUM((DJ343*(20/100))+(DK343*(30/100))+(DL343*(50/100))) &lt;=5.3, SUM((DJ343*(20/100))+(DK343*(30/100))+(DL343*(50/100))) &gt;=4.8),5,
IF(AND( SUM((DJ343*(20/100))+(DK343*(30/100))+(DL343*(50/100))) &lt;=4.8, SUM((DJ343*(20/100))+(DK343*(30/100))+(DL343*(50/100))) &gt;=4.3),4.5,
IF(AND( SUM((DJ343*(20/100))+(DK343*(30/100))+(DL343*(50/100))) &lt;=4.3, SUM((DJ343*(20/100))+(DK343*(30/100))+(DL343*(50/100))) &gt;=3.8),4,
IF(AND( SUM((DJ343*(20/100))+(DK343*(30/100))+(DL343*(50/100))) &lt;=3.8, SUM((DJ343*(20/100))+(DK343*(30/100))+(DL343*(50/100))) &gt;=3.5),3.5,0)))))))))))))</f>
        <v>0</v>
      </c>
      <c r="DQ343" s="541"/>
      <c r="DR343" s="541"/>
      <c r="DS343" s="541"/>
      <c r="DT343" s="541"/>
      <c r="DU343" s="541"/>
      <c r="DV343" s="541"/>
      <c r="DW343" s="541"/>
      <c r="DX343" s="541"/>
      <c r="DY343" s="541"/>
      <c r="DZ343" s="541"/>
    </row>
    <row r="344" spans="2:130" x14ac:dyDescent="0.25">
      <c r="B344" s="334">
        <v>37</v>
      </c>
      <c r="C344" s="541"/>
      <c r="D344" s="334"/>
      <c r="E344" s="334"/>
      <c r="F344" s="334"/>
      <c r="G344" s="334"/>
      <c r="H344" s="334"/>
      <c r="I344" s="334"/>
      <c r="J344" s="536"/>
      <c r="K344" s="536"/>
      <c r="L344" s="536"/>
      <c r="M344" s="536"/>
      <c r="N344" s="536"/>
      <c r="O344" s="536"/>
      <c r="P344" s="536">
        <f t="shared" si="126"/>
        <v>0</v>
      </c>
      <c r="Q344" s="536"/>
      <c r="R344" s="536"/>
      <c r="S344" s="536"/>
      <c r="T344" s="536">
        <f t="shared" si="127"/>
        <v>0</v>
      </c>
      <c r="U344" s="536"/>
      <c r="V344" s="536"/>
      <c r="W344" s="536"/>
      <c r="X344" s="536">
        <f t="shared" si="128"/>
        <v>0</v>
      </c>
      <c r="Y344" s="536"/>
      <c r="Z344" s="536"/>
      <c r="AA344" s="536"/>
      <c r="AB344" s="536">
        <f t="shared" si="129"/>
        <v>0</v>
      </c>
      <c r="AC344" s="536"/>
      <c r="AD344" s="536"/>
      <c r="AE344" s="536"/>
      <c r="AF344" s="536">
        <f t="shared" si="130"/>
        <v>0</v>
      </c>
      <c r="AG344" s="536"/>
      <c r="AH344" s="536"/>
      <c r="AI344" s="536"/>
      <c r="AJ344" s="536">
        <f t="shared" si="131"/>
        <v>0</v>
      </c>
      <c r="AK344" s="536"/>
      <c r="AL344" s="536"/>
      <c r="AM344" s="536"/>
      <c r="AN344" s="542">
        <f t="shared" si="132"/>
        <v>0</v>
      </c>
      <c r="AO344" s="536"/>
      <c r="AP344" s="536"/>
      <c r="AQ344" s="536"/>
      <c r="AR344" s="542">
        <f t="shared" si="133"/>
        <v>0</v>
      </c>
      <c r="AS344" s="536"/>
      <c r="AT344" s="536"/>
      <c r="AU344" s="536"/>
      <c r="AV344" s="542">
        <f t="shared" si="134"/>
        <v>0</v>
      </c>
      <c r="AW344" s="536"/>
      <c r="AX344" s="536"/>
      <c r="AY344" s="536"/>
      <c r="AZ344" s="542">
        <f t="shared" si="135"/>
        <v>0</v>
      </c>
      <c r="BA344" s="536"/>
      <c r="BB344" s="536"/>
      <c r="BC344" s="536"/>
      <c r="BD344" s="542">
        <f t="shared" si="136"/>
        <v>0</v>
      </c>
      <c r="BE344" s="536"/>
      <c r="BF344" s="536"/>
      <c r="BG344" s="536"/>
      <c r="BH344" s="542">
        <f t="shared" si="137"/>
        <v>0</v>
      </c>
      <c r="BI344" s="536"/>
      <c r="BJ344" s="536"/>
      <c r="BK344" s="536"/>
      <c r="BL344" s="542">
        <f t="shared" si="138"/>
        <v>0</v>
      </c>
      <c r="BM344" s="536"/>
      <c r="BN344" s="536"/>
      <c r="BO344" s="536"/>
      <c r="BP344" s="542">
        <f t="shared" si="139"/>
        <v>0</v>
      </c>
      <c r="BQ344" s="536"/>
      <c r="BR344" s="536"/>
      <c r="BS344" s="536"/>
      <c r="BT344" s="542">
        <f t="shared" si="140"/>
        <v>0</v>
      </c>
      <c r="BU344" s="536"/>
      <c r="BV344" s="536"/>
      <c r="BW344" s="536"/>
      <c r="BX344" s="542">
        <f t="shared" si="141"/>
        <v>0</v>
      </c>
      <c r="BY344" s="536"/>
      <c r="BZ344" s="536"/>
      <c r="CA344" s="536"/>
      <c r="CB344" s="542">
        <v>0</v>
      </c>
      <c r="CC344" s="536"/>
      <c r="CD344" s="536"/>
      <c r="CE344" s="536"/>
      <c r="CF344" s="541">
        <f t="shared" si="142"/>
        <v>0</v>
      </c>
      <c r="CG344" s="536"/>
      <c r="CH344" s="536"/>
      <c r="CI344" s="536"/>
      <c r="CJ344" s="541">
        <f t="shared" si="143"/>
        <v>0</v>
      </c>
      <c r="CK344" s="536"/>
      <c r="CL344" s="536"/>
      <c r="CM344" s="536"/>
      <c r="CN344" s="541">
        <f t="shared" si="144"/>
        <v>0</v>
      </c>
      <c r="CO344" s="536"/>
      <c r="CP344" s="536"/>
      <c r="CQ344" s="536"/>
      <c r="CR344" s="541">
        <f t="shared" si="145"/>
        <v>0</v>
      </c>
      <c r="CS344" s="536"/>
      <c r="CT344" s="536"/>
      <c r="CU344" s="536"/>
      <c r="CV344" s="541">
        <f t="shared" si="146"/>
        <v>0</v>
      </c>
      <c r="CW344" s="536"/>
      <c r="CX344" s="536"/>
      <c r="CY344" s="536"/>
      <c r="CZ344" s="541">
        <f t="shared" si="147"/>
        <v>0</v>
      </c>
      <c r="DA344" s="536"/>
      <c r="DB344" s="536"/>
      <c r="DC344" s="536"/>
      <c r="DD344" s="541">
        <f t="shared" si="148"/>
        <v>0</v>
      </c>
      <c r="DE344" s="536"/>
      <c r="DF344" s="536"/>
      <c r="DG344" s="536"/>
      <c r="DH344" s="541">
        <f t="shared" si="149"/>
        <v>0</v>
      </c>
      <c r="DI344" s="536"/>
      <c r="DJ344" s="536"/>
      <c r="DK344" s="536"/>
      <c r="DL344" s="541">
        <f t="shared" si="150"/>
        <v>0</v>
      </c>
      <c r="DM344" s="536"/>
      <c r="DN344" s="536"/>
      <c r="DO344" s="536"/>
      <c r="DP344" s="541">
        <f>IF( SUM((DJ344*(20/100))+(DK344*(30/100))+(DL344*(50/100))) &gt;=9.3,9.5,
IF(AND( SUM((DJ344*(20/100))+(DK344*(30/100))+(DL344*(50/100))) &lt;=9.3, SUM((DJ344*(20/100))+(DK344*(30/100))+(DL344*(50/100))) &gt;=8.8),9,
IF(AND( SUM((DJ344*(20/100))+(DK344*(30/100))+(DL344*(50/100))) &lt;=8.8, SUM((DJ344*(20/100))+(DK344*(30/100))+(DL344*(50/100))) &gt;=8.3),8.5,
IF(AND( SUM((DJ344*(20/100))+(DK344*(30/100))+(DL344*(50/100))) &lt;=8.3, SUM((DJ344*(20/100))+(DK344*(30/100))+(DL344*(50/100))) &gt;=7.8),8,
IF(AND( SUM((DJ344*(20/100))+(DK344*(30/100))+(DL344*(50/100))) &lt;=7.8, SUM((DJ344*(20/100))+(DK344*(30/100))+(DL344*(50/100))) &gt;=7.3),7.5,
IF(AND( SUM((DJ344*(20/100))+(DK344*(30/100))+(DL344*(50/100))) &lt;=7.3, SUM((DJ344*(20/100))+(DK344*(30/100))+(DL344*(50/100))) &gt;=6.8),7,
IF(AND( SUM((DJ344*(20/100))+(DK344*(30/100))+(DL344*(50/100))) &lt;=6.8, SUM((DJ344*(20/100))+(DK344*(30/100))+(DL344*(50/100))) &gt;=6.3),6.5,
IF(AND( SUM((DJ344*(20/100))+(DK344*(30/100))+(DL344*(50/100))) &lt;=6.3, SUM((DJ344*(20/100))+(DK344*(30/100))+(DL344*(50/100))) &gt;=5.8),6,
IF(AND( SUM((DJ344*(20/100))+(DK344*(30/100))+(DL344*(50/100))) &lt;=5.8, SUM((DJ344*(20/100))+(DK344*(30/100))+(DL344*(50/100))) &gt;=5.3),5.5,
IF(AND( SUM((DJ344*(20/100))+(DK344*(30/100))+(DL344*(50/100))) &lt;=5.3, SUM((DJ344*(20/100))+(DK344*(30/100))+(DL344*(50/100))) &gt;=4.8),5,
IF(AND( SUM((DJ344*(20/100))+(DK344*(30/100))+(DL344*(50/100))) &lt;=4.8, SUM((DJ344*(20/100))+(DK344*(30/100))+(DL344*(50/100))) &gt;=4.3),4.5,
IF(AND( SUM((DJ344*(20/100))+(DK344*(30/100))+(DL344*(50/100))) &lt;=4.3, SUM((DJ344*(20/100))+(DK344*(30/100))+(DL344*(50/100))) &gt;=3.8),4,
IF(AND( SUM((DJ344*(20/100))+(DK344*(30/100))+(DL344*(50/100))) &lt;=3.8, SUM((DJ344*(20/100))+(DK344*(30/100))+(DL344*(50/100))) &gt;=3.5),3.5,0)))))))))))))</f>
        <v>0</v>
      </c>
      <c r="DQ344" s="541"/>
      <c r="DR344" s="541"/>
      <c r="DS344" s="541"/>
      <c r="DT344" s="541"/>
      <c r="DU344" s="541"/>
      <c r="DV344" s="541"/>
      <c r="DW344" s="541"/>
      <c r="DX344" s="541"/>
      <c r="DY344" s="541"/>
      <c r="DZ344" s="541"/>
    </row>
    <row r="345" spans="2:130" x14ac:dyDescent="0.25">
      <c r="B345" s="334">
        <v>38</v>
      </c>
      <c r="C345" s="541"/>
      <c r="D345" s="334"/>
      <c r="E345" s="334"/>
      <c r="F345" s="334"/>
      <c r="G345" s="334"/>
      <c r="H345" s="334"/>
      <c r="I345" s="334"/>
      <c r="J345" s="536"/>
      <c r="K345" s="536"/>
      <c r="L345" s="536"/>
      <c r="M345" s="536"/>
      <c r="N345" s="536"/>
      <c r="O345" s="536"/>
      <c r="P345" s="536">
        <f t="shared" si="126"/>
        <v>0</v>
      </c>
      <c r="Q345" s="536"/>
      <c r="R345" s="536"/>
      <c r="S345" s="536"/>
      <c r="T345" s="536">
        <f t="shared" si="127"/>
        <v>0</v>
      </c>
      <c r="U345" s="536"/>
      <c r="V345" s="536"/>
      <c r="W345" s="536"/>
      <c r="X345" s="536">
        <f t="shared" si="128"/>
        <v>0</v>
      </c>
      <c r="Y345" s="536"/>
      <c r="Z345" s="536"/>
      <c r="AA345" s="536"/>
      <c r="AB345" s="536">
        <f t="shared" si="129"/>
        <v>0</v>
      </c>
      <c r="AC345" s="536"/>
      <c r="AD345" s="536"/>
      <c r="AE345" s="536"/>
      <c r="AF345" s="536">
        <f t="shared" si="130"/>
        <v>0</v>
      </c>
      <c r="AG345" s="536"/>
      <c r="AH345" s="536"/>
      <c r="AI345" s="536"/>
      <c r="AJ345" s="536">
        <f t="shared" si="131"/>
        <v>0</v>
      </c>
      <c r="AK345" s="536"/>
      <c r="AL345" s="536"/>
      <c r="AM345" s="536"/>
      <c r="AN345" s="542">
        <f t="shared" si="132"/>
        <v>0</v>
      </c>
      <c r="AO345" s="536"/>
      <c r="AP345" s="536"/>
      <c r="AQ345" s="536"/>
      <c r="AR345" s="542">
        <f t="shared" si="133"/>
        <v>0</v>
      </c>
      <c r="AS345" s="536"/>
      <c r="AT345" s="536"/>
      <c r="AU345" s="536"/>
      <c r="AV345" s="542">
        <f t="shared" si="134"/>
        <v>0</v>
      </c>
      <c r="AW345" s="536"/>
      <c r="AX345" s="536"/>
      <c r="AY345" s="536"/>
      <c r="AZ345" s="542">
        <f t="shared" si="135"/>
        <v>0</v>
      </c>
      <c r="BA345" s="536"/>
      <c r="BB345" s="536"/>
      <c r="BC345" s="536"/>
      <c r="BD345" s="542">
        <f t="shared" si="136"/>
        <v>0</v>
      </c>
      <c r="BE345" s="536"/>
      <c r="BF345" s="536"/>
      <c r="BG345" s="536"/>
      <c r="BH345" s="542">
        <f t="shared" si="137"/>
        <v>0</v>
      </c>
      <c r="BI345" s="536"/>
      <c r="BJ345" s="536"/>
      <c r="BK345" s="536"/>
      <c r="BL345" s="542">
        <f t="shared" si="138"/>
        <v>0</v>
      </c>
      <c r="BM345" s="536"/>
      <c r="BN345" s="536"/>
      <c r="BO345" s="536"/>
      <c r="BP345" s="542">
        <f t="shared" si="139"/>
        <v>0</v>
      </c>
      <c r="BQ345" s="536"/>
      <c r="BR345" s="536"/>
      <c r="BS345" s="536"/>
      <c r="BT345" s="542">
        <f t="shared" si="140"/>
        <v>0</v>
      </c>
      <c r="BU345" s="536"/>
      <c r="BV345" s="536"/>
      <c r="BW345" s="536"/>
      <c r="BX345" s="542">
        <f t="shared" si="141"/>
        <v>0</v>
      </c>
      <c r="BY345" s="536"/>
      <c r="BZ345" s="536"/>
      <c r="CA345" s="536"/>
      <c r="CB345" s="542">
        <v>0</v>
      </c>
      <c r="CC345" s="536"/>
      <c r="CD345" s="536"/>
      <c r="CE345" s="536"/>
      <c r="CF345" s="541">
        <f t="shared" si="142"/>
        <v>0</v>
      </c>
      <c r="CG345" s="536"/>
      <c r="CH345" s="536"/>
      <c r="CI345" s="536"/>
      <c r="CJ345" s="541">
        <f t="shared" si="143"/>
        <v>0</v>
      </c>
      <c r="CK345" s="536"/>
      <c r="CL345" s="536"/>
      <c r="CM345" s="536"/>
      <c r="CN345" s="541">
        <f t="shared" si="144"/>
        <v>0</v>
      </c>
      <c r="CO345" s="536"/>
      <c r="CP345" s="536"/>
      <c r="CQ345" s="536"/>
      <c r="CR345" s="541">
        <f t="shared" si="145"/>
        <v>0</v>
      </c>
      <c r="CS345" s="536"/>
      <c r="CT345" s="536"/>
      <c r="CU345" s="536"/>
      <c r="CV345" s="541">
        <f t="shared" si="146"/>
        <v>0</v>
      </c>
      <c r="CW345" s="536"/>
      <c r="CX345" s="536"/>
      <c r="CY345" s="536"/>
      <c r="CZ345" s="541">
        <f t="shared" si="147"/>
        <v>0</v>
      </c>
      <c r="DA345" s="536"/>
      <c r="DB345" s="536"/>
      <c r="DC345" s="536"/>
      <c r="DD345" s="541">
        <f t="shared" si="148"/>
        <v>0</v>
      </c>
      <c r="DE345" s="536"/>
      <c r="DF345" s="536"/>
      <c r="DG345" s="536"/>
      <c r="DH345" s="541">
        <f t="shared" si="149"/>
        <v>0</v>
      </c>
      <c r="DI345" s="536"/>
      <c r="DJ345" s="536"/>
      <c r="DK345" s="536"/>
      <c r="DL345" s="541">
        <f t="shared" si="150"/>
        <v>0</v>
      </c>
      <c r="DM345" s="536"/>
      <c r="DN345" s="536"/>
      <c r="DO345" s="536"/>
      <c r="DP345" s="541">
        <f>IF( SUM((DJ345*(20/100))+(DK345*(30/100))+(DL345*(50/100))) &gt;=9.3,9.5,
IF(AND( SUM((DJ345*(20/100))+(DK345*(30/100))+(DL345*(50/100))) &lt;=9.3, SUM((DJ345*(20/100))+(DK345*(30/100))+(DL345*(50/100))) &gt;=8.8),9,
IF(AND( SUM((DJ345*(20/100))+(DK345*(30/100))+(DL345*(50/100))) &lt;=8.8, SUM((DJ345*(20/100))+(DK345*(30/100))+(DL345*(50/100))) &gt;=8.3),8.5,
IF(AND( SUM((DJ345*(20/100))+(DK345*(30/100))+(DL345*(50/100))) &lt;=8.3, SUM((DJ345*(20/100))+(DK345*(30/100))+(DL345*(50/100))) &gt;=7.8),8,
IF(AND( SUM((DJ345*(20/100))+(DK345*(30/100))+(DL345*(50/100))) &lt;=7.8, SUM((DJ345*(20/100))+(DK345*(30/100))+(DL345*(50/100))) &gt;=7.3),7.5,
IF(AND( SUM((DJ345*(20/100))+(DK345*(30/100))+(DL345*(50/100))) &lt;=7.3, SUM((DJ345*(20/100))+(DK345*(30/100))+(DL345*(50/100))) &gt;=6.8),7,
IF(AND( SUM((DJ345*(20/100))+(DK345*(30/100))+(DL345*(50/100))) &lt;=6.8, SUM((DJ345*(20/100))+(DK345*(30/100))+(DL345*(50/100))) &gt;=6.3),6.5,
IF(AND( SUM((DJ345*(20/100))+(DK345*(30/100))+(DL345*(50/100))) &lt;=6.3, SUM((DJ345*(20/100))+(DK345*(30/100))+(DL345*(50/100))) &gt;=5.8),6,
IF(AND( SUM((DJ345*(20/100))+(DK345*(30/100))+(DL345*(50/100))) &lt;=5.8, SUM((DJ345*(20/100))+(DK345*(30/100))+(DL345*(50/100))) &gt;=5.3),5.5,
IF(AND( SUM((DJ345*(20/100))+(DK345*(30/100))+(DL345*(50/100))) &lt;=5.3, SUM((DJ345*(20/100))+(DK345*(30/100))+(DL345*(50/100))) &gt;=4.8),5,
IF(AND( SUM((DJ345*(20/100))+(DK345*(30/100))+(DL345*(50/100))) &lt;=4.8, SUM((DJ345*(20/100))+(DK345*(30/100))+(DL345*(50/100))) &gt;=4.3),4.5,
IF(AND( SUM((DJ345*(20/100))+(DK345*(30/100))+(DL345*(50/100))) &lt;=4.3, SUM((DJ345*(20/100))+(DK345*(30/100))+(DL345*(50/100))) &gt;=3.8),4,
IF(AND( SUM((DJ345*(20/100))+(DK345*(30/100))+(DL345*(50/100))) &lt;=3.8, SUM((DJ345*(20/100))+(DK345*(30/100))+(DL345*(50/100))) &gt;=3.5),3.5,0)))))))))))))</f>
        <v>0</v>
      </c>
      <c r="DQ345" s="541"/>
      <c r="DR345" s="541"/>
      <c r="DS345" s="541"/>
      <c r="DT345" s="541"/>
      <c r="DU345" s="541"/>
      <c r="DV345" s="541"/>
      <c r="DW345" s="541"/>
      <c r="DX345" s="541"/>
      <c r="DY345" s="541"/>
      <c r="DZ345" s="541"/>
    </row>
    <row r="346" spans="2:130" x14ac:dyDescent="0.25">
      <c r="B346" s="334">
        <v>39</v>
      </c>
      <c r="C346" s="541"/>
      <c r="D346" s="334"/>
      <c r="E346" s="334"/>
      <c r="F346" s="334"/>
      <c r="G346" s="334"/>
      <c r="H346" s="334"/>
      <c r="I346" s="334"/>
      <c r="J346" s="536"/>
      <c r="K346" s="536"/>
      <c r="L346" s="536"/>
      <c r="M346" s="536"/>
      <c r="N346" s="536"/>
      <c r="O346" s="536"/>
      <c r="P346" s="536">
        <f t="shared" si="126"/>
        <v>0</v>
      </c>
      <c r="Q346" s="536"/>
      <c r="R346" s="536"/>
      <c r="S346" s="536"/>
      <c r="T346" s="536">
        <f t="shared" si="127"/>
        <v>0</v>
      </c>
      <c r="U346" s="536"/>
      <c r="V346" s="536"/>
      <c r="W346" s="536"/>
      <c r="X346" s="536">
        <f t="shared" si="128"/>
        <v>0</v>
      </c>
      <c r="Y346" s="536"/>
      <c r="Z346" s="536"/>
      <c r="AA346" s="536"/>
      <c r="AB346" s="536">
        <f t="shared" si="129"/>
        <v>0</v>
      </c>
      <c r="AC346" s="536"/>
      <c r="AD346" s="536"/>
      <c r="AE346" s="536"/>
      <c r="AF346" s="536">
        <f t="shared" si="130"/>
        <v>0</v>
      </c>
      <c r="AG346" s="536"/>
      <c r="AH346" s="536"/>
      <c r="AI346" s="536"/>
      <c r="AJ346" s="536">
        <f t="shared" si="131"/>
        <v>0</v>
      </c>
      <c r="AK346" s="536"/>
      <c r="AL346" s="536"/>
      <c r="AM346" s="536"/>
      <c r="AN346" s="542">
        <f t="shared" si="132"/>
        <v>0</v>
      </c>
      <c r="AO346" s="536"/>
      <c r="AP346" s="536"/>
      <c r="AQ346" s="536"/>
      <c r="AR346" s="542">
        <f t="shared" si="133"/>
        <v>0</v>
      </c>
      <c r="AS346" s="536"/>
      <c r="AT346" s="536"/>
      <c r="AU346" s="536"/>
      <c r="AV346" s="542">
        <f t="shared" si="134"/>
        <v>0</v>
      </c>
      <c r="AW346" s="536"/>
      <c r="AX346" s="536"/>
      <c r="AY346" s="536"/>
      <c r="AZ346" s="542">
        <f t="shared" si="135"/>
        <v>0</v>
      </c>
      <c r="BA346" s="536"/>
      <c r="BB346" s="536"/>
      <c r="BC346" s="536"/>
      <c r="BD346" s="542">
        <f t="shared" si="136"/>
        <v>0</v>
      </c>
      <c r="BE346" s="536"/>
      <c r="BF346" s="536"/>
      <c r="BG346" s="536"/>
      <c r="BH346" s="542">
        <f t="shared" si="137"/>
        <v>0</v>
      </c>
      <c r="BI346" s="536"/>
      <c r="BJ346" s="536"/>
      <c r="BK346" s="536"/>
      <c r="BL346" s="542">
        <f t="shared" si="138"/>
        <v>0</v>
      </c>
      <c r="BM346" s="536"/>
      <c r="BN346" s="536"/>
      <c r="BO346" s="536"/>
      <c r="BP346" s="542">
        <f t="shared" si="139"/>
        <v>0</v>
      </c>
      <c r="BQ346" s="536"/>
      <c r="BR346" s="536"/>
      <c r="BS346" s="536"/>
      <c r="BT346" s="542">
        <f t="shared" si="140"/>
        <v>0</v>
      </c>
      <c r="BU346" s="536"/>
      <c r="BV346" s="536"/>
      <c r="BW346" s="536"/>
      <c r="BX346" s="542">
        <f t="shared" si="141"/>
        <v>0</v>
      </c>
      <c r="BY346" s="536"/>
      <c r="BZ346" s="536"/>
      <c r="CA346" s="536"/>
      <c r="CB346" s="542">
        <v>0</v>
      </c>
      <c r="CC346" s="536"/>
      <c r="CD346" s="536"/>
      <c r="CE346" s="536"/>
      <c r="CF346" s="541">
        <f t="shared" si="142"/>
        <v>0</v>
      </c>
      <c r="CG346" s="536"/>
      <c r="CH346" s="536"/>
      <c r="CI346" s="536"/>
      <c r="CJ346" s="541">
        <f t="shared" si="143"/>
        <v>0</v>
      </c>
      <c r="CK346" s="536"/>
      <c r="CL346" s="536"/>
      <c r="CM346" s="536"/>
      <c r="CN346" s="541">
        <f t="shared" si="144"/>
        <v>0</v>
      </c>
      <c r="CO346" s="536"/>
      <c r="CP346" s="536"/>
      <c r="CQ346" s="536"/>
      <c r="CR346" s="541">
        <f t="shared" si="145"/>
        <v>0</v>
      </c>
      <c r="CS346" s="536"/>
      <c r="CT346" s="536"/>
      <c r="CU346" s="536"/>
      <c r="CV346" s="541">
        <f t="shared" si="146"/>
        <v>0</v>
      </c>
      <c r="CW346" s="536"/>
      <c r="CX346" s="536"/>
      <c r="CY346" s="536"/>
      <c r="CZ346" s="541">
        <f t="shared" si="147"/>
        <v>0</v>
      </c>
      <c r="DA346" s="536"/>
      <c r="DB346" s="536"/>
      <c r="DC346" s="536"/>
      <c r="DD346" s="541">
        <f t="shared" si="148"/>
        <v>0</v>
      </c>
      <c r="DE346" s="536"/>
      <c r="DF346" s="536"/>
      <c r="DG346" s="536"/>
      <c r="DH346" s="541">
        <f t="shared" si="149"/>
        <v>0</v>
      </c>
      <c r="DI346" s="536"/>
      <c r="DJ346" s="536"/>
      <c r="DK346" s="536"/>
      <c r="DL346" s="541">
        <f t="shared" si="150"/>
        <v>0</v>
      </c>
      <c r="DM346" s="536"/>
      <c r="DN346" s="536"/>
      <c r="DO346" s="536"/>
      <c r="DP346" s="541">
        <f>IF( SUM((DJ346*(20/100))+(DK346*(30/100))+(DL346*(50/100))) &gt;=9.3,9.5,
IF(AND( SUM((DJ346*(20/100))+(DK346*(30/100))+(DL346*(50/100))) &lt;=9.3, SUM((DJ346*(20/100))+(DK346*(30/100))+(DL346*(50/100))) &gt;=8.8),9,
IF(AND( SUM((DJ346*(20/100))+(DK346*(30/100))+(DL346*(50/100))) &lt;=8.8, SUM((DJ346*(20/100))+(DK346*(30/100))+(DL346*(50/100))) &gt;=8.3),8.5,
IF(AND( SUM((DJ346*(20/100))+(DK346*(30/100))+(DL346*(50/100))) &lt;=8.3, SUM((DJ346*(20/100))+(DK346*(30/100))+(DL346*(50/100))) &gt;=7.8),8,
IF(AND( SUM((DJ346*(20/100))+(DK346*(30/100))+(DL346*(50/100))) &lt;=7.8, SUM((DJ346*(20/100))+(DK346*(30/100))+(DL346*(50/100))) &gt;=7.3),7.5,
IF(AND( SUM((DJ346*(20/100))+(DK346*(30/100))+(DL346*(50/100))) &lt;=7.3, SUM((DJ346*(20/100))+(DK346*(30/100))+(DL346*(50/100))) &gt;=6.8),7,
IF(AND( SUM((DJ346*(20/100))+(DK346*(30/100))+(DL346*(50/100))) &lt;=6.8, SUM((DJ346*(20/100))+(DK346*(30/100))+(DL346*(50/100))) &gt;=6.3),6.5,
IF(AND( SUM((DJ346*(20/100))+(DK346*(30/100))+(DL346*(50/100))) &lt;=6.3, SUM((DJ346*(20/100))+(DK346*(30/100))+(DL346*(50/100))) &gt;=5.8),6,
IF(AND( SUM((DJ346*(20/100))+(DK346*(30/100))+(DL346*(50/100))) &lt;=5.8, SUM((DJ346*(20/100))+(DK346*(30/100))+(DL346*(50/100))) &gt;=5.3),5.5,
IF(AND( SUM((DJ346*(20/100))+(DK346*(30/100))+(DL346*(50/100))) &lt;=5.3, SUM((DJ346*(20/100))+(DK346*(30/100))+(DL346*(50/100))) &gt;=4.8),5,
IF(AND( SUM((DJ346*(20/100))+(DK346*(30/100))+(DL346*(50/100))) &lt;=4.8, SUM((DJ346*(20/100))+(DK346*(30/100))+(DL346*(50/100))) &gt;=4.3),4.5,
IF(AND( SUM((DJ346*(20/100))+(DK346*(30/100))+(DL346*(50/100))) &lt;=4.3, SUM((DJ346*(20/100))+(DK346*(30/100))+(DL346*(50/100))) &gt;=3.8),4,
IF(AND( SUM((DJ346*(20/100))+(DK346*(30/100))+(DL346*(50/100))) &lt;=3.8, SUM((DJ346*(20/100))+(DK346*(30/100))+(DL346*(50/100))) &gt;=3.5),3.5,0)))))))))))))</f>
        <v>0</v>
      </c>
      <c r="DQ346" s="541"/>
      <c r="DR346" s="541"/>
      <c r="DS346" s="541"/>
      <c r="DT346" s="541"/>
      <c r="DU346" s="541"/>
      <c r="DV346" s="541"/>
      <c r="DW346" s="541"/>
      <c r="DX346" s="541"/>
      <c r="DY346" s="541"/>
      <c r="DZ346" s="541"/>
    </row>
    <row r="347" spans="2:130" x14ac:dyDescent="0.25">
      <c r="B347" s="334">
        <v>40</v>
      </c>
      <c r="C347" s="541"/>
      <c r="D347" s="334"/>
      <c r="E347" s="334"/>
      <c r="F347" s="334"/>
      <c r="G347" s="334"/>
      <c r="H347" s="334"/>
      <c r="I347" s="334"/>
      <c r="J347" s="536"/>
      <c r="K347" s="536"/>
      <c r="L347" s="536"/>
      <c r="M347" s="536"/>
      <c r="N347" s="536"/>
      <c r="O347" s="536"/>
      <c r="P347" s="536">
        <f t="shared" si="126"/>
        <v>0</v>
      </c>
      <c r="Q347" s="536"/>
      <c r="R347" s="536"/>
      <c r="S347" s="536"/>
      <c r="T347" s="536">
        <f t="shared" si="127"/>
        <v>0</v>
      </c>
      <c r="U347" s="536"/>
      <c r="V347" s="536"/>
      <c r="W347" s="536"/>
      <c r="X347" s="536">
        <f t="shared" si="128"/>
        <v>0</v>
      </c>
      <c r="Y347" s="536"/>
      <c r="Z347" s="536"/>
      <c r="AA347" s="536"/>
      <c r="AB347" s="536">
        <f t="shared" si="129"/>
        <v>0</v>
      </c>
      <c r="AC347" s="536"/>
      <c r="AD347" s="536"/>
      <c r="AE347" s="536"/>
      <c r="AF347" s="536">
        <f t="shared" si="130"/>
        <v>0</v>
      </c>
      <c r="AG347" s="536"/>
      <c r="AH347" s="536"/>
      <c r="AI347" s="536"/>
      <c r="AJ347" s="536">
        <f t="shared" si="131"/>
        <v>0</v>
      </c>
      <c r="AK347" s="536"/>
      <c r="AL347" s="536"/>
      <c r="AM347" s="536"/>
      <c r="AN347" s="542">
        <f t="shared" si="132"/>
        <v>0</v>
      </c>
      <c r="AO347" s="536"/>
      <c r="AP347" s="536"/>
      <c r="AQ347" s="536"/>
      <c r="AR347" s="542">
        <f t="shared" si="133"/>
        <v>0</v>
      </c>
      <c r="AS347" s="536"/>
      <c r="AT347" s="536"/>
      <c r="AU347" s="536"/>
      <c r="AV347" s="542">
        <f t="shared" si="134"/>
        <v>0</v>
      </c>
      <c r="AW347" s="536"/>
      <c r="AX347" s="536"/>
      <c r="AY347" s="536"/>
      <c r="AZ347" s="542">
        <f t="shared" si="135"/>
        <v>0</v>
      </c>
      <c r="BA347" s="536"/>
      <c r="BB347" s="536"/>
      <c r="BC347" s="536"/>
      <c r="BD347" s="542">
        <f t="shared" si="136"/>
        <v>0</v>
      </c>
      <c r="BE347" s="536"/>
      <c r="BF347" s="536"/>
      <c r="BG347" s="536"/>
      <c r="BH347" s="542">
        <f t="shared" si="137"/>
        <v>0</v>
      </c>
      <c r="BI347" s="536"/>
      <c r="BJ347" s="536"/>
      <c r="BK347" s="536"/>
      <c r="BL347" s="542">
        <f t="shared" si="138"/>
        <v>0</v>
      </c>
      <c r="BM347" s="536"/>
      <c r="BN347" s="536"/>
      <c r="BO347" s="536"/>
      <c r="BP347" s="542">
        <f t="shared" si="139"/>
        <v>0</v>
      </c>
      <c r="BQ347" s="536"/>
      <c r="BR347" s="536"/>
      <c r="BS347" s="536"/>
      <c r="BT347" s="542">
        <f t="shared" si="140"/>
        <v>0</v>
      </c>
      <c r="BU347" s="536"/>
      <c r="BV347" s="536"/>
      <c r="BW347" s="536"/>
      <c r="BX347" s="542">
        <f t="shared" si="141"/>
        <v>0</v>
      </c>
      <c r="BY347" s="536"/>
      <c r="BZ347" s="536"/>
      <c r="CA347" s="536"/>
      <c r="CB347" s="542">
        <v>0</v>
      </c>
      <c r="CC347" s="536"/>
      <c r="CD347" s="536"/>
      <c r="CE347" s="536"/>
      <c r="CF347" s="541">
        <f t="shared" si="142"/>
        <v>0</v>
      </c>
      <c r="CG347" s="536"/>
      <c r="CH347" s="536"/>
      <c r="CI347" s="536"/>
      <c r="CJ347" s="541">
        <f t="shared" si="143"/>
        <v>0</v>
      </c>
      <c r="CK347" s="536"/>
      <c r="CL347" s="536"/>
      <c r="CM347" s="536"/>
      <c r="CN347" s="541">
        <f t="shared" si="144"/>
        <v>0</v>
      </c>
      <c r="CO347" s="536"/>
      <c r="CP347" s="536"/>
      <c r="CQ347" s="536"/>
      <c r="CR347" s="541">
        <f t="shared" si="145"/>
        <v>0</v>
      </c>
      <c r="CS347" s="536"/>
      <c r="CT347" s="536"/>
      <c r="CU347" s="536"/>
      <c r="CV347" s="541">
        <f t="shared" si="146"/>
        <v>0</v>
      </c>
      <c r="CW347" s="536"/>
      <c r="CX347" s="536"/>
      <c r="CY347" s="536"/>
      <c r="CZ347" s="541">
        <f t="shared" si="147"/>
        <v>0</v>
      </c>
      <c r="DA347" s="536"/>
      <c r="DB347" s="536"/>
      <c r="DC347" s="536"/>
      <c r="DD347" s="541">
        <f t="shared" si="148"/>
        <v>0</v>
      </c>
      <c r="DE347" s="536"/>
      <c r="DF347" s="536"/>
      <c r="DG347" s="536"/>
      <c r="DH347" s="541">
        <f t="shared" si="149"/>
        <v>0</v>
      </c>
      <c r="DI347" s="536"/>
      <c r="DJ347" s="536"/>
      <c r="DK347" s="536"/>
      <c r="DL347" s="541">
        <f t="shared" si="150"/>
        <v>0</v>
      </c>
      <c r="DM347" s="536"/>
      <c r="DN347" s="536"/>
      <c r="DO347" s="536"/>
      <c r="DP347" s="541">
        <f>IF( SUM((DJ347*(20/100))+(DK347*(30/100))+(DL347*(50/100))) &gt;=9.3,9.5,
IF(AND( SUM((DJ347*(20/100))+(DK347*(30/100))+(DL347*(50/100))) &lt;=9.3, SUM((DJ347*(20/100))+(DK347*(30/100))+(DL347*(50/100))) &gt;=8.8),9,
IF(AND( SUM((DJ347*(20/100))+(DK347*(30/100))+(DL347*(50/100))) &lt;=8.8, SUM((DJ347*(20/100))+(DK347*(30/100))+(DL347*(50/100))) &gt;=8.3),8.5,
IF(AND( SUM((DJ347*(20/100))+(DK347*(30/100))+(DL347*(50/100))) &lt;=8.3, SUM((DJ347*(20/100))+(DK347*(30/100))+(DL347*(50/100))) &gt;=7.8),8,
IF(AND( SUM((DJ347*(20/100))+(DK347*(30/100))+(DL347*(50/100))) &lt;=7.8, SUM((DJ347*(20/100))+(DK347*(30/100))+(DL347*(50/100))) &gt;=7.3),7.5,
IF(AND( SUM((DJ347*(20/100))+(DK347*(30/100))+(DL347*(50/100))) &lt;=7.3, SUM((DJ347*(20/100))+(DK347*(30/100))+(DL347*(50/100))) &gt;=6.8),7,
IF(AND( SUM((DJ347*(20/100))+(DK347*(30/100))+(DL347*(50/100))) &lt;=6.8, SUM((DJ347*(20/100))+(DK347*(30/100))+(DL347*(50/100))) &gt;=6.3),6.5,
IF(AND( SUM((DJ347*(20/100))+(DK347*(30/100))+(DL347*(50/100))) &lt;=6.3, SUM((DJ347*(20/100))+(DK347*(30/100))+(DL347*(50/100))) &gt;=5.8),6,
IF(AND( SUM((DJ347*(20/100))+(DK347*(30/100))+(DL347*(50/100))) &lt;=5.8, SUM((DJ347*(20/100))+(DK347*(30/100))+(DL347*(50/100))) &gt;=5.3),5.5,
IF(AND( SUM((DJ347*(20/100))+(DK347*(30/100))+(DL347*(50/100))) &lt;=5.3, SUM((DJ347*(20/100))+(DK347*(30/100))+(DL347*(50/100))) &gt;=4.8),5,
IF(AND( SUM((DJ347*(20/100))+(DK347*(30/100))+(DL347*(50/100))) &lt;=4.8, SUM((DJ347*(20/100))+(DK347*(30/100))+(DL347*(50/100))) &gt;=4.3),4.5,
IF(AND( SUM((DJ347*(20/100))+(DK347*(30/100))+(DL347*(50/100))) &lt;=4.3, SUM((DJ347*(20/100))+(DK347*(30/100))+(DL347*(50/100))) &gt;=3.8),4,
IF(AND( SUM((DJ347*(20/100))+(DK347*(30/100))+(DL347*(50/100))) &lt;=3.8, SUM((DJ347*(20/100))+(DK347*(30/100))+(DL347*(50/100))) &gt;=3.5),3.5,0)))))))))))))</f>
        <v>0</v>
      </c>
      <c r="DQ347" s="541"/>
      <c r="DR347" s="541"/>
      <c r="DS347" s="541"/>
      <c r="DT347" s="541"/>
      <c r="DU347" s="541"/>
      <c r="DV347" s="541"/>
      <c r="DW347" s="541"/>
      <c r="DX347" s="541"/>
      <c r="DY347" s="541"/>
      <c r="DZ347" s="541"/>
    </row>
    <row r="348" spans="2:130" x14ac:dyDescent="0.25">
      <c r="B348" s="334">
        <v>41</v>
      </c>
      <c r="C348" s="541"/>
      <c r="D348" s="334"/>
      <c r="E348" s="334"/>
      <c r="F348" s="334"/>
      <c r="G348" s="334"/>
      <c r="H348" s="334"/>
      <c r="I348" s="334"/>
      <c r="J348" s="536"/>
      <c r="K348" s="536"/>
      <c r="L348" s="536"/>
      <c r="M348" s="536"/>
      <c r="N348" s="536"/>
      <c r="O348" s="536"/>
      <c r="P348" s="536">
        <f t="shared" si="126"/>
        <v>0</v>
      </c>
      <c r="Q348" s="536"/>
      <c r="R348" s="536"/>
      <c r="S348" s="536"/>
      <c r="T348" s="536">
        <f t="shared" si="127"/>
        <v>0</v>
      </c>
      <c r="U348" s="536"/>
      <c r="V348" s="536"/>
      <c r="W348" s="536"/>
      <c r="X348" s="536">
        <f t="shared" si="128"/>
        <v>0</v>
      </c>
      <c r="Y348" s="536"/>
      <c r="Z348" s="536"/>
      <c r="AA348" s="536"/>
      <c r="AB348" s="536">
        <f t="shared" si="129"/>
        <v>0</v>
      </c>
      <c r="AC348" s="536"/>
      <c r="AD348" s="536"/>
      <c r="AE348" s="536"/>
      <c r="AF348" s="536">
        <f t="shared" si="130"/>
        <v>0</v>
      </c>
      <c r="AG348" s="536"/>
      <c r="AH348" s="536"/>
      <c r="AI348" s="536"/>
      <c r="AJ348" s="536">
        <f t="shared" si="131"/>
        <v>0</v>
      </c>
      <c r="AK348" s="536"/>
      <c r="AL348" s="536"/>
      <c r="AM348" s="536"/>
      <c r="AN348" s="542">
        <f t="shared" si="132"/>
        <v>0</v>
      </c>
      <c r="AO348" s="536"/>
      <c r="AP348" s="536"/>
      <c r="AQ348" s="536"/>
      <c r="AR348" s="542">
        <f t="shared" si="133"/>
        <v>0</v>
      </c>
      <c r="AS348" s="536"/>
      <c r="AT348" s="536"/>
      <c r="AU348" s="536"/>
      <c r="AV348" s="542">
        <f t="shared" si="134"/>
        <v>0</v>
      </c>
      <c r="AW348" s="536"/>
      <c r="AX348" s="536"/>
      <c r="AY348" s="536"/>
      <c r="AZ348" s="542">
        <f t="shared" si="135"/>
        <v>0</v>
      </c>
      <c r="BA348" s="536"/>
      <c r="BB348" s="536"/>
      <c r="BC348" s="536"/>
      <c r="BD348" s="542">
        <f t="shared" si="136"/>
        <v>0</v>
      </c>
      <c r="BE348" s="536"/>
      <c r="BF348" s="536"/>
      <c r="BG348" s="536"/>
      <c r="BH348" s="542">
        <f t="shared" si="137"/>
        <v>0</v>
      </c>
      <c r="BI348" s="536"/>
      <c r="BJ348" s="536"/>
      <c r="BK348" s="536"/>
      <c r="BL348" s="542">
        <f t="shared" si="138"/>
        <v>0</v>
      </c>
      <c r="BM348" s="536"/>
      <c r="BN348" s="536"/>
      <c r="BO348" s="536"/>
      <c r="BP348" s="542">
        <f t="shared" si="139"/>
        <v>0</v>
      </c>
      <c r="BQ348" s="536"/>
      <c r="BR348" s="536"/>
      <c r="BS348" s="536"/>
      <c r="BT348" s="542">
        <f t="shared" si="140"/>
        <v>0</v>
      </c>
      <c r="BU348" s="536"/>
      <c r="BV348" s="536"/>
      <c r="BW348" s="536"/>
      <c r="BX348" s="542">
        <f t="shared" si="141"/>
        <v>0</v>
      </c>
      <c r="BY348" s="536"/>
      <c r="BZ348" s="536"/>
      <c r="CA348" s="536"/>
      <c r="CB348" s="542">
        <v>0</v>
      </c>
      <c r="CC348" s="536"/>
      <c r="CD348" s="536"/>
      <c r="CE348" s="536"/>
      <c r="CF348" s="541">
        <f t="shared" si="142"/>
        <v>0</v>
      </c>
      <c r="CG348" s="536"/>
      <c r="CH348" s="536"/>
      <c r="CI348" s="536"/>
      <c r="CJ348" s="541">
        <f t="shared" si="143"/>
        <v>0</v>
      </c>
      <c r="CK348" s="536"/>
      <c r="CL348" s="536"/>
      <c r="CM348" s="536"/>
      <c r="CN348" s="541">
        <f t="shared" si="144"/>
        <v>0</v>
      </c>
      <c r="CO348" s="536"/>
      <c r="CP348" s="536"/>
      <c r="CQ348" s="536"/>
      <c r="CR348" s="541">
        <f t="shared" si="145"/>
        <v>0</v>
      </c>
      <c r="CS348" s="536"/>
      <c r="CT348" s="536"/>
      <c r="CU348" s="536"/>
      <c r="CV348" s="541">
        <f t="shared" si="146"/>
        <v>0</v>
      </c>
      <c r="CW348" s="536"/>
      <c r="CX348" s="536"/>
      <c r="CY348" s="536"/>
      <c r="CZ348" s="541">
        <f t="shared" si="147"/>
        <v>0</v>
      </c>
      <c r="DA348" s="536"/>
      <c r="DB348" s="536"/>
      <c r="DC348" s="536"/>
      <c r="DD348" s="541">
        <f t="shared" si="148"/>
        <v>0</v>
      </c>
      <c r="DE348" s="536"/>
      <c r="DF348" s="536"/>
      <c r="DG348" s="536"/>
      <c r="DH348" s="541">
        <f t="shared" si="149"/>
        <v>0</v>
      </c>
      <c r="DI348" s="536"/>
      <c r="DJ348" s="536"/>
      <c r="DK348" s="536"/>
      <c r="DL348" s="541">
        <f t="shared" si="150"/>
        <v>0</v>
      </c>
      <c r="DM348" s="536"/>
      <c r="DN348" s="536"/>
      <c r="DO348" s="536"/>
      <c r="DP348" s="541">
        <f>IF( SUM((DJ348*(20/100))+(DK348*(30/100))+(DL348*(50/100))) &gt;=9.3,9.5,
IF(AND( SUM((DJ348*(20/100))+(DK348*(30/100))+(DL348*(50/100))) &lt;=9.3, SUM((DJ348*(20/100))+(DK348*(30/100))+(DL348*(50/100))) &gt;=8.8),9,
IF(AND( SUM((DJ348*(20/100))+(DK348*(30/100))+(DL348*(50/100))) &lt;=8.8, SUM((DJ348*(20/100))+(DK348*(30/100))+(DL348*(50/100))) &gt;=8.3),8.5,
IF(AND( SUM((DJ348*(20/100))+(DK348*(30/100))+(DL348*(50/100))) &lt;=8.3, SUM((DJ348*(20/100))+(DK348*(30/100))+(DL348*(50/100))) &gt;=7.8),8,
IF(AND( SUM((DJ348*(20/100))+(DK348*(30/100))+(DL348*(50/100))) &lt;=7.8, SUM((DJ348*(20/100))+(DK348*(30/100))+(DL348*(50/100))) &gt;=7.3),7.5,
IF(AND( SUM((DJ348*(20/100))+(DK348*(30/100))+(DL348*(50/100))) &lt;=7.3, SUM((DJ348*(20/100))+(DK348*(30/100))+(DL348*(50/100))) &gt;=6.8),7,
IF(AND( SUM((DJ348*(20/100))+(DK348*(30/100))+(DL348*(50/100))) &lt;=6.8, SUM((DJ348*(20/100))+(DK348*(30/100))+(DL348*(50/100))) &gt;=6.3),6.5,
IF(AND( SUM((DJ348*(20/100))+(DK348*(30/100))+(DL348*(50/100))) &lt;=6.3, SUM((DJ348*(20/100))+(DK348*(30/100))+(DL348*(50/100))) &gt;=5.8),6,
IF(AND( SUM((DJ348*(20/100))+(DK348*(30/100))+(DL348*(50/100))) &lt;=5.8, SUM((DJ348*(20/100))+(DK348*(30/100))+(DL348*(50/100))) &gt;=5.3),5.5,
IF(AND( SUM((DJ348*(20/100))+(DK348*(30/100))+(DL348*(50/100))) &lt;=5.3, SUM((DJ348*(20/100))+(DK348*(30/100))+(DL348*(50/100))) &gt;=4.8),5,
IF(AND( SUM((DJ348*(20/100))+(DK348*(30/100))+(DL348*(50/100))) &lt;=4.8, SUM((DJ348*(20/100))+(DK348*(30/100))+(DL348*(50/100))) &gt;=4.3),4.5,
IF(AND( SUM((DJ348*(20/100))+(DK348*(30/100))+(DL348*(50/100))) &lt;=4.3, SUM((DJ348*(20/100))+(DK348*(30/100))+(DL348*(50/100))) &gt;=3.8),4,
IF(AND( SUM((DJ348*(20/100))+(DK348*(30/100))+(DL348*(50/100))) &lt;=3.8, SUM((DJ348*(20/100))+(DK348*(30/100))+(DL348*(50/100))) &gt;=3.5),3.5,0)))))))))))))</f>
        <v>0</v>
      </c>
      <c r="DQ348" s="541"/>
      <c r="DR348" s="541"/>
      <c r="DS348" s="541"/>
      <c r="DT348" s="541"/>
      <c r="DU348" s="541"/>
      <c r="DV348" s="541"/>
      <c r="DW348" s="541"/>
      <c r="DX348" s="541"/>
      <c r="DY348" s="541"/>
      <c r="DZ348" s="541"/>
    </row>
    <row r="349" spans="2:130" x14ac:dyDescent="0.25">
      <c r="B349" s="334">
        <v>42</v>
      </c>
      <c r="C349" s="541"/>
      <c r="D349" s="334"/>
      <c r="E349" s="334"/>
      <c r="F349" s="334"/>
      <c r="G349" s="334"/>
      <c r="H349" s="334"/>
      <c r="I349" s="334"/>
      <c r="J349" s="536"/>
      <c r="K349" s="536"/>
      <c r="L349" s="536"/>
      <c r="M349" s="536"/>
      <c r="N349" s="536"/>
      <c r="O349" s="536"/>
      <c r="P349" s="536">
        <f t="shared" si="126"/>
        <v>0</v>
      </c>
      <c r="Q349" s="536"/>
      <c r="R349" s="536"/>
      <c r="S349" s="536"/>
      <c r="T349" s="536">
        <f t="shared" si="127"/>
        <v>0</v>
      </c>
      <c r="U349" s="536"/>
      <c r="V349" s="536"/>
      <c r="W349" s="536"/>
      <c r="X349" s="536">
        <f t="shared" si="128"/>
        <v>0</v>
      </c>
      <c r="Y349" s="536"/>
      <c r="Z349" s="536"/>
      <c r="AA349" s="536"/>
      <c r="AB349" s="536">
        <f t="shared" si="129"/>
        <v>0</v>
      </c>
      <c r="AC349" s="536"/>
      <c r="AD349" s="536"/>
      <c r="AE349" s="536"/>
      <c r="AF349" s="536">
        <f t="shared" si="130"/>
        <v>0</v>
      </c>
      <c r="AG349" s="536"/>
      <c r="AH349" s="536"/>
      <c r="AI349" s="536"/>
      <c r="AJ349" s="536">
        <f t="shared" si="131"/>
        <v>0</v>
      </c>
      <c r="AK349" s="536"/>
      <c r="AL349" s="536"/>
      <c r="AM349" s="536"/>
      <c r="AN349" s="542">
        <f t="shared" si="132"/>
        <v>0</v>
      </c>
      <c r="AO349" s="536"/>
      <c r="AP349" s="536"/>
      <c r="AQ349" s="536"/>
      <c r="AR349" s="542">
        <f t="shared" si="133"/>
        <v>0</v>
      </c>
      <c r="AS349" s="536"/>
      <c r="AT349" s="536"/>
      <c r="AU349" s="536"/>
      <c r="AV349" s="542">
        <f t="shared" si="134"/>
        <v>0</v>
      </c>
      <c r="AW349" s="536"/>
      <c r="AX349" s="536"/>
      <c r="AY349" s="536"/>
      <c r="AZ349" s="542">
        <f t="shared" si="135"/>
        <v>0</v>
      </c>
      <c r="BA349" s="536"/>
      <c r="BB349" s="536"/>
      <c r="BC349" s="536"/>
      <c r="BD349" s="542">
        <f t="shared" si="136"/>
        <v>0</v>
      </c>
      <c r="BE349" s="536"/>
      <c r="BF349" s="536"/>
      <c r="BG349" s="536"/>
      <c r="BH349" s="542">
        <f t="shared" si="137"/>
        <v>0</v>
      </c>
      <c r="BI349" s="536"/>
      <c r="BJ349" s="536"/>
      <c r="BK349" s="536"/>
      <c r="BL349" s="542">
        <f t="shared" si="138"/>
        <v>0</v>
      </c>
      <c r="BM349" s="536"/>
      <c r="BN349" s="536"/>
      <c r="BO349" s="536"/>
      <c r="BP349" s="542">
        <f t="shared" si="139"/>
        <v>0</v>
      </c>
      <c r="BQ349" s="536"/>
      <c r="BR349" s="536"/>
      <c r="BS349" s="536"/>
      <c r="BT349" s="542">
        <f t="shared" si="140"/>
        <v>0</v>
      </c>
      <c r="BU349" s="536"/>
      <c r="BV349" s="536"/>
      <c r="BW349" s="536"/>
      <c r="BX349" s="542">
        <f t="shared" si="141"/>
        <v>0</v>
      </c>
      <c r="BY349" s="536"/>
      <c r="BZ349" s="536"/>
      <c r="CA349" s="536"/>
      <c r="CB349" s="542">
        <v>0</v>
      </c>
      <c r="CC349" s="536"/>
      <c r="CD349" s="536"/>
      <c r="CE349" s="536"/>
      <c r="CF349" s="541">
        <f t="shared" si="142"/>
        <v>0</v>
      </c>
      <c r="CG349" s="536"/>
      <c r="CH349" s="536"/>
      <c r="CI349" s="536"/>
      <c r="CJ349" s="541">
        <f t="shared" si="143"/>
        <v>0</v>
      </c>
      <c r="CK349" s="536"/>
      <c r="CL349" s="536"/>
      <c r="CM349" s="536"/>
      <c r="CN349" s="541">
        <f t="shared" si="144"/>
        <v>0</v>
      </c>
      <c r="CO349" s="536"/>
      <c r="CP349" s="536"/>
      <c r="CQ349" s="536"/>
      <c r="CR349" s="541">
        <f t="shared" si="145"/>
        <v>0</v>
      </c>
      <c r="CS349" s="536"/>
      <c r="CT349" s="536"/>
      <c r="CU349" s="536"/>
      <c r="CV349" s="541">
        <f t="shared" si="146"/>
        <v>0</v>
      </c>
      <c r="CW349" s="536"/>
      <c r="CX349" s="536"/>
      <c r="CY349" s="536"/>
      <c r="CZ349" s="541">
        <f t="shared" si="147"/>
        <v>0</v>
      </c>
      <c r="DA349" s="536"/>
      <c r="DB349" s="536"/>
      <c r="DC349" s="536"/>
      <c r="DD349" s="541">
        <f t="shared" si="148"/>
        <v>0</v>
      </c>
      <c r="DE349" s="536"/>
      <c r="DF349" s="536"/>
      <c r="DG349" s="536"/>
      <c r="DH349" s="541">
        <f t="shared" si="149"/>
        <v>0</v>
      </c>
      <c r="DI349" s="536"/>
      <c r="DJ349" s="536"/>
      <c r="DK349" s="536"/>
      <c r="DL349" s="541">
        <f t="shared" si="150"/>
        <v>0</v>
      </c>
      <c r="DM349" s="536"/>
      <c r="DN349" s="536"/>
      <c r="DO349" s="536"/>
      <c r="DP349" s="541">
        <f>IF( SUM((DJ349*(20/100))+(DK349*(30/100))+(DL349*(50/100))) &gt;=9.3,9.5,
IF(AND( SUM((DJ349*(20/100))+(DK349*(30/100))+(DL349*(50/100))) &lt;=9.3, SUM((DJ349*(20/100))+(DK349*(30/100))+(DL349*(50/100))) &gt;=8.8),9,
IF(AND( SUM((DJ349*(20/100))+(DK349*(30/100))+(DL349*(50/100))) &lt;=8.8, SUM((DJ349*(20/100))+(DK349*(30/100))+(DL349*(50/100))) &gt;=8.3),8.5,
IF(AND( SUM((DJ349*(20/100))+(DK349*(30/100))+(DL349*(50/100))) &lt;=8.3, SUM((DJ349*(20/100))+(DK349*(30/100))+(DL349*(50/100))) &gt;=7.8),8,
IF(AND( SUM((DJ349*(20/100))+(DK349*(30/100))+(DL349*(50/100))) &lt;=7.8, SUM((DJ349*(20/100))+(DK349*(30/100))+(DL349*(50/100))) &gt;=7.3),7.5,
IF(AND( SUM((DJ349*(20/100))+(DK349*(30/100))+(DL349*(50/100))) &lt;=7.3, SUM((DJ349*(20/100))+(DK349*(30/100))+(DL349*(50/100))) &gt;=6.8),7,
IF(AND( SUM((DJ349*(20/100))+(DK349*(30/100))+(DL349*(50/100))) &lt;=6.8, SUM((DJ349*(20/100))+(DK349*(30/100))+(DL349*(50/100))) &gt;=6.3),6.5,
IF(AND( SUM((DJ349*(20/100))+(DK349*(30/100))+(DL349*(50/100))) &lt;=6.3, SUM((DJ349*(20/100))+(DK349*(30/100))+(DL349*(50/100))) &gt;=5.8),6,
IF(AND( SUM((DJ349*(20/100))+(DK349*(30/100))+(DL349*(50/100))) &lt;=5.8, SUM((DJ349*(20/100))+(DK349*(30/100))+(DL349*(50/100))) &gt;=5.3),5.5,
IF(AND( SUM((DJ349*(20/100))+(DK349*(30/100))+(DL349*(50/100))) &lt;=5.3, SUM((DJ349*(20/100))+(DK349*(30/100))+(DL349*(50/100))) &gt;=4.8),5,
IF(AND( SUM((DJ349*(20/100))+(DK349*(30/100))+(DL349*(50/100))) &lt;=4.8, SUM((DJ349*(20/100))+(DK349*(30/100))+(DL349*(50/100))) &gt;=4.3),4.5,
IF(AND( SUM((DJ349*(20/100))+(DK349*(30/100))+(DL349*(50/100))) &lt;=4.3, SUM((DJ349*(20/100))+(DK349*(30/100))+(DL349*(50/100))) &gt;=3.8),4,
IF(AND( SUM((DJ349*(20/100))+(DK349*(30/100))+(DL349*(50/100))) &lt;=3.8, SUM((DJ349*(20/100))+(DK349*(30/100))+(DL349*(50/100))) &gt;=3.5),3.5,0)))))))))))))</f>
        <v>0</v>
      </c>
      <c r="DQ349" s="541"/>
      <c r="DR349" s="541"/>
      <c r="DS349" s="541"/>
      <c r="DT349" s="541"/>
      <c r="DU349" s="541"/>
      <c r="DV349" s="541"/>
      <c r="DW349" s="541"/>
      <c r="DX349" s="541"/>
      <c r="DY349" s="541"/>
      <c r="DZ349" s="541"/>
    </row>
    <row r="350" spans="2:130" x14ac:dyDescent="0.25">
      <c r="B350" s="334">
        <v>43</v>
      </c>
      <c r="C350" s="541"/>
      <c r="D350" s="334"/>
      <c r="E350" s="334"/>
      <c r="F350" s="334"/>
      <c r="G350" s="334"/>
      <c r="H350" s="334"/>
      <c r="I350" s="334"/>
      <c r="J350" s="536"/>
      <c r="K350" s="536"/>
      <c r="L350" s="536"/>
      <c r="M350" s="536"/>
      <c r="N350" s="536"/>
      <c r="O350" s="536"/>
      <c r="P350" s="536">
        <f t="shared" si="126"/>
        <v>0</v>
      </c>
      <c r="Q350" s="536"/>
      <c r="R350" s="536"/>
      <c r="S350" s="536"/>
      <c r="T350" s="536">
        <f t="shared" si="127"/>
        <v>0</v>
      </c>
      <c r="U350" s="536"/>
      <c r="V350" s="536"/>
      <c r="W350" s="536"/>
      <c r="X350" s="536">
        <f t="shared" si="128"/>
        <v>0</v>
      </c>
      <c r="Y350" s="536"/>
      <c r="Z350" s="536"/>
      <c r="AA350" s="536"/>
      <c r="AB350" s="536">
        <f t="shared" si="129"/>
        <v>0</v>
      </c>
      <c r="AC350" s="536"/>
      <c r="AD350" s="536"/>
      <c r="AE350" s="536"/>
      <c r="AF350" s="536">
        <f t="shared" si="130"/>
        <v>0</v>
      </c>
      <c r="AG350" s="536"/>
      <c r="AH350" s="536"/>
      <c r="AI350" s="536"/>
      <c r="AJ350" s="536">
        <f t="shared" si="131"/>
        <v>0</v>
      </c>
      <c r="AK350" s="536"/>
      <c r="AL350" s="536"/>
      <c r="AM350" s="536"/>
      <c r="AN350" s="542">
        <f t="shared" si="132"/>
        <v>0</v>
      </c>
      <c r="AO350" s="536"/>
      <c r="AP350" s="536"/>
      <c r="AQ350" s="536"/>
      <c r="AR350" s="542">
        <f t="shared" si="133"/>
        <v>0</v>
      </c>
      <c r="AS350" s="536"/>
      <c r="AT350" s="536"/>
      <c r="AU350" s="536"/>
      <c r="AV350" s="542">
        <f t="shared" si="134"/>
        <v>0</v>
      </c>
      <c r="AW350" s="536"/>
      <c r="AX350" s="536"/>
      <c r="AY350" s="536"/>
      <c r="AZ350" s="542">
        <f t="shared" si="135"/>
        <v>0</v>
      </c>
      <c r="BA350" s="536"/>
      <c r="BB350" s="536"/>
      <c r="BC350" s="536"/>
      <c r="BD350" s="542">
        <f t="shared" si="136"/>
        <v>0</v>
      </c>
      <c r="BE350" s="536"/>
      <c r="BF350" s="536"/>
      <c r="BG350" s="536"/>
      <c r="BH350" s="542">
        <f t="shared" si="137"/>
        <v>0</v>
      </c>
      <c r="BI350" s="536"/>
      <c r="BJ350" s="536"/>
      <c r="BK350" s="536"/>
      <c r="BL350" s="542">
        <f t="shared" si="138"/>
        <v>0</v>
      </c>
      <c r="BM350" s="536"/>
      <c r="BN350" s="536"/>
      <c r="BO350" s="536"/>
      <c r="BP350" s="542">
        <f t="shared" si="139"/>
        <v>0</v>
      </c>
      <c r="BQ350" s="536"/>
      <c r="BR350" s="536"/>
      <c r="BS350" s="536"/>
      <c r="BT350" s="542">
        <f t="shared" si="140"/>
        <v>0</v>
      </c>
      <c r="BU350" s="536"/>
      <c r="BV350" s="536"/>
      <c r="BW350" s="536"/>
      <c r="BX350" s="542">
        <f t="shared" si="141"/>
        <v>0</v>
      </c>
      <c r="BY350" s="536"/>
      <c r="BZ350" s="536"/>
      <c r="CA350" s="536"/>
      <c r="CB350" s="542">
        <v>0</v>
      </c>
      <c r="CC350" s="536"/>
      <c r="CD350" s="536"/>
      <c r="CE350" s="536"/>
      <c r="CF350" s="541">
        <f t="shared" si="142"/>
        <v>0</v>
      </c>
      <c r="CG350" s="536"/>
      <c r="CH350" s="536"/>
      <c r="CI350" s="536"/>
      <c r="CJ350" s="541">
        <f t="shared" si="143"/>
        <v>0</v>
      </c>
      <c r="CK350" s="536"/>
      <c r="CL350" s="536"/>
      <c r="CM350" s="536"/>
      <c r="CN350" s="541">
        <f t="shared" si="144"/>
        <v>0</v>
      </c>
      <c r="CO350" s="536"/>
      <c r="CP350" s="536"/>
      <c r="CQ350" s="536"/>
      <c r="CR350" s="541">
        <f t="shared" si="145"/>
        <v>0</v>
      </c>
      <c r="CS350" s="536"/>
      <c r="CT350" s="536"/>
      <c r="CU350" s="536"/>
      <c r="CV350" s="541">
        <f t="shared" si="146"/>
        <v>0</v>
      </c>
      <c r="CW350" s="536"/>
      <c r="CX350" s="536"/>
      <c r="CY350" s="536"/>
      <c r="CZ350" s="541">
        <f t="shared" si="147"/>
        <v>0</v>
      </c>
      <c r="DA350" s="536"/>
      <c r="DB350" s="536"/>
      <c r="DC350" s="536"/>
      <c r="DD350" s="541">
        <f t="shared" si="148"/>
        <v>0</v>
      </c>
      <c r="DE350" s="536"/>
      <c r="DF350" s="536"/>
      <c r="DG350" s="536"/>
      <c r="DH350" s="541">
        <f t="shared" si="149"/>
        <v>0</v>
      </c>
      <c r="DI350" s="536"/>
      <c r="DJ350" s="536"/>
      <c r="DK350" s="536"/>
      <c r="DL350" s="541">
        <f t="shared" si="150"/>
        <v>0</v>
      </c>
      <c r="DM350" s="536"/>
      <c r="DN350" s="536"/>
      <c r="DO350" s="536"/>
      <c r="DP350" s="541">
        <f>IF( SUM((DJ350*(20/100))+(DK350*(30/100))+(DL350*(50/100))) &gt;=9.3,9.5,
IF(AND( SUM((DJ350*(20/100))+(DK350*(30/100))+(DL350*(50/100))) &lt;=9.3, SUM((DJ350*(20/100))+(DK350*(30/100))+(DL350*(50/100))) &gt;=8.8),9,
IF(AND( SUM((DJ350*(20/100))+(DK350*(30/100))+(DL350*(50/100))) &lt;=8.8, SUM((DJ350*(20/100))+(DK350*(30/100))+(DL350*(50/100))) &gt;=8.3),8.5,
IF(AND( SUM((DJ350*(20/100))+(DK350*(30/100))+(DL350*(50/100))) &lt;=8.3, SUM((DJ350*(20/100))+(DK350*(30/100))+(DL350*(50/100))) &gt;=7.8),8,
IF(AND( SUM((DJ350*(20/100))+(DK350*(30/100))+(DL350*(50/100))) &lt;=7.8, SUM((DJ350*(20/100))+(DK350*(30/100))+(DL350*(50/100))) &gt;=7.3),7.5,
IF(AND( SUM((DJ350*(20/100))+(DK350*(30/100))+(DL350*(50/100))) &lt;=7.3, SUM((DJ350*(20/100))+(DK350*(30/100))+(DL350*(50/100))) &gt;=6.8),7,
IF(AND( SUM((DJ350*(20/100))+(DK350*(30/100))+(DL350*(50/100))) &lt;=6.8, SUM((DJ350*(20/100))+(DK350*(30/100))+(DL350*(50/100))) &gt;=6.3),6.5,
IF(AND( SUM((DJ350*(20/100))+(DK350*(30/100))+(DL350*(50/100))) &lt;=6.3, SUM((DJ350*(20/100))+(DK350*(30/100))+(DL350*(50/100))) &gt;=5.8),6,
IF(AND( SUM((DJ350*(20/100))+(DK350*(30/100))+(DL350*(50/100))) &lt;=5.8, SUM((DJ350*(20/100))+(DK350*(30/100))+(DL350*(50/100))) &gt;=5.3),5.5,
IF(AND( SUM((DJ350*(20/100))+(DK350*(30/100))+(DL350*(50/100))) &lt;=5.3, SUM((DJ350*(20/100))+(DK350*(30/100))+(DL350*(50/100))) &gt;=4.8),5,
IF(AND( SUM((DJ350*(20/100))+(DK350*(30/100))+(DL350*(50/100))) &lt;=4.8, SUM((DJ350*(20/100))+(DK350*(30/100))+(DL350*(50/100))) &gt;=4.3),4.5,
IF(AND( SUM((DJ350*(20/100))+(DK350*(30/100))+(DL350*(50/100))) &lt;=4.3, SUM((DJ350*(20/100))+(DK350*(30/100))+(DL350*(50/100))) &gt;=3.8),4,
IF(AND( SUM((DJ350*(20/100))+(DK350*(30/100))+(DL350*(50/100))) &lt;=3.8, SUM((DJ350*(20/100))+(DK350*(30/100))+(DL350*(50/100))) &gt;=3.5),3.5,0)))))))))))))</f>
        <v>0</v>
      </c>
      <c r="DQ350" s="541"/>
      <c r="DR350" s="541"/>
      <c r="DS350" s="541"/>
      <c r="DT350" s="541"/>
      <c r="DU350" s="541"/>
      <c r="DV350" s="541"/>
      <c r="DW350" s="541"/>
      <c r="DX350" s="541"/>
      <c r="DY350" s="541"/>
      <c r="DZ350" s="541"/>
    </row>
    <row r="351" spans="2:130" x14ac:dyDescent="0.25">
      <c r="B351" s="334">
        <v>44</v>
      </c>
      <c r="C351" s="541"/>
      <c r="D351" s="334"/>
      <c r="E351" s="334"/>
      <c r="F351" s="334"/>
      <c r="G351" s="334"/>
      <c r="H351" s="334"/>
      <c r="I351" s="334"/>
      <c r="J351" s="536"/>
      <c r="K351" s="536"/>
      <c r="L351" s="536"/>
      <c r="M351" s="536"/>
      <c r="N351" s="536"/>
      <c r="O351" s="536"/>
      <c r="P351" s="536">
        <f t="shared" si="126"/>
        <v>0</v>
      </c>
      <c r="Q351" s="536"/>
      <c r="R351" s="536"/>
      <c r="S351" s="536"/>
      <c r="T351" s="536">
        <f t="shared" si="127"/>
        <v>0</v>
      </c>
      <c r="U351" s="536"/>
      <c r="V351" s="536"/>
      <c r="W351" s="536"/>
      <c r="X351" s="536">
        <f t="shared" si="128"/>
        <v>0</v>
      </c>
      <c r="Y351" s="536"/>
      <c r="Z351" s="536"/>
      <c r="AA351" s="536"/>
      <c r="AB351" s="536">
        <f t="shared" si="129"/>
        <v>0</v>
      </c>
      <c r="AC351" s="536"/>
      <c r="AD351" s="536"/>
      <c r="AE351" s="536"/>
      <c r="AF351" s="536">
        <f t="shared" si="130"/>
        <v>0</v>
      </c>
      <c r="AG351" s="536"/>
      <c r="AH351" s="536"/>
      <c r="AI351" s="536"/>
      <c r="AJ351" s="536">
        <f t="shared" si="131"/>
        <v>0</v>
      </c>
      <c r="AK351" s="536"/>
      <c r="AL351" s="536"/>
      <c r="AM351" s="536"/>
      <c r="AN351" s="542">
        <f t="shared" si="132"/>
        <v>0</v>
      </c>
      <c r="AO351" s="536"/>
      <c r="AP351" s="536"/>
      <c r="AQ351" s="536"/>
      <c r="AR351" s="542">
        <f t="shared" si="133"/>
        <v>0</v>
      </c>
      <c r="AS351" s="536"/>
      <c r="AT351" s="536"/>
      <c r="AU351" s="536"/>
      <c r="AV351" s="542">
        <f t="shared" si="134"/>
        <v>0</v>
      </c>
      <c r="AW351" s="536"/>
      <c r="AX351" s="536"/>
      <c r="AY351" s="536"/>
      <c r="AZ351" s="542">
        <f t="shared" si="135"/>
        <v>0</v>
      </c>
      <c r="BA351" s="536"/>
      <c r="BB351" s="536"/>
      <c r="BC351" s="536"/>
      <c r="BD351" s="542">
        <f t="shared" si="136"/>
        <v>0</v>
      </c>
      <c r="BE351" s="536"/>
      <c r="BF351" s="536"/>
      <c r="BG351" s="536"/>
      <c r="BH351" s="542">
        <f t="shared" si="137"/>
        <v>0</v>
      </c>
      <c r="BI351" s="536"/>
      <c r="BJ351" s="536"/>
      <c r="BK351" s="536"/>
      <c r="BL351" s="542">
        <f t="shared" si="138"/>
        <v>0</v>
      </c>
      <c r="BM351" s="536"/>
      <c r="BN351" s="536"/>
      <c r="BO351" s="536"/>
      <c r="BP351" s="542">
        <f t="shared" si="139"/>
        <v>0</v>
      </c>
      <c r="BQ351" s="536"/>
      <c r="BR351" s="536"/>
      <c r="BS351" s="536"/>
      <c r="BT351" s="542">
        <f t="shared" si="140"/>
        <v>0</v>
      </c>
      <c r="BU351" s="536"/>
      <c r="BV351" s="536"/>
      <c r="BW351" s="536"/>
      <c r="BX351" s="542">
        <f t="shared" si="141"/>
        <v>0</v>
      </c>
      <c r="BY351" s="536"/>
      <c r="BZ351" s="536"/>
      <c r="CA351" s="536"/>
      <c r="CB351" s="542">
        <v>0</v>
      </c>
      <c r="CC351" s="536"/>
      <c r="CD351" s="536"/>
      <c r="CE351" s="536"/>
      <c r="CF351" s="541">
        <f t="shared" si="142"/>
        <v>0</v>
      </c>
      <c r="CG351" s="536"/>
      <c r="CH351" s="536"/>
      <c r="CI351" s="536"/>
      <c r="CJ351" s="541">
        <f t="shared" si="143"/>
        <v>0</v>
      </c>
      <c r="CK351" s="536"/>
      <c r="CL351" s="536"/>
      <c r="CM351" s="536"/>
      <c r="CN351" s="541">
        <f t="shared" si="144"/>
        <v>0</v>
      </c>
      <c r="CO351" s="536"/>
      <c r="CP351" s="536"/>
      <c r="CQ351" s="536"/>
      <c r="CR351" s="541">
        <f t="shared" si="145"/>
        <v>0</v>
      </c>
      <c r="CS351" s="536"/>
      <c r="CT351" s="536"/>
      <c r="CU351" s="536"/>
      <c r="CV351" s="541">
        <f t="shared" si="146"/>
        <v>0</v>
      </c>
      <c r="CW351" s="536"/>
      <c r="CX351" s="536"/>
      <c r="CY351" s="536"/>
      <c r="CZ351" s="541">
        <f t="shared" si="147"/>
        <v>0</v>
      </c>
      <c r="DA351" s="536"/>
      <c r="DB351" s="536"/>
      <c r="DC351" s="536"/>
      <c r="DD351" s="541">
        <f t="shared" si="148"/>
        <v>0</v>
      </c>
      <c r="DE351" s="536"/>
      <c r="DF351" s="536"/>
      <c r="DG351" s="536"/>
      <c r="DH351" s="541">
        <f t="shared" si="149"/>
        <v>0</v>
      </c>
      <c r="DI351" s="536"/>
      <c r="DJ351" s="536"/>
      <c r="DK351" s="536"/>
      <c r="DL351" s="541">
        <f t="shared" si="150"/>
        <v>0</v>
      </c>
      <c r="DM351" s="536"/>
      <c r="DN351" s="536"/>
      <c r="DO351" s="536"/>
      <c r="DP351" s="541">
        <f>IF( SUM((DJ351*(20/100))+(DK351*(30/100))+(DL351*(50/100))) &gt;=9.3,9.5,
IF(AND( SUM((DJ351*(20/100))+(DK351*(30/100))+(DL351*(50/100))) &lt;=9.3, SUM((DJ351*(20/100))+(DK351*(30/100))+(DL351*(50/100))) &gt;=8.8),9,
IF(AND( SUM((DJ351*(20/100))+(DK351*(30/100))+(DL351*(50/100))) &lt;=8.8, SUM((DJ351*(20/100))+(DK351*(30/100))+(DL351*(50/100))) &gt;=8.3),8.5,
IF(AND( SUM((DJ351*(20/100))+(DK351*(30/100))+(DL351*(50/100))) &lt;=8.3, SUM((DJ351*(20/100))+(DK351*(30/100))+(DL351*(50/100))) &gt;=7.8),8,
IF(AND( SUM((DJ351*(20/100))+(DK351*(30/100))+(DL351*(50/100))) &lt;=7.8, SUM((DJ351*(20/100))+(DK351*(30/100))+(DL351*(50/100))) &gt;=7.3),7.5,
IF(AND( SUM((DJ351*(20/100))+(DK351*(30/100))+(DL351*(50/100))) &lt;=7.3, SUM((DJ351*(20/100))+(DK351*(30/100))+(DL351*(50/100))) &gt;=6.8),7,
IF(AND( SUM((DJ351*(20/100))+(DK351*(30/100))+(DL351*(50/100))) &lt;=6.8, SUM((DJ351*(20/100))+(DK351*(30/100))+(DL351*(50/100))) &gt;=6.3),6.5,
IF(AND( SUM((DJ351*(20/100))+(DK351*(30/100))+(DL351*(50/100))) &lt;=6.3, SUM((DJ351*(20/100))+(DK351*(30/100))+(DL351*(50/100))) &gt;=5.8),6,
IF(AND( SUM((DJ351*(20/100))+(DK351*(30/100))+(DL351*(50/100))) &lt;=5.8, SUM((DJ351*(20/100))+(DK351*(30/100))+(DL351*(50/100))) &gt;=5.3),5.5,
IF(AND( SUM((DJ351*(20/100))+(DK351*(30/100))+(DL351*(50/100))) &lt;=5.3, SUM((DJ351*(20/100))+(DK351*(30/100))+(DL351*(50/100))) &gt;=4.8),5,
IF(AND( SUM((DJ351*(20/100))+(DK351*(30/100))+(DL351*(50/100))) &lt;=4.8, SUM((DJ351*(20/100))+(DK351*(30/100))+(DL351*(50/100))) &gt;=4.3),4.5,
IF(AND( SUM((DJ351*(20/100))+(DK351*(30/100))+(DL351*(50/100))) &lt;=4.3, SUM((DJ351*(20/100))+(DK351*(30/100))+(DL351*(50/100))) &gt;=3.8),4,
IF(AND( SUM((DJ351*(20/100))+(DK351*(30/100))+(DL351*(50/100))) &lt;=3.8, SUM((DJ351*(20/100))+(DK351*(30/100))+(DL351*(50/100))) &gt;=3.5),3.5,0)))))))))))))</f>
        <v>0</v>
      </c>
      <c r="DQ351" s="541"/>
      <c r="DR351" s="541"/>
      <c r="DS351" s="541"/>
      <c r="DT351" s="541"/>
      <c r="DU351" s="541"/>
      <c r="DV351" s="541"/>
      <c r="DW351" s="541"/>
      <c r="DX351" s="541"/>
      <c r="DY351" s="541"/>
      <c r="DZ351" s="541"/>
    </row>
    <row r="352" spans="2:130" x14ac:dyDescent="0.25">
      <c r="B352" s="334">
        <v>45</v>
      </c>
      <c r="C352" s="541"/>
      <c r="D352" s="334"/>
      <c r="E352" s="334"/>
      <c r="F352" s="334"/>
      <c r="G352" s="334"/>
      <c r="H352" s="334"/>
      <c r="I352" s="334"/>
      <c r="J352" s="536"/>
      <c r="K352" s="536"/>
      <c r="L352" s="536"/>
      <c r="M352" s="536"/>
      <c r="N352" s="536"/>
      <c r="O352" s="536"/>
      <c r="P352" s="536">
        <f t="shared" si="126"/>
        <v>0</v>
      </c>
      <c r="Q352" s="536"/>
      <c r="R352" s="536"/>
      <c r="S352" s="536"/>
      <c r="T352" s="536">
        <f t="shared" si="127"/>
        <v>0</v>
      </c>
      <c r="U352" s="536"/>
      <c r="V352" s="536"/>
      <c r="W352" s="536"/>
      <c r="X352" s="536">
        <f t="shared" si="128"/>
        <v>0</v>
      </c>
      <c r="Y352" s="536"/>
      <c r="Z352" s="536"/>
      <c r="AA352" s="536"/>
      <c r="AB352" s="536">
        <f t="shared" si="129"/>
        <v>0</v>
      </c>
      <c r="AC352" s="536"/>
      <c r="AD352" s="536"/>
      <c r="AE352" s="536"/>
      <c r="AF352" s="536">
        <f t="shared" si="130"/>
        <v>0</v>
      </c>
      <c r="AG352" s="536"/>
      <c r="AH352" s="536"/>
      <c r="AI352" s="536"/>
      <c r="AJ352" s="536">
        <f t="shared" si="131"/>
        <v>0</v>
      </c>
      <c r="AK352" s="536"/>
      <c r="AL352" s="536"/>
      <c r="AM352" s="536"/>
      <c r="AN352" s="542">
        <f t="shared" si="132"/>
        <v>0</v>
      </c>
      <c r="AO352" s="536"/>
      <c r="AP352" s="536"/>
      <c r="AQ352" s="536"/>
      <c r="AR352" s="542">
        <f t="shared" si="133"/>
        <v>0</v>
      </c>
      <c r="AS352" s="536"/>
      <c r="AT352" s="536"/>
      <c r="AU352" s="536"/>
      <c r="AV352" s="542">
        <f t="shared" si="134"/>
        <v>0</v>
      </c>
      <c r="AW352" s="536"/>
      <c r="AX352" s="536"/>
      <c r="AY352" s="536"/>
      <c r="AZ352" s="542">
        <f t="shared" si="135"/>
        <v>0</v>
      </c>
      <c r="BA352" s="536"/>
      <c r="BB352" s="536"/>
      <c r="BC352" s="536"/>
      <c r="BD352" s="542">
        <f t="shared" si="136"/>
        <v>0</v>
      </c>
      <c r="BE352" s="536"/>
      <c r="BF352" s="536"/>
      <c r="BG352" s="536"/>
      <c r="BH352" s="542">
        <f t="shared" si="137"/>
        <v>0</v>
      </c>
      <c r="BI352" s="536"/>
      <c r="BJ352" s="536"/>
      <c r="BK352" s="536"/>
      <c r="BL352" s="542">
        <f t="shared" si="138"/>
        <v>0</v>
      </c>
      <c r="BM352" s="536"/>
      <c r="BN352" s="536"/>
      <c r="BO352" s="536"/>
      <c r="BP352" s="542">
        <f t="shared" si="139"/>
        <v>0</v>
      </c>
      <c r="BQ352" s="536"/>
      <c r="BR352" s="536"/>
      <c r="BS352" s="536"/>
      <c r="BT352" s="542">
        <f t="shared" si="140"/>
        <v>0</v>
      </c>
      <c r="BU352" s="536"/>
      <c r="BV352" s="536"/>
      <c r="BW352" s="536"/>
      <c r="BX352" s="542">
        <f t="shared" si="141"/>
        <v>0</v>
      </c>
      <c r="BY352" s="536"/>
      <c r="BZ352" s="536"/>
      <c r="CA352" s="536"/>
      <c r="CB352" s="542">
        <v>0</v>
      </c>
      <c r="CC352" s="536"/>
      <c r="CD352" s="536"/>
      <c r="CE352" s="536"/>
      <c r="CF352" s="541">
        <f t="shared" si="142"/>
        <v>0</v>
      </c>
      <c r="CG352" s="536"/>
      <c r="CH352" s="536"/>
      <c r="CI352" s="536"/>
      <c r="CJ352" s="541">
        <f t="shared" si="143"/>
        <v>0</v>
      </c>
      <c r="CK352" s="536"/>
      <c r="CL352" s="536"/>
      <c r="CM352" s="536"/>
      <c r="CN352" s="541">
        <f t="shared" si="144"/>
        <v>0</v>
      </c>
      <c r="CO352" s="536"/>
      <c r="CP352" s="536"/>
      <c r="CQ352" s="536"/>
      <c r="CR352" s="541">
        <f t="shared" si="145"/>
        <v>0</v>
      </c>
      <c r="CS352" s="536"/>
      <c r="CT352" s="536"/>
      <c r="CU352" s="536"/>
      <c r="CV352" s="541">
        <f t="shared" si="146"/>
        <v>0</v>
      </c>
      <c r="CW352" s="536"/>
      <c r="CX352" s="536"/>
      <c r="CY352" s="536"/>
      <c r="CZ352" s="541">
        <f t="shared" si="147"/>
        <v>0</v>
      </c>
      <c r="DA352" s="536"/>
      <c r="DB352" s="536"/>
      <c r="DC352" s="536"/>
      <c r="DD352" s="541">
        <f t="shared" si="148"/>
        <v>0</v>
      </c>
      <c r="DE352" s="536"/>
      <c r="DF352" s="536"/>
      <c r="DG352" s="536"/>
      <c r="DH352" s="541">
        <f t="shared" si="149"/>
        <v>0</v>
      </c>
      <c r="DI352" s="536"/>
      <c r="DJ352" s="536"/>
      <c r="DK352" s="536"/>
      <c r="DL352" s="541">
        <f t="shared" si="150"/>
        <v>0</v>
      </c>
      <c r="DM352" s="536"/>
      <c r="DN352" s="536"/>
      <c r="DO352" s="536"/>
      <c r="DP352" s="541">
        <f>IF( SUM((DJ352*(20/100))+(DK352*(30/100))+(DL352*(50/100))) &gt;=9.3,9.5,
IF(AND( SUM((DJ352*(20/100))+(DK352*(30/100))+(DL352*(50/100))) &lt;=9.3, SUM((DJ352*(20/100))+(DK352*(30/100))+(DL352*(50/100))) &gt;=8.8),9,
IF(AND( SUM((DJ352*(20/100))+(DK352*(30/100))+(DL352*(50/100))) &lt;=8.8, SUM((DJ352*(20/100))+(DK352*(30/100))+(DL352*(50/100))) &gt;=8.3),8.5,
IF(AND( SUM((DJ352*(20/100))+(DK352*(30/100))+(DL352*(50/100))) &lt;=8.3, SUM((DJ352*(20/100))+(DK352*(30/100))+(DL352*(50/100))) &gt;=7.8),8,
IF(AND( SUM((DJ352*(20/100))+(DK352*(30/100))+(DL352*(50/100))) &lt;=7.8, SUM((DJ352*(20/100))+(DK352*(30/100))+(DL352*(50/100))) &gt;=7.3),7.5,
IF(AND( SUM((DJ352*(20/100))+(DK352*(30/100))+(DL352*(50/100))) &lt;=7.3, SUM((DJ352*(20/100))+(DK352*(30/100))+(DL352*(50/100))) &gt;=6.8),7,
IF(AND( SUM((DJ352*(20/100))+(DK352*(30/100))+(DL352*(50/100))) &lt;=6.8, SUM((DJ352*(20/100))+(DK352*(30/100))+(DL352*(50/100))) &gt;=6.3),6.5,
IF(AND( SUM((DJ352*(20/100))+(DK352*(30/100))+(DL352*(50/100))) &lt;=6.3, SUM((DJ352*(20/100))+(DK352*(30/100))+(DL352*(50/100))) &gt;=5.8),6,
IF(AND( SUM((DJ352*(20/100))+(DK352*(30/100))+(DL352*(50/100))) &lt;=5.8, SUM((DJ352*(20/100))+(DK352*(30/100))+(DL352*(50/100))) &gt;=5.3),5.5,
IF(AND( SUM((DJ352*(20/100))+(DK352*(30/100))+(DL352*(50/100))) &lt;=5.3, SUM((DJ352*(20/100))+(DK352*(30/100))+(DL352*(50/100))) &gt;=4.8),5,
IF(AND( SUM((DJ352*(20/100))+(DK352*(30/100))+(DL352*(50/100))) &lt;=4.8, SUM((DJ352*(20/100))+(DK352*(30/100))+(DL352*(50/100))) &gt;=4.3),4.5,
IF(AND( SUM((DJ352*(20/100))+(DK352*(30/100))+(DL352*(50/100))) &lt;=4.3, SUM((DJ352*(20/100))+(DK352*(30/100))+(DL352*(50/100))) &gt;=3.8),4,
IF(AND( SUM((DJ352*(20/100))+(DK352*(30/100))+(DL352*(50/100))) &lt;=3.8, SUM((DJ352*(20/100))+(DK352*(30/100))+(DL352*(50/100))) &gt;=3.5),3.5,0)))))))))))))</f>
        <v>0</v>
      </c>
      <c r="DQ352" s="541"/>
      <c r="DR352" s="541"/>
      <c r="DS352" s="541"/>
      <c r="DT352" s="541"/>
      <c r="DU352" s="541"/>
      <c r="DV352" s="541"/>
      <c r="DW352" s="541"/>
      <c r="DX352" s="541"/>
      <c r="DY352" s="541"/>
      <c r="DZ352" s="541"/>
    </row>
    <row r="353" spans="2:130" x14ac:dyDescent="0.25">
      <c r="B353" s="334">
        <v>46</v>
      </c>
      <c r="C353" s="541"/>
      <c r="D353" s="334"/>
      <c r="E353" s="334"/>
      <c r="F353" s="334"/>
      <c r="G353" s="334"/>
      <c r="H353" s="334"/>
      <c r="I353" s="334"/>
      <c r="J353" s="536"/>
      <c r="K353" s="536"/>
      <c r="L353" s="536"/>
      <c r="M353" s="536"/>
      <c r="N353" s="536"/>
      <c r="O353" s="536"/>
      <c r="P353" s="536">
        <f t="shared" si="126"/>
        <v>0</v>
      </c>
      <c r="Q353" s="536"/>
      <c r="R353" s="536"/>
      <c r="S353" s="536"/>
      <c r="T353" s="536">
        <f t="shared" si="127"/>
        <v>0</v>
      </c>
      <c r="U353" s="536"/>
      <c r="V353" s="536"/>
      <c r="W353" s="536"/>
      <c r="X353" s="536">
        <f t="shared" si="128"/>
        <v>0</v>
      </c>
      <c r="Y353" s="536"/>
      <c r="Z353" s="536"/>
      <c r="AA353" s="536"/>
      <c r="AB353" s="536">
        <f t="shared" si="129"/>
        <v>0</v>
      </c>
      <c r="AC353" s="536"/>
      <c r="AD353" s="536"/>
      <c r="AE353" s="536"/>
      <c r="AF353" s="536">
        <f t="shared" si="130"/>
        <v>0</v>
      </c>
      <c r="AG353" s="536"/>
      <c r="AH353" s="536"/>
      <c r="AI353" s="536"/>
      <c r="AJ353" s="536">
        <f t="shared" si="131"/>
        <v>0</v>
      </c>
      <c r="AK353" s="536"/>
      <c r="AL353" s="536"/>
      <c r="AM353" s="536"/>
      <c r="AN353" s="542">
        <f t="shared" si="132"/>
        <v>0</v>
      </c>
      <c r="AO353" s="536"/>
      <c r="AP353" s="536"/>
      <c r="AQ353" s="536"/>
      <c r="AR353" s="542">
        <f t="shared" si="133"/>
        <v>0</v>
      </c>
      <c r="AS353" s="536"/>
      <c r="AT353" s="536"/>
      <c r="AU353" s="536"/>
      <c r="AV353" s="542">
        <f t="shared" si="134"/>
        <v>0</v>
      </c>
      <c r="AW353" s="536"/>
      <c r="AX353" s="536"/>
      <c r="AY353" s="536"/>
      <c r="AZ353" s="542">
        <f t="shared" si="135"/>
        <v>0</v>
      </c>
      <c r="BA353" s="536"/>
      <c r="BB353" s="536"/>
      <c r="BC353" s="536"/>
      <c r="BD353" s="542">
        <f t="shared" si="136"/>
        <v>0</v>
      </c>
      <c r="BE353" s="536"/>
      <c r="BF353" s="536"/>
      <c r="BG353" s="536"/>
      <c r="BH353" s="542">
        <f t="shared" si="137"/>
        <v>0</v>
      </c>
      <c r="BI353" s="536"/>
      <c r="BJ353" s="536"/>
      <c r="BK353" s="536"/>
      <c r="BL353" s="542">
        <f t="shared" si="138"/>
        <v>0</v>
      </c>
      <c r="BM353" s="536"/>
      <c r="BN353" s="536"/>
      <c r="BO353" s="536"/>
      <c r="BP353" s="542">
        <f t="shared" si="139"/>
        <v>0</v>
      </c>
      <c r="BQ353" s="536"/>
      <c r="BR353" s="536"/>
      <c r="BS353" s="536"/>
      <c r="BT353" s="542">
        <f t="shared" si="140"/>
        <v>0</v>
      </c>
      <c r="BU353" s="536"/>
      <c r="BV353" s="536"/>
      <c r="BW353" s="536"/>
      <c r="BX353" s="542">
        <f t="shared" si="141"/>
        <v>0</v>
      </c>
      <c r="BY353" s="536"/>
      <c r="BZ353" s="536"/>
      <c r="CA353" s="536"/>
      <c r="CB353" s="542">
        <v>0</v>
      </c>
      <c r="CC353" s="536"/>
      <c r="CD353" s="536"/>
      <c r="CE353" s="536"/>
      <c r="CF353" s="541">
        <f t="shared" si="142"/>
        <v>0</v>
      </c>
      <c r="CG353" s="536"/>
      <c r="CH353" s="536"/>
      <c r="CI353" s="536"/>
      <c r="CJ353" s="541">
        <f t="shared" si="143"/>
        <v>0</v>
      </c>
      <c r="CK353" s="536"/>
      <c r="CL353" s="536"/>
      <c r="CM353" s="536"/>
      <c r="CN353" s="541">
        <f t="shared" si="144"/>
        <v>0</v>
      </c>
      <c r="CO353" s="536"/>
      <c r="CP353" s="536"/>
      <c r="CQ353" s="536"/>
      <c r="CR353" s="541">
        <f t="shared" si="145"/>
        <v>0</v>
      </c>
      <c r="CS353" s="536"/>
      <c r="CT353" s="536"/>
      <c r="CU353" s="536"/>
      <c r="CV353" s="541">
        <f t="shared" si="146"/>
        <v>0</v>
      </c>
      <c r="CW353" s="536"/>
      <c r="CX353" s="536"/>
      <c r="CY353" s="536"/>
      <c r="CZ353" s="541">
        <f t="shared" si="147"/>
        <v>0</v>
      </c>
      <c r="DA353" s="536"/>
      <c r="DB353" s="536"/>
      <c r="DC353" s="536"/>
      <c r="DD353" s="541">
        <f t="shared" si="148"/>
        <v>0</v>
      </c>
      <c r="DE353" s="536"/>
      <c r="DF353" s="536"/>
      <c r="DG353" s="536"/>
      <c r="DH353" s="541">
        <f t="shared" si="149"/>
        <v>0</v>
      </c>
      <c r="DI353" s="536"/>
      <c r="DJ353" s="536"/>
      <c r="DK353" s="536"/>
      <c r="DL353" s="541">
        <f t="shared" si="150"/>
        <v>0</v>
      </c>
      <c r="DM353" s="536"/>
      <c r="DN353" s="536"/>
      <c r="DO353" s="536"/>
      <c r="DP353" s="541">
        <f>IF( SUM((DJ353*(20/100))+(DK353*(30/100))+(DL353*(50/100))) &gt;=9.3,9.5,
IF(AND( SUM((DJ353*(20/100))+(DK353*(30/100))+(DL353*(50/100))) &lt;=9.3, SUM((DJ353*(20/100))+(DK353*(30/100))+(DL353*(50/100))) &gt;=8.8),9,
IF(AND( SUM((DJ353*(20/100))+(DK353*(30/100))+(DL353*(50/100))) &lt;=8.8, SUM((DJ353*(20/100))+(DK353*(30/100))+(DL353*(50/100))) &gt;=8.3),8.5,
IF(AND( SUM((DJ353*(20/100))+(DK353*(30/100))+(DL353*(50/100))) &lt;=8.3, SUM((DJ353*(20/100))+(DK353*(30/100))+(DL353*(50/100))) &gt;=7.8),8,
IF(AND( SUM((DJ353*(20/100))+(DK353*(30/100))+(DL353*(50/100))) &lt;=7.8, SUM((DJ353*(20/100))+(DK353*(30/100))+(DL353*(50/100))) &gt;=7.3),7.5,
IF(AND( SUM((DJ353*(20/100))+(DK353*(30/100))+(DL353*(50/100))) &lt;=7.3, SUM((DJ353*(20/100))+(DK353*(30/100))+(DL353*(50/100))) &gt;=6.8),7,
IF(AND( SUM((DJ353*(20/100))+(DK353*(30/100))+(DL353*(50/100))) &lt;=6.8, SUM((DJ353*(20/100))+(DK353*(30/100))+(DL353*(50/100))) &gt;=6.3),6.5,
IF(AND( SUM((DJ353*(20/100))+(DK353*(30/100))+(DL353*(50/100))) &lt;=6.3, SUM((DJ353*(20/100))+(DK353*(30/100))+(DL353*(50/100))) &gt;=5.8),6,
IF(AND( SUM((DJ353*(20/100))+(DK353*(30/100))+(DL353*(50/100))) &lt;=5.8, SUM((DJ353*(20/100))+(DK353*(30/100))+(DL353*(50/100))) &gt;=5.3),5.5,
IF(AND( SUM((DJ353*(20/100))+(DK353*(30/100))+(DL353*(50/100))) &lt;=5.3, SUM((DJ353*(20/100))+(DK353*(30/100))+(DL353*(50/100))) &gt;=4.8),5,
IF(AND( SUM((DJ353*(20/100))+(DK353*(30/100))+(DL353*(50/100))) &lt;=4.8, SUM((DJ353*(20/100))+(DK353*(30/100))+(DL353*(50/100))) &gt;=4.3),4.5,
IF(AND( SUM((DJ353*(20/100))+(DK353*(30/100))+(DL353*(50/100))) &lt;=4.3, SUM((DJ353*(20/100))+(DK353*(30/100))+(DL353*(50/100))) &gt;=3.8),4,
IF(AND( SUM((DJ353*(20/100))+(DK353*(30/100))+(DL353*(50/100))) &lt;=3.8, SUM((DJ353*(20/100))+(DK353*(30/100))+(DL353*(50/100))) &gt;=3.5),3.5,0)))))))))))))</f>
        <v>0</v>
      </c>
      <c r="DQ353" s="541"/>
      <c r="DR353" s="541"/>
      <c r="DS353" s="541"/>
      <c r="DT353" s="541"/>
      <c r="DU353" s="541"/>
      <c r="DV353" s="541"/>
      <c r="DW353" s="541"/>
      <c r="DX353" s="541"/>
      <c r="DY353" s="541"/>
      <c r="DZ353" s="541"/>
    </row>
    <row r="354" spans="2:130" x14ac:dyDescent="0.25">
      <c r="B354" s="334">
        <v>47</v>
      </c>
      <c r="C354" s="541"/>
      <c r="D354" s="334"/>
      <c r="E354" s="334"/>
      <c r="F354" s="334"/>
      <c r="G354" s="334"/>
      <c r="H354" s="334"/>
      <c r="I354" s="334"/>
      <c r="J354" s="536"/>
      <c r="K354" s="536"/>
      <c r="L354" s="536"/>
      <c r="M354" s="536"/>
      <c r="N354" s="536"/>
      <c r="O354" s="536"/>
      <c r="P354" s="536">
        <f t="shared" si="126"/>
        <v>0</v>
      </c>
      <c r="Q354" s="536"/>
      <c r="R354" s="536"/>
      <c r="S354" s="536"/>
      <c r="T354" s="536">
        <f t="shared" si="127"/>
        <v>0</v>
      </c>
      <c r="U354" s="536"/>
      <c r="V354" s="536"/>
      <c r="W354" s="536"/>
      <c r="X354" s="536">
        <f t="shared" si="128"/>
        <v>0</v>
      </c>
      <c r="Y354" s="536"/>
      <c r="Z354" s="536"/>
      <c r="AA354" s="536"/>
      <c r="AB354" s="536">
        <f t="shared" si="129"/>
        <v>0</v>
      </c>
      <c r="AC354" s="536"/>
      <c r="AD354" s="536"/>
      <c r="AE354" s="536"/>
      <c r="AF354" s="536">
        <f t="shared" si="130"/>
        <v>0</v>
      </c>
      <c r="AG354" s="536"/>
      <c r="AH354" s="536"/>
      <c r="AI354" s="536"/>
      <c r="AJ354" s="536">
        <f t="shared" si="131"/>
        <v>0</v>
      </c>
      <c r="AK354" s="536"/>
      <c r="AL354" s="536"/>
      <c r="AM354" s="536"/>
      <c r="AN354" s="542">
        <f t="shared" si="132"/>
        <v>0</v>
      </c>
      <c r="AO354" s="536"/>
      <c r="AP354" s="536"/>
      <c r="AQ354" s="536"/>
      <c r="AR354" s="542">
        <f t="shared" si="133"/>
        <v>0</v>
      </c>
      <c r="AS354" s="536"/>
      <c r="AT354" s="536"/>
      <c r="AU354" s="536"/>
      <c r="AV354" s="542">
        <f t="shared" si="134"/>
        <v>0</v>
      </c>
      <c r="AW354" s="536"/>
      <c r="AX354" s="536"/>
      <c r="AY354" s="536"/>
      <c r="AZ354" s="542">
        <f t="shared" si="135"/>
        <v>0</v>
      </c>
      <c r="BA354" s="536"/>
      <c r="BB354" s="536"/>
      <c r="BC354" s="536"/>
      <c r="BD354" s="542">
        <f t="shared" si="136"/>
        <v>0</v>
      </c>
      <c r="BE354" s="536"/>
      <c r="BF354" s="536"/>
      <c r="BG354" s="536"/>
      <c r="BH354" s="542">
        <f t="shared" si="137"/>
        <v>0</v>
      </c>
      <c r="BI354" s="536"/>
      <c r="BJ354" s="536"/>
      <c r="BK354" s="536"/>
      <c r="BL354" s="542">
        <f t="shared" si="138"/>
        <v>0</v>
      </c>
      <c r="BM354" s="536"/>
      <c r="BN354" s="536"/>
      <c r="BO354" s="536"/>
      <c r="BP354" s="542">
        <f t="shared" si="139"/>
        <v>0</v>
      </c>
      <c r="BQ354" s="536"/>
      <c r="BR354" s="536"/>
      <c r="BS354" s="536"/>
      <c r="BT354" s="542">
        <f t="shared" si="140"/>
        <v>0</v>
      </c>
      <c r="BU354" s="536"/>
      <c r="BV354" s="536"/>
      <c r="BW354" s="536"/>
      <c r="BX354" s="542">
        <f t="shared" si="141"/>
        <v>0</v>
      </c>
      <c r="BY354" s="536"/>
      <c r="BZ354" s="536"/>
      <c r="CA354" s="536"/>
      <c r="CB354" s="542">
        <v>0</v>
      </c>
      <c r="CC354" s="536"/>
      <c r="CD354" s="536"/>
      <c r="CE354" s="536"/>
      <c r="CF354" s="541">
        <f t="shared" si="142"/>
        <v>0</v>
      </c>
      <c r="CG354" s="536"/>
      <c r="CH354" s="536"/>
      <c r="CI354" s="536"/>
      <c r="CJ354" s="541">
        <f t="shared" si="143"/>
        <v>0</v>
      </c>
      <c r="CK354" s="536"/>
      <c r="CL354" s="536"/>
      <c r="CM354" s="536"/>
      <c r="CN354" s="541">
        <f t="shared" si="144"/>
        <v>0</v>
      </c>
      <c r="CO354" s="536"/>
      <c r="CP354" s="536"/>
      <c r="CQ354" s="536"/>
      <c r="CR354" s="541">
        <f t="shared" si="145"/>
        <v>0</v>
      </c>
      <c r="CS354" s="536"/>
      <c r="CT354" s="536"/>
      <c r="CU354" s="536"/>
      <c r="CV354" s="541">
        <f t="shared" si="146"/>
        <v>0</v>
      </c>
      <c r="CW354" s="536"/>
      <c r="CX354" s="536"/>
      <c r="CY354" s="536"/>
      <c r="CZ354" s="541">
        <f t="shared" si="147"/>
        <v>0</v>
      </c>
      <c r="DA354" s="536"/>
      <c r="DB354" s="536"/>
      <c r="DC354" s="536"/>
      <c r="DD354" s="541">
        <f t="shared" si="148"/>
        <v>0</v>
      </c>
      <c r="DE354" s="536"/>
      <c r="DF354" s="536"/>
      <c r="DG354" s="536"/>
      <c r="DH354" s="541">
        <f t="shared" si="149"/>
        <v>0</v>
      </c>
      <c r="DI354" s="536"/>
      <c r="DJ354" s="536"/>
      <c r="DK354" s="536"/>
      <c r="DL354" s="541">
        <f t="shared" si="150"/>
        <v>0</v>
      </c>
      <c r="DM354" s="536"/>
      <c r="DN354" s="536"/>
      <c r="DO354" s="536"/>
      <c r="DP354" s="541">
        <f>IF( SUM((DJ354*(20/100))+(DK354*(30/100))+(DL354*(50/100))) &gt;=9.3,9.5,
IF(AND( SUM((DJ354*(20/100))+(DK354*(30/100))+(DL354*(50/100))) &lt;=9.3, SUM((DJ354*(20/100))+(DK354*(30/100))+(DL354*(50/100))) &gt;=8.8),9,
IF(AND( SUM((DJ354*(20/100))+(DK354*(30/100))+(DL354*(50/100))) &lt;=8.8, SUM((DJ354*(20/100))+(DK354*(30/100))+(DL354*(50/100))) &gt;=8.3),8.5,
IF(AND( SUM((DJ354*(20/100))+(DK354*(30/100))+(DL354*(50/100))) &lt;=8.3, SUM((DJ354*(20/100))+(DK354*(30/100))+(DL354*(50/100))) &gt;=7.8),8,
IF(AND( SUM((DJ354*(20/100))+(DK354*(30/100))+(DL354*(50/100))) &lt;=7.8, SUM((DJ354*(20/100))+(DK354*(30/100))+(DL354*(50/100))) &gt;=7.3),7.5,
IF(AND( SUM((DJ354*(20/100))+(DK354*(30/100))+(DL354*(50/100))) &lt;=7.3, SUM((DJ354*(20/100))+(DK354*(30/100))+(DL354*(50/100))) &gt;=6.8),7,
IF(AND( SUM((DJ354*(20/100))+(DK354*(30/100))+(DL354*(50/100))) &lt;=6.8, SUM((DJ354*(20/100))+(DK354*(30/100))+(DL354*(50/100))) &gt;=6.3),6.5,
IF(AND( SUM((DJ354*(20/100))+(DK354*(30/100))+(DL354*(50/100))) &lt;=6.3, SUM((DJ354*(20/100))+(DK354*(30/100))+(DL354*(50/100))) &gt;=5.8),6,
IF(AND( SUM((DJ354*(20/100))+(DK354*(30/100))+(DL354*(50/100))) &lt;=5.8, SUM((DJ354*(20/100))+(DK354*(30/100))+(DL354*(50/100))) &gt;=5.3),5.5,
IF(AND( SUM((DJ354*(20/100))+(DK354*(30/100))+(DL354*(50/100))) &lt;=5.3, SUM((DJ354*(20/100))+(DK354*(30/100))+(DL354*(50/100))) &gt;=4.8),5,
IF(AND( SUM((DJ354*(20/100))+(DK354*(30/100))+(DL354*(50/100))) &lt;=4.8, SUM((DJ354*(20/100))+(DK354*(30/100))+(DL354*(50/100))) &gt;=4.3),4.5,
IF(AND( SUM((DJ354*(20/100))+(DK354*(30/100))+(DL354*(50/100))) &lt;=4.3, SUM((DJ354*(20/100))+(DK354*(30/100))+(DL354*(50/100))) &gt;=3.8),4,
IF(AND( SUM((DJ354*(20/100))+(DK354*(30/100))+(DL354*(50/100))) &lt;=3.8, SUM((DJ354*(20/100))+(DK354*(30/100))+(DL354*(50/100))) &gt;=3.5),3.5,0)))))))))))))</f>
        <v>0</v>
      </c>
      <c r="DQ354" s="541"/>
      <c r="DR354" s="541"/>
      <c r="DS354" s="541"/>
      <c r="DT354" s="541"/>
      <c r="DU354" s="541"/>
      <c r="DV354" s="541"/>
      <c r="DW354" s="541"/>
      <c r="DX354" s="541"/>
      <c r="DY354" s="541"/>
      <c r="DZ354" s="541"/>
    </row>
    <row r="355" spans="2:130" x14ac:dyDescent="0.25">
      <c r="B355" s="334">
        <v>48</v>
      </c>
      <c r="C355" s="541"/>
      <c r="D355" s="334"/>
      <c r="E355" s="334"/>
      <c r="F355" s="334"/>
      <c r="G355" s="334"/>
      <c r="H355" s="334"/>
      <c r="I355" s="334"/>
      <c r="J355" s="536"/>
      <c r="K355" s="536"/>
      <c r="L355" s="536"/>
      <c r="M355" s="536"/>
      <c r="N355" s="536"/>
      <c r="O355" s="536"/>
      <c r="P355" s="536">
        <f t="shared" si="126"/>
        <v>0</v>
      </c>
      <c r="Q355" s="536"/>
      <c r="R355" s="536"/>
      <c r="S355" s="536"/>
      <c r="T355" s="536">
        <f t="shared" si="127"/>
        <v>0</v>
      </c>
      <c r="U355" s="536"/>
      <c r="V355" s="536"/>
      <c r="W355" s="536"/>
      <c r="X355" s="536">
        <f t="shared" si="128"/>
        <v>0</v>
      </c>
      <c r="Y355" s="536"/>
      <c r="Z355" s="536"/>
      <c r="AA355" s="536"/>
      <c r="AB355" s="536">
        <f t="shared" si="129"/>
        <v>0</v>
      </c>
      <c r="AC355" s="536"/>
      <c r="AD355" s="536"/>
      <c r="AE355" s="536"/>
      <c r="AF355" s="536">
        <f t="shared" si="130"/>
        <v>0</v>
      </c>
      <c r="AG355" s="536"/>
      <c r="AH355" s="536"/>
      <c r="AI355" s="536"/>
      <c r="AJ355" s="536">
        <f t="shared" si="131"/>
        <v>0</v>
      </c>
      <c r="AK355" s="536"/>
      <c r="AL355" s="536"/>
      <c r="AM355" s="536"/>
      <c r="AN355" s="542">
        <f t="shared" si="132"/>
        <v>0</v>
      </c>
      <c r="AO355" s="536"/>
      <c r="AP355" s="536"/>
      <c r="AQ355" s="536"/>
      <c r="AR355" s="542">
        <f t="shared" si="133"/>
        <v>0</v>
      </c>
      <c r="AS355" s="536"/>
      <c r="AT355" s="536"/>
      <c r="AU355" s="536"/>
      <c r="AV355" s="542">
        <f t="shared" si="134"/>
        <v>0</v>
      </c>
      <c r="AW355" s="536"/>
      <c r="AX355" s="536"/>
      <c r="AY355" s="536"/>
      <c r="AZ355" s="542">
        <f t="shared" si="135"/>
        <v>0</v>
      </c>
      <c r="BA355" s="536"/>
      <c r="BB355" s="536"/>
      <c r="BC355" s="536"/>
      <c r="BD355" s="542">
        <f t="shared" si="136"/>
        <v>0</v>
      </c>
      <c r="BE355" s="536"/>
      <c r="BF355" s="536"/>
      <c r="BG355" s="536"/>
      <c r="BH355" s="542">
        <f t="shared" si="137"/>
        <v>0</v>
      </c>
      <c r="BI355" s="536"/>
      <c r="BJ355" s="536"/>
      <c r="BK355" s="536"/>
      <c r="BL355" s="542">
        <f t="shared" si="138"/>
        <v>0</v>
      </c>
      <c r="BM355" s="536"/>
      <c r="BN355" s="536"/>
      <c r="BO355" s="536"/>
      <c r="BP355" s="542">
        <f t="shared" si="139"/>
        <v>0</v>
      </c>
      <c r="BQ355" s="536"/>
      <c r="BR355" s="536"/>
      <c r="BS355" s="536"/>
      <c r="BT355" s="542">
        <f t="shared" si="140"/>
        <v>0</v>
      </c>
      <c r="BU355" s="536"/>
      <c r="BV355" s="536"/>
      <c r="BW355" s="536"/>
      <c r="BX355" s="542">
        <f t="shared" si="141"/>
        <v>0</v>
      </c>
      <c r="BY355" s="536"/>
      <c r="BZ355" s="536"/>
      <c r="CA355" s="536"/>
      <c r="CB355" s="542">
        <v>0</v>
      </c>
      <c r="CC355" s="536"/>
      <c r="CD355" s="536"/>
      <c r="CE355" s="536"/>
      <c r="CF355" s="541">
        <f t="shared" si="142"/>
        <v>0</v>
      </c>
      <c r="CG355" s="536"/>
      <c r="CH355" s="536"/>
      <c r="CI355" s="536"/>
      <c r="CJ355" s="541">
        <f t="shared" si="143"/>
        <v>0</v>
      </c>
      <c r="CK355" s="536"/>
      <c r="CL355" s="536"/>
      <c r="CM355" s="536"/>
      <c r="CN355" s="541">
        <f t="shared" si="144"/>
        <v>0</v>
      </c>
      <c r="CO355" s="536"/>
      <c r="CP355" s="536"/>
      <c r="CQ355" s="536"/>
      <c r="CR355" s="541">
        <f t="shared" si="145"/>
        <v>0</v>
      </c>
      <c r="CS355" s="536"/>
      <c r="CT355" s="536"/>
      <c r="CU355" s="536"/>
      <c r="CV355" s="541">
        <f t="shared" si="146"/>
        <v>0</v>
      </c>
      <c r="CW355" s="536"/>
      <c r="CX355" s="536"/>
      <c r="CY355" s="536"/>
      <c r="CZ355" s="541">
        <f t="shared" si="147"/>
        <v>0</v>
      </c>
      <c r="DA355" s="536"/>
      <c r="DB355" s="536"/>
      <c r="DC355" s="536"/>
      <c r="DD355" s="541">
        <f t="shared" si="148"/>
        <v>0</v>
      </c>
      <c r="DE355" s="536"/>
      <c r="DF355" s="536"/>
      <c r="DG355" s="536"/>
      <c r="DH355" s="541">
        <f t="shared" si="149"/>
        <v>0</v>
      </c>
      <c r="DI355" s="536"/>
      <c r="DJ355" s="536"/>
      <c r="DK355" s="536"/>
      <c r="DL355" s="541">
        <f t="shared" si="150"/>
        <v>0</v>
      </c>
      <c r="DM355" s="536"/>
      <c r="DN355" s="536"/>
      <c r="DO355" s="536"/>
      <c r="DP355" s="541">
        <f>IF( SUM((DJ355*(20/100))+(DK355*(30/100))+(DL355*(50/100))) &gt;=9.3,9.5,
IF(AND( SUM((DJ355*(20/100))+(DK355*(30/100))+(DL355*(50/100))) &lt;=9.3, SUM((DJ355*(20/100))+(DK355*(30/100))+(DL355*(50/100))) &gt;=8.8),9,
IF(AND( SUM((DJ355*(20/100))+(DK355*(30/100))+(DL355*(50/100))) &lt;=8.8, SUM((DJ355*(20/100))+(DK355*(30/100))+(DL355*(50/100))) &gt;=8.3),8.5,
IF(AND( SUM((DJ355*(20/100))+(DK355*(30/100))+(DL355*(50/100))) &lt;=8.3, SUM((DJ355*(20/100))+(DK355*(30/100))+(DL355*(50/100))) &gt;=7.8),8,
IF(AND( SUM((DJ355*(20/100))+(DK355*(30/100))+(DL355*(50/100))) &lt;=7.8, SUM((DJ355*(20/100))+(DK355*(30/100))+(DL355*(50/100))) &gt;=7.3),7.5,
IF(AND( SUM((DJ355*(20/100))+(DK355*(30/100))+(DL355*(50/100))) &lt;=7.3, SUM((DJ355*(20/100))+(DK355*(30/100))+(DL355*(50/100))) &gt;=6.8),7,
IF(AND( SUM((DJ355*(20/100))+(DK355*(30/100))+(DL355*(50/100))) &lt;=6.8, SUM((DJ355*(20/100))+(DK355*(30/100))+(DL355*(50/100))) &gt;=6.3),6.5,
IF(AND( SUM((DJ355*(20/100))+(DK355*(30/100))+(DL355*(50/100))) &lt;=6.3, SUM((DJ355*(20/100))+(DK355*(30/100))+(DL355*(50/100))) &gt;=5.8),6,
IF(AND( SUM((DJ355*(20/100))+(DK355*(30/100))+(DL355*(50/100))) &lt;=5.8, SUM((DJ355*(20/100))+(DK355*(30/100))+(DL355*(50/100))) &gt;=5.3),5.5,
IF(AND( SUM((DJ355*(20/100))+(DK355*(30/100))+(DL355*(50/100))) &lt;=5.3, SUM((DJ355*(20/100))+(DK355*(30/100))+(DL355*(50/100))) &gt;=4.8),5,
IF(AND( SUM((DJ355*(20/100))+(DK355*(30/100))+(DL355*(50/100))) &lt;=4.8, SUM((DJ355*(20/100))+(DK355*(30/100))+(DL355*(50/100))) &gt;=4.3),4.5,
IF(AND( SUM((DJ355*(20/100))+(DK355*(30/100))+(DL355*(50/100))) &lt;=4.3, SUM((DJ355*(20/100))+(DK355*(30/100))+(DL355*(50/100))) &gt;=3.8),4,
IF(AND( SUM((DJ355*(20/100))+(DK355*(30/100))+(DL355*(50/100))) &lt;=3.8, SUM((DJ355*(20/100))+(DK355*(30/100))+(DL355*(50/100))) &gt;=3.5),3.5,0)))))))))))))</f>
        <v>0</v>
      </c>
      <c r="DQ355" s="541"/>
      <c r="DR355" s="541"/>
      <c r="DS355" s="541"/>
      <c r="DT355" s="541"/>
      <c r="DU355" s="541"/>
      <c r="DV355" s="541"/>
      <c r="DW355" s="541"/>
      <c r="DX355" s="541"/>
      <c r="DY355" s="541"/>
      <c r="DZ355" s="541"/>
    </row>
    <row r="356" spans="2:130" x14ac:dyDescent="0.25">
      <c r="B356" s="334">
        <v>49</v>
      </c>
      <c r="C356" s="541"/>
      <c r="D356" s="334"/>
      <c r="E356" s="334"/>
      <c r="F356" s="334"/>
      <c r="G356" s="334"/>
      <c r="H356" s="334"/>
      <c r="I356" s="334"/>
      <c r="J356" s="536"/>
      <c r="K356" s="536"/>
      <c r="L356" s="536"/>
      <c r="M356" s="536"/>
      <c r="N356" s="536"/>
      <c r="O356" s="536"/>
      <c r="P356" s="536">
        <f t="shared" si="126"/>
        <v>0</v>
      </c>
      <c r="Q356" s="536"/>
      <c r="R356" s="536"/>
      <c r="S356" s="536"/>
      <c r="T356" s="536">
        <f t="shared" si="127"/>
        <v>0</v>
      </c>
      <c r="U356" s="536"/>
      <c r="V356" s="536"/>
      <c r="W356" s="536"/>
      <c r="X356" s="536">
        <f t="shared" si="128"/>
        <v>0</v>
      </c>
      <c r="Y356" s="536"/>
      <c r="Z356" s="536"/>
      <c r="AA356" s="536"/>
      <c r="AB356" s="536">
        <f t="shared" si="129"/>
        <v>0</v>
      </c>
      <c r="AC356" s="536"/>
      <c r="AD356" s="536"/>
      <c r="AE356" s="536"/>
      <c r="AF356" s="536">
        <f t="shared" si="130"/>
        <v>0</v>
      </c>
      <c r="AG356" s="536"/>
      <c r="AH356" s="536"/>
      <c r="AI356" s="536"/>
      <c r="AJ356" s="536">
        <f t="shared" si="131"/>
        <v>0</v>
      </c>
      <c r="AK356" s="536"/>
      <c r="AL356" s="536"/>
      <c r="AM356" s="536"/>
      <c r="AN356" s="542">
        <f t="shared" si="132"/>
        <v>0</v>
      </c>
      <c r="AO356" s="536"/>
      <c r="AP356" s="536"/>
      <c r="AQ356" s="536"/>
      <c r="AR356" s="542">
        <f t="shared" si="133"/>
        <v>0</v>
      </c>
      <c r="AS356" s="536"/>
      <c r="AT356" s="536"/>
      <c r="AU356" s="536"/>
      <c r="AV356" s="542">
        <f t="shared" si="134"/>
        <v>0</v>
      </c>
      <c r="AW356" s="536"/>
      <c r="AX356" s="536"/>
      <c r="AY356" s="536"/>
      <c r="AZ356" s="542">
        <f t="shared" si="135"/>
        <v>0</v>
      </c>
      <c r="BA356" s="536"/>
      <c r="BB356" s="536"/>
      <c r="BC356" s="536"/>
      <c r="BD356" s="542">
        <f t="shared" si="136"/>
        <v>0</v>
      </c>
      <c r="BE356" s="536"/>
      <c r="BF356" s="536"/>
      <c r="BG356" s="536"/>
      <c r="BH356" s="542">
        <f t="shared" si="137"/>
        <v>0</v>
      </c>
      <c r="BI356" s="536"/>
      <c r="BJ356" s="536"/>
      <c r="BK356" s="536"/>
      <c r="BL356" s="542">
        <f t="shared" si="138"/>
        <v>0</v>
      </c>
      <c r="BM356" s="536"/>
      <c r="BN356" s="536"/>
      <c r="BO356" s="536"/>
      <c r="BP356" s="542">
        <f t="shared" si="139"/>
        <v>0</v>
      </c>
      <c r="BQ356" s="536"/>
      <c r="BR356" s="536"/>
      <c r="BS356" s="536"/>
      <c r="BT356" s="542">
        <f t="shared" si="140"/>
        <v>0</v>
      </c>
      <c r="BU356" s="536"/>
      <c r="BV356" s="536"/>
      <c r="BW356" s="536"/>
      <c r="BX356" s="542">
        <f t="shared" si="141"/>
        <v>0</v>
      </c>
      <c r="BY356" s="536"/>
      <c r="BZ356" s="536"/>
      <c r="CA356" s="536"/>
      <c r="CB356" s="542">
        <v>0</v>
      </c>
      <c r="CC356" s="536"/>
      <c r="CD356" s="536"/>
      <c r="CE356" s="536"/>
      <c r="CF356" s="541">
        <f t="shared" si="142"/>
        <v>0</v>
      </c>
      <c r="CG356" s="536"/>
      <c r="CH356" s="536"/>
      <c r="CI356" s="536"/>
      <c r="CJ356" s="541">
        <f t="shared" si="143"/>
        <v>0</v>
      </c>
      <c r="CK356" s="536"/>
      <c r="CL356" s="536"/>
      <c r="CM356" s="536"/>
      <c r="CN356" s="541">
        <f t="shared" si="144"/>
        <v>0</v>
      </c>
      <c r="CO356" s="536"/>
      <c r="CP356" s="536"/>
      <c r="CQ356" s="536"/>
      <c r="CR356" s="541">
        <f t="shared" si="145"/>
        <v>0</v>
      </c>
      <c r="CS356" s="536"/>
      <c r="CT356" s="536"/>
      <c r="CU356" s="536"/>
      <c r="CV356" s="541">
        <f t="shared" si="146"/>
        <v>0</v>
      </c>
      <c r="CW356" s="536"/>
      <c r="CX356" s="536"/>
      <c r="CY356" s="536"/>
      <c r="CZ356" s="541">
        <f t="shared" si="147"/>
        <v>0</v>
      </c>
      <c r="DA356" s="536"/>
      <c r="DB356" s="536"/>
      <c r="DC356" s="536"/>
      <c r="DD356" s="541">
        <f t="shared" si="148"/>
        <v>0</v>
      </c>
      <c r="DE356" s="536"/>
      <c r="DF356" s="536"/>
      <c r="DG356" s="536"/>
      <c r="DH356" s="541">
        <f t="shared" si="149"/>
        <v>0</v>
      </c>
      <c r="DI356" s="536"/>
      <c r="DJ356" s="536"/>
      <c r="DK356" s="536"/>
      <c r="DL356" s="541">
        <f t="shared" si="150"/>
        <v>0</v>
      </c>
      <c r="DM356" s="536"/>
      <c r="DN356" s="536"/>
      <c r="DO356" s="536"/>
      <c r="DP356" s="541">
        <f>IF( SUM((DJ356*(20/100))+(DK356*(30/100))+(DL356*(50/100))) &gt;=9.3,9.5,
IF(AND( SUM((DJ356*(20/100))+(DK356*(30/100))+(DL356*(50/100))) &lt;=9.3, SUM((DJ356*(20/100))+(DK356*(30/100))+(DL356*(50/100))) &gt;=8.8),9,
IF(AND( SUM((DJ356*(20/100))+(DK356*(30/100))+(DL356*(50/100))) &lt;=8.8, SUM((DJ356*(20/100))+(DK356*(30/100))+(DL356*(50/100))) &gt;=8.3),8.5,
IF(AND( SUM((DJ356*(20/100))+(DK356*(30/100))+(DL356*(50/100))) &lt;=8.3, SUM((DJ356*(20/100))+(DK356*(30/100))+(DL356*(50/100))) &gt;=7.8),8,
IF(AND( SUM((DJ356*(20/100))+(DK356*(30/100))+(DL356*(50/100))) &lt;=7.8, SUM((DJ356*(20/100))+(DK356*(30/100))+(DL356*(50/100))) &gt;=7.3),7.5,
IF(AND( SUM((DJ356*(20/100))+(DK356*(30/100))+(DL356*(50/100))) &lt;=7.3, SUM((DJ356*(20/100))+(DK356*(30/100))+(DL356*(50/100))) &gt;=6.8),7,
IF(AND( SUM((DJ356*(20/100))+(DK356*(30/100))+(DL356*(50/100))) &lt;=6.8, SUM((DJ356*(20/100))+(DK356*(30/100))+(DL356*(50/100))) &gt;=6.3),6.5,
IF(AND( SUM((DJ356*(20/100))+(DK356*(30/100))+(DL356*(50/100))) &lt;=6.3, SUM((DJ356*(20/100))+(DK356*(30/100))+(DL356*(50/100))) &gt;=5.8),6,
IF(AND( SUM((DJ356*(20/100))+(DK356*(30/100))+(DL356*(50/100))) &lt;=5.8, SUM((DJ356*(20/100))+(DK356*(30/100))+(DL356*(50/100))) &gt;=5.3),5.5,
IF(AND( SUM((DJ356*(20/100))+(DK356*(30/100))+(DL356*(50/100))) &lt;=5.3, SUM((DJ356*(20/100))+(DK356*(30/100))+(DL356*(50/100))) &gt;=4.8),5,
IF(AND( SUM((DJ356*(20/100))+(DK356*(30/100))+(DL356*(50/100))) &lt;=4.8, SUM((DJ356*(20/100))+(DK356*(30/100))+(DL356*(50/100))) &gt;=4.3),4.5,
IF(AND( SUM((DJ356*(20/100))+(DK356*(30/100))+(DL356*(50/100))) &lt;=4.3, SUM((DJ356*(20/100))+(DK356*(30/100))+(DL356*(50/100))) &gt;=3.8),4,
IF(AND( SUM((DJ356*(20/100))+(DK356*(30/100))+(DL356*(50/100))) &lt;=3.8, SUM((DJ356*(20/100))+(DK356*(30/100))+(DL356*(50/100))) &gt;=3.5),3.5,0)))))))))))))</f>
        <v>0</v>
      </c>
      <c r="DQ356" s="541"/>
      <c r="DR356" s="541"/>
      <c r="DS356" s="541"/>
      <c r="DT356" s="541"/>
      <c r="DU356" s="541"/>
      <c r="DV356" s="541"/>
      <c r="DW356" s="541"/>
      <c r="DX356" s="541"/>
      <c r="DY356" s="541"/>
      <c r="DZ356" s="541"/>
    </row>
    <row r="357" spans="2:130" x14ac:dyDescent="0.25">
      <c r="B357" s="334">
        <v>50</v>
      </c>
      <c r="C357" s="541"/>
      <c r="D357" s="334"/>
      <c r="E357" s="334"/>
      <c r="F357" s="334"/>
      <c r="G357" s="334"/>
      <c r="H357" s="334"/>
      <c r="I357" s="334"/>
      <c r="J357" s="536"/>
      <c r="K357" s="536"/>
      <c r="L357" s="536"/>
      <c r="M357" s="536"/>
      <c r="N357" s="536"/>
      <c r="O357" s="536"/>
      <c r="P357" s="536">
        <f t="shared" si="126"/>
        <v>0</v>
      </c>
      <c r="Q357" s="536"/>
      <c r="R357" s="536"/>
      <c r="S357" s="536"/>
      <c r="T357" s="536">
        <f t="shared" si="127"/>
        <v>0</v>
      </c>
      <c r="U357" s="536"/>
      <c r="V357" s="536"/>
      <c r="W357" s="536"/>
      <c r="X357" s="536">
        <f t="shared" si="128"/>
        <v>0</v>
      </c>
      <c r="Y357" s="536"/>
      <c r="Z357" s="536"/>
      <c r="AA357" s="536"/>
      <c r="AB357" s="536">
        <f t="shared" si="129"/>
        <v>0</v>
      </c>
      <c r="AC357" s="536"/>
      <c r="AD357" s="536"/>
      <c r="AE357" s="536"/>
      <c r="AF357" s="536">
        <f t="shared" si="130"/>
        <v>0</v>
      </c>
      <c r="AG357" s="536"/>
      <c r="AH357" s="536"/>
      <c r="AI357" s="536"/>
      <c r="AJ357" s="536">
        <f t="shared" si="131"/>
        <v>0</v>
      </c>
      <c r="AK357" s="536"/>
      <c r="AL357" s="536"/>
      <c r="AM357" s="536"/>
      <c r="AN357" s="542">
        <f t="shared" si="132"/>
        <v>0</v>
      </c>
      <c r="AO357" s="536"/>
      <c r="AP357" s="536"/>
      <c r="AQ357" s="536"/>
      <c r="AR357" s="542">
        <f t="shared" si="133"/>
        <v>0</v>
      </c>
      <c r="AS357" s="536"/>
      <c r="AT357" s="536"/>
      <c r="AU357" s="536"/>
      <c r="AV357" s="542">
        <f t="shared" si="134"/>
        <v>0</v>
      </c>
      <c r="AW357" s="536"/>
      <c r="AX357" s="536"/>
      <c r="AY357" s="536"/>
      <c r="AZ357" s="542">
        <f t="shared" si="135"/>
        <v>0</v>
      </c>
      <c r="BA357" s="536"/>
      <c r="BB357" s="536"/>
      <c r="BC357" s="536"/>
      <c r="BD357" s="542">
        <f t="shared" si="136"/>
        <v>0</v>
      </c>
      <c r="BE357" s="536"/>
      <c r="BF357" s="536"/>
      <c r="BG357" s="536"/>
      <c r="BH357" s="542">
        <f t="shared" si="137"/>
        <v>0</v>
      </c>
      <c r="BI357" s="536"/>
      <c r="BJ357" s="536"/>
      <c r="BK357" s="536"/>
      <c r="BL357" s="542">
        <f t="shared" si="138"/>
        <v>0</v>
      </c>
      <c r="BM357" s="536"/>
      <c r="BN357" s="536"/>
      <c r="BO357" s="536"/>
      <c r="BP357" s="542">
        <f t="shared" si="139"/>
        <v>0</v>
      </c>
      <c r="BQ357" s="536"/>
      <c r="BR357" s="536"/>
      <c r="BS357" s="536"/>
      <c r="BT357" s="542">
        <f t="shared" si="140"/>
        <v>0</v>
      </c>
      <c r="BU357" s="536"/>
      <c r="BV357" s="536"/>
      <c r="BW357" s="536"/>
      <c r="BX357" s="542">
        <f t="shared" si="141"/>
        <v>0</v>
      </c>
      <c r="BY357" s="536"/>
      <c r="BZ357" s="536"/>
      <c r="CA357" s="536"/>
      <c r="CB357" s="542">
        <v>0</v>
      </c>
      <c r="CC357" s="536"/>
      <c r="CD357" s="536"/>
      <c r="CE357" s="536"/>
      <c r="CF357" s="541">
        <f t="shared" si="142"/>
        <v>0</v>
      </c>
      <c r="CG357" s="536"/>
      <c r="CH357" s="536"/>
      <c r="CI357" s="536"/>
      <c r="CJ357" s="541">
        <f t="shared" si="143"/>
        <v>0</v>
      </c>
      <c r="CK357" s="536"/>
      <c r="CL357" s="536"/>
      <c r="CM357" s="536"/>
      <c r="CN357" s="541">
        <f t="shared" si="144"/>
        <v>0</v>
      </c>
      <c r="CO357" s="536"/>
      <c r="CP357" s="536"/>
      <c r="CQ357" s="536"/>
      <c r="CR357" s="541">
        <f t="shared" si="145"/>
        <v>0</v>
      </c>
      <c r="CS357" s="536"/>
      <c r="CT357" s="536"/>
      <c r="CU357" s="536"/>
      <c r="CV357" s="541">
        <f t="shared" si="146"/>
        <v>0</v>
      </c>
      <c r="CW357" s="536"/>
      <c r="CX357" s="536"/>
      <c r="CY357" s="536"/>
      <c r="CZ357" s="541">
        <f t="shared" si="147"/>
        <v>0</v>
      </c>
      <c r="DA357" s="536"/>
      <c r="DB357" s="536"/>
      <c r="DC357" s="536"/>
      <c r="DD357" s="541">
        <f t="shared" si="148"/>
        <v>0</v>
      </c>
      <c r="DE357" s="536"/>
      <c r="DF357" s="536"/>
      <c r="DG357" s="536"/>
      <c r="DH357" s="541">
        <f t="shared" si="149"/>
        <v>0</v>
      </c>
      <c r="DI357" s="536"/>
      <c r="DJ357" s="536"/>
      <c r="DK357" s="536"/>
      <c r="DL357" s="541">
        <f t="shared" si="150"/>
        <v>0</v>
      </c>
      <c r="DM357" s="536"/>
      <c r="DN357" s="536"/>
      <c r="DO357" s="536"/>
      <c r="DP357" s="541">
        <f>IF( SUM((DJ357*(20/100))+(DK357*(30/100))+(DL357*(50/100))) &gt;=9.3,9.5,
IF(AND( SUM((DJ357*(20/100))+(DK357*(30/100))+(DL357*(50/100))) &lt;=9.3, SUM((DJ357*(20/100))+(DK357*(30/100))+(DL357*(50/100))) &gt;=8.8),9,
IF(AND( SUM((DJ357*(20/100))+(DK357*(30/100))+(DL357*(50/100))) &lt;=8.8, SUM((DJ357*(20/100))+(DK357*(30/100))+(DL357*(50/100))) &gt;=8.3),8.5,
IF(AND( SUM((DJ357*(20/100))+(DK357*(30/100))+(DL357*(50/100))) &lt;=8.3, SUM((DJ357*(20/100))+(DK357*(30/100))+(DL357*(50/100))) &gt;=7.8),8,
IF(AND( SUM((DJ357*(20/100))+(DK357*(30/100))+(DL357*(50/100))) &lt;=7.8, SUM((DJ357*(20/100))+(DK357*(30/100))+(DL357*(50/100))) &gt;=7.3),7.5,
IF(AND( SUM((DJ357*(20/100))+(DK357*(30/100))+(DL357*(50/100))) &lt;=7.3, SUM((DJ357*(20/100))+(DK357*(30/100))+(DL357*(50/100))) &gt;=6.8),7,
IF(AND( SUM((DJ357*(20/100))+(DK357*(30/100))+(DL357*(50/100))) &lt;=6.8, SUM((DJ357*(20/100))+(DK357*(30/100))+(DL357*(50/100))) &gt;=6.3),6.5,
IF(AND( SUM((DJ357*(20/100))+(DK357*(30/100))+(DL357*(50/100))) &lt;=6.3, SUM((DJ357*(20/100))+(DK357*(30/100))+(DL357*(50/100))) &gt;=5.8),6,
IF(AND( SUM((DJ357*(20/100))+(DK357*(30/100))+(DL357*(50/100))) &lt;=5.8, SUM((DJ357*(20/100))+(DK357*(30/100))+(DL357*(50/100))) &gt;=5.3),5.5,
IF(AND( SUM((DJ357*(20/100))+(DK357*(30/100))+(DL357*(50/100))) &lt;=5.3, SUM((DJ357*(20/100))+(DK357*(30/100))+(DL357*(50/100))) &gt;=4.8),5,
IF(AND( SUM((DJ357*(20/100))+(DK357*(30/100))+(DL357*(50/100))) &lt;=4.8, SUM((DJ357*(20/100))+(DK357*(30/100))+(DL357*(50/100))) &gt;=4.3),4.5,
IF(AND( SUM((DJ357*(20/100))+(DK357*(30/100))+(DL357*(50/100))) &lt;=4.3, SUM((DJ357*(20/100))+(DK357*(30/100))+(DL357*(50/100))) &gt;=3.8),4,
IF(AND( SUM((DJ357*(20/100))+(DK357*(30/100))+(DL357*(50/100))) &lt;=3.8, SUM((DJ357*(20/100))+(DK357*(30/100))+(DL357*(50/100))) &gt;=3.5),3.5,0)))))))))))))</f>
        <v>0</v>
      </c>
      <c r="DQ357" s="541"/>
      <c r="DR357" s="541"/>
      <c r="DS357" s="541"/>
      <c r="DT357" s="541"/>
      <c r="DU357" s="541"/>
      <c r="DV357" s="541"/>
      <c r="DW357" s="541"/>
      <c r="DX357" s="541"/>
      <c r="DY357" s="541"/>
      <c r="DZ357" s="541"/>
    </row>
    <row r="358" spans="2:130" x14ac:dyDescent="0.25">
      <c r="B358" s="334">
        <v>1</v>
      </c>
      <c r="C358" s="541"/>
      <c r="D358" s="334"/>
      <c r="E358" s="334"/>
      <c r="F358" s="334"/>
      <c r="G358" s="334"/>
      <c r="H358" s="334"/>
      <c r="I358" s="334"/>
      <c r="J358" s="536"/>
      <c r="K358" s="536"/>
      <c r="L358" s="536"/>
      <c r="M358" s="536"/>
      <c r="N358" s="536"/>
      <c r="O358" s="536"/>
      <c r="P358" s="536">
        <f t="shared" si="126"/>
        <v>0</v>
      </c>
      <c r="Q358" s="536"/>
      <c r="R358" s="536"/>
      <c r="S358" s="536"/>
      <c r="T358" s="536">
        <f t="shared" si="127"/>
        <v>0</v>
      </c>
      <c r="U358" s="536"/>
      <c r="V358" s="536"/>
      <c r="W358" s="536"/>
      <c r="X358" s="536">
        <f t="shared" si="128"/>
        <v>0</v>
      </c>
      <c r="Y358" s="536"/>
      <c r="Z358" s="536"/>
      <c r="AA358" s="536"/>
      <c r="AB358" s="536">
        <f t="shared" si="129"/>
        <v>0</v>
      </c>
      <c r="AC358" s="536"/>
      <c r="AD358" s="536"/>
      <c r="AE358" s="536"/>
      <c r="AF358" s="536">
        <f t="shared" si="130"/>
        <v>0</v>
      </c>
      <c r="AG358" s="536"/>
      <c r="AH358" s="536"/>
      <c r="AI358" s="536"/>
      <c r="AJ358" s="536">
        <f t="shared" si="131"/>
        <v>0</v>
      </c>
      <c r="AK358" s="536"/>
      <c r="AL358" s="536"/>
      <c r="AM358" s="536"/>
      <c r="AN358" s="542">
        <f t="shared" si="132"/>
        <v>0</v>
      </c>
      <c r="AO358" s="536"/>
      <c r="AP358" s="536"/>
      <c r="AQ358" s="536"/>
      <c r="AR358" s="542">
        <f t="shared" si="133"/>
        <v>0</v>
      </c>
      <c r="AS358" s="536"/>
      <c r="AT358" s="536"/>
      <c r="AU358" s="536"/>
      <c r="AV358" s="542">
        <f t="shared" si="134"/>
        <v>0</v>
      </c>
      <c r="AW358" s="536"/>
      <c r="AX358" s="536"/>
      <c r="AY358" s="536"/>
      <c r="AZ358" s="542">
        <f t="shared" si="135"/>
        <v>0</v>
      </c>
      <c r="BA358" s="536"/>
      <c r="BB358" s="536"/>
      <c r="BC358" s="536"/>
      <c r="BD358" s="542">
        <f t="shared" si="136"/>
        <v>0</v>
      </c>
      <c r="BE358" s="536"/>
      <c r="BF358" s="536"/>
      <c r="BG358" s="536"/>
      <c r="BH358" s="542">
        <f t="shared" si="137"/>
        <v>0</v>
      </c>
      <c r="BI358" s="536"/>
      <c r="BJ358" s="536"/>
      <c r="BK358" s="536"/>
      <c r="BL358" s="542">
        <f t="shared" si="138"/>
        <v>0</v>
      </c>
      <c r="BM358" s="536"/>
      <c r="BN358" s="536"/>
      <c r="BO358" s="536"/>
      <c r="BP358" s="542">
        <f t="shared" si="139"/>
        <v>0</v>
      </c>
      <c r="BQ358" s="536"/>
      <c r="BR358" s="536"/>
      <c r="BS358" s="536"/>
      <c r="BT358" s="542">
        <f t="shared" si="140"/>
        <v>0</v>
      </c>
      <c r="BU358" s="536"/>
      <c r="BV358" s="536"/>
      <c r="BW358" s="536"/>
      <c r="BX358" s="542">
        <f t="shared" si="141"/>
        <v>0</v>
      </c>
      <c r="BY358" s="536"/>
      <c r="BZ358" s="536"/>
      <c r="CA358" s="536"/>
      <c r="CB358" s="542">
        <v>0</v>
      </c>
      <c r="CC358" s="536"/>
      <c r="CD358" s="536"/>
      <c r="CE358" s="536"/>
      <c r="CF358" s="541">
        <f t="shared" si="142"/>
        <v>0</v>
      </c>
      <c r="CG358" s="536"/>
      <c r="CH358" s="536"/>
      <c r="CI358" s="536"/>
      <c r="CJ358" s="541">
        <f t="shared" si="143"/>
        <v>0</v>
      </c>
      <c r="CK358" s="536"/>
      <c r="CL358" s="536"/>
      <c r="CM358" s="536"/>
      <c r="CN358" s="541">
        <f t="shared" si="144"/>
        <v>0</v>
      </c>
      <c r="CO358" s="536"/>
      <c r="CP358" s="536"/>
      <c r="CQ358" s="536"/>
      <c r="CR358" s="541">
        <f t="shared" si="145"/>
        <v>0</v>
      </c>
      <c r="CS358" s="536"/>
      <c r="CT358" s="536"/>
      <c r="CU358" s="536"/>
      <c r="CV358" s="541">
        <f t="shared" si="146"/>
        <v>0</v>
      </c>
      <c r="CW358" s="536"/>
      <c r="CX358" s="536"/>
      <c r="CY358" s="536"/>
      <c r="CZ358" s="541">
        <f t="shared" si="147"/>
        <v>0</v>
      </c>
      <c r="DA358" s="536"/>
      <c r="DB358" s="536"/>
      <c r="DC358" s="536"/>
      <c r="DD358" s="541">
        <f t="shared" si="148"/>
        <v>0</v>
      </c>
      <c r="DE358" s="536"/>
      <c r="DF358" s="536"/>
      <c r="DG358" s="536"/>
      <c r="DH358" s="541">
        <f t="shared" si="149"/>
        <v>0</v>
      </c>
      <c r="DI358" s="536"/>
      <c r="DJ358" s="536"/>
      <c r="DK358" s="536"/>
      <c r="DL358" s="541">
        <f t="shared" si="150"/>
        <v>0</v>
      </c>
      <c r="DM358" s="536"/>
      <c r="DN358" s="536"/>
      <c r="DO358" s="536"/>
      <c r="DP358" s="541">
        <f>IF( SUM((DJ358*(20/100))+(DK358*(30/100))+(DL358*(50/100))) &gt;=9.3,9.5,
IF(AND( SUM((DJ358*(20/100))+(DK358*(30/100))+(DL358*(50/100))) &lt;=9.3, SUM((DJ358*(20/100))+(DK358*(30/100))+(DL358*(50/100))) &gt;=8.8),9,
IF(AND( SUM((DJ358*(20/100))+(DK358*(30/100))+(DL358*(50/100))) &lt;=8.8, SUM((DJ358*(20/100))+(DK358*(30/100))+(DL358*(50/100))) &gt;=8.3),8.5,
IF(AND( SUM((DJ358*(20/100))+(DK358*(30/100))+(DL358*(50/100))) &lt;=8.3, SUM((DJ358*(20/100))+(DK358*(30/100))+(DL358*(50/100))) &gt;=7.8),8,
IF(AND( SUM((DJ358*(20/100))+(DK358*(30/100))+(DL358*(50/100))) &lt;=7.8, SUM((DJ358*(20/100))+(DK358*(30/100))+(DL358*(50/100))) &gt;=7.3),7.5,
IF(AND( SUM((DJ358*(20/100))+(DK358*(30/100))+(DL358*(50/100))) &lt;=7.3, SUM((DJ358*(20/100))+(DK358*(30/100))+(DL358*(50/100))) &gt;=6.8),7,
IF(AND( SUM((DJ358*(20/100))+(DK358*(30/100))+(DL358*(50/100))) &lt;=6.8, SUM((DJ358*(20/100))+(DK358*(30/100))+(DL358*(50/100))) &gt;=6.3),6.5,
IF(AND( SUM((DJ358*(20/100))+(DK358*(30/100))+(DL358*(50/100))) &lt;=6.3, SUM((DJ358*(20/100))+(DK358*(30/100))+(DL358*(50/100))) &gt;=5.8),6,
IF(AND( SUM((DJ358*(20/100))+(DK358*(30/100))+(DL358*(50/100))) &lt;=5.8, SUM((DJ358*(20/100))+(DK358*(30/100))+(DL358*(50/100))) &gt;=5.3),5.5,
IF(AND( SUM((DJ358*(20/100))+(DK358*(30/100))+(DL358*(50/100))) &lt;=5.3, SUM((DJ358*(20/100))+(DK358*(30/100))+(DL358*(50/100))) &gt;=4.8),5,
IF(AND( SUM((DJ358*(20/100))+(DK358*(30/100))+(DL358*(50/100))) &lt;=4.8, SUM((DJ358*(20/100))+(DK358*(30/100))+(DL358*(50/100))) &gt;=4.3),4.5,
IF(AND( SUM((DJ358*(20/100))+(DK358*(30/100))+(DL358*(50/100))) &lt;=4.3, SUM((DJ358*(20/100))+(DK358*(30/100))+(DL358*(50/100))) &gt;=3.8),4,
IF(AND( SUM((DJ358*(20/100))+(DK358*(30/100))+(DL358*(50/100))) &lt;=3.8, SUM((DJ358*(20/100))+(DK358*(30/100))+(DL358*(50/100))) &gt;=3.5),3.5,0)))))))))))))</f>
        <v>0</v>
      </c>
      <c r="DQ358" s="541"/>
      <c r="DR358" s="541"/>
      <c r="DS358" s="541"/>
      <c r="DT358" s="541"/>
      <c r="DU358" s="541"/>
      <c r="DV358" s="541"/>
      <c r="DW358" s="541"/>
      <c r="DX358" s="541"/>
      <c r="DY358" s="541"/>
      <c r="DZ358" s="541"/>
    </row>
    <row r="359" spans="2:130" x14ac:dyDescent="0.25">
      <c r="B359" s="334">
        <v>2</v>
      </c>
      <c r="C359" s="541"/>
      <c r="D359" s="334"/>
      <c r="E359" s="334"/>
      <c r="F359" s="334"/>
      <c r="G359" s="334"/>
      <c r="H359" s="334"/>
      <c r="I359" s="334"/>
      <c r="J359" s="536"/>
      <c r="K359" s="536"/>
      <c r="L359" s="536"/>
      <c r="M359" s="536"/>
      <c r="N359" s="536"/>
      <c r="O359" s="536"/>
      <c r="P359" s="536">
        <f t="shared" si="126"/>
        <v>0</v>
      </c>
      <c r="Q359" s="536"/>
      <c r="R359" s="536"/>
      <c r="S359" s="536"/>
      <c r="T359" s="536">
        <f t="shared" si="127"/>
        <v>0</v>
      </c>
      <c r="U359" s="536"/>
      <c r="V359" s="536"/>
      <c r="W359" s="536"/>
      <c r="X359" s="536">
        <f t="shared" si="128"/>
        <v>0</v>
      </c>
      <c r="Y359" s="536"/>
      <c r="Z359" s="536"/>
      <c r="AA359" s="536"/>
      <c r="AB359" s="536">
        <f t="shared" si="129"/>
        <v>0</v>
      </c>
      <c r="AC359" s="536"/>
      <c r="AD359" s="536"/>
      <c r="AE359" s="536"/>
      <c r="AF359" s="536">
        <f t="shared" si="130"/>
        <v>0</v>
      </c>
      <c r="AG359" s="536"/>
      <c r="AH359" s="536"/>
      <c r="AI359" s="536"/>
      <c r="AJ359" s="536">
        <f t="shared" si="131"/>
        <v>0</v>
      </c>
      <c r="AK359" s="536"/>
      <c r="AL359" s="536"/>
      <c r="AM359" s="536"/>
      <c r="AN359" s="542">
        <f t="shared" si="132"/>
        <v>0</v>
      </c>
      <c r="AO359" s="536"/>
      <c r="AP359" s="536"/>
      <c r="AQ359" s="536"/>
      <c r="AR359" s="542">
        <f t="shared" si="133"/>
        <v>0</v>
      </c>
      <c r="AS359" s="536"/>
      <c r="AT359" s="536"/>
      <c r="AU359" s="536"/>
      <c r="AV359" s="542">
        <f t="shared" si="134"/>
        <v>0</v>
      </c>
      <c r="AW359" s="536"/>
      <c r="AX359" s="536"/>
      <c r="AY359" s="536"/>
      <c r="AZ359" s="542">
        <f t="shared" si="135"/>
        <v>0</v>
      </c>
      <c r="BA359" s="536"/>
      <c r="BB359" s="536"/>
      <c r="BC359" s="536"/>
      <c r="BD359" s="542">
        <f t="shared" si="136"/>
        <v>0</v>
      </c>
      <c r="BE359" s="536"/>
      <c r="BF359" s="536"/>
      <c r="BG359" s="536"/>
      <c r="BH359" s="542">
        <f t="shared" si="137"/>
        <v>0</v>
      </c>
      <c r="BI359" s="536"/>
      <c r="BJ359" s="536"/>
      <c r="BK359" s="536"/>
      <c r="BL359" s="542">
        <f t="shared" si="138"/>
        <v>0</v>
      </c>
      <c r="BM359" s="536"/>
      <c r="BN359" s="536"/>
      <c r="BO359" s="536"/>
      <c r="BP359" s="542">
        <f t="shared" si="139"/>
        <v>0</v>
      </c>
      <c r="BQ359" s="536"/>
      <c r="BR359" s="536"/>
      <c r="BS359" s="536"/>
      <c r="BT359" s="542">
        <f t="shared" si="140"/>
        <v>0</v>
      </c>
      <c r="BU359" s="536"/>
      <c r="BV359" s="536"/>
      <c r="BW359" s="536"/>
      <c r="BX359" s="542">
        <f t="shared" si="141"/>
        <v>0</v>
      </c>
      <c r="BY359" s="536"/>
      <c r="BZ359" s="536"/>
      <c r="CA359" s="536"/>
      <c r="CB359" s="542">
        <v>0</v>
      </c>
      <c r="CC359" s="536"/>
      <c r="CD359" s="536"/>
      <c r="CE359" s="536"/>
      <c r="CF359" s="541">
        <f t="shared" si="142"/>
        <v>0</v>
      </c>
      <c r="CG359" s="536"/>
      <c r="CH359" s="536"/>
      <c r="CI359" s="536"/>
      <c r="CJ359" s="541">
        <f t="shared" si="143"/>
        <v>0</v>
      </c>
      <c r="CK359" s="536"/>
      <c r="CL359" s="536"/>
      <c r="CM359" s="536"/>
      <c r="CN359" s="541">
        <f t="shared" si="144"/>
        <v>0</v>
      </c>
      <c r="CO359" s="536"/>
      <c r="CP359" s="536"/>
      <c r="CQ359" s="536"/>
      <c r="CR359" s="541">
        <f t="shared" si="145"/>
        <v>0</v>
      </c>
      <c r="CS359" s="536"/>
      <c r="CT359" s="536"/>
      <c r="CU359" s="536"/>
      <c r="CV359" s="541">
        <f t="shared" si="146"/>
        <v>0</v>
      </c>
      <c r="CW359" s="536"/>
      <c r="CX359" s="536"/>
      <c r="CY359" s="536"/>
      <c r="CZ359" s="541">
        <f t="shared" si="147"/>
        <v>0</v>
      </c>
      <c r="DA359" s="536"/>
      <c r="DB359" s="536"/>
      <c r="DC359" s="536"/>
      <c r="DD359" s="541">
        <f t="shared" si="148"/>
        <v>0</v>
      </c>
      <c r="DE359" s="536"/>
      <c r="DF359" s="536"/>
      <c r="DG359" s="536"/>
      <c r="DH359" s="541">
        <f t="shared" si="149"/>
        <v>0</v>
      </c>
      <c r="DI359" s="536"/>
      <c r="DJ359" s="536"/>
      <c r="DK359" s="536"/>
      <c r="DL359" s="541">
        <f t="shared" si="150"/>
        <v>0</v>
      </c>
      <c r="DM359" s="536"/>
      <c r="DN359" s="536"/>
      <c r="DO359" s="536"/>
      <c r="DP359" s="541">
        <f>IF( SUM((DJ359*(20/100))+(DK359*(30/100))+(DL359*(50/100))) &gt;=9.3,9.5,
IF(AND( SUM((DJ359*(20/100))+(DK359*(30/100))+(DL359*(50/100))) &lt;=9.3, SUM((DJ359*(20/100))+(DK359*(30/100))+(DL359*(50/100))) &gt;=8.8),9,
IF(AND( SUM((DJ359*(20/100))+(DK359*(30/100))+(DL359*(50/100))) &lt;=8.8, SUM((DJ359*(20/100))+(DK359*(30/100))+(DL359*(50/100))) &gt;=8.3),8.5,
IF(AND( SUM((DJ359*(20/100))+(DK359*(30/100))+(DL359*(50/100))) &lt;=8.3, SUM((DJ359*(20/100))+(DK359*(30/100))+(DL359*(50/100))) &gt;=7.8),8,
IF(AND( SUM((DJ359*(20/100))+(DK359*(30/100))+(DL359*(50/100))) &lt;=7.8, SUM((DJ359*(20/100))+(DK359*(30/100))+(DL359*(50/100))) &gt;=7.3),7.5,
IF(AND( SUM((DJ359*(20/100))+(DK359*(30/100))+(DL359*(50/100))) &lt;=7.3, SUM((DJ359*(20/100))+(DK359*(30/100))+(DL359*(50/100))) &gt;=6.8),7,
IF(AND( SUM((DJ359*(20/100))+(DK359*(30/100))+(DL359*(50/100))) &lt;=6.8, SUM((DJ359*(20/100))+(DK359*(30/100))+(DL359*(50/100))) &gt;=6.3),6.5,
IF(AND( SUM((DJ359*(20/100))+(DK359*(30/100))+(DL359*(50/100))) &lt;=6.3, SUM((DJ359*(20/100))+(DK359*(30/100))+(DL359*(50/100))) &gt;=5.8),6,
IF(AND( SUM((DJ359*(20/100))+(DK359*(30/100))+(DL359*(50/100))) &lt;=5.8, SUM((DJ359*(20/100))+(DK359*(30/100))+(DL359*(50/100))) &gt;=5.3),5.5,
IF(AND( SUM((DJ359*(20/100))+(DK359*(30/100))+(DL359*(50/100))) &lt;=5.3, SUM((DJ359*(20/100))+(DK359*(30/100))+(DL359*(50/100))) &gt;=4.8),5,
IF(AND( SUM((DJ359*(20/100))+(DK359*(30/100))+(DL359*(50/100))) &lt;=4.8, SUM((DJ359*(20/100))+(DK359*(30/100))+(DL359*(50/100))) &gt;=4.3),4.5,
IF(AND( SUM((DJ359*(20/100))+(DK359*(30/100))+(DL359*(50/100))) &lt;=4.3, SUM((DJ359*(20/100))+(DK359*(30/100))+(DL359*(50/100))) &gt;=3.8),4,
IF(AND( SUM((DJ359*(20/100))+(DK359*(30/100))+(DL359*(50/100))) &lt;=3.8, SUM((DJ359*(20/100))+(DK359*(30/100))+(DL359*(50/100))) &gt;=3.5),3.5,0)))))))))))))</f>
        <v>0</v>
      </c>
      <c r="DQ359" s="541"/>
      <c r="DR359" s="541"/>
      <c r="DS359" s="541"/>
      <c r="DT359" s="541"/>
      <c r="DU359" s="541"/>
      <c r="DV359" s="541"/>
      <c r="DW359" s="541"/>
      <c r="DX359" s="541"/>
      <c r="DY359" s="541"/>
      <c r="DZ359" s="541"/>
    </row>
    <row r="360" spans="2:130" x14ac:dyDescent="0.25">
      <c r="B360" s="334">
        <v>3</v>
      </c>
      <c r="C360" s="541"/>
      <c r="D360" s="334"/>
      <c r="E360" s="334"/>
      <c r="F360" s="334"/>
      <c r="G360" s="334"/>
      <c r="H360" s="334"/>
      <c r="I360" s="334"/>
      <c r="J360" s="536"/>
      <c r="K360" s="536"/>
      <c r="L360" s="536"/>
      <c r="M360" s="536"/>
      <c r="N360" s="536"/>
      <c r="O360" s="536"/>
      <c r="P360" s="536">
        <f t="shared" si="126"/>
        <v>0</v>
      </c>
      <c r="Q360" s="536"/>
      <c r="R360" s="536"/>
      <c r="S360" s="536"/>
      <c r="T360" s="536">
        <f t="shared" si="127"/>
        <v>0</v>
      </c>
      <c r="U360" s="536"/>
      <c r="V360" s="536"/>
      <c r="W360" s="536"/>
      <c r="X360" s="536">
        <f t="shared" si="128"/>
        <v>0</v>
      </c>
      <c r="Y360" s="536"/>
      <c r="Z360" s="536"/>
      <c r="AA360" s="536"/>
      <c r="AB360" s="536">
        <f t="shared" si="129"/>
        <v>0</v>
      </c>
      <c r="AC360" s="536"/>
      <c r="AD360" s="536"/>
      <c r="AE360" s="536"/>
      <c r="AF360" s="536">
        <f t="shared" si="130"/>
        <v>0</v>
      </c>
      <c r="AG360" s="536"/>
      <c r="AH360" s="536"/>
      <c r="AI360" s="536"/>
      <c r="AJ360" s="536">
        <f t="shared" si="131"/>
        <v>0</v>
      </c>
      <c r="AK360" s="536"/>
      <c r="AL360" s="536"/>
      <c r="AM360" s="536"/>
      <c r="AN360" s="542">
        <f t="shared" si="132"/>
        <v>0</v>
      </c>
      <c r="AO360" s="536"/>
      <c r="AP360" s="536"/>
      <c r="AQ360" s="536"/>
      <c r="AR360" s="542">
        <f t="shared" si="133"/>
        <v>0</v>
      </c>
      <c r="AS360" s="536"/>
      <c r="AT360" s="536"/>
      <c r="AU360" s="536"/>
      <c r="AV360" s="542">
        <f t="shared" si="134"/>
        <v>0</v>
      </c>
      <c r="AW360" s="536"/>
      <c r="AX360" s="536"/>
      <c r="AY360" s="536"/>
      <c r="AZ360" s="542">
        <f t="shared" si="135"/>
        <v>0</v>
      </c>
      <c r="BA360" s="536"/>
      <c r="BB360" s="536"/>
      <c r="BC360" s="536"/>
      <c r="BD360" s="542">
        <f t="shared" si="136"/>
        <v>0</v>
      </c>
      <c r="BE360" s="536"/>
      <c r="BF360" s="536"/>
      <c r="BG360" s="536"/>
      <c r="BH360" s="542">
        <f t="shared" si="137"/>
        <v>0</v>
      </c>
      <c r="BI360" s="536"/>
      <c r="BJ360" s="536"/>
      <c r="BK360" s="536"/>
      <c r="BL360" s="542">
        <f t="shared" si="138"/>
        <v>0</v>
      </c>
      <c r="BM360" s="536"/>
      <c r="BN360" s="536"/>
      <c r="BO360" s="536"/>
      <c r="BP360" s="542">
        <f t="shared" si="139"/>
        <v>0</v>
      </c>
      <c r="BQ360" s="536"/>
      <c r="BR360" s="536"/>
      <c r="BS360" s="536"/>
      <c r="BT360" s="542">
        <f t="shared" si="140"/>
        <v>0</v>
      </c>
      <c r="BU360" s="536"/>
      <c r="BV360" s="536"/>
      <c r="BW360" s="536"/>
      <c r="BX360" s="542">
        <f t="shared" si="141"/>
        <v>0</v>
      </c>
      <c r="BY360" s="536"/>
      <c r="BZ360" s="536"/>
      <c r="CA360" s="536"/>
      <c r="CB360" s="542">
        <v>0</v>
      </c>
      <c r="CC360" s="536"/>
      <c r="CD360" s="536"/>
      <c r="CE360" s="536"/>
      <c r="CF360" s="541">
        <f t="shared" si="142"/>
        <v>0</v>
      </c>
      <c r="CG360" s="536"/>
      <c r="CH360" s="536"/>
      <c r="CI360" s="536"/>
      <c r="CJ360" s="541">
        <f t="shared" si="143"/>
        <v>0</v>
      </c>
      <c r="CK360" s="536"/>
      <c r="CL360" s="536"/>
      <c r="CM360" s="536"/>
      <c r="CN360" s="541">
        <f t="shared" si="144"/>
        <v>0</v>
      </c>
      <c r="CO360" s="536"/>
      <c r="CP360" s="536"/>
      <c r="CQ360" s="536"/>
      <c r="CR360" s="541">
        <f t="shared" si="145"/>
        <v>0</v>
      </c>
      <c r="CS360" s="536"/>
      <c r="CT360" s="536"/>
      <c r="CU360" s="536"/>
      <c r="CV360" s="541">
        <f t="shared" si="146"/>
        <v>0</v>
      </c>
      <c r="CW360" s="536"/>
      <c r="CX360" s="536"/>
      <c r="CY360" s="536"/>
      <c r="CZ360" s="541">
        <f t="shared" si="147"/>
        <v>0</v>
      </c>
      <c r="DA360" s="536"/>
      <c r="DB360" s="536"/>
      <c r="DC360" s="536"/>
      <c r="DD360" s="541">
        <f t="shared" si="148"/>
        <v>0</v>
      </c>
      <c r="DE360" s="536"/>
      <c r="DF360" s="536"/>
      <c r="DG360" s="536"/>
      <c r="DH360" s="541">
        <f t="shared" si="149"/>
        <v>0</v>
      </c>
      <c r="DI360" s="536"/>
      <c r="DJ360" s="536"/>
      <c r="DK360" s="536"/>
      <c r="DL360" s="541">
        <f t="shared" si="150"/>
        <v>0</v>
      </c>
      <c r="DM360" s="536"/>
      <c r="DN360" s="536"/>
      <c r="DO360" s="536"/>
      <c r="DP360" s="541">
        <f>IF( SUM((DJ360*(20/100))+(DK360*(30/100))+(DL360*(50/100))) &gt;=9.3,9.5,
IF(AND( SUM((DJ360*(20/100))+(DK360*(30/100))+(DL360*(50/100))) &lt;=9.3, SUM((DJ360*(20/100))+(DK360*(30/100))+(DL360*(50/100))) &gt;=8.8),9,
IF(AND( SUM((DJ360*(20/100))+(DK360*(30/100))+(DL360*(50/100))) &lt;=8.8, SUM((DJ360*(20/100))+(DK360*(30/100))+(DL360*(50/100))) &gt;=8.3),8.5,
IF(AND( SUM((DJ360*(20/100))+(DK360*(30/100))+(DL360*(50/100))) &lt;=8.3, SUM((DJ360*(20/100))+(DK360*(30/100))+(DL360*(50/100))) &gt;=7.8),8,
IF(AND( SUM((DJ360*(20/100))+(DK360*(30/100))+(DL360*(50/100))) &lt;=7.8, SUM((DJ360*(20/100))+(DK360*(30/100))+(DL360*(50/100))) &gt;=7.3),7.5,
IF(AND( SUM((DJ360*(20/100))+(DK360*(30/100))+(DL360*(50/100))) &lt;=7.3, SUM((DJ360*(20/100))+(DK360*(30/100))+(DL360*(50/100))) &gt;=6.8),7,
IF(AND( SUM((DJ360*(20/100))+(DK360*(30/100))+(DL360*(50/100))) &lt;=6.8, SUM((DJ360*(20/100))+(DK360*(30/100))+(DL360*(50/100))) &gt;=6.3),6.5,
IF(AND( SUM((DJ360*(20/100))+(DK360*(30/100))+(DL360*(50/100))) &lt;=6.3, SUM((DJ360*(20/100))+(DK360*(30/100))+(DL360*(50/100))) &gt;=5.8),6,
IF(AND( SUM((DJ360*(20/100))+(DK360*(30/100))+(DL360*(50/100))) &lt;=5.8, SUM((DJ360*(20/100))+(DK360*(30/100))+(DL360*(50/100))) &gt;=5.3),5.5,
IF(AND( SUM((DJ360*(20/100))+(DK360*(30/100))+(DL360*(50/100))) &lt;=5.3, SUM((DJ360*(20/100))+(DK360*(30/100))+(DL360*(50/100))) &gt;=4.8),5,
IF(AND( SUM((DJ360*(20/100))+(DK360*(30/100))+(DL360*(50/100))) &lt;=4.8, SUM((DJ360*(20/100))+(DK360*(30/100))+(DL360*(50/100))) &gt;=4.3),4.5,
IF(AND( SUM((DJ360*(20/100))+(DK360*(30/100))+(DL360*(50/100))) &lt;=4.3, SUM((DJ360*(20/100))+(DK360*(30/100))+(DL360*(50/100))) &gt;=3.8),4,
IF(AND( SUM((DJ360*(20/100))+(DK360*(30/100))+(DL360*(50/100))) &lt;=3.8, SUM((DJ360*(20/100))+(DK360*(30/100))+(DL360*(50/100))) &gt;=3.5),3.5,0)))))))))))))</f>
        <v>0</v>
      </c>
      <c r="DQ360" s="541"/>
      <c r="DR360" s="541"/>
      <c r="DS360" s="541"/>
      <c r="DT360" s="541"/>
      <c r="DU360" s="541"/>
      <c r="DV360" s="541"/>
      <c r="DW360" s="541"/>
      <c r="DX360" s="541"/>
      <c r="DY360" s="541"/>
      <c r="DZ360" s="541"/>
    </row>
    <row r="361" spans="2:130" x14ac:dyDescent="0.25">
      <c r="B361" s="334">
        <v>4</v>
      </c>
      <c r="C361" s="541"/>
      <c r="D361" s="334"/>
      <c r="E361" s="334"/>
      <c r="F361" s="334"/>
      <c r="G361" s="334"/>
      <c r="H361" s="334"/>
      <c r="I361" s="334"/>
      <c r="J361" s="536"/>
      <c r="K361" s="536"/>
      <c r="L361" s="536"/>
      <c r="M361" s="536"/>
      <c r="N361" s="536"/>
      <c r="O361" s="536"/>
      <c r="P361" s="536">
        <f t="shared" si="126"/>
        <v>0</v>
      </c>
      <c r="Q361" s="536"/>
      <c r="R361" s="536"/>
      <c r="S361" s="536"/>
      <c r="T361" s="536">
        <f t="shared" si="127"/>
        <v>0</v>
      </c>
      <c r="U361" s="536"/>
      <c r="V361" s="536"/>
      <c r="W361" s="536"/>
      <c r="X361" s="536">
        <f t="shared" si="128"/>
        <v>0</v>
      </c>
      <c r="Y361" s="536"/>
      <c r="Z361" s="536"/>
      <c r="AA361" s="536"/>
      <c r="AB361" s="536">
        <f t="shared" si="129"/>
        <v>0</v>
      </c>
      <c r="AC361" s="536"/>
      <c r="AD361" s="536"/>
      <c r="AE361" s="536"/>
      <c r="AF361" s="536">
        <f t="shared" si="130"/>
        <v>0</v>
      </c>
      <c r="AG361" s="536"/>
      <c r="AH361" s="536"/>
      <c r="AI361" s="536"/>
      <c r="AJ361" s="536">
        <f t="shared" si="131"/>
        <v>0</v>
      </c>
      <c r="AK361" s="536"/>
      <c r="AL361" s="536"/>
      <c r="AM361" s="536"/>
      <c r="AN361" s="542">
        <f t="shared" si="132"/>
        <v>0</v>
      </c>
      <c r="AO361" s="536"/>
      <c r="AP361" s="536"/>
      <c r="AQ361" s="536"/>
      <c r="AR361" s="542">
        <f t="shared" si="133"/>
        <v>0</v>
      </c>
      <c r="AS361" s="536"/>
      <c r="AT361" s="536"/>
      <c r="AU361" s="536"/>
      <c r="AV361" s="542">
        <f t="shared" si="134"/>
        <v>0</v>
      </c>
      <c r="AW361" s="536"/>
      <c r="AX361" s="536"/>
      <c r="AY361" s="536"/>
      <c r="AZ361" s="542">
        <f t="shared" si="135"/>
        <v>0</v>
      </c>
      <c r="BA361" s="536"/>
      <c r="BB361" s="536"/>
      <c r="BC361" s="536"/>
      <c r="BD361" s="542">
        <f t="shared" si="136"/>
        <v>0</v>
      </c>
      <c r="BE361" s="536"/>
      <c r="BF361" s="536"/>
      <c r="BG361" s="536"/>
      <c r="BH361" s="542">
        <f t="shared" si="137"/>
        <v>0</v>
      </c>
      <c r="BI361" s="536"/>
      <c r="BJ361" s="536"/>
      <c r="BK361" s="536"/>
      <c r="BL361" s="542">
        <f t="shared" si="138"/>
        <v>0</v>
      </c>
      <c r="BM361" s="536"/>
      <c r="BN361" s="536"/>
      <c r="BO361" s="536"/>
      <c r="BP361" s="542">
        <f t="shared" si="139"/>
        <v>0</v>
      </c>
      <c r="BQ361" s="536"/>
      <c r="BR361" s="536"/>
      <c r="BS361" s="536"/>
      <c r="BT361" s="542">
        <f t="shared" si="140"/>
        <v>0</v>
      </c>
      <c r="BU361" s="536"/>
      <c r="BV361" s="536"/>
      <c r="BW361" s="536"/>
      <c r="BX361" s="542">
        <f t="shared" si="141"/>
        <v>0</v>
      </c>
      <c r="BY361" s="536"/>
      <c r="BZ361" s="536"/>
      <c r="CA361" s="536"/>
      <c r="CB361" s="542">
        <v>0</v>
      </c>
      <c r="CC361" s="536"/>
      <c r="CD361" s="536"/>
      <c r="CE361" s="536"/>
      <c r="CF361" s="541">
        <f t="shared" si="142"/>
        <v>0</v>
      </c>
      <c r="CG361" s="536"/>
      <c r="CH361" s="536"/>
      <c r="CI361" s="536"/>
      <c r="CJ361" s="541">
        <f t="shared" si="143"/>
        <v>0</v>
      </c>
      <c r="CK361" s="536"/>
      <c r="CL361" s="536"/>
      <c r="CM361" s="536"/>
      <c r="CN361" s="541">
        <f t="shared" si="144"/>
        <v>0</v>
      </c>
      <c r="CO361" s="536"/>
      <c r="CP361" s="536"/>
      <c r="CQ361" s="536"/>
      <c r="CR361" s="541">
        <f t="shared" si="145"/>
        <v>0</v>
      </c>
      <c r="CS361" s="536"/>
      <c r="CT361" s="536"/>
      <c r="CU361" s="536"/>
      <c r="CV361" s="541">
        <f t="shared" si="146"/>
        <v>0</v>
      </c>
      <c r="CW361" s="536"/>
      <c r="CX361" s="536"/>
      <c r="CY361" s="536"/>
      <c r="CZ361" s="541">
        <f t="shared" si="147"/>
        <v>0</v>
      </c>
      <c r="DA361" s="536"/>
      <c r="DB361" s="536"/>
      <c r="DC361" s="536"/>
      <c r="DD361" s="541">
        <f t="shared" si="148"/>
        <v>0</v>
      </c>
      <c r="DE361" s="536"/>
      <c r="DF361" s="536"/>
      <c r="DG361" s="536"/>
      <c r="DH361" s="541">
        <f t="shared" si="149"/>
        <v>0</v>
      </c>
      <c r="DI361" s="536"/>
      <c r="DJ361" s="536"/>
      <c r="DK361" s="536"/>
      <c r="DL361" s="541">
        <f t="shared" si="150"/>
        <v>0</v>
      </c>
      <c r="DM361" s="536"/>
      <c r="DN361" s="536"/>
      <c r="DO361" s="536"/>
      <c r="DP361" s="541">
        <f>IF( SUM((DJ361*(20/100))+(DK361*(30/100))+(DL361*(50/100))) &gt;=9.3,9.5,
IF(AND( SUM((DJ361*(20/100))+(DK361*(30/100))+(DL361*(50/100))) &lt;=9.3, SUM((DJ361*(20/100))+(DK361*(30/100))+(DL361*(50/100))) &gt;=8.8),9,
IF(AND( SUM((DJ361*(20/100))+(DK361*(30/100))+(DL361*(50/100))) &lt;=8.8, SUM((DJ361*(20/100))+(DK361*(30/100))+(DL361*(50/100))) &gt;=8.3),8.5,
IF(AND( SUM((DJ361*(20/100))+(DK361*(30/100))+(DL361*(50/100))) &lt;=8.3, SUM((DJ361*(20/100))+(DK361*(30/100))+(DL361*(50/100))) &gt;=7.8),8,
IF(AND( SUM((DJ361*(20/100))+(DK361*(30/100))+(DL361*(50/100))) &lt;=7.8, SUM((DJ361*(20/100))+(DK361*(30/100))+(DL361*(50/100))) &gt;=7.3),7.5,
IF(AND( SUM((DJ361*(20/100))+(DK361*(30/100))+(DL361*(50/100))) &lt;=7.3, SUM((DJ361*(20/100))+(DK361*(30/100))+(DL361*(50/100))) &gt;=6.8),7,
IF(AND( SUM((DJ361*(20/100))+(DK361*(30/100))+(DL361*(50/100))) &lt;=6.8, SUM((DJ361*(20/100))+(DK361*(30/100))+(DL361*(50/100))) &gt;=6.3),6.5,
IF(AND( SUM((DJ361*(20/100))+(DK361*(30/100))+(DL361*(50/100))) &lt;=6.3, SUM((DJ361*(20/100))+(DK361*(30/100))+(DL361*(50/100))) &gt;=5.8),6,
IF(AND( SUM((DJ361*(20/100))+(DK361*(30/100))+(DL361*(50/100))) &lt;=5.8, SUM((DJ361*(20/100))+(DK361*(30/100))+(DL361*(50/100))) &gt;=5.3),5.5,
IF(AND( SUM((DJ361*(20/100))+(DK361*(30/100))+(DL361*(50/100))) &lt;=5.3, SUM((DJ361*(20/100))+(DK361*(30/100))+(DL361*(50/100))) &gt;=4.8),5,
IF(AND( SUM((DJ361*(20/100))+(DK361*(30/100))+(DL361*(50/100))) &lt;=4.8, SUM((DJ361*(20/100))+(DK361*(30/100))+(DL361*(50/100))) &gt;=4.3),4.5,
IF(AND( SUM((DJ361*(20/100))+(DK361*(30/100))+(DL361*(50/100))) &lt;=4.3, SUM((DJ361*(20/100))+(DK361*(30/100))+(DL361*(50/100))) &gt;=3.8),4,
IF(AND( SUM((DJ361*(20/100))+(DK361*(30/100))+(DL361*(50/100))) &lt;=3.8, SUM((DJ361*(20/100))+(DK361*(30/100))+(DL361*(50/100))) &gt;=3.5),3.5,0)))))))))))))</f>
        <v>0</v>
      </c>
      <c r="DQ361" s="541"/>
      <c r="DR361" s="541"/>
      <c r="DS361" s="541"/>
      <c r="DT361" s="541"/>
      <c r="DU361" s="541"/>
      <c r="DV361" s="541"/>
      <c r="DW361" s="541"/>
      <c r="DX361" s="541"/>
      <c r="DY361" s="541"/>
      <c r="DZ361" s="541"/>
    </row>
    <row r="362" spans="2:130" x14ac:dyDescent="0.25">
      <c r="B362" s="334">
        <v>5</v>
      </c>
      <c r="C362" s="541"/>
      <c r="D362" s="334"/>
      <c r="E362" s="334"/>
      <c r="F362" s="334"/>
      <c r="G362" s="334"/>
      <c r="H362" s="334"/>
      <c r="I362" s="334"/>
      <c r="J362" s="536"/>
      <c r="K362" s="536"/>
      <c r="L362" s="536"/>
      <c r="M362" s="536"/>
      <c r="N362" s="536"/>
      <c r="O362" s="536"/>
      <c r="P362" s="536">
        <f t="shared" si="126"/>
        <v>0</v>
      </c>
      <c r="Q362" s="536"/>
      <c r="R362" s="536"/>
      <c r="S362" s="536"/>
      <c r="T362" s="536">
        <f t="shared" si="127"/>
        <v>0</v>
      </c>
      <c r="U362" s="536"/>
      <c r="V362" s="536"/>
      <c r="W362" s="536"/>
      <c r="X362" s="536">
        <f t="shared" si="128"/>
        <v>0</v>
      </c>
      <c r="Y362" s="536"/>
      <c r="Z362" s="536"/>
      <c r="AA362" s="536"/>
      <c r="AB362" s="536">
        <f t="shared" si="129"/>
        <v>0</v>
      </c>
      <c r="AC362" s="536"/>
      <c r="AD362" s="536"/>
      <c r="AE362" s="536"/>
      <c r="AF362" s="536">
        <f t="shared" si="130"/>
        <v>0</v>
      </c>
      <c r="AG362" s="536"/>
      <c r="AH362" s="536"/>
      <c r="AI362" s="536"/>
      <c r="AJ362" s="536">
        <f t="shared" si="131"/>
        <v>0</v>
      </c>
      <c r="AK362" s="536"/>
      <c r="AL362" s="536"/>
      <c r="AM362" s="536"/>
      <c r="AN362" s="542">
        <f t="shared" si="132"/>
        <v>0</v>
      </c>
      <c r="AO362" s="536"/>
      <c r="AP362" s="536"/>
      <c r="AQ362" s="536"/>
      <c r="AR362" s="542">
        <f t="shared" si="133"/>
        <v>0</v>
      </c>
      <c r="AS362" s="536"/>
      <c r="AT362" s="536"/>
      <c r="AU362" s="536"/>
      <c r="AV362" s="542">
        <f t="shared" si="134"/>
        <v>0</v>
      </c>
      <c r="AW362" s="536"/>
      <c r="AX362" s="536"/>
      <c r="AY362" s="536"/>
      <c r="AZ362" s="542">
        <f t="shared" si="135"/>
        <v>0</v>
      </c>
      <c r="BA362" s="536"/>
      <c r="BB362" s="536"/>
      <c r="BC362" s="536"/>
      <c r="BD362" s="542">
        <f t="shared" si="136"/>
        <v>0</v>
      </c>
      <c r="BE362" s="536"/>
      <c r="BF362" s="536"/>
      <c r="BG362" s="536"/>
      <c r="BH362" s="542">
        <f t="shared" si="137"/>
        <v>0</v>
      </c>
      <c r="BI362" s="536"/>
      <c r="BJ362" s="536"/>
      <c r="BK362" s="536"/>
      <c r="BL362" s="542">
        <f t="shared" si="138"/>
        <v>0</v>
      </c>
      <c r="BM362" s="536"/>
      <c r="BN362" s="536"/>
      <c r="BO362" s="536"/>
      <c r="BP362" s="542">
        <f t="shared" si="139"/>
        <v>0</v>
      </c>
      <c r="BQ362" s="536"/>
      <c r="BR362" s="536"/>
      <c r="BS362" s="536"/>
      <c r="BT362" s="542">
        <f t="shared" si="140"/>
        <v>0</v>
      </c>
      <c r="BU362" s="536"/>
      <c r="BV362" s="536"/>
      <c r="BW362" s="536"/>
      <c r="BX362" s="542">
        <f t="shared" si="141"/>
        <v>0</v>
      </c>
      <c r="BY362" s="536"/>
      <c r="BZ362" s="536"/>
      <c r="CA362" s="536"/>
      <c r="CB362" s="542">
        <v>0</v>
      </c>
      <c r="CC362" s="536"/>
      <c r="CD362" s="536"/>
      <c r="CE362" s="536"/>
      <c r="CF362" s="541">
        <f t="shared" si="142"/>
        <v>0</v>
      </c>
      <c r="CG362" s="536"/>
      <c r="CH362" s="536"/>
      <c r="CI362" s="536"/>
      <c r="CJ362" s="541">
        <f t="shared" si="143"/>
        <v>0</v>
      </c>
      <c r="CK362" s="536"/>
      <c r="CL362" s="536"/>
      <c r="CM362" s="536"/>
      <c r="CN362" s="541">
        <f t="shared" si="144"/>
        <v>0</v>
      </c>
      <c r="CO362" s="536"/>
      <c r="CP362" s="536"/>
      <c r="CQ362" s="536"/>
      <c r="CR362" s="541">
        <f t="shared" si="145"/>
        <v>0</v>
      </c>
      <c r="CS362" s="536"/>
      <c r="CT362" s="536"/>
      <c r="CU362" s="536"/>
      <c r="CV362" s="541">
        <f t="shared" si="146"/>
        <v>0</v>
      </c>
      <c r="CW362" s="536"/>
      <c r="CX362" s="536"/>
      <c r="CY362" s="536"/>
      <c r="CZ362" s="541">
        <f t="shared" si="147"/>
        <v>0</v>
      </c>
      <c r="DA362" s="536"/>
      <c r="DB362" s="536"/>
      <c r="DC362" s="536"/>
      <c r="DD362" s="541">
        <f t="shared" si="148"/>
        <v>0</v>
      </c>
      <c r="DE362" s="536"/>
      <c r="DF362" s="536"/>
      <c r="DG362" s="536"/>
      <c r="DH362" s="541">
        <f t="shared" si="149"/>
        <v>0</v>
      </c>
      <c r="DI362" s="536"/>
      <c r="DJ362" s="536"/>
      <c r="DK362" s="536"/>
      <c r="DL362" s="541">
        <f t="shared" si="150"/>
        <v>0</v>
      </c>
      <c r="DM362" s="536"/>
      <c r="DN362" s="536"/>
      <c r="DO362" s="536"/>
      <c r="DP362" s="541">
        <f>IF( SUM((DJ362*(20/100))+(DK362*(30/100))+(DL362*(50/100))) &gt;=9.3,9.5,
IF(AND( SUM((DJ362*(20/100))+(DK362*(30/100))+(DL362*(50/100))) &lt;=9.3, SUM((DJ362*(20/100))+(DK362*(30/100))+(DL362*(50/100))) &gt;=8.8),9,
IF(AND( SUM((DJ362*(20/100))+(DK362*(30/100))+(DL362*(50/100))) &lt;=8.8, SUM((DJ362*(20/100))+(DK362*(30/100))+(DL362*(50/100))) &gt;=8.3),8.5,
IF(AND( SUM((DJ362*(20/100))+(DK362*(30/100))+(DL362*(50/100))) &lt;=8.3, SUM((DJ362*(20/100))+(DK362*(30/100))+(DL362*(50/100))) &gt;=7.8),8,
IF(AND( SUM((DJ362*(20/100))+(DK362*(30/100))+(DL362*(50/100))) &lt;=7.8, SUM((DJ362*(20/100))+(DK362*(30/100))+(DL362*(50/100))) &gt;=7.3),7.5,
IF(AND( SUM((DJ362*(20/100))+(DK362*(30/100))+(DL362*(50/100))) &lt;=7.3, SUM((DJ362*(20/100))+(DK362*(30/100))+(DL362*(50/100))) &gt;=6.8),7,
IF(AND( SUM((DJ362*(20/100))+(DK362*(30/100))+(DL362*(50/100))) &lt;=6.8, SUM((DJ362*(20/100))+(DK362*(30/100))+(DL362*(50/100))) &gt;=6.3),6.5,
IF(AND( SUM((DJ362*(20/100))+(DK362*(30/100))+(DL362*(50/100))) &lt;=6.3, SUM((DJ362*(20/100))+(DK362*(30/100))+(DL362*(50/100))) &gt;=5.8),6,
IF(AND( SUM((DJ362*(20/100))+(DK362*(30/100))+(DL362*(50/100))) &lt;=5.8, SUM((DJ362*(20/100))+(DK362*(30/100))+(DL362*(50/100))) &gt;=5.3),5.5,
IF(AND( SUM((DJ362*(20/100))+(DK362*(30/100))+(DL362*(50/100))) &lt;=5.3, SUM((DJ362*(20/100))+(DK362*(30/100))+(DL362*(50/100))) &gt;=4.8),5,
IF(AND( SUM((DJ362*(20/100))+(DK362*(30/100))+(DL362*(50/100))) &lt;=4.8, SUM((DJ362*(20/100))+(DK362*(30/100))+(DL362*(50/100))) &gt;=4.3),4.5,
IF(AND( SUM((DJ362*(20/100))+(DK362*(30/100))+(DL362*(50/100))) &lt;=4.3, SUM((DJ362*(20/100))+(DK362*(30/100))+(DL362*(50/100))) &gt;=3.8),4,
IF(AND( SUM((DJ362*(20/100))+(DK362*(30/100))+(DL362*(50/100))) &lt;=3.8, SUM((DJ362*(20/100))+(DK362*(30/100))+(DL362*(50/100))) &gt;=3.5),3.5,0)))))))))))))</f>
        <v>0</v>
      </c>
      <c r="DQ362" s="541"/>
      <c r="DR362" s="541"/>
      <c r="DS362" s="541"/>
      <c r="DT362" s="541"/>
      <c r="DU362" s="541"/>
      <c r="DV362" s="541"/>
      <c r="DW362" s="541"/>
      <c r="DX362" s="541"/>
      <c r="DY362" s="541"/>
      <c r="DZ362" s="541"/>
    </row>
    <row r="363" spans="2:130" x14ac:dyDescent="0.25">
      <c r="B363" s="334">
        <v>6</v>
      </c>
      <c r="C363" s="541"/>
      <c r="D363" s="334"/>
      <c r="E363" s="334"/>
      <c r="F363" s="334"/>
      <c r="G363" s="334"/>
      <c r="H363" s="334"/>
      <c r="I363" s="334"/>
      <c r="J363" s="536"/>
      <c r="K363" s="536"/>
      <c r="L363" s="536"/>
      <c r="M363" s="536"/>
      <c r="N363" s="536"/>
      <c r="O363" s="536"/>
      <c r="P363" s="536">
        <f t="shared" si="126"/>
        <v>0</v>
      </c>
      <c r="Q363" s="536"/>
      <c r="R363" s="536"/>
      <c r="S363" s="536"/>
      <c r="T363" s="536">
        <f t="shared" si="127"/>
        <v>0</v>
      </c>
      <c r="U363" s="536"/>
      <c r="V363" s="536"/>
      <c r="W363" s="536"/>
      <c r="X363" s="536">
        <f t="shared" si="128"/>
        <v>0</v>
      </c>
      <c r="Y363" s="536"/>
      <c r="Z363" s="536"/>
      <c r="AA363" s="536"/>
      <c r="AB363" s="536">
        <f t="shared" si="129"/>
        <v>0</v>
      </c>
      <c r="AC363" s="536"/>
      <c r="AD363" s="536"/>
      <c r="AE363" s="536"/>
      <c r="AF363" s="536">
        <f t="shared" si="130"/>
        <v>0</v>
      </c>
      <c r="AG363" s="536"/>
      <c r="AH363" s="536"/>
      <c r="AI363" s="536"/>
      <c r="AJ363" s="536">
        <f t="shared" si="131"/>
        <v>0</v>
      </c>
      <c r="AK363" s="536"/>
      <c r="AL363" s="536"/>
      <c r="AM363" s="536"/>
      <c r="AN363" s="542">
        <f t="shared" si="132"/>
        <v>0</v>
      </c>
      <c r="AO363" s="536"/>
      <c r="AP363" s="536"/>
      <c r="AQ363" s="536"/>
      <c r="AR363" s="542">
        <f t="shared" si="133"/>
        <v>0</v>
      </c>
      <c r="AS363" s="536"/>
      <c r="AT363" s="536"/>
      <c r="AU363" s="536"/>
      <c r="AV363" s="542">
        <f t="shared" si="134"/>
        <v>0</v>
      </c>
      <c r="AW363" s="536"/>
      <c r="AX363" s="536"/>
      <c r="AY363" s="536"/>
      <c r="AZ363" s="542">
        <f t="shared" si="135"/>
        <v>0</v>
      </c>
      <c r="BA363" s="536"/>
      <c r="BB363" s="536"/>
      <c r="BC363" s="536"/>
      <c r="BD363" s="542">
        <f t="shared" si="136"/>
        <v>0</v>
      </c>
      <c r="BE363" s="536"/>
      <c r="BF363" s="536"/>
      <c r="BG363" s="536"/>
      <c r="BH363" s="542">
        <f t="shared" si="137"/>
        <v>0</v>
      </c>
      <c r="BI363" s="536"/>
      <c r="BJ363" s="536"/>
      <c r="BK363" s="536"/>
      <c r="BL363" s="542">
        <f t="shared" si="138"/>
        <v>0</v>
      </c>
      <c r="BM363" s="536"/>
      <c r="BN363" s="536"/>
      <c r="BO363" s="536"/>
      <c r="BP363" s="542">
        <f t="shared" si="139"/>
        <v>0</v>
      </c>
      <c r="BQ363" s="536"/>
      <c r="BR363" s="536"/>
      <c r="BS363" s="536"/>
      <c r="BT363" s="542">
        <f t="shared" si="140"/>
        <v>0</v>
      </c>
      <c r="BU363" s="536"/>
      <c r="BV363" s="536"/>
      <c r="BW363" s="536"/>
      <c r="BX363" s="542">
        <f t="shared" si="141"/>
        <v>0</v>
      </c>
      <c r="BY363" s="536"/>
      <c r="BZ363" s="536"/>
      <c r="CA363" s="536"/>
      <c r="CB363" s="542">
        <v>0</v>
      </c>
      <c r="CC363" s="536"/>
      <c r="CD363" s="536"/>
      <c r="CE363" s="536"/>
      <c r="CF363" s="541">
        <f t="shared" si="142"/>
        <v>0</v>
      </c>
      <c r="CG363" s="536"/>
      <c r="CH363" s="536"/>
      <c r="CI363" s="536"/>
      <c r="CJ363" s="541">
        <f t="shared" si="143"/>
        <v>0</v>
      </c>
      <c r="CK363" s="536"/>
      <c r="CL363" s="536"/>
      <c r="CM363" s="536"/>
      <c r="CN363" s="541">
        <f t="shared" si="144"/>
        <v>0</v>
      </c>
      <c r="CO363" s="536"/>
      <c r="CP363" s="536"/>
      <c r="CQ363" s="536"/>
      <c r="CR363" s="541">
        <f t="shared" si="145"/>
        <v>0</v>
      </c>
      <c r="CS363" s="536"/>
      <c r="CT363" s="536"/>
      <c r="CU363" s="536"/>
      <c r="CV363" s="541">
        <f t="shared" si="146"/>
        <v>0</v>
      </c>
      <c r="CW363" s="536"/>
      <c r="CX363" s="536"/>
      <c r="CY363" s="536"/>
      <c r="CZ363" s="541">
        <f t="shared" si="147"/>
        <v>0</v>
      </c>
      <c r="DA363" s="536"/>
      <c r="DB363" s="536"/>
      <c r="DC363" s="536"/>
      <c r="DD363" s="541">
        <f t="shared" si="148"/>
        <v>0</v>
      </c>
      <c r="DE363" s="536"/>
      <c r="DF363" s="536"/>
      <c r="DG363" s="536"/>
      <c r="DH363" s="541">
        <f t="shared" si="149"/>
        <v>0</v>
      </c>
      <c r="DI363" s="536"/>
      <c r="DJ363" s="536"/>
      <c r="DK363" s="536"/>
      <c r="DL363" s="541">
        <f t="shared" si="150"/>
        <v>0</v>
      </c>
      <c r="DM363" s="536"/>
      <c r="DN363" s="536"/>
      <c r="DO363" s="536"/>
      <c r="DP363" s="541">
        <f>IF( SUM((DJ363*(20/100))+(DK363*(30/100))+(DL363*(50/100))) &gt;=9.3,9.5,
IF(AND( SUM((DJ363*(20/100))+(DK363*(30/100))+(DL363*(50/100))) &lt;=9.3, SUM((DJ363*(20/100))+(DK363*(30/100))+(DL363*(50/100))) &gt;=8.8),9,
IF(AND( SUM((DJ363*(20/100))+(DK363*(30/100))+(DL363*(50/100))) &lt;=8.8, SUM((DJ363*(20/100))+(DK363*(30/100))+(DL363*(50/100))) &gt;=8.3),8.5,
IF(AND( SUM((DJ363*(20/100))+(DK363*(30/100))+(DL363*(50/100))) &lt;=8.3, SUM((DJ363*(20/100))+(DK363*(30/100))+(DL363*(50/100))) &gt;=7.8),8,
IF(AND( SUM((DJ363*(20/100))+(DK363*(30/100))+(DL363*(50/100))) &lt;=7.8, SUM((DJ363*(20/100))+(DK363*(30/100))+(DL363*(50/100))) &gt;=7.3),7.5,
IF(AND( SUM((DJ363*(20/100))+(DK363*(30/100))+(DL363*(50/100))) &lt;=7.3, SUM((DJ363*(20/100))+(DK363*(30/100))+(DL363*(50/100))) &gt;=6.8),7,
IF(AND( SUM((DJ363*(20/100))+(DK363*(30/100))+(DL363*(50/100))) &lt;=6.8, SUM((DJ363*(20/100))+(DK363*(30/100))+(DL363*(50/100))) &gt;=6.3),6.5,
IF(AND( SUM((DJ363*(20/100))+(DK363*(30/100))+(DL363*(50/100))) &lt;=6.3, SUM((DJ363*(20/100))+(DK363*(30/100))+(DL363*(50/100))) &gt;=5.8),6,
IF(AND( SUM((DJ363*(20/100))+(DK363*(30/100))+(DL363*(50/100))) &lt;=5.8, SUM((DJ363*(20/100))+(DK363*(30/100))+(DL363*(50/100))) &gt;=5.3),5.5,
IF(AND( SUM((DJ363*(20/100))+(DK363*(30/100))+(DL363*(50/100))) &lt;=5.3, SUM((DJ363*(20/100))+(DK363*(30/100))+(DL363*(50/100))) &gt;=4.8),5,
IF(AND( SUM((DJ363*(20/100))+(DK363*(30/100))+(DL363*(50/100))) &lt;=4.8, SUM((DJ363*(20/100))+(DK363*(30/100))+(DL363*(50/100))) &gt;=4.3),4.5,
IF(AND( SUM((DJ363*(20/100))+(DK363*(30/100))+(DL363*(50/100))) &lt;=4.3, SUM((DJ363*(20/100))+(DK363*(30/100))+(DL363*(50/100))) &gt;=3.8),4,
IF(AND( SUM((DJ363*(20/100))+(DK363*(30/100))+(DL363*(50/100))) &lt;=3.8, SUM((DJ363*(20/100))+(DK363*(30/100))+(DL363*(50/100))) &gt;=3.5),3.5,0)))))))))))))</f>
        <v>0</v>
      </c>
      <c r="DQ363" s="541"/>
      <c r="DR363" s="541"/>
      <c r="DS363" s="541"/>
      <c r="DT363" s="541"/>
      <c r="DU363" s="541"/>
      <c r="DV363" s="541"/>
      <c r="DW363" s="541"/>
      <c r="DX363" s="541"/>
      <c r="DY363" s="541"/>
      <c r="DZ363" s="541"/>
    </row>
    <row r="364" spans="2:130" x14ac:dyDescent="0.25">
      <c r="B364" s="334">
        <v>7</v>
      </c>
      <c r="C364" s="541"/>
      <c r="D364" s="334"/>
      <c r="E364" s="334"/>
      <c r="F364" s="334"/>
      <c r="G364" s="334"/>
      <c r="H364" s="334"/>
      <c r="I364" s="334"/>
      <c r="J364" s="536"/>
      <c r="K364" s="536"/>
      <c r="L364" s="536"/>
      <c r="M364" s="536"/>
      <c r="N364" s="536"/>
      <c r="O364" s="536"/>
      <c r="P364" s="536">
        <f t="shared" si="126"/>
        <v>0</v>
      </c>
      <c r="Q364" s="536"/>
      <c r="R364" s="536"/>
      <c r="S364" s="536"/>
      <c r="T364" s="536">
        <f t="shared" si="127"/>
        <v>0</v>
      </c>
      <c r="U364" s="536"/>
      <c r="V364" s="536"/>
      <c r="W364" s="536"/>
      <c r="X364" s="536">
        <f t="shared" si="128"/>
        <v>0</v>
      </c>
      <c r="Y364" s="536"/>
      <c r="Z364" s="536"/>
      <c r="AA364" s="536"/>
      <c r="AB364" s="536">
        <f t="shared" si="129"/>
        <v>0</v>
      </c>
      <c r="AC364" s="536"/>
      <c r="AD364" s="536"/>
      <c r="AE364" s="536"/>
      <c r="AF364" s="536">
        <f t="shared" si="130"/>
        <v>0</v>
      </c>
      <c r="AG364" s="536"/>
      <c r="AH364" s="536"/>
      <c r="AI364" s="536"/>
      <c r="AJ364" s="536">
        <f t="shared" si="131"/>
        <v>0</v>
      </c>
      <c r="AK364" s="536"/>
      <c r="AL364" s="536"/>
      <c r="AM364" s="536"/>
      <c r="AN364" s="542">
        <f t="shared" si="132"/>
        <v>0</v>
      </c>
      <c r="AO364" s="536"/>
      <c r="AP364" s="536"/>
      <c r="AQ364" s="536"/>
      <c r="AR364" s="542">
        <f t="shared" si="133"/>
        <v>0</v>
      </c>
      <c r="AS364" s="536"/>
      <c r="AT364" s="536"/>
      <c r="AU364" s="536"/>
      <c r="AV364" s="542">
        <f t="shared" si="134"/>
        <v>0</v>
      </c>
      <c r="AW364" s="536"/>
      <c r="AX364" s="536"/>
      <c r="AY364" s="536"/>
      <c r="AZ364" s="542">
        <f t="shared" si="135"/>
        <v>0</v>
      </c>
      <c r="BA364" s="536"/>
      <c r="BB364" s="536"/>
      <c r="BC364" s="536"/>
      <c r="BD364" s="542">
        <f t="shared" si="136"/>
        <v>0</v>
      </c>
      <c r="BE364" s="536"/>
      <c r="BF364" s="536"/>
      <c r="BG364" s="536"/>
      <c r="BH364" s="542">
        <f t="shared" si="137"/>
        <v>0</v>
      </c>
      <c r="BI364" s="536"/>
      <c r="BJ364" s="536"/>
      <c r="BK364" s="536"/>
      <c r="BL364" s="542">
        <f t="shared" si="138"/>
        <v>0</v>
      </c>
      <c r="BM364" s="536"/>
      <c r="BN364" s="536"/>
      <c r="BO364" s="536"/>
      <c r="BP364" s="542">
        <f t="shared" si="139"/>
        <v>0</v>
      </c>
      <c r="BQ364" s="536"/>
      <c r="BR364" s="536"/>
      <c r="BS364" s="536"/>
      <c r="BT364" s="542">
        <f t="shared" si="140"/>
        <v>0</v>
      </c>
      <c r="BU364" s="536"/>
      <c r="BV364" s="536"/>
      <c r="BW364" s="536"/>
      <c r="BX364" s="542">
        <f t="shared" si="141"/>
        <v>0</v>
      </c>
      <c r="BY364" s="536"/>
      <c r="BZ364" s="536"/>
      <c r="CA364" s="536"/>
      <c r="CB364" s="542">
        <v>0</v>
      </c>
      <c r="CC364" s="536"/>
      <c r="CD364" s="536"/>
      <c r="CE364" s="536"/>
      <c r="CF364" s="541">
        <f t="shared" si="142"/>
        <v>0</v>
      </c>
      <c r="CG364" s="536"/>
      <c r="CH364" s="536"/>
      <c r="CI364" s="536"/>
      <c r="CJ364" s="541">
        <f t="shared" si="143"/>
        <v>0</v>
      </c>
      <c r="CK364" s="536"/>
      <c r="CL364" s="536"/>
      <c r="CM364" s="536"/>
      <c r="CN364" s="541">
        <f t="shared" si="144"/>
        <v>0</v>
      </c>
      <c r="CO364" s="536"/>
      <c r="CP364" s="536"/>
      <c r="CQ364" s="536"/>
      <c r="CR364" s="541">
        <f t="shared" si="145"/>
        <v>0</v>
      </c>
      <c r="CS364" s="536"/>
      <c r="CT364" s="536"/>
      <c r="CU364" s="536"/>
      <c r="CV364" s="541">
        <f t="shared" si="146"/>
        <v>0</v>
      </c>
      <c r="CW364" s="536"/>
      <c r="CX364" s="536"/>
      <c r="CY364" s="536"/>
      <c r="CZ364" s="541">
        <f t="shared" si="147"/>
        <v>0</v>
      </c>
      <c r="DA364" s="536"/>
      <c r="DB364" s="536"/>
      <c r="DC364" s="536"/>
      <c r="DD364" s="541">
        <f t="shared" si="148"/>
        <v>0</v>
      </c>
      <c r="DE364" s="536"/>
      <c r="DF364" s="536"/>
      <c r="DG364" s="536"/>
      <c r="DH364" s="541">
        <f t="shared" si="149"/>
        <v>0</v>
      </c>
      <c r="DI364" s="536"/>
      <c r="DJ364" s="536"/>
      <c r="DK364" s="536"/>
      <c r="DL364" s="541">
        <f t="shared" si="150"/>
        <v>0</v>
      </c>
      <c r="DM364" s="536"/>
      <c r="DN364" s="536"/>
      <c r="DO364" s="536"/>
      <c r="DP364" s="541">
        <f>IF( SUM((DJ364*(20/100))+(DK364*(30/100))+(DL364*(50/100))) &gt;=9.3,9.5,
IF(AND( SUM((DJ364*(20/100))+(DK364*(30/100))+(DL364*(50/100))) &lt;=9.3, SUM((DJ364*(20/100))+(DK364*(30/100))+(DL364*(50/100))) &gt;=8.8),9,
IF(AND( SUM((DJ364*(20/100))+(DK364*(30/100))+(DL364*(50/100))) &lt;=8.8, SUM((DJ364*(20/100))+(DK364*(30/100))+(DL364*(50/100))) &gt;=8.3),8.5,
IF(AND( SUM((DJ364*(20/100))+(DK364*(30/100))+(DL364*(50/100))) &lt;=8.3, SUM((DJ364*(20/100))+(DK364*(30/100))+(DL364*(50/100))) &gt;=7.8),8,
IF(AND( SUM((DJ364*(20/100))+(DK364*(30/100))+(DL364*(50/100))) &lt;=7.8, SUM((DJ364*(20/100))+(DK364*(30/100))+(DL364*(50/100))) &gt;=7.3),7.5,
IF(AND( SUM((DJ364*(20/100))+(DK364*(30/100))+(DL364*(50/100))) &lt;=7.3, SUM((DJ364*(20/100))+(DK364*(30/100))+(DL364*(50/100))) &gt;=6.8),7,
IF(AND( SUM((DJ364*(20/100))+(DK364*(30/100))+(DL364*(50/100))) &lt;=6.8, SUM((DJ364*(20/100))+(DK364*(30/100))+(DL364*(50/100))) &gt;=6.3),6.5,
IF(AND( SUM((DJ364*(20/100))+(DK364*(30/100))+(DL364*(50/100))) &lt;=6.3, SUM((DJ364*(20/100))+(DK364*(30/100))+(DL364*(50/100))) &gt;=5.8),6,
IF(AND( SUM((DJ364*(20/100))+(DK364*(30/100))+(DL364*(50/100))) &lt;=5.8, SUM((DJ364*(20/100))+(DK364*(30/100))+(DL364*(50/100))) &gt;=5.3),5.5,
IF(AND( SUM((DJ364*(20/100))+(DK364*(30/100))+(DL364*(50/100))) &lt;=5.3, SUM((DJ364*(20/100))+(DK364*(30/100))+(DL364*(50/100))) &gt;=4.8),5,
IF(AND( SUM((DJ364*(20/100))+(DK364*(30/100))+(DL364*(50/100))) &lt;=4.8, SUM((DJ364*(20/100))+(DK364*(30/100))+(DL364*(50/100))) &gt;=4.3),4.5,
IF(AND( SUM((DJ364*(20/100))+(DK364*(30/100))+(DL364*(50/100))) &lt;=4.3, SUM((DJ364*(20/100))+(DK364*(30/100))+(DL364*(50/100))) &gt;=3.8),4,
IF(AND( SUM((DJ364*(20/100))+(DK364*(30/100))+(DL364*(50/100))) &lt;=3.8, SUM((DJ364*(20/100))+(DK364*(30/100))+(DL364*(50/100))) &gt;=3.5),3.5,0)))))))))))))</f>
        <v>0</v>
      </c>
      <c r="DQ364" s="541"/>
      <c r="DR364" s="541"/>
      <c r="DS364" s="541"/>
      <c r="DT364" s="541"/>
      <c r="DU364" s="541"/>
      <c r="DV364" s="541"/>
      <c r="DW364" s="541"/>
      <c r="DX364" s="541"/>
      <c r="DY364" s="541"/>
      <c r="DZ364" s="541"/>
    </row>
    <row r="365" spans="2:130" x14ac:dyDescent="0.25">
      <c r="B365" s="334">
        <v>8</v>
      </c>
      <c r="C365" s="541"/>
      <c r="D365" s="334"/>
      <c r="E365" s="334"/>
      <c r="F365" s="334"/>
      <c r="G365" s="334"/>
      <c r="H365" s="334"/>
      <c r="I365" s="334"/>
      <c r="J365" s="536"/>
      <c r="K365" s="536"/>
      <c r="L365" s="536"/>
      <c r="M365" s="536"/>
      <c r="N365" s="536"/>
      <c r="O365" s="536"/>
      <c r="P365" s="536">
        <f t="shared" si="126"/>
        <v>0</v>
      </c>
      <c r="Q365" s="536"/>
      <c r="R365" s="536"/>
      <c r="S365" s="536"/>
      <c r="T365" s="536">
        <f t="shared" si="127"/>
        <v>0</v>
      </c>
      <c r="U365" s="536"/>
      <c r="V365" s="536"/>
      <c r="W365" s="536"/>
      <c r="X365" s="536">
        <f t="shared" si="128"/>
        <v>0</v>
      </c>
      <c r="Y365" s="536"/>
      <c r="Z365" s="536"/>
      <c r="AA365" s="536"/>
      <c r="AB365" s="536">
        <f t="shared" si="129"/>
        <v>0</v>
      </c>
      <c r="AC365" s="536"/>
      <c r="AD365" s="536"/>
      <c r="AE365" s="536"/>
      <c r="AF365" s="536">
        <f t="shared" si="130"/>
        <v>0</v>
      </c>
      <c r="AG365" s="536"/>
      <c r="AH365" s="536"/>
      <c r="AI365" s="536"/>
      <c r="AJ365" s="536">
        <f t="shared" si="131"/>
        <v>0</v>
      </c>
      <c r="AK365" s="536"/>
      <c r="AL365" s="536"/>
      <c r="AM365" s="536"/>
      <c r="AN365" s="542">
        <f t="shared" si="132"/>
        <v>0</v>
      </c>
      <c r="AO365" s="536"/>
      <c r="AP365" s="536"/>
      <c r="AQ365" s="536"/>
      <c r="AR365" s="542">
        <f t="shared" si="133"/>
        <v>0</v>
      </c>
      <c r="AS365" s="536"/>
      <c r="AT365" s="536"/>
      <c r="AU365" s="536"/>
      <c r="AV365" s="542">
        <f t="shared" si="134"/>
        <v>0</v>
      </c>
      <c r="AW365" s="536"/>
      <c r="AX365" s="536"/>
      <c r="AY365" s="536"/>
      <c r="AZ365" s="542">
        <f t="shared" si="135"/>
        <v>0</v>
      </c>
      <c r="BA365" s="536"/>
      <c r="BB365" s="536"/>
      <c r="BC365" s="536"/>
      <c r="BD365" s="542">
        <f t="shared" si="136"/>
        <v>0</v>
      </c>
      <c r="BE365" s="536"/>
      <c r="BF365" s="536"/>
      <c r="BG365" s="536"/>
      <c r="BH365" s="542">
        <f t="shared" si="137"/>
        <v>0</v>
      </c>
      <c r="BI365" s="536"/>
      <c r="BJ365" s="536"/>
      <c r="BK365" s="536"/>
      <c r="BL365" s="542">
        <f t="shared" si="138"/>
        <v>0</v>
      </c>
      <c r="BM365" s="536"/>
      <c r="BN365" s="536"/>
      <c r="BO365" s="536"/>
      <c r="BP365" s="542">
        <f t="shared" si="139"/>
        <v>0</v>
      </c>
      <c r="BQ365" s="536"/>
      <c r="BR365" s="536"/>
      <c r="BS365" s="536"/>
      <c r="BT365" s="542">
        <f t="shared" si="140"/>
        <v>0</v>
      </c>
      <c r="BU365" s="536"/>
      <c r="BV365" s="536"/>
      <c r="BW365" s="536"/>
      <c r="BX365" s="542">
        <f t="shared" si="141"/>
        <v>0</v>
      </c>
      <c r="BY365" s="536"/>
      <c r="BZ365" s="536"/>
      <c r="CA365" s="536"/>
      <c r="CB365" s="542">
        <v>0</v>
      </c>
      <c r="CC365" s="536"/>
      <c r="CD365" s="536"/>
      <c r="CE365" s="536"/>
      <c r="CF365" s="541">
        <f t="shared" si="142"/>
        <v>0</v>
      </c>
      <c r="CG365" s="536"/>
      <c r="CH365" s="536"/>
      <c r="CI365" s="536"/>
      <c r="CJ365" s="541">
        <f t="shared" si="143"/>
        <v>0</v>
      </c>
      <c r="CK365" s="536"/>
      <c r="CL365" s="536"/>
      <c r="CM365" s="536"/>
      <c r="CN365" s="541">
        <f t="shared" si="144"/>
        <v>0</v>
      </c>
      <c r="CO365" s="536"/>
      <c r="CP365" s="536"/>
      <c r="CQ365" s="536"/>
      <c r="CR365" s="541">
        <f t="shared" si="145"/>
        <v>0</v>
      </c>
      <c r="CS365" s="536"/>
      <c r="CT365" s="536"/>
      <c r="CU365" s="536"/>
      <c r="CV365" s="541">
        <f t="shared" si="146"/>
        <v>0</v>
      </c>
      <c r="CW365" s="536"/>
      <c r="CX365" s="536"/>
      <c r="CY365" s="536"/>
      <c r="CZ365" s="541">
        <f t="shared" si="147"/>
        <v>0</v>
      </c>
      <c r="DA365" s="536"/>
      <c r="DB365" s="536"/>
      <c r="DC365" s="536"/>
      <c r="DD365" s="541">
        <f t="shared" si="148"/>
        <v>0</v>
      </c>
      <c r="DE365" s="536"/>
      <c r="DF365" s="536"/>
      <c r="DG365" s="536"/>
      <c r="DH365" s="541">
        <f t="shared" si="149"/>
        <v>0</v>
      </c>
      <c r="DI365" s="536"/>
      <c r="DJ365" s="536"/>
      <c r="DK365" s="536"/>
      <c r="DL365" s="541">
        <f t="shared" si="150"/>
        <v>0</v>
      </c>
      <c r="DM365" s="536"/>
      <c r="DN365" s="536"/>
      <c r="DO365" s="536"/>
      <c r="DP365" s="541">
        <f>IF( SUM((DJ365*(20/100))+(DK365*(30/100))+(DL365*(50/100))) &gt;=9.3,9.5,
IF(AND( SUM((DJ365*(20/100))+(DK365*(30/100))+(DL365*(50/100))) &lt;=9.3, SUM((DJ365*(20/100))+(DK365*(30/100))+(DL365*(50/100))) &gt;=8.8),9,
IF(AND( SUM((DJ365*(20/100))+(DK365*(30/100))+(DL365*(50/100))) &lt;=8.8, SUM((DJ365*(20/100))+(DK365*(30/100))+(DL365*(50/100))) &gt;=8.3),8.5,
IF(AND( SUM((DJ365*(20/100))+(DK365*(30/100))+(DL365*(50/100))) &lt;=8.3, SUM((DJ365*(20/100))+(DK365*(30/100))+(DL365*(50/100))) &gt;=7.8),8,
IF(AND( SUM((DJ365*(20/100))+(DK365*(30/100))+(DL365*(50/100))) &lt;=7.8, SUM((DJ365*(20/100))+(DK365*(30/100))+(DL365*(50/100))) &gt;=7.3),7.5,
IF(AND( SUM((DJ365*(20/100))+(DK365*(30/100))+(DL365*(50/100))) &lt;=7.3, SUM((DJ365*(20/100))+(DK365*(30/100))+(DL365*(50/100))) &gt;=6.8),7,
IF(AND( SUM((DJ365*(20/100))+(DK365*(30/100))+(DL365*(50/100))) &lt;=6.8, SUM((DJ365*(20/100))+(DK365*(30/100))+(DL365*(50/100))) &gt;=6.3),6.5,
IF(AND( SUM((DJ365*(20/100))+(DK365*(30/100))+(DL365*(50/100))) &lt;=6.3, SUM((DJ365*(20/100))+(DK365*(30/100))+(DL365*(50/100))) &gt;=5.8),6,
IF(AND( SUM((DJ365*(20/100))+(DK365*(30/100))+(DL365*(50/100))) &lt;=5.8, SUM((DJ365*(20/100))+(DK365*(30/100))+(DL365*(50/100))) &gt;=5.3),5.5,
IF(AND( SUM((DJ365*(20/100))+(DK365*(30/100))+(DL365*(50/100))) &lt;=5.3, SUM((DJ365*(20/100))+(DK365*(30/100))+(DL365*(50/100))) &gt;=4.8),5,
IF(AND( SUM((DJ365*(20/100))+(DK365*(30/100))+(DL365*(50/100))) &lt;=4.8, SUM((DJ365*(20/100))+(DK365*(30/100))+(DL365*(50/100))) &gt;=4.3),4.5,
IF(AND( SUM((DJ365*(20/100))+(DK365*(30/100))+(DL365*(50/100))) &lt;=4.3, SUM((DJ365*(20/100))+(DK365*(30/100))+(DL365*(50/100))) &gt;=3.8),4,
IF(AND( SUM((DJ365*(20/100))+(DK365*(30/100))+(DL365*(50/100))) &lt;=3.8, SUM((DJ365*(20/100))+(DK365*(30/100))+(DL365*(50/100))) &gt;=3.5),3.5,0)))))))))))))</f>
        <v>0</v>
      </c>
      <c r="DQ365" s="541"/>
      <c r="DR365" s="541"/>
      <c r="DS365" s="541"/>
      <c r="DT365" s="541"/>
      <c r="DU365" s="541"/>
      <c r="DV365" s="541"/>
      <c r="DW365" s="541"/>
      <c r="DX365" s="541"/>
      <c r="DY365" s="541"/>
      <c r="DZ365" s="541"/>
    </row>
    <row r="366" spans="2:130" x14ac:dyDescent="0.25">
      <c r="B366" s="334">
        <v>9</v>
      </c>
      <c r="C366" s="541"/>
      <c r="D366" s="334"/>
      <c r="E366" s="334"/>
      <c r="F366" s="334"/>
      <c r="G366" s="334"/>
      <c r="H366" s="334"/>
      <c r="I366" s="334"/>
      <c r="J366" s="536"/>
      <c r="K366" s="536"/>
      <c r="L366" s="536"/>
      <c r="M366" s="536"/>
      <c r="N366" s="536"/>
      <c r="O366" s="536"/>
      <c r="P366" s="536">
        <f t="shared" si="126"/>
        <v>0</v>
      </c>
      <c r="Q366" s="536"/>
      <c r="R366" s="536"/>
      <c r="S366" s="536"/>
      <c r="T366" s="536">
        <f t="shared" si="127"/>
        <v>0</v>
      </c>
      <c r="U366" s="536"/>
      <c r="V366" s="536"/>
      <c r="W366" s="536"/>
      <c r="X366" s="536">
        <f t="shared" si="128"/>
        <v>0</v>
      </c>
      <c r="Y366" s="536"/>
      <c r="Z366" s="536"/>
      <c r="AA366" s="536"/>
      <c r="AB366" s="536">
        <f t="shared" si="129"/>
        <v>0</v>
      </c>
      <c r="AC366" s="536"/>
      <c r="AD366" s="536"/>
      <c r="AE366" s="536"/>
      <c r="AF366" s="536">
        <f t="shared" si="130"/>
        <v>0</v>
      </c>
      <c r="AG366" s="536"/>
      <c r="AH366" s="536"/>
      <c r="AI366" s="536"/>
      <c r="AJ366" s="536">
        <f t="shared" si="131"/>
        <v>0</v>
      </c>
      <c r="AK366" s="536"/>
      <c r="AL366" s="536"/>
      <c r="AM366" s="536"/>
      <c r="AN366" s="542">
        <f t="shared" si="132"/>
        <v>0</v>
      </c>
      <c r="AO366" s="536"/>
      <c r="AP366" s="536"/>
      <c r="AQ366" s="536"/>
      <c r="AR366" s="542">
        <f t="shared" si="133"/>
        <v>0</v>
      </c>
      <c r="AS366" s="536"/>
      <c r="AT366" s="536"/>
      <c r="AU366" s="536"/>
      <c r="AV366" s="542">
        <f t="shared" si="134"/>
        <v>0</v>
      </c>
      <c r="AW366" s="536"/>
      <c r="AX366" s="536"/>
      <c r="AY366" s="536"/>
      <c r="AZ366" s="542">
        <f t="shared" si="135"/>
        <v>0</v>
      </c>
      <c r="BA366" s="536"/>
      <c r="BB366" s="536"/>
      <c r="BC366" s="536"/>
      <c r="BD366" s="542">
        <f t="shared" si="136"/>
        <v>0</v>
      </c>
      <c r="BE366" s="536"/>
      <c r="BF366" s="536"/>
      <c r="BG366" s="536"/>
      <c r="BH366" s="542">
        <f t="shared" si="137"/>
        <v>0</v>
      </c>
      <c r="BI366" s="536"/>
      <c r="BJ366" s="536"/>
      <c r="BK366" s="536"/>
      <c r="BL366" s="542">
        <f t="shared" si="138"/>
        <v>0</v>
      </c>
      <c r="BM366" s="536"/>
      <c r="BN366" s="536"/>
      <c r="BO366" s="536"/>
      <c r="BP366" s="542">
        <f t="shared" si="139"/>
        <v>0</v>
      </c>
      <c r="BQ366" s="536"/>
      <c r="BR366" s="536"/>
      <c r="BS366" s="536"/>
      <c r="BT366" s="542">
        <f t="shared" si="140"/>
        <v>0</v>
      </c>
      <c r="BU366" s="536"/>
      <c r="BV366" s="536"/>
      <c r="BW366" s="536"/>
      <c r="BX366" s="542">
        <f t="shared" si="141"/>
        <v>0</v>
      </c>
      <c r="BY366" s="536"/>
      <c r="BZ366" s="536"/>
      <c r="CA366" s="536"/>
      <c r="CB366" s="542">
        <v>0</v>
      </c>
      <c r="CC366" s="536"/>
      <c r="CD366" s="536"/>
      <c r="CE366" s="536"/>
      <c r="CF366" s="541">
        <f t="shared" si="142"/>
        <v>0</v>
      </c>
      <c r="CG366" s="536"/>
      <c r="CH366" s="536"/>
      <c r="CI366" s="536"/>
      <c r="CJ366" s="541">
        <f t="shared" si="143"/>
        <v>0</v>
      </c>
      <c r="CK366" s="536"/>
      <c r="CL366" s="536"/>
      <c r="CM366" s="536"/>
      <c r="CN366" s="541">
        <f t="shared" si="144"/>
        <v>0</v>
      </c>
      <c r="CO366" s="536"/>
      <c r="CP366" s="536"/>
      <c r="CQ366" s="536"/>
      <c r="CR366" s="541">
        <f t="shared" si="145"/>
        <v>0</v>
      </c>
      <c r="CS366" s="536"/>
      <c r="CT366" s="536"/>
      <c r="CU366" s="536"/>
      <c r="CV366" s="541">
        <f t="shared" si="146"/>
        <v>0</v>
      </c>
      <c r="CW366" s="536"/>
      <c r="CX366" s="536"/>
      <c r="CY366" s="536"/>
      <c r="CZ366" s="541">
        <f t="shared" si="147"/>
        <v>0</v>
      </c>
      <c r="DA366" s="536"/>
      <c r="DB366" s="536"/>
      <c r="DC366" s="536"/>
      <c r="DD366" s="541">
        <f t="shared" si="148"/>
        <v>0</v>
      </c>
      <c r="DE366" s="536"/>
      <c r="DF366" s="536"/>
      <c r="DG366" s="536"/>
      <c r="DH366" s="541">
        <f t="shared" si="149"/>
        <v>0</v>
      </c>
      <c r="DI366" s="536"/>
      <c r="DJ366" s="536"/>
      <c r="DK366" s="536"/>
      <c r="DL366" s="541">
        <f t="shared" si="150"/>
        <v>0</v>
      </c>
      <c r="DM366" s="536"/>
      <c r="DN366" s="536"/>
      <c r="DO366" s="536"/>
      <c r="DP366" s="541">
        <f>IF( SUM((DJ366*(20/100))+(DK366*(30/100))+(DL366*(50/100))) &gt;=9.3,9.5,
IF(AND( SUM((DJ366*(20/100))+(DK366*(30/100))+(DL366*(50/100))) &lt;=9.3, SUM((DJ366*(20/100))+(DK366*(30/100))+(DL366*(50/100))) &gt;=8.8),9,
IF(AND( SUM((DJ366*(20/100))+(DK366*(30/100))+(DL366*(50/100))) &lt;=8.8, SUM((DJ366*(20/100))+(DK366*(30/100))+(DL366*(50/100))) &gt;=8.3),8.5,
IF(AND( SUM((DJ366*(20/100))+(DK366*(30/100))+(DL366*(50/100))) &lt;=8.3, SUM((DJ366*(20/100))+(DK366*(30/100))+(DL366*(50/100))) &gt;=7.8),8,
IF(AND( SUM((DJ366*(20/100))+(DK366*(30/100))+(DL366*(50/100))) &lt;=7.8, SUM((DJ366*(20/100))+(DK366*(30/100))+(DL366*(50/100))) &gt;=7.3),7.5,
IF(AND( SUM((DJ366*(20/100))+(DK366*(30/100))+(DL366*(50/100))) &lt;=7.3, SUM((DJ366*(20/100))+(DK366*(30/100))+(DL366*(50/100))) &gt;=6.8),7,
IF(AND( SUM((DJ366*(20/100))+(DK366*(30/100))+(DL366*(50/100))) &lt;=6.8, SUM((DJ366*(20/100))+(DK366*(30/100))+(DL366*(50/100))) &gt;=6.3),6.5,
IF(AND( SUM((DJ366*(20/100))+(DK366*(30/100))+(DL366*(50/100))) &lt;=6.3, SUM((DJ366*(20/100))+(DK366*(30/100))+(DL366*(50/100))) &gt;=5.8),6,
IF(AND( SUM((DJ366*(20/100))+(DK366*(30/100))+(DL366*(50/100))) &lt;=5.8, SUM((DJ366*(20/100))+(DK366*(30/100))+(DL366*(50/100))) &gt;=5.3),5.5,
IF(AND( SUM((DJ366*(20/100))+(DK366*(30/100))+(DL366*(50/100))) &lt;=5.3, SUM((DJ366*(20/100))+(DK366*(30/100))+(DL366*(50/100))) &gt;=4.8),5,
IF(AND( SUM((DJ366*(20/100))+(DK366*(30/100))+(DL366*(50/100))) &lt;=4.8, SUM((DJ366*(20/100))+(DK366*(30/100))+(DL366*(50/100))) &gt;=4.3),4.5,
IF(AND( SUM((DJ366*(20/100))+(DK366*(30/100))+(DL366*(50/100))) &lt;=4.3, SUM((DJ366*(20/100))+(DK366*(30/100))+(DL366*(50/100))) &gt;=3.8),4,
IF(AND( SUM((DJ366*(20/100))+(DK366*(30/100))+(DL366*(50/100))) &lt;=3.8, SUM((DJ366*(20/100))+(DK366*(30/100))+(DL366*(50/100))) &gt;=3.5),3.5,0)))))))))))))</f>
        <v>0</v>
      </c>
      <c r="DQ366" s="541"/>
      <c r="DR366" s="541"/>
      <c r="DS366" s="541"/>
      <c r="DT366" s="541"/>
      <c r="DU366" s="541"/>
      <c r="DV366" s="541"/>
      <c r="DW366" s="541"/>
      <c r="DX366" s="541"/>
      <c r="DY366" s="541"/>
      <c r="DZ366" s="541"/>
    </row>
    <row r="367" spans="2:130" x14ac:dyDescent="0.25">
      <c r="B367" s="334">
        <v>10</v>
      </c>
      <c r="C367" s="541"/>
      <c r="D367" s="334"/>
      <c r="E367" s="334"/>
      <c r="F367" s="334"/>
      <c r="G367" s="334"/>
      <c r="H367" s="334"/>
      <c r="I367" s="334"/>
      <c r="J367" s="536"/>
      <c r="K367" s="536"/>
      <c r="L367" s="536"/>
      <c r="M367" s="536"/>
      <c r="N367" s="536"/>
      <c r="O367" s="536"/>
      <c r="P367" s="536">
        <f t="shared" si="126"/>
        <v>0</v>
      </c>
      <c r="Q367" s="536"/>
      <c r="R367" s="536"/>
      <c r="S367" s="536"/>
      <c r="T367" s="536">
        <f t="shared" si="127"/>
        <v>0</v>
      </c>
      <c r="U367" s="536"/>
      <c r="V367" s="536"/>
      <c r="W367" s="536"/>
      <c r="X367" s="536">
        <f t="shared" si="128"/>
        <v>0</v>
      </c>
      <c r="Y367" s="536"/>
      <c r="Z367" s="536"/>
      <c r="AA367" s="536"/>
      <c r="AB367" s="536">
        <f t="shared" si="129"/>
        <v>0</v>
      </c>
      <c r="AC367" s="536"/>
      <c r="AD367" s="536"/>
      <c r="AE367" s="536"/>
      <c r="AF367" s="536">
        <f t="shared" si="130"/>
        <v>0</v>
      </c>
      <c r="AG367" s="536"/>
      <c r="AH367" s="536"/>
      <c r="AI367" s="536"/>
      <c r="AJ367" s="536">
        <f t="shared" si="131"/>
        <v>0</v>
      </c>
      <c r="AK367" s="536"/>
      <c r="AL367" s="536"/>
      <c r="AM367" s="536"/>
      <c r="AN367" s="542">
        <f t="shared" si="132"/>
        <v>0</v>
      </c>
      <c r="AO367" s="536"/>
      <c r="AP367" s="536"/>
      <c r="AQ367" s="536"/>
      <c r="AR367" s="542">
        <f t="shared" si="133"/>
        <v>0</v>
      </c>
      <c r="AS367" s="536"/>
      <c r="AT367" s="536"/>
      <c r="AU367" s="536"/>
      <c r="AV367" s="542">
        <f t="shared" si="134"/>
        <v>0</v>
      </c>
      <c r="AW367" s="536"/>
      <c r="AX367" s="536"/>
      <c r="AY367" s="536"/>
      <c r="AZ367" s="542">
        <f t="shared" si="135"/>
        <v>0</v>
      </c>
      <c r="BA367" s="536"/>
      <c r="BB367" s="536"/>
      <c r="BC367" s="536"/>
      <c r="BD367" s="542">
        <f t="shared" si="136"/>
        <v>0</v>
      </c>
      <c r="BE367" s="536"/>
      <c r="BF367" s="536"/>
      <c r="BG367" s="536"/>
      <c r="BH367" s="542">
        <f t="shared" si="137"/>
        <v>0</v>
      </c>
      <c r="BI367" s="536"/>
      <c r="BJ367" s="536"/>
      <c r="BK367" s="536"/>
      <c r="BL367" s="542">
        <f t="shared" si="138"/>
        <v>0</v>
      </c>
      <c r="BM367" s="536"/>
      <c r="BN367" s="536"/>
      <c r="BO367" s="536"/>
      <c r="BP367" s="542">
        <f t="shared" si="139"/>
        <v>0</v>
      </c>
      <c r="BQ367" s="536"/>
      <c r="BR367" s="536"/>
      <c r="BS367" s="536"/>
      <c r="BT367" s="542">
        <f t="shared" si="140"/>
        <v>0</v>
      </c>
      <c r="BU367" s="536"/>
      <c r="BV367" s="536"/>
      <c r="BW367" s="536"/>
      <c r="BX367" s="542">
        <f t="shared" si="141"/>
        <v>0</v>
      </c>
      <c r="BY367" s="536"/>
      <c r="BZ367" s="536"/>
      <c r="CA367" s="536"/>
      <c r="CB367" s="542">
        <v>0</v>
      </c>
      <c r="CC367" s="536"/>
      <c r="CD367" s="536"/>
      <c r="CE367" s="536"/>
      <c r="CF367" s="541">
        <f t="shared" si="142"/>
        <v>0</v>
      </c>
      <c r="CG367" s="536"/>
      <c r="CH367" s="536"/>
      <c r="CI367" s="536"/>
      <c r="CJ367" s="541">
        <f t="shared" si="143"/>
        <v>0</v>
      </c>
      <c r="CK367" s="536"/>
      <c r="CL367" s="536"/>
      <c r="CM367" s="536"/>
      <c r="CN367" s="541">
        <f t="shared" si="144"/>
        <v>0</v>
      </c>
      <c r="CO367" s="536"/>
      <c r="CP367" s="536"/>
      <c r="CQ367" s="536"/>
      <c r="CR367" s="541">
        <f t="shared" si="145"/>
        <v>0</v>
      </c>
      <c r="CS367" s="536"/>
      <c r="CT367" s="536"/>
      <c r="CU367" s="536"/>
      <c r="CV367" s="541">
        <f t="shared" si="146"/>
        <v>0</v>
      </c>
      <c r="CW367" s="536"/>
      <c r="CX367" s="536"/>
      <c r="CY367" s="536"/>
      <c r="CZ367" s="541">
        <f t="shared" si="147"/>
        <v>0</v>
      </c>
      <c r="DA367" s="536"/>
      <c r="DB367" s="536"/>
      <c r="DC367" s="536"/>
      <c r="DD367" s="541">
        <f t="shared" si="148"/>
        <v>0</v>
      </c>
      <c r="DE367" s="536"/>
      <c r="DF367" s="536"/>
      <c r="DG367" s="536"/>
      <c r="DH367" s="541">
        <f t="shared" si="149"/>
        <v>0</v>
      </c>
      <c r="DI367" s="536"/>
      <c r="DJ367" s="536"/>
      <c r="DK367" s="536"/>
      <c r="DL367" s="541">
        <f t="shared" si="150"/>
        <v>0</v>
      </c>
      <c r="DM367" s="536"/>
      <c r="DN367" s="536"/>
      <c r="DO367" s="536"/>
      <c r="DP367" s="541">
        <f>IF( SUM((DJ367*(20/100))+(DK367*(30/100))+(DL367*(50/100))) &gt;=9.3,9.5,
IF(AND( SUM((DJ367*(20/100))+(DK367*(30/100))+(DL367*(50/100))) &lt;=9.3, SUM((DJ367*(20/100))+(DK367*(30/100))+(DL367*(50/100))) &gt;=8.8),9,
IF(AND( SUM((DJ367*(20/100))+(DK367*(30/100))+(DL367*(50/100))) &lt;=8.8, SUM((DJ367*(20/100))+(DK367*(30/100))+(DL367*(50/100))) &gt;=8.3),8.5,
IF(AND( SUM((DJ367*(20/100))+(DK367*(30/100))+(DL367*(50/100))) &lt;=8.3, SUM((DJ367*(20/100))+(DK367*(30/100))+(DL367*(50/100))) &gt;=7.8),8,
IF(AND( SUM((DJ367*(20/100))+(DK367*(30/100))+(DL367*(50/100))) &lt;=7.8, SUM((DJ367*(20/100))+(DK367*(30/100))+(DL367*(50/100))) &gt;=7.3),7.5,
IF(AND( SUM((DJ367*(20/100))+(DK367*(30/100))+(DL367*(50/100))) &lt;=7.3, SUM((DJ367*(20/100))+(DK367*(30/100))+(DL367*(50/100))) &gt;=6.8),7,
IF(AND( SUM((DJ367*(20/100))+(DK367*(30/100))+(DL367*(50/100))) &lt;=6.8, SUM((DJ367*(20/100))+(DK367*(30/100))+(DL367*(50/100))) &gt;=6.3),6.5,
IF(AND( SUM((DJ367*(20/100))+(DK367*(30/100))+(DL367*(50/100))) &lt;=6.3, SUM((DJ367*(20/100))+(DK367*(30/100))+(DL367*(50/100))) &gt;=5.8),6,
IF(AND( SUM((DJ367*(20/100))+(DK367*(30/100))+(DL367*(50/100))) &lt;=5.8, SUM((DJ367*(20/100))+(DK367*(30/100))+(DL367*(50/100))) &gt;=5.3),5.5,
IF(AND( SUM((DJ367*(20/100))+(DK367*(30/100))+(DL367*(50/100))) &lt;=5.3, SUM((DJ367*(20/100))+(DK367*(30/100))+(DL367*(50/100))) &gt;=4.8),5,
IF(AND( SUM((DJ367*(20/100))+(DK367*(30/100))+(DL367*(50/100))) &lt;=4.8, SUM((DJ367*(20/100))+(DK367*(30/100))+(DL367*(50/100))) &gt;=4.3),4.5,
IF(AND( SUM((DJ367*(20/100))+(DK367*(30/100))+(DL367*(50/100))) &lt;=4.3, SUM((DJ367*(20/100))+(DK367*(30/100))+(DL367*(50/100))) &gt;=3.8),4,
IF(AND( SUM((DJ367*(20/100))+(DK367*(30/100))+(DL367*(50/100))) &lt;=3.8, SUM((DJ367*(20/100))+(DK367*(30/100))+(DL367*(50/100))) &gt;=3.5),3.5,0)))))))))))))</f>
        <v>0</v>
      </c>
      <c r="DQ367" s="541"/>
      <c r="DR367" s="541"/>
      <c r="DS367" s="541"/>
      <c r="DT367" s="541"/>
      <c r="DU367" s="541"/>
      <c r="DV367" s="541"/>
      <c r="DW367" s="541"/>
      <c r="DX367" s="541"/>
      <c r="DY367" s="541"/>
      <c r="DZ367" s="541"/>
    </row>
    <row r="368" spans="2:130" x14ac:dyDescent="0.25">
      <c r="B368" s="334">
        <v>11</v>
      </c>
      <c r="C368" s="541"/>
      <c r="D368" s="334"/>
      <c r="E368" s="334"/>
      <c r="F368" s="334"/>
      <c r="G368" s="334"/>
      <c r="H368" s="334"/>
      <c r="I368" s="334"/>
      <c r="J368" s="536"/>
      <c r="K368" s="536"/>
      <c r="L368" s="536"/>
      <c r="M368" s="536"/>
      <c r="N368" s="536"/>
      <c r="O368" s="536"/>
      <c r="P368" s="536">
        <f t="shared" si="126"/>
        <v>0</v>
      </c>
      <c r="Q368" s="536"/>
      <c r="R368" s="536"/>
      <c r="S368" s="536"/>
      <c r="T368" s="536">
        <f t="shared" si="127"/>
        <v>0</v>
      </c>
      <c r="U368" s="536"/>
      <c r="V368" s="536"/>
      <c r="W368" s="536"/>
      <c r="X368" s="536">
        <f t="shared" si="128"/>
        <v>0</v>
      </c>
      <c r="Y368" s="536"/>
      <c r="Z368" s="536"/>
      <c r="AA368" s="536"/>
      <c r="AB368" s="536">
        <f t="shared" si="129"/>
        <v>0</v>
      </c>
      <c r="AC368" s="536"/>
      <c r="AD368" s="536"/>
      <c r="AE368" s="536"/>
      <c r="AF368" s="536">
        <f t="shared" si="130"/>
        <v>0</v>
      </c>
      <c r="AG368" s="536"/>
      <c r="AH368" s="536"/>
      <c r="AI368" s="536"/>
      <c r="AJ368" s="536">
        <f t="shared" si="131"/>
        <v>0</v>
      </c>
      <c r="AK368" s="536"/>
      <c r="AL368" s="536"/>
      <c r="AM368" s="536"/>
      <c r="AN368" s="542">
        <f t="shared" si="132"/>
        <v>0</v>
      </c>
      <c r="AO368" s="536"/>
      <c r="AP368" s="536"/>
      <c r="AQ368" s="536"/>
      <c r="AR368" s="542">
        <f t="shared" si="133"/>
        <v>0</v>
      </c>
      <c r="AS368" s="536"/>
      <c r="AT368" s="536"/>
      <c r="AU368" s="536"/>
      <c r="AV368" s="542">
        <f t="shared" si="134"/>
        <v>0</v>
      </c>
      <c r="AW368" s="536"/>
      <c r="AX368" s="536"/>
      <c r="AY368" s="536"/>
      <c r="AZ368" s="542">
        <f t="shared" si="135"/>
        <v>0</v>
      </c>
      <c r="BA368" s="536"/>
      <c r="BB368" s="536"/>
      <c r="BC368" s="536"/>
      <c r="BD368" s="542">
        <f t="shared" si="136"/>
        <v>0</v>
      </c>
      <c r="BE368" s="536"/>
      <c r="BF368" s="536"/>
      <c r="BG368" s="536"/>
      <c r="BH368" s="542">
        <f t="shared" si="137"/>
        <v>0</v>
      </c>
      <c r="BI368" s="536"/>
      <c r="BJ368" s="536"/>
      <c r="BK368" s="536"/>
      <c r="BL368" s="542">
        <f t="shared" si="138"/>
        <v>0</v>
      </c>
      <c r="BM368" s="536"/>
      <c r="BN368" s="536"/>
      <c r="BO368" s="536"/>
      <c r="BP368" s="542">
        <f t="shared" si="139"/>
        <v>0</v>
      </c>
      <c r="BQ368" s="536"/>
      <c r="BR368" s="536"/>
      <c r="BS368" s="536"/>
      <c r="BT368" s="542">
        <f t="shared" si="140"/>
        <v>0</v>
      </c>
      <c r="BU368" s="536"/>
      <c r="BV368" s="536"/>
      <c r="BW368" s="536"/>
      <c r="BX368" s="542">
        <f t="shared" si="141"/>
        <v>0</v>
      </c>
      <c r="BY368" s="536"/>
      <c r="BZ368" s="536"/>
      <c r="CA368" s="536"/>
      <c r="CB368" s="542">
        <v>0</v>
      </c>
      <c r="CC368" s="536"/>
      <c r="CD368" s="536"/>
      <c r="CE368" s="536"/>
      <c r="CF368" s="541">
        <f t="shared" si="142"/>
        <v>0</v>
      </c>
      <c r="CG368" s="536"/>
      <c r="CH368" s="536"/>
      <c r="CI368" s="536"/>
      <c r="CJ368" s="541">
        <f t="shared" si="143"/>
        <v>0</v>
      </c>
      <c r="CK368" s="536"/>
      <c r="CL368" s="536"/>
      <c r="CM368" s="536"/>
      <c r="CN368" s="541">
        <f t="shared" si="144"/>
        <v>0</v>
      </c>
      <c r="CO368" s="536"/>
      <c r="CP368" s="536"/>
      <c r="CQ368" s="536"/>
      <c r="CR368" s="541">
        <f t="shared" si="145"/>
        <v>0</v>
      </c>
      <c r="CS368" s="536"/>
      <c r="CT368" s="536"/>
      <c r="CU368" s="536"/>
      <c r="CV368" s="541">
        <f t="shared" si="146"/>
        <v>0</v>
      </c>
      <c r="CW368" s="536"/>
      <c r="CX368" s="536"/>
      <c r="CY368" s="536"/>
      <c r="CZ368" s="541">
        <f t="shared" si="147"/>
        <v>0</v>
      </c>
      <c r="DA368" s="536"/>
      <c r="DB368" s="536"/>
      <c r="DC368" s="536"/>
      <c r="DD368" s="541">
        <f t="shared" si="148"/>
        <v>0</v>
      </c>
      <c r="DE368" s="536"/>
      <c r="DF368" s="536"/>
      <c r="DG368" s="536"/>
      <c r="DH368" s="541">
        <f t="shared" si="149"/>
        <v>0</v>
      </c>
      <c r="DI368" s="536"/>
      <c r="DJ368" s="536"/>
      <c r="DK368" s="536"/>
      <c r="DL368" s="541">
        <f t="shared" si="150"/>
        <v>0</v>
      </c>
      <c r="DM368" s="536"/>
      <c r="DN368" s="536"/>
      <c r="DO368" s="536"/>
      <c r="DP368" s="541">
        <f>IF( SUM((DJ368*(20/100))+(DK368*(30/100))+(DL368*(50/100))) &gt;=9.3,9.5,
IF(AND( SUM((DJ368*(20/100))+(DK368*(30/100))+(DL368*(50/100))) &lt;=9.3, SUM((DJ368*(20/100))+(DK368*(30/100))+(DL368*(50/100))) &gt;=8.8),9,
IF(AND( SUM((DJ368*(20/100))+(DK368*(30/100))+(DL368*(50/100))) &lt;=8.8, SUM((DJ368*(20/100))+(DK368*(30/100))+(DL368*(50/100))) &gt;=8.3),8.5,
IF(AND( SUM((DJ368*(20/100))+(DK368*(30/100))+(DL368*(50/100))) &lt;=8.3, SUM((DJ368*(20/100))+(DK368*(30/100))+(DL368*(50/100))) &gt;=7.8),8,
IF(AND( SUM((DJ368*(20/100))+(DK368*(30/100))+(DL368*(50/100))) &lt;=7.8, SUM((DJ368*(20/100))+(DK368*(30/100))+(DL368*(50/100))) &gt;=7.3),7.5,
IF(AND( SUM((DJ368*(20/100))+(DK368*(30/100))+(DL368*(50/100))) &lt;=7.3, SUM((DJ368*(20/100))+(DK368*(30/100))+(DL368*(50/100))) &gt;=6.8),7,
IF(AND( SUM((DJ368*(20/100))+(DK368*(30/100))+(DL368*(50/100))) &lt;=6.8, SUM((DJ368*(20/100))+(DK368*(30/100))+(DL368*(50/100))) &gt;=6.3),6.5,
IF(AND( SUM((DJ368*(20/100))+(DK368*(30/100))+(DL368*(50/100))) &lt;=6.3, SUM((DJ368*(20/100))+(DK368*(30/100))+(DL368*(50/100))) &gt;=5.8),6,
IF(AND( SUM((DJ368*(20/100))+(DK368*(30/100))+(DL368*(50/100))) &lt;=5.8, SUM((DJ368*(20/100))+(DK368*(30/100))+(DL368*(50/100))) &gt;=5.3),5.5,
IF(AND( SUM((DJ368*(20/100))+(DK368*(30/100))+(DL368*(50/100))) &lt;=5.3, SUM((DJ368*(20/100))+(DK368*(30/100))+(DL368*(50/100))) &gt;=4.8),5,
IF(AND( SUM((DJ368*(20/100))+(DK368*(30/100))+(DL368*(50/100))) &lt;=4.8, SUM((DJ368*(20/100))+(DK368*(30/100))+(DL368*(50/100))) &gt;=4.3),4.5,
IF(AND( SUM((DJ368*(20/100))+(DK368*(30/100))+(DL368*(50/100))) &lt;=4.3, SUM((DJ368*(20/100))+(DK368*(30/100))+(DL368*(50/100))) &gt;=3.8),4,
IF(AND( SUM((DJ368*(20/100))+(DK368*(30/100))+(DL368*(50/100))) &lt;=3.8, SUM((DJ368*(20/100))+(DK368*(30/100))+(DL368*(50/100))) &gt;=3.5),3.5,0)))))))))))))</f>
        <v>0</v>
      </c>
      <c r="DQ368" s="541"/>
      <c r="DR368" s="541"/>
      <c r="DS368" s="541"/>
      <c r="DT368" s="541"/>
      <c r="DU368" s="541"/>
      <c r="DV368" s="541"/>
      <c r="DW368" s="541"/>
      <c r="DX368" s="541"/>
      <c r="DY368" s="541"/>
      <c r="DZ368" s="541"/>
    </row>
    <row r="369" spans="2:130" x14ac:dyDescent="0.25">
      <c r="B369" s="334">
        <v>12</v>
      </c>
      <c r="C369" s="541"/>
      <c r="D369" s="334"/>
      <c r="E369" s="334"/>
      <c r="F369" s="334"/>
      <c r="G369" s="334"/>
      <c r="H369" s="334"/>
      <c r="I369" s="334"/>
      <c r="J369" s="536"/>
      <c r="K369" s="536"/>
      <c r="L369" s="536"/>
      <c r="M369" s="536"/>
      <c r="N369" s="536"/>
      <c r="O369" s="536"/>
      <c r="P369" s="536">
        <f t="shared" si="126"/>
        <v>0</v>
      </c>
      <c r="Q369" s="536"/>
      <c r="R369" s="536"/>
      <c r="S369" s="536"/>
      <c r="T369" s="536">
        <f t="shared" si="127"/>
        <v>0</v>
      </c>
      <c r="U369" s="536"/>
      <c r="V369" s="536"/>
      <c r="W369" s="536"/>
      <c r="X369" s="536">
        <f t="shared" si="128"/>
        <v>0</v>
      </c>
      <c r="Y369" s="536"/>
      <c r="Z369" s="536"/>
      <c r="AA369" s="536"/>
      <c r="AB369" s="536">
        <f t="shared" si="129"/>
        <v>0</v>
      </c>
      <c r="AC369" s="536"/>
      <c r="AD369" s="536"/>
      <c r="AE369" s="536"/>
      <c r="AF369" s="536">
        <f t="shared" si="130"/>
        <v>0</v>
      </c>
      <c r="AG369" s="536"/>
      <c r="AH369" s="536"/>
      <c r="AI369" s="536"/>
      <c r="AJ369" s="536">
        <f t="shared" si="131"/>
        <v>0</v>
      </c>
      <c r="AK369" s="536"/>
      <c r="AL369" s="536"/>
      <c r="AM369" s="536"/>
      <c r="AN369" s="542">
        <f t="shared" si="132"/>
        <v>0</v>
      </c>
      <c r="AO369" s="536"/>
      <c r="AP369" s="536"/>
      <c r="AQ369" s="536"/>
      <c r="AR369" s="542">
        <f t="shared" si="133"/>
        <v>0</v>
      </c>
      <c r="AS369" s="536"/>
      <c r="AT369" s="536"/>
      <c r="AU369" s="536"/>
      <c r="AV369" s="542">
        <f t="shared" si="134"/>
        <v>0</v>
      </c>
      <c r="AW369" s="536"/>
      <c r="AX369" s="536"/>
      <c r="AY369" s="536"/>
      <c r="AZ369" s="542">
        <f t="shared" si="135"/>
        <v>0</v>
      </c>
      <c r="BA369" s="536"/>
      <c r="BB369" s="536"/>
      <c r="BC369" s="536"/>
      <c r="BD369" s="542">
        <f t="shared" si="136"/>
        <v>0</v>
      </c>
      <c r="BE369" s="536"/>
      <c r="BF369" s="536"/>
      <c r="BG369" s="536"/>
      <c r="BH369" s="542">
        <f t="shared" si="137"/>
        <v>0</v>
      </c>
      <c r="BI369" s="536"/>
      <c r="BJ369" s="536"/>
      <c r="BK369" s="536"/>
      <c r="BL369" s="542">
        <f t="shared" si="138"/>
        <v>0</v>
      </c>
      <c r="BM369" s="536"/>
      <c r="BN369" s="536"/>
      <c r="BO369" s="536"/>
      <c r="BP369" s="542">
        <f t="shared" si="139"/>
        <v>0</v>
      </c>
      <c r="BQ369" s="536"/>
      <c r="BR369" s="536"/>
      <c r="BS369" s="536"/>
      <c r="BT369" s="542">
        <f t="shared" si="140"/>
        <v>0</v>
      </c>
      <c r="BU369" s="536"/>
      <c r="BV369" s="536"/>
      <c r="BW369" s="536"/>
      <c r="BX369" s="542">
        <f t="shared" si="141"/>
        <v>0</v>
      </c>
      <c r="BY369" s="536"/>
      <c r="BZ369" s="536"/>
      <c r="CA369" s="536"/>
      <c r="CB369" s="542">
        <v>0</v>
      </c>
      <c r="CC369" s="536"/>
      <c r="CD369" s="536"/>
      <c r="CE369" s="536"/>
      <c r="CF369" s="541">
        <f t="shared" si="142"/>
        <v>0</v>
      </c>
      <c r="CG369" s="536"/>
      <c r="CH369" s="536"/>
      <c r="CI369" s="536"/>
      <c r="CJ369" s="541">
        <f t="shared" si="143"/>
        <v>0</v>
      </c>
      <c r="CK369" s="536"/>
      <c r="CL369" s="536"/>
      <c r="CM369" s="536"/>
      <c r="CN369" s="541">
        <f t="shared" si="144"/>
        <v>0</v>
      </c>
      <c r="CO369" s="536"/>
      <c r="CP369" s="536"/>
      <c r="CQ369" s="536"/>
      <c r="CR369" s="541">
        <f t="shared" si="145"/>
        <v>0</v>
      </c>
      <c r="CS369" s="536"/>
      <c r="CT369" s="536"/>
      <c r="CU369" s="536"/>
      <c r="CV369" s="541">
        <f t="shared" si="146"/>
        <v>0</v>
      </c>
      <c r="CW369" s="536"/>
      <c r="CX369" s="536"/>
      <c r="CY369" s="536"/>
      <c r="CZ369" s="541">
        <f t="shared" si="147"/>
        <v>0</v>
      </c>
      <c r="DA369" s="536"/>
      <c r="DB369" s="536"/>
      <c r="DC369" s="536"/>
      <c r="DD369" s="541">
        <f t="shared" si="148"/>
        <v>0</v>
      </c>
      <c r="DE369" s="536"/>
      <c r="DF369" s="536"/>
      <c r="DG369" s="536"/>
      <c r="DH369" s="541">
        <f t="shared" si="149"/>
        <v>0</v>
      </c>
      <c r="DI369" s="536"/>
      <c r="DJ369" s="536"/>
      <c r="DK369" s="536"/>
      <c r="DL369" s="541">
        <f t="shared" si="150"/>
        <v>0</v>
      </c>
      <c r="DM369" s="536"/>
      <c r="DN369" s="536"/>
      <c r="DO369" s="536"/>
      <c r="DP369" s="541">
        <f>IF( SUM((DJ369*(20/100))+(DK369*(30/100))+(DL369*(50/100))) &gt;=9.3,9.5,
IF(AND( SUM((DJ369*(20/100))+(DK369*(30/100))+(DL369*(50/100))) &lt;=9.3, SUM((DJ369*(20/100))+(DK369*(30/100))+(DL369*(50/100))) &gt;=8.8),9,
IF(AND( SUM((DJ369*(20/100))+(DK369*(30/100))+(DL369*(50/100))) &lt;=8.8, SUM((DJ369*(20/100))+(DK369*(30/100))+(DL369*(50/100))) &gt;=8.3),8.5,
IF(AND( SUM((DJ369*(20/100))+(DK369*(30/100))+(DL369*(50/100))) &lt;=8.3, SUM((DJ369*(20/100))+(DK369*(30/100))+(DL369*(50/100))) &gt;=7.8),8,
IF(AND( SUM((DJ369*(20/100))+(DK369*(30/100))+(DL369*(50/100))) &lt;=7.8, SUM((DJ369*(20/100))+(DK369*(30/100))+(DL369*(50/100))) &gt;=7.3),7.5,
IF(AND( SUM((DJ369*(20/100))+(DK369*(30/100))+(DL369*(50/100))) &lt;=7.3, SUM((DJ369*(20/100))+(DK369*(30/100))+(DL369*(50/100))) &gt;=6.8),7,
IF(AND( SUM((DJ369*(20/100))+(DK369*(30/100))+(DL369*(50/100))) &lt;=6.8, SUM((DJ369*(20/100))+(DK369*(30/100))+(DL369*(50/100))) &gt;=6.3),6.5,
IF(AND( SUM((DJ369*(20/100))+(DK369*(30/100))+(DL369*(50/100))) &lt;=6.3, SUM((DJ369*(20/100))+(DK369*(30/100))+(DL369*(50/100))) &gt;=5.8),6,
IF(AND( SUM((DJ369*(20/100))+(DK369*(30/100))+(DL369*(50/100))) &lt;=5.8, SUM((DJ369*(20/100))+(DK369*(30/100))+(DL369*(50/100))) &gt;=5.3),5.5,
IF(AND( SUM((DJ369*(20/100))+(DK369*(30/100))+(DL369*(50/100))) &lt;=5.3, SUM((DJ369*(20/100))+(DK369*(30/100))+(DL369*(50/100))) &gt;=4.8),5,
IF(AND( SUM((DJ369*(20/100))+(DK369*(30/100))+(DL369*(50/100))) &lt;=4.8, SUM((DJ369*(20/100))+(DK369*(30/100))+(DL369*(50/100))) &gt;=4.3),4.5,
IF(AND( SUM((DJ369*(20/100))+(DK369*(30/100))+(DL369*(50/100))) &lt;=4.3, SUM((DJ369*(20/100))+(DK369*(30/100))+(DL369*(50/100))) &gt;=3.8),4,
IF(AND( SUM((DJ369*(20/100))+(DK369*(30/100))+(DL369*(50/100))) &lt;=3.8, SUM((DJ369*(20/100))+(DK369*(30/100))+(DL369*(50/100))) &gt;=3.5),3.5,0)))))))))))))</f>
        <v>0</v>
      </c>
      <c r="DQ369" s="541"/>
      <c r="DR369" s="541"/>
      <c r="DS369" s="541"/>
      <c r="DT369" s="541"/>
      <c r="DU369" s="541"/>
      <c r="DV369" s="541"/>
      <c r="DW369" s="541"/>
      <c r="DX369" s="541"/>
      <c r="DY369" s="541"/>
      <c r="DZ369" s="541"/>
    </row>
    <row r="370" spans="2:130" x14ac:dyDescent="0.25">
      <c r="B370" s="334">
        <v>13</v>
      </c>
      <c r="C370" s="541"/>
      <c r="D370" s="334"/>
      <c r="E370" s="334"/>
      <c r="F370" s="334"/>
      <c r="G370" s="334"/>
      <c r="H370" s="334"/>
      <c r="I370" s="334"/>
      <c r="J370" s="536"/>
      <c r="K370" s="536"/>
      <c r="L370" s="536"/>
      <c r="M370" s="536"/>
      <c r="N370" s="536"/>
      <c r="O370" s="536"/>
      <c r="P370" s="536">
        <f t="shared" si="126"/>
        <v>0</v>
      </c>
      <c r="Q370" s="536"/>
      <c r="R370" s="536"/>
      <c r="S370" s="536"/>
      <c r="T370" s="536">
        <f t="shared" si="127"/>
        <v>0</v>
      </c>
      <c r="U370" s="536"/>
      <c r="V370" s="536"/>
      <c r="W370" s="536"/>
      <c r="X370" s="536">
        <f t="shared" si="128"/>
        <v>0</v>
      </c>
      <c r="Y370" s="536"/>
      <c r="Z370" s="536"/>
      <c r="AA370" s="536"/>
      <c r="AB370" s="536">
        <f t="shared" si="129"/>
        <v>0</v>
      </c>
      <c r="AC370" s="536"/>
      <c r="AD370" s="536"/>
      <c r="AE370" s="536"/>
      <c r="AF370" s="536">
        <f t="shared" si="130"/>
        <v>0</v>
      </c>
      <c r="AG370" s="536"/>
      <c r="AH370" s="536"/>
      <c r="AI370" s="536"/>
      <c r="AJ370" s="536">
        <f t="shared" si="131"/>
        <v>0</v>
      </c>
      <c r="AK370" s="536"/>
      <c r="AL370" s="536"/>
      <c r="AM370" s="536"/>
      <c r="AN370" s="542">
        <f t="shared" si="132"/>
        <v>0</v>
      </c>
      <c r="AO370" s="536"/>
      <c r="AP370" s="536"/>
      <c r="AQ370" s="536"/>
      <c r="AR370" s="542">
        <f t="shared" si="133"/>
        <v>0</v>
      </c>
      <c r="AS370" s="536"/>
      <c r="AT370" s="536"/>
      <c r="AU370" s="536"/>
      <c r="AV370" s="542">
        <f t="shared" si="134"/>
        <v>0</v>
      </c>
      <c r="AW370" s="536"/>
      <c r="AX370" s="536"/>
      <c r="AY370" s="536"/>
      <c r="AZ370" s="542">
        <f t="shared" si="135"/>
        <v>0</v>
      </c>
      <c r="BA370" s="536"/>
      <c r="BB370" s="536"/>
      <c r="BC370" s="536"/>
      <c r="BD370" s="542">
        <f t="shared" si="136"/>
        <v>0</v>
      </c>
      <c r="BE370" s="536"/>
      <c r="BF370" s="536"/>
      <c r="BG370" s="536"/>
      <c r="BH370" s="542">
        <f t="shared" si="137"/>
        <v>0</v>
      </c>
      <c r="BI370" s="536"/>
      <c r="BJ370" s="536"/>
      <c r="BK370" s="536"/>
      <c r="BL370" s="542">
        <f t="shared" si="138"/>
        <v>0</v>
      </c>
      <c r="BM370" s="536"/>
      <c r="BN370" s="536"/>
      <c r="BO370" s="536"/>
      <c r="BP370" s="542">
        <f t="shared" si="139"/>
        <v>0</v>
      </c>
      <c r="BQ370" s="536"/>
      <c r="BR370" s="536"/>
      <c r="BS370" s="536"/>
      <c r="BT370" s="542">
        <f t="shared" si="140"/>
        <v>0</v>
      </c>
      <c r="BU370" s="536"/>
      <c r="BV370" s="536"/>
      <c r="BW370" s="536"/>
      <c r="BX370" s="542">
        <f t="shared" si="141"/>
        <v>0</v>
      </c>
      <c r="BY370" s="536"/>
      <c r="BZ370" s="536"/>
      <c r="CA370" s="536"/>
      <c r="CB370" s="542">
        <v>0</v>
      </c>
      <c r="CC370" s="536"/>
      <c r="CD370" s="536"/>
      <c r="CE370" s="536"/>
      <c r="CF370" s="541">
        <f t="shared" si="142"/>
        <v>0</v>
      </c>
      <c r="CG370" s="536"/>
      <c r="CH370" s="536"/>
      <c r="CI370" s="536"/>
      <c r="CJ370" s="541">
        <f t="shared" si="143"/>
        <v>0</v>
      </c>
      <c r="CK370" s="536"/>
      <c r="CL370" s="536"/>
      <c r="CM370" s="536"/>
      <c r="CN370" s="541">
        <f t="shared" si="144"/>
        <v>0</v>
      </c>
      <c r="CO370" s="536"/>
      <c r="CP370" s="536"/>
      <c r="CQ370" s="536"/>
      <c r="CR370" s="541">
        <f t="shared" si="145"/>
        <v>0</v>
      </c>
      <c r="CS370" s="536"/>
      <c r="CT370" s="536"/>
      <c r="CU370" s="536"/>
      <c r="CV370" s="541">
        <f t="shared" si="146"/>
        <v>0</v>
      </c>
      <c r="CW370" s="536"/>
      <c r="CX370" s="536"/>
      <c r="CY370" s="536"/>
      <c r="CZ370" s="541">
        <f t="shared" si="147"/>
        <v>0</v>
      </c>
      <c r="DA370" s="536"/>
      <c r="DB370" s="536"/>
      <c r="DC370" s="536"/>
      <c r="DD370" s="541">
        <f t="shared" si="148"/>
        <v>0</v>
      </c>
      <c r="DE370" s="536"/>
      <c r="DF370" s="536"/>
      <c r="DG370" s="536"/>
      <c r="DH370" s="541">
        <f t="shared" si="149"/>
        <v>0</v>
      </c>
      <c r="DI370" s="536"/>
      <c r="DJ370" s="536"/>
      <c r="DK370" s="536"/>
      <c r="DL370" s="541">
        <f t="shared" si="150"/>
        <v>0</v>
      </c>
      <c r="DM370" s="536"/>
      <c r="DN370" s="536"/>
      <c r="DO370" s="536"/>
      <c r="DP370" s="541">
        <f>IF( SUM((DJ370*(20/100))+(DK370*(30/100))+(DL370*(50/100))) &gt;=9.3,9.5,
IF(AND( SUM((DJ370*(20/100))+(DK370*(30/100))+(DL370*(50/100))) &lt;=9.3, SUM((DJ370*(20/100))+(DK370*(30/100))+(DL370*(50/100))) &gt;=8.8),9,
IF(AND( SUM((DJ370*(20/100))+(DK370*(30/100))+(DL370*(50/100))) &lt;=8.8, SUM((DJ370*(20/100))+(DK370*(30/100))+(DL370*(50/100))) &gt;=8.3),8.5,
IF(AND( SUM((DJ370*(20/100))+(DK370*(30/100))+(DL370*(50/100))) &lt;=8.3, SUM((DJ370*(20/100))+(DK370*(30/100))+(DL370*(50/100))) &gt;=7.8),8,
IF(AND( SUM((DJ370*(20/100))+(DK370*(30/100))+(DL370*(50/100))) &lt;=7.8, SUM((DJ370*(20/100))+(DK370*(30/100))+(DL370*(50/100))) &gt;=7.3),7.5,
IF(AND( SUM((DJ370*(20/100))+(DK370*(30/100))+(DL370*(50/100))) &lt;=7.3, SUM((DJ370*(20/100))+(DK370*(30/100))+(DL370*(50/100))) &gt;=6.8),7,
IF(AND( SUM((DJ370*(20/100))+(DK370*(30/100))+(DL370*(50/100))) &lt;=6.8, SUM((DJ370*(20/100))+(DK370*(30/100))+(DL370*(50/100))) &gt;=6.3),6.5,
IF(AND( SUM((DJ370*(20/100))+(DK370*(30/100))+(DL370*(50/100))) &lt;=6.3, SUM((DJ370*(20/100))+(DK370*(30/100))+(DL370*(50/100))) &gt;=5.8),6,
IF(AND( SUM((DJ370*(20/100))+(DK370*(30/100))+(DL370*(50/100))) &lt;=5.8, SUM((DJ370*(20/100))+(DK370*(30/100))+(DL370*(50/100))) &gt;=5.3),5.5,
IF(AND( SUM((DJ370*(20/100))+(DK370*(30/100))+(DL370*(50/100))) &lt;=5.3, SUM((DJ370*(20/100))+(DK370*(30/100))+(DL370*(50/100))) &gt;=4.8),5,
IF(AND( SUM((DJ370*(20/100))+(DK370*(30/100))+(DL370*(50/100))) &lt;=4.8, SUM((DJ370*(20/100))+(DK370*(30/100))+(DL370*(50/100))) &gt;=4.3),4.5,
IF(AND( SUM((DJ370*(20/100))+(DK370*(30/100))+(DL370*(50/100))) &lt;=4.3, SUM((DJ370*(20/100))+(DK370*(30/100))+(DL370*(50/100))) &gt;=3.8),4,
IF(AND( SUM((DJ370*(20/100))+(DK370*(30/100))+(DL370*(50/100))) &lt;=3.8, SUM((DJ370*(20/100))+(DK370*(30/100))+(DL370*(50/100))) &gt;=3.5),3.5,0)))))))))))))</f>
        <v>0</v>
      </c>
      <c r="DQ370" s="541"/>
      <c r="DR370" s="541"/>
      <c r="DS370" s="541"/>
      <c r="DT370" s="541"/>
      <c r="DU370" s="541"/>
      <c r="DV370" s="541"/>
      <c r="DW370" s="541"/>
      <c r="DX370" s="541"/>
      <c r="DY370" s="541"/>
      <c r="DZ370" s="541"/>
    </row>
    <row r="371" spans="2:130" x14ac:dyDescent="0.25">
      <c r="B371" s="334">
        <v>14</v>
      </c>
      <c r="C371" s="541"/>
      <c r="D371" s="334"/>
      <c r="E371" s="334"/>
      <c r="F371" s="334"/>
      <c r="G371" s="334"/>
      <c r="H371" s="334"/>
      <c r="I371" s="334"/>
      <c r="J371" s="536"/>
      <c r="K371" s="536"/>
      <c r="L371" s="536"/>
      <c r="M371" s="536"/>
      <c r="N371" s="536"/>
      <c r="O371" s="536"/>
      <c r="P371" s="536">
        <f t="shared" si="126"/>
        <v>0</v>
      </c>
      <c r="Q371" s="536"/>
      <c r="R371" s="536"/>
      <c r="S371" s="536"/>
      <c r="T371" s="536">
        <f t="shared" si="127"/>
        <v>0</v>
      </c>
      <c r="U371" s="536"/>
      <c r="V371" s="536"/>
      <c r="W371" s="536"/>
      <c r="X371" s="536">
        <f t="shared" si="128"/>
        <v>0</v>
      </c>
      <c r="Y371" s="536"/>
      <c r="Z371" s="536"/>
      <c r="AA371" s="536"/>
      <c r="AB371" s="536">
        <f t="shared" si="129"/>
        <v>0</v>
      </c>
      <c r="AC371" s="536"/>
      <c r="AD371" s="536"/>
      <c r="AE371" s="536"/>
      <c r="AF371" s="536">
        <f t="shared" si="130"/>
        <v>0</v>
      </c>
      <c r="AG371" s="536"/>
      <c r="AH371" s="536"/>
      <c r="AI371" s="536"/>
      <c r="AJ371" s="536">
        <f t="shared" si="131"/>
        <v>0</v>
      </c>
      <c r="AK371" s="536"/>
      <c r="AL371" s="536"/>
      <c r="AM371" s="536"/>
      <c r="AN371" s="542">
        <f t="shared" si="132"/>
        <v>0</v>
      </c>
      <c r="AO371" s="536"/>
      <c r="AP371" s="536"/>
      <c r="AQ371" s="536"/>
      <c r="AR371" s="542">
        <f t="shared" si="133"/>
        <v>0</v>
      </c>
      <c r="AS371" s="536"/>
      <c r="AT371" s="536"/>
      <c r="AU371" s="536"/>
      <c r="AV371" s="542">
        <f t="shared" si="134"/>
        <v>0</v>
      </c>
      <c r="AW371" s="536"/>
      <c r="AX371" s="536"/>
      <c r="AY371" s="536"/>
      <c r="AZ371" s="542">
        <f t="shared" si="135"/>
        <v>0</v>
      </c>
      <c r="BA371" s="536"/>
      <c r="BB371" s="536"/>
      <c r="BC371" s="536"/>
      <c r="BD371" s="542">
        <f t="shared" si="136"/>
        <v>0</v>
      </c>
      <c r="BE371" s="536"/>
      <c r="BF371" s="536"/>
      <c r="BG371" s="536"/>
      <c r="BH371" s="542">
        <f t="shared" si="137"/>
        <v>0</v>
      </c>
      <c r="BI371" s="536"/>
      <c r="BJ371" s="536"/>
      <c r="BK371" s="536"/>
      <c r="BL371" s="542">
        <f t="shared" si="138"/>
        <v>0</v>
      </c>
      <c r="BM371" s="536"/>
      <c r="BN371" s="536"/>
      <c r="BO371" s="536"/>
      <c r="BP371" s="542">
        <f t="shared" si="139"/>
        <v>0</v>
      </c>
      <c r="BQ371" s="536"/>
      <c r="BR371" s="536"/>
      <c r="BS371" s="536"/>
      <c r="BT371" s="542">
        <f t="shared" si="140"/>
        <v>0</v>
      </c>
      <c r="BU371" s="536"/>
      <c r="BV371" s="536"/>
      <c r="BW371" s="536"/>
      <c r="BX371" s="542">
        <f t="shared" si="141"/>
        <v>0</v>
      </c>
      <c r="BY371" s="536"/>
      <c r="BZ371" s="536"/>
      <c r="CA371" s="536"/>
      <c r="CB371" s="542">
        <v>0</v>
      </c>
      <c r="CC371" s="536"/>
      <c r="CD371" s="536"/>
      <c r="CE371" s="536"/>
      <c r="CF371" s="541">
        <f t="shared" si="142"/>
        <v>0</v>
      </c>
      <c r="CG371" s="536"/>
      <c r="CH371" s="536"/>
      <c r="CI371" s="536"/>
      <c r="CJ371" s="541">
        <f t="shared" si="143"/>
        <v>0</v>
      </c>
      <c r="CK371" s="536"/>
      <c r="CL371" s="536"/>
      <c r="CM371" s="536"/>
      <c r="CN371" s="541">
        <f t="shared" si="144"/>
        <v>0</v>
      </c>
      <c r="CO371" s="536"/>
      <c r="CP371" s="536"/>
      <c r="CQ371" s="536"/>
      <c r="CR371" s="541">
        <f t="shared" si="145"/>
        <v>0</v>
      </c>
      <c r="CS371" s="536"/>
      <c r="CT371" s="536"/>
      <c r="CU371" s="536"/>
      <c r="CV371" s="541">
        <f t="shared" si="146"/>
        <v>0</v>
      </c>
      <c r="CW371" s="536"/>
      <c r="CX371" s="536"/>
      <c r="CY371" s="536"/>
      <c r="CZ371" s="541">
        <f t="shared" si="147"/>
        <v>0</v>
      </c>
      <c r="DA371" s="536"/>
      <c r="DB371" s="536"/>
      <c r="DC371" s="536"/>
      <c r="DD371" s="541">
        <f t="shared" si="148"/>
        <v>0</v>
      </c>
      <c r="DE371" s="536"/>
      <c r="DF371" s="536"/>
      <c r="DG371" s="536"/>
      <c r="DH371" s="541">
        <f t="shared" si="149"/>
        <v>0</v>
      </c>
      <c r="DI371" s="536"/>
      <c r="DJ371" s="536"/>
      <c r="DK371" s="536"/>
      <c r="DL371" s="541">
        <f t="shared" si="150"/>
        <v>0</v>
      </c>
      <c r="DM371" s="536"/>
      <c r="DN371" s="536"/>
      <c r="DO371" s="536"/>
      <c r="DP371" s="541">
        <f>IF( SUM((DJ371*(20/100))+(DK371*(30/100))+(DL371*(50/100))) &gt;=9.3,9.5,
IF(AND( SUM((DJ371*(20/100))+(DK371*(30/100))+(DL371*(50/100))) &lt;=9.3, SUM((DJ371*(20/100))+(DK371*(30/100))+(DL371*(50/100))) &gt;=8.8),9,
IF(AND( SUM((DJ371*(20/100))+(DK371*(30/100))+(DL371*(50/100))) &lt;=8.8, SUM((DJ371*(20/100))+(DK371*(30/100))+(DL371*(50/100))) &gt;=8.3),8.5,
IF(AND( SUM((DJ371*(20/100))+(DK371*(30/100))+(DL371*(50/100))) &lt;=8.3, SUM((DJ371*(20/100))+(DK371*(30/100))+(DL371*(50/100))) &gt;=7.8),8,
IF(AND( SUM((DJ371*(20/100))+(DK371*(30/100))+(DL371*(50/100))) &lt;=7.8, SUM((DJ371*(20/100))+(DK371*(30/100))+(DL371*(50/100))) &gt;=7.3),7.5,
IF(AND( SUM((DJ371*(20/100))+(DK371*(30/100))+(DL371*(50/100))) &lt;=7.3, SUM((DJ371*(20/100))+(DK371*(30/100))+(DL371*(50/100))) &gt;=6.8),7,
IF(AND( SUM((DJ371*(20/100))+(DK371*(30/100))+(DL371*(50/100))) &lt;=6.8, SUM((DJ371*(20/100))+(DK371*(30/100))+(DL371*(50/100))) &gt;=6.3),6.5,
IF(AND( SUM((DJ371*(20/100))+(DK371*(30/100))+(DL371*(50/100))) &lt;=6.3, SUM((DJ371*(20/100))+(DK371*(30/100))+(DL371*(50/100))) &gt;=5.8),6,
IF(AND( SUM((DJ371*(20/100))+(DK371*(30/100))+(DL371*(50/100))) &lt;=5.8, SUM((DJ371*(20/100))+(DK371*(30/100))+(DL371*(50/100))) &gt;=5.3),5.5,
IF(AND( SUM((DJ371*(20/100))+(DK371*(30/100))+(DL371*(50/100))) &lt;=5.3, SUM((DJ371*(20/100))+(DK371*(30/100))+(DL371*(50/100))) &gt;=4.8),5,
IF(AND( SUM((DJ371*(20/100))+(DK371*(30/100))+(DL371*(50/100))) &lt;=4.8, SUM((DJ371*(20/100))+(DK371*(30/100))+(DL371*(50/100))) &gt;=4.3),4.5,
IF(AND( SUM((DJ371*(20/100))+(DK371*(30/100))+(DL371*(50/100))) &lt;=4.3, SUM((DJ371*(20/100))+(DK371*(30/100))+(DL371*(50/100))) &gt;=3.8),4,
IF(AND( SUM((DJ371*(20/100))+(DK371*(30/100))+(DL371*(50/100))) &lt;=3.8, SUM((DJ371*(20/100))+(DK371*(30/100))+(DL371*(50/100))) &gt;=3.5),3.5,0)))))))))))))</f>
        <v>0</v>
      </c>
      <c r="DQ371" s="541"/>
      <c r="DR371" s="541"/>
      <c r="DS371" s="541"/>
      <c r="DT371" s="541"/>
      <c r="DU371" s="541"/>
      <c r="DV371" s="541"/>
      <c r="DW371" s="541"/>
      <c r="DX371" s="541"/>
      <c r="DY371" s="541"/>
      <c r="DZ371" s="541"/>
    </row>
    <row r="372" spans="2:130" x14ac:dyDescent="0.25">
      <c r="B372" s="334">
        <v>15</v>
      </c>
      <c r="C372" s="541"/>
      <c r="D372" s="334"/>
      <c r="E372" s="334"/>
      <c r="F372" s="334"/>
      <c r="G372" s="334"/>
      <c r="H372" s="334"/>
      <c r="I372" s="334"/>
      <c r="J372" s="536"/>
      <c r="K372" s="536"/>
      <c r="L372" s="536"/>
      <c r="M372" s="536"/>
      <c r="N372" s="536"/>
      <c r="O372" s="536"/>
      <c r="P372" s="536">
        <f t="shared" si="126"/>
        <v>0</v>
      </c>
      <c r="Q372" s="536"/>
      <c r="R372" s="536"/>
      <c r="S372" s="536"/>
      <c r="T372" s="536">
        <f t="shared" si="127"/>
        <v>0</v>
      </c>
      <c r="U372" s="536"/>
      <c r="V372" s="536"/>
      <c r="W372" s="536"/>
      <c r="X372" s="536">
        <f t="shared" si="128"/>
        <v>0</v>
      </c>
      <c r="Y372" s="536"/>
      <c r="Z372" s="536"/>
      <c r="AA372" s="536"/>
      <c r="AB372" s="536">
        <f t="shared" si="129"/>
        <v>0</v>
      </c>
      <c r="AC372" s="536"/>
      <c r="AD372" s="536"/>
      <c r="AE372" s="536"/>
      <c r="AF372" s="536">
        <f t="shared" si="130"/>
        <v>0</v>
      </c>
      <c r="AG372" s="536"/>
      <c r="AH372" s="536"/>
      <c r="AI372" s="536"/>
      <c r="AJ372" s="536">
        <f t="shared" si="131"/>
        <v>0</v>
      </c>
      <c r="AK372" s="536"/>
      <c r="AL372" s="536"/>
      <c r="AM372" s="536"/>
      <c r="AN372" s="542">
        <f t="shared" si="132"/>
        <v>0</v>
      </c>
      <c r="AO372" s="536"/>
      <c r="AP372" s="536"/>
      <c r="AQ372" s="536"/>
      <c r="AR372" s="542">
        <f t="shared" si="133"/>
        <v>0</v>
      </c>
      <c r="AS372" s="536"/>
      <c r="AT372" s="536"/>
      <c r="AU372" s="536"/>
      <c r="AV372" s="542">
        <f t="shared" si="134"/>
        <v>0</v>
      </c>
      <c r="AW372" s="536"/>
      <c r="AX372" s="536"/>
      <c r="AY372" s="536"/>
      <c r="AZ372" s="542">
        <f t="shared" si="135"/>
        <v>0</v>
      </c>
      <c r="BA372" s="536"/>
      <c r="BB372" s="536"/>
      <c r="BC372" s="536"/>
      <c r="BD372" s="542">
        <f t="shared" si="136"/>
        <v>0</v>
      </c>
      <c r="BE372" s="536"/>
      <c r="BF372" s="536"/>
      <c r="BG372" s="536"/>
      <c r="BH372" s="542">
        <f t="shared" si="137"/>
        <v>0</v>
      </c>
      <c r="BI372" s="536"/>
      <c r="BJ372" s="536"/>
      <c r="BK372" s="536"/>
      <c r="BL372" s="542">
        <f t="shared" si="138"/>
        <v>0</v>
      </c>
      <c r="BM372" s="536"/>
      <c r="BN372" s="536"/>
      <c r="BO372" s="536"/>
      <c r="BP372" s="542">
        <f t="shared" si="139"/>
        <v>0</v>
      </c>
      <c r="BQ372" s="536"/>
      <c r="BR372" s="536"/>
      <c r="BS372" s="536"/>
      <c r="BT372" s="542">
        <f t="shared" si="140"/>
        <v>0</v>
      </c>
      <c r="BU372" s="536"/>
      <c r="BV372" s="536"/>
      <c r="BW372" s="536"/>
      <c r="BX372" s="542">
        <f t="shared" si="141"/>
        <v>0</v>
      </c>
      <c r="BY372" s="536"/>
      <c r="BZ372" s="536"/>
      <c r="CA372" s="536"/>
      <c r="CB372" s="542">
        <v>0</v>
      </c>
      <c r="CC372" s="536"/>
      <c r="CD372" s="536"/>
      <c r="CE372" s="536"/>
      <c r="CF372" s="541">
        <f t="shared" si="142"/>
        <v>0</v>
      </c>
      <c r="CG372" s="536"/>
      <c r="CH372" s="536"/>
      <c r="CI372" s="536"/>
      <c r="CJ372" s="541">
        <f t="shared" si="143"/>
        <v>0</v>
      </c>
      <c r="CK372" s="536"/>
      <c r="CL372" s="536"/>
      <c r="CM372" s="536"/>
      <c r="CN372" s="541">
        <f t="shared" si="144"/>
        <v>0</v>
      </c>
      <c r="CO372" s="536"/>
      <c r="CP372" s="536"/>
      <c r="CQ372" s="536"/>
      <c r="CR372" s="541">
        <f t="shared" si="145"/>
        <v>0</v>
      </c>
      <c r="CS372" s="536"/>
      <c r="CT372" s="536"/>
      <c r="CU372" s="536"/>
      <c r="CV372" s="541">
        <f t="shared" si="146"/>
        <v>0</v>
      </c>
      <c r="CW372" s="536"/>
      <c r="CX372" s="536"/>
      <c r="CY372" s="536"/>
      <c r="CZ372" s="541">
        <f t="shared" si="147"/>
        <v>0</v>
      </c>
      <c r="DA372" s="536"/>
      <c r="DB372" s="536"/>
      <c r="DC372" s="536"/>
      <c r="DD372" s="541">
        <f t="shared" si="148"/>
        <v>0</v>
      </c>
      <c r="DE372" s="536"/>
      <c r="DF372" s="536"/>
      <c r="DG372" s="536"/>
      <c r="DH372" s="541">
        <f t="shared" si="149"/>
        <v>0</v>
      </c>
      <c r="DI372" s="536"/>
      <c r="DJ372" s="536"/>
      <c r="DK372" s="536"/>
      <c r="DL372" s="541">
        <f t="shared" si="150"/>
        <v>0</v>
      </c>
      <c r="DM372" s="536"/>
      <c r="DN372" s="536"/>
      <c r="DO372" s="536"/>
      <c r="DP372" s="541">
        <f>IF( SUM((DJ372*(20/100))+(DK372*(30/100))+(DL372*(50/100))) &gt;=9.3,9.5,
IF(AND( SUM((DJ372*(20/100))+(DK372*(30/100))+(DL372*(50/100))) &lt;=9.3, SUM((DJ372*(20/100))+(DK372*(30/100))+(DL372*(50/100))) &gt;=8.8),9,
IF(AND( SUM((DJ372*(20/100))+(DK372*(30/100))+(DL372*(50/100))) &lt;=8.8, SUM((DJ372*(20/100))+(DK372*(30/100))+(DL372*(50/100))) &gt;=8.3),8.5,
IF(AND( SUM((DJ372*(20/100))+(DK372*(30/100))+(DL372*(50/100))) &lt;=8.3, SUM((DJ372*(20/100))+(DK372*(30/100))+(DL372*(50/100))) &gt;=7.8),8,
IF(AND( SUM((DJ372*(20/100))+(DK372*(30/100))+(DL372*(50/100))) &lt;=7.8, SUM((DJ372*(20/100))+(DK372*(30/100))+(DL372*(50/100))) &gt;=7.3),7.5,
IF(AND( SUM((DJ372*(20/100))+(DK372*(30/100))+(DL372*(50/100))) &lt;=7.3, SUM((DJ372*(20/100))+(DK372*(30/100))+(DL372*(50/100))) &gt;=6.8),7,
IF(AND( SUM((DJ372*(20/100))+(DK372*(30/100))+(DL372*(50/100))) &lt;=6.8, SUM((DJ372*(20/100))+(DK372*(30/100))+(DL372*(50/100))) &gt;=6.3),6.5,
IF(AND( SUM((DJ372*(20/100))+(DK372*(30/100))+(DL372*(50/100))) &lt;=6.3, SUM((DJ372*(20/100))+(DK372*(30/100))+(DL372*(50/100))) &gt;=5.8),6,
IF(AND( SUM((DJ372*(20/100))+(DK372*(30/100))+(DL372*(50/100))) &lt;=5.8, SUM((DJ372*(20/100))+(DK372*(30/100))+(DL372*(50/100))) &gt;=5.3),5.5,
IF(AND( SUM((DJ372*(20/100))+(DK372*(30/100))+(DL372*(50/100))) &lt;=5.3, SUM((DJ372*(20/100))+(DK372*(30/100))+(DL372*(50/100))) &gt;=4.8),5,
IF(AND( SUM((DJ372*(20/100))+(DK372*(30/100))+(DL372*(50/100))) &lt;=4.8, SUM((DJ372*(20/100))+(DK372*(30/100))+(DL372*(50/100))) &gt;=4.3),4.5,
IF(AND( SUM((DJ372*(20/100))+(DK372*(30/100))+(DL372*(50/100))) &lt;=4.3, SUM((DJ372*(20/100))+(DK372*(30/100))+(DL372*(50/100))) &gt;=3.8),4,
IF(AND( SUM((DJ372*(20/100))+(DK372*(30/100))+(DL372*(50/100))) &lt;=3.8, SUM((DJ372*(20/100))+(DK372*(30/100))+(DL372*(50/100))) &gt;=3.5),3.5,0)))))))))))))</f>
        <v>0</v>
      </c>
      <c r="DQ372" s="541"/>
      <c r="DR372" s="541"/>
      <c r="DS372" s="541"/>
      <c r="DT372" s="541"/>
      <c r="DU372" s="541"/>
      <c r="DV372" s="541"/>
      <c r="DW372" s="541"/>
      <c r="DX372" s="541"/>
      <c r="DY372" s="541"/>
      <c r="DZ372" s="541"/>
    </row>
    <row r="373" spans="2:130" x14ac:dyDescent="0.25">
      <c r="B373" s="334">
        <v>16</v>
      </c>
      <c r="C373" s="541"/>
      <c r="D373" s="334"/>
      <c r="E373" s="334"/>
      <c r="F373" s="334"/>
      <c r="G373" s="334"/>
      <c r="H373" s="334"/>
      <c r="I373" s="334"/>
      <c r="J373" s="536"/>
      <c r="K373" s="536"/>
      <c r="L373" s="536"/>
      <c r="M373" s="536"/>
      <c r="N373" s="536"/>
      <c r="O373" s="536"/>
      <c r="P373" s="536">
        <f t="shared" si="126"/>
        <v>0</v>
      </c>
      <c r="Q373" s="536"/>
      <c r="R373" s="536"/>
      <c r="S373" s="536"/>
      <c r="T373" s="536">
        <f t="shared" si="127"/>
        <v>0</v>
      </c>
      <c r="U373" s="536"/>
      <c r="V373" s="536"/>
      <c r="W373" s="536"/>
      <c r="X373" s="536">
        <f t="shared" si="128"/>
        <v>0</v>
      </c>
      <c r="Y373" s="536"/>
      <c r="Z373" s="536"/>
      <c r="AA373" s="536"/>
      <c r="AB373" s="536">
        <f t="shared" si="129"/>
        <v>0</v>
      </c>
      <c r="AC373" s="536"/>
      <c r="AD373" s="536"/>
      <c r="AE373" s="536"/>
      <c r="AF373" s="536">
        <f t="shared" si="130"/>
        <v>0</v>
      </c>
      <c r="AG373" s="536"/>
      <c r="AH373" s="536"/>
      <c r="AI373" s="536"/>
      <c r="AJ373" s="536">
        <f t="shared" si="131"/>
        <v>0</v>
      </c>
      <c r="AK373" s="536"/>
      <c r="AL373" s="536"/>
      <c r="AM373" s="536"/>
      <c r="AN373" s="542">
        <f t="shared" si="132"/>
        <v>0</v>
      </c>
      <c r="AO373" s="536"/>
      <c r="AP373" s="536"/>
      <c r="AQ373" s="536"/>
      <c r="AR373" s="542">
        <f t="shared" si="133"/>
        <v>0</v>
      </c>
      <c r="AS373" s="536"/>
      <c r="AT373" s="536"/>
      <c r="AU373" s="536"/>
      <c r="AV373" s="542">
        <f t="shared" si="134"/>
        <v>0</v>
      </c>
      <c r="AW373" s="536"/>
      <c r="AX373" s="536"/>
      <c r="AY373" s="536"/>
      <c r="AZ373" s="542">
        <f t="shared" si="135"/>
        <v>0</v>
      </c>
      <c r="BA373" s="536"/>
      <c r="BB373" s="536"/>
      <c r="BC373" s="536"/>
      <c r="BD373" s="542">
        <f t="shared" si="136"/>
        <v>0</v>
      </c>
      <c r="BE373" s="536"/>
      <c r="BF373" s="536"/>
      <c r="BG373" s="536"/>
      <c r="BH373" s="542">
        <f t="shared" si="137"/>
        <v>0</v>
      </c>
      <c r="BI373" s="536"/>
      <c r="BJ373" s="536"/>
      <c r="BK373" s="536"/>
      <c r="BL373" s="542">
        <f t="shared" si="138"/>
        <v>0</v>
      </c>
      <c r="BM373" s="536"/>
      <c r="BN373" s="536"/>
      <c r="BO373" s="536"/>
      <c r="BP373" s="542">
        <f t="shared" si="139"/>
        <v>0</v>
      </c>
      <c r="BQ373" s="536"/>
      <c r="BR373" s="536"/>
      <c r="BS373" s="536"/>
      <c r="BT373" s="542">
        <f t="shared" si="140"/>
        <v>0</v>
      </c>
      <c r="BU373" s="536"/>
      <c r="BV373" s="536"/>
      <c r="BW373" s="536"/>
      <c r="BX373" s="542">
        <f t="shared" si="141"/>
        <v>0</v>
      </c>
      <c r="BY373" s="536"/>
      <c r="BZ373" s="536"/>
      <c r="CA373" s="536"/>
      <c r="CB373" s="542">
        <v>0</v>
      </c>
      <c r="CC373" s="536"/>
      <c r="CD373" s="536"/>
      <c r="CE373" s="536"/>
      <c r="CF373" s="541">
        <f t="shared" si="142"/>
        <v>0</v>
      </c>
      <c r="CG373" s="536"/>
      <c r="CH373" s="536"/>
      <c r="CI373" s="536"/>
      <c r="CJ373" s="541">
        <f t="shared" si="143"/>
        <v>0</v>
      </c>
      <c r="CK373" s="536"/>
      <c r="CL373" s="536"/>
      <c r="CM373" s="536"/>
      <c r="CN373" s="541">
        <f t="shared" si="144"/>
        <v>0</v>
      </c>
      <c r="CO373" s="536"/>
      <c r="CP373" s="536"/>
      <c r="CQ373" s="536"/>
      <c r="CR373" s="541">
        <f t="shared" si="145"/>
        <v>0</v>
      </c>
      <c r="CS373" s="536"/>
      <c r="CT373" s="536"/>
      <c r="CU373" s="536"/>
      <c r="CV373" s="541">
        <f t="shared" si="146"/>
        <v>0</v>
      </c>
      <c r="CW373" s="536"/>
      <c r="CX373" s="536"/>
      <c r="CY373" s="536"/>
      <c r="CZ373" s="541">
        <f t="shared" si="147"/>
        <v>0</v>
      </c>
      <c r="DA373" s="536"/>
      <c r="DB373" s="536"/>
      <c r="DC373" s="536"/>
      <c r="DD373" s="541">
        <f t="shared" si="148"/>
        <v>0</v>
      </c>
      <c r="DE373" s="536"/>
      <c r="DF373" s="536"/>
      <c r="DG373" s="536"/>
      <c r="DH373" s="541">
        <f t="shared" si="149"/>
        <v>0</v>
      </c>
      <c r="DI373" s="536"/>
      <c r="DJ373" s="536"/>
      <c r="DK373" s="536"/>
      <c r="DL373" s="541">
        <f t="shared" si="150"/>
        <v>0</v>
      </c>
      <c r="DM373" s="536"/>
      <c r="DN373" s="536"/>
      <c r="DO373" s="536"/>
      <c r="DP373" s="541">
        <f>IF( SUM((DJ373*(20/100))+(DK373*(30/100))+(DL373*(50/100))) &gt;=9.3,9.5,
IF(AND( SUM((DJ373*(20/100))+(DK373*(30/100))+(DL373*(50/100))) &lt;=9.3, SUM((DJ373*(20/100))+(DK373*(30/100))+(DL373*(50/100))) &gt;=8.8),9,
IF(AND( SUM((DJ373*(20/100))+(DK373*(30/100))+(DL373*(50/100))) &lt;=8.8, SUM((DJ373*(20/100))+(DK373*(30/100))+(DL373*(50/100))) &gt;=8.3),8.5,
IF(AND( SUM((DJ373*(20/100))+(DK373*(30/100))+(DL373*(50/100))) &lt;=8.3, SUM((DJ373*(20/100))+(DK373*(30/100))+(DL373*(50/100))) &gt;=7.8),8,
IF(AND( SUM((DJ373*(20/100))+(DK373*(30/100))+(DL373*(50/100))) &lt;=7.8, SUM((DJ373*(20/100))+(DK373*(30/100))+(DL373*(50/100))) &gt;=7.3),7.5,
IF(AND( SUM((DJ373*(20/100))+(DK373*(30/100))+(DL373*(50/100))) &lt;=7.3, SUM((DJ373*(20/100))+(DK373*(30/100))+(DL373*(50/100))) &gt;=6.8),7,
IF(AND( SUM((DJ373*(20/100))+(DK373*(30/100))+(DL373*(50/100))) &lt;=6.8, SUM((DJ373*(20/100))+(DK373*(30/100))+(DL373*(50/100))) &gt;=6.3),6.5,
IF(AND( SUM((DJ373*(20/100))+(DK373*(30/100))+(DL373*(50/100))) &lt;=6.3, SUM((DJ373*(20/100))+(DK373*(30/100))+(DL373*(50/100))) &gt;=5.8),6,
IF(AND( SUM((DJ373*(20/100))+(DK373*(30/100))+(DL373*(50/100))) &lt;=5.8, SUM((DJ373*(20/100))+(DK373*(30/100))+(DL373*(50/100))) &gt;=5.3),5.5,
IF(AND( SUM((DJ373*(20/100))+(DK373*(30/100))+(DL373*(50/100))) &lt;=5.3, SUM((DJ373*(20/100))+(DK373*(30/100))+(DL373*(50/100))) &gt;=4.8),5,
IF(AND( SUM((DJ373*(20/100))+(DK373*(30/100))+(DL373*(50/100))) &lt;=4.8, SUM((DJ373*(20/100))+(DK373*(30/100))+(DL373*(50/100))) &gt;=4.3),4.5,
IF(AND( SUM((DJ373*(20/100))+(DK373*(30/100))+(DL373*(50/100))) &lt;=4.3, SUM((DJ373*(20/100))+(DK373*(30/100))+(DL373*(50/100))) &gt;=3.8),4,
IF(AND( SUM((DJ373*(20/100))+(DK373*(30/100))+(DL373*(50/100))) &lt;=3.8, SUM((DJ373*(20/100))+(DK373*(30/100))+(DL373*(50/100))) &gt;=3.5),3.5,0)))))))))))))</f>
        <v>0</v>
      </c>
      <c r="DQ373" s="541"/>
      <c r="DR373" s="541"/>
      <c r="DS373" s="541"/>
      <c r="DT373" s="541"/>
      <c r="DU373" s="541"/>
      <c r="DV373" s="541"/>
      <c r="DW373" s="541"/>
      <c r="DX373" s="541"/>
      <c r="DY373" s="541"/>
      <c r="DZ373" s="541"/>
    </row>
    <row r="374" spans="2:130" x14ac:dyDescent="0.25">
      <c r="B374" s="334">
        <v>17</v>
      </c>
      <c r="C374" s="541"/>
      <c r="D374" s="334"/>
      <c r="E374" s="334"/>
      <c r="F374" s="334"/>
      <c r="G374" s="334"/>
      <c r="H374" s="334"/>
      <c r="I374" s="334"/>
      <c r="J374" s="536"/>
      <c r="K374" s="536"/>
      <c r="L374" s="536"/>
      <c r="M374" s="536"/>
      <c r="N374" s="536"/>
      <c r="O374" s="536"/>
      <c r="P374" s="536">
        <f t="shared" si="126"/>
        <v>0</v>
      </c>
      <c r="Q374" s="536"/>
      <c r="R374" s="536"/>
      <c r="S374" s="536"/>
      <c r="T374" s="536">
        <f t="shared" si="127"/>
        <v>0</v>
      </c>
      <c r="U374" s="536"/>
      <c r="V374" s="536"/>
      <c r="W374" s="536"/>
      <c r="X374" s="536">
        <f t="shared" si="128"/>
        <v>0</v>
      </c>
      <c r="Y374" s="536"/>
      <c r="Z374" s="536"/>
      <c r="AA374" s="536"/>
      <c r="AB374" s="536">
        <f t="shared" si="129"/>
        <v>0</v>
      </c>
      <c r="AC374" s="536"/>
      <c r="AD374" s="536"/>
      <c r="AE374" s="536"/>
      <c r="AF374" s="536">
        <f t="shared" si="130"/>
        <v>0</v>
      </c>
      <c r="AG374" s="536"/>
      <c r="AH374" s="536"/>
      <c r="AI374" s="536"/>
      <c r="AJ374" s="536">
        <f t="shared" si="131"/>
        <v>0</v>
      </c>
      <c r="AK374" s="536"/>
      <c r="AL374" s="536"/>
      <c r="AM374" s="536"/>
      <c r="AN374" s="542">
        <f t="shared" si="132"/>
        <v>0</v>
      </c>
      <c r="AO374" s="536"/>
      <c r="AP374" s="536"/>
      <c r="AQ374" s="536"/>
      <c r="AR374" s="542">
        <f t="shared" si="133"/>
        <v>0</v>
      </c>
      <c r="AS374" s="536"/>
      <c r="AT374" s="536"/>
      <c r="AU374" s="536"/>
      <c r="AV374" s="542">
        <f t="shared" si="134"/>
        <v>0</v>
      </c>
      <c r="AW374" s="536"/>
      <c r="AX374" s="536"/>
      <c r="AY374" s="536"/>
      <c r="AZ374" s="542">
        <f t="shared" si="135"/>
        <v>0</v>
      </c>
      <c r="BA374" s="536"/>
      <c r="BB374" s="536"/>
      <c r="BC374" s="536"/>
      <c r="BD374" s="542">
        <f t="shared" si="136"/>
        <v>0</v>
      </c>
      <c r="BE374" s="536"/>
      <c r="BF374" s="536"/>
      <c r="BG374" s="536"/>
      <c r="BH374" s="542">
        <f t="shared" si="137"/>
        <v>0</v>
      </c>
      <c r="BI374" s="536"/>
      <c r="BJ374" s="536"/>
      <c r="BK374" s="536"/>
      <c r="BL374" s="542">
        <f t="shared" si="138"/>
        <v>0</v>
      </c>
      <c r="BM374" s="536"/>
      <c r="BN374" s="536"/>
      <c r="BO374" s="536"/>
      <c r="BP374" s="542">
        <f t="shared" si="139"/>
        <v>0</v>
      </c>
      <c r="BQ374" s="536"/>
      <c r="BR374" s="536"/>
      <c r="BS374" s="536"/>
      <c r="BT374" s="542">
        <f t="shared" si="140"/>
        <v>0</v>
      </c>
      <c r="BU374" s="536"/>
      <c r="BV374" s="536"/>
      <c r="BW374" s="536"/>
      <c r="BX374" s="542">
        <f t="shared" si="141"/>
        <v>0</v>
      </c>
      <c r="BY374" s="536"/>
      <c r="BZ374" s="536"/>
      <c r="CA374" s="536"/>
      <c r="CB374" s="542">
        <v>0</v>
      </c>
      <c r="CC374" s="536"/>
      <c r="CD374" s="536"/>
      <c r="CE374" s="536"/>
      <c r="CF374" s="541">
        <f t="shared" si="142"/>
        <v>0</v>
      </c>
      <c r="CG374" s="536"/>
      <c r="CH374" s="536"/>
      <c r="CI374" s="536"/>
      <c r="CJ374" s="541">
        <f t="shared" si="143"/>
        <v>0</v>
      </c>
      <c r="CK374" s="536"/>
      <c r="CL374" s="536"/>
      <c r="CM374" s="536"/>
      <c r="CN374" s="541">
        <f t="shared" si="144"/>
        <v>0</v>
      </c>
      <c r="CO374" s="536"/>
      <c r="CP374" s="536"/>
      <c r="CQ374" s="536"/>
      <c r="CR374" s="541">
        <f t="shared" si="145"/>
        <v>0</v>
      </c>
      <c r="CS374" s="536"/>
      <c r="CT374" s="536"/>
      <c r="CU374" s="536"/>
      <c r="CV374" s="541">
        <f t="shared" si="146"/>
        <v>0</v>
      </c>
      <c r="CW374" s="536"/>
      <c r="CX374" s="536"/>
      <c r="CY374" s="536"/>
      <c r="CZ374" s="541">
        <f t="shared" si="147"/>
        <v>0</v>
      </c>
      <c r="DA374" s="536"/>
      <c r="DB374" s="536"/>
      <c r="DC374" s="536"/>
      <c r="DD374" s="541">
        <f t="shared" si="148"/>
        <v>0</v>
      </c>
      <c r="DE374" s="536"/>
      <c r="DF374" s="536"/>
      <c r="DG374" s="536"/>
      <c r="DH374" s="541">
        <f t="shared" si="149"/>
        <v>0</v>
      </c>
      <c r="DI374" s="536"/>
      <c r="DJ374" s="536"/>
      <c r="DK374" s="536"/>
      <c r="DL374" s="541">
        <f t="shared" si="150"/>
        <v>0</v>
      </c>
      <c r="DM374" s="536"/>
      <c r="DN374" s="536"/>
      <c r="DO374" s="536"/>
      <c r="DP374" s="541">
        <f>IF( SUM((DJ374*(20/100))+(DK374*(30/100))+(DL374*(50/100))) &gt;=9.3,9.5,
IF(AND( SUM((DJ374*(20/100))+(DK374*(30/100))+(DL374*(50/100))) &lt;=9.3, SUM((DJ374*(20/100))+(DK374*(30/100))+(DL374*(50/100))) &gt;=8.8),9,
IF(AND( SUM((DJ374*(20/100))+(DK374*(30/100))+(DL374*(50/100))) &lt;=8.8, SUM((DJ374*(20/100))+(DK374*(30/100))+(DL374*(50/100))) &gt;=8.3),8.5,
IF(AND( SUM((DJ374*(20/100))+(DK374*(30/100))+(DL374*(50/100))) &lt;=8.3, SUM((DJ374*(20/100))+(DK374*(30/100))+(DL374*(50/100))) &gt;=7.8),8,
IF(AND( SUM((DJ374*(20/100))+(DK374*(30/100))+(DL374*(50/100))) &lt;=7.8, SUM((DJ374*(20/100))+(DK374*(30/100))+(DL374*(50/100))) &gt;=7.3),7.5,
IF(AND( SUM((DJ374*(20/100))+(DK374*(30/100))+(DL374*(50/100))) &lt;=7.3, SUM((DJ374*(20/100))+(DK374*(30/100))+(DL374*(50/100))) &gt;=6.8),7,
IF(AND( SUM((DJ374*(20/100))+(DK374*(30/100))+(DL374*(50/100))) &lt;=6.8, SUM((DJ374*(20/100))+(DK374*(30/100))+(DL374*(50/100))) &gt;=6.3),6.5,
IF(AND( SUM((DJ374*(20/100))+(DK374*(30/100))+(DL374*(50/100))) &lt;=6.3, SUM((DJ374*(20/100))+(DK374*(30/100))+(DL374*(50/100))) &gt;=5.8),6,
IF(AND( SUM((DJ374*(20/100))+(DK374*(30/100))+(DL374*(50/100))) &lt;=5.8, SUM((DJ374*(20/100))+(DK374*(30/100))+(DL374*(50/100))) &gt;=5.3),5.5,
IF(AND( SUM((DJ374*(20/100))+(DK374*(30/100))+(DL374*(50/100))) &lt;=5.3, SUM((DJ374*(20/100))+(DK374*(30/100))+(DL374*(50/100))) &gt;=4.8),5,
IF(AND( SUM((DJ374*(20/100))+(DK374*(30/100))+(DL374*(50/100))) &lt;=4.8, SUM((DJ374*(20/100))+(DK374*(30/100))+(DL374*(50/100))) &gt;=4.3),4.5,
IF(AND( SUM((DJ374*(20/100))+(DK374*(30/100))+(DL374*(50/100))) &lt;=4.3, SUM((DJ374*(20/100))+(DK374*(30/100))+(DL374*(50/100))) &gt;=3.8),4,
IF(AND( SUM((DJ374*(20/100))+(DK374*(30/100))+(DL374*(50/100))) &lt;=3.8, SUM((DJ374*(20/100))+(DK374*(30/100))+(DL374*(50/100))) &gt;=3.5),3.5,0)))))))))))))</f>
        <v>0</v>
      </c>
      <c r="DQ374" s="541"/>
      <c r="DR374" s="541"/>
      <c r="DS374" s="541"/>
      <c r="DT374" s="541"/>
      <c r="DU374" s="541"/>
      <c r="DV374" s="541"/>
      <c r="DW374" s="541"/>
      <c r="DX374" s="541"/>
      <c r="DY374" s="541"/>
      <c r="DZ374" s="541"/>
    </row>
    <row r="375" spans="2:130" x14ac:dyDescent="0.25">
      <c r="B375" s="334">
        <v>18</v>
      </c>
      <c r="C375" s="541"/>
      <c r="D375" s="334"/>
      <c r="E375" s="334"/>
      <c r="F375" s="334"/>
      <c r="G375" s="334"/>
      <c r="H375" s="334"/>
      <c r="I375" s="334"/>
      <c r="J375" s="536"/>
      <c r="K375" s="536"/>
      <c r="L375" s="536"/>
      <c r="M375" s="536"/>
      <c r="N375" s="536"/>
      <c r="O375" s="536"/>
      <c r="P375" s="536">
        <f t="shared" si="126"/>
        <v>0</v>
      </c>
      <c r="Q375" s="536"/>
      <c r="R375" s="536"/>
      <c r="S375" s="536"/>
      <c r="T375" s="536">
        <f t="shared" si="127"/>
        <v>0</v>
      </c>
      <c r="U375" s="536"/>
      <c r="V375" s="536"/>
      <c r="W375" s="536"/>
      <c r="X375" s="536">
        <f t="shared" si="128"/>
        <v>0</v>
      </c>
      <c r="Y375" s="536"/>
      <c r="Z375" s="536"/>
      <c r="AA375" s="536"/>
      <c r="AB375" s="536">
        <f t="shared" si="129"/>
        <v>0</v>
      </c>
      <c r="AC375" s="536"/>
      <c r="AD375" s="536"/>
      <c r="AE375" s="536"/>
      <c r="AF375" s="536">
        <f t="shared" si="130"/>
        <v>0</v>
      </c>
      <c r="AG375" s="536"/>
      <c r="AH375" s="536"/>
      <c r="AI375" s="536"/>
      <c r="AJ375" s="536">
        <f t="shared" si="131"/>
        <v>0</v>
      </c>
      <c r="AK375" s="536"/>
      <c r="AL375" s="536"/>
      <c r="AM375" s="536"/>
      <c r="AN375" s="542">
        <f t="shared" si="132"/>
        <v>0</v>
      </c>
      <c r="AO375" s="536"/>
      <c r="AP375" s="536"/>
      <c r="AQ375" s="536"/>
      <c r="AR375" s="542">
        <f t="shared" si="133"/>
        <v>0</v>
      </c>
      <c r="AS375" s="536"/>
      <c r="AT375" s="536"/>
      <c r="AU375" s="536"/>
      <c r="AV375" s="542">
        <f t="shared" si="134"/>
        <v>0</v>
      </c>
      <c r="AW375" s="536"/>
      <c r="AX375" s="536"/>
      <c r="AY375" s="536"/>
      <c r="AZ375" s="542">
        <f t="shared" si="135"/>
        <v>0</v>
      </c>
      <c r="BA375" s="536"/>
      <c r="BB375" s="536"/>
      <c r="BC375" s="536"/>
      <c r="BD375" s="542">
        <f t="shared" si="136"/>
        <v>0</v>
      </c>
      <c r="BE375" s="536"/>
      <c r="BF375" s="536"/>
      <c r="BG375" s="536"/>
      <c r="BH375" s="542">
        <f t="shared" si="137"/>
        <v>0</v>
      </c>
      <c r="BI375" s="536"/>
      <c r="BJ375" s="536"/>
      <c r="BK375" s="536"/>
      <c r="BL375" s="542">
        <f t="shared" si="138"/>
        <v>0</v>
      </c>
      <c r="BM375" s="536"/>
      <c r="BN375" s="536"/>
      <c r="BO375" s="536"/>
      <c r="BP375" s="542">
        <f t="shared" si="139"/>
        <v>0</v>
      </c>
      <c r="BQ375" s="536"/>
      <c r="BR375" s="536"/>
      <c r="BS375" s="536"/>
      <c r="BT375" s="542">
        <f t="shared" si="140"/>
        <v>0</v>
      </c>
      <c r="BU375" s="536"/>
      <c r="BV375" s="536"/>
      <c r="BW375" s="536"/>
      <c r="BX375" s="542">
        <f t="shared" si="141"/>
        <v>0</v>
      </c>
      <c r="BY375" s="536"/>
      <c r="BZ375" s="536"/>
      <c r="CA375" s="536"/>
      <c r="CB375" s="542">
        <v>0</v>
      </c>
      <c r="CC375" s="536"/>
      <c r="CD375" s="536"/>
      <c r="CE375" s="536"/>
      <c r="CF375" s="541">
        <f t="shared" si="142"/>
        <v>0</v>
      </c>
      <c r="CG375" s="536"/>
      <c r="CH375" s="536"/>
      <c r="CI375" s="536"/>
      <c r="CJ375" s="541">
        <f t="shared" si="143"/>
        <v>0</v>
      </c>
      <c r="CK375" s="536"/>
      <c r="CL375" s="536"/>
      <c r="CM375" s="536"/>
      <c r="CN375" s="541">
        <f t="shared" si="144"/>
        <v>0</v>
      </c>
      <c r="CO375" s="536"/>
      <c r="CP375" s="536"/>
      <c r="CQ375" s="536"/>
      <c r="CR375" s="541">
        <f t="shared" si="145"/>
        <v>0</v>
      </c>
      <c r="CS375" s="536"/>
      <c r="CT375" s="536"/>
      <c r="CU375" s="536"/>
      <c r="CV375" s="541">
        <f t="shared" si="146"/>
        <v>0</v>
      </c>
      <c r="CW375" s="536"/>
      <c r="CX375" s="536"/>
      <c r="CY375" s="536"/>
      <c r="CZ375" s="541">
        <f t="shared" si="147"/>
        <v>0</v>
      </c>
      <c r="DA375" s="536"/>
      <c r="DB375" s="536"/>
      <c r="DC375" s="536"/>
      <c r="DD375" s="541">
        <f t="shared" si="148"/>
        <v>0</v>
      </c>
      <c r="DE375" s="536"/>
      <c r="DF375" s="536"/>
      <c r="DG375" s="536"/>
      <c r="DH375" s="541">
        <f t="shared" si="149"/>
        <v>0</v>
      </c>
      <c r="DI375" s="536"/>
      <c r="DJ375" s="536"/>
      <c r="DK375" s="536"/>
      <c r="DL375" s="541">
        <f t="shared" si="150"/>
        <v>0</v>
      </c>
      <c r="DM375" s="536"/>
      <c r="DN375" s="536"/>
      <c r="DO375" s="536"/>
      <c r="DP375" s="541">
        <f>IF( SUM((DJ375*(20/100))+(DK375*(30/100))+(DL375*(50/100))) &gt;=9.3,9.5,
IF(AND( SUM((DJ375*(20/100))+(DK375*(30/100))+(DL375*(50/100))) &lt;=9.3, SUM((DJ375*(20/100))+(DK375*(30/100))+(DL375*(50/100))) &gt;=8.8),9,
IF(AND( SUM((DJ375*(20/100))+(DK375*(30/100))+(DL375*(50/100))) &lt;=8.8, SUM((DJ375*(20/100))+(DK375*(30/100))+(DL375*(50/100))) &gt;=8.3),8.5,
IF(AND( SUM((DJ375*(20/100))+(DK375*(30/100))+(DL375*(50/100))) &lt;=8.3, SUM((DJ375*(20/100))+(DK375*(30/100))+(DL375*(50/100))) &gt;=7.8),8,
IF(AND( SUM((DJ375*(20/100))+(DK375*(30/100))+(DL375*(50/100))) &lt;=7.8, SUM((DJ375*(20/100))+(DK375*(30/100))+(DL375*(50/100))) &gt;=7.3),7.5,
IF(AND( SUM((DJ375*(20/100))+(DK375*(30/100))+(DL375*(50/100))) &lt;=7.3, SUM((DJ375*(20/100))+(DK375*(30/100))+(DL375*(50/100))) &gt;=6.8),7,
IF(AND( SUM((DJ375*(20/100))+(DK375*(30/100))+(DL375*(50/100))) &lt;=6.8, SUM((DJ375*(20/100))+(DK375*(30/100))+(DL375*(50/100))) &gt;=6.3),6.5,
IF(AND( SUM((DJ375*(20/100))+(DK375*(30/100))+(DL375*(50/100))) &lt;=6.3, SUM((DJ375*(20/100))+(DK375*(30/100))+(DL375*(50/100))) &gt;=5.8),6,
IF(AND( SUM((DJ375*(20/100))+(DK375*(30/100))+(DL375*(50/100))) &lt;=5.8, SUM((DJ375*(20/100))+(DK375*(30/100))+(DL375*(50/100))) &gt;=5.3),5.5,
IF(AND( SUM((DJ375*(20/100))+(DK375*(30/100))+(DL375*(50/100))) &lt;=5.3, SUM((DJ375*(20/100))+(DK375*(30/100))+(DL375*(50/100))) &gt;=4.8),5,
IF(AND( SUM((DJ375*(20/100))+(DK375*(30/100))+(DL375*(50/100))) &lt;=4.8, SUM((DJ375*(20/100))+(DK375*(30/100))+(DL375*(50/100))) &gt;=4.3),4.5,
IF(AND( SUM((DJ375*(20/100))+(DK375*(30/100))+(DL375*(50/100))) &lt;=4.3, SUM((DJ375*(20/100))+(DK375*(30/100))+(DL375*(50/100))) &gt;=3.8),4,
IF(AND( SUM((DJ375*(20/100))+(DK375*(30/100))+(DL375*(50/100))) &lt;=3.8, SUM((DJ375*(20/100))+(DK375*(30/100))+(DL375*(50/100))) &gt;=3.5),3.5,0)))))))))))))</f>
        <v>0</v>
      </c>
      <c r="DQ375" s="541"/>
      <c r="DR375" s="541"/>
      <c r="DS375" s="541"/>
      <c r="DT375" s="541"/>
      <c r="DU375" s="541"/>
      <c r="DV375" s="541"/>
      <c r="DW375" s="541"/>
      <c r="DX375" s="541"/>
      <c r="DY375" s="541"/>
      <c r="DZ375" s="541"/>
    </row>
    <row r="376" spans="2:130" x14ac:dyDescent="0.25">
      <c r="B376" s="334">
        <v>19</v>
      </c>
      <c r="C376" s="541"/>
      <c r="D376" s="334"/>
      <c r="E376" s="334"/>
      <c r="F376" s="334"/>
      <c r="G376" s="334"/>
      <c r="H376" s="334"/>
      <c r="I376" s="334"/>
      <c r="J376" s="536"/>
      <c r="K376" s="536"/>
      <c r="L376" s="536"/>
      <c r="M376" s="536"/>
      <c r="N376" s="536"/>
      <c r="O376" s="536"/>
      <c r="P376" s="536">
        <f t="shared" si="126"/>
        <v>0</v>
      </c>
      <c r="Q376" s="536"/>
      <c r="R376" s="536"/>
      <c r="S376" s="536"/>
      <c r="T376" s="536">
        <f t="shared" si="127"/>
        <v>0</v>
      </c>
      <c r="U376" s="536"/>
      <c r="V376" s="536"/>
      <c r="W376" s="536"/>
      <c r="X376" s="536">
        <f t="shared" si="128"/>
        <v>0</v>
      </c>
      <c r="Y376" s="536"/>
      <c r="Z376" s="536"/>
      <c r="AA376" s="536"/>
      <c r="AB376" s="536">
        <f t="shared" si="129"/>
        <v>0</v>
      </c>
      <c r="AC376" s="536"/>
      <c r="AD376" s="536"/>
      <c r="AE376" s="536"/>
      <c r="AF376" s="536">
        <f t="shared" si="130"/>
        <v>0</v>
      </c>
      <c r="AG376" s="536"/>
      <c r="AH376" s="536"/>
      <c r="AI376" s="536"/>
      <c r="AJ376" s="536">
        <f t="shared" si="131"/>
        <v>0</v>
      </c>
      <c r="AK376" s="536"/>
      <c r="AL376" s="536"/>
      <c r="AM376" s="536"/>
      <c r="AN376" s="542">
        <f t="shared" si="132"/>
        <v>0</v>
      </c>
      <c r="AO376" s="536"/>
      <c r="AP376" s="536"/>
      <c r="AQ376" s="536"/>
      <c r="AR376" s="542">
        <f t="shared" si="133"/>
        <v>0</v>
      </c>
      <c r="AS376" s="536"/>
      <c r="AT376" s="536"/>
      <c r="AU376" s="536"/>
      <c r="AV376" s="542">
        <f t="shared" si="134"/>
        <v>0</v>
      </c>
      <c r="AW376" s="536"/>
      <c r="AX376" s="536"/>
      <c r="AY376" s="536"/>
      <c r="AZ376" s="542">
        <f t="shared" si="135"/>
        <v>0</v>
      </c>
      <c r="BA376" s="536"/>
      <c r="BB376" s="536"/>
      <c r="BC376" s="536"/>
      <c r="BD376" s="542">
        <f t="shared" si="136"/>
        <v>0</v>
      </c>
      <c r="BE376" s="536"/>
      <c r="BF376" s="536"/>
      <c r="BG376" s="536"/>
      <c r="BH376" s="542">
        <f t="shared" si="137"/>
        <v>0</v>
      </c>
      <c r="BI376" s="536"/>
      <c r="BJ376" s="536"/>
      <c r="BK376" s="536"/>
      <c r="BL376" s="542">
        <f t="shared" si="138"/>
        <v>0</v>
      </c>
      <c r="BM376" s="536"/>
      <c r="BN376" s="536"/>
      <c r="BO376" s="536"/>
      <c r="BP376" s="542">
        <f t="shared" si="139"/>
        <v>0</v>
      </c>
      <c r="BQ376" s="536"/>
      <c r="BR376" s="536"/>
      <c r="BS376" s="536"/>
      <c r="BT376" s="542">
        <f t="shared" si="140"/>
        <v>0</v>
      </c>
      <c r="BU376" s="536"/>
      <c r="BV376" s="536"/>
      <c r="BW376" s="536"/>
      <c r="BX376" s="542">
        <f t="shared" si="141"/>
        <v>0</v>
      </c>
      <c r="BY376" s="536"/>
      <c r="BZ376" s="536"/>
      <c r="CA376" s="536"/>
      <c r="CB376" s="542">
        <v>0</v>
      </c>
      <c r="CC376" s="536"/>
      <c r="CD376" s="536"/>
      <c r="CE376" s="536"/>
      <c r="CF376" s="541">
        <f t="shared" si="142"/>
        <v>0</v>
      </c>
      <c r="CG376" s="536"/>
      <c r="CH376" s="536"/>
      <c r="CI376" s="536"/>
      <c r="CJ376" s="541">
        <f t="shared" si="143"/>
        <v>0</v>
      </c>
      <c r="CK376" s="536"/>
      <c r="CL376" s="536"/>
      <c r="CM376" s="536"/>
      <c r="CN376" s="541">
        <f t="shared" si="144"/>
        <v>0</v>
      </c>
      <c r="CO376" s="536"/>
      <c r="CP376" s="536"/>
      <c r="CQ376" s="536"/>
      <c r="CR376" s="541">
        <f t="shared" si="145"/>
        <v>0</v>
      </c>
      <c r="CS376" s="536"/>
      <c r="CT376" s="536"/>
      <c r="CU376" s="536"/>
      <c r="CV376" s="541">
        <f t="shared" si="146"/>
        <v>0</v>
      </c>
      <c r="CW376" s="536"/>
      <c r="CX376" s="536"/>
      <c r="CY376" s="536"/>
      <c r="CZ376" s="541">
        <f t="shared" si="147"/>
        <v>0</v>
      </c>
      <c r="DA376" s="536"/>
      <c r="DB376" s="536"/>
      <c r="DC376" s="536"/>
      <c r="DD376" s="541">
        <f t="shared" si="148"/>
        <v>0</v>
      </c>
      <c r="DE376" s="536"/>
      <c r="DF376" s="536"/>
      <c r="DG376" s="536"/>
      <c r="DH376" s="541">
        <f t="shared" si="149"/>
        <v>0</v>
      </c>
      <c r="DI376" s="536"/>
      <c r="DJ376" s="536"/>
      <c r="DK376" s="536"/>
      <c r="DL376" s="541">
        <f t="shared" si="150"/>
        <v>0</v>
      </c>
      <c r="DM376" s="536"/>
      <c r="DN376" s="536"/>
      <c r="DO376" s="536"/>
      <c r="DP376" s="541">
        <f>IF( SUM((DJ376*(20/100))+(DK376*(30/100))+(DL376*(50/100))) &gt;=9.3,9.5,
IF(AND( SUM((DJ376*(20/100))+(DK376*(30/100))+(DL376*(50/100))) &lt;=9.3, SUM((DJ376*(20/100))+(DK376*(30/100))+(DL376*(50/100))) &gt;=8.8),9,
IF(AND( SUM((DJ376*(20/100))+(DK376*(30/100))+(DL376*(50/100))) &lt;=8.8, SUM((DJ376*(20/100))+(DK376*(30/100))+(DL376*(50/100))) &gt;=8.3),8.5,
IF(AND( SUM((DJ376*(20/100))+(DK376*(30/100))+(DL376*(50/100))) &lt;=8.3, SUM((DJ376*(20/100))+(DK376*(30/100))+(DL376*(50/100))) &gt;=7.8),8,
IF(AND( SUM((DJ376*(20/100))+(DK376*(30/100))+(DL376*(50/100))) &lt;=7.8, SUM((DJ376*(20/100))+(DK376*(30/100))+(DL376*(50/100))) &gt;=7.3),7.5,
IF(AND( SUM((DJ376*(20/100))+(DK376*(30/100))+(DL376*(50/100))) &lt;=7.3, SUM((DJ376*(20/100))+(DK376*(30/100))+(DL376*(50/100))) &gt;=6.8),7,
IF(AND( SUM((DJ376*(20/100))+(DK376*(30/100))+(DL376*(50/100))) &lt;=6.8, SUM((DJ376*(20/100))+(DK376*(30/100))+(DL376*(50/100))) &gt;=6.3),6.5,
IF(AND( SUM((DJ376*(20/100))+(DK376*(30/100))+(DL376*(50/100))) &lt;=6.3, SUM((DJ376*(20/100))+(DK376*(30/100))+(DL376*(50/100))) &gt;=5.8),6,
IF(AND( SUM((DJ376*(20/100))+(DK376*(30/100))+(DL376*(50/100))) &lt;=5.8, SUM((DJ376*(20/100))+(DK376*(30/100))+(DL376*(50/100))) &gt;=5.3),5.5,
IF(AND( SUM((DJ376*(20/100))+(DK376*(30/100))+(DL376*(50/100))) &lt;=5.3, SUM((DJ376*(20/100))+(DK376*(30/100))+(DL376*(50/100))) &gt;=4.8),5,
IF(AND( SUM((DJ376*(20/100))+(DK376*(30/100))+(DL376*(50/100))) &lt;=4.8, SUM((DJ376*(20/100))+(DK376*(30/100))+(DL376*(50/100))) &gt;=4.3),4.5,
IF(AND( SUM((DJ376*(20/100))+(DK376*(30/100))+(DL376*(50/100))) &lt;=4.3, SUM((DJ376*(20/100))+(DK376*(30/100))+(DL376*(50/100))) &gt;=3.8),4,
IF(AND( SUM((DJ376*(20/100))+(DK376*(30/100))+(DL376*(50/100))) &lt;=3.8, SUM((DJ376*(20/100))+(DK376*(30/100))+(DL376*(50/100))) &gt;=3.5),3.5,0)))))))))))))</f>
        <v>0</v>
      </c>
      <c r="DQ376" s="541"/>
      <c r="DR376" s="541"/>
      <c r="DS376" s="541"/>
      <c r="DT376" s="541"/>
      <c r="DU376" s="541"/>
      <c r="DV376" s="541"/>
      <c r="DW376" s="541"/>
      <c r="DX376" s="541"/>
      <c r="DY376" s="541"/>
      <c r="DZ376" s="541"/>
    </row>
    <row r="377" spans="2:130" x14ac:dyDescent="0.25">
      <c r="B377" s="334">
        <v>20</v>
      </c>
      <c r="C377" s="541"/>
      <c r="D377" s="334"/>
      <c r="E377" s="334"/>
      <c r="F377" s="334"/>
      <c r="G377" s="334"/>
      <c r="H377" s="334"/>
      <c r="I377" s="334"/>
      <c r="J377" s="536"/>
      <c r="K377" s="536"/>
      <c r="L377" s="536"/>
      <c r="M377" s="536"/>
      <c r="N377" s="536"/>
      <c r="O377" s="536"/>
      <c r="P377" s="536">
        <f t="shared" si="126"/>
        <v>0</v>
      </c>
      <c r="Q377" s="536"/>
      <c r="R377" s="536"/>
      <c r="S377" s="536"/>
      <c r="T377" s="536">
        <f t="shared" si="127"/>
        <v>0</v>
      </c>
      <c r="U377" s="536"/>
      <c r="V377" s="536"/>
      <c r="W377" s="536"/>
      <c r="X377" s="536">
        <f t="shared" si="128"/>
        <v>0</v>
      </c>
      <c r="Y377" s="536"/>
      <c r="Z377" s="536"/>
      <c r="AA377" s="536"/>
      <c r="AB377" s="536">
        <f t="shared" si="129"/>
        <v>0</v>
      </c>
      <c r="AC377" s="536"/>
      <c r="AD377" s="536"/>
      <c r="AE377" s="536"/>
      <c r="AF377" s="536">
        <f t="shared" si="130"/>
        <v>0</v>
      </c>
      <c r="AG377" s="536"/>
      <c r="AH377" s="536"/>
      <c r="AI377" s="536"/>
      <c r="AJ377" s="536">
        <f t="shared" si="131"/>
        <v>0</v>
      </c>
      <c r="AK377" s="536"/>
      <c r="AL377" s="536"/>
      <c r="AM377" s="536"/>
      <c r="AN377" s="542">
        <f t="shared" si="132"/>
        <v>0</v>
      </c>
      <c r="AO377" s="536"/>
      <c r="AP377" s="536"/>
      <c r="AQ377" s="536"/>
      <c r="AR377" s="542">
        <f t="shared" si="133"/>
        <v>0</v>
      </c>
      <c r="AS377" s="536"/>
      <c r="AT377" s="536"/>
      <c r="AU377" s="536"/>
      <c r="AV377" s="542">
        <f t="shared" si="134"/>
        <v>0</v>
      </c>
      <c r="AW377" s="536"/>
      <c r="AX377" s="536"/>
      <c r="AY377" s="536"/>
      <c r="AZ377" s="542">
        <f t="shared" si="135"/>
        <v>0</v>
      </c>
      <c r="BA377" s="536"/>
      <c r="BB377" s="536"/>
      <c r="BC377" s="536"/>
      <c r="BD377" s="542">
        <f t="shared" si="136"/>
        <v>0</v>
      </c>
      <c r="BE377" s="536"/>
      <c r="BF377" s="536"/>
      <c r="BG377" s="536"/>
      <c r="BH377" s="542">
        <f t="shared" si="137"/>
        <v>0</v>
      </c>
      <c r="BI377" s="536"/>
      <c r="BJ377" s="536"/>
      <c r="BK377" s="536"/>
      <c r="BL377" s="542">
        <f t="shared" si="138"/>
        <v>0</v>
      </c>
      <c r="BM377" s="536"/>
      <c r="BN377" s="536"/>
      <c r="BO377" s="536"/>
      <c r="BP377" s="542">
        <f t="shared" si="139"/>
        <v>0</v>
      </c>
      <c r="BQ377" s="536"/>
      <c r="BR377" s="536"/>
      <c r="BS377" s="536"/>
      <c r="BT377" s="542">
        <f t="shared" si="140"/>
        <v>0</v>
      </c>
      <c r="BU377" s="536"/>
      <c r="BV377" s="536"/>
      <c r="BW377" s="536"/>
      <c r="BX377" s="542">
        <f t="shared" si="141"/>
        <v>0</v>
      </c>
      <c r="BY377" s="536"/>
      <c r="BZ377" s="536"/>
      <c r="CA377" s="536"/>
      <c r="CB377" s="542">
        <v>0</v>
      </c>
      <c r="CC377" s="536"/>
      <c r="CD377" s="536"/>
      <c r="CE377" s="536"/>
      <c r="CF377" s="541">
        <f t="shared" si="142"/>
        <v>0</v>
      </c>
      <c r="CG377" s="536"/>
      <c r="CH377" s="536"/>
      <c r="CI377" s="536"/>
      <c r="CJ377" s="541">
        <f t="shared" si="143"/>
        <v>0</v>
      </c>
      <c r="CK377" s="536"/>
      <c r="CL377" s="536"/>
      <c r="CM377" s="536"/>
      <c r="CN377" s="541">
        <f t="shared" si="144"/>
        <v>0</v>
      </c>
      <c r="CO377" s="536"/>
      <c r="CP377" s="536"/>
      <c r="CQ377" s="536"/>
      <c r="CR377" s="541">
        <f t="shared" si="145"/>
        <v>0</v>
      </c>
      <c r="CS377" s="536"/>
      <c r="CT377" s="536"/>
      <c r="CU377" s="536"/>
      <c r="CV377" s="541">
        <f t="shared" si="146"/>
        <v>0</v>
      </c>
      <c r="CW377" s="536"/>
      <c r="CX377" s="536"/>
      <c r="CY377" s="536"/>
      <c r="CZ377" s="541">
        <f t="shared" si="147"/>
        <v>0</v>
      </c>
      <c r="DA377" s="536"/>
      <c r="DB377" s="536"/>
      <c r="DC377" s="536"/>
      <c r="DD377" s="541">
        <f t="shared" si="148"/>
        <v>0</v>
      </c>
      <c r="DE377" s="536"/>
      <c r="DF377" s="536"/>
      <c r="DG377" s="536"/>
      <c r="DH377" s="541">
        <f t="shared" si="149"/>
        <v>0</v>
      </c>
      <c r="DI377" s="536"/>
      <c r="DJ377" s="536"/>
      <c r="DK377" s="536"/>
      <c r="DL377" s="541">
        <f t="shared" si="150"/>
        <v>0</v>
      </c>
      <c r="DM377" s="536"/>
      <c r="DN377" s="536"/>
      <c r="DO377" s="536"/>
      <c r="DP377" s="541">
        <f>IF( SUM((DJ377*(20/100))+(DK377*(30/100))+(DL377*(50/100))) &gt;=9.3,9.5,
IF(AND( SUM((DJ377*(20/100))+(DK377*(30/100))+(DL377*(50/100))) &lt;=9.3, SUM((DJ377*(20/100))+(DK377*(30/100))+(DL377*(50/100))) &gt;=8.8),9,
IF(AND( SUM((DJ377*(20/100))+(DK377*(30/100))+(DL377*(50/100))) &lt;=8.8, SUM((DJ377*(20/100))+(DK377*(30/100))+(DL377*(50/100))) &gt;=8.3),8.5,
IF(AND( SUM((DJ377*(20/100))+(DK377*(30/100))+(DL377*(50/100))) &lt;=8.3, SUM((DJ377*(20/100))+(DK377*(30/100))+(DL377*(50/100))) &gt;=7.8),8,
IF(AND( SUM((DJ377*(20/100))+(DK377*(30/100))+(DL377*(50/100))) &lt;=7.8, SUM((DJ377*(20/100))+(DK377*(30/100))+(DL377*(50/100))) &gt;=7.3),7.5,
IF(AND( SUM((DJ377*(20/100))+(DK377*(30/100))+(DL377*(50/100))) &lt;=7.3, SUM((DJ377*(20/100))+(DK377*(30/100))+(DL377*(50/100))) &gt;=6.8),7,
IF(AND( SUM((DJ377*(20/100))+(DK377*(30/100))+(DL377*(50/100))) &lt;=6.8, SUM((DJ377*(20/100))+(DK377*(30/100))+(DL377*(50/100))) &gt;=6.3),6.5,
IF(AND( SUM((DJ377*(20/100))+(DK377*(30/100))+(DL377*(50/100))) &lt;=6.3, SUM((DJ377*(20/100))+(DK377*(30/100))+(DL377*(50/100))) &gt;=5.8),6,
IF(AND( SUM((DJ377*(20/100))+(DK377*(30/100))+(DL377*(50/100))) &lt;=5.8, SUM((DJ377*(20/100))+(DK377*(30/100))+(DL377*(50/100))) &gt;=5.3),5.5,
IF(AND( SUM((DJ377*(20/100))+(DK377*(30/100))+(DL377*(50/100))) &lt;=5.3, SUM((DJ377*(20/100))+(DK377*(30/100))+(DL377*(50/100))) &gt;=4.8),5,
IF(AND( SUM((DJ377*(20/100))+(DK377*(30/100))+(DL377*(50/100))) &lt;=4.8, SUM((DJ377*(20/100))+(DK377*(30/100))+(DL377*(50/100))) &gt;=4.3),4.5,
IF(AND( SUM((DJ377*(20/100))+(DK377*(30/100))+(DL377*(50/100))) &lt;=4.3, SUM((DJ377*(20/100))+(DK377*(30/100))+(DL377*(50/100))) &gt;=3.8),4,
IF(AND( SUM((DJ377*(20/100))+(DK377*(30/100))+(DL377*(50/100))) &lt;=3.8, SUM((DJ377*(20/100))+(DK377*(30/100))+(DL377*(50/100))) &gt;=3.5),3.5,0)))))))))))))</f>
        <v>0</v>
      </c>
      <c r="DQ377" s="541"/>
      <c r="DR377" s="541"/>
      <c r="DS377" s="541"/>
      <c r="DT377" s="541"/>
      <c r="DU377" s="541"/>
      <c r="DV377" s="541"/>
      <c r="DW377" s="541"/>
      <c r="DX377" s="541"/>
      <c r="DY377" s="541"/>
      <c r="DZ377" s="541"/>
    </row>
    <row r="378" spans="2:130" x14ac:dyDescent="0.25">
      <c r="B378" s="334">
        <v>21</v>
      </c>
      <c r="C378" s="541"/>
      <c r="D378" s="334"/>
      <c r="E378" s="334"/>
      <c r="F378" s="334"/>
      <c r="G378" s="334"/>
      <c r="H378" s="334"/>
      <c r="I378" s="334"/>
      <c r="J378" s="536"/>
      <c r="K378" s="536"/>
      <c r="L378" s="536"/>
      <c r="M378" s="536"/>
      <c r="N378" s="536"/>
      <c r="O378" s="536"/>
      <c r="P378" s="536">
        <f t="shared" si="126"/>
        <v>0</v>
      </c>
      <c r="Q378" s="536"/>
      <c r="R378" s="536"/>
      <c r="S378" s="536"/>
      <c r="T378" s="536">
        <f t="shared" si="127"/>
        <v>0</v>
      </c>
      <c r="U378" s="536"/>
      <c r="V378" s="536"/>
      <c r="W378" s="536"/>
      <c r="X378" s="536">
        <f t="shared" si="128"/>
        <v>0</v>
      </c>
      <c r="Y378" s="536"/>
      <c r="Z378" s="536"/>
      <c r="AA378" s="536"/>
      <c r="AB378" s="536">
        <f t="shared" si="129"/>
        <v>0</v>
      </c>
      <c r="AC378" s="536"/>
      <c r="AD378" s="536"/>
      <c r="AE378" s="536"/>
      <c r="AF378" s="536">
        <f t="shared" si="130"/>
        <v>0</v>
      </c>
      <c r="AG378" s="536"/>
      <c r="AH378" s="536"/>
      <c r="AI378" s="536"/>
      <c r="AJ378" s="536">
        <f t="shared" si="131"/>
        <v>0</v>
      </c>
      <c r="AK378" s="536"/>
      <c r="AL378" s="536"/>
      <c r="AM378" s="536"/>
      <c r="AN378" s="542">
        <f t="shared" si="132"/>
        <v>0</v>
      </c>
      <c r="AO378" s="536"/>
      <c r="AP378" s="536"/>
      <c r="AQ378" s="536"/>
      <c r="AR378" s="542">
        <f t="shared" si="133"/>
        <v>0</v>
      </c>
      <c r="AS378" s="536"/>
      <c r="AT378" s="536"/>
      <c r="AU378" s="536"/>
      <c r="AV378" s="542">
        <f t="shared" si="134"/>
        <v>0</v>
      </c>
      <c r="AW378" s="536"/>
      <c r="AX378" s="536"/>
      <c r="AY378" s="536"/>
      <c r="AZ378" s="542">
        <f t="shared" si="135"/>
        <v>0</v>
      </c>
      <c r="BA378" s="536"/>
      <c r="BB378" s="536"/>
      <c r="BC378" s="536"/>
      <c r="BD378" s="542">
        <f t="shared" si="136"/>
        <v>0</v>
      </c>
      <c r="BE378" s="536"/>
      <c r="BF378" s="536"/>
      <c r="BG378" s="536"/>
      <c r="BH378" s="542">
        <f t="shared" si="137"/>
        <v>0</v>
      </c>
      <c r="BI378" s="536"/>
      <c r="BJ378" s="536"/>
      <c r="BK378" s="536"/>
      <c r="BL378" s="542">
        <f t="shared" si="138"/>
        <v>0</v>
      </c>
      <c r="BM378" s="536"/>
      <c r="BN378" s="536"/>
      <c r="BO378" s="536"/>
      <c r="BP378" s="542">
        <f t="shared" si="139"/>
        <v>0</v>
      </c>
      <c r="BQ378" s="536"/>
      <c r="BR378" s="536"/>
      <c r="BS378" s="536"/>
      <c r="BT378" s="542">
        <f t="shared" si="140"/>
        <v>0</v>
      </c>
      <c r="BU378" s="536"/>
      <c r="BV378" s="536"/>
      <c r="BW378" s="536"/>
      <c r="BX378" s="542">
        <f t="shared" si="141"/>
        <v>0</v>
      </c>
      <c r="BY378" s="536"/>
      <c r="BZ378" s="536"/>
      <c r="CA378" s="536"/>
      <c r="CB378" s="542">
        <v>0</v>
      </c>
      <c r="CC378" s="536"/>
      <c r="CD378" s="536"/>
      <c r="CE378" s="536"/>
      <c r="CF378" s="541">
        <f t="shared" si="142"/>
        <v>0</v>
      </c>
      <c r="CG378" s="536"/>
      <c r="CH378" s="536"/>
      <c r="CI378" s="536"/>
      <c r="CJ378" s="541">
        <f t="shared" si="143"/>
        <v>0</v>
      </c>
      <c r="CK378" s="536"/>
      <c r="CL378" s="536"/>
      <c r="CM378" s="536"/>
      <c r="CN378" s="541">
        <f t="shared" si="144"/>
        <v>0</v>
      </c>
      <c r="CO378" s="536"/>
      <c r="CP378" s="536"/>
      <c r="CQ378" s="536"/>
      <c r="CR378" s="541">
        <f t="shared" si="145"/>
        <v>0</v>
      </c>
      <c r="CS378" s="536"/>
      <c r="CT378" s="536"/>
      <c r="CU378" s="536"/>
      <c r="CV378" s="541">
        <f t="shared" si="146"/>
        <v>0</v>
      </c>
      <c r="CW378" s="536"/>
      <c r="CX378" s="536"/>
      <c r="CY378" s="536"/>
      <c r="CZ378" s="541">
        <f t="shared" si="147"/>
        <v>0</v>
      </c>
      <c r="DA378" s="536"/>
      <c r="DB378" s="536"/>
      <c r="DC378" s="536"/>
      <c r="DD378" s="541">
        <f t="shared" si="148"/>
        <v>0</v>
      </c>
      <c r="DE378" s="536"/>
      <c r="DF378" s="536"/>
      <c r="DG378" s="536"/>
      <c r="DH378" s="541">
        <f t="shared" si="149"/>
        <v>0</v>
      </c>
      <c r="DI378" s="536"/>
      <c r="DJ378" s="536"/>
      <c r="DK378" s="536"/>
      <c r="DL378" s="541">
        <f t="shared" si="150"/>
        <v>0</v>
      </c>
      <c r="DM378" s="536"/>
      <c r="DN378" s="536"/>
      <c r="DO378" s="536"/>
      <c r="DP378" s="541">
        <f>IF( SUM((DJ378*(20/100))+(DK378*(30/100))+(DL378*(50/100))) &gt;=9.3,9.5,
IF(AND( SUM((DJ378*(20/100))+(DK378*(30/100))+(DL378*(50/100))) &lt;=9.3, SUM((DJ378*(20/100))+(DK378*(30/100))+(DL378*(50/100))) &gt;=8.8),9,
IF(AND( SUM((DJ378*(20/100))+(DK378*(30/100))+(DL378*(50/100))) &lt;=8.8, SUM((DJ378*(20/100))+(DK378*(30/100))+(DL378*(50/100))) &gt;=8.3),8.5,
IF(AND( SUM((DJ378*(20/100))+(DK378*(30/100))+(DL378*(50/100))) &lt;=8.3, SUM((DJ378*(20/100))+(DK378*(30/100))+(DL378*(50/100))) &gt;=7.8),8,
IF(AND( SUM((DJ378*(20/100))+(DK378*(30/100))+(DL378*(50/100))) &lt;=7.8, SUM((DJ378*(20/100))+(DK378*(30/100))+(DL378*(50/100))) &gt;=7.3),7.5,
IF(AND( SUM((DJ378*(20/100))+(DK378*(30/100))+(DL378*(50/100))) &lt;=7.3, SUM((DJ378*(20/100))+(DK378*(30/100))+(DL378*(50/100))) &gt;=6.8),7,
IF(AND( SUM((DJ378*(20/100))+(DK378*(30/100))+(DL378*(50/100))) &lt;=6.8, SUM((DJ378*(20/100))+(DK378*(30/100))+(DL378*(50/100))) &gt;=6.3),6.5,
IF(AND( SUM((DJ378*(20/100))+(DK378*(30/100))+(DL378*(50/100))) &lt;=6.3, SUM((DJ378*(20/100))+(DK378*(30/100))+(DL378*(50/100))) &gt;=5.8),6,
IF(AND( SUM((DJ378*(20/100))+(DK378*(30/100))+(DL378*(50/100))) &lt;=5.8, SUM((DJ378*(20/100))+(DK378*(30/100))+(DL378*(50/100))) &gt;=5.3),5.5,
IF(AND( SUM((DJ378*(20/100))+(DK378*(30/100))+(DL378*(50/100))) &lt;=5.3, SUM((DJ378*(20/100))+(DK378*(30/100))+(DL378*(50/100))) &gt;=4.8),5,
IF(AND( SUM((DJ378*(20/100))+(DK378*(30/100))+(DL378*(50/100))) &lt;=4.8, SUM((DJ378*(20/100))+(DK378*(30/100))+(DL378*(50/100))) &gt;=4.3),4.5,
IF(AND( SUM((DJ378*(20/100))+(DK378*(30/100))+(DL378*(50/100))) &lt;=4.3, SUM((DJ378*(20/100))+(DK378*(30/100))+(DL378*(50/100))) &gt;=3.8),4,
IF(AND( SUM((DJ378*(20/100))+(DK378*(30/100))+(DL378*(50/100))) &lt;=3.8, SUM((DJ378*(20/100))+(DK378*(30/100))+(DL378*(50/100))) &gt;=3.5),3.5,0)))))))))))))</f>
        <v>0</v>
      </c>
      <c r="DQ378" s="541"/>
      <c r="DR378" s="541"/>
      <c r="DS378" s="541"/>
      <c r="DT378" s="541"/>
      <c r="DU378" s="541"/>
      <c r="DV378" s="541"/>
      <c r="DW378" s="541"/>
      <c r="DX378" s="541"/>
      <c r="DY378" s="541"/>
      <c r="DZ378" s="541"/>
    </row>
    <row r="379" spans="2:130" x14ac:dyDescent="0.25">
      <c r="B379" s="334">
        <v>22</v>
      </c>
      <c r="C379" s="541"/>
      <c r="D379" s="334"/>
      <c r="E379" s="334"/>
      <c r="F379" s="334"/>
      <c r="G379" s="334"/>
      <c r="H379" s="334"/>
      <c r="I379" s="334"/>
      <c r="J379" s="536"/>
      <c r="K379" s="536"/>
      <c r="L379" s="536"/>
      <c r="M379" s="536"/>
      <c r="N379" s="536"/>
      <c r="O379" s="536"/>
      <c r="P379" s="536">
        <f t="shared" si="126"/>
        <v>0</v>
      </c>
      <c r="Q379" s="536"/>
      <c r="R379" s="536"/>
      <c r="S379" s="536"/>
      <c r="T379" s="536">
        <f t="shared" si="127"/>
        <v>0</v>
      </c>
      <c r="U379" s="536"/>
      <c r="V379" s="536"/>
      <c r="W379" s="536"/>
      <c r="X379" s="536">
        <f t="shared" si="128"/>
        <v>0</v>
      </c>
      <c r="Y379" s="536"/>
      <c r="Z379" s="536"/>
      <c r="AA379" s="536"/>
      <c r="AB379" s="536">
        <f t="shared" si="129"/>
        <v>0</v>
      </c>
      <c r="AC379" s="536"/>
      <c r="AD379" s="536"/>
      <c r="AE379" s="536"/>
      <c r="AF379" s="536">
        <f t="shared" si="130"/>
        <v>0</v>
      </c>
      <c r="AG379" s="536"/>
      <c r="AH379" s="536"/>
      <c r="AI379" s="536"/>
      <c r="AJ379" s="536">
        <f t="shared" si="131"/>
        <v>0</v>
      </c>
      <c r="AK379" s="536"/>
      <c r="AL379" s="536"/>
      <c r="AM379" s="536"/>
      <c r="AN379" s="542">
        <f t="shared" si="132"/>
        <v>0</v>
      </c>
      <c r="AO379" s="536"/>
      <c r="AP379" s="536"/>
      <c r="AQ379" s="536"/>
      <c r="AR379" s="542">
        <f t="shared" si="133"/>
        <v>0</v>
      </c>
      <c r="AS379" s="536"/>
      <c r="AT379" s="536"/>
      <c r="AU379" s="536"/>
      <c r="AV379" s="542">
        <f t="shared" si="134"/>
        <v>0</v>
      </c>
      <c r="AW379" s="536"/>
      <c r="AX379" s="536"/>
      <c r="AY379" s="536"/>
      <c r="AZ379" s="542">
        <f t="shared" si="135"/>
        <v>0</v>
      </c>
      <c r="BA379" s="536"/>
      <c r="BB379" s="536"/>
      <c r="BC379" s="536"/>
      <c r="BD379" s="542">
        <f t="shared" si="136"/>
        <v>0</v>
      </c>
      <c r="BE379" s="536"/>
      <c r="BF379" s="536"/>
      <c r="BG379" s="536"/>
      <c r="BH379" s="542">
        <f t="shared" si="137"/>
        <v>0</v>
      </c>
      <c r="BI379" s="536"/>
      <c r="BJ379" s="536"/>
      <c r="BK379" s="536"/>
      <c r="BL379" s="542">
        <f t="shared" si="138"/>
        <v>0</v>
      </c>
      <c r="BM379" s="536"/>
      <c r="BN379" s="536"/>
      <c r="BO379" s="536"/>
      <c r="BP379" s="542">
        <f t="shared" si="139"/>
        <v>0</v>
      </c>
      <c r="BQ379" s="536"/>
      <c r="BR379" s="536"/>
      <c r="BS379" s="536"/>
      <c r="BT379" s="542">
        <f t="shared" si="140"/>
        <v>0</v>
      </c>
      <c r="BU379" s="536"/>
      <c r="BV379" s="536"/>
      <c r="BW379" s="536"/>
      <c r="BX379" s="542">
        <f t="shared" si="141"/>
        <v>0</v>
      </c>
      <c r="BY379" s="536"/>
      <c r="BZ379" s="536"/>
      <c r="CA379" s="536"/>
      <c r="CB379" s="542">
        <v>0</v>
      </c>
      <c r="CC379" s="536"/>
      <c r="CD379" s="536"/>
      <c r="CE379" s="536"/>
      <c r="CF379" s="541">
        <f t="shared" si="142"/>
        <v>0</v>
      </c>
      <c r="CG379" s="536"/>
      <c r="CH379" s="536"/>
      <c r="CI379" s="536"/>
      <c r="CJ379" s="541">
        <f t="shared" si="143"/>
        <v>0</v>
      </c>
      <c r="CK379" s="536"/>
      <c r="CL379" s="536"/>
      <c r="CM379" s="536"/>
      <c r="CN379" s="541">
        <f t="shared" si="144"/>
        <v>0</v>
      </c>
      <c r="CO379" s="536"/>
      <c r="CP379" s="536"/>
      <c r="CQ379" s="536"/>
      <c r="CR379" s="541">
        <f t="shared" si="145"/>
        <v>0</v>
      </c>
      <c r="CS379" s="536"/>
      <c r="CT379" s="536"/>
      <c r="CU379" s="536"/>
      <c r="CV379" s="541">
        <f t="shared" si="146"/>
        <v>0</v>
      </c>
      <c r="CW379" s="536"/>
      <c r="CX379" s="536"/>
      <c r="CY379" s="536"/>
      <c r="CZ379" s="541">
        <f t="shared" si="147"/>
        <v>0</v>
      </c>
      <c r="DA379" s="536"/>
      <c r="DB379" s="536"/>
      <c r="DC379" s="536"/>
      <c r="DD379" s="541">
        <f t="shared" si="148"/>
        <v>0</v>
      </c>
      <c r="DE379" s="536"/>
      <c r="DF379" s="536"/>
      <c r="DG379" s="536"/>
      <c r="DH379" s="541">
        <f t="shared" si="149"/>
        <v>0</v>
      </c>
      <c r="DI379" s="536"/>
      <c r="DJ379" s="536"/>
      <c r="DK379" s="536"/>
      <c r="DL379" s="541">
        <f t="shared" si="150"/>
        <v>0</v>
      </c>
      <c r="DM379" s="536"/>
      <c r="DN379" s="536"/>
      <c r="DO379" s="536"/>
      <c r="DP379" s="541">
        <f>IF( SUM((DJ379*(20/100))+(DK379*(30/100))+(DL379*(50/100))) &gt;=9.3,9.5,
IF(AND( SUM((DJ379*(20/100))+(DK379*(30/100))+(DL379*(50/100))) &lt;=9.3, SUM((DJ379*(20/100))+(DK379*(30/100))+(DL379*(50/100))) &gt;=8.8),9,
IF(AND( SUM((DJ379*(20/100))+(DK379*(30/100))+(DL379*(50/100))) &lt;=8.8, SUM((DJ379*(20/100))+(DK379*(30/100))+(DL379*(50/100))) &gt;=8.3),8.5,
IF(AND( SUM((DJ379*(20/100))+(DK379*(30/100))+(DL379*(50/100))) &lt;=8.3, SUM((DJ379*(20/100))+(DK379*(30/100))+(DL379*(50/100))) &gt;=7.8),8,
IF(AND( SUM((DJ379*(20/100))+(DK379*(30/100))+(DL379*(50/100))) &lt;=7.8, SUM((DJ379*(20/100))+(DK379*(30/100))+(DL379*(50/100))) &gt;=7.3),7.5,
IF(AND( SUM((DJ379*(20/100))+(DK379*(30/100))+(DL379*(50/100))) &lt;=7.3, SUM((DJ379*(20/100))+(DK379*(30/100))+(DL379*(50/100))) &gt;=6.8),7,
IF(AND( SUM((DJ379*(20/100))+(DK379*(30/100))+(DL379*(50/100))) &lt;=6.8, SUM((DJ379*(20/100))+(DK379*(30/100))+(DL379*(50/100))) &gt;=6.3),6.5,
IF(AND( SUM((DJ379*(20/100))+(DK379*(30/100))+(DL379*(50/100))) &lt;=6.3, SUM((DJ379*(20/100))+(DK379*(30/100))+(DL379*(50/100))) &gt;=5.8),6,
IF(AND( SUM((DJ379*(20/100))+(DK379*(30/100))+(DL379*(50/100))) &lt;=5.8, SUM((DJ379*(20/100))+(DK379*(30/100))+(DL379*(50/100))) &gt;=5.3),5.5,
IF(AND( SUM((DJ379*(20/100))+(DK379*(30/100))+(DL379*(50/100))) &lt;=5.3, SUM((DJ379*(20/100))+(DK379*(30/100))+(DL379*(50/100))) &gt;=4.8),5,
IF(AND( SUM((DJ379*(20/100))+(DK379*(30/100))+(DL379*(50/100))) &lt;=4.8, SUM((DJ379*(20/100))+(DK379*(30/100))+(DL379*(50/100))) &gt;=4.3),4.5,
IF(AND( SUM((DJ379*(20/100))+(DK379*(30/100))+(DL379*(50/100))) &lt;=4.3, SUM((DJ379*(20/100))+(DK379*(30/100))+(DL379*(50/100))) &gt;=3.8),4,
IF(AND( SUM((DJ379*(20/100))+(DK379*(30/100))+(DL379*(50/100))) &lt;=3.8, SUM((DJ379*(20/100))+(DK379*(30/100))+(DL379*(50/100))) &gt;=3.5),3.5,0)))))))))))))</f>
        <v>0</v>
      </c>
      <c r="DQ379" s="541"/>
      <c r="DR379" s="541"/>
      <c r="DS379" s="541"/>
      <c r="DT379" s="541"/>
      <c r="DU379" s="541"/>
      <c r="DV379" s="541"/>
      <c r="DW379" s="541"/>
      <c r="DX379" s="541"/>
      <c r="DY379" s="541"/>
      <c r="DZ379" s="541"/>
    </row>
    <row r="380" spans="2:130" x14ac:dyDescent="0.25">
      <c r="B380" s="334">
        <v>23</v>
      </c>
      <c r="C380" s="541"/>
      <c r="D380" s="334"/>
      <c r="E380" s="334"/>
      <c r="F380" s="334"/>
      <c r="G380" s="334"/>
      <c r="H380" s="334"/>
      <c r="I380" s="334"/>
      <c r="J380" s="536"/>
      <c r="K380" s="536"/>
      <c r="L380" s="536"/>
      <c r="M380" s="536"/>
      <c r="N380" s="536"/>
      <c r="O380" s="536"/>
      <c r="P380" s="536">
        <f t="shared" si="126"/>
        <v>0</v>
      </c>
      <c r="Q380" s="536"/>
      <c r="R380" s="536"/>
      <c r="S380" s="536"/>
      <c r="T380" s="536">
        <f t="shared" si="127"/>
        <v>0</v>
      </c>
      <c r="U380" s="536"/>
      <c r="V380" s="536"/>
      <c r="W380" s="536"/>
      <c r="X380" s="536">
        <f t="shared" si="128"/>
        <v>0</v>
      </c>
      <c r="Y380" s="536"/>
      <c r="Z380" s="536"/>
      <c r="AA380" s="536"/>
      <c r="AB380" s="536">
        <f t="shared" si="129"/>
        <v>0</v>
      </c>
      <c r="AC380" s="536"/>
      <c r="AD380" s="536"/>
      <c r="AE380" s="536"/>
      <c r="AF380" s="536">
        <f t="shared" si="130"/>
        <v>0</v>
      </c>
      <c r="AG380" s="536"/>
      <c r="AH380" s="536"/>
      <c r="AI380" s="536"/>
      <c r="AJ380" s="536">
        <f t="shared" si="131"/>
        <v>0</v>
      </c>
      <c r="AK380" s="536"/>
      <c r="AL380" s="536"/>
      <c r="AM380" s="536"/>
      <c r="AN380" s="542">
        <f t="shared" si="132"/>
        <v>0</v>
      </c>
      <c r="AO380" s="536"/>
      <c r="AP380" s="536"/>
      <c r="AQ380" s="536"/>
      <c r="AR380" s="542">
        <f t="shared" si="133"/>
        <v>0</v>
      </c>
      <c r="AS380" s="536"/>
      <c r="AT380" s="536"/>
      <c r="AU380" s="536"/>
      <c r="AV380" s="542">
        <f t="shared" si="134"/>
        <v>0</v>
      </c>
      <c r="AW380" s="536"/>
      <c r="AX380" s="536"/>
      <c r="AY380" s="536"/>
      <c r="AZ380" s="542">
        <f t="shared" si="135"/>
        <v>0</v>
      </c>
      <c r="BA380" s="536"/>
      <c r="BB380" s="536"/>
      <c r="BC380" s="536"/>
      <c r="BD380" s="542">
        <f t="shared" si="136"/>
        <v>0</v>
      </c>
      <c r="BE380" s="536"/>
      <c r="BF380" s="536"/>
      <c r="BG380" s="536"/>
      <c r="BH380" s="542">
        <f t="shared" si="137"/>
        <v>0</v>
      </c>
      <c r="BI380" s="536"/>
      <c r="BJ380" s="536"/>
      <c r="BK380" s="536"/>
      <c r="BL380" s="542">
        <f t="shared" si="138"/>
        <v>0</v>
      </c>
      <c r="BM380" s="536"/>
      <c r="BN380" s="536"/>
      <c r="BO380" s="536"/>
      <c r="BP380" s="542">
        <f t="shared" si="139"/>
        <v>0</v>
      </c>
      <c r="BQ380" s="536"/>
      <c r="BR380" s="536"/>
      <c r="BS380" s="536"/>
      <c r="BT380" s="542">
        <f t="shared" si="140"/>
        <v>0</v>
      </c>
      <c r="BU380" s="536"/>
      <c r="BV380" s="536"/>
      <c r="BW380" s="536"/>
      <c r="BX380" s="542">
        <f t="shared" si="141"/>
        <v>0</v>
      </c>
      <c r="BY380" s="536"/>
      <c r="BZ380" s="536"/>
      <c r="CA380" s="536"/>
      <c r="CB380" s="542">
        <v>0</v>
      </c>
      <c r="CC380" s="536"/>
      <c r="CD380" s="536"/>
      <c r="CE380" s="536"/>
      <c r="CF380" s="541">
        <f t="shared" si="142"/>
        <v>0</v>
      </c>
      <c r="CG380" s="536"/>
      <c r="CH380" s="536"/>
      <c r="CI380" s="536"/>
      <c r="CJ380" s="541">
        <f t="shared" si="143"/>
        <v>0</v>
      </c>
      <c r="CK380" s="536"/>
      <c r="CL380" s="536"/>
      <c r="CM380" s="536"/>
      <c r="CN380" s="541">
        <f t="shared" si="144"/>
        <v>0</v>
      </c>
      <c r="CO380" s="536"/>
      <c r="CP380" s="536"/>
      <c r="CQ380" s="536"/>
      <c r="CR380" s="541">
        <f t="shared" si="145"/>
        <v>0</v>
      </c>
      <c r="CS380" s="536"/>
      <c r="CT380" s="536"/>
      <c r="CU380" s="536"/>
      <c r="CV380" s="541">
        <f t="shared" si="146"/>
        <v>0</v>
      </c>
      <c r="CW380" s="536"/>
      <c r="CX380" s="536"/>
      <c r="CY380" s="536"/>
      <c r="CZ380" s="541">
        <f t="shared" si="147"/>
        <v>0</v>
      </c>
      <c r="DA380" s="536"/>
      <c r="DB380" s="536"/>
      <c r="DC380" s="536"/>
      <c r="DD380" s="541">
        <f t="shared" si="148"/>
        <v>0</v>
      </c>
      <c r="DE380" s="536"/>
      <c r="DF380" s="536"/>
      <c r="DG380" s="536"/>
      <c r="DH380" s="541">
        <f t="shared" si="149"/>
        <v>0</v>
      </c>
      <c r="DI380" s="536"/>
      <c r="DJ380" s="536"/>
      <c r="DK380" s="536"/>
      <c r="DL380" s="541">
        <f t="shared" si="150"/>
        <v>0</v>
      </c>
      <c r="DM380" s="536"/>
      <c r="DN380" s="536"/>
      <c r="DO380" s="536"/>
      <c r="DP380" s="541">
        <f>IF( SUM((DJ380*(20/100))+(DK380*(30/100))+(DL380*(50/100))) &gt;=9.3,9.5,
IF(AND( SUM((DJ380*(20/100))+(DK380*(30/100))+(DL380*(50/100))) &lt;=9.3, SUM((DJ380*(20/100))+(DK380*(30/100))+(DL380*(50/100))) &gt;=8.8),9,
IF(AND( SUM((DJ380*(20/100))+(DK380*(30/100))+(DL380*(50/100))) &lt;=8.8, SUM((DJ380*(20/100))+(DK380*(30/100))+(DL380*(50/100))) &gt;=8.3),8.5,
IF(AND( SUM((DJ380*(20/100))+(DK380*(30/100))+(DL380*(50/100))) &lt;=8.3, SUM((DJ380*(20/100))+(DK380*(30/100))+(DL380*(50/100))) &gt;=7.8),8,
IF(AND( SUM((DJ380*(20/100))+(DK380*(30/100))+(DL380*(50/100))) &lt;=7.8, SUM((DJ380*(20/100))+(DK380*(30/100))+(DL380*(50/100))) &gt;=7.3),7.5,
IF(AND( SUM((DJ380*(20/100))+(DK380*(30/100))+(DL380*(50/100))) &lt;=7.3, SUM((DJ380*(20/100))+(DK380*(30/100))+(DL380*(50/100))) &gt;=6.8),7,
IF(AND( SUM((DJ380*(20/100))+(DK380*(30/100))+(DL380*(50/100))) &lt;=6.8, SUM((DJ380*(20/100))+(DK380*(30/100))+(DL380*(50/100))) &gt;=6.3),6.5,
IF(AND( SUM((DJ380*(20/100))+(DK380*(30/100))+(DL380*(50/100))) &lt;=6.3, SUM((DJ380*(20/100))+(DK380*(30/100))+(DL380*(50/100))) &gt;=5.8),6,
IF(AND( SUM((DJ380*(20/100))+(DK380*(30/100))+(DL380*(50/100))) &lt;=5.8, SUM((DJ380*(20/100))+(DK380*(30/100))+(DL380*(50/100))) &gt;=5.3),5.5,
IF(AND( SUM((DJ380*(20/100))+(DK380*(30/100))+(DL380*(50/100))) &lt;=5.3, SUM((DJ380*(20/100))+(DK380*(30/100))+(DL380*(50/100))) &gt;=4.8),5,
IF(AND( SUM((DJ380*(20/100))+(DK380*(30/100))+(DL380*(50/100))) &lt;=4.8, SUM((DJ380*(20/100))+(DK380*(30/100))+(DL380*(50/100))) &gt;=4.3),4.5,
IF(AND( SUM((DJ380*(20/100))+(DK380*(30/100))+(DL380*(50/100))) &lt;=4.3, SUM((DJ380*(20/100))+(DK380*(30/100))+(DL380*(50/100))) &gt;=3.8),4,
IF(AND( SUM((DJ380*(20/100))+(DK380*(30/100))+(DL380*(50/100))) &lt;=3.8, SUM((DJ380*(20/100))+(DK380*(30/100))+(DL380*(50/100))) &gt;=3.5),3.5,0)))))))))))))</f>
        <v>0</v>
      </c>
      <c r="DQ380" s="541"/>
      <c r="DR380" s="541"/>
      <c r="DS380" s="541"/>
      <c r="DT380" s="541"/>
      <c r="DU380" s="541"/>
      <c r="DV380" s="541"/>
      <c r="DW380" s="541"/>
      <c r="DX380" s="541"/>
      <c r="DY380" s="541"/>
      <c r="DZ380" s="541"/>
    </row>
    <row r="381" spans="2:130" x14ac:dyDescent="0.25">
      <c r="B381" s="334">
        <v>24</v>
      </c>
      <c r="C381" s="541"/>
      <c r="D381" s="334"/>
      <c r="E381" s="334"/>
      <c r="F381" s="334"/>
      <c r="G381" s="334"/>
      <c r="H381" s="334"/>
      <c r="I381" s="334"/>
      <c r="J381" s="536"/>
      <c r="K381" s="536"/>
      <c r="L381" s="536"/>
      <c r="M381" s="536"/>
      <c r="N381" s="536"/>
      <c r="O381" s="536"/>
      <c r="P381" s="536">
        <f t="shared" si="126"/>
        <v>0</v>
      </c>
      <c r="Q381" s="536"/>
      <c r="R381" s="536"/>
      <c r="S381" s="536"/>
      <c r="T381" s="536">
        <f t="shared" si="127"/>
        <v>0</v>
      </c>
      <c r="U381" s="536"/>
      <c r="V381" s="536"/>
      <c r="W381" s="536"/>
      <c r="X381" s="536">
        <f t="shared" si="128"/>
        <v>0</v>
      </c>
      <c r="Y381" s="536"/>
      <c r="Z381" s="536"/>
      <c r="AA381" s="536"/>
      <c r="AB381" s="536">
        <f t="shared" si="129"/>
        <v>0</v>
      </c>
      <c r="AC381" s="536"/>
      <c r="AD381" s="536"/>
      <c r="AE381" s="536"/>
      <c r="AF381" s="536">
        <f t="shared" si="130"/>
        <v>0</v>
      </c>
      <c r="AG381" s="536"/>
      <c r="AH381" s="536"/>
      <c r="AI381" s="536"/>
      <c r="AJ381" s="536">
        <f t="shared" si="131"/>
        <v>0</v>
      </c>
      <c r="AK381" s="536"/>
      <c r="AL381" s="536"/>
      <c r="AM381" s="536"/>
      <c r="AN381" s="542">
        <f t="shared" si="132"/>
        <v>0</v>
      </c>
      <c r="AO381" s="536"/>
      <c r="AP381" s="536"/>
      <c r="AQ381" s="536"/>
      <c r="AR381" s="542">
        <f t="shared" si="133"/>
        <v>0</v>
      </c>
      <c r="AS381" s="536"/>
      <c r="AT381" s="536"/>
      <c r="AU381" s="536"/>
      <c r="AV381" s="542">
        <f t="shared" si="134"/>
        <v>0</v>
      </c>
      <c r="AW381" s="536"/>
      <c r="AX381" s="536"/>
      <c r="AY381" s="536"/>
      <c r="AZ381" s="542">
        <f t="shared" si="135"/>
        <v>0</v>
      </c>
      <c r="BA381" s="536"/>
      <c r="BB381" s="536"/>
      <c r="BC381" s="536"/>
      <c r="BD381" s="542">
        <f t="shared" si="136"/>
        <v>0</v>
      </c>
      <c r="BE381" s="536"/>
      <c r="BF381" s="536"/>
      <c r="BG381" s="536"/>
      <c r="BH381" s="542">
        <f t="shared" si="137"/>
        <v>0</v>
      </c>
      <c r="BI381" s="536"/>
      <c r="BJ381" s="536"/>
      <c r="BK381" s="536"/>
      <c r="BL381" s="542">
        <f t="shared" si="138"/>
        <v>0</v>
      </c>
      <c r="BM381" s="536"/>
      <c r="BN381" s="536"/>
      <c r="BO381" s="536"/>
      <c r="BP381" s="542">
        <f t="shared" si="139"/>
        <v>0</v>
      </c>
      <c r="BQ381" s="536"/>
      <c r="BR381" s="536"/>
      <c r="BS381" s="536"/>
      <c r="BT381" s="542">
        <f t="shared" si="140"/>
        <v>0</v>
      </c>
      <c r="BU381" s="536"/>
      <c r="BV381" s="536"/>
      <c r="BW381" s="536"/>
      <c r="BX381" s="542">
        <f t="shared" si="141"/>
        <v>0</v>
      </c>
      <c r="BY381" s="536"/>
      <c r="BZ381" s="536"/>
      <c r="CA381" s="536"/>
      <c r="CB381" s="542">
        <v>0</v>
      </c>
      <c r="CC381" s="536"/>
      <c r="CD381" s="536"/>
      <c r="CE381" s="536"/>
      <c r="CF381" s="541">
        <f t="shared" si="142"/>
        <v>0</v>
      </c>
      <c r="CG381" s="536"/>
      <c r="CH381" s="536"/>
      <c r="CI381" s="536"/>
      <c r="CJ381" s="541">
        <f t="shared" si="143"/>
        <v>0</v>
      </c>
      <c r="CK381" s="536"/>
      <c r="CL381" s="536"/>
      <c r="CM381" s="536"/>
      <c r="CN381" s="541">
        <f t="shared" si="144"/>
        <v>0</v>
      </c>
      <c r="CO381" s="536"/>
      <c r="CP381" s="536"/>
      <c r="CQ381" s="536"/>
      <c r="CR381" s="541">
        <f t="shared" si="145"/>
        <v>0</v>
      </c>
      <c r="CS381" s="536"/>
      <c r="CT381" s="536"/>
      <c r="CU381" s="536"/>
      <c r="CV381" s="541">
        <f t="shared" si="146"/>
        <v>0</v>
      </c>
      <c r="CW381" s="536"/>
      <c r="CX381" s="536"/>
      <c r="CY381" s="536"/>
      <c r="CZ381" s="541">
        <f t="shared" si="147"/>
        <v>0</v>
      </c>
      <c r="DA381" s="536"/>
      <c r="DB381" s="536"/>
      <c r="DC381" s="536"/>
      <c r="DD381" s="541">
        <f t="shared" si="148"/>
        <v>0</v>
      </c>
      <c r="DE381" s="536"/>
      <c r="DF381" s="536"/>
      <c r="DG381" s="536"/>
      <c r="DH381" s="541">
        <f t="shared" si="149"/>
        <v>0</v>
      </c>
      <c r="DI381" s="536"/>
      <c r="DJ381" s="536"/>
      <c r="DK381" s="536"/>
      <c r="DL381" s="541">
        <f t="shared" si="150"/>
        <v>0</v>
      </c>
      <c r="DM381" s="536"/>
      <c r="DN381" s="536"/>
      <c r="DO381" s="536"/>
      <c r="DP381" s="541">
        <f>IF( SUM((DJ381*(20/100))+(DK381*(30/100))+(DL381*(50/100))) &gt;=9.3,9.5,
IF(AND( SUM((DJ381*(20/100))+(DK381*(30/100))+(DL381*(50/100))) &lt;=9.3, SUM((DJ381*(20/100))+(DK381*(30/100))+(DL381*(50/100))) &gt;=8.8),9,
IF(AND( SUM((DJ381*(20/100))+(DK381*(30/100))+(DL381*(50/100))) &lt;=8.8, SUM((DJ381*(20/100))+(DK381*(30/100))+(DL381*(50/100))) &gt;=8.3),8.5,
IF(AND( SUM((DJ381*(20/100))+(DK381*(30/100))+(DL381*(50/100))) &lt;=8.3, SUM((DJ381*(20/100))+(DK381*(30/100))+(DL381*(50/100))) &gt;=7.8),8,
IF(AND( SUM((DJ381*(20/100))+(DK381*(30/100))+(DL381*(50/100))) &lt;=7.8, SUM((DJ381*(20/100))+(DK381*(30/100))+(DL381*(50/100))) &gt;=7.3),7.5,
IF(AND( SUM((DJ381*(20/100))+(DK381*(30/100))+(DL381*(50/100))) &lt;=7.3, SUM((DJ381*(20/100))+(DK381*(30/100))+(DL381*(50/100))) &gt;=6.8),7,
IF(AND( SUM((DJ381*(20/100))+(DK381*(30/100))+(DL381*(50/100))) &lt;=6.8, SUM((DJ381*(20/100))+(DK381*(30/100))+(DL381*(50/100))) &gt;=6.3),6.5,
IF(AND( SUM((DJ381*(20/100))+(DK381*(30/100))+(DL381*(50/100))) &lt;=6.3, SUM((DJ381*(20/100))+(DK381*(30/100))+(DL381*(50/100))) &gt;=5.8),6,
IF(AND( SUM((DJ381*(20/100))+(DK381*(30/100))+(DL381*(50/100))) &lt;=5.8, SUM((DJ381*(20/100))+(DK381*(30/100))+(DL381*(50/100))) &gt;=5.3),5.5,
IF(AND( SUM((DJ381*(20/100))+(DK381*(30/100))+(DL381*(50/100))) &lt;=5.3, SUM((DJ381*(20/100))+(DK381*(30/100))+(DL381*(50/100))) &gt;=4.8),5,
IF(AND( SUM((DJ381*(20/100))+(DK381*(30/100))+(DL381*(50/100))) &lt;=4.8, SUM((DJ381*(20/100))+(DK381*(30/100))+(DL381*(50/100))) &gt;=4.3),4.5,
IF(AND( SUM((DJ381*(20/100))+(DK381*(30/100))+(DL381*(50/100))) &lt;=4.3, SUM((DJ381*(20/100))+(DK381*(30/100))+(DL381*(50/100))) &gt;=3.8),4,
IF(AND( SUM((DJ381*(20/100))+(DK381*(30/100))+(DL381*(50/100))) &lt;=3.8, SUM((DJ381*(20/100))+(DK381*(30/100))+(DL381*(50/100))) &gt;=3.5),3.5,0)))))))))))))</f>
        <v>0</v>
      </c>
      <c r="DQ381" s="541"/>
      <c r="DR381" s="541"/>
      <c r="DS381" s="541"/>
      <c r="DT381" s="541"/>
      <c r="DU381" s="541"/>
      <c r="DV381" s="541"/>
      <c r="DW381" s="541"/>
      <c r="DX381" s="541"/>
      <c r="DY381" s="541"/>
      <c r="DZ381" s="541"/>
    </row>
    <row r="382" spans="2:130" x14ac:dyDescent="0.25">
      <c r="B382" s="334">
        <v>25</v>
      </c>
      <c r="C382" s="541"/>
      <c r="D382" s="334"/>
      <c r="E382" s="334"/>
      <c r="F382" s="334"/>
      <c r="G382" s="334"/>
      <c r="H382" s="334"/>
      <c r="I382" s="334"/>
      <c r="J382" s="536"/>
      <c r="K382" s="536"/>
      <c r="L382" s="536"/>
      <c r="M382" s="536"/>
      <c r="N382" s="536"/>
      <c r="O382" s="536"/>
      <c r="P382" s="536">
        <f t="shared" si="126"/>
        <v>0</v>
      </c>
      <c r="Q382" s="536"/>
      <c r="R382" s="536"/>
      <c r="S382" s="536"/>
      <c r="T382" s="536">
        <f t="shared" si="127"/>
        <v>0</v>
      </c>
      <c r="U382" s="536"/>
      <c r="V382" s="536"/>
      <c r="W382" s="536"/>
      <c r="X382" s="536">
        <f t="shared" si="128"/>
        <v>0</v>
      </c>
      <c r="Y382" s="536"/>
      <c r="Z382" s="536"/>
      <c r="AA382" s="536"/>
      <c r="AB382" s="536">
        <f t="shared" si="129"/>
        <v>0</v>
      </c>
      <c r="AC382" s="536"/>
      <c r="AD382" s="536"/>
      <c r="AE382" s="536"/>
      <c r="AF382" s="536">
        <f t="shared" si="130"/>
        <v>0</v>
      </c>
      <c r="AG382" s="536"/>
      <c r="AH382" s="536"/>
      <c r="AI382" s="536"/>
      <c r="AJ382" s="536">
        <f t="shared" si="131"/>
        <v>0</v>
      </c>
      <c r="AK382" s="536"/>
      <c r="AL382" s="536"/>
      <c r="AM382" s="536"/>
      <c r="AN382" s="542">
        <f t="shared" si="132"/>
        <v>0</v>
      </c>
      <c r="AO382" s="536"/>
      <c r="AP382" s="536"/>
      <c r="AQ382" s="536"/>
      <c r="AR382" s="542">
        <f t="shared" si="133"/>
        <v>0</v>
      </c>
      <c r="AS382" s="536"/>
      <c r="AT382" s="536"/>
      <c r="AU382" s="536"/>
      <c r="AV382" s="542">
        <f t="shared" si="134"/>
        <v>0</v>
      </c>
      <c r="AW382" s="536"/>
      <c r="AX382" s="536"/>
      <c r="AY382" s="536"/>
      <c r="AZ382" s="542">
        <f t="shared" si="135"/>
        <v>0</v>
      </c>
      <c r="BA382" s="536"/>
      <c r="BB382" s="536"/>
      <c r="BC382" s="536"/>
      <c r="BD382" s="542">
        <f t="shared" si="136"/>
        <v>0</v>
      </c>
      <c r="BE382" s="536"/>
      <c r="BF382" s="536"/>
      <c r="BG382" s="536"/>
      <c r="BH382" s="542">
        <f t="shared" si="137"/>
        <v>0</v>
      </c>
      <c r="BI382" s="536"/>
      <c r="BJ382" s="536"/>
      <c r="BK382" s="536"/>
      <c r="BL382" s="542">
        <f t="shared" si="138"/>
        <v>0</v>
      </c>
      <c r="BM382" s="536"/>
      <c r="BN382" s="536"/>
      <c r="BO382" s="536"/>
      <c r="BP382" s="542">
        <f t="shared" si="139"/>
        <v>0</v>
      </c>
      <c r="BQ382" s="536"/>
      <c r="BR382" s="536"/>
      <c r="BS382" s="536"/>
      <c r="BT382" s="542">
        <f t="shared" si="140"/>
        <v>0</v>
      </c>
      <c r="BU382" s="536"/>
      <c r="BV382" s="536"/>
      <c r="BW382" s="536"/>
      <c r="BX382" s="542">
        <f t="shared" si="141"/>
        <v>0</v>
      </c>
      <c r="BY382" s="536"/>
      <c r="BZ382" s="536"/>
      <c r="CA382" s="536"/>
      <c r="CB382" s="542">
        <v>0</v>
      </c>
      <c r="CC382" s="536"/>
      <c r="CD382" s="536"/>
      <c r="CE382" s="536"/>
      <c r="CF382" s="541">
        <f t="shared" si="142"/>
        <v>0</v>
      </c>
      <c r="CG382" s="536"/>
      <c r="CH382" s="536"/>
      <c r="CI382" s="536"/>
      <c r="CJ382" s="541">
        <f t="shared" si="143"/>
        <v>0</v>
      </c>
      <c r="CK382" s="536"/>
      <c r="CL382" s="536"/>
      <c r="CM382" s="536"/>
      <c r="CN382" s="541">
        <f t="shared" si="144"/>
        <v>0</v>
      </c>
      <c r="CO382" s="536"/>
      <c r="CP382" s="536"/>
      <c r="CQ382" s="536"/>
      <c r="CR382" s="541">
        <f t="shared" si="145"/>
        <v>0</v>
      </c>
      <c r="CS382" s="536"/>
      <c r="CT382" s="536"/>
      <c r="CU382" s="536"/>
      <c r="CV382" s="541">
        <f t="shared" si="146"/>
        <v>0</v>
      </c>
      <c r="CW382" s="536"/>
      <c r="CX382" s="536"/>
      <c r="CY382" s="536"/>
      <c r="CZ382" s="541">
        <f t="shared" si="147"/>
        <v>0</v>
      </c>
      <c r="DA382" s="536"/>
      <c r="DB382" s="536"/>
      <c r="DC382" s="536"/>
      <c r="DD382" s="541">
        <f t="shared" si="148"/>
        <v>0</v>
      </c>
      <c r="DE382" s="536"/>
      <c r="DF382" s="536"/>
      <c r="DG382" s="536"/>
      <c r="DH382" s="541">
        <f t="shared" si="149"/>
        <v>0</v>
      </c>
      <c r="DI382" s="536"/>
      <c r="DJ382" s="536"/>
      <c r="DK382" s="536"/>
      <c r="DL382" s="541">
        <f t="shared" si="150"/>
        <v>0</v>
      </c>
      <c r="DM382" s="536"/>
      <c r="DN382" s="536"/>
      <c r="DO382" s="536"/>
      <c r="DP382" s="541">
        <f>IF( SUM((DJ382*(20/100))+(DK382*(30/100))+(DL382*(50/100))) &gt;=9.3,9.5,
IF(AND( SUM((DJ382*(20/100))+(DK382*(30/100))+(DL382*(50/100))) &lt;=9.3, SUM((DJ382*(20/100))+(DK382*(30/100))+(DL382*(50/100))) &gt;=8.8),9,
IF(AND( SUM((DJ382*(20/100))+(DK382*(30/100))+(DL382*(50/100))) &lt;=8.8, SUM((DJ382*(20/100))+(DK382*(30/100))+(DL382*(50/100))) &gt;=8.3),8.5,
IF(AND( SUM((DJ382*(20/100))+(DK382*(30/100))+(DL382*(50/100))) &lt;=8.3, SUM((DJ382*(20/100))+(DK382*(30/100))+(DL382*(50/100))) &gt;=7.8),8,
IF(AND( SUM((DJ382*(20/100))+(DK382*(30/100))+(DL382*(50/100))) &lt;=7.8, SUM((DJ382*(20/100))+(DK382*(30/100))+(DL382*(50/100))) &gt;=7.3),7.5,
IF(AND( SUM((DJ382*(20/100))+(DK382*(30/100))+(DL382*(50/100))) &lt;=7.3, SUM((DJ382*(20/100))+(DK382*(30/100))+(DL382*(50/100))) &gt;=6.8),7,
IF(AND( SUM((DJ382*(20/100))+(DK382*(30/100))+(DL382*(50/100))) &lt;=6.8, SUM((DJ382*(20/100))+(DK382*(30/100))+(DL382*(50/100))) &gt;=6.3),6.5,
IF(AND( SUM((DJ382*(20/100))+(DK382*(30/100))+(DL382*(50/100))) &lt;=6.3, SUM((DJ382*(20/100))+(DK382*(30/100))+(DL382*(50/100))) &gt;=5.8),6,
IF(AND( SUM((DJ382*(20/100))+(DK382*(30/100))+(DL382*(50/100))) &lt;=5.8, SUM((DJ382*(20/100))+(DK382*(30/100))+(DL382*(50/100))) &gt;=5.3),5.5,
IF(AND( SUM((DJ382*(20/100))+(DK382*(30/100))+(DL382*(50/100))) &lt;=5.3, SUM((DJ382*(20/100))+(DK382*(30/100))+(DL382*(50/100))) &gt;=4.8),5,
IF(AND( SUM((DJ382*(20/100))+(DK382*(30/100))+(DL382*(50/100))) &lt;=4.8, SUM((DJ382*(20/100))+(DK382*(30/100))+(DL382*(50/100))) &gt;=4.3),4.5,
IF(AND( SUM((DJ382*(20/100))+(DK382*(30/100))+(DL382*(50/100))) &lt;=4.3, SUM((DJ382*(20/100))+(DK382*(30/100))+(DL382*(50/100))) &gt;=3.8),4,
IF(AND( SUM((DJ382*(20/100))+(DK382*(30/100))+(DL382*(50/100))) &lt;=3.8, SUM((DJ382*(20/100))+(DK382*(30/100))+(DL382*(50/100))) &gt;=3.5),3.5,0)))))))))))))</f>
        <v>0</v>
      </c>
      <c r="DQ382" s="541"/>
      <c r="DR382" s="541"/>
      <c r="DS382" s="541"/>
      <c r="DT382" s="541"/>
      <c r="DU382" s="541"/>
      <c r="DV382" s="541"/>
      <c r="DW382" s="541"/>
      <c r="DX382" s="541"/>
      <c r="DY382" s="541"/>
      <c r="DZ382" s="541"/>
    </row>
    <row r="383" spans="2:130" x14ac:dyDescent="0.25">
      <c r="B383" s="334">
        <v>26</v>
      </c>
      <c r="C383" s="541"/>
      <c r="D383" s="334"/>
      <c r="E383" s="334"/>
      <c r="F383" s="334"/>
      <c r="G383" s="334"/>
      <c r="H383" s="334"/>
      <c r="I383" s="334"/>
      <c r="J383" s="536"/>
      <c r="K383" s="536"/>
      <c r="L383" s="536"/>
      <c r="M383" s="536"/>
      <c r="N383" s="536"/>
      <c r="O383" s="536"/>
      <c r="P383" s="536">
        <f t="shared" si="126"/>
        <v>0</v>
      </c>
      <c r="Q383" s="536"/>
      <c r="R383" s="536"/>
      <c r="S383" s="536"/>
      <c r="T383" s="536">
        <f t="shared" si="127"/>
        <v>0</v>
      </c>
      <c r="U383" s="536"/>
      <c r="V383" s="536"/>
      <c r="W383" s="536"/>
      <c r="X383" s="536">
        <f t="shared" si="128"/>
        <v>0</v>
      </c>
      <c r="Y383" s="536"/>
      <c r="Z383" s="536"/>
      <c r="AA383" s="536"/>
      <c r="AB383" s="536">
        <f t="shared" si="129"/>
        <v>0</v>
      </c>
      <c r="AC383" s="536"/>
      <c r="AD383" s="536"/>
      <c r="AE383" s="536"/>
      <c r="AF383" s="536">
        <f t="shared" si="130"/>
        <v>0</v>
      </c>
      <c r="AG383" s="536"/>
      <c r="AH383" s="536"/>
      <c r="AI383" s="536"/>
      <c r="AJ383" s="536">
        <f t="shared" si="131"/>
        <v>0</v>
      </c>
      <c r="AK383" s="536"/>
      <c r="AL383" s="536"/>
      <c r="AM383" s="536"/>
      <c r="AN383" s="542">
        <f t="shared" si="132"/>
        <v>0</v>
      </c>
      <c r="AO383" s="536"/>
      <c r="AP383" s="536"/>
      <c r="AQ383" s="536"/>
      <c r="AR383" s="542">
        <f t="shared" si="133"/>
        <v>0</v>
      </c>
      <c r="AS383" s="536"/>
      <c r="AT383" s="536"/>
      <c r="AU383" s="536"/>
      <c r="AV383" s="542">
        <f t="shared" si="134"/>
        <v>0</v>
      </c>
      <c r="AW383" s="536"/>
      <c r="AX383" s="536"/>
      <c r="AY383" s="536"/>
      <c r="AZ383" s="542">
        <f t="shared" si="135"/>
        <v>0</v>
      </c>
      <c r="BA383" s="536"/>
      <c r="BB383" s="536"/>
      <c r="BC383" s="536"/>
      <c r="BD383" s="542">
        <f t="shared" si="136"/>
        <v>0</v>
      </c>
      <c r="BE383" s="536"/>
      <c r="BF383" s="536"/>
      <c r="BG383" s="536"/>
      <c r="BH383" s="542">
        <f t="shared" si="137"/>
        <v>0</v>
      </c>
      <c r="BI383" s="536"/>
      <c r="BJ383" s="536"/>
      <c r="BK383" s="536"/>
      <c r="BL383" s="542">
        <f t="shared" si="138"/>
        <v>0</v>
      </c>
      <c r="BM383" s="536"/>
      <c r="BN383" s="536"/>
      <c r="BO383" s="536"/>
      <c r="BP383" s="542">
        <f t="shared" si="139"/>
        <v>0</v>
      </c>
      <c r="BQ383" s="536"/>
      <c r="BR383" s="536"/>
      <c r="BS383" s="536"/>
      <c r="BT383" s="542">
        <f t="shared" si="140"/>
        <v>0</v>
      </c>
      <c r="BU383" s="536"/>
      <c r="BV383" s="536"/>
      <c r="BW383" s="536"/>
      <c r="BX383" s="542">
        <f t="shared" si="141"/>
        <v>0</v>
      </c>
      <c r="BY383" s="536"/>
      <c r="BZ383" s="536"/>
      <c r="CA383" s="536"/>
      <c r="CB383" s="542">
        <v>0</v>
      </c>
      <c r="CC383" s="536"/>
      <c r="CD383" s="536"/>
      <c r="CE383" s="536"/>
      <c r="CF383" s="541">
        <f t="shared" si="142"/>
        <v>0</v>
      </c>
      <c r="CG383" s="536"/>
      <c r="CH383" s="536"/>
      <c r="CI383" s="536"/>
      <c r="CJ383" s="541">
        <f t="shared" si="143"/>
        <v>0</v>
      </c>
      <c r="CK383" s="536"/>
      <c r="CL383" s="536"/>
      <c r="CM383" s="536"/>
      <c r="CN383" s="541">
        <f t="shared" si="144"/>
        <v>0</v>
      </c>
      <c r="CO383" s="536"/>
      <c r="CP383" s="536"/>
      <c r="CQ383" s="536"/>
      <c r="CR383" s="541">
        <f t="shared" si="145"/>
        <v>0</v>
      </c>
      <c r="CS383" s="536"/>
      <c r="CT383" s="536"/>
      <c r="CU383" s="536"/>
      <c r="CV383" s="541">
        <f t="shared" si="146"/>
        <v>0</v>
      </c>
      <c r="CW383" s="536"/>
      <c r="CX383" s="536"/>
      <c r="CY383" s="536"/>
      <c r="CZ383" s="541">
        <f t="shared" si="147"/>
        <v>0</v>
      </c>
      <c r="DA383" s="536"/>
      <c r="DB383" s="536"/>
      <c r="DC383" s="536"/>
      <c r="DD383" s="541">
        <f t="shared" si="148"/>
        <v>0</v>
      </c>
      <c r="DE383" s="536"/>
      <c r="DF383" s="536"/>
      <c r="DG383" s="536"/>
      <c r="DH383" s="541">
        <f t="shared" si="149"/>
        <v>0</v>
      </c>
      <c r="DI383" s="536"/>
      <c r="DJ383" s="536"/>
      <c r="DK383" s="536"/>
      <c r="DL383" s="541">
        <f t="shared" si="150"/>
        <v>0</v>
      </c>
      <c r="DM383" s="536"/>
      <c r="DN383" s="536"/>
      <c r="DO383" s="536"/>
      <c r="DP383" s="541">
        <f>IF( SUM((DJ383*(20/100))+(DK383*(30/100))+(DL383*(50/100))) &gt;=9.3,9.5,
IF(AND( SUM((DJ383*(20/100))+(DK383*(30/100))+(DL383*(50/100))) &lt;=9.3, SUM((DJ383*(20/100))+(DK383*(30/100))+(DL383*(50/100))) &gt;=8.8),9,
IF(AND( SUM((DJ383*(20/100))+(DK383*(30/100))+(DL383*(50/100))) &lt;=8.8, SUM((DJ383*(20/100))+(DK383*(30/100))+(DL383*(50/100))) &gt;=8.3),8.5,
IF(AND( SUM((DJ383*(20/100))+(DK383*(30/100))+(DL383*(50/100))) &lt;=8.3, SUM((DJ383*(20/100))+(DK383*(30/100))+(DL383*(50/100))) &gt;=7.8),8,
IF(AND( SUM((DJ383*(20/100))+(DK383*(30/100))+(DL383*(50/100))) &lt;=7.8, SUM((DJ383*(20/100))+(DK383*(30/100))+(DL383*(50/100))) &gt;=7.3),7.5,
IF(AND( SUM((DJ383*(20/100))+(DK383*(30/100))+(DL383*(50/100))) &lt;=7.3, SUM((DJ383*(20/100))+(DK383*(30/100))+(DL383*(50/100))) &gt;=6.8),7,
IF(AND( SUM((DJ383*(20/100))+(DK383*(30/100))+(DL383*(50/100))) &lt;=6.8, SUM((DJ383*(20/100))+(DK383*(30/100))+(DL383*(50/100))) &gt;=6.3),6.5,
IF(AND( SUM((DJ383*(20/100))+(DK383*(30/100))+(DL383*(50/100))) &lt;=6.3, SUM((DJ383*(20/100))+(DK383*(30/100))+(DL383*(50/100))) &gt;=5.8),6,
IF(AND( SUM((DJ383*(20/100))+(DK383*(30/100))+(DL383*(50/100))) &lt;=5.8, SUM((DJ383*(20/100))+(DK383*(30/100))+(DL383*(50/100))) &gt;=5.3),5.5,
IF(AND( SUM((DJ383*(20/100))+(DK383*(30/100))+(DL383*(50/100))) &lt;=5.3, SUM((DJ383*(20/100))+(DK383*(30/100))+(DL383*(50/100))) &gt;=4.8),5,
IF(AND( SUM((DJ383*(20/100))+(DK383*(30/100))+(DL383*(50/100))) &lt;=4.8, SUM((DJ383*(20/100))+(DK383*(30/100))+(DL383*(50/100))) &gt;=4.3),4.5,
IF(AND( SUM((DJ383*(20/100))+(DK383*(30/100))+(DL383*(50/100))) &lt;=4.3, SUM((DJ383*(20/100))+(DK383*(30/100))+(DL383*(50/100))) &gt;=3.8),4,
IF(AND( SUM((DJ383*(20/100))+(DK383*(30/100))+(DL383*(50/100))) &lt;=3.8, SUM((DJ383*(20/100))+(DK383*(30/100))+(DL383*(50/100))) &gt;=3.5),3.5,0)))))))))))))</f>
        <v>0</v>
      </c>
      <c r="DQ383" s="541"/>
      <c r="DR383" s="541"/>
      <c r="DS383" s="541"/>
      <c r="DT383" s="541"/>
      <c r="DU383" s="541"/>
      <c r="DV383" s="541"/>
      <c r="DW383" s="541"/>
      <c r="DX383" s="541"/>
      <c r="DY383" s="541"/>
      <c r="DZ383" s="541"/>
    </row>
    <row r="384" spans="2:130" x14ac:dyDescent="0.25">
      <c r="B384" s="334">
        <v>27</v>
      </c>
      <c r="C384" s="541"/>
      <c r="D384" s="334"/>
      <c r="E384" s="334"/>
      <c r="F384" s="334"/>
      <c r="G384" s="334"/>
      <c r="H384" s="334"/>
      <c r="I384" s="334"/>
      <c r="J384" s="536"/>
      <c r="K384" s="536"/>
      <c r="L384" s="536"/>
      <c r="M384" s="536"/>
      <c r="N384" s="536"/>
      <c r="O384" s="536"/>
      <c r="P384" s="536">
        <f t="shared" si="126"/>
        <v>0</v>
      </c>
      <c r="Q384" s="536"/>
      <c r="R384" s="536"/>
      <c r="S384" s="536"/>
      <c r="T384" s="536">
        <f t="shared" si="127"/>
        <v>0</v>
      </c>
      <c r="U384" s="536"/>
      <c r="V384" s="536"/>
      <c r="W384" s="536"/>
      <c r="X384" s="536">
        <f t="shared" si="128"/>
        <v>0</v>
      </c>
      <c r="Y384" s="536"/>
      <c r="Z384" s="536"/>
      <c r="AA384" s="536"/>
      <c r="AB384" s="536">
        <f t="shared" si="129"/>
        <v>0</v>
      </c>
      <c r="AC384" s="536"/>
      <c r="AD384" s="536"/>
      <c r="AE384" s="536"/>
      <c r="AF384" s="536">
        <f t="shared" si="130"/>
        <v>0</v>
      </c>
      <c r="AG384" s="536"/>
      <c r="AH384" s="536"/>
      <c r="AI384" s="536"/>
      <c r="AJ384" s="536">
        <f t="shared" si="131"/>
        <v>0</v>
      </c>
      <c r="AK384" s="536"/>
      <c r="AL384" s="536"/>
      <c r="AM384" s="536"/>
      <c r="AN384" s="542">
        <f t="shared" si="132"/>
        <v>0</v>
      </c>
      <c r="AO384" s="536"/>
      <c r="AP384" s="536"/>
      <c r="AQ384" s="536"/>
      <c r="AR384" s="542">
        <f t="shared" si="133"/>
        <v>0</v>
      </c>
      <c r="AS384" s="536"/>
      <c r="AT384" s="536"/>
      <c r="AU384" s="536"/>
      <c r="AV384" s="542">
        <f t="shared" si="134"/>
        <v>0</v>
      </c>
      <c r="AW384" s="536"/>
      <c r="AX384" s="536"/>
      <c r="AY384" s="536"/>
      <c r="AZ384" s="542">
        <f t="shared" si="135"/>
        <v>0</v>
      </c>
      <c r="BA384" s="536"/>
      <c r="BB384" s="536"/>
      <c r="BC384" s="536"/>
      <c r="BD384" s="542">
        <f t="shared" si="136"/>
        <v>0</v>
      </c>
      <c r="BE384" s="536"/>
      <c r="BF384" s="536"/>
      <c r="BG384" s="536"/>
      <c r="BH384" s="542">
        <f t="shared" si="137"/>
        <v>0</v>
      </c>
      <c r="BI384" s="536"/>
      <c r="BJ384" s="536"/>
      <c r="BK384" s="536"/>
      <c r="BL384" s="542">
        <f t="shared" si="138"/>
        <v>0</v>
      </c>
      <c r="BM384" s="536"/>
      <c r="BN384" s="536"/>
      <c r="BO384" s="536"/>
      <c r="BP384" s="542">
        <f t="shared" si="139"/>
        <v>0</v>
      </c>
      <c r="BQ384" s="536"/>
      <c r="BR384" s="536"/>
      <c r="BS384" s="536"/>
      <c r="BT384" s="542">
        <f t="shared" si="140"/>
        <v>0</v>
      </c>
      <c r="BU384" s="536"/>
      <c r="BV384" s="536"/>
      <c r="BW384" s="536"/>
      <c r="BX384" s="542">
        <f t="shared" si="141"/>
        <v>0</v>
      </c>
      <c r="BY384" s="536"/>
      <c r="BZ384" s="536"/>
      <c r="CA384" s="536"/>
      <c r="CB384" s="542">
        <v>0</v>
      </c>
      <c r="CC384" s="536"/>
      <c r="CD384" s="536"/>
      <c r="CE384" s="536"/>
      <c r="CF384" s="541">
        <f t="shared" si="142"/>
        <v>0</v>
      </c>
      <c r="CG384" s="536"/>
      <c r="CH384" s="536"/>
      <c r="CI384" s="536"/>
      <c r="CJ384" s="541">
        <f t="shared" si="143"/>
        <v>0</v>
      </c>
      <c r="CK384" s="536"/>
      <c r="CL384" s="536"/>
      <c r="CM384" s="536"/>
      <c r="CN384" s="541">
        <f t="shared" si="144"/>
        <v>0</v>
      </c>
      <c r="CO384" s="536"/>
      <c r="CP384" s="536"/>
      <c r="CQ384" s="536"/>
      <c r="CR384" s="541">
        <f t="shared" si="145"/>
        <v>0</v>
      </c>
      <c r="CS384" s="536"/>
      <c r="CT384" s="536"/>
      <c r="CU384" s="536"/>
      <c r="CV384" s="541">
        <f t="shared" si="146"/>
        <v>0</v>
      </c>
      <c r="CW384" s="536"/>
      <c r="CX384" s="536"/>
      <c r="CY384" s="536"/>
      <c r="CZ384" s="541">
        <f t="shared" si="147"/>
        <v>0</v>
      </c>
      <c r="DA384" s="536"/>
      <c r="DB384" s="536"/>
      <c r="DC384" s="536"/>
      <c r="DD384" s="541">
        <f t="shared" si="148"/>
        <v>0</v>
      </c>
      <c r="DE384" s="536"/>
      <c r="DF384" s="536"/>
      <c r="DG384" s="536"/>
      <c r="DH384" s="541">
        <f t="shared" si="149"/>
        <v>0</v>
      </c>
      <c r="DI384" s="536"/>
      <c r="DJ384" s="536"/>
      <c r="DK384" s="536"/>
      <c r="DL384" s="541">
        <f t="shared" si="150"/>
        <v>0</v>
      </c>
      <c r="DM384" s="536"/>
      <c r="DN384" s="536"/>
      <c r="DO384" s="536"/>
      <c r="DP384" s="541">
        <f>IF( SUM((DJ384*(20/100))+(DK384*(30/100))+(DL384*(50/100))) &gt;=9.3,9.5,
IF(AND( SUM((DJ384*(20/100))+(DK384*(30/100))+(DL384*(50/100))) &lt;=9.3, SUM((DJ384*(20/100))+(DK384*(30/100))+(DL384*(50/100))) &gt;=8.8),9,
IF(AND( SUM((DJ384*(20/100))+(DK384*(30/100))+(DL384*(50/100))) &lt;=8.8, SUM((DJ384*(20/100))+(DK384*(30/100))+(DL384*(50/100))) &gt;=8.3),8.5,
IF(AND( SUM((DJ384*(20/100))+(DK384*(30/100))+(DL384*(50/100))) &lt;=8.3, SUM((DJ384*(20/100))+(DK384*(30/100))+(DL384*(50/100))) &gt;=7.8),8,
IF(AND( SUM((DJ384*(20/100))+(DK384*(30/100))+(DL384*(50/100))) &lt;=7.8, SUM((DJ384*(20/100))+(DK384*(30/100))+(DL384*(50/100))) &gt;=7.3),7.5,
IF(AND( SUM((DJ384*(20/100))+(DK384*(30/100))+(DL384*(50/100))) &lt;=7.3, SUM((DJ384*(20/100))+(DK384*(30/100))+(DL384*(50/100))) &gt;=6.8),7,
IF(AND( SUM((DJ384*(20/100))+(DK384*(30/100))+(DL384*(50/100))) &lt;=6.8, SUM((DJ384*(20/100))+(DK384*(30/100))+(DL384*(50/100))) &gt;=6.3),6.5,
IF(AND( SUM((DJ384*(20/100))+(DK384*(30/100))+(DL384*(50/100))) &lt;=6.3, SUM((DJ384*(20/100))+(DK384*(30/100))+(DL384*(50/100))) &gt;=5.8),6,
IF(AND( SUM((DJ384*(20/100))+(DK384*(30/100))+(DL384*(50/100))) &lt;=5.8, SUM((DJ384*(20/100))+(DK384*(30/100))+(DL384*(50/100))) &gt;=5.3),5.5,
IF(AND( SUM((DJ384*(20/100))+(DK384*(30/100))+(DL384*(50/100))) &lt;=5.3, SUM((DJ384*(20/100))+(DK384*(30/100))+(DL384*(50/100))) &gt;=4.8),5,
IF(AND( SUM((DJ384*(20/100))+(DK384*(30/100))+(DL384*(50/100))) &lt;=4.8, SUM((DJ384*(20/100))+(DK384*(30/100))+(DL384*(50/100))) &gt;=4.3),4.5,
IF(AND( SUM((DJ384*(20/100))+(DK384*(30/100))+(DL384*(50/100))) &lt;=4.3, SUM((DJ384*(20/100))+(DK384*(30/100))+(DL384*(50/100))) &gt;=3.8),4,
IF(AND( SUM((DJ384*(20/100))+(DK384*(30/100))+(DL384*(50/100))) &lt;=3.8, SUM((DJ384*(20/100))+(DK384*(30/100))+(DL384*(50/100))) &gt;=3.5),3.5,0)))))))))))))</f>
        <v>0</v>
      </c>
      <c r="DQ384" s="541"/>
      <c r="DR384" s="541"/>
      <c r="DS384" s="541"/>
      <c r="DT384" s="541"/>
      <c r="DU384" s="541"/>
      <c r="DV384" s="541"/>
      <c r="DW384" s="541"/>
      <c r="DX384" s="541"/>
      <c r="DY384" s="541"/>
      <c r="DZ384" s="541"/>
    </row>
    <row r="385" spans="2:130" x14ac:dyDescent="0.25">
      <c r="B385" s="334">
        <v>28</v>
      </c>
      <c r="C385" s="541"/>
      <c r="D385" s="334"/>
      <c r="E385" s="334"/>
      <c r="F385" s="334"/>
      <c r="G385" s="334"/>
      <c r="H385" s="334"/>
      <c r="I385" s="334"/>
      <c r="J385" s="536"/>
      <c r="K385" s="536"/>
      <c r="L385" s="536"/>
      <c r="M385" s="536"/>
      <c r="N385" s="536"/>
      <c r="O385" s="536"/>
      <c r="P385" s="536">
        <f t="shared" si="126"/>
        <v>0</v>
      </c>
      <c r="Q385" s="536"/>
      <c r="R385" s="536"/>
      <c r="S385" s="536"/>
      <c r="T385" s="536">
        <f t="shared" si="127"/>
        <v>0</v>
      </c>
      <c r="U385" s="536"/>
      <c r="V385" s="536"/>
      <c r="W385" s="536"/>
      <c r="X385" s="536">
        <f t="shared" si="128"/>
        <v>0</v>
      </c>
      <c r="Y385" s="536"/>
      <c r="Z385" s="536"/>
      <c r="AA385" s="536"/>
      <c r="AB385" s="536">
        <f t="shared" si="129"/>
        <v>0</v>
      </c>
      <c r="AC385" s="536"/>
      <c r="AD385" s="536"/>
      <c r="AE385" s="536"/>
      <c r="AF385" s="536">
        <f t="shared" si="130"/>
        <v>0</v>
      </c>
      <c r="AG385" s="536"/>
      <c r="AH385" s="536"/>
      <c r="AI385" s="536"/>
      <c r="AJ385" s="536">
        <f t="shared" si="131"/>
        <v>0</v>
      </c>
      <c r="AK385" s="536"/>
      <c r="AL385" s="536"/>
      <c r="AM385" s="536"/>
      <c r="AN385" s="542">
        <f t="shared" si="132"/>
        <v>0</v>
      </c>
      <c r="AO385" s="536"/>
      <c r="AP385" s="536"/>
      <c r="AQ385" s="536"/>
      <c r="AR385" s="542">
        <f t="shared" si="133"/>
        <v>0</v>
      </c>
      <c r="AS385" s="536"/>
      <c r="AT385" s="536"/>
      <c r="AU385" s="536"/>
      <c r="AV385" s="542">
        <f t="shared" si="134"/>
        <v>0</v>
      </c>
      <c r="AW385" s="536"/>
      <c r="AX385" s="536"/>
      <c r="AY385" s="536"/>
      <c r="AZ385" s="542">
        <f t="shared" si="135"/>
        <v>0</v>
      </c>
      <c r="BA385" s="536"/>
      <c r="BB385" s="536"/>
      <c r="BC385" s="536"/>
      <c r="BD385" s="542">
        <f t="shared" si="136"/>
        <v>0</v>
      </c>
      <c r="BE385" s="536"/>
      <c r="BF385" s="536"/>
      <c r="BG385" s="536"/>
      <c r="BH385" s="542">
        <f t="shared" si="137"/>
        <v>0</v>
      </c>
      <c r="BI385" s="536"/>
      <c r="BJ385" s="536"/>
      <c r="BK385" s="536"/>
      <c r="BL385" s="542">
        <f t="shared" si="138"/>
        <v>0</v>
      </c>
      <c r="BM385" s="536"/>
      <c r="BN385" s="536"/>
      <c r="BO385" s="536"/>
      <c r="BP385" s="542">
        <f t="shared" si="139"/>
        <v>0</v>
      </c>
      <c r="BQ385" s="536"/>
      <c r="BR385" s="536"/>
      <c r="BS385" s="536"/>
      <c r="BT385" s="542">
        <f t="shared" si="140"/>
        <v>0</v>
      </c>
      <c r="BU385" s="536"/>
      <c r="BV385" s="536"/>
      <c r="BW385" s="536"/>
      <c r="BX385" s="542">
        <f t="shared" si="141"/>
        <v>0</v>
      </c>
      <c r="BY385" s="536"/>
      <c r="BZ385" s="536"/>
      <c r="CA385" s="536"/>
      <c r="CB385" s="542">
        <v>0</v>
      </c>
      <c r="CC385" s="536"/>
      <c r="CD385" s="536"/>
      <c r="CE385" s="536"/>
      <c r="CF385" s="541">
        <f t="shared" si="142"/>
        <v>0</v>
      </c>
      <c r="CG385" s="536"/>
      <c r="CH385" s="536"/>
      <c r="CI385" s="536"/>
      <c r="CJ385" s="541">
        <f t="shared" si="143"/>
        <v>0</v>
      </c>
      <c r="CK385" s="536"/>
      <c r="CL385" s="536"/>
      <c r="CM385" s="536"/>
      <c r="CN385" s="541">
        <f t="shared" si="144"/>
        <v>0</v>
      </c>
      <c r="CO385" s="536"/>
      <c r="CP385" s="536"/>
      <c r="CQ385" s="536"/>
      <c r="CR385" s="541">
        <f t="shared" si="145"/>
        <v>0</v>
      </c>
      <c r="CS385" s="536"/>
      <c r="CT385" s="536"/>
      <c r="CU385" s="536"/>
      <c r="CV385" s="541">
        <f t="shared" si="146"/>
        <v>0</v>
      </c>
      <c r="CW385" s="536"/>
      <c r="CX385" s="536"/>
      <c r="CY385" s="536"/>
      <c r="CZ385" s="541">
        <f t="shared" si="147"/>
        <v>0</v>
      </c>
      <c r="DA385" s="536"/>
      <c r="DB385" s="536"/>
      <c r="DC385" s="536"/>
      <c r="DD385" s="541">
        <f t="shared" si="148"/>
        <v>0</v>
      </c>
      <c r="DE385" s="536"/>
      <c r="DF385" s="536"/>
      <c r="DG385" s="536"/>
      <c r="DH385" s="541">
        <f t="shared" si="149"/>
        <v>0</v>
      </c>
      <c r="DI385" s="536"/>
      <c r="DJ385" s="536"/>
      <c r="DK385" s="536"/>
      <c r="DL385" s="541">
        <f t="shared" si="150"/>
        <v>0</v>
      </c>
      <c r="DM385" s="536"/>
      <c r="DN385" s="536"/>
      <c r="DO385" s="536"/>
      <c r="DP385" s="541">
        <f>IF( SUM((DJ385*(20/100))+(DK385*(30/100))+(DL385*(50/100))) &gt;=9.3,9.5,
IF(AND( SUM((DJ385*(20/100))+(DK385*(30/100))+(DL385*(50/100))) &lt;=9.3, SUM((DJ385*(20/100))+(DK385*(30/100))+(DL385*(50/100))) &gt;=8.8),9,
IF(AND( SUM((DJ385*(20/100))+(DK385*(30/100))+(DL385*(50/100))) &lt;=8.8, SUM((DJ385*(20/100))+(DK385*(30/100))+(DL385*(50/100))) &gt;=8.3),8.5,
IF(AND( SUM((DJ385*(20/100))+(DK385*(30/100))+(DL385*(50/100))) &lt;=8.3, SUM((DJ385*(20/100))+(DK385*(30/100))+(DL385*(50/100))) &gt;=7.8),8,
IF(AND( SUM((DJ385*(20/100))+(DK385*(30/100))+(DL385*(50/100))) &lt;=7.8, SUM((DJ385*(20/100))+(DK385*(30/100))+(DL385*(50/100))) &gt;=7.3),7.5,
IF(AND( SUM((DJ385*(20/100))+(DK385*(30/100))+(DL385*(50/100))) &lt;=7.3, SUM((DJ385*(20/100))+(DK385*(30/100))+(DL385*(50/100))) &gt;=6.8),7,
IF(AND( SUM((DJ385*(20/100))+(DK385*(30/100))+(DL385*(50/100))) &lt;=6.8, SUM((DJ385*(20/100))+(DK385*(30/100))+(DL385*(50/100))) &gt;=6.3),6.5,
IF(AND( SUM((DJ385*(20/100))+(DK385*(30/100))+(DL385*(50/100))) &lt;=6.3, SUM((DJ385*(20/100))+(DK385*(30/100))+(DL385*(50/100))) &gt;=5.8),6,
IF(AND( SUM((DJ385*(20/100))+(DK385*(30/100))+(DL385*(50/100))) &lt;=5.8, SUM((DJ385*(20/100))+(DK385*(30/100))+(DL385*(50/100))) &gt;=5.3),5.5,
IF(AND( SUM((DJ385*(20/100))+(DK385*(30/100))+(DL385*(50/100))) &lt;=5.3, SUM((DJ385*(20/100))+(DK385*(30/100))+(DL385*(50/100))) &gt;=4.8),5,
IF(AND( SUM((DJ385*(20/100))+(DK385*(30/100))+(DL385*(50/100))) &lt;=4.8, SUM((DJ385*(20/100))+(DK385*(30/100))+(DL385*(50/100))) &gt;=4.3),4.5,
IF(AND( SUM((DJ385*(20/100))+(DK385*(30/100))+(DL385*(50/100))) &lt;=4.3, SUM((DJ385*(20/100))+(DK385*(30/100))+(DL385*(50/100))) &gt;=3.8),4,
IF(AND( SUM((DJ385*(20/100))+(DK385*(30/100))+(DL385*(50/100))) &lt;=3.8, SUM((DJ385*(20/100))+(DK385*(30/100))+(DL385*(50/100))) &gt;=3.5),3.5,0)))))))))))))</f>
        <v>0</v>
      </c>
      <c r="DQ385" s="541"/>
      <c r="DR385" s="541"/>
      <c r="DS385" s="541"/>
      <c r="DT385" s="541"/>
      <c r="DU385" s="541"/>
      <c r="DV385" s="541"/>
      <c r="DW385" s="541"/>
      <c r="DX385" s="541"/>
      <c r="DY385" s="541"/>
      <c r="DZ385" s="541"/>
    </row>
    <row r="386" spans="2:130" x14ac:dyDescent="0.25">
      <c r="B386" s="334">
        <v>29</v>
      </c>
      <c r="C386" s="541"/>
      <c r="D386" s="334"/>
      <c r="E386" s="334"/>
      <c r="F386" s="334"/>
      <c r="G386" s="334"/>
      <c r="H386" s="334"/>
      <c r="I386" s="334"/>
      <c r="J386" s="536"/>
      <c r="K386" s="536"/>
      <c r="L386" s="536"/>
      <c r="M386" s="536"/>
      <c r="N386" s="536"/>
      <c r="O386" s="536"/>
      <c r="P386" s="536">
        <f t="shared" si="126"/>
        <v>0</v>
      </c>
      <c r="Q386" s="536"/>
      <c r="R386" s="536"/>
      <c r="S386" s="536"/>
      <c r="T386" s="536">
        <f t="shared" si="127"/>
        <v>0</v>
      </c>
      <c r="U386" s="536"/>
      <c r="V386" s="536"/>
      <c r="W386" s="536"/>
      <c r="X386" s="536">
        <f t="shared" si="128"/>
        <v>0</v>
      </c>
      <c r="Y386" s="536"/>
      <c r="Z386" s="536"/>
      <c r="AA386" s="536"/>
      <c r="AB386" s="536">
        <f t="shared" si="129"/>
        <v>0</v>
      </c>
      <c r="AC386" s="536"/>
      <c r="AD386" s="536"/>
      <c r="AE386" s="536"/>
      <c r="AF386" s="536">
        <f t="shared" si="130"/>
        <v>0</v>
      </c>
      <c r="AG386" s="536"/>
      <c r="AH386" s="536"/>
      <c r="AI386" s="536"/>
      <c r="AJ386" s="536">
        <f t="shared" si="131"/>
        <v>0</v>
      </c>
      <c r="AK386" s="536"/>
      <c r="AL386" s="536"/>
      <c r="AM386" s="536"/>
      <c r="AN386" s="542">
        <f t="shared" si="132"/>
        <v>0</v>
      </c>
      <c r="AO386" s="536"/>
      <c r="AP386" s="536"/>
      <c r="AQ386" s="536"/>
      <c r="AR386" s="542">
        <f t="shared" si="133"/>
        <v>0</v>
      </c>
      <c r="AS386" s="536"/>
      <c r="AT386" s="536"/>
      <c r="AU386" s="536"/>
      <c r="AV386" s="542">
        <f t="shared" si="134"/>
        <v>0</v>
      </c>
      <c r="AW386" s="536"/>
      <c r="AX386" s="536"/>
      <c r="AY386" s="536"/>
      <c r="AZ386" s="542">
        <f t="shared" si="135"/>
        <v>0</v>
      </c>
      <c r="BA386" s="536"/>
      <c r="BB386" s="536"/>
      <c r="BC386" s="536"/>
      <c r="BD386" s="542">
        <f t="shared" si="136"/>
        <v>0</v>
      </c>
      <c r="BE386" s="536"/>
      <c r="BF386" s="536"/>
      <c r="BG386" s="536"/>
      <c r="BH386" s="542">
        <f t="shared" si="137"/>
        <v>0</v>
      </c>
      <c r="BI386" s="536"/>
      <c r="BJ386" s="536"/>
      <c r="BK386" s="536"/>
      <c r="BL386" s="542">
        <f t="shared" si="138"/>
        <v>0</v>
      </c>
      <c r="BM386" s="536"/>
      <c r="BN386" s="536"/>
      <c r="BO386" s="536"/>
      <c r="BP386" s="542">
        <f t="shared" si="139"/>
        <v>0</v>
      </c>
      <c r="BQ386" s="536"/>
      <c r="BR386" s="536"/>
      <c r="BS386" s="536"/>
      <c r="BT386" s="542">
        <f t="shared" si="140"/>
        <v>0</v>
      </c>
      <c r="BU386" s="536"/>
      <c r="BV386" s="536"/>
      <c r="BW386" s="536"/>
      <c r="BX386" s="542">
        <f t="shared" si="141"/>
        <v>0</v>
      </c>
      <c r="BY386" s="536"/>
      <c r="BZ386" s="536"/>
      <c r="CA386" s="536"/>
      <c r="CB386" s="542">
        <v>0</v>
      </c>
      <c r="CC386" s="536"/>
      <c r="CD386" s="536"/>
      <c r="CE386" s="536"/>
      <c r="CF386" s="541">
        <f t="shared" si="142"/>
        <v>0</v>
      </c>
      <c r="CG386" s="536"/>
      <c r="CH386" s="536"/>
      <c r="CI386" s="536"/>
      <c r="CJ386" s="541">
        <f t="shared" si="143"/>
        <v>0</v>
      </c>
      <c r="CK386" s="536"/>
      <c r="CL386" s="536"/>
      <c r="CM386" s="536"/>
      <c r="CN386" s="541">
        <f t="shared" si="144"/>
        <v>0</v>
      </c>
      <c r="CO386" s="536"/>
      <c r="CP386" s="536"/>
      <c r="CQ386" s="536"/>
      <c r="CR386" s="541">
        <f t="shared" si="145"/>
        <v>0</v>
      </c>
      <c r="CS386" s="536"/>
      <c r="CT386" s="536"/>
      <c r="CU386" s="536"/>
      <c r="CV386" s="541">
        <f t="shared" si="146"/>
        <v>0</v>
      </c>
      <c r="CW386" s="536"/>
      <c r="CX386" s="536"/>
      <c r="CY386" s="536"/>
      <c r="CZ386" s="541">
        <f t="shared" si="147"/>
        <v>0</v>
      </c>
      <c r="DA386" s="536"/>
      <c r="DB386" s="536"/>
      <c r="DC386" s="536"/>
      <c r="DD386" s="541">
        <f t="shared" si="148"/>
        <v>0</v>
      </c>
      <c r="DE386" s="536"/>
      <c r="DF386" s="536"/>
      <c r="DG386" s="536"/>
      <c r="DH386" s="541">
        <f t="shared" si="149"/>
        <v>0</v>
      </c>
      <c r="DI386" s="536"/>
      <c r="DJ386" s="536"/>
      <c r="DK386" s="536"/>
      <c r="DL386" s="541">
        <f t="shared" si="150"/>
        <v>0</v>
      </c>
      <c r="DM386" s="536"/>
      <c r="DN386" s="536"/>
      <c r="DO386" s="536"/>
      <c r="DP386" s="541">
        <f>IF( SUM((DJ386*(20/100))+(DK386*(30/100))+(DL386*(50/100))) &gt;=9.3,9.5,
IF(AND( SUM((DJ386*(20/100))+(DK386*(30/100))+(DL386*(50/100))) &lt;=9.3, SUM((DJ386*(20/100))+(DK386*(30/100))+(DL386*(50/100))) &gt;=8.8),9,
IF(AND( SUM((DJ386*(20/100))+(DK386*(30/100))+(DL386*(50/100))) &lt;=8.8, SUM((DJ386*(20/100))+(DK386*(30/100))+(DL386*(50/100))) &gt;=8.3),8.5,
IF(AND( SUM((DJ386*(20/100))+(DK386*(30/100))+(DL386*(50/100))) &lt;=8.3, SUM((DJ386*(20/100))+(DK386*(30/100))+(DL386*(50/100))) &gt;=7.8),8,
IF(AND( SUM((DJ386*(20/100))+(DK386*(30/100))+(DL386*(50/100))) &lt;=7.8, SUM((DJ386*(20/100))+(DK386*(30/100))+(DL386*(50/100))) &gt;=7.3),7.5,
IF(AND( SUM((DJ386*(20/100))+(DK386*(30/100))+(DL386*(50/100))) &lt;=7.3, SUM((DJ386*(20/100))+(DK386*(30/100))+(DL386*(50/100))) &gt;=6.8),7,
IF(AND( SUM((DJ386*(20/100))+(DK386*(30/100))+(DL386*(50/100))) &lt;=6.8, SUM((DJ386*(20/100))+(DK386*(30/100))+(DL386*(50/100))) &gt;=6.3),6.5,
IF(AND( SUM((DJ386*(20/100))+(DK386*(30/100))+(DL386*(50/100))) &lt;=6.3, SUM((DJ386*(20/100))+(DK386*(30/100))+(DL386*(50/100))) &gt;=5.8),6,
IF(AND( SUM((DJ386*(20/100))+(DK386*(30/100))+(DL386*(50/100))) &lt;=5.8, SUM((DJ386*(20/100))+(DK386*(30/100))+(DL386*(50/100))) &gt;=5.3),5.5,
IF(AND( SUM((DJ386*(20/100))+(DK386*(30/100))+(DL386*(50/100))) &lt;=5.3, SUM((DJ386*(20/100))+(DK386*(30/100))+(DL386*(50/100))) &gt;=4.8),5,
IF(AND( SUM((DJ386*(20/100))+(DK386*(30/100))+(DL386*(50/100))) &lt;=4.8, SUM((DJ386*(20/100))+(DK386*(30/100))+(DL386*(50/100))) &gt;=4.3),4.5,
IF(AND( SUM((DJ386*(20/100))+(DK386*(30/100))+(DL386*(50/100))) &lt;=4.3, SUM((DJ386*(20/100))+(DK386*(30/100))+(DL386*(50/100))) &gt;=3.8),4,
IF(AND( SUM((DJ386*(20/100))+(DK386*(30/100))+(DL386*(50/100))) &lt;=3.8, SUM((DJ386*(20/100))+(DK386*(30/100))+(DL386*(50/100))) &gt;=3.5),3.5,0)))))))))))))</f>
        <v>0</v>
      </c>
      <c r="DQ386" s="541"/>
      <c r="DR386" s="541"/>
      <c r="DS386" s="541"/>
      <c r="DT386" s="541"/>
      <c r="DU386" s="541"/>
      <c r="DV386" s="541"/>
      <c r="DW386" s="541"/>
      <c r="DX386" s="541"/>
      <c r="DY386" s="541"/>
      <c r="DZ386" s="541"/>
    </row>
    <row r="387" spans="2:130" x14ac:dyDescent="0.25">
      <c r="B387" s="334">
        <v>30</v>
      </c>
      <c r="C387" s="541"/>
      <c r="D387" s="334"/>
      <c r="E387" s="334"/>
      <c r="F387" s="334"/>
      <c r="G387" s="334"/>
      <c r="H387" s="334"/>
      <c r="I387" s="334"/>
      <c r="J387" s="536"/>
      <c r="K387" s="536"/>
      <c r="L387" s="536"/>
      <c r="M387" s="536"/>
      <c r="N387" s="536"/>
      <c r="O387" s="536"/>
      <c r="P387" s="536">
        <f t="shared" si="126"/>
        <v>0</v>
      </c>
      <c r="Q387" s="536"/>
      <c r="R387" s="536"/>
      <c r="S387" s="536"/>
      <c r="T387" s="536">
        <f t="shared" si="127"/>
        <v>0</v>
      </c>
      <c r="U387" s="536"/>
      <c r="V387" s="536"/>
      <c r="W387" s="536"/>
      <c r="X387" s="536">
        <f t="shared" si="128"/>
        <v>0</v>
      </c>
      <c r="Y387" s="536"/>
      <c r="Z387" s="536"/>
      <c r="AA387" s="536"/>
      <c r="AB387" s="536">
        <f t="shared" si="129"/>
        <v>0</v>
      </c>
      <c r="AC387" s="536"/>
      <c r="AD387" s="536"/>
      <c r="AE387" s="536"/>
      <c r="AF387" s="536">
        <f t="shared" si="130"/>
        <v>0</v>
      </c>
      <c r="AG387" s="536"/>
      <c r="AH387" s="536"/>
      <c r="AI387" s="536"/>
      <c r="AJ387" s="536">
        <f t="shared" si="131"/>
        <v>0</v>
      </c>
      <c r="AK387" s="536"/>
      <c r="AL387" s="536"/>
      <c r="AM387" s="536"/>
      <c r="AN387" s="542">
        <f t="shared" si="132"/>
        <v>0</v>
      </c>
      <c r="AO387" s="536"/>
      <c r="AP387" s="536"/>
      <c r="AQ387" s="536"/>
      <c r="AR387" s="542">
        <f t="shared" si="133"/>
        <v>0</v>
      </c>
      <c r="AS387" s="536"/>
      <c r="AT387" s="536"/>
      <c r="AU387" s="536"/>
      <c r="AV387" s="542">
        <f t="shared" si="134"/>
        <v>0</v>
      </c>
      <c r="AW387" s="536"/>
      <c r="AX387" s="536"/>
      <c r="AY387" s="536"/>
      <c r="AZ387" s="542">
        <f t="shared" si="135"/>
        <v>0</v>
      </c>
      <c r="BA387" s="536"/>
      <c r="BB387" s="536"/>
      <c r="BC387" s="536"/>
      <c r="BD387" s="542">
        <f t="shared" si="136"/>
        <v>0</v>
      </c>
      <c r="BE387" s="536"/>
      <c r="BF387" s="536"/>
      <c r="BG387" s="536"/>
      <c r="BH387" s="542">
        <f t="shared" si="137"/>
        <v>0</v>
      </c>
      <c r="BI387" s="536"/>
      <c r="BJ387" s="536"/>
      <c r="BK387" s="536"/>
      <c r="BL387" s="542">
        <f t="shared" si="138"/>
        <v>0</v>
      </c>
      <c r="BM387" s="536"/>
      <c r="BN387" s="536"/>
      <c r="BO387" s="536"/>
      <c r="BP387" s="542">
        <f t="shared" si="139"/>
        <v>0</v>
      </c>
      <c r="BQ387" s="536"/>
      <c r="BR387" s="536"/>
      <c r="BS387" s="536"/>
      <c r="BT387" s="542">
        <f t="shared" si="140"/>
        <v>0</v>
      </c>
      <c r="BU387" s="536"/>
      <c r="BV387" s="536"/>
      <c r="BW387" s="536"/>
      <c r="BX387" s="542">
        <f t="shared" si="141"/>
        <v>0</v>
      </c>
      <c r="BY387" s="536"/>
      <c r="BZ387" s="536"/>
      <c r="CA387" s="536"/>
      <c r="CB387" s="542">
        <v>0</v>
      </c>
      <c r="CC387" s="536"/>
      <c r="CD387" s="536"/>
      <c r="CE387" s="536"/>
      <c r="CF387" s="541">
        <f t="shared" si="142"/>
        <v>0</v>
      </c>
      <c r="CG387" s="536"/>
      <c r="CH387" s="536"/>
      <c r="CI387" s="536"/>
      <c r="CJ387" s="541">
        <f t="shared" si="143"/>
        <v>0</v>
      </c>
      <c r="CK387" s="536"/>
      <c r="CL387" s="536"/>
      <c r="CM387" s="536"/>
      <c r="CN387" s="541">
        <f t="shared" si="144"/>
        <v>0</v>
      </c>
      <c r="CO387" s="536"/>
      <c r="CP387" s="536"/>
      <c r="CQ387" s="536"/>
      <c r="CR387" s="541">
        <f t="shared" si="145"/>
        <v>0</v>
      </c>
      <c r="CS387" s="536"/>
      <c r="CT387" s="536"/>
      <c r="CU387" s="536"/>
      <c r="CV387" s="541">
        <f t="shared" si="146"/>
        <v>0</v>
      </c>
      <c r="CW387" s="536"/>
      <c r="CX387" s="536"/>
      <c r="CY387" s="536"/>
      <c r="CZ387" s="541">
        <f t="shared" si="147"/>
        <v>0</v>
      </c>
      <c r="DA387" s="536"/>
      <c r="DB387" s="536"/>
      <c r="DC387" s="536"/>
      <c r="DD387" s="541">
        <f t="shared" si="148"/>
        <v>0</v>
      </c>
      <c r="DE387" s="536"/>
      <c r="DF387" s="536"/>
      <c r="DG387" s="536"/>
      <c r="DH387" s="541">
        <f t="shared" si="149"/>
        <v>0</v>
      </c>
      <c r="DI387" s="536"/>
      <c r="DJ387" s="536"/>
      <c r="DK387" s="536"/>
      <c r="DL387" s="541">
        <f t="shared" si="150"/>
        <v>0</v>
      </c>
      <c r="DM387" s="536"/>
      <c r="DN387" s="536"/>
      <c r="DO387" s="536"/>
      <c r="DP387" s="541">
        <f>IF( SUM((DJ387*(20/100))+(DK387*(30/100))+(DL387*(50/100))) &gt;=9.3,9.5,
IF(AND( SUM((DJ387*(20/100))+(DK387*(30/100))+(DL387*(50/100))) &lt;=9.3, SUM((DJ387*(20/100))+(DK387*(30/100))+(DL387*(50/100))) &gt;=8.8),9,
IF(AND( SUM((DJ387*(20/100))+(DK387*(30/100))+(DL387*(50/100))) &lt;=8.8, SUM((DJ387*(20/100))+(DK387*(30/100))+(DL387*(50/100))) &gt;=8.3),8.5,
IF(AND( SUM((DJ387*(20/100))+(DK387*(30/100))+(DL387*(50/100))) &lt;=8.3, SUM((DJ387*(20/100))+(DK387*(30/100))+(DL387*(50/100))) &gt;=7.8),8,
IF(AND( SUM((DJ387*(20/100))+(DK387*(30/100))+(DL387*(50/100))) &lt;=7.8, SUM((DJ387*(20/100))+(DK387*(30/100))+(DL387*(50/100))) &gt;=7.3),7.5,
IF(AND( SUM((DJ387*(20/100))+(DK387*(30/100))+(DL387*(50/100))) &lt;=7.3, SUM((DJ387*(20/100))+(DK387*(30/100))+(DL387*(50/100))) &gt;=6.8),7,
IF(AND( SUM((DJ387*(20/100))+(DK387*(30/100))+(DL387*(50/100))) &lt;=6.8, SUM((DJ387*(20/100))+(DK387*(30/100))+(DL387*(50/100))) &gt;=6.3),6.5,
IF(AND( SUM((DJ387*(20/100))+(DK387*(30/100))+(DL387*(50/100))) &lt;=6.3, SUM((DJ387*(20/100))+(DK387*(30/100))+(DL387*(50/100))) &gt;=5.8),6,
IF(AND( SUM((DJ387*(20/100))+(DK387*(30/100))+(DL387*(50/100))) &lt;=5.8, SUM((DJ387*(20/100))+(DK387*(30/100))+(DL387*(50/100))) &gt;=5.3),5.5,
IF(AND( SUM((DJ387*(20/100))+(DK387*(30/100))+(DL387*(50/100))) &lt;=5.3, SUM((DJ387*(20/100))+(DK387*(30/100))+(DL387*(50/100))) &gt;=4.8),5,
IF(AND( SUM((DJ387*(20/100))+(DK387*(30/100))+(DL387*(50/100))) &lt;=4.8, SUM((DJ387*(20/100))+(DK387*(30/100))+(DL387*(50/100))) &gt;=4.3),4.5,
IF(AND( SUM((DJ387*(20/100))+(DK387*(30/100))+(DL387*(50/100))) &lt;=4.3, SUM((DJ387*(20/100))+(DK387*(30/100))+(DL387*(50/100))) &gt;=3.8),4,
IF(AND( SUM((DJ387*(20/100))+(DK387*(30/100))+(DL387*(50/100))) &lt;=3.8, SUM((DJ387*(20/100))+(DK387*(30/100))+(DL387*(50/100))) &gt;=3.5),3.5,0)))))))))))))</f>
        <v>0</v>
      </c>
      <c r="DQ387" s="541"/>
      <c r="DR387" s="541"/>
      <c r="DS387" s="541"/>
      <c r="DT387" s="541"/>
      <c r="DU387" s="541"/>
      <c r="DV387" s="541"/>
      <c r="DW387" s="541"/>
      <c r="DX387" s="541"/>
      <c r="DY387" s="541"/>
      <c r="DZ387" s="541"/>
    </row>
    <row r="388" spans="2:130" x14ac:dyDescent="0.25">
      <c r="B388" s="334">
        <v>31</v>
      </c>
      <c r="C388" s="541"/>
      <c r="D388" s="334"/>
      <c r="E388" s="334"/>
      <c r="F388" s="334"/>
      <c r="G388" s="334"/>
      <c r="H388" s="334"/>
      <c r="I388" s="334"/>
      <c r="J388" s="536"/>
      <c r="K388" s="536"/>
      <c r="L388" s="536"/>
      <c r="M388" s="536"/>
      <c r="N388" s="536"/>
      <c r="O388" s="536"/>
      <c r="P388" s="536">
        <f t="shared" si="126"/>
        <v>0</v>
      </c>
      <c r="Q388" s="536"/>
      <c r="R388" s="536"/>
      <c r="S388" s="536"/>
      <c r="T388" s="536">
        <f t="shared" si="127"/>
        <v>0</v>
      </c>
      <c r="U388" s="536"/>
      <c r="V388" s="536"/>
      <c r="W388" s="536"/>
      <c r="X388" s="536">
        <f t="shared" si="128"/>
        <v>0</v>
      </c>
      <c r="Y388" s="536"/>
      <c r="Z388" s="536"/>
      <c r="AA388" s="536"/>
      <c r="AB388" s="536">
        <f t="shared" si="129"/>
        <v>0</v>
      </c>
      <c r="AC388" s="536"/>
      <c r="AD388" s="536"/>
      <c r="AE388" s="536"/>
      <c r="AF388" s="536">
        <f t="shared" si="130"/>
        <v>0</v>
      </c>
      <c r="AG388" s="536"/>
      <c r="AH388" s="536"/>
      <c r="AI388" s="536"/>
      <c r="AJ388" s="536">
        <f t="shared" si="131"/>
        <v>0</v>
      </c>
      <c r="AK388" s="536"/>
      <c r="AL388" s="536"/>
      <c r="AM388" s="536"/>
      <c r="AN388" s="542">
        <f t="shared" si="132"/>
        <v>0</v>
      </c>
      <c r="AO388" s="536"/>
      <c r="AP388" s="536"/>
      <c r="AQ388" s="536"/>
      <c r="AR388" s="542">
        <f t="shared" si="133"/>
        <v>0</v>
      </c>
      <c r="AS388" s="536"/>
      <c r="AT388" s="536"/>
      <c r="AU388" s="536"/>
      <c r="AV388" s="542">
        <f t="shared" si="134"/>
        <v>0</v>
      </c>
      <c r="AW388" s="536"/>
      <c r="AX388" s="536"/>
      <c r="AY388" s="536"/>
      <c r="AZ388" s="542">
        <f t="shared" si="135"/>
        <v>0</v>
      </c>
      <c r="BA388" s="536"/>
      <c r="BB388" s="536"/>
      <c r="BC388" s="536"/>
      <c r="BD388" s="542">
        <f t="shared" si="136"/>
        <v>0</v>
      </c>
      <c r="BE388" s="536"/>
      <c r="BF388" s="536"/>
      <c r="BG388" s="536"/>
      <c r="BH388" s="542">
        <f t="shared" si="137"/>
        <v>0</v>
      </c>
      <c r="BI388" s="536"/>
      <c r="BJ388" s="536"/>
      <c r="BK388" s="536"/>
      <c r="BL388" s="542">
        <f t="shared" si="138"/>
        <v>0</v>
      </c>
      <c r="BM388" s="536"/>
      <c r="BN388" s="536"/>
      <c r="BO388" s="536"/>
      <c r="BP388" s="542">
        <f t="shared" si="139"/>
        <v>0</v>
      </c>
      <c r="BQ388" s="536"/>
      <c r="BR388" s="536"/>
      <c r="BS388" s="536"/>
      <c r="BT388" s="542">
        <f t="shared" si="140"/>
        <v>0</v>
      </c>
      <c r="BU388" s="536"/>
      <c r="BV388" s="536"/>
      <c r="BW388" s="536"/>
      <c r="BX388" s="542">
        <f t="shared" si="141"/>
        <v>0</v>
      </c>
      <c r="BY388" s="536"/>
      <c r="BZ388" s="536"/>
      <c r="CA388" s="536"/>
      <c r="CB388" s="542">
        <v>0</v>
      </c>
      <c r="CC388" s="536"/>
      <c r="CD388" s="536"/>
      <c r="CE388" s="536"/>
      <c r="CF388" s="541">
        <f t="shared" si="142"/>
        <v>0</v>
      </c>
      <c r="CG388" s="536"/>
      <c r="CH388" s="536"/>
      <c r="CI388" s="536"/>
      <c r="CJ388" s="541">
        <f t="shared" si="143"/>
        <v>0</v>
      </c>
      <c r="CK388" s="536"/>
      <c r="CL388" s="536"/>
      <c r="CM388" s="536"/>
      <c r="CN388" s="541">
        <f t="shared" si="144"/>
        <v>0</v>
      </c>
      <c r="CO388" s="536"/>
      <c r="CP388" s="536"/>
      <c r="CQ388" s="536"/>
      <c r="CR388" s="541">
        <f t="shared" si="145"/>
        <v>0</v>
      </c>
      <c r="CS388" s="536"/>
      <c r="CT388" s="536"/>
      <c r="CU388" s="536"/>
      <c r="CV388" s="541">
        <f t="shared" si="146"/>
        <v>0</v>
      </c>
      <c r="CW388" s="536"/>
      <c r="CX388" s="536"/>
      <c r="CY388" s="536"/>
      <c r="CZ388" s="541">
        <f t="shared" si="147"/>
        <v>0</v>
      </c>
      <c r="DA388" s="536"/>
      <c r="DB388" s="536"/>
      <c r="DC388" s="536"/>
      <c r="DD388" s="541">
        <f t="shared" si="148"/>
        <v>0</v>
      </c>
      <c r="DE388" s="536"/>
      <c r="DF388" s="536"/>
      <c r="DG388" s="536"/>
      <c r="DH388" s="541">
        <f t="shared" si="149"/>
        <v>0</v>
      </c>
      <c r="DI388" s="536"/>
      <c r="DJ388" s="536"/>
      <c r="DK388" s="536"/>
      <c r="DL388" s="541">
        <f t="shared" si="150"/>
        <v>0</v>
      </c>
      <c r="DM388" s="536"/>
      <c r="DN388" s="536"/>
      <c r="DO388" s="536"/>
      <c r="DP388" s="541">
        <f>IF( SUM((DJ388*(20/100))+(DK388*(30/100))+(DL388*(50/100))) &gt;=9.3,9.5,
IF(AND( SUM((DJ388*(20/100))+(DK388*(30/100))+(DL388*(50/100))) &lt;=9.3, SUM((DJ388*(20/100))+(DK388*(30/100))+(DL388*(50/100))) &gt;=8.8),9,
IF(AND( SUM((DJ388*(20/100))+(DK388*(30/100))+(DL388*(50/100))) &lt;=8.8, SUM((DJ388*(20/100))+(DK388*(30/100))+(DL388*(50/100))) &gt;=8.3),8.5,
IF(AND( SUM((DJ388*(20/100))+(DK388*(30/100))+(DL388*(50/100))) &lt;=8.3, SUM((DJ388*(20/100))+(DK388*(30/100))+(DL388*(50/100))) &gt;=7.8),8,
IF(AND( SUM((DJ388*(20/100))+(DK388*(30/100))+(DL388*(50/100))) &lt;=7.8, SUM((DJ388*(20/100))+(DK388*(30/100))+(DL388*(50/100))) &gt;=7.3),7.5,
IF(AND( SUM((DJ388*(20/100))+(DK388*(30/100))+(DL388*(50/100))) &lt;=7.3, SUM((DJ388*(20/100))+(DK388*(30/100))+(DL388*(50/100))) &gt;=6.8),7,
IF(AND( SUM((DJ388*(20/100))+(DK388*(30/100))+(DL388*(50/100))) &lt;=6.8, SUM((DJ388*(20/100))+(DK388*(30/100))+(DL388*(50/100))) &gt;=6.3),6.5,
IF(AND( SUM((DJ388*(20/100))+(DK388*(30/100))+(DL388*(50/100))) &lt;=6.3, SUM((DJ388*(20/100))+(DK388*(30/100))+(DL388*(50/100))) &gt;=5.8),6,
IF(AND( SUM((DJ388*(20/100))+(DK388*(30/100))+(DL388*(50/100))) &lt;=5.8, SUM((DJ388*(20/100))+(DK388*(30/100))+(DL388*(50/100))) &gt;=5.3),5.5,
IF(AND( SUM((DJ388*(20/100))+(DK388*(30/100))+(DL388*(50/100))) &lt;=5.3, SUM((DJ388*(20/100))+(DK388*(30/100))+(DL388*(50/100))) &gt;=4.8),5,
IF(AND( SUM((DJ388*(20/100))+(DK388*(30/100))+(DL388*(50/100))) &lt;=4.8, SUM((DJ388*(20/100))+(DK388*(30/100))+(DL388*(50/100))) &gt;=4.3),4.5,
IF(AND( SUM((DJ388*(20/100))+(DK388*(30/100))+(DL388*(50/100))) &lt;=4.3, SUM((DJ388*(20/100))+(DK388*(30/100))+(DL388*(50/100))) &gt;=3.8),4,
IF(AND( SUM((DJ388*(20/100))+(DK388*(30/100))+(DL388*(50/100))) &lt;=3.8, SUM((DJ388*(20/100))+(DK388*(30/100))+(DL388*(50/100))) &gt;=3.5),3.5,0)))))))))))))</f>
        <v>0</v>
      </c>
      <c r="DQ388" s="541"/>
      <c r="DR388" s="541"/>
      <c r="DS388" s="541"/>
      <c r="DT388" s="541"/>
      <c r="DU388" s="541"/>
      <c r="DV388" s="541"/>
      <c r="DW388" s="541"/>
      <c r="DX388" s="541"/>
      <c r="DY388" s="541"/>
      <c r="DZ388" s="541"/>
    </row>
    <row r="389" spans="2:130" x14ac:dyDescent="0.25">
      <c r="B389" s="334">
        <v>32</v>
      </c>
      <c r="C389" s="541"/>
      <c r="D389" s="334"/>
      <c r="E389" s="334"/>
      <c r="F389" s="334"/>
      <c r="G389" s="334"/>
      <c r="H389" s="334"/>
      <c r="I389" s="334"/>
      <c r="J389" s="536"/>
      <c r="K389" s="536"/>
      <c r="L389" s="536"/>
      <c r="M389" s="536"/>
      <c r="N389" s="536"/>
      <c r="O389" s="536"/>
      <c r="P389" s="536">
        <f t="shared" si="126"/>
        <v>0</v>
      </c>
      <c r="Q389" s="536"/>
      <c r="R389" s="536"/>
      <c r="S389" s="536"/>
      <c r="T389" s="536">
        <f t="shared" si="127"/>
        <v>0</v>
      </c>
      <c r="U389" s="536"/>
      <c r="V389" s="536"/>
      <c r="W389" s="536"/>
      <c r="X389" s="536">
        <f t="shared" si="128"/>
        <v>0</v>
      </c>
      <c r="Y389" s="536"/>
      <c r="Z389" s="536"/>
      <c r="AA389" s="536"/>
      <c r="AB389" s="536">
        <f t="shared" si="129"/>
        <v>0</v>
      </c>
      <c r="AC389" s="536"/>
      <c r="AD389" s="536"/>
      <c r="AE389" s="536"/>
      <c r="AF389" s="536">
        <f t="shared" si="130"/>
        <v>0</v>
      </c>
      <c r="AG389" s="536"/>
      <c r="AH389" s="536"/>
      <c r="AI389" s="536"/>
      <c r="AJ389" s="536">
        <f t="shared" si="131"/>
        <v>0</v>
      </c>
      <c r="AK389" s="536"/>
      <c r="AL389" s="536"/>
      <c r="AM389" s="536"/>
      <c r="AN389" s="542">
        <f t="shared" si="132"/>
        <v>0</v>
      </c>
      <c r="AO389" s="536"/>
      <c r="AP389" s="536"/>
      <c r="AQ389" s="536"/>
      <c r="AR389" s="542">
        <f t="shared" si="133"/>
        <v>0</v>
      </c>
      <c r="AS389" s="536"/>
      <c r="AT389" s="536"/>
      <c r="AU389" s="536"/>
      <c r="AV389" s="542">
        <f t="shared" si="134"/>
        <v>0</v>
      </c>
      <c r="AW389" s="536"/>
      <c r="AX389" s="536"/>
      <c r="AY389" s="536"/>
      <c r="AZ389" s="542">
        <f t="shared" si="135"/>
        <v>0</v>
      </c>
      <c r="BA389" s="536"/>
      <c r="BB389" s="536"/>
      <c r="BC389" s="536"/>
      <c r="BD389" s="542">
        <f t="shared" si="136"/>
        <v>0</v>
      </c>
      <c r="BE389" s="536"/>
      <c r="BF389" s="536"/>
      <c r="BG389" s="536"/>
      <c r="BH389" s="542">
        <f t="shared" si="137"/>
        <v>0</v>
      </c>
      <c r="BI389" s="536"/>
      <c r="BJ389" s="536"/>
      <c r="BK389" s="536"/>
      <c r="BL389" s="542">
        <f t="shared" si="138"/>
        <v>0</v>
      </c>
      <c r="BM389" s="536"/>
      <c r="BN389" s="536"/>
      <c r="BO389" s="536"/>
      <c r="BP389" s="542">
        <f t="shared" si="139"/>
        <v>0</v>
      </c>
      <c r="BQ389" s="536"/>
      <c r="BR389" s="536"/>
      <c r="BS389" s="536"/>
      <c r="BT389" s="542">
        <f t="shared" si="140"/>
        <v>0</v>
      </c>
      <c r="BU389" s="536"/>
      <c r="BV389" s="536"/>
      <c r="BW389" s="536"/>
      <c r="BX389" s="542">
        <f t="shared" si="141"/>
        <v>0</v>
      </c>
      <c r="BY389" s="536"/>
      <c r="BZ389" s="536"/>
      <c r="CA389" s="536"/>
      <c r="CB389" s="542">
        <v>0</v>
      </c>
      <c r="CC389" s="536"/>
      <c r="CD389" s="536"/>
      <c r="CE389" s="536"/>
      <c r="CF389" s="541">
        <f t="shared" si="142"/>
        <v>0</v>
      </c>
      <c r="CG389" s="536"/>
      <c r="CH389" s="536"/>
      <c r="CI389" s="536"/>
      <c r="CJ389" s="541">
        <f t="shared" si="143"/>
        <v>0</v>
      </c>
      <c r="CK389" s="536"/>
      <c r="CL389" s="536"/>
      <c r="CM389" s="536"/>
      <c r="CN389" s="541">
        <f t="shared" si="144"/>
        <v>0</v>
      </c>
      <c r="CO389" s="536"/>
      <c r="CP389" s="536"/>
      <c r="CQ389" s="536"/>
      <c r="CR389" s="541">
        <f t="shared" si="145"/>
        <v>0</v>
      </c>
      <c r="CS389" s="536"/>
      <c r="CT389" s="536"/>
      <c r="CU389" s="536"/>
      <c r="CV389" s="541">
        <f t="shared" si="146"/>
        <v>0</v>
      </c>
      <c r="CW389" s="536"/>
      <c r="CX389" s="536"/>
      <c r="CY389" s="536"/>
      <c r="CZ389" s="541">
        <f t="shared" si="147"/>
        <v>0</v>
      </c>
      <c r="DA389" s="536"/>
      <c r="DB389" s="536"/>
      <c r="DC389" s="536"/>
      <c r="DD389" s="541">
        <f t="shared" si="148"/>
        <v>0</v>
      </c>
      <c r="DE389" s="536"/>
      <c r="DF389" s="536"/>
      <c r="DG389" s="536"/>
      <c r="DH389" s="541">
        <f t="shared" si="149"/>
        <v>0</v>
      </c>
      <c r="DI389" s="536"/>
      <c r="DJ389" s="536"/>
      <c r="DK389" s="536"/>
      <c r="DL389" s="541">
        <f t="shared" si="150"/>
        <v>0</v>
      </c>
      <c r="DM389" s="536"/>
      <c r="DN389" s="536"/>
      <c r="DO389" s="536"/>
      <c r="DP389" s="541">
        <f>IF( SUM((DJ389*(20/100))+(DK389*(30/100))+(DL389*(50/100))) &gt;=9.3,9.5,
IF(AND( SUM((DJ389*(20/100))+(DK389*(30/100))+(DL389*(50/100))) &lt;=9.3, SUM((DJ389*(20/100))+(DK389*(30/100))+(DL389*(50/100))) &gt;=8.8),9,
IF(AND( SUM((DJ389*(20/100))+(DK389*(30/100))+(DL389*(50/100))) &lt;=8.8, SUM((DJ389*(20/100))+(DK389*(30/100))+(DL389*(50/100))) &gt;=8.3),8.5,
IF(AND( SUM((DJ389*(20/100))+(DK389*(30/100))+(DL389*(50/100))) &lt;=8.3, SUM((DJ389*(20/100))+(DK389*(30/100))+(DL389*(50/100))) &gt;=7.8),8,
IF(AND( SUM((DJ389*(20/100))+(DK389*(30/100))+(DL389*(50/100))) &lt;=7.8, SUM((DJ389*(20/100))+(DK389*(30/100))+(DL389*(50/100))) &gt;=7.3),7.5,
IF(AND( SUM((DJ389*(20/100))+(DK389*(30/100))+(DL389*(50/100))) &lt;=7.3, SUM((DJ389*(20/100))+(DK389*(30/100))+(DL389*(50/100))) &gt;=6.8),7,
IF(AND( SUM((DJ389*(20/100))+(DK389*(30/100))+(DL389*(50/100))) &lt;=6.8, SUM((DJ389*(20/100))+(DK389*(30/100))+(DL389*(50/100))) &gt;=6.3),6.5,
IF(AND( SUM((DJ389*(20/100))+(DK389*(30/100))+(DL389*(50/100))) &lt;=6.3, SUM((DJ389*(20/100))+(DK389*(30/100))+(DL389*(50/100))) &gt;=5.8),6,
IF(AND( SUM((DJ389*(20/100))+(DK389*(30/100))+(DL389*(50/100))) &lt;=5.8, SUM((DJ389*(20/100))+(DK389*(30/100))+(DL389*(50/100))) &gt;=5.3),5.5,
IF(AND( SUM((DJ389*(20/100))+(DK389*(30/100))+(DL389*(50/100))) &lt;=5.3, SUM((DJ389*(20/100))+(DK389*(30/100))+(DL389*(50/100))) &gt;=4.8),5,
IF(AND( SUM((DJ389*(20/100))+(DK389*(30/100))+(DL389*(50/100))) &lt;=4.8, SUM((DJ389*(20/100))+(DK389*(30/100))+(DL389*(50/100))) &gt;=4.3),4.5,
IF(AND( SUM((DJ389*(20/100))+(DK389*(30/100))+(DL389*(50/100))) &lt;=4.3, SUM((DJ389*(20/100))+(DK389*(30/100))+(DL389*(50/100))) &gt;=3.8),4,
IF(AND( SUM((DJ389*(20/100))+(DK389*(30/100))+(DL389*(50/100))) &lt;=3.8, SUM((DJ389*(20/100))+(DK389*(30/100))+(DL389*(50/100))) &gt;=3.5),3.5,0)))))))))))))</f>
        <v>0</v>
      </c>
      <c r="DQ389" s="541"/>
      <c r="DR389" s="541"/>
      <c r="DS389" s="541"/>
      <c r="DT389" s="541"/>
      <c r="DU389" s="541"/>
      <c r="DV389" s="541"/>
      <c r="DW389" s="541"/>
      <c r="DX389" s="541"/>
      <c r="DY389" s="541"/>
      <c r="DZ389" s="541"/>
    </row>
    <row r="390" spans="2:130" x14ac:dyDescent="0.25">
      <c r="B390" s="334">
        <v>33</v>
      </c>
      <c r="C390" s="541"/>
      <c r="D390" s="334"/>
      <c r="E390" s="334"/>
      <c r="F390" s="334"/>
      <c r="G390" s="334"/>
      <c r="H390" s="334"/>
      <c r="I390" s="334"/>
      <c r="J390" s="536"/>
      <c r="K390" s="536"/>
      <c r="L390" s="536"/>
      <c r="M390" s="536"/>
      <c r="N390" s="536"/>
      <c r="O390" s="536"/>
      <c r="P390" s="536">
        <f t="shared" si="126"/>
        <v>0</v>
      </c>
      <c r="Q390" s="536"/>
      <c r="R390" s="536"/>
      <c r="S390" s="536"/>
      <c r="T390" s="536">
        <f t="shared" si="127"/>
        <v>0</v>
      </c>
      <c r="U390" s="536"/>
      <c r="V390" s="536"/>
      <c r="W390" s="536"/>
      <c r="X390" s="536">
        <f t="shared" si="128"/>
        <v>0</v>
      </c>
      <c r="Y390" s="536"/>
      <c r="Z390" s="536"/>
      <c r="AA390" s="536"/>
      <c r="AB390" s="536">
        <f t="shared" si="129"/>
        <v>0</v>
      </c>
      <c r="AC390" s="536"/>
      <c r="AD390" s="536"/>
      <c r="AE390" s="536"/>
      <c r="AF390" s="536">
        <f t="shared" si="130"/>
        <v>0</v>
      </c>
      <c r="AG390" s="536"/>
      <c r="AH390" s="536"/>
      <c r="AI390" s="536"/>
      <c r="AJ390" s="536">
        <f t="shared" si="131"/>
        <v>0</v>
      </c>
      <c r="AK390" s="536"/>
      <c r="AL390" s="536"/>
      <c r="AM390" s="536"/>
      <c r="AN390" s="542">
        <f t="shared" si="132"/>
        <v>0</v>
      </c>
      <c r="AO390" s="536"/>
      <c r="AP390" s="536"/>
      <c r="AQ390" s="536"/>
      <c r="AR390" s="542">
        <f t="shared" si="133"/>
        <v>0</v>
      </c>
      <c r="AS390" s="536"/>
      <c r="AT390" s="536"/>
      <c r="AU390" s="536"/>
      <c r="AV390" s="542">
        <f t="shared" si="134"/>
        <v>0</v>
      </c>
      <c r="AW390" s="536"/>
      <c r="AX390" s="536"/>
      <c r="AY390" s="536"/>
      <c r="AZ390" s="542">
        <f t="shared" si="135"/>
        <v>0</v>
      </c>
      <c r="BA390" s="536"/>
      <c r="BB390" s="536"/>
      <c r="BC390" s="536"/>
      <c r="BD390" s="542">
        <f t="shared" si="136"/>
        <v>0</v>
      </c>
      <c r="BE390" s="536"/>
      <c r="BF390" s="536"/>
      <c r="BG390" s="536"/>
      <c r="BH390" s="542">
        <f t="shared" si="137"/>
        <v>0</v>
      </c>
      <c r="BI390" s="536"/>
      <c r="BJ390" s="536"/>
      <c r="BK390" s="536"/>
      <c r="BL390" s="542">
        <f t="shared" si="138"/>
        <v>0</v>
      </c>
      <c r="BM390" s="536"/>
      <c r="BN390" s="536"/>
      <c r="BO390" s="536"/>
      <c r="BP390" s="542">
        <f t="shared" si="139"/>
        <v>0</v>
      </c>
      <c r="BQ390" s="536"/>
      <c r="BR390" s="536"/>
      <c r="BS390" s="536"/>
      <c r="BT390" s="542">
        <f t="shared" si="140"/>
        <v>0</v>
      </c>
      <c r="BU390" s="536"/>
      <c r="BV390" s="536"/>
      <c r="BW390" s="536"/>
      <c r="BX390" s="542">
        <f t="shared" si="141"/>
        <v>0</v>
      </c>
      <c r="BY390" s="536"/>
      <c r="BZ390" s="536"/>
      <c r="CA390" s="536"/>
      <c r="CB390" s="542">
        <v>0</v>
      </c>
      <c r="CC390" s="536"/>
      <c r="CD390" s="536"/>
      <c r="CE390" s="536"/>
      <c r="CF390" s="541">
        <f t="shared" si="142"/>
        <v>0</v>
      </c>
      <c r="CG390" s="536"/>
      <c r="CH390" s="536"/>
      <c r="CI390" s="536"/>
      <c r="CJ390" s="541">
        <f t="shared" si="143"/>
        <v>0</v>
      </c>
      <c r="CK390" s="536"/>
      <c r="CL390" s="536"/>
      <c r="CM390" s="536"/>
      <c r="CN390" s="541">
        <f t="shared" si="144"/>
        <v>0</v>
      </c>
      <c r="CO390" s="536"/>
      <c r="CP390" s="536"/>
      <c r="CQ390" s="536"/>
      <c r="CR390" s="541">
        <f t="shared" si="145"/>
        <v>0</v>
      </c>
      <c r="CS390" s="536"/>
      <c r="CT390" s="536"/>
      <c r="CU390" s="536"/>
      <c r="CV390" s="541">
        <f t="shared" si="146"/>
        <v>0</v>
      </c>
      <c r="CW390" s="536"/>
      <c r="CX390" s="536"/>
      <c r="CY390" s="536"/>
      <c r="CZ390" s="541">
        <f t="shared" si="147"/>
        <v>0</v>
      </c>
      <c r="DA390" s="536"/>
      <c r="DB390" s="536"/>
      <c r="DC390" s="536"/>
      <c r="DD390" s="541">
        <f t="shared" si="148"/>
        <v>0</v>
      </c>
      <c r="DE390" s="536"/>
      <c r="DF390" s="536"/>
      <c r="DG390" s="536"/>
      <c r="DH390" s="541">
        <f t="shared" si="149"/>
        <v>0</v>
      </c>
      <c r="DI390" s="536"/>
      <c r="DJ390" s="536"/>
      <c r="DK390" s="536"/>
      <c r="DL390" s="541">
        <f t="shared" si="150"/>
        <v>0</v>
      </c>
      <c r="DM390" s="536"/>
      <c r="DN390" s="536"/>
      <c r="DO390" s="536"/>
      <c r="DP390" s="541">
        <f>IF( SUM((DJ390*(20/100))+(DK390*(30/100))+(DL390*(50/100))) &gt;=9.3,9.5,
IF(AND( SUM((DJ390*(20/100))+(DK390*(30/100))+(DL390*(50/100))) &lt;=9.3, SUM((DJ390*(20/100))+(DK390*(30/100))+(DL390*(50/100))) &gt;=8.8),9,
IF(AND( SUM((DJ390*(20/100))+(DK390*(30/100))+(DL390*(50/100))) &lt;=8.8, SUM((DJ390*(20/100))+(DK390*(30/100))+(DL390*(50/100))) &gt;=8.3),8.5,
IF(AND( SUM((DJ390*(20/100))+(DK390*(30/100))+(DL390*(50/100))) &lt;=8.3, SUM((DJ390*(20/100))+(DK390*(30/100))+(DL390*(50/100))) &gt;=7.8),8,
IF(AND( SUM((DJ390*(20/100))+(DK390*(30/100))+(DL390*(50/100))) &lt;=7.8, SUM((DJ390*(20/100))+(DK390*(30/100))+(DL390*(50/100))) &gt;=7.3),7.5,
IF(AND( SUM((DJ390*(20/100))+(DK390*(30/100))+(DL390*(50/100))) &lt;=7.3, SUM((DJ390*(20/100))+(DK390*(30/100))+(DL390*(50/100))) &gt;=6.8),7,
IF(AND( SUM((DJ390*(20/100))+(DK390*(30/100))+(DL390*(50/100))) &lt;=6.8, SUM((DJ390*(20/100))+(DK390*(30/100))+(DL390*(50/100))) &gt;=6.3),6.5,
IF(AND( SUM((DJ390*(20/100))+(DK390*(30/100))+(DL390*(50/100))) &lt;=6.3, SUM((DJ390*(20/100))+(DK390*(30/100))+(DL390*(50/100))) &gt;=5.8),6,
IF(AND( SUM((DJ390*(20/100))+(DK390*(30/100))+(DL390*(50/100))) &lt;=5.8, SUM((DJ390*(20/100))+(DK390*(30/100))+(DL390*(50/100))) &gt;=5.3),5.5,
IF(AND( SUM((DJ390*(20/100))+(DK390*(30/100))+(DL390*(50/100))) &lt;=5.3, SUM((DJ390*(20/100))+(DK390*(30/100))+(DL390*(50/100))) &gt;=4.8),5,
IF(AND( SUM((DJ390*(20/100))+(DK390*(30/100))+(DL390*(50/100))) &lt;=4.8, SUM((DJ390*(20/100))+(DK390*(30/100))+(DL390*(50/100))) &gt;=4.3),4.5,
IF(AND( SUM((DJ390*(20/100))+(DK390*(30/100))+(DL390*(50/100))) &lt;=4.3, SUM((DJ390*(20/100))+(DK390*(30/100))+(DL390*(50/100))) &gt;=3.8),4,
IF(AND( SUM((DJ390*(20/100))+(DK390*(30/100))+(DL390*(50/100))) &lt;=3.8, SUM((DJ390*(20/100))+(DK390*(30/100))+(DL390*(50/100))) &gt;=3.5),3.5,0)))))))))))))</f>
        <v>0</v>
      </c>
      <c r="DQ390" s="541"/>
      <c r="DR390" s="541"/>
      <c r="DS390" s="541"/>
      <c r="DT390" s="541"/>
      <c r="DU390" s="541"/>
      <c r="DV390" s="541"/>
      <c r="DW390" s="541"/>
      <c r="DX390" s="541"/>
      <c r="DY390" s="541"/>
      <c r="DZ390" s="541"/>
    </row>
    <row r="391" spans="2:130" x14ac:dyDescent="0.25">
      <c r="B391" s="334">
        <v>34</v>
      </c>
      <c r="C391" s="541"/>
      <c r="D391" s="334"/>
      <c r="E391" s="334"/>
      <c r="F391" s="334"/>
      <c r="G391" s="334"/>
      <c r="H391" s="334"/>
      <c r="I391" s="334"/>
      <c r="J391" s="536"/>
      <c r="K391" s="536"/>
      <c r="L391" s="536"/>
      <c r="M391" s="536"/>
      <c r="N391" s="536"/>
      <c r="O391" s="536"/>
      <c r="P391" s="536">
        <f t="shared" si="126"/>
        <v>0</v>
      </c>
      <c r="Q391" s="536"/>
      <c r="R391" s="536"/>
      <c r="S391" s="536"/>
      <c r="T391" s="536">
        <f t="shared" si="127"/>
        <v>0</v>
      </c>
      <c r="U391" s="536"/>
      <c r="V391" s="536"/>
      <c r="W391" s="536"/>
      <c r="X391" s="536">
        <f t="shared" si="128"/>
        <v>0</v>
      </c>
      <c r="Y391" s="536"/>
      <c r="Z391" s="536"/>
      <c r="AA391" s="536"/>
      <c r="AB391" s="536">
        <f t="shared" si="129"/>
        <v>0</v>
      </c>
      <c r="AC391" s="536"/>
      <c r="AD391" s="536"/>
      <c r="AE391" s="536"/>
      <c r="AF391" s="536">
        <f t="shared" si="130"/>
        <v>0</v>
      </c>
      <c r="AG391" s="536"/>
      <c r="AH391" s="536"/>
      <c r="AI391" s="536"/>
      <c r="AJ391" s="536">
        <f t="shared" si="131"/>
        <v>0</v>
      </c>
      <c r="AK391" s="536"/>
      <c r="AL391" s="536"/>
      <c r="AM391" s="536"/>
      <c r="AN391" s="542">
        <f t="shared" si="132"/>
        <v>0</v>
      </c>
      <c r="AO391" s="536"/>
      <c r="AP391" s="536"/>
      <c r="AQ391" s="536"/>
      <c r="AR391" s="542">
        <f t="shared" si="133"/>
        <v>0</v>
      </c>
      <c r="AS391" s="536"/>
      <c r="AT391" s="536"/>
      <c r="AU391" s="536"/>
      <c r="AV391" s="542">
        <f t="shared" si="134"/>
        <v>0</v>
      </c>
      <c r="AW391" s="536"/>
      <c r="AX391" s="536"/>
      <c r="AY391" s="536"/>
      <c r="AZ391" s="542">
        <f t="shared" si="135"/>
        <v>0</v>
      </c>
      <c r="BA391" s="536"/>
      <c r="BB391" s="536"/>
      <c r="BC391" s="536"/>
      <c r="BD391" s="542">
        <f t="shared" si="136"/>
        <v>0</v>
      </c>
      <c r="BE391" s="536"/>
      <c r="BF391" s="536"/>
      <c r="BG391" s="536"/>
      <c r="BH391" s="542">
        <f t="shared" si="137"/>
        <v>0</v>
      </c>
      <c r="BI391" s="536"/>
      <c r="BJ391" s="536"/>
      <c r="BK391" s="536"/>
      <c r="BL391" s="542">
        <f t="shared" si="138"/>
        <v>0</v>
      </c>
      <c r="BM391" s="536"/>
      <c r="BN391" s="536"/>
      <c r="BO391" s="536"/>
      <c r="BP391" s="542">
        <f t="shared" si="139"/>
        <v>0</v>
      </c>
      <c r="BQ391" s="536"/>
      <c r="BR391" s="536"/>
      <c r="BS391" s="536"/>
      <c r="BT391" s="542">
        <f t="shared" si="140"/>
        <v>0</v>
      </c>
      <c r="BU391" s="536"/>
      <c r="BV391" s="536"/>
      <c r="BW391" s="536"/>
      <c r="BX391" s="542">
        <f t="shared" si="141"/>
        <v>0</v>
      </c>
      <c r="BY391" s="536"/>
      <c r="BZ391" s="536"/>
      <c r="CA391" s="536"/>
      <c r="CB391" s="542">
        <v>0</v>
      </c>
      <c r="CC391" s="536"/>
      <c r="CD391" s="536"/>
      <c r="CE391" s="536"/>
      <c r="CF391" s="541">
        <f t="shared" si="142"/>
        <v>0</v>
      </c>
      <c r="CG391" s="536"/>
      <c r="CH391" s="536"/>
      <c r="CI391" s="536"/>
      <c r="CJ391" s="541">
        <f t="shared" si="143"/>
        <v>0</v>
      </c>
      <c r="CK391" s="536"/>
      <c r="CL391" s="536"/>
      <c r="CM391" s="536"/>
      <c r="CN391" s="541">
        <f t="shared" si="144"/>
        <v>0</v>
      </c>
      <c r="CO391" s="536"/>
      <c r="CP391" s="536"/>
      <c r="CQ391" s="536"/>
      <c r="CR391" s="541">
        <f t="shared" si="145"/>
        <v>0</v>
      </c>
      <c r="CS391" s="536"/>
      <c r="CT391" s="536"/>
      <c r="CU391" s="536"/>
      <c r="CV391" s="541">
        <f t="shared" si="146"/>
        <v>0</v>
      </c>
      <c r="CW391" s="536"/>
      <c r="CX391" s="536"/>
      <c r="CY391" s="536"/>
      <c r="CZ391" s="541">
        <f t="shared" si="147"/>
        <v>0</v>
      </c>
      <c r="DA391" s="536"/>
      <c r="DB391" s="536"/>
      <c r="DC391" s="536"/>
      <c r="DD391" s="541">
        <f t="shared" si="148"/>
        <v>0</v>
      </c>
      <c r="DE391" s="536"/>
      <c r="DF391" s="536"/>
      <c r="DG391" s="536"/>
      <c r="DH391" s="541">
        <f t="shared" si="149"/>
        <v>0</v>
      </c>
      <c r="DI391" s="536"/>
      <c r="DJ391" s="536"/>
      <c r="DK391" s="536"/>
      <c r="DL391" s="541">
        <f t="shared" si="150"/>
        <v>0</v>
      </c>
      <c r="DM391" s="536"/>
      <c r="DN391" s="536"/>
      <c r="DO391" s="536"/>
      <c r="DP391" s="541">
        <f>IF( SUM((DJ391*(20/100))+(DK391*(30/100))+(DL391*(50/100))) &gt;=9.3,9.5,
IF(AND( SUM((DJ391*(20/100))+(DK391*(30/100))+(DL391*(50/100))) &lt;=9.3, SUM((DJ391*(20/100))+(DK391*(30/100))+(DL391*(50/100))) &gt;=8.8),9,
IF(AND( SUM((DJ391*(20/100))+(DK391*(30/100))+(DL391*(50/100))) &lt;=8.8, SUM((DJ391*(20/100))+(DK391*(30/100))+(DL391*(50/100))) &gt;=8.3),8.5,
IF(AND( SUM((DJ391*(20/100))+(DK391*(30/100))+(DL391*(50/100))) &lt;=8.3, SUM((DJ391*(20/100))+(DK391*(30/100))+(DL391*(50/100))) &gt;=7.8),8,
IF(AND( SUM((DJ391*(20/100))+(DK391*(30/100))+(DL391*(50/100))) &lt;=7.8, SUM((DJ391*(20/100))+(DK391*(30/100))+(DL391*(50/100))) &gt;=7.3),7.5,
IF(AND( SUM((DJ391*(20/100))+(DK391*(30/100))+(DL391*(50/100))) &lt;=7.3, SUM((DJ391*(20/100))+(DK391*(30/100))+(DL391*(50/100))) &gt;=6.8),7,
IF(AND( SUM((DJ391*(20/100))+(DK391*(30/100))+(DL391*(50/100))) &lt;=6.8, SUM((DJ391*(20/100))+(DK391*(30/100))+(DL391*(50/100))) &gt;=6.3),6.5,
IF(AND( SUM((DJ391*(20/100))+(DK391*(30/100))+(DL391*(50/100))) &lt;=6.3, SUM((DJ391*(20/100))+(DK391*(30/100))+(DL391*(50/100))) &gt;=5.8),6,
IF(AND( SUM((DJ391*(20/100))+(DK391*(30/100))+(DL391*(50/100))) &lt;=5.8, SUM((DJ391*(20/100))+(DK391*(30/100))+(DL391*(50/100))) &gt;=5.3),5.5,
IF(AND( SUM((DJ391*(20/100))+(DK391*(30/100))+(DL391*(50/100))) &lt;=5.3, SUM((DJ391*(20/100))+(DK391*(30/100))+(DL391*(50/100))) &gt;=4.8),5,
IF(AND( SUM((DJ391*(20/100))+(DK391*(30/100))+(DL391*(50/100))) &lt;=4.8, SUM((DJ391*(20/100))+(DK391*(30/100))+(DL391*(50/100))) &gt;=4.3),4.5,
IF(AND( SUM((DJ391*(20/100))+(DK391*(30/100))+(DL391*(50/100))) &lt;=4.3, SUM((DJ391*(20/100))+(DK391*(30/100))+(DL391*(50/100))) &gt;=3.8),4,
IF(AND( SUM((DJ391*(20/100))+(DK391*(30/100))+(DL391*(50/100))) &lt;=3.8, SUM((DJ391*(20/100))+(DK391*(30/100))+(DL391*(50/100))) &gt;=3.5),3.5,0)))))))))))))</f>
        <v>0</v>
      </c>
      <c r="DQ391" s="541"/>
      <c r="DR391" s="541"/>
      <c r="DS391" s="541"/>
      <c r="DT391" s="541"/>
      <c r="DU391" s="541"/>
      <c r="DV391" s="541"/>
      <c r="DW391" s="541"/>
      <c r="DX391" s="541"/>
      <c r="DY391" s="541"/>
      <c r="DZ391" s="541"/>
    </row>
    <row r="392" spans="2:130" x14ac:dyDescent="0.25">
      <c r="B392" s="334">
        <v>35</v>
      </c>
      <c r="C392" s="541"/>
      <c r="D392" s="334"/>
      <c r="E392" s="334"/>
      <c r="F392" s="334"/>
      <c r="G392" s="334"/>
      <c r="H392" s="334"/>
      <c r="I392" s="334"/>
      <c r="J392" s="536"/>
      <c r="K392" s="536"/>
      <c r="L392" s="536"/>
      <c r="M392" s="536"/>
      <c r="N392" s="536"/>
      <c r="O392" s="536"/>
      <c r="P392" s="536">
        <f t="shared" si="126"/>
        <v>0</v>
      </c>
      <c r="Q392" s="536"/>
      <c r="R392" s="536"/>
      <c r="S392" s="536"/>
      <c r="T392" s="536">
        <f t="shared" si="127"/>
        <v>0</v>
      </c>
      <c r="U392" s="536"/>
      <c r="V392" s="536"/>
      <c r="W392" s="536"/>
      <c r="X392" s="536">
        <f t="shared" si="128"/>
        <v>0</v>
      </c>
      <c r="Y392" s="536"/>
      <c r="Z392" s="536"/>
      <c r="AA392" s="536"/>
      <c r="AB392" s="536">
        <f t="shared" si="129"/>
        <v>0</v>
      </c>
      <c r="AC392" s="536"/>
      <c r="AD392" s="536"/>
      <c r="AE392" s="536"/>
      <c r="AF392" s="536">
        <f t="shared" si="130"/>
        <v>0</v>
      </c>
      <c r="AG392" s="536"/>
      <c r="AH392" s="536"/>
      <c r="AI392" s="536"/>
      <c r="AJ392" s="536">
        <f t="shared" si="131"/>
        <v>0</v>
      </c>
      <c r="AK392" s="536"/>
      <c r="AL392" s="536"/>
      <c r="AM392" s="536"/>
      <c r="AN392" s="542">
        <f t="shared" si="132"/>
        <v>0</v>
      </c>
      <c r="AO392" s="536"/>
      <c r="AP392" s="536"/>
      <c r="AQ392" s="536"/>
      <c r="AR392" s="542">
        <f t="shared" si="133"/>
        <v>0</v>
      </c>
      <c r="AS392" s="536"/>
      <c r="AT392" s="536"/>
      <c r="AU392" s="536"/>
      <c r="AV392" s="542">
        <f t="shared" si="134"/>
        <v>0</v>
      </c>
      <c r="AW392" s="536"/>
      <c r="AX392" s="536"/>
      <c r="AY392" s="536"/>
      <c r="AZ392" s="542">
        <f t="shared" si="135"/>
        <v>0</v>
      </c>
      <c r="BA392" s="536"/>
      <c r="BB392" s="536"/>
      <c r="BC392" s="536"/>
      <c r="BD392" s="542">
        <f t="shared" si="136"/>
        <v>0</v>
      </c>
      <c r="BE392" s="536"/>
      <c r="BF392" s="536"/>
      <c r="BG392" s="536"/>
      <c r="BH392" s="542">
        <f t="shared" si="137"/>
        <v>0</v>
      </c>
      <c r="BI392" s="536"/>
      <c r="BJ392" s="536"/>
      <c r="BK392" s="536"/>
      <c r="BL392" s="542">
        <f t="shared" si="138"/>
        <v>0</v>
      </c>
      <c r="BM392" s="536"/>
      <c r="BN392" s="536"/>
      <c r="BO392" s="536"/>
      <c r="BP392" s="542">
        <f t="shared" si="139"/>
        <v>0</v>
      </c>
      <c r="BQ392" s="536"/>
      <c r="BR392" s="536"/>
      <c r="BS392" s="536"/>
      <c r="BT392" s="542">
        <f t="shared" si="140"/>
        <v>0</v>
      </c>
      <c r="BU392" s="536"/>
      <c r="BV392" s="536"/>
      <c r="BW392" s="536"/>
      <c r="BX392" s="542">
        <f t="shared" si="141"/>
        <v>0</v>
      </c>
      <c r="BY392" s="536"/>
      <c r="BZ392" s="536"/>
      <c r="CA392" s="536"/>
      <c r="CB392" s="542">
        <v>0</v>
      </c>
      <c r="CC392" s="536"/>
      <c r="CD392" s="536"/>
      <c r="CE392" s="536"/>
      <c r="CF392" s="541">
        <f t="shared" si="142"/>
        <v>0</v>
      </c>
      <c r="CG392" s="536"/>
      <c r="CH392" s="536"/>
      <c r="CI392" s="536"/>
      <c r="CJ392" s="541">
        <f t="shared" si="143"/>
        <v>0</v>
      </c>
      <c r="CK392" s="536"/>
      <c r="CL392" s="536"/>
      <c r="CM392" s="536"/>
      <c r="CN392" s="541">
        <f t="shared" si="144"/>
        <v>0</v>
      </c>
      <c r="CO392" s="536"/>
      <c r="CP392" s="536"/>
      <c r="CQ392" s="536"/>
      <c r="CR392" s="541">
        <f t="shared" si="145"/>
        <v>0</v>
      </c>
      <c r="CS392" s="536"/>
      <c r="CT392" s="536"/>
      <c r="CU392" s="536"/>
      <c r="CV392" s="541">
        <f t="shared" si="146"/>
        <v>0</v>
      </c>
      <c r="CW392" s="536"/>
      <c r="CX392" s="536"/>
      <c r="CY392" s="536"/>
      <c r="CZ392" s="541">
        <f t="shared" si="147"/>
        <v>0</v>
      </c>
      <c r="DA392" s="536"/>
      <c r="DB392" s="536"/>
      <c r="DC392" s="536"/>
      <c r="DD392" s="541">
        <f t="shared" si="148"/>
        <v>0</v>
      </c>
      <c r="DE392" s="536"/>
      <c r="DF392" s="536"/>
      <c r="DG392" s="536"/>
      <c r="DH392" s="541">
        <f t="shared" si="149"/>
        <v>0</v>
      </c>
      <c r="DI392" s="536"/>
      <c r="DJ392" s="536"/>
      <c r="DK392" s="536"/>
      <c r="DL392" s="541">
        <f t="shared" si="150"/>
        <v>0</v>
      </c>
      <c r="DM392" s="536"/>
      <c r="DN392" s="536"/>
      <c r="DO392" s="536"/>
      <c r="DP392" s="541">
        <f>IF( SUM((DJ392*(20/100))+(DK392*(30/100))+(DL392*(50/100))) &gt;=9.3,9.5,
IF(AND( SUM((DJ392*(20/100))+(DK392*(30/100))+(DL392*(50/100))) &lt;=9.3, SUM((DJ392*(20/100))+(DK392*(30/100))+(DL392*(50/100))) &gt;=8.8),9,
IF(AND( SUM((DJ392*(20/100))+(DK392*(30/100))+(DL392*(50/100))) &lt;=8.8, SUM((DJ392*(20/100))+(DK392*(30/100))+(DL392*(50/100))) &gt;=8.3),8.5,
IF(AND( SUM((DJ392*(20/100))+(DK392*(30/100))+(DL392*(50/100))) &lt;=8.3, SUM((DJ392*(20/100))+(DK392*(30/100))+(DL392*(50/100))) &gt;=7.8),8,
IF(AND( SUM((DJ392*(20/100))+(DK392*(30/100))+(DL392*(50/100))) &lt;=7.8, SUM((DJ392*(20/100))+(DK392*(30/100))+(DL392*(50/100))) &gt;=7.3),7.5,
IF(AND( SUM((DJ392*(20/100))+(DK392*(30/100))+(DL392*(50/100))) &lt;=7.3, SUM((DJ392*(20/100))+(DK392*(30/100))+(DL392*(50/100))) &gt;=6.8),7,
IF(AND( SUM((DJ392*(20/100))+(DK392*(30/100))+(DL392*(50/100))) &lt;=6.8, SUM((DJ392*(20/100))+(DK392*(30/100))+(DL392*(50/100))) &gt;=6.3),6.5,
IF(AND( SUM((DJ392*(20/100))+(DK392*(30/100))+(DL392*(50/100))) &lt;=6.3, SUM((DJ392*(20/100))+(DK392*(30/100))+(DL392*(50/100))) &gt;=5.8),6,
IF(AND( SUM((DJ392*(20/100))+(DK392*(30/100))+(DL392*(50/100))) &lt;=5.8, SUM((DJ392*(20/100))+(DK392*(30/100))+(DL392*(50/100))) &gt;=5.3),5.5,
IF(AND( SUM((DJ392*(20/100))+(DK392*(30/100))+(DL392*(50/100))) &lt;=5.3, SUM((DJ392*(20/100))+(DK392*(30/100))+(DL392*(50/100))) &gt;=4.8),5,
IF(AND( SUM((DJ392*(20/100))+(DK392*(30/100))+(DL392*(50/100))) &lt;=4.8, SUM((DJ392*(20/100))+(DK392*(30/100))+(DL392*(50/100))) &gt;=4.3),4.5,
IF(AND( SUM((DJ392*(20/100))+(DK392*(30/100))+(DL392*(50/100))) &lt;=4.3, SUM((DJ392*(20/100))+(DK392*(30/100))+(DL392*(50/100))) &gt;=3.8),4,
IF(AND( SUM((DJ392*(20/100))+(DK392*(30/100))+(DL392*(50/100))) &lt;=3.8, SUM((DJ392*(20/100))+(DK392*(30/100))+(DL392*(50/100))) &gt;=3.5),3.5,0)))))))))))))</f>
        <v>0</v>
      </c>
      <c r="DQ392" s="541"/>
      <c r="DR392" s="541"/>
      <c r="DS392" s="541"/>
      <c r="DT392" s="541"/>
      <c r="DU392" s="541"/>
      <c r="DV392" s="541"/>
      <c r="DW392" s="541"/>
      <c r="DX392" s="541"/>
      <c r="DY392" s="541"/>
      <c r="DZ392" s="541"/>
    </row>
    <row r="393" spans="2:130" x14ac:dyDescent="0.25">
      <c r="B393" s="334">
        <v>36</v>
      </c>
      <c r="C393" s="541"/>
      <c r="D393" s="334"/>
      <c r="E393" s="334"/>
      <c r="F393" s="334"/>
      <c r="G393" s="334"/>
      <c r="H393" s="334"/>
      <c r="I393" s="334"/>
      <c r="J393" s="536"/>
      <c r="K393" s="536"/>
      <c r="L393" s="536"/>
      <c r="M393" s="536"/>
      <c r="N393" s="536"/>
      <c r="O393" s="536"/>
      <c r="P393" s="536">
        <f t="shared" ref="P393:P456" si="151">IF( SUM((M393*(20/100))+(N393*(30/100))+(O393*(50/100))) &gt;=9.3,9.5,
IF(AND( SUM((M393*(20/100))+(N393*(30/100))+(O393*(50/100))) &lt;=9.3, SUM((M393*(20/100))+(N393*(30/100))+(O393*(50/100))) &gt;=8.8),9,
IF(AND( SUM((M393*(20/100))+(N393*(30/100))+(O393*(50/100))) &lt;=8.8, SUM((M393*(20/100))+(N393*(30/100))+(O393*(50/100))) &gt;=8.3),8.5,
IF(AND( SUM((M393*(20/100))+(N393*(30/100))+(O393*(50/100))) &lt;=8.3, SUM((M393*(20/100))+(N393*(30/100))+(O393*(50/100))) &gt;=7.8),8,
IF(AND( SUM((M393*(20/100))+(N393*(30/100))+(O393*(50/100))) &lt;=7.8, SUM((M393*(20/100))+(N393*(30/100))+(O393*(50/100))) &gt;=7.3),7.5,
IF(AND( SUM((M393*(20/100))+(N393*(30/100))+(O393*(50/100))) &lt;=7.3, SUM((M393*(20/100))+(N393*(30/100))+(O393*(50/100))) &gt;=6.8),7,
IF(AND( SUM((M393*(20/100))+(N393*(30/100))+(O393*(50/100))) &lt;=6.8, SUM((M393*(20/100))+(N393*(30/100))+(O393*(50/100))) &gt;=6.3),6.5,
IF(AND( SUM((M393*(20/100))+(N393*(30/100))+(O393*(50/100))) &lt;=6.3, SUM((M393*(20/100))+(N393*(30/100))+(O393*(50/100))) &gt;=5.8),6,
IF(AND( SUM((M393*(20/100))+(N393*(30/100))+(O393*(50/100))) &lt;=5.8, SUM((M393*(20/100))+(N393*(30/100))+(O393*(50/100))) &gt;=5.3),5.5,
IF(AND( SUM((M393*(20/100))+(N393*(30/100))+(O393*(50/100))) &lt;=5.3, SUM((M393*(20/100))+(N393*(30/100))+(O393*(50/100))) &gt;=4.8),5,
IF(AND( SUM((M393*(20/100))+(N393*(30/100))+(O393*(50/100))) &lt;=4.8, SUM((M393*(20/100))+(N393*(30/100))+(O393*(50/100))) &gt;=4.3),4.5,
IF(AND( SUM((M393*(20/100))+(N393*(30/100))+(O393*(50/100))) &lt;=4.3, SUM((M393*(20/100))+(N393*(30/100))+(O393*(50/100))) &gt;=3.8),4,
IF(AND( SUM((M393*(20/100))+(N393*(30/100))+(O393*(50/100))) &lt;=3.8, SUM((M393*(20/100))+(N393*(30/100))+(O393*(50/100))) &gt;=3.5),3.5,0)))))))))))))</f>
        <v>0</v>
      </c>
      <c r="Q393" s="536"/>
      <c r="R393" s="536"/>
      <c r="S393" s="536"/>
      <c r="T393" s="536">
        <f t="shared" ref="T393:T456" si="152">IF( SUM((Q393*(20/100))+(R393*(30/100))+(S393*(50/100))) &gt;=9.3,9.5,
IF(AND( SUM((Q393*(20/100))+(R393*(30/100))+(S393*(50/100))) &lt;=9.3, SUM((Q393*(20/100))+(R393*(30/100))+(S393*(50/100))) &gt;=8.8),9,
IF(AND( SUM((Q393*(20/100))+(R393*(30/100))+(S393*(50/100))) &lt;=8.8, SUM((Q393*(20/100))+(R393*(30/100))+(S393*(50/100))) &gt;=8.3),8.5,
IF(AND( SUM((Q393*(20/100))+(R393*(30/100))+(S393*(50/100))) &lt;=8.3, SUM((Q393*(20/100))+(R393*(30/100))+(S393*(50/100))) &gt;=7.8),8,
IF(AND( SUM((Q393*(20/100))+(R393*(30/100))+(S393*(50/100))) &lt;=7.8, SUM((Q393*(20/100))+(R393*(30/100))+(S393*(50/100))) &gt;=7.3),7.5,
IF(AND( SUM((Q393*(20/100))+(R393*(30/100))+(S393*(50/100))) &lt;=7.3, SUM((Q393*(20/100))+(R393*(30/100))+(S393*(50/100))) &gt;=6.8),7,
IF(AND( SUM((Q393*(20/100))+(R393*(30/100))+(S393*(50/100))) &lt;=6.8, SUM((Q393*(20/100))+(R393*(30/100))+(S393*(50/100))) &gt;=6.3),6.5,
IF(AND( SUM((Q393*(20/100))+(R393*(30/100))+(S393*(50/100))) &lt;=6.3, SUM((Q393*(20/100))+(R393*(30/100))+(S393*(50/100))) &gt;=5.8),6,
IF(AND( SUM((Q393*(20/100))+(R393*(30/100))+(S393*(50/100))) &lt;=5.8, SUM((Q393*(20/100))+(R393*(30/100))+(S393*(50/100))) &gt;=5.3),5.5,
IF(AND( SUM((Q393*(20/100))+(R393*(30/100))+(S393*(50/100))) &lt;=5.3, SUM((Q393*(20/100))+(R393*(30/100))+(S393*(50/100))) &gt;=4.8),5,
IF(AND( SUM((Q393*(20/100))+(R393*(30/100))+(S393*(50/100))) &lt;=4.8, SUM((Q393*(20/100))+(R393*(30/100))+(S393*(50/100))) &gt;=4.3),4.5,
IF(AND( SUM((Q393*(20/100))+(R393*(30/100))+(S393*(50/100))) &lt;=4.3, SUM((Q393*(20/100))+(R393*(30/100))+(S393*(50/100))) &gt;=3.8),4,
IF(AND( SUM((Q393*(20/100))+(R393*(30/100))+(S393*(50/100))) &lt;=3.8, SUM((Q393*(20/100))+(R393*(30/100))+(S393*(50/100))) &gt;=3.5),3.5,0)))))))))))))</f>
        <v>0</v>
      </c>
      <c r="U393" s="536"/>
      <c r="V393" s="536"/>
      <c r="W393" s="536"/>
      <c r="X393" s="536">
        <f t="shared" ref="X393:X456" si="153">IF( SUM((U393*(20/100))+(V393*(30/100))+(W393*(50/100))) &gt;=9.3,9.5,
IF(AND( SUM((U393*(20/100))+(V393*(30/100))+(W393*(50/100))) &lt;=9.3, SUM((U393*(20/100))+(V393*(30/100))+(W393*(50/100))) &gt;=8.8),9,
IF(AND( SUM((U393*(20/100))+(V393*(30/100))+(W393*(50/100))) &lt;=8.8, SUM((U393*(20/100))+(V393*(30/100))+(W393*(50/100))) &gt;=8.3),8.5,
IF(AND( SUM((U393*(20/100))+(V393*(30/100))+(W393*(50/100))) &lt;=8.3, SUM((U393*(20/100))+(V393*(30/100))+(W393*(50/100))) &gt;=7.8),8,
IF(AND( SUM((U393*(20/100))+(V393*(30/100))+(W393*(50/100))) &lt;=7.8, SUM((U393*(20/100))+(V393*(30/100))+(W393*(50/100))) &gt;=7.3),7.5,
IF(AND( SUM((U393*(20/100))+(V393*(30/100))+(W393*(50/100))) &lt;=7.3, SUM((U393*(20/100))+(V393*(30/100))+(W393*(50/100))) &gt;=6.8),7,
IF(AND( SUM((U393*(20/100))+(V393*(30/100))+(W393*(50/100))) &lt;=6.8, SUM((U393*(20/100))+(V393*(30/100))+(W393*(50/100))) &gt;=6.3),6.5,
IF(AND( SUM((U393*(20/100))+(V393*(30/100))+(W393*(50/100))) &lt;=6.3, SUM((U393*(20/100))+(V393*(30/100))+(W393*(50/100))) &gt;=5.8),6,
IF(AND( SUM((U393*(20/100))+(V393*(30/100))+(W393*(50/100))) &lt;=5.8, SUM((U393*(20/100))+(V393*(30/100))+(W393*(50/100))) &gt;=5.3),5.5,
IF(AND( SUM((U393*(20/100))+(V393*(30/100))+(W393*(50/100))) &lt;=5.3, SUM((U393*(20/100))+(V393*(30/100))+(W393*(50/100))) &gt;=4.8),5,
IF(AND( SUM((U393*(20/100))+(V393*(30/100))+(W393*(50/100))) &lt;=4.8, SUM((U393*(20/100))+(V393*(30/100))+(W393*(50/100))) &gt;=4.3),4.5,
IF(AND( SUM((U393*(20/100))+(V393*(30/100))+(W393*(50/100))) &lt;=4.3, SUM((U393*(20/100))+(V393*(30/100))+(W393*(50/100))) &gt;=3.8),4,
IF(AND( SUM((U393*(20/100))+(V393*(30/100))+(W393*(50/100))) &lt;=3.8, SUM((U393*(20/100))+(V393*(30/100))+(W393*(50/100))) &gt;=3.5),3.5,0)))))))))))))</f>
        <v>0</v>
      </c>
      <c r="Y393" s="536"/>
      <c r="Z393" s="536"/>
      <c r="AA393" s="536"/>
      <c r="AB393" s="536">
        <f t="shared" ref="AB393:AB456" si="154">IF( SUM((Y393*(20/100))+(Z393*(30/100))+(AA393*(50/100))) &gt;=9.3,9.5,
IF(AND( SUM((Y393*(20/100))+(Z393*(30/100))+(AA393*(50/100))) &lt;=9.3, SUM((Y393*(20/100))+(Z393*(30/100))+(AA393*(50/100))) &gt;=8.8),9,
IF(AND( SUM((Y393*(20/100))+(Z393*(30/100))+(AA393*(50/100))) &lt;=8.8, SUM((Y393*(20/100))+(Z393*(30/100))+(AA393*(50/100))) &gt;=8.3),8.5,
IF(AND( SUM((Y393*(20/100))+(Z393*(30/100))+(AA393*(50/100))) &lt;=8.3, SUM((Y393*(20/100))+(Z393*(30/100))+(AA393*(50/100))) &gt;=7.8),8,
IF(AND( SUM((Y393*(20/100))+(Z393*(30/100))+(AA393*(50/100))) &lt;=7.8, SUM((Y393*(20/100))+(Z393*(30/100))+(AA393*(50/100))) &gt;=7.3),7.5,
IF(AND( SUM((Y393*(20/100))+(Z393*(30/100))+(AA393*(50/100))) &lt;=7.3, SUM((Y393*(20/100))+(Z393*(30/100))+(AA393*(50/100))) &gt;=6.8),7,
IF(AND( SUM((Y393*(20/100))+(Z393*(30/100))+(AA393*(50/100))) &lt;=6.8, SUM((Y393*(20/100))+(Z393*(30/100))+(AA393*(50/100))) &gt;=6.3),6.5,
IF(AND( SUM((Y393*(20/100))+(Z393*(30/100))+(AA393*(50/100))) &lt;=6.3, SUM((Y393*(20/100))+(Z393*(30/100))+(AA393*(50/100))) &gt;=5.8),6,
IF(AND( SUM((Y393*(20/100))+(Z393*(30/100))+(AA393*(50/100))) &lt;=5.8, SUM((Y393*(20/100))+(Z393*(30/100))+(AA393*(50/100))) &gt;=5.3),5.5,
IF(AND( SUM((Y393*(20/100))+(Z393*(30/100))+(AA393*(50/100))) &lt;=5.3, SUM((Y393*(20/100))+(Z393*(30/100))+(AA393*(50/100))) &gt;=4.8),5,
IF(AND( SUM((Y393*(20/100))+(Z393*(30/100))+(AA393*(50/100))) &lt;=4.8, SUM((Y393*(20/100))+(Z393*(30/100))+(AA393*(50/100))) &gt;=4.3),4.5,
IF(AND( SUM((Y393*(20/100))+(Z393*(30/100))+(AA393*(50/100))) &lt;=4.3, SUM((Y393*(20/100))+(Z393*(30/100))+(AA393*(50/100))) &gt;=3.8),4,
IF(AND( SUM((Y393*(20/100))+(Z393*(30/100))+(AA393*(50/100))) &lt;=3.8, SUM((Y393*(20/100))+(Z393*(30/100))+(AA393*(50/100))) &gt;=3.5),3.5,0)))))))))))))</f>
        <v>0</v>
      </c>
      <c r="AC393" s="536"/>
      <c r="AD393" s="536"/>
      <c r="AE393" s="536"/>
      <c r="AF393" s="536">
        <f t="shared" ref="AF393:AF456" si="155">IF( SUM((AC393*(20/100))+(AD393*(30/100))+(AE393*(50/100))) &gt;=9.3,9.5,
IF(AND( SUM((AC393*(20/100))+(AD393*(30/100))+(AE393*(50/100))) &lt;=9.3, SUM((AC393*(20/100))+(AD393*(30/100))+(AE393*(50/100))) &gt;=8.8),9,
IF(AND( SUM((AC393*(20/100))+(AD393*(30/100))+(AE393*(50/100))) &lt;=8.8, SUM((AC393*(20/100))+(AD393*(30/100))+(AE393*(50/100))) &gt;=8.3),8.5,
IF(AND( SUM((AC393*(20/100))+(AD393*(30/100))+(AE393*(50/100))) &lt;=8.3, SUM((AC393*(20/100))+(AD393*(30/100))+(AE393*(50/100))) &gt;=7.8),8,
IF(AND( SUM((AC393*(20/100))+(AD393*(30/100))+(AE393*(50/100))) &lt;=7.8, SUM((AC393*(20/100))+(AD393*(30/100))+(AE393*(50/100))) &gt;=7.3),7.5,
IF(AND( SUM((AC393*(20/100))+(AD393*(30/100))+(AE393*(50/100))) &lt;=7.3, SUM((AC393*(20/100))+(AD393*(30/100))+(AE393*(50/100))) &gt;=6.8),7,
IF(AND( SUM((AC393*(20/100))+(AD393*(30/100))+(AE393*(50/100))) &lt;=6.8, SUM((AC393*(20/100))+(AD393*(30/100))+(AE393*(50/100))) &gt;=6.3),6.5,
IF(AND( SUM((AC393*(20/100))+(AD393*(30/100))+(AE393*(50/100))) &lt;=6.3, SUM((AC393*(20/100))+(AD393*(30/100))+(AE393*(50/100))) &gt;=5.8),6,
IF(AND( SUM((AC393*(20/100))+(AD393*(30/100))+(AE393*(50/100))) &lt;=5.8, SUM((AC393*(20/100))+(AD393*(30/100))+(AE393*(50/100))) &gt;=5.3),5.5,
IF(AND( SUM((AC393*(20/100))+(AD393*(30/100))+(AE393*(50/100))) &lt;=5.3, SUM((AC393*(20/100))+(AD393*(30/100))+(AE393*(50/100))) &gt;=4.8),5,
IF(AND( SUM((AC393*(20/100))+(AD393*(30/100))+(AE393*(50/100))) &lt;=4.8, SUM((AC393*(20/100))+(AD393*(30/100))+(AE393*(50/100))) &gt;=4.3),4.5,
IF(AND( SUM((AC393*(20/100))+(AD393*(30/100))+(AE393*(50/100))) &lt;=4.3, SUM((AC393*(20/100))+(AD393*(30/100))+(AE393*(50/100))) &gt;=3.8),4,
IF(AND( SUM((AC393*(20/100))+(AD393*(30/100))+(AE393*(50/100))) &lt;=3.8, SUM((AC393*(20/100))+(AD393*(30/100))+(AE393*(50/100))) &gt;=3.5),3.5,0)))))))))))))</f>
        <v>0</v>
      </c>
      <c r="AG393" s="536"/>
      <c r="AH393" s="536"/>
      <c r="AI393" s="536"/>
      <c r="AJ393" s="536">
        <f t="shared" ref="AJ393:AJ456" si="156">IF( SUM((AG393*(20/100))+(AH393*(30/100))+(AI393*(50/100))) &gt;=9.3,9.5,
IF(AND( SUM((AG393*(20/100))+(AH393*(30/100))+(AI393*(50/100))) &lt;=9.3, SUM((AG393*(20/100))+(AH393*(30/100))+(AI393*(50/100))) &gt;=8.8),9,
IF(AND( SUM((AG393*(20/100))+(AH393*(30/100))+(AI393*(50/100))) &lt;=8.8, SUM((AG393*(20/100))+(AH393*(30/100))+(AI393*(50/100))) &gt;=8.3),8.5,
IF(AND( SUM((AG393*(20/100))+(AH393*(30/100))+(AI393*(50/100))) &lt;=8.3, SUM((AG393*(20/100))+(AH393*(30/100))+(AI393*(50/100))) &gt;=7.8),8,
IF(AND( SUM((AG393*(20/100))+(AH393*(30/100))+(AI393*(50/100))) &lt;=7.8, SUM((AG393*(20/100))+(AH393*(30/100))+(AI393*(50/100))) &gt;=7.3),7.5,
IF(AND( SUM((AG393*(20/100))+(AH393*(30/100))+(AI393*(50/100))) &lt;=7.3, SUM((AG393*(20/100))+(AH393*(30/100))+(AI393*(50/100))) &gt;=6.8),7,
IF(AND( SUM((AG393*(20/100))+(AH393*(30/100))+(AI393*(50/100))) &lt;=6.8, SUM((AG393*(20/100))+(AH393*(30/100))+(AI393*(50/100))) &gt;=6.3),6.5,
IF(AND( SUM((AG393*(20/100))+(AH393*(30/100))+(AI393*(50/100))) &lt;=6.3, SUM((AG393*(20/100))+(AH393*(30/100))+(AI393*(50/100))) &gt;=5.8),6,
IF(AND( SUM((AG393*(20/100))+(AH393*(30/100))+(AI393*(50/100))) &lt;=5.8, SUM((AG393*(20/100))+(AH393*(30/100))+(AI393*(50/100))) &gt;=5.3),5.5,
IF(AND( SUM((AG393*(20/100))+(AH393*(30/100))+(AI393*(50/100))) &lt;=5.3, SUM((AG393*(20/100))+(AH393*(30/100))+(AI393*(50/100))) &gt;=4.8),5,
IF(AND( SUM((AG393*(20/100))+(AH393*(30/100))+(AI393*(50/100))) &lt;=4.8, SUM((AG393*(20/100))+(AH393*(30/100))+(AI393*(50/100))) &gt;=4.3),4.5,
IF(AND( SUM((AG393*(20/100))+(AH393*(30/100))+(AI393*(50/100))) &lt;=4.3, SUM((AG393*(20/100))+(AH393*(30/100))+(AI393*(50/100))) &gt;=3.8),4,
IF(AND( SUM((AG393*(20/100))+(AH393*(30/100))+(AI393*(50/100))) &lt;=3.8, SUM((AG393*(20/100))+(AH393*(30/100))+(AI393*(50/100))) &gt;=3.5),3.5,0)))))))))))))</f>
        <v>0</v>
      </c>
      <c r="AK393" s="536"/>
      <c r="AL393" s="536"/>
      <c r="AM393" s="536"/>
      <c r="AN393" s="542">
        <f t="shared" ref="AN393:AN456" si="157">IF( SUM((AK393*(20/100))+(AL393*(30/100))+(AM393*(50/100))) &gt;=9.3,9.5,
IF(AND( SUM((AK393*(20/100))+(AL393*(30/100))+(AM393*(50/100))) &lt;=9.3, SUM((AK393*(20/100))+(AL393*(30/100))+(AM393*(50/100))) &gt;=8.8),9,
IF(AND( SUM((AK393*(20/100))+(AL393*(30/100))+(AM393*(50/100))) &lt;=8.8, SUM((AK393*(20/100))+(AL393*(30/100))+(AM393*(50/100))) &gt;=8.3),8.5,
IF(AND( SUM((AK393*(20/100))+(AL393*(30/100))+(AM393*(50/100))) &lt;=8.3, SUM((AK393*(20/100))+(AL393*(30/100))+(AM393*(50/100))) &gt;=7.8),8,
IF(AND( SUM((AK393*(20/100))+(AL393*(30/100))+(AM393*(50/100))) &lt;=7.8, SUM((AK393*(20/100))+(AL393*(30/100))+(AM393*(50/100))) &gt;=7.3),7.5,
IF(AND( SUM((AK393*(20/100))+(AL393*(30/100))+(AM393*(50/100))) &lt;=7.3, SUM((AK393*(20/100))+(AL393*(30/100))+(AM393*(50/100))) &gt;=6.8),7,
IF(AND( SUM((AK393*(20/100))+(AL393*(30/100))+(AM393*(50/100))) &lt;=6.8, SUM((AK393*(20/100))+(AL393*(30/100))+(AM393*(50/100))) &gt;=6.3),6.5,
IF(AND( SUM((AK393*(20/100))+(AL393*(30/100))+(AM393*(50/100))) &lt;=6.3, SUM((AK393*(20/100))+(AL393*(30/100))+(AM393*(50/100))) &gt;=5.8),6,
IF(AND( SUM((AK393*(20/100))+(AL393*(30/100))+(AM393*(50/100))) &lt;=5.8, SUM((AK393*(20/100))+(AL393*(30/100))+(AM393*(50/100))) &gt;=5.3),5.5,
IF(AND( SUM((AK393*(20/100))+(AL393*(30/100))+(AM393*(50/100))) &lt;=5.3, SUM((AK393*(20/100))+(AL393*(30/100))+(AM393*(50/100))) &gt;=4.8),5,
IF(AND( SUM((AK393*(20/100))+(AL393*(30/100))+(AM393*(50/100))) &lt;=4.8, SUM((AK393*(20/100))+(AL393*(30/100))+(AM393*(50/100))) &gt;=4.3),4.5,
IF(AND( SUM((AK393*(20/100))+(AL393*(30/100))+(AM393*(50/100))) &lt;=4.3, SUM((AK393*(20/100))+(AL393*(30/100))+(AM393*(50/100))) &gt;=3.8),4,
IF(AND( SUM((AK393*(20/100))+(AL393*(30/100))+(AM393*(50/100))) &lt;=3.8, SUM((AK393*(20/100))+(AL393*(30/100))+(AM393*(50/100))) &gt;=3.5),3.5,0)))))))))))))</f>
        <v>0</v>
      </c>
      <c r="AO393" s="536"/>
      <c r="AP393" s="536"/>
      <c r="AQ393" s="536"/>
      <c r="AR393" s="542">
        <f t="shared" ref="AR393:AR456" si="158">IF( SUM((AO393*(20/100))+(AP393*(30/100))+(AQ393*(50/100))) &gt;=9.3,9.5,
IF(AND( SUM((AO393*(20/100))+(AP393*(30/100))+(AQ393*(50/100))) &lt;=9.3, SUM((AO393*(20/100))+(AP393*(30/100))+(AQ393*(50/100))) &gt;=8.8),9,
IF(AND( SUM((AO393*(20/100))+(AP393*(30/100))+(AQ393*(50/100))) &lt;=8.8, SUM((AO393*(20/100))+(AP393*(30/100))+(AQ393*(50/100))) &gt;=8.3),8.5,
IF(AND( SUM((AO393*(20/100))+(AP393*(30/100))+(AQ393*(50/100))) &lt;=8.3, SUM((AO393*(20/100))+(AP393*(30/100))+(AQ393*(50/100))) &gt;=7.8),8,
IF(AND( SUM((AO393*(20/100))+(AP393*(30/100))+(AQ393*(50/100))) &lt;=7.8, SUM((AO393*(20/100))+(AP393*(30/100))+(AQ393*(50/100))) &gt;=7.3),7.5,
IF(AND( SUM((AO393*(20/100))+(AP393*(30/100))+(AQ393*(50/100))) &lt;=7.3, SUM((AO393*(20/100))+(AP393*(30/100))+(AQ393*(50/100))) &gt;=6.8),7,
IF(AND( SUM((AO393*(20/100))+(AP393*(30/100))+(AQ393*(50/100))) &lt;=6.8, SUM((AO393*(20/100))+(AP393*(30/100))+(AQ393*(50/100))) &gt;=6.3),6.5,
IF(AND( SUM((AO393*(20/100))+(AP393*(30/100))+(AQ393*(50/100))) &lt;=6.3, SUM((AO393*(20/100))+(AP393*(30/100))+(AQ393*(50/100))) &gt;=5.8),6,
IF(AND( SUM((AO393*(20/100))+(AP393*(30/100))+(AQ393*(50/100))) &lt;=5.8, SUM((AO393*(20/100))+(AP393*(30/100))+(AQ393*(50/100))) &gt;=5.3),5.5,
IF(AND( SUM((AO393*(20/100))+(AP393*(30/100))+(AQ393*(50/100))) &lt;=5.3, SUM((AO393*(20/100))+(AP393*(30/100))+(AQ393*(50/100))) &gt;=4.8),5,
IF(AND( SUM((AO393*(20/100))+(AP393*(30/100))+(AQ393*(50/100))) &lt;=4.8, SUM((AO393*(20/100))+(AP393*(30/100))+(AQ393*(50/100))) &gt;=4.3),4.5,
IF(AND( SUM((AO393*(20/100))+(AP393*(30/100))+(AQ393*(50/100))) &lt;=4.3, SUM((AO393*(20/100))+(AP393*(30/100))+(AQ393*(50/100))) &gt;=3.8),4,
IF(AND( SUM((AO393*(20/100))+(AP393*(30/100))+(AQ393*(50/100))) &lt;=3.8, SUM((AO393*(20/100))+(AP393*(30/100))+(AQ393*(50/100))) &gt;=3.5),3.5,0)))))))))))))</f>
        <v>0</v>
      </c>
      <c r="AS393" s="536"/>
      <c r="AT393" s="536"/>
      <c r="AU393" s="536"/>
      <c r="AV393" s="542">
        <f t="shared" ref="AV393:AV456" si="159">IF( SUM((AS393*(20/100))+(AT393*(30/100))+(AU393*(50/100))) &gt;=9.3,9.5,
IF(AND( SUM((AS393*(20/100))+(AT393*(30/100))+(AU393*(50/100))) &lt;=9.3, SUM((AS393*(20/100))+(AT393*(30/100))+(AU393*(50/100))) &gt;=8.8),9,
IF(AND( SUM((AS393*(20/100))+(AT393*(30/100))+(AU393*(50/100))) &lt;=8.8, SUM((AS393*(20/100))+(AT393*(30/100))+(AU393*(50/100))) &gt;=8.3),8.5,
IF(AND( SUM((AS393*(20/100))+(AT393*(30/100))+(AU393*(50/100))) &lt;=8.3, SUM((AS393*(20/100))+(AT393*(30/100))+(AU393*(50/100))) &gt;=7.8),8,
IF(AND( SUM((AS393*(20/100))+(AT393*(30/100))+(AU393*(50/100))) &lt;=7.8, SUM((AS393*(20/100))+(AT393*(30/100))+(AU393*(50/100))) &gt;=7.3),7.5,
IF(AND( SUM((AS393*(20/100))+(AT393*(30/100))+(AU393*(50/100))) &lt;=7.3, SUM((AS393*(20/100))+(AT393*(30/100))+(AU393*(50/100))) &gt;=6.8),7,
IF(AND( SUM((AS393*(20/100))+(AT393*(30/100))+(AU393*(50/100))) &lt;=6.8, SUM((AS393*(20/100))+(AT393*(30/100))+(AU393*(50/100))) &gt;=6.3),6.5,
IF(AND( SUM((AS393*(20/100))+(AT393*(30/100))+(AU393*(50/100))) &lt;=6.3, SUM((AS393*(20/100))+(AT393*(30/100))+(AU393*(50/100))) &gt;=5.8),6,
IF(AND( SUM((AS393*(20/100))+(AT393*(30/100))+(AU393*(50/100))) &lt;=5.8, SUM((AS393*(20/100))+(AT393*(30/100))+(AU393*(50/100))) &gt;=5.3),5.5,
IF(AND( SUM((AS393*(20/100))+(AT393*(30/100))+(AU393*(50/100))) &lt;=5.3, SUM((AS393*(20/100))+(AT393*(30/100))+(AU393*(50/100))) &gt;=4.8),5,
IF(AND( SUM((AS393*(20/100))+(AT393*(30/100))+(AU393*(50/100))) &lt;=4.8, SUM((AS393*(20/100))+(AT393*(30/100))+(AU393*(50/100))) &gt;=4.3),4.5,
IF(AND( SUM((AS393*(20/100))+(AT393*(30/100))+(AU393*(50/100))) &lt;=4.3, SUM((AS393*(20/100))+(AT393*(30/100))+(AU393*(50/100))) &gt;=3.8),4,
IF(AND( SUM((AS393*(20/100))+(AT393*(30/100))+(AU393*(50/100))) &lt;=3.8, SUM((AS393*(20/100))+(AT393*(30/100))+(AU393*(50/100))) &gt;=3.5),3.5,0)))))))))))))</f>
        <v>0</v>
      </c>
      <c r="AW393" s="536"/>
      <c r="AX393" s="536"/>
      <c r="AY393" s="536"/>
      <c r="AZ393" s="542">
        <f t="shared" ref="AZ393:AZ456" si="160">IF( SUM((AW393*(20/100))+(AX393*(30/100))+(AY393*(50/100))) &gt;=9.3,9.5,
IF(AND( SUM((AW393*(20/100))+(AX393*(30/100))+(AY393*(50/100))) &lt;=9.3, SUM((AW393*(20/100))+(AX393*(30/100))+(AY393*(50/100))) &gt;=8.8),9,
IF(AND( SUM((AW393*(20/100))+(AX393*(30/100))+(AY393*(50/100))) &lt;=8.8, SUM((AW393*(20/100))+(AX393*(30/100))+(AY393*(50/100))) &gt;=8.3),8.5,
IF(AND( SUM((AW393*(20/100))+(AX393*(30/100))+(AY393*(50/100))) &lt;=8.3, SUM((AW393*(20/100))+(AX393*(30/100))+(AY393*(50/100))) &gt;=7.8),8,
IF(AND( SUM((AW393*(20/100))+(AX393*(30/100))+(AY393*(50/100))) &lt;=7.8, SUM((AW393*(20/100))+(AX393*(30/100))+(AY393*(50/100))) &gt;=7.3),7.5,
IF(AND( SUM((AW393*(20/100))+(AX393*(30/100))+(AY393*(50/100))) &lt;=7.3, SUM((AW393*(20/100))+(AX393*(30/100))+(AY393*(50/100))) &gt;=6.8),7,
IF(AND( SUM((AW393*(20/100))+(AX393*(30/100))+(AY393*(50/100))) &lt;=6.8, SUM((AW393*(20/100))+(AX393*(30/100))+(AY393*(50/100))) &gt;=6.3),6.5,
IF(AND( SUM((AW393*(20/100))+(AX393*(30/100))+(AY393*(50/100))) &lt;=6.3, SUM((AW393*(20/100))+(AX393*(30/100))+(AY393*(50/100))) &gt;=5.8),6,
IF(AND( SUM((AW393*(20/100))+(AX393*(30/100))+(AY393*(50/100))) &lt;=5.8, SUM((AW393*(20/100))+(AX393*(30/100))+(AY393*(50/100))) &gt;=5.3),5.5,
IF(AND( SUM((AW393*(20/100))+(AX393*(30/100))+(AY393*(50/100))) &lt;=5.3, SUM((AW393*(20/100))+(AX393*(30/100))+(AY393*(50/100))) &gt;=4.8),5,
IF(AND( SUM((AW393*(20/100))+(AX393*(30/100))+(AY393*(50/100))) &lt;=4.8, SUM((AW393*(20/100))+(AX393*(30/100))+(AY393*(50/100))) &gt;=4.3),4.5,
IF(AND( SUM((AW393*(20/100))+(AX393*(30/100))+(AY393*(50/100))) &lt;=4.3, SUM((AW393*(20/100))+(AX393*(30/100))+(AY393*(50/100))) &gt;=3.8),4,
IF(AND( SUM((AW393*(20/100))+(AX393*(30/100))+(AY393*(50/100))) &lt;=3.8, SUM((AW393*(20/100))+(AX393*(30/100))+(AY393*(50/100))) &gt;=3.5),3.5,0)))))))))))))</f>
        <v>0</v>
      </c>
      <c r="BA393" s="536"/>
      <c r="BB393" s="536"/>
      <c r="BC393" s="536"/>
      <c r="BD393" s="542">
        <f t="shared" ref="BD393:BD456" si="161">IF( SUM((BA393*(20/100))+(BB393*(30/100))+(BC393*(50/100))) &gt;=9.3,9.5,
IF(AND( SUM((BA393*(20/100))+(BB393*(30/100))+(BC393*(50/100))) &lt;=9.3, SUM((BA393*(20/100))+(BB393*(30/100))+(BC393*(50/100))) &gt;=8.8),9,
IF(AND( SUM((BA393*(20/100))+(BB393*(30/100))+(BC393*(50/100))) &lt;=8.8, SUM((BA393*(20/100))+(BB393*(30/100))+(BC393*(50/100))) &gt;=8.3),8.5,
IF(AND( SUM((BA393*(20/100))+(BB393*(30/100))+(BC393*(50/100))) &lt;=8.3, SUM((BA393*(20/100))+(BB393*(30/100))+(BC393*(50/100))) &gt;=7.8),8,
IF(AND( SUM((BA393*(20/100))+(BB393*(30/100))+(BC393*(50/100))) &lt;=7.8, SUM((BA393*(20/100))+(BB393*(30/100))+(BC393*(50/100))) &gt;=7.3),7.5,
IF(AND( SUM((BA393*(20/100))+(BB393*(30/100))+(BC393*(50/100))) &lt;=7.3, SUM((BA393*(20/100))+(BB393*(30/100))+(BC393*(50/100))) &gt;=6.8),7,
IF(AND( SUM((BA393*(20/100))+(BB393*(30/100))+(BC393*(50/100))) &lt;=6.8, SUM((BA393*(20/100))+(BB393*(30/100))+(BC393*(50/100))) &gt;=6.3),6.5,
IF(AND( SUM((BA393*(20/100))+(BB393*(30/100))+(BC393*(50/100))) &lt;=6.3, SUM((BA393*(20/100))+(BB393*(30/100))+(BC393*(50/100))) &gt;=5.8),6,
IF(AND( SUM((BA393*(20/100))+(BB393*(30/100))+(BC393*(50/100))) &lt;=5.8, SUM((BA393*(20/100))+(BB393*(30/100))+(BC393*(50/100))) &gt;=5.3),5.5,
IF(AND( SUM((BA393*(20/100))+(BB393*(30/100))+(BC393*(50/100))) &lt;=5.3, SUM((BA393*(20/100))+(BB393*(30/100))+(BC393*(50/100))) &gt;=4.8),5,
IF(AND( SUM((BA393*(20/100))+(BB393*(30/100))+(BC393*(50/100))) &lt;=4.8, SUM((BA393*(20/100))+(BB393*(30/100))+(BC393*(50/100))) &gt;=4.3),4.5,
IF(AND( SUM((BA393*(20/100))+(BB393*(30/100))+(BC393*(50/100))) &lt;=4.3, SUM((BA393*(20/100))+(BB393*(30/100))+(BC393*(50/100))) &gt;=3.8),4,
IF(AND( SUM((BA393*(20/100))+(BB393*(30/100))+(BC393*(50/100))) &lt;=3.8, SUM((BA393*(20/100))+(BB393*(30/100))+(BC393*(50/100))) &gt;=3.5),3.5,0)))))))))))))</f>
        <v>0</v>
      </c>
      <c r="BE393" s="536"/>
      <c r="BF393" s="536"/>
      <c r="BG393" s="536"/>
      <c r="BH393" s="542">
        <f t="shared" ref="BH393:BH456" si="162">IF( SUM((BE393*(20/100))+(BF393*(30/100))+(BG393*(50/100))) &gt;=9.3,9.5,
IF(AND( SUM((BE393*(20/100))+(BF393*(30/100))+(BG393*(50/100))) &lt;=9.3, SUM((BE393*(20/100))+(BF393*(30/100))+(BG393*(50/100))) &gt;=8.8),9,
IF(AND( SUM((BE393*(20/100))+(BF393*(30/100))+(BG393*(50/100))) &lt;=8.8, SUM((BE393*(20/100))+(BF393*(30/100))+(BG393*(50/100))) &gt;=8.3),8.5,
IF(AND( SUM((BE393*(20/100))+(BF393*(30/100))+(BG393*(50/100))) &lt;=8.3, SUM((BE393*(20/100))+(BF393*(30/100))+(BG393*(50/100))) &gt;=7.8),8,
IF(AND( SUM((BE393*(20/100))+(BF393*(30/100))+(BG393*(50/100))) &lt;=7.8, SUM((BE393*(20/100))+(BF393*(30/100))+(BG393*(50/100))) &gt;=7.3),7.5,
IF(AND( SUM((BE393*(20/100))+(BF393*(30/100))+(BG393*(50/100))) &lt;=7.3, SUM((BE393*(20/100))+(BF393*(30/100))+(BG393*(50/100))) &gt;=6.8),7,
IF(AND( SUM((BE393*(20/100))+(BF393*(30/100))+(BG393*(50/100))) &lt;=6.8, SUM((BE393*(20/100))+(BF393*(30/100))+(BG393*(50/100))) &gt;=6.3),6.5,
IF(AND( SUM((BE393*(20/100))+(BF393*(30/100))+(BG393*(50/100))) &lt;=6.3, SUM((BE393*(20/100))+(BF393*(30/100))+(BG393*(50/100))) &gt;=5.8),6,
IF(AND( SUM((BE393*(20/100))+(BF393*(30/100))+(BG393*(50/100))) &lt;=5.8, SUM((BE393*(20/100))+(BF393*(30/100))+(BG393*(50/100))) &gt;=5.3),5.5,
IF(AND( SUM((BE393*(20/100))+(BF393*(30/100))+(BG393*(50/100))) &lt;=5.3, SUM((BE393*(20/100))+(BF393*(30/100))+(BG393*(50/100))) &gt;=4.8),5,
IF(AND( SUM((BE393*(20/100))+(BF393*(30/100))+(BG393*(50/100))) &lt;=4.8, SUM((BE393*(20/100))+(BF393*(30/100))+(BG393*(50/100))) &gt;=4.3),4.5,
IF(AND( SUM((BE393*(20/100))+(BF393*(30/100))+(BG393*(50/100))) &lt;=4.3, SUM((BE393*(20/100))+(BF393*(30/100))+(BG393*(50/100))) &gt;=3.8),4,
IF(AND( SUM((BE393*(20/100))+(BF393*(30/100))+(BG393*(50/100))) &lt;=3.8, SUM((BE393*(20/100))+(BF393*(30/100))+(BG393*(50/100))) &gt;=3.5),3.5,0)))))))))))))</f>
        <v>0</v>
      </c>
      <c r="BI393" s="536"/>
      <c r="BJ393" s="536"/>
      <c r="BK393" s="536"/>
      <c r="BL393" s="542">
        <f t="shared" ref="BL393:BL456" si="163">IF( SUM((BI393*(20/100))+(BJ393*(30/100))+(BK393*(50/100))) &gt;=9.3,9.5,
IF(AND( SUM((BI393*(20/100))+(BJ393*(30/100))+(BK393*(50/100))) &lt;=9.3, SUM((BI393*(20/100))+(BJ393*(30/100))+(BK393*(50/100))) &gt;=8.8),9,
IF(AND( SUM((BI393*(20/100))+(BJ393*(30/100))+(BK393*(50/100))) &lt;=8.8, SUM((BI393*(20/100))+(BJ393*(30/100))+(BK393*(50/100))) &gt;=8.3),8.5,
IF(AND( SUM((BI393*(20/100))+(BJ393*(30/100))+(BK393*(50/100))) &lt;=8.3, SUM((BI393*(20/100))+(BJ393*(30/100))+(BK393*(50/100))) &gt;=7.8),8,
IF(AND( SUM((BI393*(20/100))+(BJ393*(30/100))+(BK393*(50/100))) &lt;=7.8, SUM((BI393*(20/100))+(BJ393*(30/100))+(BK393*(50/100))) &gt;=7.3),7.5,
IF(AND( SUM((BI393*(20/100))+(BJ393*(30/100))+(BK393*(50/100))) &lt;=7.3, SUM((BI393*(20/100))+(BJ393*(30/100))+(BK393*(50/100))) &gt;=6.8),7,
IF(AND( SUM((BI393*(20/100))+(BJ393*(30/100))+(BK393*(50/100))) &lt;=6.8, SUM((BI393*(20/100))+(BJ393*(30/100))+(BK393*(50/100))) &gt;=6.3),6.5,
IF(AND( SUM((BI393*(20/100))+(BJ393*(30/100))+(BK393*(50/100))) &lt;=6.3, SUM((BI393*(20/100))+(BJ393*(30/100))+(BK393*(50/100))) &gt;=5.8),6,
IF(AND( SUM((BI393*(20/100))+(BJ393*(30/100))+(BK393*(50/100))) &lt;=5.8, SUM((BI393*(20/100))+(BJ393*(30/100))+(BK393*(50/100))) &gt;=5.3),5.5,
IF(AND( SUM((BI393*(20/100))+(BJ393*(30/100))+(BK393*(50/100))) &lt;=5.3, SUM((BI393*(20/100))+(BJ393*(30/100))+(BK393*(50/100))) &gt;=4.8),5,
IF(AND( SUM((BI393*(20/100))+(BJ393*(30/100))+(BK393*(50/100))) &lt;=4.8, SUM((BI393*(20/100))+(BJ393*(30/100))+(BK393*(50/100))) &gt;=4.3),4.5,
IF(AND( SUM((BI393*(20/100))+(BJ393*(30/100))+(BK393*(50/100))) &lt;=4.3, SUM((BI393*(20/100))+(BJ393*(30/100))+(BK393*(50/100))) &gt;=3.8),4,
IF(AND( SUM((BI393*(20/100))+(BJ393*(30/100))+(BK393*(50/100))) &lt;=3.8, SUM((BI393*(20/100))+(BJ393*(30/100))+(BK393*(50/100))) &gt;=3.5),3.5,0)))))))))))))</f>
        <v>0</v>
      </c>
      <c r="BM393" s="536"/>
      <c r="BN393" s="536"/>
      <c r="BO393" s="536"/>
      <c r="BP393" s="542">
        <f t="shared" ref="BP393:BP456" si="164">IF( SUM((BM393*(20/100))+(BN393*(30/100))+(BO393*(50/100))) &gt;=9.3,9.5,
IF(AND( SUM((BM393*(20/100))+(BN393*(30/100))+(BO393*(50/100))) &lt;=9.3, SUM((BM393*(20/100))+(BN393*(30/100))+(BO393*(50/100))) &gt;=8.8),9,
IF(AND( SUM((BM393*(20/100))+(BN393*(30/100))+(BO393*(50/100))) &lt;=8.8, SUM((BM393*(20/100))+(BN393*(30/100))+(BO393*(50/100))) &gt;=8.3),8.5,
IF(AND( SUM((BM393*(20/100))+(BN393*(30/100))+(BO393*(50/100))) &lt;=8.3, SUM((BM393*(20/100))+(BN393*(30/100))+(BO393*(50/100))) &gt;=7.8),8,
IF(AND( SUM((BM393*(20/100))+(BN393*(30/100))+(BO393*(50/100))) &lt;=7.8, SUM((BM393*(20/100))+(BN393*(30/100))+(BO393*(50/100))) &gt;=7.3),7.5,
IF(AND( SUM((BM393*(20/100))+(BN393*(30/100))+(BO393*(50/100))) &lt;=7.3, SUM((BM393*(20/100))+(BN393*(30/100))+(BO393*(50/100))) &gt;=6.8),7,
IF(AND( SUM((BM393*(20/100))+(BN393*(30/100))+(BO393*(50/100))) &lt;=6.8, SUM((BM393*(20/100))+(BN393*(30/100))+(BO393*(50/100))) &gt;=6.3),6.5,
IF(AND( SUM((BM393*(20/100))+(BN393*(30/100))+(BO393*(50/100))) &lt;=6.3, SUM((BM393*(20/100))+(BN393*(30/100))+(BO393*(50/100))) &gt;=5.8),6,
IF(AND( SUM((BM393*(20/100))+(BN393*(30/100))+(BO393*(50/100))) &lt;=5.8, SUM((BM393*(20/100))+(BN393*(30/100))+(BO393*(50/100))) &gt;=5.3),5.5,
IF(AND( SUM((BM393*(20/100))+(BN393*(30/100))+(BO393*(50/100))) &lt;=5.3, SUM((BM393*(20/100))+(BN393*(30/100))+(BO393*(50/100))) &gt;=4.8),5,
IF(AND( SUM((BM393*(20/100))+(BN393*(30/100))+(BO393*(50/100))) &lt;=4.8, SUM((BM393*(20/100))+(BN393*(30/100))+(BO393*(50/100))) &gt;=4.3),4.5,
IF(AND( SUM((BM393*(20/100))+(BN393*(30/100))+(BO393*(50/100))) &lt;=4.3, SUM((BM393*(20/100))+(BN393*(30/100))+(BO393*(50/100))) &gt;=3.8),4,
IF(AND( SUM((BM393*(20/100))+(BN393*(30/100))+(BO393*(50/100))) &lt;=3.8, SUM((BM393*(20/100))+(BN393*(30/100))+(BO393*(50/100))) &gt;=3.5),3.5,0)))))))))))))</f>
        <v>0</v>
      </c>
      <c r="BQ393" s="536"/>
      <c r="BR393" s="536"/>
      <c r="BS393" s="536"/>
      <c r="BT393" s="542">
        <f t="shared" ref="BT393:BT456" si="165">IF( SUM((BQ393*(20/100))+(BR393*(30/100))+(BS393*(50/100))) &gt;=9.3,9.5,
IF(AND( SUM((BQ393*(20/100))+(BR393*(30/100))+(BS393*(50/100))) &lt;=9.3, SUM((BQ393*(20/100))+(BR393*(30/100))+(BS393*(50/100))) &gt;=8.8),9,
IF(AND( SUM((BQ393*(20/100))+(BR393*(30/100))+(BS393*(50/100))) &lt;=8.8, SUM((BQ393*(20/100))+(BR393*(30/100))+(BS393*(50/100))) &gt;=8.3),8.5,
IF(AND( SUM((BQ393*(20/100))+(BR393*(30/100))+(BS393*(50/100))) &lt;=8.3, SUM((BQ393*(20/100))+(BR393*(30/100))+(BS393*(50/100))) &gt;=7.8),8,
IF(AND( SUM((BQ393*(20/100))+(BR393*(30/100))+(BS393*(50/100))) &lt;=7.8, SUM((BQ393*(20/100))+(BR393*(30/100))+(BS393*(50/100))) &gt;=7.3),7.5,
IF(AND( SUM((BQ393*(20/100))+(BR393*(30/100))+(BS393*(50/100))) &lt;=7.3, SUM((BQ393*(20/100))+(BR393*(30/100))+(BS393*(50/100))) &gt;=6.8),7,
IF(AND( SUM((BQ393*(20/100))+(BR393*(30/100))+(BS393*(50/100))) &lt;=6.8, SUM((BQ393*(20/100))+(BR393*(30/100))+(BS393*(50/100))) &gt;=6.3),6.5,
IF(AND( SUM((BQ393*(20/100))+(BR393*(30/100))+(BS393*(50/100))) &lt;=6.3, SUM((BQ393*(20/100))+(BR393*(30/100))+(BS393*(50/100))) &gt;=5.8),6,
IF(AND( SUM((BQ393*(20/100))+(BR393*(30/100))+(BS393*(50/100))) &lt;=5.8, SUM((BQ393*(20/100))+(BR393*(30/100))+(BS393*(50/100))) &gt;=5.3),5.5,
IF(AND( SUM((BQ393*(20/100))+(BR393*(30/100))+(BS393*(50/100))) &lt;=5.3, SUM((BQ393*(20/100))+(BR393*(30/100))+(BS393*(50/100))) &gt;=4.8),5,
IF(AND( SUM((BQ393*(20/100))+(BR393*(30/100))+(BS393*(50/100))) &lt;=4.8, SUM((BQ393*(20/100))+(BR393*(30/100))+(BS393*(50/100))) &gt;=4.3),4.5,
IF(AND( SUM((BQ393*(20/100))+(BR393*(30/100))+(BS393*(50/100))) &lt;=4.3, SUM((BQ393*(20/100))+(BR393*(30/100))+(BS393*(50/100))) &gt;=3.8),4,
IF(AND( SUM((BQ393*(20/100))+(BR393*(30/100))+(BS393*(50/100))) &lt;=3.8, SUM((BQ393*(20/100))+(BR393*(30/100))+(BS393*(50/100))) &gt;=3.5),3.5,0)))))))))))))</f>
        <v>0</v>
      </c>
      <c r="BU393" s="536"/>
      <c r="BV393" s="536"/>
      <c r="BW393" s="536"/>
      <c r="BX393" s="542">
        <f t="shared" ref="BX393:BX456" si="166">IF( SUM((BU393*(20/100))+(BV393*(30/100))+(BW393*(50/100))) &gt;=9.3,9.5,
IF(AND( SUM((BU393*(20/100))+(BV393*(30/100))+(BW393*(50/100))) &lt;=9.3, SUM((BU393*(20/100))+(BV393*(30/100))+(BW393*(50/100))) &gt;=8.8),9,
IF(AND( SUM((BU393*(20/100))+(BV393*(30/100))+(BW393*(50/100))) &lt;=8.8, SUM((BU393*(20/100))+(BV393*(30/100))+(BW393*(50/100))) &gt;=8.3),8.5,
IF(AND( SUM((BU393*(20/100))+(BV393*(30/100))+(BW393*(50/100))) &lt;=8.3, SUM((BU393*(20/100))+(BV393*(30/100))+(BW393*(50/100))) &gt;=7.8),8,
IF(AND( SUM((BU393*(20/100))+(BV393*(30/100))+(BW393*(50/100))) &lt;=7.8, SUM((BU393*(20/100))+(BV393*(30/100))+(BW393*(50/100))) &gt;=7.3),7.5,
IF(AND( SUM((BU393*(20/100))+(BV393*(30/100))+(BW393*(50/100))) &lt;=7.3, SUM((BU393*(20/100))+(BV393*(30/100))+(BW393*(50/100))) &gt;=6.8),7,
IF(AND( SUM((BU393*(20/100))+(BV393*(30/100))+(BW393*(50/100))) &lt;=6.8, SUM((BU393*(20/100))+(BV393*(30/100))+(BW393*(50/100))) &gt;=6.3),6.5,
IF(AND( SUM((BU393*(20/100))+(BV393*(30/100))+(BW393*(50/100))) &lt;=6.3, SUM((BU393*(20/100))+(BV393*(30/100))+(BW393*(50/100))) &gt;=5.8),6,
IF(AND( SUM((BU393*(20/100))+(BV393*(30/100))+(BW393*(50/100))) &lt;=5.8, SUM((BU393*(20/100))+(BV393*(30/100))+(BW393*(50/100))) &gt;=5.3),5.5,
IF(AND( SUM((BU393*(20/100))+(BV393*(30/100))+(BW393*(50/100))) &lt;=5.3, SUM((BU393*(20/100))+(BV393*(30/100))+(BW393*(50/100))) &gt;=4.8),5,
IF(AND( SUM((BU393*(20/100))+(BV393*(30/100))+(BW393*(50/100))) &lt;=4.8, SUM((BU393*(20/100))+(BV393*(30/100))+(BW393*(50/100))) &gt;=4.3),4.5,
IF(AND( SUM((BU393*(20/100))+(BV393*(30/100))+(BW393*(50/100))) &lt;=4.3, SUM((BU393*(20/100))+(BV393*(30/100))+(BW393*(50/100))) &gt;=3.8),4,
IF(AND( SUM((BU393*(20/100))+(BV393*(30/100))+(BW393*(50/100))) &lt;=3.8, SUM((BU393*(20/100))+(BV393*(30/100))+(BW393*(50/100))) &gt;=3.5),3.5,0)))))))))))))</f>
        <v>0</v>
      </c>
      <c r="BY393" s="536"/>
      <c r="BZ393" s="536"/>
      <c r="CA393" s="536"/>
      <c r="CB393" s="542">
        <v>0</v>
      </c>
      <c r="CC393" s="536"/>
      <c r="CD393" s="536"/>
      <c r="CE393" s="536"/>
      <c r="CF393" s="541">
        <f t="shared" ref="CF393:CF456" si="167">IF( SUM((CC393*(20/100))+(CD393*(30/100))+(CE393*(50/100))) &gt;=9.3,9.5,
IF(AND( SUM((CC393*(20/100))+(CD393*(30/100))+(CE393*(50/100))) &lt;=9.3, SUM((CC393*(20/100))+(CD393*(30/100))+(CE393*(50/100))) &gt;=8.8),9,
IF(AND( SUM((CC393*(20/100))+(CD393*(30/100))+(CE393*(50/100))) &lt;=8.8, SUM((CC393*(20/100))+(CD393*(30/100))+(CE393*(50/100))) &gt;=8.3),8.5,
IF(AND( SUM((CC393*(20/100))+(CD393*(30/100))+(CE393*(50/100))) &lt;=8.3, SUM((CC393*(20/100))+(CD393*(30/100))+(CE393*(50/100))) &gt;=7.8),8,
IF(AND( SUM((CC393*(20/100))+(CD393*(30/100))+(CE393*(50/100))) &lt;=7.8, SUM((CC393*(20/100))+(CD393*(30/100))+(CE393*(50/100))) &gt;=7.3),7.5,
IF(AND( SUM((CC393*(20/100))+(CD393*(30/100))+(CE393*(50/100))) &lt;=7.3, SUM((CC393*(20/100))+(CD393*(30/100))+(CE393*(50/100))) &gt;=6.8),7,
IF(AND( SUM((CC393*(20/100))+(CD393*(30/100))+(CE393*(50/100))) &lt;=6.8, SUM((CC393*(20/100))+(CD393*(30/100))+(CE393*(50/100))) &gt;=6.3),6.5,
IF(AND( SUM((CC393*(20/100))+(CD393*(30/100))+(CE393*(50/100))) &lt;=6.3, SUM((CC393*(20/100))+(CD393*(30/100))+(CE393*(50/100))) &gt;=5.8),6,
IF(AND( SUM((CC393*(20/100))+(CD393*(30/100))+(CE393*(50/100))) &lt;=5.8, SUM((CC393*(20/100))+(CD393*(30/100))+(CE393*(50/100))) &gt;=5.3),5.5,
IF(AND( SUM((CC393*(20/100))+(CD393*(30/100))+(CE393*(50/100))) &lt;=5.3, SUM((CC393*(20/100))+(CD393*(30/100))+(CE393*(50/100))) &gt;=4.8),5,
IF(AND( SUM((CC393*(20/100))+(CD393*(30/100))+(CE393*(50/100))) &lt;=4.8, SUM((CC393*(20/100))+(CD393*(30/100))+(CE393*(50/100))) &gt;=4.3),4.5,
IF(AND( SUM((CC393*(20/100))+(CD393*(30/100))+(CE393*(50/100))) &lt;=4.3, SUM((CC393*(20/100))+(CD393*(30/100))+(CE393*(50/100))) &gt;=3.8),4,
IF(AND( SUM((CC393*(20/100))+(CD393*(30/100))+(CE393*(50/100))) &lt;=3.8, SUM((CC393*(20/100))+(CD393*(30/100))+(CE393*(50/100))) &gt;=3.5),3.5,0)))))))))))))</f>
        <v>0</v>
      </c>
      <c r="CG393" s="536"/>
      <c r="CH393" s="536"/>
      <c r="CI393" s="536"/>
      <c r="CJ393" s="541">
        <f t="shared" ref="CJ393:CJ456" si="168">IF( SUM((CG393*(20/100))+(CH393*(30/100))+(CI393*(50/100))) &gt;=9.3,9.5,
IF(AND( SUM((CG393*(20/100))+(CH393*(30/100))+(CI393*(50/100))) &lt;=9.3, SUM((CG393*(20/100))+(CH393*(30/100))+(CI393*(50/100))) &gt;=8.8),9,
IF(AND( SUM((CG393*(20/100))+(CH393*(30/100))+(CI393*(50/100))) &lt;=8.8, SUM((CG393*(20/100))+(CH393*(30/100))+(CI393*(50/100))) &gt;=8.3),8.5,
IF(AND( SUM((CG393*(20/100))+(CH393*(30/100))+(CI393*(50/100))) &lt;=8.3, SUM((CG393*(20/100))+(CH393*(30/100))+(CI393*(50/100))) &gt;=7.8),8,
IF(AND( SUM((CG393*(20/100))+(CH393*(30/100))+(CI393*(50/100))) &lt;=7.8, SUM((CG393*(20/100))+(CH393*(30/100))+(CI393*(50/100))) &gt;=7.3),7.5,
IF(AND( SUM((CG393*(20/100))+(CH393*(30/100))+(CI393*(50/100))) &lt;=7.3, SUM((CG393*(20/100))+(CH393*(30/100))+(CI393*(50/100))) &gt;=6.8),7,
IF(AND( SUM((CG393*(20/100))+(CH393*(30/100))+(CI393*(50/100))) &lt;=6.8, SUM((CG393*(20/100))+(CH393*(30/100))+(CI393*(50/100))) &gt;=6.3),6.5,
IF(AND( SUM((CG393*(20/100))+(CH393*(30/100))+(CI393*(50/100))) &lt;=6.3, SUM((CG393*(20/100))+(CH393*(30/100))+(CI393*(50/100))) &gt;=5.8),6,
IF(AND( SUM((CG393*(20/100))+(CH393*(30/100))+(CI393*(50/100))) &lt;=5.8, SUM((CG393*(20/100))+(CH393*(30/100))+(CI393*(50/100))) &gt;=5.3),5.5,
IF(AND( SUM((CG393*(20/100))+(CH393*(30/100))+(CI393*(50/100))) &lt;=5.3, SUM((CG393*(20/100))+(CH393*(30/100))+(CI393*(50/100))) &gt;=4.8),5,
IF(AND( SUM((CG393*(20/100))+(CH393*(30/100))+(CI393*(50/100))) &lt;=4.8, SUM((CG393*(20/100))+(CH393*(30/100))+(CI393*(50/100))) &gt;=4.3),4.5,
IF(AND( SUM((CG393*(20/100))+(CH393*(30/100))+(CI393*(50/100))) &lt;=4.3, SUM((CG393*(20/100))+(CH393*(30/100))+(CI393*(50/100))) &gt;=3.8),4,
IF(AND( SUM((CG393*(20/100))+(CH393*(30/100))+(CI393*(50/100))) &lt;=3.8, SUM((CG393*(20/100))+(CH393*(30/100))+(CI393*(50/100))) &gt;=3.5),3.5,0)))))))))))))</f>
        <v>0</v>
      </c>
      <c r="CK393" s="536"/>
      <c r="CL393" s="536"/>
      <c r="CM393" s="536"/>
      <c r="CN393" s="541">
        <f t="shared" ref="CN393:CN456" si="169">IF( SUM((CK393*(20/100))+(CL393*(30/100))+(CM393*(50/100))) &gt;=9.3,9.5,
IF(AND( SUM((CK393*(20/100))+(CL393*(30/100))+(CM393*(50/100))) &lt;=9.3, SUM((CK393*(20/100))+(CL393*(30/100))+(CM393*(50/100))) &gt;=8.8),9,
IF(AND( SUM((CK393*(20/100))+(CL393*(30/100))+(CM393*(50/100))) &lt;=8.8, SUM((CK393*(20/100))+(CL393*(30/100))+(CM393*(50/100))) &gt;=8.3),8.5,
IF(AND( SUM((CK393*(20/100))+(CL393*(30/100))+(CM393*(50/100))) &lt;=8.3, SUM((CK393*(20/100))+(CL393*(30/100))+(CM393*(50/100))) &gt;=7.8),8,
IF(AND( SUM((CK393*(20/100))+(CL393*(30/100))+(CM393*(50/100))) &lt;=7.8, SUM((CK393*(20/100))+(CL393*(30/100))+(CM393*(50/100))) &gt;=7.3),7.5,
IF(AND( SUM((CK393*(20/100))+(CL393*(30/100))+(CM393*(50/100))) &lt;=7.3, SUM((CK393*(20/100))+(CL393*(30/100))+(CM393*(50/100))) &gt;=6.8),7,
IF(AND( SUM((CK393*(20/100))+(CL393*(30/100))+(CM393*(50/100))) &lt;=6.8, SUM((CK393*(20/100))+(CL393*(30/100))+(CM393*(50/100))) &gt;=6.3),6.5,
IF(AND( SUM((CK393*(20/100))+(CL393*(30/100))+(CM393*(50/100))) &lt;=6.3, SUM((CK393*(20/100))+(CL393*(30/100))+(CM393*(50/100))) &gt;=5.8),6,
IF(AND( SUM((CK393*(20/100))+(CL393*(30/100))+(CM393*(50/100))) &lt;=5.8, SUM((CK393*(20/100))+(CL393*(30/100))+(CM393*(50/100))) &gt;=5.3),5.5,
IF(AND( SUM((CK393*(20/100))+(CL393*(30/100))+(CM393*(50/100))) &lt;=5.3, SUM((CK393*(20/100))+(CL393*(30/100))+(CM393*(50/100))) &gt;=4.8),5,
IF(AND( SUM((CK393*(20/100))+(CL393*(30/100))+(CM393*(50/100))) &lt;=4.8, SUM((CK393*(20/100))+(CL393*(30/100))+(CM393*(50/100))) &gt;=4.3),4.5,
IF(AND( SUM((CK393*(20/100))+(CL393*(30/100))+(CM393*(50/100))) &lt;=4.3, SUM((CK393*(20/100))+(CL393*(30/100))+(CM393*(50/100))) &gt;=3.8),4,
IF(AND( SUM((CK393*(20/100))+(CL393*(30/100))+(CM393*(50/100))) &lt;=3.8, SUM((CK393*(20/100))+(CL393*(30/100))+(CM393*(50/100))) &gt;=3.5),3.5,0)))))))))))))</f>
        <v>0</v>
      </c>
      <c r="CO393" s="536"/>
      <c r="CP393" s="536"/>
      <c r="CQ393" s="536"/>
      <c r="CR393" s="541">
        <f t="shared" ref="CR393:CR456" si="170">IF( SUM((CO393*(20/100))+(CP393*(30/100))+(CQ393*(50/100))) &gt;=9.3,9.5,
IF(AND( SUM((CO393*(20/100))+(CP393*(30/100))+(CQ393*(50/100))) &lt;=9.3, SUM((CO393*(20/100))+(CP393*(30/100))+(CQ393*(50/100))) &gt;=8.8),9,
IF(AND( SUM((CO393*(20/100))+(CP393*(30/100))+(CQ393*(50/100))) &lt;=8.8, SUM((CO393*(20/100))+(CP393*(30/100))+(CQ393*(50/100))) &gt;=8.3),8.5,
IF(AND( SUM((CO393*(20/100))+(CP393*(30/100))+(CQ393*(50/100))) &lt;=8.3, SUM((CO393*(20/100))+(CP393*(30/100))+(CQ393*(50/100))) &gt;=7.8),8,
IF(AND( SUM((CO393*(20/100))+(CP393*(30/100))+(CQ393*(50/100))) &lt;=7.8, SUM((CO393*(20/100))+(CP393*(30/100))+(CQ393*(50/100))) &gt;=7.3),7.5,
IF(AND( SUM((CO393*(20/100))+(CP393*(30/100))+(CQ393*(50/100))) &lt;=7.3, SUM((CO393*(20/100))+(CP393*(30/100))+(CQ393*(50/100))) &gt;=6.8),7,
IF(AND( SUM((CO393*(20/100))+(CP393*(30/100))+(CQ393*(50/100))) &lt;=6.8, SUM((CO393*(20/100))+(CP393*(30/100))+(CQ393*(50/100))) &gt;=6.3),6.5,
IF(AND( SUM((CO393*(20/100))+(CP393*(30/100))+(CQ393*(50/100))) &lt;=6.3, SUM((CO393*(20/100))+(CP393*(30/100))+(CQ393*(50/100))) &gt;=5.8),6,
IF(AND( SUM((CO393*(20/100))+(CP393*(30/100))+(CQ393*(50/100))) &lt;=5.8, SUM((CO393*(20/100))+(CP393*(30/100))+(CQ393*(50/100))) &gt;=5.3),5.5,
IF(AND( SUM((CO393*(20/100))+(CP393*(30/100))+(CQ393*(50/100))) &lt;=5.3, SUM((CO393*(20/100))+(CP393*(30/100))+(CQ393*(50/100))) &gt;=4.8),5,
IF(AND( SUM((CO393*(20/100))+(CP393*(30/100))+(CQ393*(50/100))) &lt;=4.8, SUM((CO393*(20/100))+(CP393*(30/100))+(CQ393*(50/100))) &gt;=4.3),4.5,
IF(AND( SUM((CO393*(20/100))+(CP393*(30/100))+(CQ393*(50/100))) &lt;=4.3, SUM((CO393*(20/100))+(CP393*(30/100))+(CQ393*(50/100))) &gt;=3.8),4,
IF(AND( SUM((CO393*(20/100))+(CP393*(30/100))+(CQ393*(50/100))) &lt;=3.8, SUM((CO393*(20/100))+(CP393*(30/100))+(CQ393*(50/100))) &gt;=3.5),3.5,0)))))))))))))</f>
        <v>0</v>
      </c>
      <c r="CS393" s="536"/>
      <c r="CT393" s="536"/>
      <c r="CU393" s="536"/>
      <c r="CV393" s="541">
        <f t="shared" ref="CV393:CV456" si="171">IF( SUM((CS393*(20/100))+(CT393*(30/100))+(CU393*(50/100))) &gt;=9.3,9.5,
IF(AND( SUM((CS393*(20/100))+(CT393*(30/100))+(CU393*(50/100))) &lt;=9.3, SUM((CS393*(20/100))+(CT393*(30/100))+(CU393*(50/100))) &gt;=8.8),9,
IF(AND( SUM((CS393*(20/100))+(CT393*(30/100))+(CU393*(50/100))) &lt;=8.8, SUM((CS393*(20/100))+(CT393*(30/100))+(CU393*(50/100))) &gt;=8.3),8.5,
IF(AND( SUM((CS393*(20/100))+(CT393*(30/100))+(CU393*(50/100))) &lt;=8.3, SUM((CS393*(20/100))+(CT393*(30/100))+(CU393*(50/100))) &gt;=7.8),8,
IF(AND( SUM((CS393*(20/100))+(CT393*(30/100))+(CU393*(50/100))) &lt;=7.8, SUM((CS393*(20/100))+(CT393*(30/100))+(CU393*(50/100))) &gt;=7.3),7.5,
IF(AND( SUM((CS393*(20/100))+(CT393*(30/100))+(CU393*(50/100))) &lt;=7.3, SUM((CS393*(20/100))+(CT393*(30/100))+(CU393*(50/100))) &gt;=6.8),7,
IF(AND( SUM((CS393*(20/100))+(CT393*(30/100))+(CU393*(50/100))) &lt;=6.8, SUM((CS393*(20/100))+(CT393*(30/100))+(CU393*(50/100))) &gt;=6.3),6.5,
IF(AND( SUM((CS393*(20/100))+(CT393*(30/100))+(CU393*(50/100))) &lt;=6.3, SUM((CS393*(20/100))+(CT393*(30/100))+(CU393*(50/100))) &gt;=5.8),6,
IF(AND( SUM((CS393*(20/100))+(CT393*(30/100))+(CU393*(50/100))) &lt;=5.8, SUM((CS393*(20/100))+(CT393*(30/100))+(CU393*(50/100))) &gt;=5.3),5.5,
IF(AND( SUM((CS393*(20/100))+(CT393*(30/100))+(CU393*(50/100))) &lt;=5.3, SUM((CS393*(20/100))+(CT393*(30/100))+(CU393*(50/100))) &gt;=4.8),5,
IF(AND( SUM((CS393*(20/100))+(CT393*(30/100))+(CU393*(50/100))) &lt;=4.8, SUM((CS393*(20/100))+(CT393*(30/100))+(CU393*(50/100))) &gt;=4.3),4.5,
IF(AND( SUM((CS393*(20/100))+(CT393*(30/100))+(CU393*(50/100))) &lt;=4.3, SUM((CS393*(20/100))+(CT393*(30/100))+(CU393*(50/100))) &gt;=3.8),4,
IF(AND( SUM((CS393*(20/100))+(CT393*(30/100))+(CU393*(50/100))) &lt;=3.8, SUM((CS393*(20/100))+(CT393*(30/100))+(CU393*(50/100))) &gt;=3.5),3.5,0)))))))))))))</f>
        <v>0</v>
      </c>
      <c r="CW393" s="536"/>
      <c r="CX393" s="536"/>
      <c r="CY393" s="536"/>
      <c r="CZ393" s="541">
        <f t="shared" ref="CZ393:CZ456" si="172">IF( SUM((CW393*(20/100))+(CX393*(30/100))+(CY393*(50/100))) &gt;=9.3,9.5,
IF(AND( SUM((CW393*(20/100))+(CX393*(30/100))+(CY393*(50/100))) &lt;=9.3, SUM((CW393*(20/100))+(CX393*(30/100))+(CY393*(50/100))) &gt;=8.8),9,
IF(AND( SUM((CW393*(20/100))+(CX393*(30/100))+(CY393*(50/100))) &lt;=8.8, SUM((CW393*(20/100))+(CX393*(30/100))+(CY393*(50/100))) &gt;=8.3),8.5,
IF(AND( SUM((CW393*(20/100))+(CX393*(30/100))+(CY393*(50/100))) &lt;=8.3, SUM((CW393*(20/100))+(CX393*(30/100))+(CY393*(50/100))) &gt;=7.8),8,
IF(AND( SUM((CW393*(20/100))+(CX393*(30/100))+(CY393*(50/100))) &lt;=7.8, SUM((CW393*(20/100))+(CX393*(30/100))+(CY393*(50/100))) &gt;=7.3),7.5,
IF(AND( SUM((CW393*(20/100))+(CX393*(30/100))+(CY393*(50/100))) &lt;=7.3, SUM((CW393*(20/100))+(CX393*(30/100))+(CY393*(50/100))) &gt;=6.8),7,
IF(AND( SUM((CW393*(20/100))+(CX393*(30/100))+(CY393*(50/100))) &lt;=6.8, SUM((CW393*(20/100))+(CX393*(30/100))+(CY393*(50/100))) &gt;=6.3),6.5,
IF(AND( SUM((CW393*(20/100))+(CX393*(30/100))+(CY393*(50/100))) &lt;=6.3, SUM((CW393*(20/100))+(CX393*(30/100))+(CY393*(50/100))) &gt;=5.8),6,
IF(AND( SUM((CW393*(20/100))+(CX393*(30/100))+(CY393*(50/100))) &lt;=5.8, SUM((CW393*(20/100))+(CX393*(30/100))+(CY393*(50/100))) &gt;=5.3),5.5,
IF(AND( SUM((CW393*(20/100))+(CX393*(30/100))+(CY393*(50/100))) &lt;=5.3, SUM((CW393*(20/100))+(CX393*(30/100))+(CY393*(50/100))) &gt;=4.8),5,
IF(AND( SUM((CW393*(20/100))+(CX393*(30/100))+(CY393*(50/100))) &lt;=4.8, SUM((CW393*(20/100))+(CX393*(30/100))+(CY393*(50/100))) &gt;=4.3),4.5,
IF(AND( SUM((CW393*(20/100))+(CX393*(30/100))+(CY393*(50/100))) &lt;=4.3, SUM((CW393*(20/100))+(CX393*(30/100))+(CY393*(50/100))) &gt;=3.8),4,
IF(AND( SUM((CW393*(20/100))+(CX393*(30/100))+(CY393*(50/100))) &lt;=3.8, SUM((CW393*(20/100))+(CX393*(30/100))+(CY393*(50/100))) &gt;=3.5),3.5,0)))))))))))))</f>
        <v>0</v>
      </c>
      <c r="DA393" s="536"/>
      <c r="DB393" s="536"/>
      <c r="DC393" s="536"/>
      <c r="DD393" s="541">
        <f t="shared" ref="DD393:DD456" si="173">IF( SUM((DA393*(20/100))+(DB393*(30/100))+(DC393*(50/100))) &gt;=9.3,9.5,
IF(AND( SUM((DA393*(20/100))+(DB393*(30/100))+(DC393*(50/100))) &lt;=9.3, SUM((DA393*(20/100))+(DB393*(30/100))+(DC393*(50/100))) &gt;=8.8),9,
IF(AND( SUM((DA393*(20/100))+(DB393*(30/100))+(DC393*(50/100))) &lt;=8.8, SUM((DA393*(20/100))+(DB393*(30/100))+(DC393*(50/100))) &gt;=8.3),8.5,
IF(AND( SUM((DA393*(20/100))+(DB393*(30/100))+(DC393*(50/100))) &lt;=8.3, SUM((DA393*(20/100))+(DB393*(30/100))+(DC393*(50/100))) &gt;=7.8),8,
IF(AND( SUM((DA393*(20/100))+(DB393*(30/100))+(DC393*(50/100))) &lt;=7.8, SUM((DA393*(20/100))+(DB393*(30/100))+(DC393*(50/100))) &gt;=7.3),7.5,
IF(AND( SUM((DA393*(20/100))+(DB393*(30/100))+(DC393*(50/100))) &lt;=7.3, SUM((DA393*(20/100))+(DB393*(30/100))+(DC393*(50/100))) &gt;=6.8),7,
IF(AND( SUM((DA393*(20/100))+(DB393*(30/100))+(DC393*(50/100))) &lt;=6.8, SUM((DA393*(20/100))+(DB393*(30/100))+(DC393*(50/100))) &gt;=6.3),6.5,
IF(AND( SUM((DA393*(20/100))+(DB393*(30/100))+(DC393*(50/100))) &lt;=6.3, SUM((DA393*(20/100))+(DB393*(30/100))+(DC393*(50/100))) &gt;=5.8),6,
IF(AND( SUM((DA393*(20/100))+(DB393*(30/100))+(DC393*(50/100))) &lt;=5.8, SUM((DA393*(20/100))+(DB393*(30/100))+(DC393*(50/100))) &gt;=5.3),5.5,
IF(AND( SUM((DA393*(20/100))+(DB393*(30/100))+(DC393*(50/100))) &lt;=5.3, SUM((DA393*(20/100))+(DB393*(30/100))+(DC393*(50/100))) &gt;=4.8),5,
IF(AND( SUM((DA393*(20/100))+(DB393*(30/100))+(DC393*(50/100))) &lt;=4.8, SUM((DA393*(20/100))+(DB393*(30/100))+(DC393*(50/100))) &gt;=4.3),4.5,
IF(AND( SUM((DA393*(20/100))+(DB393*(30/100))+(DC393*(50/100))) &lt;=4.3, SUM((DA393*(20/100))+(DB393*(30/100))+(DC393*(50/100))) &gt;=3.8),4,
IF(AND( SUM((DA393*(20/100))+(DB393*(30/100))+(DC393*(50/100))) &lt;=3.8, SUM((DA393*(20/100))+(DB393*(30/100))+(DC393*(50/100))) &gt;=3.5),3.5,0)))))))))))))</f>
        <v>0</v>
      </c>
      <c r="DE393" s="536"/>
      <c r="DF393" s="536"/>
      <c r="DG393" s="536"/>
      <c r="DH393" s="541">
        <f t="shared" ref="DH393:DH456" si="174">IF( SUM((DE393*(20/100))+(DF393*(30/100))+(DG393*(50/100))) &gt;=9.3,9.5,
IF(AND( SUM((DE393*(20/100))+(DF393*(30/100))+(DG393*(50/100))) &lt;=9.3, SUM((DE393*(20/100))+(DF393*(30/100))+(DG393*(50/100))) &gt;=8.8),9,
IF(AND( SUM((DE393*(20/100))+(DF393*(30/100))+(DG393*(50/100))) &lt;=8.8, SUM((DE393*(20/100))+(DF393*(30/100))+(DG393*(50/100))) &gt;=8.3),8.5,
IF(AND( SUM((DE393*(20/100))+(DF393*(30/100))+(DG393*(50/100))) &lt;=8.3, SUM((DE393*(20/100))+(DF393*(30/100))+(DG393*(50/100))) &gt;=7.8),8,
IF(AND( SUM((DE393*(20/100))+(DF393*(30/100))+(DG393*(50/100))) &lt;=7.8, SUM((DE393*(20/100))+(DF393*(30/100))+(DG393*(50/100))) &gt;=7.3),7.5,
IF(AND( SUM((DE393*(20/100))+(DF393*(30/100))+(DG393*(50/100))) &lt;=7.3, SUM((DE393*(20/100))+(DF393*(30/100))+(DG393*(50/100))) &gt;=6.8),7,
IF(AND( SUM((DE393*(20/100))+(DF393*(30/100))+(DG393*(50/100))) &lt;=6.8, SUM((DE393*(20/100))+(DF393*(30/100))+(DG393*(50/100))) &gt;=6.3),6.5,
IF(AND( SUM((DE393*(20/100))+(DF393*(30/100))+(DG393*(50/100))) &lt;=6.3, SUM((DE393*(20/100))+(DF393*(30/100))+(DG393*(50/100))) &gt;=5.8),6,
IF(AND( SUM((DE393*(20/100))+(DF393*(30/100))+(DG393*(50/100))) &lt;=5.8, SUM((DE393*(20/100))+(DF393*(30/100))+(DG393*(50/100))) &gt;=5.3),5.5,
IF(AND( SUM((DE393*(20/100))+(DF393*(30/100))+(DG393*(50/100))) &lt;=5.3, SUM((DE393*(20/100))+(DF393*(30/100))+(DG393*(50/100))) &gt;=4.8),5,
IF(AND( SUM((DE393*(20/100))+(DF393*(30/100))+(DG393*(50/100))) &lt;=4.8, SUM((DE393*(20/100))+(DF393*(30/100))+(DG393*(50/100))) &gt;=4.3),4.5,
IF(AND( SUM((DE393*(20/100))+(DF393*(30/100))+(DG393*(50/100))) &lt;=4.3, SUM((DE393*(20/100))+(DF393*(30/100))+(DG393*(50/100))) &gt;=3.8),4,
IF(AND( SUM((DE393*(20/100))+(DF393*(30/100))+(DG393*(50/100))) &lt;=3.8, SUM((DE393*(20/100))+(DF393*(30/100))+(DG393*(50/100))) &gt;=3.5),3.5,0)))))))))))))</f>
        <v>0</v>
      </c>
      <c r="DI393" s="536"/>
      <c r="DJ393" s="536"/>
      <c r="DK393" s="536"/>
      <c r="DL393" s="541">
        <f t="shared" ref="DL393:DL456" si="175">IF( SUM((DI393*(20/100))+(DJ393*(30/100))+(DK393*(50/100))) &gt;=9.3,9.5,
IF(AND( SUM((DI393*(20/100))+(DJ393*(30/100))+(DK393*(50/100))) &lt;=9.3, SUM((DI393*(20/100))+(DJ393*(30/100))+(DK393*(50/100))) &gt;=8.8),9,
IF(AND( SUM((DI393*(20/100))+(DJ393*(30/100))+(DK393*(50/100))) &lt;=8.8, SUM((DI393*(20/100))+(DJ393*(30/100))+(DK393*(50/100))) &gt;=8.3),8.5,
IF(AND( SUM((DI393*(20/100))+(DJ393*(30/100))+(DK393*(50/100))) &lt;=8.3, SUM((DI393*(20/100))+(DJ393*(30/100))+(DK393*(50/100))) &gt;=7.8),8,
IF(AND( SUM((DI393*(20/100))+(DJ393*(30/100))+(DK393*(50/100))) &lt;=7.8, SUM((DI393*(20/100))+(DJ393*(30/100))+(DK393*(50/100))) &gt;=7.3),7.5,
IF(AND( SUM((DI393*(20/100))+(DJ393*(30/100))+(DK393*(50/100))) &lt;=7.3, SUM((DI393*(20/100))+(DJ393*(30/100))+(DK393*(50/100))) &gt;=6.8),7,
IF(AND( SUM((DI393*(20/100))+(DJ393*(30/100))+(DK393*(50/100))) &lt;=6.8, SUM((DI393*(20/100))+(DJ393*(30/100))+(DK393*(50/100))) &gt;=6.3),6.5,
IF(AND( SUM((DI393*(20/100))+(DJ393*(30/100))+(DK393*(50/100))) &lt;=6.3, SUM((DI393*(20/100))+(DJ393*(30/100))+(DK393*(50/100))) &gt;=5.8),6,
IF(AND( SUM((DI393*(20/100))+(DJ393*(30/100))+(DK393*(50/100))) &lt;=5.8, SUM((DI393*(20/100))+(DJ393*(30/100))+(DK393*(50/100))) &gt;=5.3),5.5,
IF(AND( SUM((DI393*(20/100))+(DJ393*(30/100))+(DK393*(50/100))) &lt;=5.3, SUM((DI393*(20/100))+(DJ393*(30/100))+(DK393*(50/100))) &gt;=4.8),5,
IF(AND( SUM((DI393*(20/100))+(DJ393*(30/100))+(DK393*(50/100))) &lt;=4.8, SUM((DI393*(20/100))+(DJ393*(30/100))+(DK393*(50/100))) &gt;=4.3),4.5,
IF(AND( SUM((DI393*(20/100))+(DJ393*(30/100))+(DK393*(50/100))) &lt;=4.3, SUM((DI393*(20/100))+(DJ393*(30/100))+(DK393*(50/100))) &gt;=3.8),4,
IF(AND( SUM((DI393*(20/100))+(DJ393*(30/100))+(DK393*(50/100))) &lt;=3.8, SUM((DI393*(20/100))+(DJ393*(30/100))+(DK393*(50/100))) &gt;=3.5),3.5,0)))))))))))))</f>
        <v>0</v>
      </c>
      <c r="DM393" s="536"/>
      <c r="DN393" s="536"/>
      <c r="DO393" s="536"/>
      <c r="DP393" s="541">
        <f>IF( SUM((DJ393*(20/100))+(DK393*(30/100))+(DL393*(50/100))) &gt;=9.3,9.5,
IF(AND( SUM((DJ393*(20/100))+(DK393*(30/100))+(DL393*(50/100))) &lt;=9.3, SUM((DJ393*(20/100))+(DK393*(30/100))+(DL393*(50/100))) &gt;=8.8),9,
IF(AND( SUM((DJ393*(20/100))+(DK393*(30/100))+(DL393*(50/100))) &lt;=8.8, SUM((DJ393*(20/100))+(DK393*(30/100))+(DL393*(50/100))) &gt;=8.3),8.5,
IF(AND( SUM((DJ393*(20/100))+(DK393*(30/100))+(DL393*(50/100))) &lt;=8.3, SUM((DJ393*(20/100))+(DK393*(30/100))+(DL393*(50/100))) &gt;=7.8),8,
IF(AND( SUM((DJ393*(20/100))+(DK393*(30/100))+(DL393*(50/100))) &lt;=7.8, SUM((DJ393*(20/100))+(DK393*(30/100))+(DL393*(50/100))) &gt;=7.3),7.5,
IF(AND( SUM((DJ393*(20/100))+(DK393*(30/100))+(DL393*(50/100))) &lt;=7.3, SUM((DJ393*(20/100))+(DK393*(30/100))+(DL393*(50/100))) &gt;=6.8),7,
IF(AND( SUM((DJ393*(20/100))+(DK393*(30/100))+(DL393*(50/100))) &lt;=6.8, SUM((DJ393*(20/100))+(DK393*(30/100))+(DL393*(50/100))) &gt;=6.3),6.5,
IF(AND( SUM((DJ393*(20/100))+(DK393*(30/100))+(DL393*(50/100))) &lt;=6.3, SUM((DJ393*(20/100))+(DK393*(30/100))+(DL393*(50/100))) &gt;=5.8),6,
IF(AND( SUM((DJ393*(20/100))+(DK393*(30/100))+(DL393*(50/100))) &lt;=5.8, SUM((DJ393*(20/100))+(DK393*(30/100))+(DL393*(50/100))) &gt;=5.3),5.5,
IF(AND( SUM((DJ393*(20/100))+(DK393*(30/100))+(DL393*(50/100))) &lt;=5.3, SUM((DJ393*(20/100))+(DK393*(30/100))+(DL393*(50/100))) &gt;=4.8),5,
IF(AND( SUM((DJ393*(20/100))+(DK393*(30/100))+(DL393*(50/100))) &lt;=4.8, SUM((DJ393*(20/100))+(DK393*(30/100))+(DL393*(50/100))) &gt;=4.3),4.5,
IF(AND( SUM((DJ393*(20/100))+(DK393*(30/100))+(DL393*(50/100))) &lt;=4.3, SUM((DJ393*(20/100))+(DK393*(30/100))+(DL393*(50/100))) &gt;=3.8),4,
IF(AND( SUM((DJ393*(20/100))+(DK393*(30/100))+(DL393*(50/100))) &lt;=3.8, SUM((DJ393*(20/100))+(DK393*(30/100))+(DL393*(50/100))) &gt;=3.5),3.5,0)))))))))))))</f>
        <v>0</v>
      </c>
      <c r="DQ393" s="541"/>
      <c r="DR393" s="541"/>
      <c r="DS393" s="541"/>
      <c r="DT393" s="541"/>
      <c r="DU393" s="541"/>
      <c r="DV393" s="541"/>
      <c r="DW393" s="541"/>
      <c r="DX393" s="541"/>
      <c r="DY393" s="541"/>
      <c r="DZ393" s="541"/>
    </row>
    <row r="394" spans="2:130" x14ac:dyDescent="0.25">
      <c r="B394" s="334">
        <v>37</v>
      </c>
      <c r="C394" s="541"/>
      <c r="D394" s="334"/>
      <c r="E394" s="334"/>
      <c r="F394" s="334"/>
      <c r="G394" s="334"/>
      <c r="H394" s="334"/>
      <c r="I394" s="334"/>
      <c r="J394" s="536"/>
      <c r="K394" s="536"/>
      <c r="L394" s="536"/>
      <c r="M394" s="536"/>
      <c r="N394" s="536"/>
      <c r="O394" s="536"/>
      <c r="P394" s="536">
        <f t="shared" si="151"/>
        <v>0</v>
      </c>
      <c r="Q394" s="536"/>
      <c r="R394" s="536"/>
      <c r="S394" s="536"/>
      <c r="T394" s="536">
        <f t="shared" si="152"/>
        <v>0</v>
      </c>
      <c r="U394" s="536"/>
      <c r="V394" s="536"/>
      <c r="W394" s="536"/>
      <c r="X394" s="536">
        <f t="shared" si="153"/>
        <v>0</v>
      </c>
      <c r="Y394" s="536"/>
      <c r="Z394" s="536"/>
      <c r="AA394" s="536"/>
      <c r="AB394" s="536">
        <f t="shared" si="154"/>
        <v>0</v>
      </c>
      <c r="AC394" s="536"/>
      <c r="AD394" s="536"/>
      <c r="AE394" s="536"/>
      <c r="AF394" s="536">
        <f t="shared" si="155"/>
        <v>0</v>
      </c>
      <c r="AG394" s="536"/>
      <c r="AH394" s="536"/>
      <c r="AI394" s="536"/>
      <c r="AJ394" s="536">
        <f t="shared" si="156"/>
        <v>0</v>
      </c>
      <c r="AK394" s="536"/>
      <c r="AL394" s="536"/>
      <c r="AM394" s="536"/>
      <c r="AN394" s="542">
        <f t="shared" si="157"/>
        <v>0</v>
      </c>
      <c r="AO394" s="536"/>
      <c r="AP394" s="536"/>
      <c r="AQ394" s="536"/>
      <c r="AR394" s="542">
        <f t="shared" si="158"/>
        <v>0</v>
      </c>
      <c r="AS394" s="536"/>
      <c r="AT394" s="536"/>
      <c r="AU394" s="536"/>
      <c r="AV394" s="542">
        <f t="shared" si="159"/>
        <v>0</v>
      </c>
      <c r="AW394" s="536"/>
      <c r="AX394" s="536"/>
      <c r="AY394" s="536"/>
      <c r="AZ394" s="542">
        <f t="shared" si="160"/>
        <v>0</v>
      </c>
      <c r="BA394" s="536"/>
      <c r="BB394" s="536"/>
      <c r="BC394" s="536"/>
      <c r="BD394" s="542">
        <f t="shared" si="161"/>
        <v>0</v>
      </c>
      <c r="BE394" s="536"/>
      <c r="BF394" s="536"/>
      <c r="BG394" s="536"/>
      <c r="BH394" s="542">
        <f t="shared" si="162"/>
        <v>0</v>
      </c>
      <c r="BI394" s="536"/>
      <c r="BJ394" s="536"/>
      <c r="BK394" s="536"/>
      <c r="BL394" s="542">
        <f t="shared" si="163"/>
        <v>0</v>
      </c>
      <c r="BM394" s="536"/>
      <c r="BN394" s="536"/>
      <c r="BO394" s="536"/>
      <c r="BP394" s="542">
        <f t="shared" si="164"/>
        <v>0</v>
      </c>
      <c r="BQ394" s="536"/>
      <c r="BR394" s="536"/>
      <c r="BS394" s="536"/>
      <c r="BT394" s="542">
        <f t="shared" si="165"/>
        <v>0</v>
      </c>
      <c r="BU394" s="536"/>
      <c r="BV394" s="536"/>
      <c r="BW394" s="536"/>
      <c r="BX394" s="542">
        <f t="shared" si="166"/>
        <v>0</v>
      </c>
      <c r="BY394" s="536"/>
      <c r="BZ394" s="536"/>
      <c r="CA394" s="536"/>
      <c r="CB394" s="542">
        <v>0</v>
      </c>
      <c r="CC394" s="536"/>
      <c r="CD394" s="536"/>
      <c r="CE394" s="536"/>
      <c r="CF394" s="541">
        <f t="shared" si="167"/>
        <v>0</v>
      </c>
      <c r="CG394" s="536"/>
      <c r="CH394" s="536"/>
      <c r="CI394" s="536"/>
      <c r="CJ394" s="541">
        <f t="shared" si="168"/>
        <v>0</v>
      </c>
      <c r="CK394" s="536"/>
      <c r="CL394" s="536"/>
      <c r="CM394" s="536"/>
      <c r="CN394" s="541">
        <f t="shared" si="169"/>
        <v>0</v>
      </c>
      <c r="CO394" s="536"/>
      <c r="CP394" s="536"/>
      <c r="CQ394" s="536"/>
      <c r="CR394" s="541">
        <f t="shared" si="170"/>
        <v>0</v>
      </c>
      <c r="CS394" s="536"/>
      <c r="CT394" s="536"/>
      <c r="CU394" s="536"/>
      <c r="CV394" s="541">
        <f t="shared" si="171"/>
        <v>0</v>
      </c>
      <c r="CW394" s="536"/>
      <c r="CX394" s="536"/>
      <c r="CY394" s="536"/>
      <c r="CZ394" s="541">
        <f t="shared" si="172"/>
        <v>0</v>
      </c>
      <c r="DA394" s="536"/>
      <c r="DB394" s="536"/>
      <c r="DC394" s="536"/>
      <c r="DD394" s="541">
        <f t="shared" si="173"/>
        <v>0</v>
      </c>
      <c r="DE394" s="536"/>
      <c r="DF394" s="536"/>
      <c r="DG394" s="536"/>
      <c r="DH394" s="541">
        <f t="shared" si="174"/>
        <v>0</v>
      </c>
      <c r="DI394" s="536"/>
      <c r="DJ394" s="536"/>
      <c r="DK394" s="536"/>
      <c r="DL394" s="541">
        <f t="shared" si="175"/>
        <v>0</v>
      </c>
      <c r="DM394" s="536"/>
      <c r="DN394" s="536"/>
      <c r="DO394" s="536"/>
      <c r="DP394" s="541">
        <f>IF( SUM((DJ394*(20/100))+(DK394*(30/100))+(DL394*(50/100))) &gt;=9.3,9.5,
IF(AND( SUM((DJ394*(20/100))+(DK394*(30/100))+(DL394*(50/100))) &lt;=9.3, SUM((DJ394*(20/100))+(DK394*(30/100))+(DL394*(50/100))) &gt;=8.8),9,
IF(AND( SUM((DJ394*(20/100))+(DK394*(30/100))+(DL394*(50/100))) &lt;=8.8, SUM((DJ394*(20/100))+(DK394*(30/100))+(DL394*(50/100))) &gt;=8.3),8.5,
IF(AND( SUM((DJ394*(20/100))+(DK394*(30/100))+(DL394*(50/100))) &lt;=8.3, SUM((DJ394*(20/100))+(DK394*(30/100))+(DL394*(50/100))) &gt;=7.8),8,
IF(AND( SUM((DJ394*(20/100))+(DK394*(30/100))+(DL394*(50/100))) &lt;=7.8, SUM((DJ394*(20/100))+(DK394*(30/100))+(DL394*(50/100))) &gt;=7.3),7.5,
IF(AND( SUM((DJ394*(20/100))+(DK394*(30/100))+(DL394*(50/100))) &lt;=7.3, SUM((DJ394*(20/100))+(DK394*(30/100))+(DL394*(50/100))) &gt;=6.8),7,
IF(AND( SUM((DJ394*(20/100))+(DK394*(30/100))+(DL394*(50/100))) &lt;=6.8, SUM((DJ394*(20/100))+(DK394*(30/100))+(DL394*(50/100))) &gt;=6.3),6.5,
IF(AND( SUM((DJ394*(20/100))+(DK394*(30/100))+(DL394*(50/100))) &lt;=6.3, SUM((DJ394*(20/100))+(DK394*(30/100))+(DL394*(50/100))) &gt;=5.8),6,
IF(AND( SUM((DJ394*(20/100))+(DK394*(30/100))+(DL394*(50/100))) &lt;=5.8, SUM((DJ394*(20/100))+(DK394*(30/100))+(DL394*(50/100))) &gt;=5.3),5.5,
IF(AND( SUM((DJ394*(20/100))+(DK394*(30/100))+(DL394*(50/100))) &lt;=5.3, SUM((DJ394*(20/100))+(DK394*(30/100))+(DL394*(50/100))) &gt;=4.8),5,
IF(AND( SUM((DJ394*(20/100))+(DK394*(30/100))+(DL394*(50/100))) &lt;=4.8, SUM((DJ394*(20/100))+(DK394*(30/100))+(DL394*(50/100))) &gt;=4.3),4.5,
IF(AND( SUM((DJ394*(20/100))+(DK394*(30/100))+(DL394*(50/100))) &lt;=4.3, SUM((DJ394*(20/100))+(DK394*(30/100))+(DL394*(50/100))) &gt;=3.8),4,
IF(AND( SUM((DJ394*(20/100))+(DK394*(30/100))+(DL394*(50/100))) &lt;=3.8, SUM((DJ394*(20/100))+(DK394*(30/100))+(DL394*(50/100))) &gt;=3.5),3.5,0)))))))))))))</f>
        <v>0</v>
      </c>
      <c r="DQ394" s="541"/>
      <c r="DR394" s="541"/>
      <c r="DS394" s="541"/>
      <c r="DT394" s="541"/>
      <c r="DU394" s="541"/>
      <c r="DV394" s="541"/>
      <c r="DW394" s="541"/>
      <c r="DX394" s="541"/>
      <c r="DY394" s="541"/>
      <c r="DZ394" s="541"/>
    </row>
    <row r="395" spans="2:130" x14ac:dyDescent="0.25">
      <c r="B395" s="334">
        <v>38</v>
      </c>
      <c r="C395" s="541"/>
      <c r="D395" s="334"/>
      <c r="E395" s="334"/>
      <c r="F395" s="334"/>
      <c r="G395" s="334"/>
      <c r="H395" s="334"/>
      <c r="I395" s="334"/>
      <c r="J395" s="536"/>
      <c r="K395" s="536"/>
      <c r="L395" s="536"/>
      <c r="M395" s="536"/>
      <c r="N395" s="536"/>
      <c r="O395" s="536"/>
      <c r="P395" s="536">
        <f t="shared" si="151"/>
        <v>0</v>
      </c>
      <c r="Q395" s="536"/>
      <c r="R395" s="536"/>
      <c r="S395" s="536"/>
      <c r="T395" s="536">
        <f t="shared" si="152"/>
        <v>0</v>
      </c>
      <c r="U395" s="536"/>
      <c r="V395" s="536"/>
      <c r="W395" s="536"/>
      <c r="X395" s="536">
        <f t="shared" si="153"/>
        <v>0</v>
      </c>
      <c r="Y395" s="536"/>
      <c r="Z395" s="536"/>
      <c r="AA395" s="536"/>
      <c r="AB395" s="536">
        <f t="shared" si="154"/>
        <v>0</v>
      </c>
      <c r="AC395" s="536"/>
      <c r="AD395" s="536"/>
      <c r="AE395" s="536"/>
      <c r="AF395" s="536">
        <f t="shared" si="155"/>
        <v>0</v>
      </c>
      <c r="AG395" s="536"/>
      <c r="AH395" s="536"/>
      <c r="AI395" s="536"/>
      <c r="AJ395" s="536">
        <f t="shared" si="156"/>
        <v>0</v>
      </c>
      <c r="AK395" s="536"/>
      <c r="AL395" s="536"/>
      <c r="AM395" s="536"/>
      <c r="AN395" s="542">
        <f t="shared" si="157"/>
        <v>0</v>
      </c>
      <c r="AO395" s="536"/>
      <c r="AP395" s="536"/>
      <c r="AQ395" s="536"/>
      <c r="AR395" s="542">
        <f t="shared" si="158"/>
        <v>0</v>
      </c>
      <c r="AS395" s="536"/>
      <c r="AT395" s="536"/>
      <c r="AU395" s="536"/>
      <c r="AV395" s="542">
        <f t="shared" si="159"/>
        <v>0</v>
      </c>
      <c r="AW395" s="536"/>
      <c r="AX395" s="536"/>
      <c r="AY395" s="536"/>
      <c r="AZ395" s="542">
        <f t="shared" si="160"/>
        <v>0</v>
      </c>
      <c r="BA395" s="536"/>
      <c r="BB395" s="536"/>
      <c r="BC395" s="536"/>
      <c r="BD395" s="542">
        <f t="shared" si="161"/>
        <v>0</v>
      </c>
      <c r="BE395" s="536"/>
      <c r="BF395" s="536"/>
      <c r="BG395" s="536"/>
      <c r="BH395" s="542">
        <f t="shared" si="162"/>
        <v>0</v>
      </c>
      <c r="BI395" s="536"/>
      <c r="BJ395" s="536"/>
      <c r="BK395" s="536"/>
      <c r="BL395" s="542">
        <f t="shared" si="163"/>
        <v>0</v>
      </c>
      <c r="BM395" s="536"/>
      <c r="BN395" s="536"/>
      <c r="BO395" s="536"/>
      <c r="BP395" s="542">
        <f t="shared" si="164"/>
        <v>0</v>
      </c>
      <c r="BQ395" s="536"/>
      <c r="BR395" s="536"/>
      <c r="BS395" s="536"/>
      <c r="BT395" s="542">
        <f t="shared" si="165"/>
        <v>0</v>
      </c>
      <c r="BU395" s="536"/>
      <c r="BV395" s="536"/>
      <c r="BW395" s="536"/>
      <c r="BX395" s="542">
        <f t="shared" si="166"/>
        <v>0</v>
      </c>
      <c r="BY395" s="536"/>
      <c r="BZ395" s="536"/>
      <c r="CA395" s="536"/>
      <c r="CB395" s="542">
        <v>0</v>
      </c>
      <c r="CC395" s="536"/>
      <c r="CD395" s="536"/>
      <c r="CE395" s="536"/>
      <c r="CF395" s="541">
        <f t="shared" si="167"/>
        <v>0</v>
      </c>
      <c r="CG395" s="536"/>
      <c r="CH395" s="536"/>
      <c r="CI395" s="536"/>
      <c r="CJ395" s="541">
        <f t="shared" si="168"/>
        <v>0</v>
      </c>
      <c r="CK395" s="536"/>
      <c r="CL395" s="536"/>
      <c r="CM395" s="536"/>
      <c r="CN395" s="541">
        <f t="shared" si="169"/>
        <v>0</v>
      </c>
      <c r="CO395" s="536"/>
      <c r="CP395" s="536"/>
      <c r="CQ395" s="536"/>
      <c r="CR395" s="541">
        <f t="shared" si="170"/>
        <v>0</v>
      </c>
      <c r="CS395" s="536"/>
      <c r="CT395" s="536"/>
      <c r="CU395" s="536"/>
      <c r="CV395" s="541">
        <f t="shared" si="171"/>
        <v>0</v>
      </c>
      <c r="CW395" s="536"/>
      <c r="CX395" s="536"/>
      <c r="CY395" s="536"/>
      <c r="CZ395" s="541">
        <f t="shared" si="172"/>
        <v>0</v>
      </c>
      <c r="DA395" s="536"/>
      <c r="DB395" s="536"/>
      <c r="DC395" s="536"/>
      <c r="DD395" s="541">
        <f t="shared" si="173"/>
        <v>0</v>
      </c>
      <c r="DE395" s="536"/>
      <c r="DF395" s="536"/>
      <c r="DG395" s="536"/>
      <c r="DH395" s="541">
        <f t="shared" si="174"/>
        <v>0</v>
      </c>
      <c r="DI395" s="536"/>
      <c r="DJ395" s="536"/>
      <c r="DK395" s="536"/>
      <c r="DL395" s="541">
        <f t="shared" si="175"/>
        <v>0</v>
      </c>
      <c r="DM395" s="536"/>
      <c r="DN395" s="536"/>
      <c r="DO395" s="536"/>
      <c r="DP395" s="541">
        <f>IF( SUM((DJ395*(20/100))+(DK395*(30/100))+(DL395*(50/100))) &gt;=9.3,9.5,
IF(AND( SUM((DJ395*(20/100))+(DK395*(30/100))+(DL395*(50/100))) &lt;=9.3, SUM((DJ395*(20/100))+(DK395*(30/100))+(DL395*(50/100))) &gt;=8.8),9,
IF(AND( SUM((DJ395*(20/100))+(DK395*(30/100))+(DL395*(50/100))) &lt;=8.8, SUM((DJ395*(20/100))+(DK395*(30/100))+(DL395*(50/100))) &gt;=8.3),8.5,
IF(AND( SUM((DJ395*(20/100))+(DK395*(30/100))+(DL395*(50/100))) &lt;=8.3, SUM((DJ395*(20/100))+(DK395*(30/100))+(DL395*(50/100))) &gt;=7.8),8,
IF(AND( SUM((DJ395*(20/100))+(DK395*(30/100))+(DL395*(50/100))) &lt;=7.8, SUM((DJ395*(20/100))+(DK395*(30/100))+(DL395*(50/100))) &gt;=7.3),7.5,
IF(AND( SUM((DJ395*(20/100))+(DK395*(30/100))+(DL395*(50/100))) &lt;=7.3, SUM((DJ395*(20/100))+(DK395*(30/100))+(DL395*(50/100))) &gt;=6.8),7,
IF(AND( SUM((DJ395*(20/100))+(DK395*(30/100))+(DL395*(50/100))) &lt;=6.8, SUM((DJ395*(20/100))+(DK395*(30/100))+(DL395*(50/100))) &gt;=6.3),6.5,
IF(AND( SUM((DJ395*(20/100))+(DK395*(30/100))+(DL395*(50/100))) &lt;=6.3, SUM((DJ395*(20/100))+(DK395*(30/100))+(DL395*(50/100))) &gt;=5.8),6,
IF(AND( SUM((DJ395*(20/100))+(DK395*(30/100))+(DL395*(50/100))) &lt;=5.8, SUM((DJ395*(20/100))+(DK395*(30/100))+(DL395*(50/100))) &gt;=5.3),5.5,
IF(AND( SUM((DJ395*(20/100))+(DK395*(30/100))+(DL395*(50/100))) &lt;=5.3, SUM((DJ395*(20/100))+(DK395*(30/100))+(DL395*(50/100))) &gt;=4.8),5,
IF(AND( SUM((DJ395*(20/100))+(DK395*(30/100))+(DL395*(50/100))) &lt;=4.8, SUM((DJ395*(20/100))+(DK395*(30/100))+(DL395*(50/100))) &gt;=4.3),4.5,
IF(AND( SUM((DJ395*(20/100))+(DK395*(30/100))+(DL395*(50/100))) &lt;=4.3, SUM((DJ395*(20/100))+(DK395*(30/100))+(DL395*(50/100))) &gt;=3.8),4,
IF(AND( SUM((DJ395*(20/100))+(DK395*(30/100))+(DL395*(50/100))) &lt;=3.8, SUM((DJ395*(20/100))+(DK395*(30/100))+(DL395*(50/100))) &gt;=3.5),3.5,0)))))))))))))</f>
        <v>0</v>
      </c>
      <c r="DQ395" s="541"/>
      <c r="DR395" s="541"/>
      <c r="DS395" s="541"/>
      <c r="DT395" s="541"/>
      <c r="DU395" s="541"/>
      <c r="DV395" s="541"/>
      <c r="DW395" s="541"/>
      <c r="DX395" s="541"/>
      <c r="DY395" s="541"/>
      <c r="DZ395" s="541"/>
    </row>
    <row r="396" spans="2:130" x14ac:dyDescent="0.25">
      <c r="B396" s="334">
        <v>39</v>
      </c>
      <c r="C396" s="541"/>
      <c r="D396" s="334"/>
      <c r="E396" s="334"/>
      <c r="F396" s="334"/>
      <c r="G396" s="334"/>
      <c r="H396" s="334"/>
      <c r="I396" s="334"/>
      <c r="J396" s="536"/>
      <c r="K396" s="536"/>
      <c r="L396" s="536"/>
      <c r="M396" s="536"/>
      <c r="N396" s="536"/>
      <c r="O396" s="536"/>
      <c r="P396" s="536">
        <f t="shared" si="151"/>
        <v>0</v>
      </c>
      <c r="Q396" s="536"/>
      <c r="R396" s="536"/>
      <c r="S396" s="536"/>
      <c r="T396" s="536">
        <f t="shared" si="152"/>
        <v>0</v>
      </c>
      <c r="U396" s="536"/>
      <c r="V396" s="536"/>
      <c r="W396" s="536"/>
      <c r="X396" s="536">
        <f t="shared" si="153"/>
        <v>0</v>
      </c>
      <c r="Y396" s="536"/>
      <c r="Z396" s="536"/>
      <c r="AA396" s="536"/>
      <c r="AB396" s="536">
        <f t="shared" si="154"/>
        <v>0</v>
      </c>
      <c r="AC396" s="536"/>
      <c r="AD396" s="536"/>
      <c r="AE396" s="536"/>
      <c r="AF396" s="536">
        <f t="shared" si="155"/>
        <v>0</v>
      </c>
      <c r="AG396" s="536"/>
      <c r="AH396" s="536"/>
      <c r="AI396" s="536"/>
      <c r="AJ396" s="536">
        <f t="shared" si="156"/>
        <v>0</v>
      </c>
      <c r="AK396" s="536"/>
      <c r="AL396" s="536"/>
      <c r="AM396" s="536"/>
      <c r="AN396" s="542">
        <f t="shared" si="157"/>
        <v>0</v>
      </c>
      <c r="AO396" s="536"/>
      <c r="AP396" s="536"/>
      <c r="AQ396" s="536"/>
      <c r="AR396" s="542">
        <f t="shared" si="158"/>
        <v>0</v>
      </c>
      <c r="AS396" s="536"/>
      <c r="AT396" s="536"/>
      <c r="AU396" s="536"/>
      <c r="AV396" s="542">
        <f t="shared" si="159"/>
        <v>0</v>
      </c>
      <c r="AW396" s="536"/>
      <c r="AX396" s="536"/>
      <c r="AY396" s="536"/>
      <c r="AZ396" s="542">
        <f t="shared" si="160"/>
        <v>0</v>
      </c>
      <c r="BA396" s="536"/>
      <c r="BB396" s="536"/>
      <c r="BC396" s="536"/>
      <c r="BD396" s="542">
        <f t="shared" si="161"/>
        <v>0</v>
      </c>
      <c r="BE396" s="536"/>
      <c r="BF396" s="536"/>
      <c r="BG396" s="536"/>
      <c r="BH396" s="542">
        <f t="shared" si="162"/>
        <v>0</v>
      </c>
      <c r="BI396" s="536"/>
      <c r="BJ396" s="536"/>
      <c r="BK396" s="536"/>
      <c r="BL396" s="542">
        <f t="shared" si="163"/>
        <v>0</v>
      </c>
      <c r="BM396" s="536"/>
      <c r="BN396" s="536"/>
      <c r="BO396" s="536"/>
      <c r="BP396" s="542">
        <f t="shared" si="164"/>
        <v>0</v>
      </c>
      <c r="BQ396" s="536"/>
      <c r="BR396" s="536"/>
      <c r="BS396" s="536"/>
      <c r="BT396" s="542">
        <f t="shared" si="165"/>
        <v>0</v>
      </c>
      <c r="BU396" s="536"/>
      <c r="BV396" s="536"/>
      <c r="BW396" s="536"/>
      <c r="BX396" s="542">
        <f t="shared" si="166"/>
        <v>0</v>
      </c>
      <c r="BY396" s="536"/>
      <c r="BZ396" s="536"/>
      <c r="CA396" s="536"/>
      <c r="CB396" s="542">
        <v>0</v>
      </c>
      <c r="CC396" s="536"/>
      <c r="CD396" s="536"/>
      <c r="CE396" s="536"/>
      <c r="CF396" s="541">
        <f t="shared" si="167"/>
        <v>0</v>
      </c>
      <c r="CG396" s="536"/>
      <c r="CH396" s="536"/>
      <c r="CI396" s="536"/>
      <c r="CJ396" s="541">
        <f t="shared" si="168"/>
        <v>0</v>
      </c>
      <c r="CK396" s="536"/>
      <c r="CL396" s="536"/>
      <c r="CM396" s="536"/>
      <c r="CN396" s="541">
        <f t="shared" si="169"/>
        <v>0</v>
      </c>
      <c r="CO396" s="536"/>
      <c r="CP396" s="536"/>
      <c r="CQ396" s="536"/>
      <c r="CR396" s="541">
        <f t="shared" si="170"/>
        <v>0</v>
      </c>
      <c r="CS396" s="536"/>
      <c r="CT396" s="536"/>
      <c r="CU396" s="536"/>
      <c r="CV396" s="541">
        <f t="shared" si="171"/>
        <v>0</v>
      </c>
      <c r="CW396" s="536"/>
      <c r="CX396" s="536"/>
      <c r="CY396" s="536"/>
      <c r="CZ396" s="541">
        <f t="shared" si="172"/>
        <v>0</v>
      </c>
      <c r="DA396" s="536"/>
      <c r="DB396" s="536"/>
      <c r="DC396" s="536"/>
      <c r="DD396" s="541">
        <f t="shared" si="173"/>
        <v>0</v>
      </c>
      <c r="DE396" s="536"/>
      <c r="DF396" s="536"/>
      <c r="DG396" s="536"/>
      <c r="DH396" s="541">
        <f t="shared" si="174"/>
        <v>0</v>
      </c>
      <c r="DI396" s="536"/>
      <c r="DJ396" s="536"/>
      <c r="DK396" s="536"/>
      <c r="DL396" s="541">
        <f t="shared" si="175"/>
        <v>0</v>
      </c>
      <c r="DM396" s="536"/>
      <c r="DN396" s="536"/>
      <c r="DO396" s="536"/>
      <c r="DP396" s="541">
        <f>IF( SUM((DJ396*(20/100))+(DK396*(30/100))+(DL396*(50/100))) &gt;=9.3,9.5,
IF(AND( SUM((DJ396*(20/100))+(DK396*(30/100))+(DL396*(50/100))) &lt;=9.3, SUM((DJ396*(20/100))+(DK396*(30/100))+(DL396*(50/100))) &gt;=8.8),9,
IF(AND( SUM((DJ396*(20/100))+(DK396*(30/100))+(DL396*(50/100))) &lt;=8.8, SUM((DJ396*(20/100))+(DK396*(30/100))+(DL396*(50/100))) &gt;=8.3),8.5,
IF(AND( SUM((DJ396*(20/100))+(DK396*(30/100))+(DL396*(50/100))) &lt;=8.3, SUM((DJ396*(20/100))+(DK396*(30/100))+(DL396*(50/100))) &gt;=7.8),8,
IF(AND( SUM((DJ396*(20/100))+(DK396*(30/100))+(DL396*(50/100))) &lt;=7.8, SUM((DJ396*(20/100))+(DK396*(30/100))+(DL396*(50/100))) &gt;=7.3),7.5,
IF(AND( SUM((DJ396*(20/100))+(DK396*(30/100))+(DL396*(50/100))) &lt;=7.3, SUM((DJ396*(20/100))+(DK396*(30/100))+(DL396*(50/100))) &gt;=6.8),7,
IF(AND( SUM((DJ396*(20/100))+(DK396*(30/100))+(DL396*(50/100))) &lt;=6.8, SUM((DJ396*(20/100))+(DK396*(30/100))+(DL396*(50/100))) &gt;=6.3),6.5,
IF(AND( SUM((DJ396*(20/100))+(DK396*(30/100))+(DL396*(50/100))) &lt;=6.3, SUM((DJ396*(20/100))+(DK396*(30/100))+(DL396*(50/100))) &gt;=5.8),6,
IF(AND( SUM((DJ396*(20/100))+(DK396*(30/100))+(DL396*(50/100))) &lt;=5.8, SUM((DJ396*(20/100))+(DK396*(30/100))+(DL396*(50/100))) &gt;=5.3),5.5,
IF(AND( SUM((DJ396*(20/100))+(DK396*(30/100))+(DL396*(50/100))) &lt;=5.3, SUM((DJ396*(20/100))+(DK396*(30/100))+(DL396*(50/100))) &gt;=4.8),5,
IF(AND( SUM((DJ396*(20/100))+(DK396*(30/100))+(DL396*(50/100))) &lt;=4.8, SUM((DJ396*(20/100))+(DK396*(30/100))+(DL396*(50/100))) &gt;=4.3),4.5,
IF(AND( SUM((DJ396*(20/100))+(DK396*(30/100))+(DL396*(50/100))) &lt;=4.3, SUM((DJ396*(20/100))+(DK396*(30/100))+(DL396*(50/100))) &gt;=3.8),4,
IF(AND( SUM((DJ396*(20/100))+(DK396*(30/100))+(DL396*(50/100))) &lt;=3.8, SUM((DJ396*(20/100))+(DK396*(30/100))+(DL396*(50/100))) &gt;=3.5),3.5,0)))))))))))))</f>
        <v>0</v>
      </c>
      <c r="DQ396" s="541"/>
      <c r="DR396" s="541"/>
      <c r="DS396" s="541"/>
      <c r="DT396" s="541"/>
      <c r="DU396" s="541"/>
      <c r="DV396" s="541"/>
      <c r="DW396" s="541"/>
      <c r="DX396" s="541"/>
      <c r="DY396" s="541"/>
      <c r="DZ396" s="541"/>
    </row>
    <row r="397" spans="2:130" x14ac:dyDescent="0.25">
      <c r="B397" s="334">
        <v>40</v>
      </c>
      <c r="C397" s="541"/>
      <c r="D397" s="334"/>
      <c r="E397" s="334"/>
      <c r="F397" s="334"/>
      <c r="G397" s="334"/>
      <c r="H397" s="334"/>
      <c r="I397" s="334"/>
      <c r="J397" s="536"/>
      <c r="K397" s="536"/>
      <c r="L397" s="536"/>
      <c r="M397" s="536"/>
      <c r="N397" s="536"/>
      <c r="O397" s="536"/>
      <c r="P397" s="536">
        <f t="shared" si="151"/>
        <v>0</v>
      </c>
      <c r="Q397" s="536"/>
      <c r="R397" s="536"/>
      <c r="S397" s="536"/>
      <c r="T397" s="536">
        <f t="shared" si="152"/>
        <v>0</v>
      </c>
      <c r="U397" s="536"/>
      <c r="V397" s="536"/>
      <c r="W397" s="536"/>
      <c r="X397" s="536">
        <f t="shared" si="153"/>
        <v>0</v>
      </c>
      <c r="Y397" s="536"/>
      <c r="Z397" s="536"/>
      <c r="AA397" s="536"/>
      <c r="AB397" s="536">
        <f t="shared" si="154"/>
        <v>0</v>
      </c>
      <c r="AC397" s="536"/>
      <c r="AD397" s="536"/>
      <c r="AE397" s="536"/>
      <c r="AF397" s="536">
        <f t="shared" si="155"/>
        <v>0</v>
      </c>
      <c r="AG397" s="536"/>
      <c r="AH397" s="536"/>
      <c r="AI397" s="536"/>
      <c r="AJ397" s="536">
        <f t="shared" si="156"/>
        <v>0</v>
      </c>
      <c r="AK397" s="536"/>
      <c r="AL397" s="536"/>
      <c r="AM397" s="536"/>
      <c r="AN397" s="542">
        <f t="shared" si="157"/>
        <v>0</v>
      </c>
      <c r="AO397" s="536"/>
      <c r="AP397" s="536"/>
      <c r="AQ397" s="536"/>
      <c r="AR397" s="542">
        <f t="shared" si="158"/>
        <v>0</v>
      </c>
      <c r="AS397" s="536"/>
      <c r="AT397" s="536"/>
      <c r="AU397" s="536"/>
      <c r="AV397" s="542">
        <f t="shared" si="159"/>
        <v>0</v>
      </c>
      <c r="AW397" s="536"/>
      <c r="AX397" s="536"/>
      <c r="AY397" s="536"/>
      <c r="AZ397" s="542">
        <f t="shared" si="160"/>
        <v>0</v>
      </c>
      <c r="BA397" s="536"/>
      <c r="BB397" s="536"/>
      <c r="BC397" s="536"/>
      <c r="BD397" s="542">
        <f t="shared" si="161"/>
        <v>0</v>
      </c>
      <c r="BE397" s="536"/>
      <c r="BF397" s="536"/>
      <c r="BG397" s="536"/>
      <c r="BH397" s="542">
        <f t="shared" si="162"/>
        <v>0</v>
      </c>
      <c r="BI397" s="536"/>
      <c r="BJ397" s="536"/>
      <c r="BK397" s="536"/>
      <c r="BL397" s="542">
        <f t="shared" si="163"/>
        <v>0</v>
      </c>
      <c r="BM397" s="536"/>
      <c r="BN397" s="536"/>
      <c r="BO397" s="536"/>
      <c r="BP397" s="542">
        <f t="shared" si="164"/>
        <v>0</v>
      </c>
      <c r="BQ397" s="536"/>
      <c r="BR397" s="536"/>
      <c r="BS397" s="536"/>
      <c r="BT397" s="542">
        <f t="shared" si="165"/>
        <v>0</v>
      </c>
      <c r="BU397" s="536"/>
      <c r="BV397" s="536"/>
      <c r="BW397" s="536"/>
      <c r="BX397" s="542">
        <f t="shared" si="166"/>
        <v>0</v>
      </c>
      <c r="BY397" s="536"/>
      <c r="BZ397" s="536"/>
      <c r="CA397" s="536"/>
      <c r="CB397" s="542">
        <v>0</v>
      </c>
      <c r="CC397" s="536"/>
      <c r="CD397" s="536"/>
      <c r="CE397" s="536"/>
      <c r="CF397" s="541">
        <f t="shared" si="167"/>
        <v>0</v>
      </c>
      <c r="CG397" s="536"/>
      <c r="CH397" s="536"/>
      <c r="CI397" s="536"/>
      <c r="CJ397" s="541">
        <f t="shared" si="168"/>
        <v>0</v>
      </c>
      <c r="CK397" s="536"/>
      <c r="CL397" s="536"/>
      <c r="CM397" s="536"/>
      <c r="CN397" s="541">
        <f t="shared" si="169"/>
        <v>0</v>
      </c>
      <c r="CO397" s="536"/>
      <c r="CP397" s="536"/>
      <c r="CQ397" s="536"/>
      <c r="CR397" s="541">
        <f t="shared" si="170"/>
        <v>0</v>
      </c>
      <c r="CS397" s="536"/>
      <c r="CT397" s="536"/>
      <c r="CU397" s="536"/>
      <c r="CV397" s="541">
        <f t="shared" si="171"/>
        <v>0</v>
      </c>
      <c r="CW397" s="536"/>
      <c r="CX397" s="536"/>
      <c r="CY397" s="536"/>
      <c r="CZ397" s="541">
        <f t="shared" si="172"/>
        <v>0</v>
      </c>
      <c r="DA397" s="536"/>
      <c r="DB397" s="536"/>
      <c r="DC397" s="536"/>
      <c r="DD397" s="541">
        <f t="shared" si="173"/>
        <v>0</v>
      </c>
      <c r="DE397" s="536"/>
      <c r="DF397" s="536"/>
      <c r="DG397" s="536"/>
      <c r="DH397" s="541">
        <f t="shared" si="174"/>
        <v>0</v>
      </c>
      <c r="DI397" s="536"/>
      <c r="DJ397" s="536"/>
      <c r="DK397" s="536"/>
      <c r="DL397" s="541">
        <f t="shared" si="175"/>
        <v>0</v>
      </c>
      <c r="DM397" s="536"/>
      <c r="DN397" s="536"/>
      <c r="DO397" s="536"/>
      <c r="DP397" s="541">
        <f>IF( SUM((DJ397*(20/100))+(DK397*(30/100))+(DL397*(50/100))) &gt;=9.3,9.5,
IF(AND( SUM((DJ397*(20/100))+(DK397*(30/100))+(DL397*(50/100))) &lt;=9.3, SUM((DJ397*(20/100))+(DK397*(30/100))+(DL397*(50/100))) &gt;=8.8),9,
IF(AND( SUM((DJ397*(20/100))+(DK397*(30/100))+(DL397*(50/100))) &lt;=8.8, SUM((DJ397*(20/100))+(DK397*(30/100))+(DL397*(50/100))) &gt;=8.3),8.5,
IF(AND( SUM((DJ397*(20/100))+(DK397*(30/100))+(DL397*(50/100))) &lt;=8.3, SUM((DJ397*(20/100))+(DK397*(30/100))+(DL397*(50/100))) &gt;=7.8),8,
IF(AND( SUM((DJ397*(20/100))+(DK397*(30/100))+(DL397*(50/100))) &lt;=7.8, SUM((DJ397*(20/100))+(DK397*(30/100))+(DL397*(50/100))) &gt;=7.3),7.5,
IF(AND( SUM((DJ397*(20/100))+(DK397*(30/100))+(DL397*(50/100))) &lt;=7.3, SUM((DJ397*(20/100))+(DK397*(30/100))+(DL397*(50/100))) &gt;=6.8),7,
IF(AND( SUM((DJ397*(20/100))+(DK397*(30/100))+(DL397*(50/100))) &lt;=6.8, SUM((DJ397*(20/100))+(DK397*(30/100))+(DL397*(50/100))) &gt;=6.3),6.5,
IF(AND( SUM((DJ397*(20/100))+(DK397*(30/100))+(DL397*(50/100))) &lt;=6.3, SUM((DJ397*(20/100))+(DK397*(30/100))+(DL397*(50/100))) &gt;=5.8),6,
IF(AND( SUM((DJ397*(20/100))+(DK397*(30/100))+(DL397*(50/100))) &lt;=5.8, SUM((DJ397*(20/100))+(DK397*(30/100))+(DL397*(50/100))) &gt;=5.3),5.5,
IF(AND( SUM((DJ397*(20/100))+(DK397*(30/100))+(DL397*(50/100))) &lt;=5.3, SUM((DJ397*(20/100))+(DK397*(30/100))+(DL397*(50/100))) &gt;=4.8),5,
IF(AND( SUM((DJ397*(20/100))+(DK397*(30/100))+(DL397*(50/100))) &lt;=4.8, SUM((DJ397*(20/100))+(DK397*(30/100))+(DL397*(50/100))) &gt;=4.3),4.5,
IF(AND( SUM((DJ397*(20/100))+(DK397*(30/100))+(DL397*(50/100))) &lt;=4.3, SUM((DJ397*(20/100))+(DK397*(30/100))+(DL397*(50/100))) &gt;=3.8),4,
IF(AND( SUM((DJ397*(20/100))+(DK397*(30/100))+(DL397*(50/100))) &lt;=3.8, SUM((DJ397*(20/100))+(DK397*(30/100))+(DL397*(50/100))) &gt;=3.5),3.5,0)))))))))))))</f>
        <v>0</v>
      </c>
      <c r="DQ397" s="541"/>
      <c r="DR397" s="541"/>
      <c r="DS397" s="541"/>
      <c r="DT397" s="541"/>
      <c r="DU397" s="541"/>
      <c r="DV397" s="541"/>
      <c r="DW397" s="541"/>
      <c r="DX397" s="541"/>
      <c r="DY397" s="541"/>
      <c r="DZ397" s="541"/>
    </row>
    <row r="398" spans="2:130" x14ac:dyDescent="0.25">
      <c r="B398" s="334">
        <v>41</v>
      </c>
      <c r="C398" s="541"/>
      <c r="D398" s="334"/>
      <c r="E398" s="334"/>
      <c r="F398" s="334"/>
      <c r="G398" s="334"/>
      <c r="H398" s="334"/>
      <c r="I398" s="334"/>
      <c r="J398" s="536"/>
      <c r="K398" s="536"/>
      <c r="L398" s="536"/>
      <c r="M398" s="536"/>
      <c r="N398" s="536"/>
      <c r="O398" s="536"/>
      <c r="P398" s="536">
        <f t="shared" si="151"/>
        <v>0</v>
      </c>
      <c r="Q398" s="536"/>
      <c r="R398" s="536"/>
      <c r="S398" s="536"/>
      <c r="T398" s="536">
        <f t="shared" si="152"/>
        <v>0</v>
      </c>
      <c r="U398" s="536"/>
      <c r="V398" s="536"/>
      <c r="W398" s="536"/>
      <c r="X398" s="536">
        <f t="shared" si="153"/>
        <v>0</v>
      </c>
      <c r="Y398" s="536"/>
      <c r="Z398" s="536"/>
      <c r="AA398" s="536"/>
      <c r="AB398" s="536">
        <f t="shared" si="154"/>
        <v>0</v>
      </c>
      <c r="AC398" s="536"/>
      <c r="AD398" s="536"/>
      <c r="AE398" s="536"/>
      <c r="AF398" s="536">
        <f t="shared" si="155"/>
        <v>0</v>
      </c>
      <c r="AG398" s="536"/>
      <c r="AH398" s="536"/>
      <c r="AI398" s="536"/>
      <c r="AJ398" s="536">
        <f t="shared" si="156"/>
        <v>0</v>
      </c>
      <c r="AK398" s="536"/>
      <c r="AL398" s="536"/>
      <c r="AM398" s="536"/>
      <c r="AN398" s="542">
        <f t="shared" si="157"/>
        <v>0</v>
      </c>
      <c r="AO398" s="536"/>
      <c r="AP398" s="536"/>
      <c r="AQ398" s="536"/>
      <c r="AR398" s="542">
        <f t="shared" si="158"/>
        <v>0</v>
      </c>
      <c r="AS398" s="536"/>
      <c r="AT398" s="536"/>
      <c r="AU398" s="536"/>
      <c r="AV398" s="542">
        <f t="shared" si="159"/>
        <v>0</v>
      </c>
      <c r="AW398" s="536"/>
      <c r="AX398" s="536"/>
      <c r="AY398" s="536"/>
      <c r="AZ398" s="542">
        <f t="shared" si="160"/>
        <v>0</v>
      </c>
      <c r="BA398" s="536"/>
      <c r="BB398" s="536"/>
      <c r="BC398" s="536"/>
      <c r="BD398" s="542">
        <f t="shared" si="161"/>
        <v>0</v>
      </c>
      <c r="BE398" s="536"/>
      <c r="BF398" s="536"/>
      <c r="BG398" s="536"/>
      <c r="BH398" s="542">
        <f t="shared" si="162"/>
        <v>0</v>
      </c>
      <c r="BI398" s="536"/>
      <c r="BJ398" s="536"/>
      <c r="BK398" s="536"/>
      <c r="BL398" s="542">
        <f t="shared" si="163"/>
        <v>0</v>
      </c>
      <c r="BM398" s="536"/>
      <c r="BN398" s="536"/>
      <c r="BO398" s="536"/>
      <c r="BP398" s="542">
        <f t="shared" si="164"/>
        <v>0</v>
      </c>
      <c r="BQ398" s="536"/>
      <c r="BR398" s="536"/>
      <c r="BS398" s="536"/>
      <c r="BT398" s="542">
        <f t="shared" si="165"/>
        <v>0</v>
      </c>
      <c r="BU398" s="536"/>
      <c r="BV398" s="536"/>
      <c r="BW398" s="536"/>
      <c r="BX398" s="542">
        <f t="shared" si="166"/>
        <v>0</v>
      </c>
      <c r="BY398" s="536"/>
      <c r="BZ398" s="536"/>
      <c r="CA398" s="536"/>
      <c r="CB398" s="542">
        <v>0</v>
      </c>
      <c r="CC398" s="536"/>
      <c r="CD398" s="536"/>
      <c r="CE398" s="536"/>
      <c r="CF398" s="541">
        <f t="shared" si="167"/>
        <v>0</v>
      </c>
      <c r="CG398" s="536"/>
      <c r="CH398" s="536"/>
      <c r="CI398" s="536"/>
      <c r="CJ398" s="541">
        <f t="shared" si="168"/>
        <v>0</v>
      </c>
      <c r="CK398" s="536"/>
      <c r="CL398" s="536"/>
      <c r="CM398" s="536"/>
      <c r="CN398" s="541">
        <f t="shared" si="169"/>
        <v>0</v>
      </c>
      <c r="CO398" s="536"/>
      <c r="CP398" s="536"/>
      <c r="CQ398" s="536"/>
      <c r="CR398" s="541">
        <f t="shared" si="170"/>
        <v>0</v>
      </c>
      <c r="CS398" s="536"/>
      <c r="CT398" s="536"/>
      <c r="CU398" s="536"/>
      <c r="CV398" s="541">
        <f t="shared" si="171"/>
        <v>0</v>
      </c>
      <c r="CW398" s="536"/>
      <c r="CX398" s="536"/>
      <c r="CY398" s="536"/>
      <c r="CZ398" s="541">
        <f t="shared" si="172"/>
        <v>0</v>
      </c>
      <c r="DA398" s="536"/>
      <c r="DB398" s="536"/>
      <c r="DC398" s="536"/>
      <c r="DD398" s="541">
        <f t="shared" si="173"/>
        <v>0</v>
      </c>
      <c r="DE398" s="536"/>
      <c r="DF398" s="536"/>
      <c r="DG398" s="536"/>
      <c r="DH398" s="541">
        <f t="shared" si="174"/>
        <v>0</v>
      </c>
      <c r="DI398" s="536"/>
      <c r="DJ398" s="536"/>
      <c r="DK398" s="536"/>
      <c r="DL398" s="541">
        <f t="shared" si="175"/>
        <v>0</v>
      </c>
      <c r="DM398" s="536"/>
      <c r="DN398" s="536"/>
      <c r="DO398" s="536"/>
      <c r="DP398" s="541">
        <f>IF( SUM((DJ398*(20/100))+(DK398*(30/100))+(DL398*(50/100))) &gt;=9.3,9.5,
IF(AND( SUM((DJ398*(20/100))+(DK398*(30/100))+(DL398*(50/100))) &lt;=9.3, SUM((DJ398*(20/100))+(DK398*(30/100))+(DL398*(50/100))) &gt;=8.8),9,
IF(AND( SUM((DJ398*(20/100))+(DK398*(30/100))+(DL398*(50/100))) &lt;=8.8, SUM((DJ398*(20/100))+(DK398*(30/100))+(DL398*(50/100))) &gt;=8.3),8.5,
IF(AND( SUM((DJ398*(20/100))+(DK398*(30/100))+(DL398*(50/100))) &lt;=8.3, SUM((DJ398*(20/100))+(DK398*(30/100))+(DL398*(50/100))) &gt;=7.8),8,
IF(AND( SUM((DJ398*(20/100))+(DK398*(30/100))+(DL398*(50/100))) &lt;=7.8, SUM((DJ398*(20/100))+(DK398*(30/100))+(DL398*(50/100))) &gt;=7.3),7.5,
IF(AND( SUM((DJ398*(20/100))+(DK398*(30/100))+(DL398*(50/100))) &lt;=7.3, SUM((DJ398*(20/100))+(DK398*(30/100))+(DL398*(50/100))) &gt;=6.8),7,
IF(AND( SUM((DJ398*(20/100))+(DK398*(30/100))+(DL398*(50/100))) &lt;=6.8, SUM((DJ398*(20/100))+(DK398*(30/100))+(DL398*(50/100))) &gt;=6.3),6.5,
IF(AND( SUM((DJ398*(20/100))+(DK398*(30/100))+(DL398*(50/100))) &lt;=6.3, SUM((DJ398*(20/100))+(DK398*(30/100))+(DL398*(50/100))) &gt;=5.8),6,
IF(AND( SUM((DJ398*(20/100))+(DK398*(30/100))+(DL398*(50/100))) &lt;=5.8, SUM((DJ398*(20/100))+(DK398*(30/100))+(DL398*(50/100))) &gt;=5.3),5.5,
IF(AND( SUM((DJ398*(20/100))+(DK398*(30/100))+(DL398*(50/100))) &lt;=5.3, SUM((DJ398*(20/100))+(DK398*(30/100))+(DL398*(50/100))) &gt;=4.8),5,
IF(AND( SUM((DJ398*(20/100))+(DK398*(30/100))+(DL398*(50/100))) &lt;=4.8, SUM((DJ398*(20/100))+(DK398*(30/100))+(DL398*(50/100))) &gt;=4.3),4.5,
IF(AND( SUM((DJ398*(20/100))+(DK398*(30/100))+(DL398*(50/100))) &lt;=4.3, SUM((DJ398*(20/100))+(DK398*(30/100))+(DL398*(50/100))) &gt;=3.8),4,
IF(AND( SUM((DJ398*(20/100))+(DK398*(30/100))+(DL398*(50/100))) &lt;=3.8, SUM((DJ398*(20/100))+(DK398*(30/100))+(DL398*(50/100))) &gt;=3.5),3.5,0)))))))))))))</f>
        <v>0</v>
      </c>
      <c r="DQ398" s="541"/>
      <c r="DR398" s="541"/>
      <c r="DS398" s="541"/>
      <c r="DT398" s="541"/>
      <c r="DU398" s="541"/>
      <c r="DV398" s="541"/>
      <c r="DW398" s="541"/>
      <c r="DX398" s="541"/>
      <c r="DY398" s="541"/>
      <c r="DZ398" s="541"/>
    </row>
    <row r="399" spans="2:130" x14ac:dyDescent="0.25">
      <c r="B399" s="334">
        <v>42</v>
      </c>
      <c r="C399" s="541"/>
      <c r="D399" s="334"/>
      <c r="E399" s="334"/>
      <c r="F399" s="334"/>
      <c r="G399" s="334"/>
      <c r="H399" s="334"/>
      <c r="I399" s="334"/>
      <c r="J399" s="536"/>
      <c r="K399" s="536"/>
      <c r="L399" s="536"/>
      <c r="M399" s="536"/>
      <c r="N399" s="536"/>
      <c r="O399" s="536"/>
      <c r="P399" s="536">
        <f t="shared" si="151"/>
        <v>0</v>
      </c>
      <c r="Q399" s="536"/>
      <c r="R399" s="536"/>
      <c r="S399" s="536"/>
      <c r="T399" s="536">
        <f t="shared" si="152"/>
        <v>0</v>
      </c>
      <c r="U399" s="536"/>
      <c r="V399" s="536"/>
      <c r="W399" s="536"/>
      <c r="X399" s="536">
        <f t="shared" si="153"/>
        <v>0</v>
      </c>
      <c r="Y399" s="536"/>
      <c r="Z399" s="536"/>
      <c r="AA399" s="536"/>
      <c r="AB399" s="536">
        <f t="shared" si="154"/>
        <v>0</v>
      </c>
      <c r="AC399" s="536"/>
      <c r="AD399" s="536"/>
      <c r="AE399" s="536"/>
      <c r="AF399" s="536">
        <f t="shared" si="155"/>
        <v>0</v>
      </c>
      <c r="AG399" s="536"/>
      <c r="AH399" s="536"/>
      <c r="AI399" s="536"/>
      <c r="AJ399" s="536">
        <f t="shared" si="156"/>
        <v>0</v>
      </c>
      <c r="AK399" s="536"/>
      <c r="AL399" s="536"/>
      <c r="AM399" s="536"/>
      <c r="AN399" s="542">
        <f t="shared" si="157"/>
        <v>0</v>
      </c>
      <c r="AO399" s="536"/>
      <c r="AP399" s="536"/>
      <c r="AQ399" s="536"/>
      <c r="AR399" s="542">
        <f t="shared" si="158"/>
        <v>0</v>
      </c>
      <c r="AS399" s="536"/>
      <c r="AT399" s="536"/>
      <c r="AU399" s="536"/>
      <c r="AV399" s="542">
        <f t="shared" si="159"/>
        <v>0</v>
      </c>
      <c r="AW399" s="536"/>
      <c r="AX399" s="536"/>
      <c r="AY399" s="536"/>
      <c r="AZ399" s="542">
        <f t="shared" si="160"/>
        <v>0</v>
      </c>
      <c r="BA399" s="536"/>
      <c r="BB399" s="536"/>
      <c r="BC399" s="536"/>
      <c r="BD399" s="542">
        <f t="shared" si="161"/>
        <v>0</v>
      </c>
      <c r="BE399" s="536"/>
      <c r="BF399" s="536"/>
      <c r="BG399" s="536"/>
      <c r="BH399" s="542">
        <f t="shared" si="162"/>
        <v>0</v>
      </c>
      <c r="BI399" s="536"/>
      <c r="BJ399" s="536"/>
      <c r="BK399" s="536"/>
      <c r="BL399" s="542">
        <f t="shared" si="163"/>
        <v>0</v>
      </c>
      <c r="BM399" s="536"/>
      <c r="BN399" s="536"/>
      <c r="BO399" s="536"/>
      <c r="BP399" s="542">
        <f t="shared" si="164"/>
        <v>0</v>
      </c>
      <c r="BQ399" s="536"/>
      <c r="BR399" s="536"/>
      <c r="BS399" s="536"/>
      <c r="BT399" s="542">
        <f t="shared" si="165"/>
        <v>0</v>
      </c>
      <c r="BU399" s="536"/>
      <c r="BV399" s="536"/>
      <c r="BW399" s="536"/>
      <c r="BX399" s="542">
        <f t="shared" si="166"/>
        <v>0</v>
      </c>
      <c r="BY399" s="536"/>
      <c r="BZ399" s="536"/>
      <c r="CA399" s="536"/>
      <c r="CB399" s="542">
        <v>0</v>
      </c>
      <c r="CC399" s="536"/>
      <c r="CD399" s="536"/>
      <c r="CE399" s="536"/>
      <c r="CF399" s="541">
        <f t="shared" si="167"/>
        <v>0</v>
      </c>
      <c r="CG399" s="536"/>
      <c r="CH399" s="536"/>
      <c r="CI399" s="536"/>
      <c r="CJ399" s="541">
        <f t="shared" si="168"/>
        <v>0</v>
      </c>
      <c r="CK399" s="536"/>
      <c r="CL399" s="536"/>
      <c r="CM399" s="536"/>
      <c r="CN399" s="541">
        <f t="shared" si="169"/>
        <v>0</v>
      </c>
      <c r="CO399" s="536"/>
      <c r="CP399" s="536"/>
      <c r="CQ399" s="536"/>
      <c r="CR399" s="541">
        <f t="shared" si="170"/>
        <v>0</v>
      </c>
      <c r="CS399" s="536"/>
      <c r="CT399" s="536"/>
      <c r="CU399" s="536"/>
      <c r="CV399" s="541">
        <f t="shared" si="171"/>
        <v>0</v>
      </c>
      <c r="CW399" s="536"/>
      <c r="CX399" s="536"/>
      <c r="CY399" s="536"/>
      <c r="CZ399" s="541">
        <f t="shared" si="172"/>
        <v>0</v>
      </c>
      <c r="DA399" s="536"/>
      <c r="DB399" s="536"/>
      <c r="DC399" s="536"/>
      <c r="DD399" s="541">
        <f t="shared" si="173"/>
        <v>0</v>
      </c>
      <c r="DE399" s="536"/>
      <c r="DF399" s="536"/>
      <c r="DG399" s="536"/>
      <c r="DH399" s="541">
        <f t="shared" si="174"/>
        <v>0</v>
      </c>
      <c r="DI399" s="536"/>
      <c r="DJ399" s="536"/>
      <c r="DK399" s="536"/>
      <c r="DL399" s="541">
        <f t="shared" si="175"/>
        <v>0</v>
      </c>
      <c r="DM399" s="536"/>
      <c r="DN399" s="536"/>
      <c r="DO399" s="536"/>
      <c r="DP399" s="541">
        <f>IF( SUM((DJ399*(20/100))+(DK399*(30/100))+(DL399*(50/100))) &gt;=9.3,9.5,
IF(AND( SUM((DJ399*(20/100))+(DK399*(30/100))+(DL399*(50/100))) &lt;=9.3, SUM((DJ399*(20/100))+(DK399*(30/100))+(DL399*(50/100))) &gt;=8.8),9,
IF(AND( SUM((DJ399*(20/100))+(DK399*(30/100))+(DL399*(50/100))) &lt;=8.8, SUM((DJ399*(20/100))+(DK399*(30/100))+(DL399*(50/100))) &gt;=8.3),8.5,
IF(AND( SUM((DJ399*(20/100))+(DK399*(30/100))+(DL399*(50/100))) &lt;=8.3, SUM((DJ399*(20/100))+(DK399*(30/100))+(DL399*(50/100))) &gt;=7.8),8,
IF(AND( SUM((DJ399*(20/100))+(DK399*(30/100))+(DL399*(50/100))) &lt;=7.8, SUM((DJ399*(20/100))+(DK399*(30/100))+(DL399*(50/100))) &gt;=7.3),7.5,
IF(AND( SUM((DJ399*(20/100))+(DK399*(30/100))+(DL399*(50/100))) &lt;=7.3, SUM((DJ399*(20/100))+(DK399*(30/100))+(DL399*(50/100))) &gt;=6.8),7,
IF(AND( SUM((DJ399*(20/100))+(DK399*(30/100))+(DL399*(50/100))) &lt;=6.8, SUM((DJ399*(20/100))+(DK399*(30/100))+(DL399*(50/100))) &gt;=6.3),6.5,
IF(AND( SUM((DJ399*(20/100))+(DK399*(30/100))+(DL399*(50/100))) &lt;=6.3, SUM((DJ399*(20/100))+(DK399*(30/100))+(DL399*(50/100))) &gt;=5.8),6,
IF(AND( SUM((DJ399*(20/100))+(DK399*(30/100))+(DL399*(50/100))) &lt;=5.8, SUM((DJ399*(20/100))+(DK399*(30/100))+(DL399*(50/100))) &gt;=5.3),5.5,
IF(AND( SUM((DJ399*(20/100))+(DK399*(30/100))+(DL399*(50/100))) &lt;=5.3, SUM((DJ399*(20/100))+(DK399*(30/100))+(DL399*(50/100))) &gt;=4.8),5,
IF(AND( SUM((DJ399*(20/100))+(DK399*(30/100))+(DL399*(50/100))) &lt;=4.8, SUM((DJ399*(20/100))+(DK399*(30/100))+(DL399*(50/100))) &gt;=4.3),4.5,
IF(AND( SUM((DJ399*(20/100))+(DK399*(30/100))+(DL399*(50/100))) &lt;=4.3, SUM((DJ399*(20/100))+(DK399*(30/100))+(DL399*(50/100))) &gt;=3.8),4,
IF(AND( SUM((DJ399*(20/100))+(DK399*(30/100))+(DL399*(50/100))) &lt;=3.8, SUM((DJ399*(20/100))+(DK399*(30/100))+(DL399*(50/100))) &gt;=3.5),3.5,0)))))))))))))</f>
        <v>0</v>
      </c>
      <c r="DQ399" s="541"/>
      <c r="DR399" s="541"/>
      <c r="DS399" s="541"/>
      <c r="DT399" s="541"/>
      <c r="DU399" s="541"/>
      <c r="DV399" s="541"/>
      <c r="DW399" s="541"/>
      <c r="DX399" s="541"/>
      <c r="DY399" s="541"/>
      <c r="DZ399" s="541"/>
    </row>
    <row r="400" spans="2:130" x14ac:dyDescent="0.25">
      <c r="B400" s="334">
        <v>43</v>
      </c>
      <c r="C400" s="541"/>
      <c r="D400" s="334"/>
      <c r="E400" s="334"/>
      <c r="F400" s="334"/>
      <c r="G400" s="334"/>
      <c r="H400" s="334"/>
      <c r="I400" s="334"/>
      <c r="J400" s="536"/>
      <c r="K400" s="536"/>
      <c r="L400" s="536"/>
      <c r="M400" s="536"/>
      <c r="N400" s="536"/>
      <c r="O400" s="536"/>
      <c r="P400" s="536">
        <f t="shared" si="151"/>
        <v>0</v>
      </c>
      <c r="Q400" s="536"/>
      <c r="R400" s="536"/>
      <c r="S400" s="536"/>
      <c r="T400" s="536">
        <f t="shared" si="152"/>
        <v>0</v>
      </c>
      <c r="U400" s="536"/>
      <c r="V400" s="536"/>
      <c r="W400" s="536"/>
      <c r="X400" s="536">
        <f t="shared" si="153"/>
        <v>0</v>
      </c>
      <c r="Y400" s="536"/>
      <c r="Z400" s="536"/>
      <c r="AA400" s="536"/>
      <c r="AB400" s="536">
        <f t="shared" si="154"/>
        <v>0</v>
      </c>
      <c r="AC400" s="536"/>
      <c r="AD400" s="536"/>
      <c r="AE400" s="536"/>
      <c r="AF400" s="536">
        <f t="shared" si="155"/>
        <v>0</v>
      </c>
      <c r="AG400" s="536"/>
      <c r="AH400" s="536"/>
      <c r="AI400" s="536"/>
      <c r="AJ400" s="536">
        <f t="shared" si="156"/>
        <v>0</v>
      </c>
      <c r="AK400" s="536"/>
      <c r="AL400" s="536"/>
      <c r="AM400" s="536"/>
      <c r="AN400" s="542">
        <f t="shared" si="157"/>
        <v>0</v>
      </c>
      <c r="AO400" s="536"/>
      <c r="AP400" s="536"/>
      <c r="AQ400" s="536"/>
      <c r="AR400" s="542">
        <f t="shared" si="158"/>
        <v>0</v>
      </c>
      <c r="AS400" s="536"/>
      <c r="AT400" s="536"/>
      <c r="AU400" s="536"/>
      <c r="AV400" s="542">
        <f t="shared" si="159"/>
        <v>0</v>
      </c>
      <c r="AW400" s="536"/>
      <c r="AX400" s="536"/>
      <c r="AY400" s="536"/>
      <c r="AZ400" s="542">
        <f t="shared" si="160"/>
        <v>0</v>
      </c>
      <c r="BA400" s="536"/>
      <c r="BB400" s="536"/>
      <c r="BC400" s="536"/>
      <c r="BD400" s="542">
        <f t="shared" si="161"/>
        <v>0</v>
      </c>
      <c r="BE400" s="536"/>
      <c r="BF400" s="536"/>
      <c r="BG400" s="536"/>
      <c r="BH400" s="542">
        <f t="shared" si="162"/>
        <v>0</v>
      </c>
      <c r="BI400" s="536"/>
      <c r="BJ400" s="536"/>
      <c r="BK400" s="536"/>
      <c r="BL400" s="542">
        <f t="shared" si="163"/>
        <v>0</v>
      </c>
      <c r="BM400" s="536"/>
      <c r="BN400" s="536"/>
      <c r="BO400" s="536"/>
      <c r="BP400" s="542">
        <f t="shared" si="164"/>
        <v>0</v>
      </c>
      <c r="BQ400" s="536"/>
      <c r="BR400" s="536"/>
      <c r="BS400" s="536"/>
      <c r="BT400" s="542">
        <f t="shared" si="165"/>
        <v>0</v>
      </c>
      <c r="BU400" s="536"/>
      <c r="BV400" s="536"/>
      <c r="BW400" s="536"/>
      <c r="BX400" s="542">
        <f t="shared" si="166"/>
        <v>0</v>
      </c>
      <c r="BY400" s="536"/>
      <c r="BZ400" s="536"/>
      <c r="CA400" s="536"/>
      <c r="CB400" s="542">
        <v>0</v>
      </c>
      <c r="CC400" s="536"/>
      <c r="CD400" s="536"/>
      <c r="CE400" s="536"/>
      <c r="CF400" s="541">
        <f t="shared" si="167"/>
        <v>0</v>
      </c>
      <c r="CG400" s="536"/>
      <c r="CH400" s="536"/>
      <c r="CI400" s="536"/>
      <c r="CJ400" s="541">
        <f t="shared" si="168"/>
        <v>0</v>
      </c>
      <c r="CK400" s="536"/>
      <c r="CL400" s="536"/>
      <c r="CM400" s="536"/>
      <c r="CN400" s="541">
        <f t="shared" si="169"/>
        <v>0</v>
      </c>
      <c r="CO400" s="536"/>
      <c r="CP400" s="536"/>
      <c r="CQ400" s="536"/>
      <c r="CR400" s="541">
        <f t="shared" si="170"/>
        <v>0</v>
      </c>
      <c r="CS400" s="536"/>
      <c r="CT400" s="536"/>
      <c r="CU400" s="536"/>
      <c r="CV400" s="541">
        <f t="shared" si="171"/>
        <v>0</v>
      </c>
      <c r="CW400" s="536"/>
      <c r="CX400" s="536"/>
      <c r="CY400" s="536"/>
      <c r="CZ400" s="541">
        <f t="shared" si="172"/>
        <v>0</v>
      </c>
      <c r="DA400" s="536"/>
      <c r="DB400" s="536"/>
      <c r="DC400" s="536"/>
      <c r="DD400" s="541">
        <f t="shared" si="173"/>
        <v>0</v>
      </c>
      <c r="DE400" s="536"/>
      <c r="DF400" s="536"/>
      <c r="DG400" s="536"/>
      <c r="DH400" s="541">
        <f t="shared" si="174"/>
        <v>0</v>
      </c>
      <c r="DI400" s="536"/>
      <c r="DJ400" s="536"/>
      <c r="DK400" s="536"/>
      <c r="DL400" s="541">
        <f t="shared" si="175"/>
        <v>0</v>
      </c>
      <c r="DM400" s="536"/>
      <c r="DN400" s="536"/>
      <c r="DO400" s="536"/>
      <c r="DP400" s="541">
        <f>IF( SUM((DJ400*(20/100))+(DK400*(30/100))+(DL400*(50/100))) &gt;=9.3,9.5,
IF(AND( SUM((DJ400*(20/100))+(DK400*(30/100))+(DL400*(50/100))) &lt;=9.3, SUM((DJ400*(20/100))+(DK400*(30/100))+(DL400*(50/100))) &gt;=8.8),9,
IF(AND( SUM((DJ400*(20/100))+(DK400*(30/100))+(DL400*(50/100))) &lt;=8.8, SUM((DJ400*(20/100))+(DK400*(30/100))+(DL400*(50/100))) &gt;=8.3),8.5,
IF(AND( SUM((DJ400*(20/100))+(DK400*(30/100))+(DL400*(50/100))) &lt;=8.3, SUM((DJ400*(20/100))+(DK400*(30/100))+(DL400*(50/100))) &gt;=7.8),8,
IF(AND( SUM((DJ400*(20/100))+(DK400*(30/100))+(DL400*(50/100))) &lt;=7.8, SUM((DJ400*(20/100))+(DK400*(30/100))+(DL400*(50/100))) &gt;=7.3),7.5,
IF(AND( SUM((DJ400*(20/100))+(DK400*(30/100))+(DL400*(50/100))) &lt;=7.3, SUM((DJ400*(20/100))+(DK400*(30/100))+(DL400*(50/100))) &gt;=6.8),7,
IF(AND( SUM((DJ400*(20/100))+(DK400*(30/100))+(DL400*(50/100))) &lt;=6.8, SUM((DJ400*(20/100))+(DK400*(30/100))+(DL400*(50/100))) &gt;=6.3),6.5,
IF(AND( SUM((DJ400*(20/100))+(DK400*(30/100))+(DL400*(50/100))) &lt;=6.3, SUM((DJ400*(20/100))+(DK400*(30/100))+(DL400*(50/100))) &gt;=5.8),6,
IF(AND( SUM((DJ400*(20/100))+(DK400*(30/100))+(DL400*(50/100))) &lt;=5.8, SUM((DJ400*(20/100))+(DK400*(30/100))+(DL400*(50/100))) &gt;=5.3),5.5,
IF(AND( SUM((DJ400*(20/100))+(DK400*(30/100))+(DL400*(50/100))) &lt;=5.3, SUM((DJ400*(20/100))+(DK400*(30/100))+(DL400*(50/100))) &gt;=4.8),5,
IF(AND( SUM((DJ400*(20/100))+(DK400*(30/100))+(DL400*(50/100))) &lt;=4.8, SUM((DJ400*(20/100))+(DK400*(30/100))+(DL400*(50/100))) &gt;=4.3),4.5,
IF(AND( SUM((DJ400*(20/100))+(DK400*(30/100))+(DL400*(50/100))) &lt;=4.3, SUM((DJ400*(20/100))+(DK400*(30/100))+(DL400*(50/100))) &gt;=3.8),4,
IF(AND( SUM((DJ400*(20/100))+(DK400*(30/100))+(DL400*(50/100))) &lt;=3.8, SUM((DJ400*(20/100))+(DK400*(30/100))+(DL400*(50/100))) &gt;=3.5),3.5,0)))))))))))))</f>
        <v>0</v>
      </c>
      <c r="DQ400" s="541"/>
      <c r="DR400" s="541"/>
      <c r="DS400" s="541"/>
      <c r="DT400" s="541"/>
      <c r="DU400" s="541"/>
      <c r="DV400" s="541"/>
      <c r="DW400" s="541"/>
      <c r="DX400" s="541"/>
      <c r="DY400" s="541"/>
      <c r="DZ400" s="541"/>
    </row>
    <row r="401" spans="2:130" x14ac:dyDescent="0.25">
      <c r="B401" s="334">
        <v>44</v>
      </c>
      <c r="C401" s="541"/>
      <c r="D401" s="334"/>
      <c r="E401" s="334"/>
      <c r="F401" s="334"/>
      <c r="G401" s="334"/>
      <c r="H401" s="334"/>
      <c r="I401" s="334"/>
      <c r="J401" s="536"/>
      <c r="K401" s="536"/>
      <c r="L401" s="536"/>
      <c r="M401" s="536"/>
      <c r="N401" s="536"/>
      <c r="O401" s="536"/>
      <c r="P401" s="536">
        <f t="shared" si="151"/>
        <v>0</v>
      </c>
      <c r="Q401" s="536"/>
      <c r="R401" s="536"/>
      <c r="S401" s="536"/>
      <c r="T401" s="536">
        <f t="shared" si="152"/>
        <v>0</v>
      </c>
      <c r="U401" s="536"/>
      <c r="V401" s="536"/>
      <c r="W401" s="536"/>
      <c r="X401" s="536">
        <f t="shared" si="153"/>
        <v>0</v>
      </c>
      <c r="Y401" s="536"/>
      <c r="Z401" s="536"/>
      <c r="AA401" s="536"/>
      <c r="AB401" s="536">
        <f t="shared" si="154"/>
        <v>0</v>
      </c>
      <c r="AC401" s="536"/>
      <c r="AD401" s="536"/>
      <c r="AE401" s="536"/>
      <c r="AF401" s="536">
        <f t="shared" si="155"/>
        <v>0</v>
      </c>
      <c r="AG401" s="536"/>
      <c r="AH401" s="536"/>
      <c r="AI401" s="536"/>
      <c r="AJ401" s="536">
        <f t="shared" si="156"/>
        <v>0</v>
      </c>
      <c r="AK401" s="536"/>
      <c r="AL401" s="536"/>
      <c r="AM401" s="536"/>
      <c r="AN401" s="542">
        <f t="shared" si="157"/>
        <v>0</v>
      </c>
      <c r="AO401" s="536"/>
      <c r="AP401" s="536"/>
      <c r="AQ401" s="536"/>
      <c r="AR401" s="542">
        <f t="shared" si="158"/>
        <v>0</v>
      </c>
      <c r="AS401" s="536"/>
      <c r="AT401" s="536"/>
      <c r="AU401" s="536"/>
      <c r="AV401" s="542">
        <f t="shared" si="159"/>
        <v>0</v>
      </c>
      <c r="AW401" s="536"/>
      <c r="AX401" s="536"/>
      <c r="AY401" s="536"/>
      <c r="AZ401" s="542">
        <f t="shared" si="160"/>
        <v>0</v>
      </c>
      <c r="BA401" s="536"/>
      <c r="BB401" s="536"/>
      <c r="BC401" s="536"/>
      <c r="BD401" s="542">
        <f t="shared" si="161"/>
        <v>0</v>
      </c>
      <c r="BE401" s="536"/>
      <c r="BF401" s="536"/>
      <c r="BG401" s="536"/>
      <c r="BH401" s="542">
        <f t="shared" si="162"/>
        <v>0</v>
      </c>
      <c r="BI401" s="536"/>
      <c r="BJ401" s="536"/>
      <c r="BK401" s="536"/>
      <c r="BL401" s="542">
        <f t="shared" si="163"/>
        <v>0</v>
      </c>
      <c r="BM401" s="536"/>
      <c r="BN401" s="536"/>
      <c r="BO401" s="536"/>
      <c r="BP401" s="542">
        <f t="shared" si="164"/>
        <v>0</v>
      </c>
      <c r="BQ401" s="536"/>
      <c r="BR401" s="536"/>
      <c r="BS401" s="536"/>
      <c r="BT401" s="542">
        <f t="shared" si="165"/>
        <v>0</v>
      </c>
      <c r="BU401" s="536"/>
      <c r="BV401" s="536"/>
      <c r="BW401" s="536"/>
      <c r="BX401" s="542">
        <f t="shared" si="166"/>
        <v>0</v>
      </c>
      <c r="BY401" s="536"/>
      <c r="BZ401" s="536"/>
      <c r="CA401" s="536"/>
      <c r="CB401" s="542">
        <v>0</v>
      </c>
      <c r="CC401" s="536"/>
      <c r="CD401" s="536"/>
      <c r="CE401" s="536"/>
      <c r="CF401" s="541">
        <f t="shared" si="167"/>
        <v>0</v>
      </c>
      <c r="CG401" s="536"/>
      <c r="CH401" s="536"/>
      <c r="CI401" s="536"/>
      <c r="CJ401" s="541">
        <f t="shared" si="168"/>
        <v>0</v>
      </c>
      <c r="CK401" s="536"/>
      <c r="CL401" s="536"/>
      <c r="CM401" s="536"/>
      <c r="CN401" s="541">
        <f t="shared" si="169"/>
        <v>0</v>
      </c>
      <c r="CO401" s="536"/>
      <c r="CP401" s="536"/>
      <c r="CQ401" s="536"/>
      <c r="CR401" s="541">
        <f t="shared" si="170"/>
        <v>0</v>
      </c>
      <c r="CS401" s="536"/>
      <c r="CT401" s="536"/>
      <c r="CU401" s="536"/>
      <c r="CV401" s="541">
        <f t="shared" si="171"/>
        <v>0</v>
      </c>
      <c r="CW401" s="536"/>
      <c r="CX401" s="536"/>
      <c r="CY401" s="536"/>
      <c r="CZ401" s="541">
        <f t="shared" si="172"/>
        <v>0</v>
      </c>
      <c r="DA401" s="536"/>
      <c r="DB401" s="536"/>
      <c r="DC401" s="536"/>
      <c r="DD401" s="541">
        <f t="shared" si="173"/>
        <v>0</v>
      </c>
      <c r="DE401" s="536"/>
      <c r="DF401" s="536"/>
      <c r="DG401" s="536"/>
      <c r="DH401" s="541">
        <f t="shared" si="174"/>
        <v>0</v>
      </c>
      <c r="DI401" s="536"/>
      <c r="DJ401" s="536"/>
      <c r="DK401" s="536"/>
      <c r="DL401" s="541">
        <f t="shared" si="175"/>
        <v>0</v>
      </c>
      <c r="DM401" s="536"/>
      <c r="DN401" s="536"/>
      <c r="DO401" s="536"/>
      <c r="DP401" s="541">
        <f>IF( SUM((DJ401*(20/100))+(DK401*(30/100))+(DL401*(50/100))) &gt;=9.3,9.5,
IF(AND( SUM((DJ401*(20/100))+(DK401*(30/100))+(DL401*(50/100))) &lt;=9.3, SUM((DJ401*(20/100))+(DK401*(30/100))+(DL401*(50/100))) &gt;=8.8),9,
IF(AND( SUM((DJ401*(20/100))+(DK401*(30/100))+(DL401*(50/100))) &lt;=8.8, SUM((DJ401*(20/100))+(DK401*(30/100))+(DL401*(50/100))) &gt;=8.3),8.5,
IF(AND( SUM((DJ401*(20/100))+(DK401*(30/100))+(DL401*(50/100))) &lt;=8.3, SUM((DJ401*(20/100))+(DK401*(30/100))+(DL401*(50/100))) &gt;=7.8),8,
IF(AND( SUM((DJ401*(20/100))+(DK401*(30/100))+(DL401*(50/100))) &lt;=7.8, SUM((DJ401*(20/100))+(DK401*(30/100))+(DL401*(50/100))) &gt;=7.3),7.5,
IF(AND( SUM((DJ401*(20/100))+(DK401*(30/100))+(DL401*(50/100))) &lt;=7.3, SUM((DJ401*(20/100))+(DK401*(30/100))+(DL401*(50/100))) &gt;=6.8),7,
IF(AND( SUM((DJ401*(20/100))+(DK401*(30/100))+(DL401*(50/100))) &lt;=6.8, SUM((DJ401*(20/100))+(DK401*(30/100))+(DL401*(50/100))) &gt;=6.3),6.5,
IF(AND( SUM((DJ401*(20/100))+(DK401*(30/100))+(DL401*(50/100))) &lt;=6.3, SUM((DJ401*(20/100))+(DK401*(30/100))+(DL401*(50/100))) &gt;=5.8),6,
IF(AND( SUM((DJ401*(20/100))+(DK401*(30/100))+(DL401*(50/100))) &lt;=5.8, SUM((DJ401*(20/100))+(DK401*(30/100))+(DL401*(50/100))) &gt;=5.3),5.5,
IF(AND( SUM((DJ401*(20/100))+(DK401*(30/100))+(DL401*(50/100))) &lt;=5.3, SUM((DJ401*(20/100))+(DK401*(30/100))+(DL401*(50/100))) &gt;=4.8),5,
IF(AND( SUM((DJ401*(20/100))+(DK401*(30/100))+(DL401*(50/100))) &lt;=4.8, SUM((DJ401*(20/100))+(DK401*(30/100))+(DL401*(50/100))) &gt;=4.3),4.5,
IF(AND( SUM((DJ401*(20/100))+(DK401*(30/100))+(DL401*(50/100))) &lt;=4.3, SUM((DJ401*(20/100))+(DK401*(30/100))+(DL401*(50/100))) &gt;=3.8),4,
IF(AND( SUM((DJ401*(20/100))+(DK401*(30/100))+(DL401*(50/100))) &lt;=3.8, SUM((DJ401*(20/100))+(DK401*(30/100))+(DL401*(50/100))) &gt;=3.5),3.5,0)))))))))))))</f>
        <v>0</v>
      </c>
      <c r="DQ401" s="541"/>
      <c r="DR401" s="541"/>
      <c r="DS401" s="541"/>
      <c r="DT401" s="541"/>
      <c r="DU401" s="541"/>
      <c r="DV401" s="541"/>
      <c r="DW401" s="541"/>
      <c r="DX401" s="541"/>
      <c r="DY401" s="541"/>
      <c r="DZ401" s="541"/>
    </row>
    <row r="402" spans="2:130" x14ac:dyDescent="0.25">
      <c r="B402" s="334">
        <v>45</v>
      </c>
      <c r="C402" s="541"/>
      <c r="D402" s="334"/>
      <c r="E402" s="334"/>
      <c r="F402" s="334"/>
      <c r="G402" s="334"/>
      <c r="H402" s="334"/>
      <c r="I402" s="334"/>
      <c r="J402" s="536"/>
      <c r="K402" s="536"/>
      <c r="L402" s="536"/>
      <c r="M402" s="536"/>
      <c r="N402" s="536"/>
      <c r="O402" s="536"/>
      <c r="P402" s="536">
        <f t="shared" si="151"/>
        <v>0</v>
      </c>
      <c r="Q402" s="536"/>
      <c r="R402" s="536"/>
      <c r="S402" s="536"/>
      <c r="T402" s="536">
        <f t="shared" si="152"/>
        <v>0</v>
      </c>
      <c r="U402" s="536"/>
      <c r="V402" s="536"/>
      <c r="W402" s="536"/>
      <c r="X402" s="536">
        <f t="shared" si="153"/>
        <v>0</v>
      </c>
      <c r="Y402" s="536"/>
      <c r="Z402" s="536"/>
      <c r="AA402" s="536"/>
      <c r="AB402" s="536">
        <f t="shared" si="154"/>
        <v>0</v>
      </c>
      <c r="AC402" s="536"/>
      <c r="AD402" s="536"/>
      <c r="AE402" s="536"/>
      <c r="AF402" s="536">
        <f t="shared" si="155"/>
        <v>0</v>
      </c>
      <c r="AG402" s="536"/>
      <c r="AH402" s="536"/>
      <c r="AI402" s="536"/>
      <c r="AJ402" s="536">
        <f t="shared" si="156"/>
        <v>0</v>
      </c>
      <c r="AK402" s="536"/>
      <c r="AL402" s="536"/>
      <c r="AM402" s="536"/>
      <c r="AN402" s="542">
        <f t="shared" si="157"/>
        <v>0</v>
      </c>
      <c r="AO402" s="536"/>
      <c r="AP402" s="536"/>
      <c r="AQ402" s="536"/>
      <c r="AR402" s="542">
        <f t="shared" si="158"/>
        <v>0</v>
      </c>
      <c r="AS402" s="536"/>
      <c r="AT402" s="536"/>
      <c r="AU402" s="536"/>
      <c r="AV402" s="542">
        <f t="shared" si="159"/>
        <v>0</v>
      </c>
      <c r="AW402" s="536"/>
      <c r="AX402" s="536"/>
      <c r="AY402" s="536"/>
      <c r="AZ402" s="542">
        <f t="shared" si="160"/>
        <v>0</v>
      </c>
      <c r="BA402" s="536"/>
      <c r="BB402" s="536"/>
      <c r="BC402" s="536"/>
      <c r="BD402" s="542">
        <f t="shared" si="161"/>
        <v>0</v>
      </c>
      <c r="BE402" s="536"/>
      <c r="BF402" s="536"/>
      <c r="BG402" s="536"/>
      <c r="BH402" s="542">
        <f t="shared" si="162"/>
        <v>0</v>
      </c>
      <c r="BI402" s="536"/>
      <c r="BJ402" s="536"/>
      <c r="BK402" s="536"/>
      <c r="BL402" s="542">
        <f t="shared" si="163"/>
        <v>0</v>
      </c>
      <c r="BM402" s="536"/>
      <c r="BN402" s="536"/>
      <c r="BO402" s="536"/>
      <c r="BP402" s="542">
        <f t="shared" si="164"/>
        <v>0</v>
      </c>
      <c r="BQ402" s="536"/>
      <c r="BR402" s="536"/>
      <c r="BS402" s="536"/>
      <c r="BT402" s="542">
        <f t="shared" si="165"/>
        <v>0</v>
      </c>
      <c r="BU402" s="536"/>
      <c r="BV402" s="536"/>
      <c r="BW402" s="536"/>
      <c r="BX402" s="542">
        <f t="shared" si="166"/>
        <v>0</v>
      </c>
      <c r="BY402" s="536"/>
      <c r="BZ402" s="536"/>
      <c r="CA402" s="536"/>
      <c r="CB402" s="542">
        <v>0</v>
      </c>
      <c r="CC402" s="536"/>
      <c r="CD402" s="536"/>
      <c r="CE402" s="536"/>
      <c r="CF402" s="541">
        <f t="shared" si="167"/>
        <v>0</v>
      </c>
      <c r="CG402" s="536"/>
      <c r="CH402" s="536"/>
      <c r="CI402" s="536"/>
      <c r="CJ402" s="541">
        <f t="shared" si="168"/>
        <v>0</v>
      </c>
      <c r="CK402" s="536"/>
      <c r="CL402" s="536"/>
      <c r="CM402" s="536"/>
      <c r="CN402" s="541">
        <f t="shared" si="169"/>
        <v>0</v>
      </c>
      <c r="CO402" s="536"/>
      <c r="CP402" s="536"/>
      <c r="CQ402" s="536"/>
      <c r="CR402" s="541">
        <f t="shared" si="170"/>
        <v>0</v>
      </c>
      <c r="CS402" s="536"/>
      <c r="CT402" s="536"/>
      <c r="CU402" s="536"/>
      <c r="CV402" s="541">
        <f t="shared" si="171"/>
        <v>0</v>
      </c>
      <c r="CW402" s="536"/>
      <c r="CX402" s="536"/>
      <c r="CY402" s="536"/>
      <c r="CZ402" s="541">
        <f t="shared" si="172"/>
        <v>0</v>
      </c>
      <c r="DA402" s="536"/>
      <c r="DB402" s="536"/>
      <c r="DC402" s="536"/>
      <c r="DD402" s="541">
        <f t="shared" si="173"/>
        <v>0</v>
      </c>
      <c r="DE402" s="536"/>
      <c r="DF402" s="536"/>
      <c r="DG402" s="536"/>
      <c r="DH402" s="541">
        <f t="shared" si="174"/>
        <v>0</v>
      </c>
      <c r="DI402" s="536"/>
      <c r="DJ402" s="536"/>
      <c r="DK402" s="536"/>
      <c r="DL402" s="541">
        <f t="shared" si="175"/>
        <v>0</v>
      </c>
      <c r="DM402" s="536"/>
      <c r="DN402" s="536"/>
      <c r="DO402" s="536"/>
      <c r="DP402" s="541">
        <f>IF( SUM((DJ402*(20/100))+(DK402*(30/100))+(DL402*(50/100))) &gt;=9.3,9.5,
IF(AND( SUM((DJ402*(20/100))+(DK402*(30/100))+(DL402*(50/100))) &lt;=9.3, SUM((DJ402*(20/100))+(DK402*(30/100))+(DL402*(50/100))) &gt;=8.8),9,
IF(AND( SUM((DJ402*(20/100))+(DK402*(30/100))+(DL402*(50/100))) &lt;=8.8, SUM((DJ402*(20/100))+(DK402*(30/100))+(DL402*(50/100))) &gt;=8.3),8.5,
IF(AND( SUM((DJ402*(20/100))+(DK402*(30/100))+(DL402*(50/100))) &lt;=8.3, SUM((DJ402*(20/100))+(DK402*(30/100))+(DL402*(50/100))) &gt;=7.8),8,
IF(AND( SUM((DJ402*(20/100))+(DK402*(30/100))+(DL402*(50/100))) &lt;=7.8, SUM((DJ402*(20/100))+(DK402*(30/100))+(DL402*(50/100))) &gt;=7.3),7.5,
IF(AND( SUM((DJ402*(20/100))+(DK402*(30/100))+(DL402*(50/100))) &lt;=7.3, SUM((DJ402*(20/100))+(DK402*(30/100))+(DL402*(50/100))) &gt;=6.8),7,
IF(AND( SUM((DJ402*(20/100))+(DK402*(30/100))+(DL402*(50/100))) &lt;=6.8, SUM((DJ402*(20/100))+(DK402*(30/100))+(DL402*(50/100))) &gt;=6.3),6.5,
IF(AND( SUM((DJ402*(20/100))+(DK402*(30/100))+(DL402*(50/100))) &lt;=6.3, SUM((DJ402*(20/100))+(DK402*(30/100))+(DL402*(50/100))) &gt;=5.8),6,
IF(AND( SUM((DJ402*(20/100))+(DK402*(30/100))+(DL402*(50/100))) &lt;=5.8, SUM((DJ402*(20/100))+(DK402*(30/100))+(DL402*(50/100))) &gt;=5.3),5.5,
IF(AND( SUM((DJ402*(20/100))+(DK402*(30/100))+(DL402*(50/100))) &lt;=5.3, SUM((DJ402*(20/100))+(DK402*(30/100))+(DL402*(50/100))) &gt;=4.8),5,
IF(AND( SUM((DJ402*(20/100))+(DK402*(30/100))+(DL402*(50/100))) &lt;=4.8, SUM((DJ402*(20/100))+(DK402*(30/100))+(DL402*(50/100))) &gt;=4.3),4.5,
IF(AND( SUM((DJ402*(20/100))+(DK402*(30/100))+(DL402*(50/100))) &lt;=4.3, SUM((DJ402*(20/100))+(DK402*(30/100))+(DL402*(50/100))) &gt;=3.8),4,
IF(AND( SUM((DJ402*(20/100))+(DK402*(30/100))+(DL402*(50/100))) &lt;=3.8, SUM((DJ402*(20/100))+(DK402*(30/100))+(DL402*(50/100))) &gt;=3.5),3.5,0)))))))))))))</f>
        <v>0</v>
      </c>
      <c r="DQ402" s="541"/>
      <c r="DR402" s="541"/>
      <c r="DS402" s="541"/>
      <c r="DT402" s="541"/>
      <c r="DU402" s="541"/>
      <c r="DV402" s="541"/>
      <c r="DW402" s="541"/>
      <c r="DX402" s="541"/>
      <c r="DY402" s="541"/>
      <c r="DZ402" s="541"/>
    </row>
    <row r="403" spans="2:130" x14ac:dyDescent="0.25">
      <c r="B403" s="334">
        <v>46</v>
      </c>
      <c r="C403" s="541"/>
      <c r="D403" s="334"/>
      <c r="E403" s="334"/>
      <c r="F403" s="334"/>
      <c r="G403" s="334"/>
      <c r="H403" s="334"/>
      <c r="I403" s="334"/>
      <c r="J403" s="536"/>
      <c r="K403" s="536"/>
      <c r="L403" s="536"/>
      <c r="M403" s="536"/>
      <c r="N403" s="536"/>
      <c r="O403" s="536"/>
      <c r="P403" s="536">
        <f t="shared" si="151"/>
        <v>0</v>
      </c>
      <c r="Q403" s="536"/>
      <c r="R403" s="536"/>
      <c r="S403" s="536"/>
      <c r="T403" s="536">
        <f t="shared" si="152"/>
        <v>0</v>
      </c>
      <c r="U403" s="536"/>
      <c r="V403" s="536"/>
      <c r="W403" s="536"/>
      <c r="X403" s="536">
        <f t="shared" si="153"/>
        <v>0</v>
      </c>
      <c r="Y403" s="536"/>
      <c r="Z403" s="536"/>
      <c r="AA403" s="536"/>
      <c r="AB403" s="536">
        <f t="shared" si="154"/>
        <v>0</v>
      </c>
      <c r="AC403" s="536"/>
      <c r="AD403" s="536"/>
      <c r="AE403" s="536"/>
      <c r="AF403" s="536">
        <f t="shared" si="155"/>
        <v>0</v>
      </c>
      <c r="AG403" s="536"/>
      <c r="AH403" s="536"/>
      <c r="AI403" s="536"/>
      <c r="AJ403" s="536">
        <f t="shared" si="156"/>
        <v>0</v>
      </c>
      <c r="AK403" s="536"/>
      <c r="AL403" s="536"/>
      <c r="AM403" s="536"/>
      <c r="AN403" s="542">
        <f t="shared" si="157"/>
        <v>0</v>
      </c>
      <c r="AO403" s="536"/>
      <c r="AP403" s="536"/>
      <c r="AQ403" s="536"/>
      <c r="AR403" s="542">
        <f t="shared" si="158"/>
        <v>0</v>
      </c>
      <c r="AS403" s="536"/>
      <c r="AT403" s="536"/>
      <c r="AU403" s="536"/>
      <c r="AV403" s="542">
        <f t="shared" si="159"/>
        <v>0</v>
      </c>
      <c r="AW403" s="536"/>
      <c r="AX403" s="536"/>
      <c r="AY403" s="536"/>
      <c r="AZ403" s="542">
        <f t="shared" si="160"/>
        <v>0</v>
      </c>
      <c r="BA403" s="536"/>
      <c r="BB403" s="536"/>
      <c r="BC403" s="536"/>
      <c r="BD403" s="542">
        <f t="shared" si="161"/>
        <v>0</v>
      </c>
      <c r="BE403" s="536"/>
      <c r="BF403" s="536"/>
      <c r="BG403" s="536"/>
      <c r="BH403" s="542">
        <f t="shared" si="162"/>
        <v>0</v>
      </c>
      <c r="BI403" s="536"/>
      <c r="BJ403" s="536"/>
      <c r="BK403" s="536"/>
      <c r="BL403" s="542">
        <f t="shared" si="163"/>
        <v>0</v>
      </c>
      <c r="BM403" s="536"/>
      <c r="BN403" s="536"/>
      <c r="BO403" s="536"/>
      <c r="BP403" s="542">
        <f t="shared" si="164"/>
        <v>0</v>
      </c>
      <c r="BQ403" s="536"/>
      <c r="BR403" s="536"/>
      <c r="BS403" s="536"/>
      <c r="BT403" s="542">
        <f t="shared" si="165"/>
        <v>0</v>
      </c>
      <c r="BU403" s="536"/>
      <c r="BV403" s="536"/>
      <c r="BW403" s="536"/>
      <c r="BX403" s="542">
        <f t="shared" si="166"/>
        <v>0</v>
      </c>
      <c r="BY403" s="536"/>
      <c r="BZ403" s="536"/>
      <c r="CA403" s="536"/>
      <c r="CB403" s="542">
        <v>0</v>
      </c>
      <c r="CC403" s="536"/>
      <c r="CD403" s="536"/>
      <c r="CE403" s="536"/>
      <c r="CF403" s="541">
        <f t="shared" si="167"/>
        <v>0</v>
      </c>
      <c r="CG403" s="536"/>
      <c r="CH403" s="536"/>
      <c r="CI403" s="536"/>
      <c r="CJ403" s="541">
        <f t="shared" si="168"/>
        <v>0</v>
      </c>
      <c r="CK403" s="536"/>
      <c r="CL403" s="536"/>
      <c r="CM403" s="536"/>
      <c r="CN403" s="541">
        <f t="shared" si="169"/>
        <v>0</v>
      </c>
      <c r="CO403" s="536"/>
      <c r="CP403" s="536"/>
      <c r="CQ403" s="536"/>
      <c r="CR403" s="541">
        <f t="shared" si="170"/>
        <v>0</v>
      </c>
      <c r="CS403" s="536"/>
      <c r="CT403" s="536"/>
      <c r="CU403" s="536"/>
      <c r="CV403" s="541">
        <f t="shared" si="171"/>
        <v>0</v>
      </c>
      <c r="CW403" s="536"/>
      <c r="CX403" s="536"/>
      <c r="CY403" s="536"/>
      <c r="CZ403" s="541">
        <f t="shared" si="172"/>
        <v>0</v>
      </c>
      <c r="DA403" s="536"/>
      <c r="DB403" s="536"/>
      <c r="DC403" s="536"/>
      <c r="DD403" s="541">
        <f t="shared" si="173"/>
        <v>0</v>
      </c>
      <c r="DE403" s="536"/>
      <c r="DF403" s="536"/>
      <c r="DG403" s="536"/>
      <c r="DH403" s="541">
        <f t="shared" si="174"/>
        <v>0</v>
      </c>
      <c r="DI403" s="536"/>
      <c r="DJ403" s="536"/>
      <c r="DK403" s="536"/>
      <c r="DL403" s="541">
        <f t="shared" si="175"/>
        <v>0</v>
      </c>
      <c r="DM403" s="536"/>
      <c r="DN403" s="536"/>
      <c r="DO403" s="536"/>
      <c r="DP403" s="541">
        <f>IF( SUM((DJ403*(20/100))+(DK403*(30/100))+(DL403*(50/100))) &gt;=9.3,9.5,
IF(AND( SUM((DJ403*(20/100))+(DK403*(30/100))+(DL403*(50/100))) &lt;=9.3, SUM((DJ403*(20/100))+(DK403*(30/100))+(DL403*(50/100))) &gt;=8.8),9,
IF(AND( SUM((DJ403*(20/100))+(DK403*(30/100))+(DL403*(50/100))) &lt;=8.8, SUM((DJ403*(20/100))+(DK403*(30/100))+(DL403*(50/100))) &gt;=8.3),8.5,
IF(AND( SUM((DJ403*(20/100))+(DK403*(30/100))+(DL403*(50/100))) &lt;=8.3, SUM((DJ403*(20/100))+(DK403*(30/100))+(DL403*(50/100))) &gt;=7.8),8,
IF(AND( SUM((DJ403*(20/100))+(DK403*(30/100))+(DL403*(50/100))) &lt;=7.8, SUM((DJ403*(20/100))+(DK403*(30/100))+(DL403*(50/100))) &gt;=7.3),7.5,
IF(AND( SUM((DJ403*(20/100))+(DK403*(30/100))+(DL403*(50/100))) &lt;=7.3, SUM((DJ403*(20/100))+(DK403*(30/100))+(DL403*(50/100))) &gt;=6.8),7,
IF(AND( SUM((DJ403*(20/100))+(DK403*(30/100))+(DL403*(50/100))) &lt;=6.8, SUM((DJ403*(20/100))+(DK403*(30/100))+(DL403*(50/100))) &gt;=6.3),6.5,
IF(AND( SUM((DJ403*(20/100))+(DK403*(30/100))+(DL403*(50/100))) &lt;=6.3, SUM((DJ403*(20/100))+(DK403*(30/100))+(DL403*(50/100))) &gt;=5.8),6,
IF(AND( SUM((DJ403*(20/100))+(DK403*(30/100))+(DL403*(50/100))) &lt;=5.8, SUM((DJ403*(20/100))+(DK403*(30/100))+(DL403*(50/100))) &gt;=5.3),5.5,
IF(AND( SUM((DJ403*(20/100))+(DK403*(30/100))+(DL403*(50/100))) &lt;=5.3, SUM((DJ403*(20/100))+(DK403*(30/100))+(DL403*(50/100))) &gt;=4.8),5,
IF(AND( SUM((DJ403*(20/100))+(DK403*(30/100))+(DL403*(50/100))) &lt;=4.8, SUM((DJ403*(20/100))+(DK403*(30/100))+(DL403*(50/100))) &gt;=4.3),4.5,
IF(AND( SUM((DJ403*(20/100))+(DK403*(30/100))+(DL403*(50/100))) &lt;=4.3, SUM((DJ403*(20/100))+(DK403*(30/100))+(DL403*(50/100))) &gt;=3.8),4,
IF(AND( SUM((DJ403*(20/100))+(DK403*(30/100))+(DL403*(50/100))) &lt;=3.8, SUM((DJ403*(20/100))+(DK403*(30/100))+(DL403*(50/100))) &gt;=3.5),3.5,0)))))))))))))</f>
        <v>0</v>
      </c>
      <c r="DQ403" s="541"/>
      <c r="DR403" s="541"/>
      <c r="DS403" s="541"/>
      <c r="DT403" s="541"/>
      <c r="DU403" s="541"/>
      <c r="DV403" s="541"/>
      <c r="DW403" s="541"/>
      <c r="DX403" s="541"/>
      <c r="DY403" s="541"/>
      <c r="DZ403" s="541"/>
    </row>
    <row r="404" spans="2:130" x14ac:dyDescent="0.25">
      <c r="B404" s="334">
        <v>47</v>
      </c>
      <c r="C404" s="541"/>
      <c r="D404" s="334"/>
      <c r="E404" s="334"/>
      <c r="F404" s="334"/>
      <c r="G404" s="334"/>
      <c r="H404" s="334"/>
      <c r="I404" s="334"/>
      <c r="J404" s="536"/>
      <c r="K404" s="536"/>
      <c r="L404" s="536"/>
      <c r="M404" s="536"/>
      <c r="N404" s="536"/>
      <c r="O404" s="536"/>
      <c r="P404" s="536">
        <f t="shared" si="151"/>
        <v>0</v>
      </c>
      <c r="Q404" s="536"/>
      <c r="R404" s="536"/>
      <c r="S404" s="536"/>
      <c r="T404" s="536">
        <f t="shared" si="152"/>
        <v>0</v>
      </c>
      <c r="U404" s="536"/>
      <c r="V404" s="536"/>
      <c r="W404" s="536"/>
      <c r="X404" s="536">
        <f t="shared" si="153"/>
        <v>0</v>
      </c>
      <c r="Y404" s="536"/>
      <c r="Z404" s="536"/>
      <c r="AA404" s="536"/>
      <c r="AB404" s="536">
        <f t="shared" si="154"/>
        <v>0</v>
      </c>
      <c r="AC404" s="536"/>
      <c r="AD404" s="536"/>
      <c r="AE404" s="536"/>
      <c r="AF404" s="536">
        <f t="shared" si="155"/>
        <v>0</v>
      </c>
      <c r="AG404" s="536"/>
      <c r="AH404" s="536"/>
      <c r="AI404" s="536"/>
      <c r="AJ404" s="536">
        <f t="shared" si="156"/>
        <v>0</v>
      </c>
      <c r="AK404" s="536"/>
      <c r="AL404" s="536"/>
      <c r="AM404" s="536"/>
      <c r="AN404" s="542">
        <f t="shared" si="157"/>
        <v>0</v>
      </c>
      <c r="AO404" s="536"/>
      <c r="AP404" s="536"/>
      <c r="AQ404" s="536"/>
      <c r="AR404" s="542">
        <f t="shared" si="158"/>
        <v>0</v>
      </c>
      <c r="AS404" s="536"/>
      <c r="AT404" s="536"/>
      <c r="AU404" s="536"/>
      <c r="AV404" s="542">
        <f t="shared" si="159"/>
        <v>0</v>
      </c>
      <c r="AW404" s="536"/>
      <c r="AX404" s="536"/>
      <c r="AY404" s="536"/>
      <c r="AZ404" s="542">
        <f t="shared" si="160"/>
        <v>0</v>
      </c>
      <c r="BA404" s="536"/>
      <c r="BB404" s="536"/>
      <c r="BC404" s="536"/>
      <c r="BD404" s="542">
        <f t="shared" si="161"/>
        <v>0</v>
      </c>
      <c r="BE404" s="536"/>
      <c r="BF404" s="536"/>
      <c r="BG404" s="536"/>
      <c r="BH404" s="542">
        <f t="shared" si="162"/>
        <v>0</v>
      </c>
      <c r="BI404" s="536"/>
      <c r="BJ404" s="536"/>
      <c r="BK404" s="536"/>
      <c r="BL404" s="542">
        <f t="shared" si="163"/>
        <v>0</v>
      </c>
      <c r="BM404" s="536"/>
      <c r="BN404" s="536"/>
      <c r="BO404" s="536"/>
      <c r="BP404" s="542">
        <f t="shared" si="164"/>
        <v>0</v>
      </c>
      <c r="BQ404" s="536"/>
      <c r="BR404" s="536"/>
      <c r="BS404" s="536"/>
      <c r="BT404" s="542">
        <f t="shared" si="165"/>
        <v>0</v>
      </c>
      <c r="BU404" s="536"/>
      <c r="BV404" s="536"/>
      <c r="BW404" s="536"/>
      <c r="BX404" s="542">
        <f t="shared" si="166"/>
        <v>0</v>
      </c>
      <c r="BY404" s="536"/>
      <c r="BZ404" s="536"/>
      <c r="CA404" s="536"/>
      <c r="CB404" s="542">
        <v>0</v>
      </c>
      <c r="CC404" s="536"/>
      <c r="CD404" s="536"/>
      <c r="CE404" s="536"/>
      <c r="CF404" s="541">
        <f t="shared" si="167"/>
        <v>0</v>
      </c>
      <c r="CG404" s="536"/>
      <c r="CH404" s="536"/>
      <c r="CI404" s="536"/>
      <c r="CJ404" s="541">
        <f t="shared" si="168"/>
        <v>0</v>
      </c>
      <c r="CK404" s="536"/>
      <c r="CL404" s="536"/>
      <c r="CM404" s="536"/>
      <c r="CN404" s="541">
        <f t="shared" si="169"/>
        <v>0</v>
      </c>
      <c r="CO404" s="536"/>
      <c r="CP404" s="536"/>
      <c r="CQ404" s="536"/>
      <c r="CR404" s="541">
        <f t="shared" si="170"/>
        <v>0</v>
      </c>
      <c r="CS404" s="536"/>
      <c r="CT404" s="536"/>
      <c r="CU404" s="536"/>
      <c r="CV404" s="541">
        <f t="shared" si="171"/>
        <v>0</v>
      </c>
      <c r="CW404" s="536"/>
      <c r="CX404" s="536"/>
      <c r="CY404" s="536"/>
      <c r="CZ404" s="541">
        <f t="shared" si="172"/>
        <v>0</v>
      </c>
      <c r="DA404" s="536"/>
      <c r="DB404" s="536"/>
      <c r="DC404" s="536"/>
      <c r="DD404" s="541">
        <f t="shared" si="173"/>
        <v>0</v>
      </c>
      <c r="DE404" s="536"/>
      <c r="DF404" s="536"/>
      <c r="DG404" s="536"/>
      <c r="DH404" s="541">
        <f t="shared" si="174"/>
        <v>0</v>
      </c>
      <c r="DI404" s="536"/>
      <c r="DJ404" s="536"/>
      <c r="DK404" s="536"/>
      <c r="DL404" s="541">
        <f t="shared" si="175"/>
        <v>0</v>
      </c>
      <c r="DM404" s="536"/>
      <c r="DN404" s="536"/>
      <c r="DO404" s="536"/>
      <c r="DP404" s="541">
        <f>IF( SUM((DJ404*(20/100))+(DK404*(30/100))+(DL404*(50/100))) &gt;=9.3,9.5,
IF(AND( SUM((DJ404*(20/100))+(DK404*(30/100))+(DL404*(50/100))) &lt;=9.3, SUM((DJ404*(20/100))+(DK404*(30/100))+(DL404*(50/100))) &gt;=8.8),9,
IF(AND( SUM((DJ404*(20/100))+(DK404*(30/100))+(DL404*(50/100))) &lt;=8.8, SUM((DJ404*(20/100))+(DK404*(30/100))+(DL404*(50/100))) &gt;=8.3),8.5,
IF(AND( SUM((DJ404*(20/100))+(DK404*(30/100))+(DL404*(50/100))) &lt;=8.3, SUM((DJ404*(20/100))+(DK404*(30/100))+(DL404*(50/100))) &gt;=7.8),8,
IF(AND( SUM((DJ404*(20/100))+(DK404*(30/100))+(DL404*(50/100))) &lt;=7.8, SUM((DJ404*(20/100))+(DK404*(30/100))+(DL404*(50/100))) &gt;=7.3),7.5,
IF(AND( SUM((DJ404*(20/100))+(DK404*(30/100))+(DL404*(50/100))) &lt;=7.3, SUM((DJ404*(20/100))+(DK404*(30/100))+(DL404*(50/100))) &gt;=6.8),7,
IF(AND( SUM((DJ404*(20/100))+(DK404*(30/100))+(DL404*(50/100))) &lt;=6.8, SUM((DJ404*(20/100))+(DK404*(30/100))+(DL404*(50/100))) &gt;=6.3),6.5,
IF(AND( SUM((DJ404*(20/100))+(DK404*(30/100))+(DL404*(50/100))) &lt;=6.3, SUM((DJ404*(20/100))+(DK404*(30/100))+(DL404*(50/100))) &gt;=5.8),6,
IF(AND( SUM((DJ404*(20/100))+(DK404*(30/100))+(DL404*(50/100))) &lt;=5.8, SUM((DJ404*(20/100))+(DK404*(30/100))+(DL404*(50/100))) &gt;=5.3),5.5,
IF(AND( SUM((DJ404*(20/100))+(DK404*(30/100))+(DL404*(50/100))) &lt;=5.3, SUM((DJ404*(20/100))+(DK404*(30/100))+(DL404*(50/100))) &gt;=4.8),5,
IF(AND( SUM((DJ404*(20/100))+(DK404*(30/100))+(DL404*(50/100))) &lt;=4.8, SUM((DJ404*(20/100))+(DK404*(30/100))+(DL404*(50/100))) &gt;=4.3),4.5,
IF(AND( SUM((DJ404*(20/100))+(DK404*(30/100))+(DL404*(50/100))) &lt;=4.3, SUM((DJ404*(20/100))+(DK404*(30/100))+(DL404*(50/100))) &gt;=3.8),4,
IF(AND( SUM((DJ404*(20/100))+(DK404*(30/100))+(DL404*(50/100))) &lt;=3.8, SUM((DJ404*(20/100))+(DK404*(30/100))+(DL404*(50/100))) &gt;=3.5),3.5,0)))))))))))))</f>
        <v>0</v>
      </c>
      <c r="DQ404" s="541"/>
      <c r="DR404" s="541"/>
      <c r="DS404" s="541"/>
      <c r="DT404" s="541"/>
      <c r="DU404" s="541"/>
      <c r="DV404" s="541"/>
      <c r="DW404" s="541"/>
      <c r="DX404" s="541"/>
      <c r="DY404" s="541"/>
      <c r="DZ404" s="541"/>
    </row>
    <row r="405" spans="2:130" x14ac:dyDescent="0.25">
      <c r="B405" s="334">
        <v>48</v>
      </c>
      <c r="C405" s="541"/>
      <c r="D405" s="334"/>
      <c r="E405" s="334"/>
      <c r="F405" s="334"/>
      <c r="G405" s="334"/>
      <c r="H405" s="334"/>
      <c r="I405" s="334"/>
      <c r="J405" s="536"/>
      <c r="K405" s="536"/>
      <c r="L405" s="536"/>
      <c r="M405" s="536"/>
      <c r="N405" s="536"/>
      <c r="O405" s="536"/>
      <c r="P405" s="536">
        <f t="shared" si="151"/>
        <v>0</v>
      </c>
      <c r="Q405" s="536"/>
      <c r="R405" s="536"/>
      <c r="S405" s="536"/>
      <c r="T405" s="536">
        <f t="shared" si="152"/>
        <v>0</v>
      </c>
      <c r="U405" s="536"/>
      <c r="V405" s="536"/>
      <c r="W405" s="536"/>
      <c r="X405" s="536">
        <f t="shared" si="153"/>
        <v>0</v>
      </c>
      <c r="Y405" s="536"/>
      <c r="Z405" s="536"/>
      <c r="AA405" s="536"/>
      <c r="AB405" s="536">
        <f t="shared" si="154"/>
        <v>0</v>
      </c>
      <c r="AC405" s="536"/>
      <c r="AD405" s="536"/>
      <c r="AE405" s="536"/>
      <c r="AF405" s="536">
        <f t="shared" si="155"/>
        <v>0</v>
      </c>
      <c r="AG405" s="536"/>
      <c r="AH405" s="536"/>
      <c r="AI405" s="536"/>
      <c r="AJ405" s="536">
        <f t="shared" si="156"/>
        <v>0</v>
      </c>
      <c r="AK405" s="536"/>
      <c r="AL405" s="536"/>
      <c r="AM405" s="536"/>
      <c r="AN405" s="542">
        <f t="shared" si="157"/>
        <v>0</v>
      </c>
      <c r="AO405" s="536"/>
      <c r="AP405" s="536"/>
      <c r="AQ405" s="536"/>
      <c r="AR405" s="542">
        <f t="shared" si="158"/>
        <v>0</v>
      </c>
      <c r="AS405" s="536"/>
      <c r="AT405" s="536"/>
      <c r="AU405" s="536"/>
      <c r="AV405" s="542">
        <f t="shared" si="159"/>
        <v>0</v>
      </c>
      <c r="AW405" s="536"/>
      <c r="AX405" s="536"/>
      <c r="AY405" s="536"/>
      <c r="AZ405" s="542">
        <f t="shared" si="160"/>
        <v>0</v>
      </c>
      <c r="BA405" s="536"/>
      <c r="BB405" s="536"/>
      <c r="BC405" s="536"/>
      <c r="BD405" s="542">
        <f t="shared" si="161"/>
        <v>0</v>
      </c>
      <c r="BE405" s="536"/>
      <c r="BF405" s="536"/>
      <c r="BG405" s="536"/>
      <c r="BH405" s="542">
        <f t="shared" si="162"/>
        <v>0</v>
      </c>
      <c r="BI405" s="536"/>
      <c r="BJ405" s="536"/>
      <c r="BK405" s="536"/>
      <c r="BL405" s="542">
        <f t="shared" si="163"/>
        <v>0</v>
      </c>
      <c r="BM405" s="536"/>
      <c r="BN405" s="536"/>
      <c r="BO405" s="536"/>
      <c r="BP405" s="542">
        <f t="shared" si="164"/>
        <v>0</v>
      </c>
      <c r="BQ405" s="536"/>
      <c r="BR405" s="536"/>
      <c r="BS405" s="536"/>
      <c r="BT405" s="542">
        <f t="shared" si="165"/>
        <v>0</v>
      </c>
      <c r="BU405" s="536"/>
      <c r="BV405" s="536"/>
      <c r="BW405" s="536"/>
      <c r="BX405" s="542">
        <f t="shared" si="166"/>
        <v>0</v>
      </c>
      <c r="BY405" s="536"/>
      <c r="BZ405" s="536"/>
      <c r="CA405" s="536"/>
      <c r="CB405" s="542">
        <v>0</v>
      </c>
      <c r="CC405" s="536"/>
      <c r="CD405" s="536"/>
      <c r="CE405" s="536"/>
      <c r="CF405" s="541">
        <f t="shared" si="167"/>
        <v>0</v>
      </c>
      <c r="CG405" s="536"/>
      <c r="CH405" s="536"/>
      <c r="CI405" s="536"/>
      <c r="CJ405" s="541">
        <f t="shared" si="168"/>
        <v>0</v>
      </c>
      <c r="CK405" s="536"/>
      <c r="CL405" s="536"/>
      <c r="CM405" s="536"/>
      <c r="CN405" s="541">
        <f t="shared" si="169"/>
        <v>0</v>
      </c>
      <c r="CO405" s="536"/>
      <c r="CP405" s="536"/>
      <c r="CQ405" s="536"/>
      <c r="CR405" s="541">
        <f t="shared" si="170"/>
        <v>0</v>
      </c>
      <c r="CS405" s="536"/>
      <c r="CT405" s="536"/>
      <c r="CU405" s="536"/>
      <c r="CV405" s="541">
        <f t="shared" si="171"/>
        <v>0</v>
      </c>
      <c r="CW405" s="536"/>
      <c r="CX405" s="536"/>
      <c r="CY405" s="536"/>
      <c r="CZ405" s="541">
        <f t="shared" si="172"/>
        <v>0</v>
      </c>
      <c r="DA405" s="536"/>
      <c r="DB405" s="536"/>
      <c r="DC405" s="536"/>
      <c r="DD405" s="541">
        <f t="shared" si="173"/>
        <v>0</v>
      </c>
      <c r="DE405" s="536"/>
      <c r="DF405" s="536"/>
      <c r="DG405" s="536"/>
      <c r="DH405" s="541">
        <f t="shared" si="174"/>
        <v>0</v>
      </c>
      <c r="DI405" s="536"/>
      <c r="DJ405" s="536"/>
      <c r="DK405" s="536"/>
      <c r="DL405" s="541">
        <f t="shared" si="175"/>
        <v>0</v>
      </c>
      <c r="DM405" s="536"/>
      <c r="DN405" s="536"/>
      <c r="DO405" s="536"/>
      <c r="DP405" s="541">
        <f>IF( SUM((DJ405*(20/100))+(DK405*(30/100))+(DL405*(50/100))) &gt;=9.3,9.5,
IF(AND( SUM((DJ405*(20/100))+(DK405*(30/100))+(DL405*(50/100))) &lt;=9.3, SUM((DJ405*(20/100))+(DK405*(30/100))+(DL405*(50/100))) &gt;=8.8),9,
IF(AND( SUM((DJ405*(20/100))+(DK405*(30/100))+(DL405*(50/100))) &lt;=8.8, SUM((DJ405*(20/100))+(DK405*(30/100))+(DL405*(50/100))) &gt;=8.3),8.5,
IF(AND( SUM((DJ405*(20/100))+(DK405*(30/100))+(DL405*(50/100))) &lt;=8.3, SUM((DJ405*(20/100))+(DK405*(30/100))+(DL405*(50/100))) &gt;=7.8),8,
IF(AND( SUM((DJ405*(20/100))+(DK405*(30/100))+(DL405*(50/100))) &lt;=7.8, SUM((DJ405*(20/100))+(DK405*(30/100))+(DL405*(50/100))) &gt;=7.3),7.5,
IF(AND( SUM((DJ405*(20/100))+(DK405*(30/100))+(DL405*(50/100))) &lt;=7.3, SUM((DJ405*(20/100))+(DK405*(30/100))+(DL405*(50/100))) &gt;=6.8),7,
IF(AND( SUM((DJ405*(20/100))+(DK405*(30/100))+(DL405*(50/100))) &lt;=6.8, SUM((DJ405*(20/100))+(DK405*(30/100))+(DL405*(50/100))) &gt;=6.3),6.5,
IF(AND( SUM((DJ405*(20/100))+(DK405*(30/100))+(DL405*(50/100))) &lt;=6.3, SUM((DJ405*(20/100))+(DK405*(30/100))+(DL405*(50/100))) &gt;=5.8),6,
IF(AND( SUM((DJ405*(20/100))+(DK405*(30/100))+(DL405*(50/100))) &lt;=5.8, SUM((DJ405*(20/100))+(DK405*(30/100))+(DL405*(50/100))) &gt;=5.3),5.5,
IF(AND( SUM((DJ405*(20/100))+(DK405*(30/100))+(DL405*(50/100))) &lt;=5.3, SUM((DJ405*(20/100))+(DK405*(30/100))+(DL405*(50/100))) &gt;=4.8),5,
IF(AND( SUM((DJ405*(20/100))+(DK405*(30/100))+(DL405*(50/100))) &lt;=4.8, SUM((DJ405*(20/100))+(DK405*(30/100))+(DL405*(50/100))) &gt;=4.3),4.5,
IF(AND( SUM((DJ405*(20/100))+(DK405*(30/100))+(DL405*(50/100))) &lt;=4.3, SUM((DJ405*(20/100))+(DK405*(30/100))+(DL405*(50/100))) &gt;=3.8),4,
IF(AND( SUM((DJ405*(20/100))+(DK405*(30/100))+(DL405*(50/100))) &lt;=3.8, SUM((DJ405*(20/100))+(DK405*(30/100))+(DL405*(50/100))) &gt;=3.5),3.5,0)))))))))))))</f>
        <v>0</v>
      </c>
      <c r="DQ405" s="541"/>
      <c r="DR405" s="541"/>
      <c r="DS405" s="541"/>
      <c r="DT405" s="541"/>
      <c r="DU405" s="541"/>
      <c r="DV405" s="541"/>
      <c r="DW405" s="541"/>
      <c r="DX405" s="541"/>
      <c r="DY405" s="541"/>
      <c r="DZ405" s="541"/>
    </row>
    <row r="406" spans="2:130" x14ac:dyDescent="0.25">
      <c r="B406" s="334">
        <v>49</v>
      </c>
      <c r="C406" s="541"/>
      <c r="D406" s="334"/>
      <c r="E406" s="334"/>
      <c r="F406" s="334"/>
      <c r="G406" s="334"/>
      <c r="H406" s="334"/>
      <c r="I406" s="334"/>
      <c r="J406" s="536"/>
      <c r="K406" s="536"/>
      <c r="L406" s="536"/>
      <c r="M406" s="536"/>
      <c r="N406" s="536"/>
      <c r="O406" s="536"/>
      <c r="P406" s="536">
        <f t="shared" si="151"/>
        <v>0</v>
      </c>
      <c r="Q406" s="536"/>
      <c r="R406" s="536"/>
      <c r="S406" s="536"/>
      <c r="T406" s="536">
        <f t="shared" si="152"/>
        <v>0</v>
      </c>
      <c r="U406" s="536"/>
      <c r="V406" s="536"/>
      <c r="W406" s="536"/>
      <c r="X406" s="536">
        <f t="shared" si="153"/>
        <v>0</v>
      </c>
      <c r="Y406" s="536"/>
      <c r="Z406" s="536"/>
      <c r="AA406" s="536"/>
      <c r="AB406" s="536">
        <f t="shared" si="154"/>
        <v>0</v>
      </c>
      <c r="AC406" s="536"/>
      <c r="AD406" s="536"/>
      <c r="AE406" s="536"/>
      <c r="AF406" s="536">
        <f t="shared" si="155"/>
        <v>0</v>
      </c>
      <c r="AG406" s="536"/>
      <c r="AH406" s="536"/>
      <c r="AI406" s="536"/>
      <c r="AJ406" s="536">
        <f t="shared" si="156"/>
        <v>0</v>
      </c>
      <c r="AK406" s="536"/>
      <c r="AL406" s="536"/>
      <c r="AM406" s="536"/>
      <c r="AN406" s="542">
        <f t="shared" si="157"/>
        <v>0</v>
      </c>
      <c r="AO406" s="536"/>
      <c r="AP406" s="536"/>
      <c r="AQ406" s="536"/>
      <c r="AR406" s="542">
        <f t="shared" si="158"/>
        <v>0</v>
      </c>
      <c r="AS406" s="536"/>
      <c r="AT406" s="536"/>
      <c r="AU406" s="536"/>
      <c r="AV406" s="542">
        <f t="shared" si="159"/>
        <v>0</v>
      </c>
      <c r="AW406" s="536"/>
      <c r="AX406" s="536"/>
      <c r="AY406" s="536"/>
      <c r="AZ406" s="542">
        <f t="shared" si="160"/>
        <v>0</v>
      </c>
      <c r="BA406" s="536"/>
      <c r="BB406" s="536"/>
      <c r="BC406" s="536"/>
      <c r="BD406" s="542">
        <f t="shared" si="161"/>
        <v>0</v>
      </c>
      <c r="BE406" s="536"/>
      <c r="BF406" s="536"/>
      <c r="BG406" s="536"/>
      <c r="BH406" s="542">
        <f t="shared" si="162"/>
        <v>0</v>
      </c>
      <c r="BI406" s="536"/>
      <c r="BJ406" s="536"/>
      <c r="BK406" s="536"/>
      <c r="BL406" s="542">
        <f t="shared" si="163"/>
        <v>0</v>
      </c>
      <c r="BM406" s="536"/>
      <c r="BN406" s="536"/>
      <c r="BO406" s="536"/>
      <c r="BP406" s="542">
        <f t="shared" si="164"/>
        <v>0</v>
      </c>
      <c r="BQ406" s="536"/>
      <c r="BR406" s="536"/>
      <c r="BS406" s="536"/>
      <c r="BT406" s="542">
        <f t="shared" si="165"/>
        <v>0</v>
      </c>
      <c r="BU406" s="536"/>
      <c r="BV406" s="536"/>
      <c r="BW406" s="536"/>
      <c r="BX406" s="542">
        <f t="shared" si="166"/>
        <v>0</v>
      </c>
      <c r="BY406" s="536"/>
      <c r="BZ406" s="536"/>
      <c r="CA406" s="536"/>
      <c r="CB406" s="542">
        <v>0</v>
      </c>
      <c r="CC406" s="536"/>
      <c r="CD406" s="536"/>
      <c r="CE406" s="536"/>
      <c r="CF406" s="541">
        <f t="shared" si="167"/>
        <v>0</v>
      </c>
      <c r="CG406" s="536"/>
      <c r="CH406" s="536"/>
      <c r="CI406" s="536"/>
      <c r="CJ406" s="541">
        <f t="shared" si="168"/>
        <v>0</v>
      </c>
      <c r="CK406" s="536"/>
      <c r="CL406" s="536"/>
      <c r="CM406" s="536"/>
      <c r="CN406" s="541">
        <f t="shared" si="169"/>
        <v>0</v>
      </c>
      <c r="CO406" s="536"/>
      <c r="CP406" s="536"/>
      <c r="CQ406" s="536"/>
      <c r="CR406" s="541">
        <f t="shared" si="170"/>
        <v>0</v>
      </c>
      <c r="CS406" s="536"/>
      <c r="CT406" s="536"/>
      <c r="CU406" s="536"/>
      <c r="CV406" s="541">
        <f t="shared" si="171"/>
        <v>0</v>
      </c>
      <c r="CW406" s="536"/>
      <c r="CX406" s="536"/>
      <c r="CY406" s="536"/>
      <c r="CZ406" s="541">
        <f t="shared" si="172"/>
        <v>0</v>
      </c>
      <c r="DA406" s="536"/>
      <c r="DB406" s="536"/>
      <c r="DC406" s="536"/>
      <c r="DD406" s="541">
        <f t="shared" si="173"/>
        <v>0</v>
      </c>
      <c r="DE406" s="536"/>
      <c r="DF406" s="536"/>
      <c r="DG406" s="536"/>
      <c r="DH406" s="541">
        <f t="shared" si="174"/>
        <v>0</v>
      </c>
      <c r="DI406" s="536"/>
      <c r="DJ406" s="536"/>
      <c r="DK406" s="536"/>
      <c r="DL406" s="541">
        <f t="shared" si="175"/>
        <v>0</v>
      </c>
      <c r="DM406" s="536"/>
      <c r="DN406" s="536"/>
      <c r="DO406" s="536"/>
      <c r="DP406" s="541">
        <f>IF( SUM((DJ406*(20/100))+(DK406*(30/100))+(DL406*(50/100))) &gt;=9.3,9.5,
IF(AND( SUM((DJ406*(20/100))+(DK406*(30/100))+(DL406*(50/100))) &lt;=9.3, SUM((DJ406*(20/100))+(DK406*(30/100))+(DL406*(50/100))) &gt;=8.8),9,
IF(AND( SUM((DJ406*(20/100))+(DK406*(30/100))+(DL406*(50/100))) &lt;=8.8, SUM((DJ406*(20/100))+(DK406*(30/100))+(DL406*(50/100))) &gt;=8.3),8.5,
IF(AND( SUM((DJ406*(20/100))+(DK406*(30/100))+(DL406*(50/100))) &lt;=8.3, SUM((DJ406*(20/100))+(DK406*(30/100))+(DL406*(50/100))) &gt;=7.8),8,
IF(AND( SUM((DJ406*(20/100))+(DK406*(30/100))+(DL406*(50/100))) &lt;=7.8, SUM((DJ406*(20/100))+(DK406*(30/100))+(DL406*(50/100))) &gt;=7.3),7.5,
IF(AND( SUM((DJ406*(20/100))+(DK406*(30/100))+(DL406*(50/100))) &lt;=7.3, SUM((DJ406*(20/100))+(DK406*(30/100))+(DL406*(50/100))) &gt;=6.8),7,
IF(AND( SUM((DJ406*(20/100))+(DK406*(30/100))+(DL406*(50/100))) &lt;=6.8, SUM((DJ406*(20/100))+(DK406*(30/100))+(DL406*(50/100))) &gt;=6.3),6.5,
IF(AND( SUM((DJ406*(20/100))+(DK406*(30/100))+(DL406*(50/100))) &lt;=6.3, SUM((DJ406*(20/100))+(DK406*(30/100))+(DL406*(50/100))) &gt;=5.8),6,
IF(AND( SUM((DJ406*(20/100))+(DK406*(30/100))+(DL406*(50/100))) &lt;=5.8, SUM((DJ406*(20/100))+(DK406*(30/100))+(DL406*(50/100))) &gt;=5.3),5.5,
IF(AND( SUM((DJ406*(20/100))+(DK406*(30/100))+(DL406*(50/100))) &lt;=5.3, SUM((DJ406*(20/100))+(DK406*(30/100))+(DL406*(50/100))) &gt;=4.8),5,
IF(AND( SUM((DJ406*(20/100))+(DK406*(30/100))+(DL406*(50/100))) &lt;=4.8, SUM((DJ406*(20/100))+(DK406*(30/100))+(DL406*(50/100))) &gt;=4.3),4.5,
IF(AND( SUM((DJ406*(20/100))+(DK406*(30/100))+(DL406*(50/100))) &lt;=4.3, SUM((DJ406*(20/100))+(DK406*(30/100))+(DL406*(50/100))) &gt;=3.8),4,
IF(AND( SUM((DJ406*(20/100))+(DK406*(30/100))+(DL406*(50/100))) &lt;=3.8, SUM((DJ406*(20/100))+(DK406*(30/100))+(DL406*(50/100))) &gt;=3.5),3.5,0)))))))))))))</f>
        <v>0</v>
      </c>
      <c r="DQ406" s="541"/>
      <c r="DR406" s="541"/>
      <c r="DS406" s="541"/>
      <c r="DT406" s="541"/>
      <c r="DU406" s="541"/>
      <c r="DV406" s="541"/>
      <c r="DW406" s="541"/>
      <c r="DX406" s="541"/>
      <c r="DY406" s="541"/>
      <c r="DZ406" s="541"/>
    </row>
    <row r="407" spans="2:130" x14ac:dyDescent="0.25">
      <c r="B407" s="334">
        <v>50</v>
      </c>
      <c r="C407" s="541"/>
      <c r="D407" s="334"/>
      <c r="E407" s="334"/>
      <c r="F407" s="334"/>
      <c r="G407" s="334"/>
      <c r="H407" s="334"/>
      <c r="I407" s="334"/>
      <c r="J407" s="536"/>
      <c r="K407" s="536"/>
      <c r="L407" s="536"/>
      <c r="M407" s="536"/>
      <c r="N407" s="536"/>
      <c r="O407" s="536"/>
      <c r="P407" s="536">
        <f t="shared" si="151"/>
        <v>0</v>
      </c>
      <c r="Q407" s="536"/>
      <c r="R407" s="536"/>
      <c r="S407" s="536"/>
      <c r="T407" s="536">
        <f t="shared" si="152"/>
        <v>0</v>
      </c>
      <c r="U407" s="536"/>
      <c r="V407" s="536"/>
      <c r="W407" s="536"/>
      <c r="X407" s="536">
        <f t="shared" si="153"/>
        <v>0</v>
      </c>
      <c r="Y407" s="536"/>
      <c r="Z407" s="536"/>
      <c r="AA407" s="536"/>
      <c r="AB407" s="536">
        <f t="shared" si="154"/>
        <v>0</v>
      </c>
      <c r="AC407" s="536"/>
      <c r="AD407" s="536"/>
      <c r="AE407" s="536"/>
      <c r="AF407" s="536">
        <f t="shared" si="155"/>
        <v>0</v>
      </c>
      <c r="AG407" s="536"/>
      <c r="AH407" s="536"/>
      <c r="AI407" s="536"/>
      <c r="AJ407" s="536">
        <f t="shared" si="156"/>
        <v>0</v>
      </c>
      <c r="AK407" s="536"/>
      <c r="AL407" s="536"/>
      <c r="AM407" s="536"/>
      <c r="AN407" s="542">
        <f t="shared" si="157"/>
        <v>0</v>
      </c>
      <c r="AO407" s="536"/>
      <c r="AP407" s="536"/>
      <c r="AQ407" s="536"/>
      <c r="AR407" s="542">
        <f t="shared" si="158"/>
        <v>0</v>
      </c>
      <c r="AS407" s="536"/>
      <c r="AT407" s="536"/>
      <c r="AU407" s="536"/>
      <c r="AV407" s="542">
        <f t="shared" si="159"/>
        <v>0</v>
      </c>
      <c r="AW407" s="536"/>
      <c r="AX407" s="536"/>
      <c r="AY407" s="536"/>
      <c r="AZ407" s="542">
        <f t="shared" si="160"/>
        <v>0</v>
      </c>
      <c r="BA407" s="536"/>
      <c r="BB407" s="536"/>
      <c r="BC407" s="536"/>
      <c r="BD407" s="542">
        <f t="shared" si="161"/>
        <v>0</v>
      </c>
      <c r="BE407" s="536"/>
      <c r="BF407" s="536"/>
      <c r="BG407" s="536"/>
      <c r="BH407" s="542">
        <f t="shared" si="162"/>
        <v>0</v>
      </c>
      <c r="BI407" s="536"/>
      <c r="BJ407" s="536"/>
      <c r="BK407" s="536"/>
      <c r="BL407" s="542">
        <f t="shared" si="163"/>
        <v>0</v>
      </c>
      <c r="BM407" s="536"/>
      <c r="BN407" s="536"/>
      <c r="BO407" s="536"/>
      <c r="BP407" s="542">
        <f t="shared" si="164"/>
        <v>0</v>
      </c>
      <c r="BQ407" s="536"/>
      <c r="BR407" s="536"/>
      <c r="BS407" s="536"/>
      <c r="BT407" s="542">
        <f t="shared" si="165"/>
        <v>0</v>
      </c>
      <c r="BU407" s="536"/>
      <c r="BV407" s="536"/>
      <c r="BW407" s="536"/>
      <c r="BX407" s="542">
        <f t="shared" si="166"/>
        <v>0</v>
      </c>
      <c r="BY407" s="536"/>
      <c r="BZ407" s="536"/>
      <c r="CA407" s="536"/>
      <c r="CB407" s="542">
        <v>0</v>
      </c>
      <c r="CC407" s="536"/>
      <c r="CD407" s="536"/>
      <c r="CE407" s="536"/>
      <c r="CF407" s="541">
        <f t="shared" si="167"/>
        <v>0</v>
      </c>
      <c r="CG407" s="536"/>
      <c r="CH407" s="536"/>
      <c r="CI407" s="536"/>
      <c r="CJ407" s="541">
        <f t="shared" si="168"/>
        <v>0</v>
      </c>
      <c r="CK407" s="536"/>
      <c r="CL407" s="536"/>
      <c r="CM407" s="536"/>
      <c r="CN407" s="541">
        <f t="shared" si="169"/>
        <v>0</v>
      </c>
      <c r="CO407" s="536"/>
      <c r="CP407" s="536"/>
      <c r="CQ407" s="536"/>
      <c r="CR407" s="541">
        <f t="shared" si="170"/>
        <v>0</v>
      </c>
      <c r="CS407" s="536"/>
      <c r="CT407" s="536"/>
      <c r="CU407" s="536"/>
      <c r="CV407" s="541">
        <f t="shared" si="171"/>
        <v>0</v>
      </c>
      <c r="CW407" s="536"/>
      <c r="CX407" s="536"/>
      <c r="CY407" s="536"/>
      <c r="CZ407" s="541">
        <f t="shared" si="172"/>
        <v>0</v>
      </c>
      <c r="DA407" s="536"/>
      <c r="DB407" s="536"/>
      <c r="DC407" s="536"/>
      <c r="DD407" s="541">
        <f t="shared" si="173"/>
        <v>0</v>
      </c>
      <c r="DE407" s="536"/>
      <c r="DF407" s="536"/>
      <c r="DG407" s="536"/>
      <c r="DH407" s="541">
        <f t="shared" si="174"/>
        <v>0</v>
      </c>
      <c r="DI407" s="536"/>
      <c r="DJ407" s="536"/>
      <c r="DK407" s="536"/>
      <c r="DL407" s="541">
        <f t="shared" si="175"/>
        <v>0</v>
      </c>
      <c r="DM407" s="536"/>
      <c r="DN407" s="536"/>
      <c r="DO407" s="536"/>
      <c r="DP407" s="541">
        <f>IF( SUM((DJ407*(20/100))+(DK407*(30/100))+(DL407*(50/100))) &gt;=9.3,9.5,
IF(AND( SUM((DJ407*(20/100))+(DK407*(30/100))+(DL407*(50/100))) &lt;=9.3, SUM((DJ407*(20/100))+(DK407*(30/100))+(DL407*(50/100))) &gt;=8.8),9,
IF(AND( SUM((DJ407*(20/100))+(DK407*(30/100))+(DL407*(50/100))) &lt;=8.8, SUM((DJ407*(20/100))+(DK407*(30/100))+(DL407*(50/100))) &gt;=8.3),8.5,
IF(AND( SUM((DJ407*(20/100))+(DK407*(30/100))+(DL407*(50/100))) &lt;=8.3, SUM((DJ407*(20/100))+(DK407*(30/100))+(DL407*(50/100))) &gt;=7.8),8,
IF(AND( SUM((DJ407*(20/100))+(DK407*(30/100))+(DL407*(50/100))) &lt;=7.8, SUM((DJ407*(20/100))+(DK407*(30/100))+(DL407*(50/100))) &gt;=7.3),7.5,
IF(AND( SUM((DJ407*(20/100))+(DK407*(30/100))+(DL407*(50/100))) &lt;=7.3, SUM((DJ407*(20/100))+(DK407*(30/100))+(DL407*(50/100))) &gt;=6.8),7,
IF(AND( SUM((DJ407*(20/100))+(DK407*(30/100))+(DL407*(50/100))) &lt;=6.8, SUM((DJ407*(20/100))+(DK407*(30/100))+(DL407*(50/100))) &gt;=6.3),6.5,
IF(AND( SUM((DJ407*(20/100))+(DK407*(30/100))+(DL407*(50/100))) &lt;=6.3, SUM((DJ407*(20/100))+(DK407*(30/100))+(DL407*(50/100))) &gt;=5.8),6,
IF(AND( SUM((DJ407*(20/100))+(DK407*(30/100))+(DL407*(50/100))) &lt;=5.8, SUM((DJ407*(20/100))+(DK407*(30/100))+(DL407*(50/100))) &gt;=5.3),5.5,
IF(AND( SUM((DJ407*(20/100))+(DK407*(30/100))+(DL407*(50/100))) &lt;=5.3, SUM((DJ407*(20/100))+(DK407*(30/100))+(DL407*(50/100))) &gt;=4.8),5,
IF(AND( SUM((DJ407*(20/100))+(DK407*(30/100))+(DL407*(50/100))) &lt;=4.8, SUM((DJ407*(20/100))+(DK407*(30/100))+(DL407*(50/100))) &gt;=4.3),4.5,
IF(AND( SUM((DJ407*(20/100))+(DK407*(30/100))+(DL407*(50/100))) &lt;=4.3, SUM((DJ407*(20/100))+(DK407*(30/100))+(DL407*(50/100))) &gt;=3.8),4,
IF(AND( SUM((DJ407*(20/100))+(DK407*(30/100))+(DL407*(50/100))) &lt;=3.8, SUM((DJ407*(20/100))+(DK407*(30/100))+(DL407*(50/100))) &gt;=3.5),3.5,0)))))))))))))</f>
        <v>0</v>
      </c>
      <c r="DQ407" s="541"/>
      <c r="DR407" s="541"/>
      <c r="DS407" s="541"/>
      <c r="DT407" s="541"/>
      <c r="DU407" s="541"/>
      <c r="DV407" s="541"/>
      <c r="DW407" s="541"/>
      <c r="DX407" s="541"/>
      <c r="DY407" s="541"/>
      <c r="DZ407" s="541"/>
    </row>
    <row r="408" spans="2:130" x14ac:dyDescent="0.25">
      <c r="B408" s="334">
        <v>1</v>
      </c>
      <c r="C408" s="541"/>
      <c r="D408" s="334"/>
      <c r="E408" s="334"/>
      <c r="F408" s="334"/>
      <c r="G408" s="334"/>
      <c r="H408" s="334"/>
      <c r="I408" s="334"/>
      <c r="J408" s="536"/>
      <c r="K408" s="536"/>
      <c r="L408" s="536"/>
      <c r="M408" s="536"/>
      <c r="N408" s="536"/>
      <c r="O408" s="536"/>
      <c r="P408" s="536">
        <f t="shared" si="151"/>
        <v>0</v>
      </c>
      <c r="Q408" s="536"/>
      <c r="R408" s="536"/>
      <c r="S408" s="536"/>
      <c r="T408" s="536">
        <f t="shared" si="152"/>
        <v>0</v>
      </c>
      <c r="U408" s="536"/>
      <c r="V408" s="536"/>
      <c r="W408" s="536"/>
      <c r="X408" s="536">
        <f t="shared" si="153"/>
        <v>0</v>
      </c>
      <c r="Y408" s="536"/>
      <c r="Z408" s="536"/>
      <c r="AA408" s="536"/>
      <c r="AB408" s="536">
        <f t="shared" si="154"/>
        <v>0</v>
      </c>
      <c r="AC408" s="536"/>
      <c r="AD408" s="536"/>
      <c r="AE408" s="536"/>
      <c r="AF408" s="536">
        <f t="shared" si="155"/>
        <v>0</v>
      </c>
      <c r="AG408" s="536"/>
      <c r="AH408" s="536"/>
      <c r="AI408" s="536"/>
      <c r="AJ408" s="536">
        <f t="shared" si="156"/>
        <v>0</v>
      </c>
      <c r="AK408" s="536"/>
      <c r="AL408" s="536"/>
      <c r="AM408" s="536"/>
      <c r="AN408" s="542">
        <f t="shared" si="157"/>
        <v>0</v>
      </c>
      <c r="AO408" s="536"/>
      <c r="AP408" s="536"/>
      <c r="AQ408" s="536"/>
      <c r="AR408" s="542">
        <f t="shared" si="158"/>
        <v>0</v>
      </c>
      <c r="AS408" s="536"/>
      <c r="AT408" s="536"/>
      <c r="AU408" s="536"/>
      <c r="AV408" s="542">
        <f t="shared" si="159"/>
        <v>0</v>
      </c>
      <c r="AW408" s="536"/>
      <c r="AX408" s="536"/>
      <c r="AY408" s="536"/>
      <c r="AZ408" s="542">
        <f t="shared" si="160"/>
        <v>0</v>
      </c>
      <c r="BA408" s="536"/>
      <c r="BB408" s="536"/>
      <c r="BC408" s="536"/>
      <c r="BD408" s="542">
        <f t="shared" si="161"/>
        <v>0</v>
      </c>
      <c r="BE408" s="536"/>
      <c r="BF408" s="536"/>
      <c r="BG408" s="536"/>
      <c r="BH408" s="542">
        <f t="shared" si="162"/>
        <v>0</v>
      </c>
      <c r="BI408" s="536"/>
      <c r="BJ408" s="536"/>
      <c r="BK408" s="536"/>
      <c r="BL408" s="542">
        <f t="shared" si="163"/>
        <v>0</v>
      </c>
      <c r="BM408" s="536"/>
      <c r="BN408" s="536"/>
      <c r="BO408" s="536"/>
      <c r="BP408" s="542">
        <f t="shared" si="164"/>
        <v>0</v>
      </c>
      <c r="BQ408" s="536"/>
      <c r="BR408" s="536"/>
      <c r="BS408" s="536"/>
      <c r="BT408" s="542">
        <f t="shared" si="165"/>
        <v>0</v>
      </c>
      <c r="BU408" s="536"/>
      <c r="BV408" s="536"/>
      <c r="BW408" s="536"/>
      <c r="BX408" s="542">
        <f t="shared" si="166"/>
        <v>0</v>
      </c>
      <c r="BY408" s="536"/>
      <c r="BZ408" s="536"/>
      <c r="CA408" s="536"/>
      <c r="CB408" s="542">
        <v>0</v>
      </c>
      <c r="CC408" s="536"/>
      <c r="CD408" s="536"/>
      <c r="CE408" s="536"/>
      <c r="CF408" s="541">
        <f t="shared" si="167"/>
        <v>0</v>
      </c>
      <c r="CG408" s="536"/>
      <c r="CH408" s="536"/>
      <c r="CI408" s="536"/>
      <c r="CJ408" s="541">
        <f t="shared" si="168"/>
        <v>0</v>
      </c>
      <c r="CK408" s="536"/>
      <c r="CL408" s="536"/>
      <c r="CM408" s="536"/>
      <c r="CN408" s="541">
        <f t="shared" si="169"/>
        <v>0</v>
      </c>
      <c r="CO408" s="536"/>
      <c r="CP408" s="536"/>
      <c r="CQ408" s="536"/>
      <c r="CR408" s="541">
        <f t="shared" si="170"/>
        <v>0</v>
      </c>
      <c r="CS408" s="536"/>
      <c r="CT408" s="536"/>
      <c r="CU408" s="536"/>
      <c r="CV408" s="541">
        <f t="shared" si="171"/>
        <v>0</v>
      </c>
      <c r="CW408" s="536"/>
      <c r="CX408" s="536"/>
      <c r="CY408" s="536"/>
      <c r="CZ408" s="541">
        <f t="shared" si="172"/>
        <v>0</v>
      </c>
      <c r="DA408" s="536"/>
      <c r="DB408" s="536"/>
      <c r="DC408" s="536"/>
      <c r="DD408" s="541">
        <f t="shared" si="173"/>
        <v>0</v>
      </c>
      <c r="DE408" s="536"/>
      <c r="DF408" s="536"/>
      <c r="DG408" s="536"/>
      <c r="DH408" s="541">
        <f t="shared" si="174"/>
        <v>0</v>
      </c>
      <c r="DI408" s="536"/>
      <c r="DJ408" s="536"/>
      <c r="DK408" s="536"/>
      <c r="DL408" s="541">
        <f t="shared" si="175"/>
        <v>0</v>
      </c>
      <c r="DM408" s="536"/>
      <c r="DN408" s="536"/>
      <c r="DO408" s="536"/>
      <c r="DP408" s="541">
        <f>IF( SUM((DJ408*(20/100))+(DK408*(30/100))+(DL408*(50/100))) &gt;=9.3,9.5,
IF(AND( SUM((DJ408*(20/100))+(DK408*(30/100))+(DL408*(50/100))) &lt;=9.3, SUM((DJ408*(20/100))+(DK408*(30/100))+(DL408*(50/100))) &gt;=8.8),9,
IF(AND( SUM((DJ408*(20/100))+(DK408*(30/100))+(DL408*(50/100))) &lt;=8.8, SUM((DJ408*(20/100))+(DK408*(30/100))+(DL408*(50/100))) &gt;=8.3),8.5,
IF(AND( SUM((DJ408*(20/100))+(DK408*(30/100))+(DL408*(50/100))) &lt;=8.3, SUM((DJ408*(20/100))+(DK408*(30/100))+(DL408*(50/100))) &gt;=7.8),8,
IF(AND( SUM((DJ408*(20/100))+(DK408*(30/100))+(DL408*(50/100))) &lt;=7.8, SUM((DJ408*(20/100))+(DK408*(30/100))+(DL408*(50/100))) &gt;=7.3),7.5,
IF(AND( SUM((DJ408*(20/100))+(DK408*(30/100))+(DL408*(50/100))) &lt;=7.3, SUM((DJ408*(20/100))+(DK408*(30/100))+(DL408*(50/100))) &gt;=6.8),7,
IF(AND( SUM((DJ408*(20/100))+(DK408*(30/100))+(DL408*(50/100))) &lt;=6.8, SUM((DJ408*(20/100))+(DK408*(30/100))+(DL408*(50/100))) &gt;=6.3),6.5,
IF(AND( SUM((DJ408*(20/100))+(DK408*(30/100))+(DL408*(50/100))) &lt;=6.3, SUM((DJ408*(20/100))+(DK408*(30/100))+(DL408*(50/100))) &gt;=5.8),6,
IF(AND( SUM((DJ408*(20/100))+(DK408*(30/100))+(DL408*(50/100))) &lt;=5.8, SUM((DJ408*(20/100))+(DK408*(30/100))+(DL408*(50/100))) &gt;=5.3),5.5,
IF(AND( SUM((DJ408*(20/100))+(DK408*(30/100))+(DL408*(50/100))) &lt;=5.3, SUM((DJ408*(20/100))+(DK408*(30/100))+(DL408*(50/100))) &gt;=4.8),5,
IF(AND( SUM((DJ408*(20/100))+(DK408*(30/100))+(DL408*(50/100))) &lt;=4.8, SUM((DJ408*(20/100))+(DK408*(30/100))+(DL408*(50/100))) &gt;=4.3),4.5,
IF(AND( SUM((DJ408*(20/100))+(DK408*(30/100))+(DL408*(50/100))) &lt;=4.3, SUM((DJ408*(20/100))+(DK408*(30/100))+(DL408*(50/100))) &gt;=3.8),4,
IF(AND( SUM((DJ408*(20/100))+(DK408*(30/100))+(DL408*(50/100))) &lt;=3.8, SUM((DJ408*(20/100))+(DK408*(30/100))+(DL408*(50/100))) &gt;=3.5),3.5,0)))))))))))))</f>
        <v>0</v>
      </c>
      <c r="DQ408" s="541"/>
      <c r="DR408" s="541"/>
      <c r="DS408" s="541"/>
      <c r="DT408" s="541"/>
      <c r="DU408" s="541"/>
      <c r="DV408" s="541"/>
      <c r="DW408" s="541"/>
      <c r="DX408" s="541"/>
      <c r="DY408" s="541"/>
      <c r="DZ408" s="541"/>
    </row>
    <row r="409" spans="2:130" x14ac:dyDescent="0.25">
      <c r="B409" s="334">
        <v>2</v>
      </c>
      <c r="C409" s="541"/>
      <c r="D409" s="334"/>
      <c r="E409" s="334"/>
      <c r="F409" s="334"/>
      <c r="G409" s="334"/>
      <c r="H409" s="334"/>
      <c r="I409" s="334"/>
      <c r="J409" s="536"/>
      <c r="K409" s="536"/>
      <c r="L409" s="536"/>
      <c r="M409" s="536"/>
      <c r="N409" s="536"/>
      <c r="O409" s="536"/>
      <c r="P409" s="536">
        <f t="shared" si="151"/>
        <v>0</v>
      </c>
      <c r="Q409" s="536"/>
      <c r="R409" s="536"/>
      <c r="S409" s="536"/>
      <c r="T409" s="536">
        <f t="shared" si="152"/>
        <v>0</v>
      </c>
      <c r="U409" s="536"/>
      <c r="V409" s="536"/>
      <c r="W409" s="536"/>
      <c r="X409" s="536">
        <f t="shared" si="153"/>
        <v>0</v>
      </c>
      <c r="Y409" s="536"/>
      <c r="Z409" s="536"/>
      <c r="AA409" s="536"/>
      <c r="AB409" s="536">
        <f t="shared" si="154"/>
        <v>0</v>
      </c>
      <c r="AC409" s="536"/>
      <c r="AD409" s="536"/>
      <c r="AE409" s="536"/>
      <c r="AF409" s="536">
        <f t="shared" si="155"/>
        <v>0</v>
      </c>
      <c r="AG409" s="536"/>
      <c r="AH409" s="536"/>
      <c r="AI409" s="536"/>
      <c r="AJ409" s="536">
        <f t="shared" si="156"/>
        <v>0</v>
      </c>
      <c r="AK409" s="536"/>
      <c r="AL409" s="536"/>
      <c r="AM409" s="536"/>
      <c r="AN409" s="542">
        <f t="shared" si="157"/>
        <v>0</v>
      </c>
      <c r="AO409" s="536"/>
      <c r="AP409" s="536"/>
      <c r="AQ409" s="536"/>
      <c r="AR409" s="542">
        <f t="shared" si="158"/>
        <v>0</v>
      </c>
      <c r="AS409" s="536"/>
      <c r="AT409" s="536"/>
      <c r="AU409" s="536"/>
      <c r="AV409" s="542">
        <f t="shared" si="159"/>
        <v>0</v>
      </c>
      <c r="AW409" s="536"/>
      <c r="AX409" s="536"/>
      <c r="AY409" s="536"/>
      <c r="AZ409" s="542">
        <f t="shared" si="160"/>
        <v>0</v>
      </c>
      <c r="BA409" s="536"/>
      <c r="BB409" s="536"/>
      <c r="BC409" s="536"/>
      <c r="BD409" s="542">
        <f t="shared" si="161"/>
        <v>0</v>
      </c>
      <c r="BE409" s="536"/>
      <c r="BF409" s="536"/>
      <c r="BG409" s="536"/>
      <c r="BH409" s="542">
        <f t="shared" si="162"/>
        <v>0</v>
      </c>
      <c r="BI409" s="536"/>
      <c r="BJ409" s="536"/>
      <c r="BK409" s="536"/>
      <c r="BL409" s="542">
        <f t="shared" si="163"/>
        <v>0</v>
      </c>
      <c r="BM409" s="536"/>
      <c r="BN409" s="536"/>
      <c r="BO409" s="536"/>
      <c r="BP409" s="542">
        <f t="shared" si="164"/>
        <v>0</v>
      </c>
      <c r="BQ409" s="536"/>
      <c r="BR409" s="536"/>
      <c r="BS409" s="536"/>
      <c r="BT409" s="542">
        <f t="shared" si="165"/>
        <v>0</v>
      </c>
      <c r="BU409" s="536"/>
      <c r="BV409" s="536"/>
      <c r="BW409" s="536"/>
      <c r="BX409" s="542">
        <f t="shared" si="166"/>
        <v>0</v>
      </c>
      <c r="BY409" s="536"/>
      <c r="BZ409" s="536"/>
      <c r="CA409" s="536"/>
      <c r="CB409" s="542">
        <v>0</v>
      </c>
      <c r="CC409" s="536"/>
      <c r="CD409" s="536"/>
      <c r="CE409" s="536"/>
      <c r="CF409" s="541">
        <f t="shared" si="167"/>
        <v>0</v>
      </c>
      <c r="CG409" s="536"/>
      <c r="CH409" s="536"/>
      <c r="CI409" s="536"/>
      <c r="CJ409" s="541">
        <f t="shared" si="168"/>
        <v>0</v>
      </c>
      <c r="CK409" s="536"/>
      <c r="CL409" s="536"/>
      <c r="CM409" s="536"/>
      <c r="CN409" s="541">
        <f t="shared" si="169"/>
        <v>0</v>
      </c>
      <c r="CO409" s="536"/>
      <c r="CP409" s="536"/>
      <c r="CQ409" s="536"/>
      <c r="CR409" s="541">
        <f t="shared" si="170"/>
        <v>0</v>
      </c>
      <c r="CS409" s="536"/>
      <c r="CT409" s="536"/>
      <c r="CU409" s="536"/>
      <c r="CV409" s="541">
        <f t="shared" si="171"/>
        <v>0</v>
      </c>
      <c r="CW409" s="536"/>
      <c r="CX409" s="536"/>
      <c r="CY409" s="536"/>
      <c r="CZ409" s="541">
        <f t="shared" si="172"/>
        <v>0</v>
      </c>
      <c r="DA409" s="536"/>
      <c r="DB409" s="536"/>
      <c r="DC409" s="536"/>
      <c r="DD409" s="541">
        <f t="shared" si="173"/>
        <v>0</v>
      </c>
      <c r="DE409" s="536"/>
      <c r="DF409" s="536"/>
      <c r="DG409" s="536"/>
      <c r="DH409" s="541">
        <f t="shared" si="174"/>
        <v>0</v>
      </c>
      <c r="DI409" s="536"/>
      <c r="DJ409" s="536"/>
      <c r="DK409" s="536"/>
      <c r="DL409" s="541">
        <f t="shared" si="175"/>
        <v>0</v>
      </c>
      <c r="DM409" s="536"/>
      <c r="DN409" s="536"/>
      <c r="DO409" s="536"/>
      <c r="DP409" s="541">
        <f>IF( SUM((DJ409*(20/100))+(DK409*(30/100))+(DL409*(50/100))) &gt;=9.3,9.5,
IF(AND( SUM((DJ409*(20/100))+(DK409*(30/100))+(DL409*(50/100))) &lt;=9.3, SUM((DJ409*(20/100))+(DK409*(30/100))+(DL409*(50/100))) &gt;=8.8),9,
IF(AND( SUM((DJ409*(20/100))+(DK409*(30/100))+(DL409*(50/100))) &lt;=8.8, SUM((DJ409*(20/100))+(DK409*(30/100))+(DL409*(50/100))) &gt;=8.3),8.5,
IF(AND( SUM((DJ409*(20/100))+(DK409*(30/100))+(DL409*(50/100))) &lt;=8.3, SUM((DJ409*(20/100))+(DK409*(30/100))+(DL409*(50/100))) &gt;=7.8),8,
IF(AND( SUM((DJ409*(20/100))+(DK409*(30/100))+(DL409*(50/100))) &lt;=7.8, SUM((DJ409*(20/100))+(DK409*(30/100))+(DL409*(50/100))) &gt;=7.3),7.5,
IF(AND( SUM((DJ409*(20/100))+(DK409*(30/100))+(DL409*(50/100))) &lt;=7.3, SUM((DJ409*(20/100))+(DK409*(30/100))+(DL409*(50/100))) &gt;=6.8),7,
IF(AND( SUM((DJ409*(20/100))+(DK409*(30/100))+(DL409*(50/100))) &lt;=6.8, SUM((DJ409*(20/100))+(DK409*(30/100))+(DL409*(50/100))) &gt;=6.3),6.5,
IF(AND( SUM((DJ409*(20/100))+(DK409*(30/100))+(DL409*(50/100))) &lt;=6.3, SUM((DJ409*(20/100))+(DK409*(30/100))+(DL409*(50/100))) &gt;=5.8),6,
IF(AND( SUM((DJ409*(20/100))+(DK409*(30/100))+(DL409*(50/100))) &lt;=5.8, SUM((DJ409*(20/100))+(DK409*(30/100))+(DL409*(50/100))) &gt;=5.3),5.5,
IF(AND( SUM((DJ409*(20/100))+(DK409*(30/100))+(DL409*(50/100))) &lt;=5.3, SUM((DJ409*(20/100))+(DK409*(30/100))+(DL409*(50/100))) &gt;=4.8),5,
IF(AND( SUM((DJ409*(20/100))+(DK409*(30/100))+(DL409*(50/100))) &lt;=4.8, SUM((DJ409*(20/100))+(DK409*(30/100))+(DL409*(50/100))) &gt;=4.3),4.5,
IF(AND( SUM((DJ409*(20/100))+(DK409*(30/100))+(DL409*(50/100))) &lt;=4.3, SUM((DJ409*(20/100))+(DK409*(30/100))+(DL409*(50/100))) &gt;=3.8),4,
IF(AND( SUM((DJ409*(20/100))+(DK409*(30/100))+(DL409*(50/100))) &lt;=3.8, SUM((DJ409*(20/100))+(DK409*(30/100))+(DL409*(50/100))) &gt;=3.5),3.5,0)))))))))))))</f>
        <v>0</v>
      </c>
      <c r="DQ409" s="541"/>
      <c r="DR409" s="541"/>
      <c r="DS409" s="541"/>
      <c r="DT409" s="541"/>
      <c r="DU409" s="541"/>
      <c r="DV409" s="541"/>
      <c r="DW409" s="541"/>
      <c r="DX409" s="541"/>
      <c r="DY409" s="541"/>
      <c r="DZ409" s="541"/>
    </row>
    <row r="410" spans="2:130" x14ac:dyDescent="0.25">
      <c r="B410" s="334">
        <v>3</v>
      </c>
      <c r="C410" s="541"/>
      <c r="D410" s="334"/>
      <c r="E410" s="334"/>
      <c r="F410" s="334"/>
      <c r="G410" s="334"/>
      <c r="H410" s="334"/>
      <c r="I410" s="334"/>
      <c r="J410" s="536"/>
      <c r="K410" s="536"/>
      <c r="L410" s="536"/>
      <c r="M410" s="536"/>
      <c r="N410" s="536"/>
      <c r="O410" s="536"/>
      <c r="P410" s="536">
        <f t="shared" si="151"/>
        <v>0</v>
      </c>
      <c r="Q410" s="536"/>
      <c r="R410" s="536"/>
      <c r="S410" s="536"/>
      <c r="T410" s="536">
        <f t="shared" si="152"/>
        <v>0</v>
      </c>
      <c r="U410" s="536"/>
      <c r="V410" s="536"/>
      <c r="W410" s="536"/>
      <c r="X410" s="536">
        <f t="shared" si="153"/>
        <v>0</v>
      </c>
      <c r="Y410" s="536"/>
      <c r="Z410" s="536"/>
      <c r="AA410" s="536"/>
      <c r="AB410" s="536">
        <f t="shared" si="154"/>
        <v>0</v>
      </c>
      <c r="AC410" s="536"/>
      <c r="AD410" s="536"/>
      <c r="AE410" s="536"/>
      <c r="AF410" s="536">
        <f t="shared" si="155"/>
        <v>0</v>
      </c>
      <c r="AG410" s="536"/>
      <c r="AH410" s="536"/>
      <c r="AI410" s="536"/>
      <c r="AJ410" s="536">
        <f t="shared" si="156"/>
        <v>0</v>
      </c>
      <c r="AK410" s="536"/>
      <c r="AL410" s="536"/>
      <c r="AM410" s="536"/>
      <c r="AN410" s="542">
        <f t="shared" si="157"/>
        <v>0</v>
      </c>
      <c r="AO410" s="536"/>
      <c r="AP410" s="536"/>
      <c r="AQ410" s="536"/>
      <c r="AR410" s="542">
        <f t="shared" si="158"/>
        <v>0</v>
      </c>
      <c r="AS410" s="536"/>
      <c r="AT410" s="536"/>
      <c r="AU410" s="536"/>
      <c r="AV410" s="542">
        <f t="shared" si="159"/>
        <v>0</v>
      </c>
      <c r="AW410" s="536"/>
      <c r="AX410" s="536"/>
      <c r="AY410" s="536"/>
      <c r="AZ410" s="542">
        <f t="shared" si="160"/>
        <v>0</v>
      </c>
      <c r="BA410" s="536"/>
      <c r="BB410" s="536"/>
      <c r="BC410" s="536"/>
      <c r="BD410" s="542">
        <f t="shared" si="161"/>
        <v>0</v>
      </c>
      <c r="BE410" s="536"/>
      <c r="BF410" s="536"/>
      <c r="BG410" s="536"/>
      <c r="BH410" s="542">
        <f t="shared" si="162"/>
        <v>0</v>
      </c>
      <c r="BI410" s="536"/>
      <c r="BJ410" s="536"/>
      <c r="BK410" s="536"/>
      <c r="BL410" s="542">
        <f t="shared" si="163"/>
        <v>0</v>
      </c>
      <c r="BM410" s="536"/>
      <c r="BN410" s="536"/>
      <c r="BO410" s="536"/>
      <c r="BP410" s="542">
        <f t="shared" si="164"/>
        <v>0</v>
      </c>
      <c r="BQ410" s="536"/>
      <c r="BR410" s="536"/>
      <c r="BS410" s="536"/>
      <c r="BT410" s="542">
        <f t="shared" si="165"/>
        <v>0</v>
      </c>
      <c r="BU410" s="536"/>
      <c r="BV410" s="536"/>
      <c r="BW410" s="536"/>
      <c r="BX410" s="542">
        <f t="shared" si="166"/>
        <v>0</v>
      </c>
      <c r="BY410" s="536"/>
      <c r="BZ410" s="536"/>
      <c r="CA410" s="536"/>
      <c r="CB410" s="542">
        <v>0</v>
      </c>
      <c r="CC410" s="536"/>
      <c r="CD410" s="536"/>
      <c r="CE410" s="536"/>
      <c r="CF410" s="541">
        <f t="shared" si="167"/>
        <v>0</v>
      </c>
      <c r="CG410" s="536"/>
      <c r="CH410" s="536"/>
      <c r="CI410" s="536"/>
      <c r="CJ410" s="541">
        <f t="shared" si="168"/>
        <v>0</v>
      </c>
      <c r="CK410" s="536"/>
      <c r="CL410" s="536"/>
      <c r="CM410" s="536"/>
      <c r="CN410" s="541">
        <f t="shared" si="169"/>
        <v>0</v>
      </c>
      <c r="CO410" s="536"/>
      <c r="CP410" s="536"/>
      <c r="CQ410" s="536"/>
      <c r="CR410" s="541">
        <f t="shared" si="170"/>
        <v>0</v>
      </c>
      <c r="CS410" s="536"/>
      <c r="CT410" s="536"/>
      <c r="CU410" s="536"/>
      <c r="CV410" s="541">
        <f t="shared" si="171"/>
        <v>0</v>
      </c>
      <c r="CW410" s="536"/>
      <c r="CX410" s="536"/>
      <c r="CY410" s="536"/>
      <c r="CZ410" s="541">
        <f t="shared" si="172"/>
        <v>0</v>
      </c>
      <c r="DA410" s="536"/>
      <c r="DB410" s="536"/>
      <c r="DC410" s="536"/>
      <c r="DD410" s="541">
        <f t="shared" si="173"/>
        <v>0</v>
      </c>
      <c r="DE410" s="536"/>
      <c r="DF410" s="536"/>
      <c r="DG410" s="536"/>
      <c r="DH410" s="541">
        <f t="shared" si="174"/>
        <v>0</v>
      </c>
      <c r="DI410" s="536"/>
      <c r="DJ410" s="536"/>
      <c r="DK410" s="536"/>
      <c r="DL410" s="541">
        <f t="shared" si="175"/>
        <v>0</v>
      </c>
      <c r="DM410" s="536"/>
      <c r="DN410" s="536"/>
      <c r="DO410" s="536"/>
      <c r="DP410" s="541">
        <f>IF( SUM((DJ410*(20/100))+(DK410*(30/100))+(DL410*(50/100))) &gt;=9.3,9.5,
IF(AND( SUM((DJ410*(20/100))+(DK410*(30/100))+(DL410*(50/100))) &lt;=9.3, SUM((DJ410*(20/100))+(DK410*(30/100))+(DL410*(50/100))) &gt;=8.8),9,
IF(AND( SUM((DJ410*(20/100))+(DK410*(30/100))+(DL410*(50/100))) &lt;=8.8, SUM((DJ410*(20/100))+(DK410*(30/100))+(DL410*(50/100))) &gt;=8.3),8.5,
IF(AND( SUM((DJ410*(20/100))+(DK410*(30/100))+(DL410*(50/100))) &lt;=8.3, SUM((DJ410*(20/100))+(DK410*(30/100))+(DL410*(50/100))) &gt;=7.8),8,
IF(AND( SUM((DJ410*(20/100))+(DK410*(30/100))+(DL410*(50/100))) &lt;=7.8, SUM((DJ410*(20/100))+(DK410*(30/100))+(DL410*(50/100))) &gt;=7.3),7.5,
IF(AND( SUM((DJ410*(20/100))+(DK410*(30/100))+(DL410*(50/100))) &lt;=7.3, SUM((DJ410*(20/100))+(DK410*(30/100))+(DL410*(50/100))) &gt;=6.8),7,
IF(AND( SUM((DJ410*(20/100))+(DK410*(30/100))+(DL410*(50/100))) &lt;=6.8, SUM((DJ410*(20/100))+(DK410*(30/100))+(DL410*(50/100))) &gt;=6.3),6.5,
IF(AND( SUM((DJ410*(20/100))+(DK410*(30/100))+(DL410*(50/100))) &lt;=6.3, SUM((DJ410*(20/100))+(DK410*(30/100))+(DL410*(50/100))) &gt;=5.8),6,
IF(AND( SUM((DJ410*(20/100))+(DK410*(30/100))+(DL410*(50/100))) &lt;=5.8, SUM((DJ410*(20/100))+(DK410*(30/100))+(DL410*(50/100))) &gt;=5.3),5.5,
IF(AND( SUM((DJ410*(20/100))+(DK410*(30/100))+(DL410*(50/100))) &lt;=5.3, SUM((DJ410*(20/100))+(DK410*(30/100))+(DL410*(50/100))) &gt;=4.8),5,
IF(AND( SUM((DJ410*(20/100))+(DK410*(30/100))+(DL410*(50/100))) &lt;=4.8, SUM((DJ410*(20/100))+(DK410*(30/100))+(DL410*(50/100))) &gt;=4.3),4.5,
IF(AND( SUM((DJ410*(20/100))+(DK410*(30/100))+(DL410*(50/100))) &lt;=4.3, SUM((DJ410*(20/100))+(DK410*(30/100))+(DL410*(50/100))) &gt;=3.8),4,
IF(AND( SUM((DJ410*(20/100))+(DK410*(30/100))+(DL410*(50/100))) &lt;=3.8, SUM((DJ410*(20/100))+(DK410*(30/100))+(DL410*(50/100))) &gt;=3.5),3.5,0)))))))))))))</f>
        <v>0</v>
      </c>
      <c r="DQ410" s="541"/>
      <c r="DR410" s="541"/>
      <c r="DS410" s="541"/>
      <c r="DT410" s="541"/>
      <c r="DU410" s="541"/>
      <c r="DV410" s="541"/>
      <c r="DW410" s="541"/>
      <c r="DX410" s="541"/>
      <c r="DY410" s="541"/>
      <c r="DZ410" s="541"/>
    </row>
    <row r="411" spans="2:130" x14ac:dyDescent="0.25">
      <c r="B411" s="334">
        <v>4</v>
      </c>
      <c r="C411" s="541"/>
      <c r="D411" s="334"/>
      <c r="E411" s="334"/>
      <c r="F411" s="334"/>
      <c r="G411" s="334"/>
      <c r="H411" s="334"/>
      <c r="I411" s="334"/>
      <c r="J411" s="536"/>
      <c r="K411" s="536"/>
      <c r="L411" s="536"/>
      <c r="M411" s="536"/>
      <c r="N411" s="536"/>
      <c r="O411" s="536"/>
      <c r="P411" s="536">
        <f t="shared" si="151"/>
        <v>0</v>
      </c>
      <c r="Q411" s="536"/>
      <c r="R411" s="536"/>
      <c r="S411" s="536"/>
      <c r="T411" s="536">
        <f t="shared" si="152"/>
        <v>0</v>
      </c>
      <c r="U411" s="536"/>
      <c r="V411" s="536"/>
      <c r="W411" s="536"/>
      <c r="X411" s="536">
        <f t="shared" si="153"/>
        <v>0</v>
      </c>
      <c r="Y411" s="536"/>
      <c r="Z411" s="536"/>
      <c r="AA411" s="536"/>
      <c r="AB411" s="536">
        <f t="shared" si="154"/>
        <v>0</v>
      </c>
      <c r="AC411" s="536"/>
      <c r="AD411" s="536"/>
      <c r="AE411" s="536"/>
      <c r="AF411" s="536">
        <f t="shared" si="155"/>
        <v>0</v>
      </c>
      <c r="AG411" s="536"/>
      <c r="AH411" s="536"/>
      <c r="AI411" s="536"/>
      <c r="AJ411" s="536">
        <f t="shared" si="156"/>
        <v>0</v>
      </c>
      <c r="AK411" s="536"/>
      <c r="AL411" s="536"/>
      <c r="AM411" s="536"/>
      <c r="AN411" s="542">
        <f t="shared" si="157"/>
        <v>0</v>
      </c>
      <c r="AO411" s="536"/>
      <c r="AP411" s="536"/>
      <c r="AQ411" s="536"/>
      <c r="AR411" s="542">
        <f t="shared" si="158"/>
        <v>0</v>
      </c>
      <c r="AS411" s="536"/>
      <c r="AT411" s="536"/>
      <c r="AU411" s="536"/>
      <c r="AV411" s="542">
        <f t="shared" si="159"/>
        <v>0</v>
      </c>
      <c r="AW411" s="536"/>
      <c r="AX411" s="536"/>
      <c r="AY411" s="536"/>
      <c r="AZ411" s="542">
        <f t="shared" si="160"/>
        <v>0</v>
      </c>
      <c r="BA411" s="536"/>
      <c r="BB411" s="536"/>
      <c r="BC411" s="536"/>
      <c r="BD411" s="542">
        <f t="shared" si="161"/>
        <v>0</v>
      </c>
      <c r="BE411" s="536"/>
      <c r="BF411" s="536"/>
      <c r="BG411" s="536"/>
      <c r="BH411" s="542">
        <f t="shared" si="162"/>
        <v>0</v>
      </c>
      <c r="BI411" s="536"/>
      <c r="BJ411" s="536"/>
      <c r="BK411" s="536"/>
      <c r="BL411" s="542">
        <f t="shared" si="163"/>
        <v>0</v>
      </c>
      <c r="BM411" s="536"/>
      <c r="BN411" s="536"/>
      <c r="BO411" s="536"/>
      <c r="BP411" s="542">
        <f t="shared" si="164"/>
        <v>0</v>
      </c>
      <c r="BQ411" s="536"/>
      <c r="BR411" s="536"/>
      <c r="BS411" s="536"/>
      <c r="BT411" s="542">
        <f t="shared" si="165"/>
        <v>0</v>
      </c>
      <c r="BU411" s="536"/>
      <c r="BV411" s="536"/>
      <c r="BW411" s="536"/>
      <c r="BX411" s="542">
        <f t="shared" si="166"/>
        <v>0</v>
      </c>
      <c r="BY411" s="536"/>
      <c r="BZ411" s="536"/>
      <c r="CA411" s="536"/>
      <c r="CB411" s="542">
        <v>0</v>
      </c>
      <c r="CC411" s="536"/>
      <c r="CD411" s="536"/>
      <c r="CE411" s="536"/>
      <c r="CF411" s="541">
        <f t="shared" si="167"/>
        <v>0</v>
      </c>
      <c r="CG411" s="536"/>
      <c r="CH411" s="536"/>
      <c r="CI411" s="536"/>
      <c r="CJ411" s="541">
        <f t="shared" si="168"/>
        <v>0</v>
      </c>
      <c r="CK411" s="536"/>
      <c r="CL411" s="536"/>
      <c r="CM411" s="536"/>
      <c r="CN411" s="541">
        <f t="shared" si="169"/>
        <v>0</v>
      </c>
      <c r="CO411" s="536"/>
      <c r="CP411" s="536"/>
      <c r="CQ411" s="536"/>
      <c r="CR411" s="541">
        <f t="shared" si="170"/>
        <v>0</v>
      </c>
      <c r="CS411" s="536"/>
      <c r="CT411" s="536"/>
      <c r="CU411" s="536"/>
      <c r="CV411" s="541">
        <f t="shared" si="171"/>
        <v>0</v>
      </c>
      <c r="CW411" s="536"/>
      <c r="CX411" s="536"/>
      <c r="CY411" s="536"/>
      <c r="CZ411" s="541">
        <f t="shared" si="172"/>
        <v>0</v>
      </c>
      <c r="DA411" s="536"/>
      <c r="DB411" s="536"/>
      <c r="DC411" s="536"/>
      <c r="DD411" s="541">
        <f t="shared" si="173"/>
        <v>0</v>
      </c>
      <c r="DE411" s="536"/>
      <c r="DF411" s="536"/>
      <c r="DG411" s="536"/>
      <c r="DH411" s="541">
        <f t="shared" si="174"/>
        <v>0</v>
      </c>
      <c r="DI411" s="536"/>
      <c r="DJ411" s="536"/>
      <c r="DK411" s="536"/>
      <c r="DL411" s="541">
        <f t="shared" si="175"/>
        <v>0</v>
      </c>
      <c r="DM411" s="536"/>
      <c r="DN411" s="536"/>
      <c r="DO411" s="536"/>
      <c r="DP411" s="541">
        <f>IF( SUM((DJ411*(20/100))+(DK411*(30/100))+(DL411*(50/100))) &gt;=9.3,9.5,
IF(AND( SUM((DJ411*(20/100))+(DK411*(30/100))+(DL411*(50/100))) &lt;=9.3, SUM((DJ411*(20/100))+(DK411*(30/100))+(DL411*(50/100))) &gt;=8.8),9,
IF(AND( SUM((DJ411*(20/100))+(DK411*(30/100))+(DL411*(50/100))) &lt;=8.8, SUM((DJ411*(20/100))+(DK411*(30/100))+(DL411*(50/100))) &gt;=8.3),8.5,
IF(AND( SUM((DJ411*(20/100))+(DK411*(30/100))+(DL411*(50/100))) &lt;=8.3, SUM((DJ411*(20/100))+(DK411*(30/100))+(DL411*(50/100))) &gt;=7.8),8,
IF(AND( SUM((DJ411*(20/100))+(DK411*(30/100))+(DL411*(50/100))) &lt;=7.8, SUM((DJ411*(20/100))+(DK411*(30/100))+(DL411*(50/100))) &gt;=7.3),7.5,
IF(AND( SUM((DJ411*(20/100))+(DK411*(30/100))+(DL411*(50/100))) &lt;=7.3, SUM((DJ411*(20/100))+(DK411*(30/100))+(DL411*(50/100))) &gt;=6.8),7,
IF(AND( SUM((DJ411*(20/100))+(DK411*(30/100))+(DL411*(50/100))) &lt;=6.8, SUM((DJ411*(20/100))+(DK411*(30/100))+(DL411*(50/100))) &gt;=6.3),6.5,
IF(AND( SUM((DJ411*(20/100))+(DK411*(30/100))+(DL411*(50/100))) &lt;=6.3, SUM((DJ411*(20/100))+(DK411*(30/100))+(DL411*(50/100))) &gt;=5.8),6,
IF(AND( SUM((DJ411*(20/100))+(DK411*(30/100))+(DL411*(50/100))) &lt;=5.8, SUM((DJ411*(20/100))+(DK411*(30/100))+(DL411*(50/100))) &gt;=5.3),5.5,
IF(AND( SUM((DJ411*(20/100))+(DK411*(30/100))+(DL411*(50/100))) &lt;=5.3, SUM((DJ411*(20/100))+(DK411*(30/100))+(DL411*(50/100))) &gt;=4.8),5,
IF(AND( SUM((DJ411*(20/100))+(DK411*(30/100))+(DL411*(50/100))) &lt;=4.8, SUM((DJ411*(20/100))+(DK411*(30/100))+(DL411*(50/100))) &gt;=4.3),4.5,
IF(AND( SUM((DJ411*(20/100))+(DK411*(30/100))+(DL411*(50/100))) &lt;=4.3, SUM((DJ411*(20/100))+(DK411*(30/100))+(DL411*(50/100))) &gt;=3.8),4,
IF(AND( SUM((DJ411*(20/100))+(DK411*(30/100))+(DL411*(50/100))) &lt;=3.8, SUM((DJ411*(20/100))+(DK411*(30/100))+(DL411*(50/100))) &gt;=3.5),3.5,0)))))))))))))</f>
        <v>0</v>
      </c>
      <c r="DQ411" s="541"/>
      <c r="DR411" s="541"/>
      <c r="DS411" s="541"/>
      <c r="DT411" s="541"/>
      <c r="DU411" s="541"/>
      <c r="DV411" s="541"/>
      <c r="DW411" s="541"/>
      <c r="DX411" s="541"/>
      <c r="DY411" s="541"/>
      <c r="DZ411" s="541"/>
    </row>
    <row r="412" spans="2:130" x14ac:dyDescent="0.25">
      <c r="B412" s="334">
        <v>5</v>
      </c>
      <c r="C412" s="541"/>
      <c r="D412" s="334"/>
      <c r="E412" s="334"/>
      <c r="F412" s="334"/>
      <c r="G412" s="334"/>
      <c r="H412" s="334"/>
      <c r="I412" s="334"/>
      <c r="J412" s="536"/>
      <c r="K412" s="536"/>
      <c r="L412" s="536"/>
      <c r="M412" s="536"/>
      <c r="N412" s="536"/>
      <c r="O412" s="536"/>
      <c r="P412" s="536">
        <f t="shared" si="151"/>
        <v>0</v>
      </c>
      <c r="Q412" s="536"/>
      <c r="R412" s="536"/>
      <c r="S412" s="536"/>
      <c r="T412" s="536">
        <f t="shared" si="152"/>
        <v>0</v>
      </c>
      <c r="U412" s="536"/>
      <c r="V412" s="536"/>
      <c r="W412" s="536"/>
      <c r="X412" s="536">
        <f t="shared" si="153"/>
        <v>0</v>
      </c>
      <c r="Y412" s="536"/>
      <c r="Z412" s="536"/>
      <c r="AA412" s="536"/>
      <c r="AB412" s="536">
        <f t="shared" si="154"/>
        <v>0</v>
      </c>
      <c r="AC412" s="536"/>
      <c r="AD412" s="536"/>
      <c r="AE412" s="536"/>
      <c r="AF412" s="536">
        <f t="shared" si="155"/>
        <v>0</v>
      </c>
      <c r="AG412" s="536"/>
      <c r="AH412" s="536"/>
      <c r="AI412" s="536"/>
      <c r="AJ412" s="536">
        <f t="shared" si="156"/>
        <v>0</v>
      </c>
      <c r="AK412" s="536"/>
      <c r="AL412" s="536"/>
      <c r="AM412" s="536"/>
      <c r="AN412" s="542">
        <f t="shared" si="157"/>
        <v>0</v>
      </c>
      <c r="AO412" s="536"/>
      <c r="AP412" s="536"/>
      <c r="AQ412" s="536"/>
      <c r="AR412" s="542">
        <f t="shared" si="158"/>
        <v>0</v>
      </c>
      <c r="AS412" s="536"/>
      <c r="AT412" s="536"/>
      <c r="AU412" s="536"/>
      <c r="AV412" s="542">
        <f t="shared" si="159"/>
        <v>0</v>
      </c>
      <c r="AW412" s="536"/>
      <c r="AX412" s="536"/>
      <c r="AY412" s="536"/>
      <c r="AZ412" s="542">
        <f t="shared" si="160"/>
        <v>0</v>
      </c>
      <c r="BA412" s="536"/>
      <c r="BB412" s="536"/>
      <c r="BC412" s="536"/>
      <c r="BD412" s="542">
        <f t="shared" si="161"/>
        <v>0</v>
      </c>
      <c r="BE412" s="536"/>
      <c r="BF412" s="536"/>
      <c r="BG412" s="536"/>
      <c r="BH412" s="542">
        <f t="shared" si="162"/>
        <v>0</v>
      </c>
      <c r="BI412" s="536"/>
      <c r="BJ412" s="536"/>
      <c r="BK412" s="536"/>
      <c r="BL412" s="542">
        <f t="shared" si="163"/>
        <v>0</v>
      </c>
      <c r="BM412" s="536"/>
      <c r="BN412" s="536"/>
      <c r="BO412" s="536"/>
      <c r="BP412" s="542">
        <f t="shared" si="164"/>
        <v>0</v>
      </c>
      <c r="BQ412" s="536"/>
      <c r="BR412" s="536"/>
      <c r="BS412" s="536"/>
      <c r="BT412" s="542">
        <f t="shared" si="165"/>
        <v>0</v>
      </c>
      <c r="BU412" s="536"/>
      <c r="BV412" s="536"/>
      <c r="BW412" s="536"/>
      <c r="BX412" s="542">
        <f t="shared" si="166"/>
        <v>0</v>
      </c>
      <c r="BY412" s="536"/>
      <c r="BZ412" s="536"/>
      <c r="CA412" s="536"/>
      <c r="CB412" s="542">
        <v>0</v>
      </c>
      <c r="CC412" s="536"/>
      <c r="CD412" s="536"/>
      <c r="CE412" s="536"/>
      <c r="CF412" s="541">
        <f t="shared" si="167"/>
        <v>0</v>
      </c>
      <c r="CG412" s="536"/>
      <c r="CH412" s="536"/>
      <c r="CI412" s="536"/>
      <c r="CJ412" s="541">
        <f t="shared" si="168"/>
        <v>0</v>
      </c>
      <c r="CK412" s="536"/>
      <c r="CL412" s="536"/>
      <c r="CM412" s="536"/>
      <c r="CN412" s="541">
        <f t="shared" si="169"/>
        <v>0</v>
      </c>
      <c r="CO412" s="536"/>
      <c r="CP412" s="536"/>
      <c r="CQ412" s="536"/>
      <c r="CR412" s="541">
        <f t="shared" si="170"/>
        <v>0</v>
      </c>
      <c r="CS412" s="536"/>
      <c r="CT412" s="536"/>
      <c r="CU412" s="536"/>
      <c r="CV412" s="541">
        <f t="shared" si="171"/>
        <v>0</v>
      </c>
      <c r="CW412" s="536"/>
      <c r="CX412" s="536"/>
      <c r="CY412" s="536"/>
      <c r="CZ412" s="541">
        <f t="shared" si="172"/>
        <v>0</v>
      </c>
      <c r="DA412" s="536"/>
      <c r="DB412" s="536"/>
      <c r="DC412" s="536"/>
      <c r="DD412" s="541">
        <f t="shared" si="173"/>
        <v>0</v>
      </c>
      <c r="DE412" s="536"/>
      <c r="DF412" s="536"/>
      <c r="DG412" s="536"/>
      <c r="DH412" s="541">
        <f t="shared" si="174"/>
        <v>0</v>
      </c>
      <c r="DI412" s="536"/>
      <c r="DJ412" s="536"/>
      <c r="DK412" s="536"/>
      <c r="DL412" s="541">
        <f t="shared" si="175"/>
        <v>0</v>
      </c>
      <c r="DM412" s="536"/>
      <c r="DN412" s="536"/>
      <c r="DO412" s="536"/>
      <c r="DP412" s="541">
        <f>IF( SUM((DJ412*(20/100))+(DK412*(30/100))+(DL412*(50/100))) &gt;=9.3,9.5,
IF(AND( SUM((DJ412*(20/100))+(DK412*(30/100))+(DL412*(50/100))) &lt;=9.3, SUM((DJ412*(20/100))+(DK412*(30/100))+(DL412*(50/100))) &gt;=8.8),9,
IF(AND( SUM((DJ412*(20/100))+(DK412*(30/100))+(DL412*(50/100))) &lt;=8.8, SUM((DJ412*(20/100))+(DK412*(30/100))+(DL412*(50/100))) &gt;=8.3),8.5,
IF(AND( SUM((DJ412*(20/100))+(DK412*(30/100))+(DL412*(50/100))) &lt;=8.3, SUM((DJ412*(20/100))+(DK412*(30/100))+(DL412*(50/100))) &gt;=7.8),8,
IF(AND( SUM((DJ412*(20/100))+(DK412*(30/100))+(DL412*(50/100))) &lt;=7.8, SUM((DJ412*(20/100))+(DK412*(30/100))+(DL412*(50/100))) &gt;=7.3),7.5,
IF(AND( SUM((DJ412*(20/100))+(DK412*(30/100))+(DL412*(50/100))) &lt;=7.3, SUM((DJ412*(20/100))+(DK412*(30/100))+(DL412*(50/100))) &gt;=6.8),7,
IF(AND( SUM((DJ412*(20/100))+(DK412*(30/100))+(DL412*(50/100))) &lt;=6.8, SUM((DJ412*(20/100))+(DK412*(30/100))+(DL412*(50/100))) &gt;=6.3),6.5,
IF(AND( SUM((DJ412*(20/100))+(DK412*(30/100))+(DL412*(50/100))) &lt;=6.3, SUM((DJ412*(20/100))+(DK412*(30/100))+(DL412*(50/100))) &gt;=5.8),6,
IF(AND( SUM((DJ412*(20/100))+(DK412*(30/100))+(DL412*(50/100))) &lt;=5.8, SUM((DJ412*(20/100))+(DK412*(30/100))+(DL412*(50/100))) &gt;=5.3),5.5,
IF(AND( SUM((DJ412*(20/100))+(DK412*(30/100))+(DL412*(50/100))) &lt;=5.3, SUM((DJ412*(20/100))+(DK412*(30/100))+(DL412*(50/100))) &gt;=4.8),5,
IF(AND( SUM((DJ412*(20/100))+(DK412*(30/100))+(DL412*(50/100))) &lt;=4.8, SUM((DJ412*(20/100))+(DK412*(30/100))+(DL412*(50/100))) &gt;=4.3),4.5,
IF(AND( SUM((DJ412*(20/100))+(DK412*(30/100))+(DL412*(50/100))) &lt;=4.3, SUM((DJ412*(20/100))+(DK412*(30/100))+(DL412*(50/100))) &gt;=3.8),4,
IF(AND( SUM((DJ412*(20/100))+(DK412*(30/100))+(DL412*(50/100))) &lt;=3.8, SUM((DJ412*(20/100))+(DK412*(30/100))+(DL412*(50/100))) &gt;=3.5),3.5,0)))))))))))))</f>
        <v>0</v>
      </c>
      <c r="DQ412" s="541"/>
      <c r="DR412" s="541"/>
      <c r="DS412" s="541"/>
      <c r="DT412" s="541"/>
      <c r="DU412" s="541"/>
      <c r="DV412" s="541"/>
      <c r="DW412" s="541"/>
      <c r="DX412" s="541"/>
      <c r="DY412" s="541"/>
      <c r="DZ412" s="541"/>
    </row>
    <row r="413" spans="2:130" x14ac:dyDescent="0.25">
      <c r="B413" s="334">
        <v>6</v>
      </c>
      <c r="C413" s="541"/>
      <c r="D413" s="334"/>
      <c r="E413" s="334"/>
      <c r="F413" s="334"/>
      <c r="G413" s="334"/>
      <c r="H413" s="334"/>
      <c r="I413" s="334"/>
      <c r="J413" s="536"/>
      <c r="K413" s="536"/>
      <c r="L413" s="536"/>
      <c r="M413" s="536"/>
      <c r="N413" s="536"/>
      <c r="O413" s="536"/>
      <c r="P413" s="536">
        <f t="shared" si="151"/>
        <v>0</v>
      </c>
      <c r="Q413" s="536"/>
      <c r="R413" s="536"/>
      <c r="S413" s="536"/>
      <c r="T413" s="536">
        <f t="shared" si="152"/>
        <v>0</v>
      </c>
      <c r="U413" s="536"/>
      <c r="V413" s="536"/>
      <c r="W413" s="536"/>
      <c r="X413" s="536">
        <f t="shared" si="153"/>
        <v>0</v>
      </c>
      <c r="Y413" s="536"/>
      <c r="Z413" s="536"/>
      <c r="AA413" s="536"/>
      <c r="AB413" s="536">
        <f t="shared" si="154"/>
        <v>0</v>
      </c>
      <c r="AC413" s="536"/>
      <c r="AD413" s="536"/>
      <c r="AE413" s="536"/>
      <c r="AF413" s="536">
        <f t="shared" si="155"/>
        <v>0</v>
      </c>
      <c r="AG413" s="536"/>
      <c r="AH413" s="536"/>
      <c r="AI413" s="536"/>
      <c r="AJ413" s="536">
        <f t="shared" si="156"/>
        <v>0</v>
      </c>
      <c r="AK413" s="536"/>
      <c r="AL413" s="536"/>
      <c r="AM413" s="536"/>
      <c r="AN413" s="542">
        <f t="shared" si="157"/>
        <v>0</v>
      </c>
      <c r="AO413" s="536"/>
      <c r="AP413" s="536"/>
      <c r="AQ413" s="536"/>
      <c r="AR413" s="542">
        <f t="shared" si="158"/>
        <v>0</v>
      </c>
      <c r="AS413" s="536"/>
      <c r="AT413" s="536"/>
      <c r="AU413" s="536"/>
      <c r="AV413" s="542">
        <f t="shared" si="159"/>
        <v>0</v>
      </c>
      <c r="AW413" s="536"/>
      <c r="AX413" s="536"/>
      <c r="AY413" s="536"/>
      <c r="AZ413" s="542">
        <f t="shared" si="160"/>
        <v>0</v>
      </c>
      <c r="BA413" s="536"/>
      <c r="BB413" s="536"/>
      <c r="BC413" s="536"/>
      <c r="BD413" s="542">
        <f t="shared" si="161"/>
        <v>0</v>
      </c>
      <c r="BE413" s="536"/>
      <c r="BF413" s="536"/>
      <c r="BG413" s="536"/>
      <c r="BH413" s="542">
        <f t="shared" si="162"/>
        <v>0</v>
      </c>
      <c r="BI413" s="536"/>
      <c r="BJ413" s="536"/>
      <c r="BK413" s="536"/>
      <c r="BL413" s="542">
        <f t="shared" si="163"/>
        <v>0</v>
      </c>
      <c r="BM413" s="536"/>
      <c r="BN413" s="536"/>
      <c r="BO413" s="536"/>
      <c r="BP413" s="542">
        <f t="shared" si="164"/>
        <v>0</v>
      </c>
      <c r="BQ413" s="536"/>
      <c r="BR413" s="536"/>
      <c r="BS413" s="536"/>
      <c r="BT413" s="542">
        <f t="shared" si="165"/>
        <v>0</v>
      </c>
      <c r="BU413" s="536"/>
      <c r="BV413" s="536"/>
      <c r="BW413" s="536"/>
      <c r="BX413" s="542">
        <f t="shared" si="166"/>
        <v>0</v>
      </c>
      <c r="BY413" s="536"/>
      <c r="BZ413" s="536"/>
      <c r="CA413" s="536"/>
      <c r="CB413" s="542">
        <v>0</v>
      </c>
      <c r="CC413" s="536"/>
      <c r="CD413" s="536"/>
      <c r="CE413" s="536"/>
      <c r="CF413" s="541">
        <f t="shared" si="167"/>
        <v>0</v>
      </c>
      <c r="CG413" s="536"/>
      <c r="CH413" s="536"/>
      <c r="CI413" s="536"/>
      <c r="CJ413" s="541">
        <f t="shared" si="168"/>
        <v>0</v>
      </c>
      <c r="CK413" s="536"/>
      <c r="CL413" s="536"/>
      <c r="CM413" s="536"/>
      <c r="CN413" s="541">
        <f t="shared" si="169"/>
        <v>0</v>
      </c>
      <c r="CO413" s="536"/>
      <c r="CP413" s="536"/>
      <c r="CQ413" s="536"/>
      <c r="CR413" s="541">
        <f t="shared" si="170"/>
        <v>0</v>
      </c>
      <c r="CS413" s="536"/>
      <c r="CT413" s="536"/>
      <c r="CU413" s="536"/>
      <c r="CV413" s="541">
        <f t="shared" si="171"/>
        <v>0</v>
      </c>
      <c r="CW413" s="536"/>
      <c r="CX413" s="536"/>
      <c r="CY413" s="536"/>
      <c r="CZ413" s="541">
        <f t="shared" si="172"/>
        <v>0</v>
      </c>
      <c r="DA413" s="536"/>
      <c r="DB413" s="536"/>
      <c r="DC413" s="536"/>
      <c r="DD413" s="541">
        <f t="shared" si="173"/>
        <v>0</v>
      </c>
      <c r="DE413" s="536"/>
      <c r="DF413" s="536"/>
      <c r="DG413" s="536"/>
      <c r="DH413" s="541">
        <f t="shared" si="174"/>
        <v>0</v>
      </c>
      <c r="DI413" s="536"/>
      <c r="DJ413" s="536"/>
      <c r="DK413" s="536"/>
      <c r="DL413" s="541">
        <f t="shared" si="175"/>
        <v>0</v>
      </c>
      <c r="DM413" s="536"/>
      <c r="DN413" s="536"/>
      <c r="DO413" s="536"/>
      <c r="DP413" s="541">
        <f>IF( SUM((DJ413*(20/100))+(DK413*(30/100))+(DL413*(50/100))) &gt;=9.3,9.5,
IF(AND( SUM((DJ413*(20/100))+(DK413*(30/100))+(DL413*(50/100))) &lt;=9.3, SUM((DJ413*(20/100))+(DK413*(30/100))+(DL413*(50/100))) &gt;=8.8),9,
IF(AND( SUM((DJ413*(20/100))+(DK413*(30/100))+(DL413*(50/100))) &lt;=8.8, SUM((DJ413*(20/100))+(DK413*(30/100))+(DL413*(50/100))) &gt;=8.3),8.5,
IF(AND( SUM((DJ413*(20/100))+(DK413*(30/100))+(DL413*(50/100))) &lt;=8.3, SUM((DJ413*(20/100))+(DK413*(30/100))+(DL413*(50/100))) &gt;=7.8),8,
IF(AND( SUM((DJ413*(20/100))+(DK413*(30/100))+(DL413*(50/100))) &lt;=7.8, SUM((DJ413*(20/100))+(DK413*(30/100))+(DL413*(50/100))) &gt;=7.3),7.5,
IF(AND( SUM((DJ413*(20/100))+(DK413*(30/100))+(DL413*(50/100))) &lt;=7.3, SUM((DJ413*(20/100))+(DK413*(30/100))+(DL413*(50/100))) &gt;=6.8),7,
IF(AND( SUM((DJ413*(20/100))+(DK413*(30/100))+(DL413*(50/100))) &lt;=6.8, SUM((DJ413*(20/100))+(DK413*(30/100))+(DL413*(50/100))) &gt;=6.3),6.5,
IF(AND( SUM((DJ413*(20/100))+(DK413*(30/100))+(DL413*(50/100))) &lt;=6.3, SUM((DJ413*(20/100))+(DK413*(30/100))+(DL413*(50/100))) &gt;=5.8),6,
IF(AND( SUM((DJ413*(20/100))+(DK413*(30/100))+(DL413*(50/100))) &lt;=5.8, SUM((DJ413*(20/100))+(DK413*(30/100))+(DL413*(50/100))) &gt;=5.3),5.5,
IF(AND( SUM((DJ413*(20/100))+(DK413*(30/100))+(DL413*(50/100))) &lt;=5.3, SUM((DJ413*(20/100))+(DK413*(30/100))+(DL413*(50/100))) &gt;=4.8),5,
IF(AND( SUM((DJ413*(20/100))+(DK413*(30/100))+(DL413*(50/100))) &lt;=4.8, SUM((DJ413*(20/100))+(DK413*(30/100))+(DL413*(50/100))) &gt;=4.3),4.5,
IF(AND( SUM((DJ413*(20/100))+(DK413*(30/100))+(DL413*(50/100))) &lt;=4.3, SUM((DJ413*(20/100))+(DK413*(30/100))+(DL413*(50/100))) &gt;=3.8),4,
IF(AND( SUM((DJ413*(20/100))+(DK413*(30/100))+(DL413*(50/100))) &lt;=3.8, SUM((DJ413*(20/100))+(DK413*(30/100))+(DL413*(50/100))) &gt;=3.5),3.5,0)))))))))))))</f>
        <v>0</v>
      </c>
      <c r="DQ413" s="541"/>
      <c r="DR413" s="541"/>
      <c r="DS413" s="541"/>
      <c r="DT413" s="541"/>
      <c r="DU413" s="541"/>
      <c r="DV413" s="541"/>
      <c r="DW413" s="541"/>
      <c r="DX413" s="541"/>
      <c r="DY413" s="541"/>
      <c r="DZ413" s="541"/>
    </row>
    <row r="414" spans="2:130" x14ac:dyDescent="0.25">
      <c r="B414" s="334">
        <v>7</v>
      </c>
      <c r="C414" s="541"/>
      <c r="D414" s="334"/>
      <c r="E414" s="334"/>
      <c r="F414" s="334"/>
      <c r="G414" s="334"/>
      <c r="H414" s="334"/>
      <c r="I414" s="334"/>
      <c r="J414" s="536"/>
      <c r="K414" s="536"/>
      <c r="L414" s="536"/>
      <c r="M414" s="536"/>
      <c r="N414" s="536"/>
      <c r="O414" s="536"/>
      <c r="P414" s="536">
        <f t="shared" si="151"/>
        <v>0</v>
      </c>
      <c r="Q414" s="536"/>
      <c r="R414" s="536"/>
      <c r="S414" s="536"/>
      <c r="T414" s="536">
        <f t="shared" si="152"/>
        <v>0</v>
      </c>
      <c r="U414" s="536"/>
      <c r="V414" s="536"/>
      <c r="W414" s="536"/>
      <c r="X414" s="536">
        <f t="shared" si="153"/>
        <v>0</v>
      </c>
      <c r="Y414" s="536"/>
      <c r="Z414" s="536"/>
      <c r="AA414" s="536"/>
      <c r="AB414" s="536">
        <f t="shared" si="154"/>
        <v>0</v>
      </c>
      <c r="AC414" s="536"/>
      <c r="AD414" s="536"/>
      <c r="AE414" s="536"/>
      <c r="AF414" s="536">
        <f t="shared" si="155"/>
        <v>0</v>
      </c>
      <c r="AG414" s="536"/>
      <c r="AH414" s="536"/>
      <c r="AI414" s="536"/>
      <c r="AJ414" s="536">
        <f t="shared" si="156"/>
        <v>0</v>
      </c>
      <c r="AK414" s="536"/>
      <c r="AL414" s="536"/>
      <c r="AM414" s="536"/>
      <c r="AN414" s="542">
        <f t="shared" si="157"/>
        <v>0</v>
      </c>
      <c r="AO414" s="536"/>
      <c r="AP414" s="536"/>
      <c r="AQ414" s="536"/>
      <c r="AR414" s="542">
        <f t="shared" si="158"/>
        <v>0</v>
      </c>
      <c r="AS414" s="536"/>
      <c r="AT414" s="536"/>
      <c r="AU414" s="536"/>
      <c r="AV414" s="542">
        <f t="shared" si="159"/>
        <v>0</v>
      </c>
      <c r="AW414" s="536"/>
      <c r="AX414" s="536"/>
      <c r="AY414" s="536"/>
      <c r="AZ414" s="542">
        <f t="shared" si="160"/>
        <v>0</v>
      </c>
      <c r="BA414" s="536"/>
      <c r="BB414" s="536"/>
      <c r="BC414" s="536"/>
      <c r="BD414" s="542">
        <f t="shared" si="161"/>
        <v>0</v>
      </c>
      <c r="BE414" s="536"/>
      <c r="BF414" s="536"/>
      <c r="BG414" s="536"/>
      <c r="BH414" s="542">
        <f t="shared" si="162"/>
        <v>0</v>
      </c>
      <c r="BI414" s="536"/>
      <c r="BJ414" s="536"/>
      <c r="BK414" s="536"/>
      <c r="BL414" s="542">
        <f t="shared" si="163"/>
        <v>0</v>
      </c>
      <c r="BM414" s="536"/>
      <c r="BN414" s="536"/>
      <c r="BO414" s="536"/>
      <c r="BP414" s="542">
        <f t="shared" si="164"/>
        <v>0</v>
      </c>
      <c r="BQ414" s="536"/>
      <c r="BR414" s="536"/>
      <c r="BS414" s="536"/>
      <c r="BT414" s="542">
        <f t="shared" si="165"/>
        <v>0</v>
      </c>
      <c r="BU414" s="536"/>
      <c r="BV414" s="536"/>
      <c r="BW414" s="536"/>
      <c r="BX414" s="542">
        <f t="shared" si="166"/>
        <v>0</v>
      </c>
      <c r="BY414" s="536"/>
      <c r="BZ414" s="536"/>
      <c r="CA414" s="536"/>
      <c r="CB414" s="542">
        <v>0</v>
      </c>
      <c r="CC414" s="536"/>
      <c r="CD414" s="536"/>
      <c r="CE414" s="536"/>
      <c r="CF414" s="541">
        <f t="shared" si="167"/>
        <v>0</v>
      </c>
      <c r="CG414" s="536"/>
      <c r="CH414" s="536"/>
      <c r="CI414" s="536"/>
      <c r="CJ414" s="541">
        <f t="shared" si="168"/>
        <v>0</v>
      </c>
      <c r="CK414" s="536"/>
      <c r="CL414" s="536"/>
      <c r="CM414" s="536"/>
      <c r="CN414" s="541">
        <f t="shared" si="169"/>
        <v>0</v>
      </c>
      <c r="CO414" s="536"/>
      <c r="CP414" s="536"/>
      <c r="CQ414" s="536"/>
      <c r="CR414" s="541">
        <f t="shared" si="170"/>
        <v>0</v>
      </c>
      <c r="CS414" s="536"/>
      <c r="CT414" s="536"/>
      <c r="CU414" s="536"/>
      <c r="CV414" s="541">
        <f t="shared" si="171"/>
        <v>0</v>
      </c>
      <c r="CW414" s="536"/>
      <c r="CX414" s="536"/>
      <c r="CY414" s="536"/>
      <c r="CZ414" s="541">
        <f t="shared" si="172"/>
        <v>0</v>
      </c>
      <c r="DA414" s="536"/>
      <c r="DB414" s="536"/>
      <c r="DC414" s="536"/>
      <c r="DD414" s="541">
        <f t="shared" si="173"/>
        <v>0</v>
      </c>
      <c r="DE414" s="536"/>
      <c r="DF414" s="536"/>
      <c r="DG414" s="536"/>
      <c r="DH414" s="541">
        <f t="shared" si="174"/>
        <v>0</v>
      </c>
      <c r="DI414" s="536"/>
      <c r="DJ414" s="536"/>
      <c r="DK414" s="536"/>
      <c r="DL414" s="541">
        <f t="shared" si="175"/>
        <v>0</v>
      </c>
      <c r="DM414" s="536"/>
      <c r="DN414" s="536"/>
      <c r="DO414" s="536"/>
      <c r="DP414" s="541">
        <f>IF( SUM((DJ414*(20/100))+(DK414*(30/100))+(DL414*(50/100))) &gt;=9.3,9.5,
IF(AND( SUM((DJ414*(20/100))+(DK414*(30/100))+(DL414*(50/100))) &lt;=9.3, SUM((DJ414*(20/100))+(DK414*(30/100))+(DL414*(50/100))) &gt;=8.8),9,
IF(AND( SUM((DJ414*(20/100))+(DK414*(30/100))+(DL414*(50/100))) &lt;=8.8, SUM((DJ414*(20/100))+(DK414*(30/100))+(DL414*(50/100))) &gt;=8.3),8.5,
IF(AND( SUM((DJ414*(20/100))+(DK414*(30/100))+(DL414*(50/100))) &lt;=8.3, SUM((DJ414*(20/100))+(DK414*(30/100))+(DL414*(50/100))) &gt;=7.8),8,
IF(AND( SUM((DJ414*(20/100))+(DK414*(30/100))+(DL414*(50/100))) &lt;=7.8, SUM((DJ414*(20/100))+(DK414*(30/100))+(DL414*(50/100))) &gt;=7.3),7.5,
IF(AND( SUM((DJ414*(20/100))+(DK414*(30/100))+(DL414*(50/100))) &lt;=7.3, SUM((DJ414*(20/100))+(DK414*(30/100))+(DL414*(50/100))) &gt;=6.8),7,
IF(AND( SUM((DJ414*(20/100))+(DK414*(30/100))+(DL414*(50/100))) &lt;=6.8, SUM((DJ414*(20/100))+(DK414*(30/100))+(DL414*(50/100))) &gt;=6.3),6.5,
IF(AND( SUM((DJ414*(20/100))+(DK414*(30/100))+(DL414*(50/100))) &lt;=6.3, SUM((DJ414*(20/100))+(DK414*(30/100))+(DL414*(50/100))) &gt;=5.8),6,
IF(AND( SUM((DJ414*(20/100))+(DK414*(30/100))+(DL414*(50/100))) &lt;=5.8, SUM((DJ414*(20/100))+(DK414*(30/100))+(DL414*(50/100))) &gt;=5.3),5.5,
IF(AND( SUM((DJ414*(20/100))+(DK414*(30/100))+(DL414*(50/100))) &lt;=5.3, SUM((DJ414*(20/100))+(DK414*(30/100))+(DL414*(50/100))) &gt;=4.8),5,
IF(AND( SUM((DJ414*(20/100))+(DK414*(30/100))+(DL414*(50/100))) &lt;=4.8, SUM((DJ414*(20/100))+(DK414*(30/100))+(DL414*(50/100))) &gt;=4.3),4.5,
IF(AND( SUM((DJ414*(20/100))+(DK414*(30/100))+(DL414*(50/100))) &lt;=4.3, SUM((DJ414*(20/100))+(DK414*(30/100))+(DL414*(50/100))) &gt;=3.8),4,
IF(AND( SUM((DJ414*(20/100))+(DK414*(30/100))+(DL414*(50/100))) &lt;=3.8, SUM((DJ414*(20/100))+(DK414*(30/100))+(DL414*(50/100))) &gt;=3.5),3.5,0)))))))))))))</f>
        <v>0</v>
      </c>
      <c r="DQ414" s="541"/>
      <c r="DR414" s="541"/>
      <c r="DS414" s="541"/>
      <c r="DT414" s="541"/>
      <c r="DU414" s="541"/>
      <c r="DV414" s="541"/>
      <c r="DW414" s="541"/>
      <c r="DX414" s="541"/>
      <c r="DY414" s="541"/>
      <c r="DZ414" s="541"/>
    </row>
    <row r="415" spans="2:130" x14ac:dyDescent="0.25">
      <c r="B415" s="334">
        <v>8</v>
      </c>
      <c r="C415" s="541"/>
      <c r="D415" s="334"/>
      <c r="E415" s="334"/>
      <c r="F415" s="334"/>
      <c r="G415" s="334"/>
      <c r="H415" s="334"/>
      <c r="I415" s="334"/>
      <c r="J415" s="536"/>
      <c r="K415" s="536"/>
      <c r="L415" s="536"/>
      <c r="M415" s="536"/>
      <c r="N415" s="536"/>
      <c r="O415" s="536"/>
      <c r="P415" s="536">
        <f t="shared" si="151"/>
        <v>0</v>
      </c>
      <c r="Q415" s="536"/>
      <c r="R415" s="536"/>
      <c r="S415" s="536"/>
      <c r="T415" s="536">
        <f t="shared" si="152"/>
        <v>0</v>
      </c>
      <c r="U415" s="536"/>
      <c r="V415" s="536"/>
      <c r="W415" s="536"/>
      <c r="X415" s="536">
        <f t="shared" si="153"/>
        <v>0</v>
      </c>
      <c r="Y415" s="536"/>
      <c r="Z415" s="536"/>
      <c r="AA415" s="536"/>
      <c r="AB415" s="536">
        <f t="shared" si="154"/>
        <v>0</v>
      </c>
      <c r="AC415" s="536"/>
      <c r="AD415" s="536"/>
      <c r="AE415" s="536"/>
      <c r="AF415" s="536">
        <f t="shared" si="155"/>
        <v>0</v>
      </c>
      <c r="AG415" s="536"/>
      <c r="AH415" s="536"/>
      <c r="AI415" s="536"/>
      <c r="AJ415" s="536">
        <f t="shared" si="156"/>
        <v>0</v>
      </c>
      <c r="AK415" s="536"/>
      <c r="AL415" s="536"/>
      <c r="AM415" s="536"/>
      <c r="AN415" s="542">
        <f t="shared" si="157"/>
        <v>0</v>
      </c>
      <c r="AO415" s="536"/>
      <c r="AP415" s="536"/>
      <c r="AQ415" s="536"/>
      <c r="AR415" s="542">
        <f t="shared" si="158"/>
        <v>0</v>
      </c>
      <c r="AS415" s="536"/>
      <c r="AT415" s="536"/>
      <c r="AU415" s="536"/>
      <c r="AV415" s="542">
        <f t="shared" si="159"/>
        <v>0</v>
      </c>
      <c r="AW415" s="536"/>
      <c r="AX415" s="536"/>
      <c r="AY415" s="536"/>
      <c r="AZ415" s="542">
        <f t="shared" si="160"/>
        <v>0</v>
      </c>
      <c r="BA415" s="536"/>
      <c r="BB415" s="536"/>
      <c r="BC415" s="536"/>
      <c r="BD415" s="542">
        <f t="shared" si="161"/>
        <v>0</v>
      </c>
      <c r="BE415" s="536"/>
      <c r="BF415" s="536"/>
      <c r="BG415" s="536"/>
      <c r="BH415" s="542">
        <f t="shared" si="162"/>
        <v>0</v>
      </c>
      <c r="BI415" s="536"/>
      <c r="BJ415" s="536"/>
      <c r="BK415" s="536"/>
      <c r="BL415" s="542">
        <f t="shared" si="163"/>
        <v>0</v>
      </c>
      <c r="BM415" s="536"/>
      <c r="BN415" s="536"/>
      <c r="BO415" s="536"/>
      <c r="BP415" s="542">
        <f t="shared" si="164"/>
        <v>0</v>
      </c>
      <c r="BQ415" s="536"/>
      <c r="BR415" s="536"/>
      <c r="BS415" s="536"/>
      <c r="BT415" s="542">
        <f t="shared" si="165"/>
        <v>0</v>
      </c>
      <c r="BU415" s="536"/>
      <c r="BV415" s="536"/>
      <c r="BW415" s="536"/>
      <c r="BX415" s="542">
        <f t="shared" si="166"/>
        <v>0</v>
      </c>
      <c r="BY415" s="536"/>
      <c r="BZ415" s="536"/>
      <c r="CA415" s="536"/>
      <c r="CB415" s="542">
        <v>0</v>
      </c>
      <c r="CC415" s="536"/>
      <c r="CD415" s="536"/>
      <c r="CE415" s="536"/>
      <c r="CF415" s="541">
        <f t="shared" si="167"/>
        <v>0</v>
      </c>
      <c r="CG415" s="536"/>
      <c r="CH415" s="536"/>
      <c r="CI415" s="536"/>
      <c r="CJ415" s="541">
        <f t="shared" si="168"/>
        <v>0</v>
      </c>
      <c r="CK415" s="536"/>
      <c r="CL415" s="536"/>
      <c r="CM415" s="536"/>
      <c r="CN415" s="541">
        <f t="shared" si="169"/>
        <v>0</v>
      </c>
      <c r="CO415" s="536"/>
      <c r="CP415" s="536"/>
      <c r="CQ415" s="536"/>
      <c r="CR415" s="541">
        <f t="shared" si="170"/>
        <v>0</v>
      </c>
      <c r="CS415" s="536"/>
      <c r="CT415" s="536"/>
      <c r="CU415" s="536"/>
      <c r="CV415" s="541">
        <f t="shared" si="171"/>
        <v>0</v>
      </c>
      <c r="CW415" s="536"/>
      <c r="CX415" s="536"/>
      <c r="CY415" s="536"/>
      <c r="CZ415" s="541">
        <f t="shared" si="172"/>
        <v>0</v>
      </c>
      <c r="DA415" s="536"/>
      <c r="DB415" s="536"/>
      <c r="DC415" s="536"/>
      <c r="DD415" s="541">
        <f t="shared" si="173"/>
        <v>0</v>
      </c>
      <c r="DE415" s="536"/>
      <c r="DF415" s="536"/>
      <c r="DG415" s="536"/>
      <c r="DH415" s="541">
        <f t="shared" si="174"/>
        <v>0</v>
      </c>
      <c r="DI415" s="536"/>
      <c r="DJ415" s="536"/>
      <c r="DK415" s="536"/>
      <c r="DL415" s="541">
        <f t="shared" si="175"/>
        <v>0</v>
      </c>
      <c r="DM415" s="536"/>
      <c r="DN415" s="536"/>
      <c r="DO415" s="536"/>
      <c r="DP415" s="541">
        <f>IF( SUM((DJ415*(20/100))+(DK415*(30/100))+(DL415*(50/100))) &gt;=9.3,9.5,
IF(AND( SUM((DJ415*(20/100))+(DK415*(30/100))+(DL415*(50/100))) &lt;=9.3, SUM((DJ415*(20/100))+(DK415*(30/100))+(DL415*(50/100))) &gt;=8.8),9,
IF(AND( SUM((DJ415*(20/100))+(DK415*(30/100))+(DL415*(50/100))) &lt;=8.8, SUM((DJ415*(20/100))+(DK415*(30/100))+(DL415*(50/100))) &gt;=8.3),8.5,
IF(AND( SUM((DJ415*(20/100))+(DK415*(30/100))+(DL415*(50/100))) &lt;=8.3, SUM((DJ415*(20/100))+(DK415*(30/100))+(DL415*(50/100))) &gt;=7.8),8,
IF(AND( SUM((DJ415*(20/100))+(DK415*(30/100))+(DL415*(50/100))) &lt;=7.8, SUM((DJ415*(20/100))+(DK415*(30/100))+(DL415*(50/100))) &gt;=7.3),7.5,
IF(AND( SUM((DJ415*(20/100))+(DK415*(30/100))+(DL415*(50/100))) &lt;=7.3, SUM((DJ415*(20/100))+(DK415*(30/100))+(DL415*(50/100))) &gt;=6.8),7,
IF(AND( SUM((DJ415*(20/100))+(DK415*(30/100))+(DL415*(50/100))) &lt;=6.8, SUM((DJ415*(20/100))+(DK415*(30/100))+(DL415*(50/100))) &gt;=6.3),6.5,
IF(AND( SUM((DJ415*(20/100))+(DK415*(30/100))+(DL415*(50/100))) &lt;=6.3, SUM((DJ415*(20/100))+(DK415*(30/100))+(DL415*(50/100))) &gt;=5.8),6,
IF(AND( SUM((DJ415*(20/100))+(DK415*(30/100))+(DL415*(50/100))) &lt;=5.8, SUM((DJ415*(20/100))+(DK415*(30/100))+(DL415*(50/100))) &gt;=5.3),5.5,
IF(AND( SUM((DJ415*(20/100))+(DK415*(30/100))+(DL415*(50/100))) &lt;=5.3, SUM((DJ415*(20/100))+(DK415*(30/100))+(DL415*(50/100))) &gt;=4.8),5,
IF(AND( SUM((DJ415*(20/100))+(DK415*(30/100))+(DL415*(50/100))) &lt;=4.8, SUM((DJ415*(20/100))+(DK415*(30/100))+(DL415*(50/100))) &gt;=4.3),4.5,
IF(AND( SUM((DJ415*(20/100))+(DK415*(30/100))+(DL415*(50/100))) &lt;=4.3, SUM((DJ415*(20/100))+(DK415*(30/100))+(DL415*(50/100))) &gt;=3.8),4,
IF(AND( SUM((DJ415*(20/100))+(DK415*(30/100))+(DL415*(50/100))) &lt;=3.8, SUM((DJ415*(20/100))+(DK415*(30/100))+(DL415*(50/100))) &gt;=3.5),3.5,0)))))))))))))</f>
        <v>0</v>
      </c>
      <c r="DQ415" s="541"/>
      <c r="DR415" s="541"/>
      <c r="DS415" s="541"/>
      <c r="DT415" s="541"/>
      <c r="DU415" s="541"/>
      <c r="DV415" s="541"/>
      <c r="DW415" s="541"/>
      <c r="DX415" s="541"/>
      <c r="DY415" s="541"/>
      <c r="DZ415" s="541"/>
    </row>
    <row r="416" spans="2:130" x14ac:dyDescent="0.25">
      <c r="B416" s="334">
        <v>9</v>
      </c>
      <c r="C416" s="541"/>
      <c r="D416" s="334"/>
      <c r="E416" s="334"/>
      <c r="F416" s="334"/>
      <c r="G416" s="334"/>
      <c r="H416" s="334"/>
      <c r="I416" s="334"/>
      <c r="J416" s="536"/>
      <c r="K416" s="536"/>
      <c r="L416" s="536"/>
      <c r="M416" s="536"/>
      <c r="N416" s="536"/>
      <c r="O416" s="536"/>
      <c r="P416" s="536">
        <f t="shared" si="151"/>
        <v>0</v>
      </c>
      <c r="Q416" s="536"/>
      <c r="R416" s="536"/>
      <c r="S416" s="536"/>
      <c r="T416" s="536">
        <f t="shared" si="152"/>
        <v>0</v>
      </c>
      <c r="U416" s="536"/>
      <c r="V416" s="536"/>
      <c r="W416" s="536"/>
      <c r="X416" s="536">
        <f t="shared" si="153"/>
        <v>0</v>
      </c>
      <c r="Y416" s="536"/>
      <c r="Z416" s="536"/>
      <c r="AA416" s="536"/>
      <c r="AB416" s="536">
        <f t="shared" si="154"/>
        <v>0</v>
      </c>
      <c r="AC416" s="536"/>
      <c r="AD416" s="536"/>
      <c r="AE416" s="536"/>
      <c r="AF416" s="536">
        <f t="shared" si="155"/>
        <v>0</v>
      </c>
      <c r="AG416" s="536"/>
      <c r="AH416" s="536"/>
      <c r="AI416" s="536"/>
      <c r="AJ416" s="536">
        <f t="shared" si="156"/>
        <v>0</v>
      </c>
      <c r="AK416" s="536"/>
      <c r="AL416" s="536"/>
      <c r="AM416" s="536"/>
      <c r="AN416" s="542">
        <f t="shared" si="157"/>
        <v>0</v>
      </c>
      <c r="AO416" s="536"/>
      <c r="AP416" s="536"/>
      <c r="AQ416" s="536"/>
      <c r="AR416" s="542">
        <f t="shared" si="158"/>
        <v>0</v>
      </c>
      <c r="AS416" s="536"/>
      <c r="AT416" s="536"/>
      <c r="AU416" s="536"/>
      <c r="AV416" s="542">
        <f t="shared" si="159"/>
        <v>0</v>
      </c>
      <c r="AW416" s="536"/>
      <c r="AX416" s="536"/>
      <c r="AY416" s="536"/>
      <c r="AZ416" s="542">
        <f t="shared" si="160"/>
        <v>0</v>
      </c>
      <c r="BA416" s="536"/>
      <c r="BB416" s="536"/>
      <c r="BC416" s="536"/>
      <c r="BD416" s="542">
        <f t="shared" si="161"/>
        <v>0</v>
      </c>
      <c r="BE416" s="536"/>
      <c r="BF416" s="536"/>
      <c r="BG416" s="536"/>
      <c r="BH416" s="542">
        <f t="shared" si="162"/>
        <v>0</v>
      </c>
      <c r="BI416" s="536"/>
      <c r="BJ416" s="536"/>
      <c r="BK416" s="536"/>
      <c r="BL416" s="542">
        <f t="shared" si="163"/>
        <v>0</v>
      </c>
      <c r="BM416" s="536"/>
      <c r="BN416" s="536"/>
      <c r="BO416" s="536"/>
      <c r="BP416" s="542">
        <f t="shared" si="164"/>
        <v>0</v>
      </c>
      <c r="BQ416" s="536"/>
      <c r="BR416" s="536"/>
      <c r="BS416" s="536"/>
      <c r="BT416" s="542">
        <f t="shared" si="165"/>
        <v>0</v>
      </c>
      <c r="BU416" s="536"/>
      <c r="BV416" s="536"/>
      <c r="BW416" s="536"/>
      <c r="BX416" s="542">
        <f t="shared" si="166"/>
        <v>0</v>
      </c>
      <c r="BY416" s="536"/>
      <c r="BZ416" s="536"/>
      <c r="CA416" s="536"/>
      <c r="CB416" s="542">
        <v>0</v>
      </c>
      <c r="CC416" s="536"/>
      <c r="CD416" s="536"/>
      <c r="CE416" s="536"/>
      <c r="CF416" s="541">
        <f t="shared" si="167"/>
        <v>0</v>
      </c>
      <c r="CG416" s="536"/>
      <c r="CH416" s="536"/>
      <c r="CI416" s="536"/>
      <c r="CJ416" s="541">
        <f t="shared" si="168"/>
        <v>0</v>
      </c>
      <c r="CK416" s="536"/>
      <c r="CL416" s="536"/>
      <c r="CM416" s="536"/>
      <c r="CN416" s="541">
        <f t="shared" si="169"/>
        <v>0</v>
      </c>
      <c r="CO416" s="536"/>
      <c r="CP416" s="536"/>
      <c r="CQ416" s="536"/>
      <c r="CR416" s="541">
        <f t="shared" si="170"/>
        <v>0</v>
      </c>
      <c r="CS416" s="536"/>
      <c r="CT416" s="536"/>
      <c r="CU416" s="536"/>
      <c r="CV416" s="541">
        <f t="shared" si="171"/>
        <v>0</v>
      </c>
      <c r="CW416" s="536"/>
      <c r="CX416" s="536"/>
      <c r="CY416" s="536"/>
      <c r="CZ416" s="541">
        <f t="shared" si="172"/>
        <v>0</v>
      </c>
      <c r="DA416" s="536"/>
      <c r="DB416" s="536"/>
      <c r="DC416" s="536"/>
      <c r="DD416" s="541">
        <f t="shared" si="173"/>
        <v>0</v>
      </c>
      <c r="DE416" s="536"/>
      <c r="DF416" s="536"/>
      <c r="DG416" s="536"/>
      <c r="DH416" s="541">
        <f t="shared" si="174"/>
        <v>0</v>
      </c>
      <c r="DI416" s="536"/>
      <c r="DJ416" s="536"/>
      <c r="DK416" s="536"/>
      <c r="DL416" s="541">
        <f t="shared" si="175"/>
        <v>0</v>
      </c>
      <c r="DM416" s="536"/>
      <c r="DN416" s="536"/>
      <c r="DO416" s="536"/>
      <c r="DP416" s="541">
        <f>IF( SUM((DJ416*(20/100))+(DK416*(30/100))+(DL416*(50/100))) &gt;=9.3,9.5,
IF(AND( SUM((DJ416*(20/100))+(DK416*(30/100))+(DL416*(50/100))) &lt;=9.3, SUM((DJ416*(20/100))+(DK416*(30/100))+(DL416*(50/100))) &gt;=8.8),9,
IF(AND( SUM((DJ416*(20/100))+(DK416*(30/100))+(DL416*(50/100))) &lt;=8.8, SUM((DJ416*(20/100))+(DK416*(30/100))+(DL416*(50/100))) &gt;=8.3),8.5,
IF(AND( SUM((DJ416*(20/100))+(DK416*(30/100))+(DL416*(50/100))) &lt;=8.3, SUM((DJ416*(20/100))+(DK416*(30/100))+(DL416*(50/100))) &gt;=7.8),8,
IF(AND( SUM((DJ416*(20/100))+(DK416*(30/100))+(DL416*(50/100))) &lt;=7.8, SUM((DJ416*(20/100))+(DK416*(30/100))+(DL416*(50/100))) &gt;=7.3),7.5,
IF(AND( SUM((DJ416*(20/100))+(DK416*(30/100))+(DL416*(50/100))) &lt;=7.3, SUM((DJ416*(20/100))+(DK416*(30/100))+(DL416*(50/100))) &gt;=6.8),7,
IF(AND( SUM((DJ416*(20/100))+(DK416*(30/100))+(DL416*(50/100))) &lt;=6.8, SUM((DJ416*(20/100))+(DK416*(30/100))+(DL416*(50/100))) &gt;=6.3),6.5,
IF(AND( SUM((DJ416*(20/100))+(DK416*(30/100))+(DL416*(50/100))) &lt;=6.3, SUM((DJ416*(20/100))+(DK416*(30/100))+(DL416*(50/100))) &gt;=5.8),6,
IF(AND( SUM((DJ416*(20/100))+(DK416*(30/100))+(DL416*(50/100))) &lt;=5.8, SUM((DJ416*(20/100))+(DK416*(30/100))+(DL416*(50/100))) &gt;=5.3),5.5,
IF(AND( SUM((DJ416*(20/100))+(DK416*(30/100))+(DL416*(50/100))) &lt;=5.3, SUM((DJ416*(20/100))+(DK416*(30/100))+(DL416*(50/100))) &gt;=4.8),5,
IF(AND( SUM((DJ416*(20/100))+(DK416*(30/100))+(DL416*(50/100))) &lt;=4.8, SUM((DJ416*(20/100))+(DK416*(30/100))+(DL416*(50/100))) &gt;=4.3),4.5,
IF(AND( SUM((DJ416*(20/100))+(DK416*(30/100))+(DL416*(50/100))) &lt;=4.3, SUM((DJ416*(20/100))+(DK416*(30/100))+(DL416*(50/100))) &gt;=3.8),4,
IF(AND( SUM((DJ416*(20/100))+(DK416*(30/100))+(DL416*(50/100))) &lt;=3.8, SUM((DJ416*(20/100))+(DK416*(30/100))+(DL416*(50/100))) &gt;=3.5),3.5,0)))))))))))))</f>
        <v>0</v>
      </c>
      <c r="DQ416" s="541"/>
      <c r="DR416" s="541"/>
      <c r="DS416" s="541"/>
      <c r="DT416" s="541"/>
      <c r="DU416" s="541"/>
      <c r="DV416" s="541"/>
      <c r="DW416" s="541"/>
      <c r="DX416" s="541"/>
      <c r="DY416" s="541"/>
      <c r="DZ416" s="541"/>
    </row>
    <row r="417" spans="2:130" x14ac:dyDescent="0.25">
      <c r="B417" s="334">
        <v>10</v>
      </c>
      <c r="C417" s="541"/>
      <c r="D417" s="334"/>
      <c r="E417" s="334"/>
      <c r="F417" s="334"/>
      <c r="G417" s="334"/>
      <c r="H417" s="334"/>
      <c r="I417" s="334"/>
      <c r="J417" s="536"/>
      <c r="K417" s="536"/>
      <c r="L417" s="536"/>
      <c r="M417" s="536"/>
      <c r="N417" s="536"/>
      <c r="O417" s="536"/>
      <c r="P417" s="536">
        <f t="shared" si="151"/>
        <v>0</v>
      </c>
      <c r="Q417" s="536"/>
      <c r="R417" s="536"/>
      <c r="S417" s="536"/>
      <c r="T417" s="536">
        <f t="shared" si="152"/>
        <v>0</v>
      </c>
      <c r="U417" s="536"/>
      <c r="V417" s="536"/>
      <c r="W417" s="536"/>
      <c r="X417" s="536">
        <f t="shared" si="153"/>
        <v>0</v>
      </c>
      <c r="Y417" s="536"/>
      <c r="Z417" s="536"/>
      <c r="AA417" s="536"/>
      <c r="AB417" s="536">
        <f t="shared" si="154"/>
        <v>0</v>
      </c>
      <c r="AC417" s="536"/>
      <c r="AD417" s="536"/>
      <c r="AE417" s="536"/>
      <c r="AF417" s="536">
        <f t="shared" si="155"/>
        <v>0</v>
      </c>
      <c r="AG417" s="536"/>
      <c r="AH417" s="536"/>
      <c r="AI417" s="536"/>
      <c r="AJ417" s="536">
        <f t="shared" si="156"/>
        <v>0</v>
      </c>
      <c r="AK417" s="536"/>
      <c r="AL417" s="536"/>
      <c r="AM417" s="536"/>
      <c r="AN417" s="542">
        <f t="shared" si="157"/>
        <v>0</v>
      </c>
      <c r="AO417" s="536"/>
      <c r="AP417" s="536"/>
      <c r="AQ417" s="536"/>
      <c r="AR417" s="542">
        <f t="shared" si="158"/>
        <v>0</v>
      </c>
      <c r="AS417" s="536"/>
      <c r="AT417" s="536"/>
      <c r="AU417" s="536"/>
      <c r="AV417" s="542">
        <f t="shared" si="159"/>
        <v>0</v>
      </c>
      <c r="AW417" s="536"/>
      <c r="AX417" s="536"/>
      <c r="AY417" s="536"/>
      <c r="AZ417" s="542">
        <f t="shared" si="160"/>
        <v>0</v>
      </c>
      <c r="BA417" s="536"/>
      <c r="BB417" s="536"/>
      <c r="BC417" s="536"/>
      <c r="BD417" s="542">
        <f t="shared" si="161"/>
        <v>0</v>
      </c>
      <c r="BE417" s="536"/>
      <c r="BF417" s="536"/>
      <c r="BG417" s="536"/>
      <c r="BH417" s="542">
        <f t="shared" si="162"/>
        <v>0</v>
      </c>
      <c r="BI417" s="536"/>
      <c r="BJ417" s="536"/>
      <c r="BK417" s="536"/>
      <c r="BL417" s="542">
        <f t="shared" si="163"/>
        <v>0</v>
      </c>
      <c r="BM417" s="536"/>
      <c r="BN417" s="536"/>
      <c r="BO417" s="536"/>
      <c r="BP417" s="542">
        <f t="shared" si="164"/>
        <v>0</v>
      </c>
      <c r="BQ417" s="536"/>
      <c r="BR417" s="536"/>
      <c r="BS417" s="536"/>
      <c r="BT417" s="542">
        <f t="shared" si="165"/>
        <v>0</v>
      </c>
      <c r="BU417" s="536"/>
      <c r="BV417" s="536"/>
      <c r="BW417" s="536"/>
      <c r="BX417" s="542">
        <f t="shared" si="166"/>
        <v>0</v>
      </c>
      <c r="BY417" s="536"/>
      <c r="BZ417" s="536"/>
      <c r="CA417" s="536"/>
      <c r="CB417" s="542">
        <v>0</v>
      </c>
      <c r="CC417" s="536"/>
      <c r="CD417" s="536"/>
      <c r="CE417" s="536"/>
      <c r="CF417" s="541">
        <f t="shared" si="167"/>
        <v>0</v>
      </c>
      <c r="CG417" s="536"/>
      <c r="CH417" s="536"/>
      <c r="CI417" s="536"/>
      <c r="CJ417" s="541">
        <f t="shared" si="168"/>
        <v>0</v>
      </c>
      <c r="CK417" s="536"/>
      <c r="CL417" s="536"/>
      <c r="CM417" s="536"/>
      <c r="CN417" s="541">
        <f t="shared" si="169"/>
        <v>0</v>
      </c>
      <c r="CO417" s="536"/>
      <c r="CP417" s="536"/>
      <c r="CQ417" s="536"/>
      <c r="CR417" s="541">
        <f t="shared" si="170"/>
        <v>0</v>
      </c>
      <c r="CS417" s="536"/>
      <c r="CT417" s="536"/>
      <c r="CU417" s="536"/>
      <c r="CV417" s="541">
        <f t="shared" si="171"/>
        <v>0</v>
      </c>
      <c r="CW417" s="536"/>
      <c r="CX417" s="536"/>
      <c r="CY417" s="536"/>
      <c r="CZ417" s="541">
        <f t="shared" si="172"/>
        <v>0</v>
      </c>
      <c r="DA417" s="536"/>
      <c r="DB417" s="536"/>
      <c r="DC417" s="536"/>
      <c r="DD417" s="541">
        <f t="shared" si="173"/>
        <v>0</v>
      </c>
      <c r="DE417" s="536"/>
      <c r="DF417" s="536"/>
      <c r="DG417" s="536"/>
      <c r="DH417" s="541">
        <f t="shared" si="174"/>
        <v>0</v>
      </c>
      <c r="DI417" s="536"/>
      <c r="DJ417" s="536"/>
      <c r="DK417" s="536"/>
      <c r="DL417" s="541">
        <f t="shared" si="175"/>
        <v>0</v>
      </c>
      <c r="DM417" s="536"/>
      <c r="DN417" s="536"/>
      <c r="DO417" s="536"/>
      <c r="DP417" s="541">
        <f>IF( SUM((DJ417*(20/100))+(DK417*(30/100))+(DL417*(50/100))) &gt;=9.3,9.5,
IF(AND( SUM((DJ417*(20/100))+(DK417*(30/100))+(DL417*(50/100))) &lt;=9.3, SUM((DJ417*(20/100))+(DK417*(30/100))+(DL417*(50/100))) &gt;=8.8),9,
IF(AND( SUM((DJ417*(20/100))+(DK417*(30/100))+(DL417*(50/100))) &lt;=8.8, SUM((DJ417*(20/100))+(DK417*(30/100))+(DL417*(50/100))) &gt;=8.3),8.5,
IF(AND( SUM((DJ417*(20/100))+(DK417*(30/100))+(DL417*(50/100))) &lt;=8.3, SUM((DJ417*(20/100))+(DK417*(30/100))+(DL417*(50/100))) &gt;=7.8),8,
IF(AND( SUM((DJ417*(20/100))+(DK417*(30/100))+(DL417*(50/100))) &lt;=7.8, SUM((DJ417*(20/100))+(DK417*(30/100))+(DL417*(50/100))) &gt;=7.3),7.5,
IF(AND( SUM((DJ417*(20/100))+(DK417*(30/100))+(DL417*(50/100))) &lt;=7.3, SUM((DJ417*(20/100))+(DK417*(30/100))+(DL417*(50/100))) &gt;=6.8),7,
IF(AND( SUM((DJ417*(20/100))+(DK417*(30/100))+(DL417*(50/100))) &lt;=6.8, SUM((DJ417*(20/100))+(DK417*(30/100))+(DL417*(50/100))) &gt;=6.3),6.5,
IF(AND( SUM((DJ417*(20/100))+(DK417*(30/100))+(DL417*(50/100))) &lt;=6.3, SUM((DJ417*(20/100))+(DK417*(30/100))+(DL417*(50/100))) &gt;=5.8),6,
IF(AND( SUM((DJ417*(20/100))+(DK417*(30/100))+(DL417*(50/100))) &lt;=5.8, SUM((DJ417*(20/100))+(DK417*(30/100))+(DL417*(50/100))) &gt;=5.3),5.5,
IF(AND( SUM((DJ417*(20/100))+(DK417*(30/100))+(DL417*(50/100))) &lt;=5.3, SUM((DJ417*(20/100))+(DK417*(30/100))+(DL417*(50/100))) &gt;=4.8),5,
IF(AND( SUM((DJ417*(20/100))+(DK417*(30/100))+(DL417*(50/100))) &lt;=4.8, SUM((DJ417*(20/100))+(DK417*(30/100))+(DL417*(50/100))) &gt;=4.3),4.5,
IF(AND( SUM((DJ417*(20/100))+(DK417*(30/100))+(DL417*(50/100))) &lt;=4.3, SUM((DJ417*(20/100))+(DK417*(30/100))+(DL417*(50/100))) &gt;=3.8),4,
IF(AND( SUM((DJ417*(20/100))+(DK417*(30/100))+(DL417*(50/100))) &lt;=3.8, SUM((DJ417*(20/100))+(DK417*(30/100))+(DL417*(50/100))) &gt;=3.5),3.5,0)))))))))))))</f>
        <v>0</v>
      </c>
      <c r="DQ417" s="541"/>
      <c r="DR417" s="541"/>
      <c r="DS417" s="541"/>
      <c r="DT417" s="541"/>
      <c r="DU417" s="541"/>
      <c r="DV417" s="541"/>
      <c r="DW417" s="541"/>
      <c r="DX417" s="541"/>
      <c r="DY417" s="541"/>
      <c r="DZ417" s="541"/>
    </row>
    <row r="418" spans="2:130" x14ac:dyDescent="0.25">
      <c r="B418" s="334">
        <v>11</v>
      </c>
      <c r="C418" s="541"/>
      <c r="D418" s="334"/>
      <c r="E418" s="334"/>
      <c r="F418" s="334"/>
      <c r="G418" s="334"/>
      <c r="H418" s="334"/>
      <c r="I418" s="334"/>
      <c r="J418" s="536"/>
      <c r="K418" s="536"/>
      <c r="L418" s="536"/>
      <c r="M418" s="536"/>
      <c r="N418" s="536"/>
      <c r="O418" s="536"/>
      <c r="P418" s="536">
        <f t="shared" si="151"/>
        <v>0</v>
      </c>
      <c r="Q418" s="536"/>
      <c r="R418" s="536"/>
      <c r="S418" s="536"/>
      <c r="T418" s="536">
        <f t="shared" si="152"/>
        <v>0</v>
      </c>
      <c r="U418" s="536"/>
      <c r="V418" s="536"/>
      <c r="W418" s="536"/>
      <c r="X418" s="536">
        <f t="shared" si="153"/>
        <v>0</v>
      </c>
      <c r="Y418" s="536"/>
      <c r="Z418" s="536"/>
      <c r="AA418" s="536"/>
      <c r="AB418" s="536">
        <f t="shared" si="154"/>
        <v>0</v>
      </c>
      <c r="AC418" s="536"/>
      <c r="AD418" s="536"/>
      <c r="AE418" s="536"/>
      <c r="AF418" s="536">
        <f t="shared" si="155"/>
        <v>0</v>
      </c>
      <c r="AG418" s="536"/>
      <c r="AH418" s="536"/>
      <c r="AI418" s="536"/>
      <c r="AJ418" s="536">
        <f t="shared" si="156"/>
        <v>0</v>
      </c>
      <c r="AK418" s="536"/>
      <c r="AL418" s="536"/>
      <c r="AM418" s="536"/>
      <c r="AN418" s="542">
        <f t="shared" si="157"/>
        <v>0</v>
      </c>
      <c r="AO418" s="536"/>
      <c r="AP418" s="536"/>
      <c r="AQ418" s="536"/>
      <c r="AR418" s="542">
        <f t="shared" si="158"/>
        <v>0</v>
      </c>
      <c r="AS418" s="536"/>
      <c r="AT418" s="536"/>
      <c r="AU418" s="536"/>
      <c r="AV418" s="542">
        <f t="shared" si="159"/>
        <v>0</v>
      </c>
      <c r="AW418" s="536"/>
      <c r="AX418" s="536"/>
      <c r="AY418" s="536"/>
      <c r="AZ418" s="542">
        <f t="shared" si="160"/>
        <v>0</v>
      </c>
      <c r="BA418" s="536"/>
      <c r="BB418" s="536"/>
      <c r="BC418" s="536"/>
      <c r="BD418" s="542">
        <f t="shared" si="161"/>
        <v>0</v>
      </c>
      <c r="BE418" s="536"/>
      <c r="BF418" s="536"/>
      <c r="BG418" s="536"/>
      <c r="BH418" s="542">
        <f t="shared" si="162"/>
        <v>0</v>
      </c>
      <c r="BI418" s="536"/>
      <c r="BJ418" s="536"/>
      <c r="BK418" s="536"/>
      <c r="BL418" s="542">
        <f t="shared" si="163"/>
        <v>0</v>
      </c>
      <c r="BM418" s="536"/>
      <c r="BN418" s="536"/>
      <c r="BO418" s="536"/>
      <c r="BP418" s="542">
        <f t="shared" si="164"/>
        <v>0</v>
      </c>
      <c r="BQ418" s="536"/>
      <c r="BR418" s="536"/>
      <c r="BS418" s="536"/>
      <c r="BT418" s="542">
        <f t="shared" si="165"/>
        <v>0</v>
      </c>
      <c r="BU418" s="536"/>
      <c r="BV418" s="536"/>
      <c r="BW418" s="536"/>
      <c r="BX418" s="542">
        <f t="shared" si="166"/>
        <v>0</v>
      </c>
      <c r="BY418" s="536"/>
      <c r="BZ418" s="536"/>
      <c r="CA418" s="536"/>
      <c r="CB418" s="542">
        <v>0</v>
      </c>
      <c r="CC418" s="536"/>
      <c r="CD418" s="536"/>
      <c r="CE418" s="536"/>
      <c r="CF418" s="541">
        <f t="shared" si="167"/>
        <v>0</v>
      </c>
      <c r="CG418" s="536"/>
      <c r="CH418" s="536"/>
      <c r="CI418" s="536"/>
      <c r="CJ418" s="541">
        <f t="shared" si="168"/>
        <v>0</v>
      </c>
      <c r="CK418" s="536"/>
      <c r="CL418" s="536"/>
      <c r="CM418" s="536"/>
      <c r="CN418" s="541">
        <f t="shared" si="169"/>
        <v>0</v>
      </c>
      <c r="CO418" s="536"/>
      <c r="CP418" s="536"/>
      <c r="CQ418" s="536"/>
      <c r="CR418" s="541">
        <f t="shared" si="170"/>
        <v>0</v>
      </c>
      <c r="CS418" s="536"/>
      <c r="CT418" s="536"/>
      <c r="CU418" s="536"/>
      <c r="CV418" s="541">
        <f t="shared" si="171"/>
        <v>0</v>
      </c>
      <c r="CW418" s="536"/>
      <c r="CX418" s="536"/>
      <c r="CY418" s="536"/>
      <c r="CZ418" s="541">
        <f t="shared" si="172"/>
        <v>0</v>
      </c>
      <c r="DA418" s="536"/>
      <c r="DB418" s="536"/>
      <c r="DC418" s="536"/>
      <c r="DD418" s="541">
        <f t="shared" si="173"/>
        <v>0</v>
      </c>
      <c r="DE418" s="536"/>
      <c r="DF418" s="536"/>
      <c r="DG418" s="536"/>
      <c r="DH418" s="541">
        <f t="shared" si="174"/>
        <v>0</v>
      </c>
      <c r="DI418" s="536"/>
      <c r="DJ418" s="536"/>
      <c r="DK418" s="536"/>
      <c r="DL418" s="541">
        <f t="shared" si="175"/>
        <v>0</v>
      </c>
      <c r="DM418" s="536"/>
      <c r="DN418" s="536"/>
      <c r="DO418" s="536"/>
      <c r="DP418" s="541">
        <f>IF( SUM((DJ418*(20/100))+(DK418*(30/100))+(DL418*(50/100))) &gt;=9.3,9.5,
IF(AND( SUM((DJ418*(20/100))+(DK418*(30/100))+(DL418*(50/100))) &lt;=9.3, SUM((DJ418*(20/100))+(DK418*(30/100))+(DL418*(50/100))) &gt;=8.8),9,
IF(AND( SUM((DJ418*(20/100))+(DK418*(30/100))+(DL418*(50/100))) &lt;=8.8, SUM((DJ418*(20/100))+(DK418*(30/100))+(DL418*(50/100))) &gt;=8.3),8.5,
IF(AND( SUM((DJ418*(20/100))+(DK418*(30/100))+(DL418*(50/100))) &lt;=8.3, SUM((DJ418*(20/100))+(DK418*(30/100))+(DL418*(50/100))) &gt;=7.8),8,
IF(AND( SUM((DJ418*(20/100))+(DK418*(30/100))+(DL418*(50/100))) &lt;=7.8, SUM((DJ418*(20/100))+(DK418*(30/100))+(DL418*(50/100))) &gt;=7.3),7.5,
IF(AND( SUM((DJ418*(20/100))+(DK418*(30/100))+(DL418*(50/100))) &lt;=7.3, SUM((DJ418*(20/100))+(DK418*(30/100))+(DL418*(50/100))) &gt;=6.8),7,
IF(AND( SUM((DJ418*(20/100))+(DK418*(30/100))+(DL418*(50/100))) &lt;=6.8, SUM((DJ418*(20/100))+(DK418*(30/100))+(DL418*(50/100))) &gt;=6.3),6.5,
IF(AND( SUM((DJ418*(20/100))+(DK418*(30/100))+(DL418*(50/100))) &lt;=6.3, SUM((DJ418*(20/100))+(DK418*(30/100))+(DL418*(50/100))) &gt;=5.8),6,
IF(AND( SUM((DJ418*(20/100))+(DK418*(30/100))+(DL418*(50/100))) &lt;=5.8, SUM((DJ418*(20/100))+(DK418*(30/100))+(DL418*(50/100))) &gt;=5.3),5.5,
IF(AND( SUM((DJ418*(20/100))+(DK418*(30/100))+(DL418*(50/100))) &lt;=5.3, SUM((DJ418*(20/100))+(DK418*(30/100))+(DL418*(50/100))) &gt;=4.8),5,
IF(AND( SUM((DJ418*(20/100))+(DK418*(30/100))+(DL418*(50/100))) &lt;=4.8, SUM((DJ418*(20/100))+(DK418*(30/100))+(DL418*(50/100))) &gt;=4.3),4.5,
IF(AND( SUM((DJ418*(20/100))+(DK418*(30/100))+(DL418*(50/100))) &lt;=4.3, SUM((DJ418*(20/100))+(DK418*(30/100))+(DL418*(50/100))) &gt;=3.8),4,
IF(AND( SUM((DJ418*(20/100))+(DK418*(30/100))+(DL418*(50/100))) &lt;=3.8, SUM((DJ418*(20/100))+(DK418*(30/100))+(DL418*(50/100))) &gt;=3.5),3.5,0)))))))))))))</f>
        <v>0</v>
      </c>
      <c r="DQ418" s="541"/>
      <c r="DR418" s="541"/>
      <c r="DS418" s="541"/>
      <c r="DT418" s="541"/>
      <c r="DU418" s="541"/>
      <c r="DV418" s="541"/>
      <c r="DW418" s="541"/>
      <c r="DX418" s="541"/>
      <c r="DY418" s="541"/>
      <c r="DZ418" s="541"/>
    </row>
    <row r="419" spans="2:130" x14ac:dyDescent="0.25">
      <c r="B419" s="334">
        <v>12</v>
      </c>
      <c r="C419" s="541"/>
      <c r="D419" s="334"/>
      <c r="E419" s="334"/>
      <c r="F419" s="334"/>
      <c r="G419" s="334"/>
      <c r="H419" s="334"/>
      <c r="I419" s="334"/>
      <c r="J419" s="536"/>
      <c r="K419" s="536"/>
      <c r="L419" s="536"/>
      <c r="M419" s="536"/>
      <c r="N419" s="536"/>
      <c r="O419" s="536"/>
      <c r="P419" s="536">
        <f t="shared" si="151"/>
        <v>0</v>
      </c>
      <c r="Q419" s="536"/>
      <c r="R419" s="536"/>
      <c r="S419" s="536"/>
      <c r="T419" s="536">
        <f t="shared" si="152"/>
        <v>0</v>
      </c>
      <c r="U419" s="536"/>
      <c r="V419" s="536"/>
      <c r="W419" s="536"/>
      <c r="X419" s="536">
        <f t="shared" si="153"/>
        <v>0</v>
      </c>
      <c r="Y419" s="536"/>
      <c r="Z419" s="536"/>
      <c r="AA419" s="536"/>
      <c r="AB419" s="536">
        <f t="shared" si="154"/>
        <v>0</v>
      </c>
      <c r="AC419" s="536"/>
      <c r="AD419" s="536"/>
      <c r="AE419" s="536"/>
      <c r="AF419" s="536">
        <f t="shared" si="155"/>
        <v>0</v>
      </c>
      <c r="AG419" s="536"/>
      <c r="AH419" s="536"/>
      <c r="AI419" s="536"/>
      <c r="AJ419" s="536">
        <f t="shared" si="156"/>
        <v>0</v>
      </c>
      <c r="AK419" s="536"/>
      <c r="AL419" s="536"/>
      <c r="AM419" s="536"/>
      <c r="AN419" s="542">
        <f t="shared" si="157"/>
        <v>0</v>
      </c>
      <c r="AO419" s="536"/>
      <c r="AP419" s="536"/>
      <c r="AQ419" s="536"/>
      <c r="AR419" s="542">
        <f t="shared" si="158"/>
        <v>0</v>
      </c>
      <c r="AS419" s="536"/>
      <c r="AT419" s="536"/>
      <c r="AU419" s="536"/>
      <c r="AV419" s="542">
        <f t="shared" si="159"/>
        <v>0</v>
      </c>
      <c r="AW419" s="536"/>
      <c r="AX419" s="536"/>
      <c r="AY419" s="536"/>
      <c r="AZ419" s="542">
        <f t="shared" si="160"/>
        <v>0</v>
      </c>
      <c r="BA419" s="536"/>
      <c r="BB419" s="536"/>
      <c r="BC419" s="536"/>
      <c r="BD419" s="542">
        <f t="shared" si="161"/>
        <v>0</v>
      </c>
      <c r="BE419" s="536"/>
      <c r="BF419" s="536"/>
      <c r="BG419" s="536"/>
      <c r="BH419" s="542">
        <f t="shared" si="162"/>
        <v>0</v>
      </c>
      <c r="BI419" s="536"/>
      <c r="BJ419" s="536"/>
      <c r="BK419" s="536"/>
      <c r="BL419" s="542">
        <f t="shared" si="163"/>
        <v>0</v>
      </c>
      <c r="BM419" s="536"/>
      <c r="BN419" s="536"/>
      <c r="BO419" s="536"/>
      <c r="BP419" s="542">
        <f t="shared" si="164"/>
        <v>0</v>
      </c>
      <c r="BQ419" s="536"/>
      <c r="BR419" s="536"/>
      <c r="BS419" s="536"/>
      <c r="BT419" s="542">
        <f t="shared" si="165"/>
        <v>0</v>
      </c>
      <c r="BU419" s="536"/>
      <c r="BV419" s="536"/>
      <c r="BW419" s="536"/>
      <c r="BX419" s="542">
        <f t="shared" si="166"/>
        <v>0</v>
      </c>
      <c r="BY419" s="536"/>
      <c r="BZ419" s="536"/>
      <c r="CA419" s="536"/>
      <c r="CB419" s="542">
        <v>0</v>
      </c>
      <c r="CC419" s="536"/>
      <c r="CD419" s="536"/>
      <c r="CE419" s="536"/>
      <c r="CF419" s="541">
        <f t="shared" si="167"/>
        <v>0</v>
      </c>
      <c r="CG419" s="536"/>
      <c r="CH419" s="536"/>
      <c r="CI419" s="536"/>
      <c r="CJ419" s="541">
        <f t="shared" si="168"/>
        <v>0</v>
      </c>
      <c r="CK419" s="536"/>
      <c r="CL419" s="536"/>
      <c r="CM419" s="536"/>
      <c r="CN419" s="541">
        <f t="shared" si="169"/>
        <v>0</v>
      </c>
      <c r="CO419" s="536"/>
      <c r="CP419" s="536"/>
      <c r="CQ419" s="536"/>
      <c r="CR419" s="541">
        <f t="shared" si="170"/>
        <v>0</v>
      </c>
      <c r="CS419" s="536"/>
      <c r="CT419" s="536"/>
      <c r="CU419" s="536"/>
      <c r="CV419" s="541">
        <f t="shared" si="171"/>
        <v>0</v>
      </c>
      <c r="CW419" s="536"/>
      <c r="CX419" s="536"/>
      <c r="CY419" s="536"/>
      <c r="CZ419" s="541">
        <f t="shared" si="172"/>
        <v>0</v>
      </c>
      <c r="DA419" s="536"/>
      <c r="DB419" s="536"/>
      <c r="DC419" s="536"/>
      <c r="DD419" s="541">
        <f t="shared" si="173"/>
        <v>0</v>
      </c>
      <c r="DE419" s="536"/>
      <c r="DF419" s="536"/>
      <c r="DG419" s="536"/>
      <c r="DH419" s="541">
        <f t="shared" si="174"/>
        <v>0</v>
      </c>
      <c r="DI419" s="536"/>
      <c r="DJ419" s="536"/>
      <c r="DK419" s="536"/>
      <c r="DL419" s="541">
        <f t="shared" si="175"/>
        <v>0</v>
      </c>
      <c r="DM419" s="536"/>
      <c r="DN419" s="536"/>
      <c r="DO419" s="536"/>
      <c r="DP419" s="541">
        <f>IF( SUM((DJ419*(20/100))+(DK419*(30/100))+(DL419*(50/100))) &gt;=9.3,9.5,
IF(AND( SUM((DJ419*(20/100))+(DK419*(30/100))+(DL419*(50/100))) &lt;=9.3, SUM((DJ419*(20/100))+(DK419*(30/100))+(DL419*(50/100))) &gt;=8.8),9,
IF(AND( SUM((DJ419*(20/100))+(DK419*(30/100))+(DL419*(50/100))) &lt;=8.8, SUM((DJ419*(20/100))+(DK419*(30/100))+(DL419*(50/100))) &gt;=8.3),8.5,
IF(AND( SUM((DJ419*(20/100))+(DK419*(30/100))+(DL419*(50/100))) &lt;=8.3, SUM((DJ419*(20/100))+(DK419*(30/100))+(DL419*(50/100))) &gt;=7.8),8,
IF(AND( SUM((DJ419*(20/100))+(DK419*(30/100))+(DL419*(50/100))) &lt;=7.8, SUM((DJ419*(20/100))+(DK419*(30/100))+(DL419*(50/100))) &gt;=7.3),7.5,
IF(AND( SUM((DJ419*(20/100))+(DK419*(30/100))+(DL419*(50/100))) &lt;=7.3, SUM((DJ419*(20/100))+(DK419*(30/100))+(DL419*(50/100))) &gt;=6.8),7,
IF(AND( SUM((DJ419*(20/100))+(DK419*(30/100))+(DL419*(50/100))) &lt;=6.8, SUM((DJ419*(20/100))+(DK419*(30/100))+(DL419*(50/100))) &gt;=6.3),6.5,
IF(AND( SUM((DJ419*(20/100))+(DK419*(30/100))+(DL419*(50/100))) &lt;=6.3, SUM((DJ419*(20/100))+(DK419*(30/100))+(DL419*(50/100))) &gt;=5.8),6,
IF(AND( SUM((DJ419*(20/100))+(DK419*(30/100))+(DL419*(50/100))) &lt;=5.8, SUM((DJ419*(20/100))+(DK419*(30/100))+(DL419*(50/100))) &gt;=5.3),5.5,
IF(AND( SUM((DJ419*(20/100))+(DK419*(30/100))+(DL419*(50/100))) &lt;=5.3, SUM((DJ419*(20/100))+(DK419*(30/100))+(DL419*(50/100))) &gt;=4.8),5,
IF(AND( SUM((DJ419*(20/100))+(DK419*(30/100))+(DL419*(50/100))) &lt;=4.8, SUM((DJ419*(20/100))+(DK419*(30/100))+(DL419*(50/100))) &gt;=4.3),4.5,
IF(AND( SUM((DJ419*(20/100))+(DK419*(30/100))+(DL419*(50/100))) &lt;=4.3, SUM((DJ419*(20/100))+(DK419*(30/100))+(DL419*(50/100))) &gt;=3.8),4,
IF(AND( SUM((DJ419*(20/100))+(DK419*(30/100))+(DL419*(50/100))) &lt;=3.8, SUM((DJ419*(20/100))+(DK419*(30/100))+(DL419*(50/100))) &gt;=3.5),3.5,0)))))))))))))</f>
        <v>0</v>
      </c>
      <c r="DQ419" s="541"/>
      <c r="DR419" s="541"/>
      <c r="DS419" s="541"/>
      <c r="DT419" s="541"/>
      <c r="DU419" s="541"/>
      <c r="DV419" s="541"/>
      <c r="DW419" s="541"/>
      <c r="DX419" s="541"/>
      <c r="DY419" s="541"/>
      <c r="DZ419" s="541"/>
    </row>
    <row r="420" spans="2:130" x14ac:dyDescent="0.25">
      <c r="B420" s="334">
        <v>13</v>
      </c>
      <c r="C420" s="541"/>
      <c r="D420" s="334"/>
      <c r="E420" s="334"/>
      <c r="F420" s="334"/>
      <c r="G420" s="334"/>
      <c r="H420" s="334"/>
      <c r="I420" s="334"/>
      <c r="J420" s="536"/>
      <c r="K420" s="536"/>
      <c r="L420" s="536"/>
      <c r="M420" s="536"/>
      <c r="N420" s="536"/>
      <c r="O420" s="536"/>
      <c r="P420" s="536">
        <f t="shared" si="151"/>
        <v>0</v>
      </c>
      <c r="Q420" s="536"/>
      <c r="R420" s="536"/>
      <c r="S420" s="536"/>
      <c r="T420" s="536">
        <f t="shared" si="152"/>
        <v>0</v>
      </c>
      <c r="U420" s="536"/>
      <c r="V420" s="536"/>
      <c r="W420" s="536"/>
      <c r="X420" s="536">
        <f t="shared" si="153"/>
        <v>0</v>
      </c>
      <c r="Y420" s="536"/>
      <c r="Z420" s="536"/>
      <c r="AA420" s="536"/>
      <c r="AB420" s="536">
        <f t="shared" si="154"/>
        <v>0</v>
      </c>
      <c r="AC420" s="536"/>
      <c r="AD420" s="536"/>
      <c r="AE420" s="536"/>
      <c r="AF420" s="536">
        <f t="shared" si="155"/>
        <v>0</v>
      </c>
      <c r="AG420" s="536"/>
      <c r="AH420" s="536"/>
      <c r="AI420" s="536"/>
      <c r="AJ420" s="536">
        <f t="shared" si="156"/>
        <v>0</v>
      </c>
      <c r="AK420" s="536"/>
      <c r="AL420" s="536"/>
      <c r="AM420" s="536"/>
      <c r="AN420" s="542">
        <f t="shared" si="157"/>
        <v>0</v>
      </c>
      <c r="AO420" s="536"/>
      <c r="AP420" s="536"/>
      <c r="AQ420" s="536"/>
      <c r="AR420" s="542">
        <f t="shared" si="158"/>
        <v>0</v>
      </c>
      <c r="AS420" s="536"/>
      <c r="AT420" s="536"/>
      <c r="AU420" s="536"/>
      <c r="AV420" s="542">
        <f t="shared" si="159"/>
        <v>0</v>
      </c>
      <c r="AW420" s="536"/>
      <c r="AX420" s="536"/>
      <c r="AY420" s="536"/>
      <c r="AZ420" s="542">
        <f t="shared" si="160"/>
        <v>0</v>
      </c>
      <c r="BA420" s="536"/>
      <c r="BB420" s="536"/>
      <c r="BC420" s="536"/>
      <c r="BD420" s="542">
        <f t="shared" si="161"/>
        <v>0</v>
      </c>
      <c r="BE420" s="536"/>
      <c r="BF420" s="536"/>
      <c r="BG420" s="536"/>
      <c r="BH420" s="542">
        <f t="shared" si="162"/>
        <v>0</v>
      </c>
      <c r="BI420" s="536"/>
      <c r="BJ420" s="536"/>
      <c r="BK420" s="536"/>
      <c r="BL420" s="542">
        <f t="shared" si="163"/>
        <v>0</v>
      </c>
      <c r="BM420" s="536"/>
      <c r="BN420" s="536"/>
      <c r="BO420" s="536"/>
      <c r="BP420" s="542">
        <f t="shared" si="164"/>
        <v>0</v>
      </c>
      <c r="BQ420" s="536"/>
      <c r="BR420" s="536"/>
      <c r="BS420" s="536"/>
      <c r="BT420" s="542">
        <f t="shared" si="165"/>
        <v>0</v>
      </c>
      <c r="BU420" s="536"/>
      <c r="BV420" s="536"/>
      <c r="BW420" s="536"/>
      <c r="BX420" s="542">
        <f t="shared" si="166"/>
        <v>0</v>
      </c>
      <c r="BY420" s="536"/>
      <c r="BZ420" s="536"/>
      <c r="CA420" s="536"/>
      <c r="CB420" s="542">
        <v>0</v>
      </c>
      <c r="CC420" s="536"/>
      <c r="CD420" s="536"/>
      <c r="CE420" s="536"/>
      <c r="CF420" s="541">
        <f t="shared" si="167"/>
        <v>0</v>
      </c>
      <c r="CG420" s="536"/>
      <c r="CH420" s="536"/>
      <c r="CI420" s="536"/>
      <c r="CJ420" s="541">
        <f t="shared" si="168"/>
        <v>0</v>
      </c>
      <c r="CK420" s="536"/>
      <c r="CL420" s="536"/>
      <c r="CM420" s="536"/>
      <c r="CN420" s="541">
        <f t="shared" si="169"/>
        <v>0</v>
      </c>
      <c r="CO420" s="536"/>
      <c r="CP420" s="536"/>
      <c r="CQ420" s="536"/>
      <c r="CR420" s="541">
        <f t="shared" si="170"/>
        <v>0</v>
      </c>
      <c r="CS420" s="536"/>
      <c r="CT420" s="536"/>
      <c r="CU420" s="536"/>
      <c r="CV420" s="541">
        <f t="shared" si="171"/>
        <v>0</v>
      </c>
      <c r="CW420" s="536"/>
      <c r="CX420" s="536"/>
      <c r="CY420" s="536"/>
      <c r="CZ420" s="541">
        <f t="shared" si="172"/>
        <v>0</v>
      </c>
      <c r="DA420" s="536"/>
      <c r="DB420" s="536"/>
      <c r="DC420" s="536"/>
      <c r="DD420" s="541">
        <f t="shared" si="173"/>
        <v>0</v>
      </c>
      <c r="DE420" s="536"/>
      <c r="DF420" s="536"/>
      <c r="DG420" s="536"/>
      <c r="DH420" s="541">
        <f t="shared" si="174"/>
        <v>0</v>
      </c>
      <c r="DI420" s="536"/>
      <c r="DJ420" s="536"/>
      <c r="DK420" s="536"/>
      <c r="DL420" s="541">
        <f t="shared" si="175"/>
        <v>0</v>
      </c>
      <c r="DM420" s="536"/>
      <c r="DN420" s="536"/>
      <c r="DO420" s="536"/>
      <c r="DP420" s="541">
        <f>IF( SUM((DJ420*(20/100))+(DK420*(30/100))+(DL420*(50/100))) &gt;=9.3,9.5,
IF(AND( SUM((DJ420*(20/100))+(DK420*(30/100))+(DL420*(50/100))) &lt;=9.3, SUM((DJ420*(20/100))+(DK420*(30/100))+(DL420*(50/100))) &gt;=8.8),9,
IF(AND( SUM((DJ420*(20/100))+(DK420*(30/100))+(DL420*(50/100))) &lt;=8.8, SUM((DJ420*(20/100))+(DK420*(30/100))+(DL420*(50/100))) &gt;=8.3),8.5,
IF(AND( SUM((DJ420*(20/100))+(DK420*(30/100))+(DL420*(50/100))) &lt;=8.3, SUM((DJ420*(20/100))+(DK420*(30/100))+(DL420*(50/100))) &gt;=7.8),8,
IF(AND( SUM((DJ420*(20/100))+(DK420*(30/100))+(DL420*(50/100))) &lt;=7.8, SUM((DJ420*(20/100))+(DK420*(30/100))+(DL420*(50/100))) &gt;=7.3),7.5,
IF(AND( SUM((DJ420*(20/100))+(DK420*(30/100))+(DL420*(50/100))) &lt;=7.3, SUM((DJ420*(20/100))+(DK420*(30/100))+(DL420*(50/100))) &gt;=6.8),7,
IF(AND( SUM((DJ420*(20/100))+(DK420*(30/100))+(DL420*(50/100))) &lt;=6.8, SUM((DJ420*(20/100))+(DK420*(30/100))+(DL420*(50/100))) &gt;=6.3),6.5,
IF(AND( SUM((DJ420*(20/100))+(DK420*(30/100))+(DL420*(50/100))) &lt;=6.3, SUM((DJ420*(20/100))+(DK420*(30/100))+(DL420*(50/100))) &gt;=5.8),6,
IF(AND( SUM((DJ420*(20/100))+(DK420*(30/100))+(DL420*(50/100))) &lt;=5.8, SUM((DJ420*(20/100))+(DK420*(30/100))+(DL420*(50/100))) &gt;=5.3),5.5,
IF(AND( SUM((DJ420*(20/100))+(DK420*(30/100))+(DL420*(50/100))) &lt;=5.3, SUM((DJ420*(20/100))+(DK420*(30/100))+(DL420*(50/100))) &gt;=4.8),5,
IF(AND( SUM((DJ420*(20/100))+(DK420*(30/100))+(DL420*(50/100))) &lt;=4.8, SUM((DJ420*(20/100))+(DK420*(30/100))+(DL420*(50/100))) &gt;=4.3),4.5,
IF(AND( SUM((DJ420*(20/100))+(DK420*(30/100))+(DL420*(50/100))) &lt;=4.3, SUM((DJ420*(20/100))+(DK420*(30/100))+(DL420*(50/100))) &gt;=3.8),4,
IF(AND( SUM((DJ420*(20/100))+(DK420*(30/100))+(DL420*(50/100))) &lt;=3.8, SUM((DJ420*(20/100))+(DK420*(30/100))+(DL420*(50/100))) &gt;=3.5),3.5,0)))))))))))))</f>
        <v>0</v>
      </c>
      <c r="DQ420" s="541"/>
      <c r="DR420" s="541"/>
      <c r="DS420" s="541"/>
      <c r="DT420" s="541"/>
      <c r="DU420" s="541"/>
      <c r="DV420" s="541"/>
      <c r="DW420" s="541"/>
      <c r="DX420" s="541"/>
      <c r="DY420" s="541"/>
      <c r="DZ420" s="541"/>
    </row>
    <row r="421" spans="2:130" x14ac:dyDescent="0.25">
      <c r="B421" s="334">
        <v>14</v>
      </c>
      <c r="C421" s="541"/>
      <c r="D421" s="334"/>
      <c r="E421" s="334"/>
      <c r="F421" s="334"/>
      <c r="G421" s="334"/>
      <c r="H421" s="334"/>
      <c r="I421" s="334"/>
      <c r="J421" s="536"/>
      <c r="K421" s="536"/>
      <c r="L421" s="536"/>
      <c r="M421" s="536"/>
      <c r="N421" s="536"/>
      <c r="O421" s="536"/>
      <c r="P421" s="536">
        <f t="shared" si="151"/>
        <v>0</v>
      </c>
      <c r="Q421" s="536"/>
      <c r="R421" s="536"/>
      <c r="S421" s="536"/>
      <c r="T421" s="536">
        <f t="shared" si="152"/>
        <v>0</v>
      </c>
      <c r="U421" s="536"/>
      <c r="V421" s="536"/>
      <c r="W421" s="536"/>
      <c r="X421" s="536">
        <f t="shared" si="153"/>
        <v>0</v>
      </c>
      <c r="Y421" s="536"/>
      <c r="Z421" s="536"/>
      <c r="AA421" s="536"/>
      <c r="AB421" s="536">
        <f t="shared" si="154"/>
        <v>0</v>
      </c>
      <c r="AC421" s="536"/>
      <c r="AD421" s="536"/>
      <c r="AE421" s="536"/>
      <c r="AF421" s="536">
        <f t="shared" si="155"/>
        <v>0</v>
      </c>
      <c r="AG421" s="536"/>
      <c r="AH421" s="536"/>
      <c r="AI421" s="536"/>
      <c r="AJ421" s="536">
        <f t="shared" si="156"/>
        <v>0</v>
      </c>
      <c r="AK421" s="536"/>
      <c r="AL421" s="536"/>
      <c r="AM421" s="536"/>
      <c r="AN421" s="542">
        <f t="shared" si="157"/>
        <v>0</v>
      </c>
      <c r="AO421" s="536"/>
      <c r="AP421" s="536"/>
      <c r="AQ421" s="536"/>
      <c r="AR421" s="542">
        <f t="shared" si="158"/>
        <v>0</v>
      </c>
      <c r="AS421" s="536"/>
      <c r="AT421" s="536"/>
      <c r="AU421" s="536"/>
      <c r="AV421" s="542">
        <f t="shared" si="159"/>
        <v>0</v>
      </c>
      <c r="AW421" s="536"/>
      <c r="AX421" s="536"/>
      <c r="AY421" s="536"/>
      <c r="AZ421" s="542">
        <f t="shared" si="160"/>
        <v>0</v>
      </c>
      <c r="BA421" s="536"/>
      <c r="BB421" s="536"/>
      <c r="BC421" s="536"/>
      <c r="BD421" s="542">
        <f t="shared" si="161"/>
        <v>0</v>
      </c>
      <c r="BE421" s="536"/>
      <c r="BF421" s="536"/>
      <c r="BG421" s="536"/>
      <c r="BH421" s="542">
        <f t="shared" si="162"/>
        <v>0</v>
      </c>
      <c r="BI421" s="536"/>
      <c r="BJ421" s="536"/>
      <c r="BK421" s="536"/>
      <c r="BL421" s="542">
        <f t="shared" si="163"/>
        <v>0</v>
      </c>
      <c r="BM421" s="536"/>
      <c r="BN421" s="536"/>
      <c r="BO421" s="536"/>
      <c r="BP421" s="542">
        <f t="shared" si="164"/>
        <v>0</v>
      </c>
      <c r="BQ421" s="536"/>
      <c r="BR421" s="536"/>
      <c r="BS421" s="536"/>
      <c r="BT421" s="542">
        <f t="shared" si="165"/>
        <v>0</v>
      </c>
      <c r="BU421" s="536"/>
      <c r="BV421" s="536"/>
      <c r="BW421" s="536"/>
      <c r="BX421" s="542">
        <f t="shared" si="166"/>
        <v>0</v>
      </c>
      <c r="BY421" s="536"/>
      <c r="BZ421" s="536"/>
      <c r="CA421" s="536"/>
      <c r="CB421" s="542">
        <v>0</v>
      </c>
      <c r="CC421" s="536"/>
      <c r="CD421" s="536"/>
      <c r="CE421" s="536"/>
      <c r="CF421" s="541">
        <f t="shared" si="167"/>
        <v>0</v>
      </c>
      <c r="CG421" s="536"/>
      <c r="CH421" s="536"/>
      <c r="CI421" s="536"/>
      <c r="CJ421" s="541">
        <f t="shared" si="168"/>
        <v>0</v>
      </c>
      <c r="CK421" s="536"/>
      <c r="CL421" s="536"/>
      <c r="CM421" s="536"/>
      <c r="CN421" s="541">
        <f t="shared" si="169"/>
        <v>0</v>
      </c>
      <c r="CO421" s="536"/>
      <c r="CP421" s="536"/>
      <c r="CQ421" s="536"/>
      <c r="CR421" s="541">
        <f t="shared" si="170"/>
        <v>0</v>
      </c>
      <c r="CS421" s="536"/>
      <c r="CT421" s="536"/>
      <c r="CU421" s="536"/>
      <c r="CV421" s="541">
        <f t="shared" si="171"/>
        <v>0</v>
      </c>
      <c r="CW421" s="536"/>
      <c r="CX421" s="536"/>
      <c r="CY421" s="536"/>
      <c r="CZ421" s="541">
        <f t="shared" si="172"/>
        <v>0</v>
      </c>
      <c r="DA421" s="536"/>
      <c r="DB421" s="536"/>
      <c r="DC421" s="536"/>
      <c r="DD421" s="541">
        <f t="shared" si="173"/>
        <v>0</v>
      </c>
      <c r="DE421" s="536"/>
      <c r="DF421" s="536"/>
      <c r="DG421" s="536"/>
      <c r="DH421" s="541">
        <f t="shared" si="174"/>
        <v>0</v>
      </c>
      <c r="DI421" s="536"/>
      <c r="DJ421" s="536"/>
      <c r="DK421" s="536"/>
      <c r="DL421" s="541">
        <f t="shared" si="175"/>
        <v>0</v>
      </c>
      <c r="DM421" s="536"/>
      <c r="DN421" s="536"/>
      <c r="DO421" s="536"/>
      <c r="DP421" s="541">
        <f>IF( SUM((DJ421*(20/100))+(DK421*(30/100))+(DL421*(50/100))) &gt;=9.3,9.5,
IF(AND( SUM((DJ421*(20/100))+(DK421*(30/100))+(DL421*(50/100))) &lt;=9.3, SUM((DJ421*(20/100))+(DK421*(30/100))+(DL421*(50/100))) &gt;=8.8),9,
IF(AND( SUM((DJ421*(20/100))+(DK421*(30/100))+(DL421*(50/100))) &lt;=8.8, SUM((DJ421*(20/100))+(DK421*(30/100))+(DL421*(50/100))) &gt;=8.3),8.5,
IF(AND( SUM((DJ421*(20/100))+(DK421*(30/100))+(DL421*(50/100))) &lt;=8.3, SUM((DJ421*(20/100))+(DK421*(30/100))+(DL421*(50/100))) &gt;=7.8),8,
IF(AND( SUM((DJ421*(20/100))+(DK421*(30/100))+(DL421*(50/100))) &lt;=7.8, SUM((DJ421*(20/100))+(DK421*(30/100))+(DL421*(50/100))) &gt;=7.3),7.5,
IF(AND( SUM((DJ421*(20/100))+(DK421*(30/100))+(DL421*(50/100))) &lt;=7.3, SUM((DJ421*(20/100))+(DK421*(30/100))+(DL421*(50/100))) &gt;=6.8),7,
IF(AND( SUM((DJ421*(20/100))+(DK421*(30/100))+(DL421*(50/100))) &lt;=6.8, SUM((DJ421*(20/100))+(DK421*(30/100))+(DL421*(50/100))) &gt;=6.3),6.5,
IF(AND( SUM((DJ421*(20/100))+(DK421*(30/100))+(DL421*(50/100))) &lt;=6.3, SUM((DJ421*(20/100))+(DK421*(30/100))+(DL421*(50/100))) &gt;=5.8),6,
IF(AND( SUM((DJ421*(20/100))+(DK421*(30/100))+(DL421*(50/100))) &lt;=5.8, SUM((DJ421*(20/100))+(DK421*(30/100))+(DL421*(50/100))) &gt;=5.3),5.5,
IF(AND( SUM((DJ421*(20/100))+(DK421*(30/100))+(DL421*(50/100))) &lt;=5.3, SUM((DJ421*(20/100))+(DK421*(30/100))+(DL421*(50/100))) &gt;=4.8),5,
IF(AND( SUM((DJ421*(20/100))+(DK421*(30/100))+(DL421*(50/100))) &lt;=4.8, SUM((DJ421*(20/100))+(DK421*(30/100))+(DL421*(50/100))) &gt;=4.3),4.5,
IF(AND( SUM((DJ421*(20/100))+(DK421*(30/100))+(DL421*(50/100))) &lt;=4.3, SUM((DJ421*(20/100))+(DK421*(30/100))+(DL421*(50/100))) &gt;=3.8),4,
IF(AND( SUM((DJ421*(20/100))+(DK421*(30/100))+(DL421*(50/100))) &lt;=3.8, SUM((DJ421*(20/100))+(DK421*(30/100))+(DL421*(50/100))) &gt;=3.5),3.5,0)))))))))))))</f>
        <v>0</v>
      </c>
      <c r="DQ421" s="541"/>
      <c r="DR421" s="541"/>
      <c r="DS421" s="541"/>
      <c r="DT421" s="541"/>
      <c r="DU421" s="541"/>
      <c r="DV421" s="541"/>
      <c r="DW421" s="541"/>
      <c r="DX421" s="541"/>
      <c r="DY421" s="541"/>
      <c r="DZ421" s="541"/>
    </row>
    <row r="422" spans="2:130" x14ac:dyDescent="0.25">
      <c r="B422" s="334">
        <v>15</v>
      </c>
      <c r="C422" s="541"/>
      <c r="D422" s="334"/>
      <c r="E422" s="334"/>
      <c r="F422" s="334"/>
      <c r="G422" s="334"/>
      <c r="H422" s="334"/>
      <c r="I422" s="334"/>
      <c r="J422" s="536"/>
      <c r="K422" s="536"/>
      <c r="L422" s="536"/>
      <c r="M422" s="536"/>
      <c r="N422" s="536"/>
      <c r="O422" s="536"/>
      <c r="P422" s="536">
        <f t="shared" si="151"/>
        <v>0</v>
      </c>
      <c r="Q422" s="536"/>
      <c r="R422" s="536"/>
      <c r="S422" s="536"/>
      <c r="T422" s="536">
        <f t="shared" si="152"/>
        <v>0</v>
      </c>
      <c r="U422" s="536"/>
      <c r="V422" s="536"/>
      <c r="W422" s="536"/>
      <c r="X422" s="536">
        <f t="shared" si="153"/>
        <v>0</v>
      </c>
      <c r="Y422" s="536"/>
      <c r="Z422" s="536"/>
      <c r="AA422" s="536"/>
      <c r="AB422" s="536">
        <f t="shared" si="154"/>
        <v>0</v>
      </c>
      <c r="AC422" s="536"/>
      <c r="AD422" s="536"/>
      <c r="AE422" s="536"/>
      <c r="AF422" s="536">
        <f t="shared" si="155"/>
        <v>0</v>
      </c>
      <c r="AG422" s="536"/>
      <c r="AH422" s="536"/>
      <c r="AI422" s="536"/>
      <c r="AJ422" s="536">
        <f t="shared" si="156"/>
        <v>0</v>
      </c>
      <c r="AK422" s="536"/>
      <c r="AL422" s="536"/>
      <c r="AM422" s="536"/>
      <c r="AN422" s="542">
        <f t="shared" si="157"/>
        <v>0</v>
      </c>
      <c r="AO422" s="536"/>
      <c r="AP422" s="536"/>
      <c r="AQ422" s="536"/>
      <c r="AR422" s="542">
        <f t="shared" si="158"/>
        <v>0</v>
      </c>
      <c r="AS422" s="536"/>
      <c r="AT422" s="536"/>
      <c r="AU422" s="536"/>
      <c r="AV422" s="542">
        <f t="shared" si="159"/>
        <v>0</v>
      </c>
      <c r="AW422" s="536"/>
      <c r="AX422" s="536"/>
      <c r="AY422" s="536"/>
      <c r="AZ422" s="542">
        <f t="shared" si="160"/>
        <v>0</v>
      </c>
      <c r="BA422" s="536"/>
      <c r="BB422" s="536"/>
      <c r="BC422" s="536"/>
      <c r="BD422" s="542">
        <f t="shared" si="161"/>
        <v>0</v>
      </c>
      <c r="BE422" s="536"/>
      <c r="BF422" s="536"/>
      <c r="BG422" s="536"/>
      <c r="BH422" s="542">
        <f t="shared" si="162"/>
        <v>0</v>
      </c>
      <c r="BI422" s="536"/>
      <c r="BJ422" s="536"/>
      <c r="BK422" s="536"/>
      <c r="BL422" s="542">
        <f t="shared" si="163"/>
        <v>0</v>
      </c>
      <c r="BM422" s="536"/>
      <c r="BN422" s="536"/>
      <c r="BO422" s="536"/>
      <c r="BP422" s="542">
        <f t="shared" si="164"/>
        <v>0</v>
      </c>
      <c r="BQ422" s="536"/>
      <c r="BR422" s="536"/>
      <c r="BS422" s="536"/>
      <c r="BT422" s="542">
        <f t="shared" si="165"/>
        <v>0</v>
      </c>
      <c r="BU422" s="536"/>
      <c r="BV422" s="536"/>
      <c r="BW422" s="536"/>
      <c r="BX422" s="542">
        <f t="shared" si="166"/>
        <v>0</v>
      </c>
      <c r="BY422" s="536"/>
      <c r="BZ422" s="536"/>
      <c r="CA422" s="536"/>
      <c r="CB422" s="542">
        <v>0</v>
      </c>
      <c r="CC422" s="536"/>
      <c r="CD422" s="536"/>
      <c r="CE422" s="536"/>
      <c r="CF422" s="541">
        <f t="shared" si="167"/>
        <v>0</v>
      </c>
      <c r="CG422" s="536"/>
      <c r="CH422" s="536"/>
      <c r="CI422" s="536"/>
      <c r="CJ422" s="541">
        <f t="shared" si="168"/>
        <v>0</v>
      </c>
      <c r="CK422" s="536"/>
      <c r="CL422" s="536"/>
      <c r="CM422" s="536"/>
      <c r="CN422" s="541">
        <f t="shared" si="169"/>
        <v>0</v>
      </c>
      <c r="CO422" s="536"/>
      <c r="CP422" s="536"/>
      <c r="CQ422" s="536"/>
      <c r="CR422" s="541">
        <f t="shared" si="170"/>
        <v>0</v>
      </c>
      <c r="CS422" s="536"/>
      <c r="CT422" s="536"/>
      <c r="CU422" s="536"/>
      <c r="CV422" s="541">
        <f t="shared" si="171"/>
        <v>0</v>
      </c>
      <c r="CW422" s="536"/>
      <c r="CX422" s="536"/>
      <c r="CY422" s="536"/>
      <c r="CZ422" s="541">
        <f t="shared" si="172"/>
        <v>0</v>
      </c>
      <c r="DA422" s="536"/>
      <c r="DB422" s="536"/>
      <c r="DC422" s="536"/>
      <c r="DD422" s="541">
        <f t="shared" si="173"/>
        <v>0</v>
      </c>
      <c r="DE422" s="536"/>
      <c r="DF422" s="536"/>
      <c r="DG422" s="536"/>
      <c r="DH422" s="541">
        <f t="shared" si="174"/>
        <v>0</v>
      </c>
      <c r="DI422" s="536"/>
      <c r="DJ422" s="536"/>
      <c r="DK422" s="536"/>
      <c r="DL422" s="541">
        <f t="shared" si="175"/>
        <v>0</v>
      </c>
      <c r="DM422" s="536"/>
      <c r="DN422" s="536"/>
      <c r="DO422" s="536"/>
      <c r="DP422" s="541">
        <f>IF( SUM((DJ422*(20/100))+(DK422*(30/100))+(DL422*(50/100))) &gt;=9.3,9.5,
IF(AND( SUM((DJ422*(20/100))+(DK422*(30/100))+(DL422*(50/100))) &lt;=9.3, SUM((DJ422*(20/100))+(DK422*(30/100))+(DL422*(50/100))) &gt;=8.8),9,
IF(AND( SUM((DJ422*(20/100))+(DK422*(30/100))+(DL422*(50/100))) &lt;=8.8, SUM((DJ422*(20/100))+(DK422*(30/100))+(DL422*(50/100))) &gt;=8.3),8.5,
IF(AND( SUM((DJ422*(20/100))+(DK422*(30/100))+(DL422*(50/100))) &lt;=8.3, SUM((DJ422*(20/100))+(DK422*(30/100))+(DL422*(50/100))) &gt;=7.8),8,
IF(AND( SUM((DJ422*(20/100))+(DK422*(30/100))+(DL422*(50/100))) &lt;=7.8, SUM((DJ422*(20/100))+(DK422*(30/100))+(DL422*(50/100))) &gt;=7.3),7.5,
IF(AND( SUM((DJ422*(20/100))+(DK422*(30/100))+(DL422*(50/100))) &lt;=7.3, SUM((DJ422*(20/100))+(DK422*(30/100))+(DL422*(50/100))) &gt;=6.8),7,
IF(AND( SUM((DJ422*(20/100))+(DK422*(30/100))+(DL422*(50/100))) &lt;=6.8, SUM((DJ422*(20/100))+(DK422*(30/100))+(DL422*(50/100))) &gt;=6.3),6.5,
IF(AND( SUM((DJ422*(20/100))+(DK422*(30/100))+(DL422*(50/100))) &lt;=6.3, SUM((DJ422*(20/100))+(DK422*(30/100))+(DL422*(50/100))) &gt;=5.8),6,
IF(AND( SUM((DJ422*(20/100))+(DK422*(30/100))+(DL422*(50/100))) &lt;=5.8, SUM((DJ422*(20/100))+(DK422*(30/100))+(DL422*(50/100))) &gt;=5.3),5.5,
IF(AND( SUM((DJ422*(20/100))+(DK422*(30/100))+(DL422*(50/100))) &lt;=5.3, SUM((DJ422*(20/100))+(DK422*(30/100))+(DL422*(50/100))) &gt;=4.8),5,
IF(AND( SUM((DJ422*(20/100))+(DK422*(30/100))+(DL422*(50/100))) &lt;=4.8, SUM((DJ422*(20/100))+(DK422*(30/100))+(DL422*(50/100))) &gt;=4.3),4.5,
IF(AND( SUM((DJ422*(20/100))+(DK422*(30/100))+(DL422*(50/100))) &lt;=4.3, SUM((DJ422*(20/100))+(DK422*(30/100))+(DL422*(50/100))) &gt;=3.8),4,
IF(AND( SUM((DJ422*(20/100))+(DK422*(30/100))+(DL422*(50/100))) &lt;=3.8, SUM((DJ422*(20/100))+(DK422*(30/100))+(DL422*(50/100))) &gt;=3.5),3.5,0)))))))))))))</f>
        <v>0</v>
      </c>
      <c r="DQ422" s="541"/>
      <c r="DR422" s="541"/>
      <c r="DS422" s="541"/>
      <c r="DT422" s="541"/>
      <c r="DU422" s="541"/>
      <c r="DV422" s="541"/>
      <c r="DW422" s="541"/>
      <c r="DX422" s="541"/>
      <c r="DY422" s="541"/>
      <c r="DZ422" s="541"/>
    </row>
    <row r="423" spans="2:130" x14ac:dyDescent="0.25">
      <c r="B423" s="334">
        <v>16</v>
      </c>
      <c r="C423" s="541"/>
      <c r="D423" s="334"/>
      <c r="E423" s="334"/>
      <c r="F423" s="334"/>
      <c r="G423" s="334"/>
      <c r="H423" s="334"/>
      <c r="I423" s="334"/>
      <c r="J423" s="536"/>
      <c r="K423" s="536"/>
      <c r="L423" s="536"/>
      <c r="M423" s="536"/>
      <c r="N423" s="536"/>
      <c r="O423" s="536"/>
      <c r="P423" s="536">
        <f t="shared" si="151"/>
        <v>0</v>
      </c>
      <c r="Q423" s="536"/>
      <c r="R423" s="536"/>
      <c r="S423" s="536"/>
      <c r="T423" s="536">
        <f t="shared" si="152"/>
        <v>0</v>
      </c>
      <c r="U423" s="536"/>
      <c r="V423" s="536"/>
      <c r="W423" s="536"/>
      <c r="X423" s="536">
        <f t="shared" si="153"/>
        <v>0</v>
      </c>
      <c r="Y423" s="536"/>
      <c r="Z423" s="536"/>
      <c r="AA423" s="536"/>
      <c r="AB423" s="536">
        <f t="shared" si="154"/>
        <v>0</v>
      </c>
      <c r="AC423" s="536"/>
      <c r="AD423" s="536"/>
      <c r="AE423" s="536"/>
      <c r="AF423" s="536">
        <f t="shared" si="155"/>
        <v>0</v>
      </c>
      <c r="AG423" s="536"/>
      <c r="AH423" s="536"/>
      <c r="AI423" s="536"/>
      <c r="AJ423" s="536">
        <f t="shared" si="156"/>
        <v>0</v>
      </c>
      <c r="AK423" s="536"/>
      <c r="AL423" s="536"/>
      <c r="AM423" s="536"/>
      <c r="AN423" s="542">
        <f t="shared" si="157"/>
        <v>0</v>
      </c>
      <c r="AO423" s="536"/>
      <c r="AP423" s="536"/>
      <c r="AQ423" s="536"/>
      <c r="AR423" s="542">
        <f t="shared" si="158"/>
        <v>0</v>
      </c>
      <c r="AS423" s="536"/>
      <c r="AT423" s="536"/>
      <c r="AU423" s="536"/>
      <c r="AV423" s="542">
        <f t="shared" si="159"/>
        <v>0</v>
      </c>
      <c r="AW423" s="536"/>
      <c r="AX423" s="536"/>
      <c r="AY423" s="536"/>
      <c r="AZ423" s="542">
        <f t="shared" si="160"/>
        <v>0</v>
      </c>
      <c r="BA423" s="536"/>
      <c r="BB423" s="536"/>
      <c r="BC423" s="536"/>
      <c r="BD423" s="542">
        <f t="shared" si="161"/>
        <v>0</v>
      </c>
      <c r="BE423" s="536"/>
      <c r="BF423" s="536"/>
      <c r="BG423" s="536"/>
      <c r="BH423" s="542">
        <f t="shared" si="162"/>
        <v>0</v>
      </c>
      <c r="BI423" s="536"/>
      <c r="BJ423" s="536"/>
      <c r="BK423" s="536"/>
      <c r="BL423" s="542">
        <f t="shared" si="163"/>
        <v>0</v>
      </c>
      <c r="BM423" s="536"/>
      <c r="BN423" s="536"/>
      <c r="BO423" s="536"/>
      <c r="BP423" s="542">
        <f t="shared" si="164"/>
        <v>0</v>
      </c>
      <c r="BQ423" s="536"/>
      <c r="BR423" s="536"/>
      <c r="BS423" s="536"/>
      <c r="BT423" s="542">
        <f t="shared" si="165"/>
        <v>0</v>
      </c>
      <c r="BU423" s="536"/>
      <c r="BV423" s="536"/>
      <c r="BW423" s="536"/>
      <c r="BX423" s="542">
        <f t="shared" si="166"/>
        <v>0</v>
      </c>
      <c r="BY423" s="536"/>
      <c r="BZ423" s="536"/>
      <c r="CA423" s="536"/>
      <c r="CB423" s="542">
        <v>0</v>
      </c>
      <c r="CC423" s="536"/>
      <c r="CD423" s="536"/>
      <c r="CE423" s="536"/>
      <c r="CF423" s="541">
        <f t="shared" si="167"/>
        <v>0</v>
      </c>
      <c r="CG423" s="536"/>
      <c r="CH423" s="536"/>
      <c r="CI423" s="536"/>
      <c r="CJ423" s="541">
        <f t="shared" si="168"/>
        <v>0</v>
      </c>
      <c r="CK423" s="536"/>
      <c r="CL423" s="536"/>
      <c r="CM423" s="536"/>
      <c r="CN423" s="541">
        <f t="shared" si="169"/>
        <v>0</v>
      </c>
      <c r="CO423" s="536"/>
      <c r="CP423" s="536"/>
      <c r="CQ423" s="536"/>
      <c r="CR423" s="541">
        <f t="shared" si="170"/>
        <v>0</v>
      </c>
      <c r="CS423" s="536"/>
      <c r="CT423" s="536"/>
      <c r="CU423" s="536"/>
      <c r="CV423" s="541">
        <f t="shared" si="171"/>
        <v>0</v>
      </c>
      <c r="CW423" s="536"/>
      <c r="CX423" s="536"/>
      <c r="CY423" s="536"/>
      <c r="CZ423" s="541">
        <f t="shared" si="172"/>
        <v>0</v>
      </c>
      <c r="DA423" s="536"/>
      <c r="DB423" s="536"/>
      <c r="DC423" s="536"/>
      <c r="DD423" s="541">
        <f t="shared" si="173"/>
        <v>0</v>
      </c>
      <c r="DE423" s="536"/>
      <c r="DF423" s="536"/>
      <c r="DG423" s="536"/>
      <c r="DH423" s="541">
        <f t="shared" si="174"/>
        <v>0</v>
      </c>
      <c r="DI423" s="536"/>
      <c r="DJ423" s="536"/>
      <c r="DK423" s="536"/>
      <c r="DL423" s="541">
        <f t="shared" si="175"/>
        <v>0</v>
      </c>
      <c r="DM423" s="536"/>
      <c r="DN423" s="536"/>
      <c r="DO423" s="536"/>
      <c r="DP423" s="541">
        <f>IF( SUM((DJ423*(20/100))+(DK423*(30/100))+(DL423*(50/100))) &gt;=9.3,9.5,
IF(AND( SUM((DJ423*(20/100))+(DK423*(30/100))+(DL423*(50/100))) &lt;=9.3, SUM((DJ423*(20/100))+(DK423*(30/100))+(DL423*(50/100))) &gt;=8.8),9,
IF(AND( SUM((DJ423*(20/100))+(DK423*(30/100))+(DL423*(50/100))) &lt;=8.8, SUM((DJ423*(20/100))+(DK423*(30/100))+(DL423*(50/100))) &gt;=8.3),8.5,
IF(AND( SUM((DJ423*(20/100))+(DK423*(30/100))+(DL423*(50/100))) &lt;=8.3, SUM((DJ423*(20/100))+(DK423*(30/100))+(DL423*(50/100))) &gt;=7.8),8,
IF(AND( SUM((DJ423*(20/100))+(DK423*(30/100))+(DL423*(50/100))) &lt;=7.8, SUM((DJ423*(20/100))+(DK423*(30/100))+(DL423*(50/100))) &gt;=7.3),7.5,
IF(AND( SUM((DJ423*(20/100))+(DK423*(30/100))+(DL423*(50/100))) &lt;=7.3, SUM((DJ423*(20/100))+(DK423*(30/100))+(DL423*(50/100))) &gt;=6.8),7,
IF(AND( SUM((DJ423*(20/100))+(DK423*(30/100))+(DL423*(50/100))) &lt;=6.8, SUM((DJ423*(20/100))+(DK423*(30/100))+(DL423*(50/100))) &gt;=6.3),6.5,
IF(AND( SUM((DJ423*(20/100))+(DK423*(30/100))+(DL423*(50/100))) &lt;=6.3, SUM((DJ423*(20/100))+(DK423*(30/100))+(DL423*(50/100))) &gt;=5.8),6,
IF(AND( SUM((DJ423*(20/100))+(DK423*(30/100))+(DL423*(50/100))) &lt;=5.8, SUM((DJ423*(20/100))+(DK423*(30/100))+(DL423*(50/100))) &gt;=5.3),5.5,
IF(AND( SUM((DJ423*(20/100))+(DK423*(30/100))+(DL423*(50/100))) &lt;=5.3, SUM((DJ423*(20/100))+(DK423*(30/100))+(DL423*(50/100))) &gt;=4.8),5,
IF(AND( SUM((DJ423*(20/100))+(DK423*(30/100))+(DL423*(50/100))) &lt;=4.8, SUM((DJ423*(20/100))+(DK423*(30/100))+(DL423*(50/100))) &gt;=4.3),4.5,
IF(AND( SUM((DJ423*(20/100))+(DK423*(30/100))+(DL423*(50/100))) &lt;=4.3, SUM((DJ423*(20/100))+(DK423*(30/100))+(DL423*(50/100))) &gt;=3.8),4,
IF(AND( SUM((DJ423*(20/100))+(DK423*(30/100))+(DL423*(50/100))) &lt;=3.8, SUM((DJ423*(20/100))+(DK423*(30/100))+(DL423*(50/100))) &gt;=3.5),3.5,0)))))))))))))</f>
        <v>0</v>
      </c>
      <c r="DQ423" s="541"/>
      <c r="DR423" s="541"/>
      <c r="DS423" s="541"/>
      <c r="DT423" s="541"/>
      <c r="DU423" s="541"/>
      <c r="DV423" s="541"/>
      <c r="DW423" s="541"/>
      <c r="DX423" s="541"/>
      <c r="DY423" s="541"/>
      <c r="DZ423" s="541"/>
    </row>
    <row r="424" spans="2:130" x14ac:dyDescent="0.25">
      <c r="B424" s="334">
        <v>17</v>
      </c>
      <c r="C424" s="541"/>
      <c r="D424" s="334"/>
      <c r="E424" s="334"/>
      <c r="F424" s="334"/>
      <c r="G424" s="334"/>
      <c r="H424" s="334"/>
      <c r="I424" s="334"/>
      <c r="J424" s="536"/>
      <c r="K424" s="536"/>
      <c r="L424" s="536"/>
      <c r="M424" s="536"/>
      <c r="N424" s="536"/>
      <c r="O424" s="536"/>
      <c r="P424" s="536">
        <f t="shared" si="151"/>
        <v>0</v>
      </c>
      <c r="Q424" s="536"/>
      <c r="R424" s="536"/>
      <c r="S424" s="536"/>
      <c r="T424" s="536">
        <f t="shared" si="152"/>
        <v>0</v>
      </c>
      <c r="U424" s="536"/>
      <c r="V424" s="536"/>
      <c r="W424" s="536"/>
      <c r="X424" s="536">
        <f t="shared" si="153"/>
        <v>0</v>
      </c>
      <c r="Y424" s="536"/>
      <c r="Z424" s="536"/>
      <c r="AA424" s="536"/>
      <c r="AB424" s="536">
        <f t="shared" si="154"/>
        <v>0</v>
      </c>
      <c r="AC424" s="536"/>
      <c r="AD424" s="536"/>
      <c r="AE424" s="536"/>
      <c r="AF424" s="536">
        <f t="shared" si="155"/>
        <v>0</v>
      </c>
      <c r="AG424" s="536"/>
      <c r="AH424" s="536"/>
      <c r="AI424" s="536"/>
      <c r="AJ424" s="536">
        <f t="shared" si="156"/>
        <v>0</v>
      </c>
      <c r="AK424" s="536"/>
      <c r="AL424" s="536"/>
      <c r="AM424" s="536"/>
      <c r="AN424" s="542">
        <f t="shared" si="157"/>
        <v>0</v>
      </c>
      <c r="AO424" s="536"/>
      <c r="AP424" s="536"/>
      <c r="AQ424" s="536"/>
      <c r="AR424" s="542">
        <f t="shared" si="158"/>
        <v>0</v>
      </c>
      <c r="AS424" s="536"/>
      <c r="AT424" s="536"/>
      <c r="AU424" s="536"/>
      <c r="AV424" s="542">
        <f t="shared" si="159"/>
        <v>0</v>
      </c>
      <c r="AW424" s="536"/>
      <c r="AX424" s="536"/>
      <c r="AY424" s="536"/>
      <c r="AZ424" s="542">
        <f t="shared" si="160"/>
        <v>0</v>
      </c>
      <c r="BA424" s="536"/>
      <c r="BB424" s="536"/>
      <c r="BC424" s="536"/>
      <c r="BD424" s="542">
        <f t="shared" si="161"/>
        <v>0</v>
      </c>
      <c r="BE424" s="536"/>
      <c r="BF424" s="536"/>
      <c r="BG424" s="536"/>
      <c r="BH424" s="542">
        <f t="shared" si="162"/>
        <v>0</v>
      </c>
      <c r="BI424" s="536"/>
      <c r="BJ424" s="536"/>
      <c r="BK424" s="536"/>
      <c r="BL424" s="542">
        <f t="shared" si="163"/>
        <v>0</v>
      </c>
      <c r="BM424" s="536"/>
      <c r="BN424" s="536"/>
      <c r="BO424" s="536"/>
      <c r="BP424" s="542">
        <f t="shared" si="164"/>
        <v>0</v>
      </c>
      <c r="BQ424" s="536"/>
      <c r="BR424" s="536"/>
      <c r="BS424" s="536"/>
      <c r="BT424" s="542">
        <f t="shared" si="165"/>
        <v>0</v>
      </c>
      <c r="BU424" s="536"/>
      <c r="BV424" s="536"/>
      <c r="BW424" s="536"/>
      <c r="BX424" s="542">
        <f t="shared" si="166"/>
        <v>0</v>
      </c>
      <c r="BY424" s="536"/>
      <c r="BZ424" s="536"/>
      <c r="CA424" s="536"/>
      <c r="CB424" s="542">
        <v>0</v>
      </c>
      <c r="CC424" s="536"/>
      <c r="CD424" s="536"/>
      <c r="CE424" s="536"/>
      <c r="CF424" s="541">
        <f t="shared" si="167"/>
        <v>0</v>
      </c>
      <c r="CG424" s="536"/>
      <c r="CH424" s="536"/>
      <c r="CI424" s="536"/>
      <c r="CJ424" s="541">
        <f t="shared" si="168"/>
        <v>0</v>
      </c>
      <c r="CK424" s="536"/>
      <c r="CL424" s="536"/>
      <c r="CM424" s="536"/>
      <c r="CN424" s="541">
        <f t="shared" si="169"/>
        <v>0</v>
      </c>
      <c r="CO424" s="536"/>
      <c r="CP424" s="536"/>
      <c r="CQ424" s="536"/>
      <c r="CR424" s="541">
        <f t="shared" si="170"/>
        <v>0</v>
      </c>
      <c r="CS424" s="536"/>
      <c r="CT424" s="536"/>
      <c r="CU424" s="536"/>
      <c r="CV424" s="541">
        <f t="shared" si="171"/>
        <v>0</v>
      </c>
      <c r="CW424" s="536"/>
      <c r="CX424" s="536"/>
      <c r="CY424" s="536"/>
      <c r="CZ424" s="541">
        <f t="shared" si="172"/>
        <v>0</v>
      </c>
      <c r="DA424" s="536"/>
      <c r="DB424" s="536"/>
      <c r="DC424" s="536"/>
      <c r="DD424" s="541">
        <f t="shared" si="173"/>
        <v>0</v>
      </c>
      <c r="DE424" s="536"/>
      <c r="DF424" s="536"/>
      <c r="DG424" s="536"/>
      <c r="DH424" s="541">
        <f t="shared" si="174"/>
        <v>0</v>
      </c>
      <c r="DI424" s="536"/>
      <c r="DJ424" s="536"/>
      <c r="DK424" s="536"/>
      <c r="DL424" s="541">
        <f t="shared" si="175"/>
        <v>0</v>
      </c>
      <c r="DM424" s="536"/>
      <c r="DN424" s="536"/>
      <c r="DO424" s="536"/>
      <c r="DP424" s="541">
        <f>IF( SUM((DJ424*(20/100))+(DK424*(30/100))+(DL424*(50/100))) &gt;=9.3,9.5,
IF(AND( SUM((DJ424*(20/100))+(DK424*(30/100))+(DL424*(50/100))) &lt;=9.3, SUM((DJ424*(20/100))+(DK424*(30/100))+(DL424*(50/100))) &gt;=8.8),9,
IF(AND( SUM((DJ424*(20/100))+(DK424*(30/100))+(DL424*(50/100))) &lt;=8.8, SUM((DJ424*(20/100))+(DK424*(30/100))+(DL424*(50/100))) &gt;=8.3),8.5,
IF(AND( SUM((DJ424*(20/100))+(DK424*(30/100))+(DL424*(50/100))) &lt;=8.3, SUM((DJ424*(20/100))+(DK424*(30/100))+(DL424*(50/100))) &gt;=7.8),8,
IF(AND( SUM((DJ424*(20/100))+(DK424*(30/100))+(DL424*(50/100))) &lt;=7.8, SUM((DJ424*(20/100))+(DK424*(30/100))+(DL424*(50/100))) &gt;=7.3),7.5,
IF(AND( SUM((DJ424*(20/100))+(DK424*(30/100))+(DL424*(50/100))) &lt;=7.3, SUM((DJ424*(20/100))+(DK424*(30/100))+(DL424*(50/100))) &gt;=6.8),7,
IF(AND( SUM((DJ424*(20/100))+(DK424*(30/100))+(DL424*(50/100))) &lt;=6.8, SUM((DJ424*(20/100))+(DK424*(30/100))+(DL424*(50/100))) &gt;=6.3),6.5,
IF(AND( SUM((DJ424*(20/100))+(DK424*(30/100))+(DL424*(50/100))) &lt;=6.3, SUM((DJ424*(20/100))+(DK424*(30/100))+(DL424*(50/100))) &gt;=5.8),6,
IF(AND( SUM((DJ424*(20/100))+(DK424*(30/100))+(DL424*(50/100))) &lt;=5.8, SUM((DJ424*(20/100))+(DK424*(30/100))+(DL424*(50/100))) &gt;=5.3),5.5,
IF(AND( SUM((DJ424*(20/100))+(DK424*(30/100))+(DL424*(50/100))) &lt;=5.3, SUM((DJ424*(20/100))+(DK424*(30/100))+(DL424*(50/100))) &gt;=4.8),5,
IF(AND( SUM((DJ424*(20/100))+(DK424*(30/100))+(DL424*(50/100))) &lt;=4.8, SUM((DJ424*(20/100))+(DK424*(30/100))+(DL424*(50/100))) &gt;=4.3),4.5,
IF(AND( SUM((DJ424*(20/100))+(DK424*(30/100))+(DL424*(50/100))) &lt;=4.3, SUM((DJ424*(20/100))+(DK424*(30/100))+(DL424*(50/100))) &gt;=3.8),4,
IF(AND( SUM((DJ424*(20/100))+(DK424*(30/100))+(DL424*(50/100))) &lt;=3.8, SUM((DJ424*(20/100))+(DK424*(30/100))+(DL424*(50/100))) &gt;=3.5),3.5,0)))))))))))))</f>
        <v>0</v>
      </c>
      <c r="DQ424" s="541"/>
      <c r="DR424" s="541"/>
      <c r="DS424" s="541"/>
      <c r="DT424" s="541"/>
      <c r="DU424" s="541"/>
      <c r="DV424" s="541"/>
      <c r="DW424" s="541"/>
      <c r="DX424" s="541"/>
      <c r="DY424" s="541"/>
      <c r="DZ424" s="541"/>
    </row>
    <row r="425" spans="2:130" x14ac:dyDescent="0.25">
      <c r="B425" s="334">
        <v>18</v>
      </c>
      <c r="C425" s="541"/>
      <c r="D425" s="334"/>
      <c r="E425" s="334"/>
      <c r="F425" s="334"/>
      <c r="G425" s="334"/>
      <c r="H425" s="334"/>
      <c r="I425" s="334"/>
      <c r="J425" s="536"/>
      <c r="K425" s="536"/>
      <c r="L425" s="536"/>
      <c r="M425" s="536"/>
      <c r="N425" s="536"/>
      <c r="O425" s="536"/>
      <c r="P425" s="536">
        <f t="shared" si="151"/>
        <v>0</v>
      </c>
      <c r="Q425" s="536"/>
      <c r="R425" s="536"/>
      <c r="S425" s="536"/>
      <c r="T425" s="536">
        <f t="shared" si="152"/>
        <v>0</v>
      </c>
      <c r="U425" s="536"/>
      <c r="V425" s="536"/>
      <c r="W425" s="536"/>
      <c r="X425" s="536">
        <f t="shared" si="153"/>
        <v>0</v>
      </c>
      <c r="Y425" s="536"/>
      <c r="Z425" s="536"/>
      <c r="AA425" s="536"/>
      <c r="AB425" s="536">
        <f t="shared" si="154"/>
        <v>0</v>
      </c>
      <c r="AC425" s="536"/>
      <c r="AD425" s="536"/>
      <c r="AE425" s="536"/>
      <c r="AF425" s="536">
        <f t="shared" si="155"/>
        <v>0</v>
      </c>
      <c r="AG425" s="536"/>
      <c r="AH425" s="536"/>
      <c r="AI425" s="536"/>
      <c r="AJ425" s="536">
        <f t="shared" si="156"/>
        <v>0</v>
      </c>
      <c r="AK425" s="536"/>
      <c r="AL425" s="536"/>
      <c r="AM425" s="536"/>
      <c r="AN425" s="542">
        <f t="shared" si="157"/>
        <v>0</v>
      </c>
      <c r="AO425" s="536"/>
      <c r="AP425" s="536"/>
      <c r="AQ425" s="536"/>
      <c r="AR425" s="542">
        <f t="shared" si="158"/>
        <v>0</v>
      </c>
      <c r="AS425" s="536"/>
      <c r="AT425" s="536"/>
      <c r="AU425" s="536"/>
      <c r="AV425" s="542">
        <f t="shared" si="159"/>
        <v>0</v>
      </c>
      <c r="AW425" s="536"/>
      <c r="AX425" s="536"/>
      <c r="AY425" s="536"/>
      <c r="AZ425" s="542">
        <f t="shared" si="160"/>
        <v>0</v>
      </c>
      <c r="BA425" s="536"/>
      <c r="BB425" s="536"/>
      <c r="BC425" s="536"/>
      <c r="BD425" s="542">
        <f t="shared" si="161"/>
        <v>0</v>
      </c>
      <c r="BE425" s="536"/>
      <c r="BF425" s="536"/>
      <c r="BG425" s="536"/>
      <c r="BH425" s="542">
        <f t="shared" si="162"/>
        <v>0</v>
      </c>
      <c r="BI425" s="536"/>
      <c r="BJ425" s="536"/>
      <c r="BK425" s="536"/>
      <c r="BL425" s="542">
        <f t="shared" si="163"/>
        <v>0</v>
      </c>
      <c r="BM425" s="536"/>
      <c r="BN425" s="536"/>
      <c r="BO425" s="536"/>
      <c r="BP425" s="542">
        <f t="shared" si="164"/>
        <v>0</v>
      </c>
      <c r="BQ425" s="536"/>
      <c r="BR425" s="536"/>
      <c r="BS425" s="536"/>
      <c r="BT425" s="542">
        <f t="shared" si="165"/>
        <v>0</v>
      </c>
      <c r="BU425" s="536"/>
      <c r="BV425" s="536"/>
      <c r="BW425" s="536"/>
      <c r="BX425" s="542">
        <f t="shared" si="166"/>
        <v>0</v>
      </c>
      <c r="BY425" s="536"/>
      <c r="BZ425" s="536"/>
      <c r="CA425" s="536"/>
      <c r="CB425" s="542">
        <v>0</v>
      </c>
      <c r="CC425" s="536"/>
      <c r="CD425" s="536"/>
      <c r="CE425" s="536"/>
      <c r="CF425" s="541">
        <f t="shared" si="167"/>
        <v>0</v>
      </c>
      <c r="CG425" s="536"/>
      <c r="CH425" s="536"/>
      <c r="CI425" s="536"/>
      <c r="CJ425" s="541">
        <f t="shared" si="168"/>
        <v>0</v>
      </c>
      <c r="CK425" s="536"/>
      <c r="CL425" s="536"/>
      <c r="CM425" s="536"/>
      <c r="CN425" s="541">
        <f t="shared" si="169"/>
        <v>0</v>
      </c>
      <c r="CO425" s="536"/>
      <c r="CP425" s="536"/>
      <c r="CQ425" s="536"/>
      <c r="CR425" s="541">
        <f t="shared" si="170"/>
        <v>0</v>
      </c>
      <c r="CS425" s="536"/>
      <c r="CT425" s="536"/>
      <c r="CU425" s="536"/>
      <c r="CV425" s="541">
        <f t="shared" si="171"/>
        <v>0</v>
      </c>
      <c r="CW425" s="536"/>
      <c r="CX425" s="536"/>
      <c r="CY425" s="536"/>
      <c r="CZ425" s="541">
        <f t="shared" si="172"/>
        <v>0</v>
      </c>
      <c r="DA425" s="536"/>
      <c r="DB425" s="536"/>
      <c r="DC425" s="536"/>
      <c r="DD425" s="541">
        <f t="shared" si="173"/>
        <v>0</v>
      </c>
      <c r="DE425" s="536"/>
      <c r="DF425" s="536"/>
      <c r="DG425" s="536"/>
      <c r="DH425" s="541">
        <f t="shared" si="174"/>
        <v>0</v>
      </c>
      <c r="DI425" s="536"/>
      <c r="DJ425" s="536"/>
      <c r="DK425" s="536"/>
      <c r="DL425" s="541">
        <f t="shared" si="175"/>
        <v>0</v>
      </c>
      <c r="DM425" s="536"/>
      <c r="DN425" s="536"/>
      <c r="DO425" s="536"/>
      <c r="DP425" s="541">
        <f>IF( SUM((DJ425*(20/100))+(DK425*(30/100))+(DL425*(50/100))) &gt;=9.3,9.5,
IF(AND( SUM((DJ425*(20/100))+(DK425*(30/100))+(DL425*(50/100))) &lt;=9.3, SUM((DJ425*(20/100))+(DK425*(30/100))+(DL425*(50/100))) &gt;=8.8),9,
IF(AND( SUM((DJ425*(20/100))+(DK425*(30/100))+(DL425*(50/100))) &lt;=8.8, SUM((DJ425*(20/100))+(DK425*(30/100))+(DL425*(50/100))) &gt;=8.3),8.5,
IF(AND( SUM((DJ425*(20/100))+(DK425*(30/100))+(DL425*(50/100))) &lt;=8.3, SUM((DJ425*(20/100))+(DK425*(30/100))+(DL425*(50/100))) &gt;=7.8),8,
IF(AND( SUM((DJ425*(20/100))+(DK425*(30/100))+(DL425*(50/100))) &lt;=7.8, SUM((DJ425*(20/100))+(DK425*(30/100))+(DL425*(50/100))) &gt;=7.3),7.5,
IF(AND( SUM((DJ425*(20/100))+(DK425*(30/100))+(DL425*(50/100))) &lt;=7.3, SUM((DJ425*(20/100))+(DK425*(30/100))+(DL425*(50/100))) &gt;=6.8),7,
IF(AND( SUM((DJ425*(20/100))+(DK425*(30/100))+(DL425*(50/100))) &lt;=6.8, SUM((DJ425*(20/100))+(DK425*(30/100))+(DL425*(50/100))) &gt;=6.3),6.5,
IF(AND( SUM((DJ425*(20/100))+(DK425*(30/100))+(DL425*(50/100))) &lt;=6.3, SUM((DJ425*(20/100))+(DK425*(30/100))+(DL425*(50/100))) &gt;=5.8),6,
IF(AND( SUM((DJ425*(20/100))+(DK425*(30/100))+(DL425*(50/100))) &lt;=5.8, SUM((DJ425*(20/100))+(DK425*(30/100))+(DL425*(50/100))) &gt;=5.3),5.5,
IF(AND( SUM((DJ425*(20/100))+(DK425*(30/100))+(DL425*(50/100))) &lt;=5.3, SUM((DJ425*(20/100))+(DK425*(30/100))+(DL425*(50/100))) &gt;=4.8),5,
IF(AND( SUM((DJ425*(20/100))+(DK425*(30/100))+(DL425*(50/100))) &lt;=4.8, SUM((DJ425*(20/100))+(DK425*(30/100))+(DL425*(50/100))) &gt;=4.3),4.5,
IF(AND( SUM((DJ425*(20/100))+(DK425*(30/100))+(DL425*(50/100))) &lt;=4.3, SUM((DJ425*(20/100))+(DK425*(30/100))+(DL425*(50/100))) &gt;=3.8),4,
IF(AND( SUM((DJ425*(20/100))+(DK425*(30/100))+(DL425*(50/100))) &lt;=3.8, SUM((DJ425*(20/100))+(DK425*(30/100))+(DL425*(50/100))) &gt;=3.5),3.5,0)))))))))))))</f>
        <v>0</v>
      </c>
      <c r="DQ425" s="541"/>
      <c r="DR425" s="541"/>
      <c r="DS425" s="541"/>
      <c r="DT425" s="541"/>
      <c r="DU425" s="541"/>
      <c r="DV425" s="541"/>
      <c r="DW425" s="541"/>
      <c r="DX425" s="541"/>
      <c r="DY425" s="541"/>
      <c r="DZ425" s="541"/>
    </row>
    <row r="426" spans="2:130" x14ac:dyDescent="0.25">
      <c r="B426" s="334">
        <v>19</v>
      </c>
      <c r="C426" s="541"/>
      <c r="D426" s="334"/>
      <c r="E426" s="334"/>
      <c r="F426" s="334"/>
      <c r="G426" s="334"/>
      <c r="H426" s="334"/>
      <c r="I426" s="334"/>
      <c r="J426" s="536"/>
      <c r="K426" s="536"/>
      <c r="L426" s="536"/>
      <c r="M426" s="536"/>
      <c r="N426" s="536"/>
      <c r="O426" s="536"/>
      <c r="P426" s="536">
        <f t="shared" si="151"/>
        <v>0</v>
      </c>
      <c r="Q426" s="536"/>
      <c r="R426" s="536"/>
      <c r="S426" s="536"/>
      <c r="T426" s="536">
        <f t="shared" si="152"/>
        <v>0</v>
      </c>
      <c r="U426" s="536"/>
      <c r="V426" s="536"/>
      <c r="W426" s="536"/>
      <c r="X426" s="536">
        <f t="shared" si="153"/>
        <v>0</v>
      </c>
      <c r="Y426" s="536"/>
      <c r="Z426" s="536"/>
      <c r="AA426" s="536"/>
      <c r="AB426" s="536">
        <f t="shared" si="154"/>
        <v>0</v>
      </c>
      <c r="AC426" s="536"/>
      <c r="AD426" s="536"/>
      <c r="AE426" s="536"/>
      <c r="AF426" s="536">
        <f t="shared" si="155"/>
        <v>0</v>
      </c>
      <c r="AG426" s="536"/>
      <c r="AH426" s="536"/>
      <c r="AI426" s="536"/>
      <c r="AJ426" s="536">
        <f t="shared" si="156"/>
        <v>0</v>
      </c>
      <c r="AK426" s="536"/>
      <c r="AL426" s="536"/>
      <c r="AM426" s="536"/>
      <c r="AN426" s="542">
        <f t="shared" si="157"/>
        <v>0</v>
      </c>
      <c r="AO426" s="536"/>
      <c r="AP426" s="536"/>
      <c r="AQ426" s="536"/>
      <c r="AR426" s="542">
        <f t="shared" si="158"/>
        <v>0</v>
      </c>
      <c r="AS426" s="536"/>
      <c r="AT426" s="536"/>
      <c r="AU426" s="536"/>
      <c r="AV426" s="542">
        <f t="shared" si="159"/>
        <v>0</v>
      </c>
      <c r="AW426" s="536"/>
      <c r="AX426" s="536"/>
      <c r="AY426" s="536"/>
      <c r="AZ426" s="542">
        <f t="shared" si="160"/>
        <v>0</v>
      </c>
      <c r="BA426" s="536"/>
      <c r="BB426" s="536"/>
      <c r="BC426" s="536"/>
      <c r="BD426" s="542">
        <f t="shared" si="161"/>
        <v>0</v>
      </c>
      <c r="BE426" s="536"/>
      <c r="BF426" s="536"/>
      <c r="BG426" s="536"/>
      <c r="BH426" s="542">
        <f t="shared" si="162"/>
        <v>0</v>
      </c>
      <c r="BI426" s="536"/>
      <c r="BJ426" s="536"/>
      <c r="BK426" s="536"/>
      <c r="BL426" s="542">
        <f t="shared" si="163"/>
        <v>0</v>
      </c>
      <c r="BM426" s="536"/>
      <c r="BN426" s="536"/>
      <c r="BO426" s="536"/>
      <c r="BP426" s="542">
        <f t="shared" si="164"/>
        <v>0</v>
      </c>
      <c r="BQ426" s="536"/>
      <c r="BR426" s="536"/>
      <c r="BS426" s="536"/>
      <c r="BT426" s="542">
        <f t="shared" si="165"/>
        <v>0</v>
      </c>
      <c r="BU426" s="536"/>
      <c r="BV426" s="536"/>
      <c r="BW426" s="536"/>
      <c r="BX426" s="542">
        <f t="shared" si="166"/>
        <v>0</v>
      </c>
      <c r="BY426" s="536"/>
      <c r="BZ426" s="536"/>
      <c r="CA426" s="536"/>
      <c r="CB426" s="542">
        <v>0</v>
      </c>
      <c r="CC426" s="536"/>
      <c r="CD426" s="536"/>
      <c r="CE426" s="536"/>
      <c r="CF426" s="541">
        <f t="shared" si="167"/>
        <v>0</v>
      </c>
      <c r="CG426" s="536"/>
      <c r="CH426" s="536"/>
      <c r="CI426" s="536"/>
      <c r="CJ426" s="541">
        <f t="shared" si="168"/>
        <v>0</v>
      </c>
      <c r="CK426" s="536"/>
      <c r="CL426" s="536"/>
      <c r="CM426" s="536"/>
      <c r="CN426" s="541">
        <f t="shared" si="169"/>
        <v>0</v>
      </c>
      <c r="CO426" s="536"/>
      <c r="CP426" s="536"/>
      <c r="CQ426" s="536"/>
      <c r="CR426" s="541">
        <f t="shared" si="170"/>
        <v>0</v>
      </c>
      <c r="CS426" s="536"/>
      <c r="CT426" s="536"/>
      <c r="CU426" s="536"/>
      <c r="CV426" s="541">
        <f t="shared" si="171"/>
        <v>0</v>
      </c>
      <c r="CW426" s="536"/>
      <c r="CX426" s="536"/>
      <c r="CY426" s="536"/>
      <c r="CZ426" s="541">
        <f t="shared" si="172"/>
        <v>0</v>
      </c>
      <c r="DA426" s="536"/>
      <c r="DB426" s="536"/>
      <c r="DC426" s="536"/>
      <c r="DD426" s="541">
        <f t="shared" si="173"/>
        <v>0</v>
      </c>
      <c r="DE426" s="536"/>
      <c r="DF426" s="536"/>
      <c r="DG426" s="536"/>
      <c r="DH426" s="541">
        <f t="shared" si="174"/>
        <v>0</v>
      </c>
      <c r="DI426" s="536"/>
      <c r="DJ426" s="536"/>
      <c r="DK426" s="536"/>
      <c r="DL426" s="541">
        <f t="shared" si="175"/>
        <v>0</v>
      </c>
      <c r="DM426" s="536"/>
      <c r="DN426" s="536"/>
      <c r="DO426" s="536"/>
      <c r="DP426" s="541">
        <f>IF( SUM((DJ426*(20/100))+(DK426*(30/100))+(DL426*(50/100))) &gt;=9.3,9.5,
IF(AND( SUM((DJ426*(20/100))+(DK426*(30/100))+(DL426*(50/100))) &lt;=9.3, SUM((DJ426*(20/100))+(DK426*(30/100))+(DL426*(50/100))) &gt;=8.8),9,
IF(AND( SUM((DJ426*(20/100))+(DK426*(30/100))+(DL426*(50/100))) &lt;=8.8, SUM((DJ426*(20/100))+(DK426*(30/100))+(DL426*(50/100))) &gt;=8.3),8.5,
IF(AND( SUM((DJ426*(20/100))+(DK426*(30/100))+(DL426*(50/100))) &lt;=8.3, SUM((DJ426*(20/100))+(DK426*(30/100))+(DL426*(50/100))) &gt;=7.8),8,
IF(AND( SUM((DJ426*(20/100))+(DK426*(30/100))+(DL426*(50/100))) &lt;=7.8, SUM((DJ426*(20/100))+(DK426*(30/100))+(DL426*(50/100))) &gt;=7.3),7.5,
IF(AND( SUM((DJ426*(20/100))+(DK426*(30/100))+(DL426*(50/100))) &lt;=7.3, SUM((DJ426*(20/100))+(DK426*(30/100))+(DL426*(50/100))) &gt;=6.8),7,
IF(AND( SUM((DJ426*(20/100))+(DK426*(30/100))+(DL426*(50/100))) &lt;=6.8, SUM((DJ426*(20/100))+(DK426*(30/100))+(DL426*(50/100))) &gt;=6.3),6.5,
IF(AND( SUM((DJ426*(20/100))+(DK426*(30/100))+(DL426*(50/100))) &lt;=6.3, SUM((DJ426*(20/100))+(DK426*(30/100))+(DL426*(50/100))) &gt;=5.8),6,
IF(AND( SUM((DJ426*(20/100))+(DK426*(30/100))+(DL426*(50/100))) &lt;=5.8, SUM((DJ426*(20/100))+(DK426*(30/100))+(DL426*(50/100))) &gt;=5.3),5.5,
IF(AND( SUM((DJ426*(20/100))+(DK426*(30/100))+(DL426*(50/100))) &lt;=5.3, SUM((DJ426*(20/100))+(DK426*(30/100))+(DL426*(50/100))) &gt;=4.8),5,
IF(AND( SUM((DJ426*(20/100))+(DK426*(30/100))+(DL426*(50/100))) &lt;=4.8, SUM((DJ426*(20/100))+(DK426*(30/100))+(DL426*(50/100))) &gt;=4.3),4.5,
IF(AND( SUM((DJ426*(20/100))+(DK426*(30/100))+(DL426*(50/100))) &lt;=4.3, SUM((DJ426*(20/100))+(DK426*(30/100))+(DL426*(50/100))) &gt;=3.8),4,
IF(AND( SUM((DJ426*(20/100))+(DK426*(30/100))+(DL426*(50/100))) &lt;=3.8, SUM((DJ426*(20/100))+(DK426*(30/100))+(DL426*(50/100))) &gt;=3.5),3.5,0)))))))))))))</f>
        <v>0</v>
      </c>
      <c r="DQ426" s="541"/>
      <c r="DR426" s="541"/>
      <c r="DS426" s="541"/>
      <c r="DT426" s="541"/>
      <c r="DU426" s="541"/>
      <c r="DV426" s="541"/>
      <c r="DW426" s="541"/>
      <c r="DX426" s="541"/>
      <c r="DY426" s="541"/>
      <c r="DZ426" s="541"/>
    </row>
    <row r="427" spans="2:130" x14ac:dyDescent="0.25">
      <c r="B427" s="334">
        <v>20</v>
      </c>
      <c r="C427" s="541"/>
      <c r="D427" s="334"/>
      <c r="E427" s="334"/>
      <c r="F427" s="334"/>
      <c r="G427" s="334"/>
      <c r="H427" s="334"/>
      <c r="I427" s="334"/>
      <c r="J427" s="536"/>
      <c r="K427" s="536"/>
      <c r="L427" s="536"/>
      <c r="M427" s="536"/>
      <c r="N427" s="536"/>
      <c r="O427" s="536"/>
      <c r="P427" s="536">
        <f t="shared" si="151"/>
        <v>0</v>
      </c>
      <c r="Q427" s="536"/>
      <c r="R427" s="536"/>
      <c r="S427" s="536"/>
      <c r="T427" s="536">
        <f t="shared" si="152"/>
        <v>0</v>
      </c>
      <c r="U427" s="536"/>
      <c r="V427" s="536"/>
      <c r="W427" s="536"/>
      <c r="X427" s="536">
        <f t="shared" si="153"/>
        <v>0</v>
      </c>
      <c r="Y427" s="536"/>
      <c r="Z427" s="536"/>
      <c r="AA427" s="536"/>
      <c r="AB427" s="536">
        <f t="shared" si="154"/>
        <v>0</v>
      </c>
      <c r="AC427" s="536"/>
      <c r="AD427" s="536"/>
      <c r="AE427" s="536"/>
      <c r="AF427" s="536">
        <f t="shared" si="155"/>
        <v>0</v>
      </c>
      <c r="AG427" s="536"/>
      <c r="AH427" s="536"/>
      <c r="AI427" s="536"/>
      <c r="AJ427" s="536">
        <f t="shared" si="156"/>
        <v>0</v>
      </c>
      <c r="AK427" s="536"/>
      <c r="AL427" s="536"/>
      <c r="AM427" s="536"/>
      <c r="AN427" s="542">
        <f t="shared" si="157"/>
        <v>0</v>
      </c>
      <c r="AO427" s="536"/>
      <c r="AP427" s="536"/>
      <c r="AQ427" s="536"/>
      <c r="AR427" s="542">
        <f t="shared" si="158"/>
        <v>0</v>
      </c>
      <c r="AS427" s="536"/>
      <c r="AT427" s="536"/>
      <c r="AU427" s="536"/>
      <c r="AV427" s="542">
        <f t="shared" si="159"/>
        <v>0</v>
      </c>
      <c r="AW427" s="536"/>
      <c r="AX427" s="536"/>
      <c r="AY427" s="536"/>
      <c r="AZ427" s="542">
        <f t="shared" si="160"/>
        <v>0</v>
      </c>
      <c r="BA427" s="536"/>
      <c r="BB427" s="536"/>
      <c r="BC427" s="536"/>
      <c r="BD427" s="542">
        <f t="shared" si="161"/>
        <v>0</v>
      </c>
      <c r="BE427" s="536"/>
      <c r="BF427" s="536"/>
      <c r="BG427" s="536"/>
      <c r="BH427" s="542">
        <f t="shared" si="162"/>
        <v>0</v>
      </c>
      <c r="BI427" s="536"/>
      <c r="BJ427" s="536"/>
      <c r="BK427" s="536"/>
      <c r="BL427" s="542">
        <f t="shared" si="163"/>
        <v>0</v>
      </c>
      <c r="BM427" s="536"/>
      <c r="BN427" s="536"/>
      <c r="BO427" s="536"/>
      <c r="BP427" s="542">
        <f t="shared" si="164"/>
        <v>0</v>
      </c>
      <c r="BQ427" s="536"/>
      <c r="BR427" s="536"/>
      <c r="BS427" s="536"/>
      <c r="BT427" s="542">
        <f t="shared" si="165"/>
        <v>0</v>
      </c>
      <c r="BU427" s="536"/>
      <c r="BV427" s="536"/>
      <c r="BW427" s="536"/>
      <c r="BX427" s="542">
        <f t="shared" si="166"/>
        <v>0</v>
      </c>
      <c r="BY427" s="536"/>
      <c r="BZ427" s="536"/>
      <c r="CA427" s="536"/>
      <c r="CB427" s="542">
        <v>0</v>
      </c>
      <c r="CC427" s="536"/>
      <c r="CD427" s="536"/>
      <c r="CE427" s="536"/>
      <c r="CF427" s="541">
        <f t="shared" si="167"/>
        <v>0</v>
      </c>
      <c r="CG427" s="536"/>
      <c r="CH427" s="536"/>
      <c r="CI427" s="536"/>
      <c r="CJ427" s="541">
        <f t="shared" si="168"/>
        <v>0</v>
      </c>
      <c r="CK427" s="536"/>
      <c r="CL427" s="536"/>
      <c r="CM427" s="536"/>
      <c r="CN427" s="541">
        <f t="shared" si="169"/>
        <v>0</v>
      </c>
      <c r="CO427" s="536"/>
      <c r="CP427" s="536"/>
      <c r="CQ427" s="536"/>
      <c r="CR427" s="541">
        <f t="shared" si="170"/>
        <v>0</v>
      </c>
      <c r="CS427" s="536"/>
      <c r="CT427" s="536"/>
      <c r="CU427" s="536"/>
      <c r="CV427" s="541">
        <f t="shared" si="171"/>
        <v>0</v>
      </c>
      <c r="CW427" s="536"/>
      <c r="CX427" s="536"/>
      <c r="CY427" s="536"/>
      <c r="CZ427" s="541">
        <f t="shared" si="172"/>
        <v>0</v>
      </c>
      <c r="DA427" s="536"/>
      <c r="DB427" s="536"/>
      <c r="DC427" s="536"/>
      <c r="DD427" s="541">
        <f t="shared" si="173"/>
        <v>0</v>
      </c>
      <c r="DE427" s="536"/>
      <c r="DF427" s="536"/>
      <c r="DG427" s="536"/>
      <c r="DH427" s="541">
        <f t="shared" si="174"/>
        <v>0</v>
      </c>
      <c r="DI427" s="536"/>
      <c r="DJ427" s="536"/>
      <c r="DK427" s="536"/>
      <c r="DL427" s="541">
        <f t="shared" si="175"/>
        <v>0</v>
      </c>
      <c r="DM427" s="536"/>
      <c r="DN427" s="536"/>
      <c r="DO427" s="536"/>
      <c r="DP427" s="541">
        <f>IF( SUM((DJ427*(20/100))+(DK427*(30/100))+(DL427*(50/100))) &gt;=9.3,9.5,
IF(AND( SUM((DJ427*(20/100))+(DK427*(30/100))+(DL427*(50/100))) &lt;=9.3, SUM((DJ427*(20/100))+(DK427*(30/100))+(DL427*(50/100))) &gt;=8.8),9,
IF(AND( SUM((DJ427*(20/100))+(DK427*(30/100))+(DL427*(50/100))) &lt;=8.8, SUM((DJ427*(20/100))+(DK427*(30/100))+(DL427*(50/100))) &gt;=8.3),8.5,
IF(AND( SUM((DJ427*(20/100))+(DK427*(30/100))+(DL427*(50/100))) &lt;=8.3, SUM((DJ427*(20/100))+(DK427*(30/100))+(DL427*(50/100))) &gt;=7.8),8,
IF(AND( SUM((DJ427*(20/100))+(DK427*(30/100))+(DL427*(50/100))) &lt;=7.8, SUM((DJ427*(20/100))+(DK427*(30/100))+(DL427*(50/100))) &gt;=7.3),7.5,
IF(AND( SUM((DJ427*(20/100))+(DK427*(30/100))+(DL427*(50/100))) &lt;=7.3, SUM((DJ427*(20/100))+(DK427*(30/100))+(DL427*(50/100))) &gt;=6.8),7,
IF(AND( SUM((DJ427*(20/100))+(DK427*(30/100))+(DL427*(50/100))) &lt;=6.8, SUM((DJ427*(20/100))+(DK427*(30/100))+(DL427*(50/100))) &gt;=6.3),6.5,
IF(AND( SUM((DJ427*(20/100))+(DK427*(30/100))+(DL427*(50/100))) &lt;=6.3, SUM((DJ427*(20/100))+(DK427*(30/100))+(DL427*(50/100))) &gt;=5.8),6,
IF(AND( SUM((DJ427*(20/100))+(DK427*(30/100))+(DL427*(50/100))) &lt;=5.8, SUM((DJ427*(20/100))+(DK427*(30/100))+(DL427*(50/100))) &gt;=5.3),5.5,
IF(AND( SUM((DJ427*(20/100))+(DK427*(30/100))+(DL427*(50/100))) &lt;=5.3, SUM((DJ427*(20/100))+(DK427*(30/100))+(DL427*(50/100))) &gt;=4.8),5,
IF(AND( SUM((DJ427*(20/100))+(DK427*(30/100))+(DL427*(50/100))) &lt;=4.8, SUM((DJ427*(20/100))+(DK427*(30/100))+(DL427*(50/100))) &gt;=4.3),4.5,
IF(AND( SUM((DJ427*(20/100))+(DK427*(30/100))+(DL427*(50/100))) &lt;=4.3, SUM((DJ427*(20/100))+(DK427*(30/100))+(DL427*(50/100))) &gt;=3.8),4,
IF(AND( SUM((DJ427*(20/100))+(DK427*(30/100))+(DL427*(50/100))) &lt;=3.8, SUM((DJ427*(20/100))+(DK427*(30/100))+(DL427*(50/100))) &gt;=3.5),3.5,0)))))))))))))</f>
        <v>0</v>
      </c>
      <c r="DQ427" s="541"/>
      <c r="DR427" s="541"/>
      <c r="DS427" s="541"/>
      <c r="DT427" s="541"/>
      <c r="DU427" s="541"/>
      <c r="DV427" s="541"/>
      <c r="DW427" s="541"/>
      <c r="DX427" s="541"/>
      <c r="DY427" s="541"/>
      <c r="DZ427" s="541"/>
    </row>
    <row r="428" spans="2:130" x14ac:dyDescent="0.25">
      <c r="B428" s="334">
        <v>21</v>
      </c>
      <c r="C428" s="541"/>
      <c r="D428" s="334"/>
      <c r="E428" s="334"/>
      <c r="F428" s="334"/>
      <c r="G428" s="334"/>
      <c r="H428" s="334"/>
      <c r="I428" s="334"/>
      <c r="J428" s="536"/>
      <c r="K428" s="536"/>
      <c r="L428" s="536"/>
      <c r="M428" s="536"/>
      <c r="N428" s="536"/>
      <c r="O428" s="536"/>
      <c r="P428" s="536">
        <f t="shared" si="151"/>
        <v>0</v>
      </c>
      <c r="Q428" s="536"/>
      <c r="R428" s="536"/>
      <c r="S428" s="536"/>
      <c r="T428" s="536">
        <f t="shared" si="152"/>
        <v>0</v>
      </c>
      <c r="U428" s="536"/>
      <c r="V428" s="536"/>
      <c r="W428" s="536"/>
      <c r="X428" s="536">
        <f t="shared" si="153"/>
        <v>0</v>
      </c>
      <c r="Y428" s="536"/>
      <c r="Z428" s="536"/>
      <c r="AA428" s="536"/>
      <c r="AB428" s="536">
        <f t="shared" si="154"/>
        <v>0</v>
      </c>
      <c r="AC428" s="536"/>
      <c r="AD428" s="536"/>
      <c r="AE428" s="536"/>
      <c r="AF428" s="536">
        <f t="shared" si="155"/>
        <v>0</v>
      </c>
      <c r="AG428" s="536"/>
      <c r="AH428" s="536"/>
      <c r="AI428" s="536"/>
      <c r="AJ428" s="536">
        <f t="shared" si="156"/>
        <v>0</v>
      </c>
      <c r="AK428" s="536"/>
      <c r="AL428" s="536"/>
      <c r="AM428" s="536"/>
      <c r="AN428" s="542">
        <f t="shared" si="157"/>
        <v>0</v>
      </c>
      <c r="AO428" s="536"/>
      <c r="AP428" s="536"/>
      <c r="AQ428" s="536"/>
      <c r="AR428" s="542">
        <f t="shared" si="158"/>
        <v>0</v>
      </c>
      <c r="AS428" s="536"/>
      <c r="AT428" s="536"/>
      <c r="AU428" s="536"/>
      <c r="AV428" s="542">
        <f t="shared" si="159"/>
        <v>0</v>
      </c>
      <c r="AW428" s="536"/>
      <c r="AX428" s="536"/>
      <c r="AY428" s="536"/>
      <c r="AZ428" s="542">
        <f t="shared" si="160"/>
        <v>0</v>
      </c>
      <c r="BA428" s="536"/>
      <c r="BB428" s="536"/>
      <c r="BC428" s="536"/>
      <c r="BD428" s="542">
        <f t="shared" si="161"/>
        <v>0</v>
      </c>
      <c r="BE428" s="536"/>
      <c r="BF428" s="536"/>
      <c r="BG428" s="536"/>
      <c r="BH428" s="542">
        <f t="shared" si="162"/>
        <v>0</v>
      </c>
      <c r="BI428" s="536"/>
      <c r="BJ428" s="536"/>
      <c r="BK428" s="536"/>
      <c r="BL428" s="542">
        <f t="shared" si="163"/>
        <v>0</v>
      </c>
      <c r="BM428" s="536"/>
      <c r="BN428" s="536"/>
      <c r="BO428" s="536"/>
      <c r="BP428" s="542">
        <f t="shared" si="164"/>
        <v>0</v>
      </c>
      <c r="BQ428" s="536"/>
      <c r="BR428" s="536"/>
      <c r="BS428" s="536"/>
      <c r="BT428" s="542">
        <f t="shared" si="165"/>
        <v>0</v>
      </c>
      <c r="BU428" s="536"/>
      <c r="BV428" s="536"/>
      <c r="BW428" s="536"/>
      <c r="BX428" s="542">
        <f t="shared" si="166"/>
        <v>0</v>
      </c>
      <c r="BY428" s="536"/>
      <c r="BZ428" s="536"/>
      <c r="CA428" s="536"/>
      <c r="CB428" s="542">
        <v>0</v>
      </c>
      <c r="CC428" s="536"/>
      <c r="CD428" s="536"/>
      <c r="CE428" s="536"/>
      <c r="CF428" s="541">
        <f t="shared" si="167"/>
        <v>0</v>
      </c>
      <c r="CG428" s="536"/>
      <c r="CH428" s="536"/>
      <c r="CI428" s="536"/>
      <c r="CJ428" s="541">
        <f t="shared" si="168"/>
        <v>0</v>
      </c>
      <c r="CK428" s="536"/>
      <c r="CL428" s="536"/>
      <c r="CM428" s="536"/>
      <c r="CN428" s="541">
        <f t="shared" si="169"/>
        <v>0</v>
      </c>
      <c r="CO428" s="536"/>
      <c r="CP428" s="536"/>
      <c r="CQ428" s="536"/>
      <c r="CR428" s="541">
        <f t="shared" si="170"/>
        <v>0</v>
      </c>
      <c r="CS428" s="536"/>
      <c r="CT428" s="536"/>
      <c r="CU428" s="536"/>
      <c r="CV428" s="541">
        <f t="shared" si="171"/>
        <v>0</v>
      </c>
      <c r="CW428" s="536"/>
      <c r="CX428" s="536"/>
      <c r="CY428" s="536"/>
      <c r="CZ428" s="541">
        <f t="shared" si="172"/>
        <v>0</v>
      </c>
      <c r="DA428" s="536"/>
      <c r="DB428" s="536"/>
      <c r="DC428" s="536"/>
      <c r="DD428" s="541">
        <f t="shared" si="173"/>
        <v>0</v>
      </c>
      <c r="DE428" s="536"/>
      <c r="DF428" s="536"/>
      <c r="DG428" s="536"/>
      <c r="DH428" s="541">
        <f t="shared" si="174"/>
        <v>0</v>
      </c>
      <c r="DI428" s="536"/>
      <c r="DJ428" s="536"/>
      <c r="DK428" s="536"/>
      <c r="DL428" s="541">
        <f t="shared" si="175"/>
        <v>0</v>
      </c>
      <c r="DM428" s="536"/>
      <c r="DN428" s="536"/>
      <c r="DO428" s="536"/>
      <c r="DP428" s="541">
        <f>IF( SUM((DJ428*(20/100))+(DK428*(30/100))+(DL428*(50/100))) &gt;=9.3,9.5,
IF(AND( SUM((DJ428*(20/100))+(DK428*(30/100))+(DL428*(50/100))) &lt;=9.3, SUM((DJ428*(20/100))+(DK428*(30/100))+(DL428*(50/100))) &gt;=8.8),9,
IF(AND( SUM((DJ428*(20/100))+(DK428*(30/100))+(DL428*(50/100))) &lt;=8.8, SUM((DJ428*(20/100))+(DK428*(30/100))+(DL428*(50/100))) &gt;=8.3),8.5,
IF(AND( SUM((DJ428*(20/100))+(DK428*(30/100))+(DL428*(50/100))) &lt;=8.3, SUM((DJ428*(20/100))+(DK428*(30/100))+(DL428*(50/100))) &gt;=7.8),8,
IF(AND( SUM((DJ428*(20/100))+(DK428*(30/100))+(DL428*(50/100))) &lt;=7.8, SUM((DJ428*(20/100))+(DK428*(30/100))+(DL428*(50/100))) &gt;=7.3),7.5,
IF(AND( SUM((DJ428*(20/100))+(DK428*(30/100))+(DL428*(50/100))) &lt;=7.3, SUM((DJ428*(20/100))+(DK428*(30/100))+(DL428*(50/100))) &gt;=6.8),7,
IF(AND( SUM((DJ428*(20/100))+(DK428*(30/100))+(DL428*(50/100))) &lt;=6.8, SUM((DJ428*(20/100))+(DK428*(30/100))+(DL428*(50/100))) &gt;=6.3),6.5,
IF(AND( SUM((DJ428*(20/100))+(DK428*(30/100))+(DL428*(50/100))) &lt;=6.3, SUM((DJ428*(20/100))+(DK428*(30/100))+(DL428*(50/100))) &gt;=5.8),6,
IF(AND( SUM((DJ428*(20/100))+(DK428*(30/100))+(DL428*(50/100))) &lt;=5.8, SUM((DJ428*(20/100))+(DK428*(30/100))+(DL428*(50/100))) &gt;=5.3),5.5,
IF(AND( SUM((DJ428*(20/100))+(DK428*(30/100))+(DL428*(50/100))) &lt;=5.3, SUM((DJ428*(20/100))+(DK428*(30/100))+(DL428*(50/100))) &gt;=4.8),5,
IF(AND( SUM((DJ428*(20/100))+(DK428*(30/100))+(DL428*(50/100))) &lt;=4.8, SUM((DJ428*(20/100))+(DK428*(30/100))+(DL428*(50/100))) &gt;=4.3),4.5,
IF(AND( SUM((DJ428*(20/100))+(DK428*(30/100))+(DL428*(50/100))) &lt;=4.3, SUM((DJ428*(20/100))+(DK428*(30/100))+(DL428*(50/100))) &gt;=3.8),4,
IF(AND( SUM((DJ428*(20/100))+(DK428*(30/100))+(DL428*(50/100))) &lt;=3.8, SUM((DJ428*(20/100))+(DK428*(30/100))+(DL428*(50/100))) &gt;=3.5),3.5,0)))))))))))))</f>
        <v>0</v>
      </c>
      <c r="DQ428" s="541"/>
      <c r="DR428" s="541"/>
      <c r="DS428" s="541"/>
      <c r="DT428" s="541"/>
      <c r="DU428" s="541"/>
      <c r="DV428" s="541"/>
      <c r="DW428" s="541"/>
      <c r="DX428" s="541"/>
      <c r="DY428" s="541"/>
      <c r="DZ428" s="541"/>
    </row>
    <row r="429" spans="2:130" x14ac:dyDescent="0.25">
      <c r="B429" s="334">
        <v>22</v>
      </c>
      <c r="C429" s="541"/>
      <c r="D429" s="334"/>
      <c r="E429" s="334"/>
      <c r="F429" s="334"/>
      <c r="G429" s="334"/>
      <c r="H429" s="334"/>
      <c r="I429" s="334"/>
      <c r="J429" s="536"/>
      <c r="K429" s="536"/>
      <c r="L429" s="536"/>
      <c r="M429" s="536"/>
      <c r="N429" s="536"/>
      <c r="O429" s="536"/>
      <c r="P429" s="536">
        <f t="shared" si="151"/>
        <v>0</v>
      </c>
      <c r="Q429" s="536"/>
      <c r="R429" s="536"/>
      <c r="S429" s="536"/>
      <c r="T429" s="536">
        <f t="shared" si="152"/>
        <v>0</v>
      </c>
      <c r="U429" s="536"/>
      <c r="V429" s="536"/>
      <c r="W429" s="536"/>
      <c r="X429" s="536">
        <f t="shared" si="153"/>
        <v>0</v>
      </c>
      <c r="Y429" s="536"/>
      <c r="Z429" s="536"/>
      <c r="AA429" s="536"/>
      <c r="AB429" s="536">
        <f t="shared" si="154"/>
        <v>0</v>
      </c>
      <c r="AC429" s="536"/>
      <c r="AD429" s="536"/>
      <c r="AE429" s="536"/>
      <c r="AF429" s="536">
        <f t="shared" si="155"/>
        <v>0</v>
      </c>
      <c r="AG429" s="536"/>
      <c r="AH429" s="536"/>
      <c r="AI429" s="536"/>
      <c r="AJ429" s="536">
        <f t="shared" si="156"/>
        <v>0</v>
      </c>
      <c r="AK429" s="536"/>
      <c r="AL429" s="536"/>
      <c r="AM429" s="536"/>
      <c r="AN429" s="542">
        <f t="shared" si="157"/>
        <v>0</v>
      </c>
      <c r="AO429" s="536"/>
      <c r="AP429" s="536"/>
      <c r="AQ429" s="536"/>
      <c r="AR429" s="542">
        <f t="shared" si="158"/>
        <v>0</v>
      </c>
      <c r="AS429" s="536"/>
      <c r="AT429" s="536"/>
      <c r="AU429" s="536"/>
      <c r="AV429" s="542">
        <f t="shared" si="159"/>
        <v>0</v>
      </c>
      <c r="AW429" s="536"/>
      <c r="AX429" s="536"/>
      <c r="AY429" s="536"/>
      <c r="AZ429" s="542">
        <f t="shared" si="160"/>
        <v>0</v>
      </c>
      <c r="BA429" s="536"/>
      <c r="BB429" s="536"/>
      <c r="BC429" s="536"/>
      <c r="BD429" s="542">
        <f t="shared" si="161"/>
        <v>0</v>
      </c>
      <c r="BE429" s="536"/>
      <c r="BF429" s="536"/>
      <c r="BG429" s="536"/>
      <c r="BH429" s="542">
        <f t="shared" si="162"/>
        <v>0</v>
      </c>
      <c r="BI429" s="536"/>
      <c r="BJ429" s="536"/>
      <c r="BK429" s="536"/>
      <c r="BL429" s="542">
        <f t="shared" si="163"/>
        <v>0</v>
      </c>
      <c r="BM429" s="536"/>
      <c r="BN429" s="536"/>
      <c r="BO429" s="536"/>
      <c r="BP429" s="542">
        <f t="shared" si="164"/>
        <v>0</v>
      </c>
      <c r="BQ429" s="536"/>
      <c r="BR429" s="536"/>
      <c r="BS429" s="536"/>
      <c r="BT429" s="542">
        <f t="shared" si="165"/>
        <v>0</v>
      </c>
      <c r="BU429" s="536"/>
      <c r="BV429" s="536"/>
      <c r="BW429" s="536"/>
      <c r="BX429" s="542">
        <f t="shared" si="166"/>
        <v>0</v>
      </c>
      <c r="BY429" s="536"/>
      <c r="BZ429" s="536"/>
      <c r="CA429" s="536"/>
      <c r="CB429" s="542">
        <v>0</v>
      </c>
      <c r="CC429" s="536"/>
      <c r="CD429" s="536"/>
      <c r="CE429" s="536"/>
      <c r="CF429" s="541">
        <f t="shared" si="167"/>
        <v>0</v>
      </c>
      <c r="CG429" s="536"/>
      <c r="CH429" s="536"/>
      <c r="CI429" s="536"/>
      <c r="CJ429" s="541">
        <f t="shared" si="168"/>
        <v>0</v>
      </c>
      <c r="CK429" s="536"/>
      <c r="CL429" s="536"/>
      <c r="CM429" s="536"/>
      <c r="CN429" s="541">
        <f t="shared" si="169"/>
        <v>0</v>
      </c>
      <c r="CO429" s="536"/>
      <c r="CP429" s="536"/>
      <c r="CQ429" s="536"/>
      <c r="CR429" s="541">
        <f t="shared" si="170"/>
        <v>0</v>
      </c>
      <c r="CS429" s="536"/>
      <c r="CT429" s="536"/>
      <c r="CU429" s="536"/>
      <c r="CV429" s="541">
        <f t="shared" si="171"/>
        <v>0</v>
      </c>
      <c r="CW429" s="536"/>
      <c r="CX429" s="536"/>
      <c r="CY429" s="536"/>
      <c r="CZ429" s="541">
        <f t="shared" si="172"/>
        <v>0</v>
      </c>
      <c r="DA429" s="536"/>
      <c r="DB429" s="536"/>
      <c r="DC429" s="536"/>
      <c r="DD429" s="541">
        <f t="shared" si="173"/>
        <v>0</v>
      </c>
      <c r="DE429" s="536"/>
      <c r="DF429" s="536"/>
      <c r="DG429" s="536"/>
      <c r="DH429" s="541">
        <f t="shared" si="174"/>
        <v>0</v>
      </c>
      <c r="DI429" s="536"/>
      <c r="DJ429" s="536"/>
      <c r="DK429" s="536"/>
      <c r="DL429" s="541">
        <f t="shared" si="175"/>
        <v>0</v>
      </c>
      <c r="DM429" s="536"/>
      <c r="DN429" s="536"/>
      <c r="DO429" s="536"/>
      <c r="DP429" s="541">
        <f>IF( SUM((DJ429*(20/100))+(DK429*(30/100))+(DL429*(50/100))) &gt;=9.3,9.5,
IF(AND( SUM((DJ429*(20/100))+(DK429*(30/100))+(DL429*(50/100))) &lt;=9.3, SUM((DJ429*(20/100))+(DK429*(30/100))+(DL429*(50/100))) &gt;=8.8),9,
IF(AND( SUM((DJ429*(20/100))+(DK429*(30/100))+(DL429*(50/100))) &lt;=8.8, SUM((DJ429*(20/100))+(DK429*(30/100))+(DL429*(50/100))) &gt;=8.3),8.5,
IF(AND( SUM((DJ429*(20/100))+(DK429*(30/100))+(DL429*(50/100))) &lt;=8.3, SUM((DJ429*(20/100))+(DK429*(30/100))+(DL429*(50/100))) &gt;=7.8),8,
IF(AND( SUM((DJ429*(20/100))+(DK429*(30/100))+(DL429*(50/100))) &lt;=7.8, SUM((DJ429*(20/100))+(DK429*(30/100))+(DL429*(50/100))) &gt;=7.3),7.5,
IF(AND( SUM((DJ429*(20/100))+(DK429*(30/100))+(DL429*(50/100))) &lt;=7.3, SUM((DJ429*(20/100))+(DK429*(30/100))+(DL429*(50/100))) &gt;=6.8),7,
IF(AND( SUM((DJ429*(20/100))+(DK429*(30/100))+(DL429*(50/100))) &lt;=6.8, SUM((DJ429*(20/100))+(DK429*(30/100))+(DL429*(50/100))) &gt;=6.3),6.5,
IF(AND( SUM((DJ429*(20/100))+(DK429*(30/100))+(DL429*(50/100))) &lt;=6.3, SUM((DJ429*(20/100))+(DK429*(30/100))+(DL429*(50/100))) &gt;=5.8),6,
IF(AND( SUM((DJ429*(20/100))+(DK429*(30/100))+(DL429*(50/100))) &lt;=5.8, SUM((DJ429*(20/100))+(DK429*(30/100))+(DL429*(50/100))) &gt;=5.3),5.5,
IF(AND( SUM((DJ429*(20/100))+(DK429*(30/100))+(DL429*(50/100))) &lt;=5.3, SUM((DJ429*(20/100))+(DK429*(30/100))+(DL429*(50/100))) &gt;=4.8),5,
IF(AND( SUM((DJ429*(20/100))+(DK429*(30/100))+(DL429*(50/100))) &lt;=4.8, SUM((DJ429*(20/100))+(DK429*(30/100))+(DL429*(50/100))) &gt;=4.3),4.5,
IF(AND( SUM((DJ429*(20/100))+(DK429*(30/100))+(DL429*(50/100))) &lt;=4.3, SUM((DJ429*(20/100))+(DK429*(30/100))+(DL429*(50/100))) &gt;=3.8),4,
IF(AND( SUM((DJ429*(20/100))+(DK429*(30/100))+(DL429*(50/100))) &lt;=3.8, SUM((DJ429*(20/100))+(DK429*(30/100))+(DL429*(50/100))) &gt;=3.5),3.5,0)))))))))))))</f>
        <v>0</v>
      </c>
      <c r="DQ429" s="541"/>
      <c r="DR429" s="541"/>
      <c r="DS429" s="541"/>
      <c r="DT429" s="541"/>
      <c r="DU429" s="541"/>
      <c r="DV429" s="541"/>
      <c r="DW429" s="541"/>
      <c r="DX429" s="541"/>
      <c r="DY429" s="541"/>
      <c r="DZ429" s="541"/>
    </row>
    <row r="430" spans="2:130" x14ac:dyDescent="0.25">
      <c r="B430" s="334">
        <v>23</v>
      </c>
      <c r="C430" s="541"/>
      <c r="D430" s="334"/>
      <c r="E430" s="334"/>
      <c r="F430" s="334"/>
      <c r="G430" s="334"/>
      <c r="H430" s="334"/>
      <c r="I430" s="334"/>
      <c r="J430" s="536"/>
      <c r="K430" s="536"/>
      <c r="L430" s="536"/>
      <c r="M430" s="536"/>
      <c r="N430" s="536"/>
      <c r="O430" s="536"/>
      <c r="P430" s="536">
        <f t="shared" si="151"/>
        <v>0</v>
      </c>
      <c r="Q430" s="536"/>
      <c r="R430" s="536"/>
      <c r="S430" s="536"/>
      <c r="T430" s="536">
        <f t="shared" si="152"/>
        <v>0</v>
      </c>
      <c r="U430" s="536"/>
      <c r="V430" s="536"/>
      <c r="W430" s="536"/>
      <c r="X430" s="536">
        <f t="shared" si="153"/>
        <v>0</v>
      </c>
      <c r="Y430" s="536"/>
      <c r="Z430" s="536"/>
      <c r="AA430" s="536"/>
      <c r="AB430" s="536">
        <f t="shared" si="154"/>
        <v>0</v>
      </c>
      <c r="AC430" s="536"/>
      <c r="AD430" s="536"/>
      <c r="AE430" s="536"/>
      <c r="AF430" s="536">
        <f t="shared" si="155"/>
        <v>0</v>
      </c>
      <c r="AG430" s="536"/>
      <c r="AH430" s="536"/>
      <c r="AI430" s="536"/>
      <c r="AJ430" s="536">
        <f t="shared" si="156"/>
        <v>0</v>
      </c>
      <c r="AK430" s="536"/>
      <c r="AL430" s="536"/>
      <c r="AM430" s="536"/>
      <c r="AN430" s="542">
        <f t="shared" si="157"/>
        <v>0</v>
      </c>
      <c r="AO430" s="536"/>
      <c r="AP430" s="536"/>
      <c r="AQ430" s="536"/>
      <c r="AR430" s="542">
        <f t="shared" si="158"/>
        <v>0</v>
      </c>
      <c r="AS430" s="536"/>
      <c r="AT430" s="536"/>
      <c r="AU430" s="536"/>
      <c r="AV430" s="542">
        <f t="shared" si="159"/>
        <v>0</v>
      </c>
      <c r="AW430" s="536"/>
      <c r="AX430" s="536"/>
      <c r="AY430" s="536"/>
      <c r="AZ430" s="542">
        <f t="shared" si="160"/>
        <v>0</v>
      </c>
      <c r="BA430" s="536"/>
      <c r="BB430" s="536"/>
      <c r="BC430" s="536"/>
      <c r="BD430" s="542">
        <f t="shared" si="161"/>
        <v>0</v>
      </c>
      <c r="BE430" s="536"/>
      <c r="BF430" s="536"/>
      <c r="BG430" s="536"/>
      <c r="BH430" s="542">
        <f t="shared" si="162"/>
        <v>0</v>
      </c>
      <c r="BI430" s="536"/>
      <c r="BJ430" s="536"/>
      <c r="BK430" s="536"/>
      <c r="BL430" s="542">
        <f t="shared" si="163"/>
        <v>0</v>
      </c>
      <c r="BM430" s="536"/>
      <c r="BN430" s="536"/>
      <c r="BO430" s="536"/>
      <c r="BP430" s="542">
        <f t="shared" si="164"/>
        <v>0</v>
      </c>
      <c r="BQ430" s="536"/>
      <c r="BR430" s="536"/>
      <c r="BS430" s="536"/>
      <c r="BT430" s="542">
        <f t="shared" si="165"/>
        <v>0</v>
      </c>
      <c r="BU430" s="536"/>
      <c r="BV430" s="536"/>
      <c r="BW430" s="536"/>
      <c r="BX430" s="542">
        <f t="shared" si="166"/>
        <v>0</v>
      </c>
      <c r="BY430" s="536"/>
      <c r="BZ430" s="536"/>
      <c r="CA430" s="536"/>
      <c r="CB430" s="542">
        <v>0</v>
      </c>
      <c r="CC430" s="536"/>
      <c r="CD430" s="536"/>
      <c r="CE430" s="536"/>
      <c r="CF430" s="541">
        <f t="shared" si="167"/>
        <v>0</v>
      </c>
      <c r="CG430" s="536"/>
      <c r="CH430" s="536"/>
      <c r="CI430" s="536"/>
      <c r="CJ430" s="541">
        <f t="shared" si="168"/>
        <v>0</v>
      </c>
      <c r="CK430" s="536"/>
      <c r="CL430" s="536"/>
      <c r="CM430" s="536"/>
      <c r="CN430" s="541">
        <f t="shared" si="169"/>
        <v>0</v>
      </c>
      <c r="CO430" s="536"/>
      <c r="CP430" s="536"/>
      <c r="CQ430" s="536"/>
      <c r="CR430" s="541">
        <f t="shared" si="170"/>
        <v>0</v>
      </c>
      <c r="CS430" s="536"/>
      <c r="CT430" s="536"/>
      <c r="CU430" s="536"/>
      <c r="CV430" s="541">
        <f t="shared" si="171"/>
        <v>0</v>
      </c>
      <c r="CW430" s="536"/>
      <c r="CX430" s="536"/>
      <c r="CY430" s="536"/>
      <c r="CZ430" s="541">
        <f t="shared" si="172"/>
        <v>0</v>
      </c>
      <c r="DA430" s="536"/>
      <c r="DB430" s="536"/>
      <c r="DC430" s="536"/>
      <c r="DD430" s="541">
        <f t="shared" si="173"/>
        <v>0</v>
      </c>
      <c r="DE430" s="536"/>
      <c r="DF430" s="536"/>
      <c r="DG430" s="536"/>
      <c r="DH430" s="541">
        <f t="shared" si="174"/>
        <v>0</v>
      </c>
      <c r="DI430" s="536"/>
      <c r="DJ430" s="536"/>
      <c r="DK430" s="536"/>
      <c r="DL430" s="541">
        <f t="shared" si="175"/>
        <v>0</v>
      </c>
      <c r="DM430" s="536"/>
      <c r="DN430" s="536"/>
      <c r="DO430" s="536"/>
      <c r="DP430" s="541">
        <f>IF( SUM((DJ430*(20/100))+(DK430*(30/100))+(DL430*(50/100))) &gt;=9.3,9.5,
IF(AND( SUM((DJ430*(20/100))+(DK430*(30/100))+(DL430*(50/100))) &lt;=9.3, SUM((DJ430*(20/100))+(DK430*(30/100))+(DL430*(50/100))) &gt;=8.8),9,
IF(AND( SUM((DJ430*(20/100))+(DK430*(30/100))+(DL430*(50/100))) &lt;=8.8, SUM((DJ430*(20/100))+(DK430*(30/100))+(DL430*(50/100))) &gt;=8.3),8.5,
IF(AND( SUM((DJ430*(20/100))+(DK430*(30/100))+(DL430*(50/100))) &lt;=8.3, SUM((DJ430*(20/100))+(DK430*(30/100))+(DL430*(50/100))) &gt;=7.8),8,
IF(AND( SUM((DJ430*(20/100))+(DK430*(30/100))+(DL430*(50/100))) &lt;=7.8, SUM((DJ430*(20/100))+(DK430*(30/100))+(DL430*(50/100))) &gt;=7.3),7.5,
IF(AND( SUM((DJ430*(20/100))+(DK430*(30/100))+(DL430*(50/100))) &lt;=7.3, SUM((DJ430*(20/100))+(DK430*(30/100))+(DL430*(50/100))) &gt;=6.8),7,
IF(AND( SUM((DJ430*(20/100))+(DK430*(30/100))+(DL430*(50/100))) &lt;=6.8, SUM((DJ430*(20/100))+(DK430*(30/100))+(DL430*(50/100))) &gt;=6.3),6.5,
IF(AND( SUM((DJ430*(20/100))+(DK430*(30/100))+(DL430*(50/100))) &lt;=6.3, SUM((DJ430*(20/100))+(DK430*(30/100))+(DL430*(50/100))) &gt;=5.8),6,
IF(AND( SUM((DJ430*(20/100))+(DK430*(30/100))+(DL430*(50/100))) &lt;=5.8, SUM((DJ430*(20/100))+(DK430*(30/100))+(DL430*(50/100))) &gt;=5.3),5.5,
IF(AND( SUM((DJ430*(20/100))+(DK430*(30/100))+(DL430*(50/100))) &lt;=5.3, SUM((DJ430*(20/100))+(DK430*(30/100))+(DL430*(50/100))) &gt;=4.8),5,
IF(AND( SUM((DJ430*(20/100))+(DK430*(30/100))+(DL430*(50/100))) &lt;=4.8, SUM((DJ430*(20/100))+(DK430*(30/100))+(DL430*(50/100))) &gt;=4.3),4.5,
IF(AND( SUM((DJ430*(20/100))+(DK430*(30/100))+(DL430*(50/100))) &lt;=4.3, SUM((DJ430*(20/100))+(DK430*(30/100))+(DL430*(50/100))) &gt;=3.8),4,
IF(AND( SUM((DJ430*(20/100))+(DK430*(30/100))+(DL430*(50/100))) &lt;=3.8, SUM((DJ430*(20/100))+(DK430*(30/100))+(DL430*(50/100))) &gt;=3.5),3.5,0)))))))))))))</f>
        <v>0</v>
      </c>
      <c r="DQ430" s="541"/>
      <c r="DR430" s="541"/>
      <c r="DS430" s="541"/>
      <c r="DT430" s="541"/>
      <c r="DU430" s="541"/>
      <c r="DV430" s="541"/>
      <c r="DW430" s="541"/>
      <c r="DX430" s="541"/>
      <c r="DY430" s="541"/>
      <c r="DZ430" s="541"/>
    </row>
    <row r="431" spans="2:130" x14ac:dyDescent="0.25">
      <c r="B431" s="334">
        <v>24</v>
      </c>
      <c r="C431" s="541"/>
      <c r="D431" s="334"/>
      <c r="E431" s="334"/>
      <c r="F431" s="334"/>
      <c r="G431" s="334"/>
      <c r="H431" s="334"/>
      <c r="I431" s="334"/>
      <c r="J431" s="536"/>
      <c r="K431" s="536"/>
      <c r="L431" s="536"/>
      <c r="M431" s="536"/>
      <c r="N431" s="536"/>
      <c r="O431" s="536"/>
      <c r="P431" s="536">
        <f t="shared" si="151"/>
        <v>0</v>
      </c>
      <c r="Q431" s="536"/>
      <c r="R431" s="536"/>
      <c r="S431" s="536"/>
      <c r="T431" s="536">
        <f t="shared" si="152"/>
        <v>0</v>
      </c>
      <c r="U431" s="536"/>
      <c r="V431" s="536"/>
      <c r="W431" s="536"/>
      <c r="X431" s="536">
        <f t="shared" si="153"/>
        <v>0</v>
      </c>
      <c r="Y431" s="536"/>
      <c r="Z431" s="536"/>
      <c r="AA431" s="536"/>
      <c r="AB431" s="536">
        <f t="shared" si="154"/>
        <v>0</v>
      </c>
      <c r="AC431" s="536"/>
      <c r="AD431" s="536"/>
      <c r="AE431" s="536"/>
      <c r="AF431" s="536">
        <f t="shared" si="155"/>
        <v>0</v>
      </c>
      <c r="AG431" s="536"/>
      <c r="AH431" s="536"/>
      <c r="AI431" s="536"/>
      <c r="AJ431" s="536">
        <f t="shared" si="156"/>
        <v>0</v>
      </c>
      <c r="AK431" s="536"/>
      <c r="AL431" s="536"/>
      <c r="AM431" s="536"/>
      <c r="AN431" s="542">
        <f t="shared" si="157"/>
        <v>0</v>
      </c>
      <c r="AO431" s="536"/>
      <c r="AP431" s="536"/>
      <c r="AQ431" s="536"/>
      <c r="AR431" s="542">
        <f t="shared" si="158"/>
        <v>0</v>
      </c>
      <c r="AS431" s="536"/>
      <c r="AT431" s="536"/>
      <c r="AU431" s="536"/>
      <c r="AV431" s="542">
        <f t="shared" si="159"/>
        <v>0</v>
      </c>
      <c r="AW431" s="536"/>
      <c r="AX431" s="536"/>
      <c r="AY431" s="536"/>
      <c r="AZ431" s="542">
        <f t="shared" si="160"/>
        <v>0</v>
      </c>
      <c r="BA431" s="536"/>
      <c r="BB431" s="536"/>
      <c r="BC431" s="536"/>
      <c r="BD431" s="542">
        <f t="shared" si="161"/>
        <v>0</v>
      </c>
      <c r="BE431" s="536"/>
      <c r="BF431" s="536"/>
      <c r="BG431" s="536"/>
      <c r="BH431" s="542">
        <f t="shared" si="162"/>
        <v>0</v>
      </c>
      <c r="BI431" s="536"/>
      <c r="BJ431" s="536"/>
      <c r="BK431" s="536"/>
      <c r="BL431" s="542">
        <f t="shared" si="163"/>
        <v>0</v>
      </c>
      <c r="BM431" s="536"/>
      <c r="BN431" s="536"/>
      <c r="BO431" s="536"/>
      <c r="BP431" s="542">
        <f t="shared" si="164"/>
        <v>0</v>
      </c>
      <c r="BQ431" s="536"/>
      <c r="BR431" s="536"/>
      <c r="BS431" s="536"/>
      <c r="BT431" s="542">
        <f t="shared" si="165"/>
        <v>0</v>
      </c>
      <c r="BU431" s="536"/>
      <c r="BV431" s="536"/>
      <c r="BW431" s="536"/>
      <c r="BX431" s="542">
        <f t="shared" si="166"/>
        <v>0</v>
      </c>
      <c r="BY431" s="536"/>
      <c r="BZ431" s="536"/>
      <c r="CA431" s="536"/>
      <c r="CB431" s="542">
        <v>0</v>
      </c>
      <c r="CC431" s="536"/>
      <c r="CD431" s="536"/>
      <c r="CE431" s="536"/>
      <c r="CF431" s="541">
        <f t="shared" si="167"/>
        <v>0</v>
      </c>
      <c r="CG431" s="536"/>
      <c r="CH431" s="536"/>
      <c r="CI431" s="536"/>
      <c r="CJ431" s="541">
        <f t="shared" si="168"/>
        <v>0</v>
      </c>
      <c r="CK431" s="536"/>
      <c r="CL431" s="536"/>
      <c r="CM431" s="536"/>
      <c r="CN431" s="541">
        <f t="shared" si="169"/>
        <v>0</v>
      </c>
      <c r="CO431" s="536"/>
      <c r="CP431" s="536"/>
      <c r="CQ431" s="536"/>
      <c r="CR431" s="541">
        <f t="shared" si="170"/>
        <v>0</v>
      </c>
      <c r="CS431" s="536"/>
      <c r="CT431" s="536"/>
      <c r="CU431" s="536"/>
      <c r="CV431" s="541">
        <f t="shared" si="171"/>
        <v>0</v>
      </c>
      <c r="CW431" s="536"/>
      <c r="CX431" s="536"/>
      <c r="CY431" s="536"/>
      <c r="CZ431" s="541">
        <f t="shared" si="172"/>
        <v>0</v>
      </c>
      <c r="DA431" s="536"/>
      <c r="DB431" s="536"/>
      <c r="DC431" s="536"/>
      <c r="DD431" s="541">
        <f t="shared" si="173"/>
        <v>0</v>
      </c>
      <c r="DE431" s="536"/>
      <c r="DF431" s="536"/>
      <c r="DG431" s="536"/>
      <c r="DH431" s="541">
        <f t="shared" si="174"/>
        <v>0</v>
      </c>
      <c r="DI431" s="536"/>
      <c r="DJ431" s="536"/>
      <c r="DK431" s="536"/>
      <c r="DL431" s="541">
        <f t="shared" si="175"/>
        <v>0</v>
      </c>
      <c r="DM431" s="536"/>
      <c r="DN431" s="536"/>
      <c r="DO431" s="536"/>
      <c r="DP431" s="541">
        <f>IF( SUM((DJ431*(20/100))+(DK431*(30/100))+(DL431*(50/100))) &gt;=9.3,9.5,
IF(AND( SUM((DJ431*(20/100))+(DK431*(30/100))+(DL431*(50/100))) &lt;=9.3, SUM((DJ431*(20/100))+(DK431*(30/100))+(DL431*(50/100))) &gt;=8.8),9,
IF(AND( SUM((DJ431*(20/100))+(DK431*(30/100))+(DL431*(50/100))) &lt;=8.8, SUM((DJ431*(20/100))+(DK431*(30/100))+(DL431*(50/100))) &gt;=8.3),8.5,
IF(AND( SUM((DJ431*(20/100))+(DK431*(30/100))+(DL431*(50/100))) &lt;=8.3, SUM((DJ431*(20/100))+(DK431*(30/100))+(DL431*(50/100))) &gt;=7.8),8,
IF(AND( SUM((DJ431*(20/100))+(DK431*(30/100))+(DL431*(50/100))) &lt;=7.8, SUM((DJ431*(20/100))+(DK431*(30/100))+(DL431*(50/100))) &gt;=7.3),7.5,
IF(AND( SUM((DJ431*(20/100))+(DK431*(30/100))+(DL431*(50/100))) &lt;=7.3, SUM((DJ431*(20/100))+(DK431*(30/100))+(DL431*(50/100))) &gt;=6.8),7,
IF(AND( SUM((DJ431*(20/100))+(DK431*(30/100))+(DL431*(50/100))) &lt;=6.8, SUM((DJ431*(20/100))+(DK431*(30/100))+(DL431*(50/100))) &gt;=6.3),6.5,
IF(AND( SUM((DJ431*(20/100))+(DK431*(30/100))+(DL431*(50/100))) &lt;=6.3, SUM((DJ431*(20/100))+(DK431*(30/100))+(DL431*(50/100))) &gt;=5.8),6,
IF(AND( SUM((DJ431*(20/100))+(DK431*(30/100))+(DL431*(50/100))) &lt;=5.8, SUM((DJ431*(20/100))+(DK431*(30/100))+(DL431*(50/100))) &gt;=5.3),5.5,
IF(AND( SUM((DJ431*(20/100))+(DK431*(30/100))+(DL431*(50/100))) &lt;=5.3, SUM((DJ431*(20/100))+(DK431*(30/100))+(DL431*(50/100))) &gt;=4.8),5,
IF(AND( SUM((DJ431*(20/100))+(DK431*(30/100))+(DL431*(50/100))) &lt;=4.8, SUM((DJ431*(20/100))+(DK431*(30/100))+(DL431*(50/100))) &gt;=4.3),4.5,
IF(AND( SUM((DJ431*(20/100))+(DK431*(30/100))+(DL431*(50/100))) &lt;=4.3, SUM((DJ431*(20/100))+(DK431*(30/100))+(DL431*(50/100))) &gt;=3.8),4,
IF(AND( SUM((DJ431*(20/100))+(DK431*(30/100))+(DL431*(50/100))) &lt;=3.8, SUM((DJ431*(20/100))+(DK431*(30/100))+(DL431*(50/100))) &gt;=3.5),3.5,0)))))))))))))</f>
        <v>0</v>
      </c>
      <c r="DQ431" s="541"/>
      <c r="DR431" s="541"/>
      <c r="DS431" s="541"/>
      <c r="DT431" s="541"/>
      <c r="DU431" s="541"/>
      <c r="DV431" s="541"/>
      <c r="DW431" s="541"/>
      <c r="DX431" s="541"/>
      <c r="DY431" s="541"/>
      <c r="DZ431" s="541"/>
    </row>
    <row r="432" spans="2:130" x14ac:dyDescent="0.25">
      <c r="B432" s="334">
        <v>25</v>
      </c>
      <c r="C432" s="541"/>
      <c r="D432" s="334"/>
      <c r="E432" s="334"/>
      <c r="F432" s="334"/>
      <c r="G432" s="334"/>
      <c r="H432" s="334"/>
      <c r="I432" s="334"/>
      <c r="J432" s="536"/>
      <c r="K432" s="536"/>
      <c r="L432" s="536"/>
      <c r="M432" s="536"/>
      <c r="N432" s="536"/>
      <c r="O432" s="536"/>
      <c r="P432" s="536">
        <f t="shared" si="151"/>
        <v>0</v>
      </c>
      <c r="Q432" s="536"/>
      <c r="R432" s="536"/>
      <c r="S432" s="536"/>
      <c r="T432" s="536">
        <f t="shared" si="152"/>
        <v>0</v>
      </c>
      <c r="U432" s="536"/>
      <c r="V432" s="536"/>
      <c r="W432" s="536"/>
      <c r="X432" s="536">
        <f t="shared" si="153"/>
        <v>0</v>
      </c>
      <c r="Y432" s="536"/>
      <c r="Z432" s="536"/>
      <c r="AA432" s="536"/>
      <c r="AB432" s="536">
        <f t="shared" si="154"/>
        <v>0</v>
      </c>
      <c r="AC432" s="536"/>
      <c r="AD432" s="536"/>
      <c r="AE432" s="536"/>
      <c r="AF432" s="536">
        <f t="shared" si="155"/>
        <v>0</v>
      </c>
      <c r="AG432" s="536"/>
      <c r="AH432" s="536"/>
      <c r="AI432" s="536"/>
      <c r="AJ432" s="536">
        <f t="shared" si="156"/>
        <v>0</v>
      </c>
      <c r="AK432" s="536"/>
      <c r="AL432" s="536"/>
      <c r="AM432" s="536"/>
      <c r="AN432" s="542">
        <f t="shared" si="157"/>
        <v>0</v>
      </c>
      <c r="AO432" s="536"/>
      <c r="AP432" s="536"/>
      <c r="AQ432" s="536"/>
      <c r="AR432" s="542">
        <f t="shared" si="158"/>
        <v>0</v>
      </c>
      <c r="AS432" s="536"/>
      <c r="AT432" s="536"/>
      <c r="AU432" s="536"/>
      <c r="AV432" s="542">
        <f t="shared" si="159"/>
        <v>0</v>
      </c>
      <c r="AW432" s="536"/>
      <c r="AX432" s="536"/>
      <c r="AY432" s="536"/>
      <c r="AZ432" s="542">
        <f t="shared" si="160"/>
        <v>0</v>
      </c>
      <c r="BA432" s="536"/>
      <c r="BB432" s="536"/>
      <c r="BC432" s="536"/>
      <c r="BD432" s="542">
        <f t="shared" si="161"/>
        <v>0</v>
      </c>
      <c r="BE432" s="536"/>
      <c r="BF432" s="536"/>
      <c r="BG432" s="536"/>
      <c r="BH432" s="542">
        <f t="shared" si="162"/>
        <v>0</v>
      </c>
      <c r="BI432" s="536"/>
      <c r="BJ432" s="536"/>
      <c r="BK432" s="536"/>
      <c r="BL432" s="542">
        <f t="shared" si="163"/>
        <v>0</v>
      </c>
      <c r="BM432" s="536"/>
      <c r="BN432" s="536"/>
      <c r="BO432" s="536"/>
      <c r="BP432" s="542">
        <f t="shared" si="164"/>
        <v>0</v>
      </c>
      <c r="BQ432" s="536"/>
      <c r="BR432" s="536"/>
      <c r="BS432" s="536"/>
      <c r="BT432" s="542">
        <f t="shared" si="165"/>
        <v>0</v>
      </c>
      <c r="BU432" s="536"/>
      <c r="BV432" s="536"/>
      <c r="BW432" s="536"/>
      <c r="BX432" s="542">
        <f t="shared" si="166"/>
        <v>0</v>
      </c>
      <c r="BY432" s="536"/>
      <c r="BZ432" s="536"/>
      <c r="CA432" s="536"/>
      <c r="CB432" s="542">
        <v>0</v>
      </c>
      <c r="CC432" s="536"/>
      <c r="CD432" s="536"/>
      <c r="CE432" s="536"/>
      <c r="CF432" s="541">
        <f t="shared" si="167"/>
        <v>0</v>
      </c>
      <c r="CG432" s="536"/>
      <c r="CH432" s="536"/>
      <c r="CI432" s="536"/>
      <c r="CJ432" s="541">
        <f t="shared" si="168"/>
        <v>0</v>
      </c>
      <c r="CK432" s="536"/>
      <c r="CL432" s="536"/>
      <c r="CM432" s="536"/>
      <c r="CN432" s="541">
        <f t="shared" si="169"/>
        <v>0</v>
      </c>
      <c r="CO432" s="536"/>
      <c r="CP432" s="536"/>
      <c r="CQ432" s="536"/>
      <c r="CR432" s="541">
        <f t="shared" si="170"/>
        <v>0</v>
      </c>
      <c r="CS432" s="536"/>
      <c r="CT432" s="536"/>
      <c r="CU432" s="536"/>
      <c r="CV432" s="541">
        <f t="shared" si="171"/>
        <v>0</v>
      </c>
      <c r="CW432" s="536"/>
      <c r="CX432" s="536"/>
      <c r="CY432" s="536"/>
      <c r="CZ432" s="541">
        <f t="shared" si="172"/>
        <v>0</v>
      </c>
      <c r="DA432" s="536"/>
      <c r="DB432" s="536"/>
      <c r="DC432" s="536"/>
      <c r="DD432" s="541">
        <f t="shared" si="173"/>
        <v>0</v>
      </c>
      <c r="DE432" s="536"/>
      <c r="DF432" s="536"/>
      <c r="DG432" s="536"/>
      <c r="DH432" s="541">
        <f t="shared" si="174"/>
        <v>0</v>
      </c>
      <c r="DI432" s="536"/>
      <c r="DJ432" s="536"/>
      <c r="DK432" s="536"/>
      <c r="DL432" s="541">
        <f t="shared" si="175"/>
        <v>0</v>
      </c>
      <c r="DM432" s="536"/>
      <c r="DN432" s="536"/>
      <c r="DO432" s="536"/>
      <c r="DP432" s="541">
        <f>IF( SUM((DJ432*(20/100))+(DK432*(30/100))+(DL432*(50/100))) &gt;=9.3,9.5,
IF(AND( SUM((DJ432*(20/100))+(DK432*(30/100))+(DL432*(50/100))) &lt;=9.3, SUM((DJ432*(20/100))+(DK432*(30/100))+(DL432*(50/100))) &gt;=8.8),9,
IF(AND( SUM((DJ432*(20/100))+(DK432*(30/100))+(DL432*(50/100))) &lt;=8.8, SUM((DJ432*(20/100))+(DK432*(30/100))+(DL432*(50/100))) &gt;=8.3),8.5,
IF(AND( SUM((DJ432*(20/100))+(DK432*(30/100))+(DL432*(50/100))) &lt;=8.3, SUM((DJ432*(20/100))+(DK432*(30/100))+(DL432*(50/100))) &gt;=7.8),8,
IF(AND( SUM((DJ432*(20/100))+(DK432*(30/100))+(DL432*(50/100))) &lt;=7.8, SUM((DJ432*(20/100))+(DK432*(30/100))+(DL432*(50/100))) &gt;=7.3),7.5,
IF(AND( SUM((DJ432*(20/100))+(DK432*(30/100))+(DL432*(50/100))) &lt;=7.3, SUM((DJ432*(20/100))+(DK432*(30/100))+(DL432*(50/100))) &gt;=6.8),7,
IF(AND( SUM((DJ432*(20/100))+(DK432*(30/100))+(DL432*(50/100))) &lt;=6.8, SUM((DJ432*(20/100))+(DK432*(30/100))+(DL432*(50/100))) &gt;=6.3),6.5,
IF(AND( SUM((DJ432*(20/100))+(DK432*(30/100))+(DL432*(50/100))) &lt;=6.3, SUM((DJ432*(20/100))+(DK432*(30/100))+(DL432*(50/100))) &gt;=5.8),6,
IF(AND( SUM((DJ432*(20/100))+(DK432*(30/100))+(DL432*(50/100))) &lt;=5.8, SUM((DJ432*(20/100))+(DK432*(30/100))+(DL432*(50/100))) &gt;=5.3),5.5,
IF(AND( SUM((DJ432*(20/100))+(DK432*(30/100))+(DL432*(50/100))) &lt;=5.3, SUM((DJ432*(20/100))+(DK432*(30/100))+(DL432*(50/100))) &gt;=4.8),5,
IF(AND( SUM((DJ432*(20/100))+(DK432*(30/100))+(DL432*(50/100))) &lt;=4.8, SUM((DJ432*(20/100))+(DK432*(30/100))+(DL432*(50/100))) &gt;=4.3),4.5,
IF(AND( SUM((DJ432*(20/100))+(DK432*(30/100))+(DL432*(50/100))) &lt;=4.3, SUM((DJ432*(20/100))+(DK432*(30/100))+(DL432*(50/100))) &gt;=3.8),4,
IF(AND( SUM((DJ432*(20/100))+(DK432*(30/100))+(DL432*(50/100))) &lt;=3.8, SUM((DJ432*(20/100))+(DK432*(30/100))+(DL432*(50/100))) &gt;=3.5),3.5,0)))))))))))))</f>
        <v>0</v>
      </c>
      <c r="DQ432" s="541"/>
      <c r="DR432" s="541"/>
      <c r="DS432" s="541"/>
      <c r="DT432" s="541"/>
      <c r="DU432" s="541"/>
      <c r="DV432" s="541"/>
      <c r="DW432" s="541"/>
      <c r="DX432" s="541"/>
      <c r="DY432" s="541"/>
      <c r="DZ432" s="541"/>
    </row>
    <row r="433" spans="2:130" x14ac:dyDescent="0.25">
      <c r="B433" s="334">
        <v>26</v>
      </c>
      <c r="C433" s="541"/>
      <c r="D433" s="334"/>
      <c r="E433" s="334"/>
      <c r="F433" s="334"/>
      <c r="G433" s="334"/>
      <c r="H433" s="334"/>
      <c r="I433" s="334"/>
      <c r="J433" s="536"/>
      <c r="K433" s="536"/>
      <c r="L433" s="536"/>
      <c r="M433" s="536"/>
      <c r="N433" s="536"/>
      <c r="O433" s="536"/>
      <c r="P433" s="536">
        <f t="shared" si="151"/>
        <v>0</v>
      </c>
      <c r="Q433" s="536"/>
      <c r="R433" s="536"/>
      <c r="S433" s="536"/>
      <c r="T433" s="536">
        <f t="shared" si="152"/>
        <v>0</v>
      </c>
      <c r="U433" s="536"/>
      <c r="V433" s="536"/>
      <c r="W433" s="536"/>
      <c r="X433" s="536">
        <f t="shared" si="153"/>
        <v>0</v>
      </c>
      <c r="Y433" s="536"/>
      <c r="Z433" s="536"/>
      <c r="AA433" s="536"/>
      <c r="AB433" s="536">
        <f t="shared" si="154"/>
        <v>0</v>
      </c>
      <c r="AC433" s="536"/>
      <c r="AD433" s="536"/>
      <c r="AE433" s="536"/>
      <c r="AF433" s="536">
        <f t="shared" si="155"/>
        <v>0</v>
      </c>
      <c r="AG433" s="536"/>
      <c r="AH433" s="536"/>
      <c r="AI433" s="536"/>
      <c r="AJ433" s="536">
        <f t="shared" si="156"/>
        <v>0</v>
      </c>
      <c r="AK433" s="536"/>
      <c r="AL433" s="536"/>
      <c r="AM433" s="536"/>
      <c r="AN433" s="542">
        <f t="shared" si="157"/>
        <v>0</v>
      </c>
      <c r="AO433" s="536"/>
      <c r="AP433" s="536"/>
      <c r="AQ433" s="536"/>
      <c r="AR433" s="542">
        <f t="shared" si="158"/>
        <v>0</v>
      </c>
      <c r="AS433" s="536"/>
      <c r="AT433" s="536"/>
      <c r="AU433" s="536"/>
      <c r="AV433" s="542">
        <f t="shared" si="159"/>
        <v>0</v>
      </c>
      <c r="AW433" s="536"/>
      <c r="AX433" s="536"/>
      <c r="AY433" s="536"/>
      <c r="AZ433" s="542">
        <f t="shared" si="160"/>
        <v>0</v>
      </c>
      <c r="BA433" s="536"/>
      <c r="BB433" s="536"/>
      <c r="BC433" s="536"/>
      <c r="BD433" s="542">
        <f t="shared" si="161"/>
        <v>0</v>
      </c>
      <c r="BE433" s="536"/>
      <c r="BF433" s="536"/>
      <c r="BG433" s="536"/>
      <c r="BH433" s="542">
        <f t="shared" si="162"/>
        <v>0</v>
      </c>
      <c r="BI433" s="536"/>
      <c r="BJ433" s="536"/>
      <c r="BK433" s="536"/>
      <c r="BL433" s="542">
        <f t="shared" si="163"/>
        <v>0</v>
      </c>
      <c r="BM433" s="536"/>
      <c r="BN433" s="536"/>
      <c r="BO433" s="536"/>
      <c r="BP433" s="542">
        <f t="shared" si="164"/>
        <v>0</v>
      </c>
      <c r="BQ433" s="536"/>
      <c r="BR433" s="536"/>
      <c r="BS433" s="536"/>
      <c r="BT433" s="542">
        <f t="shared" si="165"/>
        <v>0</v>
      </c>
      <c r="BU433" s="536"/>
      <c r="BV433" s="536"/>
      <c r="BW433" s="536"/>
      <c r="BX433" s="542">
        <f t="shared" si="166"/>
        <v>0</v>
      </c>
      <c r="BY433" s="536"/>
      <c r="BZ433" s="536"/>
      <c r="CA433" s="536"/>
      <c r="CB433" s="542">
        <v>0</v>
      </c>
      <c r="CC433" s="536"/>
      <c r="CD433" s="536"/>
      <c r="CE433" s="536"/>
      <c r="CF433" s="541">
        <f t="shared" si="167"/>
        <v>0</v>
      </c>
      <c r="CG433" s="536"/>
      <c r="CH433" s="536"/>
      <c r="CI433" s="536"/>
      <c r="CJ433" s="541">
        <f t="shared" si="168"/>
        <v>0</v>
      </c>
      <c r="CK433" s="536"/>
      <c r="CL433" s="536"/>
      <c r="CM433" s="536"/>
      <c r="CN433" s="541">
        <f t="shared" si="169"/>
        <v>0</v>
      </c>
      <c r="CO433" s="536"/>
      <c r="CP433" s="536"/>
      <c r="CQ433" s="536"/>
      <c r="CR433" s="541">
        <f t="shared" si="170"/>
        <v>0</v>
      </c>
      <c r="CS433" s="536"/>
      <c r="CT433" s="536"/>
      <c r="CU433" s="536"/>
      <c r="CV433" s="541">
        <f t="shared" si="171"/>
        <v>0</v>
      </c>
      <c r="CW433" s="536"/>
      <c r="CX433" s="536"/>
      <c r="CY433" s="536"/>
      <c r="CZ433" s="541">
        <f t="shared" si="172"/>
        <v>0</v>
      </c>
      <c r="DA433" s="536"/>
      <c r="DB433" s="536"/>
      <c r="DC433" s="536"/>
      <c r="DD433" s="541">
        <f t="shared" si="173"/>
        <v>0</v>
      </c>
      <c r="DE433" s="536"/>
      <c r="DF433" s="536"/>
      <c r="DG433" s="536"/>
      <c r="DH433" s="541">
        <f t="shared" si="174"/>
        <v>0</v>
      </c>
      <c r="DI433" s="536"/>
      <c r="DJ433" s="536"/>
      <c r="DK433" s="536"/>
      <c r="DL433" s="541">
        <f t="shared" si="175"/>
        <v>0</v>
      </c>
      <c r="DM433" s="536"/>
      <c r="DN433" s="536"/>
      <c r="DO433" s="536"/>
      <c r="DP433" s="541">
        <f>IF( SUM((DJ433*(20/100))+(DK433*(30/100))+(DL433*(50/100))) &gt;=9.3,9.5,
IF(AND( SUM((DJ433*(20/100))+(DK433*(30/100))+(DL433*(50/100))) &lt;=9.3, SUM((DJ433*(20/100))+(DK433*(30/100))+(DL433*(50/100))) &gt;=8.8),9,
IF(AND( SUM((DJ433*(20/100))+(DK433*(30/100))+(DL433*(50/100))) &lt;=8.8, SUM((DJ433*(20/100))+(DK433*(30/100))+(DL433*(50/100))) &gt;=8.3),8.5,
IF(AND( SUM((DJ433*(20/100))+(DK433*(30/100))+(DL433*(50/100))) &lt;=8.3, SUM((DJ433*(20/100))+(DK433*(30/100))+(DL433*(50/100))) &gt;=7.8),8,
IF(AND( SUM((DJ433*(20/100))+(DK433*(30/100))+(DL433*(50/100))) &lt;=7.8, SUM((DJ433*(20/100))+(DK433*(30/100))+(DL433*(50/100))) &gt;=7.3),7.5,
IF(AND( SUM((DJ433*(20/100))+(DK433*(30/100))+(DL433*(50/100))) &lt;=7.3, SUM((DJ433*(20/100))+(DK433*(30/100))+(DL433*(50/100))) &gt;=6.8),7,
IF(AND( SUM((DJ433*(20/100))+(DK433*(30/100))+(DL433*(50/100))) &lt;=6.8, SUM((DJ433*(20/100))+(DK433*(30/100))+(DL433*(50/100))) &gt;=6.3),6.5,
IF(AND( SUM((DJ433*(20/100))+(DK433*(30/100))+(DL433*(50/100))) &lt;=6.3, SUM((DJ433*(20/100))+(DK433*(30/100))+(DL433*(50/100))) &gt;=5.8),6,
IF(AND( SUM((DJ433*(20/100))+(DK433*(30/100))+(DL433*(50/100))) &lt;=5.8, SUM((DJ433*(20/100))+(DK433*(30/100))+(DL433*(50/100))) &gt;=5.3),5.5,
IF(AND( SUM((DJ433*(20/100))+(DK433*(30/100))+(DL433*(50/100))) &lt;=5.3, SUM((DJ433*(20/100))+(DK433*(30/100))+(DL433*(50/100))) &gt;=4.8),5,
IF(AND( SUM((DJ433*(20/100))+(DK433*(30/100))+(DL433*(50/100))) &lt;=4.8, SUM((DJ433*(20/100))+(DK433*(30/100))+(DL433*(50/100))) &gt;=4.3),4.5,
IF(AND( SUM((DJ433*(20/100))+(DK433*(30/100))+(DL433*(50/100))) &lt;=4.3, SUM((DJ433*(20/100))+(DK433*(30/100))+(DL433*(50/100))) &gt;=3.8),4,
IF(AND( SUM((DJ433*(20/100))+(DK433*(30/100))+(DL433*(50/100))) &lt;=3.8, SUM((DJ433*(20/100))+(DK433*(30/100))+(DL433*(50/100))) &gt;=3.5),3.5,0)))))))))))))</f>
        <v>0</v>
      </c>
      <c r="DQ433" s="541"/>
      <c r="DR433" s="541"/>
      <c r="DS433" s="541"/>
      <c r="DT433" s="541"/>
      <c r="DU433" s="541"/>
      <c r="DV433" s="541"/>
      <c r="DW433" s="541"/>
      <c r="DX433" s="541"/>
      <c r="DY433" s="541"/>
      <c r="DZ433" s="541"/>
    </row>
    <row r="434" spans="2:130" x14ac:dyDescent="0.25">
      <c r="B434" s="334">
        <v>27</v>
      </c>
      <c r="C434" s="541"/>
      <c r="D434" s="334"/>
      <c r="E434" s="334"/>
      <c r="F434" s="334"/>
      <c r="G434" s="334"/>
      <c r="H434" s="334"/>
      <c r="I434" s="334"/>
      <c r="J434" s="536"/>
      <c r="K434" s="536"/>
      <c r="L434" s="536"/>
      <c r="M434" s="536"/>
      <c r="N434" s="536"/>
      <c r="O434" s="536"/>
      <c r="P434" s="536">
        <f t="shared" si="151"/>
        <v>0</v>
      </c>
      <c r="Q434" s="536"/>
      <c r="R434" s="536"/>
      <c r="S434" s="536"/>
      <c r="T434" s="536">
        <f t="shared" si="152"/>
        <v>0</v>
      </c>
      <c r="U434" s="536"/>
      <c r="V434" s="536"/>
      <c r="W434" s="536"/>
      <c r="X434" s="536">
        <f t="shared" si="153"/>
        <v>0</v>
      </c>
      <c r="Y434" s="536"/>
      <c r="Z434" s="536"/>
      <c r="AA434" s="536"/>
      <c r="AB434" s="536">
        <f t="shared" si="154"/>
        <v>0</v>
      </c>
      <c r="AC434" s="536"/>
      <c r="AD434" s="536"/>
      <c r="AE434" s="536"/>
      <c r="AF434" s="536">
        <f t="shared" si="155"/>
        <v>0</v>
      </c>
      <c r="AG434" s="536"/>
      <c r="AH434" s="536"/>
      <c r="AI434" s="536"/>
      <c r="AJ434" s="536">
        <f t="shared" si="156"/>
        <v>0</v>
      </c>
      <c r="AK434" s="536"/>
      <c r="AL434" s="536"/>
      <c r="AM434" s="536"/>
      <c r="AN434" s="542">
        <f t="shared" si="157"/>
        <v>0</v>
      </c>
      <c r="AO434" s="536"/>
      <c r="AP434" s="536"/>
      <c r="AQ434" s="536"/>
      <c r="AR434" s="542">
        <f t="shared" si="158"/>
        <v>0</v>
      </c>
      <c r="AS434" s="536"/>
      <c r="AT434" s="536"/>
      <c r="AU434" s="536"/>
      <c r="AV434" s="542">
        <f t="shared" si="159"/>
        <v>0</v>
      </c>
      <c r="AW434" s="536"/>
      <c r="AX434" s="536"/>
      <c r="AY434" s="536"/>
      <c r="AZ434" s="542">
        <f t="shared" si="160"/>
        <v>0</v>
      </c>
      <c r="BA434" s="536"/>
      <c r="BB434" s="536"/>
      <c r="BC434" s="536"/>
      <c r="BD434" s="542">
        <f t="shared" si="161"/>
        <v>0</v>
      </c>
      <c r="BE434" s="536"/>
      <c r="BF434" s="536"/>
      <c r="BG434" s="536"/>
      <c r="BH434" s="542">
        <f t="shared" si="162"/>
        <v>0</v>
      </c>
      <c r="BI434" s="536"/>
      <c r="BJ434" s="536"/>
      <c r="BK434" s="536"/>
      <c r="BL434" s="542">
        <f t="shared" si="163"/>
        <v>0</v>
      </c>
      <c r="BM434" s="536"/>
      <c r="BN434" s="536"/>
      <c r="BO434" s="536"/>
      <c r="BP434" s="542">
        <f t="shared" si="164"/>
        <v>0</v>
      </c>
      <c r="BQ434" s="536"/>
      <c r="BR434" s="536"/>
      <c r="BS434" s="536"/>
      <c r="BT434" s="542">
        <f t="shared" si="165"/>
        <v>0</v>
      </c>
      <c r="BU434" s="536"/>
      <c r="BV434" s="536"/>
      <c r="BW434" s="536"/>
      <c r="BX434" s="542">
        <f t="shared" si="166"/>
        <v>0</v>
      </c>
      <c r="BY434" s="536"/>
      <c r="BZ434" s="536"/>
      <c r="CA434" s="536"/>
      <c r="CB434" s="542">
        <v>0</v>
      </c>
      <c r="CC434" s="536"/>
      <c r="CD434" s="536"/>
      <c r="CE434" s="536"/>
      <c r="CF434" s="541">
        <f t="shared" si="167"/>
        <v>0</v>
      </c>
      <c r="CG434" s="536"/>
      <c r="CH434" s="536"/>
      <c r="CI434" s="536"/>
      <c r="CJ434" s="541">
        <f t="shared" si="168"/>
        <v>0</v>
      </c>
      <c r="CK434" s="536"/>
      <c r="CL434" s="536"/>
      <c r="CM434" s="536"/>
      <c r="CN434" s="541">
        <f t="shared" si="169"/>
        <v>0</v>
      </c>
      <c r="CO434" s="536"/>
      <c r="CP434" s="536"/>
      <c r="CQ434" s="536"/>
      <c r="CR434" s="541">
        <f t="shared" si="170"/>
        <v>0</v>
      </c>
      <c r="CS434" s="536"/>
      <c r="CT434" s="536"/>
      <c r="CU434" s="536"/>
      <c r="CV434" s="541">
        <f t="shared" si="171"/>
        <v>0</v>
      </c>
      <c r="CW434" s="536"/>
      <c r="CX434" s="536"/>
      <c r="CY434" s="536"/>
      <c r="CZ434" s="541">
        <f t="shared" si="172"/>
        <v>0</v>
      </c>
      <c r="DA434" s="536"/>
      <c r="DB434" s="536"/>
      <c r="DC434" s="536"/>
      <c r="DD434" s="541">
        <f t="shared" si="173"/>
        <v>0</v>
      </c>
      <c r="DE434" s="536"/>
      <c r="DF434" s="536"/>
      <c r="DG434" s="536"/>
      <c r="DH434" s="541">
        <f t="shared" si="174"/>
        <v>0</v>
      </c>
      <c r="DI434" s="536"/>
      <c r="DJ434" s="536"/>
      <c r="DK434" s="536"/>
      <c r="DL434" s="541">
        <f t="shared" si="175"/>
        <v>0</v>
      </c>
      <c r="DM434" s="536"/>
      <c r="DN434" s="536"/>
      <c r="DO434" s="536"/>
      <c r="DP434" s="541">
        <f>IF( SUM((DJ434*(20/100))+(DK434*(30/100))+(DL434*(50/100))) &gt;=9.3,9.5,
IF(AND( SUM((DJ434*(20/100))+(DK434*(30/100))+(DL434*(50/100))) &lt;=9.3, SUM((DJ434*(20/100))+(DK434*(30/100))+(DL434*(50/100))) &gt;=8.8),9,
IF(AND( SUM((DJ434*(20/100))+(DK434*(30/100))+(DL434*(50/100))) &lt;=8.8, SUM((DJ434*(20/100))+(DK434*(30/100))+(DL434*(50/100))) &gt;=8.3),8.5,
IF(AND( SUM((DJ434*(20/100))+(DK434*(30/100))+(DL434*(50/100))) &lt;=8.3, SUM((DJ434*(20/100))+(DK434*(30/100))+(DL434*(50/100))) &gt;=7.8),8,
IF(AND( SUM((DJ434*(20/100))+(DK434*(30/100))+(DL434*(50/100))) &lt;=7.8, SUM((DJ434*(20/100))+(DK434*(30/100))+(DL434*(50/100))) &gt;=7.3),7.5,
IF(AND( SUM((DJ434*(20/100))+(DK434*(30/100))+(DL434*(50/100))) &lt;=7.3, SUM((DJ434*(20/100))+(DK434*(30/100))+(DL434*(50/100))) &gt;=6.8),7,
IF(AND( SUM((DJ434*(20/100))+(DK434*(30/100))+(DL434*(50/100))) &lt;=6.8, SUM((DJ434*(20/100))+(DK434*(30/100))+(DL434*(50/100))) &gt;=6.3),6.5,
IF(AND( SUM((DJ434*(20/100))+(DK434*(30/100))+(DL434*(50/100))) &lt;=6.3, SUM((DJ434*(20/100))+(DK434*(30/100))+(DL434*(50/100))) &gt;=5.8),6,
IF(AND( SUM((DJ434*(20/100))+(DK434*(30/100))+(DL434*(50/100))) &lt;=5.8, SUM((DJ434*(20/100))+(DK434*(30/100))+(DL434*(50/100))) &gt;=5.3),5.5,
IF(AND( SUM((DJ434*(20/100))+(DK434*(30/100))+(DL434*(50/100))) &lt;=5.3, SUM((DJ434*(20/100))+(DK434*(30/100))+(DL434*(50/100))) &gt;=4.8),5,
IF(AND( SUM((DJ434*(20/100))+(DK434*(30/100))+(DL434*(50/100))) &lt;=4.8, SUM((DJ434*(20/100))+(DK434*(30/100))+(DL434*(50/100))) &gt;=4.3),4.5,
IF(AND( SUM((DJ434*(20/100))+(DK434*(30/100))+(DL434*(50/100))) &lt;=4.3, SUM((DJ434*(20/100))+(DK434*(30/100))+(DL434*(50/100))) &gt;=3.8),4,
IF(AND( SUM((DJ434*(20/100))+(DK434*(30/100))+(DL434*(50/100))) &lt;=3.8, SUM((DJ434*(20/100))+(DK434*(30/100))+(DL434*(50/100))) &gt;=3.5),3.5,0)))))))))))))</f>
        <v>0</v>
      </c>
      <c r="DQ434" s="541"/>
      <c r="DR434" s="541"/>
      <c r="DS434" s="541"/>
      <c r="DT434" s="541"/>
      <c r="DU434" s="541"/>
      <c r="DV434" s="541"/>
      <c r="DW434" s="541"/>
      <c r="DX434" s="541"/>
      <c r="DY434" s="541"/>
      <c r="DZ434" s="541"/>
    </row>
    <row r="435" spans="2:130" x14ac:dyDescent="0.25">
      <c r="B435" s="334">
        <v>28</v>
      </c>
      <c r="C435" s="541"/>
      <c r="D435" s="334"/>
      <c r="E435" s="334"/>
      <c r="F435" s="334"/>
      <c r="G435" s="334"/>
      <c r="H435" s="334"/>
      <c r="I435" s="334"/>
      <c r="J435" s="536"/>
      <c r="K435" s="536"/>
      <c r="L435" s="536"/>
      <c r="M435" s="536"/>
      <c r="N435" s="536"/>
      <c r="O435" s="536"/>
      <c r="P435" s="536">
        <f t="shared" si="151"/>
        <v>0</v>
      </c>
      <c r="Q435" s="536"/>
      <c r="R435" s="536"/>
      <c r="S435" s="536"/>
      <c r="T435" s="536">
        <f t="shared" si="152"/>
        <v>0</v>
      </c>
      <c r="U435" s="536"/>
      <c r="V435" s="536"/>
      <c r="W435" s="536"/>
      <c r="X435" s="536">
        <f t="shared" si="153"/>
        <v>0</v>
      </c>
      <c r="Y435" s="536"/>
      <c r="Z435" s="536"/>
      <c r="AA435" s="536"/>
      <c r="AB435" s="536">
        <f t="shared" si="154"/>
        <v>0</v>
      </c>
      <c r="AC435" s="536"/>
      <c r="AD435" s="536"/>
      <c r="AE435" s="536"/>
      <c r="AF435" s="536">
        <f t="shared" si="155"/>
        <v>0</v>
      </c>
      <c r="AG435" s="536"/>
      <c r="AH435" s="536"/>
      <c r="AI435" s="536"/>
      <c r="AJ435" s="536">
        <f t="shared" si="156"/>
        <v>0</v>
      </c>
      <c r="AK435" s="536"/>
      <c r="AL435" s="536"/>
      <c r="AM435" s="536"/>
      <c r="AN435" s="542">
        <f t="shared" si="157"/>
        <v>0</v>
      </c>
      <c r="AO435" s="536"/>
      <c r="AP435" s="536"/>
      <c r="AQ435" s="536"/>
      <c r="AR435" s="542">
        <f t="shared" si="158"/>
        <v>0</v>
      </c>
      <c r="AS435" s="536"/>
      <c r="AT435" s="536"/>
      <c r="AU435" s="536"/>
      <c r="AV435" s="542">
        <f t="shared" si="159"/>
        <v>0</v>
      </c>
      <c r="AW435" s="536"/>
      <c r="AX435" s="536"/>
      <c r="AY435" s="536"/>
      <c r="AZ435" s="542">
        <f t="shared" si="160"/>
        <v>0</v>
      </c>
      <c r="BA435" s="536"/>
      <c r="BB435" s="536"/>
      <c r="BC435" s="536"/>
      <c r="BD435" s="542">
        <f t="shared" si="161"/>
        <v>0</v>
      </c>
      <c r="BE435" s="536"/>
      <c r="BF435" s="536"/>
      <c r="BG435" s="536"/>
      <c r="BH435" s="542">
        <f t="shared" si="162"/>
        <v>0</v>
      </c>
      <c r="BI435" s="536"/>
      <c r="BJ435" s="536"/>
      <c r="BK435" s="536"/>
      <c r="BL435" s="542">
        <f t="shared" si="163"/>
        <v>0</v>
      </c>
      <c r="BM435" s="536"/>
      <c r="BN435" s="536"/>
      <c r="BO435" s="536"/>
      <c r="BP435" s="542">
        <f t="shared" si="164"/>
        <v>0</v>
      </c>
      <c r="BQ435" s="536"/>
      <c r="BR435" s="536"/>
      <c r="BS435" s="536"/>
      <c r="BT435" s="542">
        <f t="shared" si="165"/>
        <v>0</v>
      </c>
      <c r="BU435" s="536"/>
      <c r="BV435" s="536"/>
      <c r="BW435" s="536"/>
      <c r="BX435" s="542">
        <f t="shared" si="166"/>
        <v>0</v>
      </c>
      <c r="BY435" s="536"/>
      <c r="BZ435" s="536"/>
      <c r="CA435" s="536"/>
      <c r="CB435" s="542">
        <v>0</v>
      </c>
      <c r="CC435" s="536"/>
      <c r="CD435" s="536"/>
      <c r="CE435" s="536"/>
      <c r="CF435" s="541">
        <f t="shared" si="167"/>
        <v>0</v>
      </c>
      <c r="CG435" s="536"/>
      <c r="CH435" s="536"/>
      <c r="CI435" s="536"/>
      <c r="CJ435" s="541">
        <f t="shared" si="168"/>
        <v>0</v>
      </c>
      <c r="CK435" s="536"/>
      <c r="CL435" s="536"/>
      <c r="CM435" s="536"/>
      <c r="CN435" s="541">
        <f t="shared" si="169"/>
        <v>0</v>
      </c>
      <c r="CO435" s="536"/>
      <c r="CP435" s="536"/>
      <c r="CQ435" s="536"/>
      <c r="CR435" s="541">
        <f t="shared" si="170"/>
        <v>0</v>
      </c>
      <c r="CS435" s="536"/>
      <c r="CT435" s="536"/>
      <c r="CU435" s="536"/>
      <c r="CV435" s="541">
        <f t="shared" si="171"/>
        <v>0</v>
      </c>
      <c r="CW435" s="536"/>
      <c r="CX435" s="536"/>
      <c r="CY435" s="536"/>
      <c r="CZ435" s="541">
        <f t="shared" si="172"/>
        <v>0</v>
      </c>
      <c r="DA435" s="536"/>
      <c r="DB435" s="536"/>
      <c r="DC435" s="536"/>
      <c r="DD435" s="541">
        <f t="shared" si="173"/>
        <v>0</v>
      </c>
      <c r="DE435" s="536"/>
      <c r="DF435" s="536"/>
      <c r="DG435" s="536"/>
      <c r="DH435" s="541">
        <f t="shared" si="174"/>
        <v>0</v>
      </c>
      <c r="DI435" s="536"/>
      <c r="DJ435" s="536"/>
      <c r="DK435" s="536"/>
      <c r="DL435" s="541">
        <f t="shared" si="175"/>
        <v>0</v>
      </c>
      <c r="DM435" s="536"/>
      <c r="DN435" s="536"/>
      <c r="DO435" s="536"/>
      <c r="DP435" s="541">
        <f>IF( SUM((DJ435*(20/100))+(DK435*(30/100))+(DL435*(50/100))) &gt;=9.3,9.5,
IF(AND( SUM((DJ435*(20/100))+(DK435*(30/100))+(DL435*(50/100))) &lt;=9.3, SUM((DJ435*(20/100))+(DK435*(30/100))+(DL435*(50/100))) &gt;=8.8),9,
IF(AND( SUM((DJ435*(20/100))+(DK435*(30/100))+(DL435*(50/100))) &lt;=8.8, SUM((DJ435*(20/100))+(DK435*(30/100))+(DL435*(50/100))) &gt;=8.3),8.5,
IF(AND( SUM((DJ435*(20/100))+(DK435*(30/100))+(DL435*(50/100))) &lt;=8.3, SUM((DJ435*(20/100))+(DK435*(30/100))+(DL435*(50/100))) &gt;=7.8),8,
IF(AND( SUM((DJ435*(20/100))+(DK435*(30/100))+(DL435*(50/100))) &lt;=7.8, SUM((DJ435*(20/100))+(DK435*(30/100))+(DL435*(50/100))) &gt;=7.3),7.5,
IF(AND( SUM((DJ435*(20/100))+(DK435*(30/100))+(DL435*(50/100))) &lt;=7.3, SUM((DJ435*(20/100))+(DK435*(30/100))+(DL435*(50/100))) &gt;=6.8),7,
IF(AND( SUM((DJ435*(20/100))+(DK435*(30/100))+(DL435*(50/100))) &lt;=6.8, SUM((DJ435*(20/100))+(DK435*(30/100))+(DL435*(50/100))) &gt;=6.3),6.5,
IF(AND( SUM((DJ435*(20/100))+(DK435*(30/100))+(DL435*(50/100))) &lt;=6.3, SUM((DJ435*(20/100))+(DK435*(30/100))+(DL435*(50/100))) &gt;=5.8),6,
IF(AND( SUM((DJ435*(20/100))+(DK435*(30/100))+(DL435*(50/100))) &lt;=5.8, SUM((DJ435*(20/100))+(DK435*(30/100))+(DL435*(50/100))) &gt;=5.3),5.5,
IF(AND( SUM((DJ435*(20/100))+(DK435*(30/100))+(DL435*(50/100))) &lt;=5.3, SUM((DJ435*(20/100))+(DK435*(30/100))+(DL435*(50/100))) &gt;=4.8),5,
IF(AND( SUM((DJ435*(20/100))+(DK435*(30/100))+(DL435*(50/100))) &lt;=4.8, SUM((DJ435*(20/100))+(DK435*(30/100))+(DL435*(50/100))) &gt;=4.3),4.5,
IF(AND( SUM((DJ435*(20/100))+(DK435*(30/100))+(DL435*(50/100))) &lt;=4.3, SUM((DJ435*(20/100))+(DK435*(30/100))+(DL435*(50/100))) &gt;=3.8),4,
IF(AND( SUM((DJ435*(20/100))+(DK435*(30/100))+(DL435*(50/100))) &lt;=3.8, SUM((DJ435*(20/100))+(DK435*(30/100))+(DL435*(50/100))) &gt;=3.5),3.5,0)))))))))))))</f>
        <v>0</v>
      </c>
      <c r="DQ435" s="541"/>
      <c r="DR435" s="541"/>
      <c r="DS435" s="541"/>
      <c r="DT435" s="541"/>
      <c r="DU435" s="541"/>
      <c r="DV435" s="541"/>
      <c r="DW435" s="541"/>
      <c r="DX435" s="541"/>
      <c r="DY435" s="541"/>
      <c r="DZ435" s="541"/>
    </row>
    <row r="436" spans="2:130" x14ac:dyDescent="0.25">
      <c r="B436" s="334">
        <v>29</v>
      </c>
      <c r="C436" s="541"/>
      <c r="D436" s="334"/>
      <c r="E436" s="334"/>
      <c r="F436" s="334"/>
      <c r="G436" s="334"/>
      <c r="H436" s="334"/>
      <c r="I436" s="334"/>
      <c r="J436" s="536"/>
      <c r="K436" s="536"/>
      <c r="L436" s="536"/>
      <c r="M436" s="536"/>
      <c r="N436" s="536"/>
      <c r="O436" s="536"/>
      <c r="P436" s="536">
        <f t="shared" si="151"/>
        <v>0</v>
      </c>
      <c r="Q436" s="536"/>
      <c r="R436" s="536"/>
      <c r="S436" s="536"/>
      <c r="T436" s="536">
        <f t="shared" si="152"/>
        <v>0</v>
      </c>
      <c r="U436" s="536"/>
      <c r="V436" s="536"/>
      <c r="W436" s="536"/>
      <c r="X436" s="536">
        <f t="shared" si="153"/>
        <v>0</v>
      </c>
      <c r="Y436" s="536"/>
      <c r="Z436" s="536"/>
      <c r="AA436" s="536"/>
      <c r="AB436" s="536">
        <f t="shared" si="154"/>
        <v>0</v>
      </c>
      <c r="AC436" s="536"/>
      <c r="AD436" s="536"/>
      <c r="AE436" s="536"/>
      <c r="AF436" s="536">
        <f t="shared" si="155"/>
        <v>0</v>
      </c>
      <c r="AG436" s="536"/>
      <c r="AH436" s="536"/>
      <c r="AI436" s="536"/>
      <c r="AJ436" s="536">
        <f t="shared" si="156"/>
        <v>0</v>
      </c>
      <c r="AK436" s="536"/>
      <c r="AL436" s="536"/>
      <c r="AM436" s="536"/>
      <c r="AN436" s="542">
        <f t="shared" si="157"/>
        <v>0</v>
      </c>
      <c r="AO436" s="536"/>
      <c r="AP436" s="536"/>
      <c r="AQ436" s="536"/>
      <c r="AR436" s="542">
        <f t="shared" si="158"/>
        <v>0</v>
      </c>
      <c r="AS436" s="536"/>
      <c r="AT436" s="536"/>
      <c r="AU436" s="536"/>
      <c r="AV436" s="542">
        <f t="shared" si="159"/>
        <v>0</v>
      </c>
      <c r="AW436" s="536"/>
      <c r="AX436" s="536"/>
      <c r="AY436" s="536"/>
      <c r="AZ436" s="542">
        <f t="shared" si="160"/>
        <v>0</v>
      </c>
      <c r="BA436" s="536"/>
      <c r="BB436" s="536"/>
      <c r="BC436" s="536"/>
      <c r="BD436" s="542">
        <f t="shared" si="161"/>
        <v>0</v>
      </c>
      <c r="BE436" s="536"/>
      <c r="BF436" s="536"/>
      <c r="BG436" s="536"/>
      <c r="BH436" s="542">
        <f t="shared" si="162"/>
        <v>0</v>
      </c>
      <c r="BI436" s="536"/>
      <c r="BJ436" s="536"/>
      <c r="BK436" s="536"/>
      <c r="BL436" s="542">
        <f t="shared" si="163"/>
        <v>0</v>
      </c>
      <c r="BM436" s="536"/>
      <c r="BN436" s="536"/>
      <c r="BO436" s="536"/>
      <c r="BP436" s="542">
        <f t="shared" si="164"/>
        <v>0</v>
      </c>
      <c r="BQ436" s="536"/>
      <c r="BR436" s="536"/>
      <c r="BS436" s="536"/>
      <c r="BT436" s="542">
        <f t="shared" si="165"/>
        <v>0</v>
      </c>
      <c r="BU436" s="536"/>
      <c r="BV436" s="536"/>
      <c r="BW436" s="536"/>
      <c r="BX436" s="542">
        <f t="shared" si="166"/>
        <v>0</v>
      </c>
      <c r="BY436" s="536"/>
      <c r="BZ436" s="536"/>
      <c r="CA436" s="536"/>
      <c r="CB436" s="542">
        <v>0</v>
      </c>
      <c r="CC436" s="536"/>
      <c r="CD436" s="536"/>
      <c r="CE436" s="536"/>
      <c r="CF436" s="541">
        <f t="shared" si="167"/>
        <v>0</v>
      </c>
      <c r="CG436" s="536"/>
      <c r="CH436" s="536"/>
      <c r="CI436" s="536"/>
      <c r="CJ436" s="541">
        <f t="shared" si="168"/>
        <v>0</v>
      </c>
      <c r="CK436" s="536"/>
      <c r="CL436" s="536"/>
      <c r="CM436" s="536"/>
      <c r="CN436" s="541">
        <f t="shared" si="169"/>
        <v>0</v>
      </c>
      <c r="CO436" s="536"/>
      <c r="CP436" s="536"/>
      <c r="CQ436" s="536"/>
      <c r="CR436" s="541">
        <f t="shared" si="170"/>
        <v>0</v>
      </c>
      <c r="CS436" s="536"/>
      <c r="CT436" s="536"/>
      <c r="CU436" s="536"/>
      <c r="CV436" s="541">
        <f t="shared" si="171"/>
        <v>0</v>
      </c>
      <c r="CW436" s="536"/>
      <c r="CX436" s="536"/>
      <c r="CY436" s="536"/>
      <c r="CZ436" s="541">
        <f t="shared" si="172"/>
        <v>0</v>
      </c>
      <c r="DA436" s="536"/>
      <c r="DB436" s="536"/>
      <c r="DC436" s="536"/>
      <c r="DD436" s="541">
        <f t="shared" si="173"/>
        <v>0</v>
      </c>
      <c r="DE436" s="536"/>
      <c r="DF436" s="536"/>
      <c r="DG436" s="536"/>
      <c r="DH436" s="541">
        <f t="shared" si="174"/>
        <v>0</v>
      </c>
      <c r="DI436" s="536"/>
      <c r="DJ436" s="536"/>
      <c r="DK436" s="536"/>
      <c r="DL436" s="541">
        <f t="shared" si="175"/>
        <v>0</v>
      </c>
      <c r="DM436" s="536"/>
      <c r="DN436" s="536"/>
      <c r="DO436" s="536"/>
      <c r="DP436" s="541">
        <f>IF( SUM((DJ436*(20/100))+(DK436*(30/100))+(DL436*(50/100))) &gt;=9.3,9.5,
IF(AND( SUM((DJ436*(20/100))+(DK436*(30/100))+(DL436*(50/100))) &lt;=9.3, SUM((DJ436*(20/100))+(DK436*(30/100))+(DL436*(50/100))) &gt;=8.8),9,
IF(AND( SUM((DJ436*(20/100))+(DK436*(30/100))+(DL436*(50/100))) &lt;=8.8, SUM((DJ436*(20/100))+(DK436*(30/100))+(DL436*(50/100))) &gt;=8.3),8.5,
IF(AND( SUM((DJ436*(20/100))+(DK436*(30/100))+(DL436*(50/100))) &lt;=8.3, SUM((DJ436*(20/100))+(DK436*(30/100))+(DL436*(50/100))) &gt;=7.8),8,
IF(AND( SUM((DJ436*(20/100))+(DK436*(30/100))+(DL436*(50/100))) &lt;=7.8, SUM((DJ436*(20/100))+(DK436*(30/100))+(DL436*(50/100))) &gt;=7.3),7.5,
IF(AND( SUM((DJ436*(20/100))+(DK436*(30/100))+(DL436*(50/100))) &lt;=7.3, SUM((DJ436*(20/100))+(DK436*(30/100))+(DL436*(50/100))) &gt;=6.8),7,
IF(AND( SUM((DJ436*(20/100))+(DK436*(30/100))+(DL436*(50/100))) &lt;=6.8, SUM((DJ436*(20/100))+(DK436*(30/100))+(DL436*(50/100))) &gt;=6.3),6.5,
IF(AND( SUM((DJ436*(20/100))+(DK436*(30/100))+(DL436*(50/100))) &lt;=6.3, SUM((DJ436*(20/100))+(DK436*(30/100))+(DL436*(50/100))) &gt;=5.8),6,
IF(AND( SUM((DJ436*(20/100))+(DK436*(30/100))+(DL436*(50/100))) &lt;=5.8, SUM((DJ436*(20/100))+(DK436*(30/100))+(DL436*(50/100))) &gt;=5.3),5.5,
IF(AND( SUM((DJ436*(20/100))+(DK436*(30/100))+(DL436*(50/100))) &lt;=5.3, SUM((DJ436*(20/100))+(DK436*(30/100))+(DL436*(50/100))) &gt;=4.8),5,
IF(AND( SUM((DJ436*(20/100))+(DK436*(30/100))+(DL436*(50/100))) &lt;=4.8, SUM((DJ436*(20/100))+(DK436*(30/100))+(DL436*(50/100))) &gt;=4.3),4.5,
IF(AND( SUM((DJ436*(20/100))+(DK436*(30/100))+(DL436*(50/100))) &lt;=4.3, SUM((DJ436*(20/100))+(DK436*(30/100))+(DL436*(50/100))) &gt;=3.8),4,
IF(AND( SUM((DJ436*(20/100))+(DK436*(30/100))+(DL436*(50/100))) &lt;=3.8, SUM((DJ436*(20/100))+(DK436*(30/100))+(DL436*(50/100))) &gt;=3.5),3.5,0)))))))))))))</f>
        <v>0</v>
      </c>
      <c r="DQ436" s="541"/>
      <c r="DR436" s="541"/>
      <c r="DS436" s="541"/>
      <c r="DT436" s="541"/>
      <c r="DU436" s="541"/>
      <c r="DV436" s="541"/>
      <c r="DW436" s="541"/>
      <c r="DX436" s="541"/>
      <c r="DY436" s="541"/>
      <c r="DZ436" s="541"/>
    </row>
    <row r="437" spans="2:130" x14ac:dyDescent="0.25">
      <c r="B437" s="334">
        <v>30</v>
      </c>
      <c r="C437" s="541"/>
      <c r="D437" s="334"/>
      <c r="E437" s="334"/>
      <c r="F437" s="334"/>
      <c r="G437" s="334"/>
      <c r="H437" s="334"/>
      <c r="I437" s="334"/>
      <c r="J437" s="536"/>
      <c r="K437" s="536"/>
      <c r="L437" s="536"/>
      <c r="M437" s="536"/>
      <c r="N437" s="536"/>
      <c r="O437" s="536"/>
      <c r="P437" s="536">
        <f t="shared" si="151"/>
        <v>0</v>
      </c>
      <c r="Q437" s="536"/>
      <c r="R437" s="536"/>
      <c r="S437" s="536"/>
      <c r="T437" s="536">
        <f t="shared" si="152"/>
        <v>0</v>
      </c>
      <c r="U437" s="536"/>
      <c r="V437" s="536"/>
      <c r="W437" s="536"/>
      <c r="X437" s="536">
        <f t="shared" si="153"/>
        <v>0</v>
      </c>
      <c r="Y437" s="536"/>
      <c r="Z437" s="536"/>
      <c r="AA437" s="536"/>
      <c r="AB437" s="536">
        <f t="shared" si="154"/>
        <v>0</v>
      </c>
      <c r="AC437" s="536"/>
      <c r="AD437" s="536"/>
      <c r="AE437" s="536"/>
      <c r="AF437" s="536">
        <f t="shared" si="155"/>
        <v>0</v>
      </c>
      <c r="AG437" s="536"/>
      <c r="AH437" s="536"/>
      <c r="AI437" s="536"/>
      <c r="AJ437" s="536">
        <f t="shared" si="156"/>
        <v>0</v>
      </c>
      <c r="AK437" s="536"/>
      <c r="AL437" s="536"/>
      <c r="AM437" s="536"/>
      <c r="AN437" s="542">
        <f t="shared" si="157"/>
        <v>0</v>
      </c>
      <c r="AO437" s="536"/>
      <c r="AP437" s="536"/>
      <c r="AQ437" s="536"/>
      <c r="AR437" s="542">
        <f t="shared" si="158"/>
        <v>0</v>
      </c>
      <c r="AS437" s="536"/>
      <c r="AT437" s="536"/>
      <c r="AU437" s="536"/>
      <c r="AV437" s="542">
        <f t="shared" si="159"/>
        <v>0</v>
      </c>
      <c r="AW437" s="536"/>
      <c r="AX437" s="536"/>
      <c r="AY437" s="536"/>
      <c r="AZ437" s="542">
        <f t="shared" si="160"/>
        <v>0</v>
      </c>
      <c r="BA437" s="536"/>
      <c r="BB437" s="536"/>
      <c r="BC437" s="536"/>
      <c r="BD437" s="542">
        <f t="shared" si="161"/>
        <v>0</v>
      </c>
      <c r="BE437" s="536"/>
      <c r="BF437" s="536"/>
      <c r="BG437" s="536"/>
      <c r="BH437" s="542">
        <f t="shared" si="162"/>
        <v>0</v>
      </c>
      <c r="BI437" s="536"/>
      <c r="BJ437" s="536"/>
      <c r="BK437" s="536"/>
      <c r="BL437" s="542">
        <f t="shared" si="163"/>
        <v>0</v>
      </c>
      <c r="BM437" s="536"/>
      <c r="BN437" s="536"/>
      <c r="BO437" s="536"/>
      <c r="BP437" s="542">
        <f t="shared" si="164"/>
        <v>0</v>
      </c>
      <c r="BQ437" s="536"/>
      <c r="BR437" s="536"/>
      <c r="BS437" s="536"/>
      <c r="BT437" s="542">
        <f t="shared" si="165"/>
        <v>0</v>
      </c>
      <c r="BU437" s="536"/>
      <c r="BV437" s="536"/>
      <c r="BW437" s="536"/>
      <c r="BX437" s="542">
        <f t="shared" si="166"/>
        <v>0</v>
      </c>
      <c r="BY437" s="536"/>
      <c r="BZ437" s="536"/>
      <c r="CA437" s="536"/>
      <c r="CB437" s="542">
        <v>0</v>
      </c>
      <c r="CC437" s="536"/>
      <c r="CD437" s="536"/>
      <c r="CE437" s="536"/>
      <c r="CF437" s="541">
        <f t="shared" si="167"/>
        <v>0</v>
      </c>
      <c r="CG437" s="536"/>
      <c r="CH437" s="536"/>
      <c r="CI437" s="536"/>
      <c r="CJ437" s="541">
        <f t="shared" si="168"/>
        <v>0</v>
      </c>
      <c r="CK437" s="536"/>
      <c r="CL437" s="536"/>
      <c r="CM437" s="536"/>
      <c r="CN437" s="541">
        <f t="shared" si="169"/>
        <v>0</v>
      </c>
      <c r="CO437" s="536"/>
      <c r="CP437" s="536"/>
      <c r="CQ437" s="536"/>
      <c r="CR437" s="541">
        <f t="shared" si="170"/>
        <v>0</v>
      </c>
      <c r="CS437" s="536"/>
      <c r="CT437" s="536"/>
      <c r="CU437" s="536"/>
      <c r="CV437" s="541">
        <f t="shared" si="171"/>
        <v>0</v>
      </c>
      <c r="CW437" s="536"/>
      <c r="CX437" s="536"/>
      <c r="CY437" s="536"/>
      <c r="CZ437" s="541">
        <f t="shared" si="172"/>
        <v>0</v>
      </c>
      <c r="DA437" s="536"/>
      <c r="DB437" s="536"/>
      <c r="DC437" s="536"/>
      <c r="DD437" s="541">
        <f t="shared" si="173"/>
        <v>0</v>
      </c>
      <c r="DE437" s="536"/>
      <c r="DF437" s="536"/>
      <c r="DG437" s="536"/>
      <c r="DH437" s="541">
        <f t="shared" si="174"/>
        <v>0</v>
      </c>
      <c r="DI437" s="536"/>
      <c r="DJ437" s="536"/>
      <c r="DK437" s="536"/>
      <c r="DL437" s="541">
        <f t="shared" si="175"/>
        <v>0</v>
      </c>
      <c r="DM437" s="536"/>
      <c r="DN437" s="536"/>
      <c r="DO437" s="536"/>
      <c r="DP437" s="541">
        <f>IF( SUM((DJ437*(20/100))+(DK437*(30/100))+(DL437*(50/100))) &gt;=9.3,9.5,
IF(AND( SUM((DJ437*(20/100))+(DK437*(30/100))+(DL437*(50/100))) &lt;=9.3, SUM((DJ437*(20/100))+(DK437*(30/100))+(DL437*(50/100))) &gt;=8.8),9,
IF(AND( SUM((DJ437*(20/100))+(DK437*(30/100))+(DL437*(50/100))) &lt;=8.8, SUM((DJ437*(20/100))+(DK437*(30/100))+(DL437*(50/100))) &gt;=8.3),8.5,
IF(AND( SUM((DJ437*(20/100))+(DK437*(30/100))+(DL437*(50/100))) &lt;=8.3, SUM((DJ437*(20/100))+(DK437*(30/100))+(DL437*(50/100))) &gt;=7.8),8,
IF(AND( SUM((DJ437*(20/100))+(DK437*(30/100))+(DL437*(50/100))) &lt;=7.8, SUM((DJ437*(20/100))+(DK437*(30/100))+(DL437*(50/100))) &gt;=7.3),7.5,
IF(AND( SUM((DJ437*(20/100))+(DK437*(30/100))+(DL437*(50/100))) &lt;=7.3, SUM((DJ437*(20/100))+(DK437*(30/100))+(DL437*(50/100))) &gt;=6.8),7,
IF(AND( SUM((DJ437*(20/100))+(DK437*(30/100))+(DL437*(50/100))) &lt;=6.8, SUM((DJ437*(20/100))+(DK437*(30/100))+(DL437*(50/100))) &gt;=6.3),6.5,
IF(AND( SUM((DJ437*(20/100))+(DK437*(30/100))+(DL437*(50/100))) &lt;=6.3, SUM((DJ437*(20/100))+(DK437*(30/100))+(DL437*(50/100))) &gt;=5.8),6,
IF(AND( SUM((DJ437*(20/100))+(DK437*(30/100))+(DL437*(50/100))) &lt;=5.8, SUM((DJ437*(20/100))+(DK437*(30/100))+(DL437*(50/100))) &gt;=5.3),5.5,
IF(AND( SUM((DJ437*(20/100))+(DK437*(30/100))+(DL437*(50/100))) &lt;=5.3, SUM((DJ437*(20/100))+(DK437*(30/100))+(DL437*(50/100))) &gt;=4.8),5,
IF(AND( SUM((DJ437*(20/100))+(DK437*(30/100))+(DL437*(50/100))) &lt;=4.8, SUM((DJ437*(20/100))+(DK437*(30/100))+(DL437*(50/100))) &gt;=4.3),4.5,
IF(AND( SUM((DJ437*(20/100))+(DK437*(30/100))+(DL437*(50/100))) &lt;=4.3, SUM((DJ437*(20/100))+(DK437*(30/100))+(DL437*(50/100))) &gt;=3.8),4,
IF(AND( SUM((DJ437*(20/100))+(DK437*(30/100))+(DL437*(50/100))) &lt;=3.8, SUM((DJ437*(20/100))+(DK437*(30/100))+(DL437*(50/100))) &gt;=3.5),3.5,0)))))))))))))</f>
        <v>0</v>
      </c>
      <c r="DQ437" s="541"/>
      <c r="DR437" s="541"/>
      <c r="DS437" s="541"/>
      <c r="DT437" s="541"/>
      <c r="DU437" s="541"/>
      <c r="DV437" s="541"/>
      <c r="DW437" s="541"/>
      <c r="DX437" s="541"/>
      <c r="DY437" s="541"/>
      <c r="DZ437" s="541"/>
    </row>
    <row r="438" spans="2:130" x14ac:dyDescent="0.25">
      <c r="B438" s="334">
        <v>31</v>
      </c>
      <c r="C438" s="541"/>
      <c r="D438" s="334"/>
      <c r="E438" s="334"/>
      <c r="F438" s="334"/>
      <c r="G438" s="334"/>
      <c r="H438" s="334"/>
      <c r="I438" s="334"/>
      <c r="J438" s="536"/>
      <c r="K438" s="536"/>
      <c r="L438" s="536"/>
      <c r="M438" s="536"/>
      <c r="N438" s="536"/>
      <c r="O438" s="536"/>
      <c r="P438" s="536">
        <f t="shared" si="151"/>
        <v>0</v>
      </c>
      <c r="Q438" s="536"/>
      <c r="R438" s="536"/>
      <c r="S438" s="536"/>
      <c r="T438" s="536">
        <f t="shared" si="152"/>
        <v>0</v>
      </c>
      <c r="U438" s="536"/>
      <c r="V438" s="536"/>
      <c r="W438" s="536"/>
      <c r="X438" s="536">
        <f t="shared" si="153"/>
        <v>0</v>
      </c>
      <c r="Y438" s="536"/>
      <c r="Z438" s="536"/>
      <c r="AA438" s="536"/>
      <c r="AB438" s="536">
        <f t="shared" si="154"/>
        <v>0</v>
      </c>
      <c r="AC438" s="536"/>
      <c r="AD438" s="536"/>
      <c r="AE438" s="536"/>
      <c r="AF438" s="536">
        <f t="shared" si="155"/>
        <v>0</v>
      </c>
      <c r="AG438" s="536"/>
      <c r="AH438" s="536"/>
      <c r="AI438" s="536"/>
      <c r="AJ438" s="536">
        <f t="shared" si="156"/>
        <v>0</v>
      </c>
      <c r="AK438" s="536"/>
      <c r="AL438" s="536"/>
      <c r="AM438" s="536"/>
      <c r="AN438" s="542">
        <f t="shared" si="157"/>
        <v>0</v>
      </c>
      <c r="AO438" s="536"/>
      <c r="AP438" s="536"/>
      <c r="AQ438" s="536"/>
      <c r="AR438" s="542">
        <f t="shared" si="158"/>
        <v>0</v>
      </c>
      <c r="AS438" s="536"/>
      <c r="AT438" s="536"/>
      <c r="AU438" s="536"/>
      <c r="AV438" s="542">
        <f t="shared" si="159"/>
        <v>0</v>
      </c>
      <c r="AW438" s="536"/>
      <c r="AX438" s="536"/>
      <c r="AY438" s="536"/>
      <c r="AZ438" s="542">
        <f t="shared" si="160"/>
        <v>0</v>
      </c>
      <c r="BA438" s="536"/>
      <c r="BB438" s="536"/>
      <c r="BC438" s="536"/>
      <c r="BD438" s="542">
        <f t="shared" si="161"/>
        <v>0</v>
      </c>
      <c r="BE438" s="536"/>
      <c r="BF438" s="536"/>
      <c r="BG438" s="536"/>
      <c r="BH438" s="542">
        <f t="shared" si="162"/>
        <v>0</v>
      </c>
      <c r="BI438" s="536"/>
      <c r="BJ438" s="536"/>
      <c r="BK438" s="536"/>
      <c r="BL438" s="542">
        <f t="shared" si="163"/>
        <v>0</v>
      </c>
      <c r="BM438" s="536"/>
      <c r="BN438" s="536"/>
      <c r="BO438" s="536"/>
      <c r="BP438" s="542">
        <f t="shared" si="164"/>
        <v>0</v>
      </c>
      <c r="BQ438" s="536"/>
      <c r="BR438" s="536"/>
      <c r="BS438" s="536"/>
      <c r="BT438" s="542">
        <f t="shared" si="165"/>
        <v>0</v>
      </c>
      <c r="BU438" s="536"/>
      <c r="BV438" s="536"/>
      <c r="BW438" s="536"/>
      <c r="BX438" s="542">
        <f t="shared" si="166"/>
        <v>0</v>
      </c>
      <c r="BY438" s="536"/>
      <c r="BZ438" s="536"/>
      <c r="CA438" s="536"/>
      <c r="CB438" s="542">
        <v>0</v>
      </c>
      <c r="CC438" s="536"/>
      <c r="CD438" s="536"/>
      <c r="CE438" s="536"/>
      <c r="CF438" s="541">
        <f t="shared" si="167"/>
        <v>0</v>
      </c>
      <c r="CG438" s="536"/>
      <c r="CH438" s="536"/>
      <c r="CI438" s="536"/>
      <c r="CJ438" s="541">
        <f t="shared" si="168"/>
        <v>0</v>
      </c>
      <c r="CK438" s="536"/>
      <c r="CL438" s="536"/>
      <c r="CM438" s="536"/>
      <c r="CN438" s="541">
        <f t="shared" si="169"/>
        <v>0</v>
      </c>
      <c r="CO438" s="536"/>
      <c r="CP438" s="536"/>
      <c r="CQ438" s="536"/>
      <c r="CR438" s="541">
        <f t="shared" si="170"/>
        <v>0</v>
      </c>
      <c r="CS438" s="536"/>
      <c r="CT438" s="536"/>
      <c r="CU438" s="536"/>
      <c r="CV438" s="541">
        <f t="shared" si="171"/>
        <v>0</v>
      </c>
      <c r="CW438" s="536"/>
      <c r="CX438" s="536"/>
      <c r="CY438" s="536"/>
      <c r="CZ438" s="541">
        <f t="shared" si="172"/>
        <v>0</v>
      </c>
      <c r="DA438" s="536"/>
      <c r="DB438" s="536"/>
      <c r="DC438" s="536"/>
      <c r="DD438" s="541">
        <f t="shared" si="173"/>
        <v>0</v>
      </c>
      <c r="DE438" s="536"/>
      <c r="DF438" s="536"/>
      <c r="DG438" s="536"/>
      <c r="DH438" s="541">
        <f t="shared" si="174"/>
        <v>0</v>
      </c>
      <c r="DI438" s="536"/>
      <c r="DJ438" s="536"/>
      <c r="DK438" s="536"/>
      <c r="DL438" s="541">
        <f t="shared" si="175"/>
        <v>0</v>
      </c>
      <c r="DM438" s="536"/>
      <c r="DN438" s="536"/>
      <c r="DO438" s="536"/>
      <c r="DP438" s="541">
        <f>IF( SUM((DJ438*(20/100))+(DK438*(30/100))+(DL438*(50/100))) &gt;=9.3,9.5,
IF(AND( SUM((DJ438*(20/100))+(DK438*(30/100))+(DL438*(50/100))) &lt;=9.3, SUM((DJ438*(20/100))+(DK438*(30/100))+(DL438*(50/100))) &gt;=8.8),9,
IF(AND( SUM((DJ438*(20/100))+(DK438*(30/100))+(DL438*(50/100))) &lt;=8.8, SUM((DJ438*(20/100))+(DK438*(30/100))+(DL438*(50/100))) &gt;=8.3),8.5,
IF(AND( SUM((DJ438*(20/100))+(DK438*(30/100))+(DL438*(50/100))) &lt;=8.3, SUM((DJ438*(20/100))+(DK438*(30/100))+(DL438*(50/100))) &gt;=7.8),8,
IF(AND( SUM((DJ438*(20/100))+(DK438*(30/100))+(DL438*(50/100))) &lt;=7.8, SUM((DJ438*(20/100))+(DK438*(30/100))+(DL438*(50/100))) &gt;=7.3),7.5,
IF(AND( SUM((DJ438*(20/100))+(DK438*(30/100))+(DL438*(50/100))) &lt;=7.3, SUM((DJ438*(20/100))+(DK438*(30/100))+(DL438*(50/100))) &gt;=6.8),7,
IF(AND( SUM((DJ438*(20/100))+(DK438*(30/100))+(DL438*(50/100))) &lt;=6.8, SUM((DJ438*(20/100))+(DK438*(30/100))+(DL438*(50/100))) &gt;=6.3),6.5,
IF(AND( SUM((DJ438*(20/100))+(DK438*(30/100))+(DL438*(50/100))) &lt;=6.3, SUM((DJ438*(20/100))+(DK438*(30/100))+(DL438*(50/100))) &gt;=5.8),6,
IF(AND( SUM((DJ438*(20/100))+(DK438*(30/100))+(DL438*(50/100))) &lt;=5.8, SUM((DJ438*(20/100))+(DK438*(30/100))+(DL438*(50/100))) &gt;=5.3),5.5,
IF(AND( SUM((DJ438*(20/100))+(DK438*(30/100))+(DL438*(50/100))) &lt;=5.3, SUM((DJ438*(20/100))+(DK438*(30/100))+(DL438*(50/100))) &gt;=4.8),5,
IF(AND( SUM((DJ438*(20/100))+(DK438*(30/100))+(DL438*(50/100))) &lt;=4.8, SUM((DJ438*(20/100))+(DK438*(30/100))+(DL438*(50/100))) &gt;=4.3),4.5,
IF(AND( SUM((DJ438*(20/100))+(DK438*(30/100))+(DL438*(50/100))) &lt;=4.3, SUM((DJ438*(20/100))+(DK438*(30/100))+(DL438*(50/100))) &gt;=3.8),4,
IF(AND( SUM((DJ438*(20/100))+(DK438*(30/100))+(DL438*(50/100))) &lt;=3.8, SUM((DJ438*(20/100))+(DK438*(30/100))+(DL438*(50/100))) &gt;=3.5),3.5,0)))))))))))))</f>
        <v>0</v>
      </c>
      <c r="DQ438" s="541"/>
      <c r="DR438" s="541"/>
      <c r="DS438" s="541"/>
      <c r="DT438" s="541"/>
      <c r="DU438" s="541"/>
      <c r="DV438" s="541"/>
      <c r="DW438" s="541"/>
      <c r="DX438" s="541"/>
      <c r="DY438" s="541"/>
      <c r="DZ438" s="541"/>
    </row>
    <row r="439" spans="2:130" x14ac:dyDescent="0.25">
      <c r="B439" s="334">
        <v>32</v>
      </c>
      <c r="C439" s="541"/>
      <c r="D439" s="334"/>
      <c r="E439" s="334"/>
      <c r="F439" s="334"/>
      <c r="G439" s="334"/>
      <c r="H439" s="334"/>
      <c r="I439" s="334"/>
      <c r="J439" s="536"/>
      <c r="K439" s="536"/>
      <c r="L439" s="536"/>
      <c r="M439" s="536"/>
      <c r="N439" s="536"/>
      <c r="O439" s="536"/>
      <c r="P439" s="536">
        <f t="shared" si="151"/>
        <v>0</v>
      </c>
      <c r="Q439" s="536"/>
      <c r="R439" s="536"/>
      <c r="S439" s="536"/>
      <c r="T439" s="536">
        <f t="shared" si="152"/>
        <v>0</v>
      </c>
      <c r="U439" s="536"/>
      <c r="V439" s="536"/>
      <c r="W439" s="536"/>
      <c r="X439" s="536">
        <f t="shared" si="153"/>
        <v>0</v>
      </c>
      <c r="Y439" s="536"/>
      <c r="Z439" s="536"/>
      <c r="AA439" s="536"/>
      <c r="AB439" s="536">
        <f t="shared" si="154"/>
        <v>0</v>
      </c>
      <c r="AC439" s="536"/>
      <c r="AD439" s="536"/>
      <c r="AE439" s="536"/>
      <c r="AF439" s="536">
        <f t="shared" si="155"/>
        <v>0</v>
      </c>
      <c r="AG439" s="536"/>
      <c r="AH439" s="536"/>
      <c r="AI439" s="536"/>
      <c r="AJ439" s="536">
        <f t="shared" si="156"/>
        <v>0</v>
      </c>
      <c r="AK439" s="536"/>
      <c r="AL439" s="536"/>
      <c r="AM439" s="536"/>
      <c r="AN439" s="542">
        <f t="shared" si="157"/>
        <v>0</v>
      </c>
      <c r="AO439" s="536"/>
      <c r="AP439" s="536"/>
      <c r="AQ439" s="536"/>
      <c r="AR439" s="542">
        <f t="shared" si="158"/>
        <v>0</v>
      </c>
      <c r="AS439" s="536"/>
      <c r="AT439" s="536"/>
      <c r="AU439" s="536"/>
      <c r="AV439" s="542">
        <f t="shared" si="159"/>
        <v>0</v>
      </c>
      <c r="AW439" s="536"/>
      <c r="AX439" s="536"/>
      <c r="AY439" s="536"/>
      <c r="AZ439" s="542">
        <f t="shared" si="160"/>
        <v>0</v>
      </c>
      <c r="BA439" s="536"/>
      <c r="BB439" s="536"/>
      <c r="BC439" s="536"/>
      <c r="BD439" s="542">
        <f t="shared" si="161"/>
        <v>0</v>
      </c>
      <c r="BE439" s="536"/>
      <c r="BF439" s="536"/>
      <c r="BG439" s="536"/>
      <c r="BH439" s="542">
        <f t="shared" si="162"/>
        <v>0</v>
      </c>
      <c r="BI439" s="536"/>
      <c r="BJ439" s="536"/>
      <c r="BK439" s="536"/>
      <c r="BL439" s="542">
        <f t="shared" si="163"/>
        <v>0</v>
      </c>
      <c r="BM439" s="536"/>
      <c r="BN439" s="536"/>
      <c r="BO439" s="536"/>
      <c r="BP439" s="542">
        <f t="shared" si="164"/>
        <v>0</v>
      </c>
      <c r="BQ439" s="536"/>
      <c r="BR439" s="536"/>
      <c r="BS439" s="536"/>
      <c r="BT439" s="542">
        <f t="shared" si="165"/>
        <v>0</v>
      </c>
      <c r="BU439" s="536"/>
      <c r="BV439" s="536"/>
      <c r="BW439" s="536"/>
      <c r="BX439" s="542">
        <f t="shared" si="166"/>
        <v>0</v>
      </c>
      <c r="BY439" s="536"/>
      <c r="BZ439" s="536"/>
      <c r="CA439" s="536"/>
      <c r="CB439" s="542">
        <v>0</v>
      </c>
      <c r="CC439" s="536"/>
      <c r="CD439" s="536"/>
      <c r="CE439" s="536"/>
      <c r="CF439" s="541">
        <f t="shared" si="167"/>
        <v>0</v>
      </c>
      <c r="CG439" s="536"/>
      <c r="CH439" s="536"/>
      <c r="CI439" s="536"/>
      <c r="CJ439" s="541">
        <f t="shared" si="168"/>
        <v>0</v>
      </c>
      <c r="CK439" s="536"/>
      <c r="CL439" s="536"/>
      <c r="CM439" s="536"/>
      <c r="CN439" s="541">
        <f t="shared" si="169"/>
        <v>0</v>
      </c>
      <c r="CO439" s="536"/>
      <c r="CP439" s="536"/>
      <c r="CQ439" s="536"/>
      <c r="CR439" s="541">
        <f t="shared" si="170"/>
        <v>0</v>
      </c>
      <c r="CS439" s="536"/>
      <c r="CT439" s="536"/>
      <c r="CU439" s="536"/>
      <c r="CV439" s="541">
        <f t="shared" si="171"/>
        <v>0</v>
      </c>
      <c r="CW439" s="536"/>
      <c r="CX439" s="536"/>
      <c r="CY439" s="536"/>
      <c r="CZ439" s="541">
        <f t="shared" si="172"/>
        <v>0</v>
      </c>
      <c r="DA439" s="536"/>
      <c r="DB439" s="536"/>
      <c r="DC439" s="536"/>
      <c r="DD439" s="541">
        <f t="shared" si="173"/>
        <v>0</v>
      </c>
      <c r="DE439" s="536"/>
      <c r="DF439" s="536"/>
      <c r="DG439" s="536"/>
      <c r="DH439" s="541">
        <f t="shared" si="174"/>
        <v>0</v>
      </c>
      <c r="DI439" s="536"/>
      <c r="DJ439" s="536"/>
      <c r="DK439" s="536"/>
      <c r="DL439" s="541">
        <f t="shared" si="175"/>
        <v>0</v>
      </c>
      <c r="DM439" s="536"/>
      <c r="DN439" s="536"/>
      <c r="DO439" s="536"/>
      <c r="DP439" s="541">
        <f>IF( SUM((DJ439*(20/100))+(DK439*(30/100))+(DL439*(50/100))) &gt;=9.3,9.5,
IF(AND( SUM((DJ439*(20/100))+(DK439*(30/100))+(DL439*(50/100))) &lt;=9.3, SUM((DJ439*(20/100))+(DK439*(30/100))+(DL439*(50/100))) &gt;=8.8),9,
IF(AND( SUM((DJ439*(20/100))+(DK439*(30/100))+(DL439*(50/100))) &lt;=8.8, SUM((DJ439*(20/100))+(DK439*(30/100))+(DL439*(50/100))) &gt;=8.3),8.5,
IF(AND( SUM((DJ439*(20/100))+(DK439*(30/100))+(DL439*(50/100))) &lt;=8.3, SUM((DJ439*(20/100))+(DK439*(30/100))+(DL439*(50/100))) &gt;=7.8),8,
IF(AND( SUM((DJ439*(20/100))+(DK439*(30/100))+(DL439*(50/100))) &lt;=7.8, SUM((DJ439*(20/100))+(DK439*(30/100))+(DL439*(50/100))) &gt;=7.3),7.5,
IF(AND( SUM((DJ439*(20/100))+(DK439*(30/100))+(DL439*(50/100))) &lt;=7.3, SUM((DJ439*(20/100))+(DK439*(30/100))+(DL439*(50/100))) &gt;=6.8),7,
IF(AND( SUM((DJ439*(20/100))+(DK439*(30/100))+(DL439*(50/100))) &lt;=6.8, SUM((DJ439*(20/100))+(DK439*(30/100))+(DL439*(50/100))) &gt;=6.3),6.5,
IF(AND( SUM((DJ439*(20/100))+(DK439*(30/100))+(DL439*(50/100))) &lt;=6.3, SUM((DJ439*(20/100))+(DK439*(30/100))+(DL439*(50/100))) &gt;=5.8),6,
IF(AND( SUM((DJ439*(20/100))+(DK439*(30/100))+(DL439*(50/100))) &lt;=5.8, SUM((DJ439*(20/100))+(DK439*(30/100))+(DL439*(50/100))) &gt;=5.3),5.5,
IF(AND( SUM((DJ439*(20/100))+(DK439*(30/100))+(DL439*(50/100))) &lt;=5.3, SUM((DJ439*(20/100))+(DK439*(30/100))+(DL439*(50/100))) &gt;=4.8),5,
IF(AND( SUM((DJ439*(20/100))+(DK439*(30/100))+(DL439*(50/100))) &lt;=4.8, SUM((DJ439*(20/100))+(DK439*(30/100))+(DL439*(50/100))) &gt;=4.3),4.5,
IF(AND( SUM((DJ439*(20/100))+(DK439*(30/100))+(DL439*(50/100))) &lt;=4.3, SUM((DJ439*(20/100))+(DK439*(30/100))+(DL439*(50/100))) &gt;=3.8),4,
IF(AND( SUM((DJ439*(20/100))+(DK439*(30/100))+(DL439*(50/100))) &lt;=3.8, SUM((DJ439*(20/100))+(DK439*(30/100))+(DL439*(50/100))) &gt;=3.5),3.5,0)))))))))))))</f>
        <v>0</v>
      </c>
      <c r="DQ439" s="541"/>
      <c r="DR439" s="541"/>
      <c r="DS439" s="541"/>
      <c r="DT439" s="541"/>
      <c r="DU439" s="541"/>
      <c r="DV439" s="541"/>
      <c r="DW439" s="541"/>
      <c r="DX439" s="541"/>
      <c r="DY439" s="541"/>
      <c r="DZ439" s="541"/>
    </row>
    <row r="440" spans="2:130" x14ac:dyDescent="0.25">
      <c r="B440" s="334">
        <v>33</v>
      </c>
      <c r="C440" s="541"/>
      <c r="D440" s="334"/>
      <c r="E440" s="334"/>
      <c r="F440" s="334"/>
      <c r="G440" s="334"/>
      <c r="H440" s="334"/>
      <c r="I440" s="334"/>
      <c r="J440" s="536"/>
      <c r="K440" s="536"/>
      <c r="L440" s="536"/>
      <c r="M440" s="536"/>
      <c r="N440" s="536"/>
      <c r="O440" s="536"/>
      <c r="P440" s="536">
        <f t="shared" si="151"/>
        <v>0</v>
      </c>
      <c r="Q440" s="536"/>
      <c r="R440" s="536"/>
      <c r="S440" s="536"/>
      <c r="T440" s="536">
        <f t="shared" si="152"/>
        <v>0</v>
      </c>
      <c r="U440" s="536"/>
      <c r="V440" s="536"/>
      <c r="W440" s="536"/>
      <c r="X440" s="536">
        <f t="shared" si="153"/>
        <v>0</v>
      </c>
      <c r="Y440" s="536"/>
      <c r="Z440" s="536"/>
      <c r="AA440" s="536"/>
      <c r="AB440" s="536">
        <f t="shared" si="154"/>
        <v>0</v>
      </c>
      <c r="AC440" s="536"/>
      <c r="AD440" s="536"/>
      <c r="AE440" s="536"/>
      <c r="AF440" s="536">
        <f t="shared" si="155"/>
        <v>0</v>
      </c>
      <c r="AG440" s="536"/>
      <c r="AH440" s="536"/>
      <c r="AI440" s="536"/>
      <c r="AJ440" s="536">
        <f t="shared" si="156"/>
        <v>0</v>
      </c>
      <c r="AK440" s="536"/>
      <c r="AL440" s="536"/>
      <c r="AM440" s="536"/>
      <c r="AN440" s="542">
        <f t="shared" si="157"/>
        <v>0</v>
      </c>
      <c r="AO440" s="536"/>
      <c r="AP440" s="536"/>
      <c r="AQ440" s="536"/>
      <c r="AR440" s="542">
        <f t="shared" si="158"/>
        <v>0</v>
      </c>
      <c r="AS440" s="536"/>
      <c r="AT440" s="536"/>
      <c r="AU440" s="536"/>
      <c r="AV440" s="542">
        <f t="shared" si="159"/>
        <v>0</v>
      </c>
      <c r="AW440" s="536"/>
      <c r="AX440" s="536"/>
      <c r="AY440" s="536"/>
      <c r="AZ440" s="542">
        <f t="shared" si="160"/>
        <v>0</v>
      </c>
      <c r="BA440" s="536"/>
      <c r="BB440" s="536"/>
      <c r="BC440" s="536"/>
      <c r="BD440" s="542">
        <f t="shared" si="161"/>
        <v>0</v>
      </c>
      <c r="BE440" s="536"/>
      <c r="BF440" s="536"/>
      <c r="BG440" s="536"/>
      <c r="BH440" s="542">
        <f t="shared" si="162"/>
        <v>0</v>
      </c>
      <c r="BI440" s="536"/>
      <c r="BJ440" s="536"/>
      <c r="BK440" s="536"/>
      <c r="BL440" s="542">
        <f t="shared" si="163"/>
        <v>0</v>
      </c>
      <c r="BM440" s="536"/>
      <c r="BN440" s="536"/>
      <c r="BO440" s="536"/>
      <c r="BP440" s="542">
        <f t="shared" si="164"/>
        <v>0</v>
      </c>
      <c r="BQ440" s="536"/>
      <c r="BR440" s="536"/>
      <c r="BS440" s="536"/>
      <c r="BT440" s="542">
        <f t="shared" si="165"/>
        <v>0</v>
      </c>
      <c r="BU440" s="536"/>
      <c r="BV440" s="536"/>
      <c r="BW440" s="536"/>
      <c r="BX440" s="542">
        <f t="shared" si="166"/>
        <v>0</v>
      </c>
      <c r="BY440" s="536"/>
      <c r="BZ440" s="536"/>
      <c r="CA440" s="536"/>
      <c r="CB440" s="542">
        <v>0</v>
      </c>
      <c r="CC440" s="536"/>
      <c r="CD440" s="536"/>
      <c r="CE440" s="536"/>
      <c r="CF440" s="541">
        <f t="shared" si="167"/>
        <v>0</v>
      </c>
      <c r="CG440" s="536"/>
      <c r="CH440" s="536"/>
      <c r="CI440" s="536"/>
      <c r="CJ440" s="541">
        <f t="shared" si="168"/>
        <v>0</v>
      </c>
      <c r="CK440" s="536"/>
      <c r="CL440" s="536"/>
      <c r="CM440" s="536"/>
      <c r="CN440" s="541">
        <f t="shared" si="169"/>
        <v>0</v>
      </c>
      <c r="CO440" s="536"/>
      <c r="CP440" s="536"/>
      <c r="CQ440" s="536"/>
      <c r="CR440" s="541">
        <f t="shared" si="170"/>
        <v>0</v>
      </c>
      <c r="CS440" s="536"/>
      <c r="CT440" s="536"/>
      <c r="CU440" s="536"/>
      <c r="CV440" s="541">
        <f t="shared" si="171"/>
        <v>0</v>
      </c>
      <c r="CW440" s="536"/>
      <c r="CX440" s="536"/>
      <c r="CY440" s="536"/>
      <c r="CZ440" s="541">
        <f t="shared" si="172"/>
        <v>0</v>
      </c>
      <c r="DA440" s="536"/>
      <c r="DB440" s="536"/>
      <c r="DC440" s="536"/>
      <c r="DD440" s="541">
        <f t="shared" si="173"/>
        <v>0</v>
      </c>
      <c r="DE440" s="536"/>
      <c r="DF440" s="536"/>
      <c r="DG440" s="536"/>
      <c r="DH440" s="541">
        <f t="shared" si="174"/>
        <v>0</v>
      </c>
      <c r="DI440" s="536"/>
      <c r="DJ440" s="536"/>
      <c r="DK440" s="536"/>
      <c r="DL440" s="541">
        <f t="shared" si="175"/>
        <v>0</v>
      </c>
      <c r="DM440" s="536"/>
      <c r="DN440" s="536"/>
      <c r="DO440" s="536"/>
      <c r="DP440" s="541">
        <f>IF( SUM((DJ440*(20/100))+(DK440*(30/100))+(DL440*(50/100))) &gt;=9.3,9.5,
IF(AND( SUM((DJ440*(20/100))+(DK440*(30/100))+(DL440*(50/100))) &lt;=9.3, SUM((DJ440*(20/100))+(DK440*(30/100))+(DL440*(50/100))) &gt;=8.8),9,
IF(AND( SUM((DJ440*(20/100))+(DK440*(30/100))+(DL440*(50/100))) &lt;=8.8, SUM((DJ440*(20/100))+(DK440*(30/100))+(DL440*(50/100))) &gt;=8.3),8.5,
IF(AND( SUM((DJ440*(20/100))+(DK440*(30/100))+(DL440*(50/100))) &lt;=8.3, SUM((DJ440*(20/100))+(DK440*(30/100))+(DL440*(50/100))) &gt;=7.8),8,
IF(AND( SUM((DJ440*(20/100))+(DK440*(30/100))+(DL440*(50/100))) &lt;=7.8, SUM((DJ440*(20/100))+(DK440*(30/100))+(DL440*(50/100))) &gt;=7.3),7.5,
IF(AND( SUM((DJ440*(20/100))+(DK440*(30/100))+(DL440*(50/100))) &lt;=7.3, SUM((DJ440*(20/100))+(DK440*(30/100))+(DL440*(50/100))) &gt;=6.8),7,
IF(AND( SUM((DJ440*(20/100))+(DK440*(30/100))+(DL440*(50/100))) &lt;=6.8, SUM((DJ440*(20/100))+(DK440*(30/100))+(DL440*(50/100))) &gt;=6.3),6.5,
IF(AND( SUM((DJ440*(20/100))+(DK440*(30/100))+(DL440*(50/100))) &lt;=6.3, SUM((DJ440*(20/100))+(DK440*(30/100))+(DL440*(50/100))) &gt;=5.8),6,
IF(AND( SUM((DJ440*(20/100))+(DK440*(30/100))+(DL440*(50/100))) &lt;=5.8, SUM((DJ440*(20/100))+(DK440*(30/100))+(DL440*(50/100))) &gt;=5.3),5.5,
IF(AND( SUM((DJ440*(20/100))+(DK440*(30/100))+(DL440*(50/100))) &lt;=5.3, SUM((DJ440*(20/100))+(DK440*(30/100))+(DL440*(50/100))) &gt;=4.8),5,
IF(AND( SUM((DJ440*(20/100))+(DK440*(30/100))+(DL440*(50/100))) &lt;=4.8, SUM((DJ440*(20/100))+(DK440*(30/100))+(DL440*(50/100))) &gt;=4.3),4.5,
IF(AND( SUM((DJ440*(20/100))+(DK440*(30/100))+(DL440*(50/100))) &lt;=4.3, SUM((DJ440*(20/100))+(DK440*(30/100))+(DL440*(50/100))) &gt;=3.8),4,
IF(AND( SUM((DJ440*(20/100))+(DK440*(30/100))+(DL440*(50/100))) &lt;=3.8, SUM((DJ440*(20/100))+(DK440*(30/100))+(DL440*(50/100))) &gt;=3.5),3.5,0)))))))))))))</f>
        <v>0</v>
      </c>
      <c r="DQ440" s="541"/>
      <c r="DR440" s="541"/>
      <c r="DS440" s="541"/>
      <c r="DT440" s="541"/>
      <c r="DU440" s="541"/>
      <c r="DV440" s="541"/>
      <c r="DW440" s="541"/>
      <c r="DX440" s="541"/>
      <c r="DY440" s="541"/>
      <c r="DZ440" s="541"/>
    </row>
    <row r="441" spans="2:130" x14ac:dyDescent="0.25">
      <c r="B441" s="334">
        <v>34</v>
      </c>
      <c r="C441" s="541"/>
      <c r="D441" s="334"/>
      <c r="E441" s="334"/>
      <c r="F441" s="334"/>
      <c r="G441" s="334"/>
      <c r="H441" s="334"/>
      <c r="I441" s="334"/>
      <c r="J441" s="536"/>
      <c r="K441" s="536"/>
      <c r="L441" s="536"/>
      <c r="M441" s="536"/>
      <c r="N441" s="536"/>
      <c r="O441" s="536"/>
      <c r="P441" s="536">
        <f t="shared" si="151"/>
        <v>0</v>
      </c>
      <c r="Q441" s="536"/>
      <c r="R441" s="536"/>
      <c r="S441" s="536"/>
      <c r="T441" s="536">
        <f t="shared" si="152"/>
        <v>0</v>
      </c>
      <c r="U441" s="536"/>
      <c r="V441" s="536"/>
      <c r="W441" s="536"/>
      <c r="X441" s="536">
        <f t="shared" si="153"/>
        <v>0</v>
      </c>
      <c r="Y441" s="536"/>
      <c r="Z441" s="536"/>
      <c r="AA441" s="536"/>
      <c r="AB441" s="536">
        <f t="shared" si="154"/>
        <v>0</v>
      </c>
      <c r="AC441" s="536"/>
      <c r="AD441" s="536"/>
      <c r="AE441" s="536"/>
      <c r="AF441" s="536">
        <f t="shared" si="155"/>
        <v>0</v>
      </c>
      <c r="AG441" s="536"/>
      <c r="AH441" s="536"/>
      <c r="AI441" s="536"/>
      <c r="AJ441" s="536">
        <f t="shared" si="156"/>
        <v>0</v>
      </c>
      <c r="AK441" s="536"/>
      <c r="AL441" s="536"/>
      <c r="AM441" s="536"/>
      <c r="AN441" s="542">
        <f t="shared" si="157"/>
        <v>0</v>
      </c>
      <c r="AO441" s="536"/>
      <c r="AP441" s="536"/>
      <c r="AQ441" s="536"/>
      <c r="AR441" s="542">
        <f t="shared" si="158"/>
        <v>0</v>
      </c>
      <c r="AS441" s="536"/>
      <c r="AT441" s="536"/>
      <c r="AU441" s="536"/>
      <c r="AV441" s="542">
        <f t="shared" si="159"/>
        <v>0</v>
      </c>
      <c r="AW441" s="536"/>
      <c r="AX441" s="536"/>
      <c r="AY441" s="536"/>
      <c r="AZ441" s="542">
        <f t="shared" si="160"/>
        <v>0</v>
      </c>
      <c r="BA441" s="536"/>
      <c r="BB441" s="536"/>
      <c r="BC441" s="536"/>
      <c r="BD441" s="542">
        <f t="shared" si="161"/>
        <v>0</v>
      </c>
      <c r="BE441" s="536"/>
      <c r="BF441" s="536"/>
      <c r="BG441" s="536"/>
      <c r="BH441" s="542">
        <f t="shared" si="162"/>
        <v>0</v>
      </c>
      <c r="BI441" s="536"/>
      <c r="BJ441" s="536"/>
      <c r="BK441" s="536"/>
      <c r="BL441" s="542">
        <f t="shared" si="163"/>
        <v>0</v>
      </c>
      <c r="BM441" s="536"/>
      <c r="BN441" s="536"/>
      <c r="BO441" s="536"/>
      <c r="BP441" s="542">
        <f t="shared" si="164"/>
        <v>0</v>
      </c>
      <c r="BQ441" s="536"/>
      <c r="BR441" s="536"/>
      <c r="BS441" s="536"/>
      <c r="BT441" s="542">
        <f t="shared" si="165"/>
        <v>0</v>
      </c>
      <c r="BU441" s="536"/>
      <c r="BV441" s="536"/>
      <c r="BW441" s="536"/>
      <c r="BX441" s="542">
        <f t="shared" si="166"/>
        <v>0</v>
      </c>
      <c r="BY441" s="536"/>
      <c r="BZ441" s="536"/>
      <c r="CA441" s="536"/>
      <c r="CB441" s="542">
        <v>0</v>
      </c>
      <c r="CC441" s="536"/>
      <c r="CD441" s="536"/>
      <c r="CE441" s="536"/>
      <c r="CF441" s="541">
        <f t="shared" si="167"/>
        <v>0</v>
      </c>
      <c r="CG441" s="536"/>
      <c r="CH441" s="536"/>
      <c r="CI441" s="536"/>
      <c r="CJ441" s="541">
        <f t="shared" si="168"/>
        <v>0</v>
      </c>
      <c r="CK441" s="536"/>
      <c r="CL441" s="536"/>
      <c r="CM441" s="536"/>
      <c r="CN441" s="541">
        <f t="shared" si="169"/>
        <v>0</v>
      </c>
      <c r="CO441" s="536"/>
      <c r="CP441" s="536"/>
      <c r="CQ441" s="536"/>
      <c r="CR441" s="541">
        <f t="shared" si="170"/>
        <v>0</v>
      </c>
      <c r="CS441" s="536"/>
      <c r="CT441" s="536"/>
      <c r="CU441" s="536"/>
      <c r="CV441" s="541">
        <f t="shared" si="171"/>
        <v>0</v>
      </c>
      <c r="CW441" s="536"/>
      <c r="CX441" s="536"/>
      <c r="CY441" s="536"/>
      <c r="CZ441" s="541">
        <f t="shared" si="172"/>
        <v>0</v>
      </c>
      <c r="DA441" s="536"/>
      <c r="DB441" s="536"/>
      <c r="DC441" s="536"/>
      <c r="DD441" s="541">
        <f t="shared" si="173"/>
        <v>0</v>
      </c>
      <c r="DE441" s="536"/>
      <c r="DF441" s="536"/>
      <c r="DG441" s="536"/>
      <c r="DH441" s="541">
        <f t="shared" si="174"/>
        <v>0</v>
      </c>
      <c r="DI441" s="536"/>
      <c r="DJ441" s="536"/>
      <c r="DK441" s="536"/>
      <c r="DL441" s="541">
        <f t="shared" si="175"/>
        <v>0</v>
      </c>
      <c r="DM441" s="536"/>
      <c r="DN441" s="536"/>
      <c r="DO441" s="536"/>
      <c r="DP441" s="541">
        <f>IF( SUM((DJ441*(20/100))+(DK441*(30/100))+(DL441*(50/100))) &gt;=9.3,9.5,
IF(AND( SUM((DJ441*(20/100))+(DK441*(30/100))+(DL441*(50/100))) &lt;=9.3, SUM((DJ441*(20/100))+(DK441*(30/100))+(DL441*(50/100))) &gt;=8.8),9,
IF(AND( SUM((DJ441*(20/100))+(DK441*(30/100))+(DL441*(50/100))) &lt;=8.8, SUM((DJ441*(20/100))+(DK441*(30/100))+(DL441*(50/100))) &gt;=8.3),8.5,
IF(AND( SUM((DJ441*(20/100))+(DK441*(30/100))+(DL441*(50/100))) &lt;=8.3, SUM((DJ441*(20/100))+(DK441*(30/100))+(DL441*(50/100))) &gt;=7.8),8,
IF(AND( SUM((DJ441*(20/100))+(DK441*(30/100))+(DL441*(50/100))) &lt;=7.8, SUM((DJ441*(20/100))+(DK441*(30/100))+(DL441*(50/100))) &gt;=7.3),7.5,
IF(AND( SUM((DJ441*(20/100))+(DK441*(30/100))+(DL441*(50/100))) &lt;=7.3, SUM((DJ441*(20/100))+(DK441*(30/100))+(DL441*(50/100))) &gt;=6.8),7,
IF(AND( SUM((DJ441*(20/100))+(DK441*(30/100))+(DL441*(50/100))) &lt;=6.8, SUM((DJ441*(20/100))+(DK441*(30/100))+(DL441*(50/100))) &gt;=6.3),6.5,
IF(AND( SUM((DJ441*(20/100))+(DK441*(30/100))+(DL441*(50/100))) &lt;=6.3, SUM((DJ441*(20/100))+(DK441*(30/100))+(DL441*(50/100))) &gt;=5.8),6,
IF(AND( SUM((DJ441*(20/100))+(DK441*(30/100))+(DL441*(50/100))) &lt;=5.8, SUM((DJ441*(20/100))+(DK441*(30/100))+(DL441*(50/100))) &gt;=5.3),5.5,
IF(AND( SUM((DJ441*(20/100))+(DK441*(30/100))+(DL441*(50/100))) &lt;=5.3, SUM((DJ441*(20/100))+(DK441*(30/100))+(DL441*(50/100))) &gt;=4.8),5,
IF(AND( SUM((DJ441*(20/100))+(DK441*(30/100))+(DL441*(50/100))) &lt;=4.8, SUM((DJ441*(20/100))+(DK441*(30/100))+(DL441*(50/100))) &gt;=4.3),4.5,
IF(AND( SUM((DJ441*(20/100))+(DK441*(30/100))+(DL441*(50/100))) &lt;=4.3, SUM((DJ441*(20/100))+(DK441*(30/100))+(DL441*(50/100))) &gt;=3.8),4,
IF(AND( SUM((DJ441*(20/100))+(DK441*(30/100))+(DL441*(50/100))) &lt;=3.8, SUM((DJ441*(20/100))+(DK441*(30/100))+(DL441*(50/100))) &gt;=3.5),3.5,0)))))))))))))</f>
        <v>0</v>
      </c>
      <c r="DQ441" s="541"/>
      <c r="DR441" s="541"/>
      <c r="DS441" s="541"/>
      <c r="DT441" s="541"/>
      <c r="DU441" s="541"/>
      <c r="DV441" s="541"/>
      <c r="DW441" s="541"/>
      <c r="DX441" s="541"/>
      <c r="DY441" s="541"/>
      <c r="DZ441" s="541"/>
    </row>
    <row r="442" spans="2:130" x14ac:dyDescent="0.25">
      <c r="B442" s="334">
        <v>35</v>
      </c>
      <c r="C442" s="541"/>
      <c r="D442" s="334"/>
      <c r="E442" s="334"/>
      <c r="F442" s="334"/>
      <c r="G442" s="334"/>
      <c r="H442" s="334"/>
      <c r="I442" s="334"/>
      <c r="J442" s="536"/>
      <c r="K442" s="536"/>
      <c r="L442" s="536"/>
      <c r="M442" s="536"/>
      <c r="N442" s="536"/>
      <c r="O442" s="536"/>
      <c r="P442" s="536">
        <f t="shared" si="151"/>
        <v>0</v>
      </c>
      <c r="Q442" s="536"/>
      <c r="R442" s="536"/>
      <c r="S442" s="536"/>
      <c r="T442" s="536">
        <f t="shared" si="152"/>
        <v>0</v>
      </c>
      <c r="U442" s="536"/>
      <c r="V442" s="536"/>
      <c r="W442" s="536"/>
      <c r="X442" s="536">
        <f t="shared" si="153"/>
        <v>0</v>
      </c>
      <c r="Y442" s="536"/>
      <c r="Z442" s="536"/>
      <c r="AA442" s="536"/>
      <c r="AB442" s="536">
        <f t="shared" si="154"/>
        <v>0</v>
      </c>
      <c r="AC442" s="536"/>
      <c r="AD442" s="536"/>
      <c r="AE442" s="536"/>
      <c r="AF442" s="536">
        <f t="shared" si="155"/>
        <v>0</v>
      </c>
      <c r="AG442" s="536"/>
      <c r="AH442" s="536"/>
      <c r="AI442" s="536"/>
      <c r="AJ442" s="536">
        <f t="shared" si="156"/>
        <v>0</v>
      </c>
      <c r="AK442" s="536"/>
      <c r="AL442" s="536"/>
      <c r="AM442" s="536"/>
      <c r="AN442" s="542">
        <f t="shared" si="157"/>
        <v>0</v>
      </c>
      <c r="AO442" s="536"/>
      <c r="AP442" s="536"/>
      <c r="AQ442" s="536"/>
      <c r="AR442" s="542">
        <f t="shared" si="158"/>
        <v>0</v>
      </c>
      <c r="AS442" s="536"/>
      <c r="AT442" s="536"/>
      <c r="AU442" s="536"/>
      <c r="AV442" s="542">
        <f t="shared" si="159"/>
        <v>0</v>
      </c>
      <c r="AW442" s="536"/>
      <c r="AX442" s="536"/>
      <c r="AY442" s="536"/>
      <c r="AZ442" s="542">
        <f t="shared" si="160"/>
        <v>0</v>
      </c>
      <c r="BA442" s="536"/>
      <c r="BB442" s="536"/>
      <c r="BC442" s="536"/>
      <c r="BD442" s="542">
        <f t="shared" si="161"/>
        <v>0</v>
      </c>
      <c r="BE442" s="536"/>
      <c r="BF442" s="536"/>
      <c r="BG442" s="536"/>
      <c r="BH442" s="542">
        <f t="shared" si="162"/>
        <v>0</v>
      </c>
      <c r="BI442" s="536"/>
      <c r="BJ442" s="536"/>
      <c r="BK442" s="536"/>
      <c r="BL442" s="542">
        <f t="shared" si="163"/>
        <v>0</v>
      </c>
      <c r="BM442" s="536"/>
      <c r="BN442" s="536"/>
      <c r="BO442" s="536"/>
      <c r="BP442" s="542">
        <f t="shared" si="164"/>
        <v>0</v>
      </c>
      <c r="BQ442" s="536"/>
      <c r="BR442" s="536"/>
      <c r="BS442" s="536"/>
      <c r="BT442" s="542">
        <f t="shared" si="165"/>
        <v>0</v>
      </c>
      <c r="BU442" s="536"/>
      <c r="BV442" s="536"/>
      <c r="BW442" s="536"/>
      <c r="BX442" s="542">
        <f t="shared" si="166"/>
        <v>0</v>
      </c>
      <c r="BY442" s="536"/>
      <c r="BZ442" s="536"/>
      <c r="CA442" s="536"/>
      <c r="CB442" s="542">
        <v>0</v>
      </c>
      <c r="CC442" s="536"/>
      <c r="CD442" s="536"/>
      <c r="CE442" s="536"/>
      <c r="CF442" s="541">
        <f t="shared" si="167"/>
        <v>0</v>
      </c>
      <c r="CG442" s="536"/>
      <c r="CH442" s="536"/>
      <c r="CI442" s="536"/>
      <c r="CJ442" s="541">
        <f t="shared" si="168"/>
        <v>0</v>
      </c>
      <c r="CK442" s="536"/>
      <c r="CL442" s="536"/>
      <c r="CM442" s="536"/>
      <c r="CN442" s="541">
        <f t="shared" si="169"/>
        <v>0</v>
      </c>
      <c r="CO442" s="536"/>
      <c r="CP442" s="536"/>
      <c r="CQ442" s="536"/>
      <c r="CR442" s="541">
        <f t="shared" si="170"/>
        <v>0</v>
      </c>
      <c r="CS442" s="536"/>
      <c r="CT442" s="536"/>
      <c r="CU442" s="536"/>
      <c r="CV442" s="541">
        <f t="shared" si="171"/>
        <v>0</v>
      </c>
      <c r="CW442" s="536"/>
      <c r="CX442" s="536"/>
      <c r="CY442" s="536"/>
      <c r="CZ442" s="541">
        <f t="shared" si="172"/>
        <v>0</v>
      </c>
      <c r="DA442" s="536"/>
      <c r="DB442" s="536"/>
      <c r="DC442" s="536"/>
      <c r="DD442" s="541">
        <f t="shared" si="173"/>
        <v>0</v>
      </c>
      <c r="DE442" s="536"/>
      <c r="DF442" s="536"/>
      <c r="DG442" s="536"/>
      <c r="DH442" s="541">
        <f t="shared" si="174"/>
        <v>0</v>
      </c>
      <c r="DI442" s="536"/>
      <c r="DJ442" s="536"/>
      <c r="DK442" s="536"/>
      <c r="DL442" s="541">
        <f t="shared" si="175"/>
        <v>0</v>
      </c>
      <c r="DM442" s="536"/>
      <c r="DN442" s="536"/>
      <c r="DO442" s="536"/>
      <c r="DP442" s="541">
        <f>IF( SUM((DJ442*(20/100))+(DK442*(30/100))+(DL442*(50/100))) &gt;=9.3,9.5,
IF(AND( SUM((DJ442*(20/100))+(DK442*(30/100))+(DL442*(50/100))) &lt;=9.3, SUM((DJ442*(20/100))+(DK442*(30/100))+(DL442*(50/100))) &gt;=8.8),9,
IF(AND( SUM((DJ442*(20/100))+(DK442*(30/100))+(DL442*(50/100))) &lt;=8.8, SUM((DJ442*(20/100))+(DK442*(30/100))+(DL442*(50/100))) &gt;=8.3),8.5,
IF(AND( SUM((DJ442*(20/100))+(DK442*(30/100))+(DL442*(50/100))) &lt;=8.3, SUM((DJ442*(20/100))+(DK442*(30/100))+(DL442*(50/100))) &gt;=7.8),8,
IF(AND( SUM((DJ442*(20/100))+(DK442*(30/100))+(DL442*(50/100))) &lt;=7.8, SUM((DJ442*(20/100))+(DK442*(30/100))+(DL442*(50/100))) &gt;=7.3),7.5,
IF(AND( SUM((DJ442*(20/100))+(DK442*(30/100))+(DL442*(50/100))) &lt;=7.3, SUM((DJ442*(20/100))+(DK442*(30/100))+(DL442*(50/100))) &gt;=6.8),7,
IF(AND( SUM((DJ442*(20/100))+(DK442*(30/100))+(DL442*(50/100))) &lt;=6.8, SUM((DJ442*(20/100))+(DK442*(30/100))+(DL442*(50/100))) &gt;=6.3),6.5,
IF(AND( SUM((DJ442*(20/100))+(DK442*(30/100))+(DL442*(50/100))) &lt;=6.3, SUM((DJ442*(20/100))+(DK442*(30/100))+(DL442*(50/100))) &gt;=5.8),6,
IF(AND( SUM((DJ442*(20/100))+(DK442*(30/100))+(DL442*(50/100))) &lt;=5.8, SUM((DJ442*(20/100))+(DK442*(30/100))+(DL442*(50/100))) &gt;=5.3),5.5,
IF(AND( SUM((DJ442*(20/100))+(DK442*(30/100))+(DL442*(50/100))) &lt;=5.3, SUM((DJ442*(20/100))+(DK442*(30/100))+(DL442*(50/100))) &gt;=4.8),5,
IF(AND( SUM((DJ442*(20/100))+(DK442*(30/100))+(DL442*(50/100))) &lt;=4.8, SUM((DJ442*(20/100))+(DK442*(30/100))+(DL442*(50/100))) &gt;=4.3),4.5,
IF(AND( SUM((DJ442*(20/100))+(DK442*(30/100))+(DL442*(50/100))) &lt;=4.3, SUM((DJ442*(20/100))+(DK442*(30/100))+(DL442*(50/100))) &gt;=3.8),4,
IF(AND( SUM((DJ442*(20/100))+(DK442*(30/100))+(DL442*(50/100))) &lt;=3.8, SUM((DJ442*(20/100))+(DK442*(30/100))+(DL442*(50/100))) &gt;=3.5),3.5,0)))))))))))))</f>
        <v>0</v>
      </c>
      <c r="DQ442" s="541"/>
      <c r="DR442" s="541"/>
      <c r="DS442" s="541"/>
      <c r="DT442" s="541"/>
      <c r="DU442" s="541"/>
      <c r="DV442" s="541"/>
      <c r="DW442" s="541"/>
      <c r="DX442" s="541"/>
      <c r="DY442" s="541"/>
      <c r="DZ442" s="541"/>
    </row>
    <row r="443" spans="2:130" x14ac:dyDescent="0.25">
      <c r="B443" s="334">
        <v>36</v>
      </c>
      <c r="C443" s="541"/>
      <c r="D443" s="334"/>
      <c r="E443" s="334"/>
      <c r="F443" s="334"/>
      <c r="G443" s="334"/>
      <c r="H443" s="334"/>
      <c r="I443" s="334"/>
      <c r="J443" s="536"/>
      <c r="K443" s="536"/>
      <c r="L443" s="536"/>
      <c r="M443" s="536"/>
      <c r="N443" s="536"/>
      <c r="O443" s="536"/>
      <c r="P443" s="536">
        <f t="shared" si="151"/>
        <v>0</v>
      </c>
      <c r="Q443" s="536"/>
      <c r="R443" s="536"/>
      <c r="S443" s="536"/>
      <c r="T443" s="536">
        <f t="shared" si="152"/>
        <v>0</v>
      </c>
      <c r="U443" s="536"/>
      <c r="V443" s="536"/>
      <c r="W443" s="536"/>
      <c r="X443" s="536">
        <f t="shared" si="153"/>
        <v>0</v>
      </c>
      <c r="Y443" s="536"/>
      <c r="Z443" s="536"/>
      <c r="AA443" s="536"/>
      <c r="AB443" s="536">
        <f t="shared" si="154"/>
        <v>0</v>
      </c>
      <c r="AC443" s="536"/>
      <c r="AD443" s="536"/>
      <c r="AE443" s="536"/>
      <c r="AF443" s="536">
        <f t="shared" si="155"/>
        <v>0</v>
      </c>
      <c r="AG443" s="536"/>
      <c r="AH443" s="536"/>
      <c r="AI443" s="536"/>
      <c r="AJ443" s="536">
        <f t="shared" si="156"/>
        <v>0</v>
      </c>
      <c r="AK443" s="536"/>
      <c r="AL443" s="536"/>
      <c r="AM443" s="536"/>
      <c r="AN443" s="542">
        <f t="shared" si="157"/>
        <v>0</v>
      </c>
      <c r="AO443" s="536"/>
      <c r="AP443" s="536"/>
      <c r="AQ443" s="536"/>
      <c r="AR443" s="542">
        <f t="shared" si="158"/>
        <v>0</v>
      </c>
      <c r="AS443" s="536"/>
      <c r="AT443" s="536"/>
      <c r="AU443" s="536"/>
      <c r="AV443" s="542">
        <f t="shared" si="159"/>
        <v>0</v>
      </c>
      <c r="AW443" s="536"/>
      <c r="AX443" s="536"/>
      <c r="AY443" s="536"/>
      <c r="AZ443" s="542">
        <f t="shared" si="160"/>
        <v>0</v>
      </c>
      <c r="BA443" s="536"/>
      <c r="BB443" s="536"/>
      <c r="BC443" s="536"/>
      <c r="BD443" s="542">
        <f t="shared" si="161"/>
        <v>0</v>
      </c>
      <c r="BE443" s="536"/>
      <c r="BF443" s="536"/>
      <c r="BG443" s="536"/>
      <c r="BH443" s="542">
        <f t="shared" si="162"/>
        <v>0</v>
      </c>
      <c r="BI443" s="536"/>
      <c r="BJ443" s="536"/>
      <c r="BK443" s="536"/>
      <c r="BL443" s="542">
        <f t="shared" si="163"/>
        <v>0</v>
      </c>
      <c r="BM443" s="536"/>
      <c r="BN443" s="536"/>
      <c r="BO443" s="536"/>
      <c r="BP443" s="542">
        <f t="shared" si="164"/>
        <v>0</v>
      </c>
      <c r="BQ443" s="536"/>
      <c r="BR443" s="536"/>
      <c r="BS443" s="536"/>
      <c r="BT443" s="542">
        <f t="shared" si="165"/>
        <v>0</v>
      </c>
      <c r="BU443" s="536"/>
      <c r="BV443" s="536"/>
      <c r="BW443" s="536"/>
      <c r="BX443" s="542">
        <f t="shared" si="166"/>
        <v>0</v>
      </c>
      <c r="BY443" s="536"/>
      <c r="BZ443" s="536"/>
      <c r="CA443" s="536"/>
      <c r="CB443" s="542">
        <v>0</v>
      </c>
      <c r="CC443" s="536"/>
      <c r="CD443" s="536"/>
      <c r="CE443" s="536"/>
      <c r="CF443" s="541">
        <f t="shared" si="167"/>
        <v>0</v>
      </c>
      <c r="CG443" s="536"/>
      <c r="CH443" s="536"/>
      <c r="CI443" s="536"/>
      <c r="CJ443" s="541">
        <f t="shared" si="168"/>
        <v>0</v>
      </c>
      <c r="CK443" s="536"/>
      <c r="CL443" s="536"/>
      <c r="CM443" s="536"/>
      <c r="CN443" s="541">
        <f t="shared" si="169"/>
        <v>0</v>
      </c>
      <c r="CO443" s="536"/>
      <c r="CP443" s="536"/>
      <c r="CQ443" s="536"/>
      <c r="CR443" s="541">
        <f t="shared" si="170"/>
        <v>0</v>
      </c>
      <c r="CS443" s="536"/>
      <c r="CT443" s="536"/>
      <c r="CU443" s="536"/>
      <c r="CV443" s="541">
        <f t="shared" si="171"/>
        <v>0</v>
      </c>
      <c r="CW443" s="536"/>
      <c r="CX443" s="536"/>
      <c r="CY443" s="536"/>
      <c r="CZ443" s="541">
        <f t="shared" si="172"/>
        <v>0</v>
      </c>
      <c r="DA443" s="536"/>
      <c r="DB443" s="536"/>
      <c r="DC443" s="536"/>
      <c r="DD443" s="541">
        <f t="shared" si="173"/>
        <v>0</v>
      </c>
      <c r="DE443" s="536"/>
      <c r="DF443" s="536"/>
      <c r="DG443" s="536"/>
      <c r="DH443" s="541">
        <f t="shared" si="174"/>
        <v>0</v>
      </c>
      <c r="DI443" s="536"/>
      <c r="DJ443" s="536"/>
      <c r="DK443" s="536"/>
      <c r="DL443" s="541">
        <f t="shared" si="175"/>
        <v>0</v>
      </c>
      <c r="DM443" s="536"/>
      <c r="DN443" s="536"/>
      <c r="DO443" s="536"/>
      <c r="DP443" s="541">
        <f>IF( SUM((DJ443*(20/100))+(DK443*(30/100))+(DL443*(50/100))) &gt;=9.3,9.5,
IF(AND( SUM((DJ443*(20/100))+(DK443*(30/100))+(DL443*(50/100))) &lt;=9.3, SUM((DJ443*(20/100))+(DK443*(30/100))+(DL443*(50/100))) &gt;=8.8),9,
IF(AND( SUM((DJ443*(20/100))+(DK443*(30/100))+(DL443*(50/100))) &lt;=8.8, SUM((DJ443*(20/100))+(DK443*(30/100))+(DL443*(50/100))) &gt;=8.3),8.5,
IF(AND( SUM((DJ443*(20/100))+(DK443*(30/100))+(DL443*(50/100))) &lt;=8.3, SUM((DJ443*(20/100))+(DK443*(30/100))+(DL443*(50/100))) &gt;=7.8),8,
IF(AND( SUM((DJ443*(20/100))+(DK443*(30/100))+(DL443*(50/100))) &lt;=7.8, SUM((DJ443*(20/100))+(DK443*(30/100))+(DL443*(50/100))) &gt;=7.3),7.5,
IF(AND( SUM((DJ443*(20/100))+(DK443*(30/100))+(DL443*(50/100))) &lt;=7.3, SUM((DJ443*(20/100))+(DK443*(30/100))+(DL443*(50/100))) &gt;=6.8),7,
IF(AND( SUM((DJ443*(20/100))+(DK443*(30/100))+(DL443*(50/100))) &lt;=6.8, SUM((DJ443*(20/100))+(DK443*(30/100))+(DL443*(50/100))) &gt;=6.3),6.5,
IF(AND( SUM((DJ443*(20/100))+(DK443*(30/100))+(DL443*(50/100))) &lt;=6.3, SUM((DJ443*(20/100))+(DK443*(30/100))+(DL443*(50/100))) &gt;=5.8),6,
IF(AND( SUM((DJ443*(20/100))+(DK443*(30/100))+(DL443*(50/100))) &lt;=5.8, SUM((DJ443*(20/100))+(DK443*(30/100))+(DL443*(50/100))) &gt;=5.3),5.5,
IF(AND( SUM((DJ443*(20/100))+(DK443*(30/100))+(DL443*(50/100))) &lt;=5.3, SUM((DJ443*(20/100))+(DK443*(30/100))+(DL443*(50/100))) &gt;=4.8),5,
IF(AND( SUM((DJ443*(20/100))+(DK443*(30/100))+(DL443*(50/100))) &lt;=4.8, SUM((DJ443*(20/100))+(DK443*(30/100))+(DL443*(50/100))) &gt;=4.3),4.5,
IF(AND( SUM((DJ443*(20/100))+(DK443*(30/100))+(DL443*(50/100))) &lt;=4.3, SUM((DJ443*(20/100))+(DK443*(30/100))+(DL443*(50/100))) &gt;=3.8),4,
IF(AND( SUM((DJ443*(20/100))+(DK443*(30/100))+(DL443*(50/100))) &lt;=3.8, SUM((DJ443*(20/100))+(DK443*(30/100))+(DL443*(50/100))) &gt;=3.5),3.5,0)))))))))))))</f>
        <v>0</v>
      </c>
      <c r="DQ443" s="541"/>
      <c r="DR443" s="541"/>
      <c r="DS443" s="541"/>
      <c r="DT443" s="541"/>
      <c r="DU443" s="541"/>
      <c r="DV443" s="541"/>
      <c r="DW443" s="541"/>
      <c r="DX443" s="541"/>
      <c r="DY443" s="541"/>
      <c r="DZ443" s="541"/>
    </row>
    <row r="444" spans="2:130" x14ac:dyDescent="0.25">
      <c r="B444" s="334">
        <v>37</v>
      </c>
      <c r="C444" s="541"/>
      <c r="D444" s="334"/>
      <c r="E444" s="334"/>
      <c r="F444" s="334"/>
      <c r="G444" s="334"/>
      <c r="H444" s="334"/>
      <c r="I444" s="334"/>
      <c r="J444" s="536"/>
      <c r="K444" s="536"/>
      <c r="L444" s="536"/>
      <c r="M444" s="536"/>
      <c r="N444" s="536"/>
      <c r="O444" s="536"/>
      <c r="P444" s="536">
        <f t="shared" si="151"/>
        <v>0</v>
      </c>
      <c r="Q444" s="536"/>
      <c r="R444" s="536"/>
      <c r="S444" s="536"/>
      <c r="T444" s="536">
        <f t="shared" si="152"/>
        <v>0</v>
      </c>
      <c r="U444" s="536"/>
      <c r="V444" s="536"/>
      <c r="W444" s="536"/>
      <c r="X444" s="536">
        <f t="shared" si="153"/>
        <v>0</v>
      </c>
      <c r="Y444" s="536"/>
      <c r="Z444" s="536"/>
      <c r="AA444" s="536"/>
      <c r="AB444" s="536">
        <f t="shared" si="154"/>
        <v>0</v>
      </c>
      <c r="AC444" s="536"/>
      <c r="AD444" s="536"/>
      <c r="AE444" s="536"/>
      <c r="AF444" s="536">
        <f t="shared" si="155"/>
        <v>0</v>
      </c>
      <c r="AG444" s="536"/>
      <c r="AH444" s="536"/>
      <c r="AI444" s="536"/>
      <c r="AJ444" s="536">
        <f t="shared" si="156"/>
        <v>0</v>
      </c>
      <c r="AK444" s="536"/>
      <c r="AL444" s="536"/>
      <c r="AM444" s="536"/>
      <c r="AN444" s="542">
        <f t="shared" si="157"/>
        <v>0</v>
      </c>
      <c r="AO444" s="536"/>
      <c r="AP444" s="536"/>
      <c r="AQ444" s="536"/>
      <c r="AR444" s="542">
        <f t="shared" si="158"/>
        <v>0</v>
      </c>
      <c r="AS444" s="536"/>
      <c r="AT444" s="536"/>
      <c r="AU444" s="536"/>
      <c r="AV444" s="542">
        <f t="shared" si="159"/>
        <v>0</v>
      </c>
      <c r="AW444" s="536"/>
      <c r="AX444" s="536"/>
      <c r="AY444" s="536"/>
      <c r="AZ444" s="542">
        <f t="shared" si="160"/>
        <v>0</v>
      </c>
      <c r="BA444" s="536"/>
      <c r="BB444" s="536"/>
      <c r="BC444" s="536"/>
      <c r="BD444" s="542">
        <f t="shared" si="161"/>
        <v>0</v>
      </c>
      <c r="BE444" s="536"/>
      <c r="BF444" s="536"/>
      <c r="BG444" s="536"/>
      <c r="BH444" s="542">
        <f t="shared" si="162"/>
        <v>0</v>
      </c>
      <c r="BI444" s="536"/>
      <c r="BJ444" s="536"/>
      <c r="BK444" s="536"/>
      <c r="BL444" s="542">
        <f t="shared" si="163"/>
        <v>0</v>
      </c>
      <c r="BM444" s="536"/>
      <c r="BN444" s="536"/>
      <c r="BO444" s="536"/>
      <c r="BP444" s="542">
        <f t="shared" si="164"/>
        <v>0</v>
      </c>
      <c r="BQ444" s="536"/>
      <c r="BR444" s="536"/>
      <c r="BS444" s="536"/>
      <c r="BT444" s="542">
        <f t="shared" si="165"/>
        <v>0</v>
      </c>
      <c r="BU444" s="536"/>
      <c r="BV444" s="536"/>
      <c r="BW444" s="536"/>
      <c r="BX444" s="542">
        <f t="shared" si="166"/>
        <v>0</v>
      </c>
      <c r="BY444" s="536"/>
      <c r="BZ444" s="536"/>
      <c r="CA444" s="536"/>
      <c r="CB444" s="542">
        <v>0</v>
      </c>
      <c r="CC444" s="536"/>
      <c r="CD444" s="536"/>
      <c r="CE444" s="536"/>
      <c r="CF444" s="541">
        <f t="shared" si="167"/>
        <v>0</v>
      </c>
      <c r="CG444" s="536"/>
      <c r="CH444" s="536"/>
      <c r="CI444" s="536"/>
      <c r="CJ444" s="541">
        <f t="shared" si="168"/>
        <v>0</v>
      </c>
      <c r="CK444" s="536"/>
      <c r="CL444" s="536"/>
      <c r="CM444" s="536"/>
      <c r="CN444" s="541">
        <f t="shared" si="169"/>
        <v>0</v>
      </c>
      <c r="CO444" s="536"/>
      <c r="CP444" s="536"/>
      <c r="CQ444" s="536"/>
      <c r="CR444" s="541">
        <f t="shared" si="170"/>
        <v>0</v>
      </c>
      <c r="CS444" s="536"/>
      <c r="CT444" s="536"/>
      <c r="CU444" s="536"/>
      <c r="CV444" s="541">
        <f t="shared" si="171"/>
        <v>0</v>
      </c>
      <c r="CW444" s="536"/>
      <c r="CX444" s="536"/>
      <c r="CY444" s="536"/>
      <c r="CZ444" s="541">
        <f t="shared" si="172"/>
        <v>0</v>
      </c>
      <c r="DA444" s="536"/>
      <c r="DB444" s="536"/>
      <c r="DC444" s="536"/>
      <c r="DD444" s="541">
        <f t="shared" si="173"/>
        <v>0</v>
      </c>
      <c r="DE444" s="536"/>
      <c r="DF444" s="536"/>
      <c r="DG444" s="536"/>
      <c r="DH444" s="541">
        <f t="shared" si="174"/>
        <v>0</v>
      </c>
      <c r="DI444" s="536"/>
      <c r="DJ444" s="536"/>
      <c r="DK444" s="536"/>
      <c r="DL444" s="541">
        <f t="shared" si="175"/>
        <v>0</v>
      </c>
      <c r="DM444" s="536"/>
      <c r="DN444" s="536"/>
      <c r="DO444" s="536"/>
      <c r="DP444" s="541">
        <f>IF( SUM((DJ444*(20/100))+(DK444*(30/100))+(DL444*(50/100))) &gt;=9.3,9.5,
IF(AND( SUM((DJ444*(20/100))+(DK444*(30/100))+(DL444*(50/100))) &lt;=9.3, SUM((DJ444*(20/100))+(DK444*(30/100))+(DL444*(50/100))) &gt;=8.8),9,
IF(AND( SUM((DJ444*(20/100))+(DK444*(30/100))+(DL444*(50/100))) &lt;=8.8, SUM((DJ444*(20/100))+(DK444*(30/100))+(DL444*(50/100))) &gt;=8.3),8.5,
IF(AND( SUM((DJ444*(20/100))+(DK444*(30/100))+(DL444*(50/100))) &lt;=8.3, SUM((DJ444*(20/100))+(DK444*(30/100))+(DL444*(50/100))) &gt;=7.8),8,
IF(AND( SUM((DJ444*(20/100))+(DK444*(30/100))+(DL444*(50/100))) &lt;=7.8, SUM((DJ444*(20/100))+(DK444*(30/100))+(DL444*(50/100))) &gt;=7.3),7.5,
IF(AND( SUM((DJ444*(20/100))+(DK444*(30/100))+(DL444*(50/100))) &lt;=7.3, SUM((DJ444*(20/100))+(DK444*(30/100))+(DL444*(50/100))) &gt;=6.8),7,
IF(AND( SUM((DJ444*(20/100))+(DK444*(30/100))+(DL444*(50/100))) &lt;=6.8, SUM((DJ444*(20/100))+(DK444*(30/100))+(DL444*(50/100))) &gt;=6.3),6.5,
IF(AND( SUM((DJ444*(20/100))+(DK444*(30/100))+(DL444*(50/100))) &lt;=6.3, SUM((DJ444*(20/100))+(DK444*(30/100))+(DL444*(50/100))) &gt;=5.8),6,
IF(AND( SUM((DJ444*(20/100))+(DK444*(30/100))+(DL444*(50/100))) &lt;=5.8, SUM((DJ444*(20/100))+(DK444*(30/100))+(DL444*(50/100))) &gt;=5.3),5.5,
IF(AND( SUM((DJ444*(20/100))+(DK444*(30/100))+(DL444*(50/100))) &lt;=5.3, SUM((DJ444*(20/100))+(DK444*(30/100))+(DL444*(50/100))) &gt;=4.8),5,
IF(AND( SUM((DJ444*(20/100))+(DK444*(30/100))+(DL444*(50/100))) &lt;=4.8, SUM((DJ444*(20/100))+(DK444*(30/100))+(DL444*(50/100))) &gt;=4.3),4.5,
IF(AND( SUM((DJ444*(20/100))+(DK444*(30/100))+(DL444*(50/100))) &lt;=4.3, SUM((DJ444*(20/100))+(DK444*(30/100))+(DL444*(50/100))) &gt;=3.8),4,
IF(AND( SUM((DJ444*(20/100))+(DK444*(30/100))+(DL444*(50/100))) &lt;=3.8, SUM((DJ444*(20/100))+(DK444*(30/100))+(DL444*(50/100))) &gt;=3.5),3.5,0)))))))))))))</f>
        <v>0</v>
      </c>
      <c r="DQ444" s="541"/>
      <c r="DR444" s="541"/>
      <c r="DS444" s="541"/>
      <c r="DT444" s="541"/>
      <c r="DU444" s="541"/>
      <c r="DV444" s="541"/>
      <c r="DW444" s="541"/>
      <c r="DX444" s="541"/>
      <c r="DY444" s="541"/>
      <c r="DZ444" s="541"/>
    </row>
    <row r="445" spans="2:130" x14ac:dyDescent="0.25">
      <c r="B445" s="334">
        <v>38</v>
      </c>
      <c r="C445" s="541"/>
      <c r="D445" s="334"/>
      <c r="E445" s="334"/>
      <c r="F445" s="334"/>
      <c r="G445" s="334"/>
      <c r="H445" s="334"/>
      <c r="I445" s="334"/>
      <c r="J445" s="536"/>
      <c r="K445" s="536"/>
      <c r="L445" s="536"/>
      <c r="M445" s="536"/>
      <c r="N445" s="536"/>
      <c r="O445" s="536"/>
      <c r="P445" s="536">
        <f t="shared" si="151"/>
        <v>0</v>
      </c>
      <c r="Q445" s="536"/>
      <c r="R445" s="536"/>
      <c r="S445" s="536"/>
      <c r="T445" s="536">
        <f t="shared" si="152"/>
        <v>0</v>
      </c>
      <c r="U445" s="536"/>
      <c r="V445" s="536"/>
      <c r="W445" s="536"/>
      <c r="X445" s="536">
        <f t="shared" si="153"/>
        <v>0</v>
      </c>
      <c r="Y445" s="536"/>
      <c r="Z445" s="536"/>
      <c r="AA445" s="536"/>
      <c r="AB445" s="536">
        <f t="shared" si="154"/>
        <v>0</v>
      </c>
      <c r="AC445" s="536"/>
      <c r="AD445" s="536"/>
      <c r="AE445" s="536"/>
      <c r="AF445" s="536">
        <f t="shared" si="155"/>
        <v>0</v>
      </c>
      <c r="AG445" s="536"/>
      <c r="AH445" s="536"/>
      <c r="AI445" s="536"/>
      <c r="AJ445" s="536">
        <f t="shared" si="156"/>
        <v>0</v>
      </c>
      <c r="AK445" s="536"/>
      <c r="AL445" s="536"/>
      <c r="AM445" s="536"/>
      <c r="AN445" s="542">
        <f t="shared" si="157"/>
        <v>0</v>
      </c>
      <c r="AO445" s="536"/>
      <c r="AP445" s="536"/>
      <c r="AQ445" s="536"/>
      <c r="AR445" s="542">
        <f t="shared" si="158"/>
        <v>0</v>
      </c>
      <c r="AS445" s="536"/>
      <c r="AT445" s="536"/>
      <c r="AU445" s="536"/>
      <c r="AV445" s="542">
        <f t="shared" si="159"/>
        <v>0</v>
      </c>
      <c r="AW445" s="536"/>
      <c r="AX445" s="536"/>
      <c r="AY445" s="536"/>
      <c r="AZ445" s="542">
        <f t="shared" si="160"/>
        <v>0</v>
      </c>
      <c r="BA445" s="536"/>
      <c r="BB445" s="536"/>
      <c r="BC445" s="536"/>
      <c r="BD445" s="542">
        <f t="shared" si="161"/>
        <v>0</v>
      </c>
      <c r="BE445" s="536"/>
      <c r="BF445" s="536"/>
      <c r="BG445" s="536"/>
      <c r="BH445" s="542">
        <f t="shared" si="162"/>
        <v>0</v>
      </c>
      <c r="BI445" s="536"/>
      <c r="BJ445" s="536"/>
      <c r="BK445" s="536"/>
      <c r="BL445" s="542">
        <f t="shared" si="163"/>
        <v>0</v>
      </c>
      <c r="BM445" s="536"/>
      <c r="BN445" s="536"/>
      <c r="BO445" s="536"/>
      <c r="BP445" s="542">
        <f t="shared" si="164"/>
        <v>0</v>
      </c>
      <c r="BQ445" s="536"/>
      <c r="BR445" s="536"/>
      <c r="BS445" s="536"/>
      <c r="BT445" s="542">
        <f t="shared" si="165"/>
        <v>0</v>
      </c>
      <c r="BU445" s="536"/>
      <c r="BV445" s="536"/>
      <c r="BW445" s="536"/>
      <c r="BX445" s="542">
        <f t="shared" si="166"/>
        <v>0</v>
      </c>
      <c r="BY445" s="536"/>
      <c r="BZ445" s="536"/>
      <c r="CA445" s="536"/>
      <c r="CB445" s="542">
        <v>0</v>
      </c>
      <c r="CC445" s="536"/>
      <c r="CD445" s="536"/>
      <c r="CE445" s="536"/>
      <c r="CF445" s="541">
        <f t="shared" si="167"/>
        <v>0</v>
      </c>
      <c r="CG445" s="536"/>
      <c r="CH445" s="536"/>
      <c r="CI445" s="536"/>
      <c r="CJ445" s="541">
        <f t="shared" si="168"/>
        <v>0</v>
      </c>
      <c r="CK445" s="536"/>
      <c r="CL445" s="536"/>
      <c r="CM445" s="536"/>
      <c r="CN445" s="541">
        <f t="shared" si="169"/>
        <v>0</v>
      </c>
      <c r="CO445" s="536"/>
      <c r="CP445" s="536"/>
      <c r="CQ445" s="536"/>
      <c r="CR445" s="541">
        <f t="shared" si="170"/>
        <v>0</v>
      </c>
      <c r="CS445" s="536"/>
      <c r="CT445" s="536"/>
      <c r="CU445" s="536"/>
      <c r="CV445" s="541">
        <f t="shared" si="171"/>
        <v>0</v>
      </c>
      <c r="CW445" s="536"/>
      <c r="CX445" s="536"/>
      <c r="CY445" s="536"/>
      <c r="CZ445" s="541">
        <f t="shared" si="172"/>
        <v>0</v>
      </c>
      <c r="DA445" s="536"/>
      <c r="DB445" s="536"/>
      <c r="DC445" s="536"/>
      <c r="DD445" s="541">
        <f t="shared" si="173"/>
        <v>0</v>
      </c>
      <c r="DE445" s="536"/>
      <c r="DF445" s="536"/>
      <c r="DG445" s="536"/>
      <c r="DH445" s="541">
        <f t="shared" si="174"/>
        <v>0</v>
      </c>
      <c r="DI445" s="536"/>
      <c r="DJ445" s="536"/>
      <c r="DK445" s="536"/>
      <c r="DL445" s="541">
        <f t="shared" si="175"/>
        <v>0</v>
      </c>
      <c r="DM445" s="536"/>
      <c r="DN445" s="536"/>
      <c r="DO445" s="536"/>
      <c r="DP445" s="541">
        <f>IF( SUM((DJ445*(20/100))+(DK445*(30/100))+(DL445*(50/100))) &gt;=9.3,9.5,
IF(AND( SUM((DJ445*(20/100))+(DK445*(30/100))+(DL445*(50/100))) &lt;=9.3, SUM((DJ445*(20/100))+(DK445*(30/100))+(DL445*(50/100))) &gt;=8.8),9,
IF(AND( SUM((DJ445*(20/100))+(DK445*(30/100))+(DL445*(50/100))) &lt;=8.8, SUM((DJ445*(20/100))+(DK445*(30/100))+(DL445*(50/100))) &gt;=8.3),8.5,
IF(AND( SUM((DJ445*(20/100))+(DK445*(30/100))+(DL445*(50/100))) &lt;=8.3, SUM((DJ445*(20/100))+(DK445*(30/100))+(DL445*(50/100))) &gt;=7.8),8,
IF(AND( SUM((DJ445*(20/100))+(DK445*(30/100))+(DL445*(50/100))) &lt;=7.8, SUM((DJ445*(20/100))+(DK445*(30/100))+(DL445*(50/100))) &gt;=7.3),7.5,
IF(AND( SUM((DJ445*(20/100))+(DK445*(30/100))+(DL445*(50/100))) &lt;=7.3, SUM((DJ445*(20/100))+(DK445*(30/100))+(DL445*(50/100))) &gt;=6.8),7,
IF(AND( SUM((DJ445*(20/100))+(DK445*(30/100))+(DL445*(50/100))) &lt;=6.8, SUM((DJ445*(20/100))+(DK445*(30/100))+(DL445*(50/100))) &gt;=6.3),6.5,
IF(AND( SUM((DJ445*(20/100))+(DK445*(30/100))+(DL445*(50/100))) &lt;=6.3, SUM((DJ445*(20/100))+(DK445*(30/100))+(DL445*(50/100))) &gt;=5.8),6,
IF(AND( SUM((DJ445*(20/100))+(DK445*(30/100))+(DL445*(50/100))) &lt;=5.8, SUM((DJ445*(20/100))+(DK445*(30/100))+(DL445*(50/100))) &gt;=5.3),5.5,
IF(AND( SUM((DJ445*(20/100))+(DK445*(30/100))+(DL445*(50/100))) &lt;=5.3, SUM((DJ445*(20/100))+(DK445*(30/100))+(DL445*(50/100))) &gt;=4.8),5,
IF(AND( SUM((DJ445*(20/100))+(DK445*(30/100))+(DL445*(50/100))) &lt;=4.8, SUM((DJ445*(20/100))+(DK445*(30/100))+(DL445*(50/100))) &gt;=4.3),4.5,
IF(AND( SUM((DJ445*(20/100))+(DK445*(30/100))+(DL445*(50/100))) &lt;=4.3, SUM((DJ445*(20/100))+(DK445*(30/100))+(DL445*(50/100))) &gt;=3.8),4,
IF(AND( SUM((DJ445*(20/100))+(DK445*(30/100))+(DL445*(50/100))) &lt;=3.8, SUM((DJ445*(20/100))+(DK445*(30/100))+(DL445*(50/100))) &gt;=3.5),3.5,0)))))))))))))</f>
        <v>0</v>
      </c>
      <c r="DQ445" s="541"/>
      <c r="DR445" s="541"/>
      <c r="DS445" s="541"/>
      <c r="DT445" s="541"/>
      <c r="DU445" s="541"/>
      <c r="DV445" s="541"/>
      <c r="DW445" s="541"/>
      <c r="DX445" s="541"/>
      <c r="DY445" s="541"/>
      <c r="DZ445" s="541"/>
    </row>
    <row r="446" spans="2:130" x14ac:dyDescent="0.25">
      <c r="B446" s="334">
        <v>39</v>
      </c>
      <c r="C446" s="541"/>
      <c r="D446" s="334"/>
      <c r="E446" s="334"/>
      <c r="F446" s="334"/>
      <c r="G446" s="334"/>
      <c r="H446" s="334"/>
      <c r="I446" s="334"/>
      <c r="J446" s="536"/>
      <c r="K446" s="536"/>
      <c r="L446" s="536"/>
      <c r="M446" s="536"/>
      <c r="N446" s="536"/>
      <c r="O446" s="536"/>
      <c r="P446" s="536">
        <f t="shared" si="151"/>
        <v>0</v>
      </c>
      <c r="Q446" s="536"/>
      <c r="R446" s="536"/>
      <c r="S446" s="536"/>
      <c r="T446" s="536">
        <f t="shared" si="152"/>
        <v>0</v>
      </c>
      <c r="U446" s="536"/>
      <c r="V446" s="536"/>
      <c r="W446" s="536"/>
      <c r="X446" s="536">
        <f t="shared" si="153"/>
        <v>0</v>
      </c>
      <c r="Y446" s="536"/>
      <c r="Z446" s="536"/>
      <c r="AA446" s="536"/>
      <c r="AB446" s="536">
        <f t="shared" si="154"/>
        <v>0</v>
      </c>
      <c r="AC446" s="536"/>
      <c r="AD446" s="536"/>
      <c r="AE446" s="536"/>
      <c r="AF446" s="536">
        <f t="shared" si="155"/>
        <v>0</v>
      </c>
      <c r="AG446" s="536"/>
      <c r="AH446" s="536"/>
      <c r="AI446" s="536"/>
      <c r="AJ446" s="536">
        <f t="shared" si="156"/>
        <v>0</v>
      </c>
      <c r="AK446" s="536"/>
      <c r="AL446" s="536"/>
      <c r="AM446" s="536"/>
      <c r="AN446" s="542">
        <f t="shared" si="157"/>
        <v>0</v>
      </c>
      <c r="AO446" s="536"/>
      <c r="AP446" s="536"/>
      <c r="AQ446" s="536"/>
      <c r="AR446" s="542">
        <f t="shared" si="158"/>
        <v>0</v>
      </c>
      <c r="AS446" s="536"/>
      <c r="AT446" s="536"/>
      <c r="AU446" s="536"/>
      <c r="AV446" s="542">
        <f t="shared" si="159"/>
        <v>0</v>
      </c>
      <c r="AW446" s="536"/>
      <c r="AX446" s="536"/>
      <c r="AY446" s="536"/>
      <c r="AZ446" s="542">
        <f t="shared" si="160"/>
        <v>0</v>
      </c>
      <c r="BA446" s="536"/>
      <c r="BB446" s="536"/>
      <c r="BC446" s="536"/>
      <c r="BD446" s="542">
        <f t="shared" si="161"/>
        <v>0</v>
      </c>
      <c r="BE446" s="536"/>
      <c r="BF446" s="536"/>
      <c r="BG446" s="536"/>
      <c r="BH446" s="542">
        <f t="shared" si="162"/>
        <v>0</v>
      </c>
      <c r="BI446" s="536"/>
      <c r="BJ446" s="536"/>
      <c r="BK446" s="536"/>
      <c r="BL446" s="542">
        <f t="shared" si="163"/>
        <v>0</v>
      </c>
      <c r="BM446" s="536"/>
      <c r="BN446" s="536"/>
      <c r="BO446" s="536"/>
      <c r="BP446" s="542">
        <f t="shared" si="164"/>
        <v>0</v>
      </c>
      <c r="BQ446" s="536"/>
      <c r="BR446" s="536"/>
      <c r="BS446" s="536"/>
      <c r="BT446" s="542">
        <f t="shared" si="165"/>
        <v>0</v>
      </c>
      <c r="BU446" s="536"/>
      <c r="BV446" s="536"/>
      <c r="BW446" s="536"/>
      <c r="BX446" s="542">
        <f t="shared" si="166"/>
        <v>0</v>
      </c>
      <c r="BY446" s="536"/>
      <c r="BZ446" s="536"/>
      <c r="CA446" s="536"/>
      <c r="CB446" s="542">
        <v>0</v>
      </c>
      <c r="CC446" s="536"/>
      <c r="CD446" s="536"/>
      <c r="CE446" s="536"/>
      <c r="CF446" s="541">
        <f t="shared" si="167"/>
        <v>0</v>
      </c>
      <c r="CG446" s="536"/>
      <c r="CH446" s="536"/>
      <c r="CI446" s="536"/>
      <c r="CJ446" s="541">
        <f t="shared" si="168"/>
        <v>0</v>
      </c>
      <c r="CK446" s="536"/>
      <c r="CL446" s="536"/>
      <c r="CM446" s="536"/>
      <c r="CN446" s="541">
        <f t="shared" si="169"/>
        <v>0</v>
      </c>
      <c r="CO446" s="536"/>
      <c r="CP446" s="536"/>
      <c r="CQ446" s="536"/>
      <c r="CR446" s="541">
        <f t="shared" si="170"/>
        <v>0</v>
      </c>
      <c r="CS446" s="536"/>
      <c r="CT446" s="536"/>
      <c r="CU446" s="536"/>
      <c r="CV446" s="541">
        <f t="shared" si="171"/>
        <v>0</v>
      </c>
      <c r="CW446" s="536"/>
      <c r="CX446" s="536"/>
      <c r="CY446" s="536"/>
      <c r="CZ446" s="541">
        <f t="shared" si="172"/>
        <v>0</v>
      </c>
      <c r="DA446" s="536"/>
      <c r="DB446" s="536"/>
      <c r="DC446" s="536"/>
      <c r="DD446" s="541">
        <f t="shared" si="173"/>
        <v>0</v>
      </c>
      <c r="DE446" s="536"/>
      <c r="DF446" s="536"/>
      <c r="DG446" s="536"/>
      <c r="DH446" s="541">
        <f t="shared" si="174"/>
        <v>0</v>
      </c>
      <c r="DI446" s="536"/>
      <c r="DJ446" s="536"/>
      <c r="DK446" s="536"/>
      <c r="DL446" s="541">
        <f t="shared" si="175"/>
        <v>0</v>
      </c>
      <c r="DM446" s="536"/>
      <c r="DN446" s="536"/>
      <c r="DO446" s="536"/>
      <c r="DP446" s="541">
        <f>IF( SUM((DJ446*(20/100))+(DK446*(30/100))+(DL446*(50/100))) &gt;=9.3,9.5,
IF(AND( SUM((DJ446*(20/100))+(DK446*(30/100))+(DL446*(50/100))) &lt;=9.3, SUM((DJ446*(20/100))+(DK446*(30/100))+(DL446*(50/100))) &gt;=8.8),9,
IF(AND( SUM((DJ446*(20/100))+(DK446*(30/100))+(DL446*(50/100))) &lt;=8.8, SUM((DJ446*(20/100))+(DK446*(30/100))+(DL446*(50/100))) &gt;=8.3),8.5,
IF(AND( SUM((DJ446*(20/100))+(DK446*(30/100))+(DL446*(50/100))) &lt;=8.3, SUM((DJ446*(20/100))+(DK446*(30/100))+(DL446*(50/100))) &gt;=7.8),8,
IF(AND( SUM((DJ446*(20/100))+(DK446*(30/100))+(DL446*(50/100))) &lt;=7.8, SUM((DJ446*(20/100))+(DK446*(30/100))+(DL446*(50/100))) &gt;=7.3),7.5,
IF(AND( SUM((DJ446*(20/100))+(DK446*(30/100))+(DL446*(50/100))) &lt;=7.3, SUM((DJ446*(20/100))+(DK446*(30/100))+(DL446*(50/100))) &gt;=6.8),7,
IF(AND( SUM((DJ446*(20/100))+(DK446*(30/100))+(DL446*(50/100))) &lt;=6.8, SUM((DJ446*(20/100))+(DK446*(30/100))+(DL446*(50/100))) &gt;=6.3),6.5,
IF(AND( SUM((DJ446*(20/100))+(DK446*(30/100))+(DL446*(50/100))) &lt;=6.3, SUM((DJ446*(20/100))+(DK446*(30/100))+(DL446*(50/100))) &gt;=5.8),6,
IF(AND( SUM((DJ446*(20/100))+(DK446*(30/100))+(DL446*(50/100))) &lt;=5.8, SUM((DJ446*(20/100))+(DK446*(30/100))+(DL446*(50/100))) &gt;=5.3),5.5,
IF(AND( SUM((DJ446*(20/100))+(DK446*(30/100))+(DL446*(50/100))) &lt;=5.3, SUM((DJ446*(20/100))+(DK446*(30/100))+(DL446*(50/100))) &gt;=4.8),5,
IF(AND( SUM((DJ446*(20/100))+(DK446*(30/100))+(DL446*(50/100))) &lt;=4.8, SUM((DJ446*(20/100))+(DK446*(30/100))+(DL446*(50/100))) &gt;=4.3),4.5,
IF(AND( SUM((DJ446*(20/100))+(DK446*(30/100))+(DL446*(50/100))) &lt;=4.3, SUM((DJ446*(20/100))+(DK446*(30/100))+(DL446*(50/100))) &gt;=3.8),4,
IF(AND( SUM((DJ446*(20/100))+(DK446*(30/100))+(DL446*(50/100))) &lt;=3.8, SUM((DJ446*(20/100))+(DK446*(30/100))+(DL446*(50/100))) &gt;=3.5),3.5,0)))))))))))))</f>
        <v>0</v>
      </c>
      <c r="DQ446" s="541"/>
      <c r="DR446" s="541"/>
      <c r="DS446" s="541"/>
      <c r="DT446" s="541"/>
      <c r="DU446" s="541"/>
      <c r="DV446" s="541"/>
      <c r="DW446" s="541"/>
      <c r="DX446" s="541"/>
      <c r="DY446" s="541"/>
      <c r="DZ446" s="541"/>
    </row>
    <row r="447" spans="2:130" x14ac:dyDescent="0.25">
      <c r="B447" s="334">
        <v>40</v>
      </c>
      <c r="C447" s="541"/>
      <c r="D447" s="334"/>
      <c r="E447" s="334"/>
      <c r="F447" s="334"/>
      <c r="G447" s="334"/>
      <c r="H447" s="334"/>
      <c r="I447" s="334"/>
      <c r="J447" s="536"/>
      <c r="K447" s="536"/>
      <c r="L447" s="536"/>
      <c r="M447" s="536"/>
      <c r="N447" s="536"/>
      <c r="O447" s="536"/>
      <c r="P447" s="536">
        <f t="shared" si="151"/>
        <v>0</v>
      </c>
      <c r="Q447" s="536"/>
      <c r="R447" s="536"/>
      <c r="S447" s="536"/>
      <c r="T447" s="536">
        <f t="shared" si="152"/>
        <v>0</v>
      </c>
      <c r="U447" s="536"/>
      <c r="V447" s="536"/>
      <c r="W447" s="536"/>
      <c r="X447" s="536">
        <f t="shared" si="153"/>
        <v>0</v>
      </c>
      <c r="Y447" s="536"/>
      <c r="Z447" s="536"/>
      <c r="AA447" s="536"/>
      <c r="AB447" s="536">
        <f t="shared" si="154"/>
        <v>0</v>
      </c>
      <c r="AC447" s="536"/>
      <c r="AD447" s="536"/>
      <c r="AE447" s="536"/>
      <c r="AF447" s="536">
        <f t="shared" si="155"/>
        <v>0</v>
      </c>
      <c r="AG447" s="536"/>
      <c r="AH447" s="536"/>
      <c r="AI447" s="536"/>
      <c r="AJ447" s="536">
        <f t="shared" si="156"/>
        <v>0</v>
      </c>
      <c r="AK447" s="536"/>
      <c r="AL447" s="536"/>
      <c r="AM447" s="536"/>
      <c r="AN447" s="542">
        <f t="shared" si="157"/>
        <v>0</v>
      </c>
      <c r="AO447" s="536"/>
      <c r="AP447" s="536"/>
      <c r="AQ447" s="536"/>
      <c r="AR447" s="542">
        <f t="shared" si="158"/>
        <v>0</v>
      </c>
      <c r="AS447" s="536"/>
      <c r="AT447" s="536"/>
      <c r="AU447" s="536"/>
      <c r="AV447" s="542">
        <f t="shared" si="159"/>
        <v>0</v>
      </c>
      <c r="AW447" s="536"/>
      <c r="AX447" s="536"/>
      <c r="AY447" s="536"/>
      <c r="AZ447" s="542">
        <f t="shared" si="160"/>
        <v>0</v>
      </c>
      <c r="BA447" s="536"/>
      <c r="BB447" s="536"/>
      <c r="BC447" s="536"/>
      <c r="BD447" s="542">
        <f t="shared" si="161"/>
        <v>0</v>
      </c>
      <c r="BE447" s="536"/>
      <c r="BF447" s="536"/>
      <c r="BG447" s="536"/>
      <c r="BH447" s="542">
        <f t="shared" si="162"/>
        <v>0</v>
      </c>
      <c r="BI447" s="536"/>
      <c r="BJ447" s="536"/>
      <c r="BK447" s="536"/>
      <c r="BL447" s="542">
        <f t="shared" si="163"/>
        <v>0</v>
      </c>
      <c r="BM447" s="536"/>
      <c r="BN447" s="536"/>
      <c r="BO447" s="536"/>
      <c r="BP447" s="542">
        <f t="shared" si="164"/>
        <v>0</v>
      </c>
      <c r="BQ447" s="536"/>
      <c r="BR447" s="536"/>
      <c r="BS447" s="536"/>
      <c r="BT447" s="542">
        <f t="shared" si="165"/>
        <v>0</v>
      </c>
      <c r="BU447" s="536"/>
      <c r="BV447" s="536"/>
      <c r="BW447" s="536"/>
      <c r="BX447" s="542">
        <f t="shared" si="166"/>
        <v>0</v>
      </c>
      <c r="BY447" s="536"/>
      <c r="BZ447" s="536"/>
      <c r="CA447" s="536"/>
      <c r="CB447" s="542">
        <v>0</v>
      </c>
      <c r="CC447" s="536"/>
      <c r="CD447" s="536"/>
      <c r="CE447" s="536"/>
      <c r="CF447" s="541">
        <f t="shared" si="167"/>
        <v>0</v>
      </c>
      <c r="CG447" s="536"/>
      <c r="CH447" s="536"/>
      <c r="CI447" s="536"/>
      <c r="CJ447" s="541">
        <f t="shared" si="168"/>
        <v>0</v>
      </c>
      <c r="CK447" s="536"/>
      <c r="CL447" s="536"/>
      <c r="CM447" s="536"/>
      <c r="CN447" s="541">
        <f t="shared" si="169"/>
        <v>0</v>
      </c>
      <c r="CO447" s="536"/>
      <c r="CP447" s="536"/>
      <c r="CQ447" s="536"/>
      <c r="CR447" s="541">
        <f t="shared" si="170"/>
        <v>0</v>
      </c>
      <c r="CS447" s="536"/>
      <c r="CT447" s="536"/>
      <c r="CU447" s="536"/>
      <c r="CV447" s="541">
        <f t="shared" si="171"/>
        <v>0</v>
      </c>
      <c r="CW447" s="536"/>
      <c r="CX447" s="536"/>
      <c r="CY447" s="536"/>
      <c r="CZ447" s="541">
        <f t="shared" si="172"/>
        <v>0</v>
      </c>
      <c r="DA447" s="536"/>
      <c r="DB447" s="536"/>
      <c r="DC447" s="536"/>
      <c r="DD447" s="541">
        <f t="shared" si="173"/>
        <v>0</v>
      </c>
      <c r="DE447" s="536"/>
      <c r="DF447" s="536"/>
      <c r="DG447" s="536"/>
      <c r="DH447" s="541">
        <f t="shared" si="174"/>
        <v>0</v>
      </c>
      <c r="DI447" s="536"/>
      <c r="DJ447" s="536"/>
      <c r="DK447" s="536"/>
      <c r="DL447" s="541">
        <f t="shared" si="175"/>
        <v>0</v>
      </c>
      <c r="DM447" s="536"/>
      <c r="DN447" s="536"/>
      <c r="DO447" s="536"/>
      <c r="DP447" s="541">
        <f>IF( SUM((DJ447*(20/100))+(DK447*(30/100))+(DL447*(50/100))) &gt;=9.3,9.5,
IF(AND( SUM((DJ447*(20/100))+(DK447*(30/100))+(DL447*(50/100))) &lt;=9.3, SUM((DJ447*(20/100))+(DK447*(30/100))+(DL447*(50/100))) &gt;=8.8),9,
IF(AND( SUM((DJ447*(20/100))+(DK447*(30/100))+(DL447*(50/100))) &lt;=8.8, SUM((DJ447*(20/100))+(DK447*(30/100))+(DL447*(50/100))) &gt;=8.3),8.5,
IF(AND( SUM((DJ447*(20/100))+(DK447*(30/100))+(DL447*(50/100))) &lt;=8.3, SUM((DJ447*(20/100))+(DK447*(30/100))+(DL447*(50/100))) &gt;=7.8),8,
IF(AND( SUM((DJ447*(20/100))+(DK447*(30/100))+(DL447*(50/100))) &lt;=7.8, SUM((DJ447*(20/100))+(DK447*(30/100))+(DL447*(50/100))) &gt;=7.3),7.5,
IF(AND( SUM((DJ447*(20/100))+(DK447*(30/100))+(DL447*(50/100))) &lt;=7.3, SUM((DJ447*(20/100))+(DK447*(30/100))+(DL447*(50/100))) &gt;=6.8),7,
IF(AND( SUM((DJ447*(20/100))+(DK447*(30/100))+(DL447*(50/100))) &lt;=6.8, SUM((DJ447*(20/100))+(DK447*(30/100))+(DL447*(50/100))) &gt;=6.3),6.5,
IF(AND( SUM((DJ447*(20/100))+(DK447*(30/100))+(DL447*(50/100))) &lt;=6.3, SUM((DJ447*(20/100))+(DK447*(30/100))+(DL447*(50/100))) &gt;=5.8),6,
IF(AND( SUM((DJ447*(20/100))+(DK447*(30/100))+(DL447*(50/100))) &lt;=5.8, SUM((DJ447*(20/100))+(DK447*(30/100))+(DL447*(50/100))) &gt;=5.3),5.5,
IF(AND( SUM((DJ447*(20/100))+(DK447*(30/100))+(DL447*(50/100))) &lt;=5.3, SUM((DJ447*(20/100))+(DK447*(30/100))+(DL447*(50/100))) &gt;=4.8),5,
IF(AND( SUM((DJ447*(20/100))+(DK447*(30/100))+(DL447*(50/100))) &lt;=4.8, SUM((DJ447*(20/100))+(DK447*(30/100))+(DL447*(50/100))) &gt;=4.3),4.5,
IF(AND( SUM((DJ447*(20/100))+(DK447*(30/100))+(DL447*(50/100))) &lt;=4.3, SUM((DJ447*(20/100))+(DK447*(30/100))+(DL447*(50/100))) &gt;=3.8),4,
IF(AND( SUM((DJ447*(20/100))+(DK447*(30/100))+(DL447*(50/100))) &lt;=3.8, SUM((DJ447*(20/100))+(DK447*(30/100))+(DL447*(50/100))) &gt;=3.5),3.5,0)))))))))))))</f>
        <v>0</v>
      </c>
      <c r="DQ447" s="541"/>
      <c r="DR447" s="541"/>
      <c r="DS447" s="541"/>
      <c r="DT447" s="541"/>
      <c r="DU447" s="541"/>
      <c r="DV447" s="541"/>
      <c r="DW447" s="541"/>
      <c r="DX447" s="541"/>
      <c r="DY447" s="541"/>
      <c r="DZ447" s="541"/>
    </row>
    <row r="448" spans="2:130" x14ac:dyDescent="0.25">
      <c r="B448" s="334">
        <v>41</v>
      </c>
      <c r="C448" s="541"/>
      <c r="D448" s="334"/>
      <c r="E448" s="334"/>
      <c r="F448" s="334"/>
      <c r="G448" s="334"/>
      <c r="H448" s="334"/>
      <c r="I448" s="334"/>
      <c r="J448" s="536"/>
      <c r="K448" s="536"/>
      <c r="L448" s="536"/>
      <c r="M448" s="536"/>
      <c r="N448" s="536"/>
      <c r="O448" s="536"/>
      <c r="P448" s="536">
        <f t="shared" si="151"/>
        <v>0</v>
      </c>
      <c r="Q448" s="536"/>
      <c r="R448" s="536"/>
      <c r="S448" s="536"/>
      <c r="T448" s="536">
        <f t="shared" si="152"/>
        <v>0</v>
      </c>
      <c r="U448" s="536"/>
      <c r="V448" s="536"/>
      <c r="W448" s="536"/>
      <c r="X448" s="536">
        <f t="shared" si="153"/>
        <v>0</v>
      </c>
      <c r="Y448" s="536"/>
      <c r="Z448" s="536"/>
      <c r="AA448" s="536"/>
      <c r="AB448" s="536">
        <f t="shared" si="154"/>
        <v>0</v>
      </c>
      <c r="AC448" s="536"/>
      <c r="AD448" s="536"/>
      <c r="AE448" s="536"/>
      <c r="AF448" s="536">
        <f t="shared" si="155"/>
        <v>0</v>
      </c>
      <c r="AG448" s="536"/>
      <c r="AH448" s="536"/>
      <c r="AI448" s="536"/>
      <c r="AJ448" s="536">
        <f t="shared" si="156"/>
        <v>0</v>
      </c>
      <c r="AK448" s="536"/>
      <c r="AL448" s="536"/>
      <c r="AM448" s="536"/>
      <c r="AN448" s="542">
        <f t="shared" si="157"/>
        <v>0</v>
      </c>
      <c r="AO448" s="536"/>
      <c r="AP448" s="536"/>
      <c r="AQ448" s="536"/>
      <c r="AR448" s="542">
        <f t="shared" si="158"/>
        <v>0</v>
      </c>
      <c r="AS448" s="536"/>
      <c r="AT448" s="536"/>
      <c r="AU448" s="536"/>
      <c r="AV448" s="542">
        <f t="shared" si="159"/>
        <v>0</v>
      </c>
      <c r="AW448" s="536"/>
      <c r="AX448" s="536"/>
      <c r="AY448" s="536"/>
      <c r="AZ448" s="542">
        <f t="shared" si="160"/>
        <v>0</v>
      </c>
      <c r="BA448" s="536"/>
      <c r="BB448" s="536"/>
      <c r="BC448" s="536"/>
      <c r="BD448" s="542">
        <f t="shared" si="161"/>
        <v>0</v>
      </c>
      <c r="BE448" s="536"/>
      <c r="BF448" s="536"/>
      <c r="BG448" s="536"/>
      <c r="BH448" s="542">
        <f t="shared" si="162"/>
        <v>0</v>
      </c>
      <c r="BI448" s="536"/>
      <c r="BJ448" s="536"/>
      <c r="BK448" s="536"/>
      <c r="BL448" s="542">
        <f t="shared" si="163"/>
        <v>0</v>
      </c>
      <c r="BM448" s="536"/>
      <c r="BN448" s="536"/>
      <c r="BO448" s="536"/>
      <c r="BP448" s="542">
        <f t="shared" si="164"/>
        <v>0</v>
      </c>
      <c r="BQ448" s="536"/>
      <c r="BR448" s="536"/>
      <c r="BS448" s="536"/>
      <c r="BT448" s="542">
        <f t="shared" si="165"/>
        <v>0</v>
      </c>
      <c r="BU448" s="536"/>
      <c r="BV448" s="536"/>
      <c r="BW448" s="536"/>
      <c r="BX448" s="542">
        <f t="shared" si="166"/>
        <v>0</v>
      </c>
      <c r="BY448" s="536"/>
      <c r="BZ448" s="536"/>
      <c r="CA448" s="536"/>
      <c r="CB448" s="542">
        <v>0</v>
      </c>
      <c r="CC448" s="536"/>
      <c r="CD448" s="536"/>
      <c r="CE448" s="536"/>
      <c r="CF448" s="541">
        <f t="shared" si="167"/>
        <v>0</v>
      </c>
      <c r="CG448" s="536"/>
      <c r="CH448" s="536"/>
      <c r="CI448" s="536"/>
      <c r="CJ448" s="541">
        <f t="shared" si="168"/>
        <v>0</v>
      </c>
      <c r="CK448" s="536"/>
      <c r="CL448" s="536"/>
      <c r="CM448" s="536"/>
      <c r="CN448" s="541">
        <f t="shared" si="169"/>
        <v>0</v>
      </c>
      <c r="CO448" s="536"/>
      <c r="CP448" s="536"/>
      <c r="CQ448" s="536"/>
      <c r="CR448" s="541">
        <f t="shared" si="170"/>
        <v>0</v>
      </c>
      <c r="CS448" s="536"/>
      <c r="CT448" s="536"/>
      <c r="CU448" s="536"/>
      <c r="CV448" s="541">
        <f t="shared" si="171"/>
        <v>0</v>
      </c>
      <c r="CW448" s="536"/>
      <c r="CX448" s="536"/>
      <c r="CY448" s="536"/>
      <c r="CZ448" s="541">
        <f t="shared" si="172"/>
        <v>0</v>
      </c>
      <c r="DA448" s="536"/>
      <c r="DB448" s="536"/>
      <c r="DC448" s="536"/>
      <c r="DD448" s="541">
        <f t="shared" si="173"/>
        <v>0</v>
      </c>
      <c r="DE448" s="536"/>
      <c r="DF448" s="536"/>
      <c r="DG448" s="536"/>
      <c r="DH448" s="541">
        <f t="shared" si="174"/>
        <v>0</v>
      </c>
      <c r="DI448" s="536"/>
      <c r="DJ448" s="536"/>
      <c r="DK448" s="536"/>
      <c r="DL448" s="541">
        <f t="shared" si="175"/>
        <v>0</v>
      </c>
      <c r="DM448" s="536"/>
      <c r="DN448" s="536"/>
      <c r="DO448" s="536"/>
      <c r="DP448" s="541">
        <f>IF( SUM((DJ448*(20/100))+(DK448*(30/100))+(DL448*(50/100))) &gt;=9.3,9.5,
IF(AND( SUM((DJ448*(20/100))+(DK448*(30/100))+(DL448*(50/100))) &lt;=9.3, SUM((DJ448*(20/100))+(DK448*(30/100))+(DL448*(50/100))) &gt;=8.8),9,
IF(AND( SUM((DJ448*(20/100))+(DK448*(30/100))+(DL448*(50/100))) &lt;=8.8, SUM((DJ448*(20/100))+(DK448*(30/100))+(DL448*(50/100))) &gt;=8.3),8.5,
IF(AND( SUM((DJ448*(20/100))+(DK448*(30/100))+(DL448*(50/100))) &lt;=8.3, SUM((DJ448*(20/100))+(DK448*(30/100))+(DL448*(50/100))) &gt;=7.8),8,
IF(AND( SUM((DJ448*(20/100))+(DK448*(30/100))+(DL448*(50/100))) &lt;=7.8, SUM((DJ448*(20/100))+(DK448*(30/100))+(DL448*(50/100))) &gt;=7.3),7.5,
IF(AND( SUM((DJ448*(20/100))+(DK448*(30/100))+(DL448*(50/100))) &lt;=7.3, SUM((DJ448*(20/100))+(DK448*(30/100))+(DL448*(50/100))) &gt;=6.8),7,
IF(AND( SUM((DJ448*(20/100))+(DK448*(30/100))+(DL448*(50/100))) &lt;=6.8, SUM((DJ448*(20/100))+(DK448*(30/100))+(DL448*(50/100))) &gt;=6.3),6.5,
IF(AND( SUM((DJ448*(20/100))+(DK448*(30/100))+(DL448*(50/100))) &lt;=6.3, SUM((DJ448*(20/100))+(DK448*(30/100))+(DL448*(50/100))) &gt;=5.8),6,
IF(AND( SUM((DJ448*(20/100))+(DK448*(30/100))+(DL448*(50/100))) &lt;=5.8, SUM((DJ448*(20/100))+(DK448*(30/100))+(DL448*(50/100))) &gt;=5.3),5.5,
IF(AND( SUM((DJ448*(20/100))+(DK448*(30/100))+(DL448*(50/100))) &lt;=5.3, SUM((DJ448*(20/100))+(DK448*(30/100))+(DL448*(50/100))) &gt;=4.8),5,
IF(AND( SUM((DJ448*(20/100))+(DK448*(30/100))+(DL448*(50/100))) &lt;=4.8, SUM((DJ448*(20/100))+(DK448*(30/100))+(DL448*(50/100))) &gt;=4.3),4.5,
IF(AND( SUM((DJ448*(20/100))+(DK448*(30/100))+(DL448*(50/100))) &lt;=4.3, SUM((DJ448*(20/100))+(DK448*(30/100))+(DL448*(50/100))) &gt;=3.8),4,
IF(AND( SUM((DJ448*(20/100))+(DK448*(30/100))+(DL448*(50/100))) &lt;=3.8, SUM((DJ448*(20/100))+(DK448*(30/100))+(DL448*(50/100))) &gt;=3.5),3.5,0)))))))))))))</f>
        <v>0</v>
      </c>
      <c r="DQ448" s="541"/>
      <c r="DR448" s="541"/>
      <c r="DS448" s="541"/>
      <c r="DT448" s="541"/>
      <c r="DU448" s="541"/>
      <c r="DV448" s="541"/>
      <c r="DW448" s="541"/>
      <c r="DX448" s="541"/>
      <c r="DY448" s="541"/>
      <c r="DZ448" s="541"/>
    </row>
    <row r="449" spans="2:130" x14ac:dyDescent="0.25">
      <c r="B449" s="334">
        <v>42</v>
      </c>
      <c r="C449" s="541"/>
      <c r="D449" s="334"/>
      <c r="E449" s="334"/>
      <c r="F449" s="334"/>
      <c r="G449" s="334"/>
      <c r="H449" s="334"/>
      <c r="I449" s="334"/>
      <c r="J449" s="536"/>
      <c r="K449" s="536"/>
      <c r="L449" s="536"/>
      <c r="M449" s="536"/>
      <c r="N449" s="536"/>
      <c r="O449" s="536"/>
      <c r="P449" s="536">
        <f t="shared" si="151"/>
        <v>0</v>
      </c>
      <c r="Q449" s="536"/>
      <c r="R449" s="536"/>
      <c r="S449" s="536"/>
      <c r="T449" s="536">
        <f t="shared" si="152"/>
        <v>0</v>
      </c>
      <c r="U449" s="536"/>
      <c r="V449" s="536"/>
      <c r="W449" s="536"/>
      <c r="X449" s="536">
        <f t="shared" si="153"/>
        <v>0</v>
      </c>
      <c r="Y449" s="536"/>
      <c r="Z449" s="536"/>
      <c r="AA449" s="536"/>
      <c r="AB449" s="536">
        <f t="shared" si="154"/>
        <v>0</v>
      </c>
      <c r="AC449" s="536"/>
      <c r="AD449" s="536"/>
      <c r="AE449" s="536"/>
      <c r="AF449" s="536">
        <f t="shared" si="155"/>
        <v>0</v>
      </c>
      <c r="AG449" s="536"/>
      <c r="AH449" s="536"/>
      <c r="AI449" s="536"/>
      <c r="AJ449" s="536">
        <f t="shared" si="156"/>
        <v>0</v>
      </c>
      <c r="AK449" s="536"/>
      <c r="AL449" s="536"/>
      <c r="AM449" s="536"/>
      <c r="AN449" s="542">
        <f t="shared" si="157"/>
        <v>0</v>
      </c>
      <c r="AO449" s="536"/>
      <c r="AP449" s="536"/>
      <c r="AQ449" s="536"/>
      <c r="AR449" s="542">
        <f t="shared" si="158"/>
        <v>0</v>
      </c>
      <c r="AS449" s="536"/>
      <c r="AT449" s="536"/>
      <c r="AU449" s="536"/>
      <c r="AV449" s="542">
        <f t="shared" si="159"/>
        <v>0</v>
      </c>
      <c r="AW449" s="536"/>
      <c r="AX449" s="536"/>
      <c r="AY449" s="536"/>
      <c r="AZ449" s="542">
        <f t="shared" si="160"/>
        <v>0</v>
      </c>
      <c r="BA449" s="536"/>
      <c r="BB449" s="536"/>
      <c r="BC449" s="536"/>
      <c r="BD449" s="542">
        <f t="shared" si="161"/>
        <v>0</v>
      </c>
      <c r="BE449" s="536"/>
      <c r="BF449" s="536"/>
      <c r="BG449" s="536"/>
      <c r="BH449" s="542">
        <f t="shared" si="162"/>
        <v>0</v>
      </c>
      <c r="BI449" s="536"/>
      <c r="BJ449" s="536"/>
      <c r="BK449" s="536"/>
      <c r="BL449" s="542">
        <f t="shared" si="163"/>
        <v>0</v>
      </c>
      <c r="BM449" s="536"/>
      <c r="BN449" s="536"/>
      <c r="BO449" s="536"/>
      <c r="BP449" s="542">
        <f t="shared" si="164"/>
        <v>0</v>
      </c>
      <c r="BQ449" s="536"/>
      <c r="BR449" s="536"/>
      <c r="BS449" s="536"/>
      <c r="BT449" s="542">
        <f t="shared" si="165"/>
        <v>0</v>
      </c>
      <c r="BU449" s="536"/>
      <c r="BV449" s="536"/>
      <c r="BW449" s="536"/>
      <c r="BX449" s="542">
        <f t="shared" si="166"/>
        <v>0</v>
      </c>
      <c r="BY449" s="536"/>
      <c r="BZ449" s="536"/>
      <c r="CA449" s="536"/>
      <c r="CB449" s="542">
        <v>0</v>
      </c>
      <c r="CC449" s="536"/>
      <c r="CD449" s="536"/>
      <c r="CE449" s="536"/>
      <c r="CF449" s="541">
        <f t="shared" si="167"/>
        <v>0</v>
      </c>
      <c r="CG449" s="536"/>
      <c r="CH449" s="536"/>
      <c r="CI449" s="536"/>
      <c r="CJ449" s="541">
        <f t="shared" si="168"/>
        <v>0</v>
      </c>
      <c r="CK449" s="536"/>
      <c r="CL449" s="536"/>
      <c r="CM449" s="536"/>
      <c r="CN449" s="541">
        <f t="shared" si="169"/>
        <v>0</v>
      </c>
      <c r="CO449" s="536"/>
      <c r="CP449" s="536"/>
      <c r="CQ449" s="536"/>
      <c r="CR449" s="541">
        <f t="shared" si="170"/>
        <v>0</v>
      </c>
      <c r="CS449" s="536"/>
      <c r="CT449" s="536"/>
      <c r="CU449" s="536"/>
      <c r="CV449" s="541">
        <f t="shared" si="171"/>
        <v>0</v>
      </c>
      <c r="CW449" s="536"/>
      <c r="CX449" s="536"/>
      <c r="CY449" s="536"/>
      <c r="CZ449" s="541">
        <f t="shared" si="172"/>
        <v>0</v>
      </c>
      <c r="DA449" s="536"/>
      <c r="DB449" s="536"/>
      <c r="DC449" s="536"/>
      <c r="DD449" s="541">
        <f t="shared" si="173"/>
        <v>0</v>
      </c>
      <c r="DE449" s="536"/>
      <c r="DF449" s="536"/>
      <c r="DG449" s="536"/>
      <c r="DH449" s="541">
        <f t="shared" si="174"/>
        <v>0</v>
      </c>
      <c r="DI449" s="536"/>
      <c r="DJ449" s="536"/>
      <c r="DK449" s="536"/>
      <c r="DL449" s="541">
        <f t="shared" si="175"/>
        <v>0</v>
      </c>
      <c r="DM449" s="536"/>
      <c r="DN449" s="536"/>
      <c r="DO449" s="536"/>
      <c r="DP449" s="541">
        <f>IF( SUM((DJ449*(20/100))+(DK449*(30/100))+(DL449*(50/100))) &gt;=9.3,9.5,
IF(AND( SUM((DJ449*(20/100))+(DK449*(30/100))+(DL449*(50/100))) &lt;=9.3, SUM((DJ449*(20/100))+(DK449*(30/100))+(DL449*(50/100))) &gt;=8.8),9,
IF(AND( SUM((DJ449*(20/100))+(DK449*(30/100))+(DL449*(50/100))) &lt;=8.8, SUM((DJ449*(20/100))+(DK449*(30/100))+(DL449*(50/100))) &gt;=8.3),8.5,
IF(AND( SUM((DJ449*(20/100))+(DK449*(30/100))+(DL449*(50/100))) &lt;=8.3, SUM((DJ449*(20/100))+(DK449*(30/100))+(DL449*(50/100))) &gt;=7.8),8,
IF(AND( SUM((DJ449*(20/100))+(DK449*(30/100))+(DL449*(50/100))) &lt;=7.8, SUM((DJ449*(20/100))+(DK449*(30/100))+(DL449*(50/100))) &gt;=7.3),7.5,
IF(AND( SUM((DJ449*(20/100))+(DK449*(30/100))+(DL449*(50/100))) &lt;=7.3, SUM((DJ449*(20/100))+(DK449*(30/100))+(DL449*(50/100))) &gt;=6.8),7,
IF(AND( SUM((DJ449*(20/100))+(DK449*(30/100))+(DL449*(50/100))) &lt;=6.8, SUM((DJ449*(20/100))+(DK449*(30/100))+(DL449*(50/100))) &gt;=6.3),6.5,
IF(AND( SUM((DJ449*(20/100))+(DK449*(30/100))+(DL449*(50/100))) &lt;=6.3, SUM((DJ449*(20/100))+(DK449*(30/100))+(DL449*(50/100))) &gt;=5.8),6,
IF(AND( SUM((DJ449*(20/100))+(DK449*(30/100))+(DL449*(50/100))) &lt;=5.8, SUM((DJ449*(20/100))+(DK449*(30/100))+(DL449*(50/100))) &gt;=5.3),5.5,
IF(AND( SUM((DJ449*(20/100))+(DK449*(30/100))+(DL449*(50/100))) &lt;=5.3, SUM((DJ449*(20/100))+(DK449*(30/100))+(DL449*(50/100))) &gt;=4.8),5,
IF(AND( SUM((DJ449*(20/100))+(DK449*(30/100))+(DL449*(50/100))) &lt;=4.8, SUM((DJ449*(20/100))+(DK449*(30/100))+(DL449*(50/100))) &gt;=4.3),4.5,
IF(AND( SUM((DJ449*(20/100))+(DK449*(30/100))+(DL449*(50/100))) &lt;=4.3, SUM((DJ449*(20/100))+(DK449*(30/100))+(DL449*(50/100))) &gt;=3.8),4,
IF(AND( SUM((DJ449*(20/100))+(DK449*(30/100))+(DL449*(50/100))) &lt;=3.8, SUM((DJ449*(20/100))+(DK449*(30/100))+(DL449*(50/100))) &gt;=3.5),3.5,0)))))))))))))</f>
        <v>0</v>
      </c>
      <c r="DQ449" s="541"/>
      <c r="DR449" s="541"/>
      <c r="DS449" s="541"/>
      <c r="DT449" s="541"/>
      <c r="DU449" s="541"/>
      <c r="DV449" s="541"/>
      <c r="DW449" s="541"/>
      <c r="DX449" s="541"/>
      <c r="DY449" s="541"/>
      <c r="DZ449" s="541"/>
    </row>
    <row r="450" spans="2:130" x14ac:dyDescent="0.25">
      <c r="B450" s="334">
        <v>43</v>
      </c>
      <c r="C450" s="541"/>
      <c r="D450" s="334"/>
      <c r="E450" s="334"/>
      <c r="F450" s="334"/>
      <c r="G450" s="334"/>
      <c r="H450" s="334"/>
      <c r="I450" s="334"/>
      <c r="J450" s="536"/>
      <c r="K450" s="536"/>
      <c r="L450" s="536"/>
      <c r="M450" s="536"/>
      <c r="N450" s="536"/>
      <c r="O450" s="536"/>
      <c r="P450" s="536">
        <f t="shared" si="151"/>
        <v>0</v>
      </c>
      <c r="Q450" s="536"/>
      <c r="R450" s="536"/>
      <c r="S450" s="536"/>
      <c r="T450" s="536">
        <f t="shared" si="152"/>
        <v>0</v>
      </c>
      <c r="U450" s="536"/>
      <c r="V450" s="536"/>
      <c r="W450" s="536"/>
      <c r="X450" s="536">
        <f t="shared" si="153"/>
        <v>0</v>
      </c>
      <c r="Y450" s="536"/>
      <c r="Z450" s="536"/>
      <c r="AA450" s="536"/>
      <c r="AB450" s="536">
        <f t="shared" si="154"/>
        <v>0</v>
      </c>
      <c r="AC450" s="536"/>
      <c r="AD450" s="536"/>
      <c r="AE450" s="536"/>
      <c r="AF450" s="536">
        <f t="shared" si="155"/>
        <v>0</v>
      </c>
      <c r="AG450" s="536"/>
      <c r="AH450" s="536"/>
      <c r="AI450" s="536"/>
      <c r="AJ450" s="536">
        <f t="shared" si="156"/>
        <v>0</v>
      </c>
      <c r="AK450" s="536"/>
      <c r="AL450" s="536"/>
      <c r="AM450" s="536"/>
      <c r="AN450" s="542">
        <f t="shared" si="157"/>
        <v>0</v>
      </c>
      <c r="AO450" s="536"/>
      <c r="AP450" s="536"/>
      <c r="AQ450" s="536"/>
      <c r="AR450" s="542">
        <f t="shared" si="158"/>
        <v>0</v>
      </c>
      <c r="AS450" s="536"/>
      <c r="AT450" s="536"/>
      <c r="AU450" s="536"/>
      <c r="AV450" s="542">
        <f t="shared" si="159"/>
        <v>0</v>
      </c>
      <c r="AW450" s="536"/>
      <c r="AX450" s="536"/>
      <c r="AY450" s="536"/>
      <c r="AZ450" s="542">
        <f t="shared" si="160"/>
        <v>0</v>
      </c>
      <c r="BA450" s="536"/>
      <c r="BB450" s="536"/>
      <c r="BC450" s="536"/>
      <c r="BD450" s="542">
        <f t="shared" si="161"/>
        <v>0</v>
      </c>
      <c r="BE450" s="536"/>
      <c r="BF450" s="536"/>
      <c r="BG450" s="536"/>
      <c r="BH450" s="542">
        <f t="shared" si="162"/>
        <v>0</v>
      </c>
      <c r="BI450" s="536"/>
      <c r="BJ450" s="536"/>
      <c r="BK450" s="536"/>
      <c r="BL450" s="542">
        <f t="shared" si="163"/>
        <v>0</v>
      </c>
      <c r="BM450" s="536"/>
      <c r="BN450" s="536"/>
      <c r="BO450" s="536"/>
      <c r="BP450" s="542">
        <f t="shared" si="164"/>
        <v>0</v>
      </c>
      <c r="BQ450" s="536"/>
      <c r="BR450" s="536"/>
      <c r="BS450" s="536"/>
      <c r="BT450" s="542">
        <f t="shared" si="165"/>
        <v>0</v>
      </c>
      <c r="BU450" s="536"/>
      <c r="BV450" s="536"/>
      <c r="BW450" s="536"/>
      <c r="BX450" s="542">
        <f t="shared" si="166"/>
        <v>0</v>
      </c>
      <c r="BY450" s="536"/>
      <c r="BZ450" s="536"/>
      <c r="CA450" s="536"/>
      <c r="CB450" s="542">
        <v>0</v>
      </c>
      <c r="CC450" s="536"/>
      <c r="CD450" s="536"/>
      <c r="CE450" s="536"/>
      <c r="CF450" s="541">
        <f t="shared" si="167"/>
        <v>0</v>
      </c>
      <c r="CG450" s="536"/>
      <c r="CH450" s="536"/>
      <c r="CI450" s="536"/>
      <c r="CJ450" s="541">
        <f t="shared" si="168"/>
        <v>0</v>
      </c>
      <c r="CK450" s="536"/>
      <c r="CL450" s="536"/>
      <c r="CM450" s="536"/>
      <c r="CN450" s="541">
        <f t="shared" si="169"/>
        <v>0</v>
      </c>
      <c r="CO450" s="536"/>
      <c r="CP450" s="536"/>
      <c r="CQ450" s="536"/>
      <c r="CR450" s="541">
        <f t="shared" si="170"/>
        <v>0</v>
      </c>
      <c r="CS450" s="536"/>
      <c r="CT450" s="536"/>
      <c r="CU450" s="536"/>
      <c r="CV450" s="541">
        <f t="shared" si="171"/>
        <v>0</v>
      </c>
      <c r="CW450" s="536"/>
      <c r="CX450" s="536"/>
      <c r="CY450" s="536"/>
      <c r="CZ450" s="541">
        <f t="shared" si="172"/>
        <v>0</v>
      </c>
      <c r="DA450" s="536"/>
      <c r="DB450" s="536"/>
      <c r="DC450" s="536"/>
      <c r="DD450" s="541">
        <f t="shared" si="173"/>
        <v>0</v>
      </c>
      <c r="DE450" s="536"/>
      <c r="DF450" s="536"/>
      <c r="DG450" s="536"/>
      <c r="DH450" s="541">
        <f t="shared" si="174"/>
        <v>0</v>
      </c>
      <c r="DI450" s="536"/>
      <c r="DJ450" s="536"/>
      <c r="DK450" s="536"/>
      <c r="DL450" s="541">
        <f t="shared" si="175"/>
        <v>0</v>
      </c>
      <c r="DM450" s="536"/>
      <c r="DN450" s="536"/>
      <c r="DO450" s="536"/>
      <c r="DP450" s="541">
        <f>IF( SUM((DJ450*(20/100))+(DK450*(30/100))+(DL450*(50/100))) &gt;=9.3,9.5,
IF(AND( SUM((DJ450*(20/100))+(DK450*(30/100))+(DL450*(50/100))) &lt;=9.3, SUM((DJ450*(20/100))+(DK450*(30/100))+(DL450*(50/100))) &gt;=8.8),9,
IF(AND( SUM((DJ450*(20/100))+(DK450*(30/100))+(DL450*(50/100))) &lt;=8.8, SUM((DJ450*(20/100))+(DK450*(30/100))+(DL450*(50/100))) &gt;=8.3),8.5,
IF(AND( SUM((DJ450*(20/100))+(DK450*(30/100))+(DL450*(50/100))) &lt;=8.3, SUM((DJ450*(20/100))+(DK450*(30/100))+(DL450*(50/100))) &gt;=7.8),8,
IF(AND( SUM((DJ450*(20/100))+(DK450*(30/100))+(DL450*(50/100))) &lt;=7.8, SUM((DJ450*(20/100))+(DK450*(30/100))+(DL450*(50/100))) &gt;=7.3),7.5,
IF(AND( SUM((DJ450*(20/100))+(DK450*(30/100))+(DL450*(50/100))) &lt;=7.3, SUM((DJ450*(20/100))+(DK450*(30/100))+(DL450*(50/100))) &gt;=6.8),7,
IF(AND( SUM((DJ450*(20/100))+(DK450*(30/100))+(DL450*(50/100))) &lt;=6.8, SUM((DJ450*(20/100))+(DK450*(30/100))+(DL450*(50/100))) &gt;=6.3),6.5,
IF(AND( SUM((DJ450*(20/100))+(DK450*(30/100))+(DL450*(50/100))) &lt;=6.3, SUM((DJ450*(20/100))+(DK450*(30/100))+(DL450*(50/100))) &gt;=5.8),6,
IF(AND( SUM((DJ450*(20/100))+(DK450*(30/100))+(DL450*(50/100))) &lt;=5.8, SUM((DJ450*(20/100))+(DK450*(30/100))+(DL450*(50/100))) &gt;=5.3),5.5,
IF(AND( SUM((DJ450*(20/100))+(DK450*(30/100))+(DL450*(50/100))) &lt;=5.3, SUM((DJ450*(20/100))+(DK450*(30/100))+(DL450*(50/100))) &gt;=4.8),5,
IF(AND( SUM((DJ450*(20/100))+(DK450*(30/100))+(DL450*(50/100))) &lt;=4.8, SUM((DJ450*(20/100))+(DK450*(30/100))+(DL450*(50/100))) &gt;=4.3),4.5,
IF(AND( SUM((DJ450*(20/100))+(DK450*(30/100))+(DL450*(50/100))) &lt;=4.3, SUM((DJ450*(20/100))+(DK450*(30/100))+(DL450*(50/100))) &gt;=3.8),4,
IF(AND( SUM((DJ450*(20/100))+(DK450*(30/100))+(DL450*(50/100))) &lt;=3.8, SUM((DJ450*(20/100))+(DK450*(30/100))+(DL450*(50/100))) &gt;=3.5),3.5,0)))))))))))))</f>
        <v>0</v>
      </c>
      <c r="DQ450" s="541"/>
      <c r="DR450" s="541"/>
      <c r="DS450" s="541"/>
      <c r="DT450" s="541"/>
      <c r="DU450" s="541"/>
      <c r="DV450" s="541"/>
      <c r="DW450" s="541"/>
      <c r="DX450" s="541"/>
      <c r="DY450" s="541"/>
      <c r="DZ450" s="541"/>
    </row>
    <row r="451" spans="2:130" x14ac:dyDescent="0.25">
      <c r="B451" s="334">
        <v>44</v>
      </c>
      <c r="C451" s="541"/>
      <c r="D451" s="334"/>
      <c r="E451" s="334"/>
      <c r="F451" s="334"/>
      <c r="G451" s="334"/>
      <c r="H451" s="334"/>
      <c r="I451" s="334"/>
      <c r="J451" s="536"/>
      <c r="K451" s="536"/>
      <c r="L451" s="536"/>
      <c r="M451" s="536"/>
      <c r="N451" s="536"/>
      <c r="O451" s="536"/>
      <c r="P451" s="536">
        <f t="shared" si="151"/>
        <v>0</v>
      </c>
      <c r="Q451" s="536"/>
      <c r="R451" s="536"/>
      <c r="S451" s="536"/>
      <c r="T451" s="536">
        <f t="shared" si="152"/>
        <v>0</v>
      </c>
      <c r="U451" s="536"/>
      <c r="V451" s="536"/>
      <c r="W451" s="536"/>
      <c r="X451" s="536">
        <f t="shared" si="153"/>
        <v>0</v>
      </c>
      <c r="Y451" s="536"/>
      <c r="Z451" s="536"/>
      <c r="AA451" s="536"/>
      <c r="AB451" s="536">
        <f t="shared" si="154"/>
        <v>0</v>
      </c>
      <c r="AC451" s="536"/>
      <c r="AD451" s="536"/>
      <c r="AE451" s="536"/>
      <c r="AF451" s="536">
        <f t="shared" si="155"/>
        <v>0</v>
      </c>
      <c r="AG451" s="536"/>
      <c r="AH451" s="536"/>
      <c r="AI451" s="536"/>
      <c r="AJ451" s="536">
        <f t="shared" si="156"/>
        <v>0</v>
      </c>
      <c r="AK451" s="536"/>
      <c r="AL451" s="536"/>
      <c r="AM451" s="536"/>
      <c r="AN451" s="542">
        <f t="shared" si="157"/>
        <v>0</v>
      </c>
      <c r="AO451" s="536"/>
      <c r="AP451" s="536"/>
      <c r="AQ451" s="536"/>
      <c r="AR451" s="542">
        <f t="shared" si="158"/>
        <v>0</v>
      </c>
      <c r="AS451" s="536"/>
      <c r="AT451" s="536"/>
      <c r="AU451" s="536"/>
      <c r="AV451" s="542">
        <f t="shared" si="159"/>
        <v>0</v>
      </c>
      <c r="AW451" s="536"/>
      <c r="AX451" s="536"/>
      <c r="AY451" s="536"/>
      <c r="AZ451" s="542">
        <f t="shared" si="160"/>
        <v>0</v>
      </c>
      <c r="BA451" s="536"/>
      <c r="BB451" s="536"/>
      <c r="BC451" s="536"/>
      <c r="BD451" s="542">
        <f t="shared" si="161"/>
        <v>0</v>
      </c>
      <c r="BE451" s="536"/>
      <c r="BF451" s="536"/>
      <c r="BG451" s="536"/>
      <c r="BH451" s="542">
        <f t="shared" si="162"/>
        <v>0</v>
      </c>
      <c r="BI451" s="536"/>
      <c r="BJ451" s="536"/>
      <c r="BK451" s="536"/>
      <c r="BL451" s="542">
        <f t="shared" si="163"/>
        <v>0</v>
      </c>
      <c r="BM451" s="536"/>
      <c r="BN451" s="536"/>
      <c r="BO451" s="536"/>
      <c r="BP451" s="542">
        <f t="shared" si="164"/>
        <v>0</v>
      </c>
      <c r="BQ451" s="536"/>
      <c r="BR451" s="536"/>
      <c r="BS451" s="536"/>
      <c r="BT451" s="542">
        <f t="shared" si="165"/>
        <v>0</v>
      </c>
      <c r="BU451" s="536"/>
      <c r="BV451" s="536"/>
      <c r="BW451" s="536"/>
      <c r="BX451" s="542">
        <f t="shared" si="166"/>
        <v>0</v>
      </c>
      <c r="BY451" s="536"/>
      <c r="BZ451" s="536"/>
      <c r="CA451" s="536"/>
      <c r="CB451" s="542">
        <v>0</v>
      </c>
      <c r="CC451" s="536"/>
      <c r="CD451" s="536"/>
      <c r="CE451" s="536"/>
      <c r="CF451" s="541">
        <f t="shared" si="167"/>
        <v>0</v>
      </c>
      <c r="CG451" s="536"/>
      <c r="CH451" s="536"/>
      <c r="CI451" s="536"/>
      <c r="CJ451" s="541">
        <f t="shared" si="168"/>
        <v>0</v>
      </c>
      <c r="CK451" s="536"/>
      <c r="CL451" s="536"/>
      <c r="CM451" s="536"/>
      <c r="CN451" s="541">
        <f t="shared" si="169"/>
        <v>0</v>
      </c>
      <c r="CO451" s="536"/>
      <c r="CP451" s="536"/>
      <c r="CQ451" s="536"/>
      <c r="CR451" s="541">
        <f t="shared" si="170"/>
        <v>0</v>
      </c>
      <c r="CS451" s="536"/>
      <c r="CT451" s="536"/>
      <c r="CU451" s="536"/>
      <c r="CV451" s="541">
        <f t="shared" si="171"/>
        <v>0</v>
      </c>
      <c r="CW451" s="536"/>
      <c r="CX451" s="536"/>
      <c r="CY451" s="536"/>
      <c r="CZ451" s="541">
        <f t="shared" si="172"/>
        <v>0</v>
      </c>
      <c r="DA451" s="536"/>
      <c r="DB451" s="536"/>
      <c r="DC451" s="536"/>
      <c r="DD451" s="541">
        <f t="shared" si="173"/>
        <v>0</v>
      </c>
      <c r="DE451" s="536"/>
      <c r="DF451" s="536"/>
      <c r="DG451" s="536"/>
      <c r="DH451" s="541">
        <f t="shared" si="174"/>
        <v>0</v>
      </c>
      <c r="DI451" s="536"/>
      <c r="DJ451" s="536"/>
      <c r="DK451" s="536"/>
      <c r="DL451" s="541">
        <f t="shared" si="175"/>
        <v>0</v>
      </c>
      <c r="DM451" s="536"/>
      <c r="DN451" s="536"/>
      <c r="DO451" s="536"/>
      <c r="DP451" s="541">
        <f>IF( SUM((DJ451*(20/100))+(DK451*(30/100))+(DL451*(50/100))) &gt;=9.3,9.5,
IF(AND( SUM((DJ451*(20/100))+(DK451*(30/100))+(DL451*(50/100))) &lt;=9.3, SUM((DJ451*(20/100))+(DK451*(30/100))+(DL451*(50/100))) &gt;=8.8),9,
IF(AND( SUM((DJ451*(20/100))+(DK451*(30/100))+(DL451*(50/100))) &lt;=8.8, SUM((DJ451*(20/100))+(DK451*(30/100))+(DL451*(50/100))) &gt;=8.3),8.5,
IF(AND( SUM((DJ451*(20/100))+(DK451*(30/100))+(DL451*(50/100))) &lt;=8.3, SUM((DJ451*(20/100))+(DK451*(30/100))+(DL451*(50/100))) &gt;=7.8),8,
IF(AND( SUM((DJ451*(20/100))+(DK451*(30/100))+(DL451*(50/100))) &lt;=7.8, SUM((DJ451*(20/100))+(DK451*(30/100))+(DL451*(50/100))) &gt;=7.3),7.5,
IF(AND( SUM((DJ451*(20/100))+(DK451*(30/100))+(DL451*(50/100))) &lt;=7.3, SUM((DJ451*(20/100))+(DK451*(30/100))+(DL451*(50/100))) &gt;=6.8),7,
IF(AND( SUM((DJ451*(20/100))+(DK451*(30/100))+(DL451*(50/100))) &lt;=6.8, SUM((DJ451*(20/100))+(DK451*(30/100))+(DL451*(50/100))) &gt;=6.3),6.5,
IF(AND( SUM((DJ451*(20/100))+(DK451*(30/100))+(DL451*(50/100))) &lt;=6.3, SUM((DJ451*(20/100))+(DK451*(30/100))+(DL451*(50/100))) &gt;=5.8),6,
IF(AND( SUM((DJ451*(20/100))+(DK451*(30/100))+(DL451*(50/100))) &lt;=5.8, SUM((DJ451*(20/100))+(DK451*(30/100))+(DL451*(50/100))) &gt;=5.3),5.5,
IF(AND( SUM((DJ451*(20/100))+(DK451*(30/100))+(DL451*(50/100))) &lt;=5.3, SUM((DJ451*(20/100))+(DK451*(30/100))+(DL451*(50/100))) &gt;=4.8),5,
IF(AND( SUM((DJ451*(20/100))+(DK451*(30/100))+(DL451*(50/100))) &lt;=4.8, SUM((DJ451*(20/100))+(DK451*(30/100))+(DL451*(50/100))) &gt;=4.3),4.5,
IF(AND( SUM((DJ451*(20/100))+(DK451*(30/100))+(DL451*(50/100))) &lt;=4.3, SUM((DJ451*(20/100))+(DK451*(30/100))+(DL451*(50/100))) &gt;=3.8),4,
IF(AND( SUM((DJ451*(20/100))+(DK451*(30/100))+(DL451*(50/100))) &lt;=3.8, SUM((DJ451*(20/100))+(DK451*(30/100))+(DL451*(50/100))) &gt;=3.5),3.5,0)))))))))))))</f>
        <v>0</v>
      </c>
      <c r="DQ451" s="541"/>
      <c r="DR451" s="541"/>
      <c r="DS451" s="541"/>
      <c r="DT451" s="541"/>
      <c r="DU451" s="541"/>
      <c r="DV451" s="541"/>
      <c r="DW451" s="541"/>
      <c r="DX451" s="541"/>
      <c r="DY451" s="541"/>
      <c r="DZ451" s="541"/>
    </row>
    <row r="452" spans="2:130" x14ac:dyDescent="0.25">
      <c r="B452" s="334">
        <v>45</v>
      </c>
      <c r="C452" s="541"/>
      <c r="D452" s="334"/>
      <c r="E452" s="334"/>
      <c r="F452" s="334"/>
      <c r="G452" s="334"/>
      <c r="H452" s="334"/>
      <c r="I452" s="334"/>
      <c r="J452" s="536"/>
      <c r="K452" s="536"/>
      <c r="L452" s="536"/>
      <c r="M452" s="536"/>
      <c r="N452" s="536"/>
      <c r="O452" s="536"/>
      <c r="P452" s="536">
        <f t="shared" si="151"/>
        <v>0</v>
      </c>
      <c r="Q452" s="536"/>
      <c r="R452" s="536"/>
      <c r="S452" s="536"/>
      <c r="T452" s="536">
        <f t="shared" si="152"/>
        <v>0</v>
      </c>
      <c r="U452" s="536"/>
      <c r="V452" s="536"/>
      <c r="W452" s="536"/>
      <c r="X452" s="536">
        <f t="shared" si="153"/>
        <v>0</v>
      </c>
      <c r="Y452" s="536"/>
      <c r="Z452" s="536"/>
      <c r="AA452" s="536"/>
      <c r="AB452" s="536">
        <f t="shared" si="154"/>
        <v>0</v>
      </c>
      <c r="AC452" s="536"/>
      <c r="AD452" s="536"/>
      <c r="AE452" s="536"/>
      <c r="AF452" s="536">
        <f t="shared" si="155"/>
        <v>0</v>
      </c>
      <c r="AG452" s="536"/>
      <c r="AH452" s="536"/>
      <c r="AI452" s="536"/>
      <c r="AJ452" s="536">
        <f t="shared" si="156"/>
        <v>0</v>
      </c>
      <c r="AK452" s="536"/>
      <c r="AL452" s="536"/>
      <c r="AM452" s="536"/>
      <c r="AN452" s="542">
        <f t="shared" si="157"/>
        <v>0</v>
      </c>
      <c r="AO452" s="536"/>
      <c r="AP452" s="536"/>
      <c r="AQ452" s="536"/>
      <c r="AR452" s="542">
        <f t="shared" si="158"/>
        <v>0</v>
      </c>
      <c r="AS452" s="536"/>
      <c r="AT452" s="536"/>
      <c r="AU452" s="536"/>
      <c r="AV452" s="542">
        <f t="shared" si="159"/>
        <v>0</v>
      </c>
      <c r="AW452" s="536"/>
      <c r="AX452" s="536"/>
      <c r="AY452" s="536"/>
      <c r="AZ452" s="542">
        <f t="shared" si="160"/>
        <v>0</v>
      </c>
      <c r="BA452" s="536"/>
      <c r="BB452" s="536"/>
      <c r="BC452" s="536"/>
      <c r="BD452" s="542">
        <f t="shared" si="161"/>
        <v>0</v>
      </c>
      <c r="BE452" s="536"/>
      <c r="BF452" s="536"/>
      <c r="BG452" s="536"/>
      <c r="BH452" s="542">
        <f t="shared" si="162"/>
        <v>0</v>
      </c>
      <c r="BI452" s="536"/>
      <c r="BJ452" s="536"/>
      <c r="BK452" s="536"/>
      <c r="BL452" s="542">
        <f t="shared" si="163"/>
        <v>0</v>
      </c>
      <c r="BM452" s="536"/>
      <c r="BN452" s="536"/>
      <c r="BO452" s="536"/>
      <c r="BP452" s="542">
        <f t="shared" si="164"/>
        <v>0</v>
      </c>
      <c r="BQ452" s="536"/>
      <c r="BR452" s="536"/>
      <c r="BS452" s="536"/>
      <c r="BT452" s="542">
        <f t="shared" si="165"/>
        <v>0</v>
      </c>
      <c r="BU452" s="536"/>
      <c r="BV452" s="536"/>
      <c r="BW452" s="536"/>
      <c r="BX452" s="542">
        <f t="shared" si="166"/>
        <v>0</v>
      </c>
      <c r="BY452" s="536"/>
      <c r="BZ452" s="536"/>
      <c r="CA452" s="536"/>
      <c r="CB452" s="542">
        <v>0</v>
      </c>
      <c r="CC452" s="536"/>
      <c r="CD452" s="536"/>
      <c r="CE452" s="536"/>
      <c r="CF452" s="541">
        <f t="shared" si="167"/>
        <v>0</v>
      </c>
      <c r="CG452" s="536"/>
      <c r="CH452" s="536"/>
      <c r="CI452" s="536"/>
      <c r="CJ452" s="541">
        <f t="shared" si="168"/>
        <v>0</v>
      </c>
      <c r="CK452" s="536"/>
      <c r="CL452" s="536"/>
      <c r="CM452" s="536"/>
      <c r="CN452" s="541">
        <f t="shared" si="169"/>
        <v>0</v>
      </c>
      <c r="CO452" s="536"/>
      <c r="CP452" s="536"/>
      <c r="CQ452" s="536"/>
      <c r="CR452" s="541">
        <f t="shared" si="170"/>
        <v>0</v>
      </c>
      <c r="CS452" s="536"/>
      <c r="CT452" s="536"/>
      <c r="CU452" s="536"/>
      <c r="CV452" s="541">
        <f t="shared" si="171"/>
        <v>0</v>
      </c>
      <c r="CW452" s="536"/>
      <c r="CX452" s="536"/>
      <c r="CY452" s="536"/>
      <c r="CZ452" s="541">
        <f t="shared" si="172"/>
        <v>0</v>
      </c>
      <c r="DA452" s="536"/>
      <c r="DB452" s="536"/>
      <c r="DC452" s="536"/>
      <c r="DD452" s="541">
        <f t="shared" si="173"/>
        <v>0</v>
      </c>
      <c r="DE452" s="536"/>
      <c r="DF452" s="536"/>
      <c r="DG452" s="536"/>
      <c r="DH452" s="541">
        <f t="shared" si="174"/>
        <v>0</v>
      </c>
      <c r="DI452" s="536"/>
      <c r="DJ452" s="536"/>
      <c r="DK452" s="536"/>
      <c r="DL452" s="541">
        <f t="shared" si="175"/>
        <v>0</v>
      </c>
      <c r="DM452" s="536"/>
      <c r="DN452" s="536"/>
      <c r="DO452" s="536"/>
      <c r="DP452" s="541">
        <f>IF( SUM((DJ452*(20/100))+(DK452*(30/100))+(DL452*(50/100))) &gt;=9.3,9.5,
IF(AND( SUM((DJ452*(20/100))+(DK452*(30/100))+(DL452*(50/100))) &lt;=9.3, SUM((DJ452*(20/100))+(DK452*(30/100))+(DL452*(50/100))) &gt;=8.8),9,
IF(AND( SUM((DJ452*(20/100))+(DK452*(30/100))+(DL452*(50/100))) &lt;=8.8, SUM((DJ452*(20/100))+(DK452*(30/100))+(DL452*(50/100))) &gt;=8.3),8.5,
IF(AND( SUM((DJ452*(20/100))+(DK452*(30/100))+(DL452*(50/100))) &lt;=8.3, SUM((DJ452*(20/100))+(DK452*(30/100))+(DL452*(50/100))) &gt;=7.8),8,
IF(AND( SUM((DJ452*(20/100))+(DK452*(30/100))+(DL452*(50/100))) &lt;=7.8, SUM((DJ452*(20/100))+(DK452*(30/100))+(DL452*(50/100))) &gt;=7.3),7.5,
IF(AND( SUM((DJ452*(20/100))+(DK452*(30/100))+(DL452*(50/100))) &lt;=7.3, SUM((DJ452*(20/100))+(DK452*(30/100))+(DL452*(50/100))) &gt;=6.8),7,
IF(AND( SUM((DJ452*(20/100))+(DK452*(30/100))+(DL452*(50/100))) &lt;=6.8, SUM((DJ452*(20/100))+(DK452*(30/100))+(DL452*(50/100))) &gt;=6.3),6.5,
IF(AND( SUM((DJ452*(20/100))+(DK452*(30/100))+(DL452*(50/100))) &lt;=6.3, SUM((DJ452*(20/100))+(DK452*(30/100))+(DL452*(50/100))) &gt;=5.8),6,
IF(AND( SUM((DJ452*(20/100))+(DK452*(30/100))+(DL452*(50/100))) &lt;=5.8, SUM((DJ452*(20/100))+(DK452*(30/100))+(DL452*(50/100))) &gt;=5.3),5.5,
IF(AND( SUM((DJ452*(20/100))+(DK452*(30/100))+(DL452*(50/100))) &lt;=5.3, SUM((DJ452*(20/100))+(DK452*(30/100))+(DL452*(50/100))) &gt;=4.8),5,
IF(AND( SUM((DJ452*(20/100))+(DK452*(30/100))+(DL452*(50/100))) &lt;=4.8, SUM((DJ452*(20/100))+(DK452*(30/100))+(DL452*(50/100))) &gt;=4.3),4.5,
IF(AND( SUM((DJ452*(20/100))+(DK452*(30/100))+(DL452*(50/100))) &lt;=4.3, SUM((DJ452*(20/100))+(DK452*(30/100))+(DL452*(50/100))) &gt;=3.8),4,
IF(AND( SUM((DJ452*(20/100))+(DK452*(30/100))+(DL452*(50/100))) &lt;=3.8, SUM((DJ452*(20/100))+(DK452*(30/100))+(DL452*(50/100))) &gt;=3.5),3.5,0)))))))))))))</f>
        <v>0</v>
      </c>
      <c r="DQ452" s="541"/>
      <c r="DR452" s="541"/>
      <c r="DS452" s="541"/>
      <c r="DT452" s="541"/>
      <c r="DU452" s="541"/>
      <c r="DV452" s="541"/>
      <c r="DW452" s="541"/>
      <c r="DX452" s="541"/>
      <c r="DY452" s="541"/>
      <c r="DZ452" s="541"/>
    </row>
    <row r="453" spans="2:130" x14ac:dyDescent="0.25">
      <c r="B453" s="334">
        <v>46</v>
      </c>
      <c r="C453" s="541"/>
      <c r="D453" s="334"/>
      <c r="E453" s="334"/>
      <c r="F453" s="334"/>
      <c r="G453" s="334"/>
      <c r="H453" s="334"/>
      <c r="I453" s="334"/>
      <c r="J453" s="536"/>
      <c r="K453" s="536"/>
      <c r="L453" s="536"/>
      <c r="M453" s="536"/>
      <c r="N453" s="536"/>
      <c r="O453" s="536"/>
      <c r="P453" s="536">
        <f t="shared" si="151"/>
        <v>0</v>
      </c>
      <c r="Q453" s="536"/>
      <c r="R453" s="536"/>
      <c r="S453" s="536"/>
      <c r="T453" s="536">
        <f t="shared" si="152"/>
        <v>0</v>
      </c>
      <c r="U453" s="536"/>
      <c r="V453" s="536"/>
      <c r="W453" s="536"/>
      <c r="X453" s="536">
        <f t="shared" si="153"/>
        <v>0</v>
      </c>
      <c r="Y453" s="536"/>
      <c r="Z453" s="536"/>
      <c r="AA453" s="536"/>
      <c r="AB453" s="536">
        <f t="shared" si="154"/>
        <v>0</v>
      </c>
      <c r="AC453" s="536"/>
      <c r="AD453" s="536"/>
      <c r="AE453" s="536"/>
      <c r="AF453" s="536">
        <f t="shared" si="155"/>
        <v>0</v>
      </c>
      <c r="AG453" s="536"/>
      <c r="AH453" s="536"/>
      <c r="AI453" s="536"/>
      <c r="AJ453" s="536">
        <f t="shared" si="156"/>
        <v>0</v>
      </c>
      <c r="AK453" s="536"/>
      <c r="AL453" s="536"/>
      <c r="AM453" s="536"/>
      <c r="AN453" s="542">
        <f t="shared" si="157"/>
        <v>0</v>
      </c>
      <c r="AO453" s="536"/>
      <c r="AP453" s="536"/>
      <c r="AQ453" s="536"/>
      <c r="AR453" s="542">
        <f t="shared" si="158"/>
        <v>0</v>
      </c>
      <c r="AS453" s="536"/>
      <c r="AT453" s="536"/>
      <c r="AU453" s="536"/>
      <c r="AV453" s="542">
        <f t="shared" si="159"/>
        <v>0</v>
      </c>
      <c r="AW453" s="536"/>
      <c r="AX453" s="536"/>
      <c r="AY453" s="536"/>
      <c r="AZ453" s="542">
        <f t="shared" si="160"/>
        <v>0</v>
      </c>
      <c r="BA453" s="536"/>
      <c r="BB453" s="536"/>
      <c r="BC453" s="536"/>
      <c r="BD453" s="542">
        <f t="shared" si="161"/>
        <v>0</v>
      </c>
      <c r="BE453" s="536"/>
      <c r="BF453" s="536"/>
      <c r="BG453" s="536"/>
      <c r="BH453" s="542">
        <f t="shared" si="162"/>
        <v>0</v>
      </c>
      <c r="BI453" s="536"/>
      <c r="BJ453" s="536"/>
      <c r="BK453" s="536"/>
      <c r="BL453" s="542">
        <f t="shared" si="163"/>
        <v>0</v>
      </c>
      <c r="BM453" s="536"/>
      <c r="BN453" s="536"/>
      <c r="BO453" s="536"/>
      <c r="BP453" s="542">
        <f t="shared" si="164"/>
        <v>0</v>
      </c>
      <c r="BQ453" s="536"/>
      <c r="BR453" s="536"/>
      <c r="BS453" s="536"/>
      <c r="BT453" s="542">
        <f t="shared" si="165"/>
        <v>0</v>
      </c>
      <c r="BU453" s="536"/>
      <c r="BV453" s="536"/>
      <c r="BW453" s="536"/>
      <c r="BX453" s="542">
        <f t="shared" si="166"/>
        <v>0</v>
      </c>
      <c r="BY453" s="536"/>
      <c r="BZ453" s="536"/>
      <c r="CA453" s="536"/>
      <c r="CB453" s="542">
        <v>0</v>
      </c>
      <c r="CC453" s="536"/>
      <c r="CD453" s="536"/>
      <c r="CE453" s="536"/>
      <c r="CF453" s="541">
        <f t="shared" si="167"/>
        <v>0</v>
      </c>
      <c r="CG453" s="536"/>
      <c r="CH453" s="536"/>
      <c r="CI453" s="536"/>
      <c r="CJ453" s="541">
        <f t="shared" si="168"/>
        <v>0</v>
      </c>
      <c r="CK453" s="536"/>
      <c r="CL453" s="536"/>
      <c r="CM453" s="536"/>
      <c r="CN453" s="541">
        <f t="shared" si="169"/>
        <v>0</v>
      </c>
      <c r="CO453" s="536"/>
      <c r="CP453" s="536"/>
      <c r="CQ453" s="536"/>
      <c r="CR453" s="541">
        <f t="shared" si="170"/>
        <v>0</v>
      </c>
      <c r="CS453" s="536"/>
      <c r="CT453" s="536"/>
      <c r="CU453" s="536"/>
      <c r="CV453" s="541">
        <f t="shared" si="171"/>
        <v>0</v>
      </c>
      <c r="CW453" s="536"/>
      <c r="CX453" s="536"/>
      <c r="CY453" s="536"/>
      <c r="CZ453" s="541">
        <f t="shared" si="172"/>
        <v>0</v>
      </c>
      <c r="DA453" s="536"/>
      <c r="DB453" s="536"/>
      <c r="DC453" s="536"/>
      <c r="DD453" s="541">
        <f t="shared" si="173"/>
        <v>0</v>
      </c>
      <c r="DE453" s="536"/>
      <c r="DF453" s="536"/>
      <c r="DG453" s="536"/>
      <c r="DH453" s="541">
        <f t="shared" si="174"/>
        <v>0</v>
      </c>
      <c r="DI453" s="536"/>
      <c r="DJ453" s="536"/>
      <c r="DK453" s="536"/>
      <c r="DL453" s="541">
        <f t="shared" si="175"/>
        <v>0</v>
      </c>
      <c r="DM453" s="536"/>
      <c r="DN453" s="536"/>
      <c r="DO453" s="536"/>
      <c r="DP453" s="541">
        <f>IF( SUM((DJ453*(20/100))+(DK453*(30/100))+(DL453*(50/100))) &gt;=9.3,9.5,
IF(AND( SUM((DJ453*(20/100))+(DK453*(30/100))+(DL453*(50/100))) &lt;=9.3, SUM((DJ453*(20/100))+(DK453*(30/100))+(DL453*(50/100))) &gt;=8.8),9,
IF(AND( SUM((DJ453*(20/100))+(DK453*(30/100))+(DL453*(50/100))) &lt;=8.8, SUM((DJ453*(20/100))+(DK453*(30/100))+(DL453*(50/100))) &gt;=8.3),8.5,
IF(AND( SUM((DJ453*(20/100))+(DK453*(30/100))+(DL453*(50/100))) &lt;=8.3, SUM((DJ453*(20/100))+(DK453*(30/100))+(DL453*(50/100))) &gt;=7.8),8,
IF(AND( SUM((DJ453*(20/100))+(DK453*(30/100))+(DL453*(50/100))) &lt;=7.8, SUM((DJ453*(20/100))+(DK453*(30/100))+(DL453*(50/100))) &gt;=7.3),7.5,
IF(AND( SUM((DJ453*(20/100))+(DK453*(30/100))+(DL453*(50/100))) &lt;=7.3, SUM((DJ453*(20/100))+(DK453*(30/100))+(DL453*(50/100))) &gt;=6.8),7,
IF(AND( SUM((DJ453*(20/100))+(DK453*(30/100))+(DL453*(50/100))) &lt;=6.8, SUM((DJ453*(20/100))+(DK453*(30/100))+(DL453*(50/100))) &gt;=6.3),6.5,
IF(AND( SUM((DJ453*(20/100))+(DK453*(30/100))+(DL453*(50/100))) &lt;=6.3, SUM((DJ453*(20/100))+(DK453*(30/100))+(DL453*(50/100))) &gt;=5.8),6,
IF(AND( SUM((DJ453*(20/100))+(DK453*(30/100))+(DL453*(50/100))) &lt;=5.8, SUM((DJ453*(20/100))+(DK453*(30/100))+(DL453*(50/100))) &gt;=5.3),5.5,
IF(AND( SUM((DJ453*(20/100))+(DK453*(30/100))+(DL453*(50/100))) &lt;=5.3, SUM((DJ453*(20/100))+(DK453*(30/100))+(DL453*(50/100))) &gt;=4.8),5,
IF(AND( SUM((DJ453*(20/100))+(DK453*(30/100))+(DL453*(50/100))) &lt;=4.8, SUM((DJ453*(20/100))+(DK453*(30/100))+(DL453*(50/100))) &gt;=4.3),4.5,
IF(AND( SUM((DJ453*(20/100))+(DK453*(30/100))+(DL453*(50/100))) &lt;=4.3, SUM((DJ453*(20/100))+(DK453*(30/100))+(DL453*(50/100))) &gt;=3.8),4,
IF(AND( SUM((DJ453*(20/100))+(DK453*(30/100))+(DL453*(50/100))) &lt;=3.8, SUM((DJ453*(20/100))+(DK453*(30/100))+(DL453*(50/100))) &gt;=3.5),3.5,0)))))))))))))</f>
        <v>0</v>
      </c>
      <c r="DQ453" s="541"/>
      <c r="DR453" s="541"/>
      <c r="DS453" s="541"/>
      <c r="DT453" s="541"/>
      <c r="DU453" s="541"/>
      <c r="DV453" s="541"/>
      <c r="DW453" s="541"/>
      <c r="DX453" s="541"/>
      <c r="DY453" s="541"/>
      <c r="DZ453" s="541"/>
    </row>
    <row r="454" spans="2:130" x14ac:dyDescent="0.25">
      <c r="B454" s="334">
        <v>47</v>
      </c>
      <c r="C454" s="541"/>
      <c r="D454" s="334"/>
      <c r="E454" s="334"/>
      <c r="F454" s="334"/>
      <c r="G454" s="334"/>
      <c r="H454" s="334"/>
      <c r="I454" s="334"/>
      <c r="J454" s="536"/>
      <c r="K454" s="536"/>
      <c r="L454" s="536"/>
      <c r="M454" s="536"/>
      <c r="N454" s="536"/>
      <c r="O454" s="536"/>
      <c r="P454" s="536">
        <f t="shared" si="151"/>
        <v>0</v>
      </c>
      <c r="Q454" s="536"/>
      <c r="R454" s="536"/>
      <c r="S454" s="536"/>
      <c r="T454" s="536">
        <f t="shared" si="152"/>
        <v>0</v>
      </c>
      <c r="U454" s="536"/>
      <c r="V454" s="536"/>
      <c r="W454" s="536"/>
      <c r="X454" s="536">
        <f t="shared" si="153"/>
        <v>0</v>
      </c>
      <c r="Y454" s="536"/>
      <c r="Z454" s="536"/>
      <c r="AA454" s="536"/>
      <c r="AB454" s="536">
        <f t="shared" si="154"/>
        <v>0</v>
      </c>
      <c r="AC454" s="536"/>
      <c r="AD454" s="536"/>
      <c r="AE454" s="536"/>
      <c r="AF454" s="536">
        <f t="shared" si="155"/>
        <v>0</v>
      </c>
      <c r="AG454" s="536"/>
      <c r="AH454" s="536"/>
      <c r="AI454" s="536"/>
      <c r="AJ454" s="536">
        <f t="shared" si="156"/>
        <v>0</v>
      </c>
      <c r="AK454" s="536"/>
      <c r="AL454" s="536"/>
      <c r="AM454" s="536"/>
      <c r="AN454" s="542">
        <f t="shared" si="157"/>
        <v>0</v>
      </c>
      <c r="AO454" s="536"/>
      <c r="AP454" s="536"/>
      <c r="AQ454" s="536"/>
      <c r="AR454" s="542">
        <f t="shared" si="158"/>
        <v>0</v>
      </c>
      <c r="AS454" s="536"/>
      <c r="AT454" s="536"/>
      <c r="AU454" s="536"/>
      <c r="AV454" s="542">
        <f t="shared" si="159"/>
        <v>0</v>
      </c>
      <c r="AW454" s="536"/>
      <c r="AX454" s="536"/>
      <c r="AY454" s="536"/>
      <c r="AZ454" s="542">
        <f t="shared" si="160"/>
        <v>0</v>
      </c>
      <c r="BA454" s="536"/>
      <c r="BB454" s="536"/>
      <c r="BC454" s="536"/>
      <c r="BD454" s="542">
        <f t="shared" si="161"/>
        <v>0</v>
      </c>
      <c r="BE454" s="536"/>
      <c r="BF454" s="536"/>
      <c r="BG454" s="536"/>
      <c r="BH454" s="542">
        <f t="shared" si="162"/>
        <v>0</v>
      </c>
      <c r="BI454" s="536"/>
      <c r="BJ454" s="536"/>
      <c r="BK454" s="536"/>
      <c r="BL454" s="542">
        <f t="shared" si="163"/>
        <v>0</v>
      </c>
      <c r="BM454" s="536"/>
      <c r="BN454" s="536"/>
      <c r="BO454" s="536"/>
      <c r="BP454" s="542">
        <f t="shared" si="164"/>
        <v>0</v>
      </c>
      <c r="BQ454" s="536"/>
      <c r="BR454" s="536"/>
      <c r="BS454" s="536"/>
      <c r="BT454" s="542">
        <f t="shared" si="165"/>
        <v>0</v>
      </c>
      <c r="BU454" s="536"/>
      <c r="BV454" s="536"/>
      <c r="BW454" s="536"/>
      <c r="BX454" s="542">
        <f t="shared" si="166"/>
        <v>0</v>
      </c>
      <c r="BY454" s="536"/>
      <c r="BZ454" s="536"/>
      <c r="CA454" s="536"/>
      <c r="CB454" s="542">
        <v>0</v>
      </c>
      <c r="CC454" s="536"/>
      <c r="CD454" s="536"/>
      <c r="CE454" s="536"/>
      <c r="CF454" s="541">
        <f t="shared" si="167"/>
        <v>0</v>
      </c>
      <c r="CG454" s="536"/>
      <c r="CH454" s="536"/>
      <c r="CI454" s="536"/>
      <c r="CJ454" s="541">
        <f t="shared" si="168"/>
        <v>0</v>
      </c>
      <c r="CK454" s="536"/>
      <c r="CL454" s="536"/>
      <c r="CM454" s="536"/>
      <c r="CN454" s="541">
        <f t="shared" si="169"/>
        <v>0</v>
      </c>
      <c r="CO454" s="536"/>
      <c r="CP454" s="536"/>
      <c r="CQ454" s="536"/>
      <c r="CR454" s="541">
        <f t="shared" si="170"/>
        <v>0</v>
      </c>
      <c r="CS454" s="536"/>
      <c r="CT454" s="536"/>
      <c r="CU454" s="536"/>
      <c r="CV454" s="541">
        <f t="shared" si="171"/>
        <v>0</v>
      </c>
      <c r="CW454" s="536"/>
      <c r="CX454" s="536"/>
      <c r="CY454" s="536"/>
      <c r="CZ454" s="541">
        <f t="shared" si="172"/>
        <v>0</v>
      </c>
      <c r="DA454" s="536"/>
      <c r="DB454" s="536"/>
      <c r="DC454" s="536"/>
      <c r="DD454" s="541">
        <f t="shared" si="173"/>
        <v>0</v>
      </c>
      <c r="DE454" s="536"/>
      <c r="DF454" s="536"/>
      <c r="DG454" s="536"/>
      <c r="DH454" s="541">
        <f t="shared" si="174"/>
        <v>0</v>
      </c>
      <c r="DI454" s="536"/>
      <c r="DJ454" s="536"/>
      <c r="DK454" s="536"/>
      <c r="DL454" s="541">
        <f t="shared" si="175"/>
        <v>0</v>
      </c>
      <c r="DM454" s="536"/>
      <c r="DN454" s="536"/>
      <c r="DO454" s="536"/>
      <c r="DP454" s="541">
        <f>IF( SUM((DJ454*(20/100))+(DK454*(30/100))+(DL454*(50/100))) &gt;=9.3,9.5,
IF(AND( SUM((DJ454*(20/100))+(DK454*(30/100))+(DL454*(50/100))) &lt;=9.3, SUM((DJ454*(20/100))+(DK454*(30/100))+(DL454*(50/100))) &gt;=8.8),9,
IF(AND( SUM((DJ454*(20/100))+(DK454*(30/100))+(DL454*(50/100))) &lt;=8.8, SUM((DJ454*(20/100))+(DK454*(30/100))+(DL454*(50/100))) &gt;=8.3),8.5,
IF(AND( SUM((DJ454*(20/100))+(DK454*(30/100))+(DL454*(50/100))) &lt;=8.3, SUM((DJ454*(20/100))+(DK454*(30/100))+(DL454*(50/100))) &gt;=7.8),8,
IF(AND( SUM((DJ454*(20/100))+(DK454*(30/100))+(DL454*(50/100))) &lt;=7.8, SUM((DJ454*(20/100))+(DK454*(30/100))+(DL454*(50/100))) &gt;=7.3),7.5,
IF(AND( SUM((DJ454*(20/100))+(DK454*(30/100))+(DL454*(50/100))) &lt;=7.3, SUM((DJ454*(20/100))+(DK454*(30/100))+(DL454*(50/100))) &gt;=6.8),7,
IF(AND( SUM((DJ454*(20/100))+(DK454*(30/100))+(DL454*(50/100))) &lt;=6.8, SUM((DJ454*(20/100))+(DK454*(30/100))+(DL454*(50/100))) &gt;=6.3),6.5,
IF(AND( SUM((DJ454*(20/100))+(DK454*(30/100))+(DL454*(50/100))) &lt;=6.3, SUM((DJ454*(20/100))+(DK454*(30/100))+(DL454*(50/100))) &gt;=5.8),6,
IF(AND( SUM((DJ454*(20/100))+(DK454*(30/100))+(DL454*(50/100))) &lt;=5.8, SUM((DJ454*(20/100))+(DK454*(30/100))+(DL454*(50/100))) &gt;=5.3),5.5,
IF(AND( SUM((DJ454*(20/100))+(DK454*(30/100))+(DL454*(50/100))) &lt;=5.3, SUM((DJ454*(20/100))+(DK454*(30/100))+(DL454*(50/100))) &gt;=4.8),5,
IF(AND( SUM((DJ454*(20/100))+(DK454*(30/100))+(DL454*(50/100))) &lt;=4.8, SUM((DJ454*(20/100))+(DK454*(30/100))+(DL454*(50/100))) &gt;=4.3),4.5,
IF(AND( SUM((DJ454*(20/100))+(DK454*(30/100))+(DL454*(50/100))) &lt;=4.3, SUM((DJ454*(20/100))+(DK454*(30/100))+(DL454*(50/100))) &gt;=3.8),4,
IF(AND( SUM((DJ454*(20/100))+(DK454*(30/100))+(DL454*(50/100))) &lt;=3.8, SUM((DJ454*(20/100))+(DK454*(30/100))+(DL454*(50/100))) &gt;=3.5),3.5,0)))))))))))))</f>
        <v>0</v>
      </c>
      <c r="DQ454" s="541"/>
      <c r="DR454" s="541"/>
      <c r="DS454" s="541"/>
      <c r="DT454" s="541"/>
      <c r="DU454" s="541"/>
      <c r="DV454" s="541"/>
      <c r="DW454" s="541"/>
      <c r="DX454" s="541"/>
      <c r="DY454" s="541"/>
      <c r="DZ454" s="541"/>
    </row>
    <row r="455" spans="2:130" x14ac:dyDescent="0.25">
      <c r="B455" s="334">
        <v>48</v>
      </c>
      <c r="C455" s="541"/>
      <c r="D455" s="334"/>
      <c r="E455" s="334"/>
      <c r="F455" s="334"/>
      <c r="G455" s="334"/>
      <c r="H455" s="334"/>
      <c r="I455" s="334"/>
      <c r="J455" s="536"/>
      <c r="K455" s="536"/>
      <c r="L455" s="536"/>
      <c r="M455" s="536"/>
      <c r="N455" s="536"/>
      <c r="O455" s="536"/>
      <c r="P455" s="536">
        <f t="shared" si="151"/>
        <v>0</v>
      </c>
      <c r="Q455" s="536"/>
      <c r="R455" s="536"/>
      <c r="S455" s="536"/>
      <c r="T455" s="536">
        <f t="shared" si="152"/>
        <v>0</v>
      </c>
      <c r="U455" s="536"/>
      <c r="V455" s="536"/>
      <c r="W455" s="536"/>
      <c r="X455" s="536">
        <f t="shared" si="153"/>
        <v>0</v>
      </c>
      <c r="Y455" s="536"/>
      <c r="Z455" s="536"/>
      <c r="AA455" s="536"/>
      <c r="AB455" s="536">
        <f t="shared" si="154"/>
        <v>0</v>
      </c>
      <c r="AC455" s="536"/>
      <c r="AD455" s="536"/>
      <c r="AE455" s="536"/>
      <c r="AF455" s="536">
        <f t="shared" si="155"/>
        <v>0</v>
      </c>
      <c r="AG455" s="536"/>
      <c r="AH455" s="536"/>
      <c r="AI455" s="536"/>
      <c r="AJ455" s="536">
        <f t="shared" si="156"/>
        <v>0</v>
      </c>
      <c r="AK455" s="536"/>
      <c r="AL455" s="536"/>
      <c r="AM455" s="536"/>
      <c r="AN455" s="542">
        <f t="shared" si="157"/>
        <v>0</v>
      </c>
      <c r="AO455" s="536"/>
      <c r="AP455" s="536"/>
      <c r="AQ455" s="536"/>
      <c r="AR455" s="542">
        <f t="shared" si="158"/>
        <v>0</v>
      </c>
      <c r="AS455" s="536"/>
      <c r="AT455" s="536"/>
      <c r="AU455" s="536"/>
      <c r="AV455" s="542">
        <f t="shared" si="159"/>
        <v>0</v>
      </c>
      <c r="AW455" s="536"/>
      <c r="AX455" s="536"/>
      <c r="AY455" s="536"/>
      <c r="AZ455" s="542">
        <f t="shared" si="160"/>
        <v>0</v>
      </c>
      <c r="BA455" s="536"/>
      <c r="BB455" s="536"/>
      <c r="BC455" s="536"/>
      <c r="BD455" s="542">
        <f t="shared" si="161"/>
        <v>0</v>
      </c>
      <c r="BE455" s="536"/>
      <c r="BF455" s="536"/>
      <c r="BG455" s="536"/>
      <c r="BH455" s="542">
        <f t="shared" si="162"/>
        <v>0</v>
      </c>
      <c r="BI455" s="536"/>
      <c r="BJ455" s="536"/>
      <c r="BK455" s="536"/>
      <c r="BL455" s="542">
        <f t="shared" si="163"/>
        <v>0</v>
      </c>
      <c r="BM455" s="536"/>
      <c r="BN455" s="536"/>
      <c r="BO455" s="536"/>
      <c r="BP455" s="542">
        <f t="shared" si="164"/>
        <v>0</v>
      </c>
      <c r="BQ455" s="536"/>
      <c r="BR455" s="536"/>
      <c r="BS455" s="536"/>
      <c r="BT455" s="542">
        <f t="shared" si="165"/>
        <v>0</v>
      </c>
      <c r="BU455" s="536"/>
      <c r="BV455" s="536"/>
      <c r="BW455" s="536"/>
      <c r="BX455" s="542">
        <f t="shared" si="166"/>
        <v>0</v>
      </c>
      <c r="BY455" s="536"/>
      <c r="BZ455" s="536"/>
      <c r="CA455" s="536"/>
      <c r="CB455" s="542">
        <v>0</v>
      </c>
      <c r="CC455" s="536"/>
      <c r="CD455" s="536"/>
      <c r="CE455" s="536"/>
      <c r="CF455" s="541">
        <f t="shared" si="167"/>
        <v>0</v>
      </c>
      <c r="CG455" s="536"/>
      <c r="CH455" s="536"/>
      <c r="CI455" s="536"/>
      <c r="CJ455" s="541">
        <f t="shared" si="168"/>
        <v>0</v>
      </c>
      <c r="CK455" s="536"/>
      <c r="CL455" s="536"/>
      <c r="CM455" s="536"/>
      <c r="CN455" s="541">
        <f t="shared" si="169"/>
        <v>0</v>
      </c>
      <c r="CO455" s="536"/>
      <c r="CP455" s="536"/>
      <c r="CQ455" s="536"/>
      <c r="CR455" s="541">
        <f t="shared" si="170"/>
        <v>0</v>
      </c>
      <c r="CS455" s="536"/>
      <c r="CT455" s="536"/>
      <c r="CU455" s="536"/>
      <c r="CV455" s="541">
        <f t="shared" si="171"/>
        <v>0</v>
      </c>
      <c r="CW455" s="536"/>
      <c r="CX455" s="536"/>
      <c r="CY455" s="536"/>
      <c r="CZ455" s="541">
        <f t="shared" si="172"/>
        <v>0</v>
      </c>
      <c r="DA455" s="536"/>
      <c r="DB455" s="536"/>
      <c r="DC455" s="536"/>
      <c r="DD455" s="541">
        <f t="shared" si="173"/>
        <v>0</v>
      </c>
      <c r="DE455" s="536"/>
      <c r="DF455" s="536"/>
      <c r="DG455" s="536"/>
      <c r="DH455" s="541">
        <f t="shared" si="174"/>
        <v>0</v>
      </c>
      <c r="DI455" s="536"/>
      <c r="DJ455" s="536"/>
      <c r="DK455" s="536"/>
      <c r="DL455" s="541">
        <f t="shared" si="175"/>
        <v>0</v>
      </c>
      <c r="DM455" s="536"/>
      <c r="DN455" s="536"/>
      <c r="DO455" s="536"/>
      <c r="DP455" s="541">
        <f>IF( SUM((DJ455*(20/100))+(DK455*(30/100))+(DL455*(50/100))) &gt;=9.3,9.5,
IF(AND( SUM((DJ455*(20/100))+(DK455*(30/100))+(DL455*(50/100))) &lt;=9.3, SUM((DJ455*(20/100))+(DK455*(30/100))+(DL455*(50/100))) &gt;=8.8),9,
IF(AND( SUM((DJ455*(20/100))+(DK455*(30/100))+(DL455*(50/100))) &lt;=8.8, SUM((DJ455*(20/100))+(DK455*(30/100))+(DL455*(50/100))) &gt;=8.3),8.5,
IF(AND( SUM((DJ455*(20/100))+(DK455*(30/100))+(DL455*(50/100))) &lt;=8.3, SUM((DJ455*(20/100))+(DK455*(30/100))+(DL455*(50/100))) &gt;=7.8),8,
IF(AND( SUM((DJ455*(20/100))+(DK455*(30/100))+(DL455*(50/100))) &lt;=7.8, SUM((DJ455*(20/100))+(DK455*(30/100))+(DL455*(50/100))) &gt;=7.3),7.5,
IF(AND( SUM((DJ455*(20/100))+(DK455*(30/100))+(DL455*(50/100))) &lt;=7.3, SUM((DJ455*(20/100))+(DK455*(30/100))+(DL455*(50/100))) &gt;=6.8),7,
IF(AND( SUM((DJ455*(20/100))+(DK455*(30/100))+(DL455*(50/100))) &lt;=6.8, SUM((DJ455*(20/100))+(DK455*(30/100))+(DL455*(50/100))) &gt;=6.3),6.5,
IF(AND( SUM((DJ455*(20/100))+(DK455*(30/100))+(DL455*(50/100))) &lt;=6.3, SUM((DJ455*(20/100))+(DK455*(30/100))+(DL455*(50/100))) &gt;=5.8),6,
IF(AND( SUM((DJ455*(20/100))+(DK455*(30/100))+(DL455*(50/100))) &lt;=5.8, SUM((DJ455*(20/100))+(DK455*(30/100))+(DL455*(50/100))) &gt;=5.3),5.5,
IF(AND( SUM((DJ455*(20/100))+(DK455*(30/100))+(DL455*(50/100))) &lt;=5.3, SUM((DJ455*(20/100))+(DK455*(30/100))+(DL455*(50/100))) &gt;=4.8),5,
IF(AND( SUM((DJ455*(20/100))+(DK455*(30/100))+(DL455*(50/100))) &lt;=4.8, SUM((DJ455*(20/100))+(DK455*(30/100))+(DL455*(50/100))) &gt;=4.3),4.5,
IF(AND( SUM((DJ455*(20/100))+(DK455*(30/100))+(DL455*(50/100))) &lt;=4.3, SUM((DJ455*(20/100))+(DK455*(30/100))+(DL455*(50/100))) &gt;=3.8),4,
IF(AND( SUM((DJ455*(20/100))+(DK455*(30/100))+(DL455*(50/100))) &lt;=3.8, SUM((DJ455*(20/100))+(DK455*(30/100))+(DL455*(50/100))) &gt;=3.5),3.5,0)))))))))))))</f>
        <v>0</v>
      </c>
      <c r="DQ455" s="541"/>
      <c r="DR455" s="541"/>
      <c r="DS455" s="541"/>
      <c r="DT455" s="541"/>
      <c r="DU455" s="541"/>
      <c r="DV455" s="541"/>
      <c r="DW455" s="541"/>
      <c r="DX455" s="541"/>
      <c r="DY455" s="541"/>
      <c r="DZ455" s="541"/>
    </row>
    <row r="456" spans="2:130" x14ac:dyDescent="0.25">
      <c r="B456" s="334">
        <v>49</v>
      </c>
      <c r="C456" s="541"/>
      <c r="D456" s="334"/>
      <c r="E456" s="334"/>
      <c r="F456" s="334"/>
      <c r="G456" s="334"/>
      <c r="H456" s="334"/>
      <c r="I456" s="334"/>
      <c r="J456" s="536"/>
      <c r="K456" s="536"/>
      <c r="L456" s="536"/>
      <c r="M456" s="536"/>
      <c r="N456" s="536"/>
      <c r="O456" s="536"/>
      <c r="P456" s="536">
        <f t="shared" si="151"/>
        <v>0</v>
      </c>
      <c r="Q456" s="536"/>
      <c r="R456" s="536"/>
      <c r="S456" s="536"/>
      <c r="T456" s="536">
        <f t="shared" si="152"/>
        <v>0</v>
      </c>
      <c r="U456" s="536"/>
      <c r="V456" s="536"/>
      <c r="W456" s="536"/>
      <c r="X456" s="536">
        <f t="shared" si="153"/>
        <v>0</v>
      </c>
      <c r="Y456" s="536"/>
      <c r="Z456" s="536"/>
      <c r="AA456" s="536"/>
      <c r="AB456" s="536">
        <f t="shared" si="154"/>
        <v>0</v>
      </c>
      <c r="AC456" s="536"/>
      <c r="AD456" s="536"/>
      <c r="AE456" s="536"/>
      <c r="AF456" s="536">
        <f t="shared" si="155"/>
        <v>0</v>
      </c>
      <c r="AG456" s="536"/>
      <c r="AH456" s="536"/>
      <c r="AI456" s="536"/>
      <c r="AJ456" s="536">
        <f t="shared" si="156"/>
        <v>0</v>
      </c>
      <c r="AK456" s="536"/>
      <c r="AL456" s="536"/>
      <c r="AM456" s="536"/>
      <c r="AN456" s="542">
        <f t="shared" si="157"/>
        <v>0</v>
      </c>
      <c r="AO456" s="536"/>
      <c r="AP456" s="536"/>
      <c r="AQ456" s="536"/>
      <c r="AR456" s="542">
        <f t="shared" si="158"/>
        <v>0</v>
      </c>
      <c r="AS456" s="536"/>
      <c r="AT456" s="536"/>
      <c r="AU456" s="536"/>
      <c r="AV456" s="542">
        <f t="shared" si="159"/>
        <v>0</v>
      </c>
      <c r="AW456" s="536"/>
      <c r="AX456" s="536"/>
      <c r="AY456" s="536"/>
      <c r="AZ456" s="542">
        <f t="shared" si="160"/>
        <v>0</v>
      </c>
      <c r="BA456" s="536"/>
      <c r="BB456" s="536"/>
      <c r="BC456" s="536"/>
      <c r="BD456" s="542">
        <f t="shared" si="161"/>
        <v>0</v>
      </c>
      <c r="BE456" s="536"/>
      <c r="BF456" s="536"/>
      <c r="BG456" s="536"/>
      <c r="BH456" s="542">
        <f t="shared" si="162"/>
        <v>0</v>
      </c>
      <c r="BI456" s="536"/>
      <c r="BJ456" s="536"/>
      <c r="BK456" s="536"/>
      <c r="BL456" s="542">
        <f t="shared" si="163"/>
        <v>0</v>
      </c>
      <c r="BM456" s="536"/>
      <c r="BN456" s="536"/>
      <c r="BO456" s="536"/>
      <c r="BP456" s="542">
        <f t="shared" si="164"/>
        <v>0</v>
      </c>
      <c r="BQ456" s="536"/>
      <c r="BR456" s="536"/>
      <c r="BS456" s="536"/>
      <c r="BT456" s="542">
        <f t="shared" si="165"/>
        <v>0</v>
      </c>
      <c r="BU456" s="536"/>
      <c r="BV456" s="536"/>
      <c r="BW456" s="536"/>
      <c r="BX456" s="542">
        <f t="shared" si="166"/>
        <v>0</v>
      </c>
      <c r="BY456" s="536"/>
      <c r="BZ456" s="536"/>
      <c r="CA456" s="536"/>
      <c r="CB456" s="542">
        <v>0</v>
      </c>
      <c r="CC456" s="536"/>
      <c r="CD456" s="536"/>
      <c r="CE456" s="536"/>
      <c r="CF456" s="541">
        <f t="shared" si="167"/>
        <v>0</v>
      </c>
      <c r="CG456" s="536"/>
      <c r="CH456" s="536"/>
      <c r="CI456" s="536"/>
      <c r="CJ456" s="541">
        <f t="shared" si="168"/>
        <v>0</v>
      </c>
      <c r="CK456" s="536"/>
      <c r="CL456" s="536"/>
      <c r="CM456" s="536"/>
      <c r="CN456" s="541">
        <f t="shared" si="169"/>
        <v>0</v>
      </c>
      <c r="CO456" s="536"/>
      <c r="CP456" s="536"/>
      <c r="CQ456" s="536"/>
      <c r="CR456" s="541">
        <f t="shared" si="170"/>
        <v>0</v>
      </c>
      <c r="CS456" s="536"/>
      <c r="CT456" s="536"/>
      <c r="CU456" s="536"/>
      <c r="CV456" s="541">
        <f t="shared" si="171"/>
        <v>0</v>
      </c>
      <c r="CW456" s="536"/>
      <c r="CX456" s="536"/>
      <c r="CY456" s="536"/>
      <c r="CZ456" s="541">
        <f t="shared" si="172"/>
        <v>0</v>
      </c>
      <c r="DA456" s="536"/>
      <c r="DB456" s="536"/>
      <c r="DC456" s="536"/>
      <c r="DD456" s="541">
        <f t="shared" si="173"/>
        <v>0</v>
      </c>
      <c r="DE456" s="536"/>
      <c r="DF456" s="536"/>
      <c r="DG456" s="536"/>
      <c r="DH456" s="541">
        <f t="shared" si="174"/>
        <v>0</v>
      </c>
      <c r="DI456" s="536"/>
      <c r="DJ456" s="536"/>
      <c r="DK456" s="536"/>
      <c r="DL456" s="541">
        <f t="shared" si="175"/>
        <v>0</v>
      </c>
      <c r="DM456" s="536"/>
      <c r="DN456" s="536"/>
      <c r="DO456" s="536"/>
      <c r="DP456" s="541">
        <f>IF( SUM((DJ456*(20/100))+(DK456*(30/100))+(DL456*(50/100))) &gt;=9.3,9.5,
IF(AND( SUM((DJ456*(20/100))+(DK456*(30/100))+(DL456*(50/100))) &lt;=9.3, SUM((DJ456*(20/100))+(DK456*(30/100))+(DL456*(50/100))) &gt;=8.8),9,
IF(AND( SUM((DJ456*(20/100))+(DK456*(30/100))+(DL456*(50/100))) &lt;=8.8, SUM((DJ456*(20/100))+(DK456*(30/100))+(DL456*(50/100))) &gt;=8.3),8.5,
IF(AND( SUM((DJ456*(20/100))+(DK456*(30/100))+(DL456*(50/100))) &lt;=8.3, SUM((DJ456*(20/100))+(DK456*(30/100))+(DL456*(50/100))) &gt;=7.8),8,
IF(AND( SUM((DJ456*(20/100))+(DK456*(30/100))+(DL456*(50/100))) &lt;=7.8, SUM((DJ456*(20/100))+(DK456*(30/100))+(DL456*(50/100))) &gt;=7.3),7.5,
IF(AND( SUM((DJ456*(20/100))+(DK456*(30/100))+(DL456*(50/100))) &lt;=7.3, SUM((DJ456*(20/100))+(DK456*(30/100))+(DL456*(50/100))) &gt;=6.8),7,
IF(AND( SUM((DJ456*(20/100))+(DK456*(30/100))+(DL456*(50/100))) &lt;=6.8, SUM((DJ456*(20/100))+(DK456*(30/100))+(DL456*(50/100))) &gt;=6.3),6.5,
IF(AND( SUM((DJ456*(20/100))+(DK456*(30/100))+(DL456*(50/100))) &lt;=6.3, SUM((DJ456*(20/100))+(DK456*(30/100))+(DL456*(50/100))) &gt;=5.8),6,
IF(AND( SUM((DJ456*(20/100))+(DK456*(30/100))+(DL456*(50/100))) &lt;=5.8, SUM((DJ456*(20/100))+(DK456*(30/100))+(DL456*(50/100))) &gt;=5.3),5.5,
IF(AND( SUM((DJ456*(20/100))+(DK456*(30/100))+(DL456*(50/100))) &lt;=5.3, SUM((DJ456*(20/100))+(DK456*(30/100))+(DL456*(50/100))) &gt;=4.8),5,
IF(AND( SUM((DJ456*(20/100))+(DK456*(30/100))+(DL456*(50/100))) &lt;=4.8, SUM((DJ456*(20/100))+(DK456*(30/100))+(DL456*(50/100))) &gt;=4.3),4.5,
IF(AND( SUM((DJ456*(20/100))+(DK456*(30/100))+(DL456*(50/100))) &lt;=4.3, SUM((DJ456*(20/100))+(DK456*(30/100))+(DL456*(50/100))) &gt;=3.8),4,
IF(AND( SUM((DJ456*(20/100))+(DK456*(30/100))+(DL456*(50/100))) &lt;=3.8, SUM((DJ456*(20/100))+(DK456*(30/100))+(DL456*(50/100))) &gt;=3.5),3.5,0)))))))))))))</f>
        <v>0</v>
      </c>
      <c r="DQ456" s="541"/>
      <c r="DR456" s="541"/>
      <c r="DS456" s="541"/>
      <c r="DT456" s="541"/>
      <c r="DU456" s="541"/>
      <c r="DV456" s="541"/>
      <c r="DW456" s="541"/>
      <c r="DX456" s="541"/>
      <c r="DY456" s="541"/>
      <c r="DZ456" s="541"/>
    </row>
    <row r="457" spans="2:130" x14ac:dyDescent="0.25">
      <c r="B457" s="334">
        <v>50</v>
      </c>
      <c r="C457" s="541"/>
      <c r="D457" s="334"/>
      <c r="E457" s="334"/>
      <c r="F457" s="334"/>
      <c r="G457" s="334"/>
      <c r="H457" s="334"/>
      <c r="I457" s="334"/>
      <c r="J457" s="536"/>
      <c r="K457" s="536"/>
      <c r="L457" s="536"/>
      <c r="M457" s="536"/>
      <c r="N457" s="536"/>
      <c r="O457" s="536"/>
      <c r="P457" s="536">
        <f t="shared" ref="P457:P520" si="176">IF( SUM((M457*(20/100))+(N457*(30/100))+(O457*(50/100))) &gt;=9.3,9.5,
IF(AND( SUM((M457*(20/100))+(N457*(30/100))+(O457*(50/100))) &lt;=9.3, SUM((M457*(20/100))+(N457*(30/100))+(O457*(50/100))) &gt;=8.8),9,
IF(AND( SUM((M457*(20/100))+(N457*(30/100))+(O457*(50/100))) &lt;=8.8, SUM((M457*(20/100))+(N457*(30/100))+(O457*(50/100))) &gt;=8.3),8.5,
IF(AND( SUM((M457*(20/100))+(N457*(30/100))+(O457*(50/100))) &lt;=8.3, SUM((M457*(20/100))+(N457*(30/100))+(O457*(50/100))) &gt;=7.8),8,
IF(AND( SUM((M457*(20/100))+(N457*(30/100))+(O457*(50/100))) &lt;=7.8, SUM((M457*(20/100))+(N457*(30/100))+(O457*(50/100))) &gt;=7.3),7.5,
IF(AND( SUM((M457*(20/100))+(N457*(30/100))+(O457*(50/100))) &lt;=7.3, SUM((M457*(20/100))+(N457*(30/100))+(O457*(50/100))) &gt;=6.8),7,
IF(AND( SUM((M457*(20/100))+(N457*(30/100))+(O457*(50/100))) &lt;=6.8, SUM((M457*(20/100))+(N457*(30/100))+(O457*(50/100))) &gt;=6.3),6.5,
IF(AND( SUM((M457*(20/100))+(N457*(30/100))+(O457*(50/100))) &lt;=6.3, SUM((M457*(20/100))+(N457*(30/100))+(O457*(50/100))) &gt;=5.8),6,
IF(AND( SUM((M457*(20/100))+(N457*(30/100))+(O457*(50/100))) &lt;=5.8, SUM((M457*(20/100))+(N457*(30/100))+(O457*(50/100))) &gt;=5.3),5.5,
IF(AND( SUM((M457*(20/100))+(N457*(30/100))+(O457*(50/100))) &lt;=5.3, SUM((M457*(20/100))+(N457*(30/100))+(O457*(50/100))) &gt;=4.8),5,
IF(AND( SUM((M457*(20/100))+(N457*(30/100))+(O457*(50/100))) &lt;=4.8, SUM((M457*(20/100))+(N457*(30/100))+(O457*(50/100))) &gt;=4.3),4.5,
IF(AND( SUM((M457*(20/100))+(N457*(30/100))+(O457*(50/100))) &lt;=4.3, SUM((M457*(20/100))+(N457*(30/100))+(O457*(50/100))) &gt;=3.8),4,
IF(AND( SUM((M457*(20/100))+(N457*(30/100))+(O457*(50/100))) &lt;=3.8, SUM((M457*(20/100))+(N457*(30/100))+(O457*(50/100))) &gt;=3.5),3.5,0)))))))))))))</f>
        <v>0</v>
      </c>
      <c r="Q457" s="536"/>
      <c r="R457" s="536"/>
      <c r="S457" s="536"/>
      <c r="T457" s="536">
        <f t="shared" ref="T457:T520" si="177">IF( SUM((Q457*(20/100))+(R457*(30/100))+(S457*(50/100))) &gt;=9.3,9.5,
IF(AND( SUM((Q457*(20/100))+(R457*(30/100))+(S457*(50/100))) &lt;=9.3, SUM((Q457*(20/100))+(R457*(30/100))+(S457*(50/100))) &gt;=8.8),9,
IF(AND( SUM((Q457*(20/100))+(R457*(30/100))+(S457*(50/100))) &lt;=8.8, SUM((Q457*(20/100))+(R457*(30/100))+(S457*(50/100))) &gt;=8.3),8.5,
IF(AND( SUM((Q457*(20/100))+(R457*(30/100))+(S457*(50/100))) &lt;=8.3, SUM((Q457*(20/100))+(R457*(30/100))+(S457*(50/100))) &gt;=7.8),8,
IF(AND( SUM((Q457*(20/100))+(R457*(30/100))+(S457*(50/100))) &lt;=7.8, SUM((Q457*(20/100))+(R457*(30/100))+(S457*(50/100))) &gt;=7.3),7.5,
IF(AND( SUM((Q457*(20/100))+(R457*(30/100))+(S457*(50/100))) &lt;=7.3, SUM((Q457*(20/100))+(R457*(30/100))+(S457*(50/100))) &gt;=6.8),7,
IF(AND( SUM((Q457*(20/100))+(R457*(30/100))+(S457*(50/100))) &lt;=6.8, SUM((Q457*(20/100))+(R457*(30/100))+(S457*(50/100))) &gt;=6.3),6.5,
IF(AND( SUM((Q457*(20/100))+(R457*(30/100))+(S457*(50/100))) &lt;=6.3, SUM((Q457*(20/100))+(R457*(30/100))+(S457*(50/100))) &gt;=5.8),6,
IF(AND( SUM((Q457*(20/100))+(R457*(30/100))+(S457*(50/100))) &lt;=5.8, SUM((Q457*(20/100))+(R457*(30/100))+(S457*(50/100))) &gt;=5.3),5.5,
IF(AND( SUM((Q457*(20/100))+(R457*(30/100))+(S457*(50/100))) &lt;=5.3, SUM((Q457*(20/100))+(R457*(30/100))+(S457*(50/100))) &gt;=4.8),5,
IF(AND( SUM((Q457*(20/100))+(R457*(30/100))+(S457*(50/100))) &lt;=4.8, SUM((Q457*(20/100))+(R457*(30/100))+(S457*(50/100))) &gt;=4.3),4.5,
IF(AND( SUM((Q457*(20/100))+(R457*(30/100))+(S457*(50/100))) &lt;=4.3, SUM((Q457*(20/100))+(R457*(30/100))+(S457*(50/100))) &gt;=3.8),4,
IF(AND( SUM((Q457*(20/100))+(R457*(30/100))+(S457*(50/100))) &lt;=3.8, SUM((Q457*(20/100))+(R457*(30/100))+(S457*(50/100))) &gt;=3.5),3.5,0)))))))))))))</f>
        <v>0</v>
      </c>
      <c r="U457" s="536"/>
      <c r="V457" s="536"/>
      <c r="W457" s="536"/>
      <c r="X457" s="536">
        <f t="shared" ref="X457:X520" si="178">IF( SUM((U457*(20/100))+(V457*(30/100))+(W457*(50/100))) &gt;=9.3,9.5,
IF(AND( SUM((U457*(20/100))+(V457*(30/100))+(W457*(50/100))) &lt;=9.3, SUM((U457*(20/100))+(V457*(30/100))+(W457*(50/100))) &gt;=8.8),9,
IF(AND( SUM((U457*(20/100))+(V457*(30/100))+(W457*(50/100))) &lt;=8.8, SUM((U457*(20/100))+(V457*(30/100))+(W457*(50/100))) &gt;=8.3),8.5,
IF(AND( SUM((U457*(20/100))+(V457*(30/100))+(W457*(50/100))) &lt;=8.3, SUM((U457*(20/100))+(V457*(30/100))+(W457*(50/100))) &gt;=7.8),8,
IF(AND( SUM((U457*(20/100))+(V457*(30/100))+(W457*(50/100))) &lt;=7.8, SUM((U457*(20/100))+(V457*(30/100))+(W457*(50/100))) &gt;=7.3),7.5,
IF(AND( SUM((U457*(20/100))+(V457*(30/100))+(W457*(50/100))) &lt;=7.3, SUM((U457*(20/100))+(V457*(30/100))+(W457*(50/100))) &gt;=6.8),7,
IF(AND( SUM((U457*(20/100))+(V457*(30/100))+(W457*(50/100))) &lt;=6.8, SUM((U457*(20/100))+(V457*(30/100))+(W457*(50/100))) &gt;=6.3),6.5,
IF(AND( SUM((U457*(20/100))+(V457*(30/100))+(W457*(50/100))) &lt;=6.3, SUM((U457*(20/100))+(V457*(30/100))+(W457*(50/100))) &gt;=5.8),6,
IF(AND( SUM((U457*(20/100))+(V457*(30/100))+(W457*(50/100))) &lt;=5.8, SUM((U457*(20/100))+(V457*(30/100))+(W457*(50/100))) &gt;=5.3),5.5,
IF(AND( SUM((U457*(20/100))+(V457*(30/100))+(W457*(50/100))) &lt;=5.3, SUM((U457*(20/100))+(V457*(30/100))+(W457*(50/100))) &gt;=4.8),5,
IF(AND( SUM((U457*(20/100))+(V457*(30/100))+(W457*(50/100))) &lt;=4.8, SUM((U457*(20/100))+(V457*(30/100))+(W457*(50/100))) &gt;=4.3),4.5,
IF(AND( SUM((U457*(20/100))+(V457*(30/100))+(W457*(50/100))) &lt;=4.3, SUM((U457*(20/100))+(V457*(30/100))+(W457*(50/100))) &gt;=3.8),4,
IF(AND( SUM((U457*(20/100))+(V457*(30/100))+(W457*(50/100))) &lt;=3.8, SUM((U457*(20/100))+(V457*(30/100))+(W457*(50/100))) &gt;=3.5),3.5,0)))))))))))))</f>
        <v>0</v>
      </c>
      <c r="Y457" s="536"/>
      <c r="Z457" s="536"/>
      <c r="AA457" s="536"/>
      <c r="AB457" s="536">
        <f t="shared" ref="AB457:AB520" si="179">IF( SUM((Y457*(20/100))+(Z457*(30/100))+(AA457*(50/100))) &gt;=9.3,9.5,
IF(AND( SUM((Y457*(20/100))+(Z457*(30/100))+(AA457*(50/100))) &lt;=9.3, SUM((Y457*(20/100))+(Z457*(30/100))+(AA457*(50/100))) &gt;=8.8),9,
IF(AND( SUM((Y457*(20/100))+(Z457*(30/100))+(AA457*(50/100))) &lt;=8.8, SUM((Y457*(20/100))+(Z457*(30/100))+(AA457*(50/100))) &gt;=8.3),8.5,
IF(AND( SUM((Y457*(20/100))+(Z457*(30/100))+(AA457*(50/100))) &lt;=8.3, SUM((Y457*(20/100))+(Z457*(30/100))+(AA457*(50/100))) &gt;=7.8),8,
IF(AND( SUM((Y457*(20/100))+(Z457*(30/100))+(AA457*(50/100))) &lt;=7.8, SUM((Y457*(20/100))+(Z457*(30/100))+(AA457*(50/100))) &gt;=7.3),7.5,
IF(AND( SUM((Y457*(20/100))+(Z457*(30/100))+(AA457*(50/100))) &lt;=7.3, SUM((Y457*(20/100))+(Z457*(30/100))+(AA457*(50/100))) &gt;=6.8),7,
IF(AND( SUM((Y457*(20/100))+(Z457*(30/100))+(AA457*(50/100))) &lt;=6.8, SUM((Y457*(20/100))+(Z457*(30/100))+(AA457*(50/100))) &gt;=6.3),6.5,
IF(AND( SUM((Y457*(20/100))+(Z457*(30/100))+(AA457*(50/100))) &lt;=6.3, SUM((Y457*(20/100))+(Z457*(30/100))+(AA457*(50/100))) &gt;=5.8),6,
IF(AND( SUM((Y457*(20/100))+(Z457*(30/100))+(AA457*(50/100))) &lt;=5.8, SUM((Y457*(20/100))+(Z457*(30/100))+(AA457*(50/100))) &gt;=5.3),5.5,
IF(AND( SUM((Y457*(20/100))+(Z457*(30/100))+(AA457*(50/100))) &lt;=5.3, SUM((Y457*(20/100))+(Z457*(30/100))+(AA457*(50/100))) &gt;=4.8),5,
IF(AND( SUM((Y457*(20/100))+(Z457*(30/100))+(AA457*(50/100))) &lt;=4.8, SUM((Y457*(20/100))+(Z457*(30/100))+(AA457*(50/100))) &gt;=4.3),4.5,
IF(AND( SUM((Y457*(20/100))+(Z457*(30/100))+(AA457*(50/100))) &lt;=4.3, SUM((Y457*(20/100))+(Z457*(30/100))+(AA457*(50/100))) &gt;=3.8),4,
IF(AND( SUM((Y457*(20/100))+(Z457*(30/100))+(AA457*(50/100))) &lt;=3.8, SUM((Y457*(20/100))+(Z457*(30/100))+(AA457*(50/100))) &gt;=3.5),3.5,0)))))))))))))</f>
        <v>0</v>
      </c>
      <c r="AC457" s="536"/>
      <c r="AD457" s="536"/>
      <c r="AE457" s="536"/>
      <c r="AF457" s="536">
        <f t="shared" ref="AF457:AF520" si="180">IF( SUM((AC457*(20/100))+(AD457*(30/100))+(AE457*(50/100))) &gt;=9.3,9.5,
IF(AND( SUM((AC457*(20/100))+(AD457*(30/100))+(AE457*(50/100))) &lt;=9.3, SUM((AC457*(20/100))+(AD457*(30/100))+(AE457*(50/100))) &gt;=8.8),9,
IF(AND( SUM((AC457*(20/100))+(AD457*(30/100))+(AE457*(50/100))) &lt;=8.8, SUM((AC457*(20/100))+(AD457*(30/100))+(AE457*(50/100))) &gt;=8.3),8.5,
IF(AND( SUM((AC457*(20/100))+(AD457*(30/100))+(AE457*(50/100))) &lt;=8.3, SUM((AC457*(20/100))+(AD457*(30/100))+(AE457*(50/100))) &gt;=7.8),8,
IF(AND( SUM((AC457*(20/100))+(AD457*(30/100))+(AE457*(50/100))) &lt;=7.8, SUM((AC457*(20/100))+(AD457*(30/100))+(AE457*(50/100))) &gt;=7.3),7.5,
IF(AND( SUM((AC457*(20/100))+(AD457*(30/100))+(AE457*(50/100))) &lt;=7.3, SUM((AC457*(20/100))+(AD457*(30/100))+(AE457*(50/100))) &gt;=6.8),7,
IF(AND( SUM((AC457*(20/100))+(AD457*(30/100))+(AE457*(50/100))) &lt;=6.8, SUM((AC457*(20/100))+(AD457*(30/100))+(AE457*(50/100))) &gt;=6.3),6.5,
IF(AND( SUM((AC457*(20/100))+(AD457*(30/100))+(AE457*(50/100))) &lt;=6.3, SUM((AC457*(20/100))+(AD457*(30/100))+(AE457*(50/100))) &gt;=5.8),6,
IF(AND( SUM((AC457*(20/100))+(AD457*(30/100))+(AE457*(50/100))) &lt;=5.8, SUM((AC457*(20/100))+(AD457*(30/100))+(AE457*(50/100))) &gt;=5.3),5.5,
IF(AND( SUM((AC457*(20/100))+(AD457*(30/100))+(AE457*(50/100))) &lt;=5.3, SUM((AC457*(20/100))+(AD457*(30/100))+(AE457*(50/100))) &gt;=4.8),5,
IF(AND( SUM((AC457*(20/100))+(AD457*(30/100))+(AE457*(50/100))) &lt;=4.8, SUM((AC457*(20/100))+(AD457*(30/100))+(AE457*(50/100))) &gt;=4.3),4.5,
IF(AND( SUM((AC457*(20/100))+(AD457*(30/100))+(AE457*(50/100))) &lt;=4.3, SUM((AC457*(20/100))+(AD457*(30/100))+(AE457*(50/100))) &gt;=3.8),4,
IF(AND( SUM((AC457*(20/100))+(AD457*(30/100))+(AE457*(50/100))) &lt;=3.8, SUM((AC457*(20/100))+(AD457*(30/100))+(AE457*(50/100))) &gt;=3.5),3.5,0)))))))))))))</f>
        <v>0</v>
      </c>
      <c r="AG457" s="536"/>
      <c r="AH457" s="536"/>
      <c r="AI457" s="536"/>
      <c r="AJ457" s="536">
        <f t="shared" ref="AJ457:AJ520" si="181">IF( SUM((AG457*(20/100))+(AH457*(30/100))+(AI457*(50/100))) &gt;=9.3,9.5,
IF(AND( SUM((AG457*(20/100))+(AH457*(30/100))+(AI457*(50/100))) &lt;=9.3, SUM((AG457*(20/100))+(AH457*(30/100))+(AI457*(50/100))) &gt;=8.8),9,
IF(AND( SUM((AG457*(20/100))+(AH457*(30/100))+(AI457*(50/100))) &lt;=8.8, SUM((AG457*(20/100))+(AH457*(30/100))+(AI457*(50/100))) &gt;=8.3),8.5,
IF(AND( SUM((AG457*(20/100))+(AH457*(30/100))+(AI457*(50/100))) &lt;=8.3, SUM((AG457*(20/100))+(AH457*(30/100))+(AI457*(50/100))) &gt;=7.8),8,
IF(AND( SUM((AG457*(20/100))+(AH457*(30/100))+(AI457*(50/100))) &lt;=7.8, SUM((AG457*(20/100))+(AH457*(30/100))+(AI457*(50/100))) &gt;=7.3),7.5,
IF(AND( SUM((AG457*(20/100))+(AH457*(30/100))+(AI457*(50/100))) &lt;=7.3, SUM((AG457*(20/100))+(AH457*(30/100))+(AI457*(50/100))) &gt;=6.8),7,
IF(AND( SUM((AG457*(20/100))+(AH457*(30/100))+(AI457*(50/100))) &lt;=6.8, SUM((AG457*(20/100))+(AH457*(30/100))+(AI457*(50/100))) &gt;=6.3),6.5,
IF(AND( SUM((AG457*(20/100))+(AH457*(30/100))+(AI457*(50/100))) &lt;=6.3, SUM((AG457*(20/100))+(AH457*(30/100))+(AI457*(50/100))) &gt;=5.8),6,
IF(AND( SUM((AG457*(20/100))+(AH457*(30/100))+(AI457*(50/100))) &lt;=5.8, SUM((AG457*(20/100))+(AH457*(30/100))+(AI457*(50/100))) &gt;=5.3),5.5,
IF(AND( SUM((AG457*(20/100))+(AH457*(30/100))+(AI457*(50/100))) &lt;=5.3, SUM((AG457*(20/100))+(AH457*(30/100))+(AI457*(50/100))) &gt;=4.8),5,
IF(AND( SUM((AG457*(20/100))+(AH457*(30/100))+(AI457*(50/100))) &lt;=4.8, SUM((AG457*(20/100))+(AH457*(30/100))+(AI457*(50/100))) &gt;=4.3),4.5,
IF(AND( SUM((AG457*(20/100))+(AH457*(30/100))+(AI457*(50/100))) &lt;=4.3, SUM((AG457*(20/100))+(AH457*(30/100))+(AI457*(50/100))) &gt;=3.8),4,
IF(AND( SUM((AG457*(20/100))+(AH457*(30/100))+(AI457*(50/100))) &lt;=3.8, SUM((AG457*(20/100))+(AH457*(30/100))+(AI457*(50/100))) &gt;=3.5),3.5,0)))))))))))))</f>
        <v>0</v>
      </c>
      <c r="AK457" s="536"/>
      <c r="AL457" s="536"/>
      <c r="AM457" s="536"/>
      <c r="AN457" s="542">
        <f t="shared" ref="AN457:AN520" si="182">IF( SUM((AK457*(20/100))+(AL457*(30/100))+(AM457*(50/100))) &gt;=9.3,9.5,
IF(AND( SUM((AK457*(20/100))+(AL457*(30/100))+(AM457*(50/100))) &lt;=9.3, SUM((AK457*(20/100))+(AL457*(30/100))+(AM457*(50/100))) &gt;=8.8),9,
IF(AND( SUM((AK457*(20/100))+(AL457*(30/100))+(AM457*(50/100))) &lt;=8.8, SUM((AK457*(20/100))+(AL457*(30/100))+(AM457*(50/100))) &gt;=8.3),8.5,
IF(AND( SUM((AK457*(20/100))+(AL457*(30/100))+(AM457*(50/100))) &lt;=8.3, SUM((AK457*(20/100))+(AL457*(30/100))+(AM457*(50/100))) &gt;=7.8),8,
IF(AND( SUM((AK457*(20/100))+(AL457*(30/100))+(AM457*(50/100))) &lt;=7.8, SUM((AK457*(20/100))+(AL457*(30/100))+(AM457*(50/100))) &gt;=7.3),7.5,
IF(AND( SUM((AK457*(20/100))+(AL457*(30/100))+(AM457*(50/100))) &lt;=7.3, SUM((AK457*(20/100))+(AL457*(30/100))+(AM457*(50/100))) &gt;=6.8),7,
IF(AND( SUM((AK457*(20/100))+(AL457*(30/100))+(AM457*(50/100))) &lt;=6.8, SUM((AK457*(20/100))+(AL457*(30/100))+(AM457*(50/100))) &gt;=6.3),6.5,
IF(AND( SUM((AK457*(20/100))+(AL457*(30/100))+(AM457*(50/100))) &lt;=6.3, SUM((AK457*(20/100))+(AL457*(30/100))+(AM457*(50/100))) &gt;=5.8),6,
IF(AND( SUM((AK457*(20/100))+(AL457*(30/100))+(AM457*(50/100))) &lt;=5.8, SUM((AK457*(20/100))+(AL457*(30/100))+(AM457*(50/100))) &gt;=5.3),5.5,
IF(AND( SUM((AK457*(20/100))+(AL457*(30/100))+(AM457*(50/100))) &lt;=5.3, SUM((AK457*(20/100))+(AL457*(30/100))+(AM457*(50/100))) &gt;=4.8),5,
IF(AND( SUM((AK457*(20/100))+(AL457*(30/100))+(AM457*(50/100))) &lt;=4.8, SUM((AK457*(20/100))+(AL457*(30/100))+(AM457*(50/100))) &gt;=4.3),4.5,
IF(AND( SUM((AK457*(20/100))+(AL457*(30/100))+(AM457*(50/100))) &lt;=4.3, SUM((AK457*(20/100))+(AL457*(30/100))+(AM457*(50/100))) &gt;=3.8),4,
IF(AND( SUM((AK457*(20/100))+(AL457*(30/100))+(AM457*(50/100))) &lt;=3.8, SUM((AK457*(20/100))+(AL457*(30/100))+(AM457*(50/100))) &gt;=3.5),3.5,0)))))))))))))</f>
        <v>0</v>
      </c>
      <c r="AO457" s="536"/>
      <c r="AP457" s="536"/>
      <c r="AQ457" s="536"/>
      <c r="AR457" s="542">
        <f t="shared" ref="AR457:AR520" si="183">IF( SUM((AO457*(20/100))+(AP457*(30/100))+(AQ457*(50/100))) &gt;=9.3,9.5,
IF(AND( SUM((AO457*(20/100))+(AP457*(30/100))+(AQ457*(50/100))) &lt;=9.3, SUM((AO457*(20/100))+(AP457*(30/100))+(AQ457*(50/100))) &gt;=8.8),9,
IF(AND( SUM((AO457*(20/100))+(AP457*(30/100))+(AQ457*(50/100))) &lt;=8.8, SUM((AO457*(20/100))+(AP457*(30/100))+(AQ457*(50/100))) &gt;=8.3),8.5,
IF(AND( SUM((AO457*(20/100))+(AP457*(30/100))+(AQ457*(50/100))) &lt;=8.3, SUM((AO457*(20/100))+(AP457*(30/100))+(AQ457*(50/100))) &gt;=7.8),8,
IF(AND( SUM((AO457*(20/100))+(AP457*(30/100))+(AQ457*(50/100))) &lt;=7.8, SUM((AO457*(20/100))+(AP457*(30/100))+(AQ457*(50/100))) &gt;=7.3),7.5,
IF(AND( SUM((AO457*(20/100))+(AP457*(30/100))+(AQ457*(50/100))) &lt;=7.3, SUM((AO457*(20/100))+(AP457*(30/100))+(AQ457*(50/100))) &gt;=6.8),7,
IF(AND( SUM((AO457*(20/100))+(AP457*(30/100))+(AQ457*(50/100))) &lt;=6.8, SUM((AO457*(20/100))+(AP457*(30/100))+(AQ457*(50/100))) &gt;=6.3),6.5,
IF(AND( SUM((AO457*(20/100))+(AP457*(30/100))+(AQ457*(50/100))) &lt;=6.3, SUM((AO457*(20/100))+(AP457*(30/100))+(AQ457*(50/100))) &gt;=5.8),6,
IF(AND( SUM((AO457*(20/100))+(AP457*(30/100))+(AQ457*(50/100))) &lt;=5.8, SUM((AO457*(20/100))+(AP457*(30/100))+(AQ457*(50/100))) &gt;=5.3),5.5,
IF(AND( SUM((AO457*(20/100))+(AP457*(30/100))+(AQ457*(50/100))) &lt;=5.3, SUM((AO457*(20/100))+(AP457*(30/100))+(AQ457*(50/100))) &gt;=4.8),5,
IF(AND( SUM((AO457*(20/100))+(AP457*(30/100))+(AQ457*(50/100))) &lt;=4.8, SUM((AO457*(20/100))+(AP457*(30/100))+(AQ457*(50/100))) &gt;=4.3),4.5,
IF(AND( SUM((AO457*(20/100))+(AP457*(30/100))+(AQ457*(50/100))) &lt;=4.3, SUM((AO457*(20/100))+(AP457*(30/100))+(AQ457*(50/100))) &gt;=3.8),4,
IF(AND( SUM((AO457*(20/100))+(AP457*(30/100))+(AQ457*(50/100))) &lt;=3.8, SUM((AO457*(20/100))+(AP457*(30/100))+(AQ457*(50/100))) &gt;=3.5),3.5,0)))))))))))))</f>
        <v>0</v>
      </c>
      <c r="AS457" s="536"/>
      <c r="AT457" s="536"/>
      <c r="AU457" s="536"/>
      <c r="AV457" s="542">
        <f t="shared" ref="AV457:AV520" si="184">IF( SUM((AS457*(20/100))+(AT457*(30/100))+(AU457*(50/100))) &gt;=9.3,9.5,
IF(AND( SUM((AS457*(20/100))+(AT457*(30/100))+(AU457*(50/100))) &lt;=9.3, SUM((AS457*(20/100))+(AT457*(30/100))+(AU457*(50/100))) &gt;=8.8),9,
IF(AND( SUM((AS457*(20/100))+(AT457*(30/100))+(AU457*(50/100))) &lt;=8.8, SUM((AS457*(20/100))+(AT457*(30/100))+(AU457*(50/100))) &gt;=8.3),8.5,
IF(AND( SUM((AS457*(20/100))+(AT457*(30/100))+(AU457*(50/100))) &lt;=8.3, SUM((AS457*(20/100))+(AT457*(30/100))+(AU457*(50/100))) &gt;=7.8),8,
IF(AND( SUM((AS457*(20/100))+(AT457*(30/100))+(AU457*(50/100))) &lt;=7.8, SUM((AS457*(20/100))+(AT457*(30/100))+(AU457*(50/100))) &gt;=7.3),7.5,
IF(AND( SUM((AS457*(20/100))+(AT457*(30/100))+(AU457*(50/100))) &lt;=7.3, SUM((AS457*(20/100))+(AT457*(30/100))+(AU457*(50/100))) &gt;=6.8),7,
IF(AND( SUM((AS457*(20/100))+(AT457*(30/100))+(AU457*(50/100))) &lt;=6.8, SUM((AS457*(20/100))+(AT457*(30/100))+(AU457*(50/100))) &gt;=6.3),6.5,
IF(AND( SUM((AS457*(20/100))+(AT457*(30/100))+(AU457*(50/100))) &lt;=6.3, SUM((AS457*(20/100))+(AT457*(30/100))+(AU457*(50/100))) &gt;=5.8),6,
IF(AND( SUM((AS457*(20/100))+(AT457*(30/100))+(AU457*(50/100))) &lt;=5.8, SUM((AS457*(20/100))+(AT457*(30/100))+(AU457*(50/100))) &gt;=5.3),5.5,
IF(AND( SUM((AS457*(20/100))+(AT457*(30/100))+(AU457*(50/100))) &lt;=5.3, SUM((AS457*(20/100))+(AT457*(30/100))+(AU457*(50/100))) &gt;=4.8),5,
IF(AND( SUM((AS457*(20/100))+(AT457*(30/100))+(AU457*(50/100))) &lt;=4.8, SUM((AS457*(20/100))+(AT457*(30/100))+(AU457*(50/100))) &gt;=4.3),4.5,
IF(AND( SUM((AS457*(20/100))+(AT457*(30/100))+(AU457*(50/100))) &lt;=4.3, SUM((AS457*(20/100))+(AT457*(30/100))+(AU457*(50/100))) &gt;=3.8),4,
IF(AND( SUM((AS457*(20/100))+(AT457*(30/100))+(AU457*(50/100))) &lt;=3.8, SUM((AS457*(20/100))+(AT457*(30/100))+(AU457*(50/100))) &gt;=3.5),3.5,0)))))))))))))</f>
        <v>0</v>
      </c>
      <c r="AW457" s="536"/>
      <c r="AX457" s="536"/>
      <c r="AY457" s="536"/>
      <c r="AZ457" s="542">
        <f t="shared" ref="AZ457:AZ520" si="185">IF( SUM((AW457*(20/100))+(AX457*(30/100))+(AY457*(50/100))) &gt;=9.3,9.5,
IF(AND( SUM((AW457*(20/100))+(AX457*(30/100))+(AY457*(50/100))) &lt;=9.3, SUM((AW457*(20/100))+(AX457*(30/100))+(AY457*(50/100))) &gt;=8.8),9,
IF(AND( SUM((AW457*(20/100))+(AX457*(30/100))+(AY457*(50/100))) &lt;=8.8, SUM((AW457*(20/100))+(AX457*(30/100))+(AY457*(50/100))) &gt;=8.3),8.5,
IF(AND( SUM((AW457*(20/100))+(AX457*(30/100))+(AY457*(50/100))) &lt;=8.3, SUM((AW457*(20/100))+(AX457*(30/100))+(AY457*(50/100))) &gt;=7.8),8,
IF(AND( SUM((AW457*(20/100))+(AX457*(30/100))+(AY457*(50/100))) &lt;=7.8, SUM((AW457*(20/100))+(AX457*(30/100))+(AY457*(50/100))) &gt;=7.3),7.5,
IF(AND( SUM((AW457*(20/100))+(AX457*(30/100))+(AY457*(50/100))) &lt;=7.3, SUM((AW457*(20/100))+(AX457*(30/100))+(AY457*(50/100))) &gt;=6.8),7,
IF(AND( SUM((AW457*(20/100))+(AX457*(30/100))+(AY457*(50/100))) &lt;=6.8, SUM((AW457*(20/100))+(AX457*(30/100))+(AY457*(50/100))) &gt;=6.3),6.5,
IF(AND( SUM((AW457*(20/100))+(AX457*(30/100))+(AY457*(50/100))) &lt;=6.3, SUM((AW457*(20/100))+(AX457*(30/100))+(AY457*(50/100))) &gt;=5.8),6,
IF(AND( SUM((AW457*(20/100))+(AX457*(30/100))+(AY457*(50/100))) &lt;=5.8, SUM((AW457*(20/100))+(AX457*(30/100))+(AY457*(50/100))) &gt;=5.3),5.5,
IF(AND( SUM((AW457*(20/100))+(AX457*(30/100))+(AY457*(50/100))) &lt;=5.3, SUM((AW457*(20/100))+(AX457*(30/100))+(AY457*(50/100))) &gt;=4.8),5,
IF(AND( SUM((AW457*(20/100))+(AX457*(30/100))+(AY457*(50/100))) &lt;=4.8, SUM((AW457*(20/100))+(AX457*(30/100))+(AY457*(50/100))) &gt;=4.3),4.5,
IF(AND( SUM((AW457*(20/100))+(AX457*(30/100))+(AY457*(50/100))) &lt;=4.3, SUM((AW457*(20/100))+(AX457*(30/100))+(AY457*(50/100))) &gt;=3.8),4,
IF(AND( SUM((AW457*(20/100))+(AX457*(30/100))+(AY457*(50/100))) &lt;=3.8, SUM((AW457*(20/100))+(AX457*(30/100))+(AY457*(50/100))) &gt;=3.5),3.5,0)))))))))))))</f>
        <v>0</v>
      </c>
      <c r="BA457" s="536"/>
      <c r="BB457" s="536"/>
      <c r="BC457" s="536"/>
      <c r="BD457" s="542">
        <f t="shared" ref="BD457:BD520" si="186">IF( SUM((BA457*(20/100))+(BB457*(30/100))+(BC457*(50/100))) &gt;=9.3,9.5,
IF(AND( SUM((BA457*(20/100))+(BB457*(30/100))+(BC457*(50/100))) &lt;=9.3, SUM((BA457*(20/100))+(BB457*(30/100))+(BC457*(50/100))) &gt;=8.8),9,
IF(AND( SUM((BA457*(20/100))+(BB457*(30/100))+(BC457*(50/100))) &lt;=8.8, SUM((BA457*(20/100))+(BB457*(30/100))+(BC457*(50/100))) &gt;=8.3),8.5,
IF(AND( SUM((BA457*(20/100))+(BB457*(30/100))+(BC457*(50/100))) &lt;=8.3, SUM((BA457*(20/100))+(BB457*(30/100))+(BC457*(50/100))) &gt;=7.8),8,
IF(AND( SUM((BA457*(20/100))+(BB457*(30/100))+(BC457*(50/100))) &lt;=7.8, SUM((BA457*(20/100))+(BB457*(30/100))+(BC457*(50/100))) &gt;=7.3),7.5,
IF(AND( SUM((BA457*(20/100))+(BB457*(30/100))+(BC457*(50/100))) &lt;=7.3, SUM((BA457*(20/100))+(BB457*(30/100))+(BC457*(50/100))) &gt;=6.8),7,
IF(AND( SUM((BA457*(20/100))+(BB457*(30/100))+(BC457*(50/100))) &lt;=6.8, SUM((BA457*(20/100))+(BB457*(30/100))+(BC457*(50/100))) &gt;=6.3),6.5,
IF(AND( SUM((BA457*(20/100))+(BB457*(30/100))+(BC457*(50/100))) &lt;=6.3, SUM((BA457*(20/100))+(BB457*(30/100))+(BC457*(50/100))) &gt;=5.8),6,
IF(AND( SUM((BA457*(20/100))+(BB457*(30/100))+(BC457*(50/100))) &lt;=5.8, SUM((BA457*(20/100))+(BB457*(30/100))+(BC457*(50/100))) &gt;=5.3),5.5,
IF(AND( SUM((BA457*(20/100))+(BB457*(30/100))+(BC457*(50/100))) &lt;=5.3, SUM((BA457*(20/100))+(BB457*(30/100))+(BC457*(50/100))) &gt;=4.8),5,
IF(AND( SUM((BA457*(20/100))+(BB457*(30/100))+(BC457*(50/100))) &lt;=4.8, SUM((BA457*(20/100))+(BB457*(30/100))+(BC457*(50/100))) &gt;=4.3),4.5,
IF(AND( SUM((BA457*(20/100))+(BB457*(30/100))+(BC457*(50/100))) &lt;=4.3, SUM((BA457*(20/100))+(BB457*(30/100))+(BC457*(50/100))) &gt;=3.8),4,
IF(AND( SUM((BA457*(20/100))+(BB457*(30/100))+(BC457*(50/100))) &lt;=3.8, SUM((BA457*(20/100))+(BB457*(30/100))+(BC457*(50/100))) &gt;=3.5),3.5,0)))))))))))))</f>
        <v>0</v>
      </c>
      <c r="BE457" s="536"/>
      <c r="BF457" s="536"/>
      <c r="BG457" s="536"/>
      <c r="BH457" s="542">
        <f t="shared" ref="BH457:BH520" si="187">IF( SUM((BE457*(20/100))+(BF457*(30/100))+(BG457*(50/100))) &gt;=9.3,9.5,
IF(AND( SUM((BE457*(20/100))+(BF457*(30/100))+(BG457*(50/100))) &lt;=9.3, SUM((BE457*(20/100))+(BF457*(30/100))+(BG457*(50/100))) &gt;=8.8),9,
IF(AND( SUM((BE457*(20/100))+(BF457*(30/100))+(BG457*(50/100))) &lt;=8.8, SUM((BE457*(20/100))+(BF457*(30/100))+(BG457*(50/100))) &gt;=8.3),8.5,
IF(AND( SUM((BE457*(20/100))+(BF457*(30/100))+(BG457*(50/100))) &lt;=8.3, SUM((BE457*(20/100))+(BF457*(30/100))+(BG457*(50/100))) &gt;=7.8),8,
IF(AND( SUM((BE457*(20/100))+(BF457*(30/100))+(BG457*(50/100))) &lt;=7.8, SUM((BE457*(20/100))+(BF457*(30/100))+(BG457*(50/100))) &gt;=7.3),7.5,
IF(AND( SUM((BE457*(20/100))+(BF457*(30/100))+(BG457*(50/100))) &lt;=7.3, SUM((BE457*(20/100))+(BF457*(30/100))+(BG457*(50/100))) &gt;=6.8),7,
IF(AND( SUM((BE457*(20/100))+(BF457*(30/100))+(BG457*(50/100))) &lt;=6.8, SUM((BE457*(20/100))+(BF457*(30/100))+(BG457*(50/100))) &gt;=6.3),6.5,
IF(AND( SUM((BE457*(20/100))+(BF457*(30/100))+(BG457*(50/100))) &lt;=6.3, SUM((BE457*(20/100))+(BF457*(30/100))+(BG457*(50/100))) &gt;=5.8),6,
IF(AND( SUM((BE457*(20/100))+(BF457*(30/100))+(BG457*(50/100))) &lt;=5.8, SUM((BE457*(20/100))+(BF457*(30/100))+(BG457*(50/100))) &gt;=5.3),5.5,
IF(AND( SUM((BE457*(20/100))+(BF457*(30/100))+(BG457*(50/100))) &lt;=5.3, SUM((BE457*(20/100))+(BF457*(30/100))+(BG457*(50/100))) &gt;=4.8),5,
IF(AND( SUM((BE457*(20/100))+(BF457*(30/100))+(BG457*(50/100))) &lt;=4.8, SUM((BE457*(20/100))+(BF457*(30/100))+(BG457*(50/100))) &gt;=4.3),4.5,
IF(AND( SUM((BE457*(20/100))+(BF457*(30/100))+(BG457*(50/100))) &lt;=4.3, SUM((BE457*(20/100))+(BF457*(30/100))+(BG457*(50/100))) &gt;=3.8),4,
IF(AND( SUM((BE457*(20/100))+(BF457*(30/100))+(BG457*(50/100))) &lt;=3.8, SUM((BE457*(20/100))+(BF457*(30/100))+(BG457*(50/100))) &gt;=3.5),3.5,0)))))))))))))</f>
        <v>0</v>
      </c>
      <c r="BI457" s="536"/>
      <c r="BJ457" s="536"/>
      <c r="BK457" s="536"/>
      <c r="BL457" s="542">
        <f t="shared" ref="BL457:BL520" si="188">IF( SUM((BI457*(20/100))+(BJ457*(30/100))+(BK457*(50/100))) &gt;=9.3,9.5,
IF(AND( SUM((BI457*(20/100))+(BJ457*(30/100))+(BK457*(50/100))) &lt;=9.3, SUM((BI457*(20/100))+(BJ457*(30/100))+(BK457*(50/100))) &gt;=8.8),9,
IF(AND( SUM((BI457*(20/100))+(BJ457*(30/100))+(BK457*(50/100))) &lt;=8.8, SUM((BI457*(20/100))+(BJ457*(30/100))+(BK457*(50/100))) &gt;=8.3),8.5,
IF(AND( SUM((BI457*(20/100))+(BJ457*(30/100))+(BK457*(50/100))) &lt;=8.3, SUM((BI457*(20/100))+(BJ457*(30/100))+(BK457*(50/100))) &gt;=7.8),8,
IF(AND( SUM((BI457*(20/100))+(BJ457*(30/100))+(BK457*(50/100))) &lt;=7.8, SUM((BI457*(20/100))+(BJ457*(30/100))+(BK457*(50/100))) &gt;=7.3),7.5,
IF(AND( SUM((BI457*(20/100))+(BJ457*(30/100))+(BK457*(50/100))) &lt;=7.3, SUM((BI457*(20/100))+(BJ457*(30/100))+(BK457*(50/100))) &gt;=6.8),7,
IF(AND( SUM((BI457*(20/100))+(BJ457*(30/100))+(BK457*(50/100))) &lt;=6.8, SUM((BI457*(20/100))+(BJ457*(30/100))+(BK457*(50/100))) &gt;=6.3),6.5,
IF(AND( SUM((BI457*(20/100))+(BJ457*(30/100))+(BK457*(50/100))) &lt;=6.3, SUM((BI457*(20/100))+(BJ457*(30/100))+(BK457*(50/100))) &gt;=5.8),6,
IF(AND( SUM((BI457*(20/100))+(BJ457*(30/100))+(BK457*(50/100))) &lt;=5.8, SUM((BI457*(20/100))+(BJ457*(30/100))+(BK457*(50/100))) &gt;=5.3),5.5,
IF(AND( SUM((BI457*(20/100))+(BJ457*(30/100))+(BK457*(50/100))) &lt;=5.3, SUM((BI457*(20/100))+(BJ457*(30/100))+(BK457*(50/100))) &gt;=4.8),5,
IF(AND( SUM((BI457*(20/100))+(BJ457*(30/100))+(BK457*(50/100))) &lt;=4.8, SUM((BI457*(20/100))+(BJ457*(30/100))+(BK457*(50/100))) &gt;=4.3),4.5,
IF(AND( SUM((BI457*(20/100))+(BJ457*(30/100))+(BK457*(50/100))) &lt;=4.3, SUM((BI457*(20/100))+(BJ457*(30/100))+(BK457*(50/100))) &gt;=3.8),4,
IF(AND( SUM((BI457*(20/100))+(BJ457*(30/100))+(BK457*(50/100))) &lt;=3.8, SUM((BI457*(20/100))+(BJ457*(30/100))+(BK457*(50/100))) &gt;=3.5),3.5,0)))))))))))))</f>
        <v>0</v>
      </c>
      <c r="BM457" s="536"/>
      <c r="BN457" s="536"/>
      <c r="BO457" s="536"/>
      <c r="BP457" s="542">
        <f t="shared" ref="BP457:BP520" si="189">IF( SUM((BM457*(20/100))+(BN457*(30/100))+(BO457*(50/100))) &gt;=9.3,9.5,
IF(AND( SUM((BM457*(20/100))+(BN457*(30/100))+(BO457*(50/100))) &lt;=9.3, SUM((BM457*(20/100))+(BN457*(30/100))+(BO457*(50/100))) &gt;=8.8),9,
IF(AND( SUM((BM457*(20/100))+(BN457*(30/100))+(BO457*(50/100))) &lt;=8.8, SUM((BM457*(20/100))+(BN457*(30/100))+(BO457*(50/100))) &gt;=8.3),8.5,
IF(AND( SUM((BM457*(20/100))+(BN457*(30/100))+(BO457*(50/100))) &lt;=8.3, SUM((BM457*(20/100))+(BN457*(30/100))+(BO457*(50/100))) &gt;=7.8),8,
IF(AND( SUM((BM457*(20/100))+(BN457*(30/100))+(BO457*(50/100))) &lt;=7.8, SUM((BM457*(20/100))+(BN457*(30/100))+(BO457*(50/100))) &gt;=7.3),7.5,
IF(AND( SUM((BM457*(20/100))+(BN457*(30/100))+(BO457*(50/100))) &lt;=7.3, SUM((BM457*(20/100))+(BN457*(30/100))+(BO457*(50/100))) &gt;=6.8),7,
IF(AND( SUM((BM457*(20/100))+(BN457*(30/100))+(BO457*(50/100))) &lt;=6.8, SUM((BM457*(20/100))+(BN457*(30/100))+(BO457*(50/100))) &gt;=6.3),6.5,
IF(AND( SUM((BM457*(20/100))+(BN457*(30/100))+(BO457*(50/100))) &lt;=6.3, SUM((BM457*(20/100))+(BN457*(30/100))+(BO457*(50/100))) &gt;=5.8),6,
IF(AND( SUM((BM457*(20/100))+(BN457*(30/100))+(BO457*(50/100))) &lt;=5.8, SUM((BM457*(20/100))+(BN457*(30/100))+(BO457*(50/100))) &gt;=5.3),5.5,
IF(AND( SUM((BM457*(20/100))+(BN457*(30/100))+(BO457*(50/100))) &lt;=5.3, SUM((BM457*(20/100))+(BN457*(30/100))+(BO457*(50/100))) &gt;=4.8),5,
IF(AND( SUM((BM457*(20/100))+(BN457*(30/100))+(BO457*(50/100))) &lt;=4.8, SUM((BM457*(20/100))+(BN457*(30/100))+(BO457*(50/100))) &gt;=4.3),4.5,
IF(AND( SUM((BM457*(20/100))+(BN457*(30/100))+(BO457*(50/100))) &lt;=4.3, SUM((BM457*(20/100))+(BN457*(30/100))+(BO457*(50/100))) &gt;=3.8),4,
IF(AND( SUM((BM457*(20/100))+(BN457*(30/100))+(BO457*(50/100))) &lt;=3.8, SUM((BM457*(20/100))+(BN457*(30/100))+(BO457*(50/100))) &gt;=3.5),3.5,0)))))))))))))</f>
        <v>0</v>
      </c>
      <c r="BQ457" s="536"/>
      <c r="BR457" s="536"/>
      <c r="BS457" s="536"/>
      <c r="BT457" s="542">
        <f t="shared" ref="BT457:BT520" si="190">IF( SUM((BQ457*(20/100))+(BR457*(30/100))+(BS457*(50/100))) &gt;=9.3,9.5,
IF(AND( SUM((BQ457*(20/100))+(BR457*(30/100))+(BS457*(50/100))) &lt;=9.3, SUM((BQ457*(20/100))+(BR457*(30/100))+(BS457*(50/100))) &gt;=8.8),9,
IF(AND( SUM((BQ457*(20/100))+(BR457*(30/100))+(BS457*(50/100))) &lt;=8.8, SUM((BQ457*(20/100))+(BR457*(30/100))+(BS457*(50/100))) &gt;=8.3),8.5,
IF(AND( SUM((BQ457*(20/100))+(BR457*(30/100))+(BS457*(50/100))) &lt;=8.3, SUM((BQ457*(20/100))+(BR457*(30/100))+(BS457*(50/100))) &gt;=7.8),8,
IF(AND( SUM((BQ457*(20/100))+(BR457*(30/100))+(BS457*(50/100))) &lt;=7.8, SUM((BQ457*(20/100))+(BR457*(30/100))+(BS457*(50/100))) &gt;=7.3),7.5,
IF(AND( SUM((BQ457*(20/100))+(BR457*(30/100))+(BS457*(50/100))) &lt;=7.3, SUM((BQ457*(20/100))+(BR457*(30/100))+(BS457*(50/100))) &gt;=6.8),7,
IF(AND( SUM((BQ457*(20/100))+(BR457*(30/100))+(BS457*(50/100))) &lt;=6.8, SUM((BQ457*(20/100))+(BR457*(30/100))+(BS457*(50/100))) &gt;=6.3),6.5,
IF(AND( SUM((BQ457*(20/100))+(BR457*(30/100))+(BS457*(50/100))) &lt;=6.3, SUM((BQ457*(20/100))+(BR457*(30/100))+(BS457*(50/100))) &gt;=5.8),6,
IF(AND( SUM((BQ457*(20/100))+(BR457*(30/100))+(BS457*(50/100))) &lt;=5.8, SUM((BQ457*(20/100))+(BR457*(30/100))+(BS457*(50/100))) &gt;=5.3),5.5,
IF(AND( SUM((BQ457*(20/100))+(BR457*(30/100))+(BS457*(50/100))) &lt;=5.3, SUM((BQ457*(20/100))+(BR457*(30/100))+(BS457*(50/100))) &gt;=4.8),5,
IF(AND( SUM((BQ457*(20/100))+(BR457*(30/100))+(BS457*(50/100))) &lt;=4.8, SUM((BQ457*(20/100))+(BR457*(30/100))+(BS457*(50/100))) &gt;=4.3),4.5,
IF(AND( SUM((BQ457*(20/100))+(BR457*(30/100))+(BS457*(50/100))) &lt;=4.3, SUM((BQ457*(20/100))+(BR457*(30/100))+(BS457*(50/100))) &gt;=3.8),4,
IF(AND( SUM((BQ457*(20/100))+(BR457*(30/100))+(BS457*(50/100))) &lt;=3.8, SUM((BQ457*(20/100))+(BR457*(30/100))+(BS457*(50/100))) &gt;=3.5),3.5,0)))))))))))))</f>
        <v>0</v>
      </c>
      <c r="BU457" s="536"/>
      <c r="BV457" s="536"/>
      <c r="BW457" s="536"/>
      <c r="BX457" s="542">
        <f t="shared" ref="BX457:BX520" si="191">IF( SUM((BU457*(20/100))+(BV457*(30/100))+(BW457*(50/100))) &gt;=9.3,9.5,
IF(AND( SUM((BU457*(20/100))+(BV457*(30/100))+(BW457*(50/100))) &lt;=9.3, SUM((BU457*(20/100))+(BV457*(30/100))+(BW457*(50/100))) &gt;=8.8),9,
IF(AND( SUM((BU457*(20/100))+(BV457*(30/100))+(BW457*(50/100))) &lt;=8.8, SUM((BU457*(20/100))+(BV457*(30/100))+(BW457*(50/100))) &gt;=8.3),8.5,
IF(AND( SUM((BU457*(20/100))+(BV457*(30/100))+(BW457*(50/100))) &lt;=8.3, SUM((BU457*(20/100))+(BV457*(30/100))+(BW457*(50/100))) &gt;=7.8),8,
IF(AND( SUM((BU457*(20/100))+(BV457*(30/100))+(BW457*(50/100))) &lt;=7.8, SUM((BU457*(20/100))+(BV457*(30/100))+(BW457*(50/100))) &gt;=7.3),7.5,
IF(AND( SUM((BU457*(20/100))+(BV457*(30/100))+(BW457*(50/100))) &lt;=7.3, SUM((BU457*(20/100))+(BV457*(30/100))+(BW457*(50/100))) &gt;=6.8),7,
IF(AND( SUM((BU457*(20/100))+(BV457*(30/100))+(BW457*(50/100))) &lt;=6.8, SUM((BU457*(20/100))+(BV457*(30/100))+(BW457*(50/100))) &gt;=6.3),6.5,
IF(AND( SUM((BU457*(20/100))+(BV457*(30/100))+(BW457*(50/100))) &lt;=6.3, SUM((BU457*(20/100))+(BV457*(30/100))+(BW457*(50/100))) &gt;=5.8),6,
IF(AND( SUM((BU457*(20/100))+(BV457*(30/100))+(BW457*(50/100))) &lt;=5.8, SUM((BU457*(20/100))+(BV457*(30/100))+(BW457*(50/100))) &gt;=5.3),5.5,
IF(AND( SUM((BU457*(20/100))+(BV457*(30/100))+(BW457*(50/100))) &lt;=5.3, SUM((BU457*(20/100))+(BV457*(30/100))+(BW457*(50/100))) &gt;=4.8),5,
IF(AND( SUM((BU457*(20/100))+(BV457*(30/100))+(BW457*(50/100))) &lt;=4.8, SUM((BU457*(20/100))+(BV457*(30/100))+(BW457*(50/100))) &gt;=4.3),4.5,
IF(AND( SUM((BU457*(20/100))+(BV457*(30/100))+(BW457*(50/100))) &lt;=4.3, SUM((BU457*(20/100))+(BV457*(30/100))+(BW457*(50/100))) &gt;=3.8),4,
IF(AND( SUM((BU457*(20/100))+(BV457*(30/100))+(BW457*(50/100))) &lt;=3.8, SUM((BU457*(20/100))+(BV457*(30/100))+(BW457*(50/100))) &gt;=3.5),3.5,0)))))))))))))</f>
        <v>0</v>
      </c>
      <c r="BY457" s="536"/>
      <c r="BZ457" s="536"/>
      <c r="CA457" s="536"/>
      <c r="CB457" s="542">
        <v>0</v>
      </c>
      <c r="CC457" s="536"/>
      <c r="CD457" s="536"/>
      <c r="CE457" s="536"/>
      <c r="CF457" s="541">
        <f t="shared" ref="CF457:CF520" si="192">IF( SUM((CC457*(20/100))+(CD457*(30/100))+(CE457*(50/100))) &gt;=9.3,9.5,
IF(AND( SUM((CC457*(20/100))+(CD457*(30/100))+(CE457*(50/100))) &lt;=9.3, SUM((CC457*(20/100))+(CD457*(30/100))+(CE457*(50/100))) &gt;=8.8),9,
IF(AND( SUM((CC457*(20/100))+(CD457*(30/100))+(CE457*(50/100))) &lt;=8.8, SUM((CC457*(20/100))+(CD457*(30/100))+(CE457*(50/100))) &gt;=8.3),8.5,
IF(AND( SUM((CC457*(20/100))+(CD457*(30/100))+(CE457*(50/100))) &lt;=8.3, SUM((CC457*(20/100))+(CD457*(30/100))+(CE457*(50/100))) &gt;=7.8),8,
IF(AND( SUM((CC457*(20/100))+(CD457*(30/100))+(CE457*(50/100))) &lt;=7.8, SUM((CC457*(20/100))+(CD457*(30/100))+(CE457*(50/100))) &gt;=7.3),7.5,
IF(AND( SUM((CC457*(20/100))+(CD457*(30/100))+(CE457*(50/100))) &lt;=7.3, SUM((CC457*(20/100))+(CD457*(30/100))+(CE457*(50/100))) &gt;=6.8),7,
IF(AND( SUM((CC457*(20/100))+(CD457*(30/100))+(CE457*(50/100))) &lt;=6.8, SUM((CC457*(20/100))+(CD457*(30/100))+(CE457*(50/100))) &gt;=6.3),6.5,
IF(AND( SUM((CC457*(20/100))+(CD457*(30/100))+(CE457*(50/100))) &lt;=6.3, SUM((CC457*(20/100))+(CD457*(30/100))+(CE457*(50/100))) &gt;=5.8),6,
IF(AND( SUM((CC457*(20/100))+(CD457*(30/100))+(CE457*(50/100))) &lt;=5.8, SUM((CC457*(20/100))+(CD457*(30/100))+(CE457*(50/100))) &gt;=5.3),5.5,
IF(AND( SUM((CC457*(20/100))+(CD457*(30/100))+(CE457*(50/100))) &lt;=5.3, SUM((CC457*(20/100))+(CD457*(30/100))+(CE457*(50/100))) &gt;=4.8),5,
IF(AND( SUM((CC457*(20/100))+(CD457*(30/100))+(CE457*(50/100))) &lt;=4.8, SUM((CC457*(20/100))+(CD457*(30/100))+(CE457*(50/100))) &gt;=4.3),4.5,
IF(AND( SUM((CC457*(20/100))+(CD457*(30/100))+(CE457*(50/100))) &lt;=4.3, SUM((CC457*(20/100))+(CD457*(30/100))+(CE457*(50/100))) &gt;=3.8),4,
IF(AND( SUM((CC457*(20/100))+(CD457*(30/100))+(CE457*(50/100))) &lt;=3.8, SUM((CC457*(20/100))+(CD457*(30/100))+(CE457*(50/100))) &gt;=3.5),3.5,0)))))))))))))</f>
        <v>0</v>
      </c>
      <c r="CG457" s="536"/>
      <c r="CH457" s="536"/>
      <c r="CI457" s="536"/>
      <c r="CJ457" s="541">
        <f t="shared" ref="CJ457:CJ520" si="193">IF( SUM((CG457*(20/100))+(CH457*(30/100))+(CI457*(50/100))) &gt;=9.3,9.5,
IF(AND( SUM((CG457*(20/100))+(CH457*(30/100))+(CI457*(50/100))) &lt;=9.3, SUM((CG457*(20/100))+(CH457*(30/100))+(CI457*(50/100))) &gt;=8.8),9,
IF(AND( SUM((CG457*(20/100))+(CH457*(30/100))+(CI457*(50/100))) &lt;=8.8, SUM((CG457*(20/100))+(CH457*(30/100))+(CI457*(50/100))) &gt;=8.3),8.5,
IF(AND( SUM((CG457*(20/100))+(CH457*(30/100))+(CI457*(50/100))) &lt;=8.3, SUM((CG457*(20/100))+(CH457*(30/100))+(CI457*(50/100))) &gt;=7.8),8,
IF(AND( SUM((CG457*(20/100))+(CH457*(30/100))+(CI457*(50/100))) &lt;=7.8, SUM((CG457*(20/100))+(CH457*(30/100))+(CI457*(50/100))) &gt;=7.3),7.5,
IF(AND( SUM((CG457*(20/100))+(CH457*(30/100))+(CI457*(50/100))) &lt;=7.3, SUM((CG457*(20/100))+(CH457*(30/100))+(CI457*(50/100))) &gt;=6.8),7,
IF(AND( SUM((CG457*(20/100))+(CH457*(30/100))+(CI457*(50/100))) &lt;=6.8, SUM((CG457*(20/100))+(CH457*(30/100))+(CI457*(50/100))) &gt;=6.3),6.5,
IF(AND( SUM((CG457*(20/100))+(CH457*(30/100))+(CI457*(50/100))) &lt;=6.3, SUM((CG457*(20/100))+(CH457*(30/100))+(CI457*(50/100))) &gt;=5.8),6,
IF(AND( SUM((CG457*(20/100))+(CH457*(30/100))+(CI457*(50/100))) &lt;=5.8, SUM((CG457*(20/100))+(CH457*(30/100))+(CI457*(50/100))) &gt;=5.3),5.5,
IF(AND( SUM((CG457*(20/100))+(CH457*(30/100))+(CI457*(50/100))) &lt;=5.3, SUM((CG457*(20/100))+(CH457*(30/100))+(CI457*(50/100))) &gt;=4.8),5,
IF(AND( SUM((CG457*(20/100))+(CH457*(30/100))+(CI457*(50/100))) &lt;=4.8, SUM((CG457*(20/100))+(CH457*(30/100))+(CI457*(50/100))) &gt;=4.3),4.5,
IF(AND( SUM((CG457*(20/100))+(CH457*(30/100))+(CI457*(50/100))) &lt;=4.3, SUM((CG457*(20/100))+(CH457*(30/100))+(CI457*(50/100))) &gt;=3.8),4,
IF(AND( SUM((CG457*(20/100))+(CH457*(30/100))+(CI457*(50/100))) &lt;=3.8, SUM((CG457*(20/100))+(CH457*(30/100))+(CI457*(50/100))) &gt;=3.5),3.5,0)))))))))))))</f>
        <v>0</v>
      </c>
      <c r="CK457" s="536"/>
      <c r="CL457" s="536"/>
      <c r="CM457" s="536"/>
      <c r="CN457" s="541">
        <f t="shared" ref="CN457:CN520" si="194">IF( SUM((CK457*(20/100))+(CL457*(30/100))+(CM457*(50/100))) &gt;=9.3,9.5,
IF(AND( SUM((CK457*(20/100))+(CL457*(30/100))+(CM457*(50/100))) &lt;=9.3, SUM((CK457*(20/100))+(CL457*(30/100))+(CM457*(50/100))) &gt;=8.8),9,
IF(AND( SUM((CK457*(20/100))+(CL457*(30/100))+(CM457*(50/100))) &lt;=8.8, SUM((CK457*(20/100))+(CL457*(30/100))+(CM457*(50/100))) &gt;=8.3),8.5,
IF(AND( SUM((CK457*(20/100))+(CL457*(30/100))+(CM457*(50/100))) &lt;=8.3, SUM((CK457*(20/100))+(CL457*(30/100))+(CM457*(50/100))) &gt;=7.8),8,
IF(AND( SUM((CK457*(20/100))+(CL457*(30/100))+(CM457*(50/100))) &lt;=7.8, SUM((CK457*(20/100))+(CL457*(30/100))+(CM457*(50/100))) &gt;=7.3),7.5,
IF(AND( SUM((CK457*(20/100))+(CL457*(30/100))+(CM457*(50/100))) &lt;=7.3, SUM((CK457*(20/100))+(CL457*(30/100))+(CM457*(50/100))) &gt;=6.8),7,
IF(AND( SUM((CK457*(20/100))+(CL457*(30/100))+(CM457*(50/100))) &lt;=6.8, SUM((CK457*(20/100))+(CL457*(30/100))+(CM457*(50/100))) &gt;=6.3),6.5,
IF(AND( SUM((CK457*(20/100))+(CL457*(30/100))+(CM457*(50/100))) &lt;=6.3, SUM((CK457*(20/100))+(CL457*(30/100))+(CM457*(50/100))) &gt;=5.8),6,
IF(AND( SUM((CK457*(20/100))+(CL457*(30/100))+(CM457*(50/100))) &lt;=5.8, SUM((CK457*(20/100))+(CL457*(30/100))+(CM457*(50/100))) &gt;=5.3),5.5,
IF(AND( SUM((CK457*(20/100))+(CL457*(30/100))+(CM457*(50/100))) &lt;=5.3, SUM((CK457*(20/100))+(CL457*(30/100))+(CM457*(50/100))) &gt;=4.8),5,
IF(AND( SUM((CK457*(20/100))+(CL457*(30/100))+(CM457*(50/100))) &lt;=4.8, SUM((CK457*(20/100))+(CL457*(30/100))+(CM457*(50/100))) &gt;=4.3),4.5,
IF(AND( SUM((CK457*(20/100))+(CL457*(30/100))+(CM457*(50/100))) &lt;=4.3, SUM((CK457*(20/100))+(CL457*(30/100))+(CM457*(50/100))) &gt;=3.8),4,
IF(AND( SUM((CK457*(20/100))+(CL457*(30/100))+(CM457*(50/100))) &lt;=3.8, SUM((CK457*(20/100))+(CL457*(30/100))+(CM457*(50/100))) &gt;=3.5),3.5,0)))))))))))))</f>
        <v>0</v>
      </c>
      <c r="CO457" s="536"/>
      <c r="CP457" s="536"/>
      <c r="CQ457" s="536"/>
      <c r="CR457" s="541">
        <f t="shared" ref="CR457:CR520" si="195">IF( SUM((CO457*(20/100))+(CP457*(30/100))+(CQ457*(50/100))) &gt;=9.3,9.5,
IF(AND( SUM((CO457*(20/100))+(CP457*(30/100))+(CQ457*(50/100))) &lt;=9.3, SUM((CO457*(20/100))+(CP457*(30/100))+(CQ457*(50/100))) &gt;=8.8),9,
IF(AND( SUM((CO457*(20/100))+(CP457*(30/100))+(CQ457*(50/100))) &lt;=8.8, SUM((CO457*(20/100))+(CP457*(30/100))+(CQ457*(50/100))) &gt;=8.3),8.5,
IF(AND( SUM((CO457*(20/100))+(CP457*(30/100))+(CQ457*(50/100))) &lt;=8.3, SUM((CO457*(20/100))+(CP457*(30/100))+(CQ457*(50/100))) &gt;=7.8),8,
IF(AND( SUM((CO457*(20/100))+(CP457*(30/100))+(CQ457*(50/100))) &lt;=7.8, SUM((CO457*(20/100))+(CP457*(30/100))+(CQ457*(50/100))) &gt;=7.3),7.5,
IF(AND( SUM((CO457*(20/100))+(CP457*(30/100))+(CQ457*(50/100))) &lt;=7.3, SUM((CO457*(20/100))+(CP457*(30/100))+(CQ457*(50/100))) &gt;=6.8),7,
IF(AND( SUM((CO457*(20/100))+(CP457*(30/100))+(CQ457*(50/100))) &lt;=6.8, SUM((CO457*(20/100))+(CP457*(30/100))+(CQ457*(50/100))) &gt;=6.3),6.5,
IF(AND( SUM((CO457*(20/100))+(CP457*(30/100))+(CQ457*(50/100))) &lt;=6.3, SUM((CO457*(20/100))+(CP457*(30/100))+(CQ457*(50/100))) &gt;=5.8),6,
IF(AND( SUM((CO457*(20/100))+(CP457*(30/100))+(CQ457*(50/100))) &lt;=5.8, SUM((CO457*(20/100))+(CP457*(30/100))+(CQ457*(50/100))) &gt;=5.3),5.5,
IF(AND( SUM((CO457*(20/100))+(CP457*(30/100))+(CQ457*(50/100))) &lt;=5.3, SUM((CO457*(20/100))+(CP457*(30/100))+(CQ457*(50/100))) &gt;=4.8),5,
IF(AND( SUM((CO457*(20/100))+(CP457*(30/100))+(CQ457*(50/100))) &lt;=4.8, SUM((CO457*(20/100))+(CP457*(30/100))+(CQ457*(50/100))) &gt;=4.3),4.5,
IF(AND( SUM((CO457*(20/100))+(CP457*(30/100))+(CQ457*(50/100))) &lt;=4.3, SUM((CO457*(20/100))+(CP457*(30/100))+(CQ457*(50/100))) &gt;=3.8),4,
IF(AND( SUM((CO457*(20/100))+(CP457*(30/100))+(CQ457*(50/100))) &lt;=3.8, SUM((CO457*(20/100))+(CP457*(30/100))+(CQ457*(50/100))) &gt;=3.5),3.5,0)))))))))))))</f>
        <v>0</v>
      </c>
      <c r="CS457" s="536"/>
      <c r="CT457" s="536"/>
      <c r="CU457" s="536"/>
      <c r="CV457" s="541">
        <f t="shared" ref="CV457:CV520" si="196">IF( SUM((CS457*(20/100))+(CT457*(30/100))+(CU457*(50/100))) &gt;=9.3,9.5,
IF(AND( SUM((CS457*(20/100))+(CT457*(30/100))+(CU457*(50/100))) &lt;=9.3, SUM((CS457*(20/100))+(CT457*(30/100))+(CU457*(50/100))) &gt;=8.8),9,
IF(AND( SUM((CS457*(20/100))+(CT457*(30/100))+(CU457*(50/100))) &lt;=8.8, SUM((CS457*(20/100))+(CT457*(30/100))+(CU457*(50/100))) &gt;=8.3),8.5,
IF(AND( SUM((CS457*(20/100))+(CT457*(30/100))+(CU457*(50/100))) &lt;=8.3, SUM((CS457*(20/100))+(CT457*(30/100))+(CU457*(50/100))) &gt;=7.8),8,
IF(AND( SUM((CS457*(20/100))+(CT457*(30/100))+(CU457*(50/100))) &lt;=7.8, SUM((CS457*(20/100))+(CT457*(30/100))+(CU457*(50/100))) &gt;=7.3),7.5,
IF(AND( SUM((CS457*(20/100))+(CT457*(30/100))+(CU457*(50/100))) &lt;=7.3, SUM((CS457*(20/100))+(CT457*(30/100))+(CU457*(50/100))) &gt;=6.8),7,
IF(AND( SUM((CS457*(20/100))+(CT457*(30/100))+(CU457*(50/100))) &lt;=6.8, SUM((CS457*(20/100))+(CT457*(30/100))+(CU457*(50/100))) &gt;=6.3),6.5,
IF(AND( SUM((CS457*(20/100))+(CT457*(30/100))+(CU457*(50/100))) &lt;=6.3, SUM((CS457*(20/100))+(CT457*(30/100))+(CU457*(50/100))) &gt;=5.8),6,
IF(AND( SUM((CS457*(20/100))+(CT457*(30/100))+(CU457*(50/100))) &lt;=5.8, SUM((CS457*(20/100))+(CT457*(30/100))+(CU457*(50/100))) &gt;=5.3),5.5,
IF(AND( SUM((CS457*(20/100))+(CT457*(30/100))+(CU457*(50/100))) &lt;=5.3, SUM((CS457*(20/100))+(CT457*(30/100))+(CU457*(50/100))) &gt;=4.8),5,
IF(AND( SUM((CS457*(20/100))+(CT457*(30/100))+(CU457*(50/100))) &lt;=4.8, SUM((CS457*(20/100))+(CT457*(30/100))+(CU457*(50/100))) &gt;=4.3),4.5,
IF(AND( SUM((CS457*(20/100))+(CT457*(30/100))+(CU457*(50/100))) &lt;=4.3, SUM((CS457*(20/100))+(CT457*(30/100))+(CU457*(50/100))) &gt;=3.8),4,
IF(AND( SUM((CS457*(20/100))+(CT457*(30/100))+(CU457*(50/100))) &lt;=3.8, SUM((CS457*(20/100))+(CT457*(30/100))+(CU457*(50/100))) &gt;=3.5),3.5,0)))))))))))))</f>
        <v>0</v>
      </c>
      <c r="CW457" s="536"/>
      <c r="CX457" s="536"/>
      <c r="CY457" s="536"/>
      <c r="CZ457" s="541">
        <f t="shared" ref="CZ457:CZ520" si="197">IF( SUM((CW457*(20/100))+(CX457*(30/100))+(CY457*(50/100))) &gt;=9.3,9.5,
IF(AND( SUM((CW457*(20/100))+(CX457*(30/100))+(CY457*(50/100))) &lt;=9.3, SUM((CW457*(20/100))+(CX457*(30/100))+(CY457*(50/100))) &gt;=8.8),9,
IF(AND( SUM((CW457*(20/100))+(CX457*(30/100))+(CY457*(50/100))) &lt;=8.8, SUM((CW457*(20/100))+(CX457*(30/100))+(CY457*(50/100))) &gt;=8.3),8.5,
IF(AND( SUM((CW457*(20/100))+(CX457*(30/100))+(CY457*(50/100))) &lt;=8.3, SUM((CW457*(20/100))+(CX457*(30/100))+(CY457*(50/100))) &gt;=7.8),8,
IF(AND( SUM((CW457*(20/100))+(CX457*(30/100))+(CY457*(50/100))) &lt;=7.8, SUM((CW457*(20/100))+(CX457*(30/100))+(CY457*(50/100))) &gt;=7.3),7.5,
IF(AND( SUM((CW457*(20/100))+(CX457*(30/100))+(CY457*(50/100))) &lt;=7.3, SUM((CW457*(20/100))+(CX457*(30/100))+(CY457*(50/100))) &gt;=6.8),7,
IF(AND( SUM((CW457*(20/100))+(CX457*(30/100))+(CY457*(50/100))) &lt;=6.8, SUM((CW457*(20/100))+(CX457*(30/100))+(CY457*(50/100))) &gt;=6.3),6.5,
IF(AND( SUM((CW457*(20/100))+(CX457*(30/100))+(CY457*(50/100))) &lt;=6.3, SUM((CW457*(20/100))+(CX457*(30/100))+(CY457*(50/100))) &gt;=5.8),6,
IF(AND( SUM((CW457*(20/100))+(CX457*(30/100))+(CY457*(50/100))) &lt;=5.8, SUM((CW457*(20/100))+(CX457*(30/100))+(CY457*(50/100))) &gt;=5.3),5.5,
IF(AND( SUM((CW457*(20/100))+(CX457*(30/100))+(CY457*(50/100))) &lt;=5.3, SUM((CW457*(20/100))+(CX457*(30/100))+(CY457*(50/100))) &gt;=4.8),5,
IF(AND( SUM((CW457*(20/100))+(CX457*(30/100))+(CY457*(50/100))) &lt;=4.8, SUM((CW457*(20/100))+(CX457*(30/100))+(CY457*(50/100))) &gt;=4.3),4.5,
IF(AND( SUM((CW457*(20/100))+(CX457*(30/100))+(CY457*(50/100))) &lt;=4.3, SUM((CW457*(20/100))+(CX457*(30/100))+(CY457*(50/100))) &gt;=3.8),4,
IF(AND( SUM((CW457*(20/100))+(CX457*(30/100))+(CY457*(50/100))) &lt;=3.8, SUM((CW457*(20/100))+(CX457*(30/100))+(CY457*(50/100))) &gt;=3.5),3.5,0)))))))))))))</f>
        <v>0</v>
      </c>
      <c r="DA457" s="536"/>
      <c r="DB457" s="536"/>
      <c r="DC457" s="536"/>
      <c r="DD457" s="541">
        <f t="shared" ref="DD457:DD520" si="198">IF( SUM((DA457*(20/100))+(DB457*(30/100))+(DC457*(50/100))) &gt;=9.3,9.5,
IF(AND( SUM((DA457*(20/100))+(DB457*(30/100))+(DC457*(50/100))) &lt;=9.3, SUM((DA457*(20/100))+(DB457*(30/100))+(DC457*(50/100))) &gt;=8.8),9,
IF(AND( SUM((DA457*(20/100))+(DB457*(30/100))+(DC457*(50/100))) &lt;=8.8, SUM((DA457*(20/100))+(DB457*(30/100))+(DC457*(50/100))) &gt;=8.3),8.5,
IF(AND( SUM((DA457*(20/100))+(DB457*(30/100))+(DC457*(50/100))) &lt;=8.3, SUM((DA457*(20/100))+(DB457*(30/100))+(DC457*(50/100))) &gt;=7.8),8,
IF(AND( SUM((DA457*(20/100))+(DB457*(30/100))+(DC457*(50/100))) &lt;=7.8, SUM((DA457*(20/100))+(DB457*(30/100))+(DC457*(50/100))) &gt;=7.3),7.5,
IF(AND( SUM((DA457*(20/100))+(DB457*(30/100))+(DC457*(50/100))) &lt;=7.3, SUM((DA457*(20/100))+(DB457*(30/100))+(DC457*(50/100))) &gt;=6.8),7,
IF(AND( SUM((DA457*(20/100))+(DB457*(30/100))+(DC457*(50/100))) &lt;=6.8, SUM((DA457*(20/100))+(DB457*(30/100))+(DC457*(50/100))) &gt;=6.3),6.5,
IF(AND( SUM((DA457*(20/100))+(DB457*(30/100))+(DC457*(50/100))) &lt;=6.3, SUM((DA457*(20/100))+(DB457*(30/100))+(DC457*(50/100))) &gt;=5.8),6,
IF(AND( SUM((DA457*(20/100))+(DB457*(30/100))+(DC457*(50/100))) &lt;=5.8, SUM((DA457*(20/100))+(DB457*(30/100))+(DC457*(50/100))) &gt;=5.3),5.5,
IF(AND( SUM((DA457*(20/100))+(DB457*(30/100))+(DC457*(50/100))) &lt;=5.3, SUM((DA457*(20/100))+(DB457*(30/100))+(DC457*(50/100))) &gt;=4.8),5,
IF(AND( SUM((DA457*(20/100))+(DB457*(30/100))+(DC457*(50/100))) &lt;=4.8, SUM((DA457*(20/100))+(DB457*(30/100))+(DC457*(50/100))) &gt;=4.3),4.5,
IF(AND( SUM((DA457*(20/100))+(DB457*(30/100))+(DC457*(50/100))) &lt;=4.3, SUM((DA457*(20/100))+(DB457*(30/100))+(DC457*(50/100))) &gt;=3.8),4,
IF(AND( SUM((DA457*(20/100))+(DB457*(30/100))+(DC457*(50/100))) &lt;=3.8, SUM((DA457*(20/100))+(DB457*(30/100))+(DC457*(50/100))) &gt;=3.5),3.5,0)))))))))))))</f>
        <v>0</v>
      </c>
      <c r="DE457" s="536"/>
      <c r="DF457" s="536"/>
      <c r="DG457" s="536"/>
      <c r="DH457" s="541">
        <f t="shared" ref="DH457:DH520" si="199">IF( SUM((DE457*(20/100))+(DF457*(30/100))+(DG457*(50/100))) &gt;=9.3,9.5,
IF(AND( SUM((DE457*(20/100))+(DF457*(30/100))+(DG457*(50/100))) &lt;=9.3, SUM((DE457*(20/100))+(DF457*(30/100))+(DG457*(50/100))) &gt;=8.8),9,
IF(AND( SUM((DE457*(20/100))+(DF457*(30/100))+(DG457*(50/100))) &lt;=8.8, SUM((DE457*(20/100))+(DF457*(30/100))+(DG457*(50/100))) &gt;=8.3),8.5,
IF(AND( SUM((DE457*(20/100))+(DF457*(30/100))+(DG457*(50/100))) &lt;=8.3, SUM((DE457*(20/100))+(DF457*(30/100))+(DG457*(50/100))) &gt;=7.8),8,
IF(AND( SUM((DE457*(20/100))+(DF457*(30/100))+(DG457*(50/100))) &lt;=7.8, SUM((DE457*(20/100))+(DF457*(30/100))+(DG457*(50/100))) &gt;=7.3),7.5,
IF(AND( SUM((DE457*(20/100))+(DF457*(30/100))+(DG457*(50/100))) &lt;=7.3, SUM((DE457*(20/100))+(DF457*(30/100))+(DG457*(50/100))) &gt;=6.8),7,
IF(AND( SUM((DE457*(20/100))+(DF457*(30/100))+(DG457*(50/100))) &lt;=6.8, SUM((DE457*(20/100))+(DF457*(30/100))+(DG457*(50/100))) &gt;=6.3),6.5,
IF(AND( SUM((DE457*(20/100))+(DF457*(30/100))+(DG457*(50/100))) &lt;=6.3, SUM((DE457*(20/100))+(DF457*(30/100))+(DG457*(50/100))) &gt;=5.8),6,
IF(AND( SUM((DE457*(20/100))+(DF457*(30/100))+(DG457*(50/100))) &lt;=5.8, SUM((DE457*(20/100))+(DF457*(30/100))+(DG457*(50/100))) &gt;=5.3),5.5,
IF(AND( SUM((DE457*(20/100))+(DF457*(30/100))+(DG457*(50/100))) &lt;=5.3, SUM((DE457*(20/100))+(DF457*(30/100))+(DG457*(50/100))) &gt;=4.8),5,
IF(AND( SUM((DE457*(20/100))+(DF457*(30/100))+(DG457*(50/100))) &lt;=4.8, SUM((DE457*(20/100))+(DF457*(30/100))+(DG457*(50/100))) &gt;=4.3),4.5,
IF(AND( SUM((DE457*(20/100))+(DF457*(30/100))+(DG457*(50/100))) &lt;=4.3, SUM((DE457*(20/100))+(DF457*(30/100))+(DG457*(50/100))) &gt;=3.8),4,
IF(AND( SUM((DE457*(20/100))+(DF457*(30/100))+(DG457*(50/100))) &lt;=3.8, SUM((DE457*(20/100))+(DF457*(30/100))+(DG457*(50/100))) &gt;=3.5),3.5,0)))))))))))))</f>
        <v>0</v>
      </c>
      <c r="DI457" s="536"/>
      <c r="DJ457" s="536"/>
      <c r="DK457" s="536"/>
      <c r="DL457" s="541">
        <f t="shared" ref="DL457:DL520" si="200">IF( SUM((DI457*(20/100))+(DJ457*(30/100))+(DK457*(50/100))) &gt;=9.3,9.5,
IF(AND( SUM((DI457*(20/100))+(DJ457*(30/100))+(DK457*(50/100))) &lt;=9.3, SUM((DI457*(20/100))+(DJ457*(30/100))+(DK457*(50/100))) &gt;=8.8),9,
IF(AND( SUM((DI457*(20/100))+(DJ457*(30/100))+(DK457*(50/100))) &lt;=8.8, SUM((DI457*(20/100))+(DJ457*(30/100))+(DK457*(50/100))) &gt;=8.3),8.5,
IF(AND( SUM((DI457*(20/100))+(DJ457*(30/100))+(DK457*(50/100))) &lt;=8.3, SUM((DI457*(20/100))+(DJ457*(30/100))+(DK457*(50/100))) &gt;=7.8),8,
IF(AND( SUM((DI457*(20/100))+(DJ457*(30/100))+(DK457*(50/100))) &lt;=7.8, SUM((DI457*(20/100))+(DJ457*(30/100))+(DK457*(50/100))) &gt;=7.3),7.5,
IF(AND( SUM((DI457*(20/100))+(DJ457*(30/100))+(DK457*(50/100))) &lt;=7.3, SUM((DI457*(20/100))+(DJ457*(30/100))+(DK457*(50/100))) &gt;=6.8),7,
IF(AND( SUM((DI457*(20/100))+(DJ457*(30/100))+(DK457*(50/100))) &lt;=6.8, SUM((DI457*(20/100))+(DJ457*(30/100))+(DK457*(50/100))) &gt;=6.3),6.5,
IF(AND( SUM((DI457*(20/100))+(DJ457*(30/100))+(DK457*(50/100))) &lt;=6.3, SUM((DI457*(20/100))+(DJ457*(30/100))+(DK457*(50/100))) &gt;=5.8),6,
IF(AND( SUM((DI457*(20/100))+(DJ457*(30/100))+(DK457*(50/100))) &lt;=5.8, SUM((DI457*(20/100))+(DJ457*(30/100))+(DK457*(50/100))) &gt;=5.3),5.5,
IF(AND( SUM((DI457*(20/100))+(DJ457*(30/100))+(DK457*(50/100))) &lt;=5.3, SUM((DI457*(20/100))+(DJ457*(30/100))+(DK457*(50/100))) &gt;=4.8),5,
IF(AND( SUM((DI457*(20/100))+(DJ457*(30/100))+(DK457*(50/100))) &lt;=4.8, SUM((DI457*(20/100))+(DJ457*(30/100))+(DK457*(50/100))) &gt;=4.3),4.5,
IF(AND( SUM((DI457*(20/100))+(DJ457*(30/100))+(DK457*(50/100))) &lt;=4.3, SUM((DI457*(20/100))+(DJ457*(30/100))+(DK457*(50/100))) &gt;=3.8),4,
IF(AND( SUM((DI457*(20/100))+(DJ457*(30/100))+(DK457*(50/100))) &lt;=3.8, SUM((DI457*(20/100))+(DJ457*(30/100))+(DK457*(50/100))) &gt;=3.5),3.5,0)))))))))))))</f>
        <v>0</v>
      </c>
      <c r="DM457" s="536"/>
      <c r="DN457" s="536"/>
      <c r="DO457" s="536"/>
      <c r="DP457" s="541">
        <f>IF( SUM((DJ457*(20/100))+(DK457*(30/100))+(DL457*(50/100))) &gt;=9.3,9.5,
IF(AND( SUM((DJ457*(20/100))+(DK457*(30/100))+(DL457*(50/100))) &lt;=9.3, SUM((DJ457*(20/100))+(DK457*(30/100))+(DL457*(50/100))) &gt;=8.8),9,
IF(AND( SUM((DJ457*(20/100))+(DK457*(30/100))+(DL457*(50/100))) &lt;=8.8, SUM((DJ457*(20/100))+(DK457*(30/100))+(DL457*(50/100))) &gt;=8.3),8.5,
IF(AND( SUM((DJ457*(20/100))+(DK457*(30/100))+(DL457*(50/100))) &lt;=8.3, SUM((DJ457*(20/100))+(DK457*(30/100))+(DL457*(50/100))) &gt;=7.8),8,
IF(AND( SUM((DJ457*(20/100))+(DK457*(30/100))+(DL457*(50/100))) &lt;=7.8, SUM((DJ457*(20/100))+(DK457*(30/100))+(DL457*(50/100))) &gt;=7.3),7.5,
IF(AND( SUM((DJ457*(20/100))+(DK457*(30/100))+(DL457*(50/100))) &lt;=7.3, SUM((DJ457*(20/100))+(DK457*(30/100))+(DL457*(50/100))) &gt;=6.8),7,
IF(AND( SUM((DJ457*(20/100))+(DK457*(30/100))+(DL457*(50/100))) &lt;=6.8, SUM((DJ457*(20/100))+(DK457*(30/100))+(DL457*(50/100))) &gt;=6.3),6.5,
IF(AND( SUM((DJ457*(20/100))+(DK457*(30/100))+(DL457*(50/100))) &lt;=6.3, SUM((DJ457*(20/100))+(DK457*(30/100))+(DL457*(50/100))) &gt;=5.8),6,
IF(AND( SUM((DJ457*(20/100))+(DK457*(30/100))+(DL457*(50/100))) &lt;=5.8, SUM((DJ457*(20/100))+(DK457*(30/100))+(DL457*(50/100))) &gt;=5.3),5.5,
IF(AND( SUM((DJ457*(20/100))+(DK457*(30/100))+(DL457*(50/100))) &lt;=5.3, SUM((DJ457*(20/100))+(DK457*(30/100))+(DL457*(50/100))) &gt;=4.8),5,
IF(AND( SUM((DJ457*(20/100))+(DK457*(30/100))+(DL457*(50/100))) &lt;=4.8, SUM((DJ457*(20/100))+(DK457*(30/100))+(DL457*(50/100))) &gt;=4.3),4.5,
IF(AND( SUM((DJ457*(20/100))+(DK457*(30/100))+(DL457*(50/100))) &lt;=4.3, SUM((DJ457*(20/100))+(DK457*(30/100))+(DL457*(50/100))) &gt;=3.8),4,
IF(AND( SUM((DJ457*(20/100))+(DK457*(30/100))+(DL457*(50/100))) &lt;=3.8, SUM((DJ457*(20/100))+(DK457*(30/100))+(DL457*(50/100))) &gt;=3.5),3.5,0)))))))))))))</f>
        <v>0</v>
      </c>
      <c r="DQ457" s="541"/>
      <c r="DR457" s="541"/>
      <c r="DS457" s="541"/>
      <c r="DT457" s="541"/>
      <c r="DU457" s="541"/>
      <c r="DV457" s="541"/>
      <c r="DW457" s="541"/>
      <c r="DX457" s="541"/>
      <c r="DY457" s="541"/>
      <c r="DZ457" s="541"/>
    </row>
    <row r="458" spans="2:130" x14ac:dyDescent="0.25">
      <c r="B458" s="334">
        <v>1</v>
      </c>
      <c r="C458" s="541"/>
      <c r="D458" s="334"/>
      <c r="E458" s="334"/>
      <c r="F458" s="334"/>
      <c r="G458" s="334"/>
      <c r="H458" s="334"/>
      <c r="I458" s="334"/>
      <c r="J458" s="536"/>
      <c r="K458" s="536"/>
      <c r="L458" s="536"/>
      <c r="M458" s="536"/>
      <c r="N458" s="536"/>
      <c r="O458" s="536"/>
      <c r="P458" s="536">
        <f t="shared" si="176"/>
        <v>0</v>
      </c>
      <c r="Q458" s="536"/>
      <c r="R458" s="536"/>
      <c r="S458" s="536"/>
      <c r="T458" s="536">
        <f t="shared" si="177"/>
        <v>0</v>
      </c>
      <c r="U458" s="536"/>
      <c r="V458" s="536"/>
      <c r="W458" s="536"/>
      <c r="X458" s="536">
        <f t="shared" si="178"/>
        <v>0</v>
      </c>
      <c r="Y458" s="536"/>
      <c r="Z458" s="536"/>
      <c r="AA458" s="536"/>
      <c r="AB458" s="536">
        <f t="shared" si="179"/>
        <v>0</v>
      </c>
      <c r="AC458" s="536"/>
      <c r="AD458" s="536"/>
      <c r="AE458" s="536"/>
      <c r="AF458" s="536">
        <f t="shared" si="180"/>
        <v>0</v>
      </c>
      <c r="AG458" s="536"/>
      <c r="AH458" s="536"/>
      <c r="AI458" s="536"/>
      <c r="AJ458" s="536">
        <f t="shared" si="181"/>
        <v>0</v>
      </c>
      <c r="AK458" s="536"/>
      <c r="AL458" s="536"/>
      <c r="AM458" s="536"/>
      <c r="AN458" s="542">
        <f t="shared" si="182"/>
        <v>0</v>
      </c>
      <c r="AO458" s="536"/>
      <c r="AP458" s="536"/>
      <c r="AQ458" s="536"/>
      <c r="AR458" s="542">
        <f t="shared" si="183"/>
        <v>0</v>
      </c>
      <c r="AS458" s="536"/>
      <c r="AT458" s="536"/>
      <c r="AU458" s="536"/>
      <c r="AV458" s="542">
        <f t="shared" si="184"/>
        <v>0</v>
      </c>
      <c r="AW458" s="536"/>
      <c r="AX458" s="536"/>
      <c r="AY458" s="536"/>
      <c r="AZ458" s="542">
        <f t="shared" si="185"/>
        <v>0</v>
      </c>
      <c r="BA458" s="536"/>
      <c r="BB458" s="536"/>
      <c r="BC458" s="536"/>
      <c r="BD458" s="542">
        <f t="shared" si="186"/>
        <v>0</v>
      </c>
      <c r="BE458" s="536"/>
      <c r="BF458" s="536"/>
      <c r="BG458" s="536"/>
      <c r="BH458" s="542">
        <f t="shared" si="187"/>
        <v>0</v>
      </c>
      <c r="BI458" s="536"/>
      <c r="BJ458" s="536"/>
      <c r="BK458" s="536"/>
      <c r="BL458" s="542">
        <f t="shared" si="188"/>
        <v>0</v>
      </c>
      <c r="BM458" s="536"/>
      <c r="BN458" s="536"/>
      <c r="BO458" s="536"/>
      <c r="BP458" s="542">
        <f t="shared" si="189"/>
        <v>0</v>
      </c>
      <c r="BQ458" s="536"/>
      <c r="BR458" s="536"/>
      <c r="BS458" s="536"/>
      <c r="BT458" s="542">
        <f t="shared" si="190"/>
        <v>0</v>
      </c>
      <c r="BU458" s="536"/>
      <c r="BV458" s="536"/>
      <c r="BW458" s="536"/>
      <c r="BX458" s="542">
        <f t="shared" si="191"/>
        <v>0</v>
      </c>
      <c r="BY458" s="536"/>
      <c r="BZ458" s="536"/>
      <c r="CA458" s="536"/>
      <c r="CB458" s="542">
        <v>0</v>
      </c>
      <c r="CC458" s="536"/>
      <c r="CD458" s="536"/>
      <c r="CE458" s="536"/>
      <c r="CF458" s="541">
        <f t="shared" si="192"/>
        <v>0</v>
      </c>
      <c r="CG458" s="536"/>
      <c r="CH458" s="536"/>
      <c r="CI458" s="536"/>
      <c r="CJ458" s="541">
        <f t="shared" si="193"/>
        <v>0</v>
      </c>
      <c r="CK458" s="536"/>
      <c r="CL458" s="536"/>
      <c r="CM458" s="536"/>
      <c r="CN458" s="541">
        <f t="shared" si="194"/>
        <v>0</v>
      </c>
      <c r="CO458" s="536"/>
      <c r="CP458" s="536"/>
      <c r="CQ458" s="536"/>
      <c r="CR458" s="541">
        <f t="shared" si="195"/>
        <v>0</v>
      </c>
      <c r="CS458" s="536"/>
      <c r="CT458" s="536"/>
      <c r="CU458" s="536"/>
      <c r="CV458" s="541">
        <f t="shared" si="196"/>
        <v>0</v>
      </c>
      <c r="CW458" s="536"/>
      <c r="CX458" s="536"/>
      <c r="CY458" s="536"/>
      <c r="CZ458" s="541">
        <f t="shared" si="197"/>
        <v>0</v>
      </c>
      <c r="DA458" s="536"/>
      <c r="DB458" s="536"/>
      <c r="DC458" s="536"/>
      <c r="DD458" s="541">
        <f t="shared" si="198"/>
        <v>0</v>
      </c>
      <c r="DE458" s="536"/>
      <c r="DF458" s="536"/>
      <c r="DG458" s="536"/>
      <c r="DH458" s="541">
        <f t="shared" si="199"/>
        <v>0</v>
      </c>
      <c r="DI458" s="536"/>
      <c r="DJ458" s="536"/>
      <c r="DK458" s="536"/>
      <c r="DL458" s="541">
        <f t="shared" si="200"/>
        <v>0</v>
      </c>
      <c r="DM458" s="536"/>
      <c r="DN458" s="536"/>
      <c r="DO458" s="536"/>
      <c r="DP458" s="541">
        <f>IF( SUM((DJ458*(20/100))+(DK458*(30/100))+(DL458*(50/100))) &gt;=9.3,9.5,
IF(AND( SUM((DJ458*(20/100))+(DK458*(30/100))+(DL458*(50/100))) &lt;=9.3, SUM((DJ458*(20/100))+(DK458*(30/100))+(DL458*(50/100))) &gt;=8.8),9,
IF(AND( SUM((DJ458*(20/100))+(DK458*(30/100))+(DL458*(50/100))) &lt;=8.8, SUM((DJ458*(20/100))+(DK458*(30/100))+(DL458*(50/100))) &gt;=8.3),8.5,
IF(AND( SUM((DJ458*(20/100))+(DK458*(30/100))+(DL458*(50/100))) &lt;=8.3, SUM((DJ458*(20/100))+(DK458*(30/100))+(DL458*(50/100))) &gt;=7.8),8,
IF(AND( SUM((DJ458*(20/100))+(DK458*(30/100))+(DL458*(50/100))) &lt;=7.8, SUM((DJ458*(20/100))+(DK458*(30/100))+(DL458*(50/100))) &gt;=7.3),7.5,
IF(AND( SUM((DJ458*(20/100))+(DK458*(30/100))+(DL458*(50/100))) &lt;=7.3, SUM((DJ458*(20/100))+(DK458*(30/100))+(DL458*(50/100))) &gt;=6.8),7,
IF(AND( SUM((DJ458*(20/100))+(DK458*(30/100))+(DL458*(50/100))) &lt;=6.8, SUM((DJ458*(20/100))+(DK458*(30/100))+(DL458*(50/100))) &gt;=6.3),6.5,
IF(AND( SUM((DJ458*(20/100))+(DK458*(30/100))+(DL458*(50/100))) &lt;=6.3, SUM((DJ458*(20/100))+(DK458*(30/100))+(DL458*(50/100))) &gt;=5.8),6,
IF(AND( SUM((DJ458*(20/100))+(DK458*(30/100))+(DL458*(50/100))) &lt;=5.8, SUM((DJ458*(20/100))+(DK458*(30/100))+(DL458*(50/100))) &gt;=5.3),5.5,
IF(AND( SUM((DJ458*(20/100))+(DK458*(30/100))+(DL458*(50/100))) &lt;=5.3, SUM((DJ458*(20/100))+(DK458*(30/100))+(DL458*(50/100))) &gt;=4.8),5,
IF(AND( SUM((DJ458*(20/100))+(DK458*(30/100))+(DL458*(50/100))) &lt;=4.8, SUM((DJ458*(20/100))+(DK458*(30/100))+(DL458*(50/100))) &gt;=4.3),4.5,
IF(AND( SUM((DJ458*(20/100))+(DK458*(30/100))+(DL458*(50/100))) &lt;=4.3, SUM((DJ458*(20/100))+(DK458*(30/100))+(DL458*(50/100))) &gt;=3.8),4,
IF(AND( SUM((DJ458*(20/100))+(DK458*(30/100))+(DL458*(50/100))) &lt;=3.8, SUM((DJ458*(20/100))+(DK458*(30/100))+(DL458*(50/100))) &gt;=3.5),3.5,0)))))))))))))</f>
        <v>0</v>
      </c>
      <c r="DQ458" s="541"/>
      <c r="DR458" s="541"/>
      <c r="DS458" s="541"/>
      <c r="DT458" s="541"/>
      <c r="DU458" s="541"/>
      <c r="DV458" s="541"/>
      <c r="DW458" s="541"/>
      <c r="DX458" s="541"/>
      <c r="DY458" s="541"/>
      <c r="DZ458" s="541"/>
    </row>
    <row r="459" spans="2:130" x14ac:dyDescent="0.25">
      <c r="B459" s="334">
        <v>2</v>
      </c>
      <c r="C459" s="541"/>
      <c r="D459" s="334"/>
      <c r="E459" s="334"/>
      <c r="F459" s="334"/>
      <c r="G459" s="334"/>
      <c r="H459" s="334"/>
      <c r="I459" s="334"/>
      <c r="J459" s="536"/>
      <c r="K459" s="536"/>
      <c r="L459" s="536"/>
      <c r="M459" s="536"/>
      <c r="N459" s="536"/>
      <c r="O459" s="536"/>
      <c r="P459" s="536">
        <f t="shared" si="176"/>
        <v>0</v>
      </c>
      <c r="Q459" s="536"/>
      <c r="R459" s="536"/>
      <c r="S459" s="536"/>
      <c r="T459" s="536">
        <f t="shared" si="177"/>
        <v>0</v>
      </c>
      <c r="U459" s="536"/>
      <c r="V459" s="536"/>
      <c r="W459" s="536"/>
      <c r="X459" s="536">
        <f t="shared" si="178"/>
        <v>0</v>
      </c>
      <c r="Y459" s="536"/>
      <c r="Z459" s="536"/>
      <c r="AA459" s="536"/>
      <c r="AB459" s="536">
        <f t="shared" si="179"/>
        <v>0</v>
      </c>
      <c r="AC459" s="536"/>
      <c r="AD459" s="536"/>
      <c r="AE459" s="536"/>
      <c r="AF459" s="536">
        <f t="shared" si="180"/>
        <v>0</v>
      </c>
      <c r="AG459" s="536"/>
      <c r="AH459" s="536"/>
      <c r="AI459" s="536"/>
      <c r="AJ459" s="536">
        <f t="shared" si="181"/>
        <v>0</v>
      </c>
      <c r="AK459" s="536"/>
      <c r="AL459" s="536"/>
      <c r="AM459" s="536"/>
      <c r="AN459" s="542">
        <f t="shared" si="182"/>
        <v>0</v>
      </c>
      <c r="AO459" s="536"/>
      <c r="AP459" s="536"/>
      <c r="AQ459" s="536"/>
      <c r="AR459" s="542">
        <f t="shared" si="183"/>
        <v>0</v>
      </c>
      <c r="AS459" s="536"/>
      <c r="AT459" s="536"/>
      <c r="AU459" s="536"/>
      <c r="AV459" s="542">
        <f t="shared" si="184"/>
        <v>0</v>
      </c>
      <c r="AW459" s="536"/>
      <c r="AX459" s="536"/>
      <c r="AY459" s="536"/>
      <c r="AZ459" s="542">
        <f t="shared" si="185"/>
        <v>0</v>
      </c>
      <c r="BA459" s="536"/>
      <c r="BB459" s="536"/>
      <c r="BC459" s="536"/>
      <c r="BD459" s="542">
        <f t="shared" si="186"/>
        <v>0</v>
      </c>
      <c r="BE459" s="536"/>
      <c r="BF459" s="536"/>
      <c r="BG459" s="536"/>
      <c r="BH459" s="542">
        <f t="shared" si="187"/>
        <v>0</v>
      </c>
      <c r="BI459" s="536"/>
      <c r="BJ459" s="536"/>
      <c r="BK459" s="536"/>
      <c r="BL459" s="542">
        <f t="shared" si="188"/>
        <v>0</v>
      </c>
      <c r="BM459" s="536"/>
      <c r="BN459" s="536"/>
      <c r="BO459" s="536"/>
      <c r="BP459" s="542">
        <f t="shared" si="189"/>
        <v>0</v>
      </c>
      <c r="BQ459" s="536"/>
      <c r="BR459" s="536"/>
      <c r="BS459" s="536"/>
      <c r="BT459" s="542">
        <f t="shared" si="190"/>
        <v>0</v>
      </c>
      <c r="BU459" s="536"/>
      <c r="BV459" s="536"/>
      <c r="BW459" s="536"/>
      <c r="BX459" s="542">
        <f t="shared" si="191"/>
        <v>0</v>
      </c>
      <c r="BY459" s="536"/>
      <c r="BZ459" s="536"/>
      <c r="CA459" s="536"/>
      <c r="CB459" s="542">
        <v>0</v>
      </c>
      <c r="CC459" s="536"/>
      <c r="CD459" s="536"/>
      <c r="CE459" s="536"/>
      <c r="CF459" s="541">
        <f t="shared" si="192"/>
        <v>0</v>
      </c>
      <c r="CG459" s="536"/>
      <c r="CH459" s="536"/>
      <c r="CI459" s="536"/>
      <c r="CJ459" s="541">
        <f t="shared" si="193"/>
        <v>0</v>
      </c>
      <c r="CK459" s="536"/>
      <c r="CL459" s="536"/>
      <c r="CM459" s="536"/>
      <c r="CN459" s="541">
        <f t="shared" si="194"/>
        <v>0</v>
      </c>
      <c r="CO459" s="536"/>
      <c r="CP459" s="536"/>
      <c r="CQ459" s="536"/>
      <c r="CR459" s="541">
        <f t="shared" si="195"/>
        <v>0</v>
      </c>
      <c r="CS459" s="536"/>
      <c r="CT459" s="536"/>
      <c r="CU459" s="536"/>
      <c r="CV459" s="541">
        <f t="shared" si="196"/>
        <v>0</v>
      </c>
      <c r="CW459" s="536"/>
      <c r="CX459" s="536"/>
      <c r="CY459" s="536"/>
      <c r="CZ459" s="541">
        <f t="shared" si="197"/>
        <v>0</v>
      </c>
      <c r="DA459" s="536"/>
      <c r="DB459" s="536"/>
      <c r="DC459" s="536"/>
      <c r="DD459" s="541">
        <f t="shared" si="198"/>
        <v>0</v>
      </c>
      <c r="DE459" s="536"/>
      <c r="DF459" s="536"/>
      <c r="DG459" s="536"/>
      <c r="DH459" s="541">
        <f t="shared" si="199"/>
        <v>0</v>
      </c>
      <c r="DI459" s="536"/>
      <c r="DJ459" s="536"/>
      <c r="DK459" s="536"/>
      <c r="DL459" s="541">
        <f t="shared" si="200"/>
        <v>0</v>
      </c>
      <c r="DM459" s="536"/>
      <c r="DN459" s="536"/>
      <c r="DO459" s="536"/>
      <c r="DP459" s="541">
        <f>IF( SUM((DJ459*(20/100))+(DK459*(30/100))+(DL459*(50/100))) &gt;=9.3,9.5,
IF(AND( SUM((DJ459*(20/100))+(DK459*(30/100))+(DL459*(50/100))) &lt;=9.3, SUM((DJ459*(20/100))+(DK459*(30/100))+(DL459*(50/100))) &gt;=8.8),9,
IF(AND( SUM((DJ459*(20/100))+(DK459*(30/100))+(DL459*(50/100))) &lt;=8.8, SUM((DJ459*(20/100))+(DK459*(30/100))+(DL459*(50/100))) &gt;=8.3),8.5,
IF(AND( SUM((DJ459*(20/100))+(DK459*(30/100))+(DL459*(50/100))) &lt;=8.3, SUM((DJ459*(20/100))+(DK459*(30/100))+(DL459*(50/100))) &gt;=7.8),8,
IF(AND( SUM((DJ459*(20/100))+(DK459*(30/100))+(DL459*(50/100))) &lt;=7.8, SUM((DJ459*(20/100))+(DK459*(30/100))+(DL459*(50/100))) &gt;=7.3),7.5,
IF(AND( SUM((DJ459*(20/100))+(DK459*(30/100))+(DL459*(50/100))) &lt;=7.3, SUM((DJ459*(20/100))+(DK459*(30/100))+(DL459*(50/100))) &gt;=6.8),7,
IF(AND( SUM((DJ459*(20/100))+(DK459*(30/100))+(DL459*(50/100))) &lt;=6.8, SUM((DJ459*(20/100))+(DK459*(30/100))+(DL459*(50/100))) &gt;=6.3),6.5,
IF(AND( SUM((DJ459*(20/100))+(DK459*(30/100))+(DL459*(50/100))) &lt;=6.3, SUM((DJ459*(20/100))+(DK459*(30/100))+(DL459*(50/100))) &gt;=5.8),6,
IF(AND( SUM((DJ459*(20/100))+(DK459*(30/100))+(DL459*(50/100))) &lt;=5.8, SUM((DJ459*(20/100))+(DK459*(30/100))+(DL459*(50/100))) &gt;=5.3),5.5,
IF(AND( SUM((DJ459*(20/100))+(DK459*(30/100))+(DL459*(50/100))) &lt;=5.3, SUM((DJ459*(20/100))+(DK459*(30/100))+(DL459*(50/100))) &gt;=4.8),5,
IF(AND( SUM((DJ459*(20/100))+(DK459*(30/100))+(DL459*(50/100))) &lt;=4.8, SUM((DJ459*(20/100))+(DK459*(30/100))+(DL459*(50/100))) &gt;=4.3),4.5,
IF(AND( SUM((DJ459*(20/100))+(DK459*(30/100))+(DL459*(50/100))) &lt;=4.3, SUM((DJ459*(20/100))+(DK459*(30/100))+(DL459*(50/100))) &gt;=3.8),4,
IF(AND( SUM((DJ459*(20/100))+(DK459*(30/100))+(DL459*(50/100))) &lt;=3.8, SUM((DJ459*(20/100))+(DK459*(30/100))+(DL459*(50/100))) &gt;=3.5),3.5,0)))))))))))))</f>
        <v>0</v>
      </c>
      <c r="DQ459" s="541"/>
      <c r="DR459" s="541"/>
      <c r="DS459" s="541"/>
      <c r="DT459" s="541"/>
      <c r="DU459" s="541"/>
      <c r="DV459" s="541"/>
      <c r="DW459" s="541"/>
      <c r="DX459" s="541"/>
      <c r="DY459" s="541"/>
      <c r="DZ459" s="541"/>
    </row>
    <row r="460" spans="2:130" x14ac:dyDescent="0.25">
      <c r="B460" s="334">
        <v>3</v>
      </c>
      <c r="C460" s="541"/>
      <c r="D460" s="334"/>
      <c r="E460" s="334"/>
      <c r="F460" s="334"/>
      <c r="G460" s="334"/>
      <c r="H460" s="334"/>
      <c r="I460" s="334"/>
      <c r="J460" s="536"/>
      <c r="K460" s="536"/>
      <c r="L460" s="536"/>
      <c r="M460" s="536"/>
      <c r="N460" s="536"/>
      <c r="O460" s="536"/>
      <c r="P460" s="536">
        <f t="shared" si="176"/>
        <v>0</v>
      </c>
      <c r="Q460" s="536"/>
      <c r="R460" s="536"/>
      <c r="S460" s="536"/>
      <c r="T460" s="536">
        <f t="shared" si="177"/>
        <v>0</v>
      </c>
      <c r="U460" s="536"/>
      <c r="V460" s="536"/>
      <c r="W460" s="536"/>
      <c r="X460" s="536">
        <f t="shared" si="178"/>
        <v>0</v>
      </c>
      <c r="Y460" s="536"/>
      <c r="Z460" s="536"/>
      <c r="AA460" s="536"/>
      <c r="AB460" s="536">
        <f t="shared" si="179"/>
        <v>0</v>
      </c>
      <c r="AC460" s="536"/>
      <c r="AD460" s="536"/>
      <c r="AE460" s="536"/>
      <c r="AF460" s="536">
        <f t="shared" si="180"/>
        <v>0</v>
      </c>
      <c r="AG460" s="536"/>
      <c r="AH460" s="536"/>
      <c r="AI460" s="536"/>
      <c r="AJ460" s="536">
        <f t="shared" si="181"/>
        <v>0</v>
      </c>
      <c r="AK460" s="536"/>
      <c r="AL460" s="536"/>
      <c r="AM460" s="536"/>
      <c r="AN460" s="542">
        <f t="shared" si="182"/>
        <v>0</v>
      </c>
      <c r="AO460" s="536"/>
      <c r="AP460" s="536"/>
      <c r="AQ460" s="536"/>
      <c r="AR460" s="542">
        <f t="shared" si="183"/>
        <v>0</v>
      </c>
      <c r="AS460" s="536"/>
      <c r="AT460" s="536"/>
      <c r="AU460" s="536"/>
      <c r="AV460" s="542">
        <f t="shared" si="184"/>
        <v>0</v>
      </c>
      <c r="AW460" s="536"/>
      <c r="AX460" s="536"/>
      <c r="AY460" s="536"/>
      <c r="AZ460" s="542">
        <f t="shared" si="185"/>
        <v>0</v>
      </c>
      <c r="BA460" s="536"/>
      <c r="BB460" s="536"/>
      <c r="BC460" s="536"/>
      <c r="BD460" s="542">
        <f t="shared" si="186"/>
        <v>0</v>
      </c>
      <c r="BE460" s="536"/>
      <c r="BF460" s="536"/>
      <c r="BG460" s="536"/>
      <c r="BH460" s="542">
        <f t="shared" si="187"/>
        <v>0</v>
      </c>
      <c r="BI460" s="536"/>
      <c r="BJ460" s="536"/>
      <c r="BK460" s="536"/>
      <c r="BL460" s="542">
        <f t="shared" si="188"/>
        <v>0</v>
      </c>
      <c r="BM460" s="536"/>
      <c r="BN460" s="536"/>
      <c r="BO460" s="536"/>
      <c r="BP460" s="542">
        <f t="shared" si="189"/>
        <v>0</v>
      </c>
      <c r="BQ460" s="536"/>
      <c r="BR460" s="536"/>
      <c r="BS460" s="536"/>
      <c r="BT460" s="542">
        <f t="shared" si="190"/>
        <v>0</v>
      </c>
      <c r="BU460" s="536"/>
      <c r="BV460" s="536"/>
      <c r="BW460" s="536"/>
      <c r="BX460" s="542">
        <f t="shared" si="191"/>
        <v>0</v>
      </c>
      <c r="BY460" s="536"/>
      <c r="BZ460" s="536"/>
      <c r="CA460" s="536"/>
      <c r="CB460" s="542">
        <v>0</v>
      </c>
      <c r="CC460" s="536"/>
      <c r="CD460" s="536"/>
      <c r="CE460" s="536"/>
      <c r="CF460" s="541">
        <f t="shared" si="192"/>
        <v>0</v>
      </c>
      <c r="CG460" s="536"/>
      <c r="CH460" s="536"/>
      <c r="CI460" s="536"/>
      <c r="CJ460" s="541">
        <f t="shared" si="193"/>
        <v>0</v>
      </c>
      <c r="CK460" s="536"/>
      <c r="CL460" s="536"/>
      <c r="CM460" s="536"/>
      <c r="CN460" s="541">
        <f t="shared" si="194"/>
        <v>0</v>
      </c>
      <c r="CO460" s="536"/>
      <c r="CP460" s="536"/>
      <c r="CQ460" s="536"/>
      <c r="CR460" s="541">
        <f t="shared" si="195"/>
        <v>0</v>
      </c>
      <c r="CS460" s="536"/>
      <c r="CT460" s="536"/>
      <c r="CU460" s="536"/>
      <c r="CV460" s="541">
        <f t="shared" si="196"/>
        <v>0</v>
      </c>
      <c r="CW460" s="536"/>
      <c r="CX460" s="536"/>
      <c r="CY460" s="536"/>
      <c r="CZ460" s="541">
        <f t="shared" si="197"/>
        <v>0</v>
      </c>
      <c r="DA460" s="536"/>
      <c r="DB460" s="536"/>
      <c r="DC460" s="536"/>
      <c r="DD460" s="541">
        <f t="shared" si="198"/>
        <v>0</v>
      </c>
      <c r="DE460" s="536"/>
      <c r="DF460" s="536"/>
      <c r="DG460" s="536"/>
      <c r="DH460" s="541">
        <f t="shared" si="199"/>
        <v>0</v>
      </c>
      <c r="DI460" s="536"/>
      <c r="DJ460" s="536"/>
      <c r="DK460" s="536"/>
      <c r="DL460" s="541">
        <f t="shared" si="200"/>
        <v>0</v>
      </c>
      <c r="DM460" s="536"/>
      <c r="DN460" s="536"/>
      <c r="DO460" s="536"/>
      <c r="DP460" s="541">
        <f>IF( SUM((DJ460*(20/100))+(DK460*(30/100))+(DL460*(50/100))) &gt;=9.3,9.5,
IF(AND( SUM((DJ460*(20/100))+(DK460*(30/100))+(DL460*(50/100))) &lt;=9.3, SUM((DJ460*(20/100))+(DK460*(30/100))+(DL460*(50/100))) &gt;=8.8),9,
IF(AND( SUM((DJ460*(20/100))+(DK460*(30/100))+(DL460*(50/100))) &lt;=8.8, SUM((DJ460*(20/100))+(DK460*(30/100))+(DL460*(50/100))) &gt;=8.3),8.5,
IF(AND( SUM((DJ460*(20/100))+(DK460*(30/100))+(DL460*(50/100))) &lt;=8.3, SUM((DJ460*(20/100))+(DK460*(30/100))+(DL460*(50/100))) &gt;=7.8),8,
IF(AND( SUM((DJ460*(20/100))+(DK460*(30/100))+(DL460*(50/100))) &lt;=7.8, SUM((DJ460*(20/100))+(DK460*(30/100))+(DL460*(50/100))) &gt;=7.3),7.5,
IF(AND( SUM((DJ460*(20/100))+(DK460*(30/100))+(DL460*(50/100))) &lt;=7.3, SUM((DJ460*(20/100))+(DK460*(30/100))+(DL460*(50/100))) &gt;=6.8),7,
IF(AND( SUM((DJ460*(20/100))+(DK460*(30/100))+(DL460*(50/100))) &lt;=6.8, SUM((DJ460*(20/100))+(DK460*(30/100))+(DL460*(50/100))) &gt;=6.3),6.5,
IF(AND( SUM((DJ460*(20/100))+(DK460*(30/100))+(DL460*(50/100))) &lt;=6.3, SUM((DJ460*(20/100))+(DK460*(30/100))+(DL460*(50/100))) &gt;=5.8),6,
IF(AND( SUM((DJ460*(20/100))+(DK460*(30/100))+(DL460*(50/100))) &lt;=5.8, SUM((DJ460*(20/100))+(DK460*(30/100))+(DL460*(50/100))) &gt;=5.3),5.5,
IF(AND( SUM((DJ460*(20/100))+(DK460*(30/100))+(DL460*(50/100))) &lt;=5.3, SUM((DJ460*(20/100))+(DK460*(30/100))+(DL460*(50/100))) &gt;=4.8),5,
IF(AND( SUM((DJ460*(20/100))+(DK460*(30/100))+(DL460*(50/100))) &lt;=4.8, SUM((DJ460*(20/100))+(DK460*(30/100))+(DL460*(50/100))) &gt;=4.3),4.5,
IF(AND( SUM((DJ460*(20/100))+(DK460*(30/100))+(DL460*(50/100))) &lt;=4.3, SUM((DJ460*(20/100))+(DK460*(30/100))+(DL460*(50/100))) &gt;=3.8),4,
IF(AND( SUM((DJ460*(20/100))+(DK460*(30/100))+(DL460*(50/100))) &lt;=3.8, SUM((DJ460*(20/100))+(DK460*(30/100))+(DL460*(50/100))) &gt;=3.5),3.5,0)))))))))))))</f>
        <v>0</v>
      </c>
      <c r="DQ460" s="541"/>
      <c r="DR460" s="541"/>
      <c r="DS460" s="541"/>
      <c r="DT460" s="541"/>
      <c r="DU460" s="541"/>
      <c r="DV460" s="541"/>
      <c r="DW460" s="541"/>
      <c r="DX460" s="541"/>
      <c r="DY460" s="541"/>
      <c r="DZ460" s="541"/>
    </row>
    <row r="461" spans="2:130" x14ac:dyDescent="0.25">
      <c r="B461" s="334">
        <v>4</v>
      </c>
      <c r="C461" s="541"/>
      <c r="D461" s="334"/>
      <c r="E461" s="334"/>
      <c r="F461" s="334"/>
      <c r="G461" s="334"/>
      <c r="H461" s="334"/>
      <c r="I461" s="334"/>
      <c r="J461" s="536"/>
      <c r="K461" s="536"/>
      <c r="L461" s="536"/>
      <c r="M461" s="536"/>
      <c r="N461" s="536"/>
      <c r="O461" s="536"/>
      <c r="P461" s="536">
        <f t="shared" si="176"/>
        <v>0</v>
      </c>
      <c r="Q461" s="536"/>
      <c r="R461" s="536"/>
      <c r="S461" s="536"/>
      <c r="T461" s="536">
        <f t="shared" si="177"/>
        <v>0</v>
      </c>
      <c r="U461" s="536"/>
      <c r="V461" s="536"/>
      <c r="W461" s="536"/>
      <c r="X461" s="536">
        <f t="shared" si="178"/>
        <v>0</v>
      </c>
      <c r="Y461" s="536"/>
      <c r="Z461" s="536"/>
      <c r="AA461" s="536"/>
      <c r="AB461" s="536">
        <f t="shared" si="179"/>
        <v>0</v>
      </c>
      <c r="AC461" s="536"/>
      <c r="AD461" s="536"/>
      <c r="AE461" s="536"/>
      <c r="AF461" s="536">
        <f t="shared" si="180"/>
        <v>0</v>
      </c>
      <c r="AG461" s="536"/>
      <c r="AH461" s="536"/>
      <c r="AI461" s="536"/>
      <c r="AJ461" s="536">
        <f t="shared" si="181"/>
        <v>0</v>
      </c>
      <c r="AK461" s="536"/>
      <c r="AL461" s="536"/>
      <c r="AM461" s="536"/>
      <c r="AN461" s="542">
        <f t="shared" si="182"/>
        <v>0</v>
      </c>
      <c r="AO461" s="536"/>
      <c r="AP461" s="536"/>
      <c r="AQ461" s="536"/>
      <c r="AR461" s="542">
        <f t="shared" si="183"/>
        <v>0</v>
      </c>
      <c r="AS461" s="536"/>
      <c r="AT461" s="536"/>
      <c r="AU461" s="536"/>
      <c r="AV461" s="542">
        <f t="shared" si="184"/>
        <v>0</v>
      </c>
      <c r="AW461" s="536"/>
      <c r="AX461" s="536"/>
      <c r="AY461" s="536"/>
      <c r="AZ461" s="542">
        <f t="shared" si="185"/>
        <v>0</v>
      </c>
      <c r="BA461" s="536"/>
      <c r="BB461" s="536"/>
      <c r="BC461" s="536"/>
      <c r="BD461" s="542">
        <f t="shared" si="186"/>
        <v>0</v>
      </c>
      <c r="BE461" s="536"/>
      <c r="BF461" s="536"/>
      <c r="BG461" s="536"/>
      <c r="BH461" s="542">
        <f t="shared" si="187"/>
        <v>0</v>
      </c>
      <c r="BI461" s="536"/>
      <c r="BJ461" s="536"/>
      <c r="BK461" s="536"/>
      <c r="BL461" s="542">
        <f t="shared" si="188"/>
        <v>0</v>
      </c>
      <c r="BM461" s="536"/>
      <c r="BN461" s="536"/>
      <c r="BO461" s="536"/>
      <c r="BP461" s="542">
        <f t="shared" si="189"/>
        <v>0</v>
      </c>
      <c r="BQ461" s="536"/>
      <c r="BR461" s="536"/>
      <c r="BS461" s="536"/>
      <c r="BT461" s="542">
        <f t="shared" si="190"/>
        <v>0</v>
      </c>
      <c r="BU461" s="536"/>
      <c r="BV461" s="536"/>
      <c r="BW461" s="536"/>
      <c r="BX461" s="542">
        <f t="shared" si="191"/>
        <v>0</v>
      </c>
      <c r="BY461" s="536"/>
      <c r="BZ461" s="536"/>
      <c r="CA461" s="536"/>
      <c r="CB461" s="542">
        <v>0</v>
      </c>
      <c r="CC461" s="536"/>
      <c r="CD461" s="536"/>
      <c r="CE461" s="536"/>
      <c r="CF461" s="541">
        <f t="shared" si="192"/>
        <v>0</v>
      </c>
      <c r="CG461" s="536"/>
      <c r="CH461" s="536"/>
      <c r="CI461" s="536"/>
      <c r="CJ461" s="541">
        <f t="shared" si="193"/>
        <v>0</v>
      </c>
      <c r="CK461" s="536"/>
      <c r="CL461" s="536"/>
      <c r="CM461" s="536"/>
      <c r="CN461" s="541">
        <f t="shared" si="194"/>
        <v>0</v>
      </c>
      <c r="CO461" s="536"/>
      <c r="CP461" s="536"/>
      <c r="CQ461" s="536"/>
      <c r="CR461" s="541">
        <f t="shared" si="195"/>
        <v>0</v>
      </c>
      <c r="CS461" s="536"/>
      <c r="CT461" s="536"/>
      <c r="CU461" s="536"/>
      <c r="CV461" s="541">
        <f t="shared" si="196"/>
        <v>0</v>
      </c>
      <c r="CW461" s="536"/>
      <c r="CX461" s="536"/>
      <c r="CY461" s="536"/>
      <c r="CZ461" s="541">
        <f t="shared" si="197"/>
        <v>0</v>
      </c>
      <c r="DA461" s="536"/>
      <c r="DB461" s="536"/>
      <c r="DC461" s="536"/>
      <c r="DD461" s="541">
        <f t="shared" si="198"/>
        <v>0</v>
      </c>
      <c r="DE461" s="536"/>
      <c r="DF461" s="536"/>
      <c r="DG461" s="536"/>
      <c r="DH461" s="541">
        <f t="shared" si="199"/>
        <v>0</v>
      </c>
      <c r="DI461" s="536"/>
      <c r="DJ461" s="536"/>
      <c r="DK461" s="536"/>
      <c r="DL461" s="541">
        <f t="shared" si="200"/>
        <v>0</v>
      </c>
      <c r="DM461" s="536"/>
      <c r="DN461" s="536"/>
      <c r="DO461" s="536"/>
      <c r="DP461" s="541">
        <f>IF( SUM((DJ461*(20/100))+(DK461*(30/100))+(DL461*(50/100))) &gt;=9.3,9.5,
IF(AND( SUM((DJ461*(20/100))+(DK461*(30/100))+(DL461*(50/100))) &lt;=9.3, SUM((DJ461*(20/100))+(DK461*(30/100))+(DL461*(50/100))) &gt;=8.8),9,
IF(AND( SUM((DJ461*(20/100))+(DK461*(30/100))+(DL461*(50/100))) &lt;=8.8, SUM((DJ461*(20/100))+(DK461*(30/100))+(DL461*(50/100))) &gt;=8.3),8.5,
IF(AND( SUM((DJ461*(20/100))+(DK461*(30/100))+(DL461*(50/100))) &lt;=8.3, SUM((DJ461*(20/100))+(DK461*(30/100))+(DL461*(50/100))) &gt;=7.8),8,
IF(AND( SUM((DJ461*(20/100))+(DK461*(30/100))+(DL461*(50/100))) &lt;=7.8, SUM((DJ461*(20/100))+(DK461*(30/100))+(DL461*(50/100))) &gt;=7.3),7.5,
IF(AND( SUM((DJ461*(20/100))+(DK461*(30/100))+(DL461*(50/100))) &lt;=7.3, SUM((DJ461*(20/100))+(DK461*(30/100))+(DL461*(50/100))) &gt;=6.8),7,
IF(AND( SUM((DJ461*(20/100))+(DK461*(30/100))+(DL461*(50/100))) &lt;=6.8, SUM((DJ461*(20/100))+(DK461*(30/100))+(DL461*(50/100))) &gt;=6.3),6.5,
IF(AND( SUM((DJ461*(20/100))+(DK461*(30/100))+(DL461*(50/100))) &lt;=6.3, SUM((DJ461*(20/100))+(DK461*(30/100))+(DL461*(50/100))) &gt;=5.8),6,
IF(AND( SUM((DJ461*(20/100))+(DK461*(30/100))+(DL461*(50/100))) &lt;=5.8, SUM((DJ461*(20/100))+(DK461*(30/100))+(DL461*(50/100))) &gt;=5.3),5.5,
IF(AND( SUM((DJ461*(20/100))+(DK461*(30/100))+(DL461*(50/100))) &lt;=5.3, SUM((DJ461*(20/100))+(DK461*(30/100))+(DL461*(50/100))) &gt;=4.8),5,
IF(AND( SUM((DJ461*(20/100))+(DK461*(30/100))+(DL461*(50/100))) &lt;=4.8, SUM((DJ461*(20/100))+(DK461*(30/100))+(DL461*(50/100))) &gt;=4.3),4.5,
IF(AND( SUM((DJ461*(20/100))+(DK461*(30/100))+(DL461*(50/100))) &lt;=4.3, SUM((DJ461*(20/100))+(DK461*(30/100))+(DL461*(50/100))) &gt;=3.8),4,
IF(AND( SUM((DJ461*(20/100))+(DK461*(30/100))+(DL461*(50/100))) &lt;=3.8, SUM((DJ461*(20/100))+(DK461*(30/100))+(DL461*(50/100))) &gt;=3.5),3.5,0)))))))))))))</f>
        <v>0</v>
      </c>
      <c r="DQ461" s="541"/>
      <c r="DR461" s="541"/>
      <c r="DS461" s="541"/>
      <c r="DT461" s="541"/>
      <c r="DU461" s="541"/>
      <c r="DV461" s="541"/>
      <c r="DW461" s="541"/>
      <c r="DX461" s="541"/>
      <c r="DY461" s="541"/>
      <c r="DZ461" s="541"/>
    </row>
    <row r="462" spans="2:130" x14ac:dyDescent="0.25">
      <c r="B462" s="334">
        <v>5</v>
      </c>
      <c r="C462" s="541"/>
      <c r="D462" s="334"/>
      <c r="E462" s="334"/>
      <c r="F462" s="334"/>
      <c r="G462" s="334"/>
      <c r="H462" s="334"/>
      <c r="I462" s="334"/>
      <c r="J462" s="536"/>
      <c r="K462" s="536"/>
      <c r="L462" s="536"/>
      <c r="M462" s="536"/>
      <c r="N462" s="536"/>
      <c r="O462" s="536"/>
      <c r="P462" s="536">
        <f t="shared" si="176"/>
        <v>0</v>
      </c>
      <c r="Q462" s="536"/>
      <c r="R462" s="536"/>
      <c r="S462" s="536"/>
      <c r="T462" s="536">
        <f t="shared" si="177"/>
        <v>0</v>
      </c>
      <c r="U462" s="536"/>
      <c r="V462" s="536"/>
      <c r="W462" s="536"/>
      <c r="X462" s="536">
        <f t="shared" si="178"/>
        <v>0</v>
      </c>
      <c r="Y462" s="536"/>
      <c r="Z462" s="536"/>
      <c r="AA462" s="536"/>
      <c r="AB462" s="536">
        <f t="shared" si="179"/>
        <v>0</v>
      </c>
      <c r="AC462" s="536"/>
      <c r="AD462" s="536"/>
      <c r="AE462" s="536"/>
      <c r="AF462" s="536">
        <f t="shared" si="180"/>
        <v>0</v>
      </c>
      <c r="AG462" s="536"/>
      <c r="AH462" s="536"/>
      <c r="AI462" s="536"/>
      <c r="AJ462" s="536">
        <f t="shared" si="181"/>
        <v>0</v>
      </c>
      <c r="AK462" s="536"/>
      <c r="AL462" s="536"/>
      <c r="AM462" s="536"/>
      <c r="AN462" s="542">
        <f t="shared" si="182"/>
        <v>0</v>
      </c>
      <c r="AO462" s="536"/>
      <c r="AP462" s="536"/>
      <c r="AQ462" s="536"/>
      <c r="AR462" s="542">
        <f t="shared" si="183"/>
        <v>0</v>
      </c>
      <c r="AS462" s="536"/>
      <c r="AT462" s="536"/>
      <c r="AU462" s="536"/>
      <c r="AV462" s="542">
        <f t="shared" si="184"/>
        <v>0</v>
      </c>
      <c r="AW462" s="536"/>
      <c r="AX462" s="536"/>
      <c r="AY462" s="536"/>
      <c r="AZ462" s="542">
        <f t="shared" si="185"/>
        <v>0</v>
      </c>
      <c r="BA462" s="536"/>
      <c r="BB462" s="536"/>
      <c r="BC462" s="536"/>
      <c r="BD462" s="542">
        <f t="shared" si="186"/>
        <v>0</v>
      </c>
      <c r="BE462" s="536"/>
      <c r="BF462" s="536"/>
      <c r="BG462" s="536"/>
      <c r="BH462" s="542">
        <f t="shared" si="187"/>
        <v>0</v>
      </c>
      <c r="BI462" s="536"/>
      <c r="BJ462" s="536"/>
      <c r="BK462" s="536"/>
      <c r="BL462" s="542">
        <f t="shared" si="188"/>
        <v>0</v>
      </c>
      <c r="BM462" s="536"/>
      <c r="BN462" s="536"/>
      <c r="BO462" s="536"/>
      <c r="BP462" s="542">
        <f t="shared" si="189"/>
        <v>0</v>
      </c>
      <c r="BQ462" s="536"/>
      <c r="BR462" s="536"/>
      <c r="BS462" s="536"/>
      <c r="BT462" s="542">
        <f t="shared" si="190"/>
        <v>0</v>
      </c>
      <c r="BU462" s="536"/>
      <c r="BV462" s="536"/>
      <c r="BW462" s="536"/>
      <c r="BX462" s="542">
        <f t="shared" si="191"/>
        <v>0</v>
      </c>
      <c r="BY462" s="536"/>
      <c r="BZ462" s="536"/>
      <c r="CA462" s="536"/>
      <c r="CB462" s="542">
        <v>0</v>
      </c>
      <c r="CC462" s="536"/>
      <c r="CD462" s="536"/>
      <c r="CE462" s="536"/>
      <c r="CF462" s="541">
        <f t="shared" si="192"/>
        <v>0</v>
      </c>
      <c r="CG462" s="536"/>
      <c r="CH462" s="536"/>
      <c r="CI462" s="536"/>
      <c r="CJ462" s="541">
        <f t="shared" si="193"/>
        <v>0</v>
      </c>
      <c r="CK462" s="536"/>
      <c r="CL462" s="536"/>
      <c r="CM462" s="536"/>
      <c r="CN462" s="541">
        <f t="shared" si="194"/>
        <v>0</v>
      </c>
      <c r="CO462" s="536"/>
      <c r="CP462" s="536"/>
      <c r="CQ462" s="536"/>
      <c r="CR462" s="541">
        <f t="shared" si="195"/>
        <v>0</v>
      </c>
      <c r="CS462" s="536"/>
      <c r="CT462" s="536"/>
      <c r="CU462" s="536"/>
      <c r="CV462" s="541">
        <f t="shared" si="196"/>
        <v>0</v>
      </c>
      <c r="CW462" s="536"/>
      <c r="CX462" s="536"/>
      <c r="CY462" s="536"/>
      <c r="CZ462" s="541">
        <f t="shared" si="197"/>
        <v>0</v>
      </c>
      <c r="DA462" s="536"/>
      <c r="DB462" s="536"/>
      <c r="DC462" s="536"/>
      <c r="DD462" s="541">
        <f t="shared" si="198"/>
        <v>0</v>
      </c>
      <c r="DE462" s="536"/>
      <c r="DF462" s="536"/>
      <c r="DG462" s="536"/>
      <c r="DH462" s="541">
        <f t="shared" si="199"/>
        <v>0</v>
      </c>
      <c r="DI462" s="536"/>
      <c r="DJ462" s="536"/>
      <c r="DK462" s="536"/>
      <c r="DL462" s="541">
        <f t="shared" si="200"/>
        <v>0</v>
      </c>
      <c r="DM462" s="536"/>
      <c r="DN462" s="536"/>
      <c r="DO462" s="536"/>
      <c r="DP462" s="541">
        <f>IF( SUM((DJ462*(20/100))+(DK462*(30/100))+(DL462*(50/100))) &gt;=9.3,9.5,
IF(AND( SUM((DJ462*(20/100))+(DK462*(30/100))+(DL462*(50/100))) &lt;=9.3, SUM((DJ462*(20/100))+(DK462*(30/100))+(DL462*(50/100))) &gt;=8.8),9,
IF(AND( SUM((DJ462*(20/100))+(DK462*(30/100))+(DL462*(50/100))) &lt;=8.8, SUM((DJ462*(20/100))+(DK462*(30/100))+(DL462*(50/100))) &gt;=8.3),8.5,
IF(AND( SUM((DJ462*(20/100))+(DK462*(30/100))+(DL462*(50/100))) &lt;=8.3, SUM((DJ462*(20/100))+(DK462*(30/100))+(DL462*(50/100))) &gt;=7.8),8,
IF(AND( SUM((DJ462*(20/100))+(DK462*(30/100))+(DL462*(50/100))) &lt;=7.8, SUM((DJ462*(20/100))+(DK462*(30/100))+(DL462*(50/100))) &gt;=7.3),7.5,
IF(AND( SUM((DJ462*(20/100))+(DK462*(30/100))+(DL462*(50/100))) &lt;=7.3, SUM((DJ462*(20/100))+(DK462*(30/100))+(DL462*(50/100))) &gt;=6.8),7,
IF(AND( SUM((DJ462*(20/100))+(DK462*(30/100))+(DL462*(50/100))) &lt;=6.8, SUM((DJ462*(20/100))+(DK462*(30/100))+(DL462*(50/100))) &gt;=6.3),6.5,
IF(AND( SUM((DJ462*(20/100))+(DK462*(30/100))+(DL462*(50/100))) &lt;=6.3, SUM((DJ462*(20/100))+(DK462*(30/100))+(DL462*(50/100))) &gt;=5.8),6,
IF(AND( SUM((DJ462*(20/100))+(DK462*(30/100))+(DL462*(50/100))) &lt;=5.8, SUM((DJ462*(20/100))+(DK462*(30/100))+(DL462*(50/100))) &gt;=5.3),5.5,
IF(AND( SUM((DJ462*(20/100))+(DK462*(30/100))+(DL462*(50/100))) &lt;=5.3, SUM((DJ462*(20/100))+(DK462*(30/100))+(DL462*(50/100))) &gt;=4.8),5,
IF(AND( SUM((DJ462*(20/100))+(DK462*(30/100))+(DL462*(50/100))) &lt;=4.8, SUM((DJ462*(20/100))+(DK462*(30/100))+(DL462*(50/100))) &gt;=4.3),4.5,
IF(AND( SUM((DJ462*(20/100))+(DK462*(30/100))+(DL462*(50/100))) &lt;=4.3, SUM((DJ462*(20/100))+(DK462*(30/100))+(DL462*(50/100))) &gt;=3.8),4,
IF(AND( SUM((DJ462*(20/100))+(DK462*(30/100))+(DL462*(50/100))) &lt;=3.8, SUM((DJ462*(20/100))+(DK462*(30/100))+(DL462*(50/100))) &gt;=3.5),3.5,0)))))))))))))</f>
        <v>0</v>
      </c>
      <c r="DQ462" s="541"/>
      <c r="DR462" s="541"/>
      <c r="DS462" s="541"/>
      <c r="DT462" s="541"/>
      <c r="DU462" s="541"/>
      <c r="DV462" s="541"/>
      <c r="DW462" s="541"/>
      <c r="DX462" s="541"/>
      <c r="DY462" s="541"/>
      <c r="DZ462" s="541"/>
    </row>
    <row r="463" spans="2:130" x14ac:dyDescent="0.25">
      <c r="B463" s="334">
        <v>6</v>
      </c>
      <c r="C463" s="541"/>
      <c r="D463" s="334"/>
      <c r="E463" s="334"/>
      <c r="F463" s="334"/>
      <c r="G463" s="334"/>
      <c r="H463" s="334"/>
      <c r="I463" s="334"/>
      <c r="J463" s="536"/>
      <c r="K463" s="536"/>
      <c r="L463" s="536"/>
      <c r="M463" s="536"/>
      <c r="N463" s="536"/>
      <c r="O463" s="536"/>
      <c r="P463" s="536">
        <f t="shared" si="176"/>
        <v>0</v>
      </c>
      <c r="Q463" s="536"/>
      <c r="R463" s="536"/>
      <c r="S463" s="536"/>
      <c r="T463" s="536">
        <f t="shared" si="177"/>
        <v>0</v>
      </c>
      <c r="U463" s="536"/>
      <c r="V463" s="536"/>
      <c r="W463" s="536"/>
      <c r="X463" s="536">
        <f t="shared" si="178"/>
        <v>0</v>
      </c>
      <c r="Y463" s="536"/>
      <c r="Z463" s="536"/>
      <c r="AA463" s="536"/>
      <c r="AB463" s="536">
        <f t="shared" si="179"/>
        <v>0</v>
      </c>
      <c r="AC463" s="536"/>
      <c r="AD463" s="536"/>
      <c r="AE463" s="536"/>
      <c r="AF463" s="536">
        <f t="shared" si="180"/>
        <v>0</v>
      </c>
      <c r="AG463" s="536"/>
      <c r="AH463" s="536"/>
      <c r="AI463" s="536"/>
      <c r="AJ463" s="536">
        <f t="shared" si="181"/>
        <v>0</v>
      </c>
      <c r="AK463" s="536"/>
      <c r="AL463" s="536"/>
      <c r="AM463" s="536"/>
      <c r="AN463" s="542">
        <f t="shared" si="182"/>
        <v>0</v>
      </c>
      <c r="AO463" s="536"/>
      <c r="AP463" s="536"/>
      <c r="AQ463" s="536"/>
      <c r="AR463" s="542">
        <f t="shared" si="183"/>
        <v>0</v>
      </c>
      <c r="AS463" s="536"/>
      <c r="AT463" s="536"/>
      <c r="AU463" s="536"/>
      <c r="AV463" s="542">
        <f t="shared" si="184"/>
        <v>0</v>
      </c>
      <c r="AW463" s="536"/>
      <c r="AX463" s="536"/>
      <c r="AY463" s="536"/>
      <c r="AZ463" s="542">
        <f t="shared" si="185"/>
        <v>0</v>
      </c>
      <c r="BA463" s="536"/>
      <c r="BB463" s="536"/>
      <c r="BC463" s="536"/>
      <c r="BD463" s="542">
        <f t="shared" si="186"/>
        <v>0</v>
      </c>
      <c r="BE463" s="536"/>
      <c r="BF463" s="536"/>
      <c r="BG463" s="536"/>
      <c r="BH463" s="542">
        <f t="shared" si="187"/>
        <v>0</v>
      </c>
      <c r="BI463" s="536"/>
      <c r="BJ463" s="536"/>
      <c r="BK463" s="536"/>
      <c r="BL463" s="542">
        <f t="shared" si="188"/>
        <v>0</v>
      </c>
      <c r="BM463" s="536"/>
      <c r="BN463" s="536"/>
      <c r="BO463" s="536"/>
      <c r="BP463" s="542">
        <f t="shared" si="189"/>
        <v>0</v>
      </c>
      <c r="BQ463" s="536"/>
      <c r="BR463" s="536"/>
      <c r="BS463" s="536"/>
      <c r="BT463" s="542">
        <f t="shared" si="190"/>
        <v>0</v>
      </c>
      <c r="BU463" s="536"/>
      <c r="BV463" s="536"/>
      <c r="BW463" s="536"/>
      <c r="BX463" s="542">
        <f t="shared" si="191"/>
        <v>0</v>
      </c>
      <c r="BY463" s="536"/>
      <c r="BZ463" s="536"/>
      <c r="CA463" s="536"/>
      <c r="CB463" s="542">
        <v>0</v>
      </c>
      <c r="CC463" s="536"/>
      <c r="CD463" s="536"/>
      <c r="CE463" s="536"/>
      <c r="CF463" s="541">
        <f t="shared" si="192"/>
        <v>0</v>
      </c>
      <c r="CG463" s="536"/>
      <c r="CH463" s="536"/>
      <c r="CI463" s="536"/>
      <c r="CJ463" s="541">
        <f t="shared" si="193"/>
        <v>0</v>
      </c>
      <c r="CK463" s="536"/>
      <c r="CL463" s="536"/>
      <c r="CM463" s="536"/>
      <c r="CN463" s="541">
        <f t="shared" si="194"/>
        <v>0</v>
      </c>
      <c r="CO463" s="536"/>
      <c r="CP463" s="536"/>
      <c r="CQ463" s="536"/>
      <c r="CR463" s="541">
        <f t="shared" si="195"/>
        <v>0</v>
      </c>
      <c r="CS463" s="536"/>
      <c r="CT463" s="536"/>
      <c r="CU463" s="536"/>
      <c r="CV463" s="541">
        <f t="shared" si="196"/>
        <v>0</v>
      </c>
      <c r="CW463" s="536"/>
      <c r="CX463" s="536"/>
      <c r="CY463" s="536"/>
      <c r="CZ463" s="541">
        <f t="shared" si="197"/>
        <v>0</v>
      </c>
      <c r="DA463" s="536"/>
      <c r="DB463" s="536"/>
      <c r="DC463" s="536"/>
      <c r="DD463" s="541">
        <f t="shared" si="198"/>
        <v>0</v>
      </c>
      <c r="DE463" s="536"/>
      <c r="DF463" s="536"/>
      <c r="DG463" s="536"/>
      <c r="DH463" s="541">
        <f t="shared" si="199"/>
        <v>0</v>
      </c>
      <c r="DI463" s="536"/>
      <c r="DJ463" s="536"/>
      <c r="DK463" s="536"/>
      <c r="DL463" s="541">
        <f t="shared" si="200"/>
        <v>0</v>
      </c>
      <c r="DM463" s="536"/>
      <c r="DN463" s="536"/>
      <c r="DO463" s="536"/>
      <c r="DP463" s="541">
        <f>IF( SUM((DJ463*(20/100))+(DK463*(30/100))+(DL463*(50/100))) &gt;=9.3,9.5,
IF(AND( SUM((DJ463*(20/100))+(DK463*(30/100))+(DL463*(50/100))) &lt;=9.3, SUM((DJ463*(20/100))+(DK463*(30/100))+(DL463*(50/100))) &gt;=8.8),9,
IF(AND( SUM((DJ463*(20/100))+(DK463*(30/100))+(DL463*(50/100))) &lt;=8.8, SUM((DJ463*(20/100))+(DK463*(30/100))+(DL463*(50/100))) &gt;=8.3),8.5,
IF(AND( SUM((DJ463*(20/100))+(DK463*(30/100))+(DL463*(50/100))) &lt;=8.3, SUM((DJ463*(20/100))+(DK463*(30/100))+(DL463*(50/100))) &gt;=7.8),8,
IF(AND( SUM((DJ463*(20/100))+(DK463*(30/100))+(DL463*(50/100))) &lt;=7.8, SUM((DJ463*(20/100))+(DK463*(30/100))+(DL463*(50/100))) &gt;=7.3),7.5,
IF(AND( SUM((DJ463*(20/100))+(DK463*(30/100))+(DL463*(50/100))) &lt;=7.3, SUM((DJ463*(20/100))+(DK463*(30/100))+(DL463*(50/100))) &gt;=6.8),7,
IF(AND( SUM((DJ463*(20/100))+(DK463*(30/100))+(DL463*(50/100))) &lt;=6.8, SUM((DJ463*(20/100))+(DK463*(30/100))+(DL463*(50/100))) &gt;=6.3),6.5,
IF(AND( SUM((DJ463*(20/100))+(DK463*(30/100))+(DL463*(50/100))) &lt;=6.3, SUM((DJ463*(20/100))+(DK463*(30/100))+(DL463*(50/100))) &gt;=5.8),6,
IF(AND( SUM((DJ463*(20/100))+(DK463*(30/100))+(DL463*(50/100))) &lt;=5.8, SUM((DJ463*(20/100))+(DK463*(30/100))+(DL463*(50/100))) &gt;=5.3),5.5,
IF(AND( SUM((DJ463*(20/100))+(DK463*(30/100))+(DL463*(50/100))) &lt;=5.3, SUM((DJ463*(20/100))+(DK463*(30/100))+(DL463*(50/100))) &gt;=4.8),5,
IF(AND( SUM((DJ463*(20/100))+(DK463*(30/100))+(DL463*(50/100))) &lt;=4.8, SUM((DJ463*(20/100))+(DK463*(30/100))+(DL463*(50/100))) &gt;=4.3),4.5,
IF(AND( SUM((DJ463*(20/100))+(DK463*(30/100))+(DL463*(50/100))) &lt;=4.3, SUM((DJ463*(20/100))+(DK463*(30/100))+(DL463*(50/100))) &gt;=3.8),4,
IF(AND( SUM((DJ463*(20/100))+(DK463*(30/100))+(DL463*(50/100))) &lt;=3.8, SUM((DJ463*(20/100))+(DK463*(30/100))+(DL463*(50/100))) &gt;=3.5),3.5,0)))))))))))))</f>
        <v>0</v>
      </c>
      <c r="DQ463" s="541"/>
      <c r="DR463" s="541"/>
      <c r="DS463" s="541"/>
      <c r="DT463" s="541"/>
      <c r="DU463" s="541"/>
      <c r="DV463" s="541"/>
      <c r="DW463" s="541"/>
      <c r="DX463" s="541"/>
      <c r="DY463" s="541"/>
      <c r="DZ463" s="541"/>
    </row>
    <row r="464" spans="2:130" x14ac:dyDescent="0.25">
      <c r="B464" s="334">
        <v>7</v>
      </c>
      <c r="C464" s="541"/>
      <c r="D464" s="334"/>
      <c r="E464" s="334"/>
      <c r="F464" s="334"/>
      <c r="G464" s="334"/>
      <c r="H464" s="334"/>
      <c r="I464" s="334"/>
      <c r="J464" s="536"/>
      <c r="K464" s="536"/>
      <c r="L464" s="536"/>
      <c r="M464" s="536"/>
      <c r="N464" s="536"/>
      <c r="O464" s="536"/>
      <c r="P464" s="536">
        <f t="shared" si="176"/>
        <v>0</v>
      </c>
      <c r="Q464" s="536"/>
      <c r="R464" s="536"/>
      <c r="S464" s="536"/>
      <c r="T464" s="536">
        <f t="shared" si="177"/>
        <v>0</v>
      </c>
      <c r="U464" s="536"/>
      <c r="V464" s="536"/>
      <c r="W464" s="536"/>
      <c r="X464" s="536">
        <f t="shared" si="178"/>
        <v>0</v>
      </c>
      <c r="Y464" s="536"/>
      <c r="Z464" s="536"/>
      <c r="AA464" s="536"/>
      <c r="AB464" s="536">
        <f t="shared" si="179"/>
        <v>0</v>
      </c>
      <c r="AC464" s="536"/>
      <c r="AD464" s="536"/>
      <c r="AE464" s="536"/>
      <c r="AF464" s="536">
        <f t="shared" si="180"/>
        <v>0</v>
      </c>
      <c r="AG464" s="536"/>
      <c r="AH464" s="536"/>
      <c r="AI464" s="536"/>
      <c r="AJ464" s="536">
        <f t="shared" si="181"/>
        <v>0</v>
      </c>
      <c r="AK464" s="536"/>
      <c r="AL464" s="536"/>
      <c r="AM464" s="536"/>
      <c r="AN464" s="542">
        <f t="shared" si="182"/>
        <v>0</v>
      </c>
      <c r="AO464" s="536"/>
      <c r="AP464" s="536"/>
      <c r="AQ464" s="536"/>
      <c r="AR464" s="542">
        <f t="shared" si="183"/>
        <v>0</v>
      </c>
      <c r="AS464" s="536"/>
      <c r="AT464" s="536"/>
      <c r="AU464" s="536"/>
      <c r="AV464" s="542">
        <f t="shared" si="184"/>
        <v>0</v>
      </c>
      <c r="AW464" s="536"/>
      <c r="AX464" s="536"/>
      <c r="AY464" s="536"/>
      <c r="AZ464" s="542">
        <f t="shared" si="185"/>
        <v>0</v>
      </c>
      <c r="BA464" s="536"/>
      <c r="BB464" s="536"/>
      <c r="BC464" s="536"/>
      <c r="BD464" s="542">
        <f t="shared" si="186"/>
        <v>0</v>
      </c>
      <c r="BE464" s="536"/>
      <c r="BF464" s="536"/>
      <c r="BG464" s="536"/>
      <c r="BH464" s="542">
        <f t="shared" si="187"/>
        <v>0</v>
      </c>
      <c r="BI464" s="536"/>
      <c r="BJ464" s="536"/>
      <c r="BK464" s="536"/>
      <c r="BL464" s="542">
        <f t="shared" si="188"/>
        <v>0</v>
      </c>
      <c r="BM464" s="536"/>
      <c r="BN464" s="536"/>
      <c r="BO464" s="536"/>
      <c r="BP464" s="542">
        <f t="shared" si="189"/>
        <v>0</v>
      </c>
      <c r="BQ464" s="536"/>
      <c r="BR464" s="536"/>
      <c r="BS464" s="536"/>
      <c r="BT464" s="542">
        <f t="shared" si="190"/>
        <v>0</v>
      </c>
      <c r="BU464" s="536"/>
      <c r="BV464" s="536"/>
      <c r="BW464" s="536"/>
      <c r="BX464" s="542">
        <f t="shared" si="191"/>
        <v>0</v>
      </c>
      <c r="BY464" s="536"/>
      <c r="BZ464" s="536"/>
      <c r="CA464" s="536"/>
      <c r="CB464" s="542">
        <v>0</v>
      </c>
      <c r="CC464" s="536"/>
      <c r="CD464" s="536"/>
      <c r="CE464" s="536"/>
      <c r="CF464" s="541">
        <f t="shared" si="192"/>
        <v>0</v>
      </c>
      <c r="CG464" s="536"/>
      <c r="CH464" s="536"/>
      <c r="CI464" s="536"/>
      <c r="CJ464" s="541">
        <f t="shared" si="193"/>
        <v>0</v>
      </c>
      <c r="CK464" s="536"/>
      <c r="CL464" s="536"/>
      <c r="CM464" s="536"/>
      <c r="CN464" s="541">
        <f t="shared" si="194"/>
        <v>0</v>
      </c>
      <c r="CO464" s="536"/>
      <c r="CP464" s="536"/>
      <c r="CQ464" s="536"/>
      <c r="CR464" s="541">
        <f t="shared" si="195"/>
        <v>0</v>
      </c>
      <c r="CS464" s="536"/>
      <c r="CT464" s="536"/>
      <c r="CU464" s="536"/>
      <c r="CV464" s="541">
        <f t="shared" si="196"/>
        <v>0</v>
      </c>
      <c r="CW464" s="536"/>
      <c r="CX464" s="536"/>
      <c r="CY464" s="536"/>
      <c r="CZ464" s="541">
        <f t="shared" si="197"/>
        <v>0</v>
      </c>
      <c r="DA464" s="536"/>
      <c r="DB464" s="536"/>
      <c r="DC464" s="536"/>
      <c r="DD464" s="541">
        <f t="shared" si="198"/>
        <v>0</v>
      </c>
      <c r="DE464" s="536"/>
      <c r="DF464" s="536"/>
      <c r="DG464" s="536"/>
      <c r="DH464" s="541">
        <f t="shared" si="199"/>
        <v>0</v>
      </c>
      <c r="DI464" s="536"/>
      <c r="DJ464" s="536"/>
      <c r="DK464" s="536"/>
      <c r="DL464" s="541">
        <f t="shared" si="200"/>
        <v>0</v>
      </c>
      <c r="DM464" s="536"/>
      <c r="DN464" s="536"/>
      <c r="DO464" s="536"/>
      <c r="DP464" s="541">
        <f>IF( SUM((DJ464*(20/100))+(DK464*(30/100))+(DL464*(50/100))) &gt;=9.3,9.5,
IF(AND( SUM((DJ464*(20/100))+(DK464*(30/100))+(DL464*(50/100))) &lt;=9.3, SUM((DJ464*(20/100))+(DK464*(30/100))+(DL464*(50/100))) &gt;=8.8),9,
IF(AND( SUM((DJ464*(20/100))+(DK464*(30/100))+(DL464*(50/100))) &lt;=8.8, SUM((DJ464*(20/100))+(DK464*(30/100))+(DL464*(50/100))) &gt;=8.3),8.5,
IF(AND( SUM((DJ464*(20/100))+(DK464*(30/100))+(DL464*(50/100))) &lt;=8.3, SUM((DJ464*(20/100))+(DK464*(30/100))+(DL464*(50/100))) &gt;=7.8),8,
IF(AND( SUM((DJ464*(20/100))+(DK464*(30/100))+(DL464*(50/100))) &lt;=7.8, SUM((DJ464*(20/100))+(DK464*(30/100))+(DL464*(50/100))) &gt;=7.3),7.5,
IF(AND( SUM((DJ464*(20/100))+(DK464*(30/100))+(DL464*(50/100))) &lt;=7.3, SUM((DJ464*(20/100))+(DK464*(30/100))+(DL464*(50/100))) &gt;=6.8),7,
IF(AND( SUM((DJ464*(20/100))+(DK464*(30/100))+(DL464*(50/100))) &lt;=6.8, SUM((DJ464*(20/100))+(DK464*(30/100))+(DL464*(50/100))) &gt;=6.3),6.5,
IF(AND( SUM((DJ464*(20/100))+(DK464*(30/100))+(DL464*(50/100))) &lt;=6.3, SUM((DJ464*(20/100))+(DK464*(30/100))+(DL464*(50/100))) &gt;=5.8),6,
IF(AND( SUM((DJ464*(20/100))+(DK464*(30/100))+(DL464*(50/100))) &lt;=5.8, SUM((DJ464*(20/100))+(DK464*(30/100))+(DL464*(50/100))) &gt;=5.3),5.5,
IF(AND( SUM((DJ464*(20/100))+(DK464*(30/100))+(DL464*(50/100))) &lt;=5.3, SUM((DJ464*(20/100))+(DK464*(30/100))+(DL464*(50/100))) &gt;=4.8),5,
IF(AND( SUM((DJ464*(20/100))+(DK464*(30/100))+(DL464*(50/100))) &lt;=4.8, SUM((DJ464*(20/100))+(DK464*(30/100))+(DL464*(50/100))) &gt;=4.3),4.5,
IF(AND( SUM((DJ464*(20/100))+(DK464*(30/100))+(DL464*(50/100))) &lt;=4.3, SUM((DJ464*(20/100))+(DK464*(30/100))+(DL464*(50/100))) &gt;=3.8),4,
IF(AND( SUM((DJ464*(20/100))+(DK464*(30/100))+(DL464*(50/100))) &lt;=3.8, SUM((DJ464*(20/100))+(DK464*(30/100))+(DL464*(50/100))) &gt;=3.5),3.5,0)))))))))))))</f>
        <v>0</v>
      </c>
      <c r="DQ464" s="541"/>
      <c r="DR464" s="541"/>
      <c r="DS464" s="541"/>
      <c r="DT464" s="541"/>
      <c r="DU464" s="541"/>
      <c r="DV464" s="541"/>
      <c r="DW464" s="541"/>
      <c r="DX464" s="541"/>
      <c r="DY464" s="541"/>
      <c r="DZ464" s="541"/>
    </row>
    <row r="465" spans="2:130" x14ac:dyDescent="0.25">
      <c r="B465" s="334">
        <v>8</v>
      </c>
      <c r="C465" s="541"/>
      <c r="D465" s="334"/>
      <c r="E465" s="334"/>
      <c r="F465" s="334"/>
      <c r="G465" s="334"/>
      <c r="H465" s="334"/>
      <c r="I465" s="334"/>
      <c r="J465" s="536"/>
      <c r="K465" s="536"/>
      <c r="L465" s="536"/>
      <c r="M465" s="536"/>
      <c r="N465" s="536"/>
      <c r="O465" s="536"/>
      <c r="P465" s="536">
        <f t="shared" si="176"/>
        <v>0</v>
      </c>
      <c r="Q465" s="536"/>
      <c r="R465" s="536"/>
      <c r="S465" s="536"/>
      <c r="T465" s="536">
        <f t="shared" si="177"/>
        <v>0</v>
      </c>
      <c r="U465" s="536"/>
      <c r="V465" s="536"/>
      <c r="W465" s="536"/>
      <c r="X465" s="536">
        <f t="shared" si="178"/>
        <v>0</v>
      </c>
      <c r="Y465" s="536"/>
      <c r="Z465" s="536"/>
      <c r="AA465" s="536"/>
      <c r="AB465" s="536">
        <f t="shared" si="179"/>
        <v>0</v>
      </c>
      <c r="AC465" s="536"/>
      <c r="AD465" s="536"/>
      <c r="AE465" s="536"/>
      <c r="AF465" s="536">
        <f t="shared" si="180"/>
        <v>0</v>
      </c>
      <c r="AG465" s="536"/>
      <c r="AH465" s="536"/>
      <c r="AI465" s="536"/>
      <c r="AJ465" s="536">
        <f t="shared" si="181"/>
        <v>0</v>
      </c>
      <c r="AK465" s="536"/>
      <c r="AL465" s="536"/>
      <c r="AM465" s="536"/>
      <c r="AN465" s="542">
        <f t="shared" si="182"/>
        <v>0</v>
      </c>
      <c r="AO465" s="536"/>
      <c r="AP465" s="536"/>
      <c r="AQ465" s="536"/>
      <c r="AR465" s="542">
        <f t="shared" si="183"/>
        <v>0</v>
      </c>
      <c r="AS465" s="536"/>
      <c r="AT465" s="536"/>
      <c r="AU465" s="536"/>
      <c r="AV465" s="542">
        <f t="shared" si="184"/>
        <v>0</v>
      </c>
      <c r="AW465" s="536"/>
      <c r="AX465" s="536"/>
      <c r="AY465" s="536"/>
      <c r="AZ465" s="542">
        <f t="shared" si="185"/>
        <v>0</v>
      </c>
      <c r="BA465" s="536"/>
      <c r="BB465" s="536"/>
      <c r="BC465" s="536"/>
      <c r="BD465" s="542">
        <f t="shared" si="186"/>
        <v>0</v>
      </c>
      <c r="BE465" s="536"/>
      <c r="BF465" s="536"/>
      <c r="BG465" s="536"/>
      <c r="BH465" s="542">
        <f t="shared" si="187"/>
        <v>0</v>
      </c>
      <c r="BI465" s="536"/>
      <c r="BJ465" s="536"/>
      <c r="BK465" s="536"/>
      <c r="BL465" s="542">
        <f t="shared" si="188"/>
        <v>0</v>
      </c>
      <c r="BM465" s="536"/>
      <c r="BN465" s="536"/>
      <c r="BO465" s="536"/>
      <c r="BP465" s="542">
        <f t="shared" si="189"/>
        <v>0</v>
      </c>
      <c r="BQ465" s="536"/>
      <c r="BR465" s="536"/>
      <c r="BS465" s="536"/>
      <c r="BT465" s="542">
        <f t="shared" si="190"/>
        <v>0</v>
      </c>
      <c r="BU465" s="536"/>
      <c r="BV465" s="536"/>
      <c r="BW465" s="536"/>
      <c r="BX465" s="542">
        <f t="shared" si="191"/>
        <v>0</v>
      </c>
      <c r="BY465" s="536"/>
      <c r="BZ465" s="536"/>
      <c r="CA465" s="536"/>
      <c r="CB465" s="542">
        <v>0</v>
      </c>
      <c r="CC465" s="536"/>
      <c r="CD465" s="536"/>
      <c r="CE465" s="536"/>
      <c r="CF465" s="541">
        <f t="shared" si="192"/>
        <v>0</v>
      </c>
      <c r="CG465" s="536"/>
      <c r="CH465" s="536"/>
      <c r="CI465" s="536"/>
      <c r="CJ465" s="541">
        <f t="shared" si="193"/>
        <v>0</v>
      </c>
      <c r="CK465" s="536"/>
      <c r="CL465" s="536"/>
      <c r="CM465" s="536"/>
      <c r="CN465" s="541">
        <f t="shared" si="194"/>
        <v>0</v>
      </c>
      <c r="CO465" s="536"/>
      <c r="CP465" s="536"/>
      <c r="CQ465" s="536"/>
      <c r="CR465" s="541">
        <f t="shared" si="195"/>
        <v>0</v>
      </c>
      <c r="CS465" s="536"/>
      <c r="CT465" s="536"/>
      <c r="CU465" s="536"/>
      <c r="CV465" s="541">
        <f t="shared" si="196"/>
        <v>0</v>
      </c>
      <c r="CW465" s="536"/>
      <c r="CX465" s="536"/>
      <c r="CY465" s="536"/>
      <c r="CZ465" s="541">
        <f t="shared" si="197"/>
        <v>0</v>
      </c>
      <c r="DA465" s="536"/>
      <c r="DB465" s="536"/>
      <c r="DC465" s="536"/>
      <c r="DD465" s="541">
        <f t="shared" si="198"/>
        <v>0</v>
      </c>
      <c r="DE465" s="536"/>
      <c r="DF465" s="536"/>
      <c r="DG465" s="536"/>
      <c r="DH465" s="541">
        <f t="shared" si="199"/>
        <v>0</v>
      </c>
      <c r="DI465" s="536"/>
      <c r="DJ465" s="536"/>
      <c r="DK465" s="536"/>
      <c r="DL465" s="541">
        <f t="shared" si="200"/>
        <v>0</v>
      </c>
      <c r="DM465" s="536"/>
      <c r="DN465" s="536"/>
      <c r="DO465" s="536"/>
      <c r="DP465" s="541">
        <f>IF( SUM((DJ465*(20/100))+(DK465*(30/100))+(DL465*(50/100))) &gt;=9.3,9.5,
IF(AND( SUM((DJ465*(20/100))+(DK465*(30/100))+(DL465*(50/100))) &lt;=9.3, SUM((DJ465*(20/100))+(DK465*(30/100))+(DL465*(50/100))) &gt;=8.8),9,
IF(AND( SUM((DJ465*(20/100))+(DK465*(30/100))+(DL465*(50/100))) &lt;=8.8, SUM((DJ465*(20/100))+(DK465*(30/100))+(DL465*(50/100))) &gt;=8.3),8.5,
IF(AND( SUM((DJ465*(20/100))+(DK465*(30/100))+(DL465*(50/100))) &lt;=8.3, SUM((DJ465*(20/100))+(DK465*(30/100))+(DL465*(50/100))) &gt;=7.8),8,
IF(AND( SUM((DJ465*(20/100))+(DK465*(30/100))+(DL465*(50/100))) &lt;=7.8, SUM((DJ465*(20/100))+(DK465*(30/100))+(DL465*(50/100))) &gt;=7.3),7.5,
IF(AND( SUM((DJ465*(20/100))+(DK465*(30/100))+(DL465*(50/100))) &lt;=7.3, SUM((DJ465*(20/100))+(DK465*(30/100))+(DL465*(50/100))) &gt;=6.8),7,
IF(AND( SUM((DJ465*(20/100))+(DK465*(30/100))+(DL465*(50/100))) &lt;=6.8, SUM((DJ465*(20/100))+(DK465*(30/100))+(DL465*(50/100))) &gt;=6.3),6.5,
IF(AND( SUM((DJ465*(20/100))+(DK465*(30/100))+(DL465*(50/100))) &lt;=6.3, SUM((DJ465*(20/100))+(DK465*(30/100))+(DL465*(50/100))) &gt;=5.8),6,
IF(AND( SUM((DJ465*(20/100))+(DK465*(30/100))+(DL465*(50/100))) &lt;=5.8, SUM((DJ465*(20/100))+(DK465*(30/100))+(DL465*(50/100))) &gt;=5.3),5.5,
IF(AND( SUM((DJ465*(20/100))+(DK465*(30/100))+(DL465*(50/100))) &lt;=5.3, SUM((DJ465*(20/100))+(DK465*(30/100))+(DL465*(50/100))) &gt;=4.8),5,
IF(AND( SUM((DJ465*(20/100))+(DK465*(30/100))+(DL465*(50/100))) &lt;=4.8, SUM((DJ465*(20/100))+(DK465*(30/100))+(DL465*(50/100))) &gt;=4.3),4.5,
IF(AND( SUM((DJ465*(20/100))+(DK465*(30/100))+(DL465*(50/100))) &lt;=4.3, SUM((DJ465*(20/100))+(DK465*(30/100))+(DL465*(50/100))) &gt;=3.8),4,
IF(AND( SUM((DJ465*(20/100))+(DK465*(30/100))+(DL465*(50/100))) &lt;=3.8, SUM((DJ465*(20/100))+(DK465*(30/100))+(DL465*(50/100))) &gt;=3.5),3.5,0)))))))))))))</f>
        <v>0</v>
      </c>
      <c r="DQ465" s="541"/>
      <c r="DR465" s="541"/>
      <c r="DS465" s="541"/>
      <c r="DT465" s="541"/>
      <c r="DU465" s="541"/>
      <c r="DV465" s="541"/>
      <c r="DW465" s="541"/>
      <c r="DX465" s="541"/>
      <c r="DY465" s="541"/>
      <c r="DZ465" s="541"/>
    </row>
    <row r="466" spans="2:130" x14ac:dyDescent="0.25">
      <c r="B466" s="334">
        <v>9</v>
      </c>
      <c r="C466" s="541"/>
      <c r="D466" s="334"/>
      <c r="E466" s="334"/>
      <c r="F466" s="334"/>
      <c r="G466" s="334"/>
      <c r="H466" s="334"/>
      <c r="I466" s="334"/>
      <c r="J466" s="536"/>
      <c r="K466" s="536"/>
      <c r="L466" s="536"/>
      <c r="M466" s="536"/>
      <c r="N466" s="536"/>
      <c r="O466" s="536"/>
      <c r="P466" s="536">
        <f t="shared" si="176"/>
        <v>0</v>
      </c>
      <c r="Q466" s="536"/>
      <c r="R466" s="536"/>
      <c r="S466" s="536"/>
      <c r="T466" s="536">
        <f t="shared" si="177"/>
        <v>0</v>
      </c>
      <c r="U466" s="536"/>
      <c r="V466" s="536"/>
      <c r="W466" s="536"/>
      <c r="X466" s="536">
        <f t="shared" si="178"/>
        <v>0</v>
      </c>
      <c r="Y466" s="536"/>
      <c r="Z466" s="536"/>
      <c r="AA466" s="536"/>
      <c r="AB466" s="536">
        <f t="shared" si="179"/>
        <v>0</v>
      </c>
      <c r="AC466" s="536"/>
      <c r="AD466" s="536"/>
      <c r="AE466" s="536"/>
      <c r="AF466" s="536">
        <f t="shared" si="180"/>
        <v>0</v>
      </c>
      <c r="AG466" s="536"/>
      <c r="AH466" s="536"/>
      <c r="AI466" s="536"/>
      <c r="AJ466" s="536">
        <f t="shared" si="181"/>
        <v>0</v>
      </c>
      <c r="AK466" s="536"/>
      <c r="AL466" s="536"/>
      <c r="AM466" s="536"/>
      <c r="AN466" s="542">
        <f t="shared" si="182"/>
        <v>0</v>
      </c>
      <c r="AO466" s="536"/>
      <c r="AP466" s="536"/>
      <c r="AQ466" s="536"/>
      <c r="AR466" s="542">
        <f t="shared" si="183"/>
        <v>0</v>
      </c>
      <c r="AS466" s="536"/>
      <c r="AT466" s="536"/>
      <c r="AU466" s="536"/>
      <c r="AV466" s="542">
        <f t="shared" si="184"/>
        <v>0</v>
      </c>
      <c r="AW466" s="536"/>
      <c r="AX466" s="536"/>
      <c r="AY466" s="536"/>
      <c r="AZ466" s="542">
        <f t="shared" si="185"/>
        <v>0</v>
      </c>
      <c r="BA466" s="536"/>
      <c r="BB466" s="536"/>
      <c r="BC466" s="536"/>
      <c r="BD466" s="542">
        <f t="shared" si="186"/>
        <v>0</v>
      </c>
      <c r="BE466" s="536"/>
      <c r="BF466" s="536"/>
      <c r="BG466" s="536"/>
      <c r="BH466" s="542">
        <f t="shared" si="187"/>
        <v>0</v>
      </c>
      <c r="BI466" s="536"/>
      <c r="BJ466" s="536"/>
      <c r="BK466" s="536"/>
      <c r="BL466" s="542">
        <f t="shared" si="188"/>
        <v>0</v>
      </c>
      <c r="BM466" s="536"/>
      <c r="BN466" s="536"/>
      <c r="BO466" s="536"/>
      <c r="BP466" s="542">
        <f t="shared" si="189"/>
        <v>0</v>
      </c>
      <c r="BQ466" s="536"/>
      <c r="BR466" s="536"/>
      <c r="BS466" s="536"/>
      <c r="BT466" s="542">
        <f t="shared" si="190"/>
        <v>0</v>
      </c>
      <c r="BU466" s="536"/>
      <c r="BV466" s="536"/>
      <c r="BW466" s="536"/>
      <c r="BX466" s="542">
        <f t="shared" si="191"/>
        <v>0</v>
      </c>
      <c r="BY466" s="536"/>
      <c r="BZ466" s="536"/>
      <c r="CA466" s="536"/>
      <c r="CB466" s="542">
        <v>0</v>
      </c>
      <c r="CC466" s="536"/>
      <c r="CD466" s="536"/>
      <c r="CE466" s="536"/>
      <c r="CF466" s="541">
        <f t="shared" si="192"/>
        <v>0</v>
      </c>
      <c r="CG466" s="536"/>
      <c r="CH466" s="536"/>
      <c r="CI466" s="536"/>
      <c r="CJ466" s="541">
        <f t="shared" si="193"/>
        <v>0</v>
      </c>
      <c r="CK466" s="536"/>
      <c r="CL466" s="536"/>
      <c r="CM466" s="536"/>
      <c r="CN466" s="541">
        <f t="shared" si="194"/>
        <v>0</v>
      </c>
      <c r="CO466" s="536"/>
      <c r="CP466" s="536"/>
      <c r="CQ466" s="536"/>
      <c r="CR466" s="541">
        <f t="shared" si="195"/>
        <v>0</v>
      </c>
      <c r="CS466" s="536"/>
      <c r="CT466" s="536"/>
      <c r="CU466" s="536"/>
      <c r="CV466" s="541">
        <f t="shared" si="196"/>
        <v>0</v>
      </c>
      <c r="CW466" s="536"/>
      <c r="CX466" s="536"/>
      <c r="CY466" s="536"/>
      <c r="CZ466" s="541">
        <f t="shared" si="197"/>
        <v>0</v>
      </c>
      <c r="DA466" s="536"/>
      <c r="DB466" s="536"/>
      <c r="DC466" s="536"/>
      <c r="DD466" s="541">
        <f t="shared" si="198"/>
        <v>0</v>
      </c>
      <c r="DE466" s="536"/>
      <c r="DF466" s="536"/>
      <c r="DG466" s="536"/>
      <c r="DH466" s="541">
        <f t="shared" si="199"/>
        <v>0</v>
      </c>
      <c r="DI466" s="536"/>
      <c r="DJ466" s="536"/>
      <c r="DK466" s="536"/>
      <c r="DL466" s="541">
        <f t="shared" si="200"/>
        <v>0</v>
      </c>
      <c r="DM466" s="536"/>
      <c r="DN466" s="536"/>
      <c r="DO466" s="536"/>
      <c r="DP466" s="541">
        <f>IF( SUM((DJ466*(20/100))+(DK466*(30/100))+(DL466*(50/100))) &gt;=9.3,9.5,
IF(AND( SUM((DJ466*(20/100))+(DK466*(30/100))+(DL466*(50/100))) &lt;=9.3, SUM((DJ466*(20/100))+(DK466*(30/100))+(DL466*(50/100))) &gt;=8.8),9,
IF(AND( SUM((DJ466*(20/100))+(DK466*(30/100))+(DL466*(50/100))) &lt;=8.8, SUM((DJ466*(20/100))+(DK466*(30/100))+(DL466*(50/100))) &gt;=8.3),8.5,
IF(AND( SUM((DJ466*(20/100))+(DK466*(30/100))+(DL466*(50/100))) &lt;=8.3, SUM((DJ466*(20/100))+(DK466*(30/100))+(DL466*(50/100))) &gt;=7.8),8,
IF(AND( SUM((DJ466*(20/100))+(DK466*(30/100))+(DL466*(50/100))) &lt;=7.8, SUM((DJ466*(20/100))+(DK466*(30/100))+(DL466*(50/100))) &gt;=7.3),7.5,
IF(AND( SUM((DJ466*(20/100))+(DK466*(30/100))+(DL466*(50/100))) &lt;=7.3, SUM((DJ466*(20/100))+(DK466*(30/100))+(DL466*(50/100))) &gt;=6.8),7,
IF(AND( SUM((DJ466*(20/100))+(DK466*(30/100))+(DL466*(50/100))) &lt;=6.8, SUM((DJ466*(20/100))+(DK466*(30/100))+(DL466*(50/100))) &gt;=6.3),6.5,
IF(AND( SUM((DJ466*(20/100))+(DK466*(30/100))+(DL466*(50/100))) &lt;=6.3, SUM((DJ466*(20/100))+(DK466*(30/100))+(DL466*(50/100))) &gt;=5.8),6,
IF(AND( SUM((DJ466*(20/100))+(DK466*(30/100))+(DL466*(50/100))) &lt;=5.8, SUM((DJ466*(20/100))+(DK466*(30/100))+(DL466*(50/100))) &gt;=5.3),5.5,
IF(AND( SUM((DJ466*(20/100))+(DK466*(30/100))+(DL466*(50/100))) &lt;=5.3, SUM((DJ466*(20/100))+(DK466*(30/100))+(DL466*(50/100))) &gt;=4.8),5,
IF(AND( SUM((DJ466*(20/100))+(DK466*(30/100))+(DL466*(50/100))) &lt;=4.8, SUM((DJ466*(20/100))+(DK466*(30/100))+(DL466*(50/100))) &gt;=4.3),4.5,
IF(AND( SUM((DJ466*(20/100))+(DK466*(30/100))+(DL466*(50/100))) &lt;=4.3, SUM((DJ466*(20/100))+(DK466*(30/100))+(DL466*(50/100))) &gt;=3.8),4,
IF(AND( SUM((DJ466*(20/100))+(DK466*(30/100))+(DL466*(50/100))) &lt;=3.8, SUM((DJ466*(20/100))+(DK466*(30/100))+(DL466*(50/100))) &gt;=3.5),3.5,0)))))))))))))</f>
        <v>0</v>
      </c>
      <c r="DQ466" s="541"/>
      <c r="DR466" s="541"/>
      <c r="DS466" s="541"/>
      <c r="DT466" s="541"/>
      <c r="DU466" s="541"/>
      <c r="DV466" s="541"/>
      <c r="DW466" s="541"/>
      <c r="DX466" s="541"/>
      <c r="DY466" s="541"/>
      <c r="DZ466" s="541"/>
    </row>
    <row r="467" spans="2:130" x14ac:dyDescent="0.25">
      <c r="B467" s="334">
        <v>10</v>
      </c>
      <c r="C467" s="541"/>
      <c r="D467" s="334"/>
      <c r="E467" s="334"/>
      <c r="F467" s="334"/>
      <c r="G467" s="334"/>
      <c r="H467" s="334"/>
      <c r="I467" s="334"/>
      <c r="J467" s="536"/>
      <c r="K467" s="536"/>
      <c r="L467" s="536"/>
      <c r="M467" s="536"/>
      <c r="N467" s="536"/>
      <c r="O467" s="536"/>
      <c r="P467" s="536">
        <f t="shared" si="176"/>
        <v>0</v>
      </c>
      <c r="Q467" s="536"/>
      <c r="R467" s="536"/>
      <c r="S467" s="536"/>
      <c r="T467" s="536">
        <f t="shared" si="177"/>
        <v>0</v>
      </c>
      <c r="U467" s="536"/>
      <c r="V467" s="536"/>
      <c r="W467" s="536"/>
      <c r="X467" s="536">
        <f t="shared" si="178"/>
        <v>0</v>
      </c>
      <c r="Y467" s="536"/>
      <c r="Z467" s="536"/>
      <c r="AA467" s="536"/>
      <c r="AB467" s="536">
        <f t="shared" si="179"/>
        <v>0</v>
      </c>
      <c r="AC467" s="536"/>
      <c r="AD467" s="536"/>
      <c r="AE467" s="536"/>
      <c r="AF467" s="536">
        <f t="shared" si="180"/>
        <v>0</v>
      </c>
      <c r="AG467" s="536"/>
      <c r="AH467" s="536"/>
      <c r="AI467" s="536"/>
      <c r="AJ467" s="536">
        <f t="shared" si="181"/>
        <v>0</v>
      </c>
      <c r="AK467" s="536"/>
      <c r="AL467" s="536"/>
      <c r="AM467" s="536"/>
      <c r="AN467" s="542">
        <f t="shared" si="182"/>
        <v>0</v>
      </c>
      <c r="AO467" s="536"/>
      <c r="AP467" s="536"/>
      <c r="AQ467" s="536"/>
      <c r="AR467" s="542">
        <f t="shared" si="183"/>
        <v>0</v>
      </c>
      <c r="AS467" s="536"/>
      <c r="AT467" s="536"/>
      <c r="AU467" s="536"/>
      <c r="AV467" s="542">
        <f t="shared" si="184"/>
        <v>0</v>
      </c>
      <c r="AW467" s="536"/>
      <c r="AX467" s="536"/>
      <c r="AY467" s="536"/>
      <c r="AZ467" s="542">
        <f t="shared" si="185"/>
        <v>0</v>
      </c>
      <c r="BA467" s="536"/>
      <c r="BB467" s="536"/>
      <c r="BC467" s="536"/>
      <c r="BD467" s="542">
        <f t="shared" si="186"/>
        <v>0</v>
      </c>
      <c r="BE467" s="536"/>
      <c r="BF467" s="536"/>
      <c r="BG467" s="536"/>
      <c r="BH467" s="542">
        <f t="shared" si="187"/>
        <v>0</v>
      </c>
      <c r="BI467" s="536"/>
      <c r="BJ467" s="536"/>
      <c r="BK467" s="536"/>
      <c r="BL467" s="542">
        <f t="shared" si="188"/>
        <v>0</v>
      </c>
      <c r="BM467" s="536"/>
      <c r="BN467" s="536"/>
      <c r="BO467" s="536"/>
      <c r="BP467" s="542">
        <f t="shared" si="189"/>
        <v>0</v>
      </c>
      <c r="BQ467" s="536"/>
      <c r="BR467" s="536"/>
      <c r="BS467" s="536"/>
      <c r="BT467" s="542">
        <f t="shared" si="190"/>
        <v>0</v>
      </c>
      <c r="BU467" s="536"/>
      <c r="BV467" s="536"/>
      <c r="BW467" s="536"/>
      <c r="BX467" s="542">
        <f t="shared" si="191"/>
        <v>0</v>
      </c>
      <c r="BY467" s="536"/>
      <c r="BZ467" s="536"/>
      <c r="CA467" s="536"/>
      <c r="CB467" s="542">
        <v>0</v>
      </c>
      <c r="CC467" s="536"/>
      <c r="CD467" s="536"/>
      <c r="CE467" s="536"/>
      <c r="CF467" s="541">
        <f t="shared" si="192"/>
        <v>0</v>
      </c>
      <c r="CG467" s="536"/>
      <c r="CH467" s="536"/>
      <c r="CI467" s="536"/>
      <c r="CJ467" s="541">
        <f t="shared" si="193"/>
        <v>0</v>
      </c>
      <c r="CK467" s="536"/>
      <c r="CL467" s="536"/>
      <c r="CM467" s="536"/>
      <c r="CN467" s="541">
        <f t="shared" si="194"/>
        <v>0</v>
      </c>
      <c r="CO467" s="536"/>
      <c r="CP467" s="536"/>
      <c r="CQ467" s="536"/>
      <c r="CR467" s="541">
        <f t="shared" si="195"/>
        <v>0</v>
      </c>
      <c r="CS467" s="536"/>
      <c r="CT467" s="536"/>
      <c r="CU467" s="536"/>
      <c r="CV467" s="541">
        <f t="shared" si="196"/>
        <v>0</v>
      </c>
      <c r="CW467" s="536"/>
      <c r="CX467" s="536"/>
      <c r="CY467" s="536"/>
      <c r="CZ467" s="541">
        <f t="shared" si="197"/>
        <v>0</v>
      </c>
      <c r="DA467" s="536"/>
      <c r="DB467" s="536"/>
      <c r="DC467" s="536"/>
      <c r="DD467" s="541">
        <f t="shared" si="198"/>
        <v>0</v>
      </c>
      <c r="DE467" s="536"/>
      <c r="DF467" s="536"/>
      <c r="DG467" s="536"/>
      <c r="DH467" s="541">
        <f t="shared" si="199"/>
        <v>0</v>
      </c>
      <c r="DI467" s="536"/>
      <c r="DJ467" s="536"/>
      <c r="DK467" s="536"/>
      <c r="DL467" s="541">
        <f t="shared" si="200"/>
        <v>0</v>
      </c>
      <c r="DM467" s="536"/>
      <c r="DN467" s="536"/>
      <c r="DO467" s="536"/>
      <c r="DP467" s="541">
        <f>IF( SUM((DJ467*(20/100))+(DK467*(30/100))+(DL467*(50/100))) &gt;=9.3,9.5,
IF(AND( SUM((DJ467*(20/100))+(DK467*(30/100))+(DL467*(50/100))) &lt;=9.3, SUM((DJ467*(20/100))+(DK467*(30/100))+(DL467*(50/100))) &gt;=8.8),9,
IF(AND( SUM((DJ467*(20/100))+(DK467*(30/100))+(DL467*(50/100))) &lt;=8.8, SUM((DJ467*(20/100))+(DK467*(30/100))+(DL467*(50/100))) &gt;=8.3),8.5,
IF(AND( SUM((DJ467*(20/100))+(DK467*(30/100))+(DL467*(50/100))) &lt;=8.3, SUM((DJ467*(20/100))+(DK467*(30/100))+(DL467*(50/100))) &gt;=7.8),8,
IF(AND( SUM((DJ467*(20/100))+(DK467*(30/100))+(DL467*(50/100))) &lt;=7.8, SUM((DJ467*(20/100))+(DK467*(30/100))+(DL467*(50/100))) &gt;=7.3),7.5,
IF(AND( SUM((DJ467*(20/100))+(DK467*(30/100))+(DL467*(50/100))) &lt;=7.3, SUM((DJ467*(20/100))+(DK467*(30/100))+(DL467*(50/100))) &gt;=6.8),7,
IF(AND( SUM((DJ467*(20/100))+(DK467*(30/100))+(DL467*(50/100))) &lt;=6.8, SUM((DJ467*(20/100))+(DK467*(30/100))+(DL467*(50/100))) &gt;=6.3),6.5,
IF(AND( SUM((DJ467*(20/100))+(DK467*(30/100))+(DL467*(50/100))) &lt;=6.3, SUM((DJ467*(20/100))+(DK467*(30/100))+(DL467*(50/100))) &gt;=5.8),6,
IF(AND( SUM((DJ467*(20/100))+(DK467*(30/100))+(DL467*(50/100))) &lt;=5.8, SUM((DJ467*(20/100))+(DK467*(30/100))+(DL467*(50/100))) &gt;=5.3),5.5,
IF(AND( SUM((DJ467*(20/100))+(DK467*(30/100))+(DL467*(50/100))) &lt;=5.3, SUM((DJ467*(20/100))+(DK467*(30/100))+(DL467*(50/100))) &gt;=4.8),5,
IF(AND( SUM((DJ467*(20/100))+(DK467*(30/100))+(DL467*(50/100))) &lt;=4.8, SUM((DJ467*(20/100))+(DK467*(30/100))+(DL467*(50/100))) &gt;=4.3),4.5,
IF(AND( SUM((DJ467*(20/100))+(DK467*(30/100))+(DL467*(50/100))) &lt;=4.3, SUM((DJ467*(20/100))+(DK467*(30/100))+(DL467*(50/100))) &gt;=3.8),4,
IF(AND( SUM((DJ467*(20/100))+(DK467*(30/100))+(DL467*(50/100))) &lt;=3.8, SUM((DJ467*(20/100))+(DK467*(30/100))+(DL467*(50/100))) &gt;=3.5),3.5,0)))))))))))))</f>
        <v>0</v>
      </c>
      <c r="DQ467" s="541"/>
      <c r="DR467" s="541"/>
      <c r="DS467" s="541"/>
      <c r="DT467" s="541"/>
      <c r="DU467" s="541"/>
      <c r="DV467" s="541"/>
      <c r="DW467" s="541"/>
      <c r="DX467" s="541"/>
      <c r="DY467" s="541"/>
      <c r="DZ467" s="541"/>
    </row>
    <row r="468" spans="2:130" x14ac:dyDescent="0.25">
      <c r="B468" s="334">
        <v>11</v>
      </c>
      <c r="C468" s="541"/>
      <c r="D468" s="334"/>
      <c r="E468" s="334"/>
      <c r="F468" s="334"/>
      <c r="G468" s="334"/>
      <c r="H468" s="334"/>
      <c r="I468" s="334"/>
      <c r="J468" s="536"/>
      <c r="K468" s="536"/>
      <c r="L468" s="536"/>
      <c r="M468" s="536"/>
      <c r="N468" s="536"/>
      <c r="O468" s="536"/>
      <c r="P468" s="536">
        <f t="shared" si="176"/>
        <v>0</v>
      </c>
      <c r="Q468" s="536"/>
      <c r="R468" s="536"/>
      <c r="S468" s="536"/>
      <c r="T468" s="536">
        <f t="shared" si="177"/>
        <v>0</v>
      </c>
      <c r="U468" s="536"/>
      <c r="V468" s="536"/>
      <c r="W468" s="536"/>
      <c r="X468" s="536">
        <f t="shared" si="178"/>
        <v>0</v>
      </c>
      <c r="Y468" s="536"/>
      <c r="Z468" s="536"/>
      <c r="AA468" s="536"/>
      <c r="AB468" s="536">
        <f t="shared" si="179"/>
        <v>0</v>
      </c>
      <c r="AC468" s="536"/>
      <c r="AD468" s="536"/>
      <c r="AE468" s="536"/>
      <c r="AF468" s="536">
        <f t="shared" si="180"/>
        <v>0</v>
      </c>
      <c r="AG468" s="536"/>
      <c r="AH468" s="536"/>
      <c r="AI468" s="536"/>
      <c r="AJ468" s="536">
        <f t="shared" si="181"/>
        <v>0</v>
      </c>
      <c r="AK468" s="536"/>
      <c r="AL468" s="536"/>
      <c r="AM468" s="536"/>
      <c r="AN468" s="542">
        <f t="shared" si="182"/>
        <v>0</v>
      </c>
      <c r="AO468" s="536"/>
      <c r="AP468" s="536"/>
      <c r="AQ468" s="536"/>
      <c r="AR468" s="542">
        <f t="shared" si="183"/>
        <v>0</v>
      </c>
      <c r="AS468" s="536"/>
      <c r="AT468" s="536"/>
      <c r="AU468" s="536"/>
      <c r="AV468" s="542">
        <f t="shared" si="184"/>
        <v>0</v>
      </c>
      <c r="AW468" s="536"/>
      <c r="AX468" s="536"/>
      <c r="AY468" s="536"/>
      <c r="AZ468" s="542">
        <f t="shared" si="185"/>
        <v>0</v>
      </c>
      <c r="BA468" s="536"/>
      <c r="BB468" s="536"/>
      <c r="BC468" s="536"/>
      <c r="BD468" s="542">
        <f t="shared" si="186"/>
        <v>0</v>
      </c>
      <c r="BE468" s="536"/>
      <c r="BF468" s="536"/>
      <c r="BG468" s="536"/>
      <c r="BH468" s="542">
        <f t="shared" si="187"/>
        <v>0</v>
      </c>
      <c r="BI468" s="536"/>
      <c r="BJ468" s="536"/>
      <c r="BK468" s="536"/>
      <c r="BL468" s="542">
        <f t="shared" si="188"/>
        <v>0</v>
      </c>
      <c r="BM468" s="536"/>
      <c r="BN468" s="536"/>
      <c r="BO468" s="536"/>
      <c r="BP468" s="542">
        <f t="shared" si="189"/>
        <v>0</v>
      </c>
      <c r="BQ468" s="536"/>
      <c r="BR468" s="536"/>
      <c r="BS468" s="536"/>
      <c r="BT468" s="542">
        <f t="shared" si="190"/>
        <v>0</v>
      </c>
      <c r="BU468" s="536"/>
      <c r="BV468" s="536"/>
      <c r="BW468" s="536"/>
      <c r="BX468" s="542">
        <f t="shared" si="191"/>
        <v>0</v>
      </c>
      <c r="BY468" s="536"/>
      <c r="BZ468" s="536"/>
      <c r="CA468" s="536"/>
      <c r="CB468" s="542">
        <v>0</v>
      </c>
      <c r="CC468" s="536"/>
      <c r="CD468" s="536"/>
      <c r="CE468" s="536"/>
      <c r="CF468" s="541">
        <f t="shared" si="192"/>
        <v>0</v>
      </c>
      <c r="CG468" s="536"/>
      <c r="CH468" s="536"/>
      <c r="CI468" s="536"/>
      <c r="CJ468" s="541">
        <f t="shared" si="193"/>
        <v>0</v>
      </c>
      <c r="CK468" s="536"/>
      <c r="CL468" s="536"/>
      <c r="CM468" s="536"/>
      <c r="CN468" s="541">
        <f t="shared" si="194"/>
        <v>0</v>
      </c>
      <c r="CO468" s="536"/>
      <c r="CP468" s="536"/>
      <c r="CQ468" s="536"/>
      <c r="CR468" s="541">
        <f t="shared" si="195"/>
        <v>0</v>
      </c>
      <c r="CS468" s="536"/>
      <c r="CT468" s="536"/>
      <c r="CU468" s="536"/>
      <c r="CV468" s="541">
        <f t="shared" si="196"/>
        <v>0</v>
      </c>
      <c r="CW468" s="536"/>
      <c r="CX468" s="536"/>
      <c r="CY468" s="536"/>
      <c r="CZ468" s="541">
        <f t="shared" si="197"/>
        <v>0</v>
      </c>
      <c r="DA468" s="536"/>
      <c r="DB468" s="536"/>
      <c r="DC468" s="536"/>
      <c r="DD468" s="541">
        <f t="shared" si="198"/>
        <v>0</v>
      </c>
      <c r="DE468" s="536"/>
      <c r="DF468" s="536"/>
      <c r="DG468" s="536"/>
      <c r="DH468" s="541">
        <f t="shared" si="199"/>
        <v>0</v>
      </c>
      <c r="DI468" s="536"/>
      <c r="DJ468" s="536"/>
      <c r="DK468" s="536"/>
      <c r="DL468" s="541">
        <f t="shared" si="200"/>
        <v>0</v>
      </c>
      <c r="DM468" s="536"/>
      <c r="DN468" s="536"/>
      <c r="DO468" s="536"/>
      <c r="DP468" s="541">
        <f>IF( SUM((DJ468*(20/100))+(DK468*(30/100))+(DL468*(50/100))) &gt;=9.3,9.5,
IF(AND( SUM((DJ468*(20/100))+(DK468*(30/100))+(DL468*(50/100))) &lt;=9.3, SUM((DJ468*(20/100))+(DK468*(30/100))+(DL468*(50/100))) &gt;=8.8),9,
IF(AND( SUM((DJ468*(20/100))+(DK468*(30/100))+(DL468*(50/100))) &lt;=8.8, SUM((DJ468*(20/100))+(DK468*(30/100))+(DL468*(50/100))) &gt;=8.3),8.5,
IF(AND( SUM((DJ468*(20/100))+(DK468*(30/100))+(DL468*(50/100))) &lt;=8.3, SUM((DJ468*(20/100))+(DK468*(30/100))+(DL468*(50/100))) &gt;=7.8),8,
IF(AND( SUM((DJ468*(20/100))+(DK468*(30/100))+(DL468*(50/100))) &lt;=7.8, SUM((DJ468*(20/100))+(DK468*(30/100))+(DL468*(50/100))) &gt;=7.3),7.5,
IF(AND( SUM((DJ468*(20/100))+(DK468*(30/100))+(DL468*(50/100))) &lt;=7.3, SUM((DJ468*(20/100))+(DK468*(30/100))+(DL468*(50/100))) &gt;=6.8),7,
IF(AND( SUM((DJ468*(20/100))+(DK468*(30/100))+(DL468*(50/100))) &lt;=6.8, SUM((DJ468*(20/100))+(DK468*(30/100))+(DL468*(50/100))) &gt;=6.3),6.5,
IF(AND( SUM((DJ468*(20/100))+(DK468*(30/100))+(DL468*(50/100))) &lt;=6.3, SUM((DJ468*(20/100))+(DK468*(30/100))+(DL468*(50/100))) &gt;=5.8),6,
IF(AND( SUM((DJ468*(20/100))+(DK468*(30/100))+(DL468*(50/100))) &lt;=5.8, SUM((DJ468*(20/100))+(DK468*(30/100))+(DL468*(50/100))) &gt;=5.3),5.5,
IF(AND( SUM((DJ468*(20/100))+(DK468*(30/100))+(DL468*(50/100))) &lt;=5.3, SUM((DJ468*(20/100))+(DK468*(30/100))+(DL468*(50/100))) &gt;=4.8),5,
IF(AND( SUM((DJ468*(20/100))+(DK468*(30/100))+(DL468*(50/100))) &lt;=4.8, SUM((DJ468*(20/100))+(DK468*(30/100))+(DL468*(50/100))) &gt;=4.3),4.5,
IF(AND( SUM((DJ468*(20/100))+(DK468*(30/100))+(DL468*(50/100))) &lt;=4.3, SUM((DJ468*(20/100))+(DK468*(30/100))+(DL468*(50/100))) &gt;=3.8),4,
IF(AND( SUM((DJ468*(20/100))+(DK468*(30/100))+(DL468*(50/100))) &lt;=3.8, SUM((DJ468*(20/100))+(DK468*(30/100))+(DL468*(50/100))) &gt;=3.5),3.5,0)))))))))))))</f>
        <v>0</v>
      </c>
      <c r="DQ468" s="541"/>
      <c r="DR468" s="541"/>
      <c r="DS468" s="541"/>
      <c r="DT468" s="541"/>
      <c r="DU468" s="541"/>
      <c r="DV468" s="541"/>
      <c r="DW468" s="541"/>
      <c r="DX468" s="541"/>
      <c r="DY468" s="541"/>
      <c r="DZ468" s="541"/>
    </row>
    <row r="469" spans="2:130" x14ac:dyDescent="0.25">
      <c r="B469" s="334">
        <v>12</v>
      </c>
      <c r="C469" s="541"/>
      <c r="D469" s="334"/>
      <c r="E469" s="334"/>
      <c r="F469" s="334"/>
      <c r="G469" s="334"/>
      <c r="H469" s="334"/>
      <c r="I469" s="334"/>
      <c r="J469" s="536"/>
      <c r="K469" s="536"/>
      <c r="L469" s="536"/>
      <c r="M469" s="536"/>
      <c r="N469" s="536"/>
      <c r="O469" s="536"/>
      <c r="P469" s="536">
        <f t="shared" si="176"/>
        <v>0</v>
      </c>
      <c r="Q469" s="536"/>
      <c r="R469" s="536"/>
      <c r="S469" s="536"/>
      <c r="T469" s="536">
        <f t="shared" si="177"/>
        <v>0</v>
      </c>
      <c r="U469" s="536"/>
      <c r="V469" s="536"/>
      <c r="W469" s="536"/>
      <c r="X469" s="536">
        <f t="shared" si="178"/>
        <v>0</v>
      </c>
      <c r="Y469" s="536"/>
      <c r="Z469" s="536"/>
      <c r="AA469" s="536"/>
      <c r="AB469" s="536">
        <f t="shared" si="179"/>
        <v>0</v>
      </c>
      <c r="AC469" s="536"/>
      <c r="AD469" s="536"/>
      <c r="AE469" s="536"/>
      <c r="AF469" s="536">
        <f t="shared" si="180"/>
        <v>0</v>
      </c>
      <c r="AG469" s="536"/>
      <c r="AH469" s="536"/>
      <c r="AI469" s="536"/>
      <c r="AJ469" s="536">
        <f t="shared" si="181"/>
        <v>0</v>
      </c>
      <c r="AK469" s="536"/>
      <c r="AL469" s="536"/>
      <c r="AM469" s="536"/>
      <c r="AN469" s="542">
        <f t="shared" si="182"/>
        <v>0</v>
      </c>
      <c r="AO469" s="536"/>
      <c r="AP469" s="536"/>
      <c r="AQ469" s="536"/>
      <c r="AR469" s="542">
        <f t="shared" si="183"/>
        <v>0</v>
      </c>
      <c r="AS469" s="536"/>
      <c r="AT469" s="536"/>
      <c r="AU469" s="536"/>
      <c r="AV469" s="542">
        <f t="shared" si="184"/>
        <v>0</v>
      </c>
      <c r="AW469" s="536"/>
      <c r="AX469" s="536"/>
      <c r="AY469" s="536"/>
      <c r="AZ469" s="542">
        <f t="shared" si="185"/>
        <v>0</v>
      </c>
      <c r="BA469" s="536"/>
      <c r="BB469" s="536"/>
      <c r="BC469" s="536"/>
      <c r="BD469" s="542">
        <f t="shared" si="186"/>
        <v>0</v>
      </c>
      <c r="BE469" s="536"/>
      <c r="BF469" s="536"/>
      <c r="BG469" s="536"/>
      <c r="BH469" s="542">
        <f t="shared" si="187"/>
        <v>0</v>
      </c>
      <c r="BI469" s="536"/>
      <c r="BJ469" s="536"/>
      <c r="BK469" s="536"/>
      <c r="BL469" s="542">
        <f t="shared" si="188"/>
        <v>0</v>
      </c>
      <c r="BM469" s="536"/>
      <c r="BN469" s="536"/>
      <c r="BO469" s="536"/>
      <c r="BP469" s="542">
        <f t="shared" si="189"/>
        <v>0</v>
      </c>
      <c r="BQ469" s="536"/>
      <c r="BR469" s="536"/>
      <c r="BS469" s="536"/>
      <c r="BT469" s="542">
        <f t="shared" si="190"/>
        <v>0</v>
      </c>
      <c r="BU469" s="536"/>
      <c r="BV469" s="536"/>
      <c r="BW469" s="536"/>
      <c r="BX469" s="542">
        <f t="shared" si="191"/>
        <v>0</v>
      </c>
      <c r="BY469" s="536"/>
      <c r="BZ469" s="536"/>
      <c r="CA469" s="536"/>
      <c r="CB469" s="542">
        <v>0</v>
      </c>
      <c r="CC469" s="536"/>
      <c r="CD469" s="536"/>
      <c r="CE469" s="536"/>
      <c r="CF469" s="541">
        <f t="shared" si="192"/>
        <v>0</v>
      </c>
      <c r="CG469" s="536"/>
      <c r="CH469" s="536"/>
      <c r="CI469" s="536"/>
      <c r="CJ469" s="541">
        <f t="shared" si="193"/>
        <v>0</v>
      </c>
      <c r="CK469" s="536"/>
      <c r="CL469" s="536"/>
      <c r="CM469" s="536"/>
      <c r="CN469" s="541">
        <f t="shared" si="194"/>
        <v>0</v>
      </c>
      <c r="CO469" s="536"/>
      <c r="CP469" s="536"/>
      <c r="CQ469" s="536"/>
      <c r="CR469" s="541">
        <f t="shared" si="195"/>
        <v>0</v>
      </c>
      <c r="CS469" s="536"/>
      <c r="CT469" s="536"/>
      <c r="CU469" s="536"/>
      <c r="CV469" s="541">
        <f t="shared" si="196"/>
        <v>0</v>
      </c>
      <c r="CW469" s="536"/>
      <c r="CX469" s="536"/>
      <c r="CY469" s="536"/>
      <c r="CZ469" s="541">
        <f t="shared" si="197"/>
        <v>0</v>
      </c>
      <c r="DA469" s="536"/>
      <c r="DB469" s="536"/>
      <c r="DC469" s="536"/>
      <c r="DD469" s="541">
        <f t="shared" si="198"/>
        <v>0</v>
      </c>
      <c r="DE469" s="536"/>
      <c r="DF469" s="536"/>
      <c r="DG469" s="536"/>
      <c r="DH469" s="541">
        <f t="shared" si="199"/>
        <v>0</v>
      </c>
      <c r="DI469" s="536"/>
      <c r="DJ469" s="536"/>
      <c r="DK469" s="536"/>
      <c r="DL469" s="541">
        <f t="shared" si="200"/>
        <v>0</v>
      </c>
      <c r="DM469" s="536"/>
      <c r="DN469" s="536"/>
      <c r="DO469" s="536"/>
      <c r="DP469" s="541">
        <f>IF( SUM((DJ469*(20/100))+(DK469*(30/100))+(DL469*(50/100))) &gt;=9.3,9.5,
IF(AND( SUM((DJ469*(20/100))+(DK469*(30/100))+(DL469*(50/100))) &lt;=9.3, SUM((DJ469*(20/100))+(DK469*(30/100))+(DL469*(50/100))) &gt;=8.8),9,
IF(AND( SUM((DJ469*(20/100))+(DK469*(30/100))+(DL469*(50/100))) &lt;=8.8, SUM((DJ469*(20/100))+(DK469*(30/100))+(DL469*(50/100))) &gt;=8.3),8.5,
IF(AND( SUM((DJ469*(20/100))+(DK469*(30/100))+(DL469*(50/100))) &lt;=8.3, SUM((DJ469*(20/100))+(DK469*(30/100))+(DL469*(50/100))) &gt;=7.8),8,
IF(AND( SUM((DJ469*(20/100))+(DK469*(30/100))+(DL469*(50/100))) &lt;=7.8, SUM((DJ469*(20/100))+(DK469*(30/100))+(DL469*(50/100))) &gt;=7.3),7.5,
IF(AND( SUM((DJ469*(20/100))+(DK469*(30/100))+(DL469*(50/100))) &lt;=7.3, SUM((DJ469*(20/100))+(DK469*(30/100))+(DL469*(50/100))) &gt;=6.8),7,
IF(AND( SUM((DJ469*(20/100))+(DK469*(30/100))+(DL469*(50/100))) &lt;=6.8, SUM((DJ469*(20/100))+(DK469*(30/100))+(DL469*(50/100))) &gt;=6.3),6.5,
IF(AND( SUM((DJ469*(20/100))+(DK469*(30/100))+(DL469*(50/100))) &lt;=6.3, SUM((DJ469*(20/100))+(DK469*(30/100))+(DL469*(50/100))) &gt;=5.8),6,
IF(AND( SUM((DJ469*(20/100))+(DK469*(30/100))+(DL469*(50/100))) &lt;=5.8, SUM((DJ469*(20/100))+(DK469*(30/100))+(DL469*(50/100))) &gt;=5.3),5.5,
IF(AND( SUM((DJ469*(20/100))+(DK469*(30/100))+(DL469*(50/100))) &lt;=5.3, SUM((DJ469*(20/100))+(DK469*(30/100))+(DL469*(50/100))) &gt;=4.8),5,
IF(AND( SUM((DJ469*(20/100))+(DK469*(30/100))+(DL469*(50/100))) &lt;=4.8, SUM((DJ469*(20/100))+(DK469*(30/100))+(DL469*(50/100))) &gt;=4.3),4.5,
IF(AND( SUM((DJ469*(20/100))+(DK469*(30/100))+(DL469*(50/100))) &lt;=4.3, SUM((DJ469*(20/100))+(DK469*(30/100))+(DL469*(50/100))) &gt;=3.8),4,
IF(AND( SUM((DJ469*(20/100))+(DK469*(30/100))+(DL469*(50/100))) &lt;=3.8, SUM((DJ469*(20/100))+(DK469*(30/100))+(DL469*(50/100))) &gt;=3.5),3.5,0)))))))))))))</f>
        <v>0</v>
      </c>
      <c r="DQ469" s="541"/>
      <c r="DR469" s="541"/>
      <c r="DS469" s="541"/>
      <c r="DT469" s="541"/>
      <c r="DU469" s="541"/>
      <c r="DV469" s="541"/>
      <c r="DW469" s="541"/>
      <c r="DX469" s="541"/>
      <c r="DY469" s="541"/>
      <c r="DZ469" s="541"/>
    </row>
    <row r="470" spans="2:130" x14ac:dyDescent="0.25">
      <c r="B470" s="334">
        <v>13</v>
      </c>
      <c r="C470" s="541"/>
      <c r="D470" s="334"/>
      <c r="E470" s="334"/>
      <c r="F470" s="334"/>
      <c r="G470" s="334"/>
      <c r="H470" s="334"/>
      <c r="I470" s="334"/>
      <c r="J470" s="536"/>
      <c r="K470" s="536"/>
      <c r="L470" s="536"/>
      <c r="M470" s="536"/>
      <c r="N470" s="536"/>
      <c r="O470" s="536"/>
      <c r="P470" s="536">
        <f t="shared" si="176"/>
        <v>0</v>
      </c>
      <c r="Q470" s="536"/>
      <c r="R470" s="536"/>
      <c r="S470" s="536"/>
      <c r="T470" s="536">
        <f t="shared" si="177"/>
        <v>0</v>
      </c>
      <c r="U470" s="536"/>
      <c r="V470" s="536"/>
      <c r="W470" s="536"/>
      <c r="X470" s="536">
        <f t="shared" si="178"/>
        <v>0</v>
      </c>
      <c r="Y470" s="536"/>
      <c r="Z470" s="536"/>
      <c r="AA470" s="536"/>
      <c r="AB470" s="536">
        <f t="shared" si="179"/>
        <v>0</v>
      </c>
      <c r="AC470" s="536"/>
      <c r="AD470" s="536"/>
      <c r="AE470" s="536"/>
      <c r="AF470" s="536">
        <f t="shared" si="180"/>
        <v>0</v>
      </c>
      <c r="AG470" s="536"/>
      <c r="AH470" s="536"/>
      <c r="AI470" s="536"/>
      <c r="AJ470" s="536">
        <f t="shared" si="181"/>
        <v>0</v>
      </c>
      <c r="AK470" s="536"/>
      <c r="AL470" s="536"/>
      <c r="AM470" s="536"/>
      <c r="AN470" s="542">
        <f t="shared" si="182"/>
        <v>0</v>
      </c>
      <c r="AO470" s="536"/>
      <c r="AP470" s="536"/>
      <c r="AQ470" s="536"/>
      <c r="AR470" s="542">
        <f t="shared" si="183"/>
        <v>0</v>
      </c>
      <c r="AS470" s="536"/>
      <c r="AT470" s="536"/>
      <c r="AU470" s="536"/>
      <c r="AV470" s="542">
        <f t="shared" si="184"/>
        <v>0</v>
      </c>
      <c r="AW470" s="536"/>
      <c r="AX470" s="536"/>
      <c r="AY470" s="536"/>
      <c r="AZ470" s="542">
        <f t="shared" si="185"/>
        <v>0</v>
      </c>
      <c r="BA470" s="536"/>
      <c r="BB470" s="536"/>
      <c r="BC470" s="536"/>
      <c r="BD470" s="542">
        <f t="shared" si="186"/>
        <v>0</v>
      </c>
      <c r="BE470" s="536"/>
      <c r="BF470" s="536"/>
      <c r="BG470" s="536"/>
      <c r="BH470" s="542">
        <f t="shared" si="187"/>
        <v>0</v>
      </c>
      <c r="BI470" s="536"/>
      <c r="BJ470" s="536"/>
      <c r="BK470" s="536"/>
      <c r="BL470" s="542">
        <f t="shared" si="188"/>
        <v>0</v>
      </c>
      <c r="BM470" s="536"/>
      <c r="BN470" s="536"/>
      <c r="BO470" s="536"/>
      <c r="BP470" s="542">
        <f t="shared" si="189"/>
        <v>0</v>
      </c>
      <c r="BQ470" s="536"/>
      <c r="BR470" s="536"/>
      <c r="BS470" s="536"/>
      <c r="BT470" s="542">
        <f t="shared" si="190"/>
        <v>0</v>
      </c>
      <c r="BU470" s="536"/>
      <c r="BV470" s="536"/>
      <c r="BW470" s="536"/>
      <c r="BX470" s="542">
        <f t="shared" si="191"/>
        <v>0</v>
      </c>
      <c r="BY470" s="536"/>
      <c r="BZ470" s="536"/>
      <c r="CA470" s="536"/>
      <c r="CB470" s="542">
        <v>0</v>
      </c>
      <c r="CC470" s="536"/>
      <c r="CD470" s="536"/>
      <c r="CE470" s="536"/>
      <c r="CF470" s="541">
        <f t="shared" si="192"/>
        <v>0</v>
      </c>
      <c r="CG470" s="536"/>
      <c r="CH470" s="536"/>
      <c r="CI470" s="536"/>
      <c r="CJ470" s="541">
        <f t="shared" si="193"/>
        <v>0</v>
      </c>
      <c r="CK470" s="536"/>
      <c r="CL470" s="536"/>
      <c r="CM470" s="536"/>
      <c r="CN470" s="541">
        <f t="shared" si="194"/>
        <v>0</v>
      </c>
      <c r="CO470" s="536"/>
      <c r="CP470" s="536"/>
      <c r="CQ470" s="536"/>
      <c r="CR470" s="541">
        <f t="shared" si="195"/>
        <v>0</v>
      </c>
      <c r="CS470" s="536"/>
      <c r="CT470" s="536"/>
      <c r="CU470" s="536"/>
      <c r="CV470" s="541">
        <f t="shared" si="196"/>
        <v>0</v>
      </c>
      <c r="CW470" s="536"/>
      <c r="CX470" s="536"/>
      <c r="CY470" s="536"/>
      <c r="CZ470" s="541">
        <f t="shared" si="197"/>
        <v>0</v>
      </c>
      <c r="DA470" s="536"/>
      <c r="DB470" s="536"/>
      <c r="DC470" s="536"/>
      <c r="DD470" s="541">
        <f t="shared" si="198"/>
        <v>0</v>
      </c>
      <c r="DE470" s="536"/>
      <c r="DF470" s="536"/>
      <c r="DG470" s="536"/>
      <c r="DH470" s="541">
        <f t="shared" si="199"/>
        <v>0</v>
      </c>
      <c r="DI470" s="536"/>
      <c r="DJ470" s="536"/>
      <c r="DK470" s="536"/>
      <c r="DL470" s="541">
        <f t="shared" si="200"/>
        <v>0</v>
      </c>
      <c r="DM470" s="536"/>
      <c r="DN470" s="536"/>
      <c r="DO470" s="536"/>
      <c r="DP470" s="541">
        <f>IF( SUM((DJ470*(20/100))+(DK470*(30/100))+(DL470*(50/100))) &gt;=9.3,9.5,
IF(AND( SUM((DJ470*(20/100))+(DK470*(30/100))+(DL470*(50/100))) &lt;=9.3, SUM((DJ470*(20/100))+(DK470*(30/100))+(DL470*(50/100))) &gt;=8.8),9,
IF(AND( SUM((DJ470*(20/100))+(DK470*(30/100))+(DL470*(50/100))) &lt;=8.8, SUM((DJ470*(20/100))+(DK470*(30/100))+(DL470*(50/100))) &gt;=8.3),8.5,
IF(AND( SUM((DJ470*(20/100))+(DK470*(30/100))+(DL470*(50/100))) &lt;=8.3, SUM((DJ470*(20/100))+(DK470*(30/100))+(DL470*(50/100))) &gt;=7.8),8,
IF(AND( SUM((DJ470*(20/100))+(DK470*(30/100))+(DL470*(50/100))) &lt;=7.8, SUM((DJ470*(20/100))+(DK470*(30/100))+(DL470*(50/100))) &gt;=7.3),7.5,
IF(AND( SUM((DJ470*(20/100))+(DK470*(30/100))+(DL470*(50/100))) &lt;=7.3, SUM((DJ470*(20/100))+(DK470*(30/100))+(DL470*(50/100))) &gt;=6.8),7,
IF(AND( SUM((DJ470*(20/100))+(DK470*(30/100))+(DL470*(50/100))) &lt;=6.8, SUM((DJ470*(20/100))+(DK470*(30/100))+(DL470*(50/100))) &gt;=6.3),6.5,
IF(AND( SUM((DJ470*(20/100))+(DK470*(30/100))+(DL470*(50/100))) &lt;=6.3, SUM((DJ470*(20/100))+(DK470*(30/100))+(DL470*(50/100))) &gt;=5.8),6,
IF(AND( SUM((DJ470*(20/100))+(DK470*(30/100))+(DL470*(50/100))) &lt;=5.8, SUM((DJ470*(20/100))+(DK470*(30/100))+(DL470*(50/100))) &gt;=5.3),5.5,
IF(AND( SUM((DJ470*(20/100))+(DK470*(30/100))+(DL470*(50/100))) &lt;=5.3, SUM((DJ470*(20/100))+(DK470*(30/100))+(DL470*(50/100))) &gt;=4.8),5,
IF(AND( SUM((DJ470*(20/100))+(DK470*(30/100))+(DL470*(50/100))) &lt;=4.8, SUM((DJ470*(20/100))+(DK470*(30/100))+(DL470*(50/100))) &gt;=4.3),4.5,
IF(AND( SUM((DJ470*(20/100))+(DK470*(30/100))+(DL470*(50/100))) &lt;=4.3, SUM((DJ470*(20/100))+(DK470*(30/100))+(DL470*(50/100))) &gt;=3.8),4,
IF(AND( SUM((DJ470*(20/100))+(DK470*(30/100))+(DL470*(50/100))) &lt;=3.8, SUM((DJ470*(20/100))+(DK470*(30/100))+(DL470*(50/100))) &gt;=3.5),3.5,0)))))))))))))</f>
        <v>0</v>
      </c>
      <c r="DQ470" s="541"/>
      <c r="DR470" s="541"/>
      <c r="DS470" s="541"/>
      <c r="DT470" s="541"/>
      <c r="DU470" s="541"/>
      <c r="DV470" s="541"/>
      <c r="DW470" s="541"/>
      <c r="DX470" s="541"/>
      <c r="DY470" s="541"/>
      <c r="DZ470" s="541"/>
    </row>
    <row r="471" spans="2:130" x14ac:dyDescent="0.25">
      <c r="B471" s="334">
        <v>14</v>
      </c>
      <c r="C471" s="541"/>
      <c r="D471" s="334"/>
      <c r="E471" s="334"/>
      <c r="F471" s="334"/>
      <c r="G471" s="334"/>
      <c r="H471" s="334"/>
      <c r="I471" s="334"/>
      <c r="J471" s="536"/>
      <c r="K471" s="536"/>
      <c r="L471" s="536"/>
      <c r="M471" s="536"/>
      <c r="N471" s="536"/>
      <c r="O471" s="536"/>
      <c r="P471" s="536">
        <f t="shared" si="176"/>
        <v>0</v>
      </c>
      <c r="Q471" s="536"/>
      <c r="R471" s="536"/>
      <c r="S471" s="536"/>
      <c r="T471" s="536">
        <f t="shared" si="177"/>
        <v>0</v>
      </c>
      <c r="U471" s="536"/>
      <c r="V471" s="536"/>
      <c r="W471" s="536"/>
      <c r="X471" s="536">
        <f t="shared" si="178"/>
        <v>0</v>
      </c>
      <c r="Y471" s="536"/>
      <c r="Z471" s="536"/>
      <c r="AA471" s="536"/>
      <c r="AB471" s="536">
        <f t="shared" si="179"/>
        <v>0</v>
      </c>
      <c r="AC471" s="536"/>
      <c r="AD471" s="536"/>
      <c r="AE471" s="536"/>
      <c r="AF471" s="536">
        <f t="shared" si="180"/>
        <v>0</v>
      </c>
      <c r="AG471" s="536"/>
      <c r="AH471" s="536"/>
      <c r="AI471" s="536"/>
      <c r="AJ471" s="536">
        <f t="shared" si="181"/>
        <v>0</v>
      </c>
      <c r="AK471" s="536"/>
      <c r="AL471" s="536"/>
      <c r="AM471" s="536"/>
      <c r="AN471" s="542">
        <f t="shared" si="182"/>
        <v>0</v>
      </c>
      <c r="AO471" s="536"/>
      <c r="AP471" s="536"/>
      <c r="AQ471" s="536"/>
      <c r="AR471" s="542">
        <f t="shared" si="183"/>
        <v>0</v>
      </c>
      <c r="AS471" s="536"/>
      <c r="AT471" s="536"/>
      <c r="AU471" s="536"/>
      <c r="AV471" s="542">
        <f t="shared" si="184"/>
        <v>0</v>
      </c>
      <c r="AW471" s="536"/>
      <c r="AX471" s="536"/>
      <c r="AY471" s="536"/>
      <c r="AZ471" s="542">
        <f t="shared" si="185"/>
        <v>0</v>
      </c>
      <c r="BA471" s="536"/>
      <c r="BB471" s="536"/>
      <c r="BC471" s="536"/>
      <c r="BD471" s="542">
        <f t="shared" si="186"/>
        <v>0</v>
      </c>
      <c r="BE471" s="536"/>
      <c r="BF471" s="536"/>
      <c r="BG471" s="536"/>
      <c r="BH471" s="542">
        <f t="shared" si="187"/>
        <v>0</v>
      </c>
      <c r="BI471" s="536"/>
      <c r="BJ471" s="536"/>
      <c r="BK471" s="536"/>
      <c r="BL471" s="542">
        <f t="shared" si="188"/>
        <v>0</v>
      </c>
      <c r="BM471" s="536"/>
      <c r="BN471" s="536"/>
      <c r="BO471" s="536"/>
      <c r="BP471" s="542">
        <f t="shared" si="189"/>
        <v>0</v>
      </c>
      <c r="BQ471" s="536"/>
      <c r="BR471" s="536"/>
      <c r="BS471" s="536"/>
      <c r="BT471" s="542">
        <f t="shared" si="190"/>
        <v>0</v>
      </c>
      <c r="BU471" s="536"/>
      <c r="BV471" s="536"/>
      <c r="BW471" s="536"/>
      <c r="BX471" s="542">
        <f t="shared" si="191"/>
        <v>0</v>
      </c>
      <c r="BY471" s="536"/>
      <c r="BZ471" s="536"/>
      <c r="CA471" s="536"/>
      <c r="CB471" s="542">
        <v>0</v>
      </c>
      <c r="CC471" s="536"/>
      <c r="CD471" s="536"/>
      <c r="CE471" s="536"/>
      <c r="CF471" s="541">
        <f t="shared" si="192"/>
        <v>0</v>
      </c>
      <c r="CG471" s="536"/>
      <c r="CH471" s="536"/>
      <c r="CI471" s="536"/>
      <c r="CJ471" s="541">
        <f t="shared" si="193"/>
        <v>0</v>
      </c>
      <c r="CK471" s="536"/>
      <c r="CL471" s="536"/>
      <c r="CM471" s="536"/>
      <c r="CN471" s="541">
        <f t="shared" si="194"/>
        <v>0</v>
      </c>
      <c r="CO471" s="536"/>
      <c r="CP471" s="536"/>
      <c r="CQ471" s="536"/>
      <c r="CR471" s="541">
        <f t="shared" si="195"/>
        <v>0</v>
      </c>
      <c r="CS471" s="536"/>
      <c r="CT471" s="536"/>
      <c r="CU471" s="536"/>
      <c r="CV471" s="541">
        <f t="shared" si="196"/>
        <v>0</v>
      </c>
      <c r="CW471" s="536"/>
      <c r="CX471" s="536"/>
      <c r="CY471" s="536"/>
      <c r="CZ471" s="541">
        <f t="shared" si="197"/>
        <v>0</v>
      </c>
      <c r="DA471" s="536"/>
      <c r="DB471" s="536"/>
      <c r="DC471" s="536"/>
      <c r="DD471" s="541">
        <f t="shared" si="198"/>
        <v>0</v>
      </c>
      <c r="DE471" s="536"/>
      <c r="DF471" s="536"/>
      <c r="DG471" s="536"/>
      <c r="DH471" s="541">
        <f t="shared" si="199"/>
        <v>0</v>
      </c>
      <c r="DI471" s="536"/>
      <c r="DJ471" s="536"/>
      <c r="DK471" s="536"/>
      <c r="DL471" s="541">
        <f t="shared" si="200"/>
        <v>0</v>
      </c>
      <c r="DM471" s="536"/>
      <c r="DN471" s="536"/>
      <c r="DO471" s="536"/>
      <c r="DP471" s="541">
        <f>IF( SUM((DJ471*(20/100))+(DK471*(30/100))+(DL471*(50/100))) &gt;=9.3,9.5,
IF(AND( SUM((DJ471*(20/100))+(DK471*(30/100))+(DL471*(50/100))) &lt;=9.3, SUM((DJ471*(20/100))+(DK471*(30/100))+(DL471*(50/100))) &gt;=8.8),9,
IF(AND( SUM((DJ471*(20/100))+(DK471*(30/100))+(DL471*(50/100))) &lt;=8.8, SUM((DJ471*(20/100))+(DK471*(30/100))+(DL471*(50/100))) &gt;=8.3),8.5,
IF(AND( SUM((DJ471*(20/100))+(DK471*(30/100))+(DL471*(50/100))) &lt;=8.3, SUM((DJ471*(20/100))+(DK471*(30/100))+(DL471*(50/100))) &gt;=7.8),8,
IF(AND( SUM((DJ471*(20/100))+(DK471*(30/100))+(DL471*(50/100))) &lt;=7.8, SUM((DJ471*(20/100))+(DK471*(30/100))+(DL471*(50/100))) &gt;=7.3),7.5,
IF(AND( SUM((DJ471*(20/100))+(DK471*(30/100))+(DL471*(50/100))) &lt;=7.3, SUM((DJ471*(20/100))+(DK471*(30/100))+(DL471*(50/100))) &gt;=6.8),7,
IF(AND( SUM((DJ471*(20/100))+(DK471*(30/100))+(DL471*(50/100))) &lt;=6.8, SUM((DJ471*(20/100))+(DK471*(30/100))+(DL471*(50/100))) &gt;=6.3),6.5,
IF(AND( SUM((DJ471*(20/100))+(DK471*(30/100))+(DL471*(50/100))) &lt;=6.3, SUM((DJ471*(20/100))+(DK471*(30/100))+(DL471*(50/100))) &gt;=5.8),6,
IF(AND( SUM((DJ471*(20/100))+(DK471*(30/100))+(DL471*(50/100))) &lt;=5.8, SUM((DJ471*(20/100))+(DK471*(30/100))+(DL471*(50/100))) &gt;=5.3),5.5,
IF(AND( SUM((DJ471*(20/100))+(DK471*(30/100))+(DL471*(50/100))) &lt;=5.3, SUM((DJ471*(20/100))+(DK471*(30/100))+(DL471*(50/100))) &gt;=4.8),5,
IF(AND( SUM((DJ471*(20/100))+(DK471*(30/100))+(DL471*(50/100))) &lt;=4.8, SUM((DJ471*(20/100))+(DK471*(30/100))+(DL471*(50/100))) &gt;=4.3),4.5,
IF(AND( SUM((DJ471*(20/100))+(DK471*(30/100))+(DL471*(50/100))) &lt;=4.3, SUM((DJ471*(20/100))+(DK471*(30/100))+(DL471*(50/100))) &gt;=3.8),4,
IF(AND( SUM((DJ471*(20/100))+(DK471*(30/100))+(DL471*(50/100))) &lt;=3.8, SUM((DJ471*(20/100))+(DK471*(30/100))+(DL471*(50/100))) &gt;=3.5),3.5,0)))))))))))))</f>
        <v>0</v>
      </c>
      <c r="DQ471" s="541"/>
      <c r="DR471" s="541"/>
      <c r="DS471" s="541"/>
      <c r="DT471" s="541"/>
      <c r="DU471" s="541"/>
      <c r="DV471" s="541"/>
      <c r="DW471" s="541"/>
      <c r="DX471" s="541"/>
      <c r="DY471" s="541"/>
      <c r="DZ471" s="541"/>
    </row>
    <row r="472" spans="2:130" x14ac:dyDescent="0.25">
      <c r="B472" s="334">
        <v>15</v>
      </c>
      <c r="C472" s="541"/>
      <c r="D472" s="334"/>
      <c r="E472" s="334"/>
      <c r="F472" s="334"/>
      <c r="G472" s="334"/>
      <c r="H472" s="334"/>
      <c r="I472" s="334"/>
      <c r="J472" s="536"/>
      <c r="K472" s="536"/>
      <c r="L472" s="536"/>
      <c r="M472" s="536"/>
      <c r="N472" s="536"/>
      <c r="O472" s="536"/>
      <c r="P472" s="536">
        <f t="shared" si="176"/>
        <v>0</v>
      </c>
      <c r="Q472" s="536"/>
      <c r="R472" s="536"/>
      <c r="S472" s="536"/>
      <c r="T472" s="536">
        <f t="shared" si="177"/>
        <v>0</v>
      </c>
      <c r="U472" s="536"/>
      <c r="V472" s="536"/>
      <c r="W472" s="536"/>
      <c r="X472" s="536">
        <f t="shared" si="178"/>
        <v>0</v>
      </c>
      <c r="Y472" s="536"/>
      <c r="Z472" s="536"/>
      <c r="AA472" s="536"/>
      <c r="AB472" s="536">
        <f t="shared" si="179"/>
        <v>0</v>
      </c>
      <c r="AC472" s="536"/>
      <c r="AD472" s="536"/>
      <c r="AE472" s="536"/>
      <c r="AF472" s="536">
        <f t="shared" si="180"/>
        <v>0</v>
      </c>
      <c r="AG472" s="536"/>
      <c r="AH472" s="536"/>
      <c r="AI472" s="536"/>
      <c r="AJ472" s="536">
        <f t="shared" si="181"/>
        <v>0</v>
      </c>
      <c r="AK472" s="536"/>
      <c r="AL472" s="536"/>
      <c r="AM472" s="536"/>
      <c r="AN472" s="542">
        <f t="shared" si="182"/>
        <v>0</v>
      </c>
      <c r="AO472" s="536"/>
      <c r="AP472" s="536"/>
      <c r="AQ472" s="536"/>
      <c r="AR472" s="542">
        <f t="shared" si="183"/>
        <v>0</v>
      </c>
      <c r="AS472" s="536"/>
      <c r="AT472" s="536"/>
      <c r="AU472" s="536"/>
      <c r="AV472" s="542">
        <f t="shared" si="184"/>
        <v>0</v>
      </c>
      <c r="AW472" s="536"/>
      <c r="AX472" s="536"/>
      <c r="AY472" s="536"/>
      <c r="AZ472" s="542">
        <f t="shared" si="185"/>
        <v>0</v>
      </c>
      <c r="BA472" s="536"/>
      <c r="BB472" s="536"/>
      <c r="BC472" s="536"/>
      <c r="BD472" s="542">
        <f t="shared" si="186"/>
        <v>0</v>
      </c>
      <c r="BE472" s="536"/>
      <c r="BF472" s="536"/>
      <c r="BG472" s="536"/>
      <c r="BH472" s="542">
        <f t="shared" si="187"/>
        <v>0</v>
      </c>
      <c r="BI472" s="536"/>
      <c r="BJ472" s="536"/>
      <c r="BK472" s="536"/>
      <c r="BL472" s="542">
        <f t="shared" si="188"/>
        <v>0</v>
      </c>
      <c r="BM472" s="536"/>
      <c r="BN472" s="536"/>
      <c r="BO472" s="536"/>
      <c r="BP472" s="542">
        <f t="shared" si="189"/>
        <v>0</v>
      </c>
      <c r="BQ472" s="536"/>
      <c r="BR472" s="536"/>
      <c r="BS472" s="536"/>
      <c r="BT472" s="542">
        <f t="shared" si="190"/>
        <v>0</v>
      </c>
      <c r="BU472" s="536"/>
      <c r="BV472" s="536"/>
      <c r="BW472" s="536"/>
      <c r="BX472" s="542">
        <f t="shared" si="191"/>
        <v>0</v>
      </c>
      <c r="BY472" s="536"/>
      <c r="BZ472" s="536"/>
      <c r="CA472" s="536"/>
      <c r="CB472" s="542">
        <v>0</v>
      </c>
      <c r="CC472" s="536"/>
      <c r="CD472" s="536"/>
      <c r="CE472" s="536"/>
      <c r="CF472" s="541">
        <f t="shared" si="192"/>
        <v>0</v>
      </c>
      <c r="CG472" s="536"/>
      <c r="CH472" s="536"/>
      <c r="CI472" s="536"/>
      <c r="CJ472" s="541">
        <f t="shared" si="193"/>
        <v>0</v>
      </c>
      <c r="CK472" s="536"/>
      <c r="CL472" s="536"/>
      <c r="CM472" s="536"/>
      <c r="CN472" s="541">
        <f t="shared" si="194"/>
        <v>0</v>
      </c>
      <c r="CO472" s="536"/>
      <c r="CP472" s="536"/>
      <c r="CQ472" s="536"/>
      <c r="CR472" s="541">
        <f t="shared" si="195"/>
        <v>0</v>
      </c>
      <c r="CS472" s="536"/>
      <c r="CT472" s="536"/>
      <c r="CU472" s="536"/>
      <c r="CV472" s="541">
        <f t="shared" si="196"/>
        <v>0</v>
      </c>
      <c r="CW472" s="536"/>
      <c r="CX472" s="536"/>
      <c r="CY472" s="536"/>
      <c r="CZ472" s="541">
        <f t="shared" si="197"/>
        <v>0</v>
      </c>
      <c r="DA472" s="536"/>
      <c r="DB472" s="536"/>
      <c r="DC472" s="536"/>
      <c r="DD472" s="541">
        <f t="shared" si="198"/>
        <v>0</v>
      </c>
      <c r="DE472" s="536"/>
      <c r="DF472" s="536"/>
      <c r="DG472" s="536"/>
      <c r="DH472" s="541">
        <f t="shared" si="199"/>
        <v>0</v>
      </c>
      <c r="DI472" s="536"/>
      <c r="DJ472" s="536"/>
      <c r="DK472" s="536"/>
      <c r="DL472" s="541">
        <f t="shared" si="200"/>
        <v>0</v>
      </c>
      <c r="DM472" s="536"/>
      <c r="DN472" s="536"/>
      <c r="DO472" s="536"/>
      <c r="DP472" s="541">
        <f>IF( SUM((DJ472*(20/100))+(DK472*(30/100))+(DL472*(50/100))) &gt;=9.3,9.5,
IF(AND( SUM((DJ472*(20/100))+(DK472*(30/100))+(DL472*(50/100))) &lt;=9.3, SUM((DJ472*(20/100))+(DK472*(30/100))+(DL472*(50/100))) &gt;=8.8),9,
IF(AND( SUM((DJ472*(20/100))+(DK472*(30/100))+(DL472*(50/100))) &lt;=8.8, SUM((DJ472*(20/100))+(DK472*(30/100))+(DL472*(50/100))) &gt;=8.3),8.5,
IF(AND( SUM((DJ472*(20/100))+(DK472*(30/100))+(DL472*(50/100))) &lt;=8.3, SUM((DJ472*(20/100))+(DK472*(30/100))+(DL472*(50/100))) &gt;=7.8),8,
IF(AND( SUM((DJ472*(20/100))+(DK472*(30/100))+(DL472*(50/100))) &lt;=7.8, SUM((DJ472*(20/100))+(DK472*(30/100))+(DL472*(50/100))) &gt;=7.3),7.5,
IF(AND( SUM((DJ472*(20/100))+(DK472*(30/100))+(DL472*(50/100))) &lt;=7.3, SUM((DJ472*(20/100))+(DK472*(30/100))+(DL472*(50/100))) &gt;=6.8),7,
IF(AND( SUM((DJ472*(20/100))+(DK472*(30/100))+(DL472*(50/100))) &lt;=6.8, SUM((DJ472*(20/100))+(DK472*(30/100))+(DL472*(50/100))) &gt;=6.3),6.5,
IF(AND( SUM((DJ472*(20/100))+(DK472*(30/100))+(DL472*(50/100))) &lt;=6.3, SUM((DJ472*(20/100))+(DK472*(30/100))+(DL472*(50/100))) &gt;=5.8),6,
IF(AND( SUM((DJ472*(20/100))+(DK472*(30/100))+(DL472*(50/100))) &lt;=5.8, SUM((DJ472*(20/100))+(DK472*(30/100))+(DL472*(50/100))) &gt;=5.3),5.5,
IF(AND( SUM((DJ472*(20/100))+(DK472*(30/100))+(DL472*(50/100))) &lt;=5.3, SUM((DJ472*(20/100))+(DK472*(30/100))+(DL472*(50/100))) &gt;=4.8),5,
IF(AND( SUM((DJ472*(20/100))+(DK472*(30/100))+(DL472*(50/100))) &lt;=4.8, SUM((DJ472*(20/100))+(DK472*(30/100))+(DL472*(50/100))) &gt;=4.3),4.5,
IF(AND( SUM((DJ472*(20/100))+(DK472*(30/100))+(DL472*(50/100))) &lt;=4.3, SUM((DJ472*(20/100))+(DK472*(30/100))+(DL472*(50/100))) &gt;=3.8),4,
IF(AND( SUM((DJ472*(20/100))+(DK472*(30/100))+(DL472*(50/100))) &lt;=3.8, SUM((DJ472*(20/100))+(DK472*(30/100))+(DL472*(50/100))) &gt;=3.5),3.5,0)))))))))))))</f>
        <v>0</v>
      </c>
      <c r="DQ472" s="541"/>
      <c r="DR472" s="541"/>
      <c r="DS472" s="541"/>
      <c r="DT472" s="541"/>
      <c r="DU472" s="541"/>
      <c r="DV472" s="541"/>
      <c r="DW472" s="541"/>
      <c r="DX472" s="541"/>
      <c r="DY472" s="541"/>
      <c r="DZ472" s="541"/>
    </row>
    <row r="473" spans="2:130" x14ac:dyDescent="0.25">
      <c r="B473" s="334">
        <v>16</v>
      </c>
      <c r="C473" s="541"/>
      <c r="D473" s="334"/>
      <c r="E473" s="334"/>
      <c r="F473" s="334"/>
      <c r="G473" s="334"/>
      <c r="H473" s="334"/>
      <c r="I473" s="334"/>
      <c r="J473" s="536"/>
      <c r="K473" s="536"/>
      <c r="L473" s="536"/>
      <c r="M473" s="536"/>
      <c r="N473" s="536"/>
      <c r="O473" s="536"/>
      <c r="P473" s="536">
        <f t="shared" si="176"/>
        <v>0</v>
      </c>
      <c r="Q473" s="536"/>
      <c r="R473" s="536"/>
      <c r="S473" s="536"/>
      <c r="T473" s="536">
        <f t="shared" si="177"/>
        <v>0</v>
      </c>
      <c r="U473" s="536"/>
      <c r="V473" s="536"/>
      <c r="W473" s="536"/>
      <c r="X473" s="536">
        <f t="shared" si="178"/>
        <v>0</v>
      </c>
      <c r="Y473" s="536"/>
      <c r="Z473" s="536"/>
      <c r="AA473" s="536"/>
      <c r="AB473" s="536">
        <f t="shared" si="179"/>
        <v>0</v>
      </c>
      <c r="AC473" s="536"/>
      <c r="AD473" s="536"/>
      <c r="AE473" s="536"/>
      <c r="AF473" s="536">
        <f t="shared" si="180"/>
        <v>0</v>
      </c>
      <c r="AG473" s="536"/>
      <c r="AH473" s="536"/>
      <c r="AI473" s="536"/>
      <c r="AJ473" s="536">
        <f t="shared" si="181"/>
        <v>0</v>
      </c>
      <c r="AK473" s="536"/>
      <c r="AL473" s="536"/>
      <c r="AM473" s="536"/>
      <c r="AN473" s="542">
        <f t="shared" si="182"/>
        <v>0</v>
      </c>
      <c r="AO473" s="536"/>
      <c r="AP473" s="536"/>
      <c r="AQ473" s="536"/>
      <c r="AR473" s="542">
        <f t="shared" si="183"/>
        <v>0</v>
      </c>
      <c r="AS473" s="536"/>
      <c r="AT473" s="536"/>
      <c r="AU473" s="536"/>
      <c r="AV473" s="542">
        <f t="shared" si="184"/>
        <v>0</v>
      </c>
      <c r="AW473" s="536"/>
      <c r="AX473" s="536"/>
      <c r="AY473" s="536"/>
      <c r="AZ473" s="542">
        <f t="shared" si="185"/>
        <v>0</v>
      </c>
      <c r="BA473" s="536"/>
      <c r="BB473" s="536"/>
      <c r="BC473" s="536"/>
      <c r="BD473" s="542">
        <f t="shared" si="186"/>
        <v>0</v>
      </c>
      <c r="BE473" s="536"/>
      <c r="BF473" s="536"/>
      <c r="BG473" s="536"/>
      <c r="BH473" s="542">
        <f t="shared" si="187"/>
        <v>0</v>
      </c>
      <c r="BI473" s="536"/>
      <c r="BJ473" s="536"/>
      <c r="BK473" s="536"/>
      <c r="BL473" s="542">
        <f t="shared" si="188"/>
        <v>0</v>
      </c>
      <c r="BM473" s="536"/>
      <c r="BN473" s="536"/>
      <c r="BO473" s="536"/>
      <c r="BP473" s="542">
        <f t="shared" si="189"/>
        <v>0</v>
      </c>
      <c r="BQ473" s="536"/>
      <c r="BR473" s="536"/>
      <c r="BS473" s="536"/>
      <c r="BT473" s="542">
        <f t="shared" si="190"/>
        <v>0</v>
      </c>
      <c r="BU473" s="536"/>
      <c r="BV473" s="536"/>
      <c r="BW473" s="536"/>
      <c r="BX473" s="542">
        <f t="shared" si="191"/>
        <v>0</v>
      </c>
      <c r="BY473" s="536"/>
      <c r="BZ473" s="536"/>
      <c r="CA473" s="536"/>
      <c r="CB473" s="542">
        <v>0</v>
      </c>
      <c r="CC473" s="536"/>
      <c r="CD473" s="536"/>
      <c r="CE473" s="536"/>
      <c r="CF473" s="541">
        <f t="shared" si="192"/>
        <v>0</v>
      </c>
      <c r="CG473" s="536"/>
      <c r="CH473" s="536"/>
      <c r="CI473" s="536"/>
      <c r="CJ473" s="541">
        <f t="shared" si="193"/>
        <v>0</v>
      </c>
      <c r="CK473" s="536"/>
      <c r="CL473" s="536"/>
      <c r="CM473" s="536"/>
      <c r="CN473" s="541">
        <f t="shared" si="194"/>
        <v>0</v>
      </c>
      <c r="CO473" s="536"/>
      <c r="CP473" s="536"/>
      <c r="CQ473" s="536"/>
      <c r="CR473" s="541">
        <f t="shared" si="195"/>
        <v>0</v>
      </c>
      <c r="CS473" s="536"/>
      <c r="CT473" s="536"/>
      <c r="CU473" s="536"/>
      <c r="CV473" s="541">
        <f t="shared" si="196"/>
        <v>0</v>
      </c>
      <c r="CW473" s="536"/>
      <c r="CX473" s="536"/>
      <c r="CY473" s="536"/>
      <c r="CZ473" s="541">
        <f t="shared" si="197"/>
        <v>0</v>
      </c>
      <c r="DA473" s="536"/>
      <c r="DB473" s="536"/>
      <c r="DC473" s="536"/>
      <c r="DD473" s="541">
        <f t="shared" si="198"/>
        <v>0</v>
      </c>
      <c r="DE473" s="536"/>
      <c r="DF473" s="536"/>
      <c r="DG473" s="536"/>
      <c r="DH473" s="541">
        <f t="shared" si="199"/>
        <v>0</v>
      </c>
      <c r="DI473" s="536"/>
      <c r="DJ473" s="536"/>
      <c r="DK473" s="536"/>
      <c r="DL473" s="541">
        <f t="shared" si="200"/>
        <v>0</v>
      </c>
      <c r="DM473" s="536"/>
      <c r="DN473" s="536"/>
      <c r="DO473" s="536"/>
      <c r="DP473" s="541">
        <f>IF( SUM((DJ473*(20/100))+(DK473*(30/100))+(DL473*(50/100))) &gt;=9.3,9.5,
IF(AND( SUM((DJ473*(20/100))+(DK473*(30/100))+(DL473*(50/100))) &lt;=9.3, SUM((DJ473*(20/100))+(DK473*(30/100))+(DL473*(50/100))) &gt;=8.8),9,
IF(AND( SUM((DJ473*(20/100))+(DK473*(30/100))+(DL473*(50/100))) &lt;=8.8, SUM((DJ473*(20/100))+(DK473*(30/100))+(DL473*(50/100))) &gt;=8.3),8.5,
IF(AND( SUM((DJ473*(20/100))+(DK473*(30/100))+(DL473*(50/100))) &lt;=8.3, SUM((DJ473*(20/100))+(DK473*(30/100))+(DL473*(50/100))) &gt;=7.8),8,
IF(AND( SUM((DJ473*(20/100))+(DK473*(30/100))+(DL473*(50/100))) &lt;=7.8, SUM((DJ473*(20/100))+(DK473*(30/100))+(DL473*(50/100))) &gt;=7.3),7.5,
IF(AND( SUM((DJ473*(20/100))+(DK473*(30/100))+(DL473*(50/100))) &lt;=7.3, SUM((DJ473*(20/100))+(DK473*(30/100))+(DL473*(50/100))) &gt;=6.8),7,
IF(AND( SUM((DJ473*(20/100))+(DK473*(30/100))+(DL473*(50/100))) &lt;=6.8, SUM((DJ473*(20/100))+(DK473*(30/100))+(DL473*(50/100))) &gt;=6.3),6.5,
IF(AND( SUM((DJ473*(20/100))+(DK473*(30/100))+(DL473*(50/100))) &lt;=6.3, SUM((DJ473*(20/100))+(DK473*(30/100))+(DL473*(50/100))) &gt;=5.8),6,
IF(AND( SUM((DJ473*(20/100))+(DK473*(30/100))+(DL473*(50/100))) &lt;=5.8, SUM((DJ473*(20/100))+(DK473*(30/100))+(DL473*(50/100))) &gt;=5.3),5.5,
IF(AND( SUM((DJ473*(20/100))+(DK473*(30/100))+(DL473*(50/100))) &lt;=5.3, SUM((DJ473*(20/100))+(DK473*(30/100))+(DL473*(50/100))) &gt;=4.8),5,
IF(AND( SUM((DJ473*(20/100))+(DK473*(30/100))+(DL473*(50/100))) &lt;=4.8, SUM((DJ473*(20/100))+(DK473*(30/100))+(DL473*(50/100))) &gt;=4.3),4.5,
IF(AND( SUM((DJ473*(20/100))+(DK473*(30/100))+(DL473*(50/100))) &lt;=4.3, SUM((DJ473*(20/100))+(DK473*(30/100))+(DL473*(50/100))) &gt;=3.8),4,
IF(AND( SUM((DJ473*(20/100))+(DK473*(30/100))+(DL473*(50/100))) &lt;=3.8, SUM((DJ473*(20/100))+(DK473*(30/100))+(DL473*(50/100))) &gt;=3.5),3.5,0)))))))))))))</f>
        <v>0</v>
      </c>
      <c r="DQ473" s="541"/>
      <c r="DR473" s="541"/>
      <c r="DS473" s="541"/>
      <c r="DT473" s="541"/>
      <c r="DU473" s="541"/>
      <c r="DV473" s="541"/>
      <c r="DW473" s="541"/>
      <c r="DX473" s="541"/>
      <c r="DY473" s="541"/>
      <c r="DZ473" s="541"/>
    </row>
    <row r="474" spans="2:130" x14ac:dyDescent="0.25">
      <c r="B474" s="334">
        <v>17</v>
      </c>
      <c r="C474" s="541"/>
      <c r="D474" s="334"/>
      <c r="E474" s="334"/>
      <c r="F474" s="334"/>
      <c r="G474" s="334"/>
      <c r="H474" s="334"/>
      <c r="I474" s="334"/>
      <c r="J474" s="536"/>
      <c r="K474" s="536"/>
      <c r="L474" s="536"/>
      <c r="M474" s="536"/>
      <c r="N474" s="536"/>
      <c r="O474" s="536"/>
      <c r="P474" s="536">
        <f t="shared" si="176"/>
        <v>0</v>
      </c>
      <c r="Q474" s="536"/>
      <c r="R474" s="536"/>
      <c r="S474" s="536"/>
      <c r="T474" s="536">
        <f t="shared" si="177"/>
        <v>0</v>
      </c>
      <c r="U474" s="536"/>
      <c r="V474" s="536"/>
      <c r="W474" s="536"/>
      <c r="X474" s="536">
        <f t="shared" si="178"/>
        <v>0</v>
      </c>
      <c r="Y474" s="536"/>
      <c r="Z474" s="536"/>
      <c r="AA474" s="536"/>
      <c r="AB474" s="536">
        <f t="shared" si="179"/>
        <v>0</v>
      </c>
      <c r="AC474" s="536"/>
      <c r="AD474" s="536"/>
      <c r="AE474" s="536"/>
      <c r="AF474" s="536">
        <f t="shared" si="180"/>
        <v>0</v>
      </c>
      <c r="AG474" s="536"/>
      <c r="AH474" s="536"/>
      <c r="AI474" s="536"/>
      <c r="AJ474" s="536">
        <f t="shared" si="181"/>
        <v>0</v>
      </c>
      <c r="AK474" s="536"/>
      <c r="AL474" s="536"/>
      <c r="AM474" s="536"/>
      <c r="AN474" s="542">
        <f t="shared" si="182"/>
        <v>0</v>
      </c>
      <c r="AO474" s="536"/>
      <c r="AP474" s="536"/>
      <c r="AQ474" s="536"/>
      <c r="AR474" s="542">
        <f t="shared" si="183"/>
        <v>0</v>
      </c>
      <c r="AS474" s="536"/>
      <c r="AT474" s="536"/>
      <c r="AU474" s="536"/>
      <c r="AV474" s="542">
        <f t="shared" si="184"/>
        <v>0</v>
      </c>
      <c r="AW474" s="536"/>
      <c r="AX474" s="536"/>
      <c r="AY474" s="536"/>
      <c r="AZ474" s="542">
        <f t="shared" si="185"/>
        <v>0</v>
      </c>
      <c r="BA474" s="536"/>
      <c r="BB474" s="536"/>
      <c r="BC474" s="536"/>
      <c r="BD474" s="542">
        <f t="shared" si="186"/>
        <v>0</v>
      </c>
      <c r="BE474" s="536"/>
      <c r="BF474" s="536"/>
      <c r="BG474" s="536"/>
      <c r="BH474" s="542">
        <f t="shared" si="187"/>
        <v>0</v>
      </c>
      <c r="BI474" s="536"/>
      <c r="BJ474" s="536"/>
      <c r="BK474" s="536"/>
      <c r="BL474" s="542">
        <f t="shared" si="188"/>
        <v>0</v>
      </c>
      <c r="BM474" s="536"/>
      <c r="BN474" s="536"/>
      <c r="BO474" s="536"/>
      <c r="BP474" s="542">
        <f t="shared" si="189"/>
        <v>0</v>
      </c>
      <c r="BQ474" s="536"/>
      <c r="BR474" s="536"/>
      <c r="BS474" s="536"/>
      <c r="BT474" s="542">
        <f t="shared" si="190"/>
        <v>0</v>
      </c>
      <c r="BU474" s="536"/>
      <c r="BV474" s="536"/>
      <c r="BW474" s="536"/>
      <c r="BX474" s="542">
        <f t="shared" si="191"/>
        <v>0</v>
      </c>
      <c r="BY474" s="536"/>
      <c r="BZ474" s="536"/>
      <c r="CA474" s="536"/>
      <c r="CB474" s="542">
        <v>0</v>
      </c>
      <c r="CC474" s="536"/>
      <c r="CD474" s="536"/>
      <c r="CE474" s="536"/>
      <c r="CF474" s="541">
        <f t="shared" si="192"/>
        <v>0</v>
      </c>
      <c r="CG474" s="536"/>
      <c r="CH474" s="536"/>
      <c r="CI474" s="536"/>
      <c r="CJ474" s="541">
        <f t="shared" si="193"/>
        <v>0</v>
      </c>
      <c r="CK474" s="536"/>
      <c r="CL474" s="536"/>
      <c r="CM474" s="536"/>
      <c r="CN474" s="541">
        <f t="shared" si="194"/>
        <v>0</v>
      </c>
      <c r="CO474" s="536"/>
      <c r="CP474" s="536"/>
      <c r="CQ474" s="536"/>
      <c r="CR474" s="541">
        <f t="shared" si="195"/>
        <v>0</v>
      </c>
      <c r="CS474" s="536"/>
      <c r="CT474" s="536"/>
      <c r="CU474" s="536"/>
      <c r="CV474" s="541">
        <f t="shared" si="196"/>
        <v>0</v>
      </c>
      <c r="CW474" s="536"/>
      <c r="CX474" s="536"/>
      <c r="CY474" s="536"/>
      <c r="CZ474" s="541">
        <f t="shared" si="197"/>
        <v>0</v>
      </c>
      <c r="DA474" s="536"/>
      <c r="DB474" s="536"/>
      <c r="DC474" s="536"/>
      <c r="DD474" s="541">
        <f t="shared" si="198"/>
        <v>0</v>
      </c>
      <c r="DE474" s="536"/>
      <c r="DF474" s="536"/>
      <c r="DG474" s="536"/>
      <c r="DH474" s="541">
        <f t="shared" si="199"/>
        <v>0</v>
      </c>
      <c r="DI474" s="536"/>
      <c r="DJ474" s="536"/>
      <c r="DK474" s="536"/>
      <c r="DL474" s="541">
        <f t="shared" si="200"/>
        <v>0</v>
      </c>
      <c r="DM474" s="536"/>
      <c r="DN474" s="536"/>
      <c r="DO474" s="536"/>
      <c r="DP474" s="541">
        <f>IF( SUM((DJ474*(20/100))+(DK474*(30/100))+(DL474*(50/100))) &gt;=9.3,9.5,
IF(AND( SUM((DJ474*(20/100))+(DK474*(30/100))+(DL474*(50/100))) &lt;=9.3, SUM((DJ474*(20/100))+(DK474*(30/100))+(DL474*(50/100))) &gt;=8.8),9,
IF(AND( SUM((DJ474*(20/100))+(DK474*(30/100))+(DL474*(50/100))) &lt;=8.8, SUM((DJ474*(20/100))+(DK474*(30/100))+(DL474*(50/100))) &gt;=8.3),8.5,
IF(AND( SUM((DJ474*(20/100))+(DK474*(30/100))+(DL474*(50/100))) &lt;=8.3, SUM((DJ474*(20/100))+(DK474*(30/100))+(DL474*(50/100))) &gt;=7.8),8,
IF(AND( SUM((DJ474*(20/100))+(DK474*(30/100))+(DL474*(50/100))) &lt;=7.8, SUM((DJ474*(20/100))+(DK474*(30/100))+(DL474*(50/100))) &gt;=7.3),7.5,
IF(AND( SUM((DJ474*(20/100))+(DK474*(30/100))+(DL474*(50/100))) &lt;=7.3, SUM((DJ474*(20/100))+(DK474*(30/100))+(DL474*(50/100))) &gt;=6.8),7,
IF(AND( SUM((DJ474*(20/100))+(DK474*(30/100))+(DL474*(50/100))) &lt;=6.8, SUM((DJ474*(20/100))+(DK474*(30/100))+(DL474*(50/100))) &gt;=6.3),6.5,
IF(AND( SUM((DJ474*(20/100))+(DK474*(30/100))+(DL474*(50/100))) &lt;=6.3, SUM((DJ474*(20/100))+(DK474*(30/100))+(DL474*(50/100))) &gt;=5.8),6,
IF(AND( SUM((DJ474*(20/100))+(DK474*(30/100))+(DL474*(50/100))) &lt;=5.8, SUM((DJ474*(20/100))+(DK474*(30/100))+(DL474*(50/100))) &gt;=5.3),5.5,
IF(AND( SUM((DJ474*(20/100))+(DK474*(30/100))+(DL474*(50/100))) &lt;=5.3, SUM((DJ474*(20/100))+(DK474*(30/100))+(DL474*(50/100))) &gt;=4.8),5,
IF(AND( SUM((DJ474*(20/100))+(DK474*(30/100))+(DL474*(50/100))) &lt;=4.8, SUM((DJ474*(20/100))+(DK474*(30/100))+(DL474*(50/100))) &gt;=4.3),4.5,
IF(AND( SUM((DJ474*(20/100))+(DK474*(30/100))+(DL474*(50/100))) &lt;=4.3, SUM((DJ474*(20/100))+(DK474*(30/100))+(DL474*(50/100))) &gt;=3.8),4,
IF(AND( SUM((DJ474*(20/100))+(DK474*(30/100))+(DL474*(50/100))) &lt;=3.8, SUM((DJ474*(20/100))+(DK474*(30/100))+(DL474*(50/100))) &gt;=3.5),3.5,0)))))))))))))</f>
        <v>0</v>
      </c>
      <c r="DQ474" s="541"/>
      <c r="DR474" s="541"/>
      <c r="DS474" s="541"/>
      <c r="DT474" s="541"/>
      <c r="DU474" s="541"/>
      <c r="DV474" s="541"/>
      <c r="DW474" s="541"/>
      <c r="DX474" s="541"/>
      <c r="DY474" s="541"/>
      <c r="DZ474" s="541"/>
    </row>
    <row r="475" spans="2:130" x14ac:dyDescent="0.25">
      <c r="B475" s="334">
        <v>18</v>
      </c>
      <c r="C475" s="541"/>
      <c r="D475" s="334"/>
      <c r="E475" s="334"/>
      <c r="F475" s="334"/>
      <c r="G475" s="334"/>
      <c r="H475" s="334"/>
      <c r="I475" s="334"/>
      <c r="J475" s="536"/>
      <c r="K475" s="536"/>
      <c r="L475" s="536"/>
      <c r="M475" s="536"/>
      <c r="N475" s="536"/>
      <c r="O475" s="536"/>
      <c r="P475" s="536">
        <f t="shared" si="176"/>
        <v>0</v>
      </c>
      <c r="Q475" s="536"/>
      <c r="R475" s="536"/>
      <c r="S475" s="536"/>
      <c r="T475" s="536">
        <f t="shared" si="177"/>
        <v>0</v>
      </c>
      <c r="U475" s="536"/>
      <c r="V475" s="536"/>
      <c r="W475" s="536"/>
      <c r="X475" s="536">
        <f t="shared" si="178"/>
        <v>0</v>
      </c>
      <c r="Y475" s="536"/>
      <c r="Z475" s="536"/>
      <c r="AA475" s="536"/>
      <c r="AB475" s="536">
        <f t="shared" si="179"/>
        <v>0</v>
      </c>
      <c r="AC475" s="536"/>
      <c r="AD475" s="536"/>
      <c r="AE475" s="536"/>
      <c r="AF475" s="536">
        <f t="shared" si="180"/>
        <v>0</v>
      </c>
      <c r="AG475" s="536"/>
      <c r="AH475" s="536"/>
      <c r="AI475" s="536"/>
      <c r="AJ475" s="536">
        <f t="shared" si="181"/>
        <v>0</v>
      </c>
      <c r="AK475" s="536"/>
      <c r="AL475" s="536"/>
      <c r="AM475" s="536"/>
      <c r="AN475" s="542">
        <f t="shared" si="182"/>
        <v>0</v>
      </c>
      <c r="AO475" s="536"/>
      <c r="AP475" s="536"/>
      <c r="AQ475" s="536"/>
      <c r="AR475" s="542">
        <f t="shared" si="183"/>
        <v>0</v>
      </c>
      <c r="AS475" s="536"/>
      <c r="AT475" s="536"/>
      <c r="AU475" s="536"/>
      <c r="AV475" s="542">
        <f t="shared" si="184"/>
        <v>0</v>
      </c>
      <c r="AW475" s="536"/>
      <c r="AX475" s="536"/>
      <c r="AY475" s="536"/>
      <c r="AZ475" s="542">
        <f t="shared" si="185"/>
        <v>0</v>
      </c>
      <c r="BA475" s="536"/>
      <c r="BB475" s="536"/>
      <c r="BC475" s="536"/>
      <c r="BD475" s="542">
        <f t="shared" si="186"/>
        <v>0</v>
      </c>
      <c r="BE475" s="536"/>
      <c r="BF475" s="536"/>
      <c r="BG475" s="536"/>
      <c r="BH475" s="542">
        <f t="shared" si="187"/>
        <v>0</v>
      </c>
      <c r="BI475" s="536"/>
      <c r="BJ475" s="536"/>
      <c r="BK475" s="536"/>
      <c r="BL475" s="542">
        <f t="shared" si="188"/>
        <v>0</v>
      </c>
      <c r="BM475" s="536"/>
      <c r="BN475" s="536"/>
      <c r="BO475" s="536"/>
      <c r="BP475" s="542">
        <f t="shared" si="189"/>
        <v>0</v>
      </c>
      <c r="BQ475" s="536"/>
      <c r="BR475" s="536"/>
      <c r="BS475" s="536"/>
      <c r="BT475" s="542">
        <f t="shared" si="190"/>
        <v>0</v>
      </c>
      <c r="BU475" s="536"/>
      <c r="BV475" s="536"/>
      <c r="BW475" s="536"/>
      <c r="BX475" s="542">
        <f t="shared" si="191"/>
        <v>0</v>
      </c>
      <c r="BY475" s="536"/>
      <c r="BZ475" s="536"/>
      <c r="CA475" s="536"/>
      <c r="CB475" s="542">
        <v>0</v>
      </c>
      <c r="CC475" s="536"/>
      <c r="CD475" s="536"/>
      <c r="CE475" s="536"/>
      <c r="CF475" s="541">
        <f t="shared" si="192"/>
        <v>0</v>
      </c>
      <c r="CG475" s="536"/>
      <c r="CH475" s="536"/>
      <c r="CI475" s="536"/>
      <c r="CJ475" s="541">
        <f t="shared" si="193"/>
        <v>0</v>
      </c>
      <c r="CK475" s="536"/>
      <c r="CL475" s="536"/>
      <c r="CM475" s="536"/>
      <c r="CN475" s="541">
        <f t="shared" si="194"/>
        <v>0</v>
      </c>
      <c r="CO475" s="536"/>
      <c r="CP475" s="536"/>
      <c r="CQ475" s="536"/>
      <c r="CR475" s="541">
        <f t="shared" si="195"/>
        <v>0</v>
      </c>
      <c r="CS475" s="536"/>
      <c r="CT475" s="536"/>
      <c r="CU475" s="536"/>
      <c r="CV475" s="541">
        <f t="shared" si="196"/>
        <v>0</v>
      </c>
      <c r="CW475" s="536"/>
      <c r="CX475" s="536"/>
      <c r="CY475" s="536"/>
      <c r="CZ475" s="541">
        <f t="shared" si="197"/>
        <v>0</v>
      </c>
      <c r="DA475" s="536"/>
      <c r="DB475" s="536"/>
      <c r="DC475" s="536"/>
      <c r="DD475" s="541">
        <f t="shared" si="198"/>
        <v>0</v>
      </c>
      <c r="DE475" s="536"/>
      <c r="DF475" s="536"/>
      <c r="DG475" s="536"/>
      <c r="DH475" s="541">
        <f t="shared" si="199"/>
        <v>0</v>
      </c>
      <c r="DI475" s="536"/>
      <c r="DJ475" s="536"/>
      <c r="DK475" s="536"/>
      <c r="DL475" s="541">
        <f t="shared" si="200"/>
        <v>0</v>
      </c>
      <c r="DM475" s="536"/>
      <c r="DN475" s="536"/>
      <c r="DO475" s="536"/>
      <c r="DP475" s="541">
        <f>IF( SUM((DJ475*(20/100))+(DK475*(30/100))+(DL475*(50/100))) &gt;=9.3,9.5,
IF(AND( SUM((DJ475*(20/100))+(DK475*(30/100))+(DL475*(50/100))) &lt;=9.3, SUM((DJ475*(20/100))+(DK475*(30/100))+(DL475*(50/100))) &gt;=8.8),9,
IF(AND( SUM((DJ475*(20/100))+(DK475*(30/100))+(DL475*(50/100))) &lt;=8.8, SUM((DJ475*(20/100))+(DK475*(30/100))+(DL475*(50/100))) &gt;=8.3),8.5,
IF(AND( SUM((DJ475*(20/100))+(DK475*(30/100))+(DL475*(50/100))) &lt;=8.3, SUM((DJ475*(20/100))+(DK475*(30/100))+(DL475*(50/100))) &gt;=7.8),8,
IF(AND( SUM((DJ475*(20/100))+(DK475*(30/100))+(DL475*(50/100))) &lt;=7.8, SUM((DJ475*(20/100))+(DK475*(30/100))+(DL475*(50/100))) &gt;=7.3),7.5,
IF(AND( SUM((DJ475*(20/100))+(DK475*(30/100))+(DL475*(50/100))) &lt;=7.3, SUM((DJ475*(20/100))+(DK475*(30/100))+(DL475*(50/100))) &gt;=6.8),7,
IF(AND( SUM((DJ475*(20/100))+(DK475*(30/100))+(DL475*(50/100))) &lt;=6.8, SUM((DJ475*(20/100))+(DK475*(30/100))+(DL475*(50/100))) &gt;=6.3),6.5,
IF(AND( SUM((DJ475*(20/100))+(DK475*(30/100))+(DL475*(50/100))) &lt;=6.3, SUM((DJ475*(20/100))+(DK475*(30/100))+(DL475*(50/100))) &gt;=5.8),6,
IF(AND( SUM((DJ475*(20/100))+(DK475*(30/100))+(DL475*(50/100))) &lt;=5.8, SUM((DJ475*(20/100))+(DK475*(30/100))+(DL475*(50/100))) &gt;=5.3),5.5,
IF(AND( SUM((DJ475*(20/100))+(DK475*(30/100))+(DL475*(50/100))) &lt;=5.3, SUM((DJ475*(20/100))+(DK475*(30/100))+(DL475*(50/100))) &gt;=4.8),5,
IF(AND( SUM((DJ475*(20/100))+(DK475*(30/100))+(DL475*(50/100))) &lt;=4.8, SUM((DJ475*(20/100))+(DK475*(30/100))+(DL475*(50/100))) &gt;=4.3),4.5,
IF(AND( SUM((DJ475*(20/100))+(DK475*(30/100))+(DL475*(50/100))) &lt;=4.3, SUM((DJ475*(20/100))+(DK475*(30/100))+(DL475*(50/100))) &gt;=3.8),4,
IF(AND( SUM((DJ475*(20/100))+(DK475*(30/100))+(DL475*(50/100))) &lt;=3.8, SUM((DJ475*(20/100))+(DK475*(30/100))+(DL475*(50/100))) &gt;=3.5),3.5,0)))))))))))))</f>
        <v>0</v>
      </c>
      <c r="DQ475" s="541"/>
      <c r="DR475" s="541"/>
      <c r="DS475" s="541"/>
      <c r="DT475" s="541"/>
      <c r="DU475" s="541"/>
      <c r="DV475" s="541"/>
      <c r="DW475" s="541"/>
      <c r="DX475" s="541"/>
      <c r="DY475" s="541"/>
      <c r="DZ475" s="541"/>
    </row>
    <row r="476" spans="2:130" x14ac:dyDescent="0.25">
      <c r="B476" s="334">
        <v>19</v>
      </c>
      <c r="C476" s="541"/>
      <c r="D476" s="334"/>
      <c r="E476" s="334"/>
      <c r="F476" s="334"/>
      <c r="G476" s="334"/>
      <c r="H476" s="334"/>
      <c r="I476" s="334"/>
      <c r="J476" s="536"/>
      <c r="K476" s="536"/>
      <c r="L476" s="536"/>
      <c r="M476" s="536"/>
      <c r="N476" s="536"/>
      <c r="O476" s="536"/>
      <c r="P476" s="536">
        <f t="shared" si="176"/>
        <v>0</v>
      </c>
      <c r="Q476" s="536"/>
      <c r="R476" s="536"/>
      <c r="S476" s="536"/>
      <c r="T476" s="536">
        <f t="shared" si="177"/>
        <v>0</v>
      </c>
      <c r="U476" s="536"/>
      <c r="V476" s="536"/>
      <c r="W476" s="536"/>
      <c r="X476" s="536">
        <f t="shared" si="178"/>
        <v>0</v>
      </c>
      <c r="Y476" s="536"/>
      <c r="Z476" s="536"/>
      <c r="AA476" s="536"/>
      <c r="AB476" s="536">
        <f t="shared" si="179"/>
        <v>0</v>
      </c>
      <c r="AC476" s="536"/>
      <c r="AD476" s="536"/>
      <c r="AE476" s="536"/>
      <c r="AF476" s="536">
        <f t="shared" si="180"/>
        <v>0</v>
      </c>
      <c r="AG476" s="536"/>
      <c r="AH476" s="536"/>
      <c r="AI476" s="536"/>
      <c r="AJ476" s="536">
        <f t="shared" si="181"/>
        <v>0</v>
      </c>
      <c r="AK476" s="536"/>
      <c r="AL476" s="536"/>
      <c r="AM476" s="536"/>
      <c r="AN476" s="542">
        <f t="shared" si="182"/>
        <v>0</v>
      </c>
      <c r="AO476" s="536"/>
      <c r="AP476" s="536"/>
      <c r="AQ476" s="536"/>
      <c r="AR476" s="542">
        <f t="shared" si="183"/>
        <v>0</v>
      </c>
      <c r="AS476" s="536"/>
      <c r="AT476" s="536"/>
      <c r="AU476" s="536"/>
      <c r="AV476" s="542">
        <f t="shared" si="184"/>
        <v>0</v>
      </c>
      <c r="AW476" s="536"/>
      <c r="AX476" s="536"/>
      <c r="AY476" s="536"/>
      <c r="AZ476" s="542">
        <f t="shared" si="185"/>
        <v>0</v>
      </c>
      <c r="BA476" s="536"/>
      <c r="BB476" s="536"/>
      <c r="BC476" s="536"/>
      <c r="BD476" s="542">
        <f t="shared" si="186"/>
        <v>0</v>
      </c>
      <c r="BE476" s="536"/>
      <c r="BF476" s="536"/>
      <c r="BG476" s="536"/>
      <c r="BH476" s="542">
        <f t="shared" si="187"/>
        <v>0</v>
      </c>
      <c r="BI476" s="536"/>
      <c r="BJ476" s="536"/>
      <c r="BK476" s="536"/>
      <c r="BL476" s="542">
        <f t="shared" si="188"/>
        <v>0</v>
      </c>
      <c r="BM476" s="536"/>
      <c r="BN476" s="536"/>
      <c r="BO476" s="536"/>
      <c r="BP476" s="542">
        <f t="shared" si="189"/>
        <v>0</v>
      </c>
      <c r="BQ476" s="536"/>
      <c r="BR476" s="536"/>
      <c r="BS476" s="536"/>
      <c r="BT476" s="542">
        <f t="shared" si="190"/>
        <v>0</v>
      </c>
      <c r="BU476" s="536"/>
      <c r="BV476" s="536"/>
      <c r="BW476" s="536"/>
      <c r="BX476" s="542">
        <f t="shared" si="191"/>
        <v>0</v>
      </c>
      <c r="BY476" s="536"/>
      <c r="BZ476" s="536"/>
      <c r="CA476" s="536"/>
      <c r="CB476" s="542">
        <v>0</v>
      </c>
      <c r="CC476" s="536"/>
      <c r="CD476" s="536"/>
      <c r="CE476" s="536"/>
      <c r="CF476" s="541">
        <f t="shared" si="192"/>
        <v>0</v>
      </c>
      <c r="CG476" s="536"/>
      <c r="CH476" s="536"/>
      <c r="CI476" s="536"/>
      <c r="CJ476" s="541">
        <f t="shared" si="193"/>
        <v>0</v>
      </c>
      <c r="CK476" s="536"/>
      <c r="CL476" s="536"/>
      <c r="CM476" s="536"/>
      <c r="CN476" s="541">
        <f t="shared" si="194"/>
        <v>0</v>
      </c>
      <c r="CO476" s="536"/>
      <c r="CP476" s="536"/>
      <c r="CQ476" s="536"/>
      <c r="CR476" s="541">
        <f t="shared" si="195"/>
        <v>0</v>
      </c>
      <c r="CS476" s="536"/>
      <c r="CT476" s="536"/>
      <c r="CU476" s="536"/>
      <c r="CV476" s="541">
        <f t="shared" si="196"/>
        <v>0</v>
      </c>
      <c r="CW476" s="536"/>
      <c r="CX476" s="536"/>
      <c r="CY476" s="536"/>
      <c r="CZ476" s="541">
        <f t="shared" si="197"/>
        <v>0</v>
      </c>
      <c r="DA476" s="536"/>
      <c r="DB476" s="536"/>
      <c r="DC476" s="536"/>
      <c r="DD476" s="541">
        <f t="shared" si="198"/>
        <v>0</v>
      </c>
      <c r="DE476" s="536"/>
      <c r="DF476" s="536"/>
      <c r="DG476" s="536"/>
      <c r="DH476" s="541">
        <f t="shared" si="199"/>
        <v>0</v>
      </c>
      <c r="DI476" s="536"/>
      <c r="DJ476" s="536"/>
      <c r="DK476" s="536"/>
      <c r="DL476" s="541">
        <f t="shared" si="200"/>
        <v>0</v>
      </c>
      <c r="DM476" s="536"/>
      <c r="DN476" s="536"/>
      <c r="DO476" s="536"/>
      <c r="DP476" s="541">
        <f>IF( SUM((DJ476*(20/100))+(DK476*(30/100))+(DL476*(50/100))) &gt;=9.3,9.5,
IF(AND( SUM((DJ476*(20/100))+(DK476*(30/100))+(DL476*(50/100))) &lt;=9.3, SUM((DJ476*(20/100))+(DK476*(30/100))+(DL476*(50/100))) &gt;=8.8),9,
IF(AND( SUM((DJ476*(20/100))+(DK476*(30/100))+(DL476*(50/100))) &lt;=8.8, SUM((DJ476*(20/100))+(DK476*(30/100))+(DL476*(50/100))) &gt;=8.3),8.5,
IF(AND( SUM((DJ476*(20/100))+(DK476*(30/100))+(DL476*(50/100))) &lt;=8.3, SUM((DJ476*(20/100))+(DK476*(30/100))+(DL476*(50/100))) &gt;=7.8),8,
IF(AND( SUM((DJ476*(20/100))+(DK476*(30/100))+(DL476*(50/100))) &lt;=7.8, SUM((DJ476*(20/100))+(DK476*(30/100))+(DL476*(50/100))) &gt;=7.3),7.5,
IF(AND( SUM((DJ476*(20/100))+(DK476*(30/100))+(DL476*(50/100))) &lt;=7.3, SUM((DJ476*(20/100))+(DK476*(30/100))+(DL476*(50/100))) &gt;=6.8),7,
IF(AND( SUM((DJ476*(20/100))+(DK476*(30/100))+(DL476*(50/100))) &lt;=6.8, SUM((DJ476*(20/100))+(DK476*(30/100))+(DL476*(50/100))) &gt;=6.3),6.5,
IF(AND( SUM((DJ476*(20/100))+(DK476*(30/100))+(DL476*(50/100))) &lt;=6.3, SUM((DJ476*(20/100))+(DK476*(30/100))+(DL476*(50/100))) &gt;=5.8),6,
IF(AND( SUM((DJ476*(20/100))+(DK476*(30/100))+(DL476*(50/100))) &lt;=5.8, SUM((DJ476*(20/100))+(DK476*(30/100))+(DL476*(50/100))) &gt;=5.3),5.5,
IF(AND( SUM((DJ476*(20/100))+(DK476*(30/100))+(DL476*(50/100))) &lt;=5.3, SUM((DJ476*(20/100))+(DK476*(30/100))+(DL476*(50/100))) &gt;=4.8),5,
IF(AND( SUM((DJ476*(20/100))+(DK476*(30/100))+(DL476*(50/100))) &lt;=4.8, SUM((DJ476*(20/100))+(DK476*(30/100))+(DL476*(50/100))) &gt;=4.3),4.5,
IF(AND( SUM((DJ476*(20/100))+(DK476*(30/100))+(DL476*(50/100))) &lt;=4.3, SUM((DJ476*(20/100))+(DK476*(30/100))+(DL476*(50/100))) &gt;=3.8),4,
IF(AND( SUM((DJ476*(20/100))+(DK476*(30/100))+(DL476*(50/100))) &lt;=3.8, SUM((DJ476*(20/100))+(DK476*(30/100))+(DL476*(50/100))) &gt;=3.5),3.5,0)))))))))))))</f>
        <v>0</v>
      </c>
      <c r="DQ476" s="541"/>
      <c r="DR476" s="541"/>
      <c r="DS476" s="541"/>
      <c r="DT476" s="541"/>
      <c r="DU476" s="541"/>
      <c r="DV476" s="541"/>
      <c r="DW476" s="541"/>
      <c r="DX476" s="541"/>
      <c r="DY476" s="541"/>
      <c r="DZ476" s="541"/>
    </row>
    <row r="477" spans="2:130" x14ac:dyDescent="0.25">
      <c r="B477" s="334">
        <v>20</v>
      </c>
      <c r="C477" s="541"/>
      <c r="D477" s="334"/>
      <c r="E477" s="334"/>
      <c r="F477" s="334"/>
      <c r="G477" s="334"/>
      <c r="H477" s="334"/>
      <c r="I477" s="334"/>
      <c r="J477" s="536"/>
      <c r="K477" s="536"/>
      <c r="L477" s="536"/>
      <c r="M477" s="536"/>
      <c r="N477" s="536"/>
      <c r="O477" s="536"/>
      <c r="P477" s="536">
        <f t="shared" si="176"/>
        <v>0</v>
      </c>
      <c r="Q477" s="536"/>
      <c r="R477" s="536"/>
      <c r="S477" s="536"/>
      <c r="T477" s="536">
        <f t="shared" si="177"/>
        <v>0</v>
      </c>
      <c r="U477" s="536"/>
      <c r="V477" s="536"/>
      <c r="W477" s="536"/>
      <c r="X477" s="536">
        <f t="shared" si="178"/>
        <v>0</v>
      </c>
      <c r="Y477" s="536"/>
      <c r="Z477" s="536"/>
      <c r="AA477" s="536"/>
      <c r="AB477" s="536">
        <f t="shared" si="179"/>
        <v>0</v>
      </c>
      <c r="AC477" s="536"/>
      <c r="AD477" s="536"/>
      <c r="AE477" s="536"/>
      <c r="AF477" s="536">
        <f t="shared" si="180"/>
        <v>0</v>
      </c>
      <c r="AG477" s="536"/>
      <c r="AH477" s="536"/>
      <c r="AI477" s="536"/>
      <c r="AJ477" s="536">
        <f t="shared" si="181"/>
        <v>0</v>
      </c>
      <c r="AK477" s="536"/>
      <c r="AL477" s="536"/>
      <c r="AM477" s="536"/>
      <c r="AN477" s="542">
        <f t="shared" si="182"/>
        <v>0</v>
      </c>
      <c r="AO477" s="536"/>
      <c r="AP477" s="536"/>
      <c r="AQ477" s="536"/>
      <c r="AR477" s="542">
        <f t="shared" si="183"/>
        <v>0</v>
      </c>
      <c r="AS477" s="536"/>
      <c r="AT477" s="536"/>
      <c r="AU477" s="536"/>
      <c r="AV477" s="542">
        <f t="shared" si="184"/>
        <v>0</v>
      </c>
      <c r="AW477" s="536"/>
      <c r="AX477" s="536"/>
      <c r="AY477" s="536"/>
      <c r="AZ477" s="542">
        <f t="shared" si="185"/>
        <v>0</v>
      </c>
      <c r="BA477" s="536"/>
      <c r="BB477" s="536"/>
      <c r="BC477" s="536"/>
      <c r="BD477" s="542">
        <f t="shared" si="186"/>
        <v>0</v>
      </c>
      <c r="BE477" s="536"/>
      <c r="BF477" s="536"/>
      <c r="BG477" s="536"/>
      <c r="BH477" s="542">
        <f t="shared" si="187"/>
        <v>0</v>
      </c>
      <c r="BI477" s="536"/>
      <c r="BJ477" s="536"/>
      <c r="BK477" s="536"/>
      <c r="BL477" s="542">
        <f t="shared" si="188"/>
        <v>0</v>
      </c>
      <c r="BM477" s="536"/>
      <c r="BN477" s="536"/>
      <c r="BO477" s="536"/>
      <c r="BP477" s="542">
        <f t="shared" si="189"/>
        <v>0</v>
      </c>
      <c r="BQ477" s="536"/>
      <c r="BR477" s="536"/>
      <c r="BS477" s="536"/>
      <c r="BT477" s="542">
        <f t="shared" si="190"/>
        <v>0</v>
      </c>
      <c r="BU477" s="536"/>
      <c r="BV477" s="536"/>
      <c r="BW477" s="536"/>
      <c r="BX477" s="542">
        <f t="shared" si="191"/>
        <v>0</v>
      </c>
      <c r="BY477" s="536"/>
      <c r="BZ477" s="536"/>
      <c r="CA477" s="536"/>
      <c r="CB477" s="542">
        <v>0</v>
      </c>
      <c r="CC477" s="536"/>
      <c r="CD477" s="536"/>
      <c r="CE477" s="536"/>
      <c r="CF477" s="541">
        <f t="shared" si="192"/>
        <v>0</v>
      </c>
      <c r="CG477" s="536"/>
      <c r="CH477" s="536"/>
      <c r="CI477" s="536"/>
      <c r="CJ477" s="541">
        <f t="shared" si="193"/>
        <v>0</v>
      </c>
      <c r="CK477" s="536"/>
      <c r="CL477" s="536"/>
      <c r="CM477" s="536"/>
      <c r="CN477" s="541">
        <f t="shared" si="194"/>
        <v>0</v>
      </c>
      <c r="CO477" s="536"/>
      <c r="CP477" s="536"/>
      <c r="CQ477" s="536"/>
      <c r="CR477" s="541">
        <f t="shared" si="195"/>
        <v>0</v>
      </c>
      <c r="CS477" s="536"/>
      <c r="CT477" s="536"/>
      <c r="CU477" s="536"/>
      <c r="CV477" s="541">
        <f t="shared" si="196"/>
        <v>0</v>
      </c>
      <c r="CW477" s="536"/>
      <c r="CX477" s="536"/>
      <c r="CY477" s="536"/>
      <c r="CZ477" s="541">
        <f t="shared" si="197"/>
        <v>0</v>
      </c>
      <c r="DA477" s="536"/>
      <c r="DB477" s="536"/>
      <c r="DC477" s="536"/>
      <c r="DD477" s="541">
        <f t="shared" si="198"/>
        <v>0</v>
      </c>
      <c r="DE477" s="536"/>
      <c r="DF477" s="536"/>
      <c r="DG477" s="536"/>
      <c r="DH477" s="541">
        <f t="shared" si="199"/>
        <v>0</v>
      </c>
      <c r="DI477" s="536"/>
      <c r="DJ477" s="536"/>
      <c r="DK477" s="536"/>
      <c r="DL477" s="541">
        <f t="shared" si="200"/>
        <v>0</v>
      </c>
      <c r="DM477" s="536"/>
      <c r="DN477" s="536"/>
      <c r="DO477" s="536"/>
      <c r="DP477" s="541">
        <f>IF( SUM((DJ477*(20/100))+(DK477*(30/100))+(DL477*(50/100))) &gt;=9.3,9.5,
IF(AND( SUM((DJ477*(20/100))+(DK477*(30/100))+(DL477*(50/100))) &lt;=9.3, SUM((DJ477*(20/100))+(DK477*(30/100))+(DL477*(50/100))) &gt;=8.8),9,
IF(AND( SUM((DJ477*(20/100))+(DK477*(30/100))+(DL477*(50/100))) &lt;=8.8, SUM((DJ477*(20/100))+(DK477*(30/100))+(DL477*(50/100))) &gt;=8.3),8.5,
IF(AND( SUM((DJ477*(20/100))+(DK477*(30/100))+(DL477*(50/100))) &lt;=8.3, SUM((DJ477*(20/100))+(DK477*(30/100))+(DL477*(50/100))) &gt;=7.8),8,
IF(AND( SUM((DJ477*(20/100))+(DK477*(30/100))+(DL477*(50/100))) &lt;=7.8, SUM((DJ477*(20/100))+(DK477*(30/100))+(DL477*(50/100))) &gt;=7.3),7.5,
IF(AND( SUM((DJ477*(20/100))+(DK477*(30/100))+(DL477*(50/100))) &lt;=7.3, SUM((DJ477*(20/100))+(DK477*(30/100))+(DL477*(50/100))) &gt;=6.8),7,
IF(AND( SUM((DJ477*(20/100))+(DK477*(30/100))+(DL477*(50/100))) &lt;=6.8, SUM((DJ477*(20/100))+(DK477*(30/100))+(DL477*(50/100))) &gt;=6.3),6.5,
IF(AND( SUM((DJ477*(20/100))+(DK477*(30/100))+(DL477*(50/100))) &lt;=6.3, SUM((DJ477*(20/100))+(DK477*(30/100))+(DL477*(50/100))) &gt;=5.8),6,
IF(AND( SUM((DJ477*(20/100))+(DK477*(30/100))+(DL477*(50/100))) &lt;=5.8, SUM((DJ477*(20/100))+(DK477*(30/100))+(DL477*(50/100))) &gt;=5.3),5.5,
IF(AND( SUM((DJ477*(20/100))+(DK477*(30/100))+(DL477*(50/100))) &lt;=5.3, SUM((DJ477*(20/100))+(DK477*(30/100))+(DL477*(50/100))) &gt;=4.8),5,
IF(AND( SUM((DJ477*(20/100))+(DK477*(30/100))+(DL477*(50/100))) &lt;=4.8, SUM((DJ477*(20/100))+(DK477*(30/100))+(DL477*(50/100))) &gt;=4.3),4.5,
IF(AND( SUM((DJ477*(20/100))+(DK477*(30/100))+(DL477*(50/100))) &lt;=4.3, SUM((DJ477*(20/100))+(DK477*(30/100))+(DL477*(50/100))) &gt;=3.8),4,
IF(AND( SUM((DJ477*(20/100))+(DK477*(30/100))+(DL477*(50/100))) &lt;=3.8, SUM((DJ477*(20/100))+(DK477*(30/100))+(DL477*(50/100))) &gt;=3.5),3.5,0)))))))))))))</f>
        <v>0</v>
      </c>
      <c r="DQ477" s="541"/>
      <c r="DR477" s="541"/>
      <c r="DS477" s="541"/>
      <c r="DT477" s="541"/>
      <c r="DU477" s="541"/>
      <c r="DV477" s="541"/>
      <c r="DW477" s="541"/>
      <c r="DX477" s="541"/>
      <c r="DY477" s="541"/>
      <c r="DZ477" s="541"/>
    </row>
    <row r="478" spans="2:130" x14ac:dyDescent="0.25">
      <c r="B478" s="334">
        <v>21</v>
      </c>
      <c r="C478" s="541"/>
      <c r="D478" s="334"/>
      <c r="E478" s="334"/>
      <c r="F478" s="334"/>
      <c r="G478" s="334"/>
      <c r="H478" s="334"/>
      <c r="I478" s="334"/>
      <c r="J478" s="536"/>
      <c r="K478" s="536"/>
      <c r="L478" s="536"/>
      <c r="M478" s="536"/>
      <c r="N478" s="536"/>
      <c r="O478" s="536"/>
      <c r="P478" s="536">
        <f t="shared" si="176"/>
        <v>0</v>
      </c>
      <c r="Q478" s="536"/>
      <c r="R478" s="536"/>
      <c r="S478" s="536"/>
      <c r="T478" s="536">
        <f t="shared" si="177"/>
        <v>0</v>
      </c>
      <c r="U478" s="536"/>
      <c r="V478" s="536"/>
      <c r="W478" s="536"/>
      <c r="X478" s="536">
        <f t="shared" si="178"/>
        <v>0</v>
      </c>
      <c r="Y478" s="536"/>
      <c r="Z478" s="536"/>
      <c r="AA478" s="536"/>
      <c r="AB478" s="536">
        <f t="shared" si="179"/>
        <v>0</v>
      </c>
      <c r="AC478" s="536"/>
      <c r="AD478" s="536"/>
      <c r="AE478" s="536"/>
      <c r="AF478" s="536">
        <f t="shared" si="180"/>
        <v>0</v>
      </c>
      <c r="AG478" s="536"/>
      <c r="AH478" s="536"/>
      <c r="AI478" s="536"/>
      <c r="AJ478" s="536">
        <f t="shared" si="181"/>
        <v>0</v>
      </c>
      <c r="AK478" s="536"/>
      <c r="AL478" s="536"/>
      <c r="AM478" s="536"/>
      <c r="AN478" s="542">
        <f t="shared" si="182"/>
        <v>0</v>
      </c>
      <c r="AO478" s="536"/>
      <c r="AP478" s="536"/>
      <c r="AQ478" s="536"/>
      <c r="AR478" s="542">
        <f t="shared" si="183"/>
        <v>0</v>
      </c>
      <c r="AS478" s="536"/>
      <c r="AT478" s="536"/>
      <c r="AU478" s="536"/>
      <c r="AV478" s="542">
        <f t="shared" si="184"/>
        <v>0</v>
      </c>
      <c r="AW478" s="536"/>
      <c r="AX478" s="536"/>
      <c r="AY478" s="536"/>
      <c r="AZ478" s="542">
        <f t="shared" si="185"/>
        <v>0</v>
      </c>
      <c r="BA478" s="536"/>
      <c r="BB478" s="536"/>
      <c r="BC478" s="536"/>
      <c r="BD478" s="542">
        <f t="shared" si="186"/>
        <v>0</v>
      </c>
      <c r="BE478" s="536"/>
      <c r="BF478" s="536"/>
      <c r="BG478" s="536"/>
      <c r="BH478" s="542">
        <f t="shared" si="187"/>
        <v>0</v>
      </c>
      <c r="BI478" s="536"/>
      <c r="BJ478" s="536"/>
      <c r="BK478" s="536"/>
      <c r="BL478" s="542">
        <f t="shared" si="188"/>
        <v>0</v>
      </c>
      <c r="BM478" s="536"/>
      <c r="BN478" s="536"/>
      <c r="BO478" s="536"/>
      <c r="BP478" s="542">
        <f t="shared" si="189"/>
        <v>0</v>
      </c>
      <c r="BQ478" s="536"/>
      <c r="BR478" s="536"/>
      <c r="BS478" s="536"/>
      <c r="BT478" s="542">
        <f t="shared" si="190"/>
        <v>0</v>
      </c>
      <c r="BU478" s="536"/>
      <c r="BV478" s="536"/>
      <c r="BW478" s="536"/>
      <c r="BX478" s="542">
        <f t="shared" si="191"/>
        <v>0</v>
      </c>
      <c r="BY478" s="536"/>
      <c r="BZ478" s="536"/>
      <c r="CA478" s="536"/>
      <c r="CB478" s="542">
        <v>0</v>
      </c>
      <c r="CC478" s="536"/>
      <c r="CD478" s="536"/>
      <c r="CE478" s="536"/>
      <c r="CF478" s="541">
        <f t="shared" si="192"/>
        <v>0</v>
      </c>
      <c r="CG478" s="536"/>
      <c r="CH478" s="536"/>
      <c r="CI478" s="536"/>
      <c r="CJ478" s="541">
        <f t="shared" si="193"/>
        <v>0</v>
      </c>
      <c r="CK478" s="536"/>
      <c r="CL478" s="536"/>
      <c r="CM478" s="536"/>
      <c r="CN478" s="541">
        <f t="shared" si="194"/>
        <v>0</v>
      </c>
      <c r="CO478" s="536"/>
      <c r="CP478" s="536"/>
      <c r="CQ478" s="536"/>
      <c r="CR478" s="541">
        <f t="shared" si="195"/>
        <v>0</v>
      </c>
      <c r="CS478" s="536"/>
      <c r="CT478" s="536"/>
      <c r="CU478" s="536"/>
      <c r="CV478" s="541">
        <f t="shared" si="196"/>
        <v>0</v>
      </c>
      <c r="CW478" s="536"/>
      <c r="CX478" s="536"/>
      <c r="CY478" s="536"/>
      <c r="CZ478" s="541">
        <f t="shared" si="197"/>
        <v>0</v>
      </c>
      <c r="DA478" s="536"/>
      <c r="DB478" s="536"/>
      <c r="DC478" s="536"/>
      <c r="DD478" s="541">
        <f t="shared" si="198"/>
        <v>0</v>
      </c>
      <c r="DE478" s="536"/>
      <c r="DF478" s="536"/>
      <c r="DG478" s="536"/>
      <c r="DH478" s="541">
        <f t="shared" si="199"/>
        <v>0</v>
      </c>
      <c r="DI478" s="536"/>
      <c r="DJ478" s="536"/>
      <c r="DK478" s="536"/>
      <c r="DL478" s="541">
        <f t="shared" si="200"/>
        <v>0</v>
      </c>
      <c r="DM478" s="536"/>
      <c r="DN478" s="536"/>
      <c r="DO478" s="536"/>
      <c r="DP478" s="541">
        <f>IF( SUM((DJ478*(20/100))+(DK478*(30/100))+(DL478*(50/100))) &gt;=9.3,9.5,
IF(AND( SUM((DJ478*(20/100))+(DK478*(30/100))+(DL478*(50/100))) &lt;=9.3, SUM((DJ478*(20/100))+(DK478*(30/100))+(DL478*(50/100))) &gt;=8.8),9,
IF(AND( SUM((DJ478*(20/100))+(DK478*(30/100))+(DL478*(50/100))) &lt;=8.8, SUM((DJ478*(20/100))+(DK478*(30/100))+(DL478*(50/100))) &gt;=8.3),8.5,
IF(AND( SUM((DJ478*(20/100))+(DK478*(30/100))+(DL478*(50/100))) &lt;=8.3, SUM((DJ478*(20/100))+(DK478*(30/100))+(DL478*(50/100))) &gt;=7.8),8,
IF(AND( SUM((DJ478*(20/100))+(DK478*(30/100))+(DL478*(50/100))) &lt;=7.8, SUM((DJ478*(20/100))+(DK478*(30/100))+(DL478*(50/100))) &gt;=7.3),7.5,
IF(AND( SUM((DJ478*(20/100))+(DK478*(30/100))+(DL478*(50/100))) &lt;=7.3, SUM((DJ478*(20/100))+(DK478*(30/100))+(DL478*(50/100))) &gt;=6.8),7,
IF(AND( SUM((DJ478*(20/100))+(DK478*(30/100))+(DL478*(50/100))) &lt;=6.8, SUM((DJ478*(20/100))+(DK478*(30/100))+(DL478*(50/100))) &gt;=6.3),6.5,
IF(AND( SUM((DJ478*(20/100))+(DK478*(30/100))+(DL478*(50/100))) &lt;=6.3, SUM((DJ478*(20/100))+(DK478*(30/100))+(DL478*(50/100))) &gt;=5.8),6,
IF(AND( SUM((DJ478*(20/100))+(DK478*(30/100))+(DL478*(50/100))) &lt;=5.8, SUM((DJ478*(20/100))+(DK478*(30/100))+(DL478*(50/100))) &gt;=5.3),5.5,
IF(AND( SUM((DJ478*(20/100))+(DK478*(30/100))+(DL478*(50/100))) &lt;=5.3, SUM((DJ478*(20/100))+(DK478*(30/100))+(DL478*(50/100))) &gt;=4.8),5,
IF(AND( SUM((DJ478*(20/100))+(DK478*(30/100))+(DL478*(50/100))) &lt;=4.8, SUM((DJ478*(20/100))+(DK478*(30/100))+(DL478*(50/100))) &gt;=4.3),4.5,
IF(AND( SUM((DJ478*(20/100))+(DK478*(30/100))+(DL478*(50/100))) &lt;=4.3, SUM((DJ478*(20/100))+(DK478*(30/100))+(DL478*(50/100))) &gt;=3.8),4,
IF(AND( SUM((DJ478*(20/100))+(DK478*(30/100))+(DL478*(50/100))) &lt;=3.8, SUM((DJ478*(20/100))+(DK478*(30/100))+(DL478*(50/100))) &gt;=3.5),3.5,0)))))))))))))</f>
        <v>0</v>
      </c>
      <c r="DQ478" s="541"/>
      <c r="DR478" s="541"/>
      <c r="DS478" s="541"/>
      <c r="DT478" s="541"/>
      <c r="DU478" s="541"/>
      <c r="DV478" s="541"/>
      <c r="DW478" s="541"/>
      <c r="DX478" s="541"/>
      <c r="DY478" s="541"/>
      <c r="DZ478" s="541"/>
    </row>
    <row r="479" spans="2:130" x14ac:dyDescent="0.25">
      <c r="B479" s="334">
        <v>22</v>
      </c>
      <c r="C479" s="541"/>
      <c r="D479" s="334"/>
      <c r="E479" s="334"/>
      <c r="F479" s="334"/>
      <c r="G479" s="334"/>
      <c r="H479" s="334"/>
      <c r="I479" s="334"/>
      <c r="J479" s="536"/>
      <c r="K479" s="536"/>
      <c r="L479" s="536"/>
      <c r="M479" s="536"/>
      <c r="N479" s="536"/>
      <c r="O479" s="536"/>
      <c r="P479" s="536">
        <f t="shared" si="176"/>
        <v>0</v>
      </c>
      <c r="Q479" s="536"/>
      <c r="R479" s="536"/>
      <c r="S479" s="536"/>
      <c r="T479" s="536">
        <f t="shared" si="177"/>
        <v>0</v>
      </c>
      <c r="U479" s="536"/>
      <c r="V479" s="536"/>
      <c r="W479" s="536"/>
      <c r="X479" s="536">
        <f t="shared" si="178"/>
        <v>0</v>
      </c>
      <c r="Y479" s="536"/>
      <c r="Z479" s="536"/>
      <c r="AA479" s="536"/>
      <c r="AB479" s="536">
        <f t="shared" si="179"/>
        <v>0</v>
      </c>
      <c r="AC479" s="536"/>
      <c r="AD479" s="536"/>
      <c r="AE479" s="536"/>
      <c r="AF479" s="536">
        <f t="shared" si="180"/>
        <v>0</v>
      </c>
      <c r="AG479" s="536"/>
      <c r="AH479" s="536"/>
      <c r="AI479" s="536"/>
      <c r="AJ479" s="536">
        <f t="shared" si="181"/>
        <v>0</v>
      </c>
      <c r="AK479" s="536"/>
      <c r="AL479" s="536"/>
      <c r="AM479" s="536"/>
      <c r="AN479" s="542">
        <f t="shared" si="182"/>
        <v>0</v>
      </c>
      <c r="AO479" s="536"/>
      <c r="AP479" s="536"/>
      <c r="AQ479" s="536"/>
      <c r="AR479" s="542">
        <f t="shared" si="183"/>
        <v>0</v>
      </c>
      <c r="AS479" s="536"/>
      <c r="AT479" s="536"/>
      <c r="AU479" s="536"/>
      <c r="AV479" s="542">
        <f t="shared" si="184"/>
        <v>0</v>
      </c>
      <c r="AW479" s="536"/>
      <c r="AX479" s="536"/>
      <c r="AY479" s="536"/>
      <c r="AZ479" s="542">
        <f t="shared" si="185"/>
        <v>0</v>
      </c>
      <c r="BA479" s="536"/>
      <c r="BB479" s="536"/>
      <c r="BC479" s="536"/>
      <c r="BD479" s="542">
        <f t="shared" si="186"/>
        <v>0</v>
      </c>
      <c r="BE479" s="536"/>
      <c r="BF479" s="536"/>
      <c r="BG479" s="536"/>
      <c r="BH479" s="542">
        <f t="shared" si="187"/>
        <v>0</v>
      </c>
      <c r="BI479" s="536"/>
      <c r="BJ479" s="536"/>
      <c r="BK479" s="536"/>
      <c r="BL479" s="542">
        <f t="shared" si="188"/>
        <v>0</v>
      </c>
      <c r="BM479" s="536"/>
      <c r="BN479" s="536"/>
      <c r="BO479" s="536"/>
      <c r="BP479" s="542">
        <f t="shared" si="189"/>
        <v>0</v>
      </c>
      <c r="BQ479" s="536"/>
      <c r="BR479" s="536"/>
      <c r="BS479" s="536"/>
      <c r="BT479" s="542">
        <f t="shared" si="190"/>
        <v>0</v>
      </c>
      <c r="BU479" s="536"/>
      <c r="BV479" s="536"/>
      <c r="BW479" s="536"/>
      <c r="BX479" s="542">
        <f t="shared" si="191"/>
        <v>0</v>
      </c>
      <c r="BY479" s="536"/>
      <c r="BZ479" s="536"/>
      <c r="CA479" s="536"/>
      <c r="CB479" s="542">
        <v>0</v>
      </c>
      <c r="CC479" s="536"/>
      <c r="CD479" s="536"/>
      <c r="CE479" s="536"/>
      <c r="CF479" s="541">
        <f t="shared" si="192"/>
        <v>0</v>
      </c>
      <c r="CG479" s="536"/>
      <c r="CH479" s="536"/>
      <c r="CI479" s="536"/>
      <c r="CJ479" s="541">
        <f t="shared" si="193"/>
        <v>0</v>
      </c>
      <c r="CK479" s="536"/>
      <c r="CL479" s="536"/>
      <c r="CM479" s="536"/>
      <c r="CN479" s="541">
        <f t="shared" si="194"/>
        <v>0</v>
      </c>
      <c r="CO479" s="536"/>
      <c r="CP479" s="536"/>
      <c r="CQ479" s="536"/>
      <c r="CR479" s="541">
        <f t="shared" si="195"/>
        <v>0</v>
      </c>
      <c r="CS479" s="536"/>
      <c r="CT479" s="536"/>
      <c r="CU479" s="536"/>
      <c r="CV479" s="541">
        <f t="shared" si="196"/>
        <v>0</v>
      </c>
      <c r="CW479" s="536"/>
      <c r="CX479" s="536"/>
      <c r="CY479" s="536"/>
      <c r="CZ479" s="541">
        <f t="shared" si="197"/>
        <v>0</v>
      </c>
      <c r="DA479" s="536"/>
      <c r="DB479" s="536"/>
      <c r="DC479" s="536"/>
      <c r="DD479" s="541">
        <f t="shared" si="198"/>
        <v>0</v>
      </c>
      <c r="DE479" s="536"/>
      <c r="DF479" s="536"/>
      <c r="DG479" s="536"/>
      <c r="DH479" s="541">
        <f t="shared" si="199"/>
        <v>0</v>
      </c>
      <c r="DI479" s="536"/>
      <c r="DJ479" s="536"/>
      <c r="DK479" s="536"/>
      <c r="DL479" s="541">
        <f t="shared" si="200"/>
        <v>0</v>
      </c>
      <c r="DM479" s="536"/>
      <c r="DN479" s="536"/>
      <c r="DO479" s="536"/>
      <c r="DP479" s="541">
        <f>IF( SUM((DJ479*(20/100))+(DK479*(30/100))+(DL479*(50/100))) &gt;=9.3,9.5,
IF(AND( SUM((DJ479*(20/100))+(DK479*(30/100))+(DL479*(50/100))) &lt;=9.3, SUM((DJ479*(20/100))+(DK479*(30/100))+(DL479*(50/100))) &gt;=8.8),9,
IF(AND( SUM((DJ479*(20/100))+(DK479*(30/100))+(DL479*(50/100))) &lt;=8.8, SUM((DJ479*(20/100))+(DK479*(30/100))+(DL479*(50/100))) &gt;=8.3),8.5,
IF(AND( SUM((DJ479*(20/100))+(DK479*(30/100))+(DL479*(50/100))) &lt;=8.3, SUM((DJ479*(20/100))+(DK479*(30/100))+(DL479*(50/100))) &gt;=7.8),8,
IF(AND( SUM((DJ479*(20/100))+(DK479*(30/100))+(DL479*(50/100))) &lt;=7.8, SUM((DJ479*(20/100))+(DK479*(30/100))+(DL479*(50/100))) &gt;=7.3),7.5,
IF(AND( SUM((DJ479*(20/100))+(DK479*(30/100))+(DL479*(50/100))) &lt;=7.3, SUM((DJ479*(20/100))+(DK479*(30/100))+(DL479*(50/100))) &gt;=6.8),7,
IF(AND( SUM((DJ479*(20/100))+(DK479*(30/100))+(DL479*(50/100))) &lt;=6.8, SUM((DJ479*(20/100))+(DK479*(30/100))+(DL479*(50/100))) &gt;=6.3),6.5,
IF(AND( SUM((DJ479*(20/100))+(DK479*(30/100))+(DL479*(50/100))) &lt;=6.3, SUM((DJ479*(20/100))+(DK479*(30/100))+(DL479*(50/100))) &gt;=5.8),6,
IF(AND( SUM((DJ479*(20/100))+(DK479*(30/100))+(DL479*(50/100))) &lt;=5.8, SUM((DJ479*(20/100))+(DK479*(30/100))+(DL479*(50/100))) &gt;=5.3),5.5,
IF(AND( SUM((DJ479*(20/100))+(DK479*(30/100))+(DL479*(50/100))) &lt;=5.3, SUM((DJ479*(20/100))+(DK479*(30/100))+(DL479*(50/100))) &gt;=4.8),5,
IF(AND( SUM((DJ479*(20/100))+(DK479*(30/100))+(DL479*(50/100))) &lt;=4.8, SUM((DJ479*(20/100))+(DK479*(30/100))+(DL479*(50/100))) &gt;=4.3),4.5,
IF(AND( SUM((DJ479*(20/100))+(DK479*(30/100))+(DL479*(50/100))) &lt;=4.3, SUM((DJ479*(20/100))+(DK479*(30/100))+(DL479*(50/100))) &gt;=3.8),4,
IF(AND( SUM((DJ479*(20/100))+(DK479*(30/100))+(DL479*(50/100))) &lt;=3.8, SUM((DJ479*(20/100))+(DK479*(30/100))+(DL479*(50/100))) &gt;=3.5),3.5,0)))))))))))))</f>
        <v>0</v>
      </c>
      <c r="DQ479" s="541"/>
      <c r="DR479" s="541"/>
      <c r="DS479" s="541"/>
      <c r="DT479" s="541"/>
      <c r="DU479" s="541"/>
      <c r="DV479" s="541"/>
      <c r="DW479" s="541"/>
      <c r="DX479" s="541"/>
      <c r="DY479" s="541"/>
      <c r="DZ479" s="541"/>
    </row>
    <row r="480" spans="2:130" x14ac:dyDescent="0.25">
      <c r="B480" s="334">
        <v>23</v>
      </c>
      <c r="C480" s="541"/>
      <c r="D480" s="334"/>
      <c r="E480" s="334"/>
      <c r="F480" s="334"/>
      <c r="G480" s="334"/>
      <c r="H480" s="334"/>
      <c r="I480" s="334"/>
      <c r="J480" s="536"/>
      <c r="K480" s="536"/>
      <c r="L480" s="536"/>
      <c r="M480" s="536"/>
      <c r="N480" s="536"/>
      <c r="O480" s="536"/>
      <c r="P480" s="536">
        <f t="shared" si="176"/>
        <v>0</v>
      </c>
      <c r="Q480" s="536"/>
      <c r="R480" s="536"/>
      <c r="S480" s="536"/>
      <c r="T480" s="536">
        <f t="shared" si="177"/>
        <v>0</v>
      </c>
      <c r="U480" s="536"/>
      <c r="V480" s="536"/>
      <c r="W480" s="536"/>
      <c r="X480" s="536">
        <f t="shared" si="178"/>
        <v>0</v>
      </c>
      <c r="Y480" s="536"/>
      <c r="Z480" s="536"/>
      <c r="AA480" s="536"/>
      <c r="AB480" s="536">
        <f t="shared" si="179"/>
        <v>0</v>
      </c>
      <c r="AC480" s="536"/>
      <c r="AD480" s="536"/>
      <c r="AE480" s="536"/>
      <c r="AF480" s="536">
        <f t="shared" si="180"/>
        <v>0</v>
      </c>
      <c r="AG480" s="536"/>
      <c r="AH480" s="536"/>
      <c r="AI480" s="536"/>
      <c r="AJ480" s="536">
        <f t="shared" si="181"/>
        <v>0</v>
      </c>
      <c r="AK480" s="536"/>
      <c r="AL480" s="536"/>
      <c r="AM480" s="536"/>
      <c r="AN480" s="542">
        <f t="shared" si="182"/>
        <v>0</v>
      </c>
      <c r="AO480" s="536"/>
      <c r="AP480" s="536"/>
      <c r="AQ480" s="536"/>
      <c r="AR480" s="542">
        <f t="shared" si="183"/>
        <v>0</v>
      </c>
      <c r="AS480" s="536"/>
      <c r="AT480" s="536"/>
      <c r="AU480" s="536"/>
      <c r="AV480" s="542">
        <f t="shared" si="184"/>
        <v>0</v>
      </c>
      <c r="AW480" s="536"/>
      <c r="AX480" s="536"/>
      <c r="AY480" s="536"/>
      <c r="AZ480" s="542">
        <f t="shared" si="185"/>
        <v>0</v>
      </c>
      <c r="BA480" s="536"/>
      <c r="BB480" s="536"/>
      <c r="BC480" s="536"/>
      <c r="BD480" s="542">
        <f t="shared" si="186"/>
        <v>0</v>
      </c>
      <c r="BE480" s="536"/>
      <c r="BF480" s="536"/>
      <c r="BG480" s="536"/>
      <c r="BH480" s="542">
        <f t="shared" si="187"/>
        <v>0</v>
      </c>
      <c r="BI480" s="536"/>
      <c r="BJ480" s="536"/>
      <c r="BK480" s="536"/>
      <c r="BL480" s="542">
        <f t="shared" si="188"/>
        <v>0</v>
      </c>
      <c r="BM480" s="536"/>
      <c r="BN480" s="536"/>
      <c r="BO480" s="536"/>
      <c r="BP480" s="542">
        <f t="shared" si="189"/>
        <v>0</v>
      </c>
      <c r="BQ480" s="536"/>
      <c r="BR480" s="536"/>
      <c r="BS480" s="536"/>
      <c r="BT480" s="542">
        <f t="shared" si="190"/>
        <v>0</v>
      </c>
      <c r="BU480" s="536"/>
      <c r="BV480" s="536"/>
      <c r="BW480" s="536"/>
      <c r="BX480" s="542">
        <f t="shared" si="191"/>
        <v>0</v>
      </c>
      <c r="BY480" s="536"/>
      <c r="BZ480" s="536"/>
      <c r="CA480" s="536"/>
      <c r="CB480" s="542">
        <v>0</v>
      </c>
      <c r="CC480" s="536"/>
      <c r="CD480" s="536"/>
      <c r="CE480" s="536"/>
      <c r="CF480" s="541">
        <f t="shared" si="192"/>
        <v>0</v>
      </c>
      <c r="CG480" s="536"/>
      <c r="CH480" s="536"/>
      <c r="CI480" s="536"/>
      <c r="CJ480" s="541">
        <f t="shared" si="193"/>
        <v>0</v>
      </c>
      <c r="CK480" s="536"/>
      <c r="CL480" s="536"/>
      <c r="CM480" s="536"/>
      <c r="CN480" s="541">
        <f t="shared" si="194"/>
        <v>0</v>
      </c>
      <c r="CO480" s="536"/>
      <c r="CP480" s="536"/>
      <c r="CQ480" s="536"/>
      <c r="CR480" s="541">
        <f t="shared" si="195"/>
        <v>0</v>
      </c>
      <c r="CS480" s="536"/>
      <c r="CT480" s="536"/>
      <c r="CU480" s="536"/>
      <c r="CV480" s="541">
        <f t="shared" si="196"/>
        <v>0</v>
      </c>
      <c r="CW480" s="536"/>
      <c r="CX480" s="536"/>
      <c r="CY480" s="536"/>
      <c r="CZ480" s="541">
        <f t="shared" si="197"/>
        <v>0</v>
      </c>
      <c r="DA480" s="536"/>
      <c r="DB480" s="536"/>
      <c r="DC480" s="536"/>
      <c r="DD480" s="541">
        <f t="shared" si="198"/>
        <v>0</v>
      </c>
      <c r="DE480" s="536"/>
      <c r="DF480" s="536"/>
      <c r="DG480" s="536"/>
      <c r="DH480" s="541">
        <f t="shared" si="199"/>
        <v>0</v>
      </c>
      <c r="DI480" s="536"/>
      <c r="DJ480" s="536"/>
      <c r="DK480" s="536"/>
      <c r="DL480" s="541">
        <f t="shared" si="200"/>
        <v>0</v>
      </c>
      <c r="DM480" s="536"/>
      <c r="DN480" s="536"/>
      <c r="DO480" s="536"/>
      <c r="DP480" s="541">
        <f>IF( SUM((DJ480*(20/100))+(DK480*(30/100))+(DL480*(50/100))) &gt;=9.3,9.5,
IF(AND( SUM((DJ480*(20/100))+(DK480*(30/100))+(DL480*(50/100))) &lt;=9.3, SUM((DJ480*(20/100))+(DK480*(30/100))+(DL480*(50/100))) &gt;=8.8),9,
IF(AND( SUM((DJ480*(20/100))+(DK480*(30/100))+(DL480*(50/100))) &lt;=8.8, SUM((DJ480*(20/100))+(DK480*(30/100))+(DL480*(50/100))) &gt;=8.3),8.5,
IF(AND( SUM((DJ480*(20/100))+(DK480*(30/100))+(DL480*(50/100))) &lt;=8.3, SUM((DJ480*(20/100))+(DK480*(30/100))+(DL480*(50/100))) &gt;=7.8),8,
IF(AND( SUM((DJ480*(20/100))+(DK480*(30/100))+(DL480*(50/100))) &lt;=7.8, SUM((DJ480*(20/100))+(DK480*(30/100))+(DL480*(50/100))) &gt;=7.3),7.5,
IF(AND( SUM((DJ480*(20/100))+(DK480*(30/100))+(DL480*(50/100))) &lt;=7.3, SUM((DJ480*(20/100))+(DK480*(30/100))+(DL480*(50/100))) &gt;=6.8),7,
IF(AND( SUM((DJ480*(20/100))+(DK480*(30/100))+(DL480*(50/100))) &lt;=6.8, SUM((DJ480*(20/100))+(DK480*(30/100))+(DL480*(50/100))) &gt;=6.3),6.5,
IF(AND( SUM((DJ480*(20/100))+(DK480*(30/100))+(DL480*(50/100))) &lt;=6.3, SUM((DJ480*(20/100))+(DK480*(30/100))+(DL480*(50/100))) &gt;=5.8),6,
IF(AND( SUM((DJ480*(20/100))+(DK480*(30/100))+(DL480*(50/100))) &lt;=5.8, SUM((DJ480*(20/100))+(DK480*(30/100))+(DL480*(50/100))) &gt;=5.3),5.5,
IF(AND( SUM((DJ480*(20/100))+(DK480*(30/100))+(DL480*(50/100))) &lt;=5.3, SUM((DJ480*(20/100))+(DK480*(30/100))+(DL480*(50/100))) &gt;=4.8),5,
IF(AND( SUM((DJ480*(20/100))+(DK480*(30/100))+(DL480*(50/100))) &lt;=4.8, SUM((DJ480*(20/100))+(DK480*(30/100))+(DL480*(50/100))) &gt;=4.3),4.5,
IF(AND( SUM((DJ480*(20/100))+(DK480*(30/100))+(DL480*(50/100))) &lt;=4.3, SUM((DJ480*(20/100))+(DK480*(30/100))+(DL480*(50/100))) &gt;=3.8),4,
IF(AND( SUM((DJ480*(20/100))+(DK480*(30/100))+(DL480*(50/100))) &lt;=3.8, SUM((DJ480*(20/100))+(DK480*(30/100))+(DL480*(50/100))) &gt;=3.5),3.5,0)))))))))))))</f>
        <v>0</v>
      </c>
      <c r="DQ480" s="541"/>
      <c r="DR480" s="541"/>
      <c r="DS480" s="541"/>
      <c r="DT480" s="541"/>
      <c r="DU480" s="541"/>
      <c r="DV480" s="541"/>
      <c r="DW480" s="541"/>
      <c r="DX480" s="541"/>
      <c r="DY480" s="541"/>
      <c r="DZ480" s="541"/>
    </row>
    <row r="481" spans="2:130" x14ac:dyDescent="0.25">
      <c r="B481" s="334">
        <v>24</v>
      </c>
      <c r="C481" s="541"/>
      <c r="D481" s="334"/>
      <c r="E481" s="334"/>
      <c r="F481" s="334"/>
      <c r="G481" s="334"/>
      <c r="H481" s="334"/>
      <c r="I481" s="334"/>
      <c r="J481" s="536"/>
      <c r="K481" s="536"/>
      <c r="L481" s="536"/>
      <c r="M481" s="536"/>
      <c r="N481" s="536"/>
      <c r="O481" s="536"/>
      <c r="P481" s="536">
        <f t="shared" si="176"/>
        <v>0</v>
      </c>
      <c r="Q481" s="536"/>
      <c r="R481" s="536"/>
      <c r="S481" s="536"/>
      <c r="T481" s="536">
        <f t="shared" si="177"/>
        <v>0</v>
      </c>
      <c r="U481" s="536"/>
      <c r="V481" s="536"/>
      <c r="W481" s="536"/>
      <c r="X481" s="536">
        <f t="shared" si="178"/>
        <v>0</v>
      </c>
      <c r="Y481" s="536"/>
      <c r="Z481" s="536"/>
      <c r="AA481" s="536"/>
      <c r="AB481" s="536">
        <f t="shared" si="179"/>
        <v>0</v>
      </c>
      <c r="AC481" s="536"/>
      <c r="AD481" s="536"/>
      <c r="AE481" s="536"/>
      <c r="AF481" s="536">
        <f t="shared" si="180"/>
        <v>0</v>
      </c>
      <c r="AG481" s="536"/>
      <c r="AH481" s="536"/>
      <c r="AI481" s="536"/>
      <c r="AJ481" s="536">
        <f t="shared" si="181"/>
        <v>0</v>
      </c>
      <c r="AK481" s="536"/>
      <c r="AL481" s="536"/>
      <c r="AM481" s="536"/>
      <c r="AN481" s="542">
        <f t="shared" si="182"/>
        <v>0</v>
      </c>
      <c r="AO481" s="536"/>
      <c r="AP481" s="536"/>
      <c r="AQ481" s="536"/>
      <c r="AR481" s="542">
        <f t="shared" si="183"/>
        <v>0</v>
      </c>
      <c r="AS481" s="536"/>
      <c r="AT481" s="536"/>
      <c r="AU481" s="536"/>
      <c r="AV481" s="542">
        <f t="shared" si="184"/>
        <v>0</v>
      </c>
      <c r="AW481" s="536"/>
      <c r="AX481" s="536"/>
      <c r="AY481" s="536"/>
      <c r="AZ481" s="542">
        <f t="shared" si="185"/>
        <v>0</v>
      </c>
      <c r="BA481" s="536"/>
      <c r="BB481" s="536"/>
      <c r="BC481" s="536"/>
      <c r="BD481" s="542">
        <f t="shared" si="186"/>
        <v>0</v>
      </c>
      <c r="BE481" s="536"/>
      <c r="BF481" s="536"/>
      <c r="BG481" s="536"/>
      <c r="BH481" s="542">
        <f t="shared" si="187"/>
        <v>0</v>
      </c>
      <c r="BI481" s="536"/>
      <c r="BJ481" s="536"/>
      <c r="BK481" s="536"/>
      <c r="BL481" s="542">
        <f t="shared" si="188"/>
        <v>0</v>
      </c>
      <c r="BM481" s="536"/>
      <c r="BN481" s="536"/>
      <c r="BO481" s="536"/>
      <c r="BP481" s="542">
        <f t="shared" si="189"/>
        <v>0</v>
      </c>
      <c r="BQ481" s="536"/>
      <c r="BR481" s="536"/>
      <c r="BS481" s="536"/>
      <c r="BT481" s="542">
        <f t="shared" si="190"/>
        <v>0</v>
      </c>
      <c r="BU481" s="536"/>
      <c r="BV481" s="536"/>
      <c r="BW481" s="536"/>
      <c r="BX481" s="542">
        <f t="shared" si="191"/>
        <v>0</v>
      </c>
      <c r="BY481" s="536"/>
      <c r="BZ481" s="536"/>
      <c r="CA481" s="536"/>
      <c r="CB481" s="542">
        <v>0</v>
      </c>
      <c r="CC481" s="536"/>
      <c r="CD481" s="536"/>
      <c r="CE481" s="536"/>
      <c r="CF481" s="541">
        <f t="shared" si="192"/>
        <v>0</v>
      </c>
      <c r="CG481" s="536"/>
      <c r="CH481" s="536"/>
      <c r="CI481" s="536"/>
      <c r="CJ481" s="541">
        <f t="shared" si="193"/>
        <v>0</v>
      </c>
      <c r="CK481" s="536"/>
      <c r="CL481" s="536"/>
      <c r="CM481" s="536"/>
      <c r="CN481" s="541">
        <f t="shared" si="194"/>
        <v>0</v>
      </c>
      <c r="CO481" s="536"/>
      <c r="CP481" s="536"/>
      <c r="CQ481" s="536"/>
      <c r="CR481" s="541">
        <f t="shared" si="195"/>
        <v>0</v>
      </c>
      <c r="CS481" s="536"/>
      <c r="CT481" s="536"/>
      <c r="CU481" s="536"/>
      <c r="CV481" s="541">
        <f t="shared" si="196"/>
        <v>0</v>
      </c>
      <c r="CW481" s="536"/>
      <c r="CX481" s="536"/>
      <c r="CY481" s="536"/>
      <c r="CZ481" s="541">
        <f t="shared" si="197"/>
        <v>0</v>
      </c>
      <c r="DA481" s="536"/>
      <c r="DB481" s="536"/>
      <c r="DC481" s="536"/>
      <c r="DD481" s="541">
        <f t="shared" si="198"/>
        <v>0</v>
      </c>
      <c r="DE481" s="536"/>
      <c r="DF481" s="536"/>
      <c r="DG481" s="536"/>
      <c r="DH481" s="541">
        <f t="shared" si="199"/>
        <v>0</v>
      </c>
      <c r="DI481" s="536"/>
      <c r="DJ481" s="536"/>
      <c r="DK481" s="536"/>
      <c r="DL481" s="541">
        <f t="shared" si="200"/>
        <v>0</v>
      </c>
      <c r="DM481" s="536"/>
      <c r="DN481" s="536"/>
      <c r="DO481" s="536"/>
      <c r="DP481" s="541">
        <f>IF( SUM((DJ481*(20/100))+(DK481*(30/100))+(DL481*(50/100))) &gt;=9.3,9.5,
IF(AND( SUM((DJ481*(20/100))+(DK481*(30/100))+(DL481*(50/100))) &lt;=9.3, SUM((DJ481*(20/100))+(DK481*(30/100))+(DL481*(50/100))) &gt;=8.8),9,
IF(AND( SUM((DJ481*(20/100))+(DK481*(30/100))+(DL481*(50/100))) &lt;=8.8, SUM((DJ481*(20/100))+(DK481*(30/100))+(DL481*(50/100))) &gt;=8.3),8.5,
IF(AND( SUM((DJ481*(20/100))+(DK481*(30/100))+(DL481*(50/100))) &lt;=8.3, SUM((DJ481*(20/100))+(DK481*(30/100))+(DL481*(50/100))) &gt;=7.8),8,
IF(AND( SUM((DJ481*(20/100))+(DK481*(30/100))+(DL481*(50/100))) &lt;=7.8, SUM((DJ481*(20/100))+(DK481*(30/100))+(DL481*(50/100))) &gt;=7.3),7.5,
IF(AND( SUM((DJ481*(20/100))+(DK481*(30/100))+(DL481*(50/100))) &lt;=7.3, SUM((DJ481*(20/100))+(DK481*(30/100))+(DL481*(50/100))) &gt;=6.8),7,
IF(AND( SUM((DJ481*(20/100))+(DK481*(30/100))+(DL481*(50/100))) &lt;=6.8, SUM((DJ481*(20/100))+(DK481*(30/100))+(DL481*(50/100))) &gt;=6.3),6.5,
IF(AND( SUM((DJ481*(20/100))+(DK481*(30/100))+(DL481*(50/100))) &lt;=6.3, SUM((DJ481*(20/100))+(DK481*(30/100))+(DL481*(50/100))) &gt;=5.8),6,
IF(AND( SUM((DJ481*(20/100))+(DK481*(30/100))+(DL481*(50/100))) &lt;=5.8, SUM((DJ481*(20/100))+(DK481*(30/100))+(DL481*(50/100))) &gt;=5.3),5.5,
IF(AND( SUM((DJ481*(20/100))+(DK481*(30/100))+(DL481*(50/100))) &lt;=5.3, SUM((DJ481*(20/100))+(DK481*(30/100))+(DL481*(50/100))) &gt;=4.8),5,
IF(AND( SUM((DJ481*(20/100))+(DK481*(30/100))+(DL481*(50/100))) &lt;=4.8, SUM((DJ481*(20/100))+(DK481*(30/100))+(DL481*(50/100))) &gt;=4.3),4.5,
IF(AND( SUM((DJ481*(20/100))+(DK481*(30/100))+(DL481*(50/100))) &lt;=4.3, SUM((DJ481*(20/100))+(DK481*(30/100))+(DL481*(50/100))) &gt;=3.8),4,
IF(AND( SUM((DJ481*(20/100))+(DK481*(30/100))+(DL481*(50/100))) &lt;=3.8, SUM((DJ481*(20/100))+(DK481*(30/100))+(DL481*(50/100))) &gt;=3.5),3.5,0)))))))))))))</f>
        <v>0</v>
      </c>
      <c r="DQ481" s="541"/>
      <c r="DR481" s="541"/>
      <c r="DS481" s="541"/>
      <c r="DT481" s="541"/>
      <c r="DU481" s="541"/>
      <c r="DV481" s="541"/>
      <c r="DW481" s="541"/>
      <c r="DX481" s="541"/>
      <c r="DY481" s="541"/>
      <c r="DZ481" s="541"/>
    </row>
    <row r="482" spans="2:130" x14ac:dyDescent="0.25">
      <c r="B482" s="334">
        <v>25</v>
      </c>
      <c r="C482" s="541"/>
      <c r="D482" s="334"/>
      <c r="E482" s="334"/>
      <c r="F482" s="334"/>
      <c r="G482" s="334"/>
      <c r="H482" s="334"/>
      <c r="I482" s="334"/>
      <c r="J482" s="536"/>
      <c r="K482" s="536"/>
      <c r="L482" s="536"/>
      <c r="M482" s="536"/>
      <c r="N482" s="536"/>
      <c r="O482" s="536"/>
      <c r="P482" s="536">
        <f t="shared" si="176"/>
        <v>0</v>
      </c>
      <c r="Q482" s="536"/>
      <c r="R482" s="536"/>
      <c r="S482" s="536"/>
      <c r="T482" s="536">
        <f t="shared" si="177"/>
        <v>0</v>
      </c>
      <c r="U482" s="536"/>
      <c r="V482" s="536"/>
      <c r="W482" s="536"/>
      <c r="X482" s="536">
        <f t="shared" si="178"/>
        <v>0</v>
      </c>
      <c r="Y482" s="536"/>
      <c r="Z482" s="536"/>
      <c r="AA482" s="536"/>
      <c r="AB482" s="536">
        <f t="shared" si="179"/>
        <v>0</v>
      </c>
      <c r="AC482" s="536"/>
      <c r="AD482" s="536"/>
      <c r="AE482" s="536"/>
      <c r="AF482" s="536">
        <f t="shared" si="180"/>
        <v>0</v>
      </c>
      <c r="AG482" s="536"/>
      <c r="AH482" s="536"/>
      <c r="AI482" s="536"/>
      <c r="AJ482" s="536">
        <f t="shared" si="181"/>
        <v>0</v>
      </c>
      <c r="AK482" s="536"/>
      <c r="AL482" s="536"/>
      <c r="AM482" s="536"/>
      <c r="AN482" s="542">
        <f t="shared" si="182"/>
        <v>0</v>
      </c>
      <c r="AO482" s="536"/>
      <c r="AP482" s="536"/>
      <c r="AQ482" s="536"/>
      <c r="AR482" s="542">
        <f t="shared" si="183"/>
        <v>0</v>
      </c>
      <c r="AS482" s="536"/>
      <c r="AT482" s="536"/>
      <c r="AU482" s="536"/>
      <c r="AV482" s="542">
        <f t="shared" si="184"/>
        <v>0</v>
      </c>
      <c r="AW482" s="536"/>
      <c r="AX482" s="536"/>
      <c r="AY482" s="536"/>
      <c r="AZ482" s="542">
        <f t="shared" si="185"/>
        <v>0</v>
      </c>
      <c r="BA482" s="536"/>
      <c r="BB482" s="536"/>
      <c r="BC482" s="536"/>
      <c r="BD482" s="542">
        <f t="shared" si="186"/>
        <v>0</v>
      </c>
      <c r="BE482" s="536"/>
      <c r="BF482" s="536"/>
      <c r="BG482" s="536"/>
      <c r="BH482" s="542">
        <f t="shared" si="187"/>
        <v>0</v>
      </c>
      <c r="BI482" s="536"/>
      <c r="BJ482" s="536"/>
      <c r="BK482" s="536"/>
      <c r="BL482" s="542">
        <f t="shared" si="188"/>
        <v>0</v>
      </c>
      <c r="BM482" s="536"/>
      <c r="BN482" s="536"/>
      <c r="BO482" s="536"/>
      <c r="BP482" s="542">
        <f t="shared" si="189"/>
        <v>0</v>
      </c>
      <c r="BQ482" s="536"/>
      <c r="BR482" s="536"/>
      <c r="BS482" s="536"/>
      <c r="BT482" s="542">
        <f t="shared" si="190"/>
        <v>0</v>
      </c>
      <c r="BU482" s="536"/>
      <c r="BV482" s="536"/>
      <c r="BW482" s="536"/>
      <c r="BX482" s="542">
        <f t="shared" si="191"/>
        <v>0</v>
      </c>
      <c r="BY482" s="536"/>
      <c r="BZ482" s="536"/>
      <c r="CA482" s="536"/>
      <c r="CB482" s="542">
        <v>0</v>
      </c>
      <c r="CC482" s="536"/>
      <c r="CD482" s="536"/>
      <c r="CE482" s="536"/>
      <c r="CF482" s="541">
        <f t="shared" si="192"/>
        <v>0</v>
      </c>
      <c r="CG482" s="536"/>
      <c r="CH482" s="536"/>
      <c r="CI482" s="536"/>
      <c r="CJ482" s="541">
        <f t="shared" si="193"/>
        <v>0</v>
      </c>
      <c r="CK482" s="536"/>
      <c r="CL482" s="536"/>
      <c r="CM482" s="536"/>
      <c r="CN482" s="541">
        <f t="shared" si="194"/>
        <v>0</v>
      </c>
      <c r="CO482" s="536"/>
      <c r="CP482" s="536"/>
      <c r="CQ482" s="536"/>
      <c r="CR482" s="541">
        <f t="shared" si="195"/>
        <v>0</v>
      </c>
      <c r="CS482" s="536"/>
      <c r="CT482" s="536"/>
      <c r="CU482" s="536"/>
      <c r="CV482" s="541">
        <f t="shared" si="196"/>
        <v>0</v>
      </c>
      <c r="CW482" s="536"/>
      <c r="CX482" s="536"/>
      <c r="CY482" s="536"/>
      <c r="CZ482" s="541">
        <f t="shared" si="197"/>
        <v>0</v>
      </c>
      <c r="DA482" s="536"/>
      <c r="DB482" s="536"/>
      <c r="DC482" s="536"/>
      <c r="DD482" s="541">
        <f t="shared" si="198"/>
        <v>0</v>
      </c>
      <c r="DE482" s="536"/>
      <c r="DF482" s="536"/>
      <c r="DG482" s="536"/>
      <c r="DH482" s="541">
        <f t="shared" si="199"/>
        <v>0</v>
      </c>
      <c r="DI482" s="536"/>
      <c r="DJ482" s="536"/>
      <c r="DK482" s="536"/>
      <c r="DL482" s="541">
        <f t="shared" si="200"/>
        <v>0</v>
      </c>
      <c r="DM482" s="536"/>
      <c r="DN482" s="536"/>
      <c r="DO482" s="536"/>
      <c r="DP482" s="541">
        <f>IF( SUM((DJ482*(20/100))+(DK482*(30/100))+(DL482*(50/100))) &gt;=9.3,9.5,
IF(AND( SUM((DJ482*(20/100))+(DK482*(30/100))+(DL482*(50/100))) &lt;=9.3, SUM((DJ482*(20/100))+(DK482*(30/100))+(DL482*(50/100))) &gt;=8.8),9,
IF(AND( SUM((DJ482*(20/100))+(DK482*(30/100))+(DL482*(50/100))) &lt;=8.8, SUM((DJ482*(20/100))+(DK482*(30/100))+(DL482*(50/100))) &gt;=8.3),8.5,
IF(AND( SUM((DJ482*(20/100))+(DK482*(30/100))+(DL482*(50/100))) &lt;=8.3, SUM((DJ482*(20/100))+(DK482*(30/100))+(DL482*(50/100))) &gt;=7.8),8,
IF(AND( SUM((DJ482*(20/100))+(DK482*(30/100))+(DL482*(50/100))) &lt;=7.8, SUM((DJ482*(20/100))+(DK482*(30/100))+(DL482*(50/100))) &gt;=7.3),7.5,
IF(AND( SUM((DJ482*(20/100))+(DK482*(30/100))+(DL482*(50/100))) &lt;=7.3, SUM((DJ482*(20/100))+(DK482*(30/100))+(DL482*(50/100))) &gt;=6.8),7,
IF(AND( SUM((DJ482*(20/100))+(DK482*(30/100))+(DL482*(50/100))) &lt;=6.8, SUM((DJ482*(20/100))+(DK482*(30/100))+(DL482*(50/100))) &gt;=6.3),6.5,
IF(AND( SUM((DJ482*(20/100))+(DK482*(30/100))+(DL482*(50/100))) &lt;=6.3, SUM((DJ482*(20/100))+(DK482*(30/100))+(DL482*(50/100))) &gt;=5.8),6,
IF(AND( SUM((DJ482*(20/100))+(DK482*(30/100))+(DL482*(50/100))) &lt;=5.8, SUM((DJ482*(20/100))+(DK482*(30/100))+(DL482*(50/100))) &gt;=5.3),5.5,
IF(AND( SUM((DJ482*(20/100))+(DK482*(30/100))+(DL482*(50/100))) &lt;=5.3, SUM((DJ482*(20/100))+(DK482*(30/100))+(DL482*(50/100))) &gt;=4.8),5,
IF(AND( SUM((DJ482*(20/100))+(DK482*(30/100))+(DL482*(50/100))) &lt;=4.8, SUM((DJ482*(20/100))+(DK482*(30/100))+(DL482*(50/100))) &gt;=4.3),4.5,
IF(AND( SUM((DJ482*(20/100))+(DK482*(30/100))+(DL482*(50/100))) &lt;=4.3, SUM((DJ482*(20/100))+(DK482*(30/100))+(DL482*(50/100))) &gt;=3.8),4,
IF(AND( SUM((DJ482*(20/100))+(DK482*(30/100))+(DL482*(50/100))) &lt;=3.8, SUM((DJ482*(20/100))+(DK482*(30/100))+(DL482*(50/100))) &gt;=3.5),3.5,0)))))))))))))</f>
        <v>0</v>
      </c>
      <c r="DQ482" s="541"/>
      <c r="DR482" s="541"/>
      <c r="DS482" s="541"/>
      <c r="DT482" s="541"/>
      <c r="DU482" s="541"/>
      <c r="DV482" s="541"/>
      <c r="DW482" s="541"/>
      <c r="DX482" s="541"/>
      <c r="DY482" s="541"/>
      <c r="DZ482" s="541"/>
    </row>
    <row r="483" spans="2:130" x14ac:dyDescent="0.25">
      <c r="B483" s="334">
        <v>26</v>
      </c>
      <c r="C483" s="541"/>
      <c r="D483" s="334"/>
      <c r="E483" s="334"/>
      <c r="F483" s="334"/>
      <c r="G483" s="334"/>
      <c r="H483" s="334"/>
      <c r="I483" s="334"/>
      <c r="J483" s="536"/>
      <c r="K483" s="536"/>
      <c r="L483" s="536"/>
      <c r="M483" s="536"/>
      <c r="N483" s="536"/>
      <c r="O483" s="536"/>
      <c r="P483" s="536">
        <f t="shared" si="176"/>
        <v>0</v>
      </c>
      <c r="Q483" s="536"/>
      <c r="R483" s="536"/>
      <c r="S483" s="536"/>
      <c r="T483" s="536">
        <f t="shared" si="177"/>
        <v>0</v>
      </c>
      <c r="U483" s="536"/>
      <c r="V483" s="536"/>
      <c r="W483" s="536"/>
      <c r="X483" s="536">
        <f t="shared" si="178"/>
        <v>0</v>
      </c>
      <c r="Y483" s="536"/>
      <c r="Z483" s="536"/>
      <c r="AA483" s="536"/>
      <c r="AB483" s="536">
        <f t="shared" si="179"/>
        <v>0</v>
      </c>
      <c r="AC483" s="536"/>
      <c r="AD483" s="536"/>
      <c r="AE483" s="536"/>
      <c r="AF483" s="536">
        <f t="shared" si="180"/>
        <v>0</v>
      </c>
      <c r="AG483" s="536"/>
      <c r="AH483" s="536"/>
      <c r="AI483" s="536"/>
      <c r="AJ483" s="536">
        <f t="shared" si="181"/>
        <v>0</v>
      </c>
      <c r="AK483" s="536"/>
      <c r="AL483" s="536"/>
      <c r="AM483" s="536"/>
      <c r="AN483" s="542">
        <f t="shared" si="182"/>
        <v>0</v>
      </c>
      <c r="AO483" s="536"/>
      <c r="AP483" s="536"/>
      <c r="AQ483" s="536"/>
      <c r="AR483" s="542">
        <f t="shared" si="183"/>
        <v>0</v>
      </c>
      <c r="AS483" s="536"/>
      <c r="AT483" s="536"/>
      <c r="AU483" s="536"/>
      <c r="AV483" s="542">
        <f t="shared" si="184"/>
        <v>0</v>
      </c>
      <c r="AW483" s="536"/>
      <c r="AX483" s="536"/>
      <c r="AY483" s="536"/>
      <c r="AZ483" s="542">
        <f t="shared" si="185"/>
        <v>0</v>
      </c>
      <c r="BA483" s="536"/>
      <c r="BB483" s="536"/>
      <c r="BC483" s="536"/>
      <c r="BD483" s="542">
        <f t="shared" si="186"/>
        <v>0</v>
      </c>
      <c r="BE483" s="536"/>
      <c r="BF483" s="536"/>
      <c r="BG483" s="536"/>
      <c r="BH483" s="542">
        <f t="shared" si="187"/>
        <v>0</v>
      </c>
      <c r="BI483" s="536"/>
      <c r="BJ483" s="536"/>
      <c r="BK483" s="536"/>
      <c r="BL483" s="542">
        <f t="shared" si="188"/>
        <v>0</v>
      </c>
      <c r="BM483" s="536"/>
      <c r="BN483" s="536"/>
      <c r="BO483" s="536"/>
      <c r="BP483" s="542">
        <f t="shared" si="189"/>
        <v>0</v>
      </c>
      <c r="BQ483" s="536"/>
      <c r="BR483" s="536"/>
      <c r="BS483" s="536"/>
      <c r="BT483" s="542">
        <f t="shared" si="190"/>
        <v>0</v>
      </c>
      <c r="BU483" s="536"/>
      <c r="BV483" s="536"/>
      <c r="BW483" s="536"/>
      <c r="BX483" s="542">
        <f t="shared" si="191"/>
        <v>0</v>
      </c>
      <c r="BY483" s="536"/>
      <c r="BZ483" s="536"/>
      <c r="CA483" s="536"/>
      <c r="CB483" s="542">
        <v>0</v>
      </c>
      <c r="CC483" s="536"/>
      <c r="CD483" s="536"/>
      <c r="CE483" s="536"/>
      <c r="CF483" s="541">
        <f t="shared" si="192"/>
        <v>0</v>
      </c>
      <c r="CG483" s="536"/>
      <c r="CH483" s="536"/>
      <c r="CI483" s="536"/>
      <c r="CJ483" s="541">
        <f t="shared" si="193"/>
        <v>0</v>
      </c>
      <c r="CK483" s="536"/>
      <c r="CL483" s="536"/>
      <c r="CM483" s="536"/>
      <c r="CN483" s="541">
        <f t="shared" si="194"/>
        <v>0</v>
      </c>
      <c r="CO483" s="536"/>
      <c r="CP483" s="536"/>
      <c r="CQ483" s="536"/>
      <c r="CR483" s="541">
        <f t="shared" si="195"/>
        <v>0</v>
      </c>
      <c r="CS483" s="536"/>
      <c r="CT483" s="536"/>
      <c r="CU483" s="536"/>
      <c r="CV483" s="541">
        <f t="shared" si="196"/>
        <v>0</v>
      </c>
      <c r="CW483" s="536"/>
      <c r="CX483" s="536"/>
      <c r="CY483" s="536"/>
      <c r="CZ483" s="541">
        <f t="shared" si="197"/>
        <v>0</v>
      </c>
      <c r="DA483" s="536"/>
      <c r="DB483" s="536"/>
      <c r="DC483" s="536"/>
      <c r="DD483" s="541">
        <f t="shared" si="198"/>
        <v>0</v>
      </c>
      <c r="DE483" s="536"/>
      <c r="DF483" s="536"/>
      <c r="DG483" s="536"/>
      <c r="DH483" s="541">
        <f t="shared" si="199"/>
        <v>0</v>
      </c>
      <c r="DI483" s="536"/>
      <c r="DJ483" s="536"/>
      <c r="DK483" s="536"/>
      <c r="DL483" s="541">
        <f t="shared" si="200"/>
        <v>0</v>
      </c>
      <c r="DM483" s="536"/>
      <c r="DN483" s="536"/>
      <c r="DO483" s="536"/>
      <c r="DP483" s="541">
        <f>IF( SUM((DJ483*(20/100))+(DK483*(30/100))+(DL483*(50/100))) &gt;=9.3,9.5,
IF(AND( SUM((DJ483*(20/100))+(DK483*(30/100))+(DL483*(50/100))) &lt;=9.3, SUM((DJ483*(20/100))+(DK483*(30/100))+(DL483*(50/100))) &gt;=8.8),9,
IF(AND( SUM((DJ483*(20/100))+(DK483*(30/100))+(DL483*(50/100))) &lt;=8.8, SUM((DJ483*(20/100))+(DK483*(30/100))+(DL483*(50/100))) &gt;=8.3),8.5,
IF(AND( SUM((DJ483*(20/100))+(DK483*(30/100))+(DL483*(50/100))) &lt;=8.3, SUM((DJ483*(20/100))+(DK483*(30/100))+(DL483*(50/100))) &gt;=7.8),8,
IF(AND( SUM((DJ483*(20/100))+(DK483*(30/100))+(DL483*(50/100))) &lt;=7.8, SUM((DJ483*(20/100))+(DK483*(30/100))+(DL483*(50/100))) &gt;=7.3),7.5,
IF(AND( SUM((DJ483*(20/100))+(DK483*(30/100))+(DL483*(50/100))) &lt;=7.3, SUM((DJ483*(20/100))+(DK483*(30/100))+(DL483*(50/100))) &gt;=6.8),7,
IF(AND( SUM((DJ483*(20/100))+(DK483*(30/100))+(DL483*(50/100))) &lt;=6.8, SUM((DJ483*(20/100))+(DK483*(30/100))+(DL483*(50/100))) &gt;=6.3),6.5,
IF(AND( SUM((DJ483*(20/100))+(DK483*(30/100))+(DL483*(50/100))) &lt;=6.3, SUM((DJ483*(20/100))+(DK483*(30/100))+(DL483*(50/100))) &gt;=5.8),6,
IF(AND( SUM((DJ483*(20/100))+(DK483*(30/100))+(DL483*(50/100))) &lt;=5.8, SUM((DJ483*(20/100))+(DK483*(30/100))+(DL483*(50/100))) &gt;=5.3),5.5,
IF(AND( SUM((DJ483*(20/100))+(DK483*(30/100))+(DL483*(50/100))) &lt;=5.3, SUM((DJ483*(20/100))+(DK483*(30/100))+(DL483*(50/100))) &gt;=4.8),5,
IF(AND( SUM((DJ483*(20/100))+(DK483*(30/100))+(DL483*(50/100))) &lt;=4.8, SUM((DJ483*(20/100))+(DK483*(30/100))+(DL483*(50/100))) &gt;=4.3),4.5,
IF(AND( SUM((DJ483*(20/100))+(DK483*(30/100))+(DL483*(50/100))) &lt;=4.3, SUM((DJ483*(20/100))+(DK483*(30/100))+(DL483*(50/100))) &gt;=3.8),4,
IF(AND( SUM((DJ483*(20/100))+(DK483*(30/100))+(DL483*(50/100))) &lt;=3.8, SUM((DJ483*(20/100))+(DK483*(30/100))+(DL483*(50/100))) &gt;=3.5),3.5,0)))))))))))))</f>
        <v>0</v>
      </c>
      <c r="DQ483" s="541"/>
      <c r="DR483" s="541"/>
      <c r="DS483" s="541"/>
      <c r="DT483" s="541"/>
      <c r="DU483" s="541"/>
      <c r="DV483" s="541"/>
      <c r="DW483" s="541"/>
      <c r="DX483" s="541"/>
      <c r="DY483" s="541"/>
      <c r="DZ483" s="541"/>
    </row>
    <row r="484" spans="2:130" x14ac:dyDescent="0.25">
      <c r="B484" s="334">
        <v>27</v>
      </c>
      <c r="C484" s="541"/>
      <c r="D484" s="334"/>
      <c r="E484" s="334"/>
      <c r="F484" s="334"/>
      <c r="G484" s="334"/>
      <c r="H484" s="334"/>
      <c r="I484" s="334"/>
      <c r="J484" s="536"/>
      <c r="K484" s="536"/>
      <c r="L484" s="536"/>
      <c r="M484" s="536"/>
      <c r="N484" s="536"/>
      <c r="O484" s="536"/>
      <c r="P484" s="536">
        <f t="shared" si="176"/>
        <v>0</v>
      </c>
      <c r="Q484" s="536"/>
      <c r="R484" s="536"/>
      <c r="S484" s="536"/>
      <c r="T484" s="536">
        <f t="shared" si="177"/>
        <v>0</v>
      </c>
      <c r="U484" s="536"/>
      <c r="V484" s="536"/>
      <c r="W484" s="536"/>
      <c r="X484" s="536">
        <f t="shared" si="178"/>
        <v>0</v>
      </c>
      <c r="Y484" s="536"/>
      <c r="Z484" s="536"/>
      <c r="AA484" s="536"/>
      <c r="AB484" s="536">
        <f t="shared" si="179"/>
        <v>0</v>
      </c>
      <c r="AC484" s="536"/>
      <c r="AD484" s="536"/>
      <c r="AE484" s="536"/>
      <c r="AF484" s="536">
        <f t="shared" si="180"/>
        <v>0</v>
      </c>
      <c r="AG484" s="536"/>
      <c r="AH484" s="536"/>
      <c r="AI484" s="536"/>
      <c r="AJ484" s="536">
        <f t="shared" si="181"/>
        <v>0</v>
      </c>
      <c r="AK484" s="536"/>
      <c r="AL484" s="536"/>
      <c r="AM484" s="536"/>
      <c r="AN484" s="542">
        <f t="shared" si="182"/>
        <v>0</v>
      </c>
      <c r="AO484" s="536"/>
      <c r="AP484" s="536"/>
      <c r="AQ484" s="536"/>
      <c r="AR484" s="542">
        <f t="shared" si="183"/>
        <v>0</v>
      </c>
      <c r="AS484" s="536"/>
      <c r="AT484" s="536"/>
      <c r="AU484" s="536"/>
      <c r="AV484" s="542">
        <f t="shared" si="184"/>
        <v>0</v>
      </c>
      <c r="AW484" s="536"/>
      <c r="AX484" s="536"/>
      <c r="AY484" s="536"/>
      <c r="AZ484" s="542">
        <f t="shared" si="185"/>
        <v>0</v>
      </c>
      <c r="BA484" s="536"/>
      <c r="BB484" s="536"/>
      <c r="BC484" s="536"/>
      <c r="BD484" s="542">
        <f t="shared" si="186"/>
        <v>0</v>
      </c>
      <c r="BE484" s="536"/>
      <c r="BF484" s="536"/>
      <c r="BG484" s="536"/>
      <c r="BH484" s="542">
        <f t="shared" si="187"/>
        <v>0</v>
      </c>
      <c r="BI484" s="536"/>
      <c r="BJ484" s="536"/>
      <c r="BK484" s="536"/>
      <c r="BL484" s="542">
        <f t="shared" si="188"/>
        <v>0</v>
      </c>
      <c r="BM484" s="536"/>
      <c r="BN484" s="536"/>
      <c r="BO484" s="536"/>
      <c r="BP484" s="542">
        <f t="shared" si="189"/>
        <v>0</v>
      </c>
      <c r="BQ484" s="536"/>
      <c r="BR484" s="536"/>
      <c r="BS484" s="536"/>
      <c r="BT484" s="542">
        <f t="shared" si="190"/>
        <v>0</v>
      </c>
      <c r="BU484" s="536"/>
      <c r="BV484" s="536"/>
      <c r="BW484" s="536"/>
      <c r="BX484" s="542">
        <f t="shared" si="191"/>
        <v>0</v>
      </c>
      <c r="BY484" s="536"/>
      <c r="BZ484" s="536"/>
      <c r="CA484" s="536"/>
      <c r="CB484" s="542">
        <v>0</v>
      </c>
      <c r="CC484" s="536"/>
      <c r="CD484" s="536"/>
      <c r="CE484" s="536"/>
      <c r="CF484" s="541">
        <f t="shared" si="192"/>
        <v>0</v>
      </c>
      <c r="CG484" s="536"/>
      <c r="CH484" s="536"/>
      <c r="CI484" s="536"/>
      <c r="CJ484" s="541">
        <f t="shared" si="193"/>
        <v>0</v>
      </c>
      <c r="CK484" s="536"/>
      <c r="CL484" s="536"/>
      <c r="CM484" s="536"/>
      <c r="CN484" s="541">
        <f t="shared" si="194"/>
        <v>0</v>
      </c>
      <c r="CO484" s="536"/>
      <c r="CP484" s="536"/>
      <c r="CQ484" s="536"/>
      <c r="CR484" s="541">
        <f t="shared" si="195"/>
        <v>0</v>
      </c>
      <c r="CS484" s="536"/>
      <c r="CT484" s="536"/>
      <c r="CU484" s="536"/>
      <c r="CV484" s="541">
        <f t="shared" si="196"/>
        <v>0</v>
      </c>
      <c r="CW484" s="536"/>
      <c r="CX484" s="536"/>
      <c r="CY484" s="536"/>
      <c r="CZ484" s="541">
        <f t="shared" si="197"/>
        <v>0</v>
      </c>
      <c r="DA484" s="536"/>
      <c r="DB484" s="536"/>
      <c r="DC484" s="536"/>
      <c r="DD484" s="541">
        <f t="shared" si="198"/>
        <v>0</v>
      </c>
      <c r="DE484" s="536"/>
      <c r="DF484" s="536"/>
      <c r="DG484" s="536"/>
      <c r="DH484" s="541">
        <f t="shared" si="199"/>
        <v>0</v>
      </c>
      <c r="DI484" s="536"/>
      <c r="DJ484" s="536"/>
      <c r="DK484" s="536"/>
      <c r="DL484" s="541">
        <f t="shared" si="200"/>
        <v>0</v>
      </c>
      <c r="DM484" s="536"/>
      <c r="DN484" s="536"/>
      <c r="DO484" s="536"/>
      <c r="DP484" s="541">
        <f>IF( SUM((DJ484*(20/100))+(DK484*(30/100))+(DL484*(50/100))) &gt;=9.3,9.5,
IF(AND( SUM((DJ484*(20/100))+(DK484*(30/100))+(DL484*(50/100))) &lt;=9.3, SUM((DJ484*(20/100))+(DK484*(30/100))+(DL484*(50/100))) &gt;=8.8),9,
IF(AND( SUM((DJ484*(20/100))+(DK484*(30/100))+(DL484*(50/100))) &lt;=8.8, SUM((DJ484*(20/100))+(DK484*(30/100))+(DL484*(50/100))) &gt;=8.3),8.5,
IF(AND( SUM((DJ484*(20/100))+(DK484*(30/100))+(DL484*(50/100))) &lt;=8.3, SUM((DJ484*(20/100))+(DK484*(30/100))+(DL484*(50/100))) &gt;=7.8),8,
IF(AND( SUM((DJ484*(20/100))+(DK484*(30/100))+(DL484*(50/100))) &lt;=7.8, SUM((DJ484*(20/100))+(DK484*(30/100))+(DL484*(50/100))) &gt;=7.3),7.5,
IF(AND( SUM((DJ484*(20/100))+(DK484*(30/100))+(DL484*(50/100))) &lt;=7.3, SUM((DJ484*(20/100))+(DK484*(30/100))+(DL484*(50/100))) &gt;=6.8),7,
IF(AND( SUM((DJ484*(20/100))+(DK484*(30/100))+(DL484*(50/100))) &lt;=6.8, SUM((DJ484*(20/100))+(DK484*(30/100))+(DL484*(50/100))) &gt;=6.3),6.5,
IF(AND( SUM((DJ484*(20/100))+(DK484*(30/100))+(DL484*(50/100))) &lt;=6.3, SUM((DJ484*(20/100))+(DK484*(30/100))+(DL484*(50/100))) &gt;=5.8),6,
IF(AND( SUM((DJ484*(20/100))+(DK484*(30/100))+(DL484*(50/100))) &lt;=5.8, SUM((DJ484*(20/100))+(DK484*(30/100))+(DL484*(50/100))) &gt;=5.3),5.5,
IF(AND( SUM((DJ484*(20/100))+(DK484*(30/100))+(DL484*(50/100))) &lt;=5.3, SUM((DJ484*(20/100))+(DK484*(30/100))+(DL484*(50/100))) &gt;=4.8),5,
IF(AND( SUM((DJ484*(20/100))+(DK484*(30/100))+(DL484*(50/100))) &lt;=4.8, SUM((DJ484*(20/100))+(DK484*(30/100))+(DL484*(50/100))) &gt;=4.3),4.5,
IF(AND( SUM((DJ484*(20/100))+(DK484*(30/100))+(DL484*(50/100))) &lt;=4.3, SUM((DJ484*(20/100))+(DK484*(30/100))+(DL484*(50/100))) &gt;=3.8),4,
IF(AND( SUM((DJ484*(20/100))+(DK484*(30/100))+(DL484*(50/100))) &lt;=3.8, SUM((DJ484*(20/100))+(DK484*(30/100))+(DL484*(50/100))) &gt;=3.5),3.5,0)))))))))))))</f>
        <v>0</v>
      </c>
      <c r="DQ484" s="541"/>
      <c r="DR484" s="541"/>
      <c r="DS484" s="541"/>
      <c r="DT484" s="541"/>
      <c r="DU484" s="541"/>
      <c r="DV484" s="541"/>
      <c r="DW484" s="541"/>
      <c r="DX484" s="541"/>
      <c r="DY484" s="541"/>
      <c r="DZ484" s="541"/>
    </row>
    <row r="485" spans="2:130" x14ac:dyDescent="0.25">
      <c r="B485" s="334">
        <v>28</v>
      </c>
      <c r="C485" s="541"/>
      <c r="D485" s="334"/>
      <c r="E485" s="334"/>
      <c r="F485" s="334"/>
      <c r="G485" s="334"/>
      <c r="H485" s="334"/>
      <c r="I485" s="334"/>
      <c r="J485" s="536"/>
      <c r="K485" s="536"/>
      <c r="L485" s="536"/>
      <c r="M485" s="536"/>
      <c r="N485" s="536"/>
      <c r="O485" s="536"/>
      <c r="P485" s="536">
        <f t="shared" si="176"/>
        <v>0</v>
      </c>
      <c r="Q485" s="536"/>
      <c r="R485" s="536"/>
      <c r="S485" s="536"/>
      <c r="T485" s="536">
        <f t="shared" si="177"/>
        <v>0</v>
      </c>
      <c r="U485" s="536"/>
      <c r="V485" s="536"/>
      <c r="W485" s="536"/>
      <c r="X485" s="536">
        <f t="shared" si="178"/>
        <v>0</v>
      </c>
      <c r="Y485" s="536"/>
      <c r="Z485" s="536"/>
      <c r="AA485" s="536"/>
      <c r="AB485" s="536">
        <f t="shared" si="179"/>
        <v>0</v>
      </c>
      <c r="AC485" s="536"/>
      <c r="AD485" s="536"/>
      <c r="AE485" s="536"/>
      <c r="AF485" s="536">
        <f t="shared" si="180"/>
        <v>0</v>
      </c>
      <c r="AG485" s="536"/>
      <c r="AH485" s="536"/>
      <c r="AI485" s="536"/>
      <c r="AJ485" s="536">
        <f t="shared" si="181"/>
        <v>0</v>
      </c>
      <c r="AK485" s="536"/>
      <c r="AL485" s="536"/>
      <c r="AM485" s="536"/>
      <c r="AN485" s="542">
        <f t="shared" si="182"/>
        <v>0</v>
      </c>
      <c r="AO485" s="536"/>
      <c r="AP485" s="536"/>
      <c r="AQ485" s="536"/>
      <c r="AR485" s="542">
        <f t="shared" si="183"/>
        <v>0</v>
      </c>
      <c r="AS485" s="536"/>
      <c r="AT485" s="536"/>
      <c r="AU485" s="536"/>
      <c r="AV485" s="542">
        <f t="shared" si="184"/>
        <v>0</v>
      </c>
      <c r="AW485" s="536"/>
      <c r="AX485" s="536"/>
      <c r="AY485" s="536"/>
      <c r="AZ485" s="542">
        <f t="shared" si="185"/>
        <v>0</v>
      </c>
      <c r="BA485" s="536"/>
      <c r="BB485" s="536"/>
      <c r="BC485" s="536"/>
      <c r="BD485" s="542">
        <f t="shared" si="186"/>
        <v>0</v>
      </c>
      <c r="BE485" s="536"/>
      <c r="BF485" s="536"/>
      <c r="BG485" s="536"/>
      <c r="BH485" s="542">
        <f t="shared" si="187"/>
        <v>0</v>
      </c>
      <c r="BI485" s="536"/>
      <c r="BJ485" s="536"/>
      <c r="BK485" s="536"/>
      <c r="BL485" s="542">
        <f t="shared" si="188"/>
        <v>0</v>
      </c>
      <c r="BM485" s="536"/>
      <c r="BN485" s="536"/>
      <c r="BO485" s="536"/>
      <c r="BP485" s="542">
        <f t="shared" si="189"/>
        <v>0</v>
      </c>
      <c r="BQ485" s="536"/>
      <c r="BR485" s="536"/>
      <c r="BS485" s="536"/>
      <c r="BT485" s="542">
        <f t="shared" si="190"/>
        <v>0</v>
      </c>
      <c r="BU485" s="536"/>
      <c r="BV485" s="536"/>
      <c r="BW485" s="536"/>
      <c r="BX485" s="542">
        <f t="shared" si="191"/>
        <v>0</v>
      </c>
      <c r="BY485" s="536"/>
      <c r="BZ485" s="536"/>
      <c r="CA485" s="536"/>
      <c r="CB485" s="542">
        <v>0</v>
      </c>
      <c r="CC485" s="536"/>
      <c r="CD485" s="536"/>
      <c r="CE485" s="536"/>
      <c r="CF485" s="541">
        <f t="shared" si="192"/>
        <v>0</v>
      </c>
      <c r="CG485" s="536"/>
      <c r="CH485" s="536"/>
      <c r="CI485" s="536"/>
      <c r="CJ485" s="541">
        <f t="shared" si="193"/>
        <v>0</v>
      </c>
      <c r="CK485" s="536"/>
      <c r="CL485" s="536"/>
      <c r="CM485" s="536"/>
      <c r="CN485" s="541">
        <f t="shared" si="194"/>
        <v>0</v>
      </c>
      <c r="CO485" s="536"/>
      <c r="CP485" s="536"/>
      <c r="CQ485" s="536"/>
      <c r="CR485" s="541">
        <f t="shared" si="195"/>
        <v>0</v>
      </c>
      <c r="CS485" s="536"/>
      <c r="CT485" s="536"/>
      <c r="CU485" s="536"/>
      <c r="CV485" s="541">
        <f t="shared" si="196"/>
        <v>0</v>
      </c>
      <c r="CW485" s="536"/>
      <c r="CX485" s="536"/>
      <c r="CY485" s="536"/>
      <c r="CZ485" s="541">
        <f t="shared" si="197"/>
        <v>0</v>
      </c>
      <c r="DA485" s="536"/>
      <c r="DB485" s="536"/>
      <c r="DC485" s="536"/>
      <c r="DD485" s="541">
        <f t="shared" si="198"/>
        <v>0</v>
      </c>
      <c r="DE485" s="536"/>
      <c r="DF485" s="536"/>
      <c r="DG485" s="536"/>
      <c r="DH485" s="541">
        <f t="shared" si="199"/>
        <v>0</v>
      </c>
      <c r="DI485" s="536"/>
      <c r="DJ485" s="536"/>
      <c r="DK485" s="536"/>
      <c r="DL485" s="541">
        <f t="shared" si="200"/>
        <v>0</v>
      </c>
      <c r="DM485" s="536"/>
      <c r="DN485" s="536"/>
      <c r="DO485" s="536"/>
      <c r="DP485" s="541">
        <f>IF( SUM((DJ485*(20/100))+(DK485*(30/100))+(DL485*(50/100))) &gt;=9.3,9.5,
IF(AND( SUM((DJ485*(20/100))+(DK485*(30/100))+(DL485*(50/100))) &lt;=9.3, SUM((DJ485*(20/100))+(DK485*(30/100))+(DL485*(50/100))) &gt;=8.8),9,
IF(AND( SUM((DJ485*(20/100))+(DK485*(30/100))+(DL485*(50/100))) &lt;=8.8, SUM((DJ485*(20/100))+(DK485*(30/100))+(DL485*(50/100))) &gt;=8.3),8.5,
IF(AND( SUM((DJ485*(20/100))+(DK485*(30/100))+(DL485*(50/100))) &lt;=8.3, SUM((DJ485*(20/100))+(DK485*(30/100))+(DL485*(50/100))) &gt;=7.8),8,
IF(AND( SUM((DJ485*(20/100))+(DK485*(30/100))+(DL485*(50/100))) &lt;=7.8, SUM((DJ485*(20/100))+(DK485*(30/100))+(DL485*(50/100))) &gt;=7.3),7.5,
IF(AND( SUM((DJ485*(20/100))+(DK485*(30/100))+(DL485*(50/100))) &lt;=7.3, SUM((DJ485*(20/100))+(DK485*(30/100))+(DL485*(50/100))) &gt;=6.8),7,
IF(AND( SUM((DJ485*(20/100))+(DK485*(30/100))+(DL485*(50/100))) &lt;=6.8, SUM((DJ485*(20/100))+(DK485*(30/100))+(DL485*(50/100))) &gt;=6.3),6.5,
IF(AND( SUM((DJ485*(20/100))+(DK485*(30/100))+(DL485*(50/100))) &lt;=6.3, SUM((DJ485*(20/100))+(DK485*(30/100))+(DL485*(50/100))) &gt;=5.8),6,
IF(AND( SUM((DJ485*(20/100))+(DK485*(30/100))+(DL485*(50/100))) &lt;=5.8, SUM((DJ485*(20/100))+(DK485*(30/100))+(DL485*(50/100))) &gt;=5.3),5.5,
IF(AND( SUM((DJ485*(20/100))+(DK485*(30/100))+(DL485*(50/100))) &lt;=5.3, SUM((DJ485*(20/100))+(DK485*(30/100))+(DL485*(50/100))) &gt;=4.8),5,
IF(AND( SUM((DJ485*(20/100))+(DK485*(30/100))+(DL485*(50/100))) &lt;=4.8, SUM((DJ485*(20/100))+(DK485*(30/100))+(DL485*(50/100))) &gt;=4.3),4.5,
IF(AND( SUM((DJ485*(20/100))+(DK485*(30/100))+(DL485*(50/100))) &lt;=4.3, SUM((DJ485*(20/100))+(DK485*(30/100))+(DL485*(50/100))) &gt;=3.8),4,
IF(AND( SUM((DJ485*(20/100))+(DK485*(30/100))+(DL485*(50/100))) &lt;=3.8, SUM((DJ485*(20/100))+(DK485*(30/100))+(DL485*(50/100))) &gt;=3.5),3.5,0)))))))))))))</f>
        <v>0</v>
      </c>
      <c r="DQ485" s="541"/>
      <c r="DR485" s="541"/>
      <c r="DS485" s="541"/>
      <c r="DT485" s="541"/>
      <c r="DU485" s="541"/>
      <c r="DV485" s="541"/>
      <c r="DW485" s="541"/>
      <c r="DX485" s="541"/>
      <c r="DY485" s="541"/>
      <c r="DZ485" s="541"/>
    </row>
    <row r="486" spans="2:130" x14ac:dyDescent="0.25">
      <c r="B486" s="334">
        <v>29</v>
      </c>
      <c r="C486" s="541"/>
      <c r="D486" s="334"/>
      <c r="E486" s="334"/>
      <c r="F486" s="334"/>
      <c r="G486" s="334"/>
      <c r="H486" s="334"/>
      <c r="I486" s="334"/>
      <c r="J486" s="536"/>
      <c r="K486" s="536"/>
      <c r="L486" s="536"/>
      <c r="M486" s="536"/>
      <c r="N486" s="536"/>
      <c r="O486" s="536"/>
      <c r="P486" s="536">
        <f t="shared" si="176"/>
        <v>0</v>
      </c>
      <c r="Q486" s="536"/>
      <c r="R486" s="536"/>
      <c r="S486" s="536"/>
      <c r="T486" s="536">
        <f t="shared" si="177"/>
        <v>0</v>
      </c>
      <c r="U486" s="536"/>
      <c r="V486" s="536"/>
      <c r="W486" s="536"/>
      <c r="X486" s="536">
        <f t="shared" si="178"/>
        <v>0</v>
      </c>
      <c r="Y486" s="536"/>
      <c r="Z486" s="536"/>
      <c r="AA486" s="536"/>
      <c r="AB486" s="536">
        <f t="shared" si="179"/>
        <v>0</v>
      </c>
      <c r="AC486" s="536"/>
      <c r="AD486" s="536"/>
      <c r="AE486" s="536"/>
      <c r="AF486" s="536">
        <f t="shared" si="180"/>
        <v>0</v>
      </c>
      <c r="AG486" s="536"/>
      <c r="AH486" s="536"/>
      <c r="AI486" s="536"/>
      <c r="AJ486" s="536">
        <f t="shared" si="181"/>
        <v>0</v>
      </c>
      <c r="AK486" s="536"/>
      <c r="AL486" s="536"/>
      <c r="AM486" s="536"/>
      <c r="AN486" s="542">
        <f t="shared" si="182"/>
        <v>0</v>
      </c>
      <c r="AO486" s="536"/>
      <c r="AP486" s="536"/>
      <c r="AQ486" s="536"/>
      <c r="AR486" s="542">
        <f t="shared" si="183"/>
        <v>0</v>
      </c>
      <c r="AS486" s="536"/>
      <c r="AT486" s="536"/>
      <c r="AU486" s="536"/>
      <c r="AV486" s="542">
        <f t="shared" si="184"/>
        <v>0</v>
      </c>
      <c r="AW486" s="536"/>
      <c r="AX486" s="536"/>
      <c r="AY486" s="536"/>
      <c r="AZ486" s="542">
        <f t="shared" si="185"/>
        <v>0</v>
      </c>
      <c r="BA486" s="536"/>
      <c r="BB486" s="536"/>
      <c r="BC486" s="536"/>
      <c r="BD486" s="542">
        <f t="shared" si="186"/>
        <v>0</v>
      </c>
      <c r="BE486" s="536"/>
      <c r="BF486" s="536"/>
      <c r="BG486" s="536"/>
      <c r="BH486" s="542">
        <f t="shared" si="187"/>
        <v>0</v>
      </c>
      <c r="BI486" s="536"/>
      <c r="BJ486" s="536"/>
      <c r="BK486" s="536"/>
      <c r="BL486" s="542">
        <f t="shared" si="188"/>
        <v>0</v>
      </c>
      <c r="BM486" s="536"/>
      <c r="BN486" s="536"/>
      <c r="BO486" s="536"/>
      <c r="BP486" s="542">
        <f t="shared" si="189"/>
        <v>0</v>
      </c>
      <c r="BQ486" s="536"/>
      <c r="BR486" s="536"/>
      <c r="BS486" s="536"/>
      <c r="BT486" s="542">
        <f t="shared" si="190"/>
        <v>0</v>
      </c>
      <c r="BU486" s="536"/>
      <c r="BV486" s="536"/>
      <c r="BW486" s="536"/>
      <c r="BX486" s="542">
        <f t="shared" si="191"/>
        <v>0</v>
      </c>
      <c r="BY486" s="536"/>
      <c r="BZ486" s="536"/>
      <c r="CA486" s="536"/>
      <c r="CB486" s="542">
        <v>0</v>
      </c>
      <c r="CC486" s="536"/>
      <c r="CD486" s="536"/>
      <c r="CE486" s="536"/>
      <c r="CF486" s="541">
        <f t="shared" si="192"/>
        <v>0</v>
      </c>
      <c r="CG486" s="536"/>
      <c r="CH486" s="536"/>
      <c r="CI486" s="536"/>
      <c r="CJ486" s="541">
        <f t="shared" si="193"/>
        <v>0</v>
      </c>
      <c r="CK486" s="536"/>
      <c r="CL486" s="536"/>
      <c r="CM486" s="536"/>
      <c r="CN486" s="541">
        <f t="shared" si="194"/>
        <v>0</v>
      </c>
      <c r="CO486" s="536"/>
      <c r="CP486" s="536"/>
      <c r="CQ486" s="536"/>
      <c r="CR486" s="541">
        <f t="shared" si="195"/>
        <v>0</v>
      </c>
      <c r="CS486" s="536"/>
      <c r="CT486" s="536"/>
      <c r="CU486" s="536"/>
      <c r="CV486" s="541">
        <f t="shared" si="196"/>
        <v>0</v>
      </c>
      <c r="CW486" s="536"/>
      <c r="CX486" s="536"/>
      <c r="CY486" s="536"/>
      <c r="CZ486" s="541">
        <f t="shared" si="197"/>
        <v>0</v>
      </c>
      <c r="DA486" s="536"/>
      <c r="DB486" s="536"/>
      <c r="DC486" s="536"/>
      <c r="DD486" s="541">
        <f t="shared" si="198"/>
        <v>0</v>
      </c>
      <c r="DE486" s="536"/>
      <c r="DF486" s="536"/>
      <c r="DG486" s="536"/>
      <c r="DH486" s="541">
        <f t="shared" si="199"/>
        <v>0</v>
      </c>
      <c r="DI486" s="536"/>
      <c r="DJ486" s="536"/>
      <c r="DK486" s="536"/>
      <c r="DL486" s="541">
        <f t="shared" si="200"/>
        <v>0</v>
      </c>
      <c r="DM486" s="536"/>
      <c r="DN486" s="536"/>
      <c r="DO486" s="536"/>
      <c r="DP486" s="541">
        <f>IF( SUM((DJ486*(20/100))+(DK486*(30/100))+(DL486*(50/100))) &gt;=9.3,9.5,
IF(AND( SUM((DJ486*(20/100))+(DK486*(30/100))+(DL486*(50/100))) &lt;=9.3, SUM((DJ486*(20/100))+(DK486*(30/100))+(DL486*(50/100))) &gt;=8.8),9,
IF(AND( SUM((DJ486*(20/100))+(DK486*(30/100))+(DL486*(50/100))) &lt;=8.8, SUM((DJ486*(20/100))+(DK486*(30/100))+(DL486*(50/100))) &gt;=8.3),8.5,
IF(AND( SUM((DJ486*(20/100))+(DK486*(30/100))+(DL486*(50/100))) &lt;=8.3, SUM((DJ486*(20/100))+(DK486*(30/100))+(DL486*(50/100))) &gt;=7.8),8,
IF(AND( SUM((DJ486*(20/100))+(DK486*(30/100))+(DL486*(50/100))) &lt;=7.8, SUM((DJ486*(20/100))+(DK486*(30/100))+(DL486*(50/100))) &gt;=7.3),7.5,
IF(AND( SUM((DJ486*(20/100))+(DK486*(30/100))+(DL486*(50/100))) &lt;=7.3, SUM((DJ486*(20/100))+(DK486*(30/100))+(DL486*(50/100))) &gt;=6.8),7,
IF(AND( SUM((DJ486*(20/100))+(DK486*(30/100))+(DL486*(50/100))) &lt;=6.8, SUM((DJ486*(20/100))+(DK486*(30/100))+(DL486*(50/100))) &gt;=6.3),6.5,
IF(AND( SUM((DJ486*(20/100))+(DK486*(30/100))+(DL486*(50/100))) &lt;=6.3, SUM((DJ486*(20/100))+(DK486*(30/100))+(DL486*(50/100))) &gt;=5.8),6,
IF(AND( SUM((DJ486*(20/100))+(DK486*(30/100))+(DL486*(50/100))) &lt;=5.8, SUM((DJ486*(20/100))+(DK486*(30/100))+(DL486*(50/100))) &gt;=5.3),5.5,
IF(AND( SUM((DJ486*(20/100))+(DK486*(30/100))+(DL486*(50/100))) &lt;=5.3, SUM((DJ486*(20/100))+(DK486*(30/100))+(DL486*(50/100))) &gt;=4.8),5,
IF(AND( SUM((DJ486*(20/100))+(DK486*(30/100))+(DL486*(50/100))) &lt;=4.8, SUM((DJ486*(20/100))+(DK486*(30/100))+(DL486*(50/100))) &gt;=4.3),4.5,
IF(AND( SUM((DJ486*(20/100))+(DK486*(30/100))+(DL486*(50/100))) &lt;=4.3, SUM((DJ486*(20/100))+(DK486*(30/100))+(DL486*(50/100))) &gt;=3.8),4,
IF(AND( SUM((DJ486*(20/100))+(DK486*(30/100))+(DL486*(50/100))) &lt;=3.8, SUM((DJ486*(20/100))+(DK486*(30/100))+(DL486*(50/100))) &gt;=3.5),3.5,0)))))))))))))</f>
        <v>0</v>
      </c>
      <c r="DQ486" s="541"/>
      <c r="DR486" s="541"/>
      <c r="DS486" s="541"/>
      <c r="DT486" s="541"/>
      <c r="DU486" s="541"/>
      <c r="DV486" s="541"/>
      <c r="DW486" s="541"/>
      <c r="DX486" s="541"/>
      <c r="DY486" s="541"/>
      <c r="DZ486" s="541"/>
    </row>
    <row r="487" spans="2:130" x14ac:dyDescent="0.25">
      <c r="B487" s="334">
        <v>30</v>
      </c>
      <c r="C487" s="541"/>
      <c r="D487" s="334"/>
      <c r="E487" s="334"/>
      <c r="F487" s="334"/>
      <c r="G487" s="334"/>
      <c r="H487" s="334"/>
      <c r="I487" s="334"/>
      <c r="J487" s="536"/>
      <c r="K487" s="536"/>
      <c r="L487" s="536"/>
      <c r="M487" s="536"/>
      <c r="N487" s="536"/>
      <c r="O487" s="536"/>
      <c r="P487" s="536">
        <f t="shared" si="176"/>
        <v>0</v>
      </c>
      <c r="Q487" s="536"/>
      <c r="R487" s="536"/>
      <c r="S487" s="536"/>
      <c r="T487" s="536">
        <f t="shared" si="177"/>
        <v>0</v>
      </c>
      <c r="U487" s="536"/>
      <c r="V487" s="536"/>
      <c r="W487" s="536"/>
      <c r="X487" s="536">
        <f t="shared" si="178"/>
        <v>0</v>
      </c>
      <c r="Y487" s="536"/>
      <c r="Z487" s="536"/>
      <c r="AA487" s="536"/>
      <c r="AB487" s="536">
        <f t="shared" si="179"/>
        <v>0</v>
      </c>
      <c r="AC487" s="536"/>
      <c r="AD487" s="536"/>
      <c r="AE487" s="536"/>
      <c r="AF487" s="536">
        <f t="shared" si="180"/>
        <v>0</v>
      </c>
      <c r="AG487" s="536"/>
      <c r="AH487" s="536"/>
      <c r="AI487" s="536"/>
      <c r="AJ487" s="536">
        <f t="shared" si="181"/>
        <v>0</v>
      </c>
      <c r="AK487" s="536"/>
      <c r="AL487" s="536"/>
      <c r="AM487" s="536"/>
      <c r="AN487" s="542">
        <f t="shared" si="182"/>
        <v>0</v>
      </c>
      <c r="AO487" s="536"/>
      <c r="AP487" s="536"/>
      <c r="AQ487" s="536"/>
      <c r="AR487" s="542">
        <f t="shared" si="183"/>
        <v>0</v>
      </c>
      <c r="AS487" s="536"/>
      <c r="AT487" s="536"/>
      <c r="AU487" s="536"/>
      <c r="AV487" s="542">
        <f t="shared" si="184"/>
        <v>0</v>
      </c>
      <c r="AW487" s="536"/>
      <c r="AX487" s="536"/>
      <c r="AY487" s="536"/>
      <c r="AZ487" s="542">
        <f t="shared" si="185"/>
        <v>0</v>
      </c>
      <c r="BA487" s="536"/>
      <c r="BB487" s="536"/>
      <c r="BC487" s="536"/>
      <c r="BD487" s="542">
        <f t="shared" si="186"/>
        <v>0</v>
      </c>
      <c r="BE487" s="536"/>
      <c r="BF487" s="536"/>
      <c r="BG487" s="536"/>
      <c r="BH487" s="542">
        <f t="shared" si="187"/>
        <v>0</v>
      </c>
      <c r="BI487" s="536"/>
      <c r="BJ487" s="536"/>
      <c r="BK487" s="536"/>
      <c r="BL487" s="542">
        <f t="shared" si="188"/>
        <v>0</v>
      </c>
      <c r="BM487" s="536"/>
      <c r="BN487" s="536"/>
      <c r="BO487" s="536"/>
      <c r="BP487" s="542">
        <f t="shared" si="189"/>
        <v>0</v>
      </c>
      <c r="BQ487" s="536"/>
      <c r="BR487" s="536"/>
      <c r="BS487" s="536"/>
      <c r="BT487" s="542">
        <f t="shared" si="190"/>
        <v>0</v>
      </c>
      <c r="BU487" s="536"/>
      <c r="BV487" s="536"/>
      <c r="BW487" s="536"/>
      <c r="BX487" s="542">
        <f t="shared" si="191"/>
        <v>0</v>
      </c>
      <c r="BY487" s="536"/>
      <c r="BZ487" s="536"/>
      <c r="CA487" s="536"/>
      <c r="CB487" s="542">
        <v>0</v>
      </c>
      <c r="CC487" s="536"/>
      <c r="CD487" s="536"/>
      <c r="CE487" s="536"/>
      <c r="CF487" s="541">
        <f t="shared" si="192"/>
        <v>0</v>
      </c>
      <c r="CG487" s="536"/>
      <c r="CH487" s="536"/>
      <c r="CI487" s="536"/>
      <c r="CJ487" s="541">
        <f t="shared" si="193"/>
        <v>0</v>
      </c>
      <c r="CK487" s="536"/>
      <c r="CL487" s="536"/>
      <c r="CM487" s="536"/>
      <c r="CN487" s="541">
        <f t="shared" si="194"/>
        <v>0</v>
      </c>
      <c r="CO487" s="536"/>
      <c r="CP487" s="536"/>
      <c r="CQ487" s="536"/>
      <c r="CR487" s="541">
        <f t="shared" si="195"/>
        <v>0</v>
      </c>
      <c r="CS487" s="536"/>
      <c r="CT487" s="536"/>
      <c r="CU487" s="536"/>
      <c r="CV487" s="541">
        <f t="shared" si="196"/>
        <v>0</v>
      </c>
      <c r="CW487" s="536"/>
      <c r="CX487" s="536"/>
      <c r="CY487" s="536"/>
      <c r="CZ487" s="541">
        <f t="shared" si="197"/>
        <v>0</v>
      </c>
      <c r="DA487" s="536"/>
      <c r="DB487" s="536"/>
      <c r="DC487" s="536"/>
      <c r="DD487" s="541">
        <f t="shared" si="198"/>
        <v>0</v>
      </c>
      <c r="DE487" s="536"/>
      <c r="DF487" s="536"/>
      <c r="DG487" s="536"/>
      <c r="DH487" s="541">
        <f t="shared" si="199"/>
        <v>0</v>
      </c>
      <c r="DI487" s="536"/>
      <c r="DJ487" s="536"/>
      <c r="DK487" s="536"/>
      <c r="DL487" s="541">
        <f t="shared" si="200"/>
        <v>0</v>
      </c>
      <c r="DM487" s="536"/>
      <c r="DN487" s="536"/>
      <c r="DO487" s="536"/>
      <c r="DP487" s="541">
        <f>IF( SUM((DJ487*(20/100))+(DK487*(30/100))+(DL487*(50/100))) &gt;=9.3,9.5,
IF(AND( SUM((DJ487*(20/100))+(DK487*(30/100))+(DL487*(50/100))) &lt;=9.3, SUM((DJ487*(20/100))+(DK487*(30/100))+(DL487*(50/100))) &gt;=8.8),9,
IF(AND( SUM((DJ487*(20/100))+(DK487*(30/100))+(DL487*(50/100))) &lt;=8.8, SUM((DJ487*(20/100))+(DK487*(30/100))+(DL487*(50/100))) &gt;=8.3),8.5,
IF(AND( SUM((DJ487*(20/100))+(DK487*(30/100))+(DL487*(50/100))) &lt;=8.3, SUM((DJ487*(20/100))+(DK487*(30/100))+(DL487*(50/100))) &gt;=7.8),8,
IF(AND( SUM((DJ487*(20/100))+(DK487*(30/100))+(DL487*(50/100))) &lt;=7.8, SUM((DJ487*(20/100))+(DK487*(30/100))+(DL487*(50/100))) &gt;=7.3),7.5,
IF(AND( SUM((DJ487*(20/100))+(DK487*(30/100))+(DL487*(50/100))) &lt;=7.3, SUM((DJ487*(20/100))+(DK487*(30/100))+(DL487*(50/100))) &gt;=6.8),7,
IF(AND( SUM((DJ487*(20/100))+(DK487*(30/100))+(DL487*(50/100))) &lt;=6.8, SUM((DJ487*(20/100))+(DK487*(30/100))+(DL487*(50/100))) &gt;=6.3),6.5,
IF(AND( SUM((DJ487*(20/100))+(DK487*(30/100))+(DL487*(50/100))) &lt;=6.3, SUM((DJ487*(20/100))+(DK487*(30/100))+(DL487*(50/100))) &gt;=5.8),6,
IF(AND( SUM((DJ487*(20/100))+(DK487*(30/100))+(DL487*(50/100))) &lt;=5.8, SUM((DJ487*(20/100))+(DK487*(30/100))+(DL487*(50/100))) &gt;=5.3),5.5,
IF(AND( SUM((DJ487*(20/100))+(DK487*(30/100))+(DL487*(50/100))) &lt;=5.3, SUM((DJ487*(20/100))+(DK487*(30/100))+(DL487*(50/100))) &gt;=4.8),5,
IF(AND( SUM((DJ487*(20/100))+(DK487*(30/100))+(DL487*(50/100))) &lt;=4.8, SUM((DJ487*(20/100))+(DK487*(30/100))+(DL487*(50/100))) &gt;=4.3),4.5,
IF(AND( SUM((DJ487*(20/100))+(DK487*(30/100))+(DL487*(50/100))) &lt;=4.3, SUM((DJ487*(20/100))+(DK487*(30/100))+(DL487*(50/100))) &gt;=3.8),4,
IF(AND( SUM((DJ487*(20/100))+(DK487*(30/100))+(DL487*(50/100))) &lt;=3.8, SUM((DJ487*(20/100))+(DK487*(30/100))+(DL487*(50/100))) &gt;=3.5),3.5,0)))))))))))))</f>
        <v>0</v>
      </c>
      <c r="DQ487" s="541"/>
      <c r="DR487" s="541"/>
      <c r="DS487" s="541"/>
      <c r="DT487" s="541"/>
      <c r="DU487" s="541"/>
      <c r="DV487" s="541"/>
      <c r="DW487" s="541"/>
      <c r="DX487" s="541"/>
      <c r="DY487" s="541"/>
      <c r="DZ487" s="541"/>
    </row>
    <row r="488" spans="2:130" x14ac:dyDescent="0.25">
      <c r="B488" s="334">
        <v>31</v>
      </c>
      <c r="C488" s="541"/>
      <c r="D488" s="334"/>
      <c r="E488" s="334"/>
      <c r="F488" s="334"/>
      <c r="G488" s="334"/>
      <c r="H488" s="334"/>
      <c r="I488" s="334"/>
      <c r="J488" s="536"/>
      <c r="K488" s="536"/>
      <c r="L488" s="536"/>
      <c r="M488" s="536"/>
      <c r="N488" s="536"/>
      <c r="O488" s="536"/>
      <c r="P488" s="536">
        <f t="shared" si="176"/>
        <v>0</v>
      </c>
      <c r="Q488" s="536"/>
      <c r="R488" s="536"/>
      <c r="S488" s="536"/>
      <c r="T488" s="536">
        <f t="shared" si="177"/>
        <v>0</v>
      </c>
      <c r="U488" s="536"/>
      <c r="V488" s="536"/>
      <c r="W488" s="536"/>
      <c r="X488" s="536">
        <f t="shared" si="178"/>
        <v>0</v>
      </c>
      <c r="Y488" s="536"/>
      <c r="Z488" s="536"/>
      <c r="AA488" s="536"/>
      <c r="AB488" s="536">
        <f t="shared" si="179"/>
        <v>0</v>
      </c>
      <c r="AC488" s="536"/>
      <c r="AD488" s="536"/>
      <c r="AE488" s="536"/>
      <c r="AF488" s="536">
        <f t="shared" si="180"/>
        <v>0</v>
      </c>
      <c r="AG488" s="536"/>
      <c r="AH488" s="536"/>
      <c r="AI488" s="536"/>
      <c r="AJ488" s="536">
        <f t="shared" si="181"/>
        <v>0</v>
      </c>
      <c r="AK488" s="536"/>
      <c r="AL488" s="536"/>
      <c r="AM488" s="536"/>
      <c r="AN488" s="542">
        <f t="shared" si="182"/>
        <v>0</v>
      </c>
      <c r="AO488" s="536"/>
      <c r="AP488" s="536"/>
      <c r="AQ488" s="536"/>
      <c r="AR488" s="542">
        <f t="shared" si="183"/>
        <v>0</v>
      </c>
      <c r="AS488" s="536"/>
      <c r="AT488" s="536"/>
      <c r="AU488" s="536"/>
      <c r="AV488" s="542">
        <f t="shared" si="184"/>
        <v>0</v>
      </c>
      <c r="AW488" s="536"/>
      <c r="AX488" s="536"/>
      <c r="AY488" s="536"/>
      <c r="AZ488" s="542">
        <f t="shared" si="185"/>
        <v>0</v>
      </c>
      <c r="BA488" s="536"/>
      <c r="BB488" s="536"/>
      <c r="BC488" s="536"/>
      <c r="BD488" s="542">
        <f t="shared" si="186"/>
        <v>0</v>
      </c>
      <c r="BE488" s="536"/>
      <c r="BF488" s="536"/>
      <c r="BG488" s="536"/>
      <c r="BH488" s="542">
        <f t="shared" si="187"/>
        <v>0</v>
      </c>
      <c r="BI488" s="536"/>
      <c r="BJ488" s="536"/>
      <c r="BK488" s="536"/>
      <c r="BL488" s="542">
        <f t="shared" si="188"/>
        <v>0</v>
      </c>
      <c r="BM488" s="536"/>
      <c r="BN488" s="536"/>
      <c r="BO488" s="536"/>
      <c r="BP488" s="542">
        <f t="shared" si="189"/>
        <v>0</v>
      </c>
      <c r="BQ488" s="536"/>
      <c r="BR488" s="536"/>
      <c r="BS488" s="536"/>
      <c r="BT488" s="542">
        <f t="shared" si="190"/>
        <v>0</v>
      </c>
      <c r="BU488" s="536"/>
      <c r="BV488" s="536"/>
      <c r="BW488" s="536"/>
      <c r="BX488" s="542">
        <f t="shared" si="191"/>
        <v>0</v>
      </c>
      <c r="BY488" s="536"/>
      <c r="BZ488" s="536"/>
      <c r="CA488" s="536"/>
      <c r="CB488" s="542">
        <v>0</v>
      </c>
      <c r="CC488" s="536"/>
      <c r="CD488" s="536"/>
      <c r="CE488" s="536"/>
      <c r="CF488" s="541">
        <f t="shared" si="192"/>
        <v>0</v>
      </c>
      <c r="CG488" s="536"/>
      <c r="CH488" s="536"/>
      <c r="CI488" s="536"/>
      <c r="CJ488" s="541">
        <f t="shared" si="193"/>
        <v>0</v>
      </c>
      <c r="CK488" s="536"/>
      <c r="CL488" s="536"/>
      <c r="CM488" s="536"/>
      <c r="CN488" s="541">
        <f t="shared" si="194"/>
        <v>0</v>
      </c>
      <c r="CO488" s="536"/>
      <c r="CP488" s="536"/>
      <c r="CQ488" s="536"/>
      <c r="CR488" s="541">
        <f t="shared" si="195"/>
        <v>0</v>
      </c>
      <c r="CS488" s="536"/>
      <c r="CT488" s="536"/>
      <c r="CU488" s="536"/>
      <c r="CV488" s="541">
        <f t="shared" si="196"/>
        <v>0</v>
      </c>
      <c r="CW488" s="536"/>
      <c r="CX488" s="536"/>
      <c r="CY488" s="536"/>
      <c r="CZ488" s="541">
        <f t="shared" si="197"/>
        <v>0</v>
      </c>
      <c r="DA488" s="536"/>
      <c r="DB488" s="536"/>
      <c r="DC488" s="536"/>
      <c r="DD488" s="541">
        <f t="shared" si="198"/>
        <v>0</v>
      </c>
      <c r="DE488" s="536"/>
      <c r="DF488" s="536"/>
      <c r="DG488" s="536"/>
      <c r="DH488" s="541">
        <f t="shared" si="199"/>
        <v>0</v>
      </c>
      <c r="DI488" s="536"/>
      <c r="DJ488" s="536"/>
      <c r="DK488" s="536"/>
      <c r="DL488" s="541">
        <f t="shared" si="200"/>
        <v>0</v>
      </c>
      <c r="DM488" s="536"/>
      <c r="DN488" s="536"/>
      <c r="DO488" s="536"/>
      <c r="DP488" s="541">
        <f>IF( SUM((DJ488*(20/100))+(DK488*(30/100))+(DL488*(50/100))) &gt;=9.3,9.5,
IF(AND( SUM((DJ488*(20/100))+(DK488*(30/100))+(DL488*(50/100))) &lt;=9.3, SUM((DJ488*(20/100))+(DK488*(30/100))+(DL488*(50/100))) &gt;=8.8),9,
IF(AND( SUM((DJ488*(20/100))+(DK488*(30/100))+(DL488*(50/100))) &lt;=8.8, SUM((DJ488*(20/100))+(DK488*(30/100))+(DL488*(50/100))) &gt;=8.3),8.5,
IF(AND( SUM((DJ488*(20/100))+(DK488*(30/100))+(DL488*(50/100))) &lt;=8.3, SUM((DJ488*(20/100))+(DK488*(30/100))+(DL488*(50/100))) &gt;=7.8),8,
IF(AND( SUM((DJ488*(20/100))+(DK488*(30/100))+(DL488*(50/100))) &lt;=7.8, SUM((DJ488*(20/100))+(DK488*(30/100))+(DL488*(50/100))) &gt;=7.3),7.5,
IF(AND( SUM((DJ488*(20/100))+(DK488*(30/100))+(DL488*(50/100))) &lt;=7.3, SUM((DJ488*(20/100))+(DK488*(30/100))+(DL488*(50/100))) &gt;=6.8),7,
IF(AND( SUM((DJ488*(20/100))+(DK488*(30/100))+(DL488*(50/100))) &lt;=6.8, SUM((DJ488*(20/100))+(DK488*(30/100))+(DL488*(50/100))) &gt;=6.3),6.5,
IF(AND( SUM((DJ488*(20/100))+(DK488*(30/100))+(DL488*(50/100))) &lt;=6.3, SUM((DJ488*(20/100))+(DK488*(30/100))+(DL488*(50/100))) &gt;=5.8),6,
IF(AND( SUM((DJ488*(20/100))+(DK488*(30/100))+(DL488*(50/100))) &lt;=5.8, SUM((DJ488*(20/100))+(DK488*(30/100))+(DL488*(50/100))) &gt;=5.3),5.5,
IF(AND( SUM((DJ488*(20/100))+(DK488*(30/100))+(DL488*(50/100))) &lt;=5.3, SUM((DJ488*(20/100))+(DK488*(30/100))+(DL488*(50/100))) &gt;=4.8),5,
IF(AND( SUM((DJ488*(20/100))+(DK488*(30/100))+(DL488*(50/100))) &lt;=4.8, SUM((DJ488*(20/100))+(DK488*(30/100))+(DL488*(50/100))) &gt;=4.3),4.5,
IF(AND( SUM((DJ488*(20/100))+(DK488*(30/100))+(DL488*(50/100))) &lt;=4.3, SUM((DJ488*(20/100))+(DK488*(30/100))+(DL488*(50/100))) &gt;=3.8),4,
IF(AND( SUM((DJ488*(20/100))+(DK488*(30/100))+(DL488*(50/100))) &lt;=3.8, SUM((DJ488*(20/100))+(DK488*(30/100))+(DL488*(50/100))) &gt;=3.5),3.5,0)))))))))))))</f>
        <v>0</v>
      </c>
      <c r="DQ488" s="541"/>
      <c r="DR488" s="541"/>
      <c r="DS488" s="541"/>
      <c r="DT488" s="541"/>
      <c r="DU488" s="541"/>
      <c r="DV488" s="541"/>
      <c r="DW488" s="541"/>
      <c r="DX488" s="541"/>
      <c r="DY488" s="541"/>
      <c r="DZ488" s="541"/>
    </row>
    <row r="489" spans="2:130" x14ac:dyDescent="0.25">
      <c r="B489" s="334">
        <v>32</v>
      </c>
      <c r="C489" s="541"/>
      <c r="D489" s="334"/>
      <c r="E489" s="334"/>
      <c r="F489" s="334"/>
      <c r="G489" s="334"/>
      <c r="H489" s="334"/>
      <c r="I489" s="334"/>
      <c r="J489" s="536"/>
      <c r="K489" s="536"/>
      <c r="L489" s="536"/>
      <c r="M489" s="536"/>
      <c r="N489" s="536"/>
      <c r="O489" s="536"/>
      <c r="P489" s="536">
        <f t="shared" si="176"/>
        <v>0</v>
      </c>
      <c r="Q489" s="536"/>
      <c r="R489" s="536"/>
      <c r="S489" s="536"/>
      <c r="T489" s="536">
        <f t="shared" si="177"/>
        <v>0</v>
      </c>
      <c r="U489" s="536"/>
      <c r="V489" s="536"/>
      <c r="W489" s="536"/>
      <c r="X489" s="536">
        <f t="shared" si="178"/>
        <v>0</v>
      </c>
      <c r="Y489" s="536"/>
      <c r="Z489" s="536"/>
      <c r="AA489" s="536"/>
      <c r="AB489" s="536">
        <f t="shared" si="179"/>
        <v>0</v>
      </c>
      <c r="AC489" s="536"/>
      <c r="AD489" s="536"/>
      <c r="AE489" s="536"/>
      <c r="AF489" s="536">
        <f t="shared" si="180"/>
        <v>0</v>
      </c>
      <c r="AG489" s="536"/>
      <c r="AH489" s="536"/>
      <c r="AI489" s="536"/>
      <c r="AJ489" s="536">
        <f t="shared" si="181"/>
        <v>0</v>
      </c>
      <c r="AK489" s="536"/>
      <c r="AL489" s="536"/>
      <c r="AM489" s="536"/>
      <c r="AN489" s="542">
        <f t="shared" si="182"/>
        <v>0</v>
      </c>
      <c r="AO489" s="536"/>
      <c r="AP489" s="536"/>
      <c r="AQ489" s="536"/>
      <c r="AR489" s="542">
        <f t="shared" si="183"/>
        <v>0</v>
      </c>
      <c r="AS489" s="536"/>
      <c r="AT489" s="536"/>
      <c r="AU489" s="536"/>
      <c r="AV489" s="542">
        <f t="shared" si="184"/>
        <v>0</v>
      </c>
      <c r="AW489" s="536"/>
      <c r="AX489" s="536"/>
      <c r="AY489" s="536"/>
      <c r="AZ489" s="542">
        <f t="shared" si="185"/>
        <v>0</v>
      </c>
      <c r="BA489" s="536"/>
      <c r="BB489" s="536"/>
      <c r="BC489" s="536"/>
      <c r="BD489" s="542">
        <f t="shared" si="186"/>
        <v>0</v>
      </c>
      <c r="BE489" s="536"/>
      <c r="BF489" s="536"/>
      <c r="BG489" s="536"/>
      <c r="BH489" s="542">
        <f t="shared" si="187"/>
        <v>0</v>
      </c>
      <c r="BI489" s="536"/>
      <c r="BJ489" s="536"/>
      <c r="BK489" s="536"/>
      <c r="BL489" s="542">
        <f t="shared" si="188"/>
        <v>0</v>
      </c>
      <c r="BM489" s="536"/>
      <c r="BN489" s="536"/>
      <c r="BO489" s="536"/>
      <c r="BP489" s="542">
        <f t="shared" si="189"/>
        <v>0</v>
      </c>
      <c r="BQ489" s="536"/>
      <c r="BR489" s="536"/>
      <c r="BS489" s="536"/>
      <c r="BT489" s="542">
        <f t="shared" si="190"/>
        <v>0</v>
      </c>
      <c r="BU489" s="536"/>
      <c r="BV489" s="536"/>
      <c r="BW489" s="536"/>
      <c r="BX489" s="542">
        <f t="shared" si="191"/>
        <v>0</v>
      </c>
      <c r="BY489" s="536"/>
      <c r="BZ489" s="536"/>
      <c r="CA489" s="536"/>
      <c r="CB489" s="542">
        <v>0</v>
      </c>
      <c r="CC489" s="536"/>
      <c r="CD489" s="536"/>
      <c r="CE489" s="536"/>
      <c r="CF489" s="541">
        <f t="shared" si="192"/>
        <v>0</v>
      </c>
      <c r="CG489" s="536"/>
      <c r="CH489" s="536"/>
      <c r="CI489" s="536"/>
      <c r="CJ489" s="541">
        <f t="shared" si="193"/>
        <v>0</v>
      </c>
      <c r="CK489" s="536"/>
      <c r="CL489" s="536"/>
      <c r="CM489" s="536"/>
      <c r="CN489" s="541">
        <f t="shared" si="194"/>
        <v>0</v>
      </c>
      <c r="CO489" s="536"/>
      <c r="CP489" s="536"/>
      <c r="CQ489" s="536"/>
      <c r="CR489" s="541">
        <f t="shared" si="195"/>
        <v>0</v>
      </c>
      <c r="CS489" s="536"/>
      <c r="CT489" s="536"/>
      <c r="CU489" s="536"/>
      <c r="CV489" s="541">
        <f t="shared" si="196"/>
        <v>0</v>
      </c>
      <c r="CW489" s="536"/>
      <c r="CX489" s="536"/>
      <c r="CY489" s="536"/>
      <c r="CZ489" s="541">
        <f t="shared" si="197"/>
        <v>0</v>
      </c>
      <c r="DA489" s="536"/>
      <c r="DB489" s="536"/>
      <c r="DC489" s="536"/>
      <c r="DD489" s="541">
        <f t="shared" si="198"/>
        <v>0</v>
      </c>
      <c r="DE489" s="536"/>
      <c r="DF489" s="536"/>
      <c r="DG489" s="536"/>
      <c r="DH489" s="541">
        <f t="shared" si="199"/>
        <v>0</v>
      </c>
      <c r="DI489" s="536"/>
      <c r="DJ489" s="536"/>
      <c r="DK489" s="536"/>
      <c r="DL489" s="541">
        <f t="shared" si="200"/>
        <v>0</v>
      </c>
      <c r="DM489" s="536"/>
      <c r="DN489" s="536"/>
      <c r="DO489" s="536"/>
      <c r="DP489" s="541">
        <f>IF( SUM((DJ489*(20/100))+(DK489*(30/100))+(DL489*(50/100))) &gt;=9.3,9.5,
IF(AND( SUM((DJ489*(20/100))+(DK489*(30/100))+(DL489*(50/100))) &lt;=9.3, SUM((DJ489*(20/100))+(DK489*(30/100))+(DL489*(50/100))) &gt;=8.8),9,
IF(AND( SUM((DJ489*(20/100))+(DK489*(30/100))+(DL489*(50/100))) &lt;=8.8, SUM((DJ489*(20/100))+(DK489*(30/100))+(DL489*(50/100))) &gt;=8.3),8.5,
IF(AND( SUM((DJ489*(20/100))+(DK489*(30/100))+(DL489*(50/100))) &lt;=8.3, SUM((DJ489*(20/100))+(DK489*(30/100))+(DL489*(50/100))) &gt;=7.8),8,
IF(AND( SUM((DJ489*(20/100))+(DK489*(30/100))+(DL489*(50/100))) &lt;=7.8, SUM((DJ489*(20/100))+(DK489*(30/100))+(DL489*(50/100))) &gt;=7.3),7.5,
IF(AND( SUM((DJ489*(20/100))+(DK489*(30/100))+(DL489*(50/100))) &lt;=7.3, SUM((DJ489*(20/100))+(DK489*(30/100))+(DL489*(50/100))) &gt;=6.8),7,
IF(AND( SUM((DJ489*(20/100))+(DK489*(30/100))+(DL489*(50/100))) &lt;=6.8, SUM((DJ489*(20/100))+(DK489*(30/100))+(DL489*(50/100))) &gt;=6.3),6.5,
IF(AND( SUM((DJ489*(20/100))+(DK489*(30/100))+(DL489*(50/100))) &lt;=6.3, SUM((DJ489*(20/100))+(DK489*(30/100))+(DL489*(50/100))) &gt;=5.8),6,
IF(AND( SUM((DJ489*(20/100))+(DK489*(30/100))+(DL489*(50/100))) &lt;=5.8, SUM((DJ489*(20/100))+(DK489*(30/100))+(DL489*(50/100))) &gt;=5.3),5.5,
IF(AND( SUM((DJ489*(20/100))+(DK489*(30/100))+(DL489*(50/100))) &lt;=5.3, SUM((DJ489*(20/100))+(DK489*(30/100))+(DL489*(50/100))) &gt;=4.8),5,
IF(AND( SUM((DJ489*(20/100))+(DK489*(30/100))+(DL489*(50/100))) &lt;=4.8, SUM((DJ489*(20/100))+(DK489*(30/100))+(DL489*(50/100))) &gt;=4.3),4.5,
IF(AND( SUM((DJ489*(20/100))+(DK489*(30/100))+(DL489*(50/100))) &lt;=4.3, SUM((DJ489*(20/100))+(DK489*(30/100))+(DL489*(50/100))) &gt;=3.8),4,
IF(AND( SUM((DJ489*(20/100))+(DK489*(30/100))+(DL489*(50/100))) &lt;=3.8, SUM((DJ489*(20/100))+(DK489*(30/100))+(DL489*(50/100))) &gt;=3.5),3.5,0)))))))))))))</f>
        <v>0</v>
      </c>
      <c r="DQ489" s="541"/>
      <c r="DR489" s="541"/>
      <c r="DS489" s="541"/>
      <c r="DT489" s="541"/>
      <c r="DU489" s="541"/>
      <c r="DV489" s="541"/>
      <c r="DW489" s="541"/>
      <c r="DX489" s="541"/>
      <c r="DY489" s="541"/>
      <c r="DZ489" s="541"/>
    </row>
    <row r="490" spans="2:130" x14ac:dyDescent="0.25">
      <c r="B490" s="334">
        <v>33</v>
      </c>
      <c r="C490" s="541"/>
      <c r="D490" s="334"/>
      <c r="E490" s="334"/>
      <c r="F490" s="334"/>
      <c r="G490" s="334"/>
      <c r="H490" s="334"/>
      <c r="I490" s="334"/>
      <c r="J490" s="536"/>
      <c r="K490" s="536"/>
      <c r="L490" s="536"/>
      <c r="M490" s="536"/>
      <c r="N490" s="536"/>
      <c r="O490" s="536"/>
      <c r="P490" s="536">
        <f t="shared" si="176"/>
        <v>0</v>
      </c>
      <c r="Q490" s="536"/>
      <c r="R490" s="536"/>
      <c r="S490" s="536"/>
      <c r="T490" s="536">
        <f t="shared" si="177"/>
        <v>0</v>
      </c>
      <c r="U490" s="536"/>
      <c r="V490" s="536"/>
      <c r="W490" s="536"/>
      <c r="X490" s="536">
        <f t="shared" si="178"/>
        <v>0</v>
      </c>
      <c r="Y490" s="536"/>
      <c r="Z490" s="536"/>
      <c r="AA490" s="536"/>
      <c r="AB490" s="536">
        <f t="shared" si="179"/>
        <v>0</v>
      </c>
      <c r="AC490" s="536"/>
      <c r="AD490" s="536"/>
      <c r="AE490" s="536"/>
      <c r="AF490" s="536">
        <f t="shared" si="180"/>
        <v>0</v>
      </c>
      <c r="AG490" s="536"/>
      <c r="AH490" s="536"/>
      <c r="AI490" s="536"/>
      <c r="AJ490" s="536">
        <f t="shared" si="181"/>
        <v>0</v>
      </c>
      <c r="AK490" s="536"/>
      <c r="AL490" s="536"/>
      <c r="AM490" s="536"/>
      <c r="AN490" s="542">
        <f t="shared" si="182"/>
        <v>0</v>
      </c>
      <c r="AO490" s="536"/>
      <c r="AP490" s="536"/>
      <c r="AQ490" s="536"/>
      <c r="AR490" s="542">
        <f t="shared" si="183"/>
        <v>0</v>
      </c>
      <c r="AS490" s="536"/>
      <c r="AT490" s="536"/>
      <c r="AU490" s="536"/>
      <c r="AV490" s="542">
        <f t="shared" si="184"/>
        <v>0</v>
      </c>
      <c r="AW490" s="536"/>
      <c r="AX490" s="536"/>
      <c r="AY490" s="536"/>
      <c r="AZ490" s="542">
        <f t="shared" si="185"/>
        <v>0</v>
      </c>
      <c r="BA490" s="536"/>
      <c r="BB490" s="536"/>
      <c r="BC490" s="536"/>
      <c r="BD490" s="542">
        <f t="shared" si="186"/>
        <v>0</v>
      </c>
      <c r="BE490" s="536"/>
      <c r="BF490" s="536"/>
      <c r="BG490" s="536"/>
      <c r="BH490" s="542">
        <f t="shared" si="187"/>
        <v>0</v>
      </c>
      <c r="BI490" s="536"/>
      <c r="BJ490" s="536"/>
      <c r="BK490" s="536"/>
      <c r="BL490" s="542">
        <f t="shared" si="188"/>
        <v>0</v>
      </c>
      <c r="BM490" s="536"/>
      <c r="BN490" s="536"/>
      <c r="BO490" s="536"/>
      <c r="BP490" s="542">
        <f t="shared" si="189"/>
        <v>0</v>
      </c>
      <c r="BQ490" s="536"/>
      <c r="BR490" s="536"/>
      <c r="BS490" s="536"/>
      <c r="BT490" s="542">
        <f t="shared" si="190"/>
        <v>0</v>
      </c>
      <c r="BU490" s="536"/>
      <c r="BV490" s="536"/>
      <c r="BW490" s="536"/>
      <c r="BX490" s="542">
        <f t="shared" si="191"/>
        <v>0</v>
      </c>
      <c r="BY490" s="536"/>
      <c r="BZ490" s="536"/>
      <c r="CA490" s="536"/>
      <c r="CB490" s="542">
        <v>0</v>
      </c>
      <c r="CC490" s="536"/>
      <c r="CD490" s="536"/>
      <c r="CE490" s="536"/>
      <c r="CF490" s="541">
        <f t="shared" si="192"/>
        <v>0</v>
      </c>
      <c r="CG490" s="536"/>
      <c r="CH490" s="536"/>
      <c r="CI490" s="536"/>
      <c r="CJ490" s="541">
        <f t="shared" si="193"/>
        <v>0</v>
      </c>
      <c r="CK490" s="536"/>
      <c r="CL490" s="536"/>
      <c r="CM490" s="536"/>
      <c r="CN490" s="541">
        <f t="shared" si="194"/>
        <v>0</v>
      </c>
      <c r="CO490" s="536"/>
      <c r="CP490" s="536"/>
      <c r="CQ490" s="536"/>
      <c r="CR490" s="541">
        <f t="shared" si="195"/>
        <v>0</v>
      </c>
      <c r="CS490" s="536"/>
      <c r="CT490" s="536"/>
      <c r="CU490" s="536"/>
      <c r="CV490" s="541">
        <f t="shared" si="196"/>
        <v>0</v>
      </c>
      <c r="CW490" s="536"/>
      <c r="CX490" s="536"/>
      <c r="CY490" s="536"/>
      <c r="CZ490" s="541">
        <f t="shared" si="197"/>
        <v>0</v>
      </c>
      <c r="DA490" s="536"/>
      <c r="DB490" s="536"/>
      <c r="DC490" s="536"/>
      <c r="DD490" s="541">
        <f t="shared" si="198"/>
        <v>0</v>
      </c>
      <c r="DE490" s="536"/>
      <c r="DF490" s="536"/>
      <c r="DG490" s="536"/>
      <c r="DH490" s="541">
        <f t="shared" si="199"/>
        <v>0</v>
      </c>
      <c r="DI490" s="536"/>
      <c r="DJ490" s="536"/>
      <c r="DK490" s="536"/>
      <c r="DL490" s="541">
        <f t="shared" si="200"/>
        <v>0</v>
      </c>
      <c r="DM490" s="536"/>
      <c r="DN490" s="536"/>
      <c r="DO490" s="536"/>
      <c r="DP490" s="541">
        <f>IF( SUM((DJ490*(20/100))+(DK490*(30/100))+(DL490*(50/100))) &gt;=9.3,9.5,
IF(AND( SUM((DJ490*(20/100))+(DK490*(30/100))+(DL490*(50/100))) &lt;=9.3, SUM((DJ490*(20/100))+(DK490*(30/100))+(DL490*(50/100))) &gt;=8.8),9,
IF(AND( SUM((DJ490*(20/100))+(DK490*(30/100))+(DL490*(50/100))) &lt;=8.8, SUM((DJ490*(20/100))+(DK490*(30/100))+(DL490*(50/100))) &gt;=8.3),8.5,
IF(AND( SUM((DJ490*(20/100))+(DK490*(30/100))+(DL490*(50/100))) &lt;=8.3, SUM((DJ490*(20/100))+(DK490*(30/100))+(DL490*(50/100))) &gt;=7.8),8,
IF(AND( SUM((DJ490*(20/100))+(DK490*(30/100))+(DL490*(50/100))) &lt;=7.8, SUM((DJ490*(20/100))+(DK490*(30/100))+(DL490*(50/100))) &gt;=7.3),7.5,
IF(AND( SUM((DJ490*(20/100))+(DK490*(30/100))+(DL490*(50/100))) &lt;=7.3, SUM((DJ490*(20/100))+(DK490*(30/100))+(DL490*(50/100))) &gt;=6.8),7,
IF(AND( SUM((DJ490*(20/100))+(DK490*(30/100))+(DL490*(50/100))) &lt;=6.8, SUM((DJ490*(20/100))+(DK490*(30/100))+(DL490*(50/100))) &gt;=6.3),6.5,
IF(AND( SUM((DJ490*(20/100))+(DK490*(30/100))+(DL490*(50/100))) &lt;=6.3, SUM((DJ490*(20/100))+(DK490*(30/100))+(DL490*(50/100))) &gt;=5.8),6,
IF(AND( SUM((DJ490*(20/100))+(DK490*(30/100))+(DL490*(50/100))) &lt;=5.8, SUM((DJ490*(20/100))+(DK490*(30/100))+(DL490*(50/100))) &gt;=5.3),5.5,
IF(AND( SUM((DJ490*(20/100))+(DK490*(30/100))+(DL490*(50/100))) &lt;=5.3, SUM((DJ490*(20/100))+(DK490*(30/100))+(DL490*(50/100))) &gt;=4.8),5,
IF(AND( SUM((DJ490*(20/100))+(DK490*(30/100))+(DL490*(50/100))) &lt;=4.8, SUM((DJ490*(20/100))+(DK490*(30/100))+(DL490*(50/100))) &gt;=4.3),4.5,
IF(AND( SUM((DJ490*(20/100))+(DK490*(30/100))+(DL490*(50/100))) &lt;=4.3, SUM((DJ490*(20/100))+(DK490*(30/100))+(DL490*(50/100))) &gt;=3.8),4,
IF(AND( SUM((DJ490*(20/100))+(DK490*(30/100))+(DL490*(50/100))) &lt;=3.8, SUM((DJ490*(20/100))+(DK490*(30/100))+(DL490*(50/100))) &gt;=3.5),3.5,0)))))))))))))</f>
        <v>0</v>
      </c>
      <c r="DQ490" s="541"/>
      <c r="DR490" s="541"/>
      <c r="DS490" s="541"/>
      <c r="DT490" s="541"/>
      <c r="DU490" s="541"/>
      <c r="DV490" s="541"/>
      <c r="DW490" s="541"/>
      <c r="DX490" s="541"/>
      <c r="DY490" s="541"/>
      <c r="DZ490" s="541"/>
    </row>
    <row r="491" spans="2:130" x14ac:dyDescent="0.25">
      <c r="B491" s="334">
        <v>34</v>
      </c>
      <c r="C491" s="541"/>
      <c r="D491" s="334"/>
      <c r="E491" s="334"/>
      <c r="F491" s="334"/>
      <c r="G491" s="334"/>
      <c r="H491" s="334"/>
      <c r="I491" s="334"/>
      <c r="J491" s="536"/>
      <c r="K491" s="536"/>
      <c r="L491" s="536"/>
      <c r="M491" s="536"/>
      <c r="N491" s="536"/>
      <c r="O491" s="536"/>
      <c r="P491" s="536">
        <f t="shared" si="176"/>
        <v>0</v>
      </c>
      <c r="Q491" s="536"/>
      <c r="R491" s="536"/>
      <c r="S491" s="536"/>
      <c r="T491" s="536">
        <f t="shared" si="177"/>
        <v>0</v>
      </c>
      <c r="U491" s="536"/>
      <c r="V491" s="536"/>
      <c r="W491" s="536"/>
      <c r="X491" s="536">
        <f t="shared" si="178"/>
        <v>0</v>
      </c>
      <c r="Y491" s="536"/>
      <c r="Z491" s="536"/>
      <c r="AA491" s="536"/>
      <c r="AB491" s="536">
        <f t="shared" si="179"/>
        <v>0</v>
      </c>
      <c r="AC491" s="536"/>
      <c r="AD491" s="536"/>
      <c r="AE491" s="536"/>
      <c r="AF491" s="536">
        <f t="shared" si="180"/>
        <v>0</v>
      </c>
      <c r="AG491" s="536"/>
      <c r="AH491" s="536"/>
      <c r="AI491" s="536"/>
      <c r="AJ491" s="536">
        <f t="shared" si="181"/>
        <v>0</v>
      </c>
      <c r="AK491" s="536"/>
      <c r="AL491" s="536"/>
      <c r="AM491" s="536"/>
      <c r="AN491" s="542">
        <f t="shared" si="182"/>
        <v>0</v>
      </c>
      <c r="AO491" s="536"/>
      <c r="AP491" s="536"/>
      <c r="AQ491" s="536"/>
      <c r="AR491" s="542">
        <f t="shared" si="183"/>
        <v>0</v>
      </c>
      <c r="AS491" s="536"/>
      <c r="AT491" s="536"/>
      <c r="AU491" s="536"/>
      <c r="AV491" s="542">
        <f t="shared" si="184"/>
        <v>0</v>
      </c>
      <c r="AW491" s="536"/>
      <c r="AX491" s="536"/>
      <c r="AY491" s="536"/>
      <c r="AZ491" s="542">
        <f t="shared" si="185"/>
        <v>0</v>
      </c>
      <c r="BA491" s="536"/>
      <c r="BB491" s="536"/>
      <c r="BC491" s="536"/>
      <c r="BD491" s="542">
        <f t="shared" si="186"/>
        <v>0</v>
      </c>
      <c r="BE491" s="536"/>
      <c r="BF491" s="536"/>
      <c r="BG491" s="536"/>
      <c r="BH491" s="542">
        <f t="shared" si="187"/>
        <v>0</v>
      </c>
      <c r="BI491" s="536"/>
      <c r="BJ491" s="536"/>
      <c r="BK491" s="536"/>
      <c r="BL491" s="542">
        <f t="shared" si="188"/>
        <v>0</v>
      </c>
      <c r="BM491" s="536"/>
      <c r="BN491" s="536"/>
      <c r="BO491" s="536"/>
      <c r="BP491" s="542">
        <f t="shared" si="189"/>
        <v>0</v>
      </c>
      <c r="BQ491" s="536"/>
      <c r="BR491" s="536"/>
      <c r="BS491" s="536"/>
      <c r="BT491" s="542">
        <f t="shared" si="190"/>
        <v>0</v>
      </c>
      <c r="BU491" s="536"/>
      <c r="BV491" s="536"/>
      <c r="BW491" s="536"/>
      <c r="BX491" s="542">
        <f t="shared" si="191"/>
        <v>0</v>
      </c>
      <c r="BY491" s="536"/>
      <c r="BZ491" s="536"/>
      <c r="CA491" s="536"/>
      <c r="CB491" s="542">
        <v>0</v>
      </c>
      <c r="CC491" s="536"/>
      <c r="CD491" s="536"/>
      <c r="CE491" s="536"/>
      <c r="CF491" s="541">
        <f t="shared" si="192"/>
        <v>0</v>
      </c>
      <c r="CG491" s="536"/>
      <c r="CH491" s="536"/>
      <c r="CI491" s="536"/>
      <c r="CJ491" s="541">
        <f t="shared" si="193"/>
        <v>0</v>
      </c>
      <c r="CK491" s="536"/>
      <c r="CL491" s="536"/>
      <c r="CM491" s="536"/>
      <c r="CN491" s="541">
        <f t="shared" si="194"/>
        <v>0</v>
      </c>
      <c r="CO491" s="536"/>
      <c r="CP491" s="536"/>
      <c r="CQ491" s="536"/>
      <c r="CR491" s="541">
        <f t="shared" si="195"/>
        <v>0</v>
      </c>
      <c r="CS491" s="536"/>
      <c r="CT491" s="536"/>
      <c r="CU491" s="536"/>
      <c r="CV491" s="541">
        <f t="shared" si="196"/>
        <v>0</v>
      </c>
      <c r="CW491" s="536"/>
      <c r="CX491" s="536"/>
      <c r="CY491" s="536"/>
      <c r="CZ491" s="541">
        <f t="shared" si="197"/>
        <v>0</v>
      </c>
      <c r="DA491" s="536"/>
      <c r="DB491" s="536"/>
      <c r="DC491" s="536"/>
      <c r="DD491" s="541">
        <f t="shared" si="198"/>
        <v>0</v>
      </c>
      <c r="DE491" s="536"/>
      <c r="DF491" s="536"/>
      <c r="DG491" s="536"/>
      <c r="DH491" s="541">
        <f t="shared" si="199"/>
        <v>0</v>
      </c>
      <c r="DI491" s="536"/>
      <c r="DJ491" s="536"/>
      <c r="DK491" s="536"/>
      <c r="DL491" s="541">
        <f t="shared" si="200"/>
        <v>0</v>
      </c>
      <c r="DM491" s="536"/>
      <c r="DN491" s="536"/>
      <c r="DO491" s="536"/>
      <c r="DP491" s="541">
        <f>IF( SUM((DJ491*(20/100))+(DK491*(30/100))+(DL491*(50/100))) &gt;=9.3,9.5,
IF(AND( SUM((DJ491*(20/100))+(DK491*(30/100))+(DL491*(50/100))) &lt;=9.3, SUM((DJ491*(20/100))+(DK491*(30/100))+(DL491*(50/100))) &gt;=8.8),9,
IF(AND( SUM((DJ491*(20/100))+(DK491*(30/100))+(DL491*(50/100))) &lt;=8.8, SUM((DJ491*(20/100))+(DK491*(30/100))+(DL491*(50/100))) &gt;=8.3),8.5,
IF(AND( SUM((DJ491*(20/100))+(DK491*(30/100))+(DL491*(50/100))) &lt;=8.3, SUM((DJ491*(20/100))+(DK491*(30/100))+(DL491*(50/100))) &gt;=7.8),8,
IF(AND( SUM((DJ491*(20/100))+(DK491*(30/100))+(DL491*(50/100))) &lt;=7.8, SUM((DJ491*(20/100))+(DK491*(30/100))+(DL491*(50/100))) &gt;=7.3),7.5,
IF(AND( SUM((DJ491*(20/100))+(DK491*(30/100))+(DL491*(50/100))) &lt;=7.3, SUM((DJ491*(20/100))+(DK491*(30/100))+(DL491*(50/100))) &gt;=6.8),7,
IF(AND( SUM((DJ491*(20/100))+(DK491*(30/100))+(DL491*(50/100))) &lt;=6.8, SUM((DJ491*(20/100))+(DK491*(30/100))+(DL491*(50/100))) &gt;=6.3),6.5,
IF(AND( SUM((DJ491*(20/100))+(DK491*(30/100))+(DL491*(50/100))) &lt;=6.3, SUM((DJ491*(20/100))+(DK491*(30/100))+(DL491*(50/100))) &gt;=5.8),6,
IF(AND( SUM((DJ491*(20/100))+(DK491*(30/100))+(DL491*(50/100))) &lt;=5.8, SUM((DJ491*(20/100))+(DK491*(30/100))+(DL491*(50/100))) &gt;=5.3),5.5,
IF(AND( SUM((DJ491*(20/100))+(DK491*(30/100))+(DL491*(50/100))) &lt;=5.3, SUM((DJ491*(20/100))+(DK491*(30/100))+(DL491*(50/100))) &gt;=4.8),5,
IF(AND( SUM((DJ491*(20/100))+(DK491*(30/100))+(DL491*(50/100))) &lt;=4.8, SUM((DJ491*(20/100))+(DK491*(30/100))+(DL491*(50/100))) &gt;=4.3),4.5,
IF(AND( SUM((DJ491*(20/100))+(DK491*(30/100))+(DL491*(50/100))) &lt;=4.3, SUM((DJ491*(20/100))+(DK491*(30/100))+(DL491*(50/100))) &gt;=3.8),4,
IF(AND( SUM((DJ491*(20/100))+(DK491*(30/100))+(DL491*(50/100))) &lt;=3.8, SUM((DJ491*(20/100))+(DK491*(30/100))+(DL491*(50/100))) &gt;=3.5),3.5,0)))))))))))))</f>
        <v>0</v>
      </c>
      <c r="DQ491" s="541"/>
      <c r="DR491" s="541"/>
      <c r="DS491" s="541"/>
      <c r="DT491" s="541"/>
      <c r="DU491" s="541"/>
      <c r="DV491" s="541"/>
      <c r="DW491" s="541"/>
      <c r="DX491" s="541"/>
      <c r="DY491" s="541"/>
      <c r="DZ491" s="541"/>
    </row>
    <row r="492" spans="2:130" x14ac:dyDescent="0.25">
      <c r="B492" s="334">
        <v>35</v>
      </c>
      <c r="C492" s="541"/>
      <c r="D492" s="334"/>
      <c r="E492" s="334"/>
      <c r="F492" s="334"/>
      <c r="G492" s="334"/>
      <c r="H492" s="334"/>
      <c r="I492" s="334"/>
      <c r="J492" s="536"/>
      <c r="K492" s="536"/>
      <c r="L492" s="536"/>
      <c r="M492" s="536"/>
      <c r="N492" s="536"/>
      <c r="O492" s="536"/>
      <c r="P492" s="536">
        <f t="shared" si="176"/>
        <v>0</v>
      </c>
      <c r="Q492" s="536"/>
      <c r="R492" s="536"/>
      <c r="S492" s="536"/>
      <c r="T492" s="536">
        <f t="shared" si="177"/>
        <v>0</v>
      </c>
      <c r="U492" s="536"/>
      <c r="V492" s="536"/>
      <c r="W492" s="536"/>
      <c r="X492" s="536">
        <f t="shared" si="178"/>
        <v>0</v>
      </c>
      <c r="Y492" s="536"/>
      <c r="Z492" s="536"/>
      <c r="AA492" s="536"/>
      <c r="AB492" s="536">
        <f t="shared" si="179"/>
        <v>0</v>
      </c>
      <c r="AC492" s="536"/>
      <c r="AD492" s="536"/>
      <c r="AE492" s="536"/>
      <c r="AF492" s="536">
        <f t="shared" si="180"/>
        <v>0</v>
      </c>
      <c r="AG492" s="536"/>
      <c r="AH492" s="536"/>
      <c r="AI492" s="536"/>
      <c r="AJ492" s="536">
        <f t="shared" si="181"/>
        <v>0</v>
      </c>
      <c r="AK492" s="536"/>
      <c r="AL492" s="536"/>
      <c r="AM492" s="536"/>
      <c r="AN492" s="542">
        <f t="shared" si="182"/>
        <v>0</v>
      </c>
      <c r="AO492" s="536"/>
      <c r="AP492" s="536"/>
      <c r="AQ492" s="536"/>
      <c r="AR492" s="542">
        <f t="shared" si="183"/>
        <v>0</v>
      </c>
      <c r="AS492" s="536"/>
      <c r="AT492" s="536"/>
      <c r="AU492" s="536"/>
      <c r="AV492" s="542">
        <f t="shared" si="184"/>
        <v>0</v>
      </c>
      <c r="AW492" s="536"/>
      <c r="AX492" s="536"/>
      <c r="AY492" s="536"/>
      <c r="AZ492" s="542">
        <f t="shared" si="185"/>
        <v>0</v>
      </c>
      <c r="BA492" s="536"/>
      <c r="BB492" s="536"/>
      <c r="BC492" s="536"/>
      <c r="BD492" s="542">
        <f t="shared" si="186"/>
        <v>0</v>
      </c>
      <c r="BE492" s="536"/>
      <c r="BF492" s="536"/>
      <c r="BG492" s="536"/>
      <c r="BH492" s="542">
        <f t="shared" si="187"/>
        <v>0</v>
      </c>
      <c r="BI492" s="536"/>
      <c r="BJ492" s="536"/>
      <c r="BK492" s="536"/>
      <c r="BL492" s="542">
        <f t="shared" si="188"/>
        <v>0</v>
      </c>
      <c r="BM492" s="536"/>
      <c r="BN492" s="536"/>
      <c r="BO492" s="536"/>
      <c r="BP492" s="542">
        <f t="shared" si="189"/>
        <v>0</v>
      </c>
      <c r="BQ492" s="536"/>
      <c r="BR492" s="536"/>
      <c r="BS492" s="536"/>
      <c r="BT492" s="542">
        <f t="shared" si="190"/>
        <v>0</v>
      </c>
      <c r="BU492" s="536"/>
      <c r="BV492" s="536"/>
      <c r="BW492" s="536"/>
      <c r="BX492" s="542">
        <f t="shared" si="191"/>
        <v>0</v>
      </c>
      <c r="BY492" s="536"/>
      <c r="BZ492" s="536"/>
      <c r="CA492" s="536"/>
      <c r="CB492" s="542">
        <v>0</v>
      </c>
      <c r="CC492" s="536"/>
      <c r="CD492" s="536"/>
      <c r="CE492" s="536"/>
      <c r="CF492" s="541">
        <f t="shared" si="192"/>
        <v>0</v>
      </c>
      <c r="CG492" s="536"/>
      <c r="CH492" s="536"/>
      <c r="CI492" s="536"/>
      <c r="CJ492" s="541">
        <f t="shared" si="193"/>
        <v>0</v>
      </c>
      <c r="CK492" s="536"/>
      <c r="CL492" s="536"/>
      <c r="CM492" s="536"/>
      <c r="CN492" s="541">
        <f t="shared" si="194"/>
        <v>0</v>
      </c>
      <c r="CO492" s="536"/>
      <c r="CP492" s="536"/>
      <c r="CQ492" s="536"/>
      <c r="CR492" s="541">
        <f t="shared" si="195"/>
        <v>0</v>
      </c>
      <c r="CS492" s="536"/>
      <c r="CT492" s="536"/>
      <c r="CU492" s="536"/>
      <c r="CV492" s="541">
        <f t="shared" si="196"/>
        <v>0</v>
      </c>
      <c r="CW492" s="536"/>
      <c r="CX492" s="536"/>
      <c r="CY492" s="536"/>
      <c r="CZ492" s="541">
        <f t="shared" si="197"/>
        <v>0</v>
      </c>
      <c r="DA492" s="536"/>
      <c r="DB492" s="536"/>
      <c r="DC492" s="536"/>
      <c r="DD492" s="541">
        <f t="shared" si="198"/>
        <v>0</v>
      </c>
      <c r="DE492" s="536"/>
      <c r="DF492" s="536"/>
      <c r="DG492" s="536"/>
      <c r="DH492" s="541">
        <f t="shared" si="199"/>
        <v>0</v>
      </c>
      <c r="DI492" s="536"/>
      <c r="DJ492" s="536"/>
      <c r="DK492" s="536"/>
      <c r="DL492" s="541">
        <f t="shared" si="200"/>
        <v>0</v>
      </c>
      <c r="DM492" s="536"/>
      <c r="DN492" s="536"/>
      <c r="DO492" s="536"/>
      <c r="DP492" s="541">
        <f>IF( SUM((DJ492*(20/100))+(DK492*(30/100))+(DL492*(50/100))) &gt;=9.3,9.5,
IF(AND( SUM((DJ492*(20/100))+(DK492*(30/100))+(DL492*(50/100))) &lt;=9.3, SUM((DJ492*(20/100))+(DK492*(30/100))+(DL492*(50/100))) &gt;=8.8),9,
IF(AND( SUM((DJ492*(20/100))+(DK492*(30/100))+(DL492*(50/100))) &lt;=8.8, SUM((DJ492*(20/100))+(DK492*(30/100))+(DL492*(50/100))) &gt;=8.3),8.5,
IF(AND( SUM((DJ492*(20/100))+(DK492*(30/100))+(DL492*(50/100))) &lt;=8.3, SUM((DJ492*(20/100))+(DK492*(30/100))+(DL492*(50/100))) &gt;=7.8),8,
IF(AND( SUM((DJ492*(20/100))+(DK492*(30/100))+(DL492*(50/100))) &lt;=7.8, SUM((DJ492*(20/100))+(DK492*(30/100))+(DL492*(50/100))) &gt;=7.3),7.5,
IF(AND( SUM((DJ492*(20/100))+(DK492*(30/100))+(DL492*(50/100))) &lt;=7.3, SUM((DJ492*(20/100))+(DK492*(30/100))+(DL492*(50/100))) &gt;=6.8),7,
IF(AND( SUM((DJ492*(20/100))+(DK492*(30/100))+(DL492*(50/100))) &lt;=6.8, SUM((DJ492*(20/100))+(DK492*(30/100))+(DL492*(50/100))) &gt;=6.3),6.5,
IF(AND( SUM((DJ492*(20/100))+(DK492*(30/100))+(DL492*(50/100))) &lt;=6.3, SUM((DJ492*(20/100))+(DK492*(30/100))+(DL492*(50/100))) &gt;=5.8),6,
IF(AND( SUM((DJ492*(20/100))+(DK492*(30/100))+(DL492*(50/100))) &lt;=5.8, SUM((DJ492*(20/100))+(DK492*(30/100))+(DL492*(50/100))) &gt;=5.3),5.5,
IF(AND( SUM((DJ492*(20/100))+(DK492*(30/100))+(DL492*(50/100))) &lt;=5.3, SUM((DJ492*(20/100))+(DK492*(30/100))+(DL492*(50/100))) &gt;=4.8),5,
IF(AND( SUM((DJ492*(20/100))+(DK492*(30/100))+(DL492*(50/100))) &lt;=4.8, SUM((DJ492*(20/100))+(DK492*(30/100))+(DL492*(50/100))) &gt;=4.3),4.5,
IF(AND( SUM((DJ492*(20/100))+(DK492*(30/100))+(DL492*(50/100))) &lt;=4.3, SUM((DJ492*(20/100))+(DK492*(30/100))+(DL492*(50/100))) &gt;=3.8),4,
IF(AND( SUM((DJ492*(20/100))+(DK492*(30/100))+(DL492*(50/100))) &lt;=3.8, SUM((DJ492*(20/100))+(DK492*(30/100))+(DL492*(50/100))) &gt;=3.5),3.5,0)))))))))))))</f>
        <v>0</v>
      </c>
      <c r="DQ492" s="541"/>
      <c r="DR492" s="541"/>
      <c r="DS492" s="541"/>
      <c r="DT492" s="541"/>
      <c r="DU492" s="541"/>
      <c r="DV492" s="541"/>
      <c r="DW492" s="541"/>
      <c r="DX492" s="541"/>
      <c r="DY492" s="541"/>
      <c r="DZ492" s="541"/>
    </row>
    <row r="493" spans="2:130" x14ac:dyDescent="0.25">
      <c r="B493" s="334">
        <v>36</v>
      </c>
      <c r="C493" s="541"/>
      <c r="D493" s="334"/>
      <c r="E493" s="334"/>
      <c r="F493" s="334"/>
      <c r="G493" s="334"/>
      <c r="H493" s="334"/>
      <c r="I493" s="334"/>
      <c r="J493" s="536"/>
      <c r="K493" s="536"/>
      <c r="L493" s="536"/>
      <c r="M493" s="536"/>
      <c r="N493" s="536"/>
      <c r="O493" s="536"/>
      <c r="P493" s="536">
        <f t="shared" si="176"/>
        <v>0</v>
      </c>
      <c r="Q493" s="536"/>
      <c r="R493" s="536"/>
      <c r="S493" s="536"/>
      <c r="T493" s="536">
        <f t="shared" si="177"/>
        <v>0</v>
      </c>
      <c r="U493" s="536"/>
      <c r="V493" s="536"/>
      <c r="W493" s="536"/>
      <c r="X493" s="536">
        <f t="shared" si="178"/>
        <v>0</v>
      </c>
      <c r="Y493" s="536"/>
      <c r="Z493" s="536"/>
      <c r="AA493" s="536"/>
      <c r="AB493" s="536">
        <f t="shared" si="179"/>
        <v>0</v>
      </c>
      <c r="AC493" s="536"/>
      <c r="AD493" s="536"/>
      <c r="AE493" s="536"/>
      <c r="AF493" s="536">
        <f t="shared" si="180"/>
        <v>0</v>
      </c>
      <c r="AG493" s="536"/>
      <c r="AH493" s="536"/>
      <c r="AI493" s="536"/>
      <c r="AJ493" s="536">
        <f t="shared" si="181"/>
        <v>0</v>
      </c>
      <c r="AK493" s="536"/>
      <c r="AL493" s="536"/>
      <c r="AM493" s="536"/>
      <c r="AN493" s="542">
        <f t="shared" si="182"/>
        <v>0</v>
      </c>
      <c r="AO493" s="536"/>
      <c r="AP493" s="536"/>
      <c r="AQ493" s="536"/>
      <c r="AR493" s="542">
        <f t="shared" si="183"/>
        <v>0</v>
      </c>
      <c r="AS493" s="536"/>
      <c r="AT493" s="536"/>
      <c r="AU493" s="536"/>
      <c r="AV493" s="542">
        <f t="shared" si="184"/>
        <v>0</v>
      </c>
      <c r="AW493" s="536"/>
      <c r="AX493" s="536"/>
      <c r="AY493" s="536"/>
      <c r="AZ493" s="542">
        <f t="shared" si="185"/>
        <v>0</v>
      </c>
      <c r="BA493" s="536"/>
      <c r="BB493" s="536"/>
      <c r="BC493" s="536"/>
      <c r="BD493" s="542">
        <f t="shared" si="186"/>
        <v>0</v>
      </c>
      <c r="BE493" s="536"/>
      <c r="BF493" s="536"/>
      <c r="BG493" s="536"/>
      <c r="BH493" s="542">
        <f t="shared" si="187"/>
        <v>0</v>
      </c>
      <c r="BI493" s="536"/>
      <c r="BJ493" s="536"/>
      <c r="BK493" s="536"/>
      <c r="BL493" s="542">
        <f t="shared" si="188"/>
        <v>0</v>
      </c>
      <c r="BM493" s="536"/>
      <c r="BN493" s="536"/>
      <c r="BO493" s="536"/>
      <c r="BP493" s="542">
        <f t="shared" si="189"/>
        <v>0</v>
      </c>
      <c r="BQ493" s="536"/>
      <c r="BR493" s="536"/>
      <c r="BS493" s="536"/>
      <c r="BT493" s="542">
        <f t="shared" si="190"/>
        <v>0</v>
      </c>
      <c r="BU493" s="536"/>
      <c r="BV493" s="536"/>
      <c r="BW493" s="536"/>
      <c r="BX493" s="542">
        <f t="shared" si="191"/>
        <v>0</v>
      </c>
      <c r="BY493" s="536"/>
      <c r="BZ493" s="536"/>
      <c r="CA493" s="536"/>
      <c r="CB493" s="542">
        <v>0</v>
      </c>
      <c r="CC493" s="536"/>
      <c r="CD493" s="536"/>
      <c r="CE493" s="536"/>
      <c r="CF493" s="541">
        <f t="shared" si="192"/>
        <v>0</v>
      </c>
      <c r="CG493" s="536"/>
      <c r="CH493" s="536"/>
      <c r="CI493" s="536"/>
      <c r="CJ493" s="541">
        <f t="shared" si="193"/>
        <v>0</v>
      </c>
      <c r="CK493" s="536"/>
      <c r="CL493" s="536"/>
      <c r="CM493" s="536"/>
      <c r="CN493" s="541">
        <f t="shared" si="194"/>
        <v>0</v>
      </c>
      <c r="CO493" s="536"/>
      <c r="CP493" s="536"/>
      <c r="CQ493" s="536"/>
      <c r="CR493" s="541">
        <f t="shared" si="195"/>
        <v>0</v>
      </c>
      <c r="CS493" s="536"/>
      <c r="CT493" s="536"/>
      <c r="CU493" s="536"/>
      <c r="CV493" s="541">
        <f t="shared" si="196"/>
        <v>0</v>
      </c>
      <c r="CW493" s="536"/>
      <c r="CX493" s="536"/>
      <c r="CY493" s="536"/>
      <c r="CZ493" s="541">
        <f t="shared" si="197"/>
        <v>0</v>
      </c>
      <c r="DA493" s="536"/>
      <c r="DB493" s="536"/>
      <c r="DC493" s="536"/>
      <c r="DD493" s="541">
        <f t="shared" si="198"/>
        <v>0</v>
      </c>
      <c r="DE493" s="536"/>
      <c r="DF493" s="536"/>
      <c r="DG493" s="536"/>
      <c r="DH493" s="541">
        <f t="shared" si="199"/>
        <v>0</v>
      </c>
      <c r="DI493" s="536"/>
      <c r="DJ493" s="536"/>
      <c r="DK493" s="536"/>
      <c r="DL493" s="541">
        <f t="shared" si="200"/>
        <v>0</v>
      </c>
      <c r="DM493" s="536"/>
      <c r="DN493" s="536"/>
      <c r="DO493" s="536"/>
      <c r="DP493" s="541">
        <f>IF( SUM((DJ493*(20/100))+(DK493*(30/100))+(DL493*(50/100))) &gt;=9.3,9.5,
IF(AND( SUM((DJ493*(20/100))+(DK493*(30/100))+(DL493*(50/100))) &lt;=9.3, SUM((DJ493*(20/100))+(DK493*(30/100))+(DL493*(50/100))) &gt;=8.8),9,
IF(AND( SUM((DJ493*(20/100))+(DK493*(30/100))+(DL493*(50/100))) &lt;=8.8, SUM((DJ493*(20/100))+(DK493*(30/100))+(DL493*(50/100))) &gt;=8.3),8.5,
IF(AND( SUM((DJ493*(20/100))+(DK493*(30/100))+(DL493*(50/100))) &lt;=8.3, SUM((DJ493*(20/100))+(DK493*(30/100))+(DL493*(50/100))) &gt;=7.8),8,
IF(AND( SUM((DJ493*(20/100))+(DK493*(30/100))+(DL493*(50/100))) &lt;=7.8, SUM((DJ493*(20/100))+(DK493*(30/100))+(DL493*(50/100))) &gt;=7.3),7.5,
IF(AND( SUM((DJ493*(20/100))+(DK493*(30/100))+(DL493*(50/100))) &lt;=7.3, SUM((DJ493*(20/100))+(DK493*(30/100))+(DL493*(50/100))) &gt;=6.8),7,
IF(AND( SUM((DJ493*(20/100))+(DK493*(30/100))+(DL493*(50/100))) &lt;=6.8, SUM((DJ493*(20/100))+(DK493*(30/100))+(DL493*(50/100))) &gt;=6.3),6.5,
IF(AND( SUM((DJ493*(20/100))+(DK493*(30/100))+(DL493*(50/100))) &lt;=6.3, SUM((DJ493*(20/100))+(DK493*(30/100))+(DL493*(50/100))) &gt;=5.8),6,
IF(AND( SUM((DJ493*(20/100))+(DK493*(30/100))+(DL493*(50/100))) &lt;=5.8, SUM((DJ493*(20/100))+(DK493*(30/100))+(DL493*(50/100))) &gt;=5.3),5.5,
IF(AND( SUM((DJ493*(20/100))+(DK493*(30/100))+(DL493*(50/100))) &lt;=5.3, SUM((DJ493*(20/100))+(DK493*(30/100))+(DL493*(50/100))) &gt;=4.8),5,
IF(AND( SUM((DJ493*(20/100))+(DK493*(30/100))+(DL493*(50/100))) &lt;=4.8, SUM((DJ493*(20/100))+(DK493*(30/100))+(DL493*(50/100))) &gt;=4.3),4.5,
IF(AND( SUM((DJ493*(20/100))+(DK493*(30/100))+(DL493*(50/100))) &lt;=4.3, SUM((DJ493*(20/100))+(DK493*(30/100))+(DL493*(50/100))) &gt;=3.8),4,
IF(AND( SUM((DJ493*(20/100))+(DK493*(30/100))+(DL493*(50/100))) &lt;=3.8, SUM((DJ493*(20/100))+(DK493*(30/100))+(DL493*(50/100))) &gt;=3.5),3.5,0)))))))))))))</f>
        <v>0</v>
      </c>
      <c r="DQ493" s="541"/>
      <c r="DR493" s="541"/>
      <c r="DS493" s="541"/>
      <c r="DT493" s="541"/>
      <c r="DU493" s="541"/>
      <c r="DV493" s="541"/>
      <c r="DW493" s="541"/>
      <c r="DX493" s="541"/>
      <c r="DY493" s="541"/>
      <c r="DZ493" s="541"/>
    </row>
    <row r="494" spans="2:130" x14ac:dyDescent="0.25">
      <c r="B494" s="334">
        <v>37</v>
      </c>
      <c r="C494" s="541"/>
      <c r="D494" s="334"/>
      <c r="E494" s="334"/>
      <c r="F494" s="334"/>
      <c r="G494" s="334"/>
      <c r="H494" s="334"/>
      <c r="I494" s="334"/>
      <c r="J494" s="536"/>
      <c r="K494" s="536"/>
      <c r="L494" s="536"/>
      <c r="M494" s="536"/>
      <c r="N494" s="536"/>
      <c r="O494" s="536"/>
      <c r="P494" s="536">
        <f t="shared" si="176"/>
        <v>0</v>
      </c>
      <c r="Q494" s="536"/>
      <c r="R494" s="536"/>
      <c r="S494" s="536"/>
      <c r="T494" s="536">
        <f t="shared" si="177"/>
        <v>0</v>
      </c>
      <c r="U494" s="536"/>
      <c r="V494" s="536"/>
      <c r="W494" s="536"/>
      <c r="X494" s="536">
        <f t="shared" si="178"/>
        <v>0</v>
      </c>
      <c r="Y494" s="536"/>
      <c r="Z494" s="536"/>
      <c r="AA494" s="536"/>
      <c r="AB494" s="536">
        <f t="shared" si="179"/>
        <v>0</v>
      </c>
      <c r="AC494" s="536"/>
      <c r="AD494" s="536"/>
      <c r="AE494" s="536"/>
      <c r="AF494" s="536">
        <f t="shared" si="180"/>
        <v>0</v>
      </c>
      <c r="AG494" s="536"/>
      <c r="AH494" s="536"/>
      <c r="AI494" s="536"/>
      <c r="AJ494" s="536">
        <f t="shared" si="181"/>
        <v>0</v>
      </c>
      <c r="AK494" s="536"/>
      <c r="AL494" s="536"/>
      <c r="AM494" s="536"/>
      <c r="AN494" s="542">
        <f t="shared" si="182"/>
        <v>0</v>
      </c>
      <c r="AO494" s="536"/>
      <c r="AP494" s="536"/>
      <c r="AQ494" s="536"/>
      <c r="AR494" s="542">
        <f t="shared" si="183"/>
        <v>0</v>
      </c>
      <c r="AS494" s="536"/>
      <c r="AT494" s="536"/>
      <c r="AU494" s="536"/>
      <c r="AV494" s="542">
        <f t="shared" si="184"/>
        <v>0</v>
      </c>
      <c r="AW494" s="536"/>
      <c r="AX494" s="536"/>
      <c r="AY494" s="536"/>
      <c r="AZ494" s="542">
        <f t="shared" si="185"/>
        <v>0</v>
      </c>
      <c r="BA494" s="536"/>
      <c r="BB494" s="536"/>
      <c r="BC494" s="536"/>
      <c r="BD494" s="542">
        <f t="shared" si="186"/>
        <v>0</v>
      </c>
      <c r="BE494" s="536"/>
      <c r="BF494" s="536"/>
      <c r="BG494" s="536"/>
      <c r="BH494" s="542">
        <f t="shared" si="187"/>
        <v>0</v>
      </c>
      <c r="BI494" s="536"/>
      <c r="BJ494" s="536"/>
      <c r="BK494" s="536"/>
      <c r="BL494" s="542">
        <f t="shared" si="188"/>
        <v>0</v>
      </c>
      <c r="BM494" s="536"/>
      <c r="BN494" s="536"/>
      <c r="BO494" s="536"/>
      <c r="BP494" s="542">
        <f t="shared" si="189"/>
        <v>0</v>
      </c>
      <c r="BQ494" s="536"/>
      <c r="BR494" s="536"/>
      <c r="BS494" s="536"/>
      <c r="BT494" s="542">
        <f t="shared" si="190"/>
        <v>0</v>
      </c>
      <c r="BU494" s="536"/>
      <c r="BV494" s="536"/>
      <c r="BW494" s="536"/>
      <c r="BX494" s="542">
        <f t="shared" si="191"/>
        <v>0</v>
      </c>
      <c r="BY494" s="536"/>
      <c r="BZ494" s="536"/>
      <c r="CA494" s="536"/>
      <c r="CB494" s="542">
        <v>0</v>
      </c>
      <c r="CC494" s="536"/>
      <c r="CD494" s="536"/>
      <c r="CE494" s="536"/>
      <c r="CF494" s="541">
        <f t="shared" si="192"/>
        <v>0</v>
      </c>
      <c r="CG494" s="536"/>
      <c r="CH494" s="536"/>
      <c r="CI494" s="536"/>
      <c r="CJ494" s="541">
        <f t="shared" si="193"/>
        <v>0</v>
      </c>
      <c r="CK494" s="536"/>
      <c r="CL494" s="536"/>
      <c r="CM494" s="536"/>
      <c r="CN494" s="541">
        <f t="shared" si="194"/>
        <v>0</v>
      </c>
      <c r="CO494" s="536"/>
      <c r="CP494" s="536"/>
      <c r="CQ494" s="536"/>
      <c r="CR494" s="541">
        <f t="shared" si="195"/>
        <v>0</v>
      </c>
      <c r="CS494" s="536"/>
      <c r="CT494" s="536"/>
      <c r="CU494" s="536"/>
      <c r="CV494" s="541">
        <f t="shared" si="196"/>
        <v>0</v>
      </c>
      <c r="CW494" s="536"/>
      <c r="CX494" s="536"/>
      <c r="CY494" s="536"/>
      <c r="CZ494" s="541">
        <f t="shared" si="197"/>
        <v>0</v>
      </c>
      <c r="DA494" s="536"/>
      <c r="DB494" s="536"/>
      <c r="DC494" s="536"/>
      <c r="DD494" s="541">
        <f t="shared" si="198"/>
        <v>0</v>
      </c>
      <c r="DE494" s="536"/>
      <c r="DF494" s="536"/>
      <c r="DG494" s="536"/>
      <c r="DH494" s="541">
        <f t="shared" si="199"/>
        <v>0</v>
      </c>
      <c r="DI494" s="536"/>
      <c r="DJ494" s="536"/>
      <c r="DK494" s="536"/>
      <c r="DL494" s="541">
        <f t="shared" si="200"/>
        <v>0</v>
      </c>
      <c r="DM494" s="536"/>
      <c r="DN494" s="536"/>
      <c r="DO494" s="536"/>
      <c r="DP494" s="541">
        <f>IF( SUM((DJ494*(20/100))+(DK494*(30/100))+(DL494*(50/100))) &gt;=9.3,9.5,
IF(AND( SUM((DJ494*(20/100))+(DK494*(30/100))+(DL494*(50/100))) &lt;=9.3, SUM((DJ494*(20/100))+(DK494*(30/100))+(DL494*(50/100))) &gt;=8.8),9,
IF(AND( SUM((DJ494*(20/100))+(DK494*(30/100))+(DL494*(50/100))) &lt;=8.8, SUM((DJ494*(20/100))+(DK494*(30/100))+(DL494*(50/100))) &gt;=8.3),8.5,
IF(AND( SUM((DJ494*(20/100))+(DK494*(30/100))+(DL494*(50/100))) &lt;=8.3, SUM((DJ494*(20/100))+(DK494*(30/100))+(DL494*(50/100))) &gt;=7.8),8,
IF(AND( SUM((DJ494*(20/100))+(DK494*(30/100))+(DL494*(50/100))) &lt;=7.8, SUM((DJ494*(20/100))+(DK494*(30/100))+(DL494*(50/100))) &gt;=7.3),7.5,
IF(AND( SUM((DJ494*(20/100))+(DK494*(30/100))+(DL494*(50/100))) &lt;=7.3, SUM((DJ494*(20/100))+(DK494*(30/100))+(DL494*(50/100))) &gt;=6.8),7,
IF(AND( SUM((DJ494*(20/100))+(DK494*(30/100))+(DL494*(50/100))) &lt;=6.8, SUM((DJ494*(20/100))+(DK494*(30/100))+(DL494*(50/100))) &gt;=6.3),6.5,
IF(AND( SUM((DJ494*(20/100))+(DK494*(30/100))+(DL494*(50/100))) &lt;=6.3, SUM((DJ494*(20/100))+(DK494*(30/100))+(DL494*(50/100))) &gt;=5.8),6,
IF(AND( SUM((DJ494*(20/100))+(DK494*(30/100))+(DL494*(50/100))) &lt;=5.8, SUM((DJ494*(20/100))+(DK494*(30/100))+(DL494*(50/100))) &gt;=5.3),5.5,
IF(AND( SUM((DJ494*(20/100))+(DK494*(30/100))+(DL494*(50/100))) &lt;=5.3, SUM((DJ494*(20/100))+(DK494*(30/100))+(DL494*(50/100))) &gt;=4.8),5,
IF(AND( SUM((DJ494*(20/100))+(DK494*(30/100))+(DL494*(50/100))) &lt;=4.8, SUM((DJ494*(20/100))+(DK494*(30/100))+(DL494*(50/100))) &gt;=4.3),4.5,
IF(AND( SUM((DJ494*(20/100))+(DK494*(30/100))+(DL494*(50/100))) &lt;=4.3, SUM((DJ494*(20/100))+(DK494*(30/100))+(DL494*(50/100))) &gt;=3.8),4,
IF(AND( SUM((DJ494*(20/100))+(DK494*(30/100))+(DL494*(50/100))) &lt;=3.8, SUM((DJ494*(20/100))+(DK494*(30/100))+(DL494*(50/100))) &gt;=3.5),3.5,0)))))))))))))</f>
        <v>0</v>
      </c>
      <c r="DQ494" s="541"/>
      <c r="DR494" s="541"/>
      <c r="DS494" s="541"/>
      <c r="DT494" s="541"/>
      <c r="DU494" s="541"/>
      <c r="DV494" s="541"/>
      <c r="DW494" s="541"/>
      <c r="DX494" s="541"/>
      <c r="DY494" s="541"/>
      <c r="DZ494" s="541"/>
    </row>
    <row r="495" spans="2:130" x14ac:dyDescent="0.25">
      <c r="B495" s="334">
        <v>38</v>
      </c>
      <c r="C495" s="541"/>
      <c r="D495" s="334"/>
      <c r="E495" s="334"/>
      <c r="F495" s="334"/>
      <c r="G495" s="334"/>
      <c r="H495" s="334"/>
      <c r="I495" s="334"/>
      <c r="J495" s="536"/>
      <c r="K495" s="536"/>
      <c r="L495" s="536"/>
      <c r="M495" s="536"/>
      <c r="N495" s="536"/>
      <c r="O495" s="536"/>
      <c r="P495" s="536">
        <f t="shared" si="176"/>
        <v>0</v>
      </c>
      <c r="Q495" s="536"/>
      <c r="R495" s="536"/>
      <c r="S495" s="536"/>
      <c r="T495" s="536">
        <f t="shared" si="177"/>
        <v>0</v>
      </c>
      <c r="U495" s="536"/>
      <c r="V495" s="536"/>
      <c r="W495" s="536"/>
      <c r="X495" s="536">
        <f t="shared" si="178"/>
        <v>0</v>
      </c>
      <c r="Y495" s="536"/>
      <c r="Z495" s="536"/>
      <c r="AA495" s="536"/>
      <c r="AB495" s="536">
        <f t="shared" si="179"/>
        <v>0</v>
      </c>
      <c r="AC495" s="536"/>
      <c r="AD495" s="536"/>
      <c r="AE495" s="536"/>
      <c r="AF495" s="536">
        <f t="shared" si="180"/>
        <v>0</v>
      </c>
      <c r="AG495" s="536"/>
      <c r="AH495" s="536"/>
      <c r="AI495" s="536"/>
      <c r="AJ495" s="536">
        <f t="shared" si="181"/>
        <v>0</v>
      </c>
      <c r="AK495" s="536"/>
      <c r="AL495" s="536"/>
      <c r="AM495" s="536"/>
      <c r="AN495" s="542">
        <f t="shared" si="182"/>
        <v>0</v>
      </c>
      <c r="AO495" s="536"/>
      <c r="AP495" s="536"/>
      <c r="AQ495" s="536"/>
      <c r="AR495" s="542">
        <f t="shared" si="183"/>
        <v>0</v>
      </c>
      <c r="AS495" s="536"/>
      <c r="AT495" s="536"/>
      <c r="AU495" s="536"/>
      <c r="AV495" s="542">
        <f t="shared" si="184"/>
        <v>0</v>
      </c>
      <c r="AW495" s="536"/>
      <c r="AX495" s="536"/>
      <c r="AY495" s="536"/>
      <c r="AZ495" s="542">
        <f t="shared" si="185"/>
        <v>0</v>
      </c>
      <c r="BA495" s="536"/>
      <c r="BB495" s="536"/>
      <c r="BC495" s="536"/>
      <c r="BD495" s="542">
        <f t="shared" si="186"/>
        <v>0</v>
      </c>
      <c r="BE495" s="536"/>
      <c r="BF495" s="536"/>
      <c r="BG495" s="536"/>
      <c r="BH495" s="542">
        <f t="shared" si="187"/>
        <v>0</v>
      </c>
      <c r="BI495" s="536"/>
      <c r="BJ495" s="536"/>
      <c r="BK495" s="536"/>
      <c r="BL495" s="542">
        <f t="shared" si="188"/>
        <v>0</v>
      </c>
      <c r="BM495" s="536"/>
      <c r="BN495" s="536"/>
      <c r="BO495" s="536"/>
      <c r="BP495" s="542">
        <f t="shared" si="189"/>
        <v>0</v>
      </c>
      <c r="BQ495" s="536"/>
      <c r="BR495" s="536"/>
      <c r="BS495" s="536"/>
      <c r="BT495" s="542">
        <f t="shared" si="190"/>
        <v>0</v>
      </c>
      <c r="BU495" s="536"/>
      <c r="BV495" s="536"/>
      <c r="BW495" s="536"/>
      <c r="BX495" s="542">
        <f t="shared" si="191"/>
        <v>0</v>
      </c>
      <c r="BY495" s="536"/>
      <c r="BZ495" s="536"/>
      <c r="CA495" s="536"/>
      <c r="CB495" s="542">
        <v>0</v>
      </c>
      <c r="CC495" s="536"/>
      <c r="CD495" s="536"/>
      <c r="CE495" s="536"/>
      <c r="CF495" s="541">
        <f t="shared" si="192"/>
        <v>0</v>
      </c>
      <c r="CG495" s="536"/>
      <c r="CH495" s="536"/>
      <c r="CI495" s="536"/>
      <c r="CJ495" s="541">
        <f t="shared" si="193"/>
        <v>0</v>
      </c>
      <c r="CK495" s="536"/>
      <c r="CL495" s="536"/>
      <c r="CM495" s="536"/>
      <c r="CN495" s="541">
        <f t="shared" si="194"/>
        <v>0</v>
      </c>
      <c r="CO495" s="536"/>
      <c r="CP495" s="536"/>
      <c r="CQ495" s="536"/>
      <c r="CR495" s="541">
        <f t="shared" si="195"/>
        <v>0</v>
      </c>
      <c r="CS495" s="536"/>
      <c r="CT495" s="536"/>
      <c r="CU495" s="536"/>
      <c r="CV495" s="541">
        <f t="shared" si="196"/>
        <v>0</v>
      </c>
      <c r="CW495" s="536"/>
      <c r="CX495" s="536"/>
      <c r="CY495" s="536"/>
      <c r="CZ495" s="541">
        <f t="shared" si="197"/>
        <v>0</v>
      </c>
      <c r="DA495" s="536"/>
      <c r="DB495" s="536"/>
      <c r="DC495" s="536"/>
      <c r="DD495" s="541">
        <f t="shared" si="198"/>
        <v>0</v>
      </c>
      <c r="DE495" s="536"/>
      <c r="DF495" s="536"/>
      <c r="DG495" s="536"/>
      <c r="DH495" s="541">
        <f t="shared" si="199"/>
        <v>0</v>
      </c>
      <c r="DI495" s="536"/>
      <c r="DJ495" s="536"/>
      <c r="DK495" s="536"/>
      <c r="DL495" s="541">
        <f t="shared" si="200"/>
        <v>0</v>
      </c>
      <c r="DM495" s="536"/>
      <c r="DN495" s="536"/>
      <c r="DO495" s="536"/>
      <c r="DP495" s="541">
        <f>IF( SUM((DJ495*(20/100))+(DK495*(30/100))+(DL495*(50/100))) &gt;=9.3,9.5,
IF(AND( SUM((DJ495*(20/100))+(DK495*(30/100))+(DL495*(50/100))) &lt;=9.3, SUM((DJ495*(20/100))+(DK495*(30/100))+(DL495*(50/100))) &gt;=8.8),9,
IF(AND( SUM((DJ495*(20/100))+(DK495*(30/100))+(DL495*(50/100))) &lt;=8.8, SUM((DJ495*(20/100))+(DK495*(30/100))+(DL495*(50/100))) &gt;=8.3),8.5,
IF(AND( SUM((DJ495*(20/100))+(DK495*(30/100))+(DL495*(50/100))) &lt;=8.3, SUM((DJ495*(20/100))+(DK495*(30/100))+(DL495*(50/100))) &gt;=7.8),8,
IF(AND( SUM((DJ495*(20/100))+(DK495*(30/100))+(DL495*(50/100))) &lt;=7.8, SUM((DJ495*(20/100))+(DK495*(30/100))+(DL495*(50/100))) &gt;=7.3),7.5,
IF(AND( SUM((DJ495*(20/100))+(DK495*(30/100))+(DL495*(50/100))) &lt;=7.3, SUM((DJ495*(20/100))+(DK495*(30/100))+(DL495*(50/100))) &gt;=6.8),7,
IF(AND( SUM((DJ495*(20/100))+(DK495*(30/100))+(DL495*(50/100))) &lt;=6.8, SUM((DJ495*(20/100))+(DK495*(30/100))+(DL495*(50/100))) &gt;=6.3),6.5,
IF(AND( SUM((DJ495*(20/100))+(DK495*(30/100))+(DL495*(50/100))) &lt;=6.3, SUM((DJ495*(20/100))+(DK495*(30/100))+(DL495*(50/100))) &gt;=5.8),6,
IF(AND( SUM((DJ495*(20/100))+(DK495*(30/100))+(DL495*(50/100))) &lt;=5.8, SUM((DJ495*(20/100))+(DK495*(30/100))+(DL495*(50/100))) &gt;=5.3),5.5,
IF(AND( SUM((DJ495*(20/100))+(DK495*(30/100))+(DL495*(50/100))) &lt;=5.3, SUM((DJ495*(20/100))+(DK495*(30/100))+(DL495*(50/100))) &gt;=4.8),5,
IF(AND( SUM((DJ495*(20/100))+(DK495*(30/100))+(DL495*(50/100))) &lt;=4.8, SUM((DJ495*(20/100))+(DK495*(30/100))+(DL495*(50/100))) &gt;=4.3),4.5,
IF(AND( SUM((DJ495*(20/100))+(DK495*(30/100))+(DL495*(50/100))) &lt;=4.3, SUM((DJ495*(20/100))+(DK495*(30/100))+(DL495*(50/100))) &gt;=3.8),4,
IF(AND( SUM((DJ495*(20/100))+(DK495*(30/100))+(DL495*(50/100))) &lt;=3.8, SUM((DJ495*(20/100))+(DK495*(30/100))+(DL495*(50/100))) &gt;=3.5),3.5,0)))))))))))))</f>
        <v>0</v>
      </c>
      <c r="DQ495" s="541"/>
      <c r="DR495" s="541"/>
      <c r="DS495" s="541"/>
      <c r="DT495" s="541"/>
      <c r="DU495" s="541"/>
      <c r="DV495" s="541"/>
      <c r="DW495" s="541"/>
      <c r="DX495" s="541"/>
      <c r="DY495" s="541"/>
      <c r="DZ495" s="541"/>
    </row>
    <row r="496" spans="2:130" x14ac:dyDescent="0.25">
      <c r="B496" s="334">
        <v>39</v>
      </c>
      <c r="C496" s="541"/>
      <c r="D496" s="334"/>
      <c r="E496" s="334"/>
      <c r="F496" s="334"/>
      <c r="G496" s="334"/>
      <c r="H496" s="334"/>
      <c r="I496" s="334"/>
      <c r="J496" s="536"/>
      <c r="K496" s="536"/>
      <c r="L496" s="536"/>
      <c r="M496" s="536"/>
      <c r="N496" s="536"/>
      <c r="O496" s="536"/>
      <c r="P496" s="536">
        <f t="shared" si="176"/>
        <v>0</v>
      </c>
      <c r="Q496" s="536"/>
      <c r="R496" s="536"/>
      <c r="S496" s="536"/>
      <c r="T496" s="536">
        <f t="shared" si="177"/>
        <v>0</v>
      </c>
      <c r="U496" s="536"/>
      <c r="V496" s="536"/>
      <c r="W496" s="536"/>
      <c r="X496" s="536">
        <f t="shared" si="178"/>
        <v>0</v>
      </c>
      <c r="Y496" s="536"/>
      <c r="Z496" s="536"/>
      <c r="AA496" s="536"/>
      <c r="AB496" s="536">
        <f t="shared" si="179"/>
        <v>0</v>
      </c>
      <c r="AC496" s="536"/>
      <c r="AD496" s="536"/>
      <c r="AE496" s="536"/>
      <c r="AF496" s="536">
        <f t="shared" si="180"/>
        <v>0</v>
      </c>
      <c r="AG496" s="536"/>
      <c r="AH496" s="536"/>
      <c r="AI496" s="536"/>
      <c r="AJ496" s="536">
        <f t="shared" si="181"/>
        <v>0</v>
      </c>
      <c r="AK496" s="536"/>
      <c r="AL496" s="536"/>
      <c r="AM496" s="536"/>
      <c r="AN496" s="542">
        <f t="shared" si="182"/>
        <v>0</v>
      </c>
      <c r="AO496" s="536"/>
      <c r="AP496" s="536"/>
      <c r="AQ496" s="536"/>
      <c r="AR496" s="542">
        <f t="shared" si="183"/>
        <v>0</v>
      </c>
      <c r="AS496" s="536"/>
      <c r="AT496" s="536"/>
      <c r="AU496" s="536"/>
      <c r="AV496" s="542">
        <f t="shared" si="184"/>
        <v>0</v>
      </c>
      <c r="AW496" s="536"/>
      <c r="AX496" s="536"/>
      <c r="AY496" s="536"/>
      <c r="AZ496" s="542">
        <f t="shared" si="185"/>
        <v>0</v>
      </c>
      <c r="BA496" s="536"/>
      <c r="BB496" s="536"/>
      <c r="BC496" s="536"/>
      <c r="BD496" s="542">
        <f t="shared" si="186"/>
        <v>0</v>
      </c>
      <c r="BE496" s="536"/>
      <c r="BF496" s="536"/>
      <c r="BG496" s="536"/>
      <c r="BH496" s="542">
        <f t="shared" si="187"/>
        <v>0</v>
      </c>
      <c r="BI496" s="536"/>
      <c r="BJ496" s="536"/>
      <c r="BK496" s="536"/>
      <c r="BL496" s="542">
        <f t="shared" si="188"/>
        <v>0</v>
      </c>
      <c r="BM496" s="536"/>
      <c r="BN496" s="536"/>
      <c r="BO496" s="536"/>
      <c r="BP496" s="542">
        <f t="shared" si="189"/>
        <v>0</v>
      </c>
      <c r="BQ496" s="536"/>
      <c r="BR496" s="536"/>
      <c r="BS496" s="536"/>
      <c r="BT496" s="542">
        <f t="shared" si="190"/>
        <v>0</v>
      </c>
      <c r="BU496" s="536"/>
      <c r="BV496" s="536"/>
      <c r="BW496" s="536"/>
      <c r="BX496" s="542">
        <f t="shared" si="191"/>
        <v>0</v>
      </c>
      <c r="BY496" s="536"/>
      <c r="BZ496" s="536"/>
      <c r="CA496" s="536"/>
      <c r="CB496" s="542">
        <v>0</v>
      </c>
      <c r="CC496" s="536"/>
      <c r="CD496" s="536"/>
      <c r="CE496" s="536"/>
      <c r="CF496" s="541">
        <f t="shared" si="192"/>
        <v>0</v>
      </c>
      <c r="CG496" s="536"/>
      <c r="CH496" s="536"/>
      <c r="CI496" s="536"/>
      <c r="CJ496" s="541">
        <f t="shared" si="193"/>
        <v>0</v>
      </c>
      <c r="CK496" s="536"/>
      <c r="CL496" s="536"/>
      <c r="CM496" s="536"/>
      <c r="CN496" s="541">
        <f t="shared" si="194"/>
        <v>0</v>
      </c>
      <c r="CO496" s="536"/>
      <c r="CP496" s="536"/>
      <c r="CQ496" s="536"/>
      <c r="CR496" s="541">
        <f t="shared" si="195"/>
        <v>0</v>
      </c>
      <c r="CS496" s="536"/>
      <c r="CT496" s="536"/>
      <c r="CU496" s="536"/>
      <c r="CV496" s="541">
        <f t="shared" si="196"/>
        <v>0</v>
      </c>
      <c r="CW496" s="536"/>
      <c r="CX496" s="536"/>
      <c r="CY496" s="536"/>
      <c r="CZ496" s="541">
        <f t="shared" si="197"/>
        <v>0</v>
      </c>
      <c r="DA496" s="536"/>
      <c r="DB496" s="536"/>
      <c r="DC496" s="536"/>
      <c r="DD496" s="541">
        <f t="shared" si="198"/>
        <v>0</v>
      </c>
      <c r="DE496" s="536"/>
      <c r="DF496" s="536"/>
      <c r="DG496" s="536"/>
      <c r="DH496" s="541">
        <f t="shared" si="199"/>
        <v>0</v>
      </c>
      <c r="DI496" s="536"/>
      <c r="DJ496" s="536"/>
      <c r="DK496" s="536"/>
      <c r="DL496" s="541">
        <f t="shared" si="200"/>
        <v>0</v>
      </c>
      <c r="DM496" s="536"/>
      <c r="DN496" s="536"/>
      <c r="DO496" s="536"/>
      <c r="DP496" s="541">
        <f>IF( SUM((DJ496*(20/100))+(DK496*(30/100))+(DL496*(50/100))) &gt;=9.3,9.5,
IF(AND( SUM((DJ496*(20/100))+(DK496*(30/100))+(DL496*(50/100))) &lt;=9.3, SUM((DJ496*(20/100))+(DK496*(30/100))+(DL496*(50/100))) &gt;=8.8),9,
IF(AND( SUM((DJ496*(20/100))+(DK496*(30/100))+(DL496*(50/100))) &lt;=8.8, SUM((DJ496*(20/100))+(DK496*(30/100))+(DL496*(50/100))) &gt;=8.3),8.5,
IF(AND( SUM((DJ496*(20/100))+(DK496*(30/100))+(DL496*(50/100))) &lt;=8.3, SUM((DJ496*(20/100))+(DK496*(30/100))+(DL496*(50/100))) &gt;=7.8),8,
IF(AND( SUM((DJ496*(20/100))+(DK496*(30/100))+(DL496*(50/100))) &lt;=7.8, SUM((DJ496*(20/100))+(DK496*(30/100))+(DL496*(50/100))) &gt;=7.3),7.5,
IF(AND( SUM((DJ496*(20/100))+(DK496*(30/100))+(DL496*(50/100))) &lt;=7.3, SUM((DJ496*(20/100))+(DK496*(30/100))+(DL496*(50/100))) &gt;=6.8),7,
IF(AND( SUM((DJ496*(20/100))+(DK496*(30/100))+(DL496*(50/100))) &lt;=6.8, SUM((DJ496*(20/100))+(DK496*(30/100))+(DL496*(50/100))) &gt;=6.3),6.5,
IF(AND( SUM((DJ496*(20/100))+(DK496*(30/100))+(DL496*(50/100))) &lt;=6.3, SUM((DJ496*(20/100))+(DK496*(30/100))+(DL496*(50/100))) &gt;=5.8),6,
IF(AND( SUM((DJ496*(20/100))+(DK496*(30/100))+(DL496*(50/100))) &lt;=5.8, SUM((DJ496*(20/100))+(DK496*(30/100))+(DL496*(50/100))) &gt;=5.3),5.5,
IF(AND( SUM((DJ496*(20/100))+(DK496*(30/100))+(DL496*(50/100))) &lt;=5.3, SUM((DJ496*(20/100))+(DK496*(30/100))+(DL496*(50/100))) &gt;=4.8),5,
IF(AND( SUM((DJ496*(20/100))+(DK496*(30/100))+(DL496*(50/100))) &lt;=4.8, SUM((DJ496*(20/100))+(DK496*(30/100))+(DL496*(50/100))) &gt;=4.3),4.5,
IF(AND( SUM((DJ496*(20/100))+(DK496*(30/100))+(DL496*(50/100))) &lt;=4.3, SUM((DJ496*(20/100))+(DK496*(30/100))+(DL496*(50/100))) &gt;=3.8),4,
IF(AND( SUM((DJ496*(20/100))+(DK496*(30/100))+(DL496*(50/100))) &lt;=3.8, SUM((DJ496*(20/100))+(DK496*(30/100))+(DL496*(50/100))) &gt;=3.5),3.5,0)))))))))))))</f>
        <v>0</v>
      </c>
      <c r="DQ496" s="541"/>
      <c r="DR496" s="541"/>
      <c r="DS496" s="541"/>
      <c r="DT496" s="541"/>
      <c r="DU496" s="541"/>
      <c r="DV496" s="541"/>
      <c r="DW496" s="541"/>
      <c r="DX496" s="541"/>
      <c r="DY496" s="541"/>
      <c r="DZ496" s="541"/>
    </row>
    <row r="497" spans="2:130" x14ac:dyDescent="0.25">
      <c r="B497" s="334">
        <v>40</v>
      </c>
      <c r="C497" s="541"/>
      <c r="D497" s="334"/>
      <c r="E497" s="334"/>
      <c r="F497" s="334"/>
      <c r="G497" s="334"/>
      <c r="H497" s="334"/>
      <c r="I497" s="334"/>
      <c r="J497" s="536"/>
      <c r="K497" s="536"/>
      <c r="L497" s="536"/>
      <c r="M497" s="536"/>
      <c r="N497" s="536"/>
      <c r="O497" s="536"/>
      <c r="P497" s="536">
        <f t="shared" si="176"/>
        <v>0</v>
      </c>
      <c r="Q497" s="536"/>
      <c r="R497" s="536"/>
      <c r="S497" s="536"/>
      <c r="T497" s="536">
        <f t="shared" si="177"/>
        <v>0</v>
      </c>
      <c r="U497" s="536"/>
      <c r="V497" s="536"/>
      <c r="W497" s="536"/>
      <c r="X497" s="536">
        <f t="shared" si="178"/>
        <v>0</v>
      </c>
      <c r="Y497" s="536"/>
      <c r="Z497" s="536"/>
      <c r="AA497" s="536"/>
      <c r="AB497" s="536">
        <f t="shared" si="179"/>
        <v>0</v>
      </c>
      <c r="AC497" s="536"/>
      <c r="AD497" s="536"/>
      <c r="AE497" s="536"/>
      <c r="AF497" s="536">
        <f t="shared" si="180"/>
        <v>0</v>
      </c>
      <c r="AG497" s="536"/>
      <c r="AH497" s="536"/>
      <c r="AI497" s="536"/>
      <c r="AJ497" s="536">
        <f t="shared" si="181"/>
        <v>0</v>
      </c>
      <c r="AK497" s="536"/>
      <c r="AL497" s="536"/>
      <c r="AM497" s="536"/>
      <c r="AN497" s="542">
        <f t="shared" si="182"/>
        <v>0</v>
      </c>
      <c r="AO497" s="536"/>
      <c r="AP497" s="536"/>
      <c r="AQ497" s="536"/>
      <c r="AR497" s="542">
        <f t="shared" si="183"/>
        <v>0</v>
      </c>
      <c r="AS497" s="536"/>
      <c r="AT497" s="536"/>
      <c r="AU497" s="536"/>
      <c r="AV497" s="542">
        <f t="shared" si="184"/>
        <v>0</v>
      </c>
      <c r="AW497" s="536"/>
      <c r="AX497" s="536"/>
      <c r="AY497" s="536"/>
      <c r="AZ497" s="542">
        <f t="shared" si="185"/>
        <v>0</v>
      </c>
      <c r="BA497" s="536"/>
      <c r="BB497" s="536"/>
      <c r="BC497" s="536"/>
      <c r="BD497" s="542">
        <f t="shared" si="186"/>
        <v>0</v>
      </c>
      <c r="BE497" s="536"/>
      <c r="BF497" s="536"/>
      <c r="BG497" s="536"/>
      <c r="BH497" s="542">
        <f t="shared" si="187"/>
        <v>0</v>
      </c>
      <c r="BI497" s="536"/>
      <c r="BJ497" s="536"/>
      <c r="BK497" s="536"/>
      <c r="BL497" s="542">
        <f t="shared" si="188"/>
        <v>0</v>
      </c>
      <c r="BM497" s="536"/>
      <c r="BN497" s="536"/>
      <c r="BO497" s="536"/>
      <c r="BP497" s="542">
        <f t="shared" si="189"/>
        <v>0</v>
      </c>
      <c r="BQ497" s="536"/>
      <c r="BR497" s="536"/>
      <c r="BS497" s="536"/>
      <c r="BT497" s="542">
        <f t="shared" si="190"/>
        <v>0</v>
      </c>
      <c r="BU497" s="536"/>
      <c r="BV497" s="536"/>
      <c r="BW497" s="536"/>
      <c r="BX497" s="542">
        <f t="shared" si="191"/>
        <v>0</v>
      </c>
      <c r="BY497" s="536"/>
      <c r="BZ497" s="536"/>
      <c r="CA497" s="536"/>
      <c r="CB497" s="542">
        <v>0</v>
      </c>
      <c r="CC497" s="536"/>
      <c r="CD497" s="536"/>
      <c r="CE497" s="536"/>
      <c r="CF497" s="541">
        <f t="shared" si="192"/>
        <v>0</v>
      </c>
      <c r="CG497" s="536"/>
      <c r="CH497" s="536"/>
      <c r="CI497" s="536"/>
      <c r="CJ497" s="541">
        <f t="shared" si="193"/>
        <v>0</v>
      </c>
      <c r="CK497" s="536"/>
      <c r="CL497" s="536"/>
      <c r="CM497" s="536"/>
      <c r="CN497" s="541">
        <f t="shared" si="194"/>
        <v>0</v>
      </c>
      <c r="CO497" s="536"/>
      <c r="CP497" s="536"/>
      <c r="CQ497" s="536"/>
      <c r="CR497" s="541">
        <f t="shared" si="195"/>
        <v>0</v>
      </c>
      <c r="CS497" s="536"/>
      <c r="CT497" s="536"/>
      <c r="CU497" s="536"/>
      <c r="CV497" s="541">
        <f t="shared" si="196"/>
        <v>0</v>
      </c>
      <c r="CW497" s="536"/>
      <c r="CX497" s="536"/>
      <c r="CY497" s="536"/>
      <c r="CZ497" s="541">
        <f t="shared" si="197"/>
        <v>0</v>
      </c>
      <c r="DA497" s="536"/>
      <c r="DB497" s="536"/>
      <c r="DC497" s="536"/>
      <c r="DD497" s="541">
        <f t="shared" si="198"/>
        <v>0</v>
      </c>
      <c r="DE497" s="536"/>
      <c r="DF497" s="536"/>
      <c r="DG497" s="536"/>
      <c r="DH497" s="541">
        <f t="shared" si="199"/>
        <v>0</v>
      </c>
      <c r="DI497" s="536"/>
      <c r="DJ497" s="536"/>
      <c r="DK497" s="536"/>
      <c r="DL497" s="541">
        <f t="shared" si="200"/>
        <v>0</v>
      </c>
      <c r="DM497" s="536"/>
      <c r="DN497" s="536"/>
      <c r="DO497" s="536"/>
      <c r="DP497" s="541">
        <f>IF( SUM((DJ497*(20/100))+(DK497*(30/100))+(DL497*(50/100))) &gt;=9.3,9.5,
IF(AND( SUM((DJ497*(20/100))+(DK497*(30/100))+(DL497*(50/100))) &lt;=9.3, SUM((DJ497*(20/100))+(DK497*(30/100))+(DL497*(50/100))) &gt;=8.8),9,
IF(AND( SUM((DJ497*(20/100))+(DK497*(30/100))+(DL497*(50/100))) &lt;=8.8, SUM((DJ497*(20/100))+(DK497*(30/100))+(DL497*(50/100))) &gt;=8.3),8.5,
IF(AND( SUM((DJ497*(20/100))+(DK497*(30/100))+(DL497*(50/100))) &lt;=8.3, SUM((DJ497*(20/100))+(DK497*(30/100))+(DL497*(50/100))) &gt;=7.8),8,
IF(AND( SUM((DJ497*(20/100))+(DK497*(30/100))+(DL497*(50/100))) &lt;=7.8, SUM((DJ497*(20/100))+(DK497*(30/100))+(DL497*(50/100))) &gt;=7.3),7.5,
IF(AND( SUM((DJ497*(20/100))+(DK497*(30/100))+(DL497*(50/100))) &lt;=7.3, SUM((DJ497*(20/100))+(DK497*(30/100))+(DL497*(50/100))) &gt;=6.8),7,
IF(AND( SUM((DJ497*(20/100))+(DK497*(30/100))+(DL497*(50/100))) &lt;=6.8, SUM((DJ497*(20/100))+(DK497*(30/100))+(DL497*(50/100))) &gt;=6.3),6.5,
IF(AND( SUM((DJ497*(20/100))+(DK497*(30/100))+(DL497*(50/100))) &lt;=6.3, SUM((DJ497*(20/100))+(DK497*(30/100))+(DL497*(50/100))) &gt;=5.8),6,
IF(AND( SUM((DJ497*(20/100))+(DK497*(30/100))+(DL497*(50/100))) &lt;=5.8, SUM((DJ497*(20/100))+(DK497*(30/100))+(DL497*(50/100))) &gt;=5.3),5.5,
IF(AND( SUM((DJ497*(20/100))+(DK497*(30/100))+(DL497*(50/100))) &lt;=5.3, SUM((DJ497*(20/100))+(DK497*(30/100))+(DL497*(50/100))) &gt;=4.8),5,
IF(AND( SUM((DJ497*(20/100))+(DK497*(30/100))+(DL497*(50/100))) &lt;=4.8, SUM((DJ497*(20/100))+(DK497*(30/100))+(DL497*(50/100))) &gt;=4.3),4.5,
IF(AND( SUM((DJ497*(20/100))+(DK497*(30/100))+(DL497*(50/100))) &lt;=4.3, SUM((DJ497*(20/100))+(DK497*(30/100))+(DL497*(50/100))) &gt;=3.8),4,
IF(AND( SUM((DJ497*(20/100))+(DK497*(30/100))+(DL497*(50/100))) &lt;=3.8, SUM((DJ497*(20/100))+(DK497*(30/100))+(DL497*(50/100))) &gt;=3.5),3.5,0)))))))))))))</f>
        <v>0</v>
      </c>
      <c r="DQ497" s="541"/>
      <c r="DR497" s="541"/>
      <c r="DS497" s="541"/>
      <c r="DT497" s="541"/>
      <c r="DU497" s="541"/>
      <c r="DV497" s="541"/>
      <c r="DW497" s="541"/>
      <c r="DX497" s="541"/>
      <c r="DY497" s="541"/>
      <c r="DZ497" s="541"/>
    </row>
    <row r="498" spans="2:130" x14ac:dyDescent="0.25">
      <c r="B498" s="334">
        <v>41</v>
      </c>
      <c r="C498" s="541"/>
      <c r="D498" s="334"/>
      <c r="E498" s="334"/>
      <c r="F498" s="334"/>
      <c r="G498" s="334"/>
      <c r="H498" s="334"/>
      <c r="I498" s="334"/>
      <c r="J498" s="536"/>
      <c r="K498" s="536"/>
      <c r="L498" s="536"/>
      <c r="M498" s="536"/>
      <c r="N498" s="536"/>
      <c r="O498" s="536"/>
      <c r="P498" s="536">
        <f t="shared" si="176"/>
        <v>0</v>
      </c>
      <c r="Q498" s="536"/>
      <c r="R498" s="536"/>
      <c r="S498" s="536"/>
      <c r="T498" s="536">
        <f t="shared" si="177"/>
        <v>0</v>
      </c>
      <c r="U498" s="536"/>
      <c r="V498" s="536"/>
      <c r="W498" s="536"/>
      <c r="X498" s="536">
        <f t="shared" si="178"/>
        <v>0</v>
      </c>
      <c r="Y498" s="536"/>
      <c r="Z498" s="536"/>
      <c r="AA498" s="536"/>
      <c r="AB498" s="536">
        <f t="shared" si="179"/>
        <v>0</v>
      </c>
      <c r="AC498" s="536"/>
      <c r="AD498" s="536"/>
      <c r="AE498" s="536"/>
      <c r="AF498" s="536">
        <f t="shared" si="180"/>
        <v>0</v>
      </c>
      <c r="AG498" s="536"/>
      <c r="AH498" s="536"/>
      <c r="AI498" s="536"/>
      <c r="AJ498" s="536">
        <f t="shared" si="181"/>
        <v>0</v>
      </c>
      <c r="AK498" s="536"/>
      <c r="AL498" s="536"/>
      <c r="AM498" s="536"/>
      <c r="AN498" s="542">
        <f t="shared" si="182"/>
        <v>0</v>
      </c>
      <c r="AO498" s="536"/>
      <c r="AP498" s="536"/>
      <c r="AQ498" s="536"/>
      <c r="AR498" s="542">
        <f t="shared" si="183"/>
        <v>0</v>
      </c>
      <c r="AS498" s="536"/>
      <c r="AT498" s="536"/>
      <c r="AU498" s="536"/>
      <c r="AV498" s="542">
        <f t="shared" si="184"/>
        <v>0</v>
      </c>
      <c r="AW498" s="536"/>
      <c r="AX498" s="536"/>
      <c r="AY498" s="536"/>
      <c r="AZ498" s="542">
        <f t="shared" si="185"/>
        <v>0</v>
      </c>
      <c r="BA498" s="536"/>
      <c r="BB498" s="536"/>
      <c r="BC498" s="536"/>
      <c r="BD498" s="542">
        <f t="shared" si="186"/>
        <v>0</v>
      </c>
      <c r="BE498" s="536"/>
      <c r="BF498" s="536"/>
      <c r="BG498" s="536"/>
      <c r="BH498" s="542">
        <f t="shared" si="187"/>
        <v>0</v>
      </c>
      <c r="BI498" s="536"/>
      <c r="BJ498" s="536"/>
      <c r="BK498" s="536"/>
      <c r="BL498" s="542">
        <f t="shared" si="188"/>
        <v>0</v>
      </c>
      <c r="BM498" s="536"/>
      <c r="BN498" s="536"/>
      <c r="BO498" s="536"/>
      <c r="BP498" s="542">
        <f t="shared" si="189"/>
        <v>0</v>
      </c>
      <c r="BQ498" s="536"/>
      <c r="BR498" s="536"/>
      <c r="BS498" s="536"/>
      <c r="BT498" s="542">
        <f t="shared" si="190"/>
        <v>0</v>
      </c>
      <c r="BU498" s="536"/>
      <c r="BV498" s="536"/>
      <c r="BW498" s="536"/>
      <c r="BX498" s="542">
        <f t="shared" si="191"/>
        <v>0</v>
      </c>
      <c r="BY498" s="536"/>
      <c r="BZ498" s="536"/>
      <c r="CA498" s="536"/>
      <c r="CB498" s="542">
        <v>0</v>
      </c>
      <c r="CC498" s="536"/>
      <c r="CD498" s="536"/>
      <c r="CE498" s="536"/>
      <c r="CF498" s="541">
        <f t="shared" si="192"/>
        <v>0</v>
      </c>
      <c r="CG498" s="536"/>
      <c r="CH498" s="536"/>
      <c r="CI498" s="536"/>
      <c r="CJ498" s="541">
        <f t="shared" si="193"/>
        <v>0</v>
      </c>
      <c r="CK498" s="536"/>
      <c r="CL498" s="536"/>
      <c r="CM498" s="536"/>
      <c r="CN498" s="541">
        <f t="shared" si="194"/>
        <v>0</v>
      </c>
      <c r="CO498" s="536"/>
      <c r="CP498" s="536"/>
      <c r="CQ498" s="536"/>
      <c r="CR498" s="541">
        <f t="shared" si="195"/>
        <v>0</v>
      </c>
      <c r="CS498" s="536"/>
      <c r="CT498" s="536"/>
      <c r="CU498" s="536"/>
      <c r="CV498" s="541">
        <f t="shared" si="196"/>
        <v>0</v>
      </c>
      <c r="CW498" s="536"/>
      <c r="CX498" s="536"/>
      <c r="CY498" s="536"/>
      <c r="CZ498" s="541">
        <f t="shared" si="197"/>
        <v>0</v>
      </c>
      <c r="DA498" s="536"/>
      <c r="DB498" s="536"/>
      <c r="DC498" s="536"/>
      <c r="DD498" s="541">
        <f t="shared" si="198"/>
        <v>0</v>
      </c>
      <c r="DE498" s="536"/>
      <c r="DF498" s="536"/>
      <c r="DG498" s="536"/>
      <c r="DH498" s="541">
        <f t="shared" si="199"/>
        <v>0</v>
      </c>
      <c r="DI498" s="536"/>
      <c r="DJ498" s="536"/>
      <c r="DK498" s="536"/>
      <c r="DL498" s="541">
        <f t="shared" si="200"/>
        <v>0</v>
      </c>
      <c r="DM498" s="536"/>
      <c r="DN498" s="536"/>
      <c r="DO498" s="536"/>
      <c r="DP498" s="541">
        <f>IF( SUM((DJ498*(20/100))+(DK498*(30/100))+(DL498*(50/100))) &gt;=9.3,9.5,
IF(AND( SUM((DJ498*(20/100))+(DK498*(30/100))+(DL498*(50/100))) &lt;=9.3, SUM((DJ498*(20/100))+(DK498*(30/100))+(DL498*(50/100))) &gt;=8.8),9,
IF(AND( SUM((DJ498*(20/100))+(DK498*(30/100))+(DL498*(50/100))) &lt;=8.8, SUM((DJ498*(20/100))+(DK498*(30/100))+(DL498*(50/100))) &gt;=8.3),8.5,
IF(AND( SUM((DJ498*(20/100))+(DK498*(30/100))+(DL498*(50/100))) &lt;=8.3, SUM((DJ498*(20/100))+(DK498*(30/100))+(DL498*(50/100))) &gt;=7.8),8,
IF(AND( SUM((DJ498*(20/100))+(DK498*(30/100))+(DL498*(50/100))) &lt;=7.8, SUM((DJ498*(20/100))+(DK498*(30/100))+(DL498*(50/100))) &gt;=7.3),7.5,
IF(AND( SUM((DJ498*(20/100))+(DK498*(30/100))+(DL498*(50/100))) &lt;=7.3, SUM((DJ498*(20/100))+(DK498*(30/100))+(DL498*(50/100))) &gt;=6.8),7,
IF(AND( SUM((DJ498*(20/100))+(DK498*(30/100))+(DL498*(50/100))) &lt;=6.8, SUM((DJ498*(20/100))+(DK498*(30/100))+(DL498*(50/100))) &gt;=6.3),6.5,
IF(AND( SUM((DJ498*(20/100))+(DK498*(30/100))+(DL498*(50/100))) &lt;=6.3, SUM((DJ498*(20/100))+(DK498*(30/100))+(DL498*(50/100))) &gt;=5.8),6,
IF(AND( SUM((DJ498*(20/100))+(DK498*(30/100))+(DL498*(50/100))) &lt;=5.8, SUM((DJ498*(20/100))+(DK498*(30/100))+(DL498*(50/100))) &gt;=5.3),5.5,
IF(AND( SUM((DJ498*(20/100))+(DK498*(30/100))+(DL498*(50/100))) &lt;=5.3, SUM((DJ498*(20/100))+(DK498*(30/100))+(DL498*(50/100))) &gt;=4.8),5,
IF(AND( SUM((DJ498*(20/100))+(DK498*(30/100))+(DL498*(50/100))) &lt;=4.8, SUM((DJ498*(20/100))+(DK498*(30/100))+(DL498*(50/100))) &gt;=4.3),4.5,
IF(AND( SUM((DJ498*(20/100))+(DK498*(30/100))+(DL498*(50/100))) &lt;=4.3, SUM((DJ498*(20/100))+(DK498*(30/100))+(DL498*(50/100))) &gt;=3.8),4,
IF(AND( SUM((DJ498*(20/100))+(DK498*(30/100))+(DL498*(50/100))) &lt;=3.8, SUM((DJ498*(20/100))+(DK498*(30/100))+(DL498*(50/100))) &gt;=3.5),3.5,0)))))))))))))</f>
        <v>0</v>
      </c>
      <c r="DQ498" s="541"/>
      <c r="DR498" s="541"/>
      <c r="DS498" s="541"/>
      <c r="DT498" s="541"/>
      <c r="DU498" s="541"/>
      <c r="DV498" s="541"/>
      <c r="DW498" s="541"/>
      <c r="DX498" s="541"/>
      <c r="DY498" s="541"/>
      <c r="DZ498" s="541"/>
    </row>
    <row r="499" spans="2:130" x14ac:dyDescent="0.25">
      <c r="B499" s="334">
        <v>42</v>
      </c>
      <c r="C499" s="541"/>
      <c r="D499" s="334"/>
      <c r="E499" s="334"/>
      <c r="F499" s="334"/>
      <c r="G499" s="334"/>
      <c r="H499" s="334"/>
      <c r="I499" s="334"/>
      <c r="J499" s="536"/>
      <c r="K499" s="536"/>
      <c r="L499" s="536"/>
      <c r="M499" s="536"/>
      <c r="N499" s="536"/>
      <c r="O499" s="536"/>
      <c r="P499" s="536">
        <f t="shared" si="176"/>
        <v>0</v>
      </c>
      <c r="Q499" s="536"/>
      <c r="R499" s="536"/>
      <c r="S499" s="536"/>
      <c r="T499" s="536">
        <f t="shared" si="177"/>
        <v>0</v>
      </c>
      <c r="U499" s="536"/>
      <c r="V499" s="536"/>
      <c r="W499" s="536"/>
      <c r="X499" s="536">
        <f t="shared" si="178"/>
        <v>0</v>
      </c>
      <c r="Y499" s="536"/>
      <c r="Z499" s="536"/>
      <c r="AA499" s="536"/>
      <c r="AB499" s="536">
        <f t="shared" si="179"/>
        <v>0</v>
      </c>
      <c r="AC499" s="536"/>
      <c r="AD499" s="536"/>
      <c r="AE499" s="536"/>
      <c r="AF499" s="536">
        <f t="shared" si="180"/>
        <v>0</v>
      </c>
      <c r="AG499" s="536"/>
      <c r="AH499" s="536"/>
      <c r="AI499" s="536"/>
      <c r="AJ499" s="536">
        <f t="shared" si="181"/>
        <v>0</v>
      </c>
      <c r="AK499" s="536"/>
      <c r="AL499" s="536"/>
      <c r="AM499" s="536"/>
      <c r="AN499" s="542">
        <f t="shared" si="182"/>
        <v>0</v>
      </c>
      <c r="AO499" s="536"/>
      <c r="AP499" s="536"/>
      <c r="AQ499" s="536"/>
      <c r="AR499" s="542">
        <f t="shared" si="183"/>
        <v>0</v>
      </c>
      <c r="AS499" s="536"/>
      <c r="AT499" s="536"/>
      <c r="AU499" s="536"/>
      <c r="AV499" s="542">
        <f t="shared" si="184"/>
        <v>0</v>
      </c>
      <c r="AW499" s="536"/>
      <c r="AX499" s="536"/>
      <c r="AY499" s="536"/>
      <c r="AZ499" s="542">
        <f t="shared" si="185"/>
        <v>0</v>
      </c>
      <c r="BA499" s="536"/>
      <c r="BB499" s="536"/>
      <c r="BC499" s="536"/>
      <c r="BD499" s="542">
        <f t="shared" si="186"/>
        <v>0</v>
      </c>
      <c r="BE499" s="536"/>
      <c r="BF499" s="536"/>
      <c r="BG499" s="536"/>
      <c r="BH499" s="542">
        <f t="shared" si="187"/>
        <v>0</v>
      </c>
      <c r="BI499" s="536"/>
      <c r="BJ499" s="536"/>
      <c r="BK499" s="536"/>
      <c r="BL499" s="542">
        <f t="shared" si="188"/>
        <v>0</v>
      </c>
      <c r="BM499" s="536"/>
      <c r="BN499" s="536"/>
      <c r="BO499" s="536"/>
      <c r="BP499" s="542">
        <f t="shared" si="189"/>
        <v>0</v>
      </c>
      <c r="BQ499" s="536"/>
      <c r="BR499" s="536"/>
      <c r="BS499" s="536"/>
      <c r="BT499" s="542">
        <f t="shared" si="190"/>
        <v>0</v>
      </c>
      <c r="BU499" s="536"/>
      <c r="BV499" s="536"/>
      <c r="BW499" s="536"/>
      <c r="BX499" s="542">
        <f t="shared" si="191"/>
        <v>0</v>
      </c>
      <c r="BY499" s="536"/>
      <c r="BZ499" s="536"/>
      <c r="CA499" s="536"/>
      <c r="CB499" s="542">
        <v>0</v>
      </c>
      <c r="CC499" s="536"/>
      <c r="CD499" s="536"/>
      <c r="CE499" s="536"/>
      <c r="CF499" s="541">
        <f t="shared" si="192"/>
        <v>0</v>
      </c>
      <c r="CG499" s="536"/>
      <c r="CH499" s="536"/>
      <c r="CI499" s="536"/>
      <c r="CJ499" s="541">
        <f t="shared" si="193"/>
        <v>0</v>
      </c>
      <c r="CK499" s="536"/>
      <c r="CL499" s="536"/>
      <c r="CM499" s="536"/>
      <c r="CN499" s="541">
        <f t="shared" si="194"/>
        <v>0</v>
      </c>
      <c r="CO499" s="536"/>
      <c r="CP499" s="536"/>
      <c r="CQ499" s="536"/>
      <c r="CR499" s="541">
        <f t="shared" si="195"/>
        <v>0</v>
      </c>
      <c r="CS499" s="536"/>
      <c r="CT499" s="536"/>
      <c r="CU499" s="536"/>
      <c r="CV499" s="541">
        <f t="shared" si="196"/>
        <v>0</v>
      </c>
      <c r="CW499" s="536"/>
      <c r="CX499" s="536"/>
      <c r="CY499" s="536"/>
      <c r="CZ499" s="541">
        <f t="shared" si="197"/>
        <v>0</v>
      </c>
      <c r="DA499" s="536"/>
      <c r="DB499" s="536"/>
      <c r="DC499" s="536"/>
      <c r="DD499" s="541">
        <f t="shared" si="198"/>
        <v>0</v>
      </c>
      <c r="DE499" s="536"/>
      <c r="DF499" s="536"/>
      <c r="DG499" s="536"/>
      <c r="DH499" s="541">
        <f t="shared" si="199"/>
        <v>0</v>
      </c>
      <c r="DI499" s="536"/>
      <c r="DJ499" s="536"/>
      <c r="DK499" s="536"/>
      <c r="DL499" s="541">
        <f t="shared" si="200"/>
        <v>0</v>
      </c>
      <c r="DM499" s="536"/>
      <c r="DN499" s="536"/>
      <c r="DO499" s="536"/>
      <c r="DP499" s="541">
        <f>IF( SUM((DJ499*(20/100))+(DK499*(30/100))+(DL499*(50/100))) &gt;=9.3,9.5,
IF(AND( SUM((DJ499*(20/100))+(DK499*(30/100))+(DL499*(50/100))) &lt;=9.3, SUM((DJ499*(20/100))+(DK499*(30/100))+(DL499*(50/100))) &gt;=8.8),9,
IF(AND( SUM((DJ499*(20/100))+(DK499*(30/100))+(DL499*(50/100))) &lt;=8.8, SUM((DJ499*(20/100))+(DK499*(30/100))+(DL499*(50/100))) &gt;=8.3),8.5,
IF(AND( SUM((DJ499*(20/100))+(DK499*(30/100))+(DL499*(50/100))) &lt;=8.3, SUM((DJ499*(20/100))+(DK499*(30/100))+(DL499*(50/100))) &gt;=7.8),8,
IF(AND( SUM((DJ499*(20/100))+(DK499*(30/100))+(DL499*(50/100))) &lt;=7.8, SUM((DJ499*(20/100))+(DK499*(30/100))+(DL499*(50/100))) &gt;=7.3),7.5,
IF(AND( SUM((DJ499*(20/100))+(DK499*(30/100))+(DL499*(50/100))) &lt;=7.3, SUM((DJ499*(20/100))+(DK499*(30/100))+(DL499*(50/100))) &gt;=6.8),7,
IF(AND( SUM((DJ499*(20/100))+(DK499*(30/100))+(DL499*(50/100))) &lt;=6.8, SUM((DJ499*(20/100))+(DK499*(30/100))+(DL499*(50/100))) &gt;=6.3),6.5,
IF(AND( SUM((DJ499*(20/100))+(DK499*(30/100))+(DL499*(50/100))) &lt;=6.3, SUM((DJ499*(20/100))+(DK499*(30/100))+(DL499*(50/100))) &gt;=5.8),6,
IF(AND( SUM((DJ499*(20/100))+(DK499*(30/100))+(DL499*(50/100))) &lt;=5.8, SUM((DJ499*(20/100))+(DK499*(30/100))+(DL499*(50/100))) &gt;=5.3),5.5,
IF(AND( SUM((DJ499*(20/100))+(DK499*(30/100))+(DL499*(50/100))) &lt;=5.3, SUM((DJ499*(20/100))+(DK499*(30/100))+(DL499*(50/100))) &gt;=4.8),5,
IF(AND( SUM((DJ499*(20/100))+(DK499*(30/100))+(DL499*(50/100))) &lt;=4.8, SUM((DJ499*(20/100))+(DK499*(30/100))+(DL499*(50/100))) &gt;=4.3),4.5,
IF(AND( SUM((DJ499*(20/100))+(DK499*(30/100))+(DL499*(50/100))) &lt;=4.3, SUM((DJ499*(20/100))+(DK499*(30/100))+(DL499*(50/100))) &gt;=3.8),4,
IF(AND( SUM((DJ499*(20/100))+(DK499*(30/100))+(DL499*(50/100))) &lt;=3.8, SUM((DJ499*(20/100))+(DK499*(30/100))+(DL499*(50/100))) &gt;=3.5),3.5,0)))))))))))))</f>
        <v>0</v>
      </c>
      <c r="DQ499" s="541"/>
      <c r="DR499" s="541"/>
      <c r="DS499" s="541"/>
      <c r="DT499" s="541"/>
      <c r="DU499" s="541"/>
      <c r="DV499" s="541"/>
      <c r="DW499" s="541"/>
      <c r="DX499" s="541"/>
      <c r="DY499" s="541"/>
      <c r="DZ499" s="541"/>
    </row>
    <row r="500" spans="2:130" x14ac:dyDescent="0.25">
      <c r="B500" s="334">
        <v>43</v>
      </c>
      <c r="C500" s="541"/>
      <c r="D500" s="334"/>
      <c r="E500" s="334"/>
      <c r="F500" s="334"/>
      <c r="G500" s="334"/>
      <c r="H500" s="334"/>
      <c r="I500" s="334"/>
      <c r="J500" s="536"/>
      <c r="K500" s="536"/>
      <c r="L500" s="536"/>
      <c r="M500" s="536"/>
      <c r="N500" s="536"/>
      <c r="O500" s="536"/>
      <c r="P500" s="536">
        <f t="shared" si="176"/>
        <v>0</v>
      </c>
      <c r="Q500" s="536"/>
      <c r="R500" s="536"/>
      <c r="S500" s="536"/>
      <c r="T500" s="536">
        <f t="shared" si="177"/>
        <v>0</v>
      </c>
      <c r="U500" s="536"/>
      <c r="V500" s="536"/>
      <c r="W500" s="536"/>
      <c r="X500" s="536">
        <f t="shared" si="178"/>
        <v>0</v>
      </c>
      <c r="Y500" s="536"/>
      <c r="Z500" s="536"/>
      <c r="AA500" s="536"/>
      <c r="AB500" s="536">
        <f t="shared" si="179"/>
        <v>0</v>
      </c>
      <c r="AC500" s="536"/>
      <c r="AD500" s="536"/>
      <c r="AE500" s="536"/>
      <c r="AF500" s="536">
        <f t="shared" si="180"/>
        <v>0</v>
      </c>
      <c r="AG500" s="536"/>
      <c r="AH500" s="536"/>
      <c r="AI500" s="536"/>
      <c r="AJ500" s="536">
        <f t="shared" si="181"/>
        <v>0</v>
      </c>
      <c r="AK500" s="536"/>
      <c r="AL500" s="536"/>
      <c r="AM500" s="536"/>
      <c r="AN500" s="542">
        <f t="shared" si="182"/>
        <v>0</v>
      </c>
      <c r="AO500" s="536"/>
      <c r="AP500" s="536"/>
      <c r="AQ500" s="536"/>
      <c r="AR500" s="542">
        <f t="shared" si="183"/>
        <v>0</v>
      </c>
      <c r="AS500" s="536"/>
      <c r="AT500" s="536"/>
      <c r="AU500" s="536"/>
      <c r="AV500" s="542">
        <f t="shared" si="184"/>
        <v>0</v>
      </c>
      <c r="AW500" s="536"/>
      <c r="AX500" s="536"/>
      <c r="AY500" s="536"/>
      <c r="AZ500" s="542">
        <f t="shared" si="185"/>
        <v>0</v>
      </c>
      <c r="BA500" s="536"/>
      <c r="BB500" s="536"/>
      <c r="BC500" s="536"/>
      <c r="BD500" s="542">
        <f t="shared" si="186"/>
        <v>0</v>
      </c>
      <c r="BE500" s="536"/>
      <c r="BF500" s="536"/>
      <c r="BG500" s="536"/>
      <c r="BH500" s="542">
        <f t="shared" si="187"/>
        <v>0</v>
      </c>
      <c r="BI500" s="536"/>
      <c r="BJ500" s="536"/>
      <c r="BK500" s="536"/>
      <c r="BL500" s="542">
        <f t="shared" si="188"/>
        <v>0</v>
      </c>
      <c r="BM500" s="536"/>
      <c r="BN500" s="536"/>
      <c r="BO500" s="536"/>
      <c r="BP500" s="542">
        <f t="shared" si="189"/>
        <v>0</v>
      </c>
      <c r="BQ500" s="536"/>
      <c r="BR500" s="536"/>
      <c r="BS500" s="536"/>
      <c r="BT500" s="542">
        <f t="shared" si="190"/>
        <v>0</v>
      </c>
      <c r="BU500" s="536"/>
      <c r="BV500" s="536"/>
      <c r="BW500" s="536"/>
      <c r="BX500" s="542">
        <f t="shared" si="191"/>
        <v>0</v>
      </c>
      <c r="BY500" s="536"/>
      <c r="BZ500" s="536"/>
      <c r="CA500" s="536"/>
      <c r="CB500" s="542">
        <v>0</v>
      </c>
      <c r="CC500" s="536"/>
      <c r="CD500" s="536"/>
      <c r="CE500" s="536"/>
      <c r="CF500" s="541">
        <f t="shared" si="192"/>
        <v>0</v>
      </c>
      <c r="CG500" s="536"/>
      <c r="CH500" s="536"/>
      <c r="CI500" s="536"/>
      <c r="CJ500" s="541">
        <f t="shared" si="193"/>
        <v>0</v>
      </c>
      <c r="CK500" s="536"/>
      <c r="CL500" s="536"/>
      <c r="CM500" s="536"/>
      <c r="CN500" s="541">
        <f t="shared" si="194"/>
        <v>0</v>
      </c>
      <c r="CO500" s="536"/>
      <c r="CP500" s="536"/>
      <c r="CQ500" s="536"/>
      <c r="CR500" s="541">
        <f t="shared" si="195"/>
        <v>0</v>
      </c>
      <c r="CS500" s="536"/>
      <c r="CT500" s="536"/>
      <c r="CU500" s="536"/>
      <c r="CV500" s="541">
        <f t="shared" si="196"/>
        <v>0</v>
      </c>
      <c r="CW500" s="536"/>
      <c r="CX500" s="536"/>
      <c r="CY500" s="536"/>
      <c r="CZ500" s="541">
        <f t="shared" si="197"/>
        <v>0</v>
      </c>
      <c r="DA500" s="536"/>
      <c r="DB500" s="536"/>
      <c r="DC500" s="536"/>
      <c r="DD500" s="541">
        <f t="shared" si="198"/>
        <v>0</v>
      </c>
      <c r="DE500" s="536"/>
      <c r="DF500" s="536"/>
      <c r="DG500" s="536"/>
      <c r="DH500" s="541">
        <f t="shared" si="199"/>
        <v>0</v>
      </c>
      <c r="DI500" s="536"/>
      <c r="DJ500" s="536"/>
      <c r="DK500" s="536"/>
      <c r="DL500" s="541">
        <f t="shared" si="200"/>
        <v>0</v>
      </c>
      <c r="DM500" s="536"/>
      <c r="DN500" s="536"/>
      <c r="DO500" s="536"/>
      <c r="DP500" s="541">
        <f>IF( SUM((DJ500*(20/100))+(DK500*(30/100))+(DL500*(50/100))) &gt;=9.3,9.5,
IF(AND( SUM((DJ500*(20/100))+(DK500*(30/100))+(DL500*(50/100))) &lt;=9.3, SUM((DJ500*(20/100))+(DK500*(30/100))+(DL500*(50/100))) &gt;=8.8),9,
IF(AND( SUM((DJ500*(20/100))+(DK500*(30/100))+(DL500*(50/100))) &lt;=8.8, SUM((DJ500*(20/100))+(DK500*(30/100))+(DL500*(50/100))) &gt;=8.3),8.5,
IF(AND( SUM((DJ500*(20/100))+(DK500*(30/100))+(DL500*(50/100))) &lt;=8.3, SUM((DJ500*(20/100))+(DK500*(30/100))+(DL500*(50/100))) &gt;=7.8),8,
IF(AND( SUM((DJ500*(20/100))+(DK500*(30/100))+(DL500*(50/100))) &lt;=7.8, SUM((DJ500*(20/100))+(DK500*(30/100))+(DL500*(50/100))) &gt;=7.3),7.5,
IF(AND( SUM((DJ500*(20/100))+(DK500*(30/100))+(DL500*(50/100))) &lt;=7.3, SUM((DJ500*(20/100))+(DK500*(30/100))+(DL500*(50/100))) &gt;=6.8),7,
IF(AND( SUM((DJ500*(20/100))+(DK500*(30/100))+(DL500*(50/100))) &lt;=6.8, SUM((DJ500*(20/100))+(DK500*(30/100))+(DL500*(50/100))) &gt;=6.3),6.5,
IF(AND( SUM((DJ500*(20/100))+(DK500*(30/100))+(DL500*(50/100))) &lt;=6.3, SUM((DJ500*(20/100))+(DK500*(30/100))+(DL500*(50/100))) &gt;=5.8),6,
IF(AND( SUM((DJ500*(20/100))+(DK500*(30/100))+(DL500*(50/100))) &lt;=5.8, SUM((DJ500*(20/100))+(DK500*(30/100))+(DL500*(50/100))) &gt;=5.3),5.5,
IF(AND( SUM((DJ500*(20/100))+(DK500*(30/100))+(DL500*(50/100))) &lt;=5.3, SUM((DJ500*(20/100))+(DK500*(30/100))+(DL500*(50/100))) &gt;=4.8),5,
IF(AND( SUM((DJ500*(20/100))+(DK500*(30/100))+(DL500*(50/100))) &lt;=4.8, SUM((DJ500*(20/100))+(DK500*(30/100))+(DL500*(50/100))) &gt;=4.3),4.5,
IF(AND( SUM((DJ500*(20/100))+(DK500*(30/100))+(DL500*(50/100))) &lt;=4.3, SUM((DJ500*(20/100))+(DK500*(30/100))+(DL500*(50/100))) &gt;=3.8),4,
IF(AND( SUM((DJ500*(20/100))+(DK500*(30/100))+(DL500*(50/100))) &lt;=3.8, SUM((DJ500*(20/100))+(DK500*(30/100))+(DL500*(50/100))) &gt;=3.5),3.5,0)))))))))))))</f>
        <v>0</v>
      </c>
      <c r="DQ500" s="541"/>
      <c r="DR500" s="541"/>
      <c r="DS500" s="541"/>
      <c r="DT500" s="541"/>
      <c r="DU500" s="541"/>
      <c r="DV500" s="541"/>
      <c r="DW500" s="541"/>
      <c r="DX500" s="541"/>
      <c r="DY500" s="541"/>
      <c r="DZ500" s="541"/>
    </row>
    <row r="501" spans="2:130" x14ac:dyDescent="0.25">
      <c r="B501" s="334">
        <v>44</v>
      </c>
      <c r="C501" s="541"/>
      <c r="D501" s="334"/>
      <c r="E501" s="334"/>
      <c r="F501" s="334"/>
      <c r="G501" s="334"/>
      <c r="H501" s="334"/>
      <c r="I501" s="334"/>
      <c r="J501" s="536"/>
      <c r="K501" s="536"/>
      <c r="L501" s="536"/>
      <c r="M501" s="536"/>
      <c r="N501" s="536"/>
      <c r="O501" s="536"/>
      <c r="P501" s="536">
        <f t="shared" si="176"/>
        <v>0</v>
      </c>
      <c r="Q501" s="536"/>
      <c r="R501" s="536"/>
      <c r="S501" s="536"/>
      <c r="T501" s="536">
        <f t="shared" si="177"/>
        <v>0</v>
      </c>
      <c r="U501" s="536"/>
      <c r="V501" s="536"/>
      <c r="W501" s="536"/>
      <c r="X501" s="536">
        <f t="shared" si="178"/>
        <v>0</v>
      </c>
      <c r="Y501" s="536"/>
      <c r="Z501" s="536"/>
      <c r="AA501" s="536"/>
      <c r="AB501" s="536">
        <f t="shared" si="179"/>
        <v>0</v>
      </c>
      <c r="AC501" s="536"/>
      <c r="AD501" s="536"/>
      <c r="AE501" s="536"/>
      <c r="AF501" s="536">
        <f t="shared" si="180"/>
        <v>0</v>
      </c>
      <c r="AG501" s="536"/>
      <c r="AH501" s="536"/>
      <c r="AI501" s="536"/>
      <c r="AJ501" s="536">
        <f t="shared" si="181"/>
        <v>0</v>
      </c>
      <c r="AK501" s="536"/>
      <c r="AL501" s="536"/>
      <c r="AM501" s="536"/>
      <c r="AN501" s="542">
        <f t="shared" si="182"/>
        <v>0</v>
      </c>
      <c r="AO501" s="536"/>
      <c r="AP501" s="536"/>
      <c r="AQ501" s="536"/>
      <c r="AR501" s="542">
        <f t="shared" si="183"/>
        <v>0</v>
      </c>
      <c r="AS501" s="536"/>
      <c r="AT501" s="536"/>
      <c r="AU501" s="536"/>
      <c r="AV501" s="542">
        <f t="shared" si="184"/>
        <v>0</v>
      </c>
      <c r="AW501" s="536"/>
      <c r="AX501" s="536"/>
      <c r="AY501" s="536"/>
      <c r="AZ501" s="542">
        <f t="shared" si="185"/>
        <v>0</v>
      </c>
      <c r="BA501" s="536"/>
      <c r="BB501" s="536"/>
      <c r="BC501" s="536"/>
      <c r="BD501" s="542">
        <f t="shared" si="186"/>
        <v>0</v>
      </c>
      <c r="BE501" s="536"/>
      <c r="BF501" s="536"/>
      <c r="BG501" s="536"/>
      <c r="BH501" s="542">
        <f t="shared" si="187"/>
        <v>0</v>
      </c>
      <c r="BI501" s="536"/>
      <c r="BJ501" s="536"/>
      <c r="BK501" s="536"/>
      <c r="BL501" s="542">
        <f t="shared" si="188"/>
        <v>0</v>
      </c>
      <c r="BM501" s="536"/>
      <c r="BN501" s="536"/>
      <c r="BO501" s="536"/>
      <c r="BP501" s="542">
        <f t="shared" si="189"/>
        <v>0</v>
      </c>
      <c r="BQ501" s="536"/>
      <c r="BR501" s="536"/>
      <c r="BS501" s="536"/>
      <c r="BT501" s="542">
        <f t="shared" si="190"/>
        <v>0</v>
      </c>
      <c r="BU501" s="536"/>
      <c r="BV501" s="536"/>
      <c r="BW501" s="536"/>
      <c r="BX501" s="542">
        <f t="shared" si="191"/>
        <v>0</v>
      </c>
      <c r="BY501" s="536"/>
      <c r="BZ501" s="536"/>
      <c r="CA501" s="536"/>
      <c r="CB501" s="542">
        <v>0</v>
      </c>
      <c r="CC501" s="536"/>
      <c r="CD501" s="536"/>
      <c r="CE501" s="536"/>
      <c r="CF501" s="541">
        <f t="shared" si="192"/>
        <v>0</v>
      </c>
      <c r="CG501" s="536"/>
      <c r="CH501" s="536"/>
      <c r="CI501" s="536"/>
      <c r="CJ501" s="541">
        <f t="shared" si="193"/>
        <v>0</v>
      </c>
      <c r="CK501" s="536"/>
      <c r="CL501" s="536"/>
      <c r="CM501" s="536"/>
      <c r="CN501" s="541">
        <f t="shared" si="194"/>
        <v>0</v>
      </c>
      <c r="CO501" s="536"/>
      <c r="CP501" s="536"/>
      <c r="CQ501" s="536"/>
      <c r="CR501" s="541">
        <f t="shared" si="195"/>
        <v>0</v>
      </c>
      <c r="CS501" s="536"/>
      <c r="CT501" s="536"/>
      <c r="CU501" s="536"/>
      <c r="CV501" s="541">
        <f t="shared" si="196"/>
        <v>0</v>
      </c>
      <c r="CW501" s="536"/>
      <c r="CX501" s="536"/>
      <c r="CY501" s="536"/>
      <c r="CZ501" s="541">
        <f t="shared" si="197"/>
        <v>0</v>
      </c>
      <c r="DA501" s="536"/>
      <c r="DB501" s="536"/>
      <c r="DC501" s="536"/>
      <c r="DD501" s="541">
        <f t="shared" si="198"/>
        <v>0</v>
      </c>
      <c r="DE501" s="536"/>
      <c r="DF501" s="536"/>
      <c r="DG501" s="536"/>
      <c r="DH501" s="541">
        <f t="shared" si="199"/>
        <v>0</v>
      </c>
      <c r="DI501" s="536"/>
      <c r="DJ501" s="536"/>
      <c r="DK501" s="536"/>
      <c r="DL501" s="541">
        <f t="shared" si="200"/>
        <v>0</v>
      </c>
      <c r="DM501" s="536"/>
      <c r="DN501" s="536"/>
      <c r="DO501" s="536"/>
      <c r="DP501" s="541">
        <f>IF( SUM((DJ501*(20/100))+(DK501*(30/100))+(DL501*(50/100))) &gt;=9.3,9.5,
IF(AND( SUM((DJ501*(20/100))+(DK501*(30/100))+(DL501*(50/100))) &lt;=9.3, SUM((DJ501*(20/100))+(DK501*(30/100))+(DL501*(50/100))) &gt;=8.8),9,
IF(AND( SUM((DJ501*(20/100))+(DK501*(30/100))+(DL501*(50/100))) &lt;=8.8, SUM((DJ501*(20/100))+(DK501*(30/100))+(DL501*(50/100))) &gt;=8.3),8.5,
IF(AND( SUM((DJ501*(20/100))+(DK501*(30/100))+(DL501*(50/100))) &lt;=8.3, SUM((DJ501*(20/100))+(DK501*(30/100))+(DL501*(50/100))) &gt;=7.8),8,
IF(AND( SUM((DJ501*(20/100))+(DK501*(30/100))+(DL501*(50/100))) &lt;=7.8, SUM((DJ501*(20/100))+(DK501*(30/100))+(DL501*(50/100))) &gt;=7.3),7.5,
IF(AND( SUM((DJ501*(20/100))+(DK501*(30/100))+(DL501*(50/100))) &lt;=7.3, SUM((DJ501*(20/100))+(DK501*(30/100))+(DL501*(50/100))) &gt;=6.8),7,
IF(AND( SUM((DJ501*(20/100))+(DK501*(30/100))+(DL501*(50/100))) &lt;=6.8, SUM((DJ501*(20/100))+(DK501*(30/100))+(DL501*(50/100))) &gt;=6.3),6.5,
IF(AND( SUM((DJ501*(20/100))+(DK501*(30/100))+(DL501*(50/100))) &lt;=6.3, SUM((DJ501*(20/100))+(DK501*(30/100))+(DL501*(50/100))) &gt;=5.8),6,
IF(AND( SUM((DJ501*(20/100))+(DK501*(30/100))+(DL501*(50/100))) &lt;=5.8, SUM((DJ501*(20/100))+(DK501*(30/100))+(DL501*(50/100))) &gt;=5.3),5.5,
IF(AND( SUM((DJ501*(20/100))+(DK501*(30/100))+(DL501*(50/100))) &lt;=5.3, SUM((DJ501*(20/100))+(DK501*(30/100))+(DL501*(50/100))) &gt;=4.8),5,
IF(AND( SUM((DJ501*(20/100))+(DK501*(30/100))+(DL501*(50/100))) &lt;=4.8, SUM((DJ501*(20/100))+(DK501*(30/100))+(DL501*(50/100))) &gt;=4.3),4.5,
IF(AND( SUM((DJ501*(20/100))+(DK501*(30/100))+(DL501*(50/100))) &lt;=4.3, SUM((DJ501*(20/100))+(DK501*(30/100))+(DL501*(50/100))) &gt;=3.8),4,
IF(AND( SUM((DJ501*(20/100))+(DK501*(30/100))+(DL501*(50/100))) &lt;=3.8, SUM((DJ501*(20/100))+(DK501*(30/100))+(DL501*(50/100))) &gt;=3.5),3.5,0)))))))))))))</f>
        <v>0</v>
      </c>
      <c r="DQ501" s="541"/>
      <c r="DR501" s="541"/>
      <c r="DS501" s="541"/>
      <c r="DT501" s="541"/>
      <c r="DU501" s="541"/>
      <c r="DV501" s="541"/>
      <c r="DW501" s="541"/>
      <c r="DX501" s="541"/>
      <c r="DY501" s="541"/>
      <c r="DZ501" s="541"/>
    </row>
    <row r="502" spans="2:130" x14ac:dyDescent="0.25">
      <c r="B502" s="334">
        <v>45</v>
      </c>
      <c r="C502" s="541"/>
      <c r="D502" s="334"/>
      <c r="E502" s="334"/>
      <c r="F502" s="334"/>
      <c r="G502" s="334"/>
      <c r="H502" s="334"/>
      <c r="I502" s="334"/>
      <c r="J502" s="536"/>
      <c r="K502" s="536"/>
      <c r="L502" s="536"/>
      <c r="M502" s="536"/>
      <c r="N502" s="536"/>
      <c r="O502" s="536"/>
      <c r="P502" s="536">
        <f t="shared" si="176"/>
        <v>0</v>
      </c>
      <c r="Q502" s="536"/>
      <c r="R502" s="536"/>
      <c r="S502" s="536"/>
      <c r="T502" s="536">
        <f t="shared" si="177"/>
        <v>0</v>
      </c>
      <c r="U502" s="536"/>
      <c r="V502" s="536"/>
      <c r="W502" s="536"/>
      <c r="X502" s="536">
        <f t="shared" si="178"/>
        <v>0</v>
      </c>
      <c r="Y502" s="536"/>
      <c r="Z502" s="536"/>
      <c r="AA502" s="536"/>
      <c r="AB502" s="536">
        <f t="shared" si="179"/>
        <v>0</v>
      </c>
      <c r="AC502" s="536"/>
      <c r="AD502" s="536"/>
      <c r="AE502" s="536"/>
      <c r="AF502" s="536">
        <f t="shared" si="180"/>
        <v>0</v>
      </c>
      <c r="AG502" s="536"/>
      <c r="AH502" s="536"/>
      <c r="AI502" s="536"/>
      <c r="AJ502" s="536">
        <f t="shared" si="181"/>
        <v>0</v>
      </c>
      <c r="AK502" s="536"/>
      <c r="AL502" s="536"/>
      <c r="AM502" s="536"/>
      <c r="AN502" s="542">
        <f t="shared" si="182"/>
        <v>0</v>
      </c>
      <c r="AO502" s="536"/>
      <c r="AP502" s="536"/>
      <c r="AQ502" s="536"/>
      <c r="AR502" s="542">
        <f t="shared" si="183"/>
        <v>0</v>
      </c>
      <c r="AS502" s="536"/>
      <c r="AT502" s="536"/>
      <c r="AU502" s="536"/>
      <c r="AV502" s="542">
        <f t="shared" si="184"/>
        <v>0</v>
      </c>
      <c r="AW502" s="536"/>
      <c r="AX502" s="536"/>
      <c r="AY502" s="536"/>
      <c r="AZ502" s="542">
        <f t="shared" si="185"/>
        <v>0</v>
      </c>
      <c r="BA502" s="536"/>
      <c r="BB502" s="536"/>
      <c r="BC502" s="536"/>
      <c r="BD502" s="542">
        <f t="shared" si="186"/>
        <v>0</v>
      </c>
      <c r="BE502" s="536"/>
      <c r="BF502" s="536"/>
      <c r="BG502" s="536"/>
      <c r="BH502" s="542">
        <f t="shared" si="187"/>
        <v>0</v>
      </c>
      <c r="BI502" s="536"/>
      <c r="BJ502" s="536"/>
      <c r="BK502" s="536"/>
      <c r="BL502" s="542">
        <f t="shared" si="188"/>
        <v>0</v>
      </c>
      <c r="BM502" s="536"/>
      <c r="BN502" s="536"/>
      <c r="BO502" s="536"/>
      <c r="BP502" s="542">
        <f t="shared" si="189"/>
        <v>0</v>
      </c>
      <c r="BQ502" s="536"/>
      <c r="BR502" s="536"/>
      <c r="BS502" s="536"/>
      <c r="BT502" s="542">
        <f t="shared" si="190"/>
        <v>0</v>
      </c>
      <c r="BU502" s="536"/>
      <c r="BV502" s="536"/>
      <c r="BW502" s="536"/>
      <c r="BX502" s="542">
        <f t="shared" si="191"/>
        <v>0</v>
      </c>
      <c r="BY502" s="536"/>
      <c r="BZ502" s="536"/>
      <c r="CA502" s="536"/>
      <c r="CB502" s="542">
        <v>0</v>
      </c>
      <c r="CC502" s="536"/>
      <c r="CD502" s="536"/>
      <c r="CE502" s="536"/>
      <c r="CF502" s="541">
        <f t="shared" si="192"/>
        <v>0</v>
      </c>
      <c r="CG502" s="536"/>
      <c r="CH502" s="536"/>
      <c r="CI502" s="536"/>
      <c r="CJ502" s="541">
        <f t="shared" si="193"/>
        <v>0</v>
      </c>
      <c r="CK502" s="536"/>
      <c r="CL502" s="536"/>
      <c r="CM502" s="536"/>
      <c r="CN502" s="541">
        <f t="shared" si="194"/>
        <v>0</v>
      </c>
      <c r="CO502" s="536"/>
      <c r="CP502" s="536"/>
      <c r="CQ502" s="536"/>
      <c r="CR502" s="541">
        <f t="shared" si="195"/>
        <v>0</v>
      </c>
      <c r="CS502" s="536"/>
      <c r="CT502" s="536"/>
      <c r="CU502" s="536"/>
      <c r="CV502" s="541">
        <f t="shared" si="196"/>
        <v>0</v>
      </c>
      <c r="CW502" s="536"/>
      <c r="CX502" s="536"/>
      <c r="CY502" s="536"/>
      <c r="CZ502" s="541">
        <f t="shared" si="197"/>
        <v>0</v>
      </c>
      <c r="DA502" s="536"/>
      <c r="DB502" s="536"/>
      <c r="DC502" s="536"/>
      <c r="DD502" s="541">
        <f t="shared" si="198"/>
        <v>0</v>
      </c>
      <c r="DE502" s="536"/>
      <c r="DF502" s="536"/>
      <c r="DG502" s="536"/>
      <c r="DH502" s="541">
        <f t="shared" si="199"/>
        <v>0</v>
      </c>
      <c r="DI502" s="536"/>
      <c r="DJ502" s="536"/>
      <c r="DK502" s="536"/>
      <c r="DL502" s="541">
        <f t="shared" si="200"/>
        <v>0</v>
      </c>
      <c r="DM502" s="536"/>
      <c r="DN502" s="536"/>
      <c r="DO502" s="536"/>
      <c r="DP502" s="541">
        <f>IF( SUM((DJ502*(20/100))+(DK502*(30/100))+(DL502*(50/100))) &gt;=9.3,9.5,
IF(AND( SUM((DJ502*(20/100))+(DK502*(30/100))+(DL502*(50/100))) &lt;=9.3, SUM((DJ502*(20/100))+(DK502*(30/100))+(DL502*(50/100))) &gt;=8.8),9,
IF(AND( SUM((DJ502*(20/100))+(DK502*(30/100))+(DL502*(50/100))) &lt;=8.8, SUM((DJ502*(20/100))+(DK502*(30/100))+(DL502*(50/100))) &gt;=8.3),8.5,
IF(AND( SUM((DJ502*(20/100))+(DK502*(30/100))+(DL502*(50/100))) &lt;=8.3, SUM((DJ502*(20/100))+(DK502*(30/100))+(DL502*(50/100))) &gt;=7.8),8,
IF(AND( SUM((DJ502*(20/100))+(DK502*(30/100))+(DL502*(50/100))) &lt;=7.8, SUM((DJ502*(20/100))+(DK502*(30/100))+(DL502*(50/100))) &gt;=7.3),7.5,
IF(AND( SUM((DJ502*(20/100))+(DK502*(30/100))+(DL502*(50/100))) &lt;=7.3, SUM((DJ502*(20/100))+(DK502*(30/100))+(DL502*(50/100))) &gt;=6.8),7,
IF(AND( SUM((DJ502*(20/100))+(DK502*(30/100))+(DL502*(50/100))) &lt;=6.8, SUM((DJ502*(20/100))+(DK502*(30/100))+(DL502*(50/100))) &gt;=6.3),6.5,
IF(AND( SUM((DJ502*(20/100))+(DK502*(30/100))+(DL502*(50/100))) &lt;=6.3, SUM((DJ502*(20/100))+(DK502*(30/100))+(DL502*(50/100))) &gt;=5.8),6,
IF(AND( SUM((DJ502*(20/100))+(DK502*(30/100))+(DL502*(50/100))) &lt;=5.8, SUM((DJ502*(20/100))+(DK502*(30/100))+(DL502*(50/100))) &gt;=5.3),5.5,
IF(AND( SUM((DJ502*(20/100))+(DK502*(30/100))+(DL502*(50/100))) &lt;=5.3, SUM((DJ502*(20/100))+(DK502*(30/100))+(DL502*(50/100))) &gt;=4.8),5,
IF(AND( SUM((DJ502*(20/100))+(DK502*(30/100))+(DL502*(50/100))) &lt;=4.8, SUM((DJ502*(20/100))+(DK502*(30/100))+(DL502*(50/100))) &gt;=4.3),4.5,
IF(AND( SUM((DJ502*(20/100))+(DK502*(30/100))+(DL502*(50/100))) &lt;=4.3, SUM((DJ502*(20/100))+(DK502*(30/100))+(DL502*(50/100))) &gt;=3.8),4,
IF(AND( SUM((DJ502*(20/100))+(DK502*(30/100))+(DL502*(50/100))) &lt;=3.8, SUM((DJ502*(20/100))+(DK502*(30/100))+(DL502*(50/100))) &gt;=3.5),3.5,0)))))))))))))</f>
        <v>0</v>
      </c>
      <c r="DQ502" s="541"/>
      <c r="DR502" s="541"/>
      <c r="DS502" s="541"/>
      <c r="DT502" s="541"/>
      <c r="DU502" s="541"/>
      <c r="DV502" s="541"/>
      <c r="DW502" s="541"/>
      <c r="DX502" s="541"/>
      <c r="DY502" s="541"/>
      <c r="DZ502" s="541"/>
    </row>
    <row r="503" spans="2:130" x14ac:dyDescent="0.25">
      <c r="B503" s="334">
        <v>46</v>
      </c>
      <c r="C503" s="541"/>
      <c r="D503" s="334"/>
      <c r="E503" s="334"/>
      <c r="F503" s="334"/>
      <c r="G503" s="334"/>
      <c r="H503" s="334"/>
      <c r="I503" s="334"/>
      <c r="J503" s="536"/>
      <c r="K503" s="536"/>
      <c r="L503" s="536"/>
      <c r="M503" s="536"/>
      <c r="N503" s="536"/>
      <c r="O503" s="536"/>
      <c r="P503" s="536">
        <f t="shared" si="176"/>
        <v>0</v>
      </c>
      <c r="Q503" s="536"/>
      <c r="R503" s="536"/>
      <c r="S503" s="536"/>
      <c r="T503" s="536">
        <f t="shared" si="177"/>
        <v>0</v>
      </c>
      <c r="U503" s="536"/>
      <c r="V503" s="536"/>
      <c r="W503" s="536"/>
      <c r="X503" s="536">
        <f t="shared" si="178"/>
        <v>0</v>
      </c>
      <c r="Y503" s="536"/>
      <c r="Z503" s="536"/>
      <c r="AA503" s="536"/>
      <c r="AB503" s="536">
        <f t="shared" si="179"/>
        <v>0</v>
      </c>
      <c r="AC503" s="536"/>
      <c r="AD503" s="536"/>
      <c r="AE503" s="536"/>
      <c r="AF503" s="536">
        <f t="shared" si="180"/>
        <v>0</v>
      </c>
      <c r="AG503" s="536"/>
      <c r="AH503" s="536"/>
      <c r="AI503" s="536"/>
      <c r="AJ503" s="536">
        <f t="shared" si="181"/>
        <v>0</v>
      </c>
      <c r="AK503" s="536"/>
      <c r="AL503" s="536"/>
      <c r="AM503" s="536"/>
      <c r="AN503" s="542">
        <f t="shared" si="182"/>
        <v>0</v>
      </c>
      <c r="AO503" s="536"/>
      <c r="AP503" s="536"/>
      <c r="AQ503" s="536"/>
      <c r="AR503" s="542">
        <f t="shared" si="183"/>
        <v>0</v>
      </c>
      <c r="AS503" s="536"/>
      <c r="AT503" s="536"/>
      <c r="AU503" s="536"/>
      <c r="AV503" s="542">
        <f t="shared" si="184"/>
        <v>0</v>
      </c>
      <c r="AW503" s="536"/>
      <c r="AX503" s="536"/>
      <c r="AY503" s="536"/>
      <c r="AZ503" s="542">
        <f t="shared" si="185"/>
        <v>0</v>
      </c>
      <c r="BA503" s="536"/>
      <c r="BB503" s="536"/>
      <c r="BC503" s="536"/>
      <c r="BD503" s="542">
        <f t="shared" si="186"/>
        <v>0</v>
      </c>
      <c r="BE503" s="536"/>
      <c r="BF503" s="536"/>
      <c r="BG503" s="536"/>
      <c r="BH503" s="542">
        <f t="shared" si="187"/>
        <v>0</v>
      </c>
      <c r="BI503" s="536"/>
      <c r="BJ503" s="536"/>
      <c r="BK503" s="536"/>
      <c r="BL503" s="542">
        <f t="shared" si="188"/>
        <v>0</v>
      </c>
      <c r="BM503" s="536"/>
      <c r="BN503" s="536"/>
      <c r="BO503" s="536"/>
      <c r="BP503" s="542">
        <f t="shared" si="189"/>
        <v>0</v>
      </c>
      <c r="BQ503" s="536"/>
      <c r="BR503" s="536"/>
      <c r="BS503" s="536"/>
      <c r="BT503" s="542">
        <f t="shared" si="190"/>
        <v>0</v>
      </c>
      <c r="BU503" s="536"/>
      <c r="BV503" s="536"/>
      <c r="BW503" s="536"/>
      <c r="BX503" s="542">
        <f t="shared" si="191"/>
        <v>0</v>
      </c>
      <c r="BY503" s="536"/>
      <c r="BZ503" s="536"/>
      <c r="CA503" s="536"/>
      <c r="CB503" s="542">
        <v>0</v>
      </c>
      <c r="CC503" s="536"/>
      <c r="CD503" s="536"/>
      <c r="CE503" s="536"/>
      <c r="CF503" s="541">
        <f t="shared" si="192"/>
        <v>0</v>
      </c>
      <c r="CG503" s="536"/>
      <c r="CH503" s="536"/>
      <c r="CI503" s="536"/>
      <c r="CJ503" s="541">
        <f t="shared" si="193"/>
        <v>0</v>
      </c>
      <c r="CK503" s="536"/>
      <c r="CL503" s="536"/>
      <c r="CM503" s="536"/>
      <c r="CN503" s="541">
        <f t="shared" si="194"/>
        <v>0</v>
      </c>
      <c r="CO503" s="536"/>
      <c r="CP503" s="536"/>
      <c r="CQ503" s="536"/>
      <c r="CR503" s="541">
        <f t="shared" si="195"/>
        <v>0</v>
      </c>
      <c r="CS503" s="536"/>
      <c r="CT503" s="536"/>
      <c r="CU503" s="536"/>
      <c r="CV503" s="541">
        <f t="shared" si="196"/>
        <v>0</v>
      </c>
      <c r="CW503" s="536"/>
      <c r="CX503" s="536"/>
      <c r="CY503" s="536"/>
      <c r="CZ503" s="541">
        <f t="shared" si="197"/>
        <v>0</v>
      </c>
      <c r="DA503" s="536"/>
      <c r="DB503" s="536"/>
      <c r="DC503" s="536"/>
      <c r="DD503" s="541">
        <f t="shared" si="198"/>
        <v>0</v>
      </c>
      <c r="DE503" s="536"/>
      <c r="DF503" s="536"/>
      <c r="DG503" s="536"/>
      <c r="DH503" s="541">
        <f t="shared" si="199"/>
        <v>0</v>
      </c>
      <c r="DI503" s="536"/>
      <c r="DJ503" s="536"/>
      <c r="DK503" s="536"/>
      <c r="DL503" s="541">
        <f t="shared" si="200"/>
        <v>0</v>
      </c>
      <c r="DM503" s="536"/>
      <c r="DN503" s="536"/>
      <c r="DO503" s="536"/>
      <c r="DP503" s="541">
        <f>IF( SUM((DJ503*(20/100))+(DK503*(30/100))+(DL503*(50/100))) &gt;=9.3,9.5,
IF(AND( SUM((DJ503*(20/100))+(DK503*(30/100))+(DL503*(50/100))) &lt;=9.3, SUM((DJ503*(20/100))+(DK503*(30/100))+(DL503*(50/100))) &gt;=8.8),9,
IF(AND( SUM((DJ503*(20/100))+(DK503*(30/100))+(DL503*(50/100))) &lt;=8.8, SUM((DJ503*(20/100))+(DK503*(30/100))+(DL503*(50/100))) &gt;=8.3),8.5,
IF(AND( SUM((DJ503*(20/100))+(DK503*(30/100))+(DL503*(50/100))) &lt;=8.3, SUM((DJ503*(20/100))+(DK503*(30/100))+(DL503*(50/100))) &gt;=7.8),8,
IF(AND( SUM((DJ503*(20/100))+(DK503*(30/100))+(DL503*(50/100))) &lt;=7.8, SUM((DJ503*(20/100))+(DK503*(30/100))+(DL503*(50/100))) &gt;=7.3),7.5,
IF(AND( SUM((DJ503*(20/100))+(DK503*(30/100))+(DL503*(50/100))) &lt;=7.3, SUM((DJ503*(20/100))+(DK503*(30/100))+(DL503*(50/100))) &gt;=6.8),7,
IF(AND( SUM((DJ503*(20/100))+(DK503*(30/100))+(DL503*(50/100))) &lt;=6.8, SUM((DJ503*(20/100))+(DK503*(30/100))+(DL503*(50/100))) &gt;=6.3),6.5,
IF(AND( SUM((DJ503*(20/100))+(DK503*(30/100))+(DL503*(50/100))) &lt;=6.3, SUM((DJ503*(20/100))+(DK503*(30/100))+(DL503*(50/100))) &gt;=5.8),6,
IF(AND( SUM((DJ503*(20/100))+(DK503*(30/100))+(DL503*(50/100))) &lt;=5.8, SUM((DJ503*(20/100))+(DK503*(30/100))+(DL503*(50/100))) &gt;=5.3),5.5,
IF(AND( SUM((DJ503*(20/100))+(DK503*(30/100))+(DL503*(50/100))) &lt;=5.3, SUM((DJ503*(20/100))+(DK503*(30/100))+(DL503*(50/100))) &gt;=4.8),5,
IF(AND( SUM((DJ503*(20/100))+(DK503*(30/100))+(DL503*(50/100))) &lt;=4.8, SUM((DJ503*(20/100))+(DK503*(30/100))+(DL503*(50/100))) &gt;=4.3),4.5,
IF(AND( SUM((DJ503*(20/100))+(DK503*(30/100))+(DL503*(50/100))) &lt;=4.3, SUM((DJ503*(20/100))+(DK503*(30/100))+(DL503*(50/100))) &gt;=3.8),4,
IF(AND( SUM((DJ503*(20/100))+(DK503*(30/100))+(DL503*(50/100))) &lt;=3.8, SUM((DJ503*(20/100))+(DK503*(30/100))+(DL503*(50/100))) &gt;=3.5),3.5,0)))))))))))))</f>
        <v>0</v>
      </c>
      <c r="DQ503" s="541"/>
      <c r="DR503" s="541"/>
      <c r="DS503" s="541"/>
      <c r="DT503" s="541"/>
      <c r="DU503" s="541"/>
      <c r="DV503" s="541"/>
      <c r="DW503" s="541"/>
      <c r="DX503" s="541"/>
      <c r="DY503" s="541"/>
      <c r="DZ503" s="541"/>
    </row>
    <row r="504" spans="2:130" x14ac:dyDescent="0.25">
      <c r="B504" s="334">
        <v>47</v>
      </c>
      <c r="C504" s="541"/>
      <c r="D504" s="334"/>
      <c r="E504" s="334"/>
      <c r="F504" s="334"/>
      <c r="G504" s="334"/>
      <c r="H504" s="334"/>
      <c r="I504" s="334"/>
      <c r="J504" s="536"/>
      <c r="K504" s="536"/>
      <c r="L504" s="536"/>
      <c r="M504" s="536"/>
      <c r="N504" s="536"/>
      <c r="O504" s="536"/>
      <c r="P504" s="536">
        <f t="shared" si="176"/>
        <v>0</v>
      </c>
      <c r="Q504" s="536"/>
      <c r="R504" s="536"/>
      <c r="S504" s="536"/>
      <c r="T504" s="536">
        <f t="shared" si="177"/>
        <v>0</v>
      </c>
      <c r="U504" s="536"/>
      <c r="V504" s="536"/>
      <c r="W504" s="536"/>
      <c r="X504" s="536">
        <f t="shared" si="178"/>
        <v>0</v>
      </c>
      <c r="Y504" s="536"/>
      <c r="Z504" s="536"/>
      <c r="AA504" s="536"/>
      <c r="AB504" s="536">
        <f t="shared" si="179"/>
        <v>0</v>
      </c>
      <c r="AC504" s="536"/>
      <c r="AD504" s="536"/>
      <c r="AE504" s="536"/>
      <c r="AF504" s="536">
        <f t="shared" si="180"/>
        <v>0</v>
      </c>
      <c r="AG504" s="536"/>
      <c r="AH504" s="536"/>
      <c r="AI504" s="536"/>
      <c r="AJ504" s="536">
        <f t="shared" si="181"/>
        <v>0</v>
      </c>
      <c r="AK504" s="536"/>
      <c r="AL504" s="536"/>
      <c r="AM504" s="536"/>
      <c r="AN504" s="542">
        <f t="shared" si="182"/>
        <v>0</v>
      </c>
      <c r="AO504" s="536"/>
      <c r="AP504" s="536"/>
      <c r="AQ504" s="536"/>
      <c r="AR504" s="542">
        <f t="shared" si="183"/>
        <v>0</v>
      </c>
      <c r="AS504" s="536"/>
      <c r="AT504" s="536"/>
      <c r="AU504" s="536"/>
      <c r="AV504" s="542">
        <f t="shared" si="184"/>
        <v>0</v>
      </c>
      <c r="AW504" s="536"/>
      <c r="AX504" s="536"/>
      <c r="AY504" s="536"/>
      <c r="AZ504" s="542">
        <f t="shared" si="185"/>
        <v>0</v>
      </c>
      <c r="BA504" s="536"/>
      <c r="BB504" s="536"/>
      <c r="BC504" s="536"/>
      <c r="BD504" s="542">
        <f t="shared" si="186"/>
        <v>0</v>
      </c>
      <c r="BE504" s="536"/>
      <c r="BF504" s="536"/>
      <c r="BG504" s="536"/>
      <c r="BH504" s="542">
        <f t="shared" si="187"/>
        <v>0</v>
      </c>
      <c r="BI504" s="536"/>
      <c r="BJ504" s="536"/>
      <c r="BK504" s="536"/>
      <c r="BL504" s="542">
        <f t="shared" si="188"/>
        <v>0</v>
      </c>
      <c r="BM504" s="536"/>
      <c r="BN504" s="536"/>
      <c r="BO504" s="536"/>
      <c r="BP504" s="542">
        <f t="shared" si="189"/>
        <v>0</v>
      </c>
      <c r="BQ504" s="536"/>
      <c r="BR504" s="536"/>
      <c r="BS504" s="536"/>
      <c r="BT504" s="542">
        <f t="shared" si="190"/>
        <v>0</v>
      </c>
      <c r="BU504" s="536"/>
      <c r="BV504" s="536"/>
      <c r="BW504" s="536"/>
      <c r="BX504" s="542">
        <f t="shared" si="191"/>
        <v>0</v>
      </c>
      <c r="BY504" s="536"/>
      <c r="BZ504" s="536"/>
      <c r="CA504" s="536"/>
      <c r="CB504" s="542">
        <v>0</v>
      </c>
      <c r="CC504" s="536"/>
      <c r="CD504" s="536"/>
      <c r="CE504" s="536"/>
      <c r="CF504" s="541">
        <f t="shared" si="192"/>
        <v>0</v>
      </c>
      <c r="CG504" s="536"/>
      <c r="CH504" s="536"/>
      <c r="CI504" s="536"/>
      <c r="CJ504" s="541">
        <f t="shared" si="193"/>
        <v>0</v>
      </c>
      <c r="CK504" s="536"/>
      <c r="CL504" s="536"/>
      <c r="CM504" s="536"/>
      <c r="CN504" s="541">
        <f t="shared" si="194"/>
        <v>0</v>
      </c>
      <c r="CO504" s="536"/>
      <c r="CP504" s="536"/>
      <c r="CQ504" s="536"/>
      <c r="CR504" s="541">
        <f t="shared" si="195"/>
        <v>0</v>
      </c>
      <c r="CS504" s="536"/>
      <c r="CT504" s="536"/>
      <c r="CU504" s="536"/>
      <c r="CV504" s="541">
        <f t="shared" si="196"/>
        <v>0</v>
      </c>
      <c r="CW504" s="536"/>
      <c r="CX504" s="536"/>
      <c r="CY504" s="536"/>
      <c r="CZ504" s="541">
        <f t="shared" si="197"/>
        <v>0</v>
      </c>
      <c r="DA504" s="536"/>
      <c r="DB504" s="536"/>
      <c r="DC504" s="536"/>
      <c r="DD504" s="541">
        <f t="shared" si="198"/>
        <v>0</v>
      </c>
      <c r="DE504" s="536"/>
      <c r="DF504" s="536"/>
      <c r="DG504" s="536"/>
      <c r="DH504" s="541">
        <f t="shared" si="199"/>
        <v>0</v>
      </c>
      <c r="DI504" s="536"/>
      <c r="DJ504" s="536"/>
      <c r="DK504" s="536"/>
      <c r="DL504" s="541">
        <f t="shared" si="200"/>
        <v>0</v>
      </c>
      <c r="DM504" s="536"/>
      <c r="DN504" s="536"/>
      <c r="DO504" s="536"/>
      <c r="DP504" s="541">
        <f>IF( SUM((DJ504*(20/100))+(DK504*(30/100))+(DL504*(50/100))) &gt;=9.3,9.5,
IF(AND( SUM((DJ504*(20/100))+(DK504*(30/100))+(DL504*(50/100))) &lt;=9.3, SUM((DJ504*(20/100))+(DK504*(30/100))+(DL504*(50/100))) &gt;=8.8),9,
IF(AND( SUM((DJ504*(20/100))+(DK504*(30/100))+(DL504*(50/100))) &lt;=8.8, SUM((DJ504*(20/100))+(DK504*(30/100))+(DL504*(50/100))) &gt;=8.3),8.5,
IF(AND( SUM((DJ504*(20/100))+(DK504*(30/100))+(DL504*(50/100))) &lt;=8.3, SUM((DJ504*(20/100))+(DK504*(30/100))+(DL504*(50/100))) &gt;=7.8),8,
IF(AND( SUM((DJ504*(20/100))+(DK504*(30/100))+(DL504*(50/100))) &lt;=7.8, SUM((DJ504*(20/100))+(DK504*(30/100))+(DL504*(50/100))) &gt;=7.3),7.5,
IF(AND( SUM((DJ504*(20/100))+(DK504*(30/100))+(DL504*(50/100))) &lt;=7.3, SUM((DJ504*(20/100))+(DK504*(30/100))+(DL504*(50/100))) &gt;=6.8),7,
IF(AND( SUM((DJ504*(20/100))+(DK504*(30/100))+(DL504*(50/100))) &lt;=6.8, SUM((DJ504*(20/100))+(DK504*(30/100))+(DL504*(50/100))) &gt;=6.3),6.5,
IF(AND( SUM((DJ504*(20/100))+(DK504*(30/100))+(DL504*(50/100))) &lt;=6.3, SUM((DJ504*(20/100))+(DK504*(30/100))+(DL504*(50/100))) &gt;=5.8),6,
IF(AND( SUM((DJ504*(20/100))+(DK504*(30/100))+(DL504*(50/100))) &lt;=5.8, SUM((DJ504*(20/100))+(DK504*(30/100))+(DL504*(50/100))) &gt;=5.3),5.5,
IF(AND( SUM((DJ504*(20/100))+(DK504*(30/100))+(DL504*(50/100))) &lt;=5.3, SUM((DJ504*(20/100))+(DK504*(30/100))+(DL504*(50/100))) &gt;=4.8),5,
IF(AND( SUM((DJ504*(20/100))+(DK504*(30/100))+(DL504*(50/100))) &lt;=4.8, SUM((DJ504*(20/100))+(DK504*(30/100))+(DL504*(50/100))) &gt;=4.3),4.5,
IF(AND( SUM((DJ504*(20/100))+(DK504*(30/100))+(DL504*(50/100))) &lt;=4.3, SUM((DJ504*(20/100))+(DK504*(30/100))+(DL504*(50/100))) &gt;=3.8),4,
IF(AND( SUM((DJ504*(20/100))+(DK504*(30/100))+(DL504*(50/100))) &lt;=3.8, SUM((DJ504*(20/100))+(DK504*(30/100))+(DL504*(50/100))) &gt;=3.5),3.5,0)))))))))))))</f>
        <v>0</v>
      </c>
      <c r="DQ504" s="541"/>
      <c r="DR504" s="541"/>
      <c r="DS504" s="541"/>
      <c r="DT504" s="541"/>
      <c r="DU504" s="541"/>
      <c r="DV504" s="541"/>
      <c r="DW504" s="541"/>
      <c r="DX504" s="541"/>
      <c r="DY504" s="541"/>
      <c r="DZ504" s="541"/>
    </row>
    <row r="505" spans="2:130" x14ac:dyDescent="0.25">
      <c r="B505" s="334">
        <v>48</v>
      </c>
      <c r="C505" s="541"/>
      <c r="D505" s="334"/>
      <c r="E505" s="334"/>
      <c r="F505" s="334"/>
      <c r="G505" s="334"/>
      <c r="H505" s="334"/>
      <c r="I505" s="334"/>
      <c r="J505" s="536"/>
      <c r="K505" s="536"/>
      <c r="L505" s="536"/>
      <c r="M505" s="536"/>
      <c r="N505" s="536"/>
      <c r="O505" s="536"/>
      <c r="P505" s="536">
        <f t="shared" si="176"/>
        <v>0</v>
      </c>
      <c r="Q505" s="536"/>
      <c r="R505" s="536"/>
      <c r="S505" s="536"/>
      <c r="T505" s="536">
        <f t="shared" si="177"/>
        <v>0</v>
      </c>
      <c r="U505" s="536"/>
      <c r="V505" s="536"/>
      <c r="W505" s="536"/>
      <c r="X505" s="536">
        <f t="shared" si="178"/>
        <v>0</v>
      </c>
      <c r="Y505" s="536"/>
      <c r="Z505" s="536"/>
      <c r="AA505" s="536"/>
      <c r="AB505" s="536">
        <f t="shared" si="179"/>
        <v>0</v>
      </c>
      <c r="AC505" s="536"/>
      <c r="AD505" s="536"/>
      <c r="AE505" s="536"/>
      <c r="AF505" s="536">
        <f t="shared" si="180"/>
        <v>0</v>
      </c>
      <c r="AG505" s="536"/>
      <c r="AH505" s="536"/>
      <c r="AI505" s="536"/>
      <c r="AJ505" s="536">
        <f t="shared" si="181"/>
        <v>0</v>
      </c>
      <c r="AK505" s="536"/>
      <c r="AL505" s="536"/>
      <c r="AM505" s="536"/>
      <c r="AN505" s="542">
        <f t="shared" si="182"/>
        <v>0</v>
      </c>
      <c r="AO505" s="536"/>
      <c r="AP505" s="536"/>
      <c r="AQ505" s="536"/>
      <c r="AR505" s="542">
        <f t="shared" si="183"/>
        <v>0</v>
      </c>
      <c r="AS505" s="536"/>
      <c r="AT505" s="536"/>
      <c r="AU505" s="536"/>
      <c r="AV505" s="542">
        <f t="shared" si="184"/>
        <v>0</v>
      </c>
      <c r="AW505" s="536"/>
      <c r="AX505" s="536"/>
      <c r="AY505" s="536"/>
      <c r="AZ505" s="542">
        <f t="shared" si="185"/>
        <v>0</v>
      </c>
      <c r="BA505" s="536"/>
      <c r="BB505" s="536"/>
      <c r="BC505" s="536"/>
      <c r="BD505" s="542">
        <f t="shared" si="186"/>
        <v>0</v>
      </c>
      <c r="BE505" s="536"/>
      <c r="BF505" s="536"/>
      <c r="BG505" s="536"/>
      <c r="BH505" s="542">
        <f t="shared" si="187"/>
        <v>0</v>
      </c>
      <c r="BI505" s="536"/>
      <c r="BJ505" s="536"/>
      <c r="BK505" s="536"/>
      <c r="BL505" s="542">
        <f t="shared" si="188"/>
        <v>0</v>
      </c>
      <c r="BM505" s="536"/>
      <c r="BN505" s="536"/>
      <c r="BO505" s="536"/>
      <c r="BP505" s="542">
        <f t="shared" si="189"/>
        <v>0</v>
      </c>
      <c r="BQ505" s="536"/>
      <c r="BR505" s="536"/>
      <c r="BS505" s="536"/>
      <c r="BT505" s="542">
        <f t="shared" si="190"/>
        <v>0</v>
      </c>
      <c r="BU505" s="536"/>
      <c r="BV505" s="536"/>
      <c r="BW505" s="536"/>
      <c r="BX505" s="542">
        <f t="shared" si="191"/>
        <v>0</v>
      </c>
      <c r="BY505" s="536"/>
      <c r="BZ505" s="536"/>
      <c r="CA505" s="536"/>
      <c r="CB505" s="542">
        <v>0</v>
      </c>
      <c r="CC505" s="536"/>
      <c r="CD505" s="536"/>
      <c r="CE505" s="536"/>
      <c r="CF505" s="541">
        <f t="shared" si="192"/>
        <v>0</v>
      </c>
      <c r="CG505" s="536"/>
      <c r="CH505" s="536"/>
      <c r="CI505" s="536"/>
      <c r="CJ505" s="541">
        <f t="shared" si="193"/>
        <v>0</v>
      </c>
      <c r="CK505" s="536"/>
      <c r="CL505" s="536"/>
      <c r="CM505" s="536"/>
      <c r="CN505" s="541">
        <f t="shared" si="194"/>
        <v>0</v>
      </c>
      <c r="CO505" s="536"/>
      <c r="CP505" s="536"/>
      <c r="CQ505" s="536"/>
      <c r="CR505" s="541">
        <f t="shared" si="195"/>
        <v>0</v>
      </c>
      <c r="CS505" s="536"/>
      <c r="CT505" s="536"/>
      <c r="CU505" s="536"/>
      <c r="CV505" s="541">
        <f t="shared" si="196"/>
        <v>0</v>
      </c>
      <c r="CW505" s="536"/>
      <c r="CX505" s="536"/>
      <c r="CY505" s="536"/>
      <c r="CZ505" s="541">
        <f t="shared" si="197"/>
        <v>0</v>
      </c>
      <c r="DA505" s="536"/>
      <c r="DB505" s="536"/>
      <c r="DC505" s="536"/>
      <c r="DD505" s="541">
        <f t="shared" si="198"/>
        <v>0</v>
      </c>
      <c r="DE505" s="536"/>
      <c r="DF505" s="536"/>
      <c r="DG505" s="536"/>
      <c r="DH505" s="541">
        <f t="shared" si="199"/>
        <v>0</v>
      </c>
      <c r="DI505" s="536"/>
      <c r="DJ505" s="536"/>
      <c r="DK505" s="536"/>
      <c r="DL505" s="541">
        <f t="shared" si="200"/>
        <v>0</v>
      </c>
      <c r="DM505" s="536"/>
      <c r="DN505" s="536"/>
      <c r="DO505" s="536"/>
      <c r="DP505" s="541">
        <f>IF( SUM((DJ505*(20/100))+(DK505*(30/100))+(DL505*(50/100))) &gt;=9.3,9.5,
IF(AND( SUM((DJ505*(20/100))+(DK505*(30/100))+(DL505*(50/100))) &lt;=9.3, SUM((DJ505*(20/100))+(DK505*(30/100))+(DL505*(50/100))) &gt;=8.8),9,
IF(AND( SUM((DJ505*(20/100))+(DK505*(30/100))+(DL505*(50/100))) &lt;=8.8, SUM((DJ505*(20/100))+(DK505*(30/100))+(DL505*(50/100))) &gt;=8.3),8.5,
IF(AND( SUM((DJ505*(20/100))+(DK505*(30/100))+(DL505*(50/100))) &lt;=8.3, SUM((DJ505*(20/100))+(DK505*(30/100))+(DL505*(50/100))) &gt;=7.8),8,
IF(AND( SUM((DJ505*(20/100))+(DK505*(30/100))+(DL505*(50/100))) &lt;=7.8, SUM((DJ505*(20/100))+(DK505*(30/100))+(DL505*(50/100))) &gt;=7.3),7.5,
IF(AND( SUM((DJ505*(20/100))+(DK505*(30/100))+(DL505*(50/100))) &lt;=7.3, SUM((DJ505*(20/100))+(DK505*(30/100))+(DL505*(50/100))) &gt;=6.8),7,
IF(AND( SUM((DJ505*(20/100))+(DK505*(30/100))+(DL505*(50/100))) &lt;=6.8, SUM((DJ505*(20/100))+(DK505*(30/100))+(DL505*(50/100))) &gt;=6.3),6.5,
IF(AND( SUM((DJ505*(20/100))+(DK505*(30/100))+(DL505*(50/100))) &lt;=6.3, SUM((DJ505*(20/100))+(DK505*(30/100))+(DL505*(50/100))) &gt;=5.8),6,
IF(AND( SUM((DJ505*(20/100))+(DK505*(30/100))+(DL505*(50/100))) &lt;=5.8, SUM((DJ505*(20/100))+(DK505*(30/100))+(DL505*(50/100))) &gt;=5.3),5.5,
IF(AND( SUM((DJ505*(20/100))+(DK505*(30/100))+(DL505*(50/100))) &lt;=5.3, SUM((DJ505*(20/100))+(DK505*(30/100))+(DL505*(50/100))) &gt;=4.8),5,
IF(AND( SUM((DJ505*(20/100))+(DK505*(30/100))+(DL505*(50/100))) &lt;=4.8, SUM((DJ505*(20/100))+(DK505*(30/100))+(DL505*(50/100))) &gt;=4.3),4.5,
IF(AND( SUM((DJ505*(20/100))+(DK505*(30/100))+(DL505*(50/100))) &lt;=4.3, SUM((DJ505*(20/100))+(DK505*(30/100))+(DL505*(50/100))) &gt;=3.8),4,
IF(AND( SUM((DJ505*(20/100))+(DK505*(30/100))+(DL505*(50/100))) &lt;=3.8, SUM((DJ505*(20/100))+(DK505*(30/100))+(DL505*(50/100))) &gt;=3.5),3.5,0)))))))))))))</f>
        <v>0</v>
      </c>
      <c r="DQ505" s="541"/>
      <c r="DR505" s="541"/>
      <c r="DS505" s="541"/>
      <c r="DT505" s="541"/>
      <c r="DU505" s="541"/>
      <c r="DV505" s="541"/>
      <c r="DW505" s="541"/>
      <c r="DX505" s="541"/>
      <c r="DY505" s="541"/>
      <c r="DZ505" s="541"/>
    </row>
    <row r="506" spans="2:130" x14ac:dyDescent="0.25">
      <c r="B506" s="334">
        <v>49</v>
      </c>
      <c r="C506" s="541"/>
      <c r="D506" s="334"/>
      <c r="E506" s="334"/>
      <c r="F506" s="334"/>
      <c r="G506" s="334"/>
      <c r="H506" s="334"/>
      <c r="I506" s="334"/>
      <c r="J506" s="536"/>
      <c r="K506" s="536"/>
      <c r="L506" s="536"/>
      <c r="M506" s="536"/>
      <c r="N506" s="536"/>
      <c r="O506" s="536"/>
      <c r="P506" s="536">
        <f t="shared" si="176"/>
        <v>0</v>
      </c>
      <c r="Q506" s="536"/>
      <c r="R506" s="536"/>
      <c r="S506" s="536"/>
      <c r="T506" s="536">
        <f t="shared" si="177"/>
        <v>0</v>
      </c>
      <c r="U506" s="536"/>
      <c r="V506" s="536"/>
      <c r="W506" s="536"/>
      <c r="X506" s="536">
        <f t="shared" si="178"/>
        <v>0</v>
      </c>
      <c r="Y506" s="536"/>
      <c r="Z506" s="536"/>
      <c r="AA506" s="536"/>
      <c r="AB506" s="536">
        <f t="shared" si="179"/>
        <v>0</v>
      </c>
      <c r="AC506" s="536"/>
      <c r="AD506" s="536"/>
      <c r="AE506" s="536"/>
      <c r="AF506" s="536">
        <f t="shared" si="180"/>
        <v>0</v>
      </c>
      <c r="AG506" s="536"/>
      <c r="AH506" s="536"/>
      <c r="AI506" s="536"/>
      <c r="AJ506" s="536">
        <f t="shared" si="181"/>
        <v>0</v>
      </c>
      <c r="AK506" s="536"/>
      <c r="AL506" s="536"/>
      <c r="AM506" s="536"/>
      <c r="AN506" s="542">
        <f t="shared" si="182"/>
        <v>0</v>
      </c>
      <c r="AO506" s="536"/>
      <c r="AP506" s="536"/>
      <c r="AQ506" s="536"/>
      <c r="AR506" s="542">
        <f t="shared" si="183"/>
        <v>0</v>
      </c>
      <c r="AS506" s="536"/>
      <c r="AT506" s="536"/>
      <c r="AU506" s="536"/>
      <c r="AV506" s="542">
        <f t="shared" si="184"/>
        <v>0</v>
      </c>
      <c r="AW506" s="536"/>
      <c r="AX506" s="536"/>
      <c r="AY506" s="536"/>
      <c r="AZ506" s="542">
        <f t="shared" si="185"/>
        <v>0</v>
      </c>
      <c r="BA506" s="536"/>
      <c r="BB506" s="536"/>
      <c r="BC506" s="536"/>
      <c r="BD506" s="542">
        <f t="shared" si="186"/>
        <v>0</v>
      </c>
      <c r="BE506" s="536"/>
      <c r="BF506" s="536"/>
      <c r="BG506" s="536"/>
      <c r="BH506" s="542">
        <f t="shared" si="187"/>
        <v>0</v>
      </c>
      <c r="BI506" s="536"/>
      <c r="BJ506" s="536"/>
      <c r="BK506" s="536"/>
      <c r="BL506" s="542">
        <f t="shared" si="188"/>
        <v>0</v>
      </c>
      <c r="BM506" s="536"/>
      <c r="BN506" s="536"/>
      <c r="BO506" s="536"/>
      <c r="BP506" s="542">
        <f t="shared" si="189"/>
        <v>0</v>
      </c>
      <c r="BQ506" s="536"/>
      <c r="BR506" s="536"/>
      <c r="BS506" s="536"/>
      <c r="BT506" s="542">
        <f t="shared" si="190"/>
        <v>0</v>
      </c>
      <c r="BU506" s="536"/>
      <c r="BV506" s="536"/>
      <c r="BW506" s="536"/>
      <c r="BX506" s="542">
        <f t="shared" si="191"/>
        <v>0</v>
      </c>
      <c r="BY506" s="536"/>
      <c r="BZ506" s="536"/>
      <c r="CA506" s="536"/>
      <c r="CB506" s="542">
        <v>0</v>
      </c>
      <c r="CC506" s="536"/>
      <c r="CD506" s="536"/>
      <c r="CE506" s="536"/>
      <c r="CF506" s="541">
        <f t="shared" si="192"/>
        <v>0</v>
      </c>
      <c r="CG506" s="536"/>
      <c r="CH506" s="536"/>
      <c r="CI506" s="536"/>
      <c r="CJ506" s="541">
        <f t="shared" si="193"/>
        <v>0</v>
      </c>
      <c r="CK506" s="536"/>
      <c r="CL506" s="536"/>
      <c r="CM506" s="536"/>
      <c r="CN506" s="541">
        <f t="shared" si="194"/>
        <v>0</v>
      </c>
      <c r="CO506" s="536"/>
      <c r="CP506" s="536"/>
      <c r="CQ506" s="536"/>
      <c r="CR506" s="541">
        <f t="shared" si="195"/>
        <v>0</v>
      </c>
      <c r="CS506" s="536"/>
      <c r="CT506" s="536"/>
      <c r="CU506" s="536"/>
      <c r="CV506" s="541">
        <f t="shared" si="196"/>
        <v>0</v>
      </c>
      <c r="CW506" s="536"/>
      <c r="CX506" s="536"/>
      <c r="CY506" s="536"/>
      <c r="CZ506" s="541">
        <f t="shared" si="197"/>
        <v>0</v>
      </c>
      <c r="DA506" s="536"/>
      <c r="DB506" s="536"/>
      <c r="DC506" s="536"/>
      <c r="DD506" s="541">
        <f t="shared" si="198"/>
        <v>0</v>
      </c>
      <c r="DE506" s="536"/>
      <c r="DF506" s="536"/>
      <c r="DG506" s="536"/>
      <c r="DH506" s="541">
        <f t="shared" si="199"/>
        <v>0</v>
      </c>
      <c r="DI506" s="536"/>
      <c r="DJ506" s="536"/>
      <c r="DK506" s="536"/>
      <c r="DL506" s="541">
        <f t="shared" si="200"/>
        <v>0</v>
      </c>
      <c r="DM506" s="536"/>
      <c r="DN506" s="536"/>
      <c r="DO506" s="536"/>
      <c r="DP506" s="541">
        <f>IF( SUM((DJ506*(20/100))+(DK506*(30/100))+(DL506*(50/100))) &gt;=9.3,9.5,
IF(AND( SUM((DJ506*(20/100))+(DK506*(30/100))+(DL506*(50/100))) &lt;=9.3, SUM((DJ506*(20/100))+(DK506*(30/100))+(DL506*(50/100))) &gt;=8.8),9,
IF(AND( SUM((DJ506*(20/100))+(DK506*(30/100))+(DL506*(50/100))) &lt;=8.8, SUM((DJ506*(20/100))+(DK506*(30/100))+(DL506*(50/100))) &gt;=8.3),8.5,
IF(AND( SUM((DJ506*(20/100))+(DK506*(30/100))+(DL506*(50/100))) &lt;=8.3, SUM((DJ506*(20/100))+(DK506*(30/100))+(DL506*(50/100))) &gt;=7.8),8,
IF(AND( SUM((DJ506*(20/100))+(DK506*(30/100))+(DL506*(50/100))) &lt;=7.8, SUM((DJ506*(20/100))+(DK506*(30/100))+(DL506*(50/100))) &gt;=7.3),7.5,
IF(AND( SUM((DJ506*(20/100))+(DK506*(30/100))+(DL506*(50/100))) &lt;=7.3, SUM((DJ506*(20/100))+(DK506*(30/100))+(DL506*(50/100))) &gt;=6.8),7,
IF(AND( SUM((DJ506*(20/100))+(DK506*(30/100))+(DL506*(50/100))) &lt;=6.8, SUM((DJ506*(20/100))+(DK506*(30/100))+(DL506*(50/100))) &gt;=6.3),6.5,
IF(AND( SUM((DJ506*(20/100))+(DK506*(30/100))+(DL506*(50/100))) &lt;=6.3, SUM((DJ506*(20/100))+(DK506*(30/100))+(DL506*(50/100))) &gt;=5.8),6,
IF(AND( SUM((DJ506*(20/100))+(DK506*(30/100))+(DL506*(50/100))) &lt;=5.8, SUM((DJ506*(20/100))+(DK506*(30/100))+(DL506*(50/100))) &gt;=5.3),5.5,
IF(AND( SUM((DJ506*(20/100))+(DK506*(30/100))+(DL506*(50/100))) &lt;=5.3, SUM((DJ506*(20/100))+(DK506*(30/100))+(DL506*(50/100))) &gt;=4.8),5,
IF(AND( SUM((DJ506*(20/100))+(DK506*(30/100))+(DL506*(50/100))) &lt;=4.8, SUM((DJ506*(20/100))+(DK506*(30/100))+(DL506*(50/100))) &gt;=4.3),4.5,
IF(AND( SUM((DJ506*(20/100))+(DK506*(30/100))+(DL506*(50/100))) &lt;=4.3, SUM((DJ506*(20/100))+(DK506*(30/100))+(DL506*(50/100))) &gt;=3.8),4,
IF(AND( SUM((DJ506*(20/100))+(DK506*(30/100))+(DL506*(50/100))) &lt;=3.8, SUM((DJ506*(20/100))+(DK506*(30/100))+(DL506*(50/100))) &gt;=3.5),3.5,0)))))))))))))</f>
        <v>0</v>
      </c>
      <c r="DQ506" s="541"/>
      <c r="DR506" s="541"/>
      <c r="DS506" s="541"/>
      <c r="DT506" s="541"/>
      <c r="DU506" s="541"/>
      <c r="DV506" s="541"/>
      <c r="DW506" s="541"/>
      <c r="DX506" s="541"/>
      <c r="DY506" s="541"/>
      <c r="DZ506" s="541"/>
    </row>
    <row r="507" spans="2:130" x14ac:dyDescent="0.25">
      <c r="B507" s="334">
        <v>50</v>
      </c>
      <c r="C507" s="541"/>
      <c r="D507" s="334"/>
      <c r="E507" s="334"/>
      <c r="F507" s="334"/>
      <c r="G507" s="334"/>
      <c r="H507" s="334"/>
      <c r="I507" s="334"/>
      <c r="J507" s="536"/>
      <c r="K507" s="536"/>
      <c r="L507" s="536"/>
      <c r="M507" s="536"/>
      <c r="N507" s="536"/>
      <c r="O507" s="536"/>
      <c r="P507" s="536">
        <f t="shared" si="176"/>
        <v>0</v>
      </c>
      <c r="Q507" s="536"/>
      <c r="R507" s="536"/>
      <c r="S507" s="536"/>
      <c r="T507" s="536">
        <f t="shared" si="177"/>
        <v>0</v>
      </c>
      <c r="U507" s="536"/>
      <c r="V507" s="536"/>
      <c r="W507" s="536"/>
      <c r="X507" s="536">
        <f t="shared" si="178"/>
        <v>0</v>
      </c>
      <c r="Y507" s="536"/>
      <c r="Z507" s="536"/>
      <c r="AA507" s="536"/>
      <c r="AB507" s="536">
        <f t="shared" si="179"/>
        <v>0</v>
      </c>
      <c r="AC507" s="536"/>
      <c r="AD507" s="536"/>
      <c r="AE507" s="536"/>
      <c r="AF507" s="536">
        <f t="shared" si="180"/>
        <v>0</v>
      </c>
      <c r="AG507" s="536"/>
      <c r="AH507" s="536"/>
      <c r="AI507" s="536"/>
      <c r="AJ507" s="536">
        <f t="shared" si="181"/>
        <v>0</v>
      </c>
      <c r="AK507" s="536"/>
      <c r="AL507" s="536"/>
      <c r="AM507" s="536"/>
      <c r="AN507" s="542">
        <f t="shared" si="182"/>
        <v>0</v>
      </c>
      <c r="AO507" s="536"/>
      <c r="AP507" s="536"/>
      <c r="AQ507" s="536"/>
      <c r="AR507" s="542">
        <f t="shared" si="183"/>
        <v>0</v>
      </c>
      <c r="AS507" s="536"/>
      <c r="AT507" s="536"/>
      <c r="AU507" s="536"/>
      <c r="AV507" s="542">
        <f t="shared" si="184"/>
        <v>0</v>
      </c>
      <c r="AW507" s="536"/>
      <c r="AX507" s="536"/>
      <c r="AY507" s="536"/>
      <c r="AZ507" s="542">
        <f t="shared" si="185"/>
        <v>0</v>
      </c>
      <c r="BA507" s="536"/>
      <c r="BB507" s="536"/>
      <c r="BC507" s="536"/>
      <c r="BD507" s="542">
        <f t="shared" si="186"/>
        <v>0</v>
      </c>
      <c r="BE507" s="536"/>
      <c r="BF507" s="536"/>
      <c r="BG507" s="536"/>
      <c r="BH507" s="542">
        <f t="shared" si="187"/>
        <v>0</v>
      </c>
      <c r="BI507" s="536"/>
      <c r="BJ507" s="536"/>
      <c r="BK507" s="536"/>
      <c r="BL507" s="542">
        <f t="shared" si="188"/>
        <v>0</v>
      </c>
      <c r="BM507" s="536"/>
      <c r="BN507" s="536"/>
      <c r="BO507" s="536"/>
      <c r="BP507" s="542">
        <f t="shared" si="189"/>
        <v>0</v>
      </c>
      <c r="BQ507" s="536"/>
      <c r="BR507" s="536"/>
      <c r="BS507" s="536"/>
      <c r="BT507" s="542">
        <f t="shared" si="190"/>
        <v>0</v>
      </c>
      <c r="BU507" s="536"/>
      <c r="BV507" s="536"/>
      <c r="BW507" s="536"/>
      <c r="BX507" s="542">
        <f t="shared" si="191"/>
        <v>0</v>
      </c>
      <c r="BY507" s="536"/>
      <c r="BZ507" s="536"/>
      <c r="CA507" s="536"/>
      <c r="CB507" s="542">
        <v>0</v>
      </c>
      <c r="CC507" s="536"/>
      <c r="CD507" s="536"/>
      <c r="CE507" s="536"/>
      <c r="CF507" s="541">
        <f t="shared" si="192"/>
        <v>0</v>
      </c>
      <c r="CG507" s="536"/>
      <c r="CH507" s="536"/>
      <c r="CI507" s="536"/>
      <c r="CJ507" s="541">
        <f t="shared" si="193"/>
        <v>0</v>
      </c>
      <c r="CK507" s="536"/>
      <c r="CL507" s="536"/>
      <c r="CM507" s="536"/>
      <c r="CN507" s="541">
        <f t="shared" si="194"/>
        <v>0</v>
      </c>
      <c r="CO507" s="536"/>
      <c r="CP507" s="536"/>
      <c r="CQ507" s="536"/>
      <c r="CR507" s="541">
        <f t="shared" si="195"/>
        <v>0</v>
      </c>
      <c r="CS507" s="536"/>
      <c r="CT507" s="536"/>
      <c r="CU507" s="536"/>
      <c r="CV507" s="541">
        <f t="shared" si="196"/>
        <v>0</v>
      </c>
      <c r="CW507" s="536"/>
      <c r="CX507" s="536"/>
      <c r="CY507" s="536"/>
      <c r="CZ507" s="541">
        <f t="shared" si="197"/>
        <v>0</v>
      </c>
      <c r="DA507" s="536"/>
      <c r="DB507" s="536"/>
      <c r="DC507" s="536"/>
      <c r="DD507" s="541">
        <f t="shared" si="198"/>
        <v>0</v>
      </c>
      <c r="DE507" s="536"/>
      <c r="DF507" s="536"/>
      <c r="DG507" s="536"/>
      <c r="DH507" s="541">
        <f t="shared" si="199"/>
        <v>0</v>
      </c>
      <c r="DI507" s="536"/>
      <c r="DJ507" s="536"/>
      <c r="DK507" s="536"/>
      <c r="DL507" s="541">
        <f t="shared" si="200"/>
        <v>0</v>
      </c>
      <c r="DM507" s="536"/>
      <c r="DN507" s="536"/>
      <c r="DO507" s="536"/>
      <c r="DP507" s="541">
        <f>IF( SUM((DJ507*(20/100))+(DK507*(30/100))+(DL507*(50/100))) &gt;=9.3,9.5,
IF(AND( SUM((DJ507*(20/100))+(DK507*(30/100))+(DL507*(50/100))) &lt;=9.3, SUM((DJ507*(20/100))+(DK507*(30/100))+(DL507*(50/100))) &gt;=8.8),9,
IF(AND( SUM((DJ507*(20/100))+(DK507*(30/100))+(DL507*(50/100))) &lt;=8.8, SUM((DJ507*(20/100))+(DK507*(30/100))+(DL507*(50/100))) &gt;=8.3),8.5,
IF(AND( SUM((DJ507*(20/100))+(DK507*(30/100))+(DL507*(50/100))) &lt;=8.3, SUM((DJ507*(20/100))+(DK507*(30/100))+(DL507*(50/100))) &gt;=7.8),8,
IF(AND( SUM((DJ507*(20/100))+(DK507*(30/100))+(DL507*(50/100))) &lt;=7.8, SUM((DJ507*(20/100))+(DK507*(30/100))+(DL507*(50/100))) &gt;=7.3),7.5,
IF(AND( SUM((DJ507*(20/100))+(DK507*(30/100))+(DL507*(50/100))) &lt;=7.3, SUM((DJ507*(20/100))+(DK507*(30/100))+(DL507*(50/100))) &gt;=6.8),7,
IF(AND( SUM((DJ507*(20/100))+(DK507*(30/100))+(DL507*(50/100))) &lt;=6.8, SUM((DJ507*(20/100))+(DK507*(30/100))+(DL507*(50/100))) &gt;=6.3),6.5,
IF(AND( SUM((DJ507*(20/100))+(DK507*(30/100))+(DL507*(50/100))) &lt;=6.3, SUM((DJ507*(20/100))+(DK507*(30/100))+(DL507*(50/100))) &gt;=5.8),6,
IF(AND( SUM((DJ507*(20/100))+(DK507*(30/100))+(DL507*(50/100))) &lt;=5.8, SUM((DJ507*(20/100))+(DK507*(30/100))+(DL507*(50/100))) &gt;=5.3),5.5,
IF(AND( SUM((DJ507*(20/100))+(DK507*(30/100))+(DL507*(50/100))) &lt;=5.3, SUM((DJ507*(20/100))+(DK507*(30/100))+(DL507*(50/100))) &gt;=4.8),5,
IF(AND( SUM((DJ507*(20/100))+(DK507*(30/100))+(DL507*(50/100))) &lt;=4.8, SUM((DJ507*(20/100))+(DK507*(30/100))+(DL507*(50/100))) &gt;=4.3),4.5,
IF(AND( SUM((DJ507*(20/100))+(DK507*(30/100))+(DL507*(50/100))) &lt;=4.3, SUM((DJ507*(20/100))+(DK507*(30/100))+(DL507*(50/100))) &gt;=3.8),4,
IF(AND( SUM((DJ507*(20/100))+(DK507*(30/100))+(DL507*(50/100))) &lt;=3.8, SUM((DJ507*(20/100))+(DK507*(30/100))+(DL507*(50/100))) &gt;=3.5),3.5,0)))))))))))))</f>
        <v>0</v>
      </c>
      <c r="DQ507" s="541"/>
      <c r="DR507" s="541"/>
      <c r="DS507" s="541"/>
      <c r="DT507" s="541"/>
      <c r="DU507" s="541"/>
      <c r="DV507" s="541"/>
      <c r="DW507" s="541"/>
      <c r="DX507" s="541"/>
      <c r="DY507" s="541"/>
      <c r="DZ507" s="541"/>
    </row>
    <row r="508" spans="2:130" x14ac:dyDescent="0.25">
      <c r="B508" s="334">
        <v>1</v>
      </c>
      <c r="C508" s="541" t="s">
        <v>8584</v>
      </c>
      <c r="D508" s="334">
        <v>8</v>
      </c>
      <c r="E508" s="334"/>
      <c r="F508" s="334"/>
      <c r="G508" s="334">
        <v>8</v>
      </c>
      <c r="H508" s="334">
        <v>8</v>
      </c>
      <c r="I508" s="334">
        <v>8</v>
      </c>
      <c r="J508" s="536"/>
      <c r="K508" s="536"/>
      <c r="L508" s="536"/>
      <c r="M508" s="536"/>
      <c r="N508" s="536"/>
      <c r="O508" s="536"/>
      <c r="P508" s="536">
        <f t="shared" si="176"/>
        <v>0</v>
      </c>
      <c r="Q508" s="536"/>
      <c r="R508" s="536"/>
      <c r="S508" s="536"/>
      <c r="T508" s="536">
        <f t="shared" si="177"/>
        <v>0</v>
      </c>
      <c r="U508" s="536"/>
      <c r="V508" s="536"/>
      <c r="W508" s="536"/>
      <c r="X508" s="536">
        <f t="shared" si="178"/>
        <v>0</v>
      </c>
      <c r="Y508" s="536"/>
      <c r="Z508" s="536"/>
      <c r="AA508" s="536"/>
      <c r="AB508" s="536">
        <f t="shared" si="179"/>
        <v>0</v>
      </c>
      <c r="AC508" s="536"/>
      <c r="AD508" s="536"/>
      <c r="AE508" s="536"/>
      <c r="AF508" s="536">
        <f t="shared" si="180"/>
        <v>0</v>
      </c>
      <c r="AG508" s="536"/>
      <c r="AH508" s="536"/>
      <c r="AI508" s="536"/>
      <c r="AJ508" s="536">
        <f t="shared" si="181"/>
        <v>0</v>
      </c>
      <c r="AK508" s="536"/>
      <c r="AL508" s="536"/>
      <c r="AM508" s="536"/>
      <c r="AN508" s="542">
        <f t="shared" si="182"/>
        <v>0</v>
      </c>
      <c r="AO508" s="536"/>
      <c r="AP508" s="536"/>
      <c r="AQ508" s="536"/>
      <c r="AR508" s="542">
        <f t="shared" si="183"/>
        <v>0</v>
      </c>
      <c r="AS508" s="536"/>
      <c r="AT508" s="536"/>
      <c r="AU508" s="536"/>
      <c r="AV508" s="542">
        <f t="shared" si="184"/>
        <v>0</v>
      </c>
      <c r="AW508" s="536"/>
      <c r="AX508" s="536"/>
      <c r="AY508" s="536"/>
      <c r="AZ508" s="542">
        <f t="shared" si="185"/>
        <v>0</v>
      </c>
      <c r="BA508" s="536"/>
      <c r="BB508" s="536"/>
      <c r="BC508" s="536"/>
      <c r="BD508" s="542">
        <f t="shared" si="186"/>
        <v>0</v>
      </c>
      <c r="BE508" s="536"/>
      <c r="BF508" s="536"/>
      <c r="BG508" s="536"/>
      <c r="BH508" s="542">
        <f t="shared" si="187"/>
        <v>0</v>
      </c>
      <c r="BI508" s="536"/>
      <c r="BJ508" s="536"/>
      <c r="BK508" s="536"/>
      <c r="BL508" s="542">
        <f t="shared" si="188"/>
        <v>0</v>
      </c>
      <c r="BM508" s="536"/>
      <c r="BN508" s="536"/>
      <c r="BO508" s="536"/>
      <c r="BP508" s="542">
        <f t="shared" si="189"/>
        <v>0</v>
      </c>
      <c r="BQ508" s="536"/>
      <c r="BR508" s="536"/>
      <c r="BS508" s="536"/>
      <c r="BT508" s="542">
        <f t="shared" si="190"/>
        <v>0</v>
      </c>
      <c r="BU508" s="536"/>
      <c r="BV508" s="536"/>
      <c r="BW508" s="536"/>
      <c r="BX508" s="542">
        <f t="shared" si="191"/>
        <v>0</v>
      </c>
      <c r="BY508" s="536"/>
      <c r="BZ508" s="536"/>
      <c r="CA508" s="536"/>
      <c r="CB508" s="542">
        <v>0</v>
      </c>
      <c r="CC508" s="536"/>
      <c r="CD508" s="536"/>
      <c r="CE508" s="536"/>
      <c r="CF508" s="541">
        <f t="shared" si="192"/>
        <v>0</v>
      </c>
      <c r="CG508" s="536"/>
      <c r="CH508" s="536"/>
      <c r="CI508" s="536"/>
      <c r="CJ508" s="541">
        <f t="shared" si="193"/>
        <v>0</v>
      </c>
      <c r="CK508" s="536"/>
      <c r="CL508" s="536"/>
      <c r="CM508" s="536"/>
      <c r="CN508" s="541">
        <f t="shared" si="194"/>
        <v>0</v>
      </c>
      <c r="CO508" s="536"/>
      <c r="CP508" s="536"/>
      <c r="CQ508" s="536"/>
      <c r="CR508" s="541">
        <f t="shared" si="195"/>
        <v>0</v>
      </c>
      <c r="CS508" s="536"/>
      <c r="CT508" s="536"/>
      <c r="CU508" s="536"/>
      <c r="CV508" s="541">
        <f t="shared" si="196"/>
        <v>0</v>
      </c>
      <c r="CW508" s="536"/>
      <c r="CX508" s="536"/>
      <c r="CY508" s="536"/>
      <c r="CZ508" s="541">
        <f t="shared" si="197"/>
        <v>0</v>
      </c>
      <c r="DA508" s="536"/>
      <c r="DB508" s="536"/>
      <c r="DC508" s="536"/>
      <c r="DD508" s="541">
        <f t="shared" si="198"/>
        <v>0</v>
      </c>
      <c r="DE508" s="536"/>
      <c r="DF508" s="536"/>
      <c r="DG508" s="536"/>
      <c r="DH508" s="541">
        <f t="shared" si="199"/>
        <v>0</v>
      </c>
      <c r="DI508" s="536"/>
      <c r="DJ508" s="536"/>
      <c r="DK508" s="536"/>
      <c r="DL508" s="541">
        <f t="shared" si="200"/>
        <v>0</v>
      </c>
      <c r="DM508" s="536"/>
      <c r="DN508" s="536"/>
      <c r="DO508" s="536"/>
      <c r="DP508" s="541">
        <f>IF( SUM((DJ508*(20/100))+(DK508*(30/100))+(DL508*(50/100))) &gt;=9.3,9.5,
IF(AND( SUM((DJ508*(20/100))+(DK508*(30/100))+(DL508*(50/100))) &lt;=9.3, SUM((DJ508*(20/100))+(DK508*(30/100))+(DL508*(50/100))) &gt;=8.8),9,
IF(AND( SUM((DJ508*(20/100))+(DK508*(30/100))+(DL508*(50/100))) &lt;=8.8, SUM((DJ508*(20/100))+(DK508*(30/100))+(DL508*(50/100))) &gt;=8.3),8.5,
IF(AND( SUM((DJ508*(20/100))+(DK508*(30/100))+(DL508*(50/100))) &lt;=8.3, SUM((DJ508*(20/100))+(DK508*(30/100))+(DL508*(50/100))) &gt;=7.8),8,
IF(AND( SUM((DJ508*(20/100))+(DK508*(30/100))+(DL508*(50/100))) &lt;=7.8, SUM((DJ508*(20/100))+(DK508*(30/100))+(DL508*(50/100))) &gt;=7.3),7.5,
IF(AND( SUM((DJ508*(20/100))+(DK508*(30/100))+(DL508*(50/100))) &lt;=7.3, SUM((DJ508*(20/100))+(DK508*(30/100))+(DL508*(50/100))) &gt;=6.8),7,
IF(AND( SUM((DJ508*(20/100))+(DK508*(30/100))+(DL508*(50/100))) &lt;=6.8, SUM((DJ508*(20/100))+(DK508*(30/100))+(DL508*(50/100))) &gt;=6.3),6.5,
IF(AND( SUM((DJ508*(20/100))+(DK508*(30/100))+(DL508*(50/100))) &lt;=6.3, SUM((DJ508*(20/100))+(DK508*(30/100))+(DL508*(50/100))) &gt;=5.8),6,
IF(AND( SUM((DJ508*(20/100))+(DK508*(30/100))+(DL508*(50/100))) &lt;=5.8, SUM((DJ508*(20/100))+(DK508*(30/100))+(DL508*(50/100))) &gt;=5.3),5.5,
IF(AND( SUM((DJ508*(20/100))+(DK508*(30/100))+(DL508*(50/100))) &lt;=5.3, SUM((DJ508*(20/100))+(DK508*(30/100))+(DL508*(50/100))) &gt;=4.8),5,
IF(AND( SUM((DJ508*(20/100))+(DK508*(30/100))+(DL508*(50/100))) &lt;=4.8, SUM((DJ508*(20/100))+(DK508*(30/100))+(DL508*(50/100))) &gt;=4.3),4.5,
IF(AND( SUM((DJ508*(20/100))+(DK508*(30/100))+(DL508*(50/100))) &lt;=4.3, SUM((DJ508*(20/100))+(DK508*(30/100))+(DL508*(50/100))) &gt;=3.8),4,
IF(AND( SUM((DJ508*(20/100))+(DK508*(30/100))+(DL508*(50/100))) &lt;=3.8, SUM((DJ508*(20/100))+(DK508*(30/100))+(DL508*(50/100))) &gt;=3.5),3.5,0)))))))))))))</f>
        <v>0</v>
      </c>
      <c r="DQ508" s="541"/>
      <c r="DR508" s="541"/>
      <c r="DS508" s="541"/>
      <c r="DT508" s="541"/>
      <c r="DU508" s="541"/>
      <c r="DV508" s="541"/>
      <c r="DW508" s="541"/>
      <c r="DX508" s="541"/>
      <c r="DY508" s="541"/>
      <c r="DZ508" s="541"/>
    </row>
    <row r="509" spans="2:130" x14ac:dyDescent="0.25">
      <c r="B509" s="334">
        <v>2</v>
      </c>
      <c r="C509" s="541" t="s">
        <v>8585</v>
      </c>
      <c r="D509" s="334"/>
      <c r="E509" s="334"/>
      <c r="F509" s="334"/>
      <c r="G509" s="334">
        <v>8</v>
      </c>
      <c r="H509" s="334">
        <v>8</v>
      </c>
      <c r="I509" s="334">
        <v>8</v>
      </c>
      <c r="J509" s="536"/>
      <c r="K509" s="536"/>
      <c r="L509" s="536"/>
      <c r="M509" s="536"/>
      <c r="N509" s="536"/>
      <c r="O509" s="536"/>
      <c r="P509" s="536">
        <f t="shared" si="176"/>
        <v>0</v>
      </c>
      <c r="Q509" s="536"/>
      <c r="R509" s="536"/>
      <c r="S509" s="536"/>
      <c r="T509" s="536">
        <f t="shared" si="177"/>
        <v>0</v>
      </c>
      <c r="U509" s="536"/>
      <c r="V509" s="536"/>
      <c r="W509" s="536"/>
      <c r="X509" s="536">
        <f t="shared" si="178"/>
        <v>0</v>
      </c>
      <c r="Y509" s="536"/>
      <c r="Z509" s="536"/>
      <c r="AA509" s="536"/>
      <c r="AB509" s="536">
        <f t="shared" si="179"/>
        <v>0</v>
      </c>
      <c r="AC509" s="536"/>
      <c r="AD509" s="536"/>
      <c r="AE509" s="536"/>
      <c r="AF509" s="536">
        <f t="shared" si="180"/>
        <v>0</v>
      </c>
      <c r="AG509" s="536"/>
      <c r="AH509" s="536"/>
      <c r="AI509" s="536"/>
      <c r="AJ509" s="536">
        <f t="shared" si="181"/>
        <v>0</v>
      </c>
      <c r="AK509" s="536"/>
      <c r="AL509" s="536"/>
      <c r="AM509" s="536"/>
      <c r="AN509" s="542">
        <f t="shared" si="182"/>
        <v>0</v>
      </c>
      <c r="AO509" s="536"/>
      <c r="AP509" s="536"/>
      <c r="AQ509" s="536"/>
      <c r="AR509" s="542">
        <f t="shared" si="183"/>
        <v>0</v>
      </c>
      <c r="AS509" s="536"/>
      <c r="AT509" s="536"/>
      <c r="AU509" s="536"/>
      <c r="AV509" s="542">
        <f t="shared" si="184"/>
        <v>0</v>
      </c>
      <c r="AW509" s="536"/>
      <c r="AX509" s="536"/>
      <c r="AY509" s="536"/>
      <c r="AZ509" s="542">
        <f t="shared" si="185"/>
        <v>0</v>
      </c>
      <c r="BA509" s="536"/>
      <c r="BB509" s="536"/>
      <c r="BC509" s="536"/>
      <c r="BD509" s="542">
        <f t="shared" si="186"/>
        <v>0</v>
      </c>
      <c r="BE509" s="536"/>
      <c r="BF509" s="536"/>
      <c r="BG509" s="536"/>
      <c r="BH509" s="542">
        <f t="shared" si="187"/>
        <v>0</v>
      </c>
      <c r="BI509" s="536"/>
      <c r="BJ509" s="536"/>
      <c r="BK509" s="536"/>
      <c r="BL509" s="542">
        <f t="shared" si="188"/>
        <v>0</v>
      </c>
      <c r="BM509" s="536"/>
      <c r="BN509" s="536"/>
      <c r="BO509" s="536"/>
      <c r="BP509" s="542">
        <f t="shared" si="189"/>
        <v>0</v>
      </c>
      <c r="BQ509" s="536"/>
      <c r="BR509" s="536"/>
      <c r="BS509" s="536"/>
      <c r="BT509" s="542">
        <f t="shared" si="190"/>
        <v>0</v>
      </c>
      <c r="BU509" s="536"/>
      <c r="BV509" s="536"/>
      <c r="BW509" s="536"/>
      <c r="BX509" s="542">
        <f t="shared" si="191"/>
        <v>0</v>
      </c>
      <c r="BY509" s="536"/>
      <c r="BZ509" s="536"/>
      <c r="CA509" s="536"/>
      <c r="CB509" s="542">
        <v>0</v>
      </c>
      <c r="CC509" s="536"/>
      <c r="CD509" s="536"/>
      <c r="CE509" s="536"/>
      <c r="CF509" s="541">
        <f t="shared" si="192"/>
        <v>0</v>
      </c>
      <c r="CG509" s="536"/>
      <c r="CH509" s="536"/>
      <c r="CI509" s="536"/>
      <c r="CJ509" s="541">
        <f t="shared" si="193"/>
        <v>0</v>
      </c>
      <c r="CK509" s="536"/>
      <c r="CL509" s="536"/>
      <c r="CM509" s="536"/>
      <c r="CN509" s="541">
        <f t="shared" si="194"/>
        <v>0</v>
      </c>
      <c r="CO509" s="536"/>
      <c r="CP509" s="536"/>
      <c r="CQ509" s="536"/>
      <c r="CR509" s="541">
        <f t="shared" si="195"/>
        <v>0</v>
      </c>
      <c r="CS509" s="536"/>
      <c r="CT509" s="536"/>
      <c r="CU509" s="536"/>
      <c r="CV509" s="541">
        <f t="shared" si="196"/>
        <v>0</v>
      </c>
      <c r="CW509" s="536"/>
      <c r="CX509" s="536"/>
      <c r="CY509" s="536"/>
      <c r="CZ509" s="541">
        <f t="shared" si="197"/>
        <v>0</v>
      </c>
      <c r="DA509" s="536"/>
      <c r="DB509" s="536"/>
      <c r="DC509" s="536"/>
      <c r="DD509" s="541">
        <f t="shared" si="198"/>
        <v>0</v>
      </c>
      <c r="DE509" s="536"/>
      <c r="DF509" s="536"/>
      <c r="DG509" s="536"/>
      <c r="DH509" s="541">
        <f t="shared" si="199"/>
        <v>0</v>
      </c>
      <c r="DI509" s="536"/>
      <c r="DJ509" s="536"/>
      <c r="DK509" s="536"/>
      <c r="DL509" s="541">
        <f t="shared" si="200"/>
        <v>0</v>
      </c>
      <c r="DM509" s="536"/>
      <c r="DN509" s="536"/>
      <c r="DO509" s="536"/>
      <c r="DP509" s="541">
        <f>IF( SUM((DJ509*(20/100))+(DK509*(30/100))+(DL509*(50/100))) &gt;=9.3,9.5,
IF(AND( SUM((DJ509*(20/100))+(DK509*(30/100))+(DL509*(50/100))) &lt;=9.3, SUM((DJ509*(20/100))+(DK509*(30/100))+(DL509*(50/100))) &gt;=8.8),9,
IF(AND( SUM((DJ509*(20/100))+(DK509*(30/100))+(DL509*(50/100))) &lt;=8.8, SUM((DJ509*(20/100))+(DK509*(30/100))+(DL509*(50/100))) &gt;=8.3),8.5,
IF(AND( SUM((DJ509*(20/100))+(DK509*(30/100))+(DL509*(50/100))) &lt;=8.3, SUM((DJ509*(20/100))+(DK509*(30/100))+(DL509*(50/100))) &gt;=7.8),8,
IF(AND( SUM((DJ509*(20/100))+(DK509*(30/100))+(DL509*(50/100))) &lt;=7.8, SUM((DJ509*(20/100))+(DK509*(30/100))+(DL509*(50/100))) &gt;=7.3),7.5,
IF(AND( SUM((DJ509*(20/100))+(DK509*(30/100))+(DL509*(50/100))) &lt;=7.3, SUM((DJ509*(20/100))+(DK509*(30/100))+(DL509*(50/100))) &gt;=6.8),7,
IF(AND( SUM((DJ509*(20/100))+(DK509*(30/100))+(DL509*(50/100))) &lt;=6.8, SUM((DJ509*(20/100))+(DK509*(30/100))+(DL509*(50/100))) &gt;=6.3),6.5,
IF(AND( SUM((DJ509*(20/100))+(DK509*(30/100))+(DL509*(50/100))) &lt;=6.3, SUM((DJ509*(20/100))+(DK509*(30/100))+(DL509*(50/100))) &gt;=5.8),6,
IF(AND( SUM((DJ509*(20/100))+(DK509*(30/100))+(DL509*(50/100))) &lt;=5.8, SUM((DJ509*(20/100))+(DK509*(30/100))+(DL509*(50/100))) &gt;=5.3),5.5,
IF(AND( SUM((DJ509*(20/100))+(DK509*(30/100))+(DL509*(50/100))) &lt;=5.3, SUM((DJ509*(20/100))+(DK509*(30/100))+(DL509*(50/100))) &gt;=4.8),5,
IF(AND( SUM((DJ509*(20/100))+(DK509*(30/100))+(DL509*(50/100))) &lt;=4.8, SUM((DJ509*(20/100))+(DK509*(30/100))+(DL509*(50/100))) &gt;=4.3),4.5,
IF(AND( SUM((DJ509*(20/100))+(DK509*(30/100))+(DL509*(50/100))) &lt;=4.3, SUM((DJ509*(20/100))+(DK509*(30/100))+(DL509*(50/100))) &gt;=3.8),4,
IF(AND( SUM((DJ509*(20/100))+(DK509*(30/100))+(DL509*(50/100))) &lt;=3.8, SUM((DJ509*(20/100))+(DK509*(30/100))+(DL509*(50/100))) &gt;=3.5),3.5,0)))))))))))))</f>
        <v>0</v>
      </c>
      <c r="DQ509" s="541"/>
      <c r="DR509" s="541"/>
      <c r="DS509" s="541"/>
      <c r="DT509" s="541"/>
      <c r="DU509" s="541"/>
      <c r="DV509" s="541"/>
      <c r="DW509" s="541"/>
      <c r="DX509" s="541"/>
      <c r="DY509" s="541"/>
      <c r="DZ509" s="541"/>
    </row>
    <row r="510" spans="2:130" x14ac:dyDescent="0.25">
      <c r="B510" s="334">
        <v>3</v>
      </c>
      <c r="C510" s="541" t="s">
        <v>8586</v>
      </c>
      <c r="D510" s="334">
        <v>3</v>
      </c>
      <c r="E510" s="334">
        <v>18</v>
      </c>
      <c r="F510" s="334"/>
      <c r="G510" s="334">
        <v>8</v>
      </c>
      <c r="H510" s="334">
        <v>8</v>
      </c>
      <c r="I510" s="334">
        <v>8</v>
      </c>
      <c r="J510" s="536"/>
      <c r="K510" s="536"/>
      <c r="L510" s="536"/>
      <c r="M510" s="536"/>
      <c r="N510" s="536"/>
      <c r="O510" s="536"/>
      <c r="P510" s="536">
        <f t="shared" si="176"/>
        <v>0</v>
      </c>
      <c r="Q510" s="536"/>
      <c r="R510" s="536"/>
      <c r="S510" s="536"/>
      <c r="T510" s="536">
        <f t="shared" si="177"/>
        <v>0</v>
      </c>
      <c r="U510" s="536"/>
      <c r="V510" s="536"/>
      <c r="W510" s="536"/>
      <c r="X510" s="536">
        <f t="shared" si="178"/>
        <v>0</v>
      </c>
      <c r="Y510" s="536"/>
      <c r="Z510" s="536"/>
      <c r="AA510" s="536"/>
      <c r="AB510" s="536">
        <f t="shared" si="179"/>
        <v>0</v>
      </c>
      <c r="AC510" s="536"/>
      <c r="AD510" s="536"/>
      <c r="AE510" s="536"/>
      <c r="AF510" s="536">
        <f t="shared" si="180"/>
        <v>0</v>
      </c>
      <c r="AG510" s="536"/>
      <c r="AH510" s="536"/>
      <c r="AI510" s="536"/>
      <c r="AJ510" s="536">
        <f t="shared" si="181"/>
        <v>0</v>
      </c>
      <c r="AK510" s="536"/>
      <c r="AL510" s="536"/>
      <c r="AM510" s="536"/>
      <c r="AN510" s="542">
        <f t="shared" si="182"/>
        <v>0</v>
      </c>
      <c r="AO510" s="536"/>
      <c r="AP510" s="536"/>
      <c r="AQ510" s="536"/>
      <c r="AR510" s="542">
        <f t="shared" si="183"/>
        <v>0</v>
      </c>
      <c r="AS510" s="536"/>
      <c r="AT510" s="536"/>
      <c r="AU510" s="536"/>
      <c r="AV510" s="542">
        <f t="shared" si="184"/>
        <v>0</v>
      </c>
      <c r="AW510" s="536"/>
      <c r="AX510" s="536"/>
      <c r="AY510" s="536"/>
      <c r="AZ510" s="542">
        <f t="shared" si="185"/>
        <v>0</v>
      </c>
      <c r="BA510" s="536"/>
      <c r="BB510" s="536"/>
      <c r="BC510" s="536"/>
      <c r="BD510" s="542">
        <f t="shared" si="186"/>
        <v>0</v>
      </c>
      <c r="BE510" s="536"/>
      <c r="BF510" s="536"/>
      <c r="BG510" s="536"/>
      <c r="BH510" s="542">
        <f t="shared" si="187"/>
        <v>0</v>
      </c>
      <c r="BI510" s="536"/>
      <c r="BJ510" s="536"/>
      <c r="BK510" s="536"/>
      <c r="BL510" s="542">
        <f t="shared" si="188"/>
        <v>0</v>
      </c>
      <c r="BM510" s="536"/>
      <c r="BN510" s="536"/>
      <c r="BO510" s="536"/>
      <c r="BP510" s="542">
        <f t="shared" si="189"/>
        <v>0</v>
      </c>
      <c r="BQ510" s="536"/>
      <c r="BR510" s="536"/>
      <c r="BS510" s="536"/>
      <c r="BT510" s="542">
        <f t="shared" si="190"/>
        <v>0</v>
      </c>
      <c r="BU510" s="536"/>
      <c r="BV510" s="536"/>
      <c r="BW510" s="536"/>
      <c r="BX510" s="542">
        <f t="shared" si="191"/>
        <v>0</v>
      </c>
      <c r="BY510" s="536"/>
      <c r="BZ510" s="536"/>
      <c r="CA510" s="536"/>
      <c r="CB510" s="542">
        <v>0</v>
      </c>
      <c r="CC510" s="536"/>
      <c r="CD510" s="536"/>
      <c r="CE510" s="536"/>
      <c r="CF510" s="541">
        <f t="shared" si="192"/>
        <v>0</v>
      </c>
      <c r="CG510" s="536"/>
      <c r="CH510" s="536"/>
      <c r="CI510" s="536"/>
      <c r="CJ510" s="541">
        <f t="shared" si="193"/>
        <v>0</v>
      </c>
      <c r="CK510" s="536"/>
      <c r="CL510" s="536"/>
      <c r="CM510" s="536"/>
      <c r="CN510" s="541">
        <f t="shared" si="194"/>
        <v>0</v>
      </c>
      <c r="CO510" s="536"/>
      <c r="CP510" s="536"/>
      <c r="CQ510" s="536"/>
      <c r="CR510" s="541">
        <f t="shared" si="195"/>
        <v>0</v>
      </c>
      <c r="CS510" s="536"/>
      <c r="CT510" s="536"/>
      <c r="CU510" s="536"/>
      <c r="CV510" s="541">
        <f t="shared" si="196"/>
        <v>0</v>
      </c>
      <c r="CW510" s="536"/>
      <c r="CX510" s="536"/>
      <c r="CY510" s="536"/>
      <c r="CZ510" s="541">
        <f t="shared" si="197"/>
        <v>0</v>
      </c>
      <c r="DA510" s="536"/>
      <c r="DB510" s="536"/>
      <c r="DC510" s="536"/>
      <c r="DD510" s="541">
        <f t="shared" si="198"/>
        <v>0</v>
      </c>
      <c r="DE510" s="536"/>
      <c r="DF510" s="536"/>
      <c r="DG510" s="536"/>
      <c r="DH510" s="541">
        <f t="shared" si="199"/>
        <v>0</v>
      </c>
      <c r="DI510" s="536"/>
      <c r="DJ510" s="536"/>
      <c r="DK510" s="536"/>
      <c r="DL510" s="541">
        <f t="shared" si="200"/>
        <v>0</v>
      </c>
      <c r="DM510" s="536"/>
      <c r="DN510" s="536"/>
      <c r="DO510" s="536"/>
      <c r="DP510" s="541">
        <f>IF( SUM((DJ510*(20/100))+(DK510*(30/100))+(DL510*(50/100))) &gt;=9.3,9.5,
IF(AND( SUM((DJ510*(20/100))+(DK510*(30/100))+(DL510*(50/100))) &lt;=9.3, SUM((DJ510*(20/100))+(DK510*(30/100))+(DL510*(50/100))) &gt;=8.8),9,
IF(AND( SUM((DJ510*(20/100))+(DK510*(30/100))+(DL510*(50/100))) &lt;=8.8, SUM((DJ510*(20/100))+(DK510*(30/100))+(DL510*(50/100))) &gt;=8.3),8.5,
IF(AND( SUM((DJ510*(20/100))+(DK510*(30/100))+(DL510*(50/100))) &lt;=8.3, SUM((DJ510*(20/100))+(DK510*(30/100))+(DL510*(50/100))) &gt;=7.8),8,
IF(AND( SUM((DJ510*(20/100))+(DK510*(30/100))+(DL510*(50/100))) &lt;=7.8, SUM((DJ510*(20/100))+(DK510*(30/100))+(DL510*(50/100))) &gt;=7.3),7.5,
IF(AND( SUM((DJ510*(20/100))+(DK510*(30/100))+(DL510*(50/100))) &lt;=7.3, SUM((DJ510*(20/100))+(DK510*(30/100))+(DL510*(50/100))) &gt;=6.8),7,
IF(AND( SUM((DJ510*(20/100))+(DK510*(30/100))+(DL510*(50/100))) &lt;=6.8, SUM((DJ510*(20/100))+(DK510*(30/100))+(DL510*(50/100))) &gt;=6.3),6.5,
IF(AND( SUM((DJ510*(20/100))+(DK510*(30/100))+(DL510*(50/100))) &lt;=6.3, SUM((DJ510*(20/100))+(DK510*(30/100))+(DL510*(50/100))) &gt;=5.8),6,
IF(AND( SUM((DJ510*(20/100))+(DK510*(30/100))+(DL510*(50/100))) &lt;=5.8, SUM((DJ510*(20/100))+(DK510*(30/100))+(DL510*(50/100))) &gt;=5.3),5.5,
IF(AND( SUM((DJ510*(20/100))+(DK510*(30/100))+(DL510*(50/100))) &lt;=5.3, SUM((DJ510*(20/100))+(DK510*(30/100))+(DL510*(50/100))) &gt;=4.8),5,
IF(AND( SUM((DJ510*(20/100))+(DK510*(30/100))+(DL510*(50/100))) &lt;=4.8, SUM((DJ510*(20/100))+(DK510*(30/100))+(DL510*(50/100))) &gt;=4.3),4.5,
IF(AND( SUM((DJ510*(20/100))+(DK510*(30/100))+(DL510*(50/100))) &lt;=4.3, SUM((DJ510*(20/100))+(DK510*(30/100))+(DL510*(50/100))) &gt;=3.8),4,
IF(AND( SUM((DJ510*(20/100))+(DK510*(30/100))+(DL510*(50/100))) &lt;=3.8, SUM((DJ510*(20/100))+(DK510*(30/100))+(DL510*(50/100))) &gt;=3.5),3.5,0)))))))))))))</f>
        <v>0</v>
      </c>
      <c r="DQ510" s="541"/>
      <c r="DR510" s="541"/>
      <c r="DS510" s="541"/>
      <c r="DT510" s="541"/>
      <c r="DU510" s="541"/>
      <c r="DV510" s="541"/>
      <c r="DW510" s="541"/>
      <c r="DX510" s="541"/>
      <c r="DY510" s="541"/>
      <c r="DZ510" s="541"/>
    </row>
    <row r="511" spans="2:130" x14ac:dyDescent="0.25">
      <c r="B511" s="334">
        <v>4</v>
      </c>
      <c r="C511" s="541" t="s">
        <v>8587</v>
      </c>
      <c r="D511" s="334">
        <v>6</v>
      </c>
      <c r="E511" s="334">
        <v>5</v>
      </c>
      <c r="F511" s="334"/>
      <c r="G511" s="334">
        <v>8</v>
      </c>
      <c r="H511" s="334">
        <v>8</v>
      </c>
      <c r="I511" s="334">
        <v>8</v>
      </c>
      <c r="J511" s="536"/>
      <c r="K511" s="536"/>
      <c r="L511" s="536"/>
      <c r="M511" s="536"/>
      <c r="N511" s="536"/>
      <c r="O511" s="536"/>
      <c r="P511" s="536">
        <f t="shared" si="176"/>
        <v>0</v>
      </c>
      <c r="Q511" s="536"/>
      <c r="R511" s="536"/>
      <c r="S511" s="536"/>
      <c r="T511" s="536">
        <f t="shared" si="177"/>
        <v>0</v>
      </c>
      <c r="U511" s="536"/>
      <c r="V511" s="536"/>
      <c r="W511" s="536"/>
      <c r="X511" s="536">
        <f t="shared" si="178"/>
        <v>0</v>
      </c>
      <c r="Y511" s="536"/>
      <c r="Z511" s="536"/>
      <c r="AA511" s="536"/>
      <c r="AB511" s="536">
        <f t="shared" si="179"/>
        <v>0</v>
      </c>
      <c r="AC511" s="536"/>
      <c r="AD511" s="536"/>
      <c r="AE511" s="536"/>
      <c r="AF511" s="536">
        <f t="shared" si="180"/>
        <v>0</v>
      </c>
      <c r="AG511" s="536"/>
      <c r="AH511" s="536"/>
      <c r="AI511" s="536"/>
      <c r="AJ511" s="536">
        <f t="shared" si="181"/>
        <v>0</v>
      </c>
      <c r="AK511" s="536"/>
      <c r="AL511" s="536"/>
      <c r="AM511" s="536"/>
      <c r="AN511" s="542">
        <f t="shared" si="182"/>
        <v>0</v>
      </c>
      <c r="AO511" s="536"/>
      <c r="AP511" s="536"/>
      <c r="AQ511" s="536"/>
      <c r="AR511" s="542">
        <f t="shared" si="183"/>
        <v>0</v>
      </c>
      <c r="AS511" s="536"/>
      <c r="AT511" s="536"/>
      <c r="AU511" s="536"/>
      <c r="AV511" s="542">
        <f t="shared" si="184"/>
        <v>0</v>
      </c>
      <c r="AW511" s="536"/>
      <c r="AX511" s="536"/>
      <c r="AY511" s="536"/>
      <c r="AZ511" s="542">
        <f t="shared" si="185"/>
        <v>0</v>
      </c>
      <c r="BA511" s="536"/>
      <c r="BB511" s="536"/>
      <c r="BC511" s="536"/>
      <c r="BD511" s="542">
        <f t="shared" si="186"/>
        <v>0</v>
      </c>
      <c r="BE511" s="536"/>
      <c r="BF511" s="536"/>
      <c r="BG511" s="536"/>
      <c r="BH511" s="542">
        <f t="shared" si="187"/>
        <v>0</v>
      </c>
      <c r="BI511" s="536"/>
      <c r="BJ511" s="536"/>
      <c r="BK511" s="536"/>
      <c r="BL511" s="542">
        <f t="shared" si="188"/>
        <v>0</v>
      </c>
      <c r="BM511" s="536"/>
      <c r="BN511" s="536"/>
      <c r="BO511" s="536"/>
      <c r="BP511" s="542">
        <f t="shared" si="189"/>
        <v>0</v>
      </c>
      <c r="BQ511" s="536"/>
      <c r="BR511" s="536"/>
      <c r="BS511" s="536"/>
      <c r="BT511" s="542">
        <f t="shared" si="190"/>
        <v>0</v>
      </c>
      <c r="BU511" s="536"/>
      <c r="BV511" s="536"/>
      <c r="BW511" s="536"/>
      <c r="BX511" s="542">
        <f t="shared" si="191"/>
        <v>0</v>
      </c>
      <c r="BY511" s="536"/>
      <c r="BZ511" s="536"/>
      <c r="CA511" s="536"/>
      <c r="CB511" s="542">
        <v>0</v>
      </c>
      <c r="CC511" s="536"/>
      <c r="CD511" s="536"/>
      <c r="CE511" s="536"/>
      <c r="CF511" s="541">
        <f t="shared" si="192"/>
        <v>0</v>
      </c>
      <c r="CG511" s="536"/>
      <c r="CH511" s="536"/>
      <c r="CI511" s="536"/>
      <c r="CJ511" s="541">
        <f t="shared" si="193"/>
        <v>0</v>
      </c>
      <c r="CK511" s="536"/>
      <c r="CL511" s="536"/>
      <c r="CM511" s="536"/>
      <c r="CN511" s="541">
        <f t="shared" si="194"/>
        <v>0</v>
      </c>
      <c r="CO511" s="536"/>
      <c r="CP511" s="536"/>
      <c r="CQ511" s="536"/>
      <c r="CR511" s="541">
        <f t="shared" si="195"/>
        <v>0</v>
      </c>
      <c r="CS511" s="536"/>
      <c r="CT511" s="536"/>
      <c r="CU511" s="536"/>
      <c r="CV511" s="541">
        <f t="shared" si="196"/>
        <v>0</v>
      </c>
      <c r="CW511" s="536"/>
      <c r="CX511" s="536"/>
      <c r="CY511" s="536"/>
      <c r="CZ511" s="541">
        <f t="shared" si="197"/>
        <v>0</v>
      </c>
      <c r="DA511" s="536"/>
      <c r="DB511" s="536"/>
      <c r="DC511" s="536"/>
      <c r="DD511" s="541">
        <f t="shared" si="198"/>
        <v>0</v>
      </c>
      <c r="DE511" s="536"/>
      <c r="DF511" s="536"/>
      <c r="DG511" s="536"/>
      <c r="DH511" s="541">
        <f t="shared" si="199"/>
        <v>0</v>
      </c>
      <c r="DI511" s="536"/>
      <c r="DJ511" s="536"/>
      <c r="DK511" s="536"/>
      <c r="DL511" s="541">
        <f t="shared" si="200"/>
        <v>0</v>
      </c>
      <c r="DM511" s="536"/>
      <c r="DN511" s="536"/>
      <c r="DO511" s="536"/>
      <c r="DP511" s="541">
        <f>IF( SUM((DJ511*(20/100))+(DK511*(30/100))+(DL511*(50/100))) &gt;=9.3,9.5,
IF(AND( SUM((DJ511*(20/100))+(DK511*(30/100))+(DL511*(50/100))) &lt;=9.3, SUM((DJ511*(20/100))+(DK511*(30/100))+(DL511*(50/100))) &gt;=8.8),9,
IF(AND( SUM((DJ511*(20/100))+(DK511*(30/100))+(DL511*(50/100))) &lt;=8.8, SUM((DJ511*(20/100))+(DK511*(30/100))+(DL511*(50/100))) &gt;=8.3),8.5,
IF(AND( SUM((DJ511*(20/100))+(DK511*(30/100))+(DL511*(50/100))) &lt;=8.3, SUM((DJ511*(20/100))+(DK511*(30/100))+(DL511*(50/100))) &gt;=7.8),8,
IF(AND( SUM((DJ511*(20/100))+(DK511*(30/100))+(DL511*(50/100))) &lt;=7.8, SUM((DJ511*(20/100))+(DK511*(30/100))+(DL511*(50/100))) &gt;=7.3),7.5,
IF(AND( SUM((DJ511*(20/100))+(DK511*(30/100))+(DL511*(50/100))) &lt;=7.3, SUM((DJ511*(20/100))+(DK511*(30/100))+(DL511*(50/100))) &gt;=6.8),7,
IF(AND( SUM((DJ511*(20/100))+(DK511*(30/100))+(DL511*(50/100))) &lt;=6.8, SUM((DJ511*(20/100))+(DK511*(30/100))+(DL511*(50/100))) &gt;=6.3),6.5,
IF(AND( SUM((DJ511*(20/100))+(DK511*(30/100))+(DL511*(50/100))) &lt;=6.3, SUM((DJ511*(20/100))+(DK511*(30/100))+(DL511*(50/100))) &gt;=5.8),6,
IF(AND( SUM((DJ511*(20/100))+(DK511*(30/100))+(DL511*(50/100))) &lt;=5.8, SUM((DJ511*(20/100))+(DK511*(30/100))+(DL511*(50/100))) &gt;=5.3),5.5,
IF(AND( SUM((DJ511*(20/100))+(DK511*(30/100))+(DL511*(50/100))) &lt;=5.3, SUM((DJ511*(20/100))+(DK511*(30/100))+(DL511*(50/100))) &gt;=4.8),5,
IF(AND( SUM((DJ511*(20/100))+(DK511*(30/100))+(DL511*(50/100))) &lt;=4.8, SUM((DJ511*(20/100))+(DK511*(30/100))+(DL511*(50/100))) &gt;=4.3),4.5,
IF(AND( SUM((DJ511*(20/100))+(DK511*(30/100))+(DL511*(50/100))) &lt;=4.3, SUM((DJ511*(20/100))+(DK511*(30/100))+(DL511*(50/100))) &gt;=3.8),4,
IF(AND( SUM((DJ511*(20/100))+(DK511*(30/100))+(DL511*(50/100))) &lt;=3.8, SUM((DJ511*(20/100))+(DK511*(30/100))+(DL511*(50/100))) &gt;=3.5),3.5,0)))))))))))))</f>
        <v>0</v>
      </c>
      <c r="DQ511" s="541"/>
      <c r="DR511" s="541"/>
      <c r="DS511" s="541"/>
      <c r="DT511" s="541"/>
      <c r="DU511" s="541"/>
      <c r="DV511" s="541"/>
      <c r="DW511" s="541"/>
      <c r="DX511" s="541"/>
      <c r="DY511" s="541"/>
      <c r="DZ511" s="541"/>
    </row>
    <row r="512" spans="2:130" x14ac:dyDescent="0.25">
      <c r="B512" s="334">
        <v>5</v>
      </c>
      <c r="C512" s="541" t="s">
        <v>8588</v>
      </c>
      <c r="D512" s="334"/>
      <c r="E512" s="334">
        <v>1</v>
      </c>
      <c r="F512" s="334"/>
      <c r="G512" s="334">
        <v>8</v>
      </c>
      <c r="H512" s="334">
        <v>8</v>
      </c>
      <c r="I512" s="334">
        <v>8</v>
      </c>
      <c r="J512" s="536"/>
      <c r="K512" s="536"/>
      <c r="L512" s="536"/>
      <c r="M512" s="536"/>
      <c r="N512" s="536"/>
      <c r="O512" s="536"/>
      <c r="P512" s="536">
        <f t="shared" si="176"/>
        <v>0</v>
      </c>
      <c r="Q512" s="536"/>
      <c r="R512" s="536"/>
      <c r="S512" s="536"/>
      <c r="T512" s="536">
        <f t="shared" si="177"/>
        <v>0</v>
      </c>
      <c r="U512" s="536"/>
      <c r="V512" s="536"/>
      <c r="W512" s="536"/>
      <c r="X512" s="536">
        <f t="shared" si="178"/>
        <v>0</v>
      </c>
      <c r="Y512" s="536"/>
      <c r="Z512" s="536"/>
      <c r="AA512" s="536"/>
      <c r="AB512" s="536">
        <f t="shared" si="179"/>
        <v>0</v>
      </c>
      <c r="AC512" s="536"/>
      <c r="AD512" s="536"/>
      <c r="AE512" s="536"/>
      <c r="AF512" s="536">
        <f t="shared" si="180"/>
        <v>0</v>
      </c>
      <c r="AG512" s="536"/>
      <c r="AH512" s="536"/>
      <c r="AI512" s="536"/>
      <c r="AJ512" s="536">
        <f t="shared" si="181"/>
        <v>0</v>
      </c>
      <c r="AK512" s="536"/>
      <c r="AL512" s="536"/>
      <c r="AM512" s="536"/>
      <c r="AN512" s="542">
        <f t="shared" si="182"/>
        <v>0</v>
      </c>
      <c r="AO512" s="536"/>
      <c r="AP512" s="536"/>
      <c r="AQ512" s="536"/>
      <c r="AR512" s="542">
        <f t="shared" si="183"/>
        <v>0</v>
      </c>
      <c r="AS512" s="536"/>
      <c r="AT512" s="536"/>
      <c r="AU512" s="536"/>
      <c r="AV512" s="542">
        <f t="shared" si="184"/>
        <v>0</v>
      </c>
      <c r="AW512" s="536"/>
      <c r="AX512" s="536"/>
      <c r="AY512" s="536"/>
      <c r="AZ512" s="542">
        <f t="shared" si="185"/>
        <v>0</v>
      </c>
      <c r="BA512" s="536"/>
      <c r="BB512" s="536"/>
      <c r="BC512" s="536"/>
      <c r="BD512" s="542">
        <f t="shared" si="186"/>
        <v>0</v>
      </c>
      <c r="BE512" s="536"/>
      <c r="BF512" s="536"/>
      <c r="BG512" s="536"/>
      <c r="BH512" s="542">
        <f t="shared" si="187"/>
        <v>0</v>
      </c>
      <c r="BI512" s="536"/>
      <c r="BJ512" s="536"/>
      <c r="BK512" s="536"/>
      <c r="BL512" s="542">
        <f t="shared" si="188"/>
        <v>0</v>
      </c>
      <c r="BM512" s="536"/>
      <c r="BN512" s="536"/>
      <c r="BO512" s="536"/>
      <c r="BP512" s="542">
        <f t="shared" si="189"/>
        <v>0</v>
      </c>
      <c r="BQ512" s="536"/>
      <c r="BR512" s="536"/>
      <c r="BS512" s="536"/>
      <c r="BT512" s="542">
        <f t="shared" si="190"/>
        <v>0</v>
      </c>
      <c r="BU512" s="536"/>
      <c r="BV512" s="536"/>
      <c r="BW512" s="536"/>
      <c r="BX512" s="542">
        <f t="shared" si="191"/>
        <v>0</v>
      </c>
      <c r="BY512" s="536"/>
      <c r="BZ512" s="536"/>
      <c r="CA512" s="536"/>
      <c r="CB512" s="542">
        <v>0</v>
      </c>
      <c r="CC512" s="536"/>
      <c r="CD512" s="536"/>
      <c r="CE512" s="536"/>
      <c r="CF512" s="541">
        <f t="shared" si="192"/>
        <v>0</v>
      </c>
      <c r="CG512" s="536"/>
      <c r="CH512" s="536"/>
      <c r="CI512" s="536"/>
      <c r="CJ512" s="541">
        <f t="shared" si="193"/>
        <v>0</v>
      </c>
      <c r="CK512" s="536"/>
      <c r="CL512" s="536"/>
      <c r="CM512" s="536"/>
      <c r="CN512" s="541">
        <f t="shared" si="194"/>
        <v>0</v>
      </c>
      <c r="CO512" s="536"/>
      <c r="CP512" s="536"/>
      <c r="CQ512" s="536"/>
      <c r="CR512" s="541">
        <f t="shared" si="195"/>
        <v>0</v>
      </c>
      <c r="CS512" s="536"/>
      <c r="CT512" s="536"/>
      <c r="CU512" s="536"/>
      <c r="CV512" s="541">
        <f t="shared" si="196"/>
        <v>0</v>
      </c>
      <c r="CW512" s="536"/>
      <c r="CX512" s="536"/>
      <c r="CY512" s="536"/>
      <c r="CZ512" s="541">
        <f t="shared" si="197"/>
        <v>0</v>
      </c>
      <c r="DA512" s="536"/>
      <c r="DB512" s="536"/>
      <c r="DC512" s="536"/>
      <c r="DD512" s="541">
        <f t="shared" si="198"/>
        <v>0</v>
      </c>
      <c r="DE512" s="536"/>
      <c r="DF512" s="536"/>
      <c r="DG512" s="536"/>
      <c r="DH512" s="541">
        <f t="shared" si="199"/>
        <v>0</v>
      </c>
      <c r="DI512" s="536"/>
      <c r="DJ512" s="536"/>
      <c r="DK512" s="536"/>
      <c r="DL512" s="541">
        <f t="shared" si="200"/>
        <v>0</v>
      </c>
      <c r="DM512" s="536"/>
      <c r="DN512" s="536"/>
      <c r="DO512" s="536"/>
      <c r="DP512" s="541">
        <f>IF( SUM((DJ512*(20/100))+(DK512*(30/100))+(DL512*(50/100))) &gt;=9.3,9.5,
IF(AND( SUM((DJ512*(20/100))+(DK512*(30/100))+(DL512*(50/100))) &lt;=9.3, SUM((DJ512*(20/100))+(DK512*(30/100))+(DL512*(50/100))) &gt;=8.8),9,
IF(AND( SUM((DJ512*(20/100))+(DK512*(30/100))+(DL512*(50/100))) &lt;=8.8, SUM((DJ512*(20/100))+(DK512*(30/100))+(DL512*(50/100))) &gt;=8.3),8.5,
IF(AND( SUM((DJ512*(20/100))+(DK512*(30/100))+(DL512*(50/100))) &lt;=8.3, SUM((DJ512*(20/100))+(DK512*(30/100))+(DL512*(50/100))) &gt;=7.8),8,
IF(AND( SUM((DJ512*(20/100))+(DK512*(30/100))+(DL512*(50/100))) &lt;=7.8, SUM((DJ512*(20/100))+(DK512*(30/100))+(DL512*(50/100))) &gt;=7.3),7.5,
IF(AND( SUM((DJ512*(20/100))+(DK512*(30/100))+(DL512*(50/100))) &lt;=7.3, SUM((DJ512*(20/100))+(DK512*(30/100))+(DL512*(50/100))) &gt;=6.8),7,
IF(AND( SUM((DJ512*(20/100))+(DK512*(30/100))+(DL512*(50/100))) &lt;=6.8, SUM((DJ512*(20/100))+(DK512*(30/100))+(DL512*(50/100))) &gt;=6.3),6.5,
IF(AND( SUM((DJ512*(20/100))+(DK512*(30/100))+(DL512*(50/100))) &lt;=6.3, SUM((DJ512*(20/100))+(DK512*(30/100))+(DL512*(50/100))) &gt;=5.8),6,
IF(AND( SUM((DJ512*(20/100))+(DK512*(30/100))+(DL512*(50/100))) &lt;=5.8, SUM((DJ512*(20/100))+(DK512*(30/100))+(DL512*(50/100))) &gt;=5.3),5.5,
IF(AND( SUM((DJ512*(20/100))+(DK512*(30/100))+(DL512*(50/100))) &lt;=5.3, SUM((DJ512*(20/100))+(DK512*(30/100))+(DL512*(50/100))) &gt;=4.8),5,
IF(AND( SUM((DJ512*(20/100))+(DK512*(30/100))+(DL512*(50/100))) &lt;=4.8, SUM((DJ512*(20/100))+(DK512*(30/100))+(DL512*(50/100))) &gt;=4.3),4.5,
IF(AND( SUM((DJ512*(20/100))+(DK512*(30/100))+(DL512*(50/100))) &lt;=4.3, SUM((DJ512*(20/100))+(DK512*(30/100))+(DL512*(50/100))) &gt;=3.8),4,
IF(AND( SUM((DJ512*(20/100))+(DK512*(30/100))+(DL512*(50/100))) &lt;=3.8, SUM((DJ512*(20/100))+(DK512*(30/100))+(DL512*(50/100))) &gt;=3.5),3.5,0)))))))))))))</f>
        <v>0</v>
      </c>
      <c r="DQ512" s="541"/>
      <c r="DR512" s="541"/>
      <c r="DS512" s="541"/>
      <c r="DT512" s="541"/>
      <c r="DU512" s="541"/>
      <c r="DV512" s="541"/>
      <c r="DW512" s="541"/>
      <c r="DX512" s="541"/>
      <c r="DY512" s="541"/>
      <c r="DZ512" s="541"/>
    </row>
    <row r="513" spans="2:130" x14ac:dyDescent="0.25">
      <c r="B513" s="334">
        <v>6</v>
      </c>
      <c r="C513" s="541" t="s">
        <v>8589</v>
      </c>
      <c r="D513" s="334">
        <v>1</v>
      </c>
      <c r="E513" s="334">
        <v>3</v>
      </c>
      <c r="F513" s="334"/>
      <c r="G513" s="334">
        <v>8</v>
      </c>
      <c r="H513" s="334">
        <v>8</v>
      </c>
      <c r="I513" s="334">
        <v>8</v>
      </c>
      <c r="J513" s="536"/>
      <c r="K513" s="536"/>
      <c r="L513" s="536"/>
      <c r="M513" s="536"/>
      <c r="N513" s="536"/>
      <c r="O513" s="536"/>
      <c r="P513" s="536">
        <f t="shared" si="176"/>
        <v>0</v>
      </c>
      <c r="Q513" s="536"/>
      <c r="R513" s="536"/>
      <c r="S513" s="536"/>
      <c r="T513" s="536">
        <f t="shared" si="177"/>
        <v>0</v>
      </c>
      <c r="U513" s="536"/>
      <c r="V513" s="536"/>
      <c r="W513" s="536"/>
      <c r="X513" s="536">
        <f t="shared" si="178"/>
        <v>0</v>
      </c>
      <c r="Y513" s="536"/>
      <c r="Z513" s="536"/>
      <c r="AA513" s="536"/>
      <c r="AB513" s="536">
        <f t="shared" si="179"/>
        <v>0</v>
      </c>
      <c r="AC513" s="536"/>
      <c r="AD513" s="536"/>
      <c r="AE513" s="536"/>
      <c r="AF513" s="536">
        <f t="shared" si="180"/>
        <v>0</v>
      </c>
      <c r="AG513" s="536"/>
      <c r="AH513" s="536"/>
      <c r="AI513" s="536"/>
      <c r="AJ513" s="536">
        <f t="shared" si="181"/>
        <v>0</v>
      </c>
      <c r="AK513" s="536"/>
      <c r="AL513" s="536"/>
      <c r="AM513" s="536"/>
      <c r="AN513" s="542">
        <f t="shared" si="182"/>
        <v>0</v>
      </c>
      <c r="AO513" s="536"/>
      <c r="AP513" s="536"/>
      <c r="AQ513" s="536"/>
      <c r="AR513" s="542">
        <f t="shared" si="183"/>
        <v>0</v>
      </c>
      <c r="AS513" s="536"/>
      <c r="AT513" s="536"/>
      <c r="AU513" s="536"/>
      <c r="AV513" s="542">
        <f t="shared" si="184"/>
        <v>0</v>
      </c>
      <c r="AW513" s="536"/>
      <c r="AX513" s="536"/>
      <c r="AY513" s="536"/>
      <c r="AZ513" s="542">
        <f t="shared" si="185"/>
        <v>0</v>
      </c>
      <c r="BA513" s="536"/>
      <c r="BB513" s="536"/>
      <c r="BC513" s="536"/>
      <c r="BD513" s="542">
        <f t="shared" si="186"/>
        <v>0</v>
      </c>
      <c r="BE513" s="536"/>
      <c r="BF513" s="536"/>
      <c r="BG513" s="536"/>
      <c r="BH513" s="542">
        <f t="shared" si="187"/>
        <v>0</v>
      </c>
      <c r="BI513" s="536"/>
      <c r="BJ513" s="536"/>
      <c r="BK513" s="536"/>
      <c r="BL513" s="542">
        <f t="shared" si="188"/>
        <v>0</v>
      </c>
      <c r="BM513" s="536"/>
      <c r="BN513" s="536"/>
      <c r="BO513" s="536"/>
      <c r="BP513" s="542">
        <f t="shared" si="189"/>
        <v>0</v>
      </c>
      <c r="BQ513" s="536"/>
      <c r="BR513" s="536"/>
      <c r="BS513" s="536"/>
      <c r="BT513" s="542">
        <f t="shared" si="190"/>
        <v>0</v>
      </c>
      <c r="BU513" s="536"/>
      <c r="BV513" s="536"/>
      <c r="BW513" s="536"/>
      <c r="BX513" s="542">
        <f t="shared" si="191"/>
        <v>0</v>
      </c>
      <c r="BY513" s="536"/>
      <c r="BZ513" s="536"/>
      <c r="CA513" s="536"/>
      <c r="CB513" s="542">
        <v>0</v>
      </c>
      <c r="CC513" s="536"/>
      <c r="CD513" s="536"/>
      <c r="CE513" s="536"/>
      <c r="CF513" s="541">
        <f t="shared" si="192"/>
        <v>0</v>
      </c>
      <c r="CG513" s="536"/>
      <c r="CH513" s="536"/>
      <c r="CI513" s="536"/>
      <c r="CJ513" s="541">
        <f t="shared" si="193"/>
        <v>0</v>
      </c>
      <c r="CK513" s="536"/>
      <c r="CL513" s="536"/>
      <c r="CM513" s="536"/>
      <c r="CN513" s="541">
        <f t="shared" si="194"/>
        <v>0</v>
      </c>
      <c r="CO513" s="536"/>
      <c r="CP513" s="536"/>
      <c r="CQ513" s="536"/>
      <c r="CR513" s="541">
        <f t="shared" si="195"/>
        <v>0</v>
      </c>
      <c r="CS513" s="536"/>
      <c r="CT513" s="536"/>
      <c r="CU513" s="536"/>
      <c r="CV513" s="541">
        <f t="shared" si="196"/>
        <v>0</v>
      </c>
      <c r="CW513" s="536"/>
      <c r="CX513" s="536"/>
      <c r="CY513" s="536"/>
      <c r="CZ513" s="541">
        <f t="shared" si="197"/>
        <v>0</v>
      </c>
      <c r="DA513" s="536"/>
      <c r="DB513" s="536"/>
      <c r="DC513" s="536"/>
      <c r="DD513" s="541">
        <f t="shared" si="198"/>
        <v>0</v>
      </c>
      <c r="DE513" s="536"/>
      <c r="DF513" s="536"/>
      <c r="DG513" s="536"/>
      <c r="DH513" s="541">
        <f t="shared" si="199"/>
        <v>0</v>
      </c>
      <c r="DI513" s="536"/>
      <c r="DJ513" s="536"/>
      <c r="DK513" s="536"/>
      <c r="DL513" s="541">
        <f t="shared" si="200"/>
        <v>0</v>
      </c>
      <c r="DM513" s="536"/>
      <c r="DN513" s="536"/>
      <c r="DO513" s="536"/>
      <c r="DP513" s="541">
        <f>IF( SUM((DJ513*(20/100))+(DK513*(30/100))+(DL513*(50/100))) &gt;=9.3,9.5,
IF(AND( SUM((DJ513*(20/100))+(DK513*(30/100))+(DL513*(50/100))) &lt;=9.3, SUM((DJ513*(20/100))+(DK513*(30/100))+(DL513*(50/100))) &gt;=8.8),9,
IF(AND( SUM((DJ513*(20/100))+(DK513*(30/100))+(DL513*(50/100))) &lt;=8.8, SUM((DJ513*(20/100))+(DK513*(30/100))+(DL513*(50/100))) &gt;=8.3),8.5,
IF(AND( SUM((DJ513*(20/100))+(DK513*(30/100))+(DL513*(50/100))) &lt;=8.3, SUM((DJ513*(20/100))+(DK513*(30/100))+(DL513*(50/100))) &gt;=7.8),8,
IF(AND( SUM((DJ513*(20/100))+(DK513*(30/100))+(DL513*(50/100))) &lt;=7.8, SUM((DJ513*(20/100))+(DK513*(30/100))+(DL513*(50/100))) &gt;=7.3),7.5,
IF(AND( SUM((DJ513*(20/100))+(DK513*(30/100))+(DL513*(50/100))) &lt;=7.3, SUM((DJ513*(20/100))+(DK513*(30/100))+(DL513*(50/100))) &gt;=6.8),7,
IF(AND( SUM((DJ513*(20/100))+(DK513*(30/100))+(DL513*(50/100))) &lt;=6.8, SUM((DJ513*(20/100))+(DK513*(30/100))+(DL513*(50/100))) &gt;=6.3),6.5,
IF(AND( SUM((DJ513*(20/100))+(DK513*(30/100))+(DL513*(50/100))) &lt;=6.3, SUM((DJ513*(20/100))+(DK513*(30/100))+(DL513*(50/100))) &gt;=5.8),6,
IF(AND( SUM((DJ513*(20/100))+(DK513*(30/100))+(DL513*(50/100))) &lt;=5.8, SUM((DJ513*(20/100))+(DK513*(30/100))+(DL513*(50/100))) &gt;=5.3),5.5,
IF(AND( SUM((DJ513*(20/100))+(DK513*(30/100))+(DL513*(50/100))) &lt;=5.3, SUM((DJ513*(20/100))+(DK513*(30/100))+(DL513*(50/100))) &gt;=4.8),5,
IF(AND( SUM((DJ513*(20/100))+(DK513*(30/100))+(DL513*(50/100))) &lt;=4.8, SUM((DJ513*(20/100))+(DK513*(30/100))+(DL513*(50/100))) &gt;=4.3),4.5,
IF(AND( SUM((DJ513*(20/100))+(DK513*(30/100))+(DL513*(50/100))) &lt;=4.3, SUM((DJ513*(20/100))+(DK513*(30/100))+(DL513*(50/100))) &gt;=3.8),4,
IF(AND( SUM((DJ513*(20/100))+(DK513*(30/100))+(DL513*(50/100))) &lt;=3.8, SUM((DJ513*(20/100))+(DK513*(30/100))+(DL513*(50/100))) &gt;=3.5),3.5,0)))))))))))))</f>
        <v>0</v>
      </c>
      <c r="DQ513" s="541"/>
      <c r="DR513" s="541"/>
      <c r="DS513" s="541"/>
      <c r="DT513" s="541"/>
      <c r="DU513" s="541"/>
      <c r="DV513" s="541"/>
      <c r="DW513" s="541"/>
      <c r="DX513" s="541"/>
      <c r="DY513" s="541"/>
      <c r="DZ513" s="541"/>
    </row>
    <row r="514" spans="2:130" x14ac:dyDescent="0.25">
      <c r="B514" s="334">
        <v>7</v>
      </c>
      <c r="C514" s="541" t="s">
        <v>8590</v>
      </c>
      <c r="D514" s="334">
        <v>5</v>
      </c>
      <c r="E514" s="334">
        <v>2</v>
      </c>
      <c r="F514" s="334"/>
      <c r="G514" s="334">
        <v>8</v>
      </c>
      <c r="H514" s="334">
        <v>8</v>
      </c>
      <c r="I514" s="334">
        <v>8</v>
      </c>
      <c r="J514" s="536"/>
      <c r="K514" s="536"/>
      <c r="L514" s="536"/>
      <c r="M514" s="536"/>
      <c r="N514" s="536"/>
      <c r="O514" s="536"/>
      <c r="P514" s="536">
        <f t="shared" si="176"/>
        <v>0</v>
      </c>
      <c r="Q514" s="536"/>
      <c r="R514" s="536"/>
      <c r="S514" s="536"/>
      <c r="T514" s="536">
        <f t="shared" si="177"/>
        <v>0</v>
      </c>
      <c r="U514" s="536"/>
      <c r="V514" s="536"/>
      <c r="W514" s="536"/>
      <c r="X514" s="536">
        <f t="shared" si="178"/>
        <v>0</v>
      </c>
      <c r="Y514" s="536"/>
      <c r="Z514" s="536"/>
      <c r="AA514" s="536"/>
      <c r="AB514" s="536">
        <f t="shared" si="179"/>
        <v>0</v>
      </c>
      <c r="AC514" s="536"/>
      <c r="AD514" s="536"/>
      <c r="AE514" s="536"/>
      <c r="AF514" s="536">
        <f t="shared" si="180"/>
        <v>0</v>
      </c>
      <c r="AG514" s="536"/>
      <c r="AH514" s="536"/>
      <c r="AI514" s="536"/>
      <c r="AJ514" s="536">
        <f t="shared" si="181"/>
        <v>0</v>
      </c>
      <c r="AK514" s="536"/>
      <c r="AL514" s="536"/>
      <c r="AM514" s="536"/>
      <c r="AN514" s="542">
        <f t="shared" si="182"/>
        <v>0</v>
      </c>
      <c r="AO514" s="536"/>
      <c r="AP514" s="536"/>
      <c r="AQ514" s="536"/>
      <c r="AR514" s="542">
        <f t="shared" si="183"/>
        <v>0</v>
      </c>
      <c r="AS514" s="536"/>
      <c r="AT514" s="536"/>
      <c r="AU514" s="536"/>
      <c r="AV514" s="542">
        <f t="shared" si="184"/>
        <v>0</v>
      </c>
      <c r="AW514" s="536"/>
      <c r="AX514" s="536"/>
      <c r="AY514" s="536"/>
      <c r="AZ514" s="542">
        <f t="shared" si="185"/>
        <v>0</v>
      </c>
      <c r="BA514" s="536"/>
      <c r="BB514" s="536"/>
      <c r="BC514" s="536"/>
      <c r="BD514" s="542">
        <f t="shared" si="186"/>
        <v>0</v>
      </c>
      <c r="BE514" s="536"/>
      <c r="BF514" s="536"/>
      <c r="BG514" s="536"/>
      <c r="BH514" s="542">
        <f t="shared" si="187"/>
        <v>0</v>
      </c>
      <c r="BI514" s="536"/>
      <c r="BJ514" s="536"/>
      <c r="BK514" s="536"/>
      <c r="BL514" s="542">
        <f t="shared" si="188"/>
        <v>0</v>
      </c>
      <c r="BM514" s="536"/>
      <c r="BN514" s="536"/>
      <c r="BO514" s="536"/>
      <c r="BP514" s="542">
        <f t="shared" si="189"/>
        <v>0</v>
      </c>
      <c r="BQ514" s="536"/>
      <c r="BR514" s="536"/>
      <c r="BS514" s="536"/>
      <c r="BT514" s="542">
        <f t="shared" si="190"/>
        <v>0</v>
      </c>
      <c r="BU514" s="536"/>
      <c r="BV514" s="536"/>
      <c r="BW514" s="536"/>
      <c r="BX514" s="542">
        <f t="shared" si="191"/>
        <v>0</v>
      </c>
      <c r="BY514" s="536"/>
      <c r="BZ514" s="536"/>
      <c r="CA514" s="536"/>
      <c r="CB514" s="542">
        <v>0</v>
      </c>
      <c r="CC514" s="536"/>
      <c r="CD514" s="536"/>
      <c r="CE514" s="536"/>
      <c r="CF514" s="541">
        <f t="shared" si="192"/>
        <v>0</v>
      </c>
      <c r="CG514" s="536"/>
      <c r="CH514" s="536"/>
      <c r="CI514" s="536"/>
      <c r="CJ514" s="541">
        <f t="shared" si="193"/>
        <v>0</v>
      </c>
      <c r="CK514" s="536"/>
      <c r="CL514" s="536"/>
      <c r="CM514" s="536"/>
      <c r="CN514" s="541">
        <f t="shared" si="194"/>
        <v>0</v>
      </c>
      <c r="CO514" s="536"/>
      <c r="CP514" s="536"/>
      <c r="CQ514" s="536"/>
      <c r="CR514" s="541">
        <f t="shared" si="195"/>
        <v>0</v>
      </c>
      <c r="CS514" s="536"/>
      <c r="CT514" s="536"/>
      <c r="CU514" s="536"/>
      <c r="CV514" s="541">
        <f t="shared" si="196"/>
        <v>0</v>
      </c>
      <c r="CW514" s="536"/>
      <c r="CX514" s="536"/>
      <c r="CY514" s="536"/>
      <c r="CZ514" s="541">
        <f t="shared" si="197"/>
        <v>0</v>
      </c>
      <c r="DA514" s="536"/>
      <c r="DB514" s="536"/>
      <c r="DC514" s="536"/>
      <c r="DD514" s="541">
        <f t="shared" si="198"/>
        <v>0</v>
      </c>
      <c r="DE514" s="536"/>
      <c r="DF514" s="536"/>
      <c r="DG514" s="536"/>
      <c r="DH514" s="541">
        <f t="shared" si="199"/>
        <v>0</v>
      </c>
      <c r="DI514" s="536"/>
      <c r="DJ514" s="536"/>
      <c r="DK514" s="536"/>
      <c r="DL514" s="541">
        <f t="shared" si="200"/>
        <v>0</v>
      </c>
      <c r="DM514" s="536"/>
      <c r="DN514" s="536"/>
      <c r="DO514" s="536"/>
      <c r="DP514" s="541">
        <f>IF( SUM((DJ514*(20/100))+(DK514*(30/100))+(DL514*(50/100))) &gt;=9.3,9.5,
IF(AND( SUM((DJ514*(20/100))+(DK514*(30/100))+(DL514*(50/100))) &lt;=9.3, SUM((DJ514*(20/100))+(DK514*(30/100))+(DL514*(50/100))) &gt;=8.8),9,
IF(AND( SUM((DJ514*(20/100))+(DK514*(30/100))+(DL514*(50/100))) &lt;=8.8, SUM((DJ514*(20/100))+(DK514*(30/100))+(DL514*(50/100))) &gt;=8.3),8.5,
IF(AND( SUM((DJ514*(20/100))+(DK514*(30/100))+(DL514*(50/100))) &lt;=8.3, SUM((DJ514*(20/100))+(DK514*(30/100))+(DL514*(50/100))) &gt;=7.8),8,
IF(AND( SUM((DJ514*(20/100))+(DK514*(30/100))+(DL514*(50/100))) &lt;=7.8, SUM((DJ514*(20/100))+(DK514*(30/100))+(DL514*(50/100))) &gt;=7.3),7.5,
IF(AND( SUM((DJ514*(20/100))+(DK514*(30/100))+(DL514*(50/100))) &lt;=7.3, SUM((DJ514*(20/100))+(DK514*(30/100))+(DL514*(50/100))) &gt;=6.8),7,
IF(AND( SUM((DJ514*(20/100))+(DK514*(30/100))+(DL514*(50/100))) &lt;=6.8, SUM((DJ514*(20/100))+(DK514*(30/100))+(DL514*(50/100))) &gt;=6.3),6.5,
IF(AND( SUM((DJ514*(20/100))+(DK514*(30/100))+(DL514*(50/100))) &lt;=6.3, SUM((DJ514*(20/100))+(DK514*(30/100))+(DL514*(50/100))) &gt;=5.8),6,
IF(AND( SUM((DJ514*(20/100))+(DK514*(30/100))+(DL514*(50/100))) &lt;=5.8, SUM((DJ514*(20/100))+(DK514*(30/100))+(DL514*(50/100))) &gt;=5.3),5.5,
IF(AND( SUM((DJ514*(20/100))+(DK514*(30/100))+(DL514*(50/100))) &lt;=5.3, SUM((DJ514*(20/100))+(DK514*(30/100))+(DL514*(50/100))) &gt;=4.8),5,
IF(AND( SUM((DJ514*(20/100))+(DK514*(30/100))+(DL514*(50/100))) &lt;=4.8, SUM((DJ514*(20/100))+(DK514*(30/100))+(DL514*(50/100))) &gt;=4.3),4.5,
IF(AND( SUM((DJ514*(20/100))+(DK514*(30/100))+(DL514*(50/100))) &lt;=4.3, SUM((DJ514*(20/100))+(DK514*(30/100))+(DL514*(50/100))) &gt;=3.8),4,
IF(AND( SUM((DJ514*(20/100))+(DK514*(30/100))+(DL514*(50/100))) &lt;=3.8, SUM((DJ514*(20/100))+(DK514*(30/100))+(DL514*(50/100))) &gt;=3.5),3.5,0)))))))))))))</f>
        <v>0</v>
      </c>
      <c r="DQ514" s="541"/>
      <c r="DR514" s="541"/>
      <c r="DS514" s="541"/>
      <c r="DT514" s="541"/>
      <c r="DU514" s="541"/>
      <c r="DV514" s="541"/>
      <c r="DW514" s="541"/>
      <c r="DX514" s="541"/>
      <c r="DY514" s="541"/>
      <c r="DZ514" s="541"/>
    </row>
    <row r="515" spans="2:130" x14ac:dyDescent="0.25">
      <c r="B515" s="334">
        <v>8</v>
      </c>
      <c r="C515" s="541" t="s">
        <v>8591</v>
      </c>
      <c r="D515" s="334">
        <v>1</v>
      </c>
      <c r="E515" s="334">
        <v>3</v>
      </c>
      <c r="F515" s="334"/>
      <c r="G515" s="334">
        <v>8</v>
      </c>
      <c r="H515" s="334">
        <v>8</v>
      </c>
      <c r="I515" s="334">
        <v>8</v>
      </c>
      <c r="J515" s="536"/>
      <c r="K515" s="536"/>
      <c r="L515" s="536"/>
      <c r="M515" s="536"/>
      <c r="N515" s="536"/>
      <c r="O515" s="536"/>
      <c r="P515" s="536">
        <f t="shared" si="176"/>
        <v>0</v>
      </c>
      <c r="Q515" s="536"/>
      <c r="R515" s="536"/>
      <c r="S515" s="536"/>
      <c r="T515" s="536">
        <f t="shared" si="177"/>
        <v>0</v>
      </c>
      <c r="U515" s="536"/>
      <c r="V515" s="536"/>
      <c r="W515" s="536"/>
      <c r="X515" s="536">
        <f t="shared" si="178"/>
        <v>0</v>
      </c>
      <c r="Y515" s="536"/>
      <c r="Z515" s="536"/>
      <c r="AA515" s="536"/>
      <c r="AB515" s="536">
        <f t="shared" si="179"/>
        <v>0</v>
      </c>
      <c r="AC515" s="536"/>
      <c r="AD515" s="536"/>
      <c r="AE515" s="536"/>
      <c r="AF515" s="536">
        <f t="shared" si="180"/>
        <v>0</v>
      </c>
      <c r="AG515" s="536"/>
      <c r="AH515" s="536"/>
      <c r="AI515" s="536"/>
      <c r="AJ515" s="536">
        <f t="shared" si="181"/>
        <v>0</v>
      </c>
      <c r="AK515" s="536"/>
      <c r="AL515" s="536"/>
      <c r="AM515" s="536"/>
      <c r="AN515" s="542">
        <f t="shared" si="182"/>
        <v>0</v>
      </c>
      <c r="AO515" s="536"/>
      <c r="AP515" s="536"/>
      <c r="AQ515" s="536"/>
      <c r="AR515" s="542">
        <f t="shared" si="183"/>
        <v>0</v>
      </c>
      <c r="AS515" s="536"/>
      <c r="AT515" s="536"/>
      <c r="AU515" s="536"/>
      <c r="AV515" s="542">
        <f t="shared" si="184"/>
        <v>0</v>
      </c>
      <c r="AW515" s="536"/>
      <c r="AX515" s="536"/>
      <c r="AY515" s="536"/>
      <c r="AZ515" s="542">
        <f t="shared" si="185"/>
        <v>0</v>
      </c>
      <c r="BA515" s="536"/>
      <c r="BB515" s="536"/>
      <c r="BC515" s="536"/>
      <c r="BD515" s="542">
        <f t="shared" si="186"/>
        <v>0</v>
      </c>
      <c r="BE515" s="536"/>
      <c r="BF515" s="536"/>
      <c r="BG515" s="536"/>
      <c r="BH515" s="542">
        <f t="shared" si="187"/>
        <v>0</v>
      </c>
      <c r="BI515" s="536"/>
      <c r="BJ515" s="536"/>
      <c r="BK515" s="536"/>
      <c r="BL515" s="542">
        <f t="shared" si="188"/>
        <v>0</v>
      </c>
      <c r="BM515" s="536"/>
      <c r="BN515" s="536"/>
      <c r="BO515" s="536"/>
      <c r="BP515" s="542">
        <f t="shared" si="189"/>
        <v>0</v>
      </c>
      <c r="BQ515" s="536"/>
      <c r="BR515" s="536"/>
      <c r="BS515" s="536"/>
      <c r="BT515" s="542">
        <f t="shared" si="190"/>
        <v>0</v>
      </c>
      <c r="BU515" s="536"/>
      <c r="BV515" s="536"/>
      <c r="BW515" s="536"/>
      <c r="BX515" s="542">
        <f t="shared" si="191"/>
        <v>0</v>
      </c>
      <c r="BY515" s="536"/>
      <c r="BZ515" s="536"/>
      <c r="CA515" s="536"/>
      <c r="CB515" s="542">
        <v>0</v>
      </c>
      <c r="CC515" s="536"/>
      <c r="CD515" s="536"/>
      <c r="CE515" s="536"/>
      <c r="CF515" s="541">
        <f t="shared" si="192"/>
        <v>0</v>
      </c>
      <c r="CG515" s="536"/>
      <c r="CH515" s="536"/>
      <c r="CI515" s="536"/>
      <c r="CJ515" s="541">
        <f t="shared" si="193"/>
        <v>0</v>
      </c>
      <c r="CK515" s="536"/>
      <c r="CL515" s="536"/>
      <c r="CM515" s="536"/>
      <c r="CN515" s="541">
        <f t="shared" si="194"/>
        <v>0</v>
      </c>
      <c r="CO515" s="536"/>
      <c r="CP515" s="536"/>
      <c r="CQ515" s="536"/>
      <c r="CR515" s="541">
        <f t="shared" si="195"/>
        <v>0</v>
      </c>
      <c r="CS515" s="536"/>
      <c r="CT515" s="536"/>
      <c r="CU515" s="536"/>
      <c r="CV515" s="541">
        <f t="shared" si="196"/>
        <v>0</v>
      </c>
      <c r="CW515" s="536"/>
      <c r="CX515" s="536"/>
      <c r="CY515" s="536"/>
      <c r="CZ515" s="541">
        <f t="shared" si="197"/>
        <v>0</v>
      </c>
      <c r="DA515" s="536"/>
      <c r="DB515" s="536"/>
      <c r="DC515" s="536"/>
      <c r="DD515" s="541">
        <f t="shared" si="198"/>
        <v>0</v>
      </c>
      <c r="DE515" s="536"/>
      <c r="DF515" s="536"/>
      <c r="DG515" s="536"/>
      <c r="DH515" s="541">
        <f t="shared" si="199"/>
        <v>0</v>
      </c>
      <c r="DI515" s="536"/>
      <c r="DJ515" s="536"/>
      <c r="DK515" s="536"/>
      <c r="DL515" s="541">
        <f t="shared" si="200"/>
        <v>0</v>
      </c>
      <c r="DM515" s="536"/>
      <c r="DN515" s="536"/>
      <c r="DO515" s="536"/>
      <c r="DP515" s="541">
        <f>IF( SUM((DJ515*(20/100))+(DK515*(30/100))+(DL515*(50/100))) &gt;=9.3,9.5,
IF(AND( SUM((DJ515*(20/100))+(DK515*(30/100))+(DL515*(50/100))) &lt;=9.3, SUM((DJ515*(20/100))+(DK515*(30/100))+(DL515*(50/100))) &gt;=8.8),9,
IF(AND( SUM((DJ515*(20/100))+(DK515*(30/100))+(DL515*(50/100))) &lt;=8.8, SUM((DJ515*(20/100))+(DK515*(30/100))+(DL515*(50/100))) &gt;=8.3),8.5,
IF(AND( SUM((DJ515*(20/100))+(DK515*(30/100))+(DL515*(50/100))) &lt;=8.3, SUM((DJ515*(20/100))+(DK515*(30/100))+(DL515*(50/100))) &gt;=7.8),8,
IF(AND( SUM((DJ515*(20/100))+(DK515*(30/100))+(DL515*(50/100))) &lt;=7.8, SUM((DJ515*(20/100))+(DK515*(30/100))+(DL515*(50/100))) &gt;=7.3),7.5,
IF(AND( SUM((DJ515*(20/100))+(DK515*(30/100))+(DL515*(50/100))) &lt;=7.3, SUM((DJ515*(20/100))+(DK515*(30/100))+(DL515*(50/100))) &gt;=6.8),7,
IF(AND( SUM((DJ515*(20/100))+(DK515*(30/100))+(DL515*(50/100))) &lt;=6.8, SUM((DJ515*(20/100))+(DK515*(30/100))+(DL515*(50/100))) &gt;=6.3),6.5,
IF(AND( SUM((DJ515*(20/100))+(DK515*(30/100))+(DL515*(50/100))) &lt;=6.3, SUM((DJ515*(20/100))+(DK515*(30/100))+(DL515*(50/100))) &gt;=5.8),6,
IF(AND( SUM((DJ515*(20/100))+(DK515*(30/100))+(DL515*(50/100))) &lt;=5.8, SUM((DJ515*(20/100))+(DK515*(30/100))+(DL515*(50/100))) &gt;=5.3),5.5,
IF(AND( SUM((DJ515*(20/100))+(DK515*(30/100))+(DL515*(50/100))) &lt;=5.3, SUM((DJ515*(20/100))+(DK515*(30/100))+(DL515*(50/100))) &gt;=4.8),5,
IF(AND( SUM((DJ515*(20/100))+(DK515*(30/100))+(DL515*(50/100))) &lt;=4.8, SUM((DJ515*(20/100))+(DK515*(30/100))+(DL515*(50/100))) &gt;=4.3),4.5,
IF(AND( SUM((DJ515*(20/100))+(DK515*(30/100))+(DL515*(50/100))) &lt;=4.3, SUM((DJ515*(20/100))+(DK515*(30/100))+(DL515*(50/100))) &gt;=3.8),4,
IF(AND( SUM((DJ515*(20/100))+(DK515*(30/100))+(DL515*(50/100))) &lt;=3.8, SUM((DJ515*(20/100))+(DK515*(30/100))+(DL515*(50/100))) &gt;=3.5),3.5,0)))))))))))))</f>
        <v>0</v>
      </c>
      <c r="DQ515" s="541"/>
      <c r="DR515" s="541"/>
      <c r="DS515" s="541"/>
      <c r="DT515" s="541"/>
      <c r="DU515" s="541"/>
      <c r="DV515" s="541"/>
      <c r="DW515" s="541"/>
      <c r="DX515" s="541"/>
      <c r="DY515" s="541"/>
      <c r="DZ515" s="541"/>
    </row>
    <row r="516" spans="2:130" x14ac:dyDescent="0.25">
      <c r="B516" s="334">
        <v>9</v>
      </c>
      <c r="C516" s="541" t="s">
        <v>8592</v>
      </c>
      <c r="D516" s="334">
        <v>2</v>
      </c>
      <c r="E516" s="334">
        <v>2</v>
      </c>
      <c r="F516" s="334"/>
      <c r="G516" s="334">
        <v>8</v>
      </c>
      <c r="H516" s="334">
        <v>8</v>
      </c>
      <c r="I516" s="334">
        <v>8</v>
      </c>
      <c r="J516" s="536"/>
      <c r="K516" s="536"/>
      <c r="L516" s="536"/>
      <c r="M516" s="536"/>
      <c r="N516" s="536"/>
      <c r="O516" s="536"/>
      <c r="P516" s="536">
        <f t="shared" si="176"/>
        <v>0</v>
      </c>
      <c r="Q516" s="536"/>
      <c r="R516" s="536"/>
      <c r="S516" s="536"/>
      <c r="T516" s="536">
        <f t="shared" si="177"/>
        <v>0</v>
      </c>
      <c r="U516" s="536"/>
      <c r="V516" s="536"/>
      <c r="W516" s="536"/>
      <c r="X516" s="536">
        <f t="shared" si="178"/>
        <v>0</v>
      </c>
      <c r="Y516" s="536"/>
      <c r="Z516" s="536"/>
      <c r="AA516" s="536"/>
      <c r="AB516" s="536">
        <f t="shared" si="179"/>
        <v>0</v>
      </c>
      <c r="AC516" s="536"/>
      <c r="AD516" s="536"/>
      <c r="AE516" s="536"/>
      <c r="AF516" s="536">
        <f t="shared" si="180"/>
        <v>0</v>
      </c>
      <c r="AG516" s="536"/>
      <c r="AH516" s="536"/>
      <c r="AI516" s="536"/>
      <c r="AJ516" s="536">
        <f t="shared" si="181"/>
        <v>0</v>
      </c>
      <c r="AK516" s="536"/>
      <c r="AL516" s="536"/>
      <c r="AM516" s="536"/>
      <c r="AN516" s="542">
        <f t="shared" si="182"/>
        <v>0</v>
      </c>
      <c r="AO516" s="536"/>
      <c r="AP516" s="536"/>
      <c r="AQ516" s="536"/>
      <c r="AR516" s="542">
        <f t="shared" si="183"/>
        <v>0</v>
      </c>
      <c r="AS516" s="536"/>
      <c r="AT516" s="536"/>
      <c r="AU516" s="536"/>
      <c r="AV516" s="542">
        <f t="shared" si="184"/>
        <v>0</v>
      </c>
      <c r="AW516" s="536"/>
      <c r="AX516" s="536"/>
      <c r="AY516" s="536"/>
      <c r="AZ516" s="542">
        <f t="shared" si="185"/>
        <v>0</v>
      </c>
      <c r="BA516" s="536"/>
      <c r="BB516" s="536"/>
      <c r="BC516" s="536"/>
      <c r="BD516" s="542">
        <f t="shared" si="186"/>
        <v>0</v>
      </c>
      <c r="BE516" s="536"/>
      <c r="BF516" s="536"/>
      <c r="BG516" s="536"/>
      <c r="BH516" s="542">
        <f t="shared" si="187"/>
        <v>0</v>
      </c>
      <c r="BI516" s="536"/>
      <c r="BJ516" s="536"/>
      <c r="BK516" s="536"/>
      <c r="BL516" s="542">
        <f t="shared" si="188"/>
        <v>0</v>
      </c>
      <c r="BM516" s="536"/>
      <c r="BN516" s="536"/>
      <c r="BO516" s="536"/>
      <c r="BP516" s="542">
        <f t="shared" si="189"/>
        <v>0</v>
      </c>
      <c r="BQ516" s="536"/>
      <c r="BR516" s="536"/>
      <c r="BS516" s="536"/>
      <c r="BT516" s="542">
        <f t="shared" si="190"/>
        <v>0</v>
      </c>
      <c r="BU516" s="536"/>
      <c r="BV516" s="536"/>
      <c r="BW516" s="536"/>
      <c r="BX516" s="542">
        <f t="shared" si="191"/>
        <v>0</v>
      </c>
      <c r="BY516" s="536"/>
      <c r="BZ516" s="536"/>
      <c r="CA516" s="536"/>
      <c r="CB516" s="542">
        <v>0</v>
      </c>
      <c r="CC516" s="536"/>
      <c r="CD516" s="536"/>
      <c r="CE516" s="536"/>
      <c r="CF516" s="541">
        <f t="shared" si="192"/>
        <v>0</v>
      </c>
      <c r="CG516" s="536"/>
      <c r="CH516" s="536"/>
      <c r="CI516" s="536"/>
      <c r="CJ516" s="541">
        <f t="shared" si="193"/>
        <v>0</v>
      </c>
      <c r="CK516" s="536"/>
      <c r="CL516" s="536"/>
      <c r="CM516" s="536"/>
      <c r="CN516" s="541">
        <f t="shared" si="194"/>
        <v>0</v>
      </c>
      <c r="CO516" s="536"/>
      <c r="CP516" s="536"/>
      <c r="CQ516" s="536"/>
      <c r="CR516" s="541">
        <f t="shared" si="195"/>
        <v>0</v>
      </c>
      <c r="CS516" s="536"/>
      <c r="CT516" s="536"/>
      <c r="CU516" s="536"/>
      <c r="CV516" s="541">
        <f t="shared" si="196"/>
        <v>0</v>
      </c>
      <c r="CW516" s="536"/>
      <c r="CX516" s="536"/>
      <c r="CY516" s="536"/>
      <c r="CZ516" s="541">
        <f t="shared" si="197"/>
        <v>0</v>
      </c>
      <c r="DA516" s="536"/>
      <c r="DB516" s="536"/>
      <c r="DC516" s="536"/>
      <c r="DD516" s="541">
        <f t="shared" si="198"/>
        <v>0</v>
      </c>
      <c r="DE516" s="536"/>
      <c r="DF516" s="536"/>
      <c r="DG516" s="536"/>
      <c r="DH516" s="541">
        <f t="shared" si="199"/>
        <v>0</v>
      </c>
      <c r="DI516" s="536"/>
      <c r="DJ516" s="536"/>
      <c r="DK516" s="536"/>
      <c r="DL516" s="541">
        <f t="shared" si="200"/>
        <v>0</v>
      </c>
      <c r="DM516" s="536"/>
      <c r="DN516" s="536"/>
      <c r="DO516" s="536"/>
      <c r="DP516" s="541">
        <f>IF( SUM((DJ516*(20/100))+(DK516*(30/100))+(DL516*(50/100))) &gt;=9.3,9.5,
IF(AND( SUM((DJ516*(20/100))+(DK516*(30/100))+(DL516*(50/100))) &lt;=9.3, SUM((DJ516*(20/100))+(DK516*(30/100))+(DL516*(50/100))) &gt;=8.8),9,
IF(AND( SUM((DJ516*(20/100))+(DK516*(30/100))+(DL516*(50/100))) &lt;=8.8, SUM((DJ516*(20/100))+(DK516*(30/100))+(DL516*(50/100))) &gt;=8.3),8.5,
IF(AND( SUM((DJ516*(20/100))+(DK516*(30/100))+(DL516*(50/100))) &lt;=8.3, SUM((DJ516*(20/100))+(DK516*(30/100))+(DL516*(50/100))) &gt;=7.8),8,
IF(AND( SUM((DJ516*(20/100))+(DK516*(30/100))+(DL516*(50/100))) &lt;=7.8, SUM((DJ516*(20/100))+(DK516*(30/100))+(DL516*(50/100))) &gt;=7.3),7.5,
IF(AND( SUM((DJ516*(20/100))+(DK516*(30/100))+(DL516*(50/100))) &lt;=7.3, SUM((DJ516*(20/100))+(DK516*(30/100))+(DL516*(50/100))) &gt;=6.8),7,
IF(AND( SUM((DJ516*(20/100))+(DK516*(30/100))+(DL516*(50/100))) &lt;=6.8, SUM((DJ516*(20/100))+(DK516*(30/100))+(DL516*(50/100))) &gt;=6.3),6.5,
IF(AND( SUM((DJ516*(20/100))+(DK516*(30/100))+(DL516*(50/100))) &lt;=6.3, SUM((DJ516*(20/100))+(DK516*(30/100))+(DL516*(50/100))) &gt;=5.8),6,
IF(AND( SUM((DJ516*(20/100))+(DK516*(30/100))+(DL516*(50/100))) &lt;=5.8, SUM((DJ516*(20/100))+(DK516*(30/100))+(DL516*(50/100))) &gt;=5.3),5.5,
IF(AND( SUM((DJ516*(20/100))+(DK516*(30/100))+(DL516*(50/100))) &lt;=5.3, SUM((DJ516*(20/100))+(DK516*(30/100))+(DL516*(50/100))) &gt;=4.8),5,
IF(AND( SUM((DJ516*(20/100))+(DK516*(30/100))+(DL516*(50/100))) &lt;=4.8, SUM((DJ516*(20/100))+(DK516*(30/100))+(DL516*(50/100))) &gt;=4.3),4.5,
IF(AND( SUM((DJ516*(20/100))+(DK516*(30/100))+(DL516*(50/100))) &lt;=4.3, SUM((DJ516*(20/100))+(DK516*(30/100))+(DL516*(50/100))) &gt;=3.8),4,
IF(AND( SUM((DJ516*(20/100))+(DK516*(30/100))+(DL516*(50/100))) &lt;=3.8, SUM((DJ516*(20/100))+(DK516*(30/100))+(DL516*(50/100))) &gt;=3.5),3.5,0)))))))))))))</f>
        <v>0</v>
      </c>
      <c r="DQ516" s="541"/>
      <c r="DR516" s="541"/>
      <c r="DS516" s="541"/>
      <c r="DT516" s="541"/>
      <c r="DU516" s="541"/>
      <c r="DV516" s="541"/>
      <c r="DW516" s="541"/>
      <c r="DX516" s="541"/>
      <c r="DY516" s="541"/>
      <c r="DZ516" s="541"/>
    </row>
    <row r="517" spans="2:130" x14ac:dyDescent="0.25">
      <c r="B517" s="334">
        <v>10</v>
      </c>
      <c r="C517" s="541" t="s">
        <v>8593</v>
      </c>
      <c r="D517" s="334">
        <v>14</v>
      </c>
      <c r="E517" s="334">
        <v>2</v>
      </c>
      <c r="F517" s="334">
        <v>3</v>
      </c>
      <c r="G517" s="334">
        <v>8</v>
      </c>
      <c r="H517" s="334">
        <v>8</v>
      </c>
      <c r="I517" s="334">
        <v>8</v>
      </c>
      <c r="J517" s="536"/>
      <c r="K517" s="536"/>
      <c r="L517" s="536"/>
      <c r="M517" s="536"/>
      <c r="N517" s="536"/>
      <c r="O517" s="536"/>
      <c r="P517" s="536">
        <f t="shared" si="176"/>
        <v>0</v>
      </c>
      <c r="Q517" s="536"/>
      <c r="R517" s="536"/>
      <c r="S517" s="536"/>
      <c r="T517" s="536">
        <f t="shared" si="177"/>
        <v>0</v>
      </c>
      <c r="U517" s="536"/>
      <c r="V517" s="536"/>
      <c r="W517" s="536"/>
      <c r="X517" s="536">
        <f t="shared" si="178"/>
        <v>0</v>
      </c>
      <c r="Y517" s="536"/>
      <c r="Z517" s="536"/>
      <c r="AA517" s="536"/>
      <c r="AB517" s="536">
        <f t="shared" si="179"/>
        <v>0</v>
      </c>
      <c r="AC517" s="536"/>
      <c r="AD517" s="536"/>
      <c r="AE517" s="536"/>
      <c r="AF517" s="536">
        <f t="shared" si="180"/>
        <v>0</v>
      </c>
      <c r="AG517" s="536"/>
      <c r="AH517" s="536"/>
      <c r="AI517" s="536"/>
      <c r="AJ517" s="536">
        <f t="shared" si="181"/>
        <v>0</v>
      </c>
      <c r="AK517" s="536"/>
      <c r="AL517" s="536"/>
      <c r="AM517" s="536"/>
      <c r="AN517" s="542">
        <f t="shared" si="182"/>
        <v>0</v>
      </c>
      <c r="AO517" s="536"/>
      <c r="AP517" s="536"/>
      <c r="AQ517" s="536"/>
      <c r="AR517" s="542">
        <f t="shared" si="183"/>
        <v>0</v>
      </c>
      <c r="AS517" s="536"/>
      <c r="AT517" s="536"/>
      <c r="AU517" s="536"/>
      <c r="AV517" s="542">
        <f t="shared" si="184"/>
        <v>0</v>
      </c>
      <c r="AW517" s="536"/>
      <c r="AX517" s="536"/>
      <c r="AY517" s="536"/>
      <c r="AZ517" s="542">
        <f t="shared" si="185"/>
        <v>0</v>
      </c>
      <c r="BA517" s="536"/>
      <c r="BB517" s="536"/>
      <c r="BC517" s="536"/>
      <c r="BD517" s="542">
        <f t="shared" si="186"/>
        <v>0</v>
      </c>
      <c r="BE517" s="536"/>
      <c r="BF517" s="536"/>
      <c r="BG517" s="536"/>
      <c r="BH517" s="542">
        <f t="shared" si="187"/>
        <v>0</v>
      </c>
      <c r="BI517" s="536"/>
      <c r="BJ517" s="536"/>
      <c r="BK517" s="536"/>
      <c r="BL517" s="542">
        <f t="shared" si="188"/>
        <v>0</v>
      </c>
      <c r="BM517" s="536"/>
      <c r="BN517" s="536"/>
      <c r="BO517" s="536"/>
      <c r="BP517" s="542">
        <f t="shared" si="189"/>
        <v>0</v>
      </c>
      <c r="BQ517" s="536"/>
      <c r="BR517" s="536"/>
      <c r="BS517" s="536"/>
      <c r="BT517" s="542">
        <f t="shared" si="190"/>
        <v>0</v>
      </c>
      <c r="BU517" s="536"/>
      <c r="BV517" s="536"/>
      <c r="BW517" s="536"/>
      <c r="BX517" s="542">
        <f t="shared" si="191"/>
        <v>0</v>
      </c>
      <c r="BY517" s="536"/>
      <c r="BZ517" s="536"/>
      <c r="CA517" s="536"/>
      <c r="CB517" s="542">
        <v>0</v>
      </c>
      <c r="CC517" s="536"/>
      <c r="CD517" s="536"/>
      <c r="CE517" s="536"/>
      <c r="CF517" s="541">
        <f t="shared" si="192"/>
        <v>0</v>
      </c>
      <c r="CG517" s="536"/>
      <c r="CH517" s="536"/>
      <c r="CI517" s="536"/>
      <c r="CJ517" s="541">
        <f t="shared" si="193"/>
        <v>0</v>
      </c>
      <c r="CK517" s="536"/>
      <c r="CL517" s="536"/>
      <c r="CM517" s="536"/>
      <c r="CN517" s="541">
        <f t="shared" si="194"/>
        <v>0</v>
      </c>
      <c r="CO517" s="536"/>
      <c r="CP517" s="536"/>
      <c r="CQ517" s="536"/>
      <c r="CR517" s="541">
        <f t="shared" si="195"/>
        <v>0</v>
      </c>
      <c r="CS517" s="536"/>
      <c r="CT517" s="536"/>
      <c r="CU517" s="536"/>
      <c r="CV517" s="541">
        <f t="shared" si="196"/>
        <v>0</v>
      </c>
      <c r="CW517" s="536"/>
      <c r="CX517" s="536"/>
      <c r="CY517" s="536"/>
      <c r="CZ517" s="541">
        <f t="shared" si="197"/>
        <v>0</v>
      </c>
      <c r="DA517" s="536"/>
      <c r="DB517" s="536"/>
      <c r="DC517" s="536"/>
      <c r="DD517" s="541">
        <f t="shared" si="198"/>
        <v>0</v>
      </c>
      <c r="DE517" s="536"/>
      <c r="DF517" s="536"/>
      <c r="DG517" s="536"/>
      <c r="DH517" s="541">
        <f t="shared" si="199"/>
        <v>0</v>
      </c>
      <c r="DI517" s="536"/>
      <c r="DJ517" s="536"/>
      <c r="DK517" s="536"/>
      <c r="DL517" s="541">
        <f t="shared" si="200"/>
        <v>0</v>
      </c>
      <c r="DM517" s="536"/>
      <c r="DN517" s="536"/>
      <c r="DO517" s="536"/>
      <c r="DP517" s="541">
        <f>IF( SUM((DJ517*(20/100))+(DK517*(30/100))+(DL517*(50/100))) &gt;=9.3,9.5,
IF(AND( SUM((DJ517*(20/100))+(DK517*(30/100))+(DL517*(50/100))) &lt;=9.3, SUM((DJ517*(20/100))+(DK517*(30/100))+(DL517*(50/100))) &gt;=8.8),9,
IF(AND( SUM((DJ517*(20/100))+(DK517*(30/100))+(DL517*(50/100))) &lt;=8.8, SUM((DJ517*(20/100))+(DK517*(30/100))+(DL517*(50/100))) &gt;=8.3),8.5,
IF(AND( SUM((DJ517*(20/100))+(DK517*(30/100))+(DL517*(50/100))) &lt;=8.3, SUM((DJ517*(20/100))+(DK517*(30/100))+(DL517*(50/100))) &gt;=7.8),8,
IF(AND( SUM((DJ517*(20/100))+(DK517*(30/100))+(DL517*(50/100))) &lt;=7.8, SUM((DJ517*(20/100))+(DK517*(30/100))+(DL517*(50/100))) &gt;=7.3),7.5,
IF(AND( SUM((DJ517*(20/100))+(DK517*(30/100))+(DL517*(50/100))) &lt;=7.3, SUM((DJ517*(20/100))+(DK517*(30/100))+(DL517*(50/100))) &gt;=6.8),7,
IF(AND( SUM((DJ517*(20/100))+(DK517*(30/100))+(DL517*(50/100))) &lt;=6.8, SUM((DJ517*(20/100))+(DK517*(30/100))+(DL517*(50/100))) &gt;=6.3),6.5,
IF(AND( SUM((DJ517*(20/100))+(DK517*(30/100))+(DL517*(50/100))) &lt;=6.3, SUM((DJ517*(20/100))+(DK517*(30/100))+(DL517*(50/100))) &gt;=5.8),6,
IF(AND( SUM((DJ517*(20/100))+(DK517*(30/100))+(DL517*(50/100))) &lt;=5.8, SUM((DJ517*(20/100))+(DK517*(30/100))+(DL517*(50/100))) &gt;=5.3),5.5,
IF(AND( SUM((DJ517*(20/100))+(DK517*(30/100))+(DL517*(50/100))) &lt;=5.3, SUM((DJ517*(20/100))+(DK517*(30/100))+(DL517*(50/100))) &gt;=4.8),5,
IF(AND( SUM((DJ517*(20/100))+(DK517*(30/100))+(DL517*(50/100))) &lt;=4.8, SUM((DJ517*(20/100))+(DK517*(30/100))+(DL517*(50/100))) &gt;=4.3),4.5,
IF(AND( SUM((DJ517*(20/100))+(DK517*(30/100))+(DL517*(50/100))) &lt;=4.3, SUM((DJ517*(20/100))+(DK517*(30/100))+(DL517*(50/100))) &gt;=3.8),4,
IF(AND( SUM((DJ517*(20/100))+(DK517*(30/100))+(DL517*(50/100))) &lt;=3.8, SUM((DJ517*(20/100))+(DK517*(30/100))+(DL517*(50/100))) &gt;=3.5),3.5,0)))))))))))))</f>
        <v>0</v>
      </c>
      <c r="DQ517" s="541"/>
      <c r="DR517" s="541"/>
      <c r="DS517" s="541"/>
      <c r="DT517" s="541"/>
      <c r="DU517" s="541"/>
      <c r="DV517" s="541"/>
      <c r="DW517" s="541"/>
      <c r="DX517" s="541"/>
      <c r="DY517" s="541"/>
      <c r="DZ517" s="541"/>
    </row>
    <row r="518" spans="2:130" x14ac:dyDescent="0.25">
      <c r="B518" s="334">
        <v>11</v>
      </c>
      <c r="C518" s="541" t="s">
        <v>8594</v>
      </c>
      <c r="D518" s="334"/>
      <c r="E518" s="334">
        <v>2</v>
      </c>
      <c r="F518" s="334"/>
      <c r="G518" s="334">
        <v>8</v>
      </c>
      <c r="H518" s="334">
        <v>8</v>
      </c>
      <c r="I518" s="334">
        <v>8</v>
      </c>
      <c r="J518" s="536"/>
      <c r="K518" s="536"/>
      <c r="L518" s="536"/>
      <c r="M518" s="536"/>
      <c r="N518" s="536"/>
      <c r="O518" s="536"/>
      <c r="P518" s="536">
        <f t="shared" si="176"/>
        <v>0</v>
      </c>
      <c r="Q518" s="536"/>
      <c r="R518" s="536"/>
      <c r="S518" s="536"/>
      <c r="T518" s="536">
        <f t="shared" si="177"/>
        <v>0</v>
      </c>
      <c r="U518" s="536"/>
      <c r="V518" s="536"/>
      <c r="W518" s="536"/>
      <c r="X518" s="536">
        <f t="shared" si="178"/>
        <v>0</v>
      </c>
      <c r="Y518" s="536"/>
      <c r="Z518" s="536"/>
      <c r="AA518" s="536"/>
      <c r="AB518" s="536">
        <f t="shared" si="179"/>
        <v>0</v>
      </c>
      <c r="AC518" s="536"/>
      <c r="AD518" s="536"/>
      <c r="AE518" s="536"/>
      <c r="AF518" s="536">
        <f t="shared" si="180"/>
        <v>0</v>
      </c>
      <c r="AG518" s="536"/>
      <c r="AH518" s="536"/>
      <c r="AI518" s="536"/>
      <c r="AJ518" s="536">
        <f t="shared" si="181"/>
        <v>0</v>
      </c>
      <c r="AK518" s="536"/>
      <c r="AL518" s="536"/>
      <c r="AM518" s="536"/>
      <c r="AN518" s="542">
        <f t="shared" si="182"/>
        <v>0</v>
      </c>
      <c r="AO518" s="536"/>
      <c r="AP518" s="536"/>
      <c r="AQ518" s="536"/>
      <c r="AR518" s="542">
        <f t="shared" si="183"/>
        <v>0</v>
      </c>
      <c r="AS518" s="536"/>
      <c r="AT518" s="536"/>
      <c r="AU518" s="536"/>
      <c r="AV518" s="542">
        <f t="shared" si="184"/>
        <v>0</v>
      </c>
      <c r="AW518" s="536"/>
      <c r="AX518" s="536"/>
      <c r="AY518" s="536"/>
      <c r="AZ518" s="542">
        <f t="shared" si="185"/>
        <v>0</v>
      </c>
      <c r="BA518" s="536"/>
      <c r="BB518" s="536"/>
      <c r="BC518" s="536"/>
      <c r="BD518" s="542">
        <f t="shared" si="186"/>
        <v>0</v>
      </c>
      <c r="BE518" s="536"/>
      <c r="BF518" s="536"/>
      <c r="BG518" s="536"/>
      <c r="BH518" s="542">
        <f t="shared" si="187"/>
        <v>0</v>
      </c>
      <c r="BI518" s="536"/>
      <c r="BJ518" s="536"/>
      <c r="BK518" s="536"/>
      <c r="BL518" s="542">
        <f t="shared" si="188"/>
        <v>0</v>
      </c>
      <c r="BM518" s="536"/>
      <c r="BN518" s="536"/>
      <c r="BO518" s="536"/>
      <c r="BP518" s="542">
        <f t="shared" si="189"/>
        <v>0</v>
      </c>
      <c r="BQ518" s="536"/>
      <c r="BR518" s="536"/>
      <c r="BS518" s="536"/>
      <c r="BT518" s="542">
        <f t="shared" si="190"/>
        <v>0</v>
      </c>
      <c r="BU518" s="536"/>
      <c r="BV518" s="536"/>
      <c r="BW518" s="536"/>
      <c r="BX518" s="542">
        <f t="shared" si="191"/>
        <v>0</v>
      </c>
      <c r="BY518" s="536"/>
      <c r="BZ518" s="536"/>
      <c r="CA518" s="536"/>
      <c r="CB518" s="542">
        <v>0</v>
      </c>
      <c r="CC518" s="536"/>
      <c r="CD518" s="536"/>
      <c r="CE518" s="536"/>
      <c r="CF518" s="541">
        <f t="shared" si="192"/>
        <v>0</v>
      </c>
      <c r="CG518" s="536"/>
      <c r="CH518" s="536"/>
      <c r="CI518" s="536"/>
      <c r="CJ518" s="541">
        <f t="shared" si="193"/>
        <v>0</v>
      </c>
      <c r="CK518" s="536"/>
      <c r="CL518" s="536"/>
      <c r="CM518" s="536"/>
      <c r="CN518" s="541">
        <f t="shared" si="194"/>
        <v>0</v>
      </c>
      <c r="CO518" s="536"/>
      <c r="CP518" s="536"/>
      <c r="CQ518" s="536"/>
      <c r="CR518" s="541">
        <f t="shared" si="195"/>
        <v>0</v>
      </c>
      <c r="CS518" s="536"/>
      <c r="CT518" s="536"/>
      <c r="CU518" s="536"/>
      <c r="CV518" s="541">
        <f t="shared" si="196"/>
        <v>0</v>
      </c>
      <c r="CW518" s="536"/>
      <c r="CX518" s="536"/>
      <c r="CY518" s="536"/>
      <c r="CZ518" s="541">
        <f t="shared" si="197"/>
        <v>0</v>
      </c>
      <c r="DA518" s="536"/>
      <c r="DB518" s="536"/>
      <c r="DC518" s="536"/>
      <c r="DD518" s="541">
        <f t="shared" si="198"/>
        <v>0</v>
      </c>
      <c r="DE518" s="536"/>
      <c r="DF518" s="536"/>
      <c r="DG518" s="536"/>
      <c r="DH518" s="541">
        <f t="shared" si="199"/>
        <v>0</v>
      </c>
      <c r="DI518" s="536"/>
      <c r="DJ518" s="536"/>
      <c r="DK518" s="536"/>
      <c r="DL518" s="541">
        <f t="shared" si="200"/>
        <v>0</v>
      </c>
      <c r="DM518" s="536"/>
      <c r="DN518" s="536"/>
      <c r="DO518" s="536"/>
      <c r="DP518" s="541">
        <f>IF( SUM((DJ518*(20/100))+(DK518*(30/100))+(DL518*(50/100))) &gt;=9.3,9.5,
IF(AND( SUM((DJ518*(20/100))+(DK518*(30/100))+(DL518*(50/100))) &lt;=9.3, SUM((DJ518*(20/100))+(DK518*(30/100))+(DL518*(50/100))) &gt;=8.8),9,
IF(AND( SUM((DJ518*(20/100))+(DK518*(30/100))+(DL518*(50/100))) &lt;=8.8, SUM((DJ518*(20/100))+(DK518*(30/100))+(DL518*(50/100))) &gt;=8.3),8.5,
IF(AND( SUM((DJ518*(20/100))+(DK518*(30/100))+(DL518*(50/100))) &lt;=8.3, SUM((DJ518*(20/100))+(DK518*(30/100))+(DL518*(50/100))) &gt;=7.8),8,
IF(AND( SUM((DJ518*(20/100))+(DK518*(30/100))+(DL518*(50/100))) &lt;=7.8, SUM((DJ518*(20/100))+(DK518*(30/100))+(DL518*(50/100))) &gt;=7.3),7.5,
IF(AND( SUM((DJ518*(20/100))+(DK518*(30/100))+(DL518*(50/100))) &lt;=7.3, SUM((DJ518*(20/100))+(DK518*(30/100))+(DL518*(50/100))) &gt;=6.8),7,
IF(AND( SUM((DJ518*(20/100))+(DK518*(30/100))+(DL518*(50/100))) &lt;=6.8, SUM((DJ518*(20/100))+(DK518*(30/100))+(DL518*(50/100))) &gt;=6.3),6.5,
IF(AND( SUM((DJ518*(20/100))+(DK518*(30/100))+(DL518*(50/100))) &lt;=6.3, SUM((DJ518*(20/100))+(DK518*(30/100))+(DL518*(50/100))) &gt;=5.8),6,
IF(AND( SUM((DJ518*(20/100))+(DK518*(30/100))+(DL518*(50/100))) &lt;=5.8, SUM((DJ518*(20/100))+(DK518*(30/100))+(DL518*(50/100))) &gt;=5.3),5.5,
IF(AND( SUM((DJ518*(20/100))+(DK518*(30/100))+(DL518*(50/100))) &lt;=5.3, SUM((DJ518*(20/100))+(DK518*(30/100))+(DL518*(50/100))) &gt;=4.8),5,
IF(AND( SUM((DJ518*(20/100))+(DK518*(30/100))+(DL518*(50/100))) &lt;=4.8, SUM((DJ518*(20/100))+(DK518*(30/100))+(DL518*(50/100))) &gt;=4.3),4.5,
IF(AND( SUM((DJ518*(20/100))+(DK518*(30/100))+(DL518*(50/100))) &lt;=4.3, SUM((DJ518*(20/100))+(DK518*(30/100))+(DL518*(50/100))) &gt;=3.8),4,
IF(AND( SUM((DJ518*(20/100))+(DK518*(30/100))+(DL518*(50/100))) &lt;=3.8, SUM((DJ518*(20/100))+(DK518*(30/100))+(DL518*(50/100))) &gt;=3.5),3.5,0)))))))))))))</f>
        <v>0</v>
      </c>
      <c r="DQ518" s="541"/>
      <c r="DR518" s="541"/>
      <c r="DS518" s="541"/>
      <c r="DT518" s="541"/>
      <c r="DU518" s="541"/>
      <c r="DV518" s="541"/>
      <c r="DW518" s="541"/>
      <c r="DX518" s="541"/>
      <c r="DY518" s="541"/>
      <c r="DZ518" s="541"/>
    </row>
    <row r="519" spans="2:130" x14ac:dyDescent="0.25">
      <c r="B519" s="334">
        <v>12</v>
      </c>
      <c r="C519" s="541" t="s">
        <v>8595</v>
      </c>
      <c r="D519" s="334"/>
      <c r="E519" s="334">
        <v>2</v>
      </c>
      <c r="F519" s="334"/>
      <c r="G519" s="334">
        <v>8</v>
      </c>
      <c r="H519" s="334">
        <v>8</v>
      </c>
      <c r="I519" s="334">
        <v>8</v>
      </c>
      <c r="J519" s="536"/>
      <c r="K519" s="536"/>
      <c r="L519" s="536"/>
      <c r="M519" s="536"/>
      <c r="N519" s="536"/>
      <c r="O519" s="536"/>
      <c r="P519" s="536">
        <f t="shared" si="176"/>
        <v>0</v>
      </c>
      <c r="Q519" s="536"/>
      <c r="R519" s="536"/>
      <c r="S519" s="536"/>
      <c r="T519" s="536">
        <f t="shared" si="177"/>
        <v>0</v>
      </c>
      <c r="U519" s="536"/>
      <c r="V519" s="536"/>
      <c r="W519" s="536"/>
      <c r="X519" s="536">
        <f t="shared" si="178"/>
        <v>0</v>
      </c>
      <c r="Y519" s="536"/>
      <c r="Z519" s="536"/>
      <c r="AA519" s="536"/>
      <c r="AB519" s="536">
        <f t="shared" si="179"/>
        <v>0</v>
      </c>
      <c r="AC519" s="536"/>
      <c r="AD519" s="536"/>
      <c r="AE519" s="536"/>
      <c r="AF519" s="536">
        <f t="shared" si="180"/>
        <v>0</v>
      </c>
      <c r="AG519" s="536"/>
      <c r="AH519" s="536"/>
      <c r="AI519" s="536"/>
      <c r="AJ519" s="536">
        <f t="shared" si="181"/>
        <v>0</v>
      </c>
      <c r="AK519" s="536"/>
      <c r="AL519" s="536"/>
      <c r="AM519" s="536"/>
      <c r="AN519" s="542">
        <f t="shared" si="182"/>
        <v>0</v>
      </c>
      <c r="AO519" s="536"/>
      <c r="AP519" s="536"/>
      <c r="AQ519" s="536"/>
      <c r="AR519" s="542">
        <f t="shared" si="183"/>
        <v>0</v>
      </c>
      <c r="AS519" s="536"/>
      <c r="AT519" s="536"/>
      <c r="AU519" s="536"/>
      <c r="AV519" s="542">
        <f t="shared" si="184"/>
        <v>0</v>
      </c>
      <c r="AW519" s="536"/>
      <c r="AX519" s="536"/>
      <c r="AY519" s="536"/>
      <c r="AZ519" s="542">
        <f t="shared" si="185"/>
        <v>0</v>
      </c>
      <c r="BA519" s="536"/>
      <c r="BB519" s="536"/>
      <c r="BC519" s="536"/>
      <c r="BD519" s="542">
        <f t="shared" si="186"/>
        <v>0</v>
      </c>
      <c r="BE519" s="536"/>
      <c r="BF519" s="536"/>
      <c r="BG519" s="536"/>
      <c r="BH519" s="542">
        <f t="shared" si="187"/>
        <v>0</v>
      </c>
      <c r="BI519" s="536"/>
      <c r="BJ519" s="536"/>
      <c r="BK519" s="536"/>
      <c r="BL519" s="542">
        <f t="shared" si="188"/>
        <v>0</v>
      </c>
      <c r="BM519" s="536"/>
      <c r="BN519" s="536"/>
      <c r="BO519" s="536"/>
      <c r="BP519" s="542">
        <f t="shared" si="189"/>
        <v>0</v>
      </c>
      <c r="BQ519" s="536"/>
      <c r="BR519" s="536"/>
      <c r="BS519" s="536"/>
      <c r="BT519" s="542">
        <f t="shared" si="190"/>
        <v>0</v>
      </c>
      <c r="BU519" s="536"/>
      <c r="BV519" s="536"/>
      <c r="BW519" s="536"/>
      <c r="BX519" s="542">
        <f t="shared" si="191"/>
        <v>0</v>
      </c>
      <c r="BY519" s="536"/>
      <c r="BZ519" s="536"/>
      <c r="CA519" s="536"/>
      <c r="CB519" s="542">
        <v>0</v>
      </c>
      <c r="CC519" s="536"/>
      <c r="CD519" s="536"/>
      <c r="CE519" s="536"/>
      <c r="CF519" s="541">
        <f t="shared" si="192"/>
        <v>0</v>
      </c>
      <c r="CG519" s="536"/>
      <c r="CH519" s="536"/>
      <c r="CI519" s="536"/>
      <c r="CJ519" s="541">
        <f t="shared" si="193"/>
        <v>0</v>
      </c>
      <c r="CK519" s="536"/>
      <c r="CL519" s="536"/>
      <c r="CM519" s="536"/>
      <c r="CN519" s="541">
        <f t="shared" si="194"/>
        <v>0</v>
      </c>
      <c r="CO519" s="536"/>
      <c r="CP519" s="536"/>
      <c r="CQ519" s="536"/>
      <c r="CR519" s="541">
        <f t="shared" si="195"/>
        <v>0</v>
      </c>
      <c r="CS519" s="536"/>
      <c r="CT519" s="536"/>
      <c r="CU519" s="536"/>
      <c r="CV519" s="541">
        <f t="shared" si="196"/>
        <v>0</v>
      </c>
      <c r="CW519" s="536"/>
      <c r="CX519" s="536"/>
      <c r="CY519" s="536"/>
      <c r="CZ519" s="541">
        <f t="shared" si="197"/>
        <v>0</v>
      </c>
      <c r="DA519" s="536"/>
      <c r="DB519" s="536"/>
      <c r="DC519" s="536"/>
      <c r="DD519" s="541">
        <f t="shared" si="198"/>
        <v>0</v>
      </c>
      <c r="DE519" s="536"/>
      <c r="DF519" s="536"/>
      <c r="DG519" s="536"/>
      <c r="DH519" s="541">
        <f t="shared" si="199"/>
        <v>0</v>
      </c>
      <c r="DI519" s="536"/>
      <c r="DJ519" s="536"/>
      <c r="DK519" s="536"/>
      <c r="DL519" s="541">
        <f t="shared" si="200"/>
        <v>0</v>
      </c>
      <c r="DM519" s="536"/>
      <c r="DN519" s="536"/>
      <c r="DO519" s="536"/>
      <c r="DP519" s="541">
        <f>IF( SUM((DJ519*(20/100))+(DK519*(30/100))+(DL519*(50/100))) &gt;=9.3,9.5,
IF(AND( SUM((DJ519*(20/100))+(DK519*(30/100))+(DL519*(50/100))) &lt;=9.3, SUM((DJ519*(20/100))+(DK519*(30/100))+(DL519*(50/100))) &gt;=8.8),9,
IF(AND( SUM((DJ519*(20/100))+(DK519*(30/100))+(DL519*(50/100))) &lt;=8.8, SUM((DJ519*(20/100))+(DK519*(30/100))+(DL519*(50/100))) &gt;=8.3),8.5,
IF(AND( SUM((DJ519*(20/100))+(DK519*(30/100))+(DL519*(50/100))) &lt;=8.3, SUM((DJ519*(20/100))+(DK519*(30/100))+(DL519*(50/100))) &gt;=7.8),8,
IF(AND( SUM((DJ519*(20/100))+(DK519*(30/100))+(DL519*(50/100))) &lt;=7.8, SUM((DJ519*(20/100))+(DK519*(30/100))+(DL519*(50/100))) &gt;=7.3),7.5,
IF(AND( SUM((DJ519*(20/100))+(DK519*(30/100))+(DL519*(50/100))) &lt;=7.3, SUM((DJ519*(20/100))+(DK519*(30/100))+(DL519*(50/100))) &gt;=6.8),7,
IF(AND( SUM((DJ519*(20/100))+(DK519*(30/100))+(DL519*(50/100))) &lt;=6.8, SUM((DJ519*(20/100))+(DK519*(30/100))+(DL519*(50/100))) &gt;=6.3),6.5,
IF(AND( SUM((DJ519*(20/100))+(DK519*(30/100))+(DL519*(50/100))) &lt;=6.3, SUM((DJ519*(20/100))+(DK519*(30/100))+(DL519*(50/100))) &gt;=5.8),6,
IF(AND( SUM((DJ519*(20/100))+(DK519*(30/100))+(DL519*(50/100))) &lt;=5.8, SUM((DJ519*(20/100))+(DK519*(30/100))+(DL519*(50/100))) &gt;=5.3),5.5,
IF(AND( SUM((DJ519*(20/100))+(DK519*(30/100))+(DL519*(50/100))) &lt;=5.3, SUM((DJ519*(20/100))+(DK519*(30/100))+(DL519*(50/100))) &gt;=4.8),5,
IF(AND( SUM((DJ519*(20/100))+(DK519*(30/100))+(DL519*(50/100))) &lt;=4.8, SUM((DJ519*(20/100))+(DK519*(30/100))+(DL519*(50/100))) &gt;=4.3),4.5,
IF(AND( SUM((DJ519*(20/100))+(DK519*(30/100))+(DL519*(50/100))) &lt;=4.3, SUM((DJ519*(20/100))+(DK519*(30/100))+(DL519*(50/100))) &gt;=3.8),4,
IF(AND( SUM((DJ519*(20/100))+(DK519*(30/100))+(DL519*(50/100))) &lt;=3.8, SUM((DJ519*(20/100))+(DK519*(30/100))+(DL519*(50/100))) &gt;=3.5),3.5,0)))))))))))))</f>
        <v>0</v>
      </c>
      <c r="DQ519" s="541"/>
      <c r="DR519" s="541"/>
      <c r="DS519" s="541"/>
      <c r="DT519" s="541"/>
      <c r="DU519" s="541"/>
      <c r="DV519" s="541"/>
      <c r="DW519" s="541"/>
      <c r="DX519" s="541"/>
      <c r="DY519" s="541"/>
      <c r="DZ519" s="541"/>
    </row>
    <row r="520" spans="2:130" x14ac:dyDescent="0.25">
      <c r="B520" s="334">
        <v>13</v>
      </c>
      <c r="C520" s="541" t="s">
        <v>8596</v>
      </c>
      <c r="D520" s="334"/>
      <c r="E520" s="334"/>
      <c r="F520" s="334"/>
      <c r="G520" s="334">
        <v>8</v>
      </c>
      <c r="H520" s="334">
        <v>8</v>
      </c>
      <c r="I520" s="334">
        <v>8</v>
      </c>
      <c r="J520" s="536"/>
      <c r="K520" s="536"/>
      <c r="L520" s="536"/>
      <c r="M520" s="536"/>
      <c r="N520" s="536"/>
      <c r="O520" s="536"/>
      <c r="P520" s="536">
        <f t="shared" si="176"/>
        <v>0</v>
      </c>
      <c r="Q520" s="536"/>
      <c r="R520" s="536"/>
      <c r="S520" s="536"/>
      <c r="T520" s="536">
        <f t="shared" si="177"/>
        <v>0</v>
      </c>
      <c r="U520" s="536"/>
      <c r="V520" s="536"/>
      <c r="W520" s="536"/>
      <c r="X520" s="536">
        <f t="shared" si="178"/>
        <v>0</v>
      </c>
      <c r="Y520" s="536"/>
      <c r="Z520" s="536"/>
      <c r="AA520" s="536"/>
      <c r="AB520" s="536">
        <f t="shared" si="179"/>
        <v>0</v>
      </c>
      <c r="AC520" s="536"/>
      <c r="AD520" s="536"/>
      <c r="AE520" s="536"/>
      <c r="AF520" s="536">
        <f t="shared" si="180"/>
        <v>0</v>
      </c>
      <c r="AG520" s="536"/>
      <c r="AH520" s="536"/>
      <c r="AI520" s="536"/>
      <c r="AJ520" s="536">
        <f t="shared" si="181"/>
        <v>0</v>
      </c>
      <c r="AK520" s="536"/>
      <c r="AL520" s="536"/>
      <c r="AM520" s="536"/>
      <c r="AN520" s="542">
        <f t="shared" si="182"/>
        <v>0</v>
      </c>
      <c r="AO520" s="536"/>
      <c r="AP520" s="536"/>
      <c r="AQ520" s="536"/>
      <c r="AR520" s="542">
        <f t="shared" si="183"/>
        <v>0</v>
      </c>
      <c r="AS520" s="536"/>
      <c r="AT520" s="536"/>
      <c r="AU520" s="536"/>
      <c r="AV520" s="542">
        <f t="shared" si="184"/>
        <v>0</v>
      </c>
      <c r="AW520" s="536"/>
      <c r="AX520" s="536"/>
      <c r="AY520" s="536"/>
      <c r="AZ520" s="542">
        <f t="shared" si="185"/>
        <v>0</v>
      </c>
      <c r="BA520" s="536"/>
      <c r="BB520" s="536"/>
      <c r="BC520" s="536"/>
      <c r="BD520" s="542">
        <f t="shared" si="186"/>
        <v>0</v>
      </c>
      <c r="BE520" s="536"/>
      <c r="BF520" s="536"/>
      <c r="BG520" s="536"/>
      <c r="BH520" s="542">
        <f t="shared" si="187"/>
        <v>0</v>
      </c>
      <c r="BI520" s="536"/>
      <c r="BJ520" s="536"/>
      <c r="BK520" s="536"/>
      <c r="BL520" s="542">
        <f t="shared" si="188"/>
        <v>0</v>
      </c>
      <c r="BM520" s="536"/>
      <c r="BN520" s="536"/>
      <c r="BO520" s="536"/>
      <c r="BP520" s="542">
        <f t="shared" si="189"/>
        <v>0</v>
      </c>
      <c r="BQ520" s="536"/>
      <c r="BR520" s="536"/>
      <c r="BS520" s="536"/>
      <c r="BT520" s="542">
        <f t="shared" si="190"/>
        <v>0</v>
      </c>
      <c r="BU520" s="536"/>
      <c r="BV520" s="536"/>
      <c r="BW520" s="536"/>
      <c r="BX520" s="542">
        <f t="shared" si="191"/>
        <v>0</v>
      </c>
      <c r="BY520" s="536"/>
      <c r="BZ520" s="536"/>
      <c r="CA520" s="536"/>
      <c r="CB520" s="542">
        <v>0</v>
      </c>
      <c r="CC520" s="536"/>
      <c r="CD520" s="536"/>
      <c r="CE520" s="536"/>
      <c r="CF520" s="541">
        <f t="shared" si="192"/>
        <v>0</v>
      </c>
      <c r="CG520" s="536"/>
      <c r="CH520" s="536"/>
      <c r="CI520" s="536"/>
      <c r="CJ520" s="541">
        <f t="shared" si="193"/>
        <v>0</v>
      </c>
      <c r="CK520" s="536"/>
      <c r="CL520" s="536"/>
      <c r="CM520" s="536"/>
      <c r="CN520" s="541">
        <f t="shared" si="194"/>
        <v>0</v>
      </c>
      <c r="CO520" s="536"/>
      <c r="CP520" s="536"/>
      <c r="CQ520" s="536"/>
      <c r="CR520" s="541">
        <f t="shared" si="195"/>
        <v>0</v>
      </c>
      <c r="CS520" s="536"/>
      <c r="CT520" s="536"/>
      <c r="CU520" s="536"/>
      <c r="CV520" s="541">
        <f t="shared" si="196"/>
        <v>0</v>
      </c>
      <c r="CW520" s="536"/>
      <c r="CX520" s="536"/>
      <c r="CY520" s="536"/>
      <c r="CZ520" s="541">
        <f t="shared" si="197"/>
        <v>0</v>
      </c>
      <c r="DA520" s="536"/>
      <c r="DB520" s="536"/>
      <c r="DC520" s="536"/>
      <c r="DD520" s="541">
        <f t="shared" si="198"/>
        <v>0</v>
      </c>
      <c r="DE520" s="536"/>
      <c r="DF520" s="536"/>
      <c r="DG520" s="536"/>
      <c r="DH520" s="541">
        <f t="shared" si="199"/>
        <v>0</v>
      </c>
      <c r="DI520" s="536"/>
      <c r="DJ520" s="536"/>
      <c r="DK520" s="536"/>
      <c r="DL520" s="541">
        <f t="shared" si="200"/>
        <v>0</v>
      </c>
      <c r="DM520" s="536"/>
      <c r="DN520" s="536"/>
      <c r="DO520" s="536"/>
      <c r="DP520" s="541">
        <f>IF( SUM((DJ520*(20/100))+(DK520*(30/100))+(DL520*(50/100))) &gt;=9.3,9.5,
IF(AND( SUM((DJ520*(20/100))+(DK520*(30/100))+(DL520*(50/100))) &lt;=9.3, SUM((DJ520*(20/100))+(DK520*(30/100))+(DL520*(50/100))) &gt;=8.8),9,
IF(AND( SUM((DJ520*(20/100))+(DK520*(30/100))+(DL520*(50/100))) &lt;=8.8, SUM((DJ520*(20/100))+(DK520*(30/100))+(DL520*(50/100))) &gt;=8.3),8.5,
IF(AND( SUM((DJ520*(20/100))+(DK520*(30/100))+(DL520*(50/100))) &lt;=8.3, SUM((DJ520*(20/100))+(DK520*(30/100))+(DL520*(50/100))) &gt;=7.8),8,
IF(AND( SUM((DJ520*(20/100))+(DK520*(30/100))+(DL520*(50/100))) &lt;=7.8, SUM((DJ520*(20/100))+(DK520*(30/100))+(DL520*(50/100))) &gt;=7.3),7.5,
IF(AND( SUM((DJ520*(20/100))+(DK520*(30/100))+(DL520*(50/100))) &lt;=7.3, SUM((DJ520*(20/100))+(DK520*(30/100))+(DL520*(50/100))) &gt;=6.8),7,
IF(AND( SUM((DJ520*(20/100))+(DK520*(30/100))+(DL520*(50/100))) &lt;=6.8, SUM((DJ520*(20/100))+(DK520*(30/100))+(DL520*(50/100))) &gt;=6.3),6.5,
IF(AND( SUM((DJ520*(20/100))+(DK520*(30/100))+(DL520*(50/100))) &lt;=6.3, SUM((DJ520*(20/100))+(DK520*(30/100))+(DL520*(50/100))) &gt;=5.8),6,
IF(AND( SUM((DJ520*(20/100))+(DK520*(30/100))+(DL520*(50/100))) &lt;=5.8, SUM((DJ520*(20/100))+(DK520*(30/100))+(DL520*(50/100))) &gt;=5.3),5.5,
IF(AND( SUM((DJ520*(20/100))+(DK520*(30/100))+(DL520*(50/100))) &lt;=5.3, SUM((DJ520*(20/100))+(DK520*(30/100))+(DL520*(50/100))) &gt;=4.8),5,
IF(AND( SUM((DJ520*(20/100))+(DK520*(30/100))+(DL520*(50/100))) &lt;=4.8, SUM((DJ520*(20/100))+(DK520*(30/100))+(DL520*(50/100))) &gt;=4.3),4.5,
IF(AND( SUM((DJ520*(20/100))+(DK520*(30/100))+(DL520*(50/100))) &lt;=4.3, SUM((DJ520*(20/100))+(DK520*(30/100))+(DL520*(50/100))) &gt;=3.8),4,
IF(AND( SUM((DJ520*(20/100))+(DK520*(30/100))+(DL520*(50/100))) &lt;=3.8, SUM((DJ520*(20/100))+(DK520*(30/100))+(DL520*(50/100))) &gt;=3.5),3.5,0)))))))))))))</f>
        <v>0</v>
      </c>
      <c r="DQ520" s="541"/>
      <c r="DR520" s="541"/>
      <c r="DS520" s="541"/>
      <c r="DT520" s="541"/>
      <c r="DU520" s="541"/>
      <c r="DV520" s="541"/>
      <c r="DW520" s="541"/>
      <c r="DX520" s="541"/>
      <c r="DY520" s="541"/>
      <c r="DZ520" s="541"/>
    </row>
    <row r="521" spans="2:130" x14ac:dyDescent="0.25">
      <c r="B521" s="334">
        <v>14</v>
      </c>
      <c r="C521" s="541" t="s">
        <v>8597</v>
      </c>
      <c r="D521" s="334"/>
      <c r="E521" s="334">
        <v>1</v>
      </c>
      <c r="F521" s="334"/>
      <c r="G521" s="334">
        <v>8</v>
      </c>
      <c r="H521" s="334">
        <v>8</v>
      </c>
      <c r="I521" s="334">
        <v>8</v>
      </c>
      <c r="J521" s="536"/>
      <c r="K521" s="536"/>
      <c r="L521" s="536"/>
      <c r="M521" s="536"/>
      <c r="N521" s="536"/>
      <c r="O521" s="536"/>
      <c r="P521" s="536">
        <f t="shared" ref="P521:P584" si="201">IF( SUM((M521*(20/100))+(N521*(30/100))+(O521*(50/100))) &gt;=9.3,9.5,
IF(AND( SUM((M521*(20/100))+(N521*(30/100))+(O521*(50/100))) &lt;=9.3, SUM((M521*(20/100))+(N521*(30/100))+(O521*(50/100))) &gt;=8.8),9,
IF(AND( SUM((M521*(20/100))+(N521*(30/100))+(O521*(50/100))) &lt;=8.8, SUM((M521*(20/100))+(N521*(30/100))+(O521*(50/100))) &gt;=8.3),8.5,
IF(AND( SUM((M521*(20/100))+(N521*(30/100))+(O521*(50/100))) &lt;=8.3, SUM((M521*(20/100))+(N521*(30/100))+(O521*(50/100))) &gt;=7.8),8,
IF(AND( SUM((M521*(20/100))+(N521*(30/100))+(O521*(50/100))) &lt;=7.8, SUM((M521*(20/100))+(N521*(30/100))+(O521*(50/100))) &gt;=7.3),7.5,
IF(AND( SUM((M521*(20/100))+(N521*(30/100))+(O521*(50/100))) &lt;=7.3, SUM((M521*(20/100))+(N521*(30/100))+(O521*(50/100))) &gt;=6.8),7,
IF(AND( SUM((M521*(20/100))+(N521*(30/100))+(O521*(50/100))) &lt;=6.8, SUM((M521*(20/100))+(N521*(30/100))+(O521*(50/100))) &gt;=6.3),6.5,
IF(AND( SUM((M521*(20/100))+(N521*(30/100))+(O521*(50/100))) &lt;=6.3, SUM((M521*(20/100))+(N521*(30/100))+(O521*(50/100))) &gt;=5.8),6,
IF(AND( SUM((M521*(20/100))+(N521*(30/100))+(O521*(50/100))) &lt;=5.8, SUM((M521*(20/100))+(N521*(30/100))+(O521*(50/100))) &gt;=5.3),5.5,
IF(AND( SUM((M521*(20/100))+(N521*(30/100))+(O521*(50/100))) &lt;=5.3, SUM((M521*(20/100))+(N521*(30/100))+(O521*(50/100))) &gt;=4.8),5,
IF(AND( SUM((M521*(20/100))+(N521*(30/100))+(O521*(50/100))) &lt;=4.8, SUM((M521*(20/100))+(N521*(30/100))+(O521*(50/100))) &gt;=4.3),4.5,
IF(AND( SUM((M521*(20/100))+(N521*(30/100))+(O521*(50/100))) &lt;=4.3, SUM((M521*(20/100))+(N521*(30/100))+(O521*(50/100))) &gt;=3.8),4,
IF(AND( SUM((M521*(20/100))+(N521*(30/100))+(O521*(50/100))) &lt;=3.8, SUM((M521*(20/100))+(N521*(30/100))+(O521*(50/100))) &gt;=3.5),3.5,0)))))))))))))</f>
        <v>0</v>
      </c>
      <c r="Q521" s="536"/>
      <c r="R521" s="536"/>
      <c r="S521" s="536"/>
      <c r="T521" s="536">
        <f t="shared" ref="T521:T584" si="202">IF( SUM((Q521*(20/100))+(R521*(30/100))+(S521*(50/100))) &gt;=9.3,9.5,
IF(AND( SUM((Q521*(20/100))+(R521*(30/100))+(S521*(50/100))) &lt;=9.3, SUM((Q521*(20/100))+(R521*(30/100))+(S521*(50/100))) &gt;=8.8),9,
IF(AND( SUM((Q521*(20/100))+(R521*(30/100))+(S521*(50/100))) &lt;=8.8, SUM((Q521*(20/100))+(R521*(30/100))+(S521*(50/100))) &gt;=8.3),8.5,
IF(AND( SUM((Q521*(20/100))+(R521*(30/100))+(S521*(50/100))) &lt;=8.3, SUM((Q521*(20/100))+(R521*(30/100))+(S521*(50/100))) &gt;=7.8),8,
IF(AND( SUM((Q521*(20/100))+(R521*(30/100))+(S521*(50/100))) &lt;=7.8, SUM((Q521*(20/100))+(R521*(30/100))+(S521*(50/100))) &gt;=7.3),7.5,
IF(AND( SUM((Q521*(20/100))+(R521*(30/100))+(S521*(50/100))) &lt;=7.3, SUM((Q521*(20/100))+(R521*(30/100))+(S521*(50/100))) &gt;=6.8),7,
IF(AND( SUM((Q521*(20/100))+(R521*(30/100))+(S521*(50/100))) &lt;=6.8, SUM((Q521*(20/100))+(R521*(30/100))+(S521*(50/100))) &gt;=6.3),6.5,
IF(AND( SUM((Q521*(20/100))+(R521*(30/100))+(S521*(50/100))) &lt;=6.3, SUM((Q521*(20/100))+(R521*(30/100))+(S521*(50/100))) &gt;=5.8),6,
IF(AND( SUM((Q521*(20/100))+(R521*(30/100))+(S521*(50/100))) &lt;=5.8, SUM((Q521*(20/100))+(R521*(30/100))+(S521*(50/100))) &gt;=5.3),5.5,
IF(AND( SUM((Q521*(20/100))+(R521*(30/100))+(S521*(50/100))) &lt;=5.3, SUM((Q521*(20/100))+(R521*(30/100))+(S521*(50/100))) &gt;=4.8),5,
IF(AND( SUM((Q521*(20/100))+(R521*(30/100))+(S521*(50/100))) &lt;=4.8, SUM((Q521*(20/100))+(R521*(30/100))+(S521*(50/100))) &gt;=4.3),4.5,
IF(AND( SUM((Q521*(20/100))+(R521*(30/100))+(S521*(50/100))) &lt;=4.3, SUM((Q521*(20/100))+(R521*(30/100))+(S521*(50/100))) &gt;=3.8),4,
IF(AND( SUM((Q521*(20/100))+(R521*(30/100))+(S521*(50/100))) &lt;=3.8, SUM((Q521*(20/100))+(R521*(30/100))+(S521*(50/100))) &gt;=3.5),3.5,0)))))))))))))</f>
        <v>0</v>
      </c>
      <c r="U521" s="536"/>
      <c r="V521" s="536"/>
      <c r="W521" s="536"/>
      <c r="X521" s="536">
        <f t="shared" ref="X521:X584" si="203">IF( SUM((U521*(20/100))+(V521*(30/100))+(W521*(50/100))) &gt;=9.3,9.5,
IF(AND( SUM((U521*(20/100))+(V521*(30/100))+(W521*(50/100))) &lt;=9.3, SUM((U521*(20/100))+(V521*(30/100))+(W521*(50/100))) &gt;=8.8),9,
IF(AND( SUM((U521*(20/100))+(V521*(30/100))+(W521*(50/100))) &lt;=8.8, SUM((U521*(20/100))+(V521*(30/100))+(W521*(50/100))) &gt;=8.3),8.5,
IF(AND( SUM((U521*(20/100))+(V521*(30/100))+(W521*(50/100))) &lt;=8.3, SUM((U521*(20/100))+(V521*(30/100))+(W521*(50/100))) &gt;=7.8),8,
IF(AND( SUM((U521*(20/100))+(V521*(30/100))+(W521*(50/100))) &lt;=7.8, SUM((U521*(20/100))+(V521*(30/100))+(W521*(50/100))) &gt;=7.3),7.5,
IF(AND( SUM((U521*(20/100))+(V521*(30/100))+(W521*(50/100))) &lt;=7.3, SUM((U521*(20/100))+(V521*(30/100))+(W521*(50/100))) &gt;=6.8),7,
IF(AND( SUM((U521*(20/100))+(V521*(30/100))+(W521*(50/100))) &lt;=6.8, SUM((U521*(20/100))+(V521*(30/100))+(W521*(50/100))) &gt;=6.3),6.5,
IF(AND( SUM((U521*(20/100))+(V521*(30/100))+(W521*(50/100))) &lt;=6.3, SUM((U521*(20/100))+(V521*(30/100))+(W521*(50/100))) &gt;=5.8),6,
IF(AND( SUM((U521*(20/100))+(V521*(30/100))+(W521*(50/100))) &lt;=5.8, SUM((U521*(20/100))+(V521*(30/100))+(W521*(50/100))) &gt;=5.3),5.5,
IF(AND( SUM((U521*(20/100))+(V521*(30/100))+(W521*(50/100))) &lt;=5.3, SUM((U521*(20/100))+(V521*(30/100))+(W521*(50/100))) &gt;=4.8),5,
IF(AND( SUM((U521*(20/100))+(V521*(30/100))+(W521*(50/100))) &lt;=4.8, SUM((U521*(20/100))+(V521*(30/100))+(W521*(50/100))) &gt;=4.3),4.5,
IF(AND( SUM((U521*(20/100))+(V521*(30/100))+(W521*(50/100))) &lt;=4.3, SUM((U521*(20/100))+(V521*(30/100))+(W521*(50/100))) &gt;=3.8),4,
IF(AND( SUM((U521*(20/100))+(V521*(30/100))+(W521*(50/100))) &lt;=3.8, SUM((U521*(20/100))+(V521*(30/100))+(W521*(50/100))) &gt;=3.5),3.5,0)))))))))))))</f>
        <v>0</v>
      </c>
      <c r="Y521" s="536"/>
      <c r="Z521" s="536"/>
      <c r="AA521" s="536"/>
      <c r="AB521" s="536">
        <f t="shared" ref="AB521:AB584" si="204">IF( SUM((Y521*(20/100))+(Z521*(30/100))+(AA521*(50/100))) &gt;=9.3,9.5,
IF(AND( SUM((Y521*(20/100))+(Z521*(30/100))+(AA521*(50/100))) &lt;=9.3, SUM((Y521*(20/100))+(Z521*(30/100))+(AA521*(50/100))) &gt;=8.8),9,
IF(AND( SUM((Y521*(20/100))+(Z521*(30/100))+(AA521*(50/100))) &lt;=8.8, SUM((Y521*(20/100))+(Z521*(30/100))+(AA521*(50/100))) &gt;=8.3),8.5,
IF(AND( SUM((Y521*(20/100))+(Z521*(30/100))+(AA521*(50/100))) &lt;=8.3, SUM((Y521*(20/100))+(Z521*(30/100))+(AA521*(50/100))) &gt;=7.8),8,
IF(AND( SUM((Y521*(20/100))+(Z521*(30/100))+(AA521*(50/100))) &lt;=7.8, SUM((Y521*(20/100))+(Z521*(30/100))+(AA521*(50/100))) &gt;=7.3),7.5,
IF(AND( SUM((Y521*(20/100))+(Z521*(30/100))+(AA521*(50/100))) &lt;=7.3, SUM((Y521*(20/100))+(Z521*(30/100))+(AA521*(50/100))) &gt;=6.8),7,
IF(AND( SUM((Y521*(20/100))+(Z521*(30/100))+(AA521*(50/100))) &lt;=6.8, SUM((Y521*(20/100))+(Z521*(30/100))+(AA521*(50/100))) &gt;=6.3),6.5,
IF(AND( SUM((Y521*(20/100))+(Z521*(30/100))+(AA521*(50/100))) &lt;=6.3, SUM((Y521*(20/100))+(Z521*(30/100))+(AA521*(50/100))) &gt;=5.8),6,
IF(AND( SUM((Y521*(20/100))+(Z521*(30/100))+(AA521*(50/100))) &lt;=5.8, SUM((Y521*(20/100))+(Z521*(30/100))+(AA521*(50/100))) &gt;=5.3),5.5,
IF(AND( SUM((Y521*(20/100))+(Z521*(30/100))+(AA521*(50/100))) &lt;=5.3, SUM((Y521*(20/100))+(Z521*(30/100))+(AA521*(50/100))) &gt;=4.8),5,
IF(AND( SUM((Y521*(20/100))+(Z521*(30/100))+(AA521*(50/100))) &lt;=4.8, SUM((Y521*(20/100))+(Z521*(30/100))+(AA521*(50/100))) &gt;=4.3),4.5,
IF(AND( SUM((Y521*(20/100))+(Z521*(30/100))+(AA521*(50/100))) &lt;=4.3, SUM((Y521*(20/100))+(Z521*(30/100))+(AA521*(50/100))) &gt;=3.8),4,
IF(AND( SUM((Y521*(20/100))+(Z521*(30/100))+(AA521*(50/100))) &lt;=3.8, SUM((Y521*(20/100))+(Z521*(30/100))+(AA521*(50/100))) &gt;=3.5),3.5,0)))))))))))))</f>
        <v>0</v>
      </c>
      <c r="AC521" s="536"/>
      <c r="AD521" s="536"/>
      <c r="AE521" s="536"/>
      <c r="AF521" s="536">
        <f t="shared" ref="AF521:AF584" si="205">IF( SUM((AC521*(20/100))+(AD521*(30/100))+(AE521*(50/100))) &gt;=9.3,9.5,
IF(AND( SUM((AC521*(20/100))+(AD521*(30/100))+(AE521*(50/100))) &lt;=9.3, SUM((AC521*(20/100))+(AD521*(30/100))+(AE521*(50/100))) &gt;=8.8),9,
IF(AND( SUM((AC521*(20/100))+(AD521*(30/100))+(AE521*(50/100))) &lt;=8.8, SUM((AC521*(20/100))+(AD521*(30/100))+(AE521*(50/100))) &gt;=8.3),8.5,
IF(AND( SUM((AC521*(20/100))+(AD521*(30/100))+(AE521*(50/100))) &lt;=8.3, SUM((AC521*(20/100))+(AD521*(30/100))+(AE521*(50/100))) &gt;=7.8),8,
IF(AND( SUM((AC521*(20/100))+(AD521*(30/100))+(AE521*(50/100))) &lt;=7.8, SUM((AC521*(20/100))+(AD521*(30/100))+(AE521*(50/100))) &gt;=7.3),7.5,
IF(AND( SUM((AC521*(20/100))+(AD521*(30/100))+(AE521*(50/100))) &lt;=7.3, SUM((AC521*(20/100))+(AD521*(30/100))+(AE521*(50/100))) &gt;=6.8),7,
IF(AND( SUM((AC521*(20/100))+(AD521*(30/100))+(AE521*(50/100))) &lt;=6.8, SUM((AC521*(20/100))+(AD521*(30/100))+(AE521*(50/100))) &gt;=6.3),6.5,
IF(AND( SUM((AC521*(20/100))+(AD521*(30/100))+(AE521*(50/100))) &lt;=6.3, SUM((AC521*(20/100))+(AD521*(30/100))+(AE521*(50/100))) &gt;=5.8),6,
IF(AND( SUM((AC521*(20/100))+(AD521*(30/100))+(AE521*(50/100))) &lt;=5.8, SUM((AC521*(20/100))+(AD521*(30/100))+(AE521*(50/100))) &gt;=5.3),5.5,
IF(AND( SUM((AC521*(20/100))+(AD521*(30/100))+(AE521*(50/100))) &lt;=5.3, SUM((AC521*(20/100))+(AD521*(30/100))+(AE521*(50/100))) &gt;=4.8),5,
IF(AND( SUM((AC521*(20/100))+(AD521*(30/100))+(AE521*(50/100))) &lt;=4.8, SUM((AC521*(20/100))+(AD521*(30/100))+(AE521*(50/100))) &gt;=4.3),4.5,
IF(AND( SUM((AC521*(20/100))+(AD521*(30/100))+(AE521*(50/100))) &lt;=4.3, SUM((AC521*(20/100))+(AD521*(30/100))+(AE521*(50/100))) &gt;=3.8),4,
IF(AND( SUM((AC521*(20/100))+(AD521*(30/100))+(AE521*(50/100))) &lt;=3.8, SUM((AC521*(20/100))+(AD521*(30/100))+(AE521*(50/100))) &gt;=3.5),3.5,0)))))))))))))</f>
        <v>0</v>
      </c>
      <c r="AG521" s="536"/>
      <c r="AH521" s="536"/>
      <c r="AI521" s="536"/>
      <c r="AJ521" s="536">
        <f t="shared" ref="AJ521:AJ584" si="206">IF( SUM((AG521*(20/100))+(AH521*(30/100))+(AI521*(50/100))) &gt;=9.3,9.5,
IF(AND( SUM((AG521*(20/100))+(AH521*(30/100))+(AI521*(50/100))) &lt;=9.3, SUM((AG521*(20/100))+(AH521*(30/100))+(AI521*(50/100))) &gt;=8.8),9,
IF(AND( SUM((AG521*(20/100))+(AH521*(30/100))+(AI521*(50/100))) &lt;=8.8, SUM((AG521*(20/100))+(AH521*(30/100))+(AI521*(50/100))) &gt;=8.3),8.5,
IF(AND( SUM((AG521*(20/100))+(AH521*(30/100))+(AI521*(50/100))) &lt;=8.3, SUM((AG521*(20/100))+(AH521*(30/100))+(AI521*(50/100))) &gt;=7.8),8,
IF(AND( SUM((AG521*(20/100))+(AH521*(30/100))+(AI521*(50/100))) &lt;=7.8, SUM((AG521*(20/100))+(AH521*(30/100))+(AI521*(50/100))) &gt;=7.3),7.5,
IF(AND( SUM((AG521*(20/100))+(AH521*(30/100))+(AI521*(50/100))) &lt;=7.3, SUM((AG521*(20/100))+(AH521*(30/100))+(AI521*(50/100))) &gt;=6.8),7,
IF(AND( SUM((AG521*(20/100))+(AH521*(30/100))+(AI521*(50/100))) &lt;=6.8, SUM((AG521*(20/100))+(AH521*(30/100))+(AI521*(50/100))) &gt;=6.3),6.5,
IF(AND( SUM((AG521*(20/100))+(AH521*(30/100))+(AI521*(50/100))) &lt;=6.3, SUM((AG521*(20/100))+(AH521*(30/100))+(AI521*(50/100))) &gt;=5.8),6,
IF(AND( SUM((AG521*(20/100))+(AH521*(30/100))+(AI521*(50/100))) &lt;=5.8, SUM((AG521*(20/100))+(AH521*(30/100))+(AI521*(50/100))) &gt;=5.3),5.5,
IF(AND( SUM((AG521*(20/100))+(AH521*(30/100))+(AI521*(50/100))) &lt;=5.3, SUM((AG521*(20/100))+(AH521*(30/100))+(AI521*(50/100))) &gt;=4.8),5,
IF(AND( SUM((AG521*(20/100))+(AH521*(30/100))+(AI521*(50/100))) &lt;=4.8, SUM((AG521*(20/100))+(AH521*(30/100))+(AI521*(50/100))) &gt;=4.3),4.5,
IF(AND( SUM((AG521*(20/100))+(AH521*(30/100))+(AI521*(50/100))) &lt;=4.3, SUM((AG521*(20/100))+(AH521*(30/100))+(AI521*(50/100))) &gt;=3.8),4,
IF(AND( SUM((AG521*(20/100))+(AH521*(30/100))+(AI521*(50/100))) &lt;=3.8, SUM((AG521*(20/100))+(AH521*(30/100))+(AI521*(50/100))) &gt;=3.5),3.5,0)))))))))))))</f>
        <v>0</v>
      </c>
      <c r="AK521" s="536"/>
      <c r="AL521" s="536"/>
      <c r="AM521" s="536"/>
      <c r="AN521" s="542">
        <f t="shared" ref="AN521:AN584" si="207">IF( SUM((AK521*(20/100))+(AL521*(30/100))+(AM521*(50/100))) &gt;=9.3,9.5,
IF(AND( SUM((AK521*(20/100))+(AL521*(30/100))+(AM521*(50/100))) &lt;=9.3, SUM((AK521*(20/100))+(AL521*(30/100))+(AM521*(50/100))) &gt;=8.8),9,
IF(AND( SUM((AK521*(20/100))+(AL521*(30/100))+(AM521*(50/100))) &lt;=8.8, SUM((AK521*(20/100))+(AL521*(30/100))+(AM521*(50/100))) &gt;=8.3),8.5,
IF(AND( SUM((AK521*(20/100))+(AL521*(30/100))+(AM521*(50/100))) &lt;=8.3, SUM((AK521*(20/100))+(AL521*(30/100))+(AM521*(50/100))) &gt;=7.8),8,
IF(AND( SUM((AK521*(20/100))+(AL521*(30/100))+(AM521*(50/100))) &lt;=7.8, SUM((AK521*(20/100))+(AL521*(30/100))+(AM521*(50/100))) &gt;=7.3),7.5,
IF(AND( SUM((AK521*(20/100))+(AL521*(30/100))+(AM521*(50/100))) &lt;=7.3, SUM((AK521*(20/100))+(AL521*(30/100))+(AM521*(50/100))) &gt;=6.8),7,
IF(AND( SUM((AK521*(20/100))+(AL521*(30/100))+(AM521*(50/100))) &lt;=6.8, SUM((AK521*(20/100))+(AL521*(30/100))+(AM521*(50/100))) &gt;=6.3),6.5,
IF(AND( SUM((AK521*(20/100))+(AL521*(30/100))+(AM521*(50/100))) &lt;=6.3, SUM((AK521*(20/100))+(AL521*(30/100))+(AM521*(50/100))) &gt;=5.8),6,
IF(AND( SUM((AK521*(20/100))+(AL521*(30/100))+(AM521*(50/100))) &lt;=5.8, SUM((AK521*(20/100))+(AL521*(30/100))+(AM521*(50/100))) &gt;=5.3),5.5,
IF(AND( SUM((AK521*(20/100))+(AL521*(30/100))+(AM521*(50/100))) &lt;=5.3, SUM((AK521*(20/100))+(AL521*(30/100))+(AM521*(50/100))) &gt;=4.8),5,
IF(AND( SUM((AK521*(20/100))+(AL521*(30/100))+(AM521*(50/100))) &lt;=4.8, SUM((AK521*(20/100))+(AL521*(30/100))+(AM521*(50/100))) &gt;=4.3),4.5,
IF(AND( SUM((AK521*(20/100))+(AL521*(30/100))+(AM521*(50/100))) &lt;=4.3, SUM((AK521*(20/100))+(AL521*(30/100))+(AM521*(50/100))) &gt;=3.8),4,
IF(AND( SUM((AK521*(20/100))+(AL521*(30/100))+(AM521*(50/100))) &lt;=3.8, SUM((AK521*(20/100))+(AL521*(30/100))+(AM521*(50/100))) &gt;=3.5),3.5,0)))))))))))))</f>
        <v>0</v>
      </c>
      <c r="AO521" s="536"/>
      <c r="AP521" s="536"/>
      <c r="AQ521" s="536"/>
      <c r="AR521" s="542">
        <f t="shared" ref="AR521:AR584" si="208">IF( SUM((AO521*(20/100))+(AP521*(30/100))+(AQ521*(50/100))) &gt;=9.3,9.5,
IF(AND( SUM((AO521*(20/100))+(AP521*(30/100))+(AQ521*(50/100))) &lt;=9.3, SUM((AO521*(20/100))+(AP521*(30/100))+(AQ521*(50/100))) &gt;=8.8),9,
IF(AND( SUM((AO521*(20/100))+(AP521*(30/100))+(AQ521*(50/100))) &lt;=8.8, SUM((AO521*(20/100))+(AP521*(30/100))+(AQ521*(50/100))) &gt;=8.3),8.5,
IF(AND( SUM((AO521*(20/100))+(AP521*(30/100))+(AQ521*(50/100))) &lt;=8.3, SUM((AO521*(20/100))+(AP521*(30/100))+(AQ521*(50/100))) &gt;=7.8),8,
IF(AND( SUM((AO521*(20/100))+(AP521*(30/100))+(AQ521*(50/100))) &lt;=7.8, SUM((AO521*(20/100))+(AP521*(30/100))+(AQ521*(50/100))) &gt;=7.3),7.5,
IF(AND( SUM((AO521*(20/100))+(AP521*(30/100))+(AQ521*(50/100))) &lt;=7.3, SUM((AO521*(20/100))+(AP521*(30/100))+(AQ521*(50/100))) &gt;=6.8),7,
IF(AND( SUM((AO521*(20/100))+(AP521*(30/100))+(AQ521*(50/100))) &lt;=6.8, SUM((AO521*(20/100))+(AP521*(30/100))+(AQ521*(50/100))) &gt;=6.3),6.5,
IF(AND( SUM((AO521*(20/100))+(AP521*(30/100))+(AQ521*(50/100))) &lt;=6.3, SUM((AO521*(20/100))+(AP521*(30/100))+(AQ521*(50/100))) &gt;=5.8),6,
IF(AND( SUM((AO521*(20/100))+(AP521*(30/100))+(AQ521*(50/100))) &lt;=5.8, SUM((AO521*(20/100))+(AP521*(30/100))+(AQ521*(50/100))) &gt;=5.3),5.5,
IF(AND( SUM((AO521*(20/100))+(AP521*(30/100))+(AQ521*(50/100))) &lt;=5.3, SUM((AO521*(20/100))+(AP521*(30/100))+(AQ521*(50/100))) &gt;=4.8),5,
IF(AND( SUM((AO521*(20/100))+(AP521*(30/100))+(AQ521*(50/100))) &lt;=4.8, SUM((AO521*(20/100))+(AP521*(30/100))+(AQ521*(50/100))) &gt;=4.3),4.5,
IF(AND( SUM((AO521*(20/100))+(AP521*(30/100))+(AQ521*(50/100))) &lt;=4.3, SUM((AO521*(20/100))+(AP521*(30/100))+(AQ521*(50/100))) &gt;=3.8),4,
IF(AND( SUM((AO521*(20/100))+(AP521*(30/100))+(AQ521*(50/100))) &lt;=3.8, SUM((AO521*(20/100))+(AP521*(30/100))+(AQ521*(50/100))) &gt;=3.5),3.5,0)))))))))))))</f>
        <v>0</v>
      </c>
      <c r="AS521" s="536"/>
      <c r="AT521" s="536"/>
      <c r="AU521" s="536"/>
      <c r="AV521" s="542">
        <f t="shared" ref="AV521:AV584" si="209">IF( SUM((AS521*(20/100))+(AT521*(30/100))+(AU521*(50/100))) &gt;=9.3,9.5,
IF(AND( SUM((AS521*(20/100))+(AT521*(30/100))+(AU521*(50/100))) &lt;=9.3, SUM((AS521*(20/100))+(AT521*(30/100))+(AU521*(50/100))) &gt;=8.8),9,
IF(AND( SUM((AS521*(20/100))+(AT521*(30/100))+(AU521*(50/100))) &lt;=8.8, SUM((AS521*(20/100))+(AT521*(30/100))+(AU521*(50/100))) &gt;=8.3),8.5,
IF(AND( SUM((AS521*(20/100))+(AT521*(30/100))+(AU521*(50/100))) &lt;=8.3, SUM((AS521*(20/100))+(AT521*(30/100))+(AU521*(50/100))) &gt;=7.8),8,
IF(AND( SUM((AS521*(20/100))+(AT521*(30/100))+(AU521*(50/100))) &lt;=7.8, SUM((AS521*(20/100))+(AT521*(30/100))+(AU521*(50/100))) &gt;=7.3),7.5,
IF(AND( SUM((AS521*(20/100))+(AT521*(30/100))+(AU521*(50/100))) &lt;=7.3, SUM((AS521*(20/100))+(AT521*(30/100))+(AU521*(50/100))) &gt;=6.8),7,
IF(AND( SUM((AS521*(20/100))+(AT521*(30/100))+(AU521*(50/100))) &lt;=6.8, SUM((AS521*(20/100))+(AT521*(30/100))+(AU521*(50/100))) &gt;=6.3),6.5,
IF(AND( SUM((AS521*(20/100))+(AT521*(30/100))+(AU521*(50/100))) &lt;=6.3, SUM((AS521*(20/100))+(AT521*(30/100))+(AU521*(50/100))) &gt;=5.8),6,
IF(AND( SUM((AS521*(20/100))+(AT521*(30/100))+(AU521*(50/100))) &lt;=5.8, SUM((AS521*(20/100))+(AT521*(30/100))+(AU521*(50/100))) &gt;=5.3),5.5,
IF(AND( SUM((AS521*(20/100))+(AT521*(30/100))+(AU521*(50/100))) &lt;=5.3, SUM((AS521*(20/100))+(AT521*(30/100))+(AU521*(50/100))) &gt;=4.8),5,
IF(AND( SUM((AS521*(20/100))+(AT521*(30/100))+(AU521*(50/100))) &lt;=4.8, SUM((AS521*(20/100))+(AT521*(30/100))+(AU521*(50/100))) &gt;=4.3),4.5,
IF(AND( SUM((AS521*(20/100))+(AT521*(30/100))+(AU521*(50/100))) &lt;=4.3, SUM((AS521*(20/100))+(AT521*(30/100))+(AU521*(50/100))) &gt;=3.8),4,
IF(AND( SUM((AS521*(20/100))+(AT521*(30/100))+(AU521*(50/100))) &lt;=3.8, SUM((AS521*(20/100))+(AT521*(30/100))+(AU521*(50/100))) &gt;=3.5),3.5,0)))))))))))))</f>
        <v>0</v>
      </c>
      <c r="AW521" s="536"/>
      <c r="AX521" s="536"/>
      <c r="AY521" s="536"/>
      <c r="AZ521" s="542">
        <f t="shared" ref="AZ521:AZ584" si="210">IF( SUM((AW521*(20/100))+(AX521*(30/100))+(AY521*(50/100))) &gt;=9.3,9.5,
IF(AND( SUM((AW521*(20/100))+(AX521*(30/100))+(AY521*(50/100))) &lt;=9.3, SUM((AW521*(20/100))+(AX521*(30/100))+(AY521*(50/100))) &gt;=8.8),9,
IF(AND( SUM((AW521*(20/100))+(AX521*(30/100))+(AY521*(50/100))) &lt;=8.8, SUM((AW521*(20/100))+(AX521*(30/100))+(AY521*(50/100))) &gt;=8.3),8.5,
IF(AND( SUM((AW521*(20/100))+(AX521*(30/100))+(AY521*(50/100))) &lt;=8.3, SUM((AW521*(20/100))+(AX521*(30/100))+(AY521*(50/100))) &gt;=7.8),8,
IF(AND( SUM((AW521*(20/100))+(AX521*(30/100))+(AY521*(50/100))) &lt;=7.8, SUM((AW521*(20/100))+(AX521*(30/100))+(AY521*(50/100))) &gt;=7.3),7.5,
IF(AND( SUM((AW521*(20/100))+(AX521*(30/100))+(AY521*(50/100))) &lt;=7.3, SUM((AW521*(20/100))+(AX521*(30/100))+(AY521*(50/100))) &gt;=6.8),7,
IF(AND( SUM((AW521*(20/100))+(AX521*(30/100))+(AY521*(50/100))) &lt;=6.8, SUM((AW521*(20/100))+(AX521*(30/100))+(AY521*(50/100))) &gt;=6.3),6.5,
IF(AND( SUM((AW521*(20/100))+(AX521*(30/100))+(AY521*(50/100))) &lt;=6.3, SUM((AW521*(20/100))+(AX521*(30/100))+(AY521*(50/100))) &gt;=5.8),6,
IF(AND( SUM((AW521*(20/100))+(AX521*(30/100))+(AY521*(50/100))) &lt;=5.8, SUM((AW521*(20/100))+(AX521*(30/100))+(AY521*(50/100))) &gt;=5.3),5.5,
IF(AND( SUM((AW521*(20/100))+(AX521*(30/100))+(AY521*(50/100))) &lt;=5.3, SUM((AW521*(20/100))+(AX521*(30/100))+(AY521*(50/100))) &gt;=4.8),5,
IF(AND( SUM((AW521*(20/100))+(AX521*(30/100))+(AY521*(50/100))) &lt;=4.8, SUM((AW521*(20/100))+(AX521*(30/100))+(AY521*(50/100))) &gt;=4.3),4.5,
IF(AND( SUM((AW521*(20/100))+(AX521*(30/100))+(AY521*(50/100))) &lt;=4.3, SUM((AW521*(20/100))+(AX521*(30/100))+(AY521*(50/100))) &gt;=3.8),4,
IF(AND( SUM((AW521*(20/100))+(AX521*(30/100))+(AY521*(50/100))) &lt;=3.8, SUM((AW521*(20/100))+(AX521*(30/100))+(AY521*(50/100))) &gt;=3.5),3.5,0)))))))))))))</f>
        <v>0</v>
      </c>
      <c r="BA521" s="536"/>
      <c r="BB521" s="536"/>
      <c r="BC521" s="536"/>
      <c r="BD521" s="542">
        <f t="shared" ref="BD521:BD584" si="211">IF( SUM((BA521*(20/100))+(BB521*(30/100))+(BC521*(50/100))) &gt;=9.3,9.5,
IF(AND( SUM((BA521*(20/100))+(BB521*(30/100))+(BC521*(50/100))) &lt;=9.3, SUM((BA521*(20/100))+(BB521*(30/100))+(BC521*(50/100))) &gt;=8.8),9,
IF(AND( SUM((BA521*(20/100))+(BB521*(30/100))+(BC521*(50/100))) &lt;=8.8, SUM((BA521*(20/100))+(BB521*(30/100))+(BC521*(50/100))) &gt;=8.3),8.5,
IF(AND( SUM((BA521*(20/100))+(BB521*(30/100))+(BC521*(50/100))) &lt;=8.3, SUM((BA521*(20/100))+(BB521*(30/100))+(BC521*(50/100))) &gt;=7.8),8,
IF(AND( SUM((BA521*(20/100))+(BB521*(30/100))+(BC521*(50/100))) &lt;=7.8, SUM((BA521*(20/100))+(BB521*(30/100))+(BC521*(50/100))) &gt;=7.3),7.5,
IF(AND( SUM((BA521*(20/100))+(BB521*(30/100))+(BC521*(50/100))) &lt;=7.3, SUM((BA521*(20/100))+(BB521*(30/100))+(BC521*(50/100))) &gt;=6.8),7,
IF(AND( SUM((BA521*(20/100))+(BB521*(30/100))+(BC521*(50/100))) &lt;=6.8, SUM((BA521*(20/100))+(BB521*(30/100))+(BC521*(50/100))) &gt;=6.3),6.5,
IF(AND( SUM((BA521*(20/100))+(BB521*(30/100))+(BC521*(50/100))) &lt;=6.3, SUM((BA521*(20/100))+(BB521*(30/100))+(BC521*(50/100))) &gt;=5.8),6,
IF(AND( SUM((BA521*(20/100))+(BB521*(30/100))+(BC521*(50/100))) &lt;=5.8, SUM((BA521*(20/100))+(BB521*(30/100))+(BC521*(50/100))) &gt;=5.3),5.5,
IF(AND( SUM((BA521*(20/100))+(BB521*(30/100))+(BC521*(50/100))) &lt;=5.3, SUM((BA521*(20/100))+(BB521*(30/100))+(BC521*(50/100))) &gt;=4.8),5,
IF(AND( SUM((BA521*(20/100))+(BB521*(30/100))+(BC521*(50/100))) &lt;=4.8, SUM((BA521*(20/100))+(BB521*(30/100))+(BC521*(50/100))) &gt;=4.3),4.5,
IF(AND( SUM((BA521*(20/100))+(BB521*(30/100))+(BC521*(50/100))) &lt;=4.3, SUM((BA521*(20/100))+(BB521*(30/100))+(BC521*(50/100))) &gt;=3.8),4,
IF(AND( SUM((BA521*(20/100))+(BB521*(30/100))+(BC521*(50/100))) &lt;=3.8, SUM((BA521*(20/100))+(BB521*(30/100))+(BC521*(50/100))) &gt;=3.5),3.5,0)))))))))))))</f>
        <v>0</v>
      </c>
      <c r="BE521" s="536"/>
      <c r="BF521" s="536"/>
      <c r="BG521" s="536"/>
      <c r="BH521" s="542">
        <f t="shared" ref="BH521:BH584" si="212">IF( SUM((BE521*(20/100))+(BF521*(30/100))+(BG521*(50/100))) &gt;=9.3,9.5,
IF(AND( SUM((BE521*(20/100))+(BF521*(30/100))+(BG521*(50/100))) &lt;=9.3, SUM((BE521*(20/100))+(BF521*(30/100))+(BG521*(50/100))) &gt;=8.8),9,
IF(AND( SUM((BE521*(20/100))+(BF521*(30/100))+(BG521*(50/100))) &lt;=8.8, SUM((BE521*(20/100))+(BF521*(30/100))+(BG521*(50/100))) &gt;=8.3),8.5,
IF(AND( SUM((BE521*(20/100))+(BF521*(30/100))+(BG521*(50/100))) &lt;=8.3, SUM((BE521*(20/100))+(BF521*(30/100))+(BG521*(50/100))) &gt;=7.8),8,
IF(AND( SUM((BE521*(20/100))+(BF521*(30/100))+(BG521*(50/100))) &lt;=7.8, SUM((BE521*(20/100))+(BF521*(30/100))+(BG521*(50/100))) &gt;=7.3),7.5,
IF(AND( SUM((BE521*(20/100))+(BF521*(30/100))+(BG521*(50/100))) &lt;=7.3, SUM((BE521*(20/100))+(BF521*(30/100))+(BG521*(50/100))) &gt;=6.8),7,
IF(AND( SUM((BE521*(20/100))+(BF521*(30/100))+(BG521*(50/100))) &lt;=6.8, SUM((BE521*(20/100))+(BF521*(30/100))+(BG521*(50/100))) &gt;=6.3),6.5,
IF(AND( SUM((BE521*(20/100))+(BF521*(30/100))+(BG521*(50/100))) &lt;=6.3, SUM((BE521*(20/100))+(BF521*(30/100))+(BG521*(50/100))) &gt;=5.8),6,
IF(AND( SUM((BE521*(20/100))+(BF521*(30/100))+(BG521*(50/100))) &lt;=5.8, SUM((BE521*(20/100))+(BF521*(30/100))+(BG521*(50/100))) &gt;=5.3),5.5,
IF(AND( SUM((BE521*(20/100))+(BF521*(30/100))+(BG521*(50/100))) &lt;=5.3, SUM((BE521*(20/100))+(BF521*(30/100))+(BG521*(50/100))) &gt;=4.8),5,
IF(AND( SUM((BE521*(20/100))+(BF521*(30/100))+(BG521*(50/100))) &lt;=4.8, SUM((BE521*(20/100))+(BF521*(30/100))+(BG521*(50/100))) &gt;=4.3),4.5,
IF(AND( SUM((BE521*(20/100))+(BF521*(30/100))+(BG521*(50/100))) &lt;=4.3, SUM((BE521*(20/100))+(BF521*(30/100))+(BG521*(50/100))) &gt;=3.8),4,
IF(AND( SUM((BE521*(20/100))+(BF521*(30/100))+(BG521*(50/100))) &lt;=3.8, SUM((BE521*(20/100))+(BF521*(30/100))+(BG521*(50/100))) &gt;=3.5),3.5,0)))))))))))))</f>
        <v>0</v>
      </c>
      <c r="BI521" s="536"/>
      <c r="BJ521" s="536"/>
      <c r="BK521" s="536"/>
      <c r="BL521" s="542">
        <f t="shared" ref="BL521:BL584" si="213">IF( SUM((BI521*(20/100))+(BJ521*(30/100))+(BK521*(50/100))) &gt;=9.3,9.5,
IF(AND( SUM((BI521*(20/100))+(BJ521*(30/100))+(BK521*(50/100))) &lt;=9.3, SUM((BI521*(20/100))+(BJ521*(30/100))+(BK521*(50/100))) &gt;=8.8),9,
IF(AND( SUM((BI521*(20/100))+(BJ521*(30/100))+(BK521*(50/100))) &lt;=8.8, SUM((BI521*(20/100))+(BJ521*(30/100))+(BK521*(50/100))) &gt;=8.3),8.5,
IF(AND( SUM((BI521*(20/100))+(BJ521*(30/100))+(BK521*(50/100))) &lt;=8.3, SUM((BI521*(20/100))+(BJ521*(30/100))+(BK521*(50/100))) &gt;=7.8),8,
IF(AND( SUM((BI521*(20/100))+(BJ521*(30/100))+(BK521*(50/100))) &lt;=7.8, SUM((BI521*(20/100))+(BJ521*(30/100))+(BK521*(50/100))) &gt;=7.3),7.5,
IF(AND( SUM((BI521*(20/100))+(BJ521*(30/100))+(BK521*(50/100))) &lt;=7.3, SUM((BI521*(20/100))+(BJ521*(30/100))+(BK521*(50/100))) &gt;=6.8),7,
IF(AND( SUM((BI521*(20/100))+(BJ521*(30/100))+(BK521*(50/100))) &lt;=6.8, SUM((BI521*(20/100))+(BJ521*(30/100))+(BK521*(50/100))) &gt;=6.3),6.5,
IF(AND( SUM((BI521*(20/100))+(BJ521*(30/100))+(BK521*(50/100))) &lt;=6.3, SUM((BI521*(20/100))+(BJ521*(30/100))+(BK521*(50/100))) &gt;=5.8),6,
IF(AND( SUM((BI521*(20/100))+(BJ521*(30/100))+(BK521*(50/100))) &lt;=5.8, SUM((BI521*(20/100))+(BJ521*(30/100))+(BK521*(50/100))) &gt;=5.3),5.5,
IF(AND( SUM((BI521*(20/100))+(BJ521*(30/100))+(BK521*(50/100))) &lt;=5.3, SUM((BI521*(20/100))+(BJ521*(30/100))+(BK521*(50/100))) &gt;=4.8),5,
IF(AND( SUM((BI521*(20/100))+(BJ521*(30/100))+(BK521*(50/100))) &lt;=4.8, SUM((BI521*(20/100))+(BJ521*(30/100))+(BK521*(50/100))) &gt;=4.3),4.5,
IF(AND( SUM((BI521*(20/100))+(BJ521*(30/100))+(BK521*(50/100))) &lt;=4.3, SUM((BI521*(20/100))+(BJ521*(30/100))+(BK521*(50/100))) &gt;=3.8),4,
IF(AND( SUM((BI521*(20/100))+(BJ521*(30/100))+(BK521*(50/100))) &lt;=3.8, SUM((BI521*(20/100))+(BJ521*(30/100))+(BK521*(50/100))) &gt;=3.5),3.5,0)))))))))))))</f>
        <v>0</v>
      </c>
      <c r="BM521" s="536"/>
      <c r="BN521" s="536"/>
      <c r="BO521" s="536"/>
      <c r="BP521" s="542">
        <f t="shared" ref="BP521:BP584" si="214">IF( SUM((BM521*(20/100))+(BN521*(30/100))+(BO521*(50/100))) &gt;=9.3,9.5,
IF(AND( SUM((BM521*(20/100))+(BN521*(30/100))+(BO521*(50/100))) &lt;=9.3, SUM((BM521*(20/100))+(BN521*(30/100))+(BO521*(50/100))) &gt;=8.8),9,
IF(AND( SUM((BM521*(20/100))+(BN521*(30/100))+(BO521*(50/100))) &lt;=8.8, SUM((BM521*(20/100))+(BN521*(30/100))+(BO521*(50/100))) &gt;=8.3),8.5,
IF(AND( SUM((BM521*(20/100))+(BN521*(30/100))+(BO521*(50/100))) &lt;=8.3, SUM((BM521*(20/100))+(BN521*(30/100))+(BO521*(50/100))) &gt;=7.8),8,
IF(AND( SUM((BM521*(20/100))+(BN521*(30/100))+(BO521*(50/100))) &lt;=7.8, SUM((BM521*(20/100))+(BN521*(30/100))+(BO521*(50/100))) &gt;=7.3),7.5,
IF(AND( SUM((BM521*(20/100))+(BN521*(30/100))+(BO521*(50/100))) &lt;=7.3, SUM((BM521*(20/100))+(BN521*(30/100))+(BO521*(50/100))) &gt;=6.8),7,
IF(AND( SUM((BM521*(20/100))+(BN521*(30/100))+(BO521*(50/100))) &lt;=6.8, SUM((BM521*(20/100))+(BN521*(30/100))+(BO521*(50/100))) &gt;=6.3),6.5,
IF(AND( SUM((BM521*(20/100))+(BN521*(30/100))+(BO521*(50/100))) &lt;=6.3, SUM((BM521*(20/100))+(BN521*(30/100))+(BO521*(50/100))) &gt;=5.8),6,
IF(AND( SUM((BM521*(20/100))+(BN521*(30/100))+(BO521*(50/100))) &lt;=5.8, SUM((BM521*(20/100))+(BN521*(30/100))+(BO521*(50/100))) &gt;=5.3),5.5,
IF(AND( SUM((BM521*(20/100))+(BN521*(30/100))+(BO521*(50/100))) &lt;=5.3, SUM((BM521*(20/100))+(BN521*(30/100))+(BO521*(50/100))) &gt;=4.8),5,
IF(AND( SUM((BM521*(20/100))+(BN521*(30/100))+(BO521*(50/100))) &lt;=4.8, SUM((BM521*(20/100))+(BN521*(30/100))+(BO521*(50/100))) &gt;=4.3),4.5,
IF(AND( SUM((BM521*(20/100))+(BN521*(30/100))+(BO521*(50/100))) &lt;=4.3, SUM((BM521*(20/100))+(BN521*(30/100))+(BO521*(50/100))) &gt;=3.8),4,
IF(AND( SUM((BM521*(20/100))+(BN521*(30/100))+(BO521*(50/100))) &lt;=3.8, SUM((BM521*(20/100))+(BN521*(30/100))+(BO521*(50/100))) &gt;=3.5),3.5,0)))))))))))))</f>
        <v>0</v>
      </c>
      <c r="BQ521" s="536"/>
      <c r="BR521" s="536"/>
      <c r="BS521" s="536"/>
      <c r="BT521" s="542">
        <f t="shared" ref="BT521:BT584" si="215">IF( SUM((BQ521*(20/100))+(BR521*(30/100))+(BS521*(50/100))) &gt;=9.3,9.5,
IF(AND( SUM((BQ521*(20/100))+(BR521*(30/100))+(BS521*(50/100))) &lt;=9.3, SUM((BQ521*(20/100))+(BR521*(30/100))+(BS521*(50/100))) &gt;=8.8),9,
IF(AND( SUM((BQ521*(20/100))+(BR521*(30/100))+(BS521*(50/100))) &lt;=8.8, SUM((BQ521*(20/100))+(BR521*(30/100))+(BS521*(50/100))) &gt;=8.3),8.5,
IF(AND( SUM((BQ521*(20/100))+(BR521*(30/100))+(BS521*(50/100))) &lt;=8.3, SUM((BQ521*(20/100))+(BR521*(30/100))+(BS521*(50/100))) &gt;=7.8),8,
IF(AND( SUM((BQ521*(20/100))+(BR521*(30/100))+(BS521*(50/100))) &lt;=7.8, SUM((BQ521*(20/100))+(BR521*(30/100))+(BS521*(50/100))) &gt;=7.3),7.5,
IF(AND( SUM((BQ521*(20/100))+(BR521*(30/100))+(BS521*(50/100))) &lt;=7.3, SUM((BQ521*(20/100))+(BR521*(30/100))+(BS521*(50/100))) &gt;=6.8),7,
IF(AND( SUM((BQ521*(20/100))+(BR521*(30/100))+(BS521*(50/100))) &lt;=6.8, SUM((BQ521*(20/100))+(BR521*(30/100))+(BS521*(50/100))) &gt;=6.3),6.5,
IF(AND( SUM((BQ521*(20/100))+(BR521*(30/100))+(BS521*(50/100))) &lt;=6.3, SUM((BQ521*(20/100))+(BR521*(30/100))+(BS521*(50/100))) &gt;=5.8),6,
IF(AND( SUM((BQ521*(20/100))+(BR521*(30/100))+(BS521*(50/100))) &lt;=5.8, SUM((BQ521*(20/100))+(BR521*(30/100))+(BS521*(50/100))) &gt;=5.3),5.5,
IF(AND( SUM((BQ521*(20/100))+(BR521*(30/100))+(BS521*(50/100))) &lt;=5.3, SUM((BQ521*(20/100))+(BR521*(30/100))+(BS521*(50/100))) &gt;=4.8),5,
IF(AND( SUM((BQ521*(20/100))+(BR521*(30/100))+(BS521*(50/100))) &lt;=4.8, SUM((BQ521*(20/100))+(BR521*(30/100))+(BS521*(50/100))) &gt;=4.3),4.5,
IF(AND( SUM((BQ521*(20/100))+(BR521*(30/100))+(BS521*(50/100))) &lt;=4.3, SUM((BQ521*(20/100))+(BR521*(30/100))+(BS521*(50/100))) &gt;=3.8),4,
IF(AND( SUM((BQ521*(20/100))+(BR521*(30/100))+(BS521*(50/100))) &lt;=3.8, SUM((BQ521*(20/100))+(BR521*(30/100))+(BS521*(50/100))) &gt;=3.5),3.5,0)))))))))))))</f>
        <v>0</v>
      </c>
      <c r="BU521" s="536"/>
      <c r="BV521" s="536"/>
      <c r="BW521" s="536"/>
      <c r="BX521" s="542">
        <f t="shared" ref="BX521:BX584" si="216">IF( SUM((BU521*(20/100))+(BV521*(30/100))+(BW521*(50/100))) &gt;=9.3,9.5,
IF(AND( SUM((BU521*(20/100))+(BV521*(30/100))+(BW521*(50/100))) &lt;=9.3, SUM((BU521*(20/100))+(BV521*(30/100))+(BW521*(50/100))) &gt;=8.8),9,
IF(AND( SUM((BU521*(20/100))+(BV521*(30/100))+(BW521*(50/100))) &lt;=8.8, SUM((BU521*(20/100))+(BV521*(30/100))+(BW521*(50/100))) &gt;=8.3),8.5,
IF(AND( SUM((BU521*(20/100))+(BV521*(30/100))+(BW521*(50/100))) &lt;=8.3, SUM((BU521*(20/100))+(BV521*(30/100))+(BW521*(50/100))) &gt;=7.8),8,
IF(AND( SUM((BU521*(20/100))+(BV521*(30/100))+(BW521*(50/100))) &lt;=7.8, SUM((BU521*(20/100))+(BV521*(30/100))+(BW521*(50/100))) &gt;=7.3),7.5,
IF(AND( SUM((BU521*(20/100))+(BV521*(30/100))+(BW521*(50/100))) &lt;=7.3, SUM((BU521*(20/100))+(BV521*(30/100))+(BW521*(50/100))) &gt;=6.8),7,
IF(AND( SUM((BU521*(20/100))+(BV521*(30/100))+(BW521*(50/100))) &lt;=6.8, SUM((BU521*(20/100))+(BV521*(30/100))+(BW521*(50/100))) &gt;=6.3),6.5,
IF(AND( SUM((BU521*(20/100))+(BV521*(30/100))+(BW521*(50/100))) &lt;=6.3, SUM((BU521*(20/100))+(BV521*(30/100))+(BW521*(50/100))) &gt;=5.8),6,
IF(AND( SUM((BU521*(20/100))+(BV521*(30/100))+(BW521*(50/100))) &lt;=5.8, SUM((BU521*(20/100))+(BV521*(30/100))+(BW521*(50/100))) &gt;=5.3),5.5,
IF(AND( SUM((BU521*(20/100))+(BV521*(30/100))+(BW521*(50/100))) &lt;=5.3, SUM((BU521*(20/100))+(BV521*(30/100))+(BW521*(50/100))) &gt;=4.8),5,
IF(AND( SUM((BU521*(20/100))+(BV521*(30/100))+(BW521*(50/100))) &lt;=4.8, SUM((BU521*(20/100))+(BV521*(30/100))+(BW521*(50/100))) &gt;=4.3),4.5,
IF(AND( SUM((BU521*(20/100))+(BV521*(30/100))+(BW521*(50/100))) &lt;=4.3, SUM((BU521*(20/100))+(BV521*(30/100))+(BW521*(50/100))) &gt;=3.8),4,
IF(AND( SUM((BU521*(20/100))+(BV521*(30/100))+(BW521*(50/100))) &lt;=3.8, SUM((BU521*(20/100))+(BV521*(30/100))+(BW521*(50/100))) &gt;=3.5),3.5,0)))))))))))))</f>
        <v>0</v>
      </c>
      <c r="BY521" s="536"/>
      <c r="BZ521" s="536"/>
      <c r="CA521" s="536"/>
      <c r="CB521" s="542">
        <v>0</v>
      </c>
      <c r="CC521" s="536"/>
      <c r="CD521" s="536"/>
      <c r="CE521" s="536"/>
      <c r="CF521" s="541">
        <f t="shared" ref="CF521:CF584" si="217">IF( SUM((CC521*(20/100))+(CD521*(30/100))+(CE521*(50/100))) &gt;=9.3,9.5,
IF(AND( SUM((CC521*(20/100))+(CD521*(30/100))+(CE521*(50/100))) &lt;=9.3, SUM((CC521*(20/100))+(CD521*(30/100))+(CE521*(50/100))) &gt;=8.8),9,
IF(AND( SUM((CC521*(20/100))+(CD521*(30/100))+(CE521*(50/100))) &lt;=8.8, SUM((CC521*(20/100))+(CD521*(30/100))+(CE521*(50/100))) &gt;=8.3),8.5,
IF(AND( SUM((CC521*(20/100))+(CD521*(30/100))+(CE521*(50/100))) &lt;=8.3, SUM((CC521*(20/100))+(CD521*(30/100))+(CE521*(50/100))) &gt;=7.8),8,
IF(AND( SUM((CC521*(20/100))+(CD521*(30/100))+(CE521*(50/100))) &lt;=7.8, SUM((CC521*(20/100))+(CD521*(30/100))+(CE521*(50/100))) &gt;=7.3),7.5,
IF(AND( SUM((CC521*(20/100))+(CD521*(30/100))+(CE521*(50/100))) &lt;=7.3, SUM((CC521*(20/100))+(CD521*(30/100))+(CE521*(50/100))) &gt;=6.8),7,
IF(AND( SUM((CC521*(20/100))+(CD521*(30/100))+(CE521*(50/100))) &lt;=6.8, SUM((CC521*(20/100))+(CD521*(30/100))+(CE521*(50/100))) &gt;=6.3),6.5,
IF(AND( SUM((CC521*(20/100))+(CD521*(30/100))+(CE521*(50/100))) &lt;=6.3, SUM((CC521*(20/100))+(CD521*(30/100))+(CE521*(50/100))) &gt;=5.8),6,
IF(AND( SUM((CC521*(20/100))+(CD521*(30/100))+(CE521*(50/100))) &lt;=5.8, SUM((CC521*(20/100))+(CD521*(30/100))+(CE521*(50/100))) &gt;=5.3),5.5,
IF(AND( SUM((CC521*(20/100))+(CD521*(30/100))+(CE521*(50/100))) &lt;=5.3, SUM((CC521*(20/100))+(CD521*(30/100))+(CE521*(50/100))) &gt;=4.8),5,
IF(AND( SUM((CC521*(20/100))+(CD521*(30/100))+(CE521*(50/100))) &lt;=4.8, SUM((CC521*(20/100))+(CD521*(30/100))+(CE521*(50/100))) &gt;=4.3),4.5,
IF(AND( SUM((CC521*(20/100))+(CD521*(30/100))+(CE521*(50/100))) &lt;=4.3, SUM((CC521*(20/100))+(CD521*(30/100))+(CE521*(50/100))) &gt;=3.8),4,
IF(AND( SUM((CC521*(20/100))+(CD521*(30/100))+(CE521*(50/100))) &lt;=3.8, SUM((CC521*(20/100))+(CD521*(30/100))+(CE521*(50/100))) &gt;=3.5),3.5,0)))))))))))))</f>
        <v>0</v>
      </c>
      <c r="CG521" s="536"/>
      <c r="CH521" s="536"/>
      <c r="CI521" s="536"/>
      <c r="CJ521" s="541">
        <f t="shared" ref="CJ521:CJ584" si="218">IF( SUM((CG521*(20/100))+(CH521*(30/100))+(CI521*(50/100))) &gt;=9.3,9.5,
IF(AND( SUM((CG521*(20/100))+(CH521*(30/100))+(CI521*(50/100))) &lt;=9.3, SUM((CG521*(20/100))+(CH521*(30/100))+(CI521*(50/100))) &gt;=8.8),9,
IF(AND( SUM((CG521*(20/100))+(CH521*(30/100))+(CI521*(50/100))) &lt;=8.8, SUM((CG521*(20/100))+(CH521*(30/100))+(CI521*(50/100))) &gt;=8.3),8.5,
IF(AND( SUM((CG521*(20/100))+(CH521*(30/100))+(CI521*(50/100))) &lt;=8.3, SUM((CG521*(20/100))+(CH521*(30/100))+(CI521*(50/100))) &gt;=7.8),8,
IF(AND( SUM((CG521*(20/100))+(CH521*(30/100))+(CI521*(50/100))) &lt;=7.8, SUM((CG521*(20/100))+(CH521*(30/100))+(CI521*(50/100))) &gt;=7.3),7.5,
IF(AND( SUM((CG521*(20/100))+(CH521*(30/100))+(CI521*(50/100))) &lt;=7.3, SUM((CG521*(20/100))+(CH521*(30/100))+(CI521*(50/100))) &gt;=6.8),7,
IF(AND( SUM((CG521*(20/100))+(CH521*(30/100))+(CI521*(50/100))) &lt;=6.8, SUM((CG521*(20/100))+(CH521*(30/100))+(CI521*(50/100))) &gt;=6.3),6.5,
IF(AND( SUM((CG521*(20/100))+(CH521*(30/100))+(CI521*(50/100))) &lt;=6.3, SUM((CG521*(20/100))+(CH521*(30/100))+(CI521*(50/100))) &gt;=5.8),6,
IF(AND( SUM((CG521*(20/100))+(CH521*(30/100))+(CI521*(50/100))) &lt;=5.8, SUM((CG521*(20/100))+(CH521*(30/100))+(CI521*(50/100))) &gt;=5.3),5.5,
IF(AND( SUM((CG521*(20/100))+(CH521*(30/100))+(CI521*(50/100))) &lt;=5.3, SUM((CG521*(20/100))+(CH521*(30/100))+(CI521*(50/100))) &gt;=4.8),5,
IF(AND( SUM((CG521*(20/100))+(CH521*(30/100))+(CI521*(50/100))) &lt;=4.8, SUM((CG521*(20/100))+(CH521*(30/100))+(CI521*(50/100))) &gt;=4.3),4.5,
IF(AND( SUM((CG521*(20/100))+(CH521*(30/100))+(CI521*(50/100))) &lt;=4.3, SUM((CG521*(20/100))+(CH521*(30/100))+(CI521*(50/100))) &gt;=3.8),4,
IF(AND( SUM((CG521*(20/100))+(CH521*(30/100))+(CI521*(50/100))) &lt;=3.8, SUM((CG521*(20/100))+(CH521*(30/100))+(CI521*(50/100))) &gt;=3.5),3.5,0)))))))))))))</f>
        <v>0</v>
      </c>
      <c r="CK521" s="536"/>
      <c r="CL521" s="536"/>
      <c r="CM521" s="536"/>
      <c r="CN521" s="541">
        <f t="shared" ref="CN521:CN584" si="219">IF( SUM((CK521*(20/100))+(CL521*(30/100))+(CM521*(50/100))) &gt;=9.3,9.5,
IF(AND( SUM((CK521*(20/100))+(CL521*(30/100))+(CM521*(50/100))) &lt;=9.3, SUM((CK521*(20/100))+(CL521*(30/100))+(CM521*(50/100))) &gt;=8.8),9,
IF(AND( SUM((CK521*(20/100))+(CL521*(30/100))+(CM521*(50/100))) &lt;=8.8, SUM((CK521*(20/100))+(CL521*(30/100))+(CM521*(50/100))) &gt;=8.3),8.5,
IF(AND( SUM((CK521*(20/100))+(CL521*(30/100))+(CM521*(50/100))) &lt;=8.3, SUM((CK521*(20/100))+(CL521*(30/100))+(CM521*(50/100))) &gt;=7.8),8,
IF(AND( SUM((CK521*(20/100))+(CL521*(30/100))+(CM521*(50/100))) &lt;=7.8, SUM((CK521*(20/100))+(CL521*(30/100))+(CM521*(50/100))) &gt;=7.3),7.5,
IF(AND( SUM((CK521*(20/100))+(CL521*(30/100))+(CM521*(50/100))) &lt;=7.3, SUM((CK521*(20/100))+(CL521*(30/100))+(CM521*(50/100))) &gt;=6.8),7,
IF(AND( SUM((CK521*(20/100))+(CL521*(30/100))+(CM521*(50/100))) &lt;=6.8, SUM((CK521*(20/100))+(CL521*(30/100))+(CM521*(50/100))) &gt;=6.3),6.5,
IF(AND( SUM((CK521*(20/100))+(CL521*(30/100))+(CM521*(50/100))) &lt;=6.3, SUM((CK521*(20/100))+(CL521*(30/100))+(CM521*(50/100))) &gt;=5.8),6,
IF(AND( SUM((CK521*(20/100))+(CL521*(30/100))+(CM521*(50/100))) &lt;=5.8, SUM((CK521*(20/100))+(CL521*(30/100))+(CM521*(50/100))) &gt;=5.3),5.5,
IF(AND( SUM((CK521*(20/100))+(CL521*(30/100))+(CM521*(50/100))) &lt;=5.3, SUM((CK521*(20/100))+(CL521*(30/100))+(CM521*(50/100))) &gt;=4.8),5,
IF(AND( SUM((CK521*(20/100))+(CL521*(30/100))+(CM521*(50/100))) &lt;=4.8, SUM((CK521*(20/100))+(CL521*(30/100))+(CM521*(50/100))) &gt;=4.3),4.5,
IF(AND( SUM((CK521*(20/100))+(CL521*(30/100))+(CM521*(50/100))) &lt;=4.3, SUM((CK521*(20/100))+(CL521*(30/100))+(CM521*(50/100))) &gt;=3.8),4,
IF(AND( SUM((CK521*(20/100))+(CL521*(30/100))+(CM521*(50/100))) &lt;=3.8, SUM((CK521*(20/100))+(CL521*(30/100))+(CM521*(50/100))) &gt;=3.5),3.5,0)))))))))))))</f>
        <v>0</v>
      </c>
      <c r="CO521" s="536"/>
      <c r="CP521" s="536"/>
      <c r="CQ521" s="536"/>
      <c r="CR521" s="541">
        <f t="shared" ref="CR521:CR584" si="220">IF( SUM((CO521*(20/100))+(CP521*(30/100))+(CQ521*(50/100))) &gt;=9.3,9.5,
IF(AND( SUM((CO521*(20/100))+(CP521*(30/100))+(CQ521*(50/100))) &lt;=9.3, SUM((CO521*(20/100))+(CP521*(30/100))+(CQ521*(50/100))) &gt;=8.8),9,
IF(AND( SUM((CO521*(20/100))+(CP521*(30/100))+(CQ521*(50/100))) &lt;=8.8, SUM((CO521*(20/100))+(CP521*(30/100))+(CQ521*(50/100))) &gt;=8.3),8.5,
IF(AND( SUM((CO521*(20/100))+(CP521*(30/100))+(CQ521*(50/100))) &lt;=8.3, SUM((CO521*(20/100))+(CP521*(30/100))+(CQ521*(50/100))) &gt;=7.8),8,
IF(AND( SUM((CO521*(20/100))+(CP521*(30/100))+(CQ521*(50/100))) &lt;=7.8, SUM((CO521*(20/100))+(CP521*(30/100))+(CQ521*(50/100))) &gt;=7.3),7.5,
IF(AND( SUM((CO521*(20/100))+(CP521*(30/100))+(CQ521*(50/100))) &lt;=7.3, SUM((CO521*(20/100))+(CP521*(30/100))+(CQ521*(50/100))) &gt;=6.8),7,
IF(AND( SUM((CO521*(20/100))+(CP521*(30/100))+(CQ521*(50/100))) &lt;=6.8, SUM((CO521*(20/100))+(CP521*(30/100))+(CQ521*(50/100))) &gt;=6.3),6.5,
IF(AND( SUM((CO521*(20/100))+(CP521*(30/100))+(CQ521*(50/100))) &lt;=6.3, SUM((CO521*(20/100))+(CP521*(30/100))+(CQ521*(50/100))) &gt;=5.8),6,
IF(AND( SUM((CO521*(20/100))+(CP521*(30/100))+(CQ521*(50/100))) &lt;=5.8, SUM((CO521*(20/100))+(CP521*(30/100))+(CQ521*(50/100))) &gt;=5.3),5.5,
IF(AND( SUM((CO521*(20/100))+(CP521*(30/100))+(CQ521*(50/100))) &lt;=5.3, SUM((CO521*(20/100))+(CP521*(30/100))+(CQ521*(50/100))) &gt;=4.8),5,
IF(AND( SUM((CO521*(20/100))+(CP521*(30/100))+(CQ521*(50/100))) &lt;=4.8, SUM((CO521*(20/100))+(CP521*(30/100))+(CQ521*(50/100))) &gt;=4.3),4.5,
IF(AND( SUM((CO521*(20/100))+(CP521*(30/100))+(CQ521*(50/100))) &lt;=4.3, SUM((CO521*(20/100))+(CP521*(30/100))+(CQ521*(50/100))) &gt;=3.8),4,
IF(AND( SUM((CO521*(20/100))+(CP521*(30/100))+(CQ521*(50/100))) &lt;=3.8, SUM((CO521*(20/100))+(CP521*(30/100))+(CQ521*(50/100))) &gt;=3.5),3.5,0)))))))))))))</f>
        <v>0</v>
      </c>
      <c r="CS521" s="536"/>
      <c r="CT521" s="536"/>
      <c r="CU521" s="536"/>
      <c r="CV521" s="541">
        <f t="shared" ref="CV521:CV584" si="221">IF( SUM((CS521*(20/100))+(CT521*(30/100))+(CU521*(50/100))) &gt;=9.3,9.5,
IF(AND( SUM((CS521*(20/100))+(CT521*(30/100))+(CU521*(50/100))) &lt;=9.3, SUM((CS521*(20/100))+(CT521*(30/100))+(CU521*(50/100))) &gt;=8.8),9,
IF(AND( SUM((CS521*(20/100))+(CT521*(30/100))+(CU521*(50/100))) &lt;=8.8, SUM((CS521*(20/100))+(CT521*(30/100))+(CU521*(50/100))) &gt;=8.3),8.5,
IF(AND( SUM((CS521*(20/100))+(CT521*(30/100))+(CU521*(50/100))) &lt;=8.3, SUM((CS521*(20/100))+(CT521*(30/100))+(CU521*(50/100))) &gt;=7.8),8,
IF(AND( SUM((CS521*(20/100))+(CT521*(30/100))+(CU521*(50/100))) &lt;=7.8, SUM((CS521*(20/100))+(CT521*(30/100))+(CU521*(50/100))) &gt;=7.3),7.5,
IF(AND( SUM((CS521*(20/100))+(CT521*(30/100))+(CU521*(50/100))) &lt;=7.3, SUM((CS521*(20/100))+(CT521*(30/100))+(CU521*(50/100))) &gt;=6.8),7,
IF(AND( SUM((CS521*(20/100))+(CT521*(30/100))+(CU521*(50/100))) &lt;=6.8, SUM((CS521*(20/100))+(CT521*(30/100))+(CU521*(50/100))) &gt;=6.3),6.5,
IF(AND( SUM((CS521*(20/100))+(CT521*(30/100))+(CU521*(50/100))) &lt;=6.3, SUM((CS521*(20/100))+(CT521*(30/100))+(CU521*(50/100))) &gt;=5.8),6,
IF(AND( SUM((CS521*(20/100))+(CT521*(30/100))+(CU521*(50/100))) &lt;=5.8, SUM((CS521*(20/100))+(CT521*(30/100))+(CU521*(50/100))) &gt;=5.3),5.5,
IF(AND( SUM((CS521*(20/100))+(CT521*(30/100))+(CU521*(50/100))) &lt;=5.3, SUM((CS521*(20/100))+(CT521*(30/100))+(CU521*(50/100))) &gt;=4.8),5,
IF(AND( SUM((CS521*(20/100))+(CT521*(30/100))+(CU521*(50/100))) &lt;=4.8, SUM((CS521*(20/100))+(CT521*(30/100))+(CU521*(50/100))) &gt;=4.3),4.5,
IF(AND( SUM((CS521*(20/100))+(CT521*(30/100))+(CU521*(50/100))) &lt;=4.3, SUM((CS521*(20/100))+(CT521*(30/100))+(CU521*(50/100))) &gt;=3.8),4,
IF(AND( SUM((CS521*(20/100))+(CT521*(30/100))+(CU521*(50/100))) &lt;=3.8, SUM((CS521*(20/100))+(CT521*(30/100))+(CU521*(50/100))) &gt;=3.5),3.5,0)))))))))))))</f>
        <v>0</v>
      </c>
      <c r="CW521" s="536"/>
      <c r="CX521" s="536"/>
      <c r="CY521" s="536"/>
      <c r="CZ521" s="541">
        <f t="shared" ref="CZ521:CZ584" si="222">IF( SUM((CW521*(20/100))+(CX521*(30/100))+(CY521*(50/100))) &gt;=9.3,9.5,
IF(AND( SUM((CW521*(20/100))+(CX521*(30/100))+(CY521*(50/100))) &lt;=9.3, SUM((CW521*(20/100))+(CX521*(30/100))+(CY521*(50/100))) &gt;=8.8),9,
IF(AND( SUM((CW521*(20/100))+(CX521*(30/100))+(CY521*(50/100))) &lt;=8.8, SUM((CW521*(20/100))+(CX521*(30/100))+(CY521*(50/100))) &gt;=8.3),8.5,
IF(AND( SUM((CW521*(20/100))+(CX521*(30/100))+(CY521*(50/100))) &lt;=8.3, SUM((CW521*(20/100))+(CX521*(30/100))+(CY521*(50/100))) &gt;=7.8),8,
IF(AND( SUM((CW521*(20/100))+(CX521*(30/100))+(CY521*(50/100))) &lt;=7.8, SUM((CW521*(20/100))+(CX521*(30/100))+(CY521*(50/100))) &gt;=7.3),7.5,
IF(AND( SUM((CW521*(20/100))+(CX521*(30/100))+(CY521*(50/100))) &lt;=7.3, SUM((CW521*(20/100))+(CX521*(30/100))+(CY521*(50/100))) &gt;=6.8),7,
IF(AND( SUM((CW521*(20/100))+(CX521*(30/100))+(CY521*(50/100))) &lt;=6.8, SUM((CW521*(20/100))+(CX521*(30/100))+(CY521*(50/100))) &gt;=6.3),6.5,
IF(AND( SUM((CW521*(20/100))+(CX521*(30/100))+(CY521*(50/100))) &lt;=6.3, SUM((CW521*(20/100))+(CX521*(30/100))+(CY521*(50/100))) &gt;=5.8),6,
IF(AND( SUM((CW521*(20/100))+(CX521*(30/100))+(CY521*(50/100))) &lt;=5.8, SUM((CW521*(20/100))+(CX521*(30/100))+(CY521*(50/100))) &gt;=5.3),5.5,
IF(AND( SUM((CW521*(20/100))+(CX521*(30/100))+(CY521*(50/100))) &lt;=5.3, SUM((CW521*(20/100))+(CX521*(30/100))+(CY521*(50/100))) &gt;=4.8),5,
IF(AND( SUM((CW521*(20/100))+(CX521*(30/100))+(CY521*(50/100))) &lt;=4.8, SUM((CW521*(20/100))+(CX521*(30/100))+(CY521*(50/100))) &gt;=4.3),4.5,
IF(AND( SUM((CW521*(20/100))+(CX521*(30/100))+(CY521*(50/100))) &lt;=4.3, SUM((CW521*(20/100))+(CX521*(30/100))+(CY521*(50/100))) &gt;=3.8),4,
IF(AND( SUM((CW521*(20/100))+(CX521*(30/100))+(CY521*(50/100))) &lt;=3.8, SUM((CW521*(20/100))+(CX521*(30/100))+(CY521*(50/100))) &gt;=3.5),3.5,0)))))))))))))</f>
        <v>0</v>
      </c>
      <c r="DA521" s="536"/>
      <c r="DB521" s="536"/>
      <c r="DC521" s="536"/>
      <c r="DD521" s="541">
        <f t="shared" ref="DD521:DD584" si="223">IF( SUM((DA521*(20/100))+(DB521*(30/100))+(DC521*(50/100))) &gt;=9.3,9.5,
IF(AND( SUM((DA521*(20/100))+(DB521*(30/100))+(DC521*(50/100))) &lt;=9.3, SUM((DA521*(20/100))+(DB521*(30/100))+(DC521*(50/100))) &gt;=8.8),9,
IF(AND( SUM((DA521*(20/100))+(DB521*(30/100))+(DC521*(50/100))) &lt;=8.8, SUM((DA521*(20/100))+(DB521*(30/100))+(DC521*(50/100))) &gt;=8.3),8.5,
IF(AND( SUM((DA521*(20/100))+(DB521*(30/100))+(DC521*(50/100))) &lt;=8.3, SUM((DA521*(20/100))+(DB521*(30/100))+(DC521*(50/100))) &gt;=7.8),8,
IF(AND( SUM((DA521*(20/100))+(DB521*(30/100))+(DC521*(50/100))) &lt;=7.8, SUM((DA521*(20/100))+(DB521*(30/100))+(DC521*(50/100))) &gt;=7.3),7.5,
IF(AND( SUM((DA521*(20/100))+(DB521*(30/100))+(DC521*(50/100))) &lt;=7.3, SUM((DA521*(20/100))+(DB521*(30/100))+(DC521*(50/100))) &gt;=6.8),7,
IF(AND( SUM((DA521*(20/100))+(DB521*(30/100))+(DC521*(50/100))) &lt;=6.8, SUM((DA521*(20/100))+(DB521*(30/100))+(DC521*(50/100))) &gt;=6.3),6.5,
IF(AND( SUM((DA521*(20/100))+(DB521*(30/100))+(DC521*(50/100))) &lt;=6.3, SUM((DA521*(20/100))+(DB521*(30/100))+(DC521*(50/100))) &gt;=5.8),6,
IF(AND( SUM((DA521*(20/100))+(DB521*(30/100))+(DC521*(50/100))) &lt;=5.8, SUM((DA521*(20/100))+(DB521*(30/100))+(DC521*(50/100))) &gt;=5.3),5.5,
IF(AND( SUM((DA521*(20/100))+(DB521*(30/100))+(DC521*(50/100))) &lt;=5.3, SUM((DA521*(20/100))+(DB521*(30/100))+(DC521*(50/100))) &gt;=4.8),5,
IF(AND( SUM((DA521*(20/100))+(DB521*(30/100))+(DC521*(50/100))) &lt;=4.8, SUM((DA521*(20/100))+(DB521*(30/100))+(DC521*(50/100))) &gt;=4.3),4.5,
IF(AND( SUM((DA521*(20/100))+(DB521*(30/100))+(DC521*(50/100))) &lt;=4.3, SUM((DA521*(20/100))+(DB521*(30/100))+(DC521*(50/100))) &gt;=3.8),4,
IF(AND( SUM((DA521*(20/100))+(DB521*(30/100))+(DC521*(50/100))) &lt;=3.8, SUM((DA521*(20/100))+(DB521*(30/100))+(DC521*(50/100))) &gt;=3.5),3.5,0)))))))))))))</f>
        <v>0</v>
      </c>
      <c r="DE521" s="536"/>
      <c r="DF521" s="536"/>
      <c r="DG521" s="536"/>
      <c r="DH521" s="541">
        <f t="shared" ref="DH521:DH584" si="224">IF( SUM((DE521*(20/100))+(DF521*(30/100))+(DG521*(50/100))) &gt;=9.3,9.5,
IF(AND( SUM((DE521*(20/100))+(DF521*(30/100))+(DG521*(50/100))) &lt;=9.3, SUM((DE521*(20/100))+(DF521*(30/100))+(DG521*(50/100))) &gt;=8.8),9,
IF(AND( SUM((DE521*(20/100))+(DF521*(30/100))+(DG521*(50/100))) &lt;=8.8, SUM((DE521*(20/100))+(DF521*(30/100))+(DG521*(50/100))) &gt;=8.3),8.5,
IF(AND( SUM((DE521*(20/100))+(DF521*(30/100))+(DG521*(50/100))) &lt;=8.3, SUM((DE521*(20/100))+(DF521*(30/100))+(DG521*(50/100))) &gt;=7.8),8,
IF(AND( SUM((DE521*(20/100))+(DF521*(30/100))+(DG521*(50/100))) &lt;=7.8, SUM((DE521*(20/100))+(DF521*(30/100))+(DG521*(50/100))) &gt;=7.3),7.5,
IF(AND( SUM((DE521*(20/100))+(DF521*(30/100))+(DG521*(50/100))) &lt;=7.3, SUM((DE521*(20/100))+(DF521*(30/100))+(DG521*(50/100))) &gt;=6.8),7,
IF(AND( SUM((DE521*(20/100))+(DF521*(30/100))+(DG521*(50/100))) &lt;=6.8, SUM((DE521*(20/100))+(DF521*(30/100))+(DG521*(50/100))) &gt;=6.3),6.5,
IF(AND( SUM((DE521*(20/100))+(DF521*(30/100))+(DG521*(50/100))) &lt;=6.3, SUM((DE521*(20/100))+(DF521*(30/100))+(DG521*(50/100))) &gt;=5.8),6,
IF(AND( SUM((DE521*(20/100))+(DF521*(30/100))+(DG521*(50/100))) &lt;=5.8, SUM((DE521*(20/100))+(DF521*(30/100))+(DG521*(50/100))) &gt;=5.3),5.5,
IF(AND( SUM((DE521*(20/100))+(DF521*(30/100))+(DG521*(50/100))) &lt;=5.3, SUM((DE521*(20/100))+(DF521*(30/100))+(DG521*(50/100))) &gt;=4.8),5,
IF(AND( SUM((DE521*(20/100))+(DF521*(30/100))+(DG521*(50/100))) &lt;=4.8, SUM((DE521*(20/100))+(DF521*(30/100))+(DG521*(50/100))) &gt;=4.3),4.5,
IF(AND( SUM((DE521*(20/100))+(DF521*(30/100))+(DG521*(50/100))) &lt;=4.3, SUM((DE521*(20/100))+(DF521*(30/100))+(DG521*(50/100))) &gt;=3.8),4,
IF(AND( SUM((DE521*(20/100))+(DF521*(30/100))+(DG521*(50/100))) &lt;=3.8, SUM((DE521*(20/100))+(DF521*(30/100))+(DG521*(50/100))) &gt;=3.5),3.5,0)))))))))))))</f>
        <v>0</v>
      </c>
      <c r="DI521" s="536"/>
      <c r="DJ521" s="536"/>
      <c r="DK521" s="536"/>
      <c r="DL521" s="541">
        <f t="shared" ref="DL521:DL584" si="225">IF( SUM((DI521*(20/100))+(DJ521*(30/100))+(DK521*(50/100))) &gt;=9.3,9.5,
IF(AND( SUM((DI521*(20/100))+(DJ521*(30/100))+(DK521*(50/100))) &lt;=9.3, SUM((DI521*(20/100))+(DJ521*(30/100))+(DK521*(50/100))) &gt;=8.8),9,
IF(AND( SUM((DI521*(20/100))+(DJ521*(30/100))+(DK521*(50/100))) &lt;=8.8, SUM((DI521*(20/100))+(DJ521*(30/100))+(DK521*(50/100))) &gt;=8.3),8.5,
IF(AND( SUM((DI521*(20/100))+(DJ521*(30/100))+(DK521*(50/100))) &lt;=8.3, SUM((DI521*(20/100))+(DJ521*(30/100))+(DK521*(50/100))) &gt;=7.8),8,
IF(AND( SUM((DI521*(20/100))+(DJ521*(30/100))+(DK521*(50/100))) &lt;=7.8, SUM((DI521*(20/100))+(DJ521*(30/100))+(DK521*(50/100))) &gt;=7.3),7.5,
IF(AND( SUM((DI521*(20/100))+(DJ521*(30/100))+(DK521*(50/100))) &lt;=7.3, SUM((DI521*(20/100))+(DJ521*(30/100))+(DK521*(50/100))) &gt;=6.8),7,
IF(AND( SUM((DI521*(20/100))+(DJ521*(30/100))+(DK521*(50/100))) &lt;=6.8, SUM((DI521*(20/100))+(DJ521*(30/100))+(DK521*(50/100))) &gt;=6.3),6.5,
IF(AND( SUM((DI521*(20/100))+(DJ521*(30/100))+(DK521*(50/100))) &lt;=6.3, SUM((DI521*(20/100))+(DJ521*(30/100))+(DK521*(50/100))) &gt;=5.8),6,
IF(AND( SUM((DI521*(20/100))+(DJ521*(30/100))+(DK521*(50/100))) &lt;=5.8, SUM((DI521*(20/100))+(DJ521*(30/100))+(DK521*(50/100))) &gt;=5.3),5.5,
IF(AND( SUM((DI521*(20/100))+(DJ521*(30/100))+(DK521*(50/100))) &lt;=5.3, SUM((DI521*(20/100))+(DJ521*(30/100))+(DK521*(50/100))) &gt;=4.8),5,
IF(AND( SUM((DI521*(20/100))+(DJ521*(30/100))+(DK521*(50/100))) &lt;=4.8, SUM((DI521*(20/100))+(DJ521*(30/100))+(DK521*(50/100))) &gt;=4.3),4.5,
IF(AND( SUM((DI521*(20/100))+(DJ521*(30/100))+(DK521*(50/100))) &lt;=4.3, SUM((DI521*(20/100))+(DJ521*(30/100))+(DK521*(50/100))) &gt;=3.8),4,
IF(AND( SUM((DI521*(20/100))+(DJ521*(30/100))+(DK521*(50/100))) &lt;=3.8, SUM((DI521*(20/100))+(DJ521*(30/100))+(DK521*(50/100))) &gt;=3.5),3.5,0)))))))))))))</f>
        <v>0</v>
      </c>
      <c r="DM521" s="536"/>
      <c r="DN521" s="536"/>
      <c r="DO521" s="536"/>
      <c r="DP521" s="541">
        <f>IF( SUM((DJ521*(20/100))+(DK521*(30/100))+(DL521*(50/100))) &gt;=9.3,9.5,
IF(AND( SUM((DJ521*(20/100))+(DK521*(30/100))+(DL521*(50/100))) &lt;=9.3, SUM((DJ521*(20/100))+(DK521*(30/100))+(DL521*(50/100))) &gt;=8.8),9,
IF(AND( SUM((DJ521*(20/100))+(DK521*(30/100))+(DL521*(50/100))) &lt;=8.8, SUM((DJ521*(20/100))+(DK521*(30/100))+(DL521*(50/100))) &gt;=8.3),8.5,
IF(AND( SUM((DJ521*(20/100))+(DK521*(30/100))+(DL521*(50/100))) &lt;=8.3, SUM((DJ521*(20/100))+(DK521*(30/100))+(DL521*(50/100))) &gt;=7.8),8,
IF(AND( SUM((DJ521*(20/100))+(DK521*(30/100))+(DL521*(50/100))) &lt;=7.8, SUM((DJ521*(20/100))+(DK521*(30/100))+(DL521*(50/100))) &gt;=7.3),7.5,
IF(AND( SUM((DJ521*(20/100))+(DK521*(30/100))+(DL521*(50/100))) &lt;=7.3, SUM((DJ521*(20/100))+(DK521*(30/100))+(DL521*(50/100))) &gt;=6.8),7,
IF(AND( SUM((DJ521*(20/100))+(DK521*(30/100))+(DL521*(50/100))) &lt;=6.8, SUM((DJ521*(20/100))+(DK521*(30/100))+(DL521*(50/100))) &gt;=6.3),6.5,
IF(AND( SUM((DJ521*(20/100))+(DK521*(30/100))+(DL521*(50/100))) &lt;=6.3, SUM((DJ521*(20/100))+(DK521*(30/100))+(DL521*(50/100))) &gt;=5.8),6,
IF(AND( SUM((DJ521*(20/100))+(DK521*(30/100))+(DL521*(50/100))) &lt;=5.8, SUM((DJ521*(20/100))+(DK521*(30/100))+(DL521*(50/100))) &gt;=5.3),5.5,
IF(AND( SUM((DJ521*(20/100))+(DK521*(30/100))+(DL521*(50/100))) &lt;=5.3, SUM((DJ521*(20/100))+(DK521*(30/100))+(DL521*(50/100))) &gt;=4.8),5,
IF(AND( SUM((DJ521*(20/100))+(DK521*(30/100))+(DL521*(50/100))) &lt;=4.8, SUM((DJ521*(20/100))+(DK521*(30/100))+(DL521*(50/100))) &gt;=4.3),4.5,
IF(AND( SUM((DJ521*(20/100))+(DK521*(30/100))+(DL521*(50/100))) &lt;=4.3, SUM((DJ521*(20/100))+(DK521*(30/100))+(DL521*(50/100))) &gt;=3.8),4,
IF(AND( SUM((DJ521*(20/100))+(DK521*(30/100))+(DL521*(50/100))) &lt;=3.8, SUM((DJ521*(20/100))+(DK521*(30/100))+(DL521*(50/100))) &gt;=3.5),3.5,0)))))))))))))</f>
        <v>0</v>
      </c>
      <c r="DQ521" s="541"/>
      <c r="DR521" s="541"/>
      <c r="DS521" s="541"/>
      <c r="DT521" s="541"/>
      <c r="DU521" s="541"/>
      <c r="DV521" s="541"/>
      <c r="DW521" s="541"/>
      <c r="DX521" s="541"/>
      <c r="DY521" s="541"/>
      <c r="DZ521" s="541"/>
    </row>
    <row r="522" spans="2:130" x14ac:dyDescent="0.25">
      <c r="B522" s="334">
        <v>15</v>
      </c>
      <c r="C522" s="541" t="s">
        <v>8598</v>
      </c>
      <c r="D522" s="334">
        <v>1</v>
      </c>
      <c r="E522" s="334">
        <v>2</v>
      </c>
      <c r="F522" s="334"/>
      <c r="G522" s="334">
        <v>8</v>
      </c>
      <c r="H522" s="334">
        <v>8</v>
      </c>
      <c r="I522" s="334">
        <v>8</v>
      </c>
      <c r="J522" s="536"/>
      <c r="K522" s="536"/>
      <c r="L522" s="536"/>
      <c r="M522" s="536"/>
      <c r="N522" s="536"/>
      <c r="O522" s="536"/>
      <c r="P522" s="536">
        <f t="shared" si="201"/>
        <v>0</v>
      </c>
      <c r="Q522" s="536"/>
      <c r="R522" s="536"/>
      <c r="S522" s="536"/>
      <c r="T522" s="536">
        <f t="shared" si="202"/>
        <v>0</v>
      </c>
      <c r="U522" s="536"/>
      <c r="V522" s="536"/>
      <c r="W522" s="536"/>
      <c r="X522" s="536">
        <f t="shared" si="203"/>
        <v>0</v>
      </c>
      <c r="Y522" s="536"/>
      <c r="Z522" s="536"/>
      <c r="AA522" s="536"/>
      <c r="AB522" s="536">
        <f t="shared" si="204"/>
        <v>0</v>
      </c>
      <c r="AC522" s="536"/>
      <c r="AD522" s="536"/>
      <c r="AE522" s="536"/>
      <c r="AF522" s="536">
        <f t="shared" si="205"/>
        <v>0</v>
      </c>
      <c r="AG522" s="536"/>
      <c r="AH522" s="536"/>
      <c r="AI522" s="536"/>
      <c r="AJ522" s="536">
        <f t="shared" si="206"/>
        <v>0</v>
      </c>
      <c r="AK522" s="536"/>
      <c r="AL522" s="536"/>
      <c r="AM522" s="536"/>
      <c r="AN522" s="542">
        <f t="shared" si="207"/>
        <v>0</v>
      </c>
      <c r="AO522" s="536"/>
      <c r="AP522" s="536"/>
      <c r="AQ522" s="536"/>
      <c r="AR522" s="542">
        <f t="shared" si="208"/>
        <v>0</v>
      </c>
      <c r="AS522" s="536"/>
      <c r="AT522" s="536"/>
      <c r="AU522" s="536"/>
      <c r="AV522" s="542">
        <f t="shared" si="209"/>
        <v>0</v>
      </c>
      <c r="AW522" s="536"/>
      <c r="AX522" s="536"/>
      <c r="AY522" s="536"/>
      <c r="AZ522" s="542">
        <f t="shared" si="210"/>
        <v>0</v>
      </c>
      <c r="BA522" s="536"/>
      <c r="BB522" s="536"/>
      <c r="BC522" s="536"/>
      <c r="BD522" s="542">
        <f t="shared" si="211"/>
        <v>0</v>
      </c>
      <c r="BE522" s="536"/>
      <c r="BF522" s="536"/>
      <c r="BG522" s="536"/>
      <c r="BH522" s="542">
        <f t="shared" si="212"/>
        <v>0</v>
      </c>
      <c r="BI522" s="536"/>
      <c r="BJ522" s="536"/>
      <c r="BK522" s="536"/>
      <c r="BL522" s="542">
        <f t="shared" si="213"/>
        <v>0</v>
      </c>
      <c r="BM522" s="536"/>
      <c r="BN522" s="536"/>
      <c r="BO522" s="536"/>
      <c r="BP522" s="542">
        <f t="shared" si="214"/>
        <v>0</v>
      </c>
      <c r="BQ522" s="536"/>
      <c r="BR522" s="536"/>
      <c r="BS522" s="536"/>
      <c r="BT522" s="542">
        <f t="shared" si="215"/>
        <v>0</v>
      </c>
      <c r="BU522" s="536"/>
      <c r="BV522" s="536"/>
      <c r="BW522" s="536"/>
      <c r="BX522" s="542">
        <f t="shared" si="216"/>
        <v>0</v>
      </c>
      <c r="BY522" s="536"/>
      <c r="BZ522" s="536"/>
      <c r="CA522" s="536"/>
      <c r="CB522" s="542">
        <v>0</v>
      </c>
      <c r="CC522" s="536"/>
      <c r="CD522" s="536"/>
      <c r="CE522" s="536"/>
      <c r="CF522" s="541">
        <f t="shared" si="217"/>
        <v>0</v>
      </c>
      <c r="CG522" s="536"/>
      <c r="CH522" s="536"/>
      <c r="CI522" s="536"/>
      <c r="CJ522" s="541">
        <f t="shared" si="218"/>
        <v>0</v>
      </c>
      <c r="CK522" s="536"/>
      <c r="CL522" s="536"/>
      <c r="CM522" s="536"/>
      <c r="CN522" s="541">
        <f t="shared" si="219"/>
        <v>0</v>
      </c>
      <c r="CO522" s="536"/>
      <c r="CP522" s="536"/>
      <c r="CQ522" s="536"/>
      <c r="CR522" s="541">
        <f t="shared" si="220"/>
        <v>0</v>
      </c>
      <c r="CS522" s="536"/>
      <c r="CT522" s="536"/>
      <c r="CU522" s="536"/>
      <c r="CV522" s="541">
        <f t="shared" si="221"/>
        <v>0</v>
      </c>
      <c r="CW522" s="536"/>
      <c r="CX522" s="536"/>
      <c r="CY522" s="536"/>
      <c r="CZ522" s="541">
        <f t="shared" si="222"/>
        <v>0</v>
      </c>
      <c r="DA522" s="536"/>
      <c r="DB522" s="536"/>
      <c r="DC522" s="536"/>
      <c r="DD522" s="541">
        <f t="shared" si="223"/>
        <v>0</v>
      </c>
      <c r="DE522" s="536"/>
      <c r="DF522" s="536"/>
      <c r="DG522" s="536"/>
      <c r="DH522" s="541">
        <f t="shared" si="224"/>
        <v>0</v>
      </c>
      <c r="DI522" s="536"/>
      <c r="DJ522" s="536"/>
      <c r="DK522" s="536"/>
      <c r="DL522" s="541">
        <f t="shared" si="225"/>
        <v>0</v>
      </c>
      <c r="DM522" s="536"/>
      <c r="DN522" s="536"/>
      <c r="DO522" s="536"/>
      <c r="DP522" s="541">
        <f>IF( SUM((DJ522*(20/100))+(DK522*(30/100))+(DL522*(50/100))) &gt;=9.3,9.5,
IF(AND( SUM((DJ522*(20/100))+(DK522*(30/100))+(DL522*(50/100))) &lt;=9.3, SUM((DJ522*(20/100))+(DK522*(30/100))+(DL522*(50/100))) &gt;=8.8),9,
IF(AND( SUM((DJ522*(20/100))+(DK522*(30/100))+(DL522*(50/100))) &lt;=8.8, SUM((DJ522*(20/100))+(DK522*(30/100))+(DL522*(50/100))) &gt;=8.3),8.5,
IF(AND( SUM((DJ522*(20/100))+(DK522*(30/100))+(DL522*(50/100))) &lt;=8.3, SUM((DJ522*(20/100))+(DK522*(30/100))+(DL522*(50/100))) &gt;=7.8),8,
IF(AND( SUM((DJ522*(20/100))+(DK522*(30/100))+(DL522*(50/100))) &lt;=7.8, SUM((DJ522*(20/100))+(DK522*(30/100))+(DL522*(50/100))) &gt;=7.3),7.5,
IF(AND( SUM((DJ522*(20/100))+(DK522*(30/100))+(DL522*(50/100))) &lt;=7.3, SUM((DJ522*(20/100))+(DK522*(30/100))+(DL522*(50/100))) &gt;=6.8),7,
IF(AND( SUM((DJ522*(20/100))+(DK522*(30/100))+(DL522*(50/100))) &lt;=6.8, SUM((DJ522*(20/100))+(DK522*(30/100))+(DL522*(50/100))) &gt;=6.3),6.5,
IF(AND( SUM((DJ522*(20/100))+(DK522*(30/100))+(DL522*(50/100))) &lt;=6.3, SUM((DJ522*(20/100))+(DK522*(30/100))+(DL522*(50/100))) &gt;=5.8),6,
IF(AND( SUM((DJ522*(20/100))+(DK522*(30/100))+(DL522*(50/100))) &lt;=5.8, SUM((DJ522*(20/100))+(DK522*(30/100))+(DL522*(50/100))) &gt;=5.3),5.5,
IF(AND( SUM((DJ522*(20/100))+(DK522*(30/100))+(DL522*(50/100))) &lt;=5.3, SUM((DJ522*(20/100))+(DK522*(30/100))+(DL522*(50/100))) &gt;=4.8),5,
IF(AND( SUM((DJ522*(20/100))+(DK522*(30/100))+(DL522*(50/100))) &lt;=4.8, SUM((DJ522*(20/100))+(DK522*(30/100))+(DL522*(50/100))) &gt;=4.3),4.5,
IF(AND( SUM((DJ522*(20/100))+(DK522*(30/100))+(DL522*(50/100))) &lt;=4.3, SUM((DJ522*(20/100))+(DK522*(30/100))+(DL522*(50/100))) &gt;=3.8),4,
IF(AND( SUM((DJ522*(20/100))+(DK522*(30/100))+(DL522*(50/100))) &lt;=3.8, SUM((DJ522*(20/100))+(DK522*(30/100))+(DL522*(50/100))) &gt;=3.5),3.5,0)))))))))))))</f>
        <v>0</v>
      </c>
      <c r="DQ522" s="541"/>
      <c r="DR522" s="541"/>
      <c r="DS522" s="541"/>
      <c r="DT522" s="541"/>
      <c r="DU522" s="541"/>
      <c r="DV522" s="541"/>
      <c r="DW522" s="541"/>
      <c r="DX522" s="541"/>
      <c r="DY522" s="541"/>
      <c r="DZ522" s="541"/>
    </row>
    <row r="523" spans="2:130" x14ac:dyDescent="0.25">
      <c r="B523" s="334">
        <v>16</v>
      </c>
      <c r="C523" s="541" t="s">
        <v>8599</v>
      </c>
      <c r="D523" s="334">
        <v>1</v>
      </c>
      <c r="E523" s="334"/>
      <c r="F523" s="334"/>
      <c r="G523" s="334">
        <v>8</v>
      </c>
      <c r="H523" s="334">
        <v>8</v>
      </c>
      <c r="I523" s="334">
        <v>8</v>
      </c>
      <c r="J523" s="536"/>
      <c r="K523" s="536"/>
      <c r="L523" s="536"/>
      <c r="M523" s="536"/>
      <c r="N523" s="536"/>
      <c r="O523" s="536"/>
      <c r="P523" s="536">
        <f t="shared" si="201"/>
        <v>0</v>
      </c>
      <c r="Q523" s="536"/>
      <c r="R523" s="536"/>
      <c r="S523" s="536"/>
      <c r="T523" s="536">
        <f t="shared" si="202"/>
        <v>0</v>
      </c>
      <c r="U523" s="536"/>
      <c r="V523" s="536"/>
      <c r="W523" s="536"/>
      <c r="X523" s="536">
        <f t="shared" si="203"/>
        <v>0</v>
      </c>
      <c r="Y523" s="536"/>
      <c r="Z523" s="536"/>
      <c r="AA523" s="536"/>
      <c r="AB523" s="536">
        <f t="shared" si="204"/>
        <v>0</v>
      </c>
      <c r="AC523" s="536"/>
      <c r="AD523" s="536"/>
      <c r="AE523" s="536"/>
      <c r="AF523" s="536">
        <f t="shared" si="205"/>
        <v>0</v>
      </c>
      <c r="AG523" s="536"/>
      <c r="AH523" s="536"/>
      <c r="AI523" s="536"/>
      <c r="AJ523" s="536">
        <f t="shared" si="206"/>
        <v>0</v>
      </c>
      <c r="AK523" s="536"/>
      <c r="AL523" s="536"/>
      <c r="AM523" s="536"/>
      <c r="AN523" s="542">
        <f t="shared" si="207"/>
        <v>0</v>
      </c>
      <c r="AO523" s="536"/>
      <c r="AP523" s="536"/>
      <c r="AQ523" s="536"/>
      <c r="AR523" s="542">
        <f t="shared" si="208"/>
        <v>0</v>
      </c>
      <c r="AS523" s="536"/>
      <c r="AT523" s="536"/>
      <c r="AU523" s="536"/>
      <c r="AV523" s="542">
        <f t="shared" si="209"/>
        <v>0</v>
      </c>
      <c r="AW523" s="536"/>
      <c r="AX523" s="536"/>
      <c r="AY523" s="536"/>
      <c r="AZ523" s="542">
        <f t="shared" si="210"/>
        <v>0</v>
      </c>
      <c r="BA523" s="536"/>
      <c r="BB523" s="536"/>
      <c r="BC523" s="536"/>
      <c r="BD523" s="542">
        <f t="shared" si="211"/>
        <v>0</v>
      </c>
      <c r="BE523" s="536"/>
      <c r="BF523" s="536"/>
      <c r="BG523" s="536"/>
      <c r="BH523" s="542">
        <f t="shared" si="212"/>
        <v>0</v>
      </c>
      <c r="BI523" s="536"/>
      <c r="BJ523" s="536"/>
      <c r="BK523" s="536"/>
      <c r="BL523" s="542">
        <f t="shared" si="213"/>
        <v>0</v>
      </c>
      <c r="BM523" s="536"/>
      <c r="BN523" s="536"/>
      <c r="BO523" s="536"/>
      <c r="BP523" s="542">
        <f t="shared" si="214"/>
        <v>0</v>
      </c>
      <c r="BQ523" s="536"/>
      <c r="BR523" s="536"/>
      <c r="BS523" s="536"/>
      <c r="BT523" s="542">
        <f t="shared" si="215"/>
        <v>0</v>
      </c>
      <c r="BU523" s="536"/>
      <c r="BV523" s="536"/>
      <c r="BW523" s="536"/>
      <c r="BX523" s="542">
        <f t="shared" si="216"/>
        <v>0</v>
      </c>
      <c r="BY523" s="536"/>
      <c r="BZ523" s="536"/>
      <c r="CA523" s="536"/>
      <c r="CB523" s="542">
        <v>0</v>
      </c>
      <c r="CC523" s="536"/>
      <c r="CD523" s="536"/>
      <c r="CE523" s="536"/>
      <c r="CF523" s="541">
        <f t="shared" si="217"/>
        <v>0</v>
      </c>
      <c r="CG523" s="536"/>
      <c r="CH523" s="536"/>
      <c r="CI523" s="536"/>
      <c r="CJ523" s="541">
        <f t="shared" si="218"/>
        <v>0</v>
      </c>
      <c r="CK523" s="536"/>
      <c r="CL523" s="536"/>
      <c r="CM523" s="536"/>
      <c r="CN523" s="541">
        <f t="shared" si="219"/>
        <v>0</v>
      </c>
      <c r="CO523" s="536"/>
      <c r="CP523" s="536"/>
      <c r="CQ523" s="536"/>
      <c r="CR523" s="541">
        <f t="shared" si="220"/>
        <v>0</v>
      </c>
      <c r="CS523" s="536"/>
      <c r="CT523" s="536"/>
      <c r="CU523" s="536"/>
      <c r="CV523" s="541">
        <f t="shared" si="221"/>
        <v>0</v>
      </c>
      <c r="CW523" s="536"/>
      <c r="CX523" s="536"/>
      <c r="CY523" s="536"/>
      <c r="CZ523" s="541">
        <f t="shared" si="222"/>
        <v>0</v>
      </c>
      <c r="DA523" s="536"/>
      <c r="DB523" s="536"/>
      <c r="DC523" s="536"/>
      <c r="DD523" s="541">
        <f t="shared" si="223"/>
        <v>0</v>
      </c>
      <c r="DE523" s="536"/>
      <c r="DF523" s="536"/>
      <c r="DG523" s="536"/>
      <c r="DH523" s="541">
        <f t="shared" si="224"/>
        <v>0</v>
      </c>
      <c r="DI523" s="536"/>
      <c r="DJ523" s="536"/>
      <c r="DK523" s="536"/>
      <c r="DL523" s="541">
        <f t="shared" si="225"/>
        <v>0</v>
      </c>
      <c r="DM523" s="536"/>
      <c r="DN523" s="536"/>
      <c r="DO523" s="536"/>
      <c r="DP523" s="541">
        <f>IF( SUM((DJ523*(20/100))+(DK523*(30/100))+(DL523*(50/100))) &gt;=9.3,9.5,
IF(AND( SUM((DJ523*(20/100))+(DK523*(30/100))+(DL523*(50/100))) &lt;=9.3, SUM((DJ523*(20/100))+(DK523*(30/100))+(DL523*(50/100))) &gt;=8.8),9,
IF(AND( SUM((DJ523*(20/100))+(DK523*(30/100))+(DL523*(50/100))) &lt;=8.8, SUM((DJ523*(20/100))+(DK523*(30/100))+(DL523*(50/100))) &gt;=8.3),8.5,
IF(AND( SUM((DJ523*(20/100))+(DK523*(30/100))+(DL523*(50/100))) &lt;=8.3, SUM((DJ523*(20/100))+(DK523*(30/100))+(DL523*(50/100))) &gt;=7.8),8,
IF(AND( SUM((DJ523*(20/100))+(DK523*(30/100))+(DL523*(50/100))) &lt;=7.8, SUM((DJ523*(20/100))+(DK523*(30/100))+(DL523*(50/100))) &gt;=7.3),7.5,
IF(AND( SUM((DJ523*(20/100))+(DK523*(30/100))+(DL523*(50/100))) &lt;=7.3, SUM((DJ523*(20/100))+(DK523*(30/100))+(DL523*(50/100))) &gt;=6.8),7,
IF(AND( SUM((DJ523*(20/100))+(DK523*(30/100))+(DL523*(50/100))) &lt;=6.8, SUM((DJ523*(20/100))+(DK523*(30/100))+(DL523*(50/100))) &gt;=6.3),6.5,
IF(AND( SUM((DJ523*(20/100))+(DK523*(30/100))+(DL523*(50/100))) &lt;=6.3, SUM((DJ523*(20/100))+(DK523*(30/100))+(DL523*(50/100))) &gt;=5.8),6,
IF(AND( SUM((DJ523*(20/100))+(DK523*(30/100))+(DL523*(50/100))) &lt;=5.8, SUM((DJ523*(20/100))+(DK523*(30/100))+(DL523*(50/100))) &gt;=5.3),5.5,
IF(AND( SUM((DJ523*(20/100))+(DK523*(30/100))+(DL523*(50/100))) &lt;=5.3, SUM((DJ523*(20/100))+(DK523*(30/100))+(DL523*(50/100))) &gt;=4.8),5,
IF(AND( SUM((DJ523*(20/100))+(DK523*(30/100))+(DL523*(50/100))) &lt;=4.8, SUM((DJ523*(20/100))+(DK523*(30/100))+(DL523*(50/100))) &gt;=4.3),4.5,
IF(AND( SUM((DJ523*(20/100))+(DK523*(30/100))+(DL523*(50/100))) &lt;=4.3, SUM((DJ523*(20/100))+(DK523*(30/100))+(DL523*(50/100))) &gt;=3.8),4,
IF(AND( SUM((DJ523*(20/100))+(DK523*(30/100))+(DL523*(50/100))) &lt;=3.8, SUM((DJ523*(20/100))+(DK523*(30/100))+(DL523*(50/100))) &gt;=3.5),3.5,0)))))))))))))</f>
        <v>0</v>
      </c>
      <c r="DQ523" s="541"/>
      <c r="DR523" s="541"/>
      <c r="DS523" s="541"/>
      <c r="DT523" s="541"/>
      <c r="DU523" s="541"/>
      <c r="DV523" s="541"/>
      <c r="DW523" s="541"/>
      <c r="DX523" s="541"/>
      <c r="DY523" s="541"/>
      <c r="DZ523" s="541"/>
    </row>
    <row r="524" spans="2:130" x14ac:dyDescent="0.25">
      <c r="B524" s="334">
        <v>17</v>
      </c>
      <c r="C524" s="541" t="s">
        <v>8600</v>
      </c>
      <c r="D524" s="334">
        <v>2</v>
      </c>
      <c r="E524" s="334">
        <v>4</v>
      </c>
      <c r="F524" s="334"/>
      <c r="G524" s="334">
        <v>8</v>
      </c>
      <c r="H524" s="334">
        <v>8</v>
      </c>
      <c r="I524" s="334">
        <v>8</v>
      </c>
      <c r="J524" s="536"/>
      <c r="K524" s="536"/>
      <c r="L524" s="536"/>
      <c r="M524" s="536"/>
      <c r="N524" s="536"/>
      <c r="O524" s="536"/>
      <c r="P524" s="536">
        <f t="shared" si="201"/>
        <v>0</v>
      </c>
      <c r="Q524" s="536"/>
      <c r="R524" s="536"/>
      <c r="S524" s="536"/>
      <c r="T524" s="536">
        <f t="shared" si="202"/>
        <v>0</v>
      </c>
      <c r="U524" s="536"/>
      <c r="V524" s="536"/>
      <c r="W524" s="536"/>
      <c r="X524" s="536">
        <f t="shared" si="203"/>
        <v>0</v>
      </c>
      <c r="Y524" s="536"/>
      <c r="Z524" s="536"/>
      <c r="AA524" s="536"/>
      <c r="AB524" s="536">
        <f t="shared" si="204"/>
        <v>0</v>
      </c>
      <c r="AC524" s="536"/>
      <c r="AD524" s="536"/>
      <c r="AE524" s="536"/>
      <c r="AF524" s="536">
        <f t="shared" si="205"/>
        <v>0</v>
      </c>
      <c r="AG524" s="536"/>
      <c r="AH524" s="536"/>
      <c r="AI524" s="536"/>
      <c r="AJ524" s="536">
        <f t="shared" si="206"/>
        <v>0</v>
      </c>
      <c r="AK524" s="536"/>
      <c r="AL524" s="536"/>
      <c r="AM524" s="536"/>
      <c r="AN524" s="542">
        <f t="shared" si="207"/>
        <v>0</v>
      </c>
      <c r="AO524" s="536"/>
      <c r="AP524" s="536"/>
      <c r="AQ524" s="536"/>
      <c r="AR524" s="542">
        <f t="shared" si="208"/>
        <v>0</v>
      </c>
      <c r="AS524" s="536"/>
      <c r="AT524" s="536"/>
      <c r="AU524" s="536"/>
      <c r="AV524" s="542">
        <f t="shared" si="209"/>
        <v>0</v>
      </c>
      <c r="AW524" s="536"/>
      <c r="AX524" s="536"/>
      <c r="AY524" s="536"/>
      <c r="AZ524" s="542">
        <f t="shared" si="210"/>
        <v>0</v>
      </c>
      <c r="BA524" s="536"/>
      <c r="BB524" s="536"/>
      <c r="BC524" s="536"/>
      <c r="BD524" s="542">
        <f t="shared" si="211"/>
        <v>0</v>
      </c>
      <c r="BE524" s="536"/>
      <c r="BF524" s="536"/>
      <c r="BG524" s="536"/>
      <c r="BH524" s="542">
        <f t="shared" si="212"/>
        <v>0</v>
      </c>
      <c r="BI524" s="536"/>
      <c r="BJ524" s="536"/>
      <c r="BK524" s="536"/>
      <c r="BL524" s="542">
        <f t="shared" si="213"/>
        <v>0</v>
      </c>
      <c r="BM524" s="536"/>
      <c r="BN524" s="536"/>
      <c r="BO524" s="536"/>
      <c r="BP524" s="542">
        <f t="shared" si="214"/>
        <v>0</v>
      </c>
      <c r="BQ524" s="536"/>
      <c r="BR524" s="536"/>
      <c r="BS524" s="536"/>
      <c r="BT524" s="542">
        <f t="shared" si="215"/>
        <v>0</v>
      </c>
      <c r="BU524" s="536"/>
      <c r="BV524" s="536"/>
      <c r="BW524" s="536"/>
      <c r="BX524" s="542">
        <f t="shared" si="216"/>
        <v>0</v>
      </c>
      <c r="BY524" s="536"/>
      <c r="BZ524" s="536"/>
      <c r="CA524" s="536"/>
      <c r="CB524" s="542">
        <v>0</v>
      </c>
      <c r="CC524" s="536"/>
      <c r="CD524" s="536"/>
      <c r="CE524" s="536"/>
      <c r="CF524" s="541">
        <f t="shared" si="217"/>
        <v>0</v>
      </c>
      <c r="CG524" s="536"/>
      <c r="CH524" s="536"/>
      <c r="CI524" s="536"/>
      <c r="CJ524" s="541">
        <f t="shared" si="218"/>
        <v>0</v>
      </c>
      <c r="CK524" s="536"/>
      <c r="CL524" s="536"/>
      <c r="CM524" s="536"/>
      <c r="CN524" s="541">
        <f t="shared" si="219"/>
        <v>0</v>
      </c>
      <c r="CO524" s="536"/>
      <c r="CP524" s="536"/>
      <c r="CQ524" s="536"/>
      <c r="CR524" s="541">
        <f t="shared" si="220"/>
        <v>0</v>
      </c>
      <c r="CS524" s="536"/>
      <c r="CT524" s="536"/>
      <c r="CU524" s="536"/>
      <c r="CV524" s="541">
        <f t="shared" si="221"/>
        <v>0</v>
      </c>
      <c r="CW524" s="536"/>
      <c r="CX524" s="536"/>
      <c r="CY524" s="536"/>
      <c r="CZ524" s="541">
        <f t="shared" si="222"/>
        <v>0</v>
      </c>
      <c r="DA524" s="536"/>
      <c r="DB524" s="536"/>
      <c r="DC524" s="536"/>
      <c r="DD524" s="541">
        <f t="shared" si="223"/>
        <v>0</v>
      </c>
      <c r="DE524" s="536"/>
      <c r="DF524" s="536"/>
      <c r="DG524" s="536"/>
      <c r="DH524" s="541">
        <f t="shared" si="224"/>
        <v>0</v>
      </c>
      <c r="DI524" s="536"/>
      <c r="DJ524" s="536"/>
      <c r="DK524" s="536"/>
      <c r="DL524" s="541">
        <f t="shared" si="225"/>
        <v>0</v>
      </c>
      <c r="DM524" s="536"/>
      <c r="DN524" s="536"/>
      <c r="DO524" s="536"/>
      <c r="DP524" s="541">
        <f>IF( SUM((DJ524*(20/100))+(DK524*(30/100))+(DL524*(50/100))) &gt;=9.3,9.5,
IF(AND( SUM((DJ524*(20/100))+(DK524*(30/100))+(DL524*(50/100))) &lt;=9.3, SUM((DJ524*(20/100))+(DK524*(30/100))+(DL524*(50/100))) &gt;=8.8),9,
IF(AND( SUM((DJ524*(20/100))+(DK524*(30/100))+(DL524*(50/100))) &lt;=8.8, SUM((DJ524*(20/100))+(DK524*(30/100))+(DL524*(50/100))) &gt;=8.3),8.5,
IF(AND( SUM((DJ524*(20/100))+(DK524*(30/100))+(DL524*(50/100))) &lt;=8.3, SUM((DJ524*(20/100))+(DK524*(30/100))+(DL524*(50/100))) &gt;=7.8),8,
IF(AND( SUM((DJ524*(20/100))+(DK524*(30/100))+(DL524*(50/100))) &lt;=7.8, SUM((DJ524*(20/100))+(DK524*(30/100))+(DL524*(50/100))) &gt;=7.3),7.5,
IF(AND( SUM((DJ524*(20/100))+(DK524*(30/100))+(DL524*(50/100))) &lt;=7.3, SUM((DJ524*(20/100))+(DK524*(30/100))+(DL524*(50/100))) &gt;=6.8),7,
IF(AND( SUM((DJ524*(20/100))+(DK524*(30/100))+(DL524*(50/100))) &lt;=6.8, SUM((DJ524*(20/100))+(DK524*(30/100))+(DL524*(50/100))) &gt;=6.3),6.5,
IF(AND( SUM((DJ524*(20/100))+(DK524*(30/100))+(DL524*(50/100))) &lt;=6.3, SUM((DJ524*(20/100))+(DK524*(30/100))+(DL524*(50/100))) &gt;=5.8),6,
IF(AND( SUM((DJ524*(20/100))+(DK524*(30/100))+(DL524*(50/100))) &lt;=5.8, SUM((DJ524*(20/100))+(DK524*(30/100))+(DL524*(50/100))) &gt;=5.3),5.5,
IF(AND( SUM((DJ524*(20/100))+(DK524*(30/100))+(DL524*(50/100))) &lt;=5.3, SUM((DJ524*(20/100))+(DK524*(30/100))+(DL524*(50/100))) &gt;=4.8),5,
IF(AND( SUM((DJ524*(20/100))+(DK524*(30/100))+(DL524*(50/100))) &lt;=4.8, SUM((DJ524*(20/100))+(DK524*(30/100))+(DL524*(50/100))) &gt;=4.3),4.5,
IF(AND( SUM((DJ524*(20/100))+(DK524*(30/100))+(DL524*(50/100))) &lt;=4.3, SUM((DJ524*(20/100))+(DK524*(30/100))+(DL524*(50/100))) &gt;=3.8),4,
IF(AND( SUM((DJ524*(20/100))+(DK524*(30/100))+(DL524*(50/100))) &lt;=3.8, SUM((DJ524*(20/100))+(DK524*(30/100))+(DL524*(50/100))) &gt;=3.5),3.5,0)))))))))))))</f>
        <v>0</v>
      </c>
      <c r="DQ524" s="541"/>
      <c r="DR524" s="541"/>
      <c r="DS524" s="541"/>
      <c r="DT524" s="541"/>
      <c r="DU524" s="541"/>
      <c r="DV524" s="541"/>
      <c r="DW524" s="541"/>
      <c r="DX524" s="541"/>
      <c r="DY524" s="541"/>
      <c r="DZ524" s="541"/>
    </row>
    <row r="525" spans="2:130" x14ac:dyDescent="0.25">
      <c r="B525" s="334">
        <v>18</v>
      </c>
      <c r="C525" s="541" t="s">
        <v>8601</v>
      </c>
      <c r="D525" s="334"/>
      <c r="E525" s="334">
        <v>2</v>
      </c>
      <c r="F525" s="334"/>
      <c r="G525" s="334">
        <v>8</v>
      </c>
      <c r="H525" s="334">
        <v>8</v>
      </c>
      <c r="I525" s="334">
        <v>8</v>
      </c>
      <c r="J525" s="536"/>
      <c r="K525" s="536"/>
      <c r="L525" s="536"/>
      <c r="M525" s="536"/>
      <c r="N525" s="536"/>
      <c r="O525" s="536"/>
      <c r="P525" s="536">
        <f t="shared" si="201"/>
        <v>0</v>
      </c>
      <c r="Q525" s="536"/>
      <c r="R525" s="536"/>
      <c r="S525" s="536"/>
      <c r="T525" s="536">
        <f t="shared" si="202"/>
        <v>0</v>
      </c>
      <c r="U525" s="536"/>
      <c r="V525" s="536"/>
      <c r="W525" s="536"/>
      <c r="X525" s="536">
        <f t="shared" si="203"/>
        <v>0</v>
      </c>
      <c r="Y525" s="536"/>
      <c r="Z525" s="536"/>
      <c r="AA525" s="536"/>
      <c r="AB525" s="536">
        <f t="shared" si="204"/>
        <v>0</v>
      </c>
      <c r="AC525" s="536"/>
      <c r="AD525" s="536"/>
      <c r="AE525" s="536"/>
      <c r="AF525" s="536">
        <f t="shared" si="205"/>
        <v>0</v>
      </c>
      <c r="AG525" s="536"/>
      <c r="AH525" s="536"/>
      <c r="AI525" s="536"/>
      <c r="AJ525" s="536">
        <f t="shared" si="206"/>
        <v>0</v>
      </c>
      <c r="AK525" s="536"/>
      <c r="AL525" s="536"/>
      <c r="AM525" s="536"/>
      <c r="AN525" s="542">
        <f t="shared" si="207"/>
        <v>0</v>
      </c>
      <c r="AO525" s="536"/>
      <c r="AP525" s="536"/>
      <c r="AQ525" s="536"/>
      <c r="AR525" s="542">
        <f t="shared" si="208"/>
        <v>0</v>
      </c>
      <c r="AS525" s="536"/>
      <c r="AT525" s="536"/>
      <c r="AU525" s="536"/>
      <c r="AV525" s="542">
        <f t="shared" si="209"/>
        <v>0</v>
      </c>
      <c r="AW525" s="536"/>
      <c r="AX525" s="536"/>
      <c r="AY525" s="536"/>
      <c r="AZ525" s="542">
        <f t="shared" si="210"/>
        <v>0</v>
      </c>
      <c r="BA525" s="536"/>
      <c r="BB525" s="536"/>
      <c r="BC525" s="536"/>
      <c r="BD525" s="542">
        <f t="shared" si="211"/>
        <v>0</v>
      </c>
      <c r="BE525" s="536"/>
      <c r="BF525" s="536"/>
      <c r="BG525" s="536"/>
      <c r="BH525" s="542">
        <f t="shared" si="212"/>
        <v>0</v>
      </c>
      <c r="BI525" s="536"/>
      <c r="BJ525" s="536"/>
      <c r="BK525" s="536"/>
      <c r="BL525" s="542">
        <f t="shared" si="213"/>
        <v>0</v>
      </c>
      <c r="BM525" s="536"/>
      <c r="BN525" s="536"/>
      <c r="BO525" s="536"/>
      <c r="BP525" s="542">
        <f t="shared" si="214"/>
        <v>0</v>
      </c>
      <c r="BQ525" s="536"/>
      <c r="BR525" s="536"/>
      <c r="BS525" s="536"/>
      <c r="BT525" s="542">
        <f t="shared" si="215"/>
        <v>0</v>
      </c>
      <c r="BU525" s="536"/>
      <c r="BV525" s="536"/>
      <c r="BW525" s="536"/>
      <c r="BX525" s="542">
        <f t="shared" si="216"/>
        <v>0</v>
      </c>
      <c r="BY525" s="536"/>
      <c r="BZ525" s="536"/>
      <c r="CA525" s="536"/>
      <c r="CB525" s="542">
        <v>0</v>
      </c>
      <c r="CC525" s="536"/>
      <c r="CD525" s="536"/>
      <c r="CE525" s="536"/>
      <c r="CF525" s="541">
        <f t="shared" si="217"/>
        <v>0</v>
      </c>
      <c r="CG525" s="536"/>
      <c r="CH525" s="536"/>
      <c r="CI525" s="536"/>
      <c r="CJ525" s="541">
        <f t="shared" si="218"/>
        <v>0</v>
      </c>
      <c r="CK525" s="536"/>
      <c r="CL525" s="536"/>
      <c r="CM525" s="536"/>
      <c r="CN525" s="541">
        <f t="shared" si="219"/>
        <v>0</v>
      </c>
      <c r="CO525" s="536"/>
      <c r="CP525" s="536"/>
      <c r="CQ525" s="536"/>
      <c r="CR525" s="541">
        <f t="shared" si="220"/>
        <v>0</v>
      </c>
      <c r="CS525" s="536"/>
      <c r="CT525" s="536"/>
      <c r="CU525" s="536"/>
      <c r="CV525" s="541">
        <f t="shared" si="221"/>
        <v>0</v>
      </c>
      <c r="CW525" s="536"/>
      <c r="CX525" s="536"/>
      <c r="CY525" s="536"/>
      <c r="CZ525" s="541">
        <f t="shared" si="222"/>
        <v>0</v>
      </c>
      <c r="DA525" s="536"/>
      <c r="DB525" s="536"/>
      <c r="DC525" s="536"/>
      <c r="DD525" s="541">
        <f t="shared" si="223"/>
        <v>0</v>
      </c>
      <c r="DE525" s="536"/>
      <c r="DF525" s="536"/>
      <c r="DG525" s="536"/>
      <c r="DH525" s="541">
        <f t="shared" si="224"/>
        <v>0</v>
      </c>
      <c r="DI525" s="536"/>
      <c r="DJ525" s="536"/>
      <c r="DK525" s="536"/>
      <c r="DL525" s="541">
        <f t="shared" si="225"/>
        <v>0</v>
      </c>
      <c r="DM525" s="536"/>
      <c r="DN525" s="536"/>
      <c r="DO525" s="536"/>
      <c r="DP525" s="541">
        <f>IF( SUM((DJ525*(20/100))+(DK525*(30/100))+(DL525*(50/100))) &gt;=9.3,9.5,
IF(AND( SUM((DJ525*(20/100))+(DK525*(30/100))+(DL525*(50/100))) &lt;=9.3, SUM((DJ525*(20/100))+(DK525*(30/100))+(DL525*(50/100))) &gt;=8.8),9,
IF(AND( SUM((DJ525*(20/100))+(DK525*(30/100))+(DL525*(50/100))) &lt;=8.8, SUM((DJ525*(20/100))+(DK525*(30/100))+(DL525*(50/100))) &gt;=8.3),8.5,
IF(AND( SUM((DJ525*(20/100))+(DK525*(30/100))+(DL525*(50/100))) &lt;=8.3, SUM((DJ525*(20/100))+(DK525*(30/100))+(DL525*(50/100))) &gt;=7.8),8,
IF(AND( SUM((DJ525*(20/100))+(DK525*(30/100))+(DL525*(50/100))) &lt;=7.8, SUM((DJ525*(20/100))+(DK525*(30/100))+(DL525*(50/100))) &gt;=7.3),7.5,
IF(AND( SUM((DJ525*(20/100))+(DK525*(30/100))+(DL525*(50/100))) &lt;=7.3, SUM((DJ525*(20/100))+(DK525*(30/100))+(DL525*(50/100))) &gt;=6.8),7,
IF(AND( SUM((DJ525*(20/100))+(DK525*(30/100))+(DL525*(50/100))) &lt;=6.8, SUM((DJ525*(20/100))+(DK525*(30/100))+(DL525*(50/100))) &gt;=6.3),6.5,
IF(AND( SUM((DJ525*(20/100))+(DK525*(30/100))+(DL525*(50/100))) &lt;=6.3, SUM((DJ525*(20/100))+(DK525*(30/100))+(DL525*(50/100))) &gt;=5.8),6,
IF(AND( SUM((DJ525*(20/100))+(DK525*(30/100))+(DL525*(50/100))) &lt;=5.8, SUM((DJ525*(20/100))+(DK525*(30/100))+(DL525*(50/100))) &gt;=5.3),5.5,
IF(AND( SUM((DJ525*(20/100))+(DK525*(30/100))+(DL525*(50/100))) &lt;=5.3, SUM((DJ525*(20/100))+(DK525*(30/100))+(DL525*(50/100))) &gt;=4.8),5,
IF(AND( SUM((DJ525*(20/100))+(DK525*(30/100))+(DL525*(50/100))) &lt;=4.8, SUM((DJ525*(20/100))+(DK525*(30/100))+(DL525*(50/100))) &gt;=4.3),4.5,
IF(AND( SUM((DJ525*(20/100))+(DK525*(30/100))+(DL525*(50/100))) &lt;=4.3, SUM((DJ525*(20/100))+(DK525*(30/100))+(DL525*(50/100))) &gt;=3.8),4,
IF(AND( SUM((DJ525*(20/100))+(DK525*(30/100))+(DL525*(50/100))) &lt;=3.8, SUM((DJ525*(20/100))+(DK525*(30/100))+(DL525*(50/100))) &gt;=3.5),3.5,0)))))))))))))</f>
        <v>0</v>
      </c>
      <c r="DQ525" s="541"/>
      <c r="DR525" s="541"/>
      <c r="DS525" s="541"/>
      <c r="DT525" s="541"/>
      <c r="DU525" s="541"/>
      <c r="DV525" s="541"/>
      <c r="DW525" s="541"/>
      <c r="DX525" s="541"/>
      <c r="DY525" s="541"/>
      <c r="DZ525" s="541"/>
    </row>
    <row r="526" spans="2:130" x14ac:dyDescent="0.25">
      <c r="B526" s="334">
        <v>19</v>
      </c>
      <c r="C526" s="541" t="s">
        <v>8602</v>
      </c>
      <c r="D526" s="334">
        <v>4</v>
      </c>
      <c r="E526" s="334"/>
      <c r="F526" s="334"/>
      <c r="G526" s="334">
        <v>8</v>
      </c>
      <c r="H526" s="334">
        <v>8</v>
      </c>
      <c r="I526" s="334">
        <v>8</v>
      </c>
      <c r="J526" s="536"/>
      <c r="K526" s="536"/>
      <c r="L526" s="536"/>
      <c r="M526" s="536"/>
      <c r="N526" s="536"/>
      <c r="O526" s="536"/>
      <c r="P526" s="536">
        <f t="shared" si="201"/>
        <v>0</v>
      </c>
      <c r="Q526" s="536"/>
      <c r="R526" s="536"/>
      <c r="S526" s="536"/>
      <c r="T526" s="536">
        <f t="shared" si="202"/>
        <v>0</v>
      </c>
      <c r="U526" s="536"/>
      <c r="V526" s="536"/>
      <c r="W526" s="536"/>
      <c r="X526" s="536">
        <f t="shared" si="203"/>
        <v>0</v>
      </c>
      <c r="Y526" s="536"/>
      <c r="Z526" s="536"/>
      <c r="AA526" s="536"/>
      <c r="AB526" s="536">
        <f t="shared" si="204"/>
        <v>0</v>
      </c>
      <c r="AC526" s="536"/>
      <c r="AD526" s="536"/>
      <c r="AE526" s="536"/>
      <c r="AF526" s="536">
        <f t="shared" si="205"/>
        <v>0</v>
      </c>
      <c r="AG526" s="536"/>
      <c r="AH526" s="536"/>
      <c r="AI526" s="536"/>
      <c r="AJ526" s="536">
        <f t="shared" si="206"/>
        <v>0</v>
      </c>
      <c r="AK526" s="536"/>
      <c r="AL526" s="536"/>
      <c r="AM526" s="536"/>
      <c r="AN526" s="542">
        <f t="shared" si="207"/>
        <v>0</v>
      </c>
      <c r="AO526" s="536"/>
      <c r="AP526" s="536"/>
      <c r="AQ526" s="536"/>
      <c r="AR526" s="542">
        <f t="shared" si="208"/>
        <v>0</v>
      </c>
      <c r="AS526" s="536"/>
      <c r="AT526" s="536"/>
      <c r="AU526" s="536"/>
      <c r="AV526" s="542">
        <f t="shared" si="209"/>
        <v>0</v>
      </c>
      <c r="AW526" s="536"/>
      <c r="AX526" s="536"/>
      <c r="AY526" s="536"/>
      <c r="AZ526" s="542">
        <f t="shared" si="210"/>
        <v>0</v>
      </c>
      <c r="BA526" s="536"/>
      <c r="BB526" s="536"/>
      <c r="BC526" s="536"/>
      <c r="BD526" s="542">
        <f t="shared" si="211"/>
        <v>0</v>
      </c>
      <c r="BE526" s="536"/>
      <c r="BF526" s="536"/>
      <c r="BG526" s="536"/>
      <c r="BH526" s="542">
        <f t="shared" si="212"/>
        <v>0</v>
      </c>
      <c r="BI526" s="536"/>
      <c r="BJ526" s="536"/>
      <c r="BK526" s="536"/>
      <c r="BL526" s="542">
        <f t="shared" si="213"/>
        <v>0</v>
      </c>
      <c r="BM526" s="536"/>
      <c r="BN526" s="536"/>
      <c r="BO526" s="536"/>
      <c r="BP526" s="542">
        <f t="shared" si="214"/>
        <v>0</v>
      </c>
      <c r="BQ526" s="536"/>
      <c r="BR526" s="536"/>
      <c r="BS526" s="536"/>
      <c r="BT526" s="542">
        <f t="shared" si="215"/>
        <v>0</v>
      </c>
      <c r="BU526" s="536"/>
      <c r="BV526" s="536"/>
      <c r="BW526" s="536"/>
      <c r="BX526" s="542">
        <f t="shared" si="216"/>
        <v>0</v>
      </c>
      <c r="BY526" s="536"/>
      <c r="BZ526" s="536"/>
      <c r="CA526" s="536"/>
      <c r="CB526" s="542">
        <v>0</v>
      </c>
      <c r="CC526" s="536"/>
      <c r="CD526" s="536"/>
      <c r="CE526" s="536"/>
      <c r="CF526" s="541">
        <f t="shared" si="217"/>
        <v>0</v>
      </c>
      <c r="CG526" s="536"/>
      <c r="CH526" s="536"/>
      <c r="CI526" s="536"/>
      <c r="CJ526" s="541">
        <f t="shared" si="218"/>
        <v>0</v>
      </c>
      <c r="CK526" s="536"/>
      <c r="CL526" s="536"/>
      <c r="CM526" s="536"/>
      <c r="CN526" s="541">
        <f t="shared" si="219"/>
        <v>0</v>
      </c>
      <c r="CO526" s="536"/>
      <c r="CP526" s="536"/>
      <c r="CQ526" s="536"/>
      <c r="CR526" s="541">
        <f t="shared" si="220"/>
        <v>0</v>
      </c>
      <c r="CS526" s="536"/>
      <c r="CT526" s="536"/>
      <c r="CU526" s="536"/>
      <c r="CV526" s="541">
        <f t="shared" si="221"/>
        <v>0</v>
      </c>
      <c r="CW526" s="536"/>
      <c r="CX526" s="536"/>
      <c r="CY526" s="536"/>
      <c r="CZ526" s="541">
        <f t="shared" si="222"/>
        <v>0</v>
      </c>
      <c r="DA526" s="536"/>
      <c r="DB526" s="536"/>
      <c r="DC526" s="536"/>
      <c r="DD526" s="541">
        <f t="shared" si="223"/>
        <v>0</v>
      </c>
      <c r="DE526" s="536"/>
      <c r="DF526" s="536"/>
      <c r="DG526" s="536"/>
      <c r="DH526" s="541">
        <f t="shared" si="224"/>
        <v>0</v>
      </c>
      <c r="DI526" s="536"/>
      <c r="DJ526" s="536"/>
      <c r="DK526" s="536"/>
      <c r="DL526" s="541">
        <f t="shared" si="225"/>
        <v>0</v>
      </c>
      <c r="DM526" s="536"/>
      <c r="DN526" s="536"/>
      <c r="DO526" s="536"/>
      <c r="DP526" s="541">
        <f>IF( SUM((DJ526*(20/100))+(DK526*(30/100))+(DL526*(50/100))) &gt;=9.3,9.5,
IF(AND( SUM((DJ526*(20/100))+(DK526*(30/100))+(DL526*(50/100))) &lt;=9.3, SUM((DJ526*(20/100))+(DK526*(30/100))+(DL526*(50/100))) &gt;=8.8),9,
IF(AND( SUM((DJ526*(20/100))+(DK526*(30/100))+(DL526*(50/100))) &lt;=8.8, SUM((DJ526*(20/100))+(DK526*(30/100))+(DL526*(50/100))) &gt;=8.3),8.5,
IF(AND( SUM((DJ526*(20/100))+(DK526*(30/100))+(DL526*(50/100))) &lt;=8.3, SUM((DJ526*(20/100))+(DK526*(30/100))+(DL526*(50/100))) &gt;=7.8),8,
IF(AND( SUM((DJ526*(20/100))+(DK526*(30/100))+(DL526*(50/100))) &lt;=7.8, SUM((DJ526*(20/100))+(DK526*(30/100))+(DL526*(50/100))) &gt;=7.3),7.5,
IF(AND( SUM((DJ526*(20/100))+(DK526*(30/100))+(DL526*(50/100))) &lt;=7.3, SUM((DJ526*(20/100))+(DK526*(30/100))+(DL526*(50/100))) &gt;=6.8),7,
IF(AND( SUM((DJ526*(20/100))+(DK526*(30/100))+(DL526*(50/100))) &lt;=6.8, SUM((DJ526*(20/100))+(DK526*(30/100))+(DL526*(50/100))) &gt;=6.3),6.5,
IF(AND( SUM((DJ526*(20/100))+(DK526*(30/100))+(DL526*(50/100))) &lt;=6.3, SUM((DJ526*(20/100))+(DK526*(30/100))+(DL526*(50/100))) &gt;=5.8),6,
IF(AND( SUM((DJ526*(20/100))+(DK526*(30/100))+(DL526*(50/100))) &lt;=5.8, SUM((DJ526*(20/100))+(DK526*(30/100))+(DL526*(50/100))) &gt;=5.3),5.5,
IF(AND( SUM((DJ526*(20/100))+(DK526*(30/100))+(DL526*(50/100))) &lt;=5.3, SUM((DJ526*(20/100))+(DK526*(30/100))+(DL526*(50/100))) &gt;=4.8),5,
IF(AND( SUM((DJ526*(20/100))+(DK526*(30/100))+(DL526*(50/100))) &lt;=4.8, SUM((DJ526*(20/100))+(DK526*(30/100))+(DL526*(50/100))) &gt;=4.3),4.5,
IF(AND( SUM((DJ526*(20/100))+(DK526*(30/100))+(DL526*(50/100))) &lt;=4.3, SUM((DJ526*(20/100))+(DK526*(30/100))+(DL526*(50/100))) &gt;=3.8),4,
IF(AND( SUM((DJ526*(20/100))+(DK526*(30/100))+(DL526*(50/100))) &lt;=3.8, SUM((DJ526*(20/100))+(DK526*(30/100))+(DL526*(50/100))) &gt;=3.5),3.5,0)))))))))))))</f>
        <v>0</v>
      </c>
      <c r="DQ526" s="541"/>
      <c r="DR526" s="541"/>
      <c r="DS526" s="541"/>
      <c r="DT526" s="541"/>
      <c r="DU526" s="541"/>
      <c r="DV526" s="541"/>
      <c r="DW526" s="541"/>
      <c r="DX526" s="541"/>
      <c r="DY526" s="541"/>
      <c r="DZ526" s="541"/>
    </row>
    <row r="527" spans="2:130" x14ac:dyDescent="0.25">
      <c r="B527" s="334">
        <v>20</v>
      </c>
      <c r="C527" s="541" t="s">
        <v>8603</v>
      </c>
      <c r="D527" s="334"/>
      <c r="E527" s="334">
        <v>6</v>
      </c>
      <c r="F527" s="334"/>
      <c r="G527" s="334">
        <v>8</v>
      </c>
      <c r="H527" s="334">
        <v>8</v>
      </c>
      <c r="I527" s="334">
        <v>8</v>
      </c>
      <c r="J527" s="536"/>
      <c r="K527" s="536"/>
      <c r="L527" s="536"/>
      <c r="M527" s="536"/>
      <c r="N527" s="536"/>
      <c r="O527" s="536"/>
      <c r="P527" s="536">
        <f t="shared" si="201"/>
        <v>0</v>
      </c>
      <c r="Q527" s="536"/>
      <c r="R527" s="536"/>
      <c r="S527" s="536"/>
      <c r="T527" s="536">
        <f t="shared" si="202"/>
        <v>0</v>
      </c>
      <c r="U527" s="536"/>
      <c r="V527" s="536"/>
      <c r="W527" s="536"/>
      <c r="X527" s="536">
        <f t="shared" si="203"/>
        <v>0</v>
      </c>
      <c r="Y527" s="536"/>
      <c r="Z527" s="536"/>
      <c r="AA527" s="536"/>
      <c r="AB527" s="536">
        <f t="shared" si="204"/>
        <v>0</v>
      </c>
      <c r="AC527" s="536"/>
      <c r="AD527" s="536"/>
      <c r="AE527" s="536"/>
      <c r="AF527" s="536">
        <f t="shared" si="205"/>
        <v>0</v>
      </c>
      <c r="AG527" s="536"/>
      <c r="AH527" s="536"/>
      <c r="AI527" s="536"/>
      <c r="AJ527" s="536">
        <f t="shared" si="206"/>
        <v>0</v>
      </c>
      <c r="AK527" s="536"/>
      <c r="AL527" s="536"/>
      <c r="AM527" s="536"/>
      <c r="AN527" s="542">
        <f t="shared" si="207"/>
        <v>0</v>
      </c>
      <c r="AO527" s="536"/>
      <c r="AP527" s="536"/>
      <c r="AQ527" s="536"/>
      <c r="AR527" s="542">
        <f t="shared" si="208"/>
        <v>0</v>
      </c>
      <c r="AS527" s="536"/>
      <c r="AT527" s="536"/>
      <c r="AU527" s="536"/>
      <c r="AV527" s="542">
        <f t="shared" si="209"/>
        <v>0</v>
      </c>
      <c r="AW527" s="536"/>
      <c r="AX527" s="536"/>
      <c r="AY527" s="536"/>
      <c r="AZ527" s="542">
        <f t="shared" si="210"/>
        <v>0</v>
      </c>
      <c r="BA527" s="536"/>
      <c r="BB527" s="536"/>
      <c r="BC527" s="536"/>
      <c r="BD527" s="542">
        <f t="shared" si="211"/>
        <v>0</v>
      </c>
      <c r="BE527" s="536"/>
      <c r="BF527" s="536"/>
      <c r="BG527" s="536"/>
      <c r="BH527" s="542">
        <f t="shared" si="212"/>
        <v>0</v>
      </c>
      <c r="BI527" s="536"/>
      <c r="BJ527" s="536"/>
      <c r="BK527" s="536"/>
      <c r="BL527" s="542">
        <f t="shared" si="213"/>
        <v>0</v>
      </c>
      <c r="BM527" s="536"/>
      <c r="BN527" s="536"/>
      <c r="BO527" s="536"/>
      <c r="BP527" s="542">
        <f t="shared" si="214"/>
        <v>0</v>
      </c>
      <c r="BQ527" s="536"/>
      <c r="BR527" s="536"/>
      <c r="BS527" s="536"/>
      <c r="BT527" s="542">
        <f t="shared" si="215"/>
        <v>0</v>
      </c>
      <c r="BU527" s="536"/>
      <c r="BV527" s="536"/>
      <c r="BW527" s="536"/>
      <c r="BX527" s="542">
        <f t="shared" si="216"/>
        <v>0</v>
      </c>
      <c r="BY527" s="536"/>
      <c r="BZ527" s="536"/>
      <c r="CA527" s="536"/>
      <c r="CB527" s="542">
        <v>0</v>
      </c>
      <c r="CC527" s="536"/>
      <c r="CD527" s="536"/>
      <c r="CE527" s="536"/>
      <c r="CF527" s="541">
        <f t="shared" si="217"/>
        <v>0</v>
      </c>
      <c r="CG527" s="536"/>
      <c r="CH527" s="536"/>
      <c r="CI527" s="536"/>
      <c r="CJ527" s="541">
        <f t="shared" si="218"/>
        <v>0</v>
      </c>
      <c r="CK527" s="536"/>
      <c r="CL527" s="536"/>
      <c r="CM527" s="536"/>
      <c r="CN527" s="541">
        <f t="shared" si="219"/>
        <v>0</v>
      </c>
      <c r="CO527" s="536"/>
      <c r="CP527" s="536"/>
      <c r="CQ527" s="536"/>
      <c r="CR527" s="541">
        <f t="shared" si="220"/>
        <v>0</v>
      </c>
      <c r="CS527" s="536"/>
      <c r="CT527" s="536"/>
      <c r="CU527" s="536"/>
      <c r="CV527" s="541">
        <f t="shared" si="221"/>
        <v>0</v>
      </c>
      <c r="CW527" s="536"/>
      <c r="CX527" s="536"/>
      <c r="CY527" s="536"/>
      <c r="CZ527" s="541">
        <f t="shared" si="222"/>
        <v>0</v>
      </c>
      <c r="DA527" s="536"/>
      <c r="DB527" s="536"/>
      <c r="DC527" s="536"/>
      <c r="DD527" s="541">
        <f t="shared" si="223"/>
        <v>0</v>
      </c>
      <c r="DE527" s="536"/>
      <c r="DF527" s="536"/>
      <c r="DG527" s="536"/>
      <c r="DH527" s="541">
        <f t="shared" si="224"/>
        <v>0</v>
      </c>
      <c r="DI527" s="536"/>
      <c r="DJ527" s="536"/>
      <c r="DK527" s="536"/>
      <c r="DL527" s="541">
        <f t="shared" si="225"/>
        <v>0</v>
      </c>
      <c r="DM527" s="536"/>
      <c r="DN527" s="536"/>
      <c r="DO527" s="536"/>
      <c r="DP527" s="541">
        <f>IF( SUM((DJ527*(20/100))+(DK527*(30/100))+(DL527*(50/100))) &gt;=9.3,9.5,
IF(AND( SUM((DJ527*(20/100))+(DK527*(30/100))+(DL527*(50/100))) &lt;=9.3, SUM((DJ527*(20/100))+(DK527*(30/100))+(DL527*(50/100))) &gt;=8.8),9,
IF(AND( SUM((DJ527*(20/100))+(DK527*(30/100))+(DL527*(50/100))) &lt;=8.8, SUM((DJ527*(20/100))+(DK527*(30/100))+(DL527*(50/100))) &gt;=8.3),8.5,
IF(AND( SUM((DJ527*(20/100))+(DK527*(30/100))+(DL527*(50/100))) &lt;=8.3, SUM((DJ527*(20/100))+(DK527*(30/100))+(DL527*(50/100))) &gt;=7.8),8,
IF(AND( SUM((DJ527*(20/100))+(DK527*(30/100))+(DL527*(50/100))) &lt;=7.8, SUM((DJ527*(20/100))+(DK527*(30/100))+(DL527*(50/100))) &gt;=7.3),7.5,
IF(AND( SUM((DJ527*(20/100))+(DK527*(30/100))+(DL527*(50/100))) &lt;=7.3, SUM((DJ527*(20/100))+(DK527*(30/100))+(DL527*(50/100))) &gt;=6.8),7,
IF(AND( SUM((DJ527*(20/100))+(DK527*(30/100))+(DL527*(50/100))) &lt;=6.8, SUM((DJ527*(20/100))+(DK527*(30/100))+(DL527*(50/100))) &gt;=6.3),6.5,
IF(AND( SUM((DJ527*(20/100))+(DK527*(30/100))+(DL527*(50/100))) &lt;=6.3, SUM((DJ527*(20/100))+(DK527*(30/100))+(DL527*(50/100))) &gt;=5.8),6,
IF(AND( SUM((DJ527*(20/100))+(DK527*(30/100))+(DL527*(50/100))) &lt;=5.8, SUM((DJ527*(20/100))+(DK527*(30/100))+(DL527*(50/100))) &gt;=5.3),5.5,
IF(AND( SUM((DJ527*(20/100))+(DK527*(30/100))+(DL527*(50/100))) &lt;=5.3, SUM((DJ527*(20/100))+(DK527*(30/100))+(DL527*(50/100))) &gt;=4.8),5,
IF(AND( SUM((DJ527*(20/100))+(DK527*(30/100))+(DL527*(50/100))) &lt;=4.8, SUM((DJ527*(20/100))+(DK527*(30/100))+(DL527*(50/100))) &gt;=4.3),4.5,
IF(AND( SUM((DJ527*(20/100))+(DK527*(30/100))+(DL527*(50/100))) &lt;=4.3, SUM((DJ527*(20/100))+(DK527*(30/100))+(DL527*(50/100))) &gt;=3.8),4,
IF(AND( SUM((DJ527*(20/100))+(DK527*(30/100))+(DL527*(50/100))) &lt;=3.8, SUM((DJ527*(20/100))+(DK527*(30/100))+(DL527*(50/100))) &gt;=3.5),3.5,0)))))))))))))</f>
        <v>0</v>
      </c>
      <c r="DQ527" s="541"/>
      <c r="DR527" s="541"/>
      <c r="DS527" s="541"/>
      <c r="DT527" s="541"/>
      <c r="DU527" s="541"/>
      <c r="DV527" s="541"/>
      <c r="DW527" s="541"/>
      <c r="DX527" s="541"/>
      <c r="DY527" s="541"/>
      <c r="DZ527" s="541"/>
    </row>
    <row r="528" spans="2:130" x14ac:dyDescent="0.25">
      <c r="B528" s="334">
        <v>21</v>
      </c>
      <c r="C528" s="541" t="s">
        <v>8604</v>
      </c>
      <c r="D528" s="334">
        <v>2</v>
      </c>
      <c r="E528" s="334">
        <v>1</v>
      </c>
      <c r="F528" s="334"/>
      <c r="G528" s="334">
        <v>8</v>
      </c>
      <c r="H528" s="334">
        <v>8</v>
      </c>
      <c r="I528" s="334">
        <v>8</v>
      </c>
      <c r="J528" s="536"/>
      <c r="K528" s="536"/>
      <c r="L528" s="536"/>
      <c r="M528" s="536"/>
      <c r="N528" s="536"/>
      <c r="O528" s="536"/>
      <c r="P528" s="536">
        <f t="shared" si="201"/>
        <v>0</v>
      </c>
      <c r="Q528" s="536"/>
      <c r="R528" s="536"/>
      <c r="S528" s="536"/>
      <c r="T528" s="536">
        <f t="shared" si="202"/>
        <v>0</v>
      </c>
      <c r="U528" s="536"/>
      <c r="V528" s="536"/>
      <c r="W528" s="536"/>
      <c r="X528" s="536">
        <f t="shared" si="203"/>
        <v>0</v>
      </c>
      <c r="Y528" s="536"/>
      <c r="Z528" s="536"/>
      <c r="AA528" s="536"/>
      <c r="AB528" s="536">
        <f t="shared" si="204"/>
        <v>0</v>
      </c>
      <c r="AC528" s="536"/>
      <c r="AD528" s="536"/>
      <c r="AE528" s="536"/>
      <c r="AF528" s="536">
        <f t="shared" si="205"/>
        <v>0</v>
      </c>
      <c r="AG528" s="536"/>
      <c r="AH528" s="536"/>
      <c r="AI528" s="536"/>
      <c r="AJ528" s="536">
        <f t="shared" si="206"/>
        <v>0</v>
      </c>
      <c r="AK528" s="536"/>
      <c r="AL528" s="536"/>
      <c r="AM528" s="536"/>
      <c r="AN528" s="542">
        <f t="shared" si="207"/>
        <v>0</v>
      </c>
      <c r="AO528" s="536"/>
      <c r="AP528" s="536"/>
      <c r="AQ528" s="536"/>
      <c r="AR528" s="542">
        <f t="shared" si="208"/>
        <v>0</v>
      </c>
      <c r="AS528" s="536"/>
      <c r="AT528" s="536"/>
      <c r="AU528" s="536"/>
      <c r="AV528" s="542">
        <f t="shared" si="209"/>
        <v>0</v>
      </c>
      <c r="AW528" s="536"/>
      <c r="AX528" s="536"/>
      <c r="AY528" s="536"/>
      <c r="AZ528" s="542">
        <f t="shared" si="210"/>
        <v>0</v>
      </c>
      <c r="BA528" s="536"/>
      <c r="BB528" s="536"/>
      <c r="BC528" s="536"/>
      <c r="BD528" s="542">
        <f t="shared" si="211"/>
        <v>0</v>
      </c>
      <c r="BE528" s="536"/>
      <c r="BF528" s="536"/>
      <c r="BG528" s="536"/>
      <c r="BH528" s="542">
        <f t="shared" si="212"/>
        <v>0</v>
      </c>
      <c r="BI528" s="536"/>
      <c r="BJ528" s="536"/>
      <c r="BK528" s="536"/>
      <c r="BL528" s="542">
        <f t="shared" si="213"/>
        <v>0</v>
      </c>
      <c r="BM528" s="536"/>
      <c r="BN528" s="536"/>
      <c r="BO528" s="536"/>
      <c r="BP528" s="542">
        <f t="shared" si="214"/>
        <v>0</v>
      </c>
      <c r="BQ528" s="536"/>
      <c r="BR528" s="536"/>
      <c r="BS528" s="536"/>
      <c r="BT528" s="542">
        <f t="shared" si="215"/>
        <v>0</v>
      </c>
      <c r="BU528" s="536"/>
      <c r="BV528" s="536"/>
      <c r="BW528" s="536"/>
      <c r="BX528" s="542">
        <f t="shared" si="216"/>
        <v>0</v>
      </c>
      <c r="BY528" s="536"/>
      <c r="BZ528" s="536"/>
      <c r="CA528" s="536"/>
      <c r="CB528" s="542">
        <v>0</v>
      </c>
      <c r="CC528" s="536"/>
      <c r="CD528" s="536"/>
      <c r="CE528" s="536"/>
      <c r="CF528" s="541">
        <f t="shared" si="217"/>
        <v>0</v>
      </c>
      <c r="CG528" s="536"/>
      <c r="CH528" s="536"/>
      <c r="CI528" s="536"/>
      <c r="CJ528" s="541">
        <f t="shared" si="218"/>
        <v>0</v>
      </c>
      <c r="CK528" s="536"/>
      <c r="CL528" s="536"/>
      <c r="CM528" s="536"/>
      <c r="CN528" s="541">
        <f t="shared" si="219"/>
        <v>0</v>
      </c>
      <c r="CO528" s="536"/>
      <c r="CP528" s="536"/>
      <c r="CQ528" s="536"/>
      <c r="CR528" s="541">
        <f t="shared" si="220"/>
        <v>0</v>
      </c>
      <c r="CS528" s="536"/>
      <c r="CT528" s="536"/>
      <c r="CU528" s="536"/>
      <c r="CV528" s="541">
        <f t="shared" si="221"/>
        <v>0</v>
      </c>
      <c r="CW528" s="536"/>
      <c r="CX528" s="536"/>
      <c r="CY528" s="536"/>
      <c r="CZ528" s="541">
        <f t="shared" si="222"/>
        <v>0</v>
      </c>
      <c r="DA528" s="536"/>
      <c r="DB528" s="536"/>
      <c r="DC528" s="536"/>
      <c r="DD528" s="541">
        <f t="shared" si="223"/>
        <v>0</v>
      </c>
      <c r="DE528" s="536"/>
      <c r="DF528" s="536"/>
      <c r="DG528" s="536"/>
      <c r="DH528" s="541">
        <f t="shared" si="224"/>
        <v>0</v>
      </c>
      <c r="DI528" s="536"/>
      <c r="DJ528" s="536"/>
      <c r="DK528" s="536"/>
      <c r="DL528" s="541">
        <f t="shared" si="225"/>
        <v>0</v>
      </c>
      <c r="DM528" s="536"/>
      <c r="DN528" s="536"/>
      <c r="DO528" s="536"/>
      <c r="DP528" s="541">
        <f>IF( SUM((DJ528*(20/100))+(DK528*(30/100))+(DL528*(50/100))) &gt;=9.3,9.5,
IF(AND( SUM((DJ528*(20/100))+(DK528*(30/100))+(DL528*(50/100))) &lt;=9.3, SUM((DJ528*(20/100))+(DK528*(30/100))+(DL528*(50/100))) &gt;=8.8),9,
IF(AND( SUM((DJ528*(20/100))+(DK528*(30/100))+(DL528*(50/100))) &lt;=8.8, SUM((DJ528*(20/100))+(DK528*(30/100))+(DL528*(50/100))) &gt;=8.3),8.5,
IF(AND( SUM((DJ528*(20/100))+(DK528*(30/100))+(DL528*(50/100))) &lt;=8.3, SUM((DJ528*(20/100))+(DK528*(30/100))+(DL528*(50/100))) &gt;=7.8),8,
IF(AND( SUM((DJ528*(20/100))+(DK528*(30/100))+(DL528*(50/100))) &lt;=7.8, SUM((DJ528*(20/100))+(DK528*(30/100))+(DL528*(50/100))) &gt;=7.3),7.5,
IF(AND( SUM((DJ528*(20/100))+(DK528*(30/100))+(DL528*(50/100))) &lt;=7.3, SUM((DJ528*(20/100))+(DK528*(30/100))+(DL528*(50/100))) &gt;=6.8),7,
IF(AND( SUM((DJ528*(20/100))+(DK528*(30/100))+(DL528*(50/100))) &lt;=6.8, SUM((DJ528*(20/100))+(DK528*(30/100))+(DL528*(50/100))) &gt;=6.3),6.5,
IF(AND( SUM((DJ528*(20/100))+(DK528*(30/100))+(DL528*(50/100))) &lt;=6.3, SUM((DJ528*(20/100))+(DK528*(30/100))+(DL528*(50/100))) &gt;=5.8),6,
IF(AND( SUM((DJ528*(20/100))+(DK528*(30/100))+(DL528*(50/100))) &lt;=5.8, SUM((DJ528*(20/100))+(DK528*(30/100))+(DL528*(50/100))) &gt;=5.3),5.5,
IF(AND( SUM((DJ528*(20/100))+(DK528*(30/100))+(DL528*(50/100))) &lt;=5.3, SUM((DJ528*(20/100))+(DK528*(30/100))+(DL528*(50/100))) &gt;=4.8),5,
IF(AND( SUM((DJ528*(20/100))+(DK528*(30/100))+(DL528*(50/100))) &lt;=4.8, SUM((DJ528*(20/100))+(DK528*(30/100))+(DL528*(50/100))) &gt;=4.3),4.5,
IF(AND( SUM((DJ528*(20/100))+(DK528*(30/100))+(DL528*(50/100))) &lt;=4.3, SUM((DJ528*(20/100))+(DK528*(30/100))+(DL528*(50/100))) &gt;=3.8),4,
IF(AND( SUM((DJ528*(20/100))+(DK528*(30/100))+(DL528*(50/100))) &lt;=3.8, SUM((DJ528*(20/100))+(DK528*(30/100))+(DL528*(50/100))) &gt;=3.5),3.5,0)))))))))))))</f>
        <v>0</v>
      </c>
      <c r="DQ528" s="541"/>
      <c r="DR528" s="541"/>
      <c r="DS528" s="541"/>
      <c r="DT528" s="541"/>
      <c r="DU528" s="541"/>
      <c r="DV528" s="541"/>
      <c r="DW528" s="541"/>
      <c r="DX528" s="541"/>
      <c r="DY528" s="541"/>
      <c r="DZ528" s="541"/>
    </row>
    <row r="529" spans="2:130" x14ac:dyDescent="0.25">
      <c r="B529" s="334">
        <v>22</v>
      </c>
      <c r="C529" s="541" t="s">
        <v>8605</v>
      </c>
      <c r="D529" s="334"/>
      <c r="E529" s="334">
        <v>4</v>
      </c>
      <c r="F529" s="334"/>
      <c r="G529" s="334">
        <v>8</v>
      </c>
      <c r="H529" s="334">
        <v>8</v>
      </c>
      <c r="I529" s="334">
        <v>8</v>
      </c>
      <c r="J529" s="536"/>
      <c r="K529" s="536"/>
      <c r="L529" s="536"/>
      <c r="M529" s="536"/>
      <c r="N529" s="536"/>
      <c r="O529" s="536"/>
      <c r="P529" s="536">
        <f t="shared" si="201"/>
        <v>0</v>
      </c>
      <c r="Q529" s="536"/>
      <c r="R529" s="536"/>
      <c r="S529" s="536"/>
      <c r="T529" s="536">
        <f t="shared" si="202"/>
        <v>0</v>
      </c>
      <c r="U529" s="536"/>
      <c r="V529" s="536"/>
      <c r="W529" s="536"/>
      <c r="X529" s="536">
        <f t="shared" si="203"/>
        <v>0</v>
      </c>
      <c r="Y529" s="536"/>
      <c r="Z529" s="536"/>
      <c r="AA529" s="536"/>
      <c r="AB529" s="536">
        <f t="shared" si="204"/>
        <v>0</v>
      </c>
      <c r="AC529" s="536"/>
      <c r="AD529" s="536"/>
      <c r="AE529" s="536"/>
      <c r="AF529" s="536">
        <f t="shared" si="205"/>
        <v>0</v>
      </c>
      <c r="AG529" s="536"/>
      <c r="AH529" s="536"/>
      <c r="AI529" s="536"/>
      <c r="AJ529" s="536">
        <f t="shared" si="206"/>
        <v>0</v>
      </c>
      <c r="AK529" s="536"/>
      <c r="AL529" s="536"/>
      <c r="AM529" s="536"/>
      <c r="AN529" s="542">
        <f t="shared" si="207"/>
        <v>0</v>
      </c>
      <c r="AO529" s="536"/>
      <c r="AP529" s="536"/>
      <c r="AQ529" s="536"/>
      <c r="AR529" s="542">
        <f t="shared" si="208"/>
        <v>0</v>
      </c>
      <c r="AS529" s="536"/>
      <c r="AT529" s="536"/>
      <c r="AU529" s="536"/>
      <c r="AV529" s="542">
        <f t="shared" si="209"/>
        <v>0</v>
      </c>
      <c r="AW529" s="536"/>
      <c r="AX529" s="536"/>
      <c r="AY529" s="536"/>
      <c r="AZ529" s="542">
        <f t="shared" si="210"/>
        <v>0</v>
      </c>
      <c r="BA529" s="536"/>
      <c r="BB529" s="536"/>
      <c r="BC529" s="536"/>
      <c r="BD529" s="542">
        <f t="shared" si="211"/>
        <v>0</v>
      </c>
      <c r="BE529" s="536"/>
      <c r="BF529" s="536"/>
      <c r="BG529" s="536"/>
      <c r="BH529" s="542">
        <f t="shared" si="212"/>
        <v>0</v>
      </c>
      <c r="BI529" s="536"/>
      <c r="BJ529" s="536"/>
      <c r="BK529" s="536"/>
      <c r="BL529" s="542">
        <f t="shared" si="213"/>
        <v>0</v>
      </c>
      <c r="BM529" s="536"/>
      <c r="BN529" s="536"/>
      <c r="BO529" s="536"/>
      <c r="BP529" s="542">
        <f t="shared" si="214"/>
        <v>0</v>
      </c>
      <c r="BQ529" s="536"/>
      <c r="BR529" s="536"/>
      <c r="BS529" s="536"/>
      <c r="BT529" s="542">
        <f t="shared" si="215"/>
        <v>0</v>
      </c>
      <c r="BU529" s="536"/>
      <c r="BV529" s="536"/>
      <c r="BW529" s="536"/>
      <c r="BX529" s="542">
        <f t="shared" si="216"/>
        <v>0</v>
      </c>
      <c r="BY529" s="536"/>
      <c r="BZ529" s="536"/>
      <c r="CA529" s="536"/>
      <c r="CB529" s="542">
        <v>0</v>
      </c>
      <c r="CC529" s="536"/>
      <c r="CD529" s="536"/>
      <c r="CE529" s="536"/>
      <c r="CF529" s="541">
        <f t="shared" si="217"/>
        <v>0</v>
      </c>
      <c r="CG529" s="536"/>
      <c r="CH529" s="536"/>
      <c r="CI529" s="536"/>
      <c r="CJ529" s="541">
        <f t="shared" si="218"/>
        <v>0</v>
      </c>
      <c r="CK529" s="536"/>
      <c r="CL529" s="536"/>
      <c r="CM529" s="536"/>
      <c r="CN529" s="541">
        <f t="shared" si="219"/>
        <v>0</v>
      </c>
      <c r="CO529" s="536"/>
      <c r="CP529" s="536"/>
      <c r="CQ529" s="536"/>
      <c r="CR529" s="541">
        <f t="shared" si="220"/>
        <v>0</v>
      </c>
      <c r="CS529" s="536"/>
      <c r="CT529" s="536"/>
      <c r="CU529" s="536"/>
      <c r="CV529" s="541">
        <f t="shared" si="221"/>
        <v>0</v>
      </c>
      <c r="CW529" s="536"/>
      <c r="CX529" s="536"/>
      <c r="CY529" s="536"/>
      <c r="CZ529" s="541">
        <f t="shared" si="222"/>
        <v>0</v>
      </c>
      <c r="DA529" s="536"/>
      <c r="DB529" s="536"/>
      <c r="DC529" s="536"/>
      <c r="DD529" s="541">
        <f t="shared" si="223"/>
        <v>0</v>
      </c>
      <c r="DE529" s="536"/>
      <c r="DF529" s="536"/>
      <c r="DG529" s="536"/>
      <c r="DH529" s="541">
        <f t="shared" si="224"/>
        <v>0</v>
      </c>
      <c r="DI529" s="536"/>
      <c r="DJ529" s="536"/>
      <c r="DK529" s="536"/>
      <c r="DL529" s="541">
        <f t="shared" si="225"/>
        <v>0</v>
      </c>
      <c r="DM529" s="536"/>
      <c r="DN529" s="536"/>
      <c r="DO529" s="536"/>
      <c r="DP529" s="541">
        <f>IF( SUM((DJ529*(20/100))+(DK529*(30/100))+(DL529*(50/100))) &gt;=9.3,9.5,
IF(AND( SUM((DJ529*(20/100))+(DK529*(30/100))+(DL529*(50/100))) &lt;=9.3, SUM((DJ529*(20/100))+(DK529*(30/100))+(DL529*(50/100))) &gt;=8.8),9,
IF(AND( SUM((DJ529*(20/100))+(DK529*(30/100))+(DL529*(50/100))) &lt;=8.8, SUM((DJ529*(20/100))+(DK529*(30/100))+(DL529*(50/100))) &gt;=8.3),8.5,
IF(AND( SUM((DJ529*(20/100))+(DK529*(30/100))+(DL529*(50/100))) &lt;=8.3, SUM((DJ529*(20/100))+(DK529*(30/100))+(DL529*(50/100))) &gt;=7.8),8,
IF(AND( SUM((DJ529*(20/100))+(DK529*(30/100))+(DL529*(50/100))) &lt;=7.8, SUM((DJ529*(20/100))+(DK529*(30/100))+(DL529*(50/100))) &gt;=7.3),7.5,
IF(AND( SUM((DJ529*(20/100))+(DK529*(30/100))+(DL529*(50/100))) &lt;=7.3, SUM((DJ529*(20/100))+(DK529*(30/100))+(DL529*(50/100))) &gt;=6.8),7,
IF(AND( SUM((DJ529*(20/100))+(DK529*(30/100))+(DL529*(50/100))) &lt;=6.8, SUM((DJ529*(20/100))+(DK529*(30/100))+(DL529*(50/100))) &gt;=6.3),6.5,
IF(AND( SUM((DJ529*(20/100))+(DK529*(30/100))+(DL529*(50/100))) &lt;=6.3, SUM((DJ529*(20/100))+(DK529*(30/100))+(DL529*(50/100))) &gt;=5.8),6,
IF(AND( SUM((DJ529*(20/100))+(DK529*(30/100))+(DL529*(50/100))) &lt;=5.8, SUM((DJ529*(20/100))+(DK529*(30/100))+(DL529*(50/100))) &gt;=5.3),5.5,
IF(AND( SUM((DJ529*(20/100))+(DK529*(30/100))+(DL529*(50/100))) &lt;=5.3, SUM((DJ529*(20/100))+(DK529*(30/100))+(DL529*(50/100))) &gt;=4.8),5,
IF(AND( SUM((DJ529*(20/100))+(DK529*(30/100))+(DL529*(50/100))) &lt;=4.8, SUM((DJ529*(20/100))+(DK529*(30/100))+(DL529*(50/100))) &gt;=4.3),4.5,
IF(AND( SUM((DJ529*(20/100))+(DK529*(30/100))+(DL529*(50/100))) &lt;=4.3, SUM((DJ529*(20/100))+(DK529*(30/100))+(DL529*(50/100))) &gt;=3.8),4,
IF(AND( SUM((DJ529*(20/100))+(DK529*(30/100))+(DL529*(50/100))) &lt;=3.8, SUM((DJ529*(20/100))+(DK529*(30/100))+(DL529*(50/100))) &gt;=3.5),3.5,0)))))))))))))</f>
        <v>0</v>
      </c>
      <c r="DQ529" s="541"/>
      <c r="DR529" s="541"/>
      <c r="DS529" s="541"/>
      <c r="DT529" s="541"/>
      <c r="DU529" s="541"/>
      <c r="DV529" s="541"/>
      <c r="DW529" s="541"/>
      <c r="DX529" s="541"/>
      <c r="DY529" s="541"/>
      <c r="DZ529" s="541"/>
    </row>
    <row r="530" spans="2:130" x14ac:dyDescent="0.25">
      <c r="B530" s="334">
        <v>23</v>
      </c>
      <c r="C530" s="541" t="s">
        <v>8606</v>
      </c>
      <c r="D530" s="334"/>
      <c r="E530" s="334">
        <v>1</v>
      </c>
      <c r="F530" s="334"/>
      <c r="G530" s="334">
        <v>8</v>
      </c>
      <c r="H530" s="334">
        <v>8</v>
      </c>
      <c r="I530" s="334">
        <v>8</v>
      </c>
      <c r="J530" s="536"/>
      <c r="K530" s="536"/>
      <c r="L530" s="536"/>
      <c r="M530" s="536"/>
      <c r="N530" s="536"/>
      <c r="O530" s="536"/>
      <c r="P530" s="536">
        <f t="shared" si="201"/>
        <v>0</v>
      </c>
      <c r="Q530" s="536"/>
      <c r="R530" s="536"/>
      <c r="S530" s="536"/>
      <c r="T530" s="536">
        <f t="shared" si="202"/>
        <v>0</v>
      </c>
      <c r="U530" s="536"/>
      <c r="V530" s="536"/>
      <c r="W530" s="536"/>
      <c r="X530" s="536">
        <f t="shared" si="203"/>
        <v>0</v>
      </c>
      <c r="Y530" s="536"/>
      <c r="Z530" s="536"/>
      <c r="AA530" s="536"/>
      <c r="AB530" s="536">
        <f t="shared" si="204"/>
        <v>0</v>
      </c>
      <c r="AC530" s="536"/>
      <c r="AD530" s="536"/>
      <c r="AE530" s="536"/>
      <c r="AF530" s="536">
        <f t="shared" si="205"/>
        <v>0</v>
      </c>
      <c r="AG530" s="536"/>
      <c r="AH530" s="536"/>
      <c r="AI530" s="536"/>
      <c r="AJ530" s="536">
        <f t="shared" si="206"/>
        <v>0</v>
      </c>
      <c r="AK530" s="536"/>
      <c r="AL530" s="536"/>
      <c r="AM530" s="536"/>
      <c r="AN530" s="542">
        <f t="shared" si="207"/>
        <v>0</v>
      </c>
      <c r="AO530" s="536"/>
      <c r="AP530" s="536"/>
      <c r="AQ530" s="536"/>
      <c r="AR530" s="542">
        <f t="shared" si="208"/>
        <v>0</v>
      </c>
      <c r="AS530" s="536"/>
      <c r="AT530" s="536"/>
      <c r="AU530" s="536"/>
      <c r="AV530" s="542">
        <f t="shared" si="209"/>
        <v>0</v>
      </c>
      <c r="AW530" s="536"/>
      <c r="AX530" s="536"/>
      <c r="AY530" s="536"/>
      <c r="AZ530" s="542">
        <f t="shared" si="210"/>
        <v>0</v>
      </c>
      <c r="BA530" s="536"/>
      <c r="BB530" s="536"/>
      <c r="BC530" s="536"/>
      <c r="BD530" s="542">
        <f t="shared" si="211"/>
        <v>0</v>
      </c>
      <c r="BE530" s="536"/>
      <c r="BF530" s="536"/>
      <c r="BG530" s="536"/>
      <c r="BH530" s="542">
        <f t="shared" si="212"/>
        <v>0</v>
      </c>
      <c r="BI530" s="536"/>
      <c r="BJ530" s="536"/>
      <c r="BK530" s="536"/>
      <c r="BL530" s="542">
        <f t="shared" si="213"/>
        <v>0</v>
      </c>
      <c r="BM530" s="536"/>
      <c r="BN530" s="536"/>
      <c r="BO530" s="536"/>
      <c r="BP530" s="542">
        <f t="shared" si="214"/>
        <v>0</v>
      </c>
      <c r="BQ530" s="536"/>
      <c r="BR530" s="536"/>
      <c r="BS530" s="536"/>
      <c r="BT530" s="542">
        <f t="shared" si="215"/>
        <v>0</v>
      </c>
      <c r="BU530" s="536"/>
      <c r="BV530" s="536"/>
      <c r="BW530" s="536"/>
      <c r="BX530" s="542">
        <f t="shared" si="216"/>
        <v>0</v>
      </c>
      <c r="BY530" s="536"/>
      <c r="BZ530" s="536"/>
      <c r="CA530" s="536"/>
      <c r="CB530" s="542">
        <v>0</v>
      </c>
      <c r="CC530" s="536"/>
      <c r="CD530" s="536"/>
      <c r="CE530" s="536"/>
      <c r="CF530" s="541">
        <f t="shared" si="217"/>
        <v>0</v>
      </c>
      <c r="CG530" s="536"/>
      <c r="CH530" s="536"/>
      <c r="CI530" s="536"/>
      <c r="CJ530" s="541">
        <f t="shared" si="218"/>
        <v>0</v>
      </c>
      <c r="CK530" s="536"/>
      <c r="CL530" s="536"/>
      <c r="CM530" s="536"/>
      <c r="CN530" s="541">
        <f t="shared" si="219"/>
        <v>0</v>
      </c>
      <c r="CO530" s="536"/>
      <c r="CP530" s="536"/>
      <c r="CQ530" s="536"/>
      <c r="CR530" s="541">
        <f t="shared" si="220"/>
        <v>0</v>
      </c>
      <c r="CS530" s="536"/>
      <c r="CT530" s="536"/>
      <c r="CU530" s="536"/>
      <c r="CV530" s="541">
        <f t="shared" si="221"/>
        <v>0</v>
      </c>
      <c r="CW530" s="536"/>
      <c r="CX530" s="536"/>
      <c r="CY530" s="536"/>
      <c r="CZ530" s="541">
        <f t="shared" si="222"/>
        <v>0</v>
      </c>
      <c r="DA530" s="536"/>
      <c r="DB530" s="536"/>
      <c r="DC530" s="536"/>
      <c r="DD530" s="541">
        <f t="shared" si="223"/>
        <v>0</v>
      </c>
      <c r="DE530" s="536"/>
      <c r="DF530" s="536"/>
      <c r="DG530" s="536"/>
      <c r="DH530" s="541">
        <f t="shared" si="224"/>
        <v>0</v>
      </c>
      <c r="DI530" s="536"/>
      <c r="DJ530" s="536"/>
      <c r="DK530" s="536"/>
      <c r="DL530" s="541">
        <f t="shared" si="225"/>
        <v>0</v>
      </c>
      <c r="DM530" s="536"/>
      <c r="DN530" s="536"/>
      <c r="DO530" s="536"/>
      <c r="DP530" s="541">
        <f>IF( SUM((DJ530*(20/100))+(DK530*(30/100))+(DL530*(50/100))) &gt;=9.3,9.5,
IF(AND( SUM((DJ530*(20/100))+(DK530*(30/100))+(DL530*(50/100))) &lt;=9.3, SUM((DJ530*(20/100))+(DK530*(30/100))+(DL530*(50/100))) &gt;=8.8),9,
IF(AND( SUM((DJ530*(20/100))+(DK530*(30/100))+(DL530*(50/100))) &lt;=8.8, SUM((DJ530*(20/100))+(DK530*(30/100))+(DL530*(50/100))) &gt;=8.3),8.5,
IF(AND( SUM((DJ530*(20/100))+(DK530*(30/100))+(DL530*(50/100))) &lt;=8.3, SUM((DJ530*(20/100))+(DK530*(30/100))+(DL530*(50/100))) &gt;=7.8),8,
IF(AND( SUM((DJ530*(20/100))+(DK530*(30/100))+(DL530*(50/100))) &lt;=7.8, SUM((DJ530*(20/100))+(DK530*(30/100))+(DL530*(50/100))) &gt;=7.3),7.5,
IF(AND( SUM((DJ530*(20/100))+(DK530*(30/100))+(DL530*(50/100))) &lt;=7.3, SUM((DJ530*(20/100))+(DK530*(30/100))+(DL530*(50/100))) &gt;=6.8),7,
IF(AND( SUM((DJ530*(20/100))+(DK530*(30/100))+(DL530*(50/100))) &lt;=6.8, SUM((DJ530*(20/100))+(DK530*(30/100))+(DL530*(50/100))) &gt;=6.3),6.5,
IF(AND( SUM((DJ530*(20/100))+(DK530*(30/100))+(DL530*(50/100))) &lt;=6.3, SUM((DJ530*(20/100))+(DK530*(30/100))+(DL530*(50/100))) &gt;=5.8),6,
IF(AND( SUM((DJ530*(20/100))+(DK530*(30/100))+(DL530*(50/100))) &lt;=5.8, SUM((DJ530*(20/100))+(DK530*(30/100))+(DL530*(50/100))) &gt;=5.3),5.5,
IF(AND( SUM((DJ530*(20/100))+(DK530*(30/100))+(DL530*(50/100))) &lt;=5.3, SUM((DJ530*(20/100))+(DK530*(30/100))+(DL530*(50/100))) &gt;=4.8),5,
IF(AND( SUM((DJ530*(20/100))+(DK530*(30/100))+(DL530*(50/100))) &lt;=4.8, SUM((DJ530*(20/100))+(DK530*(30/100))+(DL530*(50/100))) &gt;=4.3),4.5,
IF(AND( SUM((DJ530*(20/100))+(DK530*(30/100))+(DL530*(50/100))) &lt;=4.3, SUM((DJ530*(20/100))+(DK530*(30/100))+(DL530*(50/100))) &gt;=3.8),4,
IF(AND( SUM((DJ530*(20/100))+(DK530*(30/100))+(DL530*(50/100))) &lt;=3.8, SUM((DJ530*(20/100))+(DK530*(30/100))+(DL530*(50/100))) &gt;=3.5),3.5,0)))))))))))))</f>
        <v>0</v>
      </c>
      <c r="DQ530" s="541"/>
      <c r="DR530" s="541"/>
      <c r="DS530" s="541"/>
      <c r="DT530" s="541"/>
      <c r="DU530" s="541"/>
      <c r="DV530" s="541"/>
      <c r="DW530" s="541"/>
      <c r="DX530" s="541"/>
      <c r="DY530" s="541"/>
      <c r="DZ530" s="541"/>
    </row>
    <row r="531" spans="2:130" x14ac:dyDescent="0.25">
      <c r="B531" s="334">
        <v>24</v>
      </c>
      <c r="C531" s="541" t="s">
        <v>8607</v>
      </c>
      <c r="D531" s="334"/>
      <c r="E531" s="334"/>
      <c r="F531" s="334"/>
      <c r="G531" s="334">
        <v>8</v>
      </c>
      <c r="H531" s="334">
        <v>8</v>
      </c>
      <c r="I531" s="334">
        <v>8</v>
      </c>
      <c r="J531" s="536"/>
      <c r="K531" s="536"/>
      <c r="L531" s="536"/>
      <c r="M531" s="536"/>
      <c r="N531" s="536"/>
      <c r="O531" s="536"/>
      <c r="P531" s="536">
        <f t="shared" si="201"/>
        <v>0</v>
      </c>
      <c r="Q531" s="536"/>
      <c r="R531" s="536"/>
      <c r="S531" s="536"/>
      <c r="T531" s="536">
        <f t="shared" si="202"/>
        <v>0</v>
      </c>
      <c r="U531" s="536"/>
      <c r="V531" s="536"/>
      <c r="W531" s="536"/>
      <c r="X531" s="536">
        <f t="shared" si="203"/>
        <v>0</v>
      </c>
      <c r="Y531" s="536"/>
      <c r="Z531" s="536"/>
      <c r="AA531" s="536"/>
      <c r="AB531" s="536">
        <f t="shared" si="204"/>
        <v>0</v>
      </c>
      <c r="AC531" s="536"/>
      <c r="AD531" s="536"/>
      <c r="AE531" s="536"/>
      <c r="AF531" s="536">
        <f t="shared" si="205"/>
        <v>0</v>
      </c>
      <c r="AG531" s="536"/>
      <c r="AH531" s="536"/>
      <c r="AI531" s="536"/>
      <c r="AJ531" s="536">
        <f t="shared" si="206"/>
        <v>0</v>
      </c>
      <c r="AK531" s="536"/>
      <c r="AL531" s="536"/>
      <c r="AM531" s="536"/>
      <c r="AN531" s="542">
        <f t="shared" si="207"/>
        <v>0</v>
      </c>
      <c r="AO531" s="536"/>
      <c r="AP531" s="536"/>
      <c r="AQ531" s="536"/>
      <c r="AR531" s="542">
        <f t="shared" si="208"/>
        <v>0</v>
      </c>
      <c r="AS531" s="536"/>
      <c r="AT531" s="536"/>
      <c r="AU531" s="536"/>
      <c r="AV531" s="542">
        <f t="shared" si="209"/>
        <v>0</v>
      </c>
      <c r="AW531" s="536"/>
      <c r="AX531" s="536"/>
      <c r="AY531" s="536"/>
      <c r="AZ531" s="542">
        <f t="shared" si="210"/>
        <v>0</v>
      </c>
      <c r="BA531" s="536"/>
      <c r="BB531" s="536"/>
      <c r="BC531" s="536"/>
      <c r="BD531" s="542">
        <f t="shared" si="211"/>
        <v>0</v>
      </c>
      <c r="BE531" s="536"/>
      <c r="BF531" s="536"/>
      <c r="BG531" s="536"/>
      <c r="BH531" s="542">
        <f t="shared" si="212"/>
        <v>0</v>
      </c>
      <c r="BI531" s="536"/>
      <c r="BJ531" s="536"/>
      <c r="BK531" s="536"/>
      <c r="BL531" s="542">
        <f t="shared" si="213"/>
        <v>0</v>
      </c>
      <c r="BM531" s="536"/>
      <c r="BN531" s="536"/>
      <c r="BO531" s="536"/>
      <c r="BP531" s="542">
        <f t="shared" si="214"/>
        <v>0</v>
      </c>
      <c r="BQ531" s="536"/>
      <c r="BR531" s="536"/>
      <c r="BS531" s="536"/>
      <c r="BT531" s="542">
        <f t="shared" si="215"/>
        <v>0</v>
      </c>
      <c r="BU531" s="536"/>
      <c r="BV531" s="536"/>
      <c r="BW531" s="536"/>
      <c r="BX531" s="542">
        <f t="shared" si="216"/>
        <v>0</v>
      </c>
      <c r="BY531" s="536"/>
      <c r="BZ531" s="536"/>
      <c r="CA531" s="536"/>
      <c r="CB531" s="542">
        <v>0</v>
      </c>
      <c r="CC531" s="536"/>
      <c r="CD531" s="536"/>
      <c r="CE531" s="536"/>
      <c r="CF531" s="541">
        <f t="shared" si="217"/>
        <v>0</v>
      </c>
      <c r="CG531" s="536"/>
      <c r="CH531" s="536"/>
      <c r="CI531" s="536"/>
      <c r="CJ531" s="541">
        <f t="shared" si="218"/>
        <v>0</v>
      </c>
      <c r="CK531" s="536"/>
      <c r="CL531" s="536"/>
      <c r="CM531" s="536"/>
      <c r="CN531" s="541">
        <f t="shared" si="219"/>
        <v>0</v>
      </c>
      <c r="CO531" s="536"/>
      <c r="CP531" s="536"/>
      <c r="CQ531" s="536"/>
      <c r="CR531" s="541">
        <f t="shared" si="220"/>
        <v>0</v>
      </c>
      <c r="CS531" s="536"/>
      <c r="CT531" s="536"/>
      <c r="CU531" s="536"/>
      <c r="CV531" s="541">
        <f t="shared" si="221"/>
        <v>0</v>
      </c>
      <c r="CW531" s="536"/>
      <c r="CX531" s="536"/>
      <c r="CY531" s="536"/>
      <c r="CZ531" s="541">
        <f t="shared" si="222"/>
        <v>0</v>
      </c>
      <c r="DA531" s="536"/>
      <c r="DB531" s="536"/>
      <c r="DC531" s="536"/>
      <c r="DD531" s="541">
        <f t="shared" si="223"/>
        <v>0</v>
      </c>
      <c r="DE531" s="536"/>
      <c r="DF531" s="536"/>
      <c r="DG531" s="536"/>
      <c r="DH531" s="541">
        <f t="shared" si="224"/>
        <v>0</v>
      </c>
      <c r="DI531" s="536"/>
      <c r="DJ531" s="536"/>
      <c r="DK531" s="536"/>
      <c r="DL531" s="541">
        <f t="shared" si="225"/>
        <v>0</v>
      </c>
      <c r="DM531" s="536"/>
      <c r="DN531" s="536"/>
      <c r="DO531" s="536"/>
      <c r="DP531" s="541">
        <f>IF( SUM((DJ531*(20/100))+(DK531*(30/100))+(DL531*(50/100))) &gt;=9.3,9.5,
IF(AND( SUM((DJ531*(20/100))+(DK531*(30/100))+(DL531*(50/100))) &lt;=9.3, SUM((DJ531*(20/100))+(DK531*(30/100))+(DL531*(50/100))) &gt;=8.8),9,
IF(AND( SUM((DJ531*(20/100))+(DK531*(30/100))+(DL531*(50/100))) &lt;=8.8, SUM((DJ531*(20/100))+(DK531*(30/100))+(DL531*(50/100))) &gt;=8.3),8.5,
IF(AND( SUM((DJ531*(20/100))+(DK531*(30/100))+(DL531*(50/100))) &lt;=8.3, SUM((DJ531*(20/100))+(DK531*(30/100))+(DL531*(50/100))) &gt;=7.8),8,
IF(AND( SUM((DJ531*(20/100))+(DK531*(30/100))+(DL531*(50/100))) &lt;=7.8, SUM((DJ531*(20/100))+(DK531*(30/100))+(DL531*(50/100))) &gt;=7.3),7.5,
IF(AND( SUM((DJ531*(20/100))+(DK531*(30/100))+(DL531*(50/100))) &lt;=7.3, SUM((DJ531*(20/100))+(DK531*(30/100))+(DL531*(50/100))) &gt;=6.8),7,
IF(AND( SUM((DJ531*(20/100))+(DK531*(30/100))+(DL531*(50/100))) &lt;=6.8, SUM((DJ531*(20/100))+(DK531*(30/100))+(DL531*(50/100))) &gt;=6.3),6.5,
IF(AND( SUM((DJ531*(20/100))+(DK531*(30/100))+(DL531*(50/100))) &lt;=6.3, SUM((DJ531*(20/100))+(DK531*(30/100))+(DL531*(50/100))) &gt;=5.8),6,
IF(AND( SUM((DJ531*(20/100))+(DK531*(30/100))+(DL531*(50/100))) &lt;=5.8, SUM((DJ531*(20/100))+(DK531*(30/100))+(DL531*(50/100))) &gt;=5.3),5.5,
IF(AND( SUM((DJ531*(20/100))+(DK531*(30/100))+(DL531*(50/100))) &lt;=5.3, SUM((DJ531*(20/100))+(DK531*(30/100))+(DL531*(50/100))) &gt;=4.8),5,
IF(AND( SUM((DJ531*(20/100))+(DK531*(30/100))+(DL531*(50/100))) &lt;=4.8, SUM((DJ531*(20/100))+(DK531*(30/100))+(DL531*(50/100))) &gt;=4.3),4.5,
IF(AND( SUM((DJ531*(20/100))+(DK531*(30/100))+(DL531*(50/100))) &lt;=4.3, SUM((DJ531*(20/100))+(DK531*(30/100))+(DL531*(50/100))) &gt;=3.8),4,
IF(AND( SUM((DJ531*(20/100))+(DK531*(30/100))+(DL531*(50/100))) &lt;=3.8, SUM((DJ531*(20/100))+(DK531*(30/100))+(DL531*(50/100))) &gt;=3.5),3.5,0)))))))))))))</f>
        <v>0</v>
      </c>
      <c r="DQ531" s="541"/>
      <c r="DR531" s="541"/>
      <c r="DS531" s="541"/>
      <c r="DT531" s="541"/>
      <c r="DU531" s="541"/>
      <c r="DV531" s="541"/>
      <c r="DW531" s="541"/>
      <c r="DX531" s="541"/>
      <c r="DY531" s="541"/>
      <c r="DZ531" s="541"/>
    </row>
    <row r="532" spans="2:130" x14ac:dyDescent="0.25">
      <c r="B532" s="334">
        <v>25</v>
      </c>
      <c r="C532" s="541" t="s">
        <v>8608</v>
      </c>
      <c r="D532" s="334">
        <v>2</v>
      </c>
      <c r="E532" s="334">
        <v>3</v>
      </c>
      <c r="F532" s="334"/>
      <c r="G532" s="334">
        <v>8</v>
      </c>
      <c r="H532" s="334">
        <v>8</v>
      </c>
      <c r="I532" s="334">
        <v>8</v>
      </c>
      <c r="J532" s="536"/>
      <c r="K532" s="536"/>
      <c r="L532" s="536"/>
      <c r="M532" s="536"/>
      <c r="N532" s="536"/>
      <c r="O532" s="536"/>
      <c r="P532" s="536">
        <f t="shared" si="201"/>
        <v>0</v>
      </c>
      <c r="Q532" s="536"/>
      <c r="R532" s="536"/>
      <c r="S532" s="536"/>
      <c r="T532" s="536">
        <f t="shared" si="202"/>
        <v>0</v>
      </c>
      <c r="U532" s="536"/>
      <c r="V532" s="536"/>
      <c r="W532" s="536"/>
      <c r="X532" s="536">
        <f t="shared" si="203"/>
        <v>0</v>
      </c>
      <c r="Y532" s="536"/>
      <c r="Z532" s="536"/>
      <c r="AA532" s="536"/>
      <c r="AB532" s="536">
        <f t="shared" si="204"/>
        <v>0</v>
      </c>
      <c r="AC532" s="536"/>
      <c r="AD532" s="536"/>
      <c r="AE532" s="536"/>
      <c r="AF532" s="536">
        <f t="shared" si="205"/>
        <v>0</v>
      </c>
      <c r="AG532" s="536"/>
      <c r="AH532" s="536"/>
      <c r="AI532" s="536"/>
      <c r="AJ532" s="536">
        <f t="shared" si="206"/>
        <v>0</v>
      </c>
      <c r="AK532" s="536"/>
      <c r="AL532" s="536"/>
      <c r="AM532" s="536"/>
      <c r="AN532" s="542">
        <f t="shared" si="207"/>
        <v>0</v>
      </c>
      <c r="AO532" s="536"/>
      <c r="AP532" s="536"/>
      <c r="AQ532" s="536"/>
      <c r="AR532" s="542">
        <f t="shared" si="208"/>
        <v>0</v>
      </c>
      <c r="AS532" s="536"/>
      <c r="AT532" s="536"/>
      <c r="AU532" s="536"/>
      <c r="AV532" s="542">
        <f t="shared" si="209"/>
        <v>0</v>
      </c>
      <c r="AW532" s="536"/>
      <c r="AX532" s="536"/>
      <c r="AY532" s="536"/>
      <c r="AZ532" s="542">
        <f t="shared" si="210"/>
        <v>0</v>
      </c>
      <c r="BA532" s="536"/>
      <c r="BB532" s="536"/>
      <c r="BC532" s="536"/>
      <c r="BD532" s="542">
        <f t="shared" si="211"/>
        <v>0</v>
      </c>
      <c r="BE532" s="536"/>
      <c r="BF532" s="536"/>
      <c r="BG532" s="536"/>
      <c r="BH532" s="542">
        <f t="shared" si="212"/>
        <v>0</v>
      </c>
      <c r="BI532" s="536"/>
      <c r="BJ532" s="536"/>
      <c r="BK532" s="536"/>
      <c r="BL532" s="542">
        <f t="shared" si="213"/>
        <v>0</v>
      </c>
      <c r="BM532" s="536"/>
      <c r="BN532" s="536"/>
      <c r="BO532" s="536"/>
      <c r="BP532" s="542">
        <f t="shared" si="214"/>
        <v>0</v>
      </c>
      <c r="BQ532" s="536"/>
      <c r="BR532" s="536"/>
      <c r="BS532" s="536"/>
      <c r="BT532" s="542">
        <f t="shared" si="215"/>
        <v>0</v>
      </c>
      <c r="BU532" s="536"/>
      <c r="BV532" s="536"/>
      <c r="BW532" s="536"/>
      <c r="BX532" s="542">
        <f t="shared" si="216"/>
        <v>0</v>
      </c>
      <c r="BY532" s="536"/>
      <c r="BZ532" s="536"/>
      <c r="CA532" s="536"/>
      <c r="CB532" s="542">
        <v>0</v>
      </c>
      <c r="CC532" s="536"/>
      <c r="CD532" s="536"/>
      <c r="CE532" s="536"/>
      <c r="CF532" s="541">
        <f t="shared" si="217"/>
        <v>0</v>
      </c>
      <c r="CG532" s="536"/>
      <c r="CH532" s="536"/>
      <c r="CI532" s="536"/>
      <c r="CJ532" s="541">
        <f t="shared" si="218"/>
        <v>0</v>
      </c>
      <c r="CK532" s="536"/>
      <c r="CL532" s="536"/>
      <c r="CM532" s="536"/>
      <c r="CN532" s="541">
        <f t="shared" si="219"/>
        <v>0</v>
      </c>
      <c r="CO532" s="536"/>
      <c r="CP532" s="536"/>
      <c r="CQ532" s="536"/>
      <c r="CR532" s="541">
        <f t="shared" si="220"/>
        <v>0</v>
      </c>
      <c r="CS532" s="536"/>
      <c r="CT532" s="536"/>
      <c r="CU532" s="536"/>
      <c r="CV532" s="541">
        <f t="shared" si="221"/>
        <v>0</v>
      </c>
      <c r="CW532" s="536"/>
      <c r="CX532" s="536"/>
      <c r="CY532" s="536"/>
      <c r="CZ532" s="541">
        <f t="shared" si="222"/>
        <v>0</v>
      </c>
      <c r="DA532" s="536"/>
      <c r="DB532" s="536"/>
      <c r="DC532" s="536"/>
      <c r="DD532" s="541">
        <f t="shared" si="223"/>
        <v>0</v>
      </c>
      <c r="DE532" s="536"/>
      <c r="DF532" s="536"/>
      <c r="DG532" s="536"/>
      <c r="DH532" s="541">
        <f t="shared" si="224"/>
        <v>0</v>
      </c>
      <c r="DI532" s="536"/>
      <c r="DJ532" s="536"/>
      <c r="DK532" s="536"/>
      <c r="DL532" s="541">
        <f t="shared" si="225"/>
        <v>0</v>
      </c>
      <c r="DM532" s="536"/>
      <c r="DN532" s="536"/>
      <c r="DO532" s="536"/>
      <c r="DP532" s="541">
        <f>IF( SUM((DJ532*(20/100))+(DK532*(30/100))+(DL532*(50/100))) &gt;=9.3,9.5,
IF(AND( SUM((DJ532*(20/100))+(DK532*(30/100))+(DL532*(50/100))) &lt;=9.3, SUM((DJ532*(20/100))+(DK532*(30/100))+(DL532*(50/100))) &gt;=8.8),9,
IF(AND( SUM((DJ532*(20/100))+(DK532*(30/100))+(DL532*(50/100))) &lt;=8.8, SUM((DJ532*(20/100))+(DK532*(30/100))+(DL532*(50/100))) &gt;=8.3),8.5,
IF(AND( SUM((DJ532*(20/100))+(DK532*(30/100))+(DL532*(50/100))) &lt;=8.3, SUM((DJ532*(20/100))+(DK532*(30/100))+(DL532*(50/100))) &gt;=7.8),8,
IF(AND( SUM((DJ532*(20/100))+(DK532*(30/100))+(DL532*(50/100))) &lt;=7.8, SUM((DJ532*(20/100))+(DK532*(30/100))+(DL532*(50/100))) &gt;=7.3),7.5,
IF(AND( SUM((DJ532*(20/100))+(DK532*(30/100))+(DL532*(50/100))) &lt;=7.3, SUM((DJ532*(20/100))+(DK532*(30/100))+(DL532*(50/100))) &gt;=6.8),7,
IF(AND( SUM((DJ532*(20/100))+(DK532*(30/100))+(DL532*(50/100))) &lt;=6.8, SUM((DJ532*(20/100))+(DK532*(30/100))+(DL532*(50/100))) &gt;=6.3),6.5,
IF(AND( SUM((DJ532*(20/100))+(DK532*(30/100))+(DL532*(50/100))) &lt;=6.3, SUM((DJ532*(20/100))+(DK532*(30/100))+(DL532*(50/100))) &gt;=5.8),6,
IF(AND( SUM((DJ532*(20/100))+(DK532*(30/100))+(DL532*(50/100))) &lt;=5.8, SUM((DJ532*(20/100))+(DK532*(30/100))+(DL532*(50/100))) &gt;=5.3),5.5,
IF(AND( SUM((DJ532*(20/100))+(DK532*(30/100))+(DL532*(50/100))) &lt;=5.3, SUM((DJ532*(20/100))+(DK532*(30/100))+(DL532*(50/100))) &gt;=4.8),5,
IF(AND( SUM((DJ532*(20/100))+(DK532*(30/100))+(DL532*(50/100))) &lt;=4.8, SUM((DJ532*(20/100))+(DK532*(30/100))+(DL532*(50/100))) &gt;=4.3),4.5,
IF(AND( SUM((DJ532*(20/100))+(DK532*(30/100))+(DL532*(50/100))) &lt;=4.3, SUM((DJ532*(20/100))+(DK532*(30/100))+(DL532*(50/100))) &gt;=3.8),4,
IF(AND( SUM((DJ532*(20/100))+(DK532*(30/100))+(DL532*(50/100))) &lt;=3.8, SUM((DJ532*(20/100))+(DK532*(30/100))+(DL532*(50/100))) &gt;=3.5),3.5,0)))))))))))))</f>
        <v>0</v>
      </c>
      <c r="DQ532" s="541"/>
      <c r="DR532" s="541"/>
      <c r="DS532" s="541"/>
      <c r="DT532" s="541"/>
      <c r="DU532" s="541"/>
      <c r="DV532" s="541"/>
      <c r="DW532" s="541"/>
      <c r="DX532" s="541"/>
      <c r="DY532" s="541"/>
      <c r="DZ532" s="541"/>
    </row>
    <row r="533" spans="2:130" x14ac:dyDescent="0.25">
      <c r="B533" s="334">
        <v>26</v>
      </c>
      <c r="C533" s="541" t="s">
        <v>8609</v>
      </c>
      <c r="D533" s="334">
        <v>4</v>
      </c>
      <c r="E533" s="334">
        <v>4</v>
      </c>
      <c r="F533" s="334"/>
      <c r="G533" s="334">
        <v>8</v>
      </c>
      <c r="H533" s="334">
        <v>8</v>
      </c>
      <c r="I533" s="334">
        <v>8</v>
      </c>
      <c r="J533" s="536"/>
      <c r="K533" s="536"/>
      <c r="L533" s="536"/>
      <c r="M533" s="536"/>
      <c r="N533" s="536"/>
      <c r="O533" s="536"/>
      <c r="P533" s="536">
        <f t="shared" si="201"/>
        <v>0</v>
      </c>
      <c r="Q533" s="536"/>
      <c r="R533" s="536"/>
      <c r="S533" s="536"/>
      <c r="T533" s="536">
        <f t="shared" si="202"/>
        <v>0</v>
      </c>
      <c r="U533" s="536"/>
      <c r="V533" s="536"/>
      <c r="W533" s="536"/>
      <c r="X533" s="536">
        <f t="shared" si="203"/>
        <v>0</v>
      </c>
      <c r="Y533" s="536"/>
      <c r="Z533" s="536"/>
      <c r="AA533" s="536"/>
      <c r="AB533" s="536">
        <f t="shared" si="204"/>
        <v>0</v>
      </c>
      <c r="AC533" s="536"/>
      <c r="AD533" s="536"/>
      <c r="AE533" s="536"/>
      <c r="AF533" s="536">
        <f t="shared" si="205"/>
        <v>0</v>
      </c>
      <c r="AG533" s="536"/>
      <c r="AH533" s="536"/>
      <c r="AI533" s="536"/>
      <c r="AJ533" s="536">
        <f t="shared" si="206"/>
        <v>0</v>
      </c>
      <c r="AK533" s="536"/>
      <c r="AL533" s="536"/>
      <c r="AM533" s="536"/>
      <c r="AN533" s="542">
        <f t="shared" si="207"/>
        <v>0</v>
      </c>
      <c r="AO533" s="536"/>
      <c r="AP533" s="536"/>
      <c r="AQ533" s="536"/>
      <c r="AR533" s="542">
        <f t="shared" si="208"/>
        <v>0</v>
      </c>
      <c r="AS533" s="536"/>
      <c r="AT533" s="536"/>
      <c r="AU533" s="536"/>
      <c r="AV533" s="542">
        <f t="shared" si="209"/>
        <v>0</v>
      </c>
      <c r="AW533" s="536"/>
      <c r="AX533" s="536"/>
      <c r="AY533" s="536"/>
      <c r="AZ533" s="542">
        <f t="shared" si="210"/>
        <v>0</v>
      </c>
      <c r="BA533" s="536"/>
      <c r="BB533" s="536"/>
      <c r="BC533" s="536"/>
      <c r="BD533" s="542">
        <f t="shared" si="211"/>
        <v>0</v>
      </c>
      <c r="BE533" s="536"/>
      <c r="BF533" s="536"/>
      <c r="BG533" s="536"/>
      <c r="BH533" s="542">
        <f t="shared" si="212"/>
        <v>0</v>
      </c>
      <c r="BI533" s="536"/>
      <c r="BJ533" s="536"/>
      <c r="BK533" s="536"/>
      <c r="BL533" s="542">
        <f t="shared" si="213"/>
        <v>0</v>
      </c>
      <c r="BM533" s="536"/>
      <c r="BN533" s="536"/>
      <c r="BO533" s="536"/>
      <c r="BP533" s="542">
        <f t="shared" si="214"/>
        <v>0</v>
      </c>
      <c r="BQ533" s="536"/>
      <c r="BR533" s="536"/>
      <c r="BS533" s="536"/>
      <c r="BT533" s="542">
        <f t="shared" si="215"/>
        <v>0</v>
      </c>
      <c r="BU533" s="536"/>
      <c r="BV533" s="536"/>
      <c r="BW533" s="536"/>
      <c r="BX533" s="542">
        <f t="shared" si="216"/>
        <v>0</v>
      </c>
      <c r="BY533" s="536"/>
      <c r="BZ533" s="536"/>
      <c r="CA533" s="536"/>
      <c r="CB533" s="542">
        <v>0</v>
      </c>
      <c r="CC533" s="536"/>
      <c r="CD533" s="536"/>
      <c r="CE533" s="536"/>
      <c r="CF533" s="541">
        <f t="shared" si="217"/>
        <v>0</v>
      </c>
      <c r="CG533" s="536"/>
      <c r="CH533" s="536"/>
      <c r="CI533" s="536"/>
      <c r="CJ533" s="541">
        <f t="shared" si="218"/>
        <v>0</v>
      </c>
      <c r="CK533" s="536"/>
      <c r="CL533" s="536"/>
      <c r="CM533" s="536"/>
      <c r="CN533" s="541">
        <f t="shared" si="219"/>
        <v>0</v>
      </c>
      <c r="CO533" s="536"/>
      <c r="CP533" s="536"/>
      <c r="CQ533" s="536"/>
      <c r="CR533" s="541">
        <f t="shared" si="220"/>
        <v>0</v>
      </c>
      <c r="CS533" s="536"/>
      <c r="CT533" s="536"/>
      <c r="CU533" s="536"/>
      <c r="CV533" s="541">
        <f t="shared" si="221"/>
        <v>0</v>
      </c>
      <c r="CW533" s="536"/>
      <c r="CX533" s="536"/>
      <c r="CY533" s="536"/>
      <c r="CZ533" s="541">
        <f t="shared" si="222"/>
        <v>0</v>
      </c>
      <c r="DA533" s="536"/>
      <c r="DB533" s="536"/>
      <c r="DC533" s="536"/>
      <c r="DD533" s="541">
        <f t="shared" si="223"/>
        <v>0</v>
      </c>
      <c r="DE533" s="536"/>
      <c r="DF533" s="536"/>
      <c r="DG533" s="536"/>
      <c r="DH533" s="541">
        <f t="shared" si="224"/>
        <v>0</v>
      </c>
      <c r="DI533" s="536"/>
      <c r="DJ533" s="536"/>
      <c r="DK533" s="536"/>
      <c r="DL533" s="541">
        <f t="shared" si="225"/>
        <v>0</v>
      </c>
      <c r="DM533" s="536"/>
      <c r="DN533" s="536"/>
      <c r="DO533" s="536"/>
      <c r="DP533" s="541">
        <f>IF( SUM((DJ533*(20/100))+(DK533*(30/100))+(DL533*(50/100))) &gt;=9.3,9.5,
IF(AND( SUM((DJ533*(20/100))+(DK533*(30/100))+(DL533*(50/100))) &lt;=9.3, SUM((DJ533*(20/100))+(DK533*(30/100))+(DL533*(50/100))) &gt;=8.8),9,
IF(AND( SUM((DJ533*(20/100))+(DK533*(30/100))+(DL533*(50/100))) &lt;=8.8, SUM((DJ533*(20/100))+(DK533*(30/100))+(DL533*(50/100))) &gt;=8.3),8.5,
IF(AND( SUM((DJ533*(20/100))+(DK533*(30/100))+(DL533*(50/100))) &lt;=8.3, SUM((DJ533*(20/100))+(DK533*(30/100))+(DL533*(50/100))) &gt;=7.8),8,
IF(AND( SUM((DJ533*(20/100))+(DK533*(30/100))+(DL533*(50/100))) &lt;=7.8, SUM((DJ533*(20/100))+(DK533*(30/100))+(DL533*(50/100))) &gt;=7.3),7.5,
IF(AND( SUM((DJ533*(20/100))+(DK533*(30/100))+(DL533*(50/100))) &lt;=7.3, SUM((DJ533*(20/100))+(DK533*(30/100))+(DL533*(50/100))) &gt;=6.8),7,
IF(AND( SUM((DJ533*(20/100))+(DK533*(30/100))+(DL533*(50/100))) &lt;=6.8, SUM((DJ533*(20/100))+(DK533*(30/100))+(DL533*(50/100))) &gt;=6.3),6.5,
IF(AND( SUM((DJ533*(20/100))+(DK533*(30/100))+(DL533*(50/100))) &lt;=6.3, SUM((DJ533*(20/100))+(DK533*(30/100))+(DL533*(50/100))) &gt;=5.8),6,
IF(AND( SUM((DJ533*(20/100))+(DK533*(30/100))+(DL533*(50/100))) &lt;=5.8, SUM((DJ533*(20/100))+(DK533*(30/100))+(DL533*(50/100))) &gt;=5.3),5.5,
IF(AND( SUM((DJ533*(20/100))+(DK533*(30/100))+(DL533*(50/100))) &lt;=5.3, SUM((DJ533*(20/100))+(DK533*(30/100))+(DL533*(50/100))) &gt;=4.8),5,
IF(AND( SUM((DJ533*(20/100))+(DK533*(30/100))+(DL533*(50/100))) &lt;=4.8, SUM((DJ533*(20/100))+(DK533*(30/100))+(DL533*(50/100))) &gt;=4.3),4.5,
IF(AND( SUM((DJ533*(20/100))+(DK533*(30/100))+(DL533*(50/100))) &lt;=4.3, SUM((DJ533*(20/100))+(DK533*(30/100))+(DL533*(50/100))) &gt;=3.8),4,
IF(AND( SUM((DJ533*(20/100))+(DK533*(30/100))+(DL533*(50/100))) &lt;=3.8, SUM((DJ533*(20/100))+(DK533*(30/100))+(DL533*(50/100))) &gt;=3.5),3.5,0)))))))))))))</f>
        <v>0</v>
      </c>
      <c r="DQ533" s="541"/>
      <c r="DR533" s="541"/>
      <c r="DS533" s="541"/>
      <c r="DT533" s="541"/>
      <c r="DU533" s="541"/>
      <c r="DV533" s="541"/>
      <c r="DW533" s="541"/>
      <c r="DX533" s="541"/>
      <c r="DY533" s="541"/>
      <c r="DZ533" s="541"/>
    </row>
    <row r="534" spans="2:130" x14ac:dyDescent="0.25">
      <c r="B534" s="334">
        <v>27</v>
      </c>
      <c r="C534" s="541" t="s">
        <v>8610</v>
      </c>
      <c r="D534" s="334">
        <v>4</v>
      </c>
      <c r="E534" s="334">
        <v>4</v>
      </c>
      <c r="F534" s="334"/>
      <c r="G534" s="334">
        <v>8</v>
      </c>
      <c r="H534" s="334">
        <v>8</v>
      </c>
      <c r="I534" s="334">
        <v>8</v>
      </c>
      <c r="J534" s="536"/>
      <c r="K534" s="536"/>
      <c r="L534" s="536"/>
      <c r="M534" s="536"/>
      <c r="N534" s="536"/>
      <c r="O534" s="536"/>
      <c r="P534" s="536">
        <f t="shared" si="201"/>
        <v>0</v>
      </c>
      <c r="Q534" s="536"/>
      <c r="R534" s="536"/>
      <c r="S534" s="536"/>
      <c r="T534" s="536">
        <f t="shared" si="202"/>
        <v>0</v>
      </c>
      <c r="U534" s="536"/>
      <c r="V534" s="536"/>
      <c r="W534" s="536"/>
      <c r="X534" s="536">
        <f t="shared" si="203"/>
        <v>0</v>
      </c>
      <c r="Y534" s="536"/>
      <c r="Z534" s="536"/>
      <c r="AA534" s="536"/>
      <c r="AB534" s="536">
        <f t="shared" si="204"/>
        <v>0</v>
      </c>
      <c r="AC534" s="536"/>
      <c r="AD534" s="536"/>
      <c r="AE534" s="536"/>
      <c r="AF534" s="536">
        <f t="shared" si="205"/>
        <v>0</v>
      </c>
      <c r="AG534" s="536"/>
      <c r="AH534" s="536"/>
      <c r="AI534" s="536"/>
      <c r="AJ534" s="536">
        <f t="shared" si="206"/>
        <v>0</v>
      </c>
      <c r="AK534" s="536"/>
      <c r="AL534" s="536"/>
      <c r="AM534" s="536"/>
      <c r="AN534" s="542">
        <f t="shared" si="207"/>
        <v>0</v>
      </c>
      <c r="AO534" s="536"/>
      <c r="AP534" s="536"/>
      <c r="AQ534" s="536"/>
      <c r="AR534" s="542">
        <f t="shared" si="208"/>
        <v>0</v>
      </c>
      <c r="AS534" s="536"/>
      <c r="AT534" s="536"/>
      <c r="AU534" s="536"/>
      <c r="AV534" s="542">
        <f t="shared" si="209"/>
        <v>0</v>
      </c>
      <c r="AW534" s="536"/>
      <c r="AX534" s="536"/>
      <c r="AY534" s="536"/>
      <c r="AZ534" s="542">
        <f t="shared" si="210"/>
        <v>0</v>
      </c>
      <c r="BA534" s="536"/>
      <c r="BB534" s="536"/>
      <c r="BC534" s="536"/>
      <c r="BD534" s="542">
        <f t="shared" si="211"/>
        <v>0</v>
      </c>
      <c r="BE534" s="536"/>
      <c r="BF534" s="536"/>
      <c r="BG534" s="536"/>
      <c r="BH534" s="542">
        <f t="shared" si="212"/>
        <v>0</v>
      </c>
      <c r="BI534" s="536"/>
      <c r="BJ534" s="536"/>
      <c r="BK534" s="536"/>
      <c r="BL534" s="542">
        <f t="shared" si="213"/>
        <v>0</v>
      </c>
      <c r="BM534" s="536"/>
      <c r="BN534" s="536"/>
      <c r="BO534" s="536"/>
      <c r="BP534" s="542">
        <f t="shared" si="214"/>
        <v>0</v>
      </c>
      <c r="BQ534" s="536"/>
      <c r="BR534" s="536"/>
      <c r="BS534" s="536"/>
      <c r="BT534" s="542">
        <f t="shared" si="215"/>
        <v>0</v>
      </c>
      <c r="BU534" s="536"/>
      <c r="BV534" s="536"/>
      <c r="BW534" s="536"/>
      <c r="BX534" s="542">
        <f t="shared" si="216"/>
        <v>0</v>
      </c>
      <c r="BY534" s="536"/>
      <c r="BZ534" s="536"/>
      <c r="CA534" s="536"/>
      <c r="CB534" s="542">
        <v>0</v>
      </c>
      <c r="CC534" s="536"/>
      <c r="CD534" s="536"/>
      <c r="CE534" s="536"/>
      <c r="CF534" s="541">
        <f t="shared" si="217"/>
        <v>0</v>
      </c>
      <c r="CG534" s="536"/>
      <c r="CH534" s="536"/>
      <c r="CI534" s="536"/>
      <c r="CJ534" s="541">
        <f t="shared" si="218"/>
        <v>0</v>
      </c>
      <c r="CK534" s="536"/>
      <c r="CL534" s="536"/>
      <c r="CM534" s="536"/>
      <c r="CN534" s="541">
        <f t="shared" si="219"/>
        <v>0</v>
      </c>
      <c r="CO534" s="536"/>
      <c r="CP534" s="536"/>
      <c r="CQ534" s="536"/>
      <c r="CR534" s="541">
        <f t="shared" si="220"/>
        <v>0</v>
      </c>
      <c r="CS534" s="536"/>
      <c r="CT534" s="536"/>
      <c r="CU534" s="536"/>
      <c r="CV534" s="541">
        <f t="shared" si="221"/>
        <v>0</v>
      </c>
      <c r="CW534" s="536"/>
      <c r="CX534" s="536"/>
      <c r="CY534" s="536"/>
      <c r="CZ534" s="541">
        <f t="shared" si="222"/>
        <v>0</v>
      </c>
      <c r="DA534" s="536"/>
      <c r="DB534" s="536"/>
      <c r="DC534" s="536"/>
      <c r="DD534" s="541">
        <f t="shared" si="223"/>
        <v>0</v>
      </c>
      <c r="DE534" s="536"/>
      <c r="DF534" s="536"/>
      <c r="DG534" s="536"/>
      <c r="DH534" s="541">
        <f t="shared" si="224"/>
        <v>0</v>
      </c>
      <c r="DI534" s="536"/>
      <c r="DJ534" s="536"/>
      <c r="DK534" s="536"/>
      <c r="DL534" s="541">
        <f t="shared" si="225"/>
        <v>0</v>
      </c>
      <c r="DM534" s="536"/>
      <c r="DN534" s="536"/>
      <c r="DO534" s="536"/>
      <c r="DP534" s="541">
        <f>IF( SUM((DJ534*(20/100))+(DK534*(30/100))+(DL534*(50/100))) &gt;=9.3,9.5,
IF(AND( SUM((DJ534*(20/100))+(DK534*(30/100))+(DL534*(50/100))) &lt;=9.3, SUM((DJ534*(20/100))+(DK534*(30/100))+(DL534*(50/100))) &gt;=8.8),9,
IF(AND( SUM((DJ534*(20/100))+(DK534*(30/100))+(DL534*(50/100))) &lt;=8.8, SUM((DJ534*(20/100))+(DK534*(30/100))+(DL534*(50/100))) &gt;=8.3),8.5,
IF(AND( SUM((DJ534*(20/100))+(DK534*(30/100))+(DL534*(50/100))) &lt;=8.3, SUM((DJ534*(20/100))+(DK534*(30/100))+(DL534*(50/100))) &gt;=7.8),8,
IF(AND( SUM((DJ534*(20/100))+(DK534*(30/100))+(DL534*(50/100))) &lt;=7.8, SUM((DJ534*(20/100))+(DK534*(30/100))+(DL534*(50/100))) &gt;=7.3),7.5,
IF(AND( SUM((DJ534*(20/100))+(DK534*(30/100))+(DL534*(50/100))) &lt;=7.3, SUM((DJ534*(20/100))+(DK534*(30/100))+(DL534*(50/100))) &gt;=6.8),7,
IF(AND( SUM((DJ534*(20/100))+(DK534*(30/100))+(DL534*(50/100))) &lt;=6.8, SUM((DJ534*(20/100))+(DK534*(30/100))+(DL534*(50/100))) &gt;=6.3),6.5,
IF(AND( SUM((DJ534*(20/100))+(DK534*(30/100))+(DL534*(50/100))) &lt;=6.3, SUM((DJ534*(20/100))+(DK534*(30/100))+(DL534*(50/100))) &gt;=5.8),6,
IF(AND( SUM((DJ534*(20/100))+(DK534*(30/100))+(DL534*(50/100))) &lt;=5.8, SUM((DJ534*(20/100))+(DK534*(30/100))+(DL534*(50/100))) &gt;=5.3),5.5,
IF(AND( SUM((DJ534*(20/100))+(DK534*(30/100))+(DL534*(50/100))) &lt;=5.3, SUM((DJ534*(20/100))+(DK534*(30/100))+(DL534*(50/100))) &gt;=4.8),5,
IF(AND( SUM((DJ534*(20/100))+(DK534*(30/100))+(DL534*(50/100))) &lt;=4.8, SUM((DJ534*(20/100))+(DK534*(30/100))+(DL534*(50/100))) &gt;=4.3),4.5,
IF(AND( SUM((DJ534*(20/100))+(DK534*(30/100))+(DL534*(50/100))) &lt;=4.3, SUM((DJ534*(20/100))+(DK534*(30/100))+(DL534*(50/100))) &gt;=3.8),4,
IF(AND( SUM((DJ534*(20/100))+(DK534*(30/100))+(DL534*(50/100))) &lt;=3.8, SUM((DJ534*(20/100))+(DK534*(30/100))+(DL534*(50/100))) &gt;=3.5),3.5,0)))))))))))))</f>
        <v>0</v>
      </c>
      <c r="DQ534" s="541"/>
      <c r="DR534" s="541"/>
      <c r="DS534" s="541"/>
      <c r="DT534" s="541"/>
      <c r="DU534" s="541"/>
      <c r="DV534" s="541"/>
      <c r="DW534" s="541"/>
      <c r="DX534" s="541"/>
      <c r="DY534" s="541"/>
      <c r="DZ534" s="541"/>
    </row>
    <row r="535" spans="2:130" x14ac:dyDescent="0.25">
      <c r="B535" s="334">
        <v>28</v>
      </c>
      <c r="C535" s="541" t="s">
        <v>8611</v>
      </c>
      <c r="D535" s="334"/>
      <c r="E535" s="334">
        <v>4</v>
      </c>
      <c r="F535" s="334"/>
      <c r="G535" s="334">
        <v>8</v>
      </c>
      <c r="H535" s="334">
        <v>8</v>
      </c>
      <c r="I535" s="334">
        <v>8</v>
      </c>
      <c r="J535" s="536"/>
      <c r="K535" s="536"/>
      <c r="L535" s="536"/>
      <c r="M535" s="536"/>
      <c r="N535" s="536"/>
      <c r="O535" s="536"/>
      <c r="P535" s="536">
        <f t="shared" si="201"/>
        <v>0</v>
      </c>
      <c r="Q535" s="536"/>
      <c r="R535" s="536"/>
      <c r="S535" s="536"/>
      <c r="T535" s="536">
        <f t="shared" si="202"/>
        <v>0</v>
      </c>
      <c r="U535" s="536"/>
      <c r="V535" s="536"/>
      <c r="W535" s="536"/>
      <c r="X535" s="536">
        <f t="shared" si="203"/>
        <v>0</v>
      </c>
      <c r="Y535" s="536"/>
      <c r="Z535" s="536"/>
      <c r="AA535" s="536"/>
      <c r="AB535" s="536">
        <f t="shared" si="204"/>
        <v>0</v>
      </c>
      <c r="AC535" s="536"/>
      <c r="AD535" s="536"/>
      <c r="AE535" s="536"/>
      <c r="AF535" s="536">
        <f t="shared" si="205"/>
        <v>0</v>
      </c>
      <c r="AG535" s="536"/>
      <c r="AH535" s="536"/>
      <c r="AI535" s="536"/>
      <c r="AJ535" s="536">
        <f t="shared" si="206"/>
        <v>0</v>
      </c>
      <c r="AK535" s="536"/>
      <c r="AL535" s="536"/>
      <c r="AM535" s="536"/>
      <c r="AN535" s="542">
        <f t="shared" si="207"/>
        <v>0</v>
      </c>
      <c r="AO535" s="536"/>
      <c r="AP535" s="536"/>
      <c r="AQ535" s="536"/>
      <c r="AR535" s="542">
        <f t="shared" si="208"/>
        <v>0</v>
      </c>
      <c r="AS535" s="536"/>
      <c r="AT535" s="536"/>
      <c r="AU535" s="536"/>
      <c r="AV535" s="542">
        <f t="shared" si="209"/>
        <v>0</v>
      </c>
      <c r="AW535" s="536"/>
      <c r="AX535" s="536"/>
      <c r="AY535" s="536"/>
      <c r="AZ535" s="542">
        <f t="shared" si="210"/>
        <v>0</v>
      </c>
      <c r="BA535" s="536"/>
      <c r="BB535" s="536"/>
      <c r="BC535" s="536"/>
      <c r="BD535" s="542">
        <f t="shared" si="211"/>
        <v>0</v>
      </c>
      <c r="BE535" s="536"/>
      <c r="BF535" s="536"/>
      <c r="BG535" s="536"/>
      <c r="BH535" s="542">
        <f t="shared" si="212"/>
        <v>0</v>
      </c>
      <c r="BI535" s="536"/>
      <c r="BJ535" s="536"/>
      <c r="BK535" s="536"/>
      <c r="BL535" s="542">
        <f t="shared" si="213"/>
        <v>0</v>
      </c>
      <c r="BM535" s="536"/>
      <c r="BN535" s="536"/>
      <c r="BO535" s="536"/>
      <c r="BP535" s="542">
        <f t="shared" si="214"/>
        <v>0</v>
      </c>
      <c r="BQ535" s="536"/>
      <c r="BR535" s="536"/>
      <c r="BS535" s="536"/>
      <c r="BT535" s="542">
        <f t="shared" si="215"/>
        <v>0</v>
      </c>
      <c r="BU535" s="536"/>
      <c r="BV535" s="536"/>
      <c r="BW535" s="536"/>
      <c r="BX535" s="542">
        <f t="shared" si="216"/>
        <v>0</v>
      </c>
      <c r="BY535" s="536"/>
      <c r="BZ535" s="536"/>
      <c r="CA535" s="536"/>
      <c r="CB535" s="542">
        <v>0</v>
      </c>
      <c r="CC535" s="536"/>
      <c r="CD535" s="536"/>
      <c r="CE535" s="536"/>
      <c r="CF535" s="541">
        <f t="shared" si="217"/>
        <v>0</v>
      </c>
      <c r="CG535" s="536"/>
      <c r="CH535" s="536"/>
      <c r="CI535" s="536"/>
      <c r="CJ535" s="541">
        <f t="shared" si="218"/>
        <v>0</v>
      </c>
      <c r="CK535" s="536"/>
      <c r="CL535" s="536"/>
      <c r="CM535" s="536"/>
      <c r="CN535" s="541">
        <f t="shared" si="219"/>
        <v>0</v>
      </c>
      <c r="CO535" s="536"/>
      <c r="CP535" s="536"/>
      <c r="CQ535" s="536"/>
      <c r="CR535" s="541">
        <f t="shared" si="220"/>
        <v>0</v>
      </c>
      <c r="CS535" s="536"/>
      <c r="CT535" s="536"/>
      <c r="CU535" s="536"/>
      <c r="CV535" s="541">
        <f t="shared" si="221"/>
        <v>0</v>
      </c>
      <c r="CW535" s="536"/>
      <c r="CX535" s="536"/>
      <c r="CY535" s="536"/>
      <c r="CZ535" s="541">
        <f t="shared" si="222"/>
        <v>0</v>
      </c>
      <c r="DA535" s="536"/>
      <c r="DB535" s="536"/>
      <c r="DC535" s="536"/>
      <c r="DD535" s="541">
        <f t="shared" si="223"/>
        <v>0</v>
      </c>
      <c r="DE535" s="536"/>
      <c r="DF535" s="536"/>
      <c r="DG535" s="536"/>
      <c r="DH535" s="541">
        <f t="shared" si="224"/>
        <v>0</v>
      </c>
      <c r="DI535" s="536"/>
      <c r="DJ535" s="536"/>
      <c r="DK535" s="536"/>
      <c r="DL535" s="541">
        <f t="shared" si="225"/>
        <v>0</v>
      </c>
      <c r="DM535" s="536"/>
      <c r="DN535" s="536"/>
      <c r="DO535" s="536"/>
      <c r="DP535" s="541">
        <f>IF( SUM((DJ535*(20/100))+(DK535*(30/100))+(DL535*(50/100))) &gt;=9.3,9.5,
IF(AND( SUM((DJ535*(20/100))+(DK535*(30/100))+(DL535*(50/100))) &lt;=9.3, SUM((DJ535*(20/100))+(DK535*(30/100))+(DL535*(50/100))) &gt;=8.8),9,
IF(AND( SUM((DJ535*(20/100))+(DK535*(30/100))+(DL535*(50/100))) &lt;=8.8, SUM((DJ535*(20/100))+(DK535*(30/100))+(DL535*(50/100))) &gt;=8.3),8.5,
IF(AND( SUM((DJ535*(20/100))+(DK535*(30/100))+(DL535*(50/100))) &lt;=8.3, SUM((DJ535*(20/100))+(DK535*(30/100))+(DL535*(50/100))) &gt;=7.8),8,
IF(AND( SUM((DJ535*(20/100))+(DK535*(30/100))+(DL535*(50/100))) &lt;=7.8, SUM((DJ535*(20/100))+(DK535*(30/100))+(DL535*(50/100))) &gt;=7.3),7.5,
IF(AND( SUM((DJ535*(20/100))+(DK535*(30/100))+(DL535*(50/100))) &lt;=7.3, SUM((DJ535*(20/100))+(DK535*(30/100))+(DL535*(50/100))) &gt;=6.8),7,
IF(AND( SUM((DJ535*(20/100))+(DK535*(30/100))+(DL535*(50/100))) &lt;=6.8, SUM((DJ535*(20/100))+(DK535*(30/100))+(DL535*(50/100))) &gt;=6.3),6.5,
IF(AND( SUM((DJ535*(20/100))+(DK535*(30/100))+(DL535*(50/100))) &lt;=6.3, SUM((DJ535*(20/100))+(DK535*(30/100))+(DL535*(50/100))) &gt;=5.8),6,
IF(AND( SUM((DJ535*(20/100))+(DK535*(30/100))+(DL535*(50/100))) &lt;=5.8, SUM((DJ535*(20/100))+(DK535*(30/100))+(DL535*(50/100))) &gt;=5.3),5.5,
IF(AND( SUM((DJ535*(20/100))+(DK535*(30/100))+(DL535*(50/100))) &lt;=5.3, SUM((DJ535*(20/100))+(DK535*(30/100))+(DL535*(50/100))) &gt;=4.8),5,
IF(AND( SUM((DJ535*(20/100))+(DK535*(30/100))+(DL535*(50/100))) &lt;=4.8, SUM((DJ535*(20/100))+(DK535*(30/100))+(DL535*(50/100))) &gt;=4.3),4.5,
IF(AND( SUM((DJ535*(20/100))+(DK535*(30/100))+(DL535*(50/100))) &lt;=4.3, SUM((DJ535*(20/100))+(DK535*(30/100))+(DL535*(50/100))) &gt;=3.8),4,
IF(AND( SUM((DJ535*(20/100))+(DK535*(30/100))+(DL535*(50/100))) &lt;=3.8, SUM((DJ535*(20/100))+(DK535*(30/100))+(DL535*(50/100))) &gt;=3.5),3.5,0)))))))))))))</f>
        <v>0</v>
      </c>
      <c r="DQ535" s="541"/>
      <c r="DR535" s="541"/>
      <c r="DS535" s="541"/>
      <c r="DT535" s="541"/>
      <c r="DU535" s="541"/>
      <c r="DV535" s="541"/>
      <c r="DW535" s="541"/>
      <c r="DX535" s="541"/>
      <c r="DY535" s="541"/>
      <c r="DZ535" s="541"/>
    </row>
    <row r="536" spans="2:130" x14ac:dyDescent="0.25">
      <c r="B536" s="334">
        <v>29</v>
      </c>
      <c r="C536" s="541" t="s">
        <v>8612</v>
      </c>
      <c r="D536" s="334">
        <v>7</v>
      </c>
      <c r="E536" s="334">
        <v>19</v>
      </c>
      <c r="F536" s="334"/>
      <c r="G536" s="334">
        <v>8</v>
      </c>
      <c r="H536" s="334">
        <v>8</v>
      </c>
      <c r="I536" s="334">
        <v>8</v>
      </c>
      <c r="J536" s="536"/>
      <c r="K536" s="536"/>
      <c r="L536" s="536"/>
      <c r="M536" s="536"/>
      <c r="N536" s="536"/>
      <c r="O536" s="536"/>
      <c r="P536" s="536">
        <f t="shared" si="201"/>
        <v>0</v>
      </c>
      <c r="Q536" s="536"/>
      <c r="R536" s="536"/>
      <c r="S536" s="536"/>
      <c r="T536" s="536">
        <f t="shared" si="202"/>
        <v>0</v>
      </c>
      <c r="U536" s="536"/>
      <c r="V536" s="536"/>
      <c r="W536" s="536"/>
      <c r="X536" s="536">
        <f t="shared" si="203"/>
        <v>0</v>
      </c>
      <c r="Y536" s="536"/>
      <c r="Z536" s="536"/>
      <c r="AA536" s="536"/>
      <c r="AB536" s="536">
        <f t="shared" si="204"/>
        <v>0</v>
      </c>
      <c r="AC536" s="536"/>
      <c r="AD536" s="536"/>
      <c r="AE536" s="536"/>
      <c r="AF536" s="536">
        <f t="shared" si="205"/>
        <v>0</v>
      </c>
      <c r="AG536" s="536"/>
      <c r="AH536" s="536"/>
      <c r="AI536" s="536"/>
      <c r="AJ536" s="536">
        <f t="shared" si="206"/>
        <v>0</v>
      </c>
      <c r="AK536" s="536"/>
      <c r="AL536" s="536"/>
      <c r="AM536" s="536"/>
      <c r="AN536" s="542">
        <f t="shared" si="207"/>
        <v>0</v>
      </c>
      <c r="AO536" s="536"/>
      <c r="AP536" s="536"/>
      <c r="AQ536" s="536"/>
      <c r="AR536" s="542">
        <f t="shared" si="208"/>
        <v>0</v>
      </c>
      <c r="AS536" s="536"/>
      <c r="AT536" s="536"/>
      <c r="AU536" s="536"/>
      <c r="AV536" s="542">
        <f t="shared" si="209"/>
        <v>0</v>
      </c>
      <c r="AW536" s="536"/>
      <c r="AX536" s="536"/>
      <c r="AY536" s="536"/>
      <c r="AZ536" s="542">
        <f t="shared" si="210"/>
        <v>0</v>
      </c>
      <c r="BA536" s="536"/>
      <c r="BB536" s="536"/>
      <c r="BC536" s="536"/>
      <c r="BD536" s="542">
        <f t="shared" si="211"/>
        <v>0</v>
      </c>
      <c r="BE536" s="536"/>
      <c r="BF536" s="536"/>
      <c r="BG536" s="536"/>
      <c r="BH536" s="542">
        <f t="shared" si="212"/>
        <v>0</v>
      </c>
      <c r="BI536" s="536"/>
      <c r="BJ536" s="536"/>
      <c r="BK536" s="536"/>
      <c r="BL536" s="542">
        <f t="shared" si="213"/>
        <v>0</v>
      </c>
      <c r="BM536" s="536"/>
      <c r="BN536" s="536"/>
      <c r="BO536" s="536"/>
      <c r="BP536" s="542">
        <f t="shared" si="214"/>
        <v>0</v>
      </c>
      <c r="BQ536" s="536"/>
      <c r="BR536" s="536"/>
      <c r="BS536" s="536"/>
      <c r="BT536" s="542">
        <f t="shared" si="215"/>
        <v>0</v>
      </c>
      <c r="BU536" s="536"/>
      <c r="BV536" s="536"/>
      <c r="BW536" s="536"/>
      <c r="BX536" s="542">
        <f t="shared" si="216"/>
        <v>0</v>
      </c>
      <c r="BY536" s="536"/>
      <c r="BZ536" s="536"/>
      <c r="CA536" s="536"/>
      <c r="CB536" s="542">
        <v>0</v>
      </c>
      <c r="CC536" s="536"/>
      <c r="CD536" s="536"/>
      <c r="CE536" s="536"/>
      <c r="CF536" s="541">
        <f t="shared" si="217"/>
        <v>0</v>
      </c>
      <c r="CG536" s="536"/>
      <c r="CH536" s="536"/>
      <c r="CI536" s="536"/>
      <c r="CJ536" s="541">
        <f t="shared" si="218"/>
        <v>0</v>
      </c>
      <c r="CK536" s="536"/>
      <c r="CL536" s="536"/>
      <c r="CM536" s="536"/>
      <c r="CN536" s="541">
        <f t="shared" si="219"/>
        <v>0</v>
      </c>
      <c r="CO536" s="536"/>
      <c r="CP536" s="536"/>
      <c r="CQ536" s="536"/>
      <c r="CR536" s="541">
        <f t="shared" si="220"/>
        <v>0</v>
      </c>
      <c r="CS536" s="536"/>
      <c r="CT536" s="536"/>
      <c r="CU536" s="536"/>
      <c r="CV536" s="541">
        <f t="shared" si="221"/>
        <v>0</v>
      </c>
      <c r="CW536" s="536"/>
      <c r="CX536" s="536"/>
      <c r="CY536" s="536"/>
      <c r="CZ536" s="541">
        <f t="shared" si="222"/>
        <v>0</v>
      </c>
      <c r="DA536" s="536"/>
      <c r="DB536" s="536"/>
      <c r="DC536" s="536"/>
      <c r="DD536" s="541">
        <f t="shared" si="223"/>
        <v>0</v>
      </c>
      <c r="DE536" s="536"/>
      <c r="DF536" s="536"/>
      <c r="DG536" s="536"/>
      <c r="DH536" s="541">
        <f t="shared" si="224"/>
        <v>0</v>
      </c>
      <c r="DI536" s="536"/>
      <c r="DJ536" s="536"/>
      <c r="DK536" s="536"/>
      <c r="DL536" s="541">
        <f t="shared" si="225"/>
        <v>0</v>
      </c>
      <c r="DM536" s="536"/>
      <c r="DN536" s="536"/>
      <c r="DO536" s="536"/>
      <c r="DP536" s="541">
        <f>IF( SUM((DJ536*(20/100))+(DK536*(30/100))+(DL536*(50/100))) &gt;=9.3,9.5,
IF(AND( SUM((DJ536*(20/100))+(DK536*(30/100))+(DL536*(50/100))) &lt;=9.3, SUM((DJ536*(20/100))+(DK536*(30/100))+(DL536*(50/100))) &gt;=8.8),9,
IF(AND( SUM((DJ536*(20/100))+(DK536*(30/100))+(DL536*(50/100))) &lt;=8.8, SUM((DJ536*(20/100))+(DK536*(30/100))+(DL536*(50/100))) &gt;=8.3),8.5,
IF(AND( SUM((DJ536*(20/100))+(DK536*(30/100))+(DL536*(50/100))) &lt;=8.3, SUM((DJ536*(20/100))+(DK536*(30/100))+(DL536*(50/100))) &gt;=7.8),8,
IF(AND( SUM((DJ536*(20/100))+(DK536*(30/100))+(DL536*(50/100))) &lt;=7.8, SUM((DJ536*(20/100))+(DK536*(30/100))+(DL536*(50/100))) &gt;=7.3),7.5,
IF(AND( SUM((DJ536*(20/100))+(DK536*(30/100))+(DL536*(50/100))) &lt;=7.3, SUM((DJ536*(20/100))+(DK536*(30/100))+(DL536*(50/100))) &gt;=6.8),7,
IF(AND( SUM((DJ536*(20/100))+(DK536*(30/100))+(DL536*(50/100))) &lt;=6.8, SUM((DJ536*(20/100))+(DK536*(30/100))+(DL536*(50/100))) &gt;=6.3),6.5,
IF(AND( SUM((DJ536*(20/100))+(DK536*(30/100))+(DL536*(50/100))) &lt;=6.3, SUM((DJ536*(20/100))+(DK536*(30/100))+(DL536*(50/100))) &gt;=5.8),6,
IF(AND( SUM((DJ536*(20/100))+(DK536*(30/100))+(DL536*(50/100))) &lt;=5.8, SUM((DJ536*(20/100))+(DK536*(30/100))+(DL536*(50/100))) &gt;=5.3),5.5,
IF(AND( SUM((DJ536*(20/100))+(DK536*(30/100))+(DL536*(50/100))) &lt;=5.3, SUM((DJ536*(20/100))+(DK536*(30/100))+(DL536*(50/100))) &gt;=4.8),5,
IF(AND( SUM((DJ536*(20/100))+(DK536*(30/100))+(DL536*(50/100))) &lt;=4.8, SUM((DJ536*(20/100))+(DK536*(30/100))+(DL536*(50/100))) &gt;=4.3),4.5,
IF(AND( SUM((DJ536*(20/100))+(DK536*(30/100))+(DL536*(50/100))) &lt;=4.3, SUM((DJ536*(20/100))+(DK536*(30/100))+(DL536*(50/100))) &gt;=3.8),4,
IF(AND( SUM((DJ536*(20/100))+(DK536*(30/100))+(DL536*(50/100))) &lt;=3.8, SUM((DJ536*(20/100))+(DK536*(30/100))+(DL536*(50/100))) &gt;=3.5),3.5,0)))))))))))))</f>
        <v>0</v>
      </c>
      <c r="DQ536" s="541"/>
      <c r="DR536" s="541"/>
      <c r="DS536" s="541"/>
      <c r="DT536" s="541"/>
      <c r="DU536" s="541"/>
      <c r="DV536" s="541"/>
      <c r="DW536" s="541"/>
      <c r="DX536" s="541"/>
      <c r="DY536" s="541"/>
      <c r="DZ536" s="541"/>
    </row>
    <row r="537" spans="2:130" x14ac:dyDescent="0.25">
      <c r="B537" s="334">
        <v>30</v>
      </c>
      <c r="C537" s="541" t="s">
        <v>8613</v>
      </c>
      <c r="D537" s="334">
        <v>1</v>
      </c>
      <c r="E537" s="334">
        <v>2</v>
      </c>
      <c r="F537" s="334"/>
      <c r="G537" s="334">
        <v>8</v>
      </c>
      <c r="H537" s="334">
        <v>8</v>
      </c>
      <c r="I537" s="334">
        <v>8</v>
      </c>
      <c r="J537" s="536"/>
      <c r="K537" s="536"/>
      <c r="L537" s="536"/>
      <c r="M537" s="536"/>
      <c r="N537" s="536"/>
      <c r="O537" s="536"/>
      <c r="P537" s="536">
        <f t="shared" si="201"/>
        <v>0</v>
      </c>
      <c r="Q537" s="536"/>
      <c r="R537" s="536"/>
      <c r="S537" s="536"/>
      <c r="T537" s="536">
        <f t="shared" si="202"/>
        <v>0</v>
      </c>
      <c r="U537" s="536"/>
      <c r="V537" s="536"/>
      <c r="W537" s="536"/>
      <c r="X537" s="536">
        <f t="shared" si="203"/>
        <v>0</v>
      </c>
      <c r="Y537" s="536"/>
      <c r="Z537" s="536"/>
      <c r="AA537" s="536"/>
      <c r="AB537" s="536">
        <f t="shared" si="204"/>
        <v>0</v>
      </c>
      <c r="AC537" s="536"/>
      <c r="AD537" s="536"/>
      <c r="AE537" s="536"/>
      <c r="AF537" s="536">
        <f t="shared" si="205"/>
        <v>0</v>
      </c>
      <c r="AG537" s="536"/>
      <c r="AH537" s="536"/>
      <c r="AI537" s="536"/>
      <c r="AJ537" s="536">
        <f t="shared" si="206"/>
        <v>0</v>
      </c>
      <c r="AK537" s="536"/>
      <c r="AL537" s="536"/>
      <c r="AM537" s="536"/>
      <c r="AN537" s="542">
        <f t="shared" si="207"/>
        <v>0</v>
      </c>
      <c r="AO537" s="536"/>
      <c r="AP537" s="536"/>
      <c r="AQ537" s="536"/>
      <c r="AR537" s="542">
        <f t="shared" si="208"/>
        <v>0</v>
      </c>
      <c r="AS537" s="536"/>
      <c r="AT537" s="536"/>
      <c r="AU537" s="536"/>
      <c r="AV537" s="542">
        <f t="shared" si="209"/>
        <v>0</v>
      </c>
      <c r="AW537" s="536"/>
      <c r="AX537" s="536"/>
      <c r="AY537" s="536"/>
      <c r="AZ537" s="542">
        <f t="shared" si="210"/>
        <v>0</v>
      </c>
      <c r="BA537" s="536"/>
      <c r="BB537" s="536"/>
      <c r="BC537" s="536"/>
      <c r="BD537" s="542">
        <f t="shared" si="211"/>
        <v>0</v>
      </c>
      <c r="BE537" s="536"/>
      <c r="BF537" s="536"/>
      <c r="BG537" s="536"/>
      <c r="BH537" s="542">
        <f t="shared" si="212"/>
        <v>0</v>
      </c>
      <c r="BI537" s="536"/>
      <c r="BJ537" s="536"/>
      <c r="BK537" s="536"/>
      <c r="BL537" s="542">
        <f t="shared" si="213"/>
        <v>0</v>
      </c>
      <c r="BM537" s="536"/>
      <c r="BN537" s="536"/>
      <c r="BO537" s="536"/>
      <c r="BP537" s="542">
        <f t="shared" si="214"/>
        <v>0</v>
      </c>
      <c r="BQ537" s="536"/>
      <c r="BR537" s="536"/>
      <c r="BS537" s="536"/>
      <c r="BT537" s="542">
        <f t="shared" si="215"/>
        <v>0</v>
      </c>
      <c r="BU537" s="536"/>
      <c r="BV537" s="536"/>
      <c r="BW537" s="536"/>
      <c r="BX537" s="542">
        <f t="shared" si="216"/>
        <v>0</v>
      </c>
      <c r="BY537" s="536"/>
      <c r="BZ537" s="536"/>
      <c r="CA537" s="536"/>
      <c r="CB537" s="542">
        <v>0</v>
      </c>
      <c r="CC537" s="536"/>
      <c r="CD537" s="536"/>
      <c r="CE537" s="536"/>
      <c r="CF537" s="541">
        <f t="shared" si="217"/>
        <v>0</v>
      </c>
      <c r="CG537" s="536"/>
      <c r="CH537" s="536"/>
      <c r="CI537" s="536"/>
      <c r="CJ537" s="541">
        <f t="shared" si="218"/>
        <v>0</v>
      </c>
      <c r="CK537" s="536"/>
      <c r="CL537" s="536"/>
      <c r="CM537" s="536"/>
      <c r="CN537" s="541">
        <f t="shared" si="219"/>
        <v>0</v>
      </c>
      <c r="CO537" s="536"/>
      <c r="CP537" s="536"/>
      <c r="CQ537" s="536"/>
      <c r="CR537" s="541">
        <f t="shared" si="220"/>
        <v>0</v>
      </c>
      <c r="CS537" s="536"/>
      <c r="CT537" s="536"/>
      <c r="CU537" s="536"/>
      <c r="CV537" s="541">
        <f t="shared" si="221"/>
        <v>0</v>
      </c>
      <c r="CW537" s="536"/>
      <c r="CX537" s="536"/>
      <c r="CY537" s="536"/>
      <c r="CZ537" s="541">
        <f t="shared" si="222"/>
        <v>0</v>
      </c>
      <c r="DA537" s="536"/>
      <c r="DB537" s="536"/>
      <c r="DC537" s="536"/>
      <c r="DD537" s="541">
        <f t="shared" si="223"/>
        <v>0</v>
      </c>
      <c r="DE537" s="536"/>
      <c r="DF537" s="536"/>
      <c r="DG537" s="536"/>
      <c r="DH537" s="541">
        <f t="shared" si="224"/>
        <v>0</v>
      </c>
      <c r="DI537" s="536"/>
      <c r="DJ537" s="536"/>
      <c r="DK537" s="536"/>
      <c r="DL537" s="541">
        <f t="shared" si="225"/>
        <v>0</v>
      </c>
      <c r="DM537" s="536"/>
      <c r="DN537" s="536"/>
      <c r="DO537" s="536"/>
      <c r="DP537" s="541">
        <f>IF( SUM((DJ537*(20/100))+(DK537*(30/100))+(DL537*(50/100))) &gt;=9.3,9.5,
IF(AND( SUM((DJ537*(20/100))+(DK537*(30/100))+(DL537*(50/100))) &lt;=9.3, SUM((DJ537*(20/100))+(DK537*(30/100))+(DL537*(50/100))) &gt;=8.8),9,
IF(AND( SUM((DJ537*(20/100))+(DK537*(30/100))+(DL537*(50/100))) &lt;=8.8, SUM((DJ537*(20/100))+(DK537*(30/100))+(DL537*(50/100))) &gt;=8.3),8.5,
IF(AND( SUM((DJ537*(20/100))+(DK537*(30/100))+(DL537*(50/100))) &lt;=8.3, SUM((DJ537*(20/100))+(DK537*(30/100))+(DL537*(50/100))) &gt;=7.8),8,
IF(AND( SUM((DJ537*(20/100))+(DK537*(30/100))+(DL537*(50/100))) &lt;=7.8, SUM((DJ537*(20/100))+(DK537*(30/100))+(DL537*(50/100))) &gt;=7.3),7.5,
IF(AND( SUM((DJ537*(20/100))+(DK537*(30/100))+(DL537*(50/100))) &lt;=7.3, SUM((DJ537*(20/100))+(DK537*(30/100))+(DL537*(50/100))) &gt;=6.8),7,
IF(AND( SUM((DJ537*(20/100))+(DK537*(30/100))+(DL537*(50/100))) &lt;=6.8, SUM((DJ537*(20/100))+(DK537*(30/100))+(DL537*(50/100))) &gt;=6.3),6.5,
IF(AND( SUM((DJ537*(20/100))+(DK537*(30/100))+(DL537*(50/100))) &lt;=6.3, SUM((DJ537*(20/100))+(DK537*(30/100))+(DL537*(50/100))) &gt;=5.8),6,
IF(AND( SUM((DJ537*(20/100))+(DK537*(30/100))+(DL537*(50/100))) &lt;=5.8, SUM((DJ537*(20/100))+(DK537*(30/100))+(DL537*(50/100))) &gt;=5.3),5.5,
IF(AND( SUM((DJ537*(20/100))+(DK537*(30/100))+(DL537*(50/100))) &lt;=5.3, SUM((DJ537*(20/100))+(DK537*(30/100))+(DL537*(50/100))) &gt;=4.8),5,
IF(AND( SUM((DJ537*(20/100))+(DK537*(30/100))+(DL537*(50/100))) &lt;=4.8, SUM((DJ537*(20/100))+(DK537*(30/100))+(DL537*(50/100))) &gt;=4.3),4.5,
IF(AND( SUM((DJ537*(20/100))+(DK537*(30/100))+(DL537*(50/100))) &lt;=4.3, SUM((DJ537*(20/100))+(DK537*(30/100))+(DL537*(50/100))) &gt;=3.8),4,
IF(AND( SUM((DJ537*(20/100))+(DK537*(30/100))+(DL537*(50/100))) &lt;=3.8, SUM((DJ537*(20/100))+(DK537*(30/100))+(DL537*(50/100))) &gt;=3.5),3.5,0)))))))))))))</f>
        <v>0</v>
      </c>
      <c r="DQ537" s="541"/>
      <c r="DR537" s="541"/>
      <c r="DS537" s="541"/>
      <c r="DT537" s="541"/>
      <c r="DU537" s="541"/>
      <c r="DV537" s="541"/>
      <c r="DW537" s="541"/>
      <c r="DX537" s="541"/>
      <c r="DY537" s="541"/>
      <c r="DZ537" s="541"/>
    </row>
    <row r="538" spans="2:130" x14ac:dyDescent="0.25">
      <c r="B538" s="334">
        <v>31</v>
      </c>
      <c r="C538" s="541" t="s">
        <v>8614</v>
      </c>
      <c r="D538" s="334">
        <v>4</v>
      </c>
      <c r="E538" s="334">
        <v>6</v>
      </c>
      <c r="F538" s="334"/>
      <c r="G538" s="334">
        <v>8</v>
      </c>
      <c r="H538" s="334">
        <v>8</v>
      </c>
      <c r="I538" s="334">
        <v>8</v>
      </c>
      <c r="J538" s="536"/>
      <c r="K538" s="536"/>
      <c r="L538" s="536"/>
      <c r="M538" s="536"/>
      <c r="N538" s="536"/>
      <c r="O538" s="536"/>
      <c r="P538" s="536">
        <f t="shared" si="201"/>
        <v>0</v>
      </c>
      <c r="Q538" s="536"/>
      <c r="R538" s="536"/>
      <c r="S538" s="536"/>
      <c r="T538" s="536">
        <f t="shared" si="202"/>
        <v>0</v>
      </c>
      <c r="U538" s="536"/>
      <c r="V538" s="536"/>
      <c r="W538" s="536"/>
      <c r="X538" s="536">
        <f t="shared" si="203"/>
        <v>0</v>
      </c>
      <c r="Y538" s="536"/>
      <c r="Z538" s="536"/>
      <c r="AA538" s="536"/>
      <c r="AB538" s="536">
        <f t="shared" si="204"/>
        <v>0</v>
      </c>
      <c r="AC538" s="536"/>
      <c r="AD538" s="536"/>
      <c r="AE538" s="536"/>
      <c r="AF538" s="536">
        <f t="shared" si="205"/>
        <v>0</v>
      </c>
      <c r="AG538" s="536"/>
      <c r="AH538" s="536"/>
      <c r="AI538" s="536"/>
      <c r="AJ538" s="536">
        <f t="shared" si="206"/>
        <v>0</v>
      </c>
      <c r="AK538" s="536"/>
      <c r="AL538" s="536"/>
      <c r="AM538" s="536"/>
      <c r="AN538" s="542">
        <f t="shared" si="207"/>
        <v>0</v>
      </c>
      <c r="AO538" s="536"/>
      <c r="AP538" s="536"/>
      <c r="AQ538" s="536"/>
      <c r="AR538" s="542">
        <f t="shared" si="208"/>
        <v>0</v>
      </c>
      <c r="AS538" s="536"/>
      <c r="AT538" s="536"/>
      <c r="AU538" s="536"/>
      <c r="AV538" s="542">
        <f t="shared" si="209"/>
        <v>0</v>
      </c>
      <c r="AW538" s="536"/>
      <c r="AX538" s="536"/>
      <c r="AY538" s="536"/>
      <c r="AZ538" s="542">
        <f t="shared" si="210"/>
        <v>0</v>
      </c>
      <c r="BA538" s="536"/>
      <c r="BB538" s="536"/>
      <c r="BC538" s="536"/>
      <c r="BD538" s="542">
        <f t="shared" si="211"/>
        <v>0</v>
      </c>
      <c r="BE538" s="536"/>
      <c r="BF538" s="536"/>
      <c r="BG538" s="536"/>
      <c r="BH538" s="542">
        <f t="shared" si="212"/>
        <v>0</v>
      </c>
      <c r="BI538" s="536"/>
      <c r="BJ538" s="536"/>
      <c r="BK538" s="536"/>
      <c r="BL538" s="542">
        <f t="shared" si="213"/>
        <v>0</v>
      </c>
      <c r="BM538" s="536"/>
      <c r="BN538" s="536"/>
      <c r="BO538" s="536"/>
      <c r="BP538" s="542">
        <f t="shared" si="214"/>
        <v>0</v>
      </c>
      <c r="BQ538" s="536"/>
      <c r="BR538" s="536"/>
      <c r="BS538" s="536"/>
      <c r="BT538" s="542">
        <f t="shared" si="215"/>
        <v>0</v>
      </c>
      <c r="BU538" s="536"/>
      <c r="BV538" s="536"/>
      <c r="BW538" s="536"/>
      <c r="BX538" s="542">
        <f t="shared" si="216"/>
        <v>0</v>
      </c>
      <c r="BY538" s="536"/>
      <c r="BZ538" s="536"/>
      <c r="CA538" s="536"/>
      <c r="CB538" s="542">
        <v>0</v>
      </c>
      <c r="CC538" s="536"/>
      <c r="CD538" s="536"/>
      <c r="CE538" s="536"/>
      <c r="CF538" s="541">
        <f t="shared" si="217"/>
        <v>0</v>
      </c>
      <c r="CG538" s="536"/>
      <c r="CH538" s="536"/>
      <c r="CI538" s="536"/>
      <c r="CJ538" s="541">
        <f t="shared" si="218"/>
        <v>0</v>
      </c>
      <c r="CK538" s="536"/>
      <c r="CL538" s="536"/>
      <c r="CM538" s="536"/>
      <c r="CN538" s="541">
        <f t="shared" si="219"/>
        <v>0</v>
      </c>
      <c r="CO538" s="536"/>
      <c r="CP538" s="536"/>
      <c r="CQ538" s="536"/>
      <c r="CR538" s="541">
        <f t="shared" si="220"/>
        <v>0</v>
      </c>
      <c r="CS538" s="536"/>
      <c r="CT538" s="536"/>
      <c r="CU538" s="536"/>
      <c r="CV538" s="541">
        <f t="shared" si="221"/>
        <v>0</v>
      </c>
      <c r="CW538" s="536"/>
      <c r="CX538" s="536"/>
      <c r="CY538" s="536"/>
      <c r="CZ538" s="541">
        <f t="shared" si="222"/>
        <v>0</v>
      </c>
      <c r="DA538" s="536"/>
      <c r="DB538" s="536"/>
      <c r="DC538" s="536"/>
      <c r="DD538" s="541">
        <f t="shared" si="223"/>
        <v>0</v>
      </c>
      <c r="DE538" s="536"/>
      <c r="DF538" s="536"/>
      <c r="DG538" s="536"/>
      <c r="DH538" s="541">
        <f t="shared" si="224"/>
        <v>0</v>
      </c>
      <c r="DI538" s="536"/>
      <c r="DJ538" s="536"/>
      <c r="DK538" s="536"/>
      <c r="DL538" s="541">
        <f t="shared" si="225"/>
        <v>0</v>
      </c>
      <c r="DM538" s="536"/>
      <c r="DN538" s="536"/>
      <c r="DO538" s="536"/>
      <c r="DP538" s="541">
        <f>IF( SUM((DJ538*(20/100))+(DK538*(30/100))+(DL538*(50/100))) &gt;=9.3,9.5,
IF(AND( SUM((DJ538*(20/100))+(DK538*(30/100))+(DL538*(50/100))) &lt;=9.3, SUM((DJ538*(20/100))+(DK538*(30/100))+(DL538*(50/100))) &gt;=8.8),9,
IF(AND( SUM((DJ538*(20/100))+(DK538*(30/100))+(DL538*(50/100))) &lt;=8.8, SUM((DJ538*(20/100))+(DK538*(30/100))+(DL538*(50/100))) &gt;=8.3),8.5,
IF(AND( SUM((DJ538*(20/100))+(DK538*(30/100))+(DL538*(50/100))) &lt;=8.3, SUM((DJ538*(20/100))+(DK538*(30/100))+(DL538*(50/100))) &gt;=7.8),8,
IF(AND( SUM((DJ538*(20/100))+(DK538*(30/100))+(DL538*(50/100))) &lt;=7.8, SUM((DJ538*(20/100))+(DK538*(30/100))+(DL538*(50/100))) &gt;=7.3),7.5,
IF(AND( SUM((DJ538*(20/100))+(DK538*(30/100))+(DL538*(50/100))) &lt;=7.3, SUM((DJ538*(20/100))+(DK538*(30/100))+(DL538*(50/100))) &gt;=6.8),7,
IF(AND( SUM((DJ538*(20/100))+(DK538*(30/100))+(DL538*(50/100))) &lt;=6.8, SUM((DJ538*(20/100))+(DK538*(30/100))+(DL538*(50/100))) &gt;=6.3),6.5,
IF(AND( SUM((DJ538*(20/100))+(DK538*(30/100))+(DL538*(50/100))) &lt;=6.3, SUM((DJ538*(20/100))+(DK538*(30/100))+(DL538*(50/100))) &gt;=5.8),6,
IF(AND( SUM((DJ538*(20/100))+(DK538*(30/100))+(DL538*(50/100))) &lt;=5.8, SUM((DJ538*(20/100))+(DK538*(30/100))+(DL538*(50/100))) &gt;=5.3),5.5,
IF(AND( SUM((DJ538*(20/100))+(DK538*(30/100))+(DL538*(50/100))) &lt;=5.3, SUM((DJ538*(20/100))+(DK538*(30/100))+(DL538*(50/100))) &gt;=4.8),5,
IF(AND( SUM((DJ538*(20/100))+(DK538*(30/100))+(DL538*(50/100))) &lt;=4.8, SUM((DJ538*(20/100))+(DK538*(30/100))+(DL538*(50/100))) &gt;=4.3),4.5,
IF(AND( SUM((DJ538*(20/100))+(DK538*(30/100))+(DL538*(50/100))) &lt;=4.3, SUM((DJ538*(20/100))+(DK538*(30/100))+(DL538*(50/100))) &gt;=3.8),4,
IF(AND( SUM((DJ538*(20/100))+(DK538*(30/100))+(DL538*(50/100))) &lt;=3.8, SUM((DJ538*(20/100))+(DK538*(30/100))+(DL538*(50/100))) &gt;=3.5),3.5,0)))))))))))))</f>
        <v>0</v>
      </c>
      <c r="DQ538" s="541"/>
      <c r="DR538" s="541"/>
      <c r="DS538" s="541"/>
      <c r="DT538" s="541"/>
      <c r="DU538" s="541"/>
      <c r="DV538" s="541"/>
      <c r="DW538" s="541"/>
      <c r="DX538" s="541"/>
      <c r="DY538" s="541"/>
      <c r="DZ538" s="541"/>
    </row>
    <row r="539" spans="2:130" x14ac:dyDescent="0.25">
      <c r="B539" s="334">
        <v>32</v>
      </c>
      <c r="C539" s="541" t="s">
        <v>8615</v>
      </c>
      <c r="D539" s="334"/>
      <c r="E539" s="334"/>
      <c r="F539" s="334"/>
      <c r="G539" s="334">
        <v>8</v>
      </c>
      <c r="H539" s="334">
        <v>8</v>
      </c>
      <c r="I539" s="334">
        <v>8</v>
      </c>
      <c r="J539" s="536"/>
      <c r="K539" s="536"/>
      <c r="L539" s="536"/>
      <c r="M539" s="536"/>
      <c r="N539" s="536"/>
      <c r="O539" s="536"/>
      <c r="P539" s="536">
        <f t="shared" si="201"/>
        <v>0</v>
      </c>
      <c r="Q539" s="536"/>
      <c r="R539" s="536"/>
      <c r="S539" s="536"/>
      <c r="T539" s="536">
        <f t="shared" si="202"/>
        <v>0</v>
      </c>
      <c r="U539" s="536"/>
      <c r="V539" s="536"/>
      <c r="W539" s="536"/>
      <c r="X539" s="536">
        <f t="shared" si="203"/>
        <v>0</v>
      </c>
      <c r="Y539" s="536"/>
      <c r="Z539" s="536"/>
      <c r="AA539" s="536"/>
      <c r="AB539" s="536">
        <f t="shared" si="204"/>
        <v>0</v>
      </c>
      <c r="AC539" s="536"/>
      <c r="AD539" s="536"/>
      <c r="AE539" s="536"/>
      <c r="AF539" s="536">
        <f t="shared" si="205"/>
        <v>0</v>
      </c>
      <c r="AG539" s="536"/>
      <c r="AH539" s="536"/>
      <c r="AI539" s="536"/>
      <c r="AJ539" s="536">
        <f t="shared" si="206"/>
        <v>0</v>
      </c>
      <c r="AK539" s="536"/>
      <c r="AL539" s="536"/>
      <c r="AM539" s="536"/>
      <c r="AN539" s="542">
        <f t="shared" si="207"/>
        <v>0</v>
      </c>
      <c r="AO539" s="536"/>
      <c r="AP539" s="536"/>
      <c r="AQ539" s="536"/>
      <c r="AR539" s="542">
        <f t="shared" si="208"/>
        <v>0</v>
      </c>
      <c r="AS539" s="536"/>
      <c r="AT539" s="536"/>
      <c r="AU539" s="536"/>
      <c r="AV539" s="542">
        <f t="shared" si="209"/>
        <v>0</v>
      </c>
      <c r="AW539" s="536"/>
      <c r="AX539" s="536"/>
      <c r="AY539" s="536"/>
      <c r="AZ539" s="542">
        <f t="shared" si="210"/>
        <v>0</v>
      </c>
      <c r="BA539" s="536"/>
      <c r="BB539" s="536"/>
      <c r="BC539" s="536"/>
      <c r="BD539" s="542">
        <f t="shared" si="211"/>
        <v>0</v>
      </c>
      <c r="BE539" s="536"/>
      <c r="BF539" s="536"/>
      <c r="BG539" s="536"/>
      <c r="BH539" s="542">
        <f t="shared" si="212"/>
        <v>0</v>
      </c>
      <c r="BI539" s="536"/>
      <c r="BJ539" s="536"/>
      <c r="BK539" s="536"/>
      <c r="BL539" s="542">
        <f t="shared" si="213"/>
        <v>0</v>
      </c>
      <c r="BM539" s="536"/>
      <c r="BN539" s="536"/>
      <c r="BO539" s="536"/>
      <c r="BP539" s="542">
        <f t="shared" si="214"/>
        <v>0</v>
      </c>
      <c r="BQ539" s="536"/>
      <c r="BR539" s="536"/>
      <c r="BS539" s="536"/>
      <c r="BT539" s="542">
        <f t="shared" si="215"/>
        <v>0</v>
      </c>
      <c r="BU539" s="536"/>
      <c r="BV539" s="536"/>
      <c r="BW539" s="536"/>
      <c r="BX539" s="542">
        <f t="shared" si="216"/>
        <v>0</v>
      </c>
      <c r="BY539" s="536"/>
      <c r="BZ539" s="536"/>
      <c r="CA539" s="536"/>
      <c r="CB539" s="542">
        <v>0</v>
      </c>
      <c r="CC539" s="536"/>
      <c r="CD539" s="536"/>
      <c r="CE539" s="536"/>
      <c r="CF539" s="541">
        <f t="shared" si="217"/>
        <v>0</v>
      </c>
      <c r="CG539" s="536"/>
      <c r="CH539" s="536"/>
      <c r="CI539" s="536"/>
      <c r="CJ539" s="541">
        <f t="shared" si="218"/>
        <v>0</v>
      </c>
      <c r="CK539" s="536"/>
      <c r="CL539" s="536"/>
      <c r="CM539" s="536"/>
      <c r="CN539" s="541">
        <f t="shared" si="219"/>
        <v>0</v>
      </c>
      <c r="CO539" s="536"/>
      <c r="CP539" s="536"/>
      <c r="CQ539" s="536"/>
      <c r="CR539" s="541">
        <f t="shared" si="220"/>
        <v>0</v>
      </c>
      <c r="CS539" s="536"/>
      <c r="CT539" s="536"/>
      <c r="CU539" s="536"/>
      <c r="CV539" s="541">
        <f t="shared" si="221"/>
        <v>0</v>
      </c>
      <c r="CW539" s="536"/>
      <c r="CX539" s="536"/>
      <c r="CY539" s="536"/>
      <c r="CZ539" s="541">
        <f t="shared" si="222"/>
        <v>0</v>
      </c>
      <c r="DA539" s="536"/>
      <c r="DB539" s="536"/>
      <c r="DC539" s="536"/>
      <c r="DD539" s="541">
        <f t="shared" si="223"/>
        <v>0</v>
      </c>
      <c r="DE539" s="536"/>
      <c r="DF539" s="536"/>
      <c r="DG539" s="536"/>
      <c r="DH539" s="541">
        <f t="shared" si="224"/>
        <v>0</v>
      </c>
      <c r="DI539" s="536"/>
      <c r="DJ539" s="536"/>
      <c r="DK539" s="536"/>
      <c r="DL539" s="541">
        <f t="shared" si="225"/>
        <v>0</v>
      </c>
      <c r="DM539" s="536"/>
      <c r="DN539" s="536"/>
      <c r="DO539" s="536"/>
      <c r="DP539" s="541">
        <f>IF( SUM((DJ539*(20/100))+(DK539*(30/100))+(DL539*(50/100))) &gt;=9.3,9.5,
IF(AND( SUM((DJ539*(20/100))+(DK539*(30/100))+(DL539*(50/100))) &lt;=9.3, SUM((DJ539*(20/100))+(DK539*(30/100))+(DL539*(50/100))) &gt;=8.8),9,
IF(AND( SUM((DJ539*(20/100))+(DK539*(30/100))+(DL539*(50/100))) &lt;=8.8, SUM((DJ539*(20/100))+(DK539*(30/100))+(DL539*(50/100))) &gt;=8.3),8.5,
IF(AND( SUM((DJ539*(20/100))+(DK539*(30/100))+(DL539*(50/100))) &lt;=8.3, SUM((DJ539*(20/100))+(DK539*(30/100))+(DL539*(50/100))) &gt;=7.8),8,
IF(AND( SUM((DJ539*(20/100))+(DK539*(30/100))+(DL539*(50/100))) &lt;=7.8, SUM((DJ539*(20/100))+(DK539*(30/100))+(DL539*(50/100))) &gt;=7.3),7.5,
IF(AND( SUM((DJ539*(20/100))+(DK539*(30/100))+(DL539*(50/100))) &lt;=7.3, SUM((DJ539*(20/100))+(DK539*(30/100))+(DL539*(50/100))) &gt;=6.8),7,
IF(AND( SUM((DJ539*(20/100))+(DK539*(30/100))+(DL539*(50/100))) &lt;=6.8, SUM((DJ539*(20/100))+(DK539*(30/100))+(DL539*(50/100))) &gt;=6.3),6.5,
IF(AND( SUM((DJ539*(20/100))+(DK539*(30/100))+(DL539*(50/100))) &lt;=6.3, SUM((DJ539*(20/100))+(DK539*(30/100))+(DL539*(50/100))) &gt;=5.8),6,
IF(AND( SUM((DJ539*(20/100))+(DK539*(30/100))+(DL539*(50/100))) &lt;=5.8, SUM((DJ539*(20/100))+(DK539*(30/100))+(DL539*(50/100))) &gt;=5.3),5.5,
IF(AND( SUM((DJ539*(20/100))+(DK539*(30/100))+(DL539*(50/100))) &lt;=5.3, SUM((DJ539*(20/100))+(DK539*(30/100))+(DL539*(50/100))) &gt;=4.8),5,
IF(AND( SUM((DJ539*(20/100))+(DK539*(30/100))+(DL539*(50/100))) &lt;=4.8, SUM((DJ539*(20/100))+(DK539*(30/100))+(DL539*(50/100))) &gt;=4.3),4.5,
IF(AND( SUM((DJ539*(20/100))+(DK539*(30/100))+(DL539*(50/100))) &lt;=4.3, SUM((DJ539*(20/100))+(DK539*(30/100))+(DL539*(50/100))) &gt;=3.8),4,
IF(AND( SUM((DJ539*(20/100))+(DK539*(30/100))+(DL539*(50/100))) &lt;=3.8, SUM((DJ539*(20/100))+(DK539*(30/100))+(DL539*(50/100))) &gt;=3.5),3.5,0)))))))))))))</f>
        <v>0</v>
      </c>
      <c r="DQ539" s="541"/>
      <c r="DR539" s="541"/>
      <c r="DS539" s="541"/>
      <c r="DT539" s="541"/>
      <c r="DU539" s="541"/>
      <c r="DV539" s="541"/>
      <c r="DW539" s="541"/>
      <c r="DX539" s="541"/>
      <c r="DY539" s="541"/>
      <c r="DZ539" s="541"/>
    </row>
    <row r="540" spans="2:130" x14ac:dyDescent="0.25">
      <c r="B540" s="334">
        <v>33</v>
      </c>
      <c r="C540" s="541" t="s">
        <v>8616</v>
      </c>
      <c r="D540" s="334">
        <v>2</v>
      </c>
      <c r="E540" s="334">
        <v>7</v>
      </c>
      <c r="F540" s="334"/>
      <c r="G540" s="334">
        <v>8</v>
      </c>
      <c r="H540" s="334">
        <v>8</v>
      </c>
      <c r="I540" s="334">
        <v>8</v>
      </c>
      <c r="J540" s="536"/>
      <c r="K540" s="536"/>
      <c r="L540" s="536"/>
      <c r="M540" s="536"/>
      <c r="N540" s="536"/>
      <c r="O540" s="536"/>
      <c r="P540" s="536">
        <f t="shared" si="201"/>
        <v>0</v>
      </c>
      <c r="Q540" s="536"/>
      <c r="R540" s="536"/>
      <c r="S540" s="536"/>
      <c r="T540" s="536">
        <f t="shared" si="202"/>
        <v>0</v>
      </c>
      <c r="U540" s="536"/>
      <c r="V540" s="536"/>
      <c r="W540" s="536"/>
      <c r="X540" s="536">
        <f t="shared" si="203"/>
        <v>0</v>
      </c>
      <c r="Y540" s="536"/>
      <c r="Z540" s="536"/>
      <c r="AA540" s="536"/>
      <c r="AB540" s="536">
        <f t="shared" si="204"/>
        <v>0</v>
      </c>
      <c r="AC540" s="536"/>
      <c r="AD540" s="536"/>
      <c r="AE540" s="536"/>
      <c r="AF540" s="536">
        <f t="shared" si="205"/>
        <v>0</v>
      </c>
      <c r="AG540" s="536"/>
      <c r="AH540" s="536"/>
      <c r="AI540" s="536"/>
      <c r="AJ540" s="536">
        <f t="shared" si="206"/>
        <v>0</v>
      </c>
      <c r="AK540" s="536"/>
      <c r="AL540" s="536"/>
      <c r="AM540" s="536"/>
      <c r="AN540" s="542">
        <f t="shared" si="207"/>
        <v>0</v>
      </c>
      <c r="AO540" s="536"/>
      <c r="AP540" s="536"/>
      <c r="AQ540" s="536"/>
      <c r="AR540" s="542">
        <f t="shared" si="208"/>
        <v>0</v>
      </c>
      <c r="AS540" s="536"/>
      <c r="AT540" s="536"/>
      <c r="AU540" s="536"/>
      <c r="AV540" s="542">
        <f t="shared" si="209"/>
        <v>0</v>
      </c>
      <c r="AW540" s="536"/>
      <c r="AX540" s="536"/>
      <c r="AY540" s="536"/>
      <c r="AZ540" s="542">
        <f t="shared" si="210"/>
        <v>0</v>
      </c>
      <c r="BA540" s="536"/>
      <c r="BB540" s="536"/>
      <c r="BC540" s="536"/>
      <c r="BD540" s="542">
        <f t="shared" si="211"/>
        <v>0</v>
      </c>
      <c r="BE540" s="536"/>
      <c r="BF540" s="536"/>
      <c r="BG540" s="536"/>
      <c r="BH540" s="542">
        <f t="shared" si="212"/>
        <v>0</v>
      </c>
      <c r="BI540" s="536"/>
      <c r="BJ540" s="536"/>
      <c r="BK540" s="536"/>
      <c r="BL540" s="542">
        <f t="shared" si="213"/>
        <v>0</v>
      </c>
      <c r="BM540" s="536"/>
      <c r="BN540" s="536"/>
      <c r="BO540" s="536"/>
      <c r="BP540" s="542">
        <f t="shared" si="214"/>
        <v>0</v>
      </c>
      <c r="BQ540" s="536"/>
      <c r="BR540" s="536"/>
      <c r="BS540" s="536"/>
      <c r="BT540" s="542">
        <f t="shared" si="215"/>
        <v>0</v>
      </c>
      <c r="BU540" s="536"/>
      <c r="BV540" s="536"/>
      <c r="BW540" s="536"/>
      <c r="BX540" s="542">
        <f t="shared" si="216"/>
        <v>0</v>
      </c>
      <c r="BY540" s="536"/>
      <c r="BZ540" s="536"/>
      <c r="CA540" s="536"/>
      <c r="CB540" s="542">
        <v>0</v>
      </c>
      <c r="CC540" s="536"/>
      <c r="CD540" s="536"/>
      <c r="CE540" s="536"/>
      <c r="CF540" s="541">
        <f t="shared" si="217"/>
        <v>0</v>
      </c>
      <c r="CG540" s="536"/>
      <c r="CH540" s="536"/>
      <c r="CI540" s="536"/>
      <c r="CJ540" s="541">
        <f t="shared" si="218"/>
        <v>0</v>
      </c>
      <c r="CK540" s="536"/>
      <c r="CL540" s="536"/>
      <c r="CM540" s="536"/>
      <c r="CN540" s="541">
        <f t="shared" si="219"/>
        <v>0</v>
      </c>
      <c r="CO540" s="536"/>
      <c r="CP540" s="536"/>
      <c r="CQ540" s="536"/>
      <c r="CR540" s="541">
        <f t="shared" si="220"/>
        <v>0</v>
      </c>
      <c r="CS540" s="536"/>
      <c r="CT540" s="536"/>
      <c r="CU540" s="536"/>
      <c r="CV540" s="541">
        <f t="shared" si="221"/>
        <v>0</v>
      </c>
      <c r="CW540" s="536"/>
      <c r="CX540" s="536"/>
      <c r="CY540" s="536"/>
      <c r="CZ540" s="541">
        <f t="shared" si="222"/>
        <v>0</v>
      </c>
      <c r="DA540" s="536"/>
      <c r="DB540" s="536"/>
      <c r="DC540" s="536"/>
      <c r="DD540" s="541">
        <f t="shared" si="223"/>
        <v>0</v>
      </c>
      <c r="DE540" s="536"/>
      <c r="DF540" s="536"/>
      <c r="DG540" s="536"/>
      <c r="DH540" s="541">
        <f t="shared" si="224"/>
        <v>0</v>
      </c>
      <c r="DI540" s="536"/>
      <c r="DJ540" s="536"/>
      <c r="DK540" s="536"/>
      <c r="DL540" s="541">
        <f t="shared" si="225"/>
        <v>0</v>
      </c>
      <c r="DM540" s="536"/>
      <c r="DN540" s="536"/>
      <c r="DO540" s="536"/>
      <c r="DP540" s="541">
        <f>IF( SUM((DJ540*(20/100))+(DK540*(30/100))+(DL540*(50/100))) &gt;=9.3,9.5,
IF(AND( SUM((DJ540*(20/100))+(DK540*(30/100))+(DL540*(50/100))) &lt;=9.3, SUM((DJ540*(20/100))+(DK540*(30/100))+(DL540*(50/100))) &gt;=8.8),9,
IF(AND( SUM((DJ540*(20/100))+(DK540*(30/100))+(DL540*(50/100))) &lt;=8.8, SUM((DJ540*(20/100))+(DK540*(30/100))+(DL540*(50/100))) &gt;=8.3),8.5,
IF(AND( SUM((DJ540*(20/100))+(DK540*(30/100))+(DL540*(50/100))) &lt;=8.3, SUM((DJ540*(20/100))+(DK540*(30/100))+(DL540*(50/100))) &gt;=7.8),8,
IF(AND( SUM((DJ540*(20/100))+(DK540*(30/100))+(DL540*(50/100))) &lt;=7.8, SUM((DJ540*(20/100))+(DK540*(30/100))+(DL540*(50/100))) &gt;=7.3),7.5,
IF(AND( SUM((DJ540*(20/100))+(DK540*(30/100))+(DL540*(50/100))) &lt;=7.3, SUM((DJ540*(20/100))+(DK540*(30/100))+(DL540*(50/100))) &gt;=6.8),7,
IF(AND( SUM((DJ540*(20/100))+(DK540*(30/100))+(DL540*(50/100))) &lt;=6.8, SUM((DJ540*(20/100))+(DK540*(30/100))+(DL540*(50/100))) &gt;=6.3),6.5,
IF(AND( SUM((DJ540*(20/100))+(DK540*(30/100))+(DL540*(50/100))) &lt;=6.3, SUM((DJ540*(20/100))+(DK540*(30/100))+(DL540*(50/100))) &gt;=5.8),6,
IF(AND( SUM((DJ540*(20/100))+(DK540*(30/100))+(DL540*(50/100))) &lt;=5.8, SUM((DJ540*(20/100))+(DK540*(30/100))+(DL540*(50/100))) &gt;=5.3),5.5,
IF(AND( SUM((DJ540*(20/100))+(DK540*(30/100))+(DL540*(50/100))) &lt;=5.3, SUM((DJ540*(20/100))+(DK540*(30/100))+(DL540*(50/100))) &gt;=4.8),5,
IF(AND( SUM((DJ540*(20/100))+(DK540*(30/100))+(DL540*(50/100))) &lt;=4.8, SUM((DJ540*(20/100))+(DK540*(30/100))+(DL540*(50/100))) &gt;=4.3),4.5,
IF(AND( SUM((DJ540*(20/100))+(DK540*(30/100))+(DL540*(50/100))) &lt;=4.3, SUM((DJ540*(20/100))+(DK540*(30/100))+(DL540*(50/100))) &gt;=3.8),4,
IF(AND( SUM((DJ540*(20/100))+(DK540*(30/100))+(DL540*(50/100))) &lt;=3.8, SUM((DJ540*(20/100))+(DK540*(30/100))+(DL540*(50/100))) &gt;=3.5),3.5,0)))))))))))))</f>
        <v>0</v>
      </c>
      <c r="DQ540" s="541"/>
      <c r="DR540" s="541"/>
      <c r="DS540" s="541"/>
      <c r="DT540" s="541"/>
      <c r="DU540" s="541"/>
      <c r="DV540" s="541"/>
      <c r="DW540" s="541"/>
      <c r="DX540" s="541"/>
      <c r="DY540" s="541"/>
      <c r="DZ540" s="541"/>
    </row>
    <row r="541" spans="2:130" x14ac:dyDescent="0.25">
      <c r="B541" s="334">
        <v>34</v>
      </c>
      <c r="C541" s="541" t="s">
        <v>8617</v>
      </c>
      <c r="D541" s="334">
        <v>5</v>
      </c>
      <c r="E541" s="334">
        <v>8</v>
      </c>
      <c r="F541" s="334"/>
      <c r="G541" s="334">
        <v>8</v>
      </c>
      <c r="H541" s="334">
        <v>8</v>
      </c>
      <c r="I541" s="334">
        <v>8</v>
      </c>
      <c r="J541" s="536"/>
      <c r="K541" s="536"/>
      <c r="L541" s="536"/>
      <c r="M541" s="536"/>
      <c r="N541" s="536"/>
      <c r="O541" s="536"/>
      <c r="P541" s="536">
        <f t="shared" si="201"/>
        <v>0</v>
      </c>
      <c r="Q541" s="536"/>
      <c r="R541" s="536"/>
      <c r="S541" s="536"/>
      <c r="T541" s="536">
        <f t="shared" si="202"/>
        <v>0</v>
      </c>
      <c r="U541" s="536"/>
      <c r="V541" s="536"/>
      <c r="W541" s="536"/>
      <c r="X541" s="536">
        <f t="shared" si="203"/>
        <v>0</v>
      </c>
      <c r="Y541" s="536"/>
      <c r="Z541" s="536"/>
      <c r="AA541" s="536"/>
      <c r="AB541" s="536">
        <f t="shared" si="204"/>
        <v>0</v>
      </c>
      <c r="AC541" s="536"/>
      <c r="AD541" s="536"/>
      <c r="AE541" s="536"/>
      <c r="AF541" s="536">
        <f t="shared" si="205"/>
        <v>0</v>
      </c>
      <c r="AG541" s="536"/>
      <c r="AH541" s="536"/>
      <c r="AI541" s="536"/>
      <c r="AJ541" s="536">
        <f t="shared" si="206"/>
        <v>0</v>
      </c>
      <c r="AK541" s="536"/>
      <c r="AL541" s="536"/>
      <c r="AM541" s="536"/>
      <c r="AN541" s="542">
        <f t="shared" si="207"/>
        <v>0</v>
      </c>
      <c r="AO541" s="536"/>
      <c r="AP541" s="536"/>
      <c r="AQ541" s="536"/>
      <c r="AR541" s="542">
        <f t="shared" si="208"/>
        <v>0</v>
      </c>
      <c r="AS541" s="536"/>
      <c r="AT541" s="536"/>
      <c r="AU541" s="536"/>
      <c r="AV541" s="542">
        <f t="shared" si="209"/>
        <v>0</v>
      </c>
      <c r="AW541" s="536"/>
      <c r="AX541" s="536"/>
      <c r="AY541" s="536"/>
      <c r="AZ541" s="542">
        <f t="shared" si="210"/>
        <v>0</v>
      </c>
      <c r="BA541" s="536"/>
      <c r="BB541" s="536"/>
      <c r="BC541" s="536"/>
      <c r="BD541" s="542">
        <f t="shared" si="211"/>
        <v>0</v>
      </c>
      <c r="BE541" s="536"/>
      <c r="BF541" s="536"/>
      <c r="BG541" s="536"/>
      <c r="BH541" s="542">
        <f t="shared" si="212"/>
        <v>0</v>
      </c>
      <c r="BI541" s="536"/>
      <c r="BJ541" s="536"/>
      <c r="BK541" s="536"/>
      <c r="BL541" s="542">
        <f t="shared" si="213"/>
        <v>0</v>
      </c>
      <c r="BM541" s="536"/>
      <c r="BN541" s="536"/>
      <c r="BO541" s="536"/>
      <c r="BP541" s="542">
        <f t="shared" si="214"/>
        <v>0</v>
      </c>
      <c r="BQ541" s="536"/>
      <c r="BR541" s="536"/>
      <c r="BS541" s="536"/>
      <c r="BT541" s="542">
        <f t="shared" si="215"/>
        <v>0</v>
      </c>
      <c r="BU541" s="536"/>
      <c r="BV541" s="536"/>
      <c r="BW541" s="536"/>
      <c r="BX541" s="542">
        <f t="shared" si="216"/>
        <v>0</v>
      </c>
      <c r="BY541" s="536"/>
      <c r="BZ541" s="536"/>
      <c r="CA541" s="536"/>
      <c r="CB541" s="542">
        <v>0</v>
      </c>
      <c r="CC541" s="536"/>
      <c r="CD541" s="536"/>
      <c r="CE541" s="536"/>
      <c r="CF541" s="541">
        <f t="shared" si="217"/>
        <v>0</v>
      </c>
      <c r="CG541" s="536"/>
      <c r="CH541" s="536"/>
      <c r="CI541" s="536"/>
      <c r="CJ541" s="541">
        <f t="shared" si="218"/>
        <v>0</v>
      </c>
      <c r="CK541" s="536"/>
      <c r="CL541" s="536"/>
      <c r="CM541" s="536"/>
      <c r="CN541" s="541">
        <f t="shared" si="219"/>
        <v>0</v>
      </c>
      <c r="CO541" s="536"/>
      <c r="CP541" s="536"/>
      <c r="CQ541" s="536"/>
      <c r="CR541" s="541">
        <f t="shared" si="220"/>
        <v>0</v>
      </c>
      <c r="CS541" s="536"/>
      <c r="CT541" s="536"/>
      <c r="CU541" s="536"/>
      <c r="CV541" s="541">
        <f t="shared" si="221"/>
        <v>0</v>
      </c>
      <c r="CW541" s="536"/>
      <c r="CX541" s="536"/>
      <c r="CY541" s="536"/>
      <c r="CZ541" s="541">
        <f t="shared" si="222"/>
        <v>0</v>
      </c>
      <c r="DA541" s="536"/>
      <c r="DB541" s="536"/>
      <c r="DC541" s="536"/>
      <c r="DD541" s="541">
        <f t="shared" si="223"/>
        <v>0</v>
      </c>
      <c r="DE541" s="536"/>
      <c r="DF541" s="536"/>
      <c r="DG541" s="536"/>
      <c r="DH541" s="541">
        <f t="shared" si="224"/>
        <v>0</v>
      </c>
      <c r="DI541" s="536"/>
      <c r="DJ541" s="536"/>
      <c r="DK541" s="536"/>
      <c r="DL541" s="541">
        <f t="shared" si="225"/>
        <v>0</v>
      </c>
      <c r="DM541" s="536"/>
      <c r="DN541" s="536"/>
      <c r="DO541" s="536"/>
      <c r="DP541" s="541">
        <f>IF( SUM((DJ541*(20/100))+(DK541*(30/100))+(DL541*(50/100))) &gt;=9.3,9.5,
IF(AND( SUM((DJ541*(20/100))+(DK541*(30/100))+(DL541*(50/100))) &lt;=9.3, SUM((DJ541*(20/100))+(DK541*(30/100))+(DL541*(50/100))) &gt;=8.8),9,
IF(AND( SUM((DJ541*(20/100))+(DK541*(30/100))+(DL541*(50/100))) &lt;=8.8, SUM((DJ541*(20/100))+(DK541*(30/100))+(DL541*(50/100))) &gt;=8.3),8.5,
IF(AND( SUM((DJ541*(20/100))+(DK541*(30/100))+(DL541*(50/100))) &lt;=8.3, SUM((DJ541*(20/100))+(DK541*(30/100))+(DL541*(50/100))) &gt;=7.8),8,
IF(AND( SUM((DJ541*(20/100))+(DK541*(30/100))+(DL541*(50/100))) &lt;=7.8, SUM((DJ541*(20/100))+(DK541*(30/100))+(DL541*(50/100))) &gt;=7.3),7.5,
IF(AND( SUM((DJ541*(20/100))+(DK541*(30/100))+(DL541*(50/100))) &lt;=7.3, SUM((DJ541*(20/100))+(DK541*(30/100))+(DL541*(50/100))) &gt;=6.8),7,
IF(AND( SUM((DJ541*(20/100))+(DK541*(30/100))+(DL541*(50/100))) &lt;=6.8, SUM((DJ541*(20/100))+(DK541*(30/100))+(DL541*(50/100))) &gt;=6.3),6.5,
IF(AND( SUM((DJ541*(20/100))+(DK541*(30/100))+(DL541*(50/100))) &lt;=6.3, SUM((DJ541*(20/100))+(DK541*(30/100))+(DL541*(50/100))) &gt;=5.8),6,
IF(AND( SUM((DJ541*(20/100))+(DK541*(30/100))+(DL541*(50/100))) &lt;=5.8, SUM((DJ541*(20/100))+(DK541*(30/100))+(DL541*(50/100))) &gt;=5.3),5.5,
IF(AND( SUM((DJ541*(20/100))+(DK541*(30/100))+(DL541*(50/100))) &lt;=5.3, SUM((DJ541*(20/100))+(DK541*(30/100))+(DL541*(50/100))) &gt;=4.8),5,
IF(AND( SUM((DJ541*(20/100))+(DK541*(30/100))+(DL541*(50/100))) &lt;=4.8, SUM((DJ541*(20/100))+(DK541*(30/100))+(DL541*(50/100))) &gt;=4.3),4.5,
IF(AND( SUM((DJ541*(20/100))+(DK541*(30/100))+(DL541*(50/100))) &lt;=4.3, SUM((DJ541*(20/100))+(DK541*(30/100))+(DL541*(50/100))) &gt;=3.8),4,
IF(AND( SUM((DJ541*(20/100))+(DK541*(30/100))+(DL541*(50/100))) &lt;=3.8, SUM((DJ541*(20/100))+(DK541*(30/100))+(DL541*(50/100))) &gt;=3.5),3.5,0)))))))))))))</f>
        <v>0</v>
      </c>
      <c r="DQ541" s="541"/>
      <c r="DR541" s="541"/>
      <c r="DS541" s="541"/>
      <c r="DT541" s="541"/>
      <c r="DU541" s="541"/>
      <c r="DV541" s="541"/>
      <c r="DW541" s="541"/>
      <c r="DX541" s="541"/>
      <c r="DY541" s="541"/>
      <c r="DZ541" s="541"/>
    </row>
    <row r="542" spans="2:130" x14ac:dyDescent="0.25">
      <c r="B542" s="334">
        <v>35</v>
      </c>
      <c r="C542" s="541"/>
      <c r="D542" s="334"/>
      <c r="E542" s="334"/>
      <c r="F542" s="334"/>
      <c r="G542" s="334"/>
      <c r="H542" s="334"/>
      <c r="I542" s="334"/>
      <c r="J542" s="536"/>
      <c r="K542" s="536"/>
      <c r="L542" s="536"/>
      <c r="M542" s="536"/>
      <c r="N542" s="536"/>
      <c r="O542" s="536"/>
      <c r="P542" s="536">
        <f t="shared" si="201"/>
        <v>0</v>
      </c>
      <c r="Q542" s="536"/>
      <c r="R542" s="536"/>
      <c r="S542" s="536"/>
      <c r="T542" s="536">
        <f t="shared" si="202"/>
        <v>0</v>
      </c>
      <c r="U542" s="536"/>
      <c r="V542" s="536"/>
      <c r="W542" s="536"/>
      <c r="X542" s="536">
        <f t="shared" si="203"/>
        <v>0</v>
      </c>
      <c r="Y542" s="536"/>
      <c r="Z542" s="536"/>
      <c r="AA542" s="536"/>
      <c r="AB542" s="536">
        <f t="shared" si="204"/>
        <v>0</v>
      </c>
      <c r="AC542" s="536"/>
      <c r="AD542" s="536"/>
      <c r="AE542" s="536"/>
      <c r="AF542" s="536">
        <f t="shared" si="205"/>
        <v>0</v>
      </c>
      <c r="AG542" s="536"/>
      <c r="AH542" s="536"/>
      <c r="AI542" s="536"/>
      <c r="AJ542" s="536">
        <f t="shared" si="206"/>
        <v>0</v>
      </c>
      <c r="AK542" s="536"/>
      <c r="AL542" s="536"/>
      <c r="AM542" s="536"/>
      <c r="AN542" s="542">
        <f t="shared" si="207"/>
        <v>0</v>
      </c>
      <c r="AO542" s="536"/>
      <c r="AP542" s="536"/>
      <c r="AQ542" s="536"/>
      <c r="AR542" s="542">
        <f t="shared" si="208"/>
        <v>0</v>
      </c>
      <c r="AS542" s="536"/>
      <c r="AT542" s="536"/>
      <c r="AU542" s="536"/>
      <c r="AV542" s="542">
        <f t="shared" si="209"/>
        <v>0</v>
      </c>
      <c r="AW542" s="536"/>
      <c r="AX542" s="536"/>
      <c r="AY542" s="536"/>
      <c r="AZ542" s="542">
        <f t="shared" si="210"/>
        <v>0</v>
      </c>
      <c r="BA542" s="536"/>
      <c r="BB542" s="536"/>
      <c r="BC542" s="536"/>
      <c r="BD542" s="542">
        <f t="shared" si="211"/>
        <v>0</v>
      </c>
      <c r="BE542" s="536"/>
      <c r="BF542" s="536"/>
      <c r="BG542" s="536"/>
      <c r="BH542" s="542">
        <f t="shared" si="212"/>
        <v>0</v>
      </c>
      <c r="BI542" s="536"/>
      <c r="BJ542" s="536"/>
      <c r="BK542" s="536"/>
      <c r="BL542" s="542">
        <f t="shared" si="213"/>
        <v>0</v>
      </c>
      <c r="BM542" s="536"/>
      <c r="BN542" s="536"/>
      <c r="BO542" s="536"/>
      <c r="BP542" s="542">
        <f t="shared" si="214"/>
        <v>0</v>
      </c>
      <c r="BQ542" s="536"/>
      <c r="BR542" s="536"/>
      <c r="BS542" s="536"/>
      <c r="BT542" s="542">
        <f t="shared" si="215"/>
        <v>0</v>
      </c>
      <c r="BU542" s="536"/>
      <c r="BV542" s="536"/>
      <c r="BW542" s="536"/>
      <c r="BX542" s="542">
        <f t="shared" si="216"/>
        <v>0</v>
      </c>
      <c r="BY542" s="536"/>
      <c r="BZ542" s="536"/>
      <c r="CA542" s="536"/>
      <c r="CB542" s="542">
        <v>0</v>
      </c>
      <c r="CC542" s="536"/>
      <c r="CD542" s="536"/>
      <c r="CE542" s="536"/>
      <c r="CF542" s="541">
        <f t="shared" si="217"/>
        <v>0</v>
      </c>
      <c r="CG542" s="536"/>
      <c r="CH542" s="536"/>
      <c r="CI542" s="536"/>
      <c r="CJ542" s="541">
        <f t="shared" si="218"/>
        <v>0</v>
      </c>
      <c r="CK542" s="536"/>
      <c r="CL542" s="536"/>
      <c r="CM542" s="536"/>
      <c r="CN542" s="541">
        <f t="shared" si="219"/>
        <v>0</v>
      </c>
      <c r="CO542" s="536"/>
      <c r="CP542" s="536"/>
      <c r="CQ542" s="536"/>
      <c r="CR542" s="541">
        <f t="shared" si="220"/>
        <v>0</v>
      </c>
      <c r="CS542" s="536"/>
      <c r="CT542" s="536"/>
      <c r="CU542" s="536"/>
      <c r="CV542" s="541">
        <f t="shared" si="221"/>
        <v>0</v>
      </c>
      <c r="CW542" s="536"/>
      <c r="CX542" s="536"/>
      <c r="CY542" s="536"/>
      <c r="CZ542" s="541">
        <f t="shared" si="222"/>
        <v>0</v>
      </c>
      <c r="DA542" s="536"/>
      <c r="DB542" s="536"/>
      <c r="DC542" s="536"/>
      <c r="DD542" s="541">
        <f t="shared" si="223"/>
        <v>0</v>
      </c>
      <c r="DE542" s="536"/>
      <c r="DF542" s="536"/>
      <c r="DG542" s="536"/>
      <c r="DH542" s="541">
        <f t="shared" si="224"/>
        <v>0</v>
      </c>
      <c r="DI542" s="536"/>
      <c r="DJ542" s="536"/>
      <c r="DK542" s="536"/>
      <c r="DL542" s="541">
        <f t="shared" si="225"/>
        <v>0</v>
      </c>
      <c r="DM542" s="536"/>
      <c r="DN542" s="536"/>
      <c r="DO542" s="536"/>
      <c r="DP542" s="541">
        <f>IF( SUM((DJ542*(20/100))+(DK542*(30/100))+(DL542*(50/100))) &gt;=9.3,9.5,
IF(AND( SUM((DJ542*(20/100))+(DK542*(30/100))+(DL542*(50/100))) &lt;=9.3, SUM((DJ542*(20/100))+(DK542*(30/100))+(DL542*(50/100))) &gt;=8.8),9,
IF(AND( SUM((DJ542*(20/100))+(DK542*(30/100))+(DL542*(50/100))) &lt;=8.8, SUM((DJ542*(20/100))+(DK542*(30/100))+(DL542*(50/100))) &gt;=8.3),8.5,
IF(AND( SUM((DJ542*(20/100))+(DK542*(30/100))+(DL542*(50/100))) &lt;=8.3, SUM((DJ542*(20/100))+(DK542*(30/100))+(DL542*(50/100))) &gt;=7.8),8,
IF(AND( SUM((DJ542*(20/100))+(DK542*(30/100))+(DL542*(50/100))) &lt;=7.8, SUM((DJ542*(20/100))+(DK542*(30/100))+(DL542*(50/100))) &gt;=7.3),7.5,
IF(AND( SUM((DJ542*(20/100))+(DK542*(30/100))+(DL542*(50/100))) &lt;=7.3, SUM((DJ542*(20/100))+(DK542*(30/100))+(DL542*(50/100))) &gt;=6.8),7,
IF(AND( SUM((DJ542*(20/100))+(DK542*(30/100))+(DL542*(50/100))) &lt;=6.8, SUM((DJ542*(20/100))+(DK542*(30/100))+(DL542*(50/100))) &gt;=6.3),6.5,
IF(AND( SUM((DJ542*(20/100))+(DK542*(30/100))+(DL542*(50/100))) &lt;=6.3, SUM((DJ542*(20/100))+(DK542*(30/100))+(DL542*(50/100))) &gt;=5.8),6,
IF(AND( SUM((DJ542*(20/100))+(DK542*(30/100))+(DL542*(50/100))) &lt;=5.8, SUM((DJ542*(20/100))+(DK542*(30/100))+(DL542*(50/100))) &gt;=5.3),5.5,
IF(AND( SUM((DJ542*(20/100))+(DK542*(30/100))+(DL542*(50/100))) &lt;=5.3, SUM((DJ542*(20/100))+(DK542*(30/100))+(DL542*(50/100))) &gt;=4.8),5,
IF(AND( SUM((DJ542*(20/100))+(DK542*(30/100))+(DL542*(50/100))) &lt;=4.8, SUM((DJ542*(20/100))+(DK542*(30/100))+(DL542*(50/100))) &gt;=4.3),4.5,
IF(AND( SUM((DJ542*(20/100))+(DK542*(30/100))+(DL542*(50/100))) &lt;=4.3, SUM((DJ542*(20/100))+(DK542*(30/100))+(DL542*(50/100))) &gt;=3.8),4,
IF(AND( SUM((DJ542*(20/100))+(DK542*(30/100))+(DL542*(50/100))) &lt;=3.8, SUM((DJ542*(20/100))+(DK542*(30/100))+(DL542*(50/100))) &gt;=3.5),3.5,0)))))))))))))</f>
        <v>0</v>
      </c>
      <c r="DQ542" s="541"/>
      <c r="DR542" s="541"/>
      <c r="DS542" s="541"/>
      <c r="DT542" s="541"/>
      <c r="DU542" s="541"/>
      <c r="DV542" s="541"/>
      <c r="DW542" s="541"/>
      <c r="DX542" s="541"/>
      <c r="DY542" s="541"/>
      <c r="DZ542" s="541"/>
    </row>
    <row r="543" spans="2:130" x14ac:dyDescent="0.25">
      <c r="B543" s="334">
        <v>36</v>
      </c>
      <c r="C543" s="541"/>
      <c r="D543" s="334"/>
      <c r="E543" s="334"/>
      <c r="F543" s="334"/>
      <c r="G543" s="334"/>
      <c r="H543" s="334"/>
      <c r="I543" s="334"/>
      <c r="J543" s="536"/>
      <c r="K543" s="536"/>
      <c r="L543" s="536"/>
      <c r="M543" s="536"/>
      <c r="N543" s="536"/>
      <c r="O543" s="536"/>
      <c r="P543" s="536">
        <f t="shared" si="201"/>
        <v>0</v>
      </c>
      <c r="Q543" s="536"/>
      <c r="R543" s="536"/>
      <c r="S543" s="536"/>
      <c r="T543" s="536">
        <f t="shared" si="202"/>
        <v>0</v>
      </c>
      <c r="U543" s="536"/>
      <c r="V543" s="536"/>
      <c r="W543" s="536"/>
      <c r="X543" s="536">
        <f t="shared" si="203"/>
        <v>0</v>
      </c>
      <c r="Y543" s="536"/>
      <c r="Z543" s="536"/>
      <c r="AA543" s="536"/>
      <c r="AB543" s="536">
        <f t="shared" si="204"/>
        <v>0</v>
      </c>
      <c r="AC543" s="536"/>
      <c r="AD543" s="536"/>
      <c r="AE543" s="536"/>
      <c r="AF543" s="536">
        <f t="shared" si="205"/>
        <v>0</v>
      </c>
      <c r="AG543" s="536"/>
      <c r="AH543" s="536"/>
      <c r="AI543" s="536"/>
      <c r="AJ543" s="536">
        <f t="shared" si="206"/>
        <v>0</v>
      </c>
      <c r="AK543" s="536"/>
      <c r="AL543" s="536"/>
      <c r="AM543" s="536"/>
      <c r="AN543" s="542">
        <f t="shared" si="207"/>
        <v>0</v>
      </c>
      <c r="AO543" s="536"/>
      <c r="AP543" s="536"/>
      <c r="AQ543" s="536"/>
      <c r="AR543" s="542">
        <f t="shared" si="208"/>
        <v>0</v>
      </c>
      <c r="AS543" s="536"/>
      <c r="AT543" s="536"/>
      <c r="AU543" s="536"/>
      <c r="AV543" s="542">
        <f t="shared" si="209"/>
        <v>0</v>
      </c>
      <c r="AW543" s="536"/>
      <c r="AX543" s="536"/>
      <c r="AY543" s="536"/>
      <c r="AZ543" s="542">
        <f t="shared" si="210"/>
        <v>0</v>
      </c>
      <c r="BA543" s="536"/>
      <c r="BB543" s="536"/>
      <c r="BC543" s="536"/>
      <c r="BD543" s="542">
        <f t="shared" si="211"/>
        <v>0</v>
      </c>
      <c r="BE543" s="536"/>
      <c r="BF543" s="536"/>
      <c r="BG543" s="536"/>
      <c r="BH543" s="542">
        <f t="shared" si="212"/>
        <v>0</v>
      </c>
      <c r="BI543" s="536"/>
      <c r="BJ543" s="536"/>
      <c r="BK543" s="536"/>
      <c r="BL543" s="542">
        <f t="shared" si="213"/>
        <v>0</v>
      </c>
      <c r="BM543" s="536"/>
      <c r="BN543" s="536"/>
      <c r="BO543" s="536"/>
      <c r="BP543" s="542">
        <f t="shared" si="214"/>
        <v>0</v>
      </c>
      <c r="BQ543" s="536"/>
      <c r="BR543" s="536"/>
      <c r="BS543" s="536"/>
      <c r="BT543" s="542">
        <f t="shared" si="215"/>
        <v>0</v>
      </c>
      <c r="BU543" s="536"/>
      <c r="BV543" s="536"/>
      <c r="BW543" s="536"/>
      <c r="BX543" s="542">
        <f t="shared" si="216"/>
        <v>0</v>
      </c>
      <c r="BY543" s="536"/>
      <c r="BZ543" s="536"/>
      <c r="CA543" s="536"/>
      <c r="CB543" s="542">
        <v>0</v>
      </c>
      <c r="CC543" s="536"/>
      <c r="CD543" s="536"/>
      <c r="CE543" s="536"/>
      <c r="CF543" s="541">
        <f t="shared" si="217"/>
        <v>0</v>
      </c>
      <c r="CG543" s="536"/>
      <c r="CH543" s="536"/>
      <c r="CI543" s="536"/>
      <c r="CJ543" s="541">
        <f t="shared" si="218"/>
        <v>0</v>
      </c>
      <c r="CK543" s="536"/>
      <c r="CL543" s="536"/>
      <c r="CM543" s="536"/>
      <c r="CN543" s="541">
        <f t="shared" si="219"/>
        <v>0</v>
      </c>
      <c r="CO543" s="536"/>
      <c r="CP543" s="536"/>
      <c r="CQ543" s="536"/>
      <c r="CR543" s="541">
        <f t="shared" si="220"/>
        <v>0</v>
      </c>
      <c r="CS543" s="536"/>
      <c r="CT543" s="536"/>
      <c r="CU543" s="536"/>
      <c r="CV543" s="541">
        <f t="shared" si="221"/>
        <v>0</v>
      </c>
      <c r="CW543" s="536"/>
      <c r="CX543" s="536"/>
      <c r="CY543" s="536"/>
      <c r="CZ543" s="541">
        <f t="shared" si="222"/>
        <v>0</v>
      </c>
      <c r="DA543" s="536"/>
      <c r="DB543" s="536"/>
      <c r="DC543" s="536"/>
      <c r="DD543" s="541">
        <f t="shared" si="223"/>
        <v>0</v>
      </c>
      <c r="DE543" s="536"/>
      <c r="DF543" s="536"/>
      <c r="DG543" s="536"/>
      <c r="DH543" s="541">
        <f t="shared" si="224"/>
        <v>0</v>
      </c>
      <c r="DI543" s="536"/>
      <c r="DJ543" s="536"/>
      <c r="DK543" s="536"/>
      <c r="DL543" s="541">
        <f t="shared" si="225"/>
        <v>0</v>
      </c>
      <c r="DM543" s="536"/>
      <c r="DN543" s="536"/>
      <c r="DO543" s="536"/>
      <c r="DP543" s="541">
        <f>IF( SUM((DJ543*(20/100))+(DK543*(30/100))+(DL543*(50/100))) &gt;=9.3,9.5,
IF(AND( SUM((DJ543*(20/100))+(DK543*(30/100))+(DL543*(50/100))) &lt;=9.3, SUM((DJ543*(20/100))+(DK543*(30/100))+(DL543*(50/100))) &gt;=8.8),9,
IF(AND( SUM((DJ543*(20/100))+(DK543*(30/100))+(DL543*(50/100))) &lt;=8.8, SUM((DJ543*(20/100))+(DK543*(30/100))+(DL543*(50/100))) &gt;=8.3),8.5,
IF(AND( SUM((DJ543*(20/100))+(DK543*(30/100))+(DL543*(50/100))) &lt;=8.3, SUM((DJ543*(20/100))+(DK543*(30/100))+(DL543*(50/100))) &gt;=7.8),8,
IF(AND( SUM((DJ543*(20/100))+(DK543*(30/100))+(DL543*(50/100))) &lt;=7.8, SUM((DJ543*(20/100))+(DK543*(30/100))+(DL543*(50/100))) &gt;=7.3),7.5,
IF(AND( SUM((DJ543*(20/100))+(DK543*(30/100))+(DL543*(50/100))) &lt;=7.3, SUM((DJ543*(20/100))+(DK543*(30/100))+(DL543*(50/100))) &gt;=6.8),7,
IF(AND( SUM((DJ543*(20/100))+(DK543*(30/100))+(DL543*(50/100))) &lt;=6.8, SUM((DJ543*(20/100))+(DK543*(30/100))+(DL543*(50/100))) &gt;=6.3),6.5,
IF(AND( SUM((DJ543*(20/100))+(DK543*(30/100))+(DL543*(50/100))) &lt;=6.3, SUM((DJ543*(20/100))+(DK543*(30/100))+(DL543*(50/100))) &gt;=5.8),6,
IF(AND( SUM((DJ543*(20/100))+(DK543*(30/100))+(DL543*(50/100))) &lt;=5.8, SUM((DJ543*(20/100))+(DK543*(30/100))+(DL543*(50/100))) &gt;=5.3),5.5,
IF(AND( SUM((DJ543*(20/100))+(DK543*(30/100))+(DL543*(50/100))) &lt;=5.3, SUM((DJ543*(20/100))+(DK543*(30/100))+(DL543*(50/100))) &gt;=4.8),5,
IF(AND( SUM((DJ543*(20/100))+(DK543*(30/100))+(DL543*(50/100))) &lt;=4.8, SUM((DJ543*(20/100))+(DK543*(30/100))+(DL543*(50/100))) &gt;=4.3),4.5,
IF(AND( SUM((DJ543*(20/100))+(DK543*(30/100))+(DL543*(50/100))) &lt;=4.3, SUM((DJ543*(20/100))+(DK543*(30/100))+(DL543*(50/100))) &gt;=3.8),4,
IF(AND( SUM((DJ543*(20/100))+(DK543*(30/100))+(DL543*(50/100))) &lt;=3.8, SUM((DJ543*(20/100))+(DK543*(30/100))+(DL543*(50/100))) &gt;=3.5),3.5,0)))))))))))))</f>
        <v>0</v>
      </c>
      <c r="DQ543" s="541"/>
      <c r="DR543" s="541"/>
      <c r="DS543" s="541"/>
      <c r="DT543" s="541"/>
      <c r="DU543" s="541"/>
      <c r="DV543" s="541"/>
      <c r="DW543" s="541"/>
      <c r="DX543" s="541"/>
      <c r="DY543" s="541"/>
      <c r="DZ543" s="541"/>
    </row>
    <row r="544" spans="2:130" x14ac:dyDescent="0.25">
      <c r="B544" s="334">
        <v>37</v>
      </c>
      <c r="C544" s="541"/>
      <c r="D544" s="334"/>
      <c r="E544" s="334"/>
      <c r="F544" s="334"/>
      <c r="G544" s="334"/>
      <c r="H544" s="334"/>
      <c r="I544" s="334"/>
      <c r="J544" s="536"/>
      <c r="K544" s="536"/>
      <c r="L544" s="536"/>
      <c r="M544" s="536"/>
      <c r="N544" s="536"/>
      <c r="O544" s="536"/>
      <c r="P544" s="536">
        <f t="shared" si="201"/>
        <v>0</v>
      </c>
      <c r="Q544" s="536"/>
      <c r="R544" s="536"/>
      <c r="S544" s="536"/>
      <c r="T544" s="536">
        <f t="shared" si="202"/>
        <v>0</v>
      </c>
      <c r="U544" s="536"/>
      <c r="V544" s="536"/>
      <c r="W544" s="536"/>
      <c r="X544" s="536">
        <f t="shared" si="203"/>
        <v>0</v>
      </c>
      <c r="Y544" s="536"/>
      <c r="Z544" s="536"/>
      <c r="AA544" s="536"/>
      <c r="AB544" s="536">
        <f t="shared" si="204"/>
        <v>0</v>
      </c>
      <c r="AC544" s="536"/>
      <c r="AD544" s="536"/>
      <c r="AE544" s="536"/>
      <c r="AF544" s="536">
        <f t="shared" si="205"/>
        <v>0</v>
      </c>
      <c r="AG544" s="536"/>
      <c r="AH544" s="536"/>
      <c r="AI544" s="536"/>
      <c r="AJ544" s="536">
        <f t="shared" si="206"/>
        <v>0</v>
      </c>
      <c r="AK544" s="536"/>
      <c r="AL544" s="536"/>
      <c r="AM544" s="536"/>
      <c r="AN544" s="542">
        <f t="shared" si="207"/>
        <v>0</v>
      </c>
      <c r="AO544" s="536"/>
      <c r="AP544" s="536"/>
      <c r="AQ544" s="536"/>
      <c r="AR544" s="542">
        <f t="shared" si="208"/>
        <v>0</v>
      </c>
      <c r="AS544" s="536"/>
      <c r="AT544" s="536"/>
      <c r="AU544" s="536"/>
      <c r="AV544" s="542">
        <f t="shared" si="209"/>
        <v>0</v>
      </c>
      <c r="AW544" s="536"/>
      <c r="AX544" s="536"/>
      <c r="AY544" s="536"/>
      <c r="AZ544" s="542">
        <f t="shared" si="210"/>
        <v>0</v>
      </c>
      <c r="BA544" s="536"/>
      <c r="BB544" s="536"/>
      <c r="BC544" s="536"/>
      <c r="BD544" s="542">
        <f t="shared" si="211"/>
        <v>0</v>
      </c>
      <c r="BE544" s="536"/>
      <c r="BF544" s="536"/>
      <c r="BG544" s="536"/>
      <c r="BH544" s="542">
        <f t="shared" si="212"/>
        <v>0</v>
      </c>
      <c r="BI544" s="536"/>
      <c r="BJ544" s="536"/>
      <c r="BK544" s="536"/>
      <c r="BL544" s="542">
        <f t="shared" si="213"/>
        <v>0</v>
      </c>
      <c r="BM544" s="536"/>
      <c r="BN544" s="536"/>
      <c r="BO544" s="536"/>
      <c r="BP544" s="542">
        <f t="shared" si="214"/>
        <v>0</v>
      </c>
      <c r="BQ544" s="536"/>
      <c r="BR544" s="536"/>
      <c r="BS544" s="536"/>
      <c r="BT544" s="542">
        <f t="shared" si="215"/>
        <v>0</v>
      </c>
      <c r="BU544" s="536"/>
      <c r="BV544" s="536"/>
      <c r="BW544" s="536"/>
      <c r="BX544" s="542">
        <f t="shared" si="216"/>
        <v>0</v>
      </c>
      <c r="BY544" s="536"/>
      <c r="BZ544" s="536"/>
      <c r="CA544" s="536"/>
      <c r="CB544" s="542">
        <v>0</v>
      </c>
      <c r="CC544" s="536"/>
      <c r="CD544" s="536"/>
      <c r="CE544" s="536"/>
      <c r="CF544" s="541">
        <f t="shared" si="217"/>
        <v>0</v>
      </c>
      <c r="CG544" s="536"/>
      <c r="CH544" s="536"/>
      <c r="CI544" s="536"/>
      <c r="CJ544" s="541">
        <f t="shared" si="218"/>
        <v>0</v>
      </c>
      <c r="CK544" s="536"/>
      <c r="CL544" s="536"/>
      <c r="CM544" s="536"/>
      <c r="CN544" s="541">
        <f t="shared" si="219"/>
        <v>0</v>
      </c>
      <c r="CO544" s="536"/>
      <c r="CP544" s="536"/>
      <c r="CQ544" s="536"/>
      <c r="CR544" s="541">
        <f t="shared" si="220"/>
        <v>0</v>
      </c>
      <c r="CS544" s="536"/>
      <c r="CT544" s="536"/>
      <c r="CU544" s="536"/>
      <c r="CV544" s="541">
        <f t="shared" si="221"/>
        <v>0</v>
      </c>
      <c r="CW544" s="536"/>
      <c r="CX544" s="536"/>
      <c r="CY544" s="536"/>
      <c r="CZ544" s="541">
        <f t="shared" si="222"/>
        <v>0</v>
      </c>
      <c r="DA544" s="536"/>
      <c r="DB544" s="536"/>
      <c r="DC544" s="536"/>
      <c r="DD544" s="541">
        <f t="shared" si="223"/>
        <v>0</v>
      </c>
      <c r="DE544" s="536"/>
      <c r="DF544" s="536"/>
      <c r="DG544" s="536"/>
      <c r="DH544" s="541">
        <f t="shared" si="224"/>
        <v>0</v>
      </c>
      <c r="DI544" s="536"/>
      <c r="DJ544" s="536"/>
      <c r="DK544" s="536"/>
      <c r="DL544" s="541">
        <f t="shared" si="225"/>
        <v>0</v>
      </c>
      <c r="DM544" s="536"/>
      <c r="DN544" s="536"/>
      <c r="DO544" s="536"/>
      <c r="DP544" s="541">
        <f>IF( SUM((DJ544*(20/100))+(DK544*(30/100))+(DL544*(50/100))) &gt;=9.3,9.5,
IF(AND( SUM((DJ544*(20/100))+(DK544*(30/100))+(DL544*(50/100))) &lt;=9.3, SUM((DJ544*(20/100))+(DK544*(30/100))+(DL544*(50/100))) &gt;=8.8),9,
IF(AND( SUM((DJ544*(20/100))+(DK544*(30/100))+(DL544*(50/100))) &lt;=8.8, SUM((DJ544*(20/100))+(DK544*(30/100))+(DL544*(50/100))) &gt;=8.3),8.5,
IF(AND( SUM((DJ544*(20/100))+(DK544*(30/100))+(DL544*(50/100))) &lt;=8.3, SUM((DJ544*(20/100))+(DK544*(30/100))+(DL544*(50/100))) &gt;=7.8),8,
IF(AND( SUM((DJ544*(20/100))+(DK544*(30/100))+(DL544*(50/100))) &lt;=7.8, SUM((DJ544*(20/100))+(DK544*(30/100))+(DL544*(50/100))) &gt;=7.3),7.5,
IF(AND( SUM((DJ544*(20/100))+(DK544*(30/100))+(DL544*(50/100))) &lt;=7.3, SUM((DJ544*(20/100))+(DK544*(30/100))+(DL544*(50/100))) &gt;=6.8),7,
IF(AND( SUM((DJ544*(20/100))+(DK544*(30/100))+(DL544*(50/100))) &lt;=6.8, SUM((DJ544*(20/100))+(DK544*(30/100))+(DL544*(50/100))) &gt;=6.3),6.5,
IF(AND( SUM((DJ544*(20/100))+(DK544*(30/100))+(DL544*(50/100))) &lt;=6.3, SUM((DJ544*(20/100))+(DK544*(30/100))+(DL544*(50/100))) &gt;=5.8),6,
IF(AND( SUM((DJ544*(20/100))+(DK544*(30/100))+(DL544*(50/100))) &lt;=5.8, SUM((DJ544*(20/100))+(DK544*(30/100))+(DL544*(50/100))) &gt;=5.3),5.5,
IF(AND( SUM((DJ544*(20/100))+(DK544*(30/100))+(DL544*(50/100))) &lt;=5.3, SUM((DJ544*(20/100))+(DK544*(30/100))+(DL544*(50/100))) &gt;=4.8),5,
IF(AND( SUM((DJ544*(20/100))+(DK544*(30/100))+(DL544*(50/100))) &lt;=4.8, SUM((DJ544*(20/100))+(DK544*(30/100))+(DL544*(50/100))) &gt;=4.3),4.5,
IF(AND( SUM((DJ544*(20/100))+(DK544*(30/100))+(DL544*(50/100))) &lt;=4.3, SUM((DJ544*(20/100))+(DK544*(30/100))+(DL544*(50/100))) &gt;=3.8),4,
IF(AND( SUM((DJ544*(20/100))+(DK544*(30/100))+(DL544*(50/100))) &lt;=3.8, SUM((DJ544*(20/100))+(DK544*(30/100))+(DL544*(50/100))) &gt;=3.5),3.5,0)))))))))))))</f>
        <v>0</v>
      </c>
      <c r="DQ544" s="541"/>
      <c r="DR544" s="541"/>
      <c r="DS544" s="541"/>
      <c r="DT544" s="541"/>
      <c r="DU544" s="541"/>
      <c r="DV544" s="541"/>
      <c r="DW544" s="541"/>
      <c r="DX544" s="541"/>
      <c r="DY544" s="541"/>
      <c r="DZ544" s="541"/>
    </row>
    <row r="545" spans="2:130" x14ac:dyDescent="0.25">
      <c r="B545" s="334">
        <v>38</v>
      </c>
      <c r="C545" s="541"/>
      <c r="D545" s="334"/>
      <c r="E545" s="334"/>
      <c r="F545" s="334"/>
      <c r="G545" s="334"/>
      <c r="H545" s="334"/>
      <c r="I545" s="334"/>
      <c r="J545" s="536"/>
      <c r="K545" s="536"/>
      <c r="L545" s="536"/>
      <c r="M545" s="536"/>
      <c r="N545" s="536"/>
      <c r="O545" s="536"/>
      <c r="P545" s="536">
        <f t="shared" si="201"/>
        <v>0</v>
      </c>
      <c r="Q545" s="536"/>
      <c r="R545" s="536"/>
      <c r="S545" s="536"/>
      <c r="T545" s="536">
        <f t="shared" si="202"/>
        <v>0</v>
      </c>
      <c r="U545" s="536"/>
      <c r="V545" s="536"/>
      <c r="W545" s="536"/>
      <c r="X545" s="536">
        <f t="shared" si="203"/>
        <v>0</v>
      </c>
      <c r="Y545" s="536"/>
      <c r="Z545" s="536"/>
      <c r="AA545" s="536"/>
      <c r="AB545" s="536">
        <f t="shared" si="204"/>
        <v>0</v>
      </c>
      <c r="AC545" s="536"/>
      <c r="AD545" s="536"/>
      <c r="AE545" s="536"/>
      <c r="AF545" s="536">
        <f t="shared" si="205"/>
        <v>0</v>
      </c>
      <c r="AG545" s="536"/>
      <c r="AH545" s="536"/>
      <c r="AI545" s="536"/>
      <c r="AJ545" s="536">
        <f t="shared" si="206"/>
        <v>0</v>
      </c>
      <c r="AK545" s="536"/>
      <c r="AL545" s="536"/>
      <c r="AM545" s="536"/>
      <c r="AN545" s="542">
        <f t="shared" si="207"/>
        <v>0</v>
      </c>
      <c r="AO545" s="536"/>
      <c r="AP545" s="536"/>
      <c r="AQ545" s="536"/>
      <c r="AR545" s="542">
        <f t="shared" si="208"/>
        <v>0</v>
      </c>
      <c r="AS545" s="536"/>
      <c r="AT545" s="536"/>
      <c r="AU545" s="536"/>
      <c r="AV545" s="542">
        <f t="shared" si="209"/>
        <v>0</v>
      </c>
      <c r="AW545" s="536"/>
      <c r="AX545" s="536"/>
      <c r="AY545" s="536"/>
      <c r="AZ545" s="542">
        <f t="shared" si="210"/>
        <v>0</v>
      </c>
      <c r="BA545" s="536"/>
      <c r="BB545" s="536"/>
      <c r="BC545" s="536"/>
      <c r="BD545" s="542">
        <f t="shared" si="211"/>
        <v>0</v>
      </c>
      <c r="BE545" s="536"/>
      <c r="BF545" s="536"/>
      <c r="BG545" s="536"/>
      <c r="BH545" s="542">
        <f t="shared" si="212"/>
        <v>0</v>
      </c>
      <c r="BI545" s="536"/>
      <c r="BJ545" s="536"/>
      <c r="BK545" s="536"/>
      <c r="BL545" s="542">
        <f t="shared" si="213"/>
        <v>0</v>
      </c>
      <c r="BM545" s="536"/>
      <c r="BN545" s="536"/>
      <c r="BO545" s="536"/>
      <c r="BP545" s="542">
        <f t="shared" si="214"/>
        <v>0</v>
      </c>
      <c r="BQ545" s="536"/>
      <c r="BR545" s="536"/>
      <c r="BS545" s="536"/>
      <c r="BT545" s="542">
        <f t="shared" si="215"/>
        <v>0</v>
      </c>
      <c r="BU545" s="536"/>
      <c r="BV545" s="536"/>
      <c r="BW545" s="536"/>
      <c r="BX545" s="542">
        <f t="shared" si="216"/>
        <v>0</v>
      </c>
      <c r="BY545" s="536"/>
      <c r="BZ545" s="536"/>
      <c r="CA545" s="536"/>
      <c r="CB545" s="542">
        <v>0</v>
      </c>
      <c r="CC545" s="536"/>
      <c r="CD545" s="536"/>
      <c r="CE545" s="536"/>
      <c r="CF545" s="541">
        <f t="shared" si="217"/>
        <v>0</v>
      </c>
      <c r="CG545" s="536"/>
      <c r="CH545" s="536"/>
      <c r="CI545" s="536"/>
      <c r="CJ545" s="541">
        <f t="shared" si="218"/>
        <v>0</v>
      </c>
      <c r="CK545" s="536"/>
      <c r="CL545" s="536"/>
      <c r="CM545" s="536"/>
      <c r="CN545" s="541">
        <f t="shared" si="219"/>
        <v>0</v>
      </c>
      <c r="CO545" s="536"/>
      <c r="CP545" s="536"/>
      <c r="CQ545" s="536"/>
      <c r="CR545" s="541">
        <f t="shared" si="220"/>
        <v>0</v>
      </c>
      <c r="CS545" s="536"/>
      <c r="CT545" s="536"/>
      <c r="CU545" s="536"/>
      <c r="CV545" s="541">
        <f t="shared" si="221"/>
        <v>0</v>
      </c>
      <c r="CW545" s="536"/>
      <c r="CX545" s="536"/>
      <c r="CY545" s="536"/>
      <c r="CZ545" s="541">
        <f t="shared" si="222"/>
        <v>0</v>
      </c>
      <c r="DA545" s="536"/>
      <c r="DB545" s="536"/>
      <c r="DC545" s="536"/>
      <c r="DD545" s="541">
        <f t="shared" si="223"/>
        <v>0</v>
      </c>
      <c r="DE545" s="536"/>
      <c r="DF545" s="536"/>
      <c r="DG545" s="536"/>
      <c r="DH545" s="541">
        <f t="shared" si="224"/>
        <v>0</v>
      </c>
      <c r="DI545" s="536"/>
      <c r="DJ545" s="536"/>
      <c r="DK545" s="536"/>
      <c r="DL545" s="541">
        <f t="shared" si="225"/>
        <v>0</v>
      </c>
      <c r="DM545" s="536"/>
      <c r="DN545" s="536"/>
      <c r="DO545" s="536"/>
      <c r="DP545" s="541">
        <f>IF( SUM((DJ545*(20/100))+(DK545*(30/100))+(DL545*(50/100))) &gt;=9.3,9.5,
IF(AND( SUM((DJ545*(20/100))+(DK545*(30/100))+(DL545*(50/100))) &lt;=9.3, SUM((DJ545*(20/100))+(DK545*(30/100))+(DL545*(50/100))) &gt;=8.8),9,
IF(AND( SUM((DJ545*(20/100))+(DK545*(30/100))+(DL545*(50/100))) &lt;=8.8, SUM((DJ545*(20/100))+(DK545*(30/100))+(DL545*(50/100))) &gt;=8.3),8.5,
IF(AND( SUM((DJ545*(20/100))+(DK545*(30/100))+(DL545*(50/100))) &lt;=8.3, SUM((DJ545*(20/100))+(DK545*(30/100))+(DL545*(50/100))) &gt;=7.8),8,
IF(AND( SUM((DJ545*(20/100))+(DK545*(30/100))+(DL545*(50/100))) &lt;=7.8, SUM((DJ545*(20/100))+(DK545*(30/100))+(DL545*(50/100))) &gt;=7.3),7.5,
IF(AND( SUM((DJ545*(20/100))+(DK545*(30/100))+(DL545*(50/100))) &lt;=7.3, SUM((DJ545*(20/100))+(DK545*(30/100))+(DL545*(50/100))) &gt;=6.8),7,
IF(AND( SUM((DJ545*(20/100))+(DK545*(30/100))+(DL545*(50/100))) &lt;=6.8, SUM((DJ545*(20/100))+(DK545*(30/100))+(DL545*(50/100))) &gt;=6.3),6.5,
IF(AND( SUM((DJ545*(20/100))+(DK545*(30/100))+(DL545*(50/100))) &lt;=6.3, SUM((DJ545*(20/100))+(DK545*(30/100))+(DL545*(50/100))) &gt;=5.8),6,
IF(AND( SUM((DJ545*(20/100))+(DK545*(30/100))+(DL545*(50/100))) &lt;=5.8, SUM((DJ545*(20/100))+(DK545*(30/100))+(DL545*(50/100))) &gt;=5.3),5.5,
IF(AND( SUM((DJ545*(20/100))+(DK545*(30/100))+(DL545*(50/100))) &lt;=5.3, SUM((DJ545*(20/100))+(DK545*(30/100))+(DL545*(50/100))) &gt;=4.8),5,
IF(AND( SUM((DJ545*(20/100))+(DK545*(30/100))+(DL545*(50/100))) &lt;=4.8, SUM((DJ545*(20/100))+(DK545*(30/100))+(DL545*(50/100))) &gt;=4.3),4.5,
IF(AND( SUM((DJ545*(20/100))+(DK545*(30/100))+(DL545*(50/100))) &lt;=4.3, SUM((DJ545*(20/100))+(DK545*(30/100))+(DL545*(50/100))) &gt;=3.8),4,
IF(AND( SUM((DJ545*(20/100))+(DK545*(30/100))+(DL545*(50/100))) &lt;=3.8, SUM((DJ545*(20/100))+(DK545*(30/100))+(DL545*(50/100))) &gt;=3.5),3.5,0)))))))))))))</f>
        <v>0</v>
      </c>
      <c r="DQ545" s="541"/>
      <c r="DR545" s="541"/>
      <c r="DS545" s="541"/>
      <c r="DT545" s="541"/>
      <c r="DU545" s="541"/>
      <c r="DV545" s="541"/>
      <c r="DW545" s="541"/>
      <c r="DX545" s="541"/>
      <c r="DY545" s="541"/>
      <c r="DZ545" s="541"/>
    </row>
    <row r="546" spans="2:130" x14ac:dyDescent="0.25">
      <c r="B546" s="334">
        <v>39</v>
      </c>
      <c r="C546" s="541"/>
      <c r="D546" s="334"/>
      <c r="E546" s="334"/>
      <c r="F546" s="334"/>
      <c r="G546" s="334"/>
      <c r="H546" s="334"/>
      <c r="I546" s="334"/>
      <c r="J546" s="536"/>
      <c r="K546" s="536"/>
      <c r="L546" s="536"/>
      <c r="M546" s="536"/>
      <c r="N546" s="536"/>
      <c r="O546" s="536"/>
      <c r="P546" s="536">
        <f t="shared" si="201"/>
        <v>0</v>
      </c>
      <c r="Q546" s="536"/>
      <c r="R546" s="536"/>
      <c r="S546" s="536"/>
      <c r="T546" s="536">
        <f t="shared" si="202"/>
        <v>0</v>
      </c>
      <c r="U546" s="536"/>
      <c r="V546" s="536"/>
      <c r="W546" s="536"/>
      <c r="X546" s="536">
        <f t="shared" si="203"/>
        <v>0</v>
      </c>
      <c r="Y546" s="536"/>
      <c r="Z546" s="536"/>
      <c r="AA546" s="536"/>
      <c r="AB546" s="536">
        <f t="shared" si="204"/>
        <v>0</v>
      </c>
      <c r="AC546" s="536"/>
      <c r="AD546" s="536"/>
      <c r="AE546" s="536"/>
      <c r="AF546" s="536">
        <f t="shared" si="205"/>
        <v>0</v>
      </c>
      <c r="AG546" s="536"/>
      <c r="AH546" s="536"/>
      <c r="AI546" s="536"/>
      <c r="AJ546" s="536">
        <f t="shared" si="206"/>
        <v>0</v>
      </c>
      <c r="AK546" s="536"/>
      <c r="AL546" s="536"/>
      <c r="AM546" s="536"/>
      <c r="AN546" s="542">
        <f t="shared" si="207"/>
        <v>0</v>
      </c>
      <c r="AO546" s="536"/>
      <c r="AP546" s="536"/>
      <c r="AQ546" s="536"/>
      <c r="AR546" s="542">
        <f t="shared" si="208"/>
        <v>0</v>
      </c>
      <c r="AS546" s="536"/>
      <c r="AT546" s="536"/>
      <c r="AU546" s="536"/>
      <c r="AV546" s="542">
        <f t="shared" si="209"/>
        <v>0</v>
      </c>
      <c r="AW546" s="536"/>
      <c r="AX546" s="536"/>
      <c r="AY546" s="536"/>
      <c r="AZ546" s="542">
        <f t="shared" si="210"/>
        <v>0</v>
      </c>
      <c r="BA546" s="536"/>
      <c r="BB546" s="536"/>
      <c r="BC546" s="536"/>
      <c r="BD546" s="542">
        <f t="shared" si="211"/>
        <v>0</v>
      </c>
      <c r="BE546" s="536"/>
      <c r="BF546" s="536"/>
      <c r="BG546" s="536"/>
      <c r="BH546" s="542">
        <f t="shared" si="212"/>
        <v>0</v>
      </c>
      <c r="BI546" s="536"/>
      <c r="BJ546" s="536"/>
      <c r="BK546" s="536"/>
      <c r="BL546" s="542">
        <f t="shared" si="213"/>
        <v>0</v>
      </c>
      <c r="BM546" s="536"/>
      <c r="BN546" s="536"/>
      <c r="BO546" s="536"/>
      <c r="BP546" s="542">
        <f t="shared" si="214"/>
        <v>0</v>
      </c>
      <c r="BQ546" s="536"/>
      <c r="BR546" s="536"/>
      <c r="BS546" s="536"/>
      <c r="BT546" s="542">
        <f t="shared" si="215"/>
        <v>0</v>
      </c>
      <c r="BU546" s="536"/>
      <c r="BV546" s="536"/>
      <c r="BW546" s="536"/>
      <c r="BX546" s="542">
        <f t="shared" si="216"/>
        <v>0</v>
      </c>
      <c r="BY546" s="536"/>
      <c r="BZ546" s="536"/>
      <c r="CA546" s="536"/>
      <c r="CB546" s="542">
        <v>0</v>
      </c>
      <c r="CC546" s="536"/>
      <c r="CD546" s="536"/>
      <c r="CE546" s="536"/>
      <c r="CF546" s="541">
        <f t="shared" si="217"/>
        <v>0</v>
      </c>
      <c r="CG546" s="536"/>
      <c r="CH546" s="536"/>
      <c r="CI546" s="536"/>
      <c r="CJ546" s="541">
        <f t="shared" si="218"/>
        <v>0</v>
      </c>
      <c r="CK546" s="536"/>
      <c r="CL546" s="536"/>
      <c r="CM546" s="536"/>
      <c r="CN546" s="541">
        <f t="shared" si="219"/>
        <v>0</v>
      </c>
      <c r="CO546" s="536"/>
      <c r="CP546" s="536"/>
      <c r="CQ546" s="536"/>
      <c r="CR546" s="541">
        <f t="shared" si="220"/>
        <v>0</v>
      </c>
      <c r="CS546" s="536"/>
      <c r="CT546" s="536"/>
      <c r="CU546" s="536"/>
      <c r="CV546" s="541">
        <f t="shared" si="221"/>
        <v>0</v>
      </c>
      <c r="CW546" s="536"/>
      <c r="CX546" s="536"/>
      <c r="CY546" s="536"/>
      <c r="CZ546" s="541">
        <f t="shared" si="222"/>
        <v>0</v>
      </c>
      <c r="DA546" s="536"/>
      <c r="DB546" s="536"/>
      <c r="DC546" s="536"/>
      <c r="DD546" s="541">
        <f t="shared" si="223"/>
        <v>0</v>
      </c>
      <c r="DE546" s="536"/>
      <c r="DF546" s="536"/>
      <c r="DG546" s="536"/>
      <c r="DH546" s="541">
        <f t="shared" si="224"/>
        <v>0</v>
      </c>
      <c r="DI546" s="536"/>
      <c r="DJ546" s="536"/>
      <c r="DK546" s="536"/>
      <c r="DL546" s="541">
        <f t="shared" si="225"/>
        <v>0</v>
      </c>
      <c r="DM546" s="536"/>
      <c r="DN546" s="536"/>
      <c r="DO546" s="536"/>
      <c r="DP546" s="541">
        <f>IF( SUM((DJ546*(20/100))+(DK546*(30/100))+(DL546*(50/100))) &gt;=9.3,9.5,
IF(AND( SUM((DJ546*(20/100))+(DK546*(30/100))+(DL546*(50/100))) &lt;=9.3, SUM((DJ546*(20/100))+(DK546*(30/100))+(DL546*(50/100))) &gt;=8.8),9,
IF(AND( SUM((DJ546*(20/100))+(DK546*(30/100))+(DL546*(50/100))) &lt;=8.8, SUM((DJ546*(20/100))+(DK546*(30/100))+(DL546*(50/100))) &gt;=8.3),8.5,
IF(AND( SUM((DJ546*(20/100))+(DK546*(30/100))+(DL546*(50/100))) &lt;=8.3, SUM((DJ546*(20/100))+(DK546*(30/100))+(DL546*(50/100))) &gt;=7.8),8,
IF(AND( SUM((DJ546*(20/100))+(DK546*(30/100))+(DL546*(50/100))) &lt;=7.8, SUM((DJ546*(20/100))+(DK546*(30/100))+(DL546*(50/100))) &gt;=7.3),7.5,
IF(AND( SUM((DJ546*(20/100))+(DK546*(30/100))+(DL546*(50/100))) &lt;=7.3, SUM((DJ546*(20/100))+(DK546*(30/100))+(DL546*(50/100))) &gt;=6.8),7,
IF(AND( SUM((DJ546*(20/100))+(DK546*(30/100))+(DL546*(50/100))) &lt;=6.8, SUM((DJ546*(20/100))+(DK546*(30/100))+(DL546*(50/100))) &gt;=6.3),6.5,
IF(AND( SUM((DJ546*(20/100))+(DK546*(30/100))+(DL546*(50/100))) &lt;=6.3, SUM((DJ546*(20/100))+(DK546*(30/100))+(DL546*(50/100))) &gt;=5.8),6,
IF(AND( SUM((DJ546*(20/100))+(DK546*(30/100))+(DL546*(50/100))) &lt;=5.8, SUM((DJ546*(20/100))+(DK546*(30/100))+(DL546*(50/100))) &gt;=5.3),5.5,
IF(AND( SUM((DJ546*(20/100))+(DK546*(30/100))+(DL546*(50/100))) &lt;=5.3, SUM((DJ546*(20/100))+(DK546*(30/100))+(DL546*(50/100))) &gt;=4.8),5,
IF(AND( SUM((DJ546*(20/100))+(DK546*(30/100))+(DL546*(50/100))) &lt;=4.8, SUM((DJ546*(20/100))+(DK546*(30/100))+(DL546*(50/100))) &gt;=4.3),4.5,
IF(AND( SUM((DJ546*(20/100))+(DK546*(30/100))+(DL546*(50/100))) &lt;=4.3, SUM((DJ546*(20/100))+(DK546*(30/100))+(DL546*(50/100))) &gt;=3.8),4,
IF(AND( SUM((DJ546*(20/100))+(DK546*(30/100))+(DL546*(50/100))) &lt;=3.8, SUM((DJ546*(20/100))+(DK546*(30/100))+(DL546*(50/100))) &gt;=3.5),3.5,0)))))))))))))</f>
        <v>0</v>
      </c>
      <c r="DQ546" s="541"/>
      <c r="DR546" s="541"/>
      <c r="DS546" s="541"/>
      <c r="DT546" s="541"/>
      <c r="DU546" s="541"/>
      <c r="DV546" s="541"/>
      <c r="DW546" s="541"/>
      <c r="DX546" s="541"/>
      <c r="DY546" s="541"/>
      <c r="DZ546" s="541"/>
    </row>
    <row r="547" spans="2:130" x14ac:dyDescent="0.25">
      <c r="B547" s="334">
        <v>40</v>
      </c>
      <c r="C547" s="541"/>
      <c r="D547" s="334"/>
      <c r="E547" s="334"/>
      <c r="F547" s="334"/>
      <c r="G547" s="334"/>
      <c r="H547" s="334"/>
      <c r="I547" s="334"/>
      <c r="J547" s="536"/>
      <c r="K547" s="536"/>
      <c r="L547" s="536"/>
      <c r="M547" s="536"/>
      <c r="N547" s="536"/>
      <c r="O547" s="536"/>
      <c r="P547" s="536">
        <f t="shared" si="201"/>
        <v>0</v>
      </c>
      <c r="Q547" s="536"/>
      <c r="R547" s="536"/>
      <c r="S547" s="536"/>
      <c r="T547" s="536">
        <f t="shared" si="202"/>
        <v>0</v>
      </c>
      <c r="U547" s="536"/>
      <c r="V547" s="536"/>
      <c r="W547" s="536"/>
      <c r="X547" s="536">
        <f t="shared" si="203"/>
        <v>0</v>
      </c>
      <c r="Y547" s="536"/>
      <c r="Z547" s="536"/>
      <c r="AA547" s="536"/>
      <c r="AB547" s="536">
        <f t="shared" si="204"/>
        <v>0</v>
      </c>
      <c r="AC547" s="536"/>
      <c r="AD547" s="536"/>
      <c r="AE547" s="536"/>
      <c r="AF547" s="536">
        <f t="shared" si="205"/>
        <v>0</v>
      </c>
      <c r="AG547" s="536"/>
      <c r="AH547" s="536"/>
      <c r="AI547" s="536"/>
      <c r="AJ547" s="536">
        <f t="shared" si="206"/>
        <v>0</v>
      </c>
      <c r="AK547" s="536"/>
      <c r="AL547" s="536"/>
      <c r="AM547" s="536"/>
      <c r="AN547" s="542">
        <f t="shared" si="207"/>
        <v>0</v>
      </c>
      <c r="AO547" s="536"/>
      <c r="AP547" s="536"/>
      <c r="AQ547" s="536"/>
      <c r="AR547" s="542">
        <f t="shared" si="208"/>
        <v>0</v>
      </c>
      <c r="AS547" s="536"/>
      <c r="AT547" s="536"/>
      <c r="AU547" s="536"/>
      <c r="AV547" s="542">
        <f t="shared" si="209"/>
        <v>0</v>
      </c>
      <c r="AW547" s="536"/>
      <c r="AX547" s="536"/>
      <c r="AY547" s="536"/>
      <c r="AZ547" s="542">
        <f t="shared" si="210"/>
        <v>0</v>
      </c>
      <c r="BA547" s="536"/>
      <c r="BB547" s="536"/>
      <c r="BC547" s="536"/>
      <c r="BD547" s="542">
        <f t="shared" si="211"/>
        <v>0</v>
      </c>
      <c r="BE547" s="536"/>
      <c r="BF547" s="536"/>
      <c r="BG547" s="536"/>
      <c r="BH547" s="542">
        <f t="shared" si="212"/>
        <v>0</v>
      </c>
      <c r="BI547" s="536"/>
      <c r="BJ547" s="536"/>
      <c r="BK547" s="536"/>
      <c r="BL547" s="542">
        <f t="shared" si="213"/>
        <v>0</v>
      </c>
      <c r="BM547" s="536"/>
      <c r="BN547" s="536"/>
      <c r="BO547" s="536"/>
      <c r="BP547" s="542">
        <f t="shared" si="214"/>
        <v>0</v>
      </c>
      <c r="BQ547" s="536"/>
      <c r="BR547" s="536"/>
      <c r="BS547" s="536"/>
      <c r="BT547" s="542">
        <f t="shared" si="215"/>
        <v>0</v>
      </c>
      <c r="BU547" s="536"/>
      <c r="BV547" s="536"/>
      <c r="BW547" s="536"/>
      <c r="BX547" s="542">
        <f t="shared" si="216"/>
        <v>0</v>
      </c>
      <c r="BY547" s="536"/>
      <c r="BZ547" s="536"/>
      <c r="CA547" s="536"/>
      <c r="CB547" s="542">
        <v>0</v>
      </c>
      <c r="CC547" s="536"/>
      <c r="CD547" s="536"/>
      <c r="CE547" s="536"/>
      <c r="CF547" s="541">
        <f t="shared" si="217"/>
        <v>0</v>
      </c>
      <c r="CG547" s="536"/>
      <c r="CH547" s="536"/>
      <c r="CI547" s="536"/>
      <c r="CJ547" s="541">
        <f t="shared" si="218"/>
        <v>0</v>
      </c>
      <c r="CK547" s="536"/>
      <c r="CL547" s="536"/>
      <c r="CM547" s="536"/>
      <c r="CN547" s="541">
        <f t="shared" si="219"/>
        <v>0</v>
      </c>
      <c r="CO547" s="536"/>
      <c r="CP547" s="536"/>
      <c r="CQ547" s="536"/>
      <c r="CR547" s="541">
        <f t="shared" si="220"/>
        <v>0</v>
      </c>
      <c r="CS547" s="536"/>
      <c r="CT547" s="536"/>
      <c r="CU547" s="536"/>
      <c r="CV547" s="541">
        <f t="shared" si="221"/>
        <v>0</v>
      </c>
      <c r="CW547" s="536"/>
      <c r="CX547" s="536"/>
      <c r="CY547" s="536"/>
      <c r="CZ547" s="541">
        <f t="shared" si="222"/>
        <v>0</v>
      </c>
      <c r="DA547" s="536"/>
      <c r="DB547" s="536"/>
      <c r="DC547" s="536"/>
      <c r="DD547" s="541">
        <f t="shared" si="223"/>
        <v>0</v>
      </c>
      <c r="DE547" s="536"/>
      <c r="DF547" s="536"/>
      <c r="DG547" s="536"/>
      <c r="DH547" s="541">
        <f t="shared" si="224"/>
        <v>0</v>
      </c>
      <c r="DI547" s="536"/>
      <c r="DJ547" s="536"/>
      <c r="DK547" s="536"/>
      <c r="DL547" s="541">
        <f t="shared" si="225"/>
        <v>0</v>
      </c>
      <c r="DM547" s="536"/>
      <c r="DN547" s="536"/>
      <c r="DO547" s="536"/>
      <c r="DP547" s="541">
        <f>IF( SUM((DJ547*(20/100))+(DK547*(30/100))+(DL547*(50/100))) &gt;=9.3,9.5,
IF(AND( SUM((DJ547*(20/100))+(DK547*(30/100))+(DL547*(50/100))) &lt;=9.3, SUM((DJ547*(20/100))+(DK547*(30/100))+(DL547*(50/100))) &gt;=8.8),9,
IF(AND( SUM((DJ547*(20/100))+(DK547*(30/100))+(DL547*(50/100))) &lt;=8.8, SUM((DJ547*(20/100))+(DK547*(30/100))+(DL547*(50/100))) &gt;=8.3),8.5,
IF(AND( SUM((DJ547*(20/100))+(DK547*(30/100))+(DL547*(50/100))) &lt;=8.3, SUM((DJ547*(20/100))+(DK547*(30/100))+(DL547*(50/100))) &gt;=7.8),8,
IF(AND( SUM((DJ547*(20/100))+(DK547*(30/100))+(DL547*(50/100))) &lt;=7.8, SUM((DJ547*(20/100))+(DK547*(30/100))+(DL547*(50/100))) &gt;=7.3),7.5,
IF(AND( SUM((DJ547*(20/100))+(DK547*(30/100))+(DL547*(50/100))) &lt;=7.3, SUM((DJ547*(20/100))+(DK547*(30/100))+(DL547*(50/100))) &gt;=6.8),7,
IF(AND( SUM((DJ547*(20/100))+(DK547*(30/100))+(DL547*(50/100))) &lt;=6.8, SUM((DJ547*(20/100))+(DK547*(30/100))+(DL547*(50/100))) &gt;=6.3),6.5,
IF(AND( SUM((DJ547*(20/100))+(DK547*(30/100))+(DL547*(50/100))) &lt;=6.3, SUM((DJ547*(20/100))+(DK547*(30/100))+(DL547*(50/100))) &gt;=5.8),6,
IF(AND( SUM((DJ547*(20/100))+(DK547*(30/100))+(DL547*(50/100))) &lt;=5.8, SUM((DJ547*(20/100))+(DK547*(30/100))+(DL547*(50/100))) &gt;=5.3),5.5,
IF(AND( SUM((DJ547*(20/100))+(DK547*(30/100))+(DL547*(50/100))) &lt;=5.3, SUM((DJ547*(20/100))+(DK547*(30/100))+(DL547*(50/100))) &gt;=4.8),5,
IF(AND( SUM((DJ547*(20/100))+(DK547*(30/100))+(DL547*(50/100))) &lt;=4.8, SUM((DJ547*(20/100))+(DK547*(30/100))+(DL547*(50/100))) &gt;=4.3),4.5,
IF(AND( SUM((DJ547*(20/100))+(DK547*(30/100))+(DL547*(50/100))) &lt;=4.3, SUM((DJ547*(20/100))+(DK547*(30/100))+(DL547*(50/100))) &gt;=3.8),4,
IF(AND( SUM((DJ547*(20/100))+(DK547*(30/100))+(DL547*(50/100))) &lt;=3.8, SUM((DJ547*(20/100))+(DK547*(30/100))+(DL547*(50/100))) &gt;=3.5),3.5,0)))))))))))))</f>
        <v>0</v>
      </c>
      <c r="DQ547" s="541"/>
      <c r="DR547" s="541"/>
      <c r="DS547" s="541"/>
      <c r="DT547" s="541"/>
      <c r="DU547" s="541"/>
      <c r="DV547" s="541"/>
      <c r="DW547" s="541"/>
      <c r="DX547" s="541"/>
      <c r="DY547" s="541"/>
      <c r="DZ547" s="541"/>
    </row>
    <row r="548" spans="2:130" x14ac:dyDescent="0.25">
      <c r="B548" s="334">
        <v>41</v>
      </c>
      <c r="C548" s="541"/>
      <c r="D548" s="334"/>
      <c r="E548" s="334"/>
      <c r="F548" s="334"/>
      <c r="G548" s="334"/>
      <c r="H548" s="334"/>
      <c r="I548" s="334"/>
      <c r="J548" s="536"/>
      <c r="K548" s="536"/>
      <c r="L548" s="536"/>
      <c r="M548" s="536"/>
      <c r="N548" s="536"/>
      <c r="O548" s="536"/>
      <c r="P548" s="536">
        <f t="shared" si="201"/>
        <v>0</v>
      </c>
      <c r="Q548" s="536"/>
      <c r="R548" s="536"/>
      <c r="S548" s="536"/>
      <c r="T548" s="536">
        <f t="shared" si="202"/>
        <v>0</v>
      </c>
      <c r="U548" s="536"/>
      <c r="V548" s="536"/>
      <c r="W548" s="536"/>
      <c r="X548" s="536">
        <f t="shared" si="203"/>
        <v>0</v>
      </c>
      <c r="Y548" s="536"/>
      <c r="Z548" s="536"/>
      <c r="AA548" s="536"/>
      <c r="AB548" s="536">
        <f t="shared" si="204"/>
        <v>0</v>
      </c>
      <c r="AC548" s="536"/>
      <c r="AD548" s="536"/>
      <c r="AE548" s="536"/>
      <c r="AF548" s="536">
        <f t="shared" si="205"/>
        <v>0</v>
      </c>
      <c r="AG548" s="536"/>
      <c r="AH548" s="536"/>
      <c r="AI548" s="536"/>
      <c r="AJ548" s="536">
        <f t="shared" si="206"/>
        <v>0</v>
      </c>
      <c r="AK548" s="536"/>
      <c r="AL548" s="536"/>
      <c r="AM548" s="536"/>
      <c r="AN548" s="542">
        <f t="shared" si="207"/>
        <v>0</v>
      </c>
      <c r="AO548" s="536"/>
      <c r="AP548" s="536"/>
      <c r="AQ548" s="536"/>
      <c r="AR548" s="542">
        <f t="shared" si="208"/>
        <v>0</v>
      </c>
      <c r="AS548" s="536"/>
      <c r="AT548" s="536"/>
      <c r="AU548" s="536"/>
      <c r="AV548" s="542">
        <f t="shared" si="209"/>
        <v>0</v>
      </c>
      <c r="AW548" s="536"/>
      <c r="AX548" s="536"/>
      <c r="AY548" s="536"/>
      <c r="AZ548" s="542">
        <f t="shared" si="210"/>
        <v>0</v>
      </c>
      <c r="BA548" s="536"/>
      <c r="BB548" s="536"/>
      <c r="BC548" s="536"/>
      <c r="BD548" s="542">
        <f t="shared" si="211"/>
        <v>0</v>
      </c>
      <c r="BE548" s="536"/>
      <c r="BF548" s="536"/>
      <c r="BG548" s="536"/>
      <c r="BH548" s="542">
        <f t="shared" si="212"/>
        <v>0</v>
      </c>
      <c r="BI548" s="536"/>
      <c r="BJ548" s="536"/>
      <c r="BK548" s="536"/>
      <c r="BL548" s="542">
        <f t="shared" si="213"/>
        <v>0</v>
      </c>
      <c r="BM548" s="536"/>
      <c r="BN548" s="536"/>
      <c r="BO548" s="536"/>
      <c r="BP548" s="542">
        <f t="shared" si="214"/>
        <v>0</v>
      </c>
      <c r="BQ548" s="536"/>
      <c r="BR548" s="536"/>
      <c r="BS548" s="536"/>
      <c r="BT548" s="542">
        <f t="shared" si="215"/>
        <v>0</v>
      </c>
      <c r="BU548" s="536"/>
      <c r="BV548" s="536"/>
      <c r="BW548" s="536"/>
      <c r="BX548" s="542">
        <f t="shared" si="216"/>
        <v>0</v>
      </c>
      <c r="BY548" s="536"/>
      <c r="BZ548" s="536"/>
      <c r="CA548" s="536"/>
      <c r="CB548" s="542">
        <v>0</v>
      </c>
      <c r="CC548" s="536"/>
      <c r="CD548" s="536"/>
      <c r="CE548" s="536"/>
      <c r="CF548" s="541">
        <f t="shared" si="217"/>
        <v>0</v>
      </c>
      <c r="CG548" s="536"/>
      <c r="CH548" s="536"/>
      <c r="CI548" s="536"/>
      <c r="CJ548" s="541">
        <f t="shared" si="218"/>
        <v>0</v>
      </c>
      <c r="CK548" s="536"/>
      <c r="CL548" s="536"/>
      <c r="CM548" s="536"/>
      <c r="CN548" s="541">
        <f t="shared" si="219"/>
        <v>0</v>
      </c>
      <c r="CO548" s="536"/>
      <c r="CP548" s="536"/>
      <c r="CQ548" s="536"/>
      <c r="CR548" s="541">
        <f t="shared" si="220"/>
        <v>0</v>
      </c>
      <c r="CS548" s="536"/>
      <c r="CT548" s="536"/>
      <c r="CU548" s="536"/>
      <c r="CV548" s="541">
        <f t="shared" si="221"/>
        <v>0</v>
      </c>
      <c r="CW548" s="536"/>
      <c r="CX548" s="536"/>
      <c r="CY548" s="536"/>
      <c r="CZ548" s="541">
        <f t="shared" si="222"/>
        <v>0</v>
      </c>
      <c r="DA548" s="536"/>
      <c r="DB548" s="536"/>
      <c r="DC548" s="536"/>
      <c r="DD548" s="541">
        <f t="shared" si="223"/>
        <v>0</v>
      </c>
      <c r="DE548" s="536"/>
      <c r="DF548" s="536"/>
      <c r="DG548" s="536"/>
      <c r="DH548" s="541">
        <f t="shared" si="224"/>
        <v>0</v>
      </c>
      <c r="DI548" s="536"/>
      <c r="DJ548" s="536"/>
      <c r="DK548" s="536"/>
      <c r="DL548" s="541">
        <f t="shared" si="225"/>
        <v>0</v>
      </c>
      <c r="DM548" s="536"/>
      <c r="DN548" s="536"/>
      <c r="DO548" s="536"/>
      <c r="DP548" s="541">
        <f>IF( SUM((DJ548*(20/100))+(DK548*(30/100))+(DL548*(50/100))) &gt;=9.3,9.5,
IF(AND( SUM((DJ548*(20/100))+(DK548*(30/100))+(DL548*(50/100))) &lt;=9.3, SUM((DJ548*(20/100))+(DK548*(30/100))+(DL548*(50/100))) &gt;=8.8),9,
IF(AND( SUM((DJ548*(20/100))+(DK548*(30/100))+(DL548*(50/100))) &lt;=8.8, SUM((DJ548*(20/100))+(DK548*(30/100))+(DL548*(50/100))) &gt;=8.3),8.5,
IF(AND( SUM((DJ548*(20/100))+(DK548*(30/100))+(DL548*(50/100))) &lt;=8.3, SUM((DJ548*(20/100))+(DK548*(30/100))+(DL548*(50/100))) &gt;=7.8),8,
IF(AND( SUM((DJ548*(20/100))+(DK548*(30/100))+(DL548*(50/100))) &lt;=7.8, SUM((DJ548*(20/100))+(DK548*(30/100))+(DL548*(50/100))) &gt;=7.3),7.5,
IF(AND( SUM((DJ548*(20/100))+(DK548*(30/100))+(DL548*(50/100))) &lt;=7.3, SUM((DJ548*(20/100))+(DK548*(30/100))+(DL548*(50/100))) &gt;=6.8),7,
IF(AND( SUM((DJ548*(20/100))+(DK548*(30/100))+(DL548*(50/100))) &lt;=6.8, SUM((DJ548*(20/100))+(DK548*(30/100))+(DL548*(50/100))) &gt;=6.3),6.5,
IF(AND( SUM((DJ548*(20/100))+(DK548*(30/100))+(DL548*(50/100))) &lt;=6.3, SUM((DJ548*(20/100))+(DK548*(30/100))+(DL548*(50/100))) &gt;=5.8),6,
IF(AND( SUM((DJ548*(20/100))+(DK548*(30/100))+(DL548*(50/100))) &lt;=5.8, SUM((DJ548*(20/100))+(DK548*(30/100))+(DL548*(50/100))) &gt;=5.3),5.5,
IF(AND( SUM((DJ548*(20/100))+(DK548*(30/100))+(DL548*(50/100))) &lt;=5.3, SUM((DJ548*(20/100))+(DK548*(30/100))+(DL548*(50/100))) &gt;=4.8),5,
IF(AND( SUM((DJ548*(20/100))+(DK548*(30/100))+(DL548*(50/100))) &lt;=4.8, SUM((DJ548*(20/100))+(DK548*(30/100))+(DL548*(50/100))) &gt;=4.3),4.5,
IF(AND( SUM((DJ548*(20/100))+(DK548*(30/100))+(DL548*(50/100))) &lt;=4.3, SUM((DJ548*(20/100))+(DK548*(30/100))+(DL548*(50/100))) &gt;=3.8),4,
IF(AND( SUM((DJ548*(20/100))+(DK548*(30/100))+(DL548*(50/100))) &lt;=3.8, SUM((DJ548*(20/100))+(DK548*(30/100))+(DL548*(50/100))) &gt;=3.5),3.5,0)))))))))))))</f>
        <v>0</v>
      </c>
      <c r="DQ548" s="541"/>
      <c r="DR548" s="541"/>
      <c r="DS548" s="541"/>
      <c r="DT548" s="541"/>
      <c r="DU548" s="541"/>
      <c r="DV548" s="541"/>
      <c r="DW548" s="541"/>
      <c r="DX548" s="541"/>
      <c r="DY548" s="541"/>
      <c r="DZ548" s="541"/>
    </row>
    <row r="549" spans="2:130" x14ac:dyDescent="0.25">
      <c r="B549" s="334">
        <v>42</v>
      </c>
      <c r="C549" s="541"/>
      <c r="D549" s="334"/>
      <c r="E549" s="334"/>
      <c r="F549" s="334"/>
      <c r="G549" s="334"/>
      <c r="H549" s="334"/>
      <c r="I549" s="334"/>
      <c r="J549" s="536"/>
      <c r="K549" s="536"/>
      <c r="L549" s="536"/>
      <c r="M549" s="536"/>
      <c r="N549" s="536"/>
      <c r="O549" s="536"/>
      <c r="P549" s="536">
        <f t="shared" si="201"/>
        <v>0</v>
      </c>
      <c r="Q549" s="536"/>
      <c r="R549" s="536"/>
      <c r="S549" s="536"/>
      <c r="T549" s="536">
        <f t="shared" si="202"/>
        <v>0</v>
      </c>
      <c r="U549" s="536"/>
      <c r="V549" s="536"/>
      <c r="W549" s="536"/>
      <c r="X549" s="536">
        <f t="shared" si="203"/>
        <v>0</v>
      </c>
      <c r="Y549" s="536"/>
      <c r="Z549" s="536"/>
      <c r="AA549" s="536"/>
      <c r="AB549" s="536">
        <f t="shared" si="204"/>
        <v>0</v>
      </c>
      <c r="AC549" s="536"/>
      <c r="AD549" s="536"/>
      <c r="AE549" s="536"/>
      <c r="AF549" s="536">
        <f t="shared" si="205"/>
        <v>0</v>
      </c>
      <c r="AG549" s="536"/>
      <c r="AH549" s="536"/>
      <c r="AI549" s="536"/>
      <c r="AJ549" s="536">
        <f t="shared" si="206"/>
        <v>0</v>
      </c>
      <c r="AK549" s="536"/>
      <c r="AL549" s="536"/>
      <c r="AM549" s="536"/>
      <c r="AN549" s="542">
        <f t="shared" si="207"/>
        <v>0</v>
      </c>
      <c r="AO549" s="536"/>
      <c r="AP549" s="536"/>
      <c r="AQ549" s="536"/>
      <c r="AR549" s="542">
        <f t="shared" si="208"/>
        <v>0</v>
      </c>
      <c r="AS549" s="536"/>
      <c r="AT549" s="536"/>
      <c r="AU549" s="536"/>
      <c r="AV549" s="542">
        <f t="shared" si="209"/>
        <v>0</v>
      </c>
      <c r="AW549" s="536"/>
      <c r="AX549" s="536"/>
      <c r="AY549" s="536"/>
      <c r="AZ549" s="542">
        <f t="shared" si="210"/>
        <v>0</v>
      </c>
      <c r="BA549" s="536"/>
      <c r="BB549" s="536"/>
      <c r="BC549" s="536"/>
      <c r="BD549" s="542">
        <f t="shared" si="211"/>
        <v>0</v>
      </c>
      <c r="BE549" s="536"/>
      <c r="BF549" s="536"/>
      <c r="BG549" s="536"/>
      <c r="BH549" s="542">
        <f t="shared" si="212"/>
        <v>0</v>
      </c>
      <c r="BI549" s="536"/>
      <c r="BJ549" s="536"/>
      <c r="BK549" s="536"/>
      <c r="BL549" s="542">
        <f t="shared" si="213"/>
        <v>0</v>
      </c>
      <c r="BM549" s="536"/>
      <c r="BN549" s="536"/>
      <c r="BO549" s="536"/>
      <c r="BP549" s="542">
        <f t="shared" si="214"/>
        <v>0</v>
      </c>
      <c r="BQ549" s="536"/>
      <c r="BR549" s="536"/>
      <c r="BS549" s="536"/>
      <c r="BT549" s="542">
        <f t="shared" si="215"/>
        <v>0</v>
      </c>
      <c r="BU549" s="536"/>
      <c r="BV549" s="536"/>
      <c r="BW549" s="536"/>
      <c r="BX549" s="542">
        <f t="shared" si="216"/>
        <v>0</v>
      </c>
      <c r="BY549" s="536"/>
      <c r="BZ549" s="536"/>
      <c r="CA549" s="536"/>
      <c r="CB549" s="542">
        <v>0</v>
      </c>
      <c r="CC549" s="536"/>
      <c r="CD549" s="536"/>
      <c r="CE549" s="536"/>
      <c r="CF549" s="541">
        <f t="shared" si="217"/>
        <v>0</v>
      </c>
      <c r="CG549" s="536"/>
      <c r="CH549" s="536"/>
      <c r="CI549" s="536"/>
      <c r="CJ549" s="541">
        <f t="shared" si="218"/>
        <v>0</v>
      </c>
      <c r="CK549" s="536"/>
      <c r="CL549" s="536"/>
      <c r="CM549" s="536"/>
      <c r="CN549" s="541">
        <f t="shared" si="219"/>
        <v>0</v>
      </c>
      <c r="CO549" s="536"/>
      <c r="CP549" s="536"/>
      <c r="CQ549" s="536"/>
      <c r="CR549" s="541">
        <f t="shared" si="220"/>
        <v>0</v>
      </c>
      <c r="CS549" s="536"/>
      <c r="CT549" s="536"/>
      <c r="CU549" s="536"/>
      <c r="CV549" s="541">
        <f t="shared" si="221"/>
        <v>0</v>
      </c>
      <c r="CW549" s="536"/>
      <c r="CX549" s="536"/>
      <c r="CY549" s="536"/>
      <c r="CZ549" s="541">
        <f t="shared" si="222"/>
        <v>0</v>
      </c>
      <c r="DA549" s="536"/>
      <c r="DB549" s="536"/>
      <c r="DC549" s="536"/>
      <c r="DD549" s="541">
        <f t="shared" si="223"/>
        <v>0</v>
      </c>
      <c r="DE549" s="536"/>
      <c r="DF549" s="536"/>
      <c r="DG549" s="536"/>
      <c r="DH549" s="541">
        <f t="shared" si="224"/>
        <v>0</v>
      </c>
      <c r="DI549" s="536"/>
      <c r="DJ549" s="536"/>
      <c r="DK549" s="536"/>
      <c r="DL549" s="541">
        <f t="shared" si="225"/>
        <v>0</v>
      </c>
      <c r="DM549" s="536"/>
      <c r="DN549" s="536"/>
      <c r="DO549" s="536"/>
      <c r="DP549" s="541">
        <f>IF( SUM((DJ549*(20/100))+(DK549*(30/100))+(DL549*(50/100))) &gt;=9.3,9.5,
IF(AND( SUM((DJ549*(20/100))+(DK549*(30/100))+(DL549*(50/100))) &lt;=9.3, SUM((DJ549*(20/100))+(DK549*(30/100))+(DL549*(50/100))) &gt;=8.8),9,
IF(AND( SUM((DJ549*(20/100))+(DK549*(30/100))+(DL549*(50/100))) &lt;=8.8, SUM((DJ549*(20/100))+(DK549*(30/100))+(DL549*(50/100))) &gt;=8.3),8.5,
IF(AND( SUM((DJ549*(20/100))+(DK549*(30/100))+(DL549*(50/100))) &lt;=8.3, SUM((DJ549*(20/100))+(DK549*(30/100))+(DL549*(50/100))) &gt;=7.8),8,
IF(AND( SUM((DJ549*(20/100))+(DK549*(30/100))+(DL549*(50/100))) &lt;=7.8, SUM((DJ549*(20/100))+(DK549*(30/100))+(DL549*(50/100))) &gt;=7.3),7.5,
IF(AND( SUM((DJ549*(20/100))+(DK549*(30/100))+(DL549*(50/100))) &lt;=7.3, SUM((DJ549*(20/100))+(DK549*(30/100))+(DL549*(50/100))) &gt;=6.8),7,
IF(AND( SUM((DJ549*(20/100))+(DK549*(30/100))+(DL549*(50/100))) &lt;=6.8, SUM((DJ549*(20/100))+(DK549*(30/100))+(DL549*(50/100))) &gt;=6.3),6.5,
IF(AND( SUM((DJ549*(20/100))+(DK549*(30/100))+(DL549*(50/100))) &lt;=6.3, SUM((DJ549*(20/100))+(DK549*(30/100))+(DL549*(50/100))) &gt;=5.8),6,
IF(AND( SUM((DJ549*(20/100))+(DK549*(30/100))+(DL549*(50/100))) &lt;=5.8, SUM((DJ549*(20/100))+(DK549*(30/100))+(DL549*(50/100))) &gt;=5.3),5.5,
IF(AND( SUM((DJ549*(20/100))+(DK549*(30/100))+(DL549*(50/100))) &lt;=5.3, SUM((DJ549*(20/100))+(DK549*(30/100))+(DL549*(50/100))) &gt;=4.8),5,
IF(AND( SUM((DJ549*(20/100))+(DK549*(30/100))+(DL549*(50/100))) &lt;=4.8, SUM((DJ549*(20/100))+(DK549*(30/100))+(DL549*(50/100))) &gt;=4.3),4.5,
IF(AND( SUM((DJ549*(20/100))+(DK549*(30/100))+(DL549*(50/100))) &lt;=4.3, SUM((DJ549*(20/100))+(DK549*(30/100))+(DL549*(50/100))) &gt;=3.8),4,
IF(AND( SUM((DJ549*(20/100))+(DK549*(30/100))+(DL549*(50/100))) &lt;=3.8, SUM((DJ549*(20/100))+(DK549*(30/100))+(DL549*(50/100))) &gt;=3.5),3.5,0)))))))))))))</f>
        <v>0</v>
      </c>
      <c r="DQ549" s="541"/>
      <c r="DR549" s="541"/>
      <c r="DS549" s="541"/>
      <c r="DT549" s="541"/>
      <c r="DU549" s="541"/>
      <c r="DV549" s="541"/>
      <c r="DW549" s="541"/>
      <c r="DX549" s="541"/>
      <c r="DY549" s="541"/>
      <c r="DZ549" s="541"/>
    </row>
    <row r="550" spans="2:130" x14ac:dyDescent="0.25">
      <c r="B550" s="334">
        <v>43</v>
      </c>
      <c r="C550" s="541"/>
      <c r="D550" s="334"/>
      <c r="E550" s="334"/>
      <c r="F550" s="334"/>
      <c r="G550" s="334"/>
      <c r="H550" s="334"/>
      <c r="I550" s="334"/>
      <c r="J550" s="536"/>
      <c r="K550" s="536"/>
      <c r="L550" s="536"/>
      <c r="M550" s="536"/>
      <c r="N550" s="536"/>
      <c r="O550" s="536"/>
      <c r="P550" s="536">
        <f t="shared" si="201"/>
        <v>0</v>
      </c>
      <c r="Q550" s="536"/>
      <c r="R550" s="536"/>
      <c r="S550" s="536"/>
      <c r="T550" s="536">
        <f t="shared" si="202"/>
        <v>0</v>
      </c>
      <c r="U550" s="536"/>
      <c r="V550" s="536"/>
      <c r="W550" s="536"/>
      <c r="X550" s="536">
        <f t="shared" si="203"/>
        <v>0</v>
      </c>
      <c r="Y550" s="536"/>
      <c r="Z550" s="536"/>
      <c r="AA550" s="536"/>
      <c r="AB550" s="536">
        <f t="shared" si="204"/>
        <v>0</v>
      </c>
      <c r="AC550" s="536"/>
      <c r="AD550" s="536"/>
      <c r="AE550" s="536"/>
      <c r="AF550" s="536">
        <f t="shared" si="205"/>
        <v>0</v>
      </c>
      <c r="AG550" s="536"/>
      <c r="AH550" s="536"/>
      <c r="AI550" s="536"/>
      <c r="AJ550" s="536">
        <f t="shared" si="206"/>
        <v>0</v>
      </c>
      <c r="AK550" s="536"/>
      <c r="AL550" s="536"/>
      <c r="AM550" s="536"/>
      <c r="AN550" s="542">
        <f t="shared" si="207"/>
        <v>0</v>
      </c>
      <c r="AO550" s="536"/>
      <c r="AP550" s="536"/>
      <c r="AQ550" s="536"/>
      <c r="AR550" s="542">
        <f t="shared" si="208"/>
        <v>0</v>
      </c>
      <c r="AS550" s="536"/>
      <c r="AT550" s="536"/>
      <c r="AU550" s="536"/>
      <c r="AV550" s="542">
        <f t="shared" si="209"/>
        <v>0</v>
      </c>
      <c r="AW550" s="536"/>
      <c r="AX550" s="536"/>
      <c r="AY550" s="536"/>
      <c r="AZ550" s="542">
        <f t="shared" si="210"/>
        <v>0</v>
      </c>
      <c r="BA550" s="536"/>
      <c r="BB550" s="536"/>
      <c r="BC550" s="536"/>
      <c r="BD550" s="542">
        <f t="shared" si="211"/>
        <v>0</v>
      </c>
      <c r="BE550" s="536"/>
      <c r="BF550" s="536"/>
      <c r="BG550" s="536"/>
      <c r="BH550" s="542">
        <f t="shared" si="212"/>
        <v>0</v>
      </c>
      <c r="BI550" s="536"/>
      <c r="BJ550" s="536"/>
      <c r="BK550" s="536"/>
      <c r="BL550" s="542">
        <f t="shared" si="213"/>
        <v>0</v>
      </c>
      <c r="BM550" s="536"/>
      <c r="BN550" s="536"/>
      <c r="BO550" s="536"/>
      <c r="BP550" s="542">
        <f t="shared" si="214"/>
        <v>0</v>
      </c>
      <c r="BQ550" s="536"/>
      <c r="BR550" s="536"/>
      <c r="BS550" s="536"/>
      <c r="BT550" s="542">
        <f t="shared" si="215"/>
        <v>0</v>
      </c>
      <c r="BU550" s="536"/>
      <c r="BV550" s="536"/>
      <c r="BW550" s="536"/>
      <c r="BX550" s="542">
        <f t="shared" si="216"/>
        <v>0</v>
      </c>
      <c r="BY550" s="536"/>
      <c r="BZ550" s="536"/>
      <c r="CA550" s="536"/>
      <c r="CB550" s="542">
        <v>0</v>
      </c>
      <c r="CC550" s="536"/>
      <c r="CD550" s="536"/>
      <c r="CE550" s="536"/>
      <c r="CF550" s="541">
        <f t="shared" si="217"/>
        <v>0</v>
      </c>
      <c r="CG550" s="536"/>
      <c r="CH550" s="536"/>
      <c r="CI550" s="536"/>
      <c r="CJ550" s="541">
        <f t="shared" si="218"/>
        <v>0</v>
      </c>
      <c r="CK550" s="536"/>
      <c r="CL550" s="536"/>
      <c r="CM550" s="536"/>
      <c r="CN550" s="541">
        <f t="shared" si="219"/>
        <v>0</v>
      </c>
      <c r="CO550" s="536"/>
      <c r="CP550" s="536"/>
      <c r="CQ550" s="536"/>
      <c r="CR550" s="541">
        <f t="shared" si="220"/>
        <v>0</v>
      </c>
      <c r="CS550" s="536"/>
      <c r="CT550" s="536"/>
      <c r="CU550" s="536"/>
      <c r="CV550" s="541">
        <f t="shared" si="221"/>
        <v>0</v>
      </c>
      <c r="CW550" s="536"/>
      <c r="CX550" s="536"/>
      <c r="CY550" s="536"/>
      <c r="CZ550" s="541">
        <f t="shared" si="222"/>
        <v>0</v>
      </c>
      <c r="DA550" s="536"/>
      <c r="DB550" s="536"/>
      <c r="DC550" s="536"/>
      <c r="DD550" s="541">
        <f t="shared" si="223"/>
        <v>0</v>
      </c>
      <c r="DE550" s="536"/>
      <c r="DF550" s="536"/>
      <c r="DG550" s="536"/>
      <c r="DH550" s="541">
        <f t="shared" si="224"/>
        <v>0</v>
      </c>
      <c r="DI550" s="536"/>
      <c r="DJ550" s="536"/>
      <c r="DK550" s="536"/>
      <c r="DL550" s="541">
        <f t="shared" si="225"/>
        <v>0</v>
      </c>
      <c r="DM550" s="536"/>
      <c r="DN550" s="536"/>
      <c r="DO550" s="536"/>
      <c r="DP550" s="541">
        <f>IF( SUM((DJ550*(20/100))+(DK550*(30/100))+(DL550*(50/100))) &gt;=9.3,9.5,
IF(AND( SUM((DJ550*(20/100))+(DK550*(30/100))+(DL550*(50/100))) &lt;=9.3, SUM((DJ550*(20/100))+(DK550*(30/100))+(DL550*(50/100))) &gt;=8.8),9,
IF(AND( SUM((DJ550*(20/100))+(DK550*(30/100))+(DL550*(50/100))) &lt;=8.8, SUM((DJ550*(20/100))+(DK550*(30/100))+(DL550*(50/100))) &gt;=8.3),8.5,
IF(AND( SUM((DJ550*(20/100))+(DK550*(30/100))+(DL550*(50/100))) &lt;=8.3, SUM((DJ550*(20/100))+(DK550*(30/100))+(DL550*(50/100))) &gt;=7.8),8,
IF(AND( SUM((DJ550*(20/100))+(DK550*(30/100))+(DL550*(50/100))) &lt;=7.8, SUM((DJ550*(20/100))+(DK550*(30/100))+(DL550*(50/100))) &gt;=7.3),7.5,
IF(AND( SUM((DJ550*(20/100))+(DK550*(30/100))+(DL550*(50/100))) &lt;=7.3, SUM((DJ550*(20/100))+(DK550*(30/100))+(DL550*(50/100))) &gt;=6.8),7,
IF(AND( SUM((DJ550*(20/100))+(DK550*(30/100))+(DL550*(50/100))) &lt;=6.8, SUM((DJ550*(20/100))+(DK550*(30/100))+(DL550*(50/100))) &gt;=6.3),6.5,
IF(AND( SUM((DJ550*(20/100))+(DK550*(30/100))+(DL550*(50/100))) &lt;=6.3, SUM((DJ550*(20/100))+(DK550*(30/100))+(DL550*(50/100))) &gt;=5.8),6,
IF(AND( SUM((DJ550*(20/100))+(DK550*(30/100))+(DL550*(50/100))) &lt;=5.8, SUM((DJ550*(20/100))+(DK550*(30/100))+(DL550*(50/100))) &gt;=5.3),5.5,
IF(AND( SUM((DJ550*(20/100))+(DK550*(30/100))+(DL550*(50/100))) &lt;=5.3, SUM((DJ550*(20/100))+(DK550*(30/100))+(DL550*(50/100))) &gt;=4.8),5,
IF(AND( SUM((DJ550*(20/100))+(DK550*(30/100))+(DL550*(50/100))) &lt;=4.8, SUM((DJ550*(20/100))+(DK550*(30/100))+(DL550*(50/100))) &gt;=4.3),4.5,
IF(AND( SUM((DJ550*(20/100))+(DK550*(30/100))+(DL550*(50/100))) &lt;=4.3, SUM((DJ550*(20/100))+(DK550*(30/100))+(DL550*(50/100))) &gt;=3.8),4,
IF(AND( SUM((DJ550*(20/100))+(DK550*(30/100))+(DL550*(50/100))) &lt;=3.8, SUM((DJ550*(20/100))+(DK550*(30/100))+(DL550*(50/100))) &gt;=3.5),3.5,0)))))))))))))</f>
        <v>0</v>
      </c>
      <c r="DQ550" s="541"/>
      <c r="DR550" s="541"/>
      <c r="DS550" s="541"/>
      <c r="DT550" s="541"/>
      <c r="DU550" s="541"/>
      <c r="DV550" s="541"/>
      <c r="DW550" s="541"/>
      <c r="DX550" s="541"/>
      <c r="DY550" s="541"/>
      <c r="DZ550" s="541"/>
    </row>
    <row r="551" spans="2:130" x14ac:dyDescent="0.25">
      <c r="B551" s="334">
        <v>44</v>
      </c>
      <c r="C551" s="541"/>
      <c r="D551" s="334"/>
      <c r="E551" s="334"/>
      <c r="F551" s="334"/>
      <c r="G551" s="334"/>
      <c r="H551" s="334"/>
      <c r="I551" s="334"/>
      <c r="J551" s="536"/>
      <c r="K551" s="536"/>
      <c r="L551" s="536"/>
      <c r="M551" s="536"/>
      <c r="N551" s="536"/>
      <c r="O551" s="536"/>
      <c r="P551" s="536">
        <f t="shared" si="201"/>
        <v>0</v>
      </c>
      <c r="Q551" s="536"/>
      <c r="R551" s="536"/>
      <c r="S551" s="536"/>
      <c r="T551" s="536">
        <f t="shared" si="202"/>
        <v>0</v>
      </c>
      <c r="U551" s="536"/>
      <c r="V551" s="536"/>
      <c r="W551" s="536"/>
      <c r="X551" s="536">
        <f t="shared" si="203"/>
        <v>0</v>
      </c>
      <c r="Y551" s="536"/>
      <c r="Z551" s="536"/>
      <c r="AA551" s="536"/>
      <c r="AB551" s="536">
        <f t="shared" si="204"/>
        <v>0</v>
      </c>
      <c r="AC551" s="536"/>
      <c r="AD551" s="536"/>
      <c r="AE551" s="536"/>
      <c r="AF551" s="536">
        <f t="shared" si="205"/>
        <v>0</v>
      </c>
      <c r="AG551" s="536"/>
      <c r="AH551" s="536"/>
      <c r="AI551" s="536"/>
      <c r="AJ551" s="536">
        <f t="shared" si="206"/>
        <v>0</v>
      </c>
      <c r="AK551" s="536"/>
      <c r="AL551" s="536"/>
      <c r="AM551" s="536"/>
      <c r="AN551" s="542">
        <f t="shared" si="207"/>
        <v>0</v>
      </c>
      <c r="AO551" s="536"/>
      <c r="AP551" s="536"/>
      <c r="AQ551" s="536"/>
      <c r="AR551" s="542">
        <f t="shared" si="208"/>
        <v>0</v>
      </c>
      <c r="AS551" s="536"/>
      <c r="AT551" s="536"/>
      <c r="AU551" s="536"/>
      <c r="AV551" s="542">
        <f t="shared" si="209"/>
        <v>0</v>
      </c>
      <c r="AW551" s="536"/>
      <c r="AX551" s="536"/>
      <c r="AY551" s="536"/>
      <c r="AZ551" s="542">
        <f t="shared" si="210"/>
        <v>0</v>
      </c>
      <c r="BA551" s="536"/>
      <c r="BB551" s="536"/>
      <c r="BC551" s="536"/>
      <c r="BD551" s="542">
        <f t="shared" si="211"/>
        <v>0</v>
      </c>
      <c r="BE551" s="536"/>
      <c r="BF551" s="536"/>
      <c r="BG551" s="536"/>
      <c r="BH551" s="542">
        <f t="shared" si="212"/>
        <v>0</v>
      </c>
      <c r="BI551" s="536"/>
      <c r="BJ551" s="536"/>
      <c r="BK551" s="536"/>
      <c r="BL551" s="542">
        <f t="shared" si="213"/>
        <v>0</v>
      </c>
      <c r="BM551" s="536"/>
      <c r="BN551" s="536"/>
      <c r="BO551" s="536"/>
      <c r="BP551" s="542">
        <f t="shared" si="214"/>
        <v>0</v>
      </c>
      <c r="BQ551" s="536"/>
      <c r="BR551" s="536"/>
      <c r="BS551" s="536"/>
      <c r="BT551" s="542">
        <f t="shared" si="215"/>
        <v>0</v>
      </c>
      <c r="BU551" s="536"/>
      <c r="BV551" s="536"/>
      <c r="BW551" s="536"/>
      <c r="BX551" s="542">
        <f t="shared" si="216"/>
        <v>0</v>
      </c>
      <c r="BY551" s="536"/>
      <c r="BZ551" s="536"/>
      <c r="CA551" s="536"/>
      <c r="CB551" s="542">
        <v>0</v>
      </c>
      <c r="CC551" s="536"/>
      <c r="CD551" s="536"/>
      <c r="CE551" s="536"/>
      <c r="CF551" s="541">
        <f t="shared" si="217"/>
        <v>0</v>
      </c>
      <c r="CG551" s="536"/>
      <c r="CH551" s="536"/>
      <c r="CI551" s="536"/>
      <c r="CJ551" s="541">
        <f t="shared" si="218"/>
        <v>0</v>
      </c>
      <c r="CK551" s="536"/>
      <c r="CL551" s="536"/>
      <c r="CM551" s="536"/>
      <c r="CN551" s="541">
        <f t="shared" si="219"/>
        <v>0</v>
      </c>
      <c r="CO551" s="536"/>
      <c r="CP551" s="536"/>
      <c r="CQ551" s="536"/>
      <c r="CR551" s="541">
        <f t="shared" si="220"/>
        <v>0</v>
      </c>
      <c r="CS551" s="536"/>
      <c r="CT551" s="536"/>
      <c r="CU551" s="536"/>
      <c r="CV551" s="541">
        <f t="shared" si="221"/>
        <v>0</v>
      </c>
      <c r="CW551" s="536"/>
      <c r="CX551" s="536"/>
      <c r="CY551" s="536"/>
      <c r="CZ551" s="541">
        <f t="shared" si="222"/>
        <v>0</v>
      </c>
      <c r="DA551" s="536"/>
      <c r="DB551" s="536"/>
      <c r="DC551" s="536"/>
      <c r="DD551" s="541">
        <f t="shared" si="223"/>
        <v>0</v>
      </c>
      <c r="DE551" s="536"/>
      <c r="DF551" s="536"/>
      <c r="DG551" s="536"/>
      <c r="DH551" s="541">
        <f t="shared" si="224"/>
        <v>0</v>
      </c>
      <c r="DI551" s="536"/>
      <c r="DJ551" s="536"/>
      <c r="DK551" s="536"/>
      <c r="DL551" s="541">
        <f t="shared" si="225"/>
        <v>0</v>
      </c>
      <c r="DM551" s="536"/>
      <c r="DN551" s="536"/>
      <c r="DO551" s="536"/>
      <c r="DP551" s="541">
        <f>IF( SUM((DJ551*(20/100))+(DK551*(30/100))+(DL551*(50/100))) &gt;=9.3,9.5,
IF(AND( SUM((DJ551*(20/100))+(DK551*(30/100))+(DL551*(50/100))) &lt;=9.3, SUM((DJ551*(20/100))+(DK551*(30/100))+(DL551*(50/100))) &gt;=8.8),9,
IF(AND( SUM((DJ551*(20/100))+(DK551*(30/100))+(DL551*(50/100))) &lt;=8.8, SUM((DJ551*(20/100))+(DK551*(30/100))+(DL551*(50/100))) &gt;=8.3),8.5,
IF(AND( SUM((DJ551*(20/100))+(DK551*(30/100))+(DL551*(50/100))) &lt;=8.3, SUM((DJ551*(20/100))+(DK551*(30/100))+(DL551*(50/100))) &gt;=7.8),8,
IF(AND( SUM((DJ551*(20/100))+(DK551*(30/100))+(DL551*(50/100))) &lt;=7.8, SUM((DJ551*(20/100))+(DK551*(30/100))+(DL551*(50/100))) &gt;=7.3),7.5,
IF(AND( SUM((DJ551*(20/100))+(DK551*(30/100))+(DL551*(50/100))) &lt;=7.3, SUM((DJ551*(20/100))+(DK551*(30/100))+(DL551*(50/100))) &gt;=6.8),7,
IF(AND( SUM((DJ551*(20/100))+(DK551*(30/100))+(DL551*(50/100))) &lt;=6.8, SUM((DJ551*(20/100))+(DK551*(30/100))+(DL551*(50/100))) &gt;=6.3),6.5,
IF(AND( SUM((DJ551*(20/100))+(DK551*(30/100))+(DL551*(50/100))) &lt;=6.3, SUM((DJ551*(20/100))+(DK551*(30/100))+(DL551*(50/100))) &gt;=5.8),6,
IF(AND( SUM((DJ551*(20/100))+(DK551*(30/100))+(DL551*(50/100))) &lt;=5.8, SUM((DJ551*(20/100))+(DK551*(30/100))+(DL551*(50/100))) &gt;=5.3),5.5,
IF(AND( SUM((DJ551*(20/100))+(DK551*(30/100))+(DL551*(50/100))) &lt;=5.3, SUM((DJ551*(20/100))+(DK551*(30/100))+(DL551*(50/100))) &gt;=4.8),5,
IF(AND( SUM((DJ551*(20/100))+(DK551*(30/100))+(DL551*(50/100))) &lt;=4.8, SUM((DJ551*(20/100))+(DK551*(30/100))+(DL551*(50/100))) &gt;=4.3),4.5,
IF(AND( SUM((DJ551*(20/100))+(DK551*(30/100))+(DL551*(50/100))) &lt;=4.3, SUM((DJ551*(20/100))+(DK551*(30/100))+(DL551*(50/100))) &gt;=3.8),4,
IF(AND( SUM((DJ551*(20/100))+(DK551*(30/100))+(DL551*(50/100))) &lt;=3.8, SUM((DJ551*(20/100))+(DK551*(30/100))+(DL551*(50/100))) &gt;=3.5),3.5,0)))))))))))))</f>
        <v>0</v>
      </c>
      <c r="DQ551" s="541"/>
      <c r="DR551" s="541"/>
      <c r="DS551" s="541"/>
      <c r="DT551" s="541"/>
      <c r="DU551" s="541"/>
      <c r="DV551" s="541"/>
      <c r="DW551" s="541"/>
      <c r="DX551" s="541"/>
      <c r="DY551" s="541"/>
      <c r="DZ551" s="541"/>
    </row>
    <row r="552" spans="2:130" x14ac:dyDescent="0.25">
      <c r="B552" s="334">
        <v>45</v>
      </c>
      <c r="C552" s="541"/>
      <c r="D552" s="334"/>
      <c r="E552" s="334"/>
      <c r="F552" s="334"/>
      <c r="G552" s="334"/>
      <c r="H552" s="334"/>
      <c r="I552" s="334"/>
      <c r="J552" s="536"/>
      <c r="K552" s="536"/>
      <c r="L552" s="536"/>
      <c r="M552" s="536"/>
      <c r="N552" s="536"/>
      <c r="O552" s="536"/>
      <c r="P552" s="536">
        <f t="shared" si="201"/>
        <v>0</v>
      </c>
      <c r="Q552" s="536"/>
      <c r="R552" s="536"/>
      <c r="S552" s="536"/>
      <c r="T552" s="536">
        <f t="shared" si="202"/>
        <v>0</v>
      </c>
      <c r="U552" s="536"/>
      <c r="V552" s="536"/>
      <c r="W552" s="536"/>
      <c r="X552" s="536">
        <f t="shared" si="203"/>
        <v>0</v>
      </c>
      <c r="Y552" s="536"/>
      <c r="Z552" s="536"/>
      <c r="AA552" s="536"/>
      <c r="AB552" s="536">
        <f t="shared" si="204"/>
        <v>0</v>
      </c>
      <c r="AC552" s="536"/>
      <c r="AD552" s="536"/>
      <c r="AE552" s="536"/>
      <c r="AF552" s="536">
        <f t="shared" si="205"/>
        <v>0</v>
      </c>
      <c r="AG552" s="536"/>
      <c r="AH552" s="536"/>
      <c r="AI552" s="536"/>
      <c r="AJ552" s="536">
        <f t="shared" si="206"/>
        <v>0</v>
      </c>
      <c r="AK552" s="536"/>
      <c r="AL552" s="536"/>
      <c r="AM552" s="536"/>
      <c r="AN552" s="542">
        <f t="shared" si="207"/>
        <v>0</v>
      </c>
      <c r="AO552" s="536"/>
      <c r="AP552" s="536"/>
      <c r="AQ552" s="536"/>
      <c r="AR552" s="542">
        <f t="shared" si="208"/>
        <v>0</v>
      </c>
      <c r="AS552" s="536"/>
      <c r="AT552" s="536"/>
      <c r="AU552" s="536"/>
      <c r="AV552" s="542">
        <f t="shared" si="209"/>
        <v>0</v>
      </c>
      <c r="AW552" s="536"/>
      <c r="AX552" s="536"/>
      <c r="AY552" s="536"/>
      <c r="AZ552" s="542">
        <f t="shared" si="210"/>
        <v>0</v>
      </c>
      <c r="BA552" s="536"/>
      <c r="BB552" s="536"/>
      <c r="BC552" s="536"/>
      <c r="BD552" s="542">
        <f t="shared" si="211"/>
        <v>0</v>
      </c>
      <c r="BE552" s="536"/>
      <c r="BF552" s="536"/>
      <c r="BG552" s="536"/>
      <c r="BH552" s="542">
        <f t="shared" si="212"/>
        <v>0</v>
      </c>
      <c r="BI552" s="536"/>
      <c r="BJ552" s="536"/>
      <c r="BK552" s="536"/>
      <c r="BL552" s="542">
        <f t="shared" si="213"/>
        <v>0</v>
      </c>
      <c r="BM552" s="536"/>
      <c r="BN552" s="536"/>
      <c r="BO552" s="536"/>
      <c r="BP552" s="542">
        <f t="shared" si="214"/>
        <v>0</v>
      </c>
      <c r="BQ552" s="536"/>
      <c r="BR552" s="536"/>
      <c r="BS552" s="536"/>
      <c r="BT552" s="542">
        <f t="shared" si="215"/>
        <v>0</v>
      </c>
      <c r="BU552" s="536"/>
      <c r="BV552" s="536"/>
      <c r="BW552" s="536"/>
      <c r="BX552" s="542">
        <f t="shared" si="216"/>
        <v>0</v>
      </c>
      <c r="BY552" s="536"/>
      <c r="BZ552" s="536"/>
      <c r="CA552" s="536"/>
      <c r="CB552" s="542">
        <v>0</v>
      </c>
      <c r="CC552" s="536"/>
      <c r="CD552" s="536"/>
      <c r="CE552" s="536"/>
      <c r="CF552" s="541">
        <f t="shared" si="217"/>
        <v>0</v>
      </c>
      <c r="CG552" s="536"/>
      <c r="CH552" s="536"/>
      <c r="CI552" s="536"/>
      <c r="CJ552" s="541">
        <f t="shared" si="218"/>
        <v>0</v>
      </c>
      <c r="CK552" s="536"/>
      <c r="CL552" s="536"/>
      <c r="CM552" s="536"/>
      <c r="CN552" s="541">
        <f t="shared" si="219"/>
        <v>0</v>
      </c>
      <c r="CO552" s="536"/>
      <c r="CP552" s="536"/>
      <c r="CQ552" s="536"/>
      <c r="CR552" s="541">
        <f t="shared" si="220"/>
        <v>0</v>
      </c>
      <c r="CS552" s="536"/>
      <c r="CT552" s="536"/>
      <c r="CU552" s="536"/>
      <c r="CV552" s="541">
        <f t="shared" si="221"/>
        <v>0</v>
      </c>
      <c r="CW552" s="536"/>
      <c r="CX552" s="536"/>
      <c r="CY552" s="536"/>
      <c r="CZ552" s="541">
        <f t="shared" si="222"/>
        <v>0</v>
      </c>
      <c r="DA552" s="536"/>
      <c r="DB552" s="536"/>
      <c r="DC552" s="536"/>
      <c r="DD552" s="541">
        <f t="shared" si="223"/>
        <v>0</v>
      </c>
      <c r="DE552" s="536"/>
      <c r="DF552" s="536"/>
      <c r="DG552" s="536"/>
      <c r="DH552" s="541">
        <f t="shared" si="224"/>
        <v>0</v>
      </c>
      <c r="DI552" s="536"/>
      <c r="DJ552" s="536"/>
      <c r="DK552" s="536"/>
      <c r="DL552" s="541">
        <f t="shared" si="225"/>
        <v>0</v>
      </c>
      <c r="DM552" s="536"/>
      <c r="DN552" s="536"/>
      <c r="DO552" s="536"/>
      <c r="DP552" s="541">
        <f>IF( SUM((DJ552*(20/100))+(DK552*(30/100))+(DL552*(50/100))) &gt;=9.3,9.5,
IF(AND( SUM((DJ552*(20/100))+(DK552*(30/100))+(DL552*(50/100))) &lt;=9.3, SUM((DJ552*(20/100))+(DK552*(30/100))+(DL552*(50/100))) &gt;=8.8),9,
IF(AND( SUM((DJ552*(20/100))+(DK552*(30/100))+(DL552*(50/100))) &lt;=8.8, SUM((DJ552*(20/100))+(DK552*(30/100))+(DL552*(50/100))) &gt;=8.3),8.5,
IF(AND( SUM((DJ552*(20/100))+(DK552*(30/100))+(DL552*(50/100))) &lt;=8.3, SUM((DJ552*(20/100))+(DK552*(30/100))+(DL552*(50/100))) &gt;=7.8),8,
IF(AND( SUM((DJ552*(20/100))+(DK552*(30/100))+(DL552*(50/100))) &lt;=7.8, SUM((DJ552*(20/100))+(DK552*(30/100))+(DL552*(50/100))) &gt;=7.3),7.5,
IF(AND( SUM((DJ552*(20/100))+(DK552*(30/100))+(DL552*(50/100))) &lt;=7.3, SUM((DJ552*(20/100))+(DK552*(30/100))+(DL552*(50/100))) &gt;=6.8),7,
IF(AND( SUM((DJ552*(20/100))+(DK552*(30/100))+(DL552*(50/100))) &lt;=6.8, SUM((DJ552*(20/100))+(DK552*(30/100))+(DL552*(50/100))) &gt;=6.3),6.5,
IF(AND( SUM((DJ552*(20/100))+(DK552*(30/100))+(DL552*(50/100))) &lt;=6.3, SUM((DJ552*(20/100))+(DK552*(30/100))+(DL552*(50/100))) &gt;=5.8),6,
IF(AND( SUM((DJ552*(20/100))+(DK552*(30/100))+(DL552*(50/100))) &lt;=5.8, SUM((DJ552*(20/100))+(DK552*(30/100))+(DL552*(50/100))) &gt;=5.3),5.5,
IF(AND( SUM((DJ552*(20/100))+(DK552*(30/100))+(DL552*(50/100))) &lt;=5.3, SUM((DJ552*(20/100))+(DK552*(30/100))+(DL552*(50/100))) &gt;=4.8),5,
IF(AND( SUM((DJ552*(20/100))+(DK552*(30/100))+(DL552*(50/100))) &lt;=4.8, SUM((DJ552*(20/100))+(DK552*(30/100))+(DL552*(50/100))) &gt;=4.3),4.5,
IF(AND( SUM((DJ552*(20/100))+(DK552*(30/100))+(DL552*(50/100))) &lt;=4.3, SUM((DJ552*(20/100))+(DK552*(30/100))+(DL552*(50/100))) &gt;=3.8),4,
IF(AND( SUM((DJ552*(20/100))+(DK552*(30/100))+(DL552*(50/100))) &lt;=3.8, SUM((DJ552*(20/100))+(DK552*(30/100))+(DL552*(50/100))) &gt;=3.5),3.5,0)))))))))))))</f>
        <v>0</v>
      </c>
      <c r="DQ552" s="541"/>
      <c r="DR552" s="541"/>
      <c r="DS552" s="541"/>
      <c r="DT552" s="541"/>
      <c r="DU552" s="541"/>
      <c r="DV552" s="541"/>
      <c r="DW552" s="541"/>
      <c r="DX552" s="541"/>
      <c r="DY552" s="541"/>
      <c r="DZ552" s="541"/>
    </row>
    <row r="553" spans="2:130" x14ac:dyDescent="0.25">
      <c r="B553" s="334">
        <v>46</v>
      </c>
      <c r="C553" s="541"/>
      <c r="D553" s="334"/>
      <c r="E553" s="334"/>
      <c r="F553" s="334"/>
      <c r="G553" s="334"/>
      <c r="H553" s="334"/>
      <c r="I553" s="334"/>
      <c r="J553" s="536"/>
      <c r="K553" s="536"/>
      <c r="L553" s="536"/>
      <c r="M553" s="536"/>
      <c r="N553" s="536"/>
      <c r="O553" s="536"/>
      <c r="P553" s="536">
        <f t="shared" si="201"/>
        <v>0</v>
      </c>
      <c r="Q553" s="536"/>
      <c r="R553" s="536"/>
      <c r="S553" s="536"/>
      <c r="T553" s="536">
        <f t="shared" si="202"/>
        <v>0</v>
      </c>
      <c r="U553" s="536"/>
      <c r="V553" s="536"/>
      <c r="W553" s="536"/>
      <c r="X553" s="536">
        <f t="shared" si="203"/>
        <v>0</v>
      </c>
      <c r="Y553" s="536"/>
      <c r="Z553" s="536"/>
      <c r="AA553" s="536"/>
      <c r="AB553" s="536">
        <f t="shared" si="204"/>
        <v>0</v>
      </c>
      <c r="AC553" s="536"/>
      <c r="AD553" s="536"/>
      <c r="AE553" s="536"/>
      <c r="AF553" s="536">
        <f t="shared" si="205"/>
        <v>0</v>
      </c>
      <c r="AG553" s="536"/>
      <c r="AH553" s="536"/>
      <c r="AI553" s="536"/>
      <c r="AJ553" s="536">
        <f t="shared" si="206"/>
        <v>0</v>
      </c>
      <c r="AK553" s="536"/>
      <c r="AL553" s="536"/>
      <c r="AM553" s="536"/>
      <c r="AN553" s="542">
        <f t="shared" si="207"/>
        <v>0</v>
      </c>
      <c r="AO553" s="536"/>
      <c r="AP553" s="536"/>
      <c r="AQ553" s="536"/>
      <c r="AR553" s="542">
        <f t="shared" si="208"/>
        <v>0</v>
      </c>
      <c r="AS553" s="536"/>
      <c r="AT553" s="536"/>
      <c r="AU553" s="536"/>
      <c r="AV553" s="542">
        <f t="shared" si="209"/>
        <v>0</v>
      </c>
      <c r="AW553" s="536"/>
      <c r="AX553" s="536"/>
      <c r="AY553" s="536"/>
      <c r="AZ553" s="542">
        <f t="shared" si="210"/>
        <v>0</v>
      </c>
      <c r="BA553" s="536"/>
      <c r="BB553" s="536"/>
      <c r="BC553" s="536"/>
      <c r="BD553" s="542">
        <f t="shared" si="211"/>
        <v>0</v>
      </c>
      <c r="BE553" s="536"/>
      <c r="BF553" s="536"/>
      <c r="BG553" s="536"/>
      <c r="BH553" s="542">
        <f t="shared" si="212"/>
        <v>0</v>
      </c>
      <c r="BI553" s="536"/>
      <c r="BJ553" s="536"/>
      <c r="BK553" s="536"/>
      <c r="BL553" s="542">
        <f t="shared" si="213"/>
        <v>0</v>
      </c>
      <c r="BM553" s="536"/>
      <c r="BN553" s="536"/>
      <c r="BO553" s="536"/>
      <c r="BP553" s="542">
        <f t="shared" si="214"/>
        <v>0</v>
      </c>
      <c r="BQ553" s="536"/>
      <c r="BR553" s="536"/>
      <c r="BS553" s="536"/>
      <c r="BT553" s="542">
        <f t="shared" si="215"/>
        <v>0</v>
      </c>
      <c r="BU553" s="536"/>
      <c r="BV553" s="536"/>
      <c r="BW553" s="536"/>
      <c r="BX553" s="542">
        <f t="shared" si="216"/>
        <v>0</v>
      </c>
      <c r="BY553" s="536"/>
      <c r="BZ553" s="536"/>
      <c r="CA553" s="536"/>
      <c r="CB553" s="542">
        <v>0</v>
      </c>
      <c r="CC553" s="536"/>
      <c r="CD553" s="536"/>
      <c r="CE553" s="536"/>
      <c r="CF553" s="541">
        <f t="shared" si="217"/>
        <v>0</v>
      </c>
      <c r="CG553" s="536"/>
      <c r="CH553" s="536"/>
      <c r="CI553" s="536"/>
      <c r="CJ553" s="541">
        <f t="shared" si="218"/>
        <v>0</v>
      </c>
      <c r="CK553" s="536"/>
      <c r="CL553" s="536"/>
      <c r="CM553" s="536"/>
      <c r="CN553" s="541">
        <f t="shared" si="219"/>
        <v>0</v>
      </c>
      <c r="CO553" s="536"/>
      <c r="CP553" s="536"/>
      <c r="CQ553" s="536"/>
      <c r="CR553" s="541">
        <f t="shared" si="220"/>
        <v>0</v>
      </c>
      <c r="CS553" s="536"/>
      <c r="CT553" s="536"/>
      <c r="CU553" s="536"/>
      <c r="CV553" s="541">
        <f t="shared" si="221"/>
        <v>0</v>
      </c>
      <c r="CW553" s="536"/>
      <c r="CX553" s="536"/>
      <c r="CY553" s="536"/>
      <c r="CZ553" s="541">
        <f t="shared" si="222"/>
        <v>0</v>
      </c>
      <c r="DA553" s="536"/>
      <c r="DB553" s="536"/>
      <c r="DC553" s="536"/>
      <c r="DD553" s="541">
        <f t="shared" si="223"/>
        <v>0</v>
      </c>
      <c r="DE553" s="536"/>
      <c r="DF553" s="536"/>
      <c r="DG553" s="536"/>
      <c r="DH553" s="541">
        <f t="shared" si="224"/>
        <v>0</v>
      </c>
      <c r="DI553" s="536"/>
      <c r="DJ553" s="536"/>
      <c r="DK553" s="536"/>
      <c r="DL553" s="541">
        <f t="shared" si="225"/>
        <v>0</v>
      </c>
      <c r="DM553" s="536"/>
      <c r="DN553" s="536"/>
      <c r="DO553" s="536"/>
      <c r="DP553" s="541">
        <f>IF( SUM((DJ553*(20/100))+(DK553*(30/100))+(DL553*(50/100))) &gt;=9.3,9.5,
IF(AND( SUM((DJ553*(20/100))+(DK553*(30/100))+(DL553*(50/100))) &lt;=9.3, SUM((DJ553*(20/100))+(DK553*(30/100))+(DL553*(50/100))) &gt;=8.8),9,
IF(AND( SUM((DJ553*(20/100))+(DK553*(30/100))+(DL553*(50/100))) &lt;=8.8, SUM((DJ553*(20/100))+(DK553*(30/100))+(DL553*(50/100))) &gt;=8.3),8.5,
IF(AND( SUM((DJ553*(20/100))+(DK553*(30/100))+(DL553*(50/100))) &lt;=8.3, SUM((DJ553*(20/100))+(DK553*(30/100))+(DL553*(50/100))) &gt;=7.8),8,
IF(AND( SUM((DJ553*(20/100))+(DK553*(30/100))+(DL553*(50/100))) &lt;=7.8, SUM((DJ553*(20/100))+(DK553*(30/100))+(DL553*(50/100))) &gt;=7.3),7.5,
IF(AND( SUM((DJ553*(20/100))+(DK553*(30/100))+(DL553*(50/100))) &lt;=7.3, SUM((DJ553*(20/100))+(DK553*(30/100))+(DL553*(50/100))) &gt;=6.8),7,
IF(AND( SUM((DJ553*(20/100))+(DK553*(30/100))+(DL553*(50/100))) &lt;=6.8, SUM((DJ553*(20/100))+(DK553*(30/100))+(DL553*(50/100))) &gt;=6.3),6.5,
IF(AND( SUM((DJ553*(20/100))+(DK553*(30/100))+(DL553*(50/100))) &lt;=6.3, SUM((DJ553*(20/100))+(DK553*(30/100))+(DL553*(50/100))) &gt;=5.8),6,
IF(AND( SUM((DJ553*(20/100))+(DK553*(30/100))+(DL553*(50/100))) &lt;=5.8, SUM((DJ553*(20/100))+(DK553*(30/100))+(DL553*(50/100))) &gt;=5.3),5.5,
IF(AND( SUM((DJ553*(20/100))+(DK553*(30/100))+(DL553*(50/100))) &lt;=5.3, SUM((DJ553*(20/100))+(DK553*(30/100))+(DL553*(50/100))) &gt;=4.8),5,
IF(AND( SUM((DJ553*(20/100))+(DK553*(30/100))+(DL553*(50/100))) &lt;=4.8, SUM((DJ553*(20/100))+(DK553*(30/100))+(DL553*(50/100))) &gt;=4.3),4.5,
IF(AND( SUM((DJ553*(20/100))+(DK553*(30/100))+(DL553*(50/100))) &lt;=4.3, SUM((DJ553*(20/100))+(DK553*(30/100))+(DL553*(50/100))) &gt;=3.8),4,
IF(AND( SUM((DJ553*(20/100))+(DK553*(30/100))+(DL553*(50/100))) &lt;=3.8, SUM((DJ553*(20/100))+(DK553*(30/100))+(DL553*(50/100))) &gt;=3.5),3.5,0)))))))))))))</f>
        <v>0</v>
      </c>
      <c r="DQ553" s="541"/>
      <c r="DR553" s="541"/>
      <c r="DS553" s="541"/>
      <c r="DT553" s="541"/>
      <c r="DU553" s="541"/>
      <c r="DV553" s="541"/>
      <c r="DW553" s="541"/>
      <c r="DX553" s="541"/>
      <c r="DY553" s="541"/>
      <c r="DZ553" s="541"/>
    </row>
    <row r="554" spans="2:130" x14ac:dyDescent="0.25">
      <c r="B554" s="334">
        <v>47</v>
      </c>
      <c r="C554" s="541"/>
      <c r="D554" s="334"/>
      <c r="E554" s="334"/>
      <c r="F554" s="334"/>
      <c r="G554" s="334"/>
      <c r="H554" s="334"/>
      <c r="I554" s="334"/>
      <c r="J554" s="536"/>
      <c r="K554" s="536"/>
      <c r="L554" s="536"/>
      <c r="M554" s="536"/>
      <c r="N554" s="536"/>
      <c r="O554" s="536"/>
      <c r="P554" s="536">
        <f t="shared" si="201"/>
        <v>0</v>
      </c>
      <c r="Q554" s="536"/>
      <c r="R554" s="536"/>
      <c r="S554" s="536"/>
      <c r="T554" s="536">
        <f t="shared" si="202"/>
        <v>0</v>
      </c>
      <c r="U554" s="536"/>
      <c r="V554" s="536"/>
      <c r="W554" s="536"/>
      <c r="X554" s="536">
        <f t="shared" si="203"/>
        <v>0</v>
      </c>
      <c r="Y554" s="536"/>
      <c r="Z554" s="536"/>
      <c r="AA554" s="536"/>
      <c r="AB554" s="536">
        <f t="shared" si="204"/>
        <v>0</v>
      </c>
      <c r="AC554" s="536"/>
      <c r="AD554" s="536"/>
      <c r="AE554" s="536"/>
      <c r="AF554" s="536">
        <f t="shared" si="205"/>
        <v>0</v>
      </c>
      <c r="AG554" s="536"/>
      <c r="AH554" s="536"/>
      <c r="AI554" s="536"/>
      <c r="AJ554" s="536">
        <f t="shared" si="206"/>
        <v>0</v>
      </c>
      <c r="AK554" s="536"/>
      <c r="AL554" s="536"/>
      <c r="AM554" s="536"/>
      <c r="AN554" s="542">
        <f t="shared" si="207"/>
        <v>0</v>
      </c>
      <c r="AO554" s="536"/>
      <c r="AP554" s="536"/>
      <c r="AQ554" s="536"/>
      <c r="AR554" s="542">
        <f t="shared" si="208"/>
        <v>0</v>
      </c>
      <c r="AS554" s="536"/>
      <c r="AT554" s="536"/>
      <c r="AU554" s="536"/>
      <c r="AV554" s="542">
        <f t="shared" si="209"/>
        <v>0</v>
      </c>
      <c r="AW554" s="536"/>
      <c r="AX554" s="536"/>
      <c r="AY554" s="536"/>
      <c r="AZ554" s="542">
        <f t="shared" si="210"/>
        <v>0</v>
      </c>
      <c r="BA554" s="536"/>
      <c r="BB554" s="536"/>
      <c r="BC554" s="536"/>
      <c r="BD554" s="542">
        <f t="shared" si="211"/>
        <v>0</v>
      </c>
      <c r="BE554" s="536"/>
      <c r="BF554" s="536"/>
      <c r="BG554" s="536"/>
      <c r="BH554" s="542">
        <f t="shared" si="212"/>
        <v>0</v>
      </c>
      <c r="BI554" s="536"/>
      <c r="BJ554" s="536"/>
      <c r="BK554" s="536"/>
      <c r="BL554" s="542">
        <f t="shared" si="213"/>
        <v>0</v>
      </c>
      <c r="BM554" s="536"/>
      <c r="BN554" s="536"/>
      <c r="BO554" s="536"/>
      <c r="BP554" s="542">
        <f t="shared" si="214"/>
        <v>0</v>
      </c>
      <c r="BQ554" s="536"/>
      <c r="BR554" s="536"/>
      <c r="BS554" s="536"/>
      <c r="BT554" s="542">
        <f t="shared" si="215"/>
        <v>0</v>
      </c>
      <c r="BU554" s="536"/>
      <c r="BV554" s="536"/>
      <c r="BW554" s="536"/>
      <c r="BX554" s="542">
        <f t="shared" si="216"/>
        <v>0</v>
      </c>
      <c r="BY554" s="536"/>
      <c r="BZ554" s="536"/>
      <c r="CA554" s="536"/>
      <c r="CB554" s="542">
        <v>0</v>
      </c>
      <c r="CC554" s="536"/>
      <c r="CD554" s="536"/>
      <c r="CE554" s="536"/>
      <c r="CF554" s="541">
        <f t="shared" si="217"/>
        <v>0</v>
      </c>
      <c r="CG554" s="536"/>
      <c r="CH554" s="536"/>
      <c r="CI554" s="536"/>
      <c r="CJ554" s="541">
        <f t="shared" si="218"/>
        <v>0</v>
      </c>
      <c r="CK554" s="536"/>
      <c r="CL554" s="536"/>
      <c r="CM554" s="536"/>
      <c r="CN554" s="541">
        <f t="shared" si="219"/>
        <v>0</v>
      </c>
      <c r="CO554" s="536"/>
      <c r="CP554" s="536"/>
      <c r="CQ554" s="536"/>
      <c r="CR554" s="541">
        <f t="shared" si="220"/>
        <v>0</v>
      </c>
      <c r="CS554" s="536"/>
      <c r="CT554" s="536"/>
      <c r="CU554" s="536"/>
      <c r="CV554" s="541">
        <f t="shared" si="221"/>
        <v>0</v>
      </c>
      <c r="CW554" s="536"/>
      <c r="CX554" s="536"/>
      <c r="CY554" s="536"/>
      <c r="CZ554" s="541">
        <f t="shared" si="222"/>
        <v>0</v>
      </c>
      <c r="DA554" s="536"/>
      <c r="DB554" s="536"/>
      <c r="DC554" s="536"/>
      <c r="DD554" s="541">
        <f t="shared" si="223"/>
        <v>0</v>
      </c>
      <c r="DE554" s="536"/>
      <c r="DF554" s="536"/>
      <c r="DG554" s="536"/>
      <c r="DH554" s="541">
        <f t="shared" si="224"/>
        <v>0</v>
      </c>
      <c r="DI554" s="536"/>
      <c r="DJ554" s="536"/>
      <c r="DK554" s="536"/>
      <c r="DL554" s="541">
        <f t="shared" si="225"/>
        <v>0</v>
      </c>
      <c r="DM554" s="536"/>
      <c r="DN554" s="536"/>
      <c r="DO554" s="536"/>
      <c r="DP554" s="541">
        <f>IF( SUM((DJ554*(20/100))+(DK554*(30/100))+(DL554*(50/100))) &gt;=9.3,9.5,
IF(AND( SUM((DJ554*(20/100))+(DK554*(30/100))+(DL554*(50/100))) &lt;=9.3, SUM((DJ554*(20/100))+(DK554*(30/100))+(DL554*(50/100))) &gt;=8.8),9,
IF(AND( SUM((DJ554*(20/100))+(DK554*(30/100))+(DL554*(50/100))) &lt;=8.8, SUM((DJ554*(20/100))+(DK554*(30/100))+(DL554*(50/100))) &gt;=8.3),8.5,
IF(AND( SUM((DJ554*(20/100))+(DK554*(30/100))+(DL554*(50/100))) &lt;=8.3, SUM((DJ554*(20/100))+(DK554*(30/100))+(DL554*(50/100))) &gt;=7.8),8,
IF(AND( SUM((DJ554*(20/100))+(DK554*(30/100))+(DL554*(50/100))) &lt;=7.8, SUM((DJ554*(20/100))+(DK554*(30/100))+(DL554*(50/100))) &gt;=7.3),7.5,
IF(AND( SUM((DJ554*(20/100))+(DK554*(30/100))+(DL554*(50/100))) &lt;=7.3, SUM((DJ554*(20/100))+(DK554*(30/100))+(DL554*(50/100))) &gt;=6.8),7,
IF(AND( SUM((DJ554*(20/100))+(DK554*(30/100))+(DL554*(50/100))) &lt;=6.8, SUM((DJ554*(20/100))+(DK554*(30/100))+(DL554*(50/100))) &gt;=6.3),6.5,
IF(AND( SUM((DJ554*(20/100))+(DK554*(30/100))+(DL554*(50/100))) &lt;=6.3, SUM((DJ554*(20/100))+(DK554*(30/100))+(DL554*(50/100))) &gt;=5.8),6,
IF(AND( SUM((DJ554*(20/100))+(DK554*(30/100))+(DL554*(50/100))) &lt;=5.8, SUM((DJ554*(20/100))+(DK554*(30/100))+(DL554*(50/100))) &gt;=5.3),5.5,
IF(AND( SUM((DJ554*(20/100))+(DK554*(30/100))+(DL554*(50/100))) &lt;=5.3, SUM((DJ554*(20/100))+(DK554*(30/100))+(DL554*(50/100))) &gt;=4.8),5,
IF(AND( SUM((DJ554*(20/100))+(DK554*(30/100))+(DL554*(50/100))) &lt;=4.8, SUM((DJ554*(20/100))+(DK554*(30/100))+(DL554*(50/100))) &gt;=4.3),4.5,
IF(AND( SUM((DJ554*(20/100))+(DK554*(30/100))+(DL554*(50/100))) &lt;=4.3, SUM((DJ554*(20/100))+(DK554*(30/100))+(DL554*(50/100))) &gt;=3.8),4,
IF(AND( SUM((DJ554*(20/100))+(DK554*(30/100))+(DL554*(50/100))) &lt;=3.8, SUM((DJ554*(20/100))+(DK554*(30/100))+(DL554*(50/100))) &gt;=3.5),3.5,0)))))))))))))</f>
        <v>0</v>
      </c>
      <c r="DQ554" s="541"/>
      <c r="DR554" s="541"/>
      <c r="DS554" s="541"/>
      <c r="DT554" s="541"/>
      <c r="DU554" s="541"/>
      <c r="DV554" s="541"/>
      <c r="DW554" s="541"/>
      <c r="DX554" s="541"/>
      <c r="DY554" s="541"/>
      <c r="DZ554" s="541"/>
    </row>
    <row r="555" spans="2:130" x14ac:dyDescent="0.25">
      <c r="B555" s="334">
        <v>48</v>
      </c>
      <c r="C555" s="541"/>
      <c r="D555" s="334"/>
      <c r="E555" s="334"/>
      <c r="F555" s="334"/>
      <c r="G555" s="334"/>
      <c r="H555" s="334"/>
      <c r="I555" s="334"/>
      <c r="J555" s="536"/>
      <c r="K555" s="536"/>
      <c r="L555" s="536"/>
      <c r="M555" s="536"/>
      <c r="N555" s="536"/>
      <c r="O555" s="536"/>
      <c r="P555" s="536">
        <f t="shared" si="201"/>
        <v>0</v>
      </c>
      <c r="Q555" s="536"/>
      <c r="R555" s="536"/>
      <c r="S555" s="536"/>
      <c r="T555" s="536">
        <f t="shared" si="202"/>
        <v>0</v>
      </c>
      <c r="U555" s="536"/>
      <c r="V555" s="536"/>
      <c r="W555" s="536"/>
      <c r="X555" s="536">
        <f t="shared" si="203"/>
        <v>0</v>
      </c>
      <c r="Y555" s="536"/>
      <c r="Z555" s="536"/>
      <c r="AA555" s="536"/>
      <c r="AB555" s="536">
        <f t="shared" si="204"/>
        <v>0</v>
      </c>
      <c r="AC555" s="536"/>
      <c r="AD555" s="536"/>
      <c r="AE555" s="536"/>
      <c r="AF555" s="536">
        <f t="shared" si="205"/>
        <v>0</v>
      </c>
      <c r="AG555" s="536"/>
      <c r="AH555" s="536"/>
      <c r="AI555" s="536"/>
      <c r="AJ555" s="536">
        <f t="shared" si="206"/>
        <v>0</v>
      </c>
      <c r="AK555" s="536"/>
      <c r="AL555" s="536"/>
      <c r="AM555" s="536"/>
      <c r="AN555" s="542">
        <f t="shared" si="207"/>
        <v>0</v>
      </c>
      <c r="AO555" s="536"/>
      <c r="AP555" s="536"/>
      <c r="AQ555" s="536"/>
      <c r="AR555" s="542">
        <f t="shared" si="208"/>
        <v>0</v>
      </c>
      <c r="AS555" s="536"/>
      <c r="AT555" s="536"/>
      <c r="AU555" s="536"/>
      <c r="AV555" s="542">
        <f t="shared" si="209"/>
        <v>0</v>
      </c>
      <c r="AW555" s="536"/>
      <c r="AX555" s="536"/>
      <c r="AY555" s="536"/>
      <c r="AZ555" s="542">
        <f t="shared" si="210"/>
        <v>0</v>
      </c>
      <c r="BA555" s="536"/>
      <c r="BB555" s="536"/>
      <c r="BC555" s="536"/>
      <c r="BD555" s="542">
        <f t="shared" si="211"/>
        <v>0</v>
      </c>
      <c r="BE555" s="536"/>
      <c r="BF555" s="536"/>
      <c r="BG555" s="536"/>
      <c r="BH555" s="542">
        <f t="shared" si="212"/>
        <v>0</v>
      </c>
      <c r="BI555" s="536"/>
      <c r="BJ555" s="536"/>
      <c r="BK555" s="536"/>
      <c r="BL555" s="542">
        <f t="shared" si="213"/>
        <v>0</v>
      </c>
      <c r="BM555" s="536"/>
      <c r="BN555" s="536"/>
      <c r="BO555" s="536"/>
      <c r="BP555" s="542">
        <f t="shared" si="214"/>
        <v>0</v>
      </c>
      <c r="BQ555" s="536"/>
      <c r="BR555" s="536"/>
      <c r="BS555" s="536"/>
      <c r="BT555" s="542">
        <f t="shared" si="215"/>
        <v>0</v>
      </c>
      <c r="BU555" s="536"/>
      <c r="BV555" s="536"/>
      <c r="BW555" s="536"/>
      <c r="BX555" s="542">
        <f t="shared" si="216"/>
        <v>0</v>
      </c>
      <c r="BY555" s="536"/>
      <c r="BZ555" s="536"/>
      <c r="CA555" s="536"/>
      <c r="CB555" s="542">
        <v>0</v>
      </c>
      <c r="CC555" s="536"/>
      <c r="CD555" s="536"/>
      <c r="CE555" s="536"/>
      <c r="CF555" s="541">
        <f t="shared" si="217"/>
        <v>0</v>
      </c>
      <c r="CG555" s="536"/>
      <c r="CH555" s="536"/>
      <c r="CI555" s="536"/>
      <c r="CJ555" s="541">
        <f t="shared" si="218"/>
        <v>0</v>
      </c>
      <c r="CK555" s="536"/>
      <c r="CL555" s="536"/>
      <c r="CM555" s="536"/>
      <c r="CN555" s="541">
        <f t="shared" si="219"/>
        <v>0</v>
      </c>
      <c r="CO555" s="536"/>
      <c r="CP555" s="536"/>
      <c r="CQ555" s="536"/>
      <c r="CR555" s="541">
        <f t="shared" si="220"/>
        <v>0</v>
      </c>
      <c r="CS555" s="536"/>
      <c r="CT555" s="536"/>
      <c r="CU555" s="536"/>
      <c r="CV555" s="541">
        <f t="shared" si="221"/>
        <v>0</v>
      </c>
      <c r="CW555" s="536"/>
      <c r="CX555" s="536"/>
      <c r="CY555" s="536"/>
      <c r="CZ555" s="541">
        <f t="shared" si="222"/>
        <v>0</v>
      </c>
      <c r="DA555" s="536"/>
      <c r="DB555" s="536"/>
      <c r="DC555" s="536"/>
      <c r="DD555" s="541">
        <f t="shared" si="223"/>
        <v>0</v>
      </c>
      <c r="DE555" s="536"/>
      <c r="DF555" s="536"/>
      <c r="DG555" s="536"/>
      <c r="DH555" s="541">
        <f t="shared" si="224"/>
        <v>0</v>
      </c>
      <c r="DI555" s="536"/>
      <c r="DJ555" s="536"/>
      <c r="DK555" s="536"/>
      <c r="DL555" s="541">
        <f t="shared" si="225"/>
        <v>0</v>
      </c>
      <c r="DM555" s="536"/>
      <c r="DN555" s="536"/>
      <c r="DO555" s="536"/>
      <c r="DP555" s="541">
        <f>IF( SUM((DJ555*(20/100))+(DK555*(30/100))+(DL555*(50/100))) &gt;=9.3,9.5,
IF(AND( SUM((DJ555*(20/100))+(DK555*(30/100))+(DL555*(50/100))) &lt;=9.3, SUM((DJ555*(20/100))+(DK555*(30/100))+(DL555*(50/100))) &gt;=8.8),9,
IF(AND( SUM((DJ555*(20/100))+(DK555*(30/100))+(DL555*(50/100))) &lt;=8.8, SUM((DJ555*(20/100))+(DK555*(30/100))+(DL555*(50/100))) &gt;=8.3),8.5,
IF(AND( SUM((DJ555*(20/100))+(DK555*(30/100))+(DL555*(50/100))) &lt;=8.3, SUM((DJ555*(20/100))+(DK555*(30/100))+(DL555*(50/100))) &gt;=7.8),8,
IF(AND( SUM((DJ555*(20/100))+(DK555*(30/100))+(DL555*(50/100))) &lt;=7.8, SUM((DJ555*(20/100))+(DK555*(30/100))+(DL555*(50/100))) &gt;=7.3),7.5,
IF(AND( SUM((DJ555*(20/100))+(DK555*(30/100))+(DL555*(50/100))) &lt;=7.3, SUM((DJ555*(20/100))+(DK555*(30/100))+(DL555*(50/100))) &gt;=6.8),7,
IF(AND( SUM((DJ555*(20/100))+(DK555*(30/100))+(DL555*(50/100))) &lt;=6.8, SUM((DJ555*(20/100))+(DK555*(30/100))+(DL555*(50/100))) &gt;=6.3),6.5,
IF(AND( SUM((DJ555*(20/100))+(DK555*(30/100))+(DL555*(50/100))) &lt;=6.3, SUM((DJ555*(20/100))+(DK555*(30/100))+(DL555*(50/100))) &gt;=5.8),6,
IF(AND( SUM((DJ555*(20/100))+(DK555*(30/100))+(DL555*(50/100))) &lt;=5.8, SUM((DJ555*(20/100))+(DK555*(30/100))+(DL555*(50/100))) &gt;=5.3),5.5,
IF(AND( SUM((DJ555*(20/100))+(DK555*(30/100))+(DL555*(50/100))) &lt;=5.3, SUM((DJ555*(20/100))+(DK555*(30/100))+(DL555*(50/100))) &gt;=4.8),5,
IF(AND( SUM((DJ555*(20/100))+(DK555*(30/100))+(DL555*(50/100))) &lt;=4.8, SUM((DJ555*(20/100))+(DK555*(30/100))+(DL555*(50/100))) &gt;=4.3),4.5,
IF(AND( SUM((DJ555*(20/100))+(DK555*(30/100))+(DL555*(50/100))) &lt;=4.3, SUM((DJ555*(20/100))+(DK555*(30/100))+(DL555*(50/100))) &gt;=3.8),4,
IF(AND( SUM((DJ555*(20/100))+(DK555*(30/100))+(DL555*(50/100))) &lt;=3.8, SUM((DJ555*(20/100))+(DK555*(30/100))+(DL555*(50/100))) &gt;=3.5),3.5,0)))))))))))))</f>
        <v>0</v>
      </c>
      <c r="DQ555" s="541"/>
      <c r="DR555" s="541"/>
      <c r="DS555" s="541"/>
      <c r="DT555" s="541"/>
      <c r="DU555" s="541"/>
      <c r="DV555" s="541"/>
      <c r="DW555" s="541"/>
      <c r="DX555" s="541"/>
      <c r="DY555" s="541"/>
      <c r="DZ555" s="541"/>
    </row>
    <row r="556" spans="2:130" x14ac:dyDescent="0.25">
      <c r="B556" s="334">
        <v>49</v>
      </c>
      <c r="C556" s="541"/>
      <c r="D556" s="334"/>
      <c r="E556" s="334"/>
      <c r="F556" s="334"/>
      <c r="G556" s="334"/>
      <c r="H556" s="334"/>
      <c r="I556" s="334"/>
      <c r="J556" s="536"/>
      <c r="K556" s="536"/>
      <c r="L556" s="536"/>
      <c r="M556" s="536"/>
      <c r="N556" s="536"/>
      <c r="O556" s="536"/>
      <c r="P556" s="536">
        <f t="shared" si="201"/>
        <v>0</v>
      </c>
      <c r="Q556" s="536"/>
      <c r="R556" s="536"/>
      <c r="S556" s="536"/>
      <c r="T556" s="536">
        <f t="shared" si="202"/>
        <v>0</v>
      </c>
      <c r="U556" s="536"/>
      <c r="V556" s="536"/>
      <c r="W556" s="536"/>
      <c r="X556" s="536">
        <f t="shared" si="203"/>
        <v>0</v>
      </c>
      <c r="Y556" s="536"/>
      <c r="Z556" s="536"/>
      <c r="AA556" s="536"/>
      <c r="AB556" s="536">
        <f t="shared" si="204"/>
        <v>0</v>
      </c>
      <c r="AC556" s="536"/>
      <c r="AD556" s="536"/>
      <c r="AE556" s="536"/>
      <c r="AF556" s="536">
        <f t="shared" si="205"/>
        <v>0</v>
      </c>
      <c r="AG556" s="536"/>
      <c r="AH556" s="536"/>
      <c r="AI556" s="536"/>
      <c r="AJ556" s="536">
        <f t="shared" si="206"/>
        <v>0</v>
      </c>
      <c r="AK556" s="536"/>
      <c r="AL556" s="536"/>
      <c r="AM556" s="536"/>
      <c r="AN556" s="542">
        <f t="shared" si="207"/>
        <v>0</v>
      </c>
      <c r="AO556" s="536"/>
      <c r="AP556" s="536"/>
      <c r="AQ556" s="536"/>
      <c r="AR556" s="542">
        <f t="shared" si="208"/>
        <v>0</v>
      </c>
      <c r="AS556" s="536"/>
      <c r="AT556" s="536"/>
      <c r="AU556" s="536"/>
      <c r="AV556" s="542">
        <f t="shared" si="209"/>
        <v>0</v>
      </c>
      <c r="AW556" s="536"/>
      <c r="AX556" s="536"/>
      <c r="AY556" s="536"/>
      <c r="AZ556" s="542">
        <f t="shared" si="210"/>
        <v>0</v>
      </c>
      <c r="BA556" s="536"/>
      <c r="BB556" s="536"/>
      <c r="BC556" s="536"/>
      <c r="BD556" s="542">
        <f t="shared" si="211"/>
        <v>0</v>
      </c>
      <c r="BE556" s="536"/>
      <c r="BF556" s="536"/>
      <c r="BG556" s="536"/>
      <c r="BH556" s="542">
        <f t="shared" si="212"/>
        <v>0</v>
      </c>
      <c r="BI556" s="536"/>
      <c r="BJ556" s="536"/>
      <c r="BK556" s="536"/>
      <c r="BL556" s="542">
        <f t="shared" si="213"/>
        <v>0</v>
      </c>
      <c r="BM556" s="536"/>
      <c r="BN556" s="536"/>
      <c r="BO556" s="536"/>
      <c r="BP556" s="542">
        <f t="shared" si="214"/>
        <v>0</v>
      </c>
      <c r="BQ556" s="536"/>
      <c r="BR556" s="536"/>
      <c r="BS556" s="536"/>
      <c r="BT556" s="542">
        <f t="shared" si="215"/>
        <v>0</v>
      </c>
      <c r="BU556" s="536"/>
      <c r="BV556" s="536"/>
      <c r="BW556" s="536"/>
      <c r="BX556" s="542">
        <f t="shared" si="216"/>
        <v>0</v>
      </c>
      <c r="BY556" s="536"/>
      <c r="BZ556" s="536"/>
      <c r="CA556" s="536"/>
      <c r="CB556" s="542">
        <v>0</v>
      </c>
      <c r="CC556" s="536"/>
      <c r="CD556" s="536"/>
      <c r="CE556" s="536"/>
      <c r="CF556" s="541">
        <f t="shared" si="217"/>
        <v>0</v>
      </c>
      <c r="CG556" s="536"/>
      <c r="CH556" s="536"/>
      <c r="CI556" s="536"/>
      <c r="CJ556" s="541">
        <f t="shared" si="218"/>
        <v>0</v>
      </c>
      <c r="CK556" s="536"/>
      <c r="CL556" s="536"/>
      <c r="CM556" s="536"/>
      <c r="CN556" s="541">
        <f t="shared" si="219"/>
        <v>0</v>
      </c>
      <c r="CO556" s="536"/>
      <c r="CP556" s="536"/>
      <c r="CQ556" s="536"/>
      <c r="CR556" s="541">
        <f t="shared" si="220"/>
        <v>0</v>
      </c>
      <c r="CS556" s="536"/>
      <c r="CT556" s="536"/>
      <c r="CU556" s="536"/>
      <c r="CV556" s="541">
        <f t="shared" si="221"/>
        <v>0</v>
      </c>
      <c r="CW556" s="536"/>
      <c r="CX556" s="536"/>
      <c r="CY556" s="536"/>
      <c r="CZ556" s="541">
        <f t="shared" si="222"/>
        <v>0</v>
      </c>
      <c r="DA556" s="536"/>
      <c r="DB556" s="536"/>
      <c r="DC556" s="536"/>
      <c r="DD556" s="541">
        <f t="shared" si="223"/>
        <v>0</v>
      </c>
      <c r="DE556" s="536"/>
      <c r="DF556" s="536"/>
      <c r="DG556" s="536"/>
      <c r="DH556" s="541">
        <f t="shared" si="224"/>
        <v>0</v>
      </c>
      <c r="DI556" s="536"/>
      <c r="DJ556" s="536"/>
      <c r="DK556" s="536"/>
      <c r="DL556" s="541">
        <f t="shared" si="225"/>
        <v>0</v>
      </c>
      <c r="DM556" s="536"/>
      <c r="DN556" s="536"/>
      <c r="DO556" s="536"/>
      <c r="DP556" s="541">
        <f>IF( SUM((DJ556*(20/100))+(DK556*(30/100))+(DL556*(50/100))) &gt;=9.3,9.5,
IF(AND( SUM((DJ556*(20/100))+(DK556*(30/100))+(DL556*(50/100))) &lt;=9.3, SUM((DJ556*(20/100))+(DK556*(30/100))+(DL556*(50/100))) &gt;=8.8),9,
IF(AND( SUM((DJ556*(20/100))+(DK556*(30/100))+(DL556*(50/100))) &lt;=8.8, SUM((DJ556*(20/100))+(DK556*(30/100))+(DL556*(50/100))) &gt;=8.3),8.5,
IF(AND( SUM((DJ556*(20/100))+(DK556*(30/100))+(DL556*(50/100))) &lt;=8.3, SUM((DJ556*(20/100))+(DK556*(30/100))+(DL556*(50/100))) &gt;=7.8),8,
IF(AND( SUM((DJ556*(20/100))+(DK556*(30/100))+(DL556*(50/100))) &lt;=7.8, SUM((DJ556*(20/100))+(DK556*(30/100))+(DL556*(50/100))) &gt;=7.3),7.5,
IF(AND( SUM((DJ556*(20/100))+(DK556*(30/100))+(DL556*(50/100))) &lt;=7.3, SUM((DJ556*(20/100))+(DK556*(30/100))+(DL556*(50/100))) &gt;=6.8),7,
IF(AND( SUM((DJ556*(20/100))+(DK556*(30/100))+(DL556*(50/100))) &lt;=6.8, SUM((DJ556*(20/100))+(DK556*(30/100))+(DL556*(50/100))) &gt;=6.3),6.5,
IF(AND( SUM((DJ556*(20/100))+(DK556*(30/100))+(DL556*(50/100))) &lt;=6.3, SUM((DJ556*(20/100))+(DK556*(30/100))+(DL556*(50/100))) &gt;=5.8),6,
IF(AND( SUM((DJ556*(20/100))+(DK556*(30/100))+(DL556*(50/100))) &lt;=5.8, SUM((DJ556*(20/100))+(DK556*(30/100))+(DL556*(50/100))) &gt;=5.3),5.5,
IF(AND( SUM((DJ556*(20/100))+(DK556*(30/100))+(DL556*(50/100))) &lt;=5.3, SUM((DJ556*(20/100))+(DK556*(30/100))+(DL556*(50/100))) &gt;=4.8),5,
IF(AND( SUM((DJ556*(20/100))+(DK556*(30/100))+(DL556*(50/100))) &lt;=4.8, SUM((DJ556*(20/100))+(DK556*(30/100))+(DL556*(50/100))) &gt;=4.3),4.5,
IF(AND( SUM((DJ556*(20/100))+(DK556*(30/100))+(DL556*(50/100))) &lt;=4.3, SUM((DJ556*(20/100))+(DK556*(30/100))+(DL556*(50/100))) &gt;=3.8),4,
IF(AND( SUM((DJ556*(20/100))+(DK556*(30/100))+(DL556*(50/100))) &lt;=3.8, SUM((DJ556*(20/100))+(DK556*(30/100))+(DL556*(50/100))) &gt;=3.5),3.5,0)))))))))))))</f>
        <v>0</v>
      </c>
      <c r="DQ556" s="541"/>
      <c r="DR556" s="541"/>
      <c r="DS556" s="541"/>
      <c r="DT556" s="541"/>
      <c r="DU556" s="541"/>
      <c r="DV556" s="541"/>
      <c r="DW556" s="541"/>
      <c r="DX556" s="541"/>
      <c r="DY556" s="541"/>
      <c r="DZ556" s="541"/>
    </row>
    <row r="557" spans="2:130" x14ac:dyDescent="0.25">
      <c r="B557" s="334">
        <v>50</v>
      </c>
      <c r="C557" s="541"/>
      <c r="D557" s="334"/>
      <c r="E557" s="334"/>
      <c r="F557" s="334"/>
      <c r="G557" s="334"/>
      <c r="H557" s="334"/>
      <c r="I557" s="334"/>
      <c r="J557" s="536"/>
      <c r="K557" s="536"/>
      <c r="L557" s="536"/>
      <c r="M557" s="536"/>
      <c r="N557" s="536"/>
      <c r="O557" s="536"/>
      <c r="P557" s="536">
        <f t="shared" si="201"/>
        <v>0</v>
      </c>
      <c r="Q557" s="536"/>
      <c r="R557" s="536"/>
      <c r="S557" s="536"/>
      <c r="T557" s="536">
        <f t="shared" si="202"/>
        <v>0</v>
      </c>
      <c r="U557" s="536"/>
      <c r="V557" s="536"/>
      <c r="W557" s="536"/>
      <c r="X557" s="536">
        <f t="shared" si="203"/>
        <v>0</v>
      </c>
      <c r="Y557" s="536"/>
      <c r="Z557" s="536"/>
      <c r="AA557" s="536"/>
      <c r="AB557" s="536">
        <f t="shared" si="204"/>
        <v>0</v>
      </c>
      <c r="AC557" s="536"/>
      <c r="AD557" s="536"/>
      <c r="AE557" s="536"/>
      <c r="AF557" s="536">
        <f t="shared" si="205"/>
        <v>0</v>
      </c>
      <c r="AG557" s="536"/>
      <c r="AH557" s="536"/>
      <c r="AI557" s="536"/>
      <c r="AJ557" s="536">
        <f t="shared" si="206"/>
        <v>0</v>
      </c>
      <c r="AK557" s="536"/>
      <c r="AL557" s="536"/>
      <c r="AM557" s="536"/>
      <c r="AN557" s="542">
        <f t="shared" si="207"/>
        <v>0</v>
      </c>
      <c r="AO557" s="536"/>
      <c r="AP557" s="536"/>
      <c r="AQ557" s="536"/>
      <c r="AR557" s="542">
        <f t="shared" si="208"/>
        <v>0</v>
      </c>
      <c r="AS557" s="536"/>
      <c r="AT557" s="536"/>
      <c r="AU557" s="536"/>
      <c r="AV557" s="542">
        <f t="shared" si="209"/>
        <v>0</v>
      </c>
      <c r="AW557" s="536"/>
      <c r="AX557" s="536"/>
      <c r="AY557" s="536"/>
      <c r="AZ557" s="542">
        <f t="shared" si="210"/>
        <v>0</v>
      </c>
      <c r="BA557" s="536"/>
      <c r="BB557" s="536"/>
      <c r="BC557" s="536"/>
      <c r="BD557" s="542">
        <f t="shared" si="211"/>
        <v>0</v>
      </c>
      <c r="BE557" s="536"/>
      <c r="BF557" s="536"/>
      <c r="BG557" s="536"/>
      <c r="BH557" s="542">
        <f t="shared" si="212"/>
        <v>0</v>
      </c>
      <c r="BI557" s="536"/>
      <c r="BJ557" s="536"/>
      <c r="BK557" s="536"/>
      <c r="BL557" s="542">
        <f t="shared" si="213"/>
        <v>0</v>
      </c>
      <c r="BM557" s="536"/>
      <c r="BN557" s="536"/>
      <c r="BO557" s="536"/>
      <c r="BP557" s="542">
        <f t="shared" si="214"/>
        <v>0</v>
      </c>
      <c r="BQ557" s="536"/>
      <c r="BR557" s="536"/>
      <c r="BS557" s="536"/>
      <c r="BT557" s="542">
        <f t="shared" si="215"/>
        <v>0</v>
      </c>
      <c r="BU557" s="536"/>
      <c r="BV557" s="536"/>
      <c r="BW557" s="536"/>
      <c r="BX557" s="542">
        <f t="shared" si="216"/>
        <v>0</v>
      </c>
      <c r="BY557" s="536"/>
      <c r="BZ557" s="536"/>
      <c r="CA557" s="536"/>
      <c r="CB557" s="542">
        <v>0</v>
      </c>
      <c r="CC557" s="536"/>
      <c r="CD557" s="536"/>
      <c r="CE557" s="536"/>
      <c r="CF557" s="541">
        <f t="shared" si="217"/>
        <v>0</v>
      </c>
      <c r="CG557" s="536"/>
      <c r="CH557" s="536"/>
      <c r="CI557" s="536"/>
      <c r="CJ557" s="541">
        <f t="shared" si="218"/>
        <v>0</v>
      </c>
      <c r="CK557" s="536"/>
      <c r="CL557" s="536"/>
      <c r="CM557" s="536"/>
      <c r="CN557" s="541">
        <f t="shared" si="219"/>
        <v>0</v>
      </c>
      <c r="CO557" s="536"/>
      <c r="CP557" s="536"/>
      <c r="CQ557" s="536"/>
      <c r="CR557" s="541">
        <f t="shared" si="220"/>
        <v>0</v>
      </c>
      <c r="CS557" s="536"/>
      <c r="CT557" s="536"/>
      <c r="CU557" s="536"/>
      <c r="CV557" s="541">
        <f t="shared" si="221"/>
        <v>0</v>
      </c>
      <c r="CW557" s="536"/>
      <c r="CX557" s="536"/>
      <c r="CY557" s="536"/>
      <c r="CZ557" s="541">
        <f t="shared" si="222"/>
        <v>0</v>
      </c>
      <c r="DA557" s="536"/>
      <c r="DB557" s="536"/>
      <c r="DC557" s="536"/>
      <c r="DD557" s="541">
        <f t="shared" si="223"/>
        <v>0</v>
      </c>
      <c r="DE557" s="536"/>
      <c r="DF557" s="536"/>
      <c r="DG557" s="536"/>
      <c r="DH557" s="541">
        <f t="shared" si="224"/>
        <v>0</v>
      </c>
      <c r="DI557" s="536"/>
      <c r="DJ557" s="536"/>
      <c r="DK557" s="536"/>
      <c r="DL557" s="541">
        <f t="shared" si="225"/>
        <v>0</v>
      </c>
      <c r="DM557" s="536"/>
      <c r="DN557" s="536"/>
      <c r="DO557" s="536"/>
      <c r="DP557" s="541">
        <f>IF( SUM((DJ557*(20/100))+(DK557*(30/100))+(DL557*(50/100))) &gt;=9.3,9.5,
IF(AND( SUM((DJ557*(20/100))+(DK557*(30/100))+(DL557*(50/100))) &lt;=9.3, SUM((DJ557*(20/100))+(DK557*(30/100))+(DL557*(50/100))) &gt;=8.8),9,
IF(AND( SUM((DJ557*(20/100))+(DK557*(30/100))+(DL557*(50/100))) &lt;=8.8, SUM((DJ557*(20/100))+(DK557*(30/100))+(DL557*(50/100))) &gt;=8.3),8.5,
IF(AND( SUM((DJ557*(20/100))+(DK557*(30/100))+(DL557*(50/100))) &lt;=8.3, SUM((DJ557*(20/100))+(DK557*(30/100))+(DL557*(50/100))) &gt;=7.8),8,
IF(AND( SUM((DJ557*(20/100))+(DK557*(30/100))+(DL557*(50/100))) &lt;=7.8, SUM((DJ557*(20/100))+(DK557*(30/100))+(DL557*(50/100))) &gt;=7.3),7.5,
IF(AND( SUM((DJ557*(20/100))+(DK557*(30/100))+(DL557*(50/100))) &lt;=7.3, SUM((DJ557*(20/100))+(DK557*(30/100))+(DL557*(50/100))) &gt;=6.8),7,
IF(AND( SUM((DJ557*(20/100))+(DK557*(30/100))+(DL557*(50/100))) &lt;=6.8, SUM((DJ557*(20/100))+(DK557*(30/100))+(DL557*(50/100))) &gt;=6.3),6.5,
IF(AND( SUM((DJ557*(20/100))+(DK557*(30/100))+(DL557*(50/100))) &lt;=6.3, SUM((DJ557*(20/100))+(DK557*(30/100))+(DL557*(50/100))) &gt;=5.8),6,
IF(AND( SUM((DJ557*(20/100))+(DK557*(30/100))+(DL557*(50/100))) &lt;=5.8, SUM((DJ557*(20/100))+(DK557*(30/100))+(DL557*(50/100))) &gt;=5.3),5.5,
IF(AND( SUM((DJ557*(20/100))+(DK557*(30/100))+(DL557*(50/100))) &lt;=5.3, SUM((DJ557*(20/100))+(DK557*(30/100))+(DL557*(50/100))) &gt;=4.8),5,
IF(AND( SUM((DJ557*(20/100))+(DK557*(30/100))+(DL557*(50/100))) &lt;=4.8, SUM((DJ557*(20/100))+(DK557*(30/100))+(DL557*(50/100))) &gt;=4.3),4.5,
IF(AND( SUM((DJ557*(20/100))+(DK557*(30/100))+(DL557*(50/100))) &lt;=4.3, SUM((DJ557*(20/100))+(DK557*(30/100))+(DL557*(50/100))) &gt;=3.8),4,
IF(AND( SUM((DJ557*(20/100))+(DK557*(30/100))+(DL557*(50/100))) &lt;=3.8, SUM((DJ557*(20/100))+(DK557*(30/100))+(DL557*(50/100))) &gt;=3.5),3.5,0)))))))))))))</f>
        <v>0</v>
      </c>
      <c r="DQ557" s="541"/>
      <c r="DR557" s="541"/>
      <c r="DS557" s="541"/>
      <c r="DT557" s="541"/>
      <c r="DU557" s="541"/>
      <c r="DV557" s="541"/>
      <c r="DW557" s="541"/>
      <c r="DX557" s="541"/>
      <c r="DY557" s="541"/>
      <c r="DZ557" s="541"/>
    </row>
    <row r="558" spans="2:130" x14ac:dyDescent="0.25">
      <c r="B558" s="334">
        <v>1</v>
      </c>
      <c r="C558" s="541"/>
      <c r="D558" s="334"/>
      <c r="E558" s="334"/>
      <c r="F558" s="334"/>
      <c r="G558" s="334"/>
      <c r="H558" s="334"/>
      <c r="I558" s="334"/>
      <c r="J558" s="536"/>
      <c r="K558" s="536"/>
      <c r="L558" s="536"/>
      <c r="M558" s="536"/>
      <c r="N558" s="536"/>
      <c r="O558" s="536"/>
      <c r="P558" s="536">
        <f t="shared" si="201"/>
        <v>0</v>
      </c>
      <c r="Q558" s="536"/>
      <c r="R558" s="536"/>
      <c r="S558" s="536"/>
      <c r="T558" s="536">
        <f t="shared" si="202"/>
        <v>0</v>
      </c>
      <c r="U558" s="536"/>
      <c r="V558" s="536"/>
      <c r="W558" s="536"/>
      <c r="X558" s="536">
        <f t="shared" si="203"/>
        <v>0</v>
      </c>
      <c r="Y558" s="536"/>
      <c r="Z558" s="536"/>
      <c r="AA558" s="536"/>
      <c r="AB558" s="536">
        <f t="shared" si="204"/>
        <v>0</v>
      </c>
      <c r="AC558" s="536"/>
      <c r="AD558" s="536"/>
      <c r="AE558" s="536"/>
      <c r="AF558" s="536">
        <f t="shared" si="205"/>
        <v>0</v>
      </c>
      <c r="AG558" s="536"/>
      <c r="AH558" s="536"/>
      <c r="AI558" s="536"/>
      <c r="AJ558" s="536">
        <f t="shared" si="206"/>
        <v>0</v>
      </c>
      <c r="AK558" s="536"/>
      <c r="AL558" s="536"/>
      <c r="AM558" s="536"/>
      <c r="AN558" s="542">
        <f t="shared" si="207"/>
        <v>0</v>
      </c>
      <c r="AO558" s="536"/>
      <c r="AP558" s="536"/>
      <c r="AQ558" s="536"/>
      <c r="AR558" s="542">
        <f t="shared" si="208"/>
        <v>0</v>
      </c>
      <c r="AS558" s="536"/>
      <c r="AT558" s="536"/>
      <c r="AU558" s="536"/>
      <c r="AV558" s="542">
        <f t="shared" si="209"/>
        <v>0</v>
      </c>
      <c r="AW558" s="536"/>
      <c r="AX558" s="536"/>
      <c r="AY558" s="536"/>
      <c r="AZ558" s="542">
        <f t="shared" si="210"/>
        <v>0</v>
      </c>
      <c r="BA558" s="536"/>
      <c r="BB558" s="536"/>
      <c r="BC558" s="536"/>
      <c r="BD558" s="542">
        <f t="shared" si="211"/>
        <v>0</v>
      </c>
      <c r="BE558" s="536"/>
      <c r="BF558" s="536"/>
      <c r="BG558" s="536"/>
      <c r="BH558" s="542">
        <f t="shared" si="212"/>
        <v>0</v>
      </c>
      <c r="BI558" s="536"/>
      <c r="BJ558" s="536"/>
      <c r="BK558" s="536"/>
      <c r="BL558" s="542">
        <f t="shared" si="213"/>
        <v>0</v>
      </c>
      <c r="BM558" s="536"/>
      <c r="BN558" s="536"/>
      <c r="BO558" s="536"/>
      <c r="BP558" s="542">
        <f t="shared" si="214"/>
        <v>0</v>
      </c>
      <c r="BQ558" s="536"/>
      <c r="BR558" s="536"/>
      <c r="BS558" s="536"/>
      <c r="BT558" s="542">
        <f t="shared" si="215"/>
        <v>0</v>
      </c>
      <c r="BU558" s="536"/>
      <c r="BV558" s="536"/>
      <c r="BW558" s="536"/>
      <c r="BX558" s="542">
        <f t="shared" si="216"/>
        <v>0</v>
      </c>
      <c r="BY558" s="536"/>
      <c r="BZ558" s="536"/>
      <c r="CA558" s="536"/>
      <c r="CB558" s="542">
        <v>0</v>
      </c>
      <c r="CC558" s="536"/>
      <c r="CD558" s="536"/>
      <c r="CE558" s="536"/>
      <c r="CF558" s="541">
        <f t="shared" si="217"/>
        <v>0</v>
      </c>
      <c r="CG558" s="536"/>
      <c r="CH558" s="536"/>
      <c r="CI558" s="536"/>
      <c r="CJ558" s="541">
        <f t="shared" si="218"/>
        <v>0</v>
      </c>
      <c r="CK558" s="536"/>
      <c r="CL558" s="536"/>
      <c r="CM558" s="536"/>
      <c r="CN558" s="541">
        <f t="shared" si="219"/>
        <v>0</v>
      </c>
      <c r="CO558" s="536"/>
      <c r="CP558" s="536"/>
      <c r="CQ558" s="536"/>
      <c r="CR558" s="541">
        <f t="shared" si="220"/>
        <v>0</v>
      </c>
      <c r="CS558" s="536"/>
      <c r="CT558" s="536"/>
      <c r="CU558" s="536"/>
      <c r="CV558" s="541">
        <f t="shared" si="221"/>
        <v>0</v>
      </c>
      <c r="CW558" s="536"/>
      <c r="CX558" s="536"/>
      <c r="CY558" s="536"/>
      <c r="CZ558" s="541">
        <f t="shared" si="222"/>
        <v>0</v>
      </c>
      <c r="DA558" s="536"/>
      <c r="DB558" s="536"/>
      <c r="DC558" s="536"/>
      <c r="DD558" s="541">
        <f t="shared" si="223"/>
        <v>0</v>
      </c>
      <c r="DE558" s="536"/>
      <c r="DF558" s="536"/>
      <c r="DG558" s="536"/>
      <c r="DH558" s="541">
        <f t="shared" si="224"/>
        <v>0</v>
      </c>
      <c r="DI558" s="536"/>
      <c r="DJ558" s="536"/>
      <c r="DK558" s="536"/>
      <c r="DL558" s="541">
        <f t="shared" si="225"/>
        <v>0</v>
      </c>
      <c r="DM558" s="536"/>
      <c r="DN558" s="536"/>
      <c r="DO558" s="536"/>
      <c r="DP558" s="541">
        <f>IF( SUM((DJ558*(20/100))+(DK558*(30/100))+(DL558*(50/100))) &gt;=9.3,9.5,
IF(AND( SUM((DJ558*(20/100))+(DK558*(30/100))+(DL558*(50/100))) &lt;=9.3, SUM((DJ558*(20/100))+(DK558*(30/100))+(DL558*(50/100))) &gt;=8.8),9,
IF(AND( SUM((DJ558*(20/100))+(DK558*(30/100))+(DL558*(50/100))) &lt;=8.8, SUM((DJ558*(20/100))+(DK558*(30/100))+(DL558*(50/100))) &gt;=8.3),8.5,
IF(AND( SUM((DJ558*(20/100))+(DK558*(30/100))+(DL558*(50/100))) &lt;=8.3, SUM((DJ558*(20/100))+(DK558*(30/100))+(DL558*(50/100))) &gt;=7.8),8,
IF(AND( SUM((DJ558*(20/100))+(DK558*(30/100))+(DL558*(50/100))) &lt;=7.8, SUM((DJ558*(20/100))+(DK558*(30/100))+(DL558*(50/100))) &gt;=7.3),7.5,
IF(AND( SUM((DJ558*(20/100))+(DK558*(30/100))+(DL558*(50/100))) &lt;=7.3, SUM((DJ558*(20/100))+(DK558*(30/100))+(DL558*(50/100))) &gt;=6.8),7,
IF(AND( SUM((DJ558*(20/100))+(DK558*(30/100))+(DL558*(50/100))) &lt;=6.8, SUM((DJ558*(20/100))+(DK558*(30/100))+(DL558*(50/100))) &gt;=6.3),6.5,
IF(AND( SUM((DJ558*(20/100))+(DK558*(30/100))+(DL558*(50/100))) &lt;=6.3, SUM((DJ558*(20/100))+(DK558*(30/100))+(DL558*(50/100))) &gt;=5.8),6,
IF(AND( SUM((DJ558*(20/100))+(DK558*(30/100))+(DL558*(50/100))) &lt;=5.8, SUM((DJ558*(20/100))+(DK558*(30/100))+(DL558*(50/100))) &gt;=5.3),5.5,
IF(AND( SUM((DJ558*(20/100))+(DK558*(30/100))+(DL558*(50/100))) &lt;=5.3, SUM((DJ558*(20/100))+(DK558*(30/100))+(DL558*(50/100))) &gt;=4.8),5,
IF(AND( SUM((DJ558*(20/100))+(DK558*(30/100))+(DL558*(50/100))) &lt;=4.8, SUM((DJ558*(20/100))+(DK558*(30/100))+(DL558*(50/100))) &gt;=4.3),4.5,
IF(AND( SUM((DJ558*(20/100))+(DK558*(30/100))+(DL558*(50/100))) &lt;=4.3, SUM((DJ558*(20/100))+(DK558*(30/100))+(DL558*(50/100))) &gt;=3.8),4,
IF(AND( SUM((DJ558*(20/100))+(DK558*(30/100))+(DL558*(50/100))) &lt;=3.8, SUM((DJ558*(20/100))+(DK558*(30/100))+(DL558*(50/100))) &gt;=3.5),3.5,0)))))))))))))</f>
        <v>0</v>
      </c>
      <c r="DQ558" s="541"/>
      <c r="DR558" s="541"/>
      <c r="DS558" s="541"/>
      <c r="DT558" s="541"/>
      <c r="DU558" s="541"/>
      <c r="DV558" s="541"/>
      <c r="DW558" s="541"/>
      <c r="DX558" s="541"/>
      <c r="DY558" s="541"/>
      <c r="DZ558" s="541"/>
    </row>
    <row r="559" spans="2:130" x14ac:dyDescent="0.25">
      <c r="B559" s="334">
        <v>2</v>
      </c>
      <c r="C559" s="541"/>
      <c r="D559" s="334"/>
      <c r="E559" s="334"/>
      <c r="F559" s="334"/>
      <c r="G559" s="334"/>
      <c r="H559" s="334"/>
      <c r="I559" s="334"/>
      <c r="J559" s="536"/>
      <c r="K559" s="536"/>
      <c r="L559" s="536"/>
      <c r="M559" s="536"/>
      <c r="N559" s="536"/>
      <c r="O559" s="536"/>
      <c r="P559" s="536">
        <f t="shared" si="201"/>
        <v>0</v>
      </c>
      <c r="Q559" s="536"/>
      <c r="R559" s="536"/>
      <c r="S559" s="536"/>
      <c r="T559" s="536">
        <f t="shared" si="202"/>
        <v>0</v>
      </c>
      <c r="U559" s="536"/>
      <c r="V559" s="536"/>
      <c r="W559" s="536"/>
      <c r="X559" s="536">
        <f t="shared" si="203"/>
        <v>0</v>
      </c>
      <c r="Y559" s="536"/>
      <c r="Z559" s="536"/>
      <c r="AA559" s="536"/>
      <c r="AB559" s="536">
        <f t="shared" si="204"/>
        <v>0</v>
      </c>
      <c r="AC559" s="536"/>
      <c r="AD559" s="536"/>
      <c r="AE559" s="536"/>
      <c r="AF559" s="536">
        <f t="shared" si="205"/>
        <v>0</v>
      </c>
      <c r="AG559" s="536"/>
      <c r="AH559" s="536"/>
      <c r="AI559" s="536"/>
      <c r="AJ559" s="536">
        <f t="shared" si="206"/>
        <v>0</v>
      </c>
      <c r="AK559" s="536"/>
      <c r="AL559" s="536"/>
      <c r="AM559" s="536"/>
      <c r="AN559" s="542">
        <f t="shared" si="207"/>
        <v>0</v>
      </c>
      <c r="AO559" s="536"/>
      <c r="AP559" s="536"/>
      <c r="AQ559" s="536"/>
      <c r="AR559" s="542">
        <f t="shared" si="208"/>
        <v>0</v>
      </c>
      <c r="AS559" s="536"/>
      <c r="AT559" s="536"/>
      <c r="AU559" s="536"/>
      <c r="AV559" s="542">
        <f t="shared" si="209"/>
        <v>0</v>
      </c>
      <c r="AW559" s="536"/>
      <c r="AX559" s="536"/>
      <c r="AY559" s="536"/>
      <c r="AZ559" s="542">
        <f t="shared" si="210"/>
        <v>0</v>
      </c>
      <c r="BA559" s="536"/>
      <c r="BB559" s="536"/>
      <c r="BC559" s="536"/>
      <c r="BD559" s="542">
        <f t="shared" si="211"/>
        <v>0</v>
      </c>
      <c r="BE559" s="536"/>
      <c r="BF559" s="536"/>
      <c r="BG559" s="536"/>
      <c r="BH559" s="542">
        <f t="shared" si="212"/>
        <v>0</v>
      </c>
      <c r="BI559" s="536"/>
      <c r="BJ559" s="536"/>
      <c r="BK559" s="536"/>
      <c r="BL559" s="542">
        <f t="shared" si="213"/>
        <v>0</v>
      </c>
      <c r="BM559" s="536"/>
      <c r="BN559" s="536"/>
      <c r="BO559" s="536"/>
      <c r="BP559" s="542">
        <f t="shared" si="214"/>
        <v>0</v>
      </c>
      <c r="BQ559" s="536"/>
      <c r="BR559" s="536"/>
      <c r="BS559" s="536"/>
      <c r="BT559" s="542">
        <f t="shared" si="215"/>
        <v>0</v>
      </c>
      <c r="BU559" s="536"/>
      <c r="BV559" s="536"/>
      <c r="BW559" s="536"/>
      <c r="BX559" s="542">
        <f t="shared" si="216"/>
        <v>0</v>
      </c>
      <c r="BY559" s="536"/>
      <c r="BZ559" s="536"/>
      <c r="CA559" s="536"/>
      <c r="CB559" s="542">
        <v>0</v>
      </c>
      <c r="CC559" s="536"/>
      <c r="CD559" s="536"/>
      <c r="CE559" s="536"/>
      <c r="CF559" s="541">
        <f t="shared" si="217"/>
        <v>0</v>
      </c>
      <c r="CG559" s="536"/>
      <c r="CH559" s="536"/>
      <c r="CI559" s="536"/>
      <c r="CJ559" s="541">
        <f t="shared" si="218"/>
        <v>0</v>
      </c>
      <c r="CK559" s="536"/>
      <c r="CL559" s="536"/>
      <c r="CM559" s="536"/>
      <c r="CN559" s="541">
        <f t="shared" si="219"/>
        <v>0</v>
      </c>
      <c r="CO559" s="536"/>
      <c r="CP559" s="536"/>
      <c r="CQ559" s="536"/>
      <c r="CR559" s="541">
        <f t="shared" si="220"/>
        <v>0</v>
      </c>
      <c r="CS559" s="536"/>
      <c r="CT559" s="536"/>
      <c r="CU559" s="536"/>
      <c r="CV559" s="541">
        <f t="shared" si="221"/>
        <v>0</v>
      </c>
      <c r="CW559" s="536"/>
      <c r="CX559" s="536"/>
      <c r="CY559" s="536"/>
      <c r="CZ559" s="541">
        <f t="shared" si="222"/>
        <v>0</v>
      </c>
      <c r="DA559" s="536"/>
      <c r="DB559" s="536"/>
      <c r="DC559" s="536"/>
      <c r="DD559" s="541">
        <f t="shared" si="223"/>
        <v>0</v>
      </c>
      <c r="DE559" s="536"/>
      <c r="DF559" s="536"/>
      <c r="DG559" s="536"/>
      <c r="DH559" s="541">
        <f t="shared" si="224"/>
        <v>0</v>
      </c>
      <c r="DI559" s="536"/>
      <c r="DJ559" s="536"/>
      <c r="DK559" s="536"/>
      <c r="DL559" s="541">
        <f t="shared" si="225"/>
        <v>0</v>
      </c>
      <c r="DM559" s="536"/>
      <c r="DN559" s="536"/>
      <c r="DO559" s="536"/>
      <c r="DP559" s="541">
        <f>IF( SUM((DJ559*(20/100))+(DK559*(30/100))+(DL559*(50/100))) &gt;=9.3,9.5,
IF(AND( SUM((DJ559*(20/100))+(DK559*(30/100))+(DL559*(50/100))) &lt;=9.3, SUM((DJ559*(20/100))+(DK559*(30/100))+(DL559*(50/100))) &gt;=8.8),9,
IF(AND( SUM((DJ559*(20/100))+(DK559*(30/100))+(DL559*(50/100))) &lt;=8.8, SUM((DJ559*(20/100))+(DK559*(30/100))+(DL559*(50/100))) &gt;=8.3),8.5,
IF(AND( SUM((DJ559*(20/100))+(DK559*(30/100))+(DL559*(50/100))) &lt;=8.3, SUM((DJ559*(20/100))+(DK559*(30/100))+(DL559*(50/100))) &gt;=7.8),8,
IF(AND( SUM((DJ559*(20/100))+(DK559*(30/100))+(DL559*(50/100))) &lt;=7.8, SUM((DJ559*(20/100))+(DK559*(30/100))+(DL559*(50/100))) &gt;=7.3),7.5,
IF(AND( SUM((DJ559*(20/100))+(DK559*(30/100))+(DL559*(50/100))) &lt;=7.3, SUM((DJ559*(20/100))+(DK559*(30/100))+(DL559*(50/100))) &gt;=6.8),7,
IF(AND( SUM((DJ559*(20/100))+(DK559*(30/100))+(DL559*(50/100))) &lt;=6.8, SUM((DJ559*(20/100))+(DK559*(30/100))+(DL559*(50/100))) &gt;=6.3),6.5,
IF(AND( SUM((DJ559*(20/100))+(DK559*(30/100))+(DL559*(50/100))) &lt;=6.3, SUM((DJ559*(20/100))+(DK559*(30/100))+(DL559*(50/100))) &gt;=5.8),6,
IF(AND( SUM((DJ559*(20/100))+(DK559*(30/100))+(DL559*(50/100))) &lt;=5.8, SUM((DJ559*(20/100))+(DK559*(30/100))+(DL559*(50/100))) &gt;=5.3),5.5,
IF(AND( SUM((DJ559*(20/100))+(DK559*(30/100))+(DL559*(50/100))) &lt;=5.3, SUM((DJ559*(20/100))+(DK559*(30/100))+(DL559*(50/100))) &gt;=4.8),5,
IF(AND( SUM((DJ559*(20/100))+(DK559*(30/100))+(DL559*(50/100))) &lt;=4.8, SUM((DJ559*(20/100))+(DK559*(30/100))+(DL559*(50/100))) &gt;=4.3),4.5,
IF(AND( SUM((DJ559*(20/100))+(DK559*(30/100))+(DL559*(50/100))) &lt;=4.3, SUM((DJ559*(20/100))+(DK559*(30/100))+(DL559*(50/100))) &gt;=3.8),4,
IF(AND( SUM((DJ559*(20/100))+(DK559*(30/100))+(DL559*(50/100))) &lt;=3.8, SUM((DJ559*(20/100))+(DK559*(30/100))+(DL559*(50/100))) &gt;=3.5),3.5,0)))))))))))))</f>
        <v>0</v>
      </c>
      <c r="DQ559" s="541"/>
      <c r="DR559" s="541"/>
      <c r="DS559" s="541"/>
      <c r="DT559" s="541"/>
      <c r="DU559" s="541"/>
      <c r="DV559" s="541"/>
      <c r="DW559" s="541"/>
      <c r="DX559" s="541"/>
      <c r="DY559" s="541"/>
      <c r="DZ559" s="541"/>
    </row>
    <row r="560" spans="2:130" x14ac:dyDescent="0.25">
      <c r="B560" s="334">
        <v>3</v>
      </c>
      <c r="C560" s="541"/>
      <c r="D560" s="334"/>
      <c r="E560" s="334"/>
      <c r="F560" s="334"/>
      <c r="G560" s="334"/>
      <c r="H560" s="334"/>
      <c r="I560" s="334"/>
      <c r="J560" s="536"/>
      <c r="K560" s="536"/>
      <c r="L560" s="536"/>
      <c r="M560" s="536"/>
      <c r="N560" s="536"/>
      <c r="O560" s="536"/>
      <c r="P560" s="536">
        <f t="shared" si="201"/>
        <v>0</v>
      </c>
      <c r="Q560" s="536"/>
      <c r="R560" s="536"/>
      <c r="S560" s="536"/>
      <c r="T560" s="536">
        <f t="shared" si="202"/>
        <v>0</v>
      </c>
      <c r="U560" s="536"/>
      <c r="V560" s="536"/>
      <c r="W560" s="536"/>
      <c r="X560" s="536">
        <f t="shared" si="203"/>
        <v>0</v>
      </c>
      <c r="Y560" s="536"/>
      <c r="Z560" s="536"/>
      <c r="AA560" s="536"/>
      <c r="AB560" s="536">
        <f t="shared" si="204"/>
        <v>0</v>
      </c>
      <c r="AC560" s="536"/>
      <c r="AD560" s="536"/>
      <c r="AE560" s="536"/>
      <c r="AF560" s="536">
        <f t="shared" si="205"/>
        <v>0</v>
      </c>
      <c r="AG560" s="536"/>
      <c r="AH560" s="536"/>
      <c r="AI560" s="536"/>
      <c r="AJ560" s="536">
        <f t="shared" si="206"/>
        <v>0</v>
      </c>
      <c r="AK560" s="536"/>
      <c r="AL560" s="536"/>
      <c r="AM560" s="536"/>
      <c r="AN560" s="542">
        <f t="shared" si="207"/>
        <v>0</v>
      </c>
      <c r="AO560" s="536"/>
      <c r="AP560" s="536"/>
      <c r="AQ560" s="536"/>
      <c r="AR560" s="542">
        <f t="shared" si="208"/>
        <v>0</v>
      </c>
      <c r="AS560" s="536"/>
      <c r="AT560" s="536"/>
      <c r="AU560" s="536"/>
      <c r="AV560" s="542">
        <f t="shared" si="209"/>
        <v>0</v>
      </c>
      <c r="AW560" s="536"/>
      <c r="AX560" s="536"/>
      <c r="AY560" s="536"/>
      <c r="AZ560" s="542">
        <f t="shared" si="210"/>
        <v>0</v>
      </c>
      <c r="BA560" s="536"/>
      <c r="BB560" s="536"/>
      <c r="BC560" s="536"/>
      <c r="BD560" s="542">
        <f t="shared" si="211"/>
        <v>0</v>
      </c>
      <c r="BE560" s="536"/>
      <c r="BF560" s="536"/>
      <c r="BG560" s="536"/>
      <c r="BH560" s="542">
        <f t="shared" si="212"/>
        <v>0</v>
      </c>
      <c r="BI560" s="536"/>
      <c r="BJ560" s="536"/>
      <c r="BK560" s="536"/>
      <c r="BL560" s="542">
        <f t="shared" si="213"/>
        <v>0</v>
      </c>
      <c r="BM560" s="536"/>
      <c r="BN560" s="536"/>
      <c r="BO560" s="536"/>
      <c r="BP560" s="542">
        <f t="shared" si="214"/>
        <v>0</v>
      </c>
      <c r="BQ560" s="536"/>
      <c r="BR560" s="536"/>
      <c r="BS560" s="536"/>
      <c r="BT560" s="542">
        <f t="shared" si="215"/>
        <v>0</v>
      </c>
      <c r="BU560" s="536"/>
      <c r="BV560" s="536"/>
      <c r="BW560" s="536"/>
      <c r="BX560" s="542">
        <f t="shared" si="216"/>
        <v>0</v>
      </c>
      <c r="BY560" s="536"/>
      <c r="BZ560" s="536"/>
      <c r="CA560" s="536"/>
      <c r="CB560" s="542">
        <v>0</v>
      </c>
      <c r="CC560" s="536"/>
      <c r="CD560" s="536"/>
      <c r="CE560" s="536"/>
      <c r="CF560" s="541">
        <f t="shared" si="217"/>
        <v>0</v>
      </c>
      <c r="CG560" s="536"/>
      <c r="CH560" s="536"/>
      <c r="CI560" s="536"/>
      <c r="CJ560" s="541">
        <f t="shared" si="218"/>
        <v>0</v>
      </c>
      <c r="CK560" s="536"/>
      <c r="CL560" s="536"/>
      <c r="CM560" s="536"/>
      <c r="CN560" s="541">
        <f t="shared" si="219"/>
        <v>0</v>
      </c>
      <c r="CO560" s="536"/>
      <c r="CP560" s="536"/>
      <c r="CQ560" s="536"/>
      <c r="CR560" s="541">
        <f t="shared" si="220"/>
        <v>0</v>
      </c>
      <c r="CS560" s="536"/>
      <c r="CT560" s="536"/>
      <c r="CU560" s="536"/>
      <c r="CV560" s="541">
        <f t="shared" si="221"/>
        <v>0</v>
      </c>
      <c r="CW560" s="536"/>
      <c r="CX560" s="536"/>
      <c r="CY560" s="536"/>
      <c r="CZ560" s="541">
        <f t="shared" si="222"/>
        <v>0</v>
      </c>
      <c r="DA560" s="536"/>
      <c r="DB560" s="536"/>
      <c r="DC560" s="536"/>
      <c r="DD560" s="541">
        <f t="shared" si="223"/>
        <v>0</v>
      </c>
      <c r="DE560" s="536"/>
      <c r="DF560" s="536"/>
      <c r="DG560" s="536"/>
      <c r="DH560" s="541">
        <f t="shared" si="224"/>
        <v>0</v>
      </c>
      <c r="DI560" s="536"/>
      <c r="DJ560" s="536"/>
      <c r="DK560" s="536"/>
      <c r="DL560" s="541">
        <f t="shared" si="225"/>
        <v>0</v>
      </c>
      <c r="DM560" s="536"/>
      <c r="DN560" s="536"/>
      <c r="DO560" s="536"/>
      <c r="DP560" s="541">
        <f>IF( SUM((DJ560*(20/100))+(DK560*(30/100))+(DL560*(50/100))) &gt;=9.3,9.5,
IF(AND( SUM((DJ560*(20/100))+(DK560*(30/100))+(DL560*(50/100))) &lt;=9.3, SUM((DJ560*(20/100))+(DK560*(30/100))+(DL560*(50/100))) &gt;=8.8),9,
IF(AND( SUM((DJ560*(20/100))+(DK560*(30/100))+(DL560*(50/100))) &lt;=8.8, SUM((DJ560*(20/100))+(DK560*(30/100))+(DL560*(50/100))) &gt;=8.3),8.5,
IF(AND( SUM((DJ560*(20/100))+(DK560*(30/100))+(DL560*(50/100))) &lt;=8.3, SUM((DJ560*(20/100))+(DK560*(30/100))+(DL560*(50/100))) &gt;=7.8),8,
IF(AND( SUM((DJ560*(20/100))+(DK560*(30/100))+(DL560*(50/100))) &lt;=7.8, SUM((DJ560*(20/100))+(DK560*(30/100))+(DL560*(50/100))) &gt;=7.3),7.5,
IF(AND( SUM((DJ560*(20/100))+(DK560*(30/100))+(DL560*(50/100))) &lt;=7.3, SUM((DJ560*(20/100))+(DK560*(30/100))+(DL560*(50/100))) &gt;=6.8),7,
IF(AND( SUM((DJ560*(20/100))+(DK560*(30/100))+(DL560*(50/100))) &lt;=6.8, SUM((DJ560*(20/100))+(DK560*(30/100))+(DL560*(50/100))) &gt;=6.3),6.5,
IF(AND( SUM((DJ560*(20/100))+(DK560*(30/100))+(DL560*(50/100))) &lt;=6.3, SUM((DJ560*(20/100))+(DK560*(30/100))+(DL560*(50/100))) &gt;=5.8),6,
IF(AND( SUM((DJ560*(20/100))+(DK560*(30/100))+(DL560*(50/100))) &lt;=5.8, SUM((DJ560*(20/100))+(DK560*(30/100))+(DL560*(50/100))) &gt;=5.3),5.5,
IF(AND( SUM((DJ560*(20/100))+(DK560*(30/100))+(DL560*(50/100))) &lt;=5.3, SUM((DJ560*(20/100))+(DK560*(30/100))+(DL560*(50/100))) &gt;=4.8),5,
IF(AND( SUM((DJ560*(20/100))+(DK560*(30/100))+(DL560*(50/100))) &lt;=4.8, SUM((DJ560*(20/100))+(DK560*(30/100))+(DL560*(50/100))) &gt;=4.3),4.5,
IF(AND( SUM((DJ560*(20/100))+(DK560*(30/100))+(DL560*(50/100))) &lt;=4.3, SUM((DJ560*(20/100))+(DK560*(30/100))+(DL560*(50/100))) &gt;=3.8),4,
IF(AND( SUM((DJ560*(20/100))+(DK560*(30/100))+(DL560*(50/100))) &lt;=3.8, SUM((DJ560*(20/100))+(DK560*(30/100))+(DL560*(50/100))) &gt;=3.5),3.5,0)))))))))))))</f>
        <v>0</v>
      </c>
      <c r="DQ560" s="541"/>
      <c r="DR560" s="541"/>
      <c r="DS560" s="541"/>
      <c r="DT560" s="541"/>
      <c r="DU560" s="541"/>
      <c r="DV560" s="541"/>
      <c r="DW560" s="541"/>
      <c r="DX560" s="541"/>
      <c r="DY560" s="541"/>
      <c r="DZ560" s="541"/>
    </row>
    <row r="561" spans="2:130" x14ac:dyDescent="0.25">
      <c r="B561" s="334">
        <v>4</v>
      </c>
      <c r="C561" s="541"/>
      <c r="D561" s="334"/>
      <c r="E561" s="334"/>
      <c r="F561" s="334"/>
      <c r="G561" s="334"/>
      <c r="H561" s="334"/>
      <c r="I561" s="334"/>
      <c r="J561" s="536"/>
      <c r="K561" s="536"/>
      <c r="L561" s="536"/>
      <c r="M561" s="536"/>
      <c r="N561" s="536"/>
      <c r="O561" s="536"/>
      <c r="P561" s="536">
        <f t="shared" si="201"/>
        <v>0</v>
      </c>
      <c r="Q561" s="536"/>
      <c r="R561" s="536"/>
      <c r="S561" s="536"/>
      <c r="T561" s="536">
        <f t="shared" si="202"/>
        <v>0</v>
      </c>
      <c r="U561" s="536"/>
      <c r="V561" s="536"/>
      <c r="W561" s="536"/>
      <c r="X561" s="536">
        <f t="shared" si="203"/>
        <v>0</v>
      </c>
      <c r="Y561" s="536"/>
      <c r="Z561" s="536"/>
      <c r="AA561" s="536"/>
      <c r="AB561" s="536">
        <f t="shared" si="204"/>
        <v>0</v>
      </c>
      <c r="AC561" s="536"/>
      <c r="AD561" s="536"/>
      <c r="AE561" s="536"/>
      <c r="AF561" s="536">
        <f t="shared" si="205"/>
        <v>0</v>
      </c>
      <c r="AG561" s="536"/>
      <c r="AH561" s="536"/>
      <c r="AI561" s="536"/>
      <c r="AJ561" s="536">
        <f t="shared" si="206"/>
        <v>0</v>
      </c>
      <c r="AK561" s="536"/>
      <c r="AL561" s="536"/>
      <c r="AM561" s="536"/>
      <c r="AN561" s="542">
        <f t="shared" si="207"/>
        <v>0</v>
      </c>
      <c r="AO561" s="536"/>
      <c r="AP561" s="536"/>
      <c r="AQ561" s="536"/>
      <c r="AR561" s="542">
        <f t="shared" si="208"/>
        <v>0</v>
      </c>
      <c r="AS561" s="536"/>
      <c r="AT561" s="536"/>
      <c r="AU561" s="536"/>
      <c r="AV561" s="542">
        <f t="shared" si="209"/>
        <v>0</v>
      </c>
      <c r="AW561" s="536"/>
      <c r="AX561" s="536"/>
      <c r="AY561" s="536"/>
      <c r="AZ561" s="542">
        <f t="shared" si="210"/>
        <v>0</v>
      </c>
      <c r="BA561" s="536"/>
      <c r="BB561" s="536"/>
      <c r="BC561" s="536"/>
      <c r="BD561" s="542">
        <f t="shared" si="211"/>
        <v>0</v>
      </c>
      <c r="BE561" s="536"/>
      <c r="BF561" s="536"/>
      <c r="BG561" s="536"/>
      <c r="BH561" s="542">
        <f t="shared" si="212"/>
        <v>0</v>
      </c>
      <c r="BI561" s="536"/>
      <c r="BJ561" s="536"/>
      <c r="BK561" s="536"/>
      <c r="BL561" s="542">
        <f t="shared" si="213"/>
        <v>0</v>
      </c>
      <c r="BM561" s="536"/>
      <c r="BN561" s="536"/>
      <c r="BO561" s="536"/>
      <c r="BP561" s="542">
        <f t="shared" si="214"/>
        <v>0</v>
      </c>
      <c r="BQ561" s="536"/>
      <c r="BR561" s="536"/>
      <c r="BS561" s="536"/>
      <c r="BT561" s="542">
        <f t="shared" si="215"/>
        <v>0</v>
      </c>
      <c r="BU561" s="536"/>
      <c r="BV561" s="536"/>
      <c r="BW561" s="536"/>
      <c r="BX561" s="542">
        <f t="shared" si="216"/>
        <v>0</v>
      </c>
      <c r="BY561" s="536"/>
      <c r="BZ561" s="536"/>
      <c r="CA561" s="536"/>
      <c r="CB561" s="542">
        <v>0</v>
      </c>
      <c r="CC561" s="536"/>
      <c r="CD561" s="536"/>
      <c r="CE561" s="536"/>
      <c r="CF561" s="541">
        <f t="shared" si="217"/>
        <v>0</v>
      </c>
      <c r="CG561" s="536"/>
      <c r="CH561" s="536"/>
      <c r="CI561" s="536"/>
      <c r="CJ561" s="541">
        <f t="shared" si="218"/>
        <v>0</v>
      </c>
      <c r="CK561" s="536"/>
      <c r="CL561" s="536"/>
      <c r="CM561" s="536"/>
      <c r="CN561" s="541">
        <f t="shared" si="219"/>
        <v>0</v>
      </c>
      <c r="CO561" s="536"/>
      <c r="CP561" s="536"/>
      <c r="CQ561" s="536"/>
      <c r="CR561" s="541">
        <f t="shared" si="220"/>
        <v>0</v>
      </c>
      <c r="CS561" s="536"/>
      <c r="CT561" s="536"/>
      <c r="CU561" s="536"/>
      <c r="CV561" s="541">
        <f t="shared" si="221"/>
        <v>0</v>
      </c>
      <c r="CW561" s="536"/>
      <c r="CX561" s="536"/>
      <c r="CY561" s="536"/>
      <c r="CZ561" s="541">
        <f t="shared" si="222"/>
        <v>0</v>
      </c>
      <c r="DA561" s="536"/>
      <c r="DB561" s="536"/>
      <c r="DC561" s="536"/>
      <c r="DD561" s="541">
        <f t="shared" si="223"/>
        <v>0</v>
      </c>
      <c r="DE561" s="536"/>
      <c r="DF561" s="536"/>
      <c r="DG561" s="536"/>
      <c r="DH561" s="541">
        <f t="shared" si="224"/>
        <v>0</v>
      </c>
      <c r="DI561" s="536"/>
      <c r="DJ561" s="536"/>
      <c r="DK561" s="536"/>
      <c r="DL561" s="541">
        <f t="shared" si="225"/>
        <v>0</v>
      </c>
      <c r="DM561" s="536"/>
      <c r="DN561" s="536"/>
      <c r="DO561" s="536"/>
      <c r="DP561" s="541">
        <f>IF( SUM((DJ561*(20/100))+(DK561*(30/100))+(DL561*(50/100))) &gt;=9.3,9.5,
IF(AND( SUM((DJ561*(20/100))+(DK561*(30/100))+(DL561*(50/100))) &lt;=9.3, SUM((DJ561*(20/100))+(DK561*(30/100))+(DL561*(50/100))) &gt;=8.8),9,
IF(AND( SUM((DJ561*(20/100))+(DK561*(30/100))+(DL561*(50/100))) &lt;=8.8, SUM((DJ561*(20/100))+(DK561*(30/100))+(DL561*(50/100))) &gt;=8.3),8.5,
IF(AND( SUM((DJ561*(20/100))+(DK561*(30/100))+(DL561*(50/100))) &lt;=8.3, SUM((DJ561*(20/100))+(DK561*(30/100))+(DL561*(50/100))) &gt;=7.8),8,
IF(AND( SUM((DJ561*(20/100))+(DK561*(30/100))+(DL561*(50/100))) &lt;=7.8, SUM((DJ561*(20/100))+(DK561*(30/100))+(DL561*(50/100))) &gt;=7.3),7.5,
IF(AND( SUM((DJ561*(20/100))+(DK561*(30/100))+(DL561*(50/100))) &lt;=7.3, SUM((DJ561*(20/100))+(DK561*(30/100))+(DL561*(50/100))) &gt;=6.8),7,
IF(AND( SUM((DJ561*(20/100))+(DK561*(30/100))+(DL561*(50/100))) &lt;=6.8, SUM((DJ561*(20/100))+(DK561*(30/100))+(DL561*(50/100))) &gt;=6.3),6.5,
IF(AND( SUM((DJ561*(20/100))+(DK561*(30/100))+(DL561*(50/100))) &lt;=6.3, SUM((DJ561*(20/100))+(DK561*(30/100))+(DL561*(50/100))) &gt;=5.8),6,
IF(AND( SUM((DJ561*(20/100))+(DK561*(30/100))+(DL561*(50/100))) &lt;=5.8, SUM((DJ561*(20/100))+(DK561*(30/100))+(DL561*(50/100))) &gt;=5.3),5.5,
IF(AND( SUM((DJ561*(20/100))+(DK561*(30/100))+(DL561*(50/100))) &lt;=5.3, SUM((DJ561*(20/100))+(DK561*(30/100))+(DL561*(50/100))) &gt;=4.8),5,
IF(AND( SUM((DJ561*(20/100))+(DK561*(30/100))+(DL561*(50/100))) &lt;=4.8, SUM((DJ561*(20/100))+(DK561*(30/100))+(DL561*(50/100))) &gt;=4.3),4.5,
IF(AND( SUM((DJ561*(20/100))+(DK561*(30/100))+(DL561*(50/100))) &lt;=4.3, SUM((DJ561*(20/100))+(DK561*(30/100))+(DL561*(50/100))) &gt;=3.8),4,
IF(AND( SUM((DJ561*(20/100))+(DK561*(30/100))+(DL561*(50/100))) &lt;=3.8, SUM((DJ561*(20/100))+(DK561*(30/100))+(DL561*(50/100))) &gt;=3.5),3.5,0)))))))))))))</f>
        <v>0</v>
      </c>
      <c r="DQ561" s="541"/>
      <c r="DR561" s="541"/>
      <c r="DS561" s="541"/>
      <c r="DT561" s="541"/>
      <c r="DU561" s="541"/>
      <c r="DV561" s="541"/>
      <c r="DW561" s="541"/>
      <c r="DX561" s="541"/>
      <c r="DY561" s="541"/>
      <c r="DZ561" s="541"/>
    </row>
    <row r="562" spans="2:130" x14ac:dyDescent="0.25">
      <c r="B562" s="334">
        <v>5</v>
      </c>
      <c r="C562" s="541"/>
      <c r="D562" s="334"/>
      <c r="E562" s="334"/>
      <c r="F562" s="334"/>
      <c r="G562" s="334"/>
      <c r="H562" s="334"/>
      <c r="I562" s="334"/>
      <c r="J562" s="536"/>
      <c r="K562" s="536"/>
      <c r="L562" s="536"/>
      <c r="M562" s="536"/>
      <c r="N562" s="536"/>
      <c r="O562" s="536"/>
      <c r="P562" s="536">
        <f t="shared" si="201"/>
        <v>0</v>
      </c>
      <c r="Q562" s="536"/>
      <c r="R562" s="536"/>
      <c r="S562" s="536"/>
      <c r="T562" s="536">
        <f t="shared" si="202"/>
        <v>0</v>
      </c>
      <c r="U562" s="536"/>
      <c r="V562" s="536"/>
      <c r="W562" s="536"/>
      <c r="X562" s="536">
        <f t="shared" si="203"/>
        <v>0</v>
      </c>
      <c r="Y562" s="536"/>
      <c r="Z562" s="536"/>
      <c r="AA562" s="536"/>
      <c r="AB562" s="536">
        <f t="shared" si="204"/>
        <v>0</v>
      </c>
      <c r="AC562" s="536"/>
      <c r="AD562" s="536"/>
      <c r="AE562" s="536"/>
      <c r="AF562" s="536">
        <f t="shared" si="205"/>
        <v>0</v>
      </c>
      <c r="AG562" s="536"/>
      <c r="AH562" s="536"/>
      <c r="AI562" s="536"/>
      <c r="AJ562" s="536">
        <f t="shared" si="206"/>
        <v>0</v>
      </c>
      <c r="AK562" s="536"/>
      <c r="AL562" s="536"/>
      <c r="AM562" s="536"/>
      <c r="AN562" s="542">
        <f t="shared" si="207"/>
        <v>0</v>
      </c>
      <c r="AO562" s="536"/>
      <c r="AP562" s="536"/>
      <c r="AQ562" s="536"/>
      <c r="AR562" s="542">
        <f t="shared" si="208"/>
        <v>0</v>
      </c>
      <c r="AS562" s="536"/>
      <c r="AT562" s="536"/>
      <c r="AU562" s="536"/>
      <c r="AV562" s="542">
        <f t="shared" si="209"/>
        <v>0</v>
      </c>
      <c r="AW562" s="536"/>
      <c r="AX562" s="536"/>
      <c r="AY562" s="536"/>
      <c r="AZ562" s="542">
        <f t="shared" si="210"/>
        <v>0</v>
      </c>
      <c r="BA562" s="536"/>
      <c r="BB562" s="536"/>
      <c r="BC562" s="536"/>
      <c r="BD562" s="542">
        <f t="shared" si="211"/>
        <v>0</v>
      </c>
      <c r="BE562" s="536"/>
      <c r="BF562" s="536"/>
      <c r="BG562" s="536"/>
      <c r="BH562" s="542">
        <f t="shared" si="212"/>
        <v>0</v>
      </c>
      <c r="BI562" s="536"/>
      <c r="BJ562" s="536"/>
      <c r="BK562" s="536"/>
      <c r="BL562" s="542">
        <f t="shared" si="213"/>
        <v>0</v>
      </c>
      <c r="BM562" s="536"/>
      <c r="BN562" s="536"/>
      <c r="BO562" s="536"/>
      <c r="BP562" s="542">
        <f t="shared" si="214"/>
        <v>0</v>
      </c>
      <c r="BQ562" s="536"/>
      <c r="BR562" s="536"/>
      <c r="BS562" s="536"/>
      <c r="BT562" s="542">
        <f t="shared" si="215"/>
        <v>0</v>
      </c>
      <c r="BU562" s="536"/>
      <c r="BV562" s="536"/>
      <c r="BW562" s="536"/>
      <c r="BX562" s="542">
        <f t="shared" si="216"/>
        <v>0</v>
      </c>
      <c r="BY562" s="536"/>
      <c r="BZ562" s="536"/>
      <c r="CA562" s="536"/>
      <c r="CB562" s="542">
        <v>0</v>
      </c>
      <c r="CC562" s="536"/>
      <c r="CD562" s="536"/>
      <c r="CE562" s="536"/>
      <c r="CF562" s="541">
        <f t="shared" si="217"/>
        <v>0</v>
      </c>
      <c r="CG562" s="536"/>
      <c r="CH562" s="536"/>
      <c r="CI562" s="536"/>
      <c r="CJ562" s="541">
        <f t="shared" si="218"/>
        <v>0</v>
      </c>
      <c r="CK562" s="536"/>
      <c r="CL562" s="536"/>
      <c r="CM562" s="536"/>
      <c r="CN562" s="541">
        <f t="shared" si="219"/>
        <v>0</v>
      </c>
      <c r="CO562" s="536"/>
      <c r="CP562" s="536"/>
      <c r="CQ562" s="536"/>
      <c r="CR562" s="541">
        <f t="shared" si="220"/>
        <v>0</v>
      </c>
      <c r="CS562" s="536"/>
      <c r="CT562" s="536"/>
      <c r="CU562" s="536"/>
      <c r="CV562" s="541">
        <f t="shared" si="221"/>
        <v>0</v>
      </c>
      <c r="CW562" s="536"/>
      <c r="CX562" s="536"/>
      <c r="CY562" s="536"/>
      <c r="CZ562" s="541">
        <f t="shared" si="222"/>
        <v>0</v>
      </c>
      <c r="DA562" s="536"/>
      <c r="DB562" s="536"/>
      <c r="DC562" s="536"/>
      <c r="DD562" s="541">
        <f t="shared" si="223"/>
        <v>0</v>
      </c>
      <c r="DE562" s="536"/>
      <c r="DF562" s="536"/>
      <c r="DG562" s="536"/>
      <c r="DH562" s="541">
        <f t="shared" si="224"/>
        <v>0</v>
      </c>
      <c r="DI562" s="536"/>
      <c r="DJ562" s="536"/>
      <c r="DK562" s="536"/>
      <c r="DL562" s="541">
        <f t="shared" si="225"/>
        <v>0</v>
      </c>
      <c r="DM562" s="536"/>
      <c r="DN562" s="536"/>
      <c r="DO562" s="536"/>
      <c r="DP562" s="541">
        <f>IF( SUM((DJ562*(20/100))+(DK562*(30/100))+(DL562*(50/100))) &gt;=9.3,9.5,
IF(AND( SUM((DJ562*(20/100))+(DK562*(30/100))+(DL562*(50/100))) &lt;=9.3, SUM((DJ562*(20/100))+(DK562*(30/100))+(DL562*(50/100))) &gt;=8.8),9,
IF(AND( SUM((DJ562*(20/100))+(DK562*(30/100))+(DL562*(50/100))) &lt;=8.8, SUM((DJ562*(20/100))+(DK562*(30/100))+(DL562*(50/100))) &gt;=8.3),8.5,
IF(AND( SUM((DJ562*(20/100))+(DK562*(30/100))+(DL562*(50/100))) &lt;=8.3, SUM((DJ562*(20/100))+(DK562*(30/100))+(DL562*(50/100))) &gt;=7.8),8,
IF(AND( SUM((DJ562*(20/100))+(DK562*(30/100))+(DL562*(50/100))) &lt;=7.8, SUM((DJ562*(20/100))+(DK562*(30/100))+(DL562*(50/100))) &gt;=7.3),7.5,
IF(AND( SUM((DJ562*(20/100))+(DK562*(30/100))+(DL562*(50/100))) &lt;=7.3, SUM((DJ562*(20/100))+(DK562*(30/100))+(DL562*(50/100))) &gt;=6.8),7,
IF(AND( SUM((DJ562*(20/100))+(DK562*(30/100))+(DL562*(50/100))) &lt;=6.8, SUM((DJ562*(20/100))+(DK562*(30/100))+(DL562*(50/100))) &gt;=6.3),6.5,
IF(AND( SUM((DJ562*(20/100))+(DK562*(30/100))+(DL562*(50/100))) &lt;=6.3, SUM((DJ562*(20/100))+(DK562*(30/100))+(DL562*(50/100))) &gt;=5.8),6,
IF(AND( SUM((DJ562*(20/100))+(DK562*(30/100))+(DL562*(50/100))) &lt;=5.8, SUM((DJ562*(20/100))+(DK562*(30/100))+(DL562*(50/100))) &gt;=5.3),5.5,
IF(AND( SUM((DJ562*(20/100))+(DK562*(30/100))+(DL562*(50/100))) &lt;=5.3, SUM((DJ562*(20/100))+(DK562*(30/100))+(DL562*(50/100))) &gt;=4.8),5,
IF(AND( SUM((DJ562*(20/100))+(DK562*(30/100))+(DL562*(50/100))) &lt;=4.8, SUM((DJ562*(20/100))+(DK562*(30/100))+(DL562*(50/100))) &gt;=4.3),4.5,
IF(AND( SUM((DJ562*(20/100))+(DK562*(30/100))+(DL562*(50/100))) &lt;=4.3, SUM((DJ562*(20/100))+(DK562*(30/100))+(DL562*(50/100))) &gt;=3.8),4,
IF(AND( SUM((DJ562*(20/100))+(DK562*(30/100))+(DL562*(50/100))) &lt;=3.8, SUM((DJ562*(20/100))+(DK562*(30/100))+(DL562*(50/100))) &gt;=3.5),3.5,0)))))))))))))</f>
        <v>0</v>
      </c>
      <c r="DQ562" s="541"/>
      <c r="DR562" s="541"/>
      <c r="DS562" s="541"/>
      <c r="DT562" s="541"/>
      <c r="DU562" s="541"/>
      <c r="DV562" s="541"/>
      <c r="DW562" s="541"/>
      <c r="DX562" s="541"/>
      <c r="DY562" s="541"/>
      <c r="DZ562" s="541"/>
    </row>
    <row r="563" spans="2:130" x14ac:dyDescent="0.25">
      <c r="B563" s="334">
        <v>6</v>
      </c>
      <c r="C563" s="541"/>
      <c r="D563" s="334"/>
      <c r="E563" s="334"/>
      <c r="F563" s="334"/>
      <c r="G563" s="334"/>
      <c r="H563" s="334"/>
      <c r="I563" s="334"/>
      <c r="J563" s="536"/>
      <c r="K563" s="536"/>
      <c r="L563" s="536"/>
      <c r="M563" s="536"/>
      <c r="N563" s="536"/>
      <c r="O563" s="536"/>
      <c r="P563" s="536">
        <f t="shared" si="201"/>
        <v>0</v>
      </c>
      <c r="Q563" s="536"/>
      <c r="R563" s="536"/>
      <c r="S563" s="536"/>
      <c r="T563" s="536">
        <f t="shared" si="202"/>
        <v>0</v>
      </c>
      <c r="U563" s="536"/>
      <c r="V563" s="536"/>
      <c r="W563" s="536"/>
      <c r="X563" s="536">
        <f t="shared" si="203"/>
        <v>0</v>
      </c>
      <c r="Y563" s="536"/>
      <c r="Z563" s="536"/>
      <c r="AA563" s="536"/>
      <c r="AB563" s="536">
        <f t="shared" si="204"/>
        <v>0</v>
      </c>
      <c r="AC563" s="536"/>
      <c r="AD563" s="536"/>
      <c r="AE563" s="536"/>
      <c r="AF563" s="536">
        <f t="shared" si="205"/>
        <v>0</v>
      </c>
      <c r="AG563" s="536"/>
      <c r="AH563" s="536"/>
      <c r="AI563" s="536"/>
      <c r="AJ563" s="536">
        <f t="shared" si="206"/>
        <v>0</v>
      </c>
      <c r="AK563" s="536"/>
      <c r="AL563" s="536"/>
      <c r="AM563" s="536"/>
      <c r="AN563" s="542">
        <f t="shared" si="207"/>
        <v>0</v>
      </c>
      <c r="AO563" s="536"/>
      <c r="AP563" s="536"/>
      <c r="AQ563" s="536"/>
      <c r="AR563" s="542">
        <f t="shared" si="208"/>
        <v>0</v>
      </c>
      <c r="AS563" s="536"/>
      <c r="AT563" s="536"/>
      <c r="AU563" s="536"/>
      <c r="AV563" s="542">
        <f t="shared" si="209"/>
        <v>0</v>
      </c>
      <c r="AW563" s="536"/>
      <c r="AX563" s="536"/>
      <c r="AY563" s="536"/>
      <c r="AZ563" s="542">
        <f t="shared" si="210"/>
        <v>0</v>
      </c>
      <c r="BA563" s="536"/>
      <c r="BB563" s="536"/>
      <c r="BC563" s="536"/>
      <c r="BD563" s="542">
        <f t="shared" si="211"/>
        <v>0</v>
      </c>
      <c r="BE563" s="536"/>
      <c r="BF563" s="536"/>
      <c r="BG563" s="536"/>
      <c r="BH563" s="542">
        <f t="shared" si="212"/>
        <v>0</v>
      </c>
      <c r="BI563" s="536"/>
      <c r="BJ563" s="536"/>
      <c r="BK563" s="536"/>
      <c r="BL563" s="542">
        <f t="shared" si="213"/>
        <v>0</v>
      </c>
      <c r="BM563" s="536"/>
      <c r="BN563" s="536"/>
      <c r="BO563" s="536"/>
      <c r="BP563" s="542">
        <f t="shared" si="214"/>
        <v>0</v>
      </c>
      <c r="BQ563" s="536"/>
      <c r="BR563" s="536"/>
      <c r="BS563" s="536"/>
      <c r="BT563" s="542">
        <f t="shared" si="215"/>
        <v>0</v>
      </c>
      <c r="BU563" s="536"/>
      <c r="BV563" s="536"/>
      <c r="BW563" s="536"/>
      <c r="BX563" s="542">
        <f t="shared" si="216"/>
        <v>0</v>
      </c>
      <c r="BY563" s="536"/>
      <c r="BZ563" s="536"/>
      <c r="CA563" s="536"/>
      <c r="CB563" s="542">
        <v>0</v>
      </c>
      <c r="CC563" s="536"/>
      <c r="CD563" s="536"/>
      <c r="CE563" s="536"/>
      <c r="CF563" s="541">
        <f t="shared" si="217"/>
        <v>0</v>
      </c>
      <c r="CG563" s="536"/>
      <c r="CH563" s="536"/>
      <c r="CI563" s="536"/>
      <c r="CJ563" s="541">
        <f t="shared" si="218"/>
        <v>0</v>
      </c>
      <c r="CK563" s="536"/>
      <c r="CL563" s="536"/>
      <c r="CM563" s="536"/>
      <c r="CN563" s="541">
        <f t="shared" si="219"/>
        <v>0</v>
      </c>
      <c r="CO563" s="536"/>
      <c r="CP563" s="536"/>
      <c r="CQ563" s="536"/>
      <c r="CR563" s="541">
        <f t="shared" si="220"/>
        <v>0</v>
      </c>
      <c r="CS563" s="536"/>
      <c r="CT563" s="536"/>
      <c r="CU563" s="536"/>
      <c r="CV563" s="541">
        <f t="shared" si="221"/>
        <v>0</v>
      </c>
      <c r="CW563" s="536"/>
      <c r="CX563" s="536"/>
      <c r="CY563" s="536"/>
      <c r="CZ563" s="541">
        <f t="shared" si="222"/>
        <v>0</v>
      </c>
      <c r="DA563" s="536"/>
      <c r="DB563" s="536"/>
      <c r="DC563" s="536"/>
      <c r="DD563" s="541">
        <f t="shared" si="223"/>
        <v>0</v>
      </c>
      <c r="DE563" s="536"/>
      <c r="DF563" s="536"/>
      <c r="DG563" s="536"/>
      <c r="DH563" s="541">
        <f t="shared" si="224"/>
        <v>0</v>
      </c>
      <c r="DI563" s="536"/>
      <c r="DJ563" s="536"/>
      <c r="DK563" s="536"/>
      <c r="DL563" s="541">
        <f t="shared" si="225"/>
        <v>0</v>
      </c>
      <c r="DM563" s="536"/>
      <c r="DN563" s="536"/>
      <c r="DO563" s="536"/>
      <c r="DP563" s="541">
        <f>IF( SUM((DJ563*(20/100))+(DK563*(30/100))+(DL563*(50/100))) &gt;=9.3,9.5,
IF(AND( SUM((DJ563*(20/100))+(DK563*(30/100))+(DL563*(50/100))) &lt;=9.3, SUM((DJ563*(20/100))+(DK563*(30/100))+(DL563*(50/100))) &gt;=8.8),9,
IF(AND( SUM((DJ563*(20/100))+(DK563*(30/100))+(DL563*(50/100))) &lt;=8.8, SUM((DJ563*(20/100))+(DK563*(30/100))+(DL563*(50/100))) &gt;=8.3),8.5,
IF(AND( SUM((DJ563*(20/100))+(DK563*(30/100))+(DL563*(50/100))) &lt;=8.3, SUM((DJ563*(20/100))+(DK563*(30/100))+(DL563*(50/100))) &gt;=7.8),8,
IF(AND( SUM((DJ563*(20/100))+(DK563*(30/100))+(DL563*(50/100))) &lt;=7.8, SUM((DJ563*(20/100))+(DK563*(30/100))+(DL563*(50/100))) &gt;=7.3),7.5,
IF(AND( SUM((DJ563*(20/100))+(DK563*(30/100))+(DL563*(50/100))) &lt;=7.3, SUM((DJ563*(20/100))+(DK563*(30/100))+(DL563*(50/100))) &gt;=6.8),7,
IF(AND( SUM((DJ563*(20/100))+(DK563*(30/100))+(DL563*(50/100))) &lt;=6.8, SUM((DJ563*(20/100))+(DK563*(30/100))+(DL563*(50/100))) &gt;=6.3),6.5,
IF(AND( SUM((DJ563*(20/100))+(DK563*(30/100))+(DL563*(50/100))) &lt;=6.3, SUM((DJ563*(20/100))+(DK563*(30/100))+(DL563*(50/100))) &gt;=5.8),6,
IF(AND( SUM((DJ563*(20/100))+(DK563*(30/100))+(DL563*(50/100))) &lt;=5.8, SUM((DJ563*(20/100))+(DK563*(30/100))+(DL563*(50/100))) &gt;=5.3),5.5,
IF(AND( SUM((DJ563*(20/100))+(DK563*(30/100))+(DL563*(50/100))) &lt;=5.3, SUM((DJ563*(20/100))+(DK563*(30/100))+(DL563*(50/100))) &gt;=4.8),5,
IF(AND( SUM((DJ563*(20/100))+(DK563*(30/100))+(DL563*(50/100))) &lt;=4.8, SUM((DJ563*(20/100))+(DK563*(30/100))+(DL563*(50/100))) &gt;=4.3),4.5,
IF(AND( SUM((DJ563*(20/100))+(DK563*(30/100))+(DL563*(50/100))) &lt;=4.3, SUM((DJ563*(20/100))+(DK563*(30/100))+(DL563*(50/100))) &gt;=3.8),4,
IF(AND( SUM((DJ563*(20/100))+(DK563*(30/100))+(DL563*(50/100))) &lt;=3.8, SUM((DJ563*(20/100))+(DK563*(30/100))+(DL563*(50/100))) &gt;=3.5),3.5,0)))))))))))))</f>
        <v>0</v>
      </c>
      <c r="DQ563" s="541"/>
      <c r="DR563" s="541"/>
      <c r="DS563" s="541"/>
      <c r="DT563" s="541"/>
      <c r="DU563" s="541"/>
      <c r="DV563" s="541"/>
      <c r="DW563" s="541"/>
      <c r="DX563" s="541"/>
      <c r="DY563" s="541"/>
      <c r="DZ563" s="541"/>
    </row>
    <row r="564" spans="2:130" x14ac:dyDescent="0.25">
      <c r="B564" s="334">
        <v>7</v>
      </c>
      <c r="C564" s="541"/>
      <c r="D564" s="334"/>
      <c r="E564" s="334"/>
      <c r="F564" s="334"/>
      <c r="G564" s="334"/>
      <c r="H564" s="334"/>
      <c r="I564" s="334"/>
      <c r="J564" s="536"/>
      <c r="K564" s="536"/>
      <c r="L564" s="536"/>
      <c r="M564" s="536"/>
      <c r="N564" s="536"/>
      <c r="O564" s="536"/>
      <c r="P564" s="536">
        <f t="shared" si="201"/>
        <v>0</v>
      </c>
      <c r="Q564" s="536"/>
      <c r="R564" s="536"/>
      <c r="S564" s="536"/>
      <c r="T564" s="536">
        <f t="shared" si="202"/>
        <v>0</v>
      </c>
      <c r="U564" s="536"/>
      <c r="V564" s="536"/>
      <c r="W564" s="536"/>
      <c r="X564" s="536">
        <f t="shared" si="203"/>
        <v>0</v>
      </c>
      <c r="Y564" s="536"/>
      <c r="Z564" s="536"/>
      <c r="AA564" s="536"/>
      <c r="AB564" s="536">
        <f t="shared" si="204"/>
        <v>0</v>
      </c>
      <c r="AC564" s="536"/>
      <c r="AD564" s="536"/>
      <c r="AE564" s="536"/>
      <c r="AF564" s="536">
        <f t="shared" si="205"/>
        <v>0</v>
      </c>
      <c r="AG564" s="536"/>
      <c r="AH564" s="536"/>
      <c r="AI564" s="536"/>
      <c r="AJ564" s="536">
        <f t="shared" si="206"/>
        <v>0</v>
      </c>
      <c r="AK564" s="536"/>
      <c r="AL564" s="536"/>
      <c r="AM564" s="536"/>
      <c r="AN564" s="542">
        <f t="shared" si="207"/>
        <v>0</v>
      </c>
      <c r="AO564" s="536"/>
      <c r="AP564" s="536"/>
      <c r="AQ564" s="536"/>
      <c r="AR564" s="542">
        <f t="shared" si="208"/>
        <v>0</v>
      </c>
      <c r="AS564" s="536"/>
      <c r="AT564" s="536"/>
      <c r="AU564" s="536"/>
      <c r="AV564" s="542">
        <f t="shared" si="209"/>
        <v>0</v>
      </c>
      <c r="AW564" s="536"/>
      <c r="AX564" s="536"/>
      <c r="AY564" s="536"/>
      <c r="AZ564" s="542">
        <f t="shared" si="210"/>
        <v>0</v>
      </c>
      <c r="BA564" s="536"/>
      <c r="BB564" s="536"/>
      <c r="BC564" s="536"/>
      <c r="BD564" s="542">
        <f t="shared" si="211"/>
        <v>0</v>
      </c>
      <c r="BE564" s="536"/>
      <c r="BF564" s="536"/>
      <c r="BG564" s="536"/>
      <c r="BH564" s="542">
        <f t="shared" si="212"/>
        <v>0</v>
      </c>
      <c r="BI564" s="536"/>
      <c r="BJ564" s="536"/>
      <c r="BK564" s="536"/>
      <c r="BL564" s="542">
        <f t="shared" si="213"/>
        <v>0</v>
      </c>
      <c r="BM564" s="536"/>
      <c r="BN564" s="536"/>
      <c r="BO564" s="536"/>
      <c r="BP564" s="542">
        <f t="shared" si="214"/>
        <v>0</v>
      </c>
      <c r="BQ564" s="536"/>
      <c r="BR564" s="536"/>
      <c r="BS564" s="536"/>
      <c r="BT564" s="542">
        <f t="shared" si="215"/>
        <v>0</v>
      </c>
      <c r="BU564" s="536"/>
      <c r="BV564" s="536"/>
      <c r="BW564" s="536"/>
      <c r="BX564" s="542">
        <f t="shared" si="216"/>
        <v>0</v>
      </c>
      <c r="BY564" s="536"/>
      <c r="BZ564" s="536"/>
      <c r="CA564" s="536"/>
      <c r="CB564" s="542">
        <v>0</v>
      </c>
      <c r="CC564" s="536"/>
      <c r="CD564" s="536"/>
      <c r="CE564" s="536"/>
      <c r="CF564" s="541">
        <f t="shared" si="217"/>
        <v>0</v>
      </c>
      <c r="CG564" s="536"/>
      <c r="CH564" s="536"/>
      <c r="CI564" s="536"/>
      <c r="CJ564" s="541">
        <f t="shared" si="218"/>
        <v>0</v>
      </c>
      <c r="CK564" s="536"/>
      <c r="CL564" s="536"/>
      <c r="CM564" s="536"/>
      <c r="CN564" s="541">
        <f t="shared" si="219"/>
        <v>0</v>
      </c>
      <c r="CO564" s="536"/>
      <c r="CP564" s="536"/>
      <c r="CQ564" s="536"/>
      <c r="CR564" s="541">
        <f t="shared" si="220"/>
        <v>0</v>
      </c>
      <c r="CS564" s="536"/>
      <c r="CT564" s="536"/>
      <c r="CU564" s="536"/>
      <c r="CV564" s="541">
        <f t="shared" si="221"/>
        <v>0</v>
      </c>
      <c r="CW564" s="536"/>
      <c r="CX564" s="536"/>
      <c r="CY564" s="536"/>
      <c r="CZ564" s="541">
        <f t="shared" si="222"/>
        <v>0</v>
      </c>
      <c r="DA564" s="536"/>
      <c r="DB564" s="536"/>
      <c r="DC564" s="536"/>
      <c r="DD564" s="541">
        <f t="shared" si="223"/>
        <v>0</v>
      </c>
      <c r="DE564" s="536"/>
      <c r="DF564" s="536"/>
      <c r="DG564" s="536"/>
      <c r="DH564" s="541">
        <f t="shared" si="224"/>
        <v>0</v>
      </c>
      <c r="DI564" s="536"/>
      <c r="DJ564" s="536"/>
      <c r="DK564" s="536"/>
      <c r="DL564" s="541">
        <f t="shared" si="225"/>
        <v>0</v>
      </c>
      <c r="DM564" s="536"/>
      <c r="DN564" s="536"/>
      <c r="DO564" s="536"/>
      <c r="DP564" s="541">
        <f>IF( SUM((DJ564*(20/100))+(DK564*(30/100))+(DL564*(50/100))) &gt;=9.3,9.5,
IF(AND( SUM((DJ564*(20/100))+(DK564*(30/100))+(DL564*(50/100))) &lt;=9.3, SUM((DJ564*(20/100))+(DK564*(30/100))+(DL564*(50/100))) &gt;=8.8),9,
IF(AND( SUM((DJ564*(20/100))+(DK564*(30/100))+(DL564*(50/100))) &lt;=8.8, SUM((DJ564*(20/100))+(DK564*(30/100))+(DL564*(50/100))) &gt;=8.3),8.5,
IF(AND( SUM((DJ564*(20/100))+(DK564*(30/100))+(DL564*(50/100))) &lt;=8.3, SUM((DJ564*(20/100))+(DK564*(30/100))+(DL564*(50/100))) &gt;=7.8),8,
IF(AND( SUM((DJ564*(20/100))+(DK564*(30/100))+(DL564*(50/100))) &lt;=7.8, SUM((DJ564*(20/100))+(DK564*(30/100))+(DL564*(50/100))) &gt;=7.3),7.5,
IF(AND( SUM((DJ564*(20/100))+(DK564*(30/100))+(DL564*(50/100))) &lt;=7.3, SUM((DJ564*(20/100))+(DK564*(30/100))+(DL564*(50/100))) &gt;=6.8),7,
IF(AND( SUM((DJ564*(20/100))+(DK564*(30/100))+(DL564*(50/100))) &lt;=6.8, SUM((DJ564*(20/100))+(DK564*(30/100))+(DL564*(50/100))) &gt;=6.3),6.5,
IF(AND( SUM((DJ564*(20/100))+(DK564*(30/100))+(DL564*(50/100))) &lt;=6.3, SUM((DJ564*(20/100))+(DK564*(30/100))+(DL564*(50/100))) &gt;=5.8),6,
IF(AND( SUM((DJ564*(20/100))+(DK564*(30/100))+(DL564*(50/100))) &lt;=5.8, SUM((DJ564*(20/100))+(DK564*(30/100))+(DL564*(50/100))) &gt;=5.3),5.5,
IF(AND( SUM((DJ564*(20/100))+(DK564*(30/100))+(DL564*(50/100))) &lt;=5.3, SUM((DJ564*(20/100))+(DK564*(30/100))+(DL564*(50/100))) &gt;=4.8),5,
IF(AND( SUM((DJ564*(20/100))+(DK564*(30/100))+(DL564*(50/100))) &lt;=4.8, SUM((DJ564*(20/100))+(DK564*(30/100))+(DL564*(50/100))) &gt;=4.3),4.5,
IF(AND( SUM((DJ564*(20/100))+(DK564*(30/100))+(DL564*(50/100))) &lt;=4.3, SUM((DJ564*(20/100))+(DK564*(30/100))+(DL564*(50/100))) &gt;=3.8),4,
IF(AND( SUM((DJ564*(20/100))+(DK564*(30/100))+(DL564*(50/100))) &lt;=3.8, SUM((DJ564*(20/100))+(DK564*(30/100))+(DL564*(50/100))) &gt;=3.5),3.5,0)))))))))))))</f>
        <v>0</v>
      </c>
      <c r="DQ564" s="541"/>
      <c r="DR564" s="541"/>
      <c r="DS564" s="541"/>
      <c r="DT564" s="541"/>
      <c r="DU564" s="541"/>
      <c r="DV564" s="541"/>
      <c r="DW564" s="541"/>
      <c r="DX564" s="541"/>
      <c r="DY564" s="541"/>
      <c r="DZ564" s="541"/>
    </row>
    <row r="565" spans="2:130" x14ac:dyDescent="0.25">
      <c r="B565" s="334">
        <v>8</v>
      </c>
      <c r="C565" s="541"/>
      <c r="D565" s="334"/>
      <c r="E565" s="334"/>
      <c r="F565" s="334"/>
      <c r="G565" s="334"/>
      <c r="H565" s="334"/>
      <c r="I565" s="334"/>
      <c r="J565" s="536"/>
      <c r="K565" s="536"/>
      <c r="L565" s="536"/>
      <c r="M565" s="536"/>
      <c r="N565" s="536"/>
      <c r="O565" s="536"/>
      <c r="P565" s="536">
        <f t="shared" si="201"/>
        <v>0</v>
      </c>
      <c r="Q565" s="536"/>
      <c r="R565" s="536"/>
      <c r="S565" s="536"/>
      <c r="T565" s="536">
        <f t="shared" si="202"/>
        <v>0</v>
      </c>
      <c r="U565" s="536"/>
      <c r="V565" s="536"/>
      <c r="W565" s="536"/>
      <c r="X565" s="536">
        <f t="shared" si="203"/>
        <v>0</v>
      </c>
      <c r="Y565" s="536"/>
      <c r="Z565" s="536"/>
      <c r="AA565" s="536"/>
      <c r="AB565" s="536">
        <f t="shared" si="204"/>
        <v>0</v>
      </c>
      <c r="AC565" s="536"/>
      <c r="AD565" s="536"/>
      <c r="AE565" s="536"/>
      <c r="AF565" s="536">
        <f t="shared" si="205"/>
        <v>0</v>
      </c>
      <c r="AG565" s="536"/>
      <c r="AH565" s="536"/>
      <c r="AI565" s="536"/>
      <c r="AJ565" s="536">
        <f t="shared" si="206"/>
        <v>0</v>
      </c>
      <c r="AK565" s="536"/>
      <c r="AL565" s="536"/>
      <c r="AM565" s="536"/>
      <c r="AN565" s="542">
        <f t="shared" si="207"/>
        <v>0</v>
      </c>
      <c r="AO565" s="536"/>
      <c r="AP565" s="536"/>
      <c r="AQ565" s="536"/>
      <c r="AR565" s="542">
        <f t="shared" si="208"/>
        <v>0</v>
      </c>
      <c r="AS565" s="536"/>
      <c r="AT565" s="536"/>
      <c r="AU565" s="536"/>
      <c r="AV565" s="542">
        <f t="shared" si="209"/>
        <v>0</v>
      </c>
      <c r="AW565" s="536"/>
      <c r="AX565" s="536"/>
      <c r="AY565" s="536"/>
      <c r="AZ565" s="542">
        <f t="shared" si="210"/>
        <v>0</v>
      </c>
      <c r="BA565" s="536"/>
      <c r="BB565" s="536"/>
      <c r="BC565" s="536"/>
      <c r="BD565" s="542">
        <f t="shared" si="211"/>
        <v>0</v>
      </c>
      <c r="BE565" s="536"/>
      <c r="BF565" s="536"/>
      <c r="BG565" s="536"/>
      <c r="BH565" s="542">
        <f t="shared" si="212"/>
        <v>0</v>
      </c>
      <c r="BI565" s="536"/>
      <c r="BJ565" s="536"/>
      <c r="BK565" s="536"/>
      <c r="BL565" s="542">
        <f t="shared" si="213"/>
        <v>0</v>
      </c>
      <c r="BM565" s="536"/>
      <c r="BN565" s="536"/>
      <c r="BO565" s="536"/>
      <c r="BP565" s="542">
        <f t="shared" si="214"/>
        <v>0</v>
      </c>
      <c r="BQ565" s="536"/>
      <c r="BR565" s="536"/>
      <c r="BS565" s="536"/>
      <c r="BT565" s="542">
        <f t="shared" si="215"/>
        <v>0</v>
      </c>
      <c r="BU565" s="536"/>
      <c r="BV565" s="536"/>
      <c r="BW565" s="536"/>
      <c r="BX565" s="542">
        <f t="shared" si="216"/>
        <v>0</v>
      </c>
      <c r="BY565" s="536"/>
      <c r="BZ565" s="536"/>
      <c r="CA565" s="536"/>
      <c r="CB565" s="542">
        <v>0</v>
      </c>
      <c r="CC565" s="536"/>
      <c r="CD565" s="536"/>
      <c r="CE565" s="536"/>
      <c r="CF565" s="541">
        <f t="shared" si="217"/>
        <v>0</v>
      </c>
      <c r="CG565" s="536"/>
      <c r="CH565" s="536"/>
      <c r="CI565" s="536"/>
      <c r="CJ565" s="541">
        <f t="shared" si="218"/>
        <v>0</v>
      </c>
      <c r="CK565" s="536"/>
      <c r="CL565" s="536"/>
      <c r="CM565" s="536"/>
      <c r="CN565" s="541">
        <f t="shared" si="219"/>
        <v>0</v>
      </c>
      <c r="CO565" s="536"/>
      <c r="CP565" s="536"/>
      <c r="CQ565" s="536"/>
      <c r="CR565" s="541">
        <f t="shared" si="220"/>
        <v>0</v>
      </c>
      <c r="CS565" s="536"/>
      <c r="CT565" s="536"/>
      <c r="CU565" s="536"/>
      <c r="CV565" s="541">
        <f t="shared" si="221"/>
        <v>0</v>
      </c>
      <c r="CW565" s="536"/>
      <c r="CX565" s="536"/>
      <c r="CY565" s="536"/>
      <c r="CZ565" s="541">
        <f t="shared" si="222"/>
        <v>0</v>
      </c>
      <c r="DA565" s="536"/>
      <c r="DB565" s="536"/>
      <c r="DC565" s="536"/>
      <c r="DD565" s="541">
        <f t="shared" si="223"/>
        <v>0</v>
      </c>
      <c r="DE565" s="536"/>
      <c r="DF565" s="536"/>
      <c r="DG565" s="536"/>
      <c r="DH565" s="541">
        <f t="shared" si="224"/>
        <v>0</v>
      </c>
      <c r="DI565" s="536"/>
      <c r="DJ565" s="536"/>
      <c r="DK565" s="536"/>
      <c r="DL565" s="541">
        <f t="shared" si="225"/>
        <v>0</v>
      </c>
      <c r="DM565" s="536"/>
      <c r="DN565" s="536"/>
      <c r="DO565" s="536"/>
      <c r="DP565" s="541">
        <f>IF( SUM((DJ565*(20/100))+(DK565*(30/100))+(DL565*(50/100))) &gt;=9.3,9.5,
IF(AND( SUM((DJ565*(20/100))+(DK565*(30/100))+(DL565*(50/100))) &lt;=9.3, SUM((DJ565*(20/100))+(DK565*(30/100))+(DL565*(50/100))) &gt;=8.8),9,
IF(AND( SUM((DJ565*(20/100))+(DK565*(30/100))+(DL565*(50/100))) &lt;=8.8, SUM((DJ565*(20/100))+(DK565*(30/100))+(DL565*(50/100))) &gt;=8.3),8.5,
IF(AND( SUM((DJ565*(20/100))+(DK565*(30/100))+(DL565*(50/100))) &lt;=8.3, SUM((DJ565*(20/100))+(DK565*(30/100))+(DL565*(50/100))) &gt;=7.8),8,
IF(AND( SUM((DJ565*(20/100))+(DK565*(30/100))+(DL565*(50/100))) &lt;=7.8, SUM((DJ565*(20/100))+(DK565*(30/100))+(DL565*(50/100))) &gt;=7.3),7.5,
IF(AND( SUM((DJ565*(20/100))+(DK565*(30/100))+(DL565*(50/100))) &lt;=7.3, SUM((DJ565*(20/100))+(DK565*(30/100))+(DL565*(50/100))) &gt;=6.8),7,
IF(AND( SUM((DJ565*(20/100))+(DK565*(30/100))+(DL565*(50/100))) &lt;=6.8, SUM((DJ565*(20/100))+(DK565*(30/100))+(DL565*(50/100))) &gt;=6.3),6.5,
IF(AND( SUM((DJ565*(20/100))+(DK565*(30/100))+(DL565*(50/100))) &lt;=6.3, SUM((DJ565*(20/100))+(DK565*(30/100))+(DL565*(50/100))) &gt;=5.8),6,
IF(AND( SUM((DJ565*(20/100))+(DK565*(30/100))+(DL565*(50/100))) &lt;=5.8, SUM((DJ565*(20/100))+(DK565*(30/100))+(DL565*(50/100))) &gt;=5.3),5.5,
IF(AND( SUM((DJ565*(20/100))+(DK565*(30/100))+(DL565*(50/100))) &lt;=5.3, SUM((DJ565*(20/100))+(DK565*(30/100))+(DL565*(50/100))) &gt;=4.8),5,
IF(AND( SUM((DJ565*(20/100))+(DK565*(30/100))+(DL565*(50/100))) &lt;=4.8, SUM((DJ565*(20/100))+(DK565*(30/100))+(DL565*(50/100))) &gt;=4.3),4.5,
IF(AND( SUM((DJ565*(20/100))+(DK565*(30/100))+(DL565*(50/100))) &lt;=4.3, SUM((DJ565*(20/100))+(DK565*(30/100))+(DL565*(50/100))) &gt;=3.8),4,
IF(AND( SUM((DJ565*(20/100))+(DK565*(30/100))+(DL565*(50/100))) &lt;=3.8, SUM((DJ565*(20/100))+(DK565*(30/100))+(DL565*(50/100))) &gt;=3.5),3.5,0)))))))))))))</f>
        <v>0</v>
      </c>
      <c r="DQ565" s="541"/>
      <c r="DR565" s="541"/>
      <c r="DS565" s="541"/>
      <c r="DT565" s="541"/>
      <c r="DU565" s="541"/>
      <c r="DV565" s="541"/>
      <c r="DW565" s="541"/>
      <c r="DX565" s="541"/>
      <c r="DY565" s="541"/>
      <c r="DZ565" s="541"/>
    </row>
    <row r="566" spans="2:130" x14ac:dyDescent="0.25">
      <c r="B566" s="334">
        <v>9</v>
      </c>
      <c r="C566" s="541"/>
      <c r="D566" s="334"/>
      <c r="E566" s="334"/>
      <c r="F566" s="334"/>
      <c r="G566" s="334"/>
      <c r="H566" s="334"/>
      <c r="I566" s="334"/>
      <c r="J566" s="536"/>
      <c r="K566" s="536"/>
      <c r="L566" s="536"/>
      <c r="M566" s="536"/>
      <c r="N566" s="536"/>
      <c r="O566" s="536"/>
      <c r="P566" s="536">
        <f t="shared" si="201"/>
        <v>0</v>
      </c>
      <c r="Q566" s="536"/>
      <c r="R566" s="536"/>
      <c r="S566" s="536"/>
      <c r="T566" s="536">
        <f t="shared" si="202"/>
        <v>0</v>
      </c>
      <c r="U566" s="536"/>
      <c r="V566" s="536"/>
      <c r="W566" s="536"/>
      <c r="X566" s="536">
        <f t="shared" si="203"/>
        <v>0</v>
      </c>
      <c r="Y566" s="536"/>
      <c r="Z566" s="536"/>
      <c r="AA566" s="536"/>
      <c r="AB566" s="536">
        <f t="shared" si="204"/>
        <v>0</v>
      </c>
      <c r="AC566" s="536"/>
      <c r="AD566" s="536"/>
      <c r="AE566" s="536"/>
      <c r="AF566" s="536">
        <f t="shared" si="205"/>
        <v>0</v>
      </c>
      <c r="AG566" s="536"/>
      <c r="AH566" s="536"/>
      <c r="AI566" s="536"/>
      <c r="AJ566" s="536">
        <f t="shared" si="206"/>
        <v>0</v>
      </c>
      <c r="AK566" s="536"/>
      <c r="AL566" s="536"/>
      <c r="AM566" s="536"/>
      <c r="AN566" s="542">
        <f t="shared" si="207"/>
        <v>0</v>
      </c>
      <c r="AO566" s="536"/>
      <c r="AP566" s="536"/>
      <c r="AQ566" s="536"/>
      <c r="AR566" s="542">
        <f t="shared" si="208"/>
        <v>0</v>
      </c>
      <c r="AS566" s="536"/>
      <c r="AT566" s="536"/>
      <c r="AU566" s="536"/>
      <c r="AV566" s="542">
        <f t="shared" si="209"/>
        <v>0</v>
      </c>
      <c r="AW566" s="536"/>
      <c r="AX566" s="536"/>
      <c r="AY566" s="536"/>
      <c r="AZ566" s="542">
        <f t="shared" si="210"/>
        <v>0</v>
      </c>
      <c r="BA566" s="536"/>
      <c r="BB566" s="536"/>
      <c r="BC566" s="536"/>
      <c r="BD566" s="542">
        <f t="shared" si="211"/>
        <v>0</v>
      </c>
      <c r="BE566" s="536"/>
      <c r="BF566" s="536"/>
      <c r="BG566" s="536"/>
      <c r="BH566" s="542">
        <f t="shared" si="212"/>
        <v>0</v>
      </c>
      <c r="BI566" s="536"/>
      <c r="BJ566" s="536"/>
      <c r="BK566" s="536"/>
      <c r="BL566" s="542">
        <f t="shared" si="213"/>
        <v>0</v>
      </c>
      <c r="BM566" s="536"/>
      <c r="BN566" s="536"/>
      <c r="BO566" s="536"/>
      <c r="BP566" s="542">
        <f t="shared" si="214"/>
        <v>0</v>
      </c>
      <c r="BQ566" s="536"/>
      <c r="BR566" s="536"/>
      <c r="BS566" s="536"/>
      <c r="BT566" s="542">
        <f t="shared" si="215"/>
        <v>0</v>
      </c>
      <c r="BU566" s="536"/>
      <c r="BV566" s="536"/>
      <c r="BW566" s="536"/>
      <c r="BX566" s="542">
        <f t="shared" si="216"/>
        <v>0</v>
      </c>
      <c r="BY566" s="536"/>
      <c r="BZ566" s="536"/>
      <c r="CA566" s="536"/>
      <c r="CB566" s="542">
        <v>0</v>
      </c>
      <c r="CC566" s="536"/>
      <c r="CD566" s="536"/>
      <c r="CE566" s="536"/>
      <c r="CF566" s="541">
        <f t="shared" si="217"/>
        <v>0</v>
      </c>
      <c r="CG566" s="536"/>
      <c r="CH566" s="536"/>
      <c r="CI566" s="536"/>
      <c r="CJ566" s="541">
        <f t="shared" si="218"/>
        <v>0</v>
      </c>
      <c r="CK566" s="536"/>
      <c r="CL566" s="536"/>
      <c r="CM566" s="536"/>
      <c r="CN566" s="541">
        <f t="shared" si="219"/>
        <v>0</v>
      </c>
      <c r="CO566" s="536"/>
      <c r="CP566" s="536"/>
      <c r="CQ566" s="536"/>
      <c r="CR566" s="541">
        <f t="shared" si="220"/>
        <v>0</v>
      </c>
      <c r="CS566" s="536"/>
      <c r="CT566" s="536"/>
      <c r="CU566" s="536"/>
      <c r="CV566" s="541">
        <f t="shared" si="221"/>
        <v>0</v>
      </c>
      <c r="CW566" s="536"/>
      <c r="CX566" s="536"/>
      <c r="CY566" s="536"/>
      <c r="CZ566" s="541">
        <f t="shared" si="222"/>
        <v>0</v>
      </c>
      <c r="DA566" s="536"/>
      <c r="DB566" s="536"/>
      <c r="DC566" s="536"/>
      <c r="DD566" s="541">
        <f t="shared" si="223"/>
        <v>0</v>
      </c>
      <c r="DE566" s="536"/>
      <c r="DF566" s="536"/>
      <c r="DG566" s="536"/>
      <c r="DH566" s="541">
        <f t="shared" si="224"/>
        <v>0</v>
      </c>
      <c r="DI566" s="536"/>
      <c r="DJ566" s="536"/>
      <c r="DK566" s="536"/>
      <c r="DL566" s="541">
        <f t="shared" si="225"/>
        <v>0</v>
      </c>
      <c r="DM566" s="536"/>
      <c r="DN566" s="536"/>
      <c r="DO566" s="536"/>
      <c r="DP566" s="541">
        <f>IF( SUM((DJ566*(20/100))+(DK566*(30/100))+(DL566*(50/100))) &gt;=9.3,9.5,
IF(AND( SUM((DJ566*(20/100))+(DK566*(30/100))+(DL566*(50/100))) &lt;=9.3, SUM((DJ566*(20/100))+(DK566*(30/100))+(DL566*(50/100))) &gt;=8.8),9,
IF(AND( SUM((DJ566*(20/100))+(DK566*(30/100))+(DL566*(50/100))) &lt;=8.8, SUM((DJ566*(20/100))+(DK566*(30/100))+(DL566*(50/100))) &gt;=8.3),8.5,
IF(AND( SUM((DJ566*(20/100))+(DK566*(30/100))+(DL566*(50/100))) &lt;=8.3, SUM((DJ566*(20/100))+(DK566*(30/100))+(DL566*(50/100))) &gt;=7.8),8,
IF(AND( SUM((DJ566*(20/100))+(DK566*(30/100))+(DL566*(50/100))) &lt;=7.8, SUM((DJ566*(20/100))+(DK566*(30/100))+(DL566*(50/100))) &gt;=7.3),7.5,
IF(AND( SUM((DJ566*(20/100))+(DK566*(30/100))+(DL566*(50/100))) &lt;=7.3, SUM((DJ566*(20/100))+(DK566*(30/100))+(DL566*(50/100))) &gt;=6.8),7,
IF(AND( SUM((DJ566*(20/100))+(DK566*(30/100))+(DL566*(50/100))) &lt;=6.8, SUM((DJ566*(20/100))+(DK566*(30/100))+(DL566*(50/100))) &gt;=6.3),6.5,
IF(AND( SUM((DJ566*(20/100))+(DK566*(30/100))+(DL566*(50/100))) &lt;=6.3, SUM((DJ566*(20/100))+(DK566*(30/100))+(DL566*(50/100))) &gt;=5.8),6,
IF(AND( SUM((DJ566*(20/100))+(DK566*(30/100))+(DL566*(50/100))) &lt;=5.8, SUM((DJ566*(20/100))+(DK566*(30/100))+(DL566*(50/100))) &gt;=5.3),5.5,
IF(AND( SUM((DJ566*(20/100))+(DK566*(30/100))+(DL566*(50/100))) &lt;=5.3, SUM((DJ566*(20/100))+(DK566*(30/100))+(DL566*(50/100))) &gt;=4.8),5,
IF(AND( SUM((DJ566*(20/100))+(DK566*(30/100))+(DL566*(50/100))) &lt;=4.8, SUM((DJ566*(20/100))+(DK566*(30/100))+(DL566*(50/100))) &gt;=4.3),4.5,
IF(AND( SUM((DJ566*(20/100))+(DK566*(30/100))+(DL566*(50/100))) &lt;=4.3, SUM((DJ566*(20/100))+(DK566*(30/100))+(DL566*(50/100))) &gt;=3.8),4,
IF(AND( SUM((DJ566*(20/100))+(DK566*(30/100))+(DL566*(50/100))) &lt;=3.8, SUM((DJ566*(20/100))+(DK566*(30/100))+(DL566*(50/100))) &gt;=3.5),3.5,0)))))))))))))</f>
        <v>0</v>
      </c>
      <c r="DQ566" s="541"/>
      <c r="DR566" s="541"/>
      <c r="DS566" s="541"/>
      <c r="DT566" s="541"/>
      <c r="DU566" s="541"/>
      <c r="DV566" s="541"/>
      <c r="DW566" s="541"/>
      <c r="DX566" s="541"/>
      <c r="DY566" s="541"/>
      <c r="DZ566" s="541"/>
    </row>
    <row r="567" spans="2:130" x14ac:dyDescent="0.25">
      <c r="B567" s="334">
        <v>10</v>
      </c>
      <c r="C567" s="541"/>
      <c r="D567" s="334"/>
      <c r="E567" s="334"/>
      <c r="F567" s="334"/>
      <c r="G567" s="334"/>
      <c r="H567" s="334"/>
      <c r="I567" s="334"/>
      <c r="J567" s="536"/>
      <c r="K567" s="536"/>
      <c r="L567" s="536"/>
      <c r="M567" s="536"/>
      <c r="N567" s="536"/>
      <c r="O567" s="536"/>
      <c r="P567" s="536">
        <f t="shared" si="201"/>
        <v>0</v>
      </c>
      <c r="Q567" s="536"/>
      <c r="R567" s="536"/>
      <c r="S567" s="536"/>
      <c r="T567" s="536">
        <f t="shared" si="202"/>
        <v>0</v>
      </c>
      <c r="U567" s="536"/>
      <c r="V567" s="536"/>
      <c r="W567" s="536"/>
      <c r="X567" s="536">
        <f t="shared" si="203"/>
        <v>0</v>
      </c>
      <c r="Y567" s="536"/>
      <c r="Z567" s="536"/>
      <c r="AA567" s="536"/>
      <c r="AB567" s="536">
        <f t="shared" si="204"/>
        <v>0</v>
      </c>
      <c r="AC567" s="536"/>
      <c r="AD567" s="536"/>
      <c r="AE567" s="536"/>
      <c r="AF567" s="536">
        <f t="shared" si="205"/>
        <v>0</v>
      </c>
      <c r="AG567" s="536"/>
      <c r="AH567" s="536"/>
      <c r="AI567" s="536"/>
      <c r="AJ567" s="536">
        <f t="shared" si="206"/>
        <v>0</v>
      </c>
      <c r="AK567" s="536"/>
      <c r="AL567" s="536"/>
      <c r="AM567" s="536"/>
      <c r="AN567" s="542">
        <f t="shared" si="207"/>
        <v>0</v>
      </c>
      <c r="AO567" s="536"/>
      <c r="AP567" s="536"/>
      <c r="AQ567" s="536"/>
      <c r="AR567" s="542">
        <f t="shared" si="208"/>
        <v>0</v>
      </c>
      <c r="AS567" s="536"/>
      <c r="AT567" s="536"/>
      <c r="AU567" s="536"/>
      <c r="AV567" s="542">
        <f t="shared" si="209"/>
        <v>0</v>
      </c>
      <c r="AW567" s="536"/>
      <c r="AX567" s="536"/>
      <c r="AY567" s="536"/>
      <c r="AZ567" s="542">
        <f t="shared" si="210"/>
        <v>0</v>
      </c>
      <c r="BA567" s="536"/>
      <c r="BB567" s="536"/>
      <c r="BC567" s="536"/>
      <c r="BD567" s="542">
        <f t="shared" si="211"/>
        <v>0</v>
      </c>
      <c r="BE567" s="536"/>
      <c r="BF567" s="536"/>
      <c r="BG567" s="536"/>
      <c r="BH567" s="542">
        <f t="shared" si="212"/>
        <v>0</v>
      </c>
      <c r="BI567" s="536"/>
      <c r="BJ567" s="536"/>
      <c r="BK567" s="536"/>
      <c r="BL567" s="542">
        <f t="shared" si="213"/>
        <v>0</v>
      </c>
      <c r="BM567" s="536"/>
      <c r="BN567" s="536"/>
      <c r="BO567" s="536"/>
      <c r="BP567" s="542">
        <f t="shared" si="214"/>
        <v>0</v>
      </c>
      <c r="BQ567" s="536"/>
      <c r="BR567" s="536"/>
      <c r="BS567" s="536"/>
      <c r="BT567" s="542">
        <f t="shared" si="215"/>
        <v>0</v>
      </c>
      <c r="BU567" s="536"/>
      <c r="BV567" s="536"/>
      <c r="BW567" s="536"/>
      <c r="BX567" s="542">
        <f t="shared" si="216"/>
        <v>0</v>
      </c>
      <c r="BY567" s="536"/>
      <c r="BZ567" s="536"/>
      <c r="CA567" s="536"/>
      <c r="CB567" s="542">
        <v>0</v>
      </c>
      <c r="CC567" s="536"/>
      <c r="CD567" s="536"/>
      <c r="CE567" s="536"/>
      <c r="CF567" s="541">
        <f t="shared" si="217"/>
        <v>0</v>
      </c>
      <c r="CG567" s="536"/>
      <c r="CH567" s="536"/>
      <c r="CI567" s="536"/>
      <c r="CJ567" s="541">
        <f t="shared" si="218"/>
        <v>0</v>
      </c>
      <c r="CK567" s="536"/>
      <c r="CL567" s="536"/>
      <c r="CM567" s="536"/>
      <c r="CN567" s="541">
        <f t="shared" si="219"/>
        <v>0</v>
      </c>
      <c r="CO567" s="536"/>
      <c r="CP567" s="536"/>
      <c r="CQ567" s="536"/>
      <c r="CR567" s="541">
        <f t="shared" si="220"/>
        <v>0</v>
      </c>
      <c r="CS567" s="536"/>
      <c r="CT567" s="536"/>
      <c r="CU567" s="536"/>
      <c r="CV567" s="541">
        <f t="shared" si="221"/>
        <v>0</v>
      </c>
      <c r="CW567" s="536"/>
      <c r="CX567" s="536"/>
      <c r="CY567" s="536"/>
      <c r="CZ567" s="541">
        <f t="shared" si="222"/>
        <v>0</v>
      </c>
      <c r="DA567" s="536"/>
      <c r="DB567" s="536"/>
      <c r="DC567" s="536"/>
      <c r="DD567" s="541">
        <f t="shared" si="223"/>
        <v>0</v>
      </c>
      <c r="DE567" s="536"/>
      <c r="DF567" s="536"/>
      <c r="DG567" s="536"/>
      <c r="DH567" s="541">
        <f t="shared" si="224"/>
        <v>0</v>
      </c>
      <c r="DI567" s="536"/>
      <c r="DJ567" s="536"/>
      <c r="DK567" s="536"/>
      <c r="DL567" s="541">
        <f t="shared" si="225"/>
        <v>0</v>
      </c>
      <c r="DM567" s="536"/>
      <c r="DN567" s="536"/>
      <c r="DO567" s="536"/>
      <c r="DP567" s="541">
        <f>IF( SUM((DJ567*(20/100))+(DK567*(30/100))+(DL567*(50/100))) &gt;=9.3,9.5,
IF(AND( SUM((DJ567*(20/100))+(DK567*(30/100))+(DL567*(50/100))) &lt;=9.3, SUM((DJ567*(20/100))+(DK567*(30/100))+(DL567*(50/100))) &gt;=8.8),9,
IF(AND( SUM((DJ567*(20/100))+(DK567*(30/100))+(DL567*(50/100))) &lt;=8.8, SUM((DJ567*(20/100))+(DK567*(30/100))+(DL567*(50/100))) &gt;=8.3),8.5,
IF(AND( SUM((DJ567*(20/100))+(DK567*(30/100))+(DL567*(50/100))) &lt;=8.3, SUM((DJ567*(20/100))+(DK567*(30/100))+(DL567*(50/100))) &gt;=7.8),8,
IF(AND( SUM((DJ567*(20/100))+(DK567*(30/100))+(DL567*(50/100))) &lt;=7.8, SUM((DJ567*(20/100))+(DK567*(30/100))+(DL567*(50/100))) &gt;=7.3),7.5,
IF(AND( SUM((DJ567*(20/100))+(DK567*(30/100))+(DL567*(50/100))) &lt;=7.3, SUM((DJ567*(20/100))+(DK567*(30/100))+(DL567*(50/100))) &gt;=6.8),7,
IF(AND( SUM((DJ567*(20/100))+(DK567*(30/100))+(DL567*(50/100))) &lt;=6.8, SUM((DJ567*(20/100))+(DK567*(30/100))+(DL567*(50/100))) &gt;=6.3),6.5,
IF(AND( SUM((DJ567*(20/100))+(DK567*(30/100))+(DL567*(50/100))) &lt;=6.3, SUM((DJ567*(20/100))+(DK567*(30/100))+(DL567*(50/100))) &gt;=5.8),6,
IF(AND( SUM((DJ567*(20/100))+(DK567*(30/100))+(DL567*(50/100))) &lt;=5.8, SUM((DJ567*(20/100))+(DK567*(30/100))+(DL567*(50/100))) &gt;=5.3),5.5,
IF(AND( SUM((DJ567*(20/100))+(DK567*(30/100))+(DL567*(50/100))) &lt;=5.3, SUM((DJ567*(20/100))+(DK567*(30/100))+(DL567*(50/100))) &gt;=4.8),5,
IF(AND( SUM((DJ567*(20/100))+(DK567*(30/100))+(DL567*(50/100))) &lt;=4.8, SUM((DJ567*(20/100))+(DK567*(30/100))+(DL567*(50/100))) &gt;=4.3),4.5,
IF(AND( SUM((DJ567*(20/100))+(DK567*(30/100))+(DL567*(50/100))) &lt;=4.3, SUM((DJ567*(20/100))+(DK567*(30/100))+(DL567*(50/100))) &gt;=3.8),4,
IF(AND( SUM((DJ567*(20/100))+(DK567*(30/100))+(DL567*(50/100))) &lt;=3.8, SUM((DJ567*(20/100))+(DK567*(30/100))+(DL567*(50/100))) &gt;=3.5),3.5,0)))))))))))))</f>
        <v>0</v>
      </c>
      <c r="DQ567" s="541"/>
      <c r="DR567" s="541"/>
      <c r="DS567" s="541"/>
      <c r="DT567" s="541"/>
      <c r="DU567" s="541"/>
      <c r="DV567" s="541"/>
      <c r="DW567" s="541"/>
      <c r="DX567" s="541"/>
      <c r="DY567" s="541"/>
      <c r="DZ567" s="541"/>
    </row>
    <row r="568" spans="2:130" x14ac:dyDescent="0.25">
      <c r="B568" s="334">
        <v>11</v>
      </c>
      <c r="C568" s="541"/>
      <c r="D568" s="334"/>
      <c r="E568" s="334"/>
      <c r="F568" s="334"/>
      <c r="G568" s="334"/>
      <c r="H568" s="334"/>
      <c r="I568" s="334"/>
      <c r="J568" s="536"/>
      <c r="K568" s="536"/>
      <c r="L568" s="536"/>
      <c r="M568" s="536"/>
      <c r="N568" s="536"/>
      <c r="O568" s="536"/>
      <c r="P568" s="536">
        <f t="shared" si="201"/>
        <v>0</v>
      </c>
      <c r="Q568" s="536"/>
      <c r="R568" s="536"/>
      <c r="S568" s="536"/>
      <c r="T568" s="536">
        <f t="shared" si="202"/>
        <v>0</v>
      </c>
      <c r="U568" s="536"/>
      <c r="V568" s="536"/>
      <c r="W568" s="536"/>
      <c r="X568" s="536">
        <f t="shared" si="203"/>
        <v>0</v>
      </c>
      <c r="Y568" s="536"/>
      <c r="Z568" s="536"/>
      <c r="AA568" s="536"/>
      <c r="AB568" s="536">
        <f t="shared" si="204"/>
        <v>0</v>
      </c>
      <c r="AC568" s="536"/>
      <c r="AD568" s="536"/>
      <c r="AE568" s="536"/>
      <c r="AF568" s="536">
        <f t="shared" si="205"/>
        <v>0</v>
      </c>
      <c r="AG568" s="536"/>
      <c r="AH568" s="536"/>
      <c r="AI568" s="536"/>
      <c r="AJ568" s="536">
        <f t="shared" si="206"/>
        <v>0</v>
      </c>
      <c r="AK568" s="536"/>
      <c r="AL568" s="536"/>
      <c r="AM568" s="536"/>
      <c r="AN568" s="542">
        <f t="shared" si="207"/>
        <v>0</v>
      </c>
      <c r="AO568" s="536"/>
      <c r="AP568" s="536"/>
      <c r="AQ568" s="536"/>
      <c r="AR568" s="542">
        <f t="shared" si="208"/>
        <v>0</v>
      </c>
      <c r="AS568" s="536"/>
      <c r="AT568" s="536"/>
      <c r="AU568" s="536"/>
      <c r="AV568" s="542">
        <f t="shared" si="209"/>
        <v>0</v>
      </c>
      <c r="AW568" s="536"/>
      <c r="AX568" s="536"/>
      <c r="AY568" s="536"/>
      <c r="AZ568" s="542">
        <f t="shared" si="210"/>
        <v>0</v>
      </c>
      <c r="BA568" s="536"/>
      <c r="BB568" s="536"/>
      <c r="BC568" s="536"/>
      <c r="BD568" s="542">
        <f t="shared" si="211"/>
        <v>0</v>
      </c>
      <c r="BE568" s="536"/>
      <c r="BF568" s="536"/>
      <c r="BG568" s="536"/>
      <c r="BH568" s="542">
        <f t="shared" si="212"/>
        <v>0</v>
      </c>
      <c r="BI568" s="536"/>
      <c r="BJ568" s="536"/>
      <c r="BK568" s="536"/>
      <c r="BL568" s="542">
        <f t="shared" si="213"/>
        <v>0</v>
      </c>
      <c r="BM568" s="536"/>
      <c r="BN568" s="536"/>
      <c r="BO568" s="536"/>
      <c r="BP568" s="542">
        <f t="shared" si="214"/>
        <v>0</v>
      </c>
      <c r="BQ568" s="536"/>
      <c r="BR568" s="536"/>
      <c r="BS568" s="536"/>
      <c r="BT568" s="542">
        <f t="shared" si="215"/>
        <v>0</v>
      </c>
      <c r="BU568" s="536"/>
      <c r="BV568" s="536"/>
      <c r="BW568" s="536"/>
      <c r="BX568" s="542">
        <f t="shared" si="216"/>
        <v>0</v>
      </c>
      <c r="BY568" s="536"/>
      <c r="BZ568" s="536"/>
      <c r="CA568" s="536"/>
      <c r="CB568" s="542">
        <v>0</v>
      </c>
      <c r="CC568" s="536"/>
      <c r="CD568" s="536"/>
      <c r="CE568" s="536"/>
      <c r="CF568" s="541">
        <f t="shared" si="217"/>
        <v>0</v>
      </c>
      <c r="CG568" s="536"/>
      <c r="CH568" s="536"/>
      <c r="CI568" s="536"/>
      <c r="CJ568" s="541">
        <f t="shared" si="218"/>
        <v>0</v>
      </c>
      <c r="CK568" s="536"/>
      <c r="CL568" s="536"/>
      <c r="CM568" s="536"/>
      <c r="CN568" s="541">
        <f t="shared" si="219"/>
        <v>0</v>
      </c>
      <c r="CO568" s="536"/>
      <c r="CP568" s="536"/>
      <c r="CQ568" s="536"/>
      <c r="CR568" s="541">
        <f t="shared" si="220"/>
        <v>0</v>
      </c>
      <c r="CS568" s="536"/>
      <c r="CT568" s="536"/>
      <c r="CU568" s="536"/>
      <c r="CV568" s="541">
        <f t="shared" si="221"/>
        <v>0</v>
      </c>
      <c r="CW568" s="536"/>
      <c r="CX568" s="536"/>
      <c r="CY568" s="536"/>
      <c r="CZ568" s="541">
        <f t="shared" si="222"/>
        <v>0</v>
      </c>
      <c r="DA568" s="536"/>
      <c r="DB568" s="536"/>
      <c r="DC568" s="536"/>
      <c r="DD568" s="541">
        <f t="shared" si="223"/>
        <v>0</v>
      </c>
      <c r="DE568" s="536"/>
      <c r="DF568" s="536"/>
      <c r="DG568" s="536"/>
      <c r="DH568" s="541">
        <f t="shared" si="224"/>
        <v>0</v>
      </c>
      <c r="DI568" s="536"/>
      <c r="DJ568" s="536"/>
      <c r="DK568" s="536"/>
      <c r="DL568" s="541">
        <f t="shared" si="225"/>
        <v>0</v>
      </c>
      <c r="DM568" s="536"/>
      <c r="DN568" s="536"/>
      <c r="DO568" s="536"/>
      <c r="DP568" s="541">
        <f>IF( SUM((DJ568*(20/100))+(DK568*(30/100))+(DL568*(50/100))) &gt;=9.3,9.5,
IF(AND( SUM((DJ568*(20/100))+(DK568*(30/100))+(DL568*(50/100))) &lt;=9.3, SUM((DJ568*(20/100))+(DK568*(30/100))+(DL568*(50/100))) &gt;=8.8),9,
IF(AND( SUM((DJ568*(20/100))+(DK568*(30/100))+(DL568*(50/100))) &lt;=8.8, SUM((DJ568*(20/100))+(DK568*(30/100))+(DL568*(50/100))) &gt;=8.3),8.5,
IF(AND( SUM((DJ568*(20/100))+(DK568*(30/100))+(DL568*(50/100))) &lt;=8.3, SUM((DJ568*(20/100))+(DK568*(30/100))+(DL568*(50/100))) &gt;=7.8),8,
IF(AND( SUM((DJ568*(20/100))+(DK568*(30/100))+(DL568*(50/100))) &lt;=7.8, SUM((DJ568*(20/100))+(DK568*(30/100))+(DL568*(50/100))) &gt;=7.3),7.5,
IF(AND( SUM((DJ568*(20/100))+(DK568*(30/100))+(DL568*(50/100))) &lt;=7.3, SUM((DJ568*(20/100))+(DK568*(30/100))+(DL568*(50/100))) &gt;=6.8),7,
IF(AND( SUM((DJ568*(20/100))+(DK568*(30/100))+(DL568*(50/100))) &lt;=6.8, SUM((DJ568*(20/100))+(DK568*(30/100))+(DL568*(50/100))) &gt;=6.3),6.5,
IF(AND( SUM((DJ568*(20/100))+(DK568*(30/100))+(DL568*(50/100))) &lt;=6.3, SUM((DJ568*(20/100))+(DK568*(30/100))+(DL568*(50/100))) &gt;=5.8),6,
IF(AND( SUM((DJ568*(20/100))+(DK568*(30/100))+(DL568*(50/100))) &lt;=5.8, SUM((DJ568*(20/100))+(DK568*(30/100))+(DL568*(50/100))) &gt;=5.3),5.5,
IF(AND( SUM((DJ568*(20/100))+(DK568*(30/100))+(DL568*(50/100))) &lt;=5.3, SUM((DJ568*(20/100))+(DK568*(30/100))+(DL568*(50/100))) &gt;=4.8),5,
IF(AND( SUM((DJ568*(20/100))+(DK568*(30/100))+(DL568*(50/100))) &lt;=4.8, SUM((DJ568*(20/100))+(DK568*(30/100))+(DL568*(50/100))) &gt;=4.3),4.5,
IF(AND( SUM((DJ568*(20/100))+(DK568*(30/100))+(DL568*(50/100))) &lt;=4.3, SUM((DJ568*(20/100))+(DK568*(30/100))+(DL568*(50/100))) &gt;=3.8),4,
IF(AND( SUM((DJ568*(20/100))+(DK568*(30/100))+(DL568*(50/100))) &lt;=3.8, SUM((DJ568*(20/100))+(DK568*(30/100))+(DL568*(50/100))) &gt;=3.5),3.5,0)))))))))))))</f>
        <v>0</v>
      </c>
      <c r="DQ568" s="541"/>
      <c r="DR568" s="541"/>
      <c r="DS568" s="541"/>
      <c r="DT568" s="541"/>
      <c r="DU568" s="541"/>
      <c r="DV568" s="541"/>
      <c r="DW568" s="541"/>
      <c r="DX568" s="541"/>
      <c r="DY568" s="541"/>
      <c r="DZ568" s="541"/>
    </row>
    <row r="569" spans="2:130" x14ac:dyDescent="0.25">
      <c r="B569" s="334">
        <v>12</v>
      </c>
      <c r="C569" s="541"/>
      <c r="D569" s="334"/>
      <c r="E569" s="334"/>
      <c r="F569" s="334"/>
      <c r="G569" s="334"/>
      <c r="H569" s="334"/>
      <c r="I569" s="334"/>
      <c r="J569" s="536"/>
      <c r="K569" s="536"/>
      <c r="L569" s="536"/>
      <c r="M569" s="536"/>
      <c r="N569" s="536"/>
      <c r="O569" s="536"/>
      <c r="P569" s="536">
        <f t="shared" si="201"/>
        <v>0</v>
      </c>
      <c r="Q569" s="536"/>
      <c r="R569" s="536"/>
      <c r="S569" s="536"/>
      <c r="T569" s="536">
        <f t="shared" si="202"/>
        <v>0</v>
      </c>
      <c r="U569" s="536"/>
      <c r="V569" s="536"/>
      <c r="W569" s="536"/>
      <c r="X569" s="536">
        <f t="shared" si="203"/>
        <v>0</v>
      </c>
      <c r="Y569" s="536"/>
      <c r="Z569" s="536"/>
      <c r="AA569" s="536"/>
      <c r="AB569" s="536">
        <f t="shared" si="204"/>
        <v>0</v>
      </c>
      <c r="AC569" s="536"/>
      <c r="AD569" s="536"/>
      <c r="AE569" s="536"/>
      <c r="AF569" s="536">
        <f t="shared" si="205"/>
        <v>0</v>
      </c>
      <c r="AG569" s="536"/>
      <c r="AH569" s="536"/>
      <c r="AI569" s="536"/>
      <c r="AJ569" s="536">
        <f t="shared" si="206"/>
        <v>0</v>
      </c>
      <c r="AK569" s="536"/>
      <c r="AL569" s="536"/>
      <c r="AM569" s="536"/>
      <c r="AN569" s="542">
        <f t="shared" si="207"/>
        <v>0</v>
      </c>
      <c r="AO569" s="536"/>
      <c r="AP569" s="536"/>
      <c r="AQ569" s="536"/>
      <c r="AR569" s="542">
        <f t="shared" si="208"/>
        <v>0</v>
      </c>
      <c r="AS569" s="536"/>
      <c r="AT569" s="536"/>
      <c r="AU569" s="536"/>
      <c r="AV569" s="542">
        <f t="shared" si="209"/>
        <v>0</v>
      </c>
      <c r="AW569" s="536"/>
      <c r="AX569" s="536"/>
      <c r="AY569" s="536"/>
      <c r="AZ569" s="542">
        <f t="shared" si="210"/>
        <v>0</v>
      </c>
      <c r="BA569" s="536"/>
      <c r="BB569" s="536"/>
      <c r="BC569" s="536"/>
      <c r="BD569" s="542">
        <f t="shared" si="211"/>
        <v>0</v>
      </c>
      <c r="BE569" s="536"/>
      <c r="BF569" s="536"/>
      <c r="BG569" s="536"/>
      <c r="BH569" s="542">
        <f t="shared" si="212"/>
        <v>0</v>
      </c>
      <c r="BI569" s="536"/>
      <c r="BJ569" s="536"/>
      <c r="BK569" s="536"/>
      <c r="BL569" s="542">
        <f t="shared" si="213"/>
        <v>0</v>
      </c>
      <c r="BM569" s="536"/>
      <c r="BN569" s="536"/>
      <c r="BO569" s="536"/>
      <c r="BP569" s="542">
        <f t="shared" si="214"/>
        <v>0</v>
      </c>
      <c r="BQ569" s="536"/>
      <c r="BR569" s="536"/>
      <c r="BS569" s="536"/>
      <c r="BT569" s="542">
        <f t="shared" si="215"/>
        <v>0</v>
      </c>
      <c r="BU569" s="536"/>
      <c r="BV569" s="536"/>
      <c r="BW569" s="536"/>
      <c r="BX569" s="542">
        <f t="shared" si="216"/>
        <v>0</v>
      </c>
      <c r="BY569" s="536"/>
      <c r="BZ569" s="536"/>
      <c r="CA569" s="536"/>
      <c r="CB569" s="542">
        <v>0</v>
      </c>
      <c r="CC569" s="536"/>
      <c r="CD569" s="536"/>
      <c r="CE569" s="536"/>
      <c r="CF569" s="541">
        <f t="shared" si="217"/>
        <v>0</v>
      </c>
      <c r="CG569" s="536"/>
      <c r="CH569" s="536"/>
      <c r="CI569" s="536"/>
      <c r="CJ569" s="541">
        <f t="shared" si="218"/>
        <v>0</v>
      </c>
      <c r="CK569" s="536"/>
      <c r="CL569" s="536"/>
      <c r="CM569" s="536"/>
      <c r="CN569" s="541">
        <f t="shared" si="219"/>
        <v>0</v>
      </c>
      <c r="CO569" s="536"/>
      <c r="CP569" s="536"/>
      <c r="CQ569" s="536"/>
      <c r="CR569" s="541">
        <f t="shared" si="220"/>
        <v>0</v>
      </c>
      <c r="CS569" s="536"/>
      <c r="CT569" s="536"/>
      <c r="CU569" s="536"/>
      <c r="CV569" s="541">
        <f t="shared" si="221"/>
        <v>0</v>
      </c>
      <c r="CW569" s="536"/>
      <c r="CX569" s="536"/>
      <c r="CY569" s="536"/>
      <c r="CZ569" s="541">
        <f t="shared" si="222"/>
        <v>0</v>
      </c>
      <c r="DA569" s="536"/>
      <c r="DB569" s="536"/>
      <c r="DC569" s="536"/>
      <c r="DD569" s="541">
        <f t="shared" si="223"/>
        <v>0</v>
      </c>
      <c r="DE569" s="536"/>
      <c r="DF569" s="536"/>
      <c r="DG569" s="536"/>
      <c r="DH569" s="541">
        <f t="shared" si="224"/>
        <v>0</v>
      </c>
      <c r="DI569" s="536"/>
      <c r="DJ569" s="536"/>
      <c r="DK569" s="536"/>
      <c r="DL569" s="541">
        <f t="shared" si="225"/>
        <v>0</v>
      </c>
      <c r="DM569" s="536"/>
      <c r="DN569" s="536"/>
      <c r="DO569" s="536"/>
      <c r="DP569" s="541">
        <f>IF( SUM((DJ569*(20/100))+(DK569*(30/100))+(DL569*(50/100))) &gt;=9.3,9.5,
IF(AND( SUM((DJ569*(20/100))+(DK569*(30/100))+(DL569*(50/100))) &lt;=9.3, SUM((DJ569*(20/100))+(DK569*(30/100))+(DL569*(50/100))) &gt;=8.8),9,
IF(AND( SUM((DJ569*(20/100))+(DK569*(30/100))+(DL569*(50/100))) &lt;=8.8, SUM((DJ569*(20/100))+(DK569*(30/100))+(DL569*(50/100))) &gt;=8.3),8.5,
IF(AND( SUM((DJ569*(20/100))+(DK569*(30/100))+(DL569*(50/100))) &lt;=8.3, SUM((DJ569*(20/100))+(DK569*(30/100))+(DL569*(50/100))) &gt;=7.8),8,
IF(AND( SUM((DJ569*(20/100))+(DK569*(30/100))+(DL569*(50/100))) &lt;=7.8, SUM((DJ569*(20/100))+(DK569*(30/100))+(DL569*(50/100))) &gt;=7.3),7.5,
IF(AND( SUM((DJ569*(20/100))+(DK569*(30/100))+(DL569*(50/100))) &lt;=7.3, SUM((DJ569*(20/100))+(DK569*(30/100))+(DL569*(50/100))) &gt;=6.8),7,
IF(AND( SUM((DJ569*(20/100))+(DK569*(30/100))+(DL569*(50/100))) &lt;=6.8, SUM((DJ569*(20/100))+(DK569*(30/100))+(DL569*(50/100))) &gt;=6.3),6.5,
IF(AND( SUM((DJ569*(20/100))+(DK569*(30/100))+(DL569*(50/100))) &lt;=6.3, SUM((DJ569*(20/100))+(DK569*(30/100))+(DL569*(50/100))) &gt;=5.8),6,
IF(AND( SUM((DJ569*(20/100))+(DK569*(30/100))+(DL569*(50/100))) &lt;=5.8, SUM((DJ569*(20/100))+(DK569*(30/100))+(DL569*(50/100))) &gt;=5.3),5.5,
IF(AND( SUM((DJ569*(20/100))+(DK569*(30/100))+(DL569*(50/100))) &lt;=5.3, SUM((DJ569*(20/100))+(DK569*(30/100))+(DL569*(50/100))) &gt;=4.8),5,
IF(AND( SUM((DJ569*(20/100))+(DK569*(30/100))+(DL569*(50/100))) &lt;=4.8, SUM((DJ569*(20/100))+(DK569*(30/100))+(DL569*(50/100))) &gt;=4.3),4.5,
IF(AND( SUM((DJ569*(20/100))+(DK569*(30/100))+(DL569*(50/100))) &lt;=4.3, SUM((DJ569*(20/100))+(DK569*(30/100))+(DL569*(50/100))) &gt;=3.8),4,
IF(AND( SUM((DJ569*(20/100))+(DK569*(30/100))+(DL569*(50/100))) &lt;=3.8, SUM((DJ569*(20/100))+(DK569*(30/100))+(DL569*(50/100))) &gt;=3.5),3.5,0)))))))))))))</f>
        <v>0</v>
      </c>
      <c r="DQ569" s="541"/>
      <c r="DR569" s="541"/>
      <c r="DS569" s="541"/>
      <c r="DT569" s="541"/>
      <c r="DU569" s="541"/>
      <c r="DV569" s="541"/>
      <c r="DW569" s="541"/>
      <c r="DX569" s="541"/>
      <c r="DY569" s="541"/>
      <c r="DZ569" s="541"/>
    </row>
    <row r="570" spans="2:130" x14ac:dyDescent="0.25">
      <c r="B570" s="334">
        <v>13</v>
      </c>
      <c r="C570" s="541"/>
      <c r="D570" s="334"/>
      <c r="E570" s="334"/>
      <c r="F570" s="334"/>
      <c r="G570" s="334"/>
      <c r="H570" s="334"/>
      <c r="I570" s="334"/>
      <c r="J570" s="536"/>
      <c r="K570" s="536"/>
      <c r="L570" s="536"/>
      <c r="M570" s="536"/>
      <c r="N570" s="536"/>
      <c r="O570" s="536"/>
      <c r="P570" s="536">
        <f t="shared" si="201"/>
        <v>0</v>
      </c>
      <c r="Q570" s="536"/>
      <c r="R570" s="536"/>
      <c r="S570" s="536"/>
      <c r="T570" s="536">
        <f t="shared" si="202"/>
        <v>0</v>
      </c>
      <c r="U570" s="536"/>
      <c r="V570" s="536"/>
      <c r="W570" s="536"/>
      <c r="X570" s="536">
        <f t="shared" si="203"/>
        <v>0</v>
      </c>
      <c r="Y570" s="536"/>
      <c r="Z570" s="536"/>
      <c r="AA570" s="536"/>
      <c r="AB570" s="536">
        <f t="shared" si="204"/>
        <v>0</v>
      </c>
      <c r="AC570" s="536"/>
      <c r="AD570" s="536"/>
      <c r="AE570" s="536"/>
      <c r="AF570" s="536">
        <f t="shared" si="205"/>
        <v>0</v>
      </c>
      <c r="AG570" s="536"/>
      <c r="AH570" s="536"/>
      <c r="AI570" s="536"/>
      <c r="AJ570" s="536">
        <f t="shared" si="206"/>
        <v>0</v>
      </c>
      <c r="AK570" s="536"/>
      <c r="AL570" s="536"/>
      <c r="AM570" s="536"/>
      <c r="AN570" s="542">
        <f t="shared" si="207"/>
        <v>0</v>
      </c>
      <c r="AO570" s="536"/>
      <c r="AP570" s="536"/>
      <c r="AQ570" s="536"/>
      <c r="AR570" s="542">
        <f t="shared" si="208"/>
        <v>0</v>
      </c>
      <c r="AS570" s="536"/>
      <c r="AT570" s="536"/>
      <c r="AU570" s="536"/>
      <c r="AV570" s="542">
        <f t="shared" si="209"/>
        <v>0</v>
      </c>
      <c r="AW570" s="536"/>
      <c r="AX570" s="536"/>
      <c r="AY570" s="536"/>
      <c r="AZ570" s="542">
        <f t="shared" si="210"/>
        <v>0</v>
      </c>
      <c r="BA570" s="536"/>
      <c r="BB570" s="536"/>
      <c r="BC570" s="536"/>
      <c r="BD570" s="542">
        <f t="shared" si="211"/>
        <v>0</v>
      </c>
      <c r="BE570" s="536"/>
      <c r="BF570" s="536"/>
      <c r="BG570" s="536"/>
      <c r="BH570" s="542">
        <f t="shared" si="212"/>
        <v>0</v>
      </c>
      <c r="BI570" s="536"/>
      <c r="BJ570" s="536"/>
      <c r="BK570" s="536"/>
      <c r="BL570" s="542">
        <f t="shared" si="213"/>
        <v>0</v>
      </c>
      <c r="BM570" s="536"/>
      <c r="BN570" s="536"/>
      <c r="BO570" s="536"/>
      <c r="BP570" s="542">
        <f t="shared" si="214"/>
        <v>0</v>
      </c>
      <c r="BQ570" s="536"/>
      <c r="BR570" s="536"/>
      <c r="BS570" s="536"/>
      <c r="BT570" s="542">
        <f t="shared" si="215"/>
        <v>0</v>
      </c>
      <c r="BU570" s="536"/>
      <c r="BV570" s="536"/>
      <c r="BW570" s="536"/>
      <c r="BX570" s="542">
        <f t="shared" si="216"/>
        <v>0</v>
      </c>
      <c r="BY570" s="536"/>
      <c r="BZ570" s="536"/>
      <c r="CA570" s="536"/>
      <c r="CB570" s="542">
        <v>0</v>
      </c>
      <c r="CC570" s="536"/>
      <c r="CD570" s="536"/>
      <c r="CE570" s="536"/>
      <c r="CF570" s="541">
        <f t="shared" si="217"/>
        <v>0</v>
      </c>
      <c r="CG570" s="536"/>
      <c r="CH570" s="536"/>
      <c r="CI570" s="536"/>
      <c r="CJ570" s="541">
        <f t="shared" si="218"/>
        <v>0</v>
      </c>
      <c r="CK570" s="536"/>
      <c r="CL570" s="536"/>
      <c r="CM570" s="536"/>
      <c r="CN570" s="541">
        <f t="shared" si="219"/>
        <v>0</v>
      </c>
      <c r="CO570" s="536"/>
      <c r="CP570" s="536"/>
      <c r="CQ570" s="536"/>
      <c r="CR570" s="541">
        <f t="shared" si="220"/>
        <v>0</v>
      </c>
      <c r="CS570" s="536"/>
      <c r="CT570" s="536"/>
      <c r="CU570" s="536"/>
      <c r="CV570" s="541">
        <f t="shared" si="221"/>
        <v>0</v>
      </c>
      <c r="CW570" s="536"/>
      <c r="CX570" s="536"/>
      <c r="CY570" s="536"/>
      <c r="CZ570" s="541">
        <f t="shared" si="222"/>
        <v>0</v>
      </c>
      <c r="DA570" s="536"/>
      <c r="DB570" s="536"/>
      <c r="DC570" s="536"/>
      <c r="DD570" s="541">
        <f t="shared" si="223"/>
        <v>0</v>
      </c>
      <c r="DE570" s="536"/>
      <c r="DF570" s="536"/>
      <c r="DG570" s="536"/>
      <c r="DH570" s="541">
        <f t="shared" si="224"/>
        <v>0</v>
      </c>
      <c r="DI570" s="536"/>
      <c r="DJ570" s="536"/>
      <c r="DK570" s="536"/>
      <c r="DL570" s="541">
        <f t="shared" si="225"/>
        <v>0</v>
      </c>
      <c r="DM570" s="536"/>
      <c r="DN570" s="536"/>
      <c r="DO570" s="536"/>
      <c r="DP570" s="541">
        <f>IF( SUM((DJ570*(20/100))+(DK570*(30/100))+(DL570*(50/100))) &gt;=9.3,9.5,
IF(AND( SUM((DJ570*(20/100))+(DK570*(30/100))+(DL570*(50/100))) &lt;=9.3, SUM((DJ570*(20/100))+(DK570*(30/100))+(DL570*(50/100))) &gt;=8.8),9,
IF(AND( SUM((DJ570*(20/100))+(DK570*(30/100))+(DL570*(50/100))) &lt;=8.8, SUM((DJ570*(20/100))+(DK570*(30/100))+(DL570*(50/100))) &gt;=8.3),8.5,
IF(AND( SUM((DJ570*(20/100))+(DK570*(30/100))+(DL570*(50/100))) &lt;=8.3, SUM((DJ570*(20/100))+(DK570*(30/100))+(DL570*(50/100))) &gt;=7.8),8,
IF(AND( SUM((DJ570*(20/100))+(DK570*(30/100))+(DL570*(50/100))) &lt;=7.8, SUM((DJ570*(20/100))+(DK570*(30/100))+(DL570*(50/100))) &gt;=7.3),7.5,
IF(AND( SUM((DJ570*(20/100))+(DK570*(30/100))+(DL570*(50/100))) &lt;=7.3, SUM((DJ570*(20/100))+(DK570*(30/100))+(DL570*(50/100))) &gt;=6.8),7,
IF(AND( SUM((DJ570*(20/100))+(DK570*(30/100))+(DL570*(50/100))) &lt;=6.8, SUM((DJ570*(20/100))+(DK570*(30/100))+(DL570*(50/100))) &gt;=6.3),6.5,
IF(AND( SUM((DJ570*(20/100))+(DK570*(30/100))+(DL570*(50/100))) &lt;=6.3, SUM((DJ570*(20/100))+(DK570*(30/100))+(DL570*(50/100))) &gt;=5.8),6,
IF(AND( SUM((DJ570*(20/100))+(DK570*(30/100))+(DL570*(50/100))) &lt;=5.8, SUM((DJ570*(20/100))+(DK570*(30/100))+(DL570*(50/100))) &gt;=5.3),5.5,
IF(AND( SUM((DJ570*(20/100))+(DK570*(30/100))+(DL570*(50/100))) &lt;=5.3, SUM((DJ570*(20/100))+(DK570*(30/100))+(DL570*(50/100))) &gt;=4.8),5,
IF(AND( SUM((DJ570*(20/100))+(DK570*(30/100))+(DL570*(50/100))) &lt;=4.8, SUM((DJ570*(20/100))+(DK570*(30/100))+(DL570*(50/100))) &gt;=4.3),4.5,
IF(AND( SUM((DJ570*(20/100))+(DK570*(30/100))+(DL570*(50/100))) &lt;=4.3, SUM((DJ570*(20/100))+(DK570*(30/100))+(DL570*(50/100))) &gt;=3.8),4,
IF(AND( SUM((DJ570*(20/100))+(DK570*(30/100))+(DL570*(50/100))) &lt;=3.8, SUM((DJ570*(20/100))+(DK570*(30/100))+(DL570*(50/100))) &gt;=3.5),3.5,0)))))))))))))</f>
        <v>0</v>
      </c>
      <c r="DQ570" s="541"/>
      <c r="DR570" s="541"/>
      <c r="DS570" s="541"/>
      <c r="DT570" s="541"/>
      <c r="DU570" s="541"/>
      <c r="DV570" s="541"/>
      <c r="DW570" s="541"/>
      <c r="DX570" s="541"/>
      <c r="DY570" s="541"/>
      <c r="DZ570" s="541"/>
    </row>
    <row r="571" spans="2:130" x14ac:dyDescent="0.25">
      <c r="B571" s="334">
        <v>14</v>
      </c>
      <c r="C571" s="541"/>
      <c r="D571" s="334"/>
      <c r="E571" s="334"/>
      <c r="F571" s="334"/>
      <c r="G571" s="334"/>
      <c r="H571" s="334"/>
      <c r="I571" s="334"/>
      <c r="J571" s="536"/>
      <c r="K571" s="536"/>
      <c r="L571" s="536"/>
      <c r="M571" s="536"/>
      <c r="N571" s="536"/>
      <c r="O571" s="536"/>
      <c r="P571" s="536">
        <f t="shared" si="201"/>
        <v>0</v>
      </c>
      <c r="Q571" s="536"/>
      <c r="R571" s="536"/>
      <c r="S571" s="536"/>
      <c r="T571" s="536">
        <f t="shared" si="202"/>
        <v>0</v>
      </c>
      <c r="U571" s="536"/>
      <c r="V571" s="536"/>
      <c r="W571" s="536"/>
      <c r="X571" s="536">
        <f t="shared" si="203"/>
        <v>0</v>
      </c>
      <c r="Y571" s="536"/>
      <c r="Z571" s="536"/>
      <c r="AA571" s="536"/>
      <c r="AB571" s="536">
        <f t="shared" si="204"/>
        <v>0</v>
      </c>
      <c r="AC571" s="536"/>
      <c r="AD571" s="536"/>
      <c r="AE571" s="536"/>
      <c r="AF571" s="536">
        <f t="shared" si="205"/>
        <v>0</v>
      </c>
      <c r="AG571" s="536"/>
      <c r="AH571" s="536"/>
      <c r="AI571" s="536"/>
      <c r="AJ571" s="536">
        <f t="shared" si="206"/>
        <v>0</v>
      </c>
      <c r="AK571" s="536"/>
      <c r="AL571" s="536"/>
      <c r="AM571" s="536"/>
      <c r="AN571" s="542">
        <f t="shared" si="207"/>
        <v>0</v>
      </c>
      <c r="AO571" s="536"/>
      <c r="AP571" s="536"/>
      <c r="AQ571" s="536"/>
      <c r="AR571" s="542">
        <f t="shared" si="208"/>
        <v>0</v>
      </c>
      <c r="AS571" s="536"/>
      <c r="AT571" s="536"/>
      <c r="AU571" s="536"/>
      <c r="AV571" s="542">
        <f t="shared" si="209"/>
        <v>0</v>
      </c>
      <c r="AW571" s="536"/>
      <c r="AX571" s="536"/>
      <c r="AY571" s="536"/>
      <c r="AZ571" s="542">
        <f t="shared" si="210"/>
        <v>0</v>
      </c>
      <c r="BA571" s="536"/>
      <c r="BB571" s="536"/>
      <c r="BC571" s="536"/>
      <c r="BD571" s="542">
        <f t="shared" si="211"/>
        <v>0</v>
      </c>
      <c r="BE571" s="536"/>
      <c r="BF571" s="536"/>
      <c r="BG571" s="536"/>
      <c r="BH571" s="542">
        <f t="shared" si="212"/>
        <v>0</v>
      </c>
      <c r="BI571" s="536"/>
      <c r="BJ571" s="536"/>
      <c r="BK571" s="536"/>
      <c r="BL571" s="542">
        <f t="shared" si="213"/>
        <v>0</v>
      </c>
      <c r="BM571" s="536"/>
      <c r="BN571" s="536"/>
      <c r="BO571" s="536"/>
      <c r="BP571" s="542">
        <f t="shared" si="214"/>
        <v>0</v>
      </c>
      <c r="BQ571" s="536"/>
      <c r="BR571" s="536"/>
      <c r="BS571" s="536"/>
      <c r="BT571" s="542">
        <f t="shared" si="215"/>
        <v>0</v>
      </c>
      <c r="BU571" s="536"/>
      <c r="BV571" s="536"/>
      <c r="BW571" s="536"/>
      <c r="BX571" s="542">
        <f t="shared" si="216"/>
        <v>0</v>
      </c>
      <c r="BY571" s="536"/>
      <c r="BZ571" s="536"/>
      <c r="CA571" s="536"/>
      <c r="CB571" s="542">
        <v>0</v>
      </c>
      <c r="CC571" s="536"/>
      <c r="CD571" s="536"/>
      <c r="CE571" s="536"/>
      <c r="CF571" s="541">
        <f t="shared" si="217"/>
        <v>0</v>
      </c>
      <c r="CG571" s="536"/>
      <c r="CH571" s="536"/>
      <c r="CI571" s="536"/>
      <c r="CJ571" s="541">
        <f t="shared" si="218"/>
        <v>0</v>
      </c>
      <c r="CK571" s="536"/>
      <c r="CL571" s="536"/>
      <c r="CM571" s="536"/>
      <c r="CN571" s="541">
        <f t="shared" si="219"/>
        <v>0</v>
      </c>
      <c r="CO571" s="536"/>
      <c r="CP571" s="536"/>
      <c r="CQ571" s="536"/>
      <c r="CR571" s="541">
        <f t="shared" si="220"/>
        <v>0</v>
      </c>
      <c r="CS571" s="536"/>
      <c r="CT571" s="536"/>
      <c r="CU571" s="536"/>
      <c r="CV571" s="541">
        <f t="shared" si="221"/>
        <v>0</v>
      </c>
      <c r="CW571" s="536"/>
      <c r="CX571" s="536"/>
      <c r="CY571" s="536"/>
      <c r="CZ571" s="541">
        <f t="shared" si="222"/>
        <v>0</v>
      </c>
      <c r="DA571" s="536"/>
      <c r="DB571" s="536"/>
      <c r="DC571" s="536"/>
      <c r="DD571" s="541">
        <f t="shared" si="223"/>
        <v>0</v>
      </c>
      <c r="DE571" s="536"/>
      <c r="DF571" s="536"/>
      <c r="DG571" s="536"/>
      <c r="DH571" s="541">
        <f t="shared" si="224"/>
        <v>0</v>
      </c>
      <c r="DI571" s="536"/>
      <c r="DJ571" s="536"/>
      <c r="DK571" s="536"/>
      <c r="DL571" s="541">
        <f t="shared" si="225"/>
        <v>0</v>
      </c>
      <c r="DM571" s="536"/>
      <c r="DN571" s="536"/>
      <c r="DO571" s="536"/>
      <c r="DP571" s="541">
        <f>IF( SUM((DJ571*(20/100))+(DK571*(30/100))+(DL571*(50/100))) &gt;=9.3,9.5,
IF(AND( SUM((DJ571*(20/100))+(DK571*(30/100))+(DL571*(50/100))) &lt;=9.3, SUM((DJ571*(20/100))+(DK571*(30/100))+(DL571*(50/100))) &gt;=8.8),9,
IF(AND( SUM((DJ571*(20/100))+(DK571*(30/100))+(DL571*(50/100))) &lt;=8.8, SUM((DJ571*(20/100))+(DK571*(30/100))+(DL571*(50/100))) &gt;=8.3),8.5,
IF(AND( SUM((DJ571*(20/100))+(DK571*(30/100))+(DL571*(50/100))) &lt;=8.3, SUM((DJ571*(20/100))+(DK571*(30/100))+(DL571*(50/100))) &gt;=7.8),8,
IF(AND( SUM((DJ571*(20/100))+(DK571*(30/100))+(DL571*(50/100))) &lt;=7.8, SUM((DJ571*(20/100))+(DK571*(30/100))+(DL571*(50/100))) &gt;=7.3),7.5,
IF(AND( SUM((DJ571*(20/100))+(DK571*(30/100))+(DL571*(50/100))) &lt;=7.3, SUM((DJ571*(20/100))+(DK571*(30/100))+(DL571*(50/100))) &gt;=6.8),7,
IF(AND( SUM((DJ571*(20/100))+(DK571*(30/100))+(DL571*(50/100))) &lt;=6.8, SUM((DJ571*(20/100))+(DK571*(30/100))+(DL571*(50/100))) &gt;=6.3),6.5,
IF(AND( SUM((DJ571*(20/100))+(DK571*(30/100))+(DL571*(50/100))) &lt;=6.3, SUM((DJ571*(20/100))+(DK571*(30/100))+(DL571*(50/100))) &gt;=5.8),6,
IF(AND( SUM((DJ571*(20/100))+(DK571*(30/100))+(DL571*(50/100))) &lt;=5.8, SUM((DJ571*(20/100))+(DK571*(30/100))+(DL571*(50/100))) &gt;=5.3),5.5,
IF(AND( SUM((DJ571*(20/100))+(DK571*(30/100))+(DL571*(50/100))) &lt;=5.3, SUM((DJ571*(20/100))+(DK571*(30/100))+(DL571*(50/100))) &gt;=4.8),5,
IF(AND( SUM((DJ571*(20/100))+(DK571*(30/100))+(DL571*(50/100))) &lt;=4.8, SUM((DJ571*(20/100))+(DK571*(30/100))+(DL571*(50/100))) &gt;=4.3),4.5,
IF(AND( SUM((DJ571*(20/100))+(DK571*(30/100))+(DL571*(50/100))) &lt;=4.3, SUM((DJ571*(20/100))+(DK571*(30/100))+(DL571*(50/100))) &gt;=3.8),4,
IF(AND( SUM((DJ571*(20/100))+(DK571*(30/100))+(DL571*(50/100))) &lt;=3.8, SUM((DJ571*(20/100))+(DK571*(30/100))+(DL571*(50/100))) &gt;=3.5),3.5,0)))))))))))))</f>
        <v>0</v>
      </c>
      <c r="DQ571" s="541"/>
      <c r="DR571" s="541"/>
      <c r="DS571" s="541"/>
      <c r="DT571" s="541"/>
      <c r="DU571" s="541"/>
      <c r="DV571" s="541"/>
      <c r="DW571" s="541"/>
      <c r="DX571" s="541"/>
      <c r="DY571" s="541"/>
      <c r="DZ571" s="541"/>
    </row>
    <row r="572" spans="2:130" x14ac:dyDescent="0.25">
      <c r="B572" s="334">
        <v>15</v>
      </c>
      <c r="C572" s="541"/>
      <c r="D572" s="334"/>
      <c r="E572" s="334"/>
      <c r="F572" s="334"/>
      <c r="G572" s="334"/>
      <c r="H572" s="334"/>
      <c r="I572" s="334"/>
      <c r="J572" s="536"/>
      <c r="K572" s="536"/>
      <c r="L572" s="536"/>
      <c r="M572" s="536"/>
      <c r="N572" s="536"/>
      <c r="O572" s="536"/>
      <c r="P572" s="536">
        <f t="shared" si="201"/>
        <v>0</v>
      </c>
      <c r="Q572" s="536"/>
      <c r="R572" s="536"/>
      <c r="S572" s="536"/>
      <c r="T572" s="536">
        <f t="shared" si="202"/>
        <v>0</v>
      </c>
      <c r="U572" s="536"/>
      <c r="V572" s="536"/>
      <c r="W572" s="536"/>
      <c r="X572" s="536">
        <f t="shared" si="203"/>
        <v>0</v>
      </c>
      <c r="Y572" s="536"/>
      <c r="Z572" s="536"/>
      <c r="AA572" s="536"/>
      <c r="AB572" s="536">
        <f t="shared" si="204"/>
        <v>0</v>
      </c>
      <c r="AC572" s="536"/>
      <c r="AD572" s="536"/>
      <c r="AE572" s="536"/>
      <c r="AF572" s="536">
        <f t="shared" si="205"/>
        <v>0</v>
      </c>
      <c r="AG572" s="536"/>
      <c r="AH572" s="536"/>
      <c r="AI572" s="536"/>
      <c r="AJ572" s="536">
        <f t="shared" si="206"/>
        <v>0</v>
      </c>
      <c r="AK572" s="536"/>
      <c r="AL572" s="536"/>
      <c r="AM572" s="536"/>
      <c r="AN572" s="542">
        <f t="shared" si="207"/>
        <v>0</v>
      </c>
      <c r="AO572" s="536"/>
      <c r="AP572" s="536"/>
      <c r="AQ572" s="536"/>
      <c r="AR572" s="542">
        <f t="shared" si="208"/>
        <v>0</v>
      </c>
      <c r="AS572" s="536"/>
      <c r="AT572" s="536"/>
      <c r="AU572" s="536"/>
      <c r="AV572" s="542">
        <f t="shared" si="209"/>
        <v>0</v>
      </c>
      <c r="AW572" s="536"/>
      <c r="AX572" s="536"/>
      <c r="AY572" s="536"/>
      <c r="AZ572" s="542">
        <f t="shared" si="210"/>
        <v>0</v>
      </c>
      <c r="BA572" s="536"/>
      <c r="BB572" s="536"/>
      <c r="BC572" s="536"/>
      <c r="BD572" s="542">
        <f t="shared" si="211"/>
        <v>0</v>
      </c>
      <c r="BE572" s="536"/>
      <c r="BF572" s="536"/>
      <c r="BG572" s="536"/>
      <c r="BH572" s="542">
        <f t="shared" si="212"/>
        <v>0</v>
      </c>
      <c r="BI572" s="536"/>
      <c r="BJ572" s="536"/>
      <c r="BK572" s="536"/>
      <c r="BL572" s="542">
        <f t="shared" si="213"/>
        <v>0</v>
      </c>
      <c r="BM572" s="536"/>
      <c r="BN572" s="536"/>
      <c r="BO572" s="536"/>
      <c r="BP572" s="542">
        <f t="shared" si="214"/>
        <v>0</v>
      </c>
      <c r="BQ572" s="536"/>
      <c r="BR572" s="536"/>
      <c r="BS572" s="536"/>
      <c r="BT572" s="542">
        <f t="shared" si="215"/>
        <v>0</v>
      </c>
      <c r="BU572" s="536"/>
      <c r="BV572" s="536"/>
      <c r="BW572" s="536"/>
      <c r="BX572" s="542">
        <f t="shared" si="216"/>
        <v>0</v>
      </c>
      <c r="BY572" s="536"/>
      <c r="BZ572" s="536"/>
      <c r="CA572" s="536"/>
      <c r="CB572" s="542">
        <v>0</v>
      </c>
      <c r="CC572" s="536"/>
      <c r="CD572" s="536"/>
      <c r="CE572" s="536"/>
      <c r="CF572" s="541">
        <f t="shared" si="217"/>
        <v>0</v>
      </c>
      <c r="CG572" s="536"/>
      <c r="CH572" s="536"/>
      <c r="CI572" s="536"/>
      <c r="CJ572" s="541">
        <f t="shared" si="218"/>
        <v>0</v>
      </c>
      <c r="CK572" s="536"/>
      <c r="CL572" s="536"/>
      <c r="CM572" s="536"/>
      <c r="CN572" s="541">
        <f t="shared" si="219"/>
        <v>0</v>
      </c>
      <c r="CO572" s="536"/>
      <c r="CP572" s="536"/>
      <c r="CQ572" s="536"/>
      <c r="CR572" s="541">
        <f t="shared" si="220"/>
        <v>0</v>
      </c>
      <c r="CS572" s="536"/>
      <c r="CT572" s="536"/>
      <c r="CU572" s="536"/>
      <c r="CV572" s="541">
        <f t="shared" si="221"/>
        <v>0</v>
      </c>
      <c r="CW572" s="536"/>
      <c r="CX572" s="536"/>
      <c r="CY572" s="536"/>
      <c r="CZ572" s="541">
        <f t="shared" si="222"/>
        <v>0</v>
      </c>
      <c r="DA572" s="536"/>
      <c r="DB572" s="536"/>
      <c r="DC572" s="536"/>
      <c r="DD572" s="541">
        <f t="shared" si="223"/>
        <v>0</v>
      </c>
      <c r="DE572" s="536"/>
      <c r="DF572" s="536"/>
      <c r="DG572" s="536"/>
      <c r="DH572" s="541">
        <f t="shared" si="224"/>
        <v>0</v>
      </c>
      <c r="DI572" s="536"/>
      <c r="DJ572" s="536"/>
      <c r="DK572" s="536"/>
      <c r="DL572" s="541">
        <f t="shared" si="225"/>
        <v>0</v>
      </c>
      <c r="DM572" s="536"/>
      <c r="DN572" s="536"/>
      <c r="DO572" s="536"/>
      <c r="DP572" s="541">
        <f>IF( SUM((DJ572*(20/100))+(DK572*(30/100))+(DL572*(50/100))) &gt;=9.3,9.5,
IF(AND( SUM((DJ572*(20/100))+(DK572*(30/100))+(DL572*(50/100))) &lt;=9.3, SUM((DJ572*(20/100))+(DK572*(30/100))+(DL572*(50/100))) &gt;=8.8),9,
IF(AND( SUM((DJ572*(20/100))+(DK572*(30/100))+(DL572*(50/100))) &lt;=8.8, SUM((DJ572*(20/100))+(DK572*(30/100))+(DL572*(50/100))) &gt;=8.3),8.5,
IF(AND( SUM((DJ572*(20/100))+(DK572*(30/100))+(DL572*(50/100))) &lt;=8.3, SUM((DJ572*(20/100))+(DK572*(30/100))+(DL572*(50/100))) &gt;=7.8),8,
IF(AND( SUM((DJ572*(20/100))+(DK572*(30/100))+(DL572*(50/100))) &lt;=7.8, SUM((DJ572*(20/100))+(DK572*(30/100))+(DL572*(50/100))) &gt;=7.3),7.5,
IF(AND( SUM((DJ572*(20/100))+(DK572*(30/100))+(DL572*(50/100))) &lt;=7.3, SUM((DJ572*(20/100))+(DK572*(30/100))+(DL572*(50/100))) &gt;=6.8),7,
IF(AND( SUM((DJ572*(20/100))+(DK572*(30/100))+(DL572*(50/100))) &lt;=6.8, SUM((DJ572*(20/100))+(DK572*(30/100))+(DL572*(50/100))) &gt;=6.3),6.5,
IF(AND( SUM((DJ572*(20/100))+(DK572*(30/100))+(DL572*(50/100))) &lt;=6.3, SUM((DJ572*(20/100))+(DK572*(30/100))+(DL572*(50/100))) &gt;=5.8),6,
IF(AND( SUM((DJ572*(20/100))+(DK572*(30/100))+(DL572*(50/100))) &lt;=5.8, SUM((DJ572*(20/100))+(DK572*(30/100))+(DL572*(50/100))) &gt;=5.3),5.5,
IF(AND( SUM((DJ572*(20/100))+(DK572*(30/100))+(DL572*(50/100))) &lt;=5.3, SUM((DJ572*(20/100))+(DK572*(30/100))+(DL572*(50/100))) &gt;=4.8),5,
IF(AND( SUM((DJ572*(20/100))+(DK572*(30/100))+(DL572*(50/100))) &lt;=4.8, SUM((DJ572*(20/100))+(DK572*(30/100))+(DL572*(50/100))) &gt;=4.3),4.5,
IF(AND( SUM((DJ572*(20/100))+(DK572*(30/100))+(DL572*(50/100))) &lt;=4.3, SUM((DJ572*(20/100))+(DK572*(30/100))+(DL572*(50/100))) &gt;=3.8),4,
IF(AND( SUM((DJ572*(20/100))+(DK572*(30/100))+(DL572*(50/100))) &lt;=3.8, SUM((DJ572*(20/100))+(DK572*(30/100))+(DL572*(50/100))) &gt;=3.5),3.5,0)))))))))))))</f>
        <v>0</v>
      </c>
      <c r="DQ572" s="541"/>
      <c r="DR572" s="541"/>
      <c r="DS572" s="541"/>
      <c r="DT572" s="541"/>
      <c r="DU572" s="541"/>
      <c r="DV572" s="541"/>
      <c r="DW572" s="541"/>
      <c r="DX572" s="541"/>
      <c r="DY572" s="541"/>
      <c r="DZ572" s="541"/>
    </row>
    <row r="573" spans="2:130" x14ac:dyDescent="0.25">
      <c r="B573" s="334">
        <v>16</v>
      </c>
      <c r="C573" s="541"/>
      <c r="D573" s="334"/>
      <c r="E573" s="334"/>
      <c r="F573" s="334"/>
      <c r="G573" s="334"/>
      <c r="H573" s="334"/>
      <c r="I573" s="334"/>
      <c r="J573" s="536"/>
      <c r="K573" s="536"/>
      <c r="L573" s="536"/>
      <c r="M573" s="536"/>
      <c r="N573" s="536"/>
      <c r="O573" s="536"/>
      <c r="P573" s="536">
        <f t="shared" si="201"/>
        <v>0</v>
      </c>
      <c r="Q573" s="536"/>
      <c r="R573" s="536"/>
      <c r="S573" s="536"/>
      <c r="T573" s="536">
        <f t="shared" si="202"/>
        <v>0</v>
      </c>
      <c r="U573" s="536"/>
      <c r="V573" s="536"/>
      <c r="W573" s="536"/>
      <c r="X573" s="536">
        <f t="shared" si="203"/>
        <v>0</v>
      </c>
      <c r="Y573" s="536"/>
      <c r="Z573" s="536"/>
      <c r="AA573" s="536"/>
      <c r="AB573" s="536">
        <f t="shared" si="204"/>
        <v>0</v>
      </c>
      <c r="AC573" s="536"/>
      <c r="AD573" s="536"/>
      <c r="AE573" s="536"/>
      <c r="AF573" s="536">
        <f t="shared" si="205"/>
        <v>0</v>
      </c>
      <c r="AG573" s="536"/>
      <c r="AH573" s="536"/>
      <c r="AI573" s="536"/>
      <c r="AJ573" s="536">
        <f t="shared" si="206"/>
        <v>0</v>
      </c>
      <c r="AK573" s="536"/>
      <c r="AL573" s="536"/>
      <c r="AM573" s="536"/>
      <c r="AN573" s="542">
        <f t="shared" si="207"/>
        <v>0</v>
      </c>
      <c r="AO573" s="536"/>
      <c r="AP573" s="536"/>
      <c r="AQ573" s="536"/>
      <c r="AR573" s="542">
        <f t="shared" si="208"/>
        <v>0</v>
      </c>
      <c r="AS573" s="536"/>
      <c r="AT573" s="536"/>
      <c r="AU573" s="536"/>
      <c r="AV573" s="542">
        <f t="shared" si="209"/>
        <v>0</v>
      </c>
      <c r="AW573" s="536"/>
      <c r="AX573" s="536"/>
      <c r="AY573" s="536"/>
      <c r="AZ573" s="542">
        <f t="shared" si="210"/>
        <v>0</v>
      </c>
      <c r="BA573" s="536"/>
      <c r="BB573" s="536"/>
      <c r="BC573" s="536"/>
      <c r="BD573" s="542">
        <f t="shared" si="211"/>
        <v>0</v>
      </c>
      <c r="BE573" s="536"/>
      <c r="BF573" s="536"/>
      <c r="BG573" s="536"/>
      <c r="BH573" s="542">
        <f t="shared" si="212"/>
        <v>0</v>
      </c>
      <c r="BI573" s="536"/>
      <c r="BJ573" s="536"/>
      <c r="BK573" s="536"/>
      <c r="BL573" s="542">
        <f t="shared" si="213"/>
        <v>0</v>
      </c>
      <c r="BM573" s="536"/>
      <c r="BN573" s="536"/>
      <c r="BO573" s="536"/>
      <c r="BP573" s="542">
        <f t="shared" si="214"/>
        <v>0</v>
      </c>
      <c r="BQ573" s="536"/>
      <c r="BR573" s="536"/>
      <c r="BS573" s="536"/>
      <c r="BT573" s="542">
        <f t="shared" si="215"/>
        <v>0</v>
      </c>
      <c r="BU573" s="536"/>
      <c r="BV573" s="536"/>
      <c r="BW573" s="536"/>
      <c r="BX573" s="542">
        <f t="shared" si="216"/>
        <v>0</v>
      </c>
      <c r="BY573" s="536"/>
      <c r="BZ573" s="536"/>
      <c r="CA573" s="536"/>
      <c r="CB573" s="542">
        <v>0</v>
      </c>
      <c r="CC573" s="536"/>
      <c r="CD573" s="536"/>
      <c r="CE573" s="536"/>
      <c r="CF573" s="541">
        <f t="shared" si="217"/>
        <v>0</v>
      </c>
      <c r="CG573" s="536"/>
      <c r="CH573" s="536"/>
      <c r="CI573" s="536"/>
      <c r="CJ573" s="541">
        <f t="shared" si="218"/>
        <v>0</v>
      </c>
      <c r="CK573" s="536"/>
      <c r="CL573" s="536"/>
      <c r="CM573" s="536"/>
      <c r="CN573" s="541">
        <f t="shared" si="219"/>
        <v>0</v>
      </c>
      <c r="CO573" s="536"/>
      <c r="CP573" s="536"/>
      <c r="CQ573" s="536"/>
      <c r="CR573" s="541">
        <f t="shared" si="220"/>
        <v>0</v>
      </c>
      <c r="CS573" s="536"/>
      <c r="CT573" s="536"/>
      <c r="CU573" s="536"/>
      <c r="CV573" s="541">
        <f t="shared" si="221"/>
        <v>0</v>
      </c>
      <c r="CW573" s="536"/>
      <c r="CX573" s="536"/>
      <c r="CY573" s="536"/>
      <c r="CZ573" s="541">
        <f t="shared" si="222"/>
        <v>0</v>
      </c>
      <c r="DA573" s="536"/>
      <c r="DB573" s="536"/>
      <c r="DC573" s="536"/>
      <c r="DD573" s="541">
        <f t="shared" si="223"/>
        <v>0</v>
      </c>
      <c r="DE573" s="536"/>
      <c r="DF573" s="536"/>
      <c r="DG573" s="536"/>
      <c r="DH573" s="541">
        <f t="shared" si="224"/>
        <v>0</v>
      </c>
      <c r="DI573" s="536"/>
      <c r="DJ573" s="536"/>
      <c r="DK573" s="536"/>
      <c r="DL573" s="541">
        <f t="shared" si="225"/>
        <v>0</v>
      </c>
      <c r="DM573" s="536"/>
      <c r="DN573" s="536"/>
      <c r="DO573" s="536"/>
      <c r="DP573" s="541">
        <f>IF( SUM((DJ573*(20/100))+(DK573*(30/100))+(DL573*(50/100))) &gt;=9.3,9.5,
IF(AND( SUM((DJ573*(20/100))+(DK573*(30/100))+(DL573*(50/100))) &lt;=9.3, SUM((DJ573*(20/100))+(DK573*(30/100))+(DL573*(50/100))) &gt;=8.8),9,
IF(AND( SUM((DJ573*(20/100))+(DK573*(30/100))+(DL573*(50/100))) &lt;=8.8, SUM((DJ573*(20/100))+(DK573*(30/100))+(DL573*(50/100))) &gt;=8.3),8.5,
IF(AND( SUM((DJ573*(20/100))+(DK573*(30/100))+(DL573*(50/100))) &lt;=8.3, SUM((DJ573*(20/100))+(DK573*(30/100))+(DL573*(50/100))) &gt;=7.8),8,
IF(AND( SUM((DJ573*(20/100))+(DK573*(30/100))+(DL573*(50/100))) &lt;=7.8, SUM((DJ573*(20/100))+(DK573*(30/100))+(DL573*(50/100))) &gt;=7.3),7.5,
IF(AND( SUM((DJ573*(20/100))+(DK573*(30/100))+(DL573*(50/100))) &lt;=7.3, SUM((DJ573*(20/100))+(DK573*(30/100))+(DL573*(50/100))) &gt;=6.8),7,
IF(AND( SUM((DJ573*(20/100))+(DK573*(30/100))+(DL573*(50/100))) &lt;=6.8, SUM((DJ573*(20/100))+(DK573*(30/100))+(DL573*(50/100))) &gt;=6.3),6.5,
IF(AND( SUM((DJ573*(20/100))+(DK573*(30/100))+(DL573*(50/100))) &lt;=6.3, SUM((DJ573*(20/100))+(DK573*(30/100))+(DL573*(50/100))) &gt;=5.8),6,
IF(AND( SUM((DJ573*(20/100))+(DK573*(30/100))+(DL573*(50/100))) &lt;=5.8, SUM((DJ573*(20/100))+(DK573*(30/100))+(DL573*(50/100))) &gt;=5.3),5.5,
IF(AND( SUM((DJ573*(20/100))+(DK573*(30/100))+(DL573*(50/100))) &lt;=5.3, SUM((DJ573*(20/100))+(DK573*(30/100))+(DL573*(50/100))) &gt;=4.8),5,
IF(AND( SUM((DJ573*(20/100))+(DK573*(30/100))+(DL573*(50/100))) &lt;=4.8, SUM((DJ573*(20/100))+(DK573*(30/100))+(DL573*(50/100))) &gt;=4.3),4.5,
IF(AND( SUM((DJ573*(20/100))+(DK573*(30/100))+(DL573*(50/100))) &lt;=4.3, SUM((DJ573*(20/100))+(DK573*(30/100))+(DL573*(50/100))) &gt;=3.8),4,
IF(AND( SUM((DJ573*(20/100))+(DK573*(30/100))+(DL573*(50/100))) &lt;=3.8, SUM((DJ573*(20/100))+(DK573*(30/100))+(DL573*(50/100))) &gt;=3.5),3.5,0)))))))))))))</f>
        <v>0</v>
      </c>
      <c r="DQ573" s="541"/>
      <c r="DR573" s="541"/>
      <c r="DS573" s="541"/>
      <c r="DT573" s="541"/>
      <c r="DU573" s="541"/>
      <c r="DV573" s="541"/>
      <c r="DW573" s="541"/>
      <c r="DX573" s="541"/>
      <c r="DY573" s="541"/>
      <c r="DZ573" s="541"/>
    </row>
    <row r="574" spans="2:130" x14ac:dyDescent="0.25">
      <c r="B574" s="334">
        <v>17</v>
      </c>
      <c r="C574" s="541"/>
      <c r="D574" s="334"/>
      <c r="E574" s="334"/>
      <c r="F574" s="334"/>
      <c r="G574" s="334"/>
      <c r="H574" s="334"/>
      <c r="I574" s="334"/>
      <c r="J574" s="536"/>
      <c r="K574" s="536"/>
      <c r="L574" s="536"/>
      <c r="M574" s="536"/>
      <c r="N574" s="536"/>
      <c r="O574" s="536"/>
      <c r="P574" s="536">
        <f t="shared" si="201"/>
        <v>0</v>
      </c>
      <c r="Q574" s="536"/>
      <c r="R574" s="536"/>
      <c r="S574" s="536"/>
      <c r="T574" s="536">
        <f t="shared" si="202"/>
        <v>0</v>
      </c>
      <c r="U574" s="536"/>
      <c r="V574" s="536"/>
      <c r="W574" s="536"/>
      <c r="X574" s="536">
        <f t="shared" si="203"/>
        <v>0</v>
      </c>
      <c r="Y574" s="536"/>
      <c r="Z574" s="536"/>
      <c r="AA574" s="536"/>
      <c r="AB574" s="536">
        <f t="shared" si="204"/>
        <v>0</v>
      </c>
      <c r="AC574" s="536"/>
      <c r="AD574" s="536"/>
      <c r="AE574" s="536"/>
      <c r="AF574" s="536">
        <f t="shared" si="205"/>
        <v>0</v>
      </c>
      <c r="AG574" s="536"/>
      <c r="AH574" s="536"/>
      <c r="AI574" s="536"/>
      <c r="AJ574" s="536">
        <f t="shared" si="206"/>
        <v>0</v>
      </c>
      <c r="AK574" s="536"/>
      <c r="AL574" s="536"/>
      <c r="AM574" s="536"/>
      <c r="AN574" s="542">
        <f t="shared" si="207"/>
        <v>0</v>
      </c>
      <c r="AO574" s="536"/>
      <c r="AP574" s="536"/>
      <c r="AQ574" s="536"/>
      <c r="AR574" s="542">
        <f t="shared" si="208"/>
        <v>0</v>
      </c>
      <c r="AS574" s="536"/>
      <c r="AT574" s="536"/>
      <c r="AU574" s="536"/>
      <c r="AV574" s="542">
        <f t="shared" si="209"/>
        <v>0</v>
      </c>
      <c r="AW574" s="536"/>
      <c r="AX574" s="536"/>
      <c r="AY574" s="536"/>
      <c r="AZ574" s="542">
        <f t="shared" si="210"/>
        <v>0</v>
      </c>
      <c r="BA574" s="536"/>
      <c r="BB574" s="536"/>
      <c r="BC574" s="536"/>
      <c r="BD574" s="542">
        <f t="shared" si="211"/>
        <v>0</v>
      </c>
      <c r="BE574" s="536"/>
      <c r="BF574" s="536"/>
      <c r="BG574" s="536"/>
      <c r="BH574" s="542">
        <f t="shared" si="212"/>
        <v>0</v>
      </c>
      <c r="BI574" s="536"/>
      <c r="BJ574" s="536"/>
      <c r="BK574" s="536"/>
      <c r="BL574" s="542">
        <f t="shared" si="213"/>
        <v>0</v>
      </c>
      <c r="BM574" s="536"/>
      <c r="BN574" s="536"/>
      <c r="BO574" s="536"/>
      <c r="BP574" s="542">
        <f t="shared" si="214"/>
        <v>0</v>
      </c>
      <c r="BQ574" s="536"/>
      <c r="BR574" s="536"/>
      <c r="BS574" s="536"/>
      <c r="BT574" s="542">
        <f t="shared" si="215"/>
        <v>0</v>
      </c>
      <c r="BU574" s="536"/>
      <c r="BV574" s="536"/>
      <c r="BW574" s="536"/>
      <c r="BX574" s="542">
        <f t="shared" si="216"/>
        <v>0</v>
      </c>
      <c r="BY574" s="536"/>
      <c r="BZ574" s="536"/>
      <c r="CA574" s="536"/>
      <c r="CB574" s="542">
        <v>0</v>
      </c>
      <c r="CC574" s="536"/>
      <c r="CD574" s="536"/>
      <c r="CE574" s="536"/>
      <c r="CF574" s="541">
        <f t="shared" si="217"/>
        <v>0</v>
      </c>
      <c r="CG574" s="536"/>
      <c r="CH574" s="536"/>
      <c r="CI574" s="536"/>
      <c r="CJ574" s="541">
        <f t="shared" si="218"/>
        <v>0</v>
      </c>
      <c r="CK574" s="536"/>
      <c r="CL574" s="536"/>
      <c r="CM574" s="536"/>
      <c r="CN574" s="541">
        <f t="shared" si="219"/>
        <v>0</v>
      </c>
      <c r="CO574" s="536"/>
      <c r="CP574" s="536"/>
      <c r="CQ574" s="536"/>
      <c r="CR574" s="541">
        <f t="shared" si="220"/>
        <v>0</v>
      </c>
      <c r="CS574" s="536"/>
      <c r="CT574" s="536"/>
      <c r="CU574" s="536"/>
      <c r="CV574" s="541">
        <f t="shared" si="221"/>
        <v>0</v>
      </c>
      <c r="CW574" s="536"/>
      <c r="CX574" s="536"/>
      <c r="CY574" s="536"/>
      <c r="CZ574" s="541">
        <f t="shared" si="222"/>
        <v>0</v>
      </c>
      <c r="DA574" s="536"/>
      <c r="DB574" s="536"/>
      <c r="DC574" s="536"/>
      <c r="DD574" s="541">
        <f t="shared" si="223"/>
        <v>0</v>
      </c>
      <c r="DE574" s="536"/>
      <c r="DF574" s="536"/>
      <c r="DG574" s="536"/>
      <c r="DH574" s="541">
        <f t="shared" si="224"/>
        <v>0</v>
      </c>
      <c r="DI574" s="536"/>
      <c r="DJ574" s="536"/>
      <c r="DK574" s="536"/>
      <c r="DL574" s="541">
        <f t="shared" si="225"/>
        <v>0</v>
      </c>
      <c r="DM574" s="536"/>
      <c r="DN574" s="536"/>
      <c r="DO574" s="536"/>
      <c r="DP574" s="541">
        <f>IF( SUM((DJ574*(20/100))+(DK574*(30/100))+(DL574*(50/100))) &gt;=9.3,9.5,
IF(AND( SUM((DJ574*(20/100))+(DK574*(30/100))+(DL574*(50/100))) &lt;=9.3, SUM((DJ574*(20/100))+(DK574*(30/100))+(DL574*(50/100))) &gt;=8.8),9,
IF(AND( SUM((DJ574*(20/100))+(DK574*(30/100))+(DL574*(50/100))) &lt;=8.8, SUM((DJ574*(20/100))+(DK574*(30/100))+(DL574*(50/100))) &gt;=8.3),8.5,
IF(AND( SUM((DJ574*(20/100))+(DK574*(30/100))+(DL574*(50/100))) &lt;=8.3, SUM((DJ574*(20/100))+(DK574*(30/100))+(DL574*(50/100))) &gt;=7.8),8,
IF(AND( SUM((DJ574*(20/100))+(DK574*(30/100))+(DL574*(50/100))) &lt;=7.8, SUM((DJ574*(20/100))+(DK574*(30/100))+(DL574*(50/100))) &gt;=7.3),7.5,
IF(AND( SUM((DJ574*(20/100))+(DK574*(30/100))+(DL574*(50/100))) &lt;=7.3, SUM((DJ574*(20/100))+(DK574*(30/100))+(DL574*(50/100))) &gt;=6.8),7,
IF(AND( SUM((DJ574*(20/100))+(DK574*(30/100))+(DL574*(50/100))) &lt;=6.8, SUM((DJ574*(20/100))+(DK574*(30/100))+(DL574*(50/100))) &gt;=6.3),6.5,
IF(AND( SUM((DJ574*(20/100))+(DK574*(30/100))+(DL574*(50/100))) &lt;=6.3, SUM((DJ574*(20/100))+(DK574*(30/100))+(DL574*(50/100))) &gt;=5.8),6,
IF(AND( SUM((DJ574*(20/100))+(DK574*(30/100))+(DL574*(50/100))) &lt;=5.8, SUM((DJ574*(20/100))+(DK574*(30/100))+(DL574*(50/100))) &gt;=5.3),5.5,
IF(AND( SUM((DJ574*(20/100))+(DK574*(30/100))+(DL574*(50/100))) &lt;=5.3, SUM((DJ574*(20/100))+(DK574*(30/100))+(DL574*(50/100))) &gt;=4.8),5,
IF(AND( SUM((DJ574*(20/100))+(DK574*(30/100))+(DL574*(50/100))) &lt;=4.8, SUM((DJ574*(20/100))+(DK574*(30/100))+(DL574*(50/100))) &gt;=4.3),4.5,
IF(AND( SUM((DJ574*(20/100))+(DK574*(30/100))+(DL574*(50/100))) &lt;=4.3, SUM((DJ574*(20/100))+(DK574*(30/100))+(DL574*(50/100))) &gt;=3.8),4,
IF(AND( SUM((DJ574*(20/100))+(DK574*(30/100))+(DL574*(50/100))) &lt;=3.8, SUM((DJ574*(20/100))+(DK574*(30/100))+(DL574*(50/100))) &gt;=3.5),3.5,0)))))))))))))</f>
        <v>0</v>
      </c>
      <c r="DQ574" s="541"/>
      <c r="DR574" s="541"/>
      <c r="DS574" s="541"/>
      <c r="DT574" s="541"/>
      <c r="DU574" s="541"/>
      <c r="DV574" s="541"/>
      <c r="DW574" s="541"/>
      <c r="DX574" s="541"/>
      <c r="DY574" s="541"/>
      <c r="DZ574" s="541"/>
    </row>
    <row r="575" spans="2:130" x14ac:dyDescent="0.25">
      <c r="B575" s="334">
        <v>18</v>
      </c>
      <c r="C575" s="541"/>
      <c r="D575" s="334"/>
      <c r="E575" s="334"/>
      <c r="F575" s="334"/>
      <c r="G575" s="334"/>
      <c r="H575" s="334"/>
      <c r="I575" s="334"/>
      <c r="J575" s="536"/>
      <c r="K575" s="536"/>
      <c r="L575" s="536"/>
      <c r="M575" s="536"/>
      <c r="N575" s="536"/>
      <c r="O575" s="536"/>
      <c r="P575" s="536">
        <f t="shared" si="201"/>
        <v>0</v>
      </c>
      <c r="Q575" s="536"/>
      <c r="R575" s="536"/>
      <c r="S575" s="536"/>
      <c r="T575" s="536">
        <f t="shared" si="202"/>
        <v>0</v>
      </c>
      <c r="U575" s="536"/>
      <c r="V575" s="536"/>
      <c r="W575" s="536"/>
      <c r="X575" s="536">
        <f t="shared" si="203"/>
        <v>0</v>
      </c>
      <c r="Y575" s="536"/>
      <c r="Z575" s="536"/>
      <c r="AA575" s="536"/>
      <c r="AB575" s="536">
        <f t="shared" si="204"/>
        <v>0</v>
      </c>
      <c r="AC575" s="536"/>
      <c r="AD575" s="536"/>
      <c r="AE575" s="536"/>
      <c r="AF575" s="536">
        <f t="shared" si="205"/>
        <v>0</v>
      </c>
      <c r="AG575" s="536"/>
      <c r="AH575" s="536"/>
      <c r="AI575" s="536"/>
      <c r="AJ575" s="536">
        <f t="shared" si="206"/>
        <v>0</v>
      </c>
      <c r="AK575" s="536"/>
      <c r="AL575" s="536"/>
      <c r="AM575" s="536"/>
      <c r="AN575" s="542">
        <f t="shared" si="207"/>
        <v>0</v>
      </c>
      <c r="AO575" s="536"/>
      <c r="AP575" s="536"/>
      <c r="AQ575" s="536"/>
      <c r="AR575" s="542">
        <f t="shared" si="208"/>
        <v>0</v>
      </c>
      <c r="AS575" s="536"/>
      <c r="AT575" s="536"/>
      <c r="AU575" s="536"/>
      <c r="AV575" s="542">
        <f t="shared" si="209"/>
        <v>0</v>
      </c>
      <c r="AW575" s="536"/>
      <c r="AX575" s="536"/>
      <c r="AY575" s="536"/>
      <c r="AZ575" s="542">
        <f t="shared" si="210"/>
        <v>0</v>
      </c>
      <c r="BA575" s="536"/>
      <c r="BB575" s="536"/>
      <c r="BC575" s="536"/>
      <c r="BD575" s="542">
        <f t="shared" si="211"/>
        <v>0</v>
      </c>
      <c r="BE575" s="536"/>
      <c r="BF575" s="536"/>
      <c r="BG575" s="536"/>
      <c r="BH575" s="542">
        <f t="shared" si="212"/>
        <v>0</v>
      </c>
      <c r="BI575" s="536"/>
      <c r="BJ575" s="536"/>
      <c r="BK575" s="536"/>
      <c r="BL575" s="542">
        <f t="shared" si="213"/>
        <v>0</v>
      </c>
      <c r="BM575" s="536"/>
      <c r="BN575" s="536"/>
      <c r="BO575" s="536"/>
      <c r="BP575" s="542">
        <f t="shared" si="214"/>
        <v>0</v>
      </c>
      <c r="BQ575" s="536"/>
      <c r="BR575" s="536"/>
      <c r="BS575" s="536"/>
      <c r="BT575" s="542">
        <f t="shared" si="215"/>
        <v>0</v>
      </c>
      <c r="BU575" s="536"/>
      <c r="BV575" s="536"/>
      <c r="BW575" s="536"/>
      <c r="BX575" s="542">
        <f t="shared" si="216"/>
        <v>0</v>
      </c>
      <c r="BY575" s="536"/>
      <c r="BZ575" s="536"/>
      <c r="CA575" s="536"/>
      <c r="CB575" s="542">
        <v>0</v>
      </c>
      <c r="CC575" s="536"/>
      <c r="CD575" s="536"/>
      <c r="CE575" s="536"/>
      <c r="CF575" s="541">
        <f t="shared" si="217"/>
        <v>0</v>
      </c>
      <c r="CG575" s="536"/>
      <c r="CH575" s="536"/>
      <c r="CI575" s="536"/>
      <c r="CJ575" s="541">
        <f t="shared" si="218"/>
        <v>0</v>
      </c>
      <c r="CK575" s="536"/>
      <c r="CL575" s="536"/>
      <c r="CM575" s="536"/>
      <c r="CN575" s="541">
        <f t="shared" si="219"/>
        <v>0</v>
      </c>
      <c r="CO575" s="536"/>
      <c r="CP575" s="536"/>
      <c r="CQ575" s="536"/>
      <c r="CR575" s="541">
        <f t="shared" si="220"/>
        <v>0</v>
      </c>
      <c r="CS575" s="536"/>
      <c r="CT575" s="536"/>
      <c r="CU575" s="536"/>
      <c r="CV575" s="541">
        <f t="shared" si="221"/>
        <v>0</v>
      </c>
      <c r="CW575" s="536"/>
      <c r="CX575" s="536"/>
      <c r="CY575" s="536"/>
      <c r="CZ575" s="541">
        <f t="shared" si="222"/>
        <v>0</v>
      </c>
      <c r="DA575" s="536"/>
      <c r="DB575" s="536"/>
      <c r="DC575" s="536"/>
      <c r="DD575" s="541">
        <f t="shared" si="223"/>
        <v>0</v>
      </c>
      <c r="DE575" s="536"/>
      <c r="DF575" s="536"/>
      <c r="DG575" s="536"/>
      <c r="DH575" s="541">
        <f t="shared" si="224"/>
        <v>0</v>
      </c>
      <c r="DI575" s="536"/>
      <c r="DJ575" s="536"/>
      <c r="DK575" s="536"/>
      <c r="DL575" s="541">
        <f t="shared" si="225"/>
        <v>0</v>
      </c>
      <c r="DM575" s="536"/>
      <c r="DN575" s="536"/>
      <c r="DO575" s="536"/>
      <c r="DP575" s="541">
        <f>IF( SUM((DJ575*(20/100))+(DK575*(30/100))+(DL575*(50/100))) &gt;=9.3,9.5,
IF(AND( SUM((DJ575*(20/100))+(DK575*(30/100))+(DL575*(50/100))) &lt;=9.3, SUM((DJ575*(20/100))+(DK575*(30/100))+(DL575*(50/100))) &gt;=8.8),9,
IF(AND( SUM((DJ575*(20/100))+(DK575*(30/100))+(DL575*(50/100))) &lt;=8.8, SUM((DJ575*(20/100))+(DK575*(30/100))+(DL575*(50/100))) &gt;=8.3),8.5,
IF(AND( SUM((DJ575*(20/100))+(DK575*(30/100))+(DL575*(50/100))) &lt;=8.3, SUM((DJ575*(20/100))+(DK575*(30/100))+(DL575*(50/100))) &gt;=7.8),8,
IF(AND( SUM((DJ575*(20/100))+(DK575*(30/100))+(DL575*(50/100))) &lt;=7.8, SUM((DJ575*(20/100))+(DK575*(30/100))+(DL575*(50/100))) &gt;=7.3),7.5,
IF(AND( SUM((DJ575*(20/100))+(DK575*(30/100))+(DL575*(50/100))) &lt;=7.3, SUM((DJ575*(20/100))+(DK575*(30/100))+(DL575*(50/100))) &gt;=6.8),7,
IF(AND( SUM((DJ575*(20/100))+(DK575*(30/100))+(DL575*(50/100))) &lt;=6.8, SUM((DJ575*(20/100))+(DK575*(30/100))+(DL575*(50/100))) &gt;=6.3),6.5,
IF(AND( SUM((DJ575*(20/100))+(DK575*(30/100))+(DL575*(50/100))) &lt;=6.3, SUM((DJ575*(20/100))+(DK575*(30/100))+(DL575*(50/100))) &gt;=5.8),6,
IF(AND( SUM((DJ575*(20/100))+(DK575*(30/100))+(DL575*(50/100))) &lt;=5.8, SUM((DJ575*(20/100))+(DK575*(30/100))+(DL575*(50/100))) &gt;=5.3),5.5,
IF(AND( SUM((DJ575*(20/100))+(DK575*(30/100))+(DL575*(50/100))) &lt;=5.3, SUM((DJ575*(20/100))+(DK575*(30/100))+(DL575*(50/100))) &gt;=4.8),5,
IF(AND( SUM((DJ575*(20/100))+(DK575*(30/100))+(DL575*(50/100))) &lt;=4.8, SUM((DJ575*(20/100))+(DK575*(30/100))+(DL575*(50/100))) &gt;=4.3),4.5,
IF(AND( SUM((DJ575*(20/100))+(DK575*(30/100))+(DL575*(50/100))) &lt;=4.3, SUM((DJ575*(20/100))+(DK575*(30/100))+(DL575*(50/100))) &gt;=3.8),4,
IF(AND( SUM((DJ575*(20/100))+(DK575*(30/100))+(DL575*(50/100))) &lt;=3.8, SUM((DJ575*(20/100))+(DK575*(30/100))+(DL575*(50/100))) &gt;=3.5),3.5,0)))))))))))))</f>
        <v>0</v>
      </c>
      <c r="DQ575" s="541"/>
      <c r="DR575" s="541"/>
      <c r="DS575" s="541"/>
      <c r="DT575" s="541"/>
      <c r="DU575" s="541"/>
      <c r="DV575" s="541"/>
      <c r="DW575" s="541"/>
      <c r="DX575" s="541"/>
      <c r="DY575" s="541"/>
      <c r="DZ575" s="541"/>
    </row>
    <row r="576" spans="2:130" x14ac:dyDescent="0.25">
      <c r="B576" s="334">
        <v>19</v>
      </c>
      <c r="C576" s="541"/>
      <c r="D576" s="334"/>
      <c r="E576" s="334"/>
      <c r="F576" s="334"/>
      <c r="G576" s="334"/>
      <c r="H576" s="334"/>
      <c r="I576" s="334"/>
      <c r="J576" s="536"/>
      <c r="K576" s="536"/>
      <c r="L576" s="536"/>
      <c r="M576" s="536"/>
      <c r="N576" s="536"/>
      <c r="O576" s="536"/>
      <c r="P576" s="536">
        <f t="shared" si="201"/>
        <v>0</v>
      </c>
      <c r="Q576" s="536"/>
      <c r="R576" s="536"/>
      <c r="S576" s="536"/>
      <c r="T576" s="536">
        <f t="shared" si="202"/>
        <v>0</v>
      </c>
      <c r="U576" s="536"/>
      <c r="V576" s="536"/>
      <c r="W576" s="536"/>
      <c r="X576" s="536">
        <f t="shared" si="203"/>
        <v>0</v>
      </c>
      <c r="Y576" s="536"/>
      <c r="Z576" s="536"/>
      <c r="AA576" s="536"/>
      <c r="AB576" s="536">
        <f t="shared" si="204"/>
        <v>0</v>
      </c>
      <c r="AC576" s="536"/>
      <c r="AD576" s="536"/>
      <c r="AE576" s="536"/>
      <c r="AF576" s="536">
        <f t="shared" si="205"/>
        <v>0</v>
      </c>
      <c r="AG576" s="536"/>
      <c r="AH576" s="536"/>
      <c r="AI576" s="536"/>
      <c r="AJ576" s="536">
        <f t="shared" si="206"/>
        <v>0</v>
      </c>
      <c r="AK576" s="536"/>
      <c r="AL576" s="536"/>
      <c r="AM576" s="536"/>
      <c r="AN576" s="542">
        <f t="shared" si="207"/>
        <v>0</v>
      </c>
      <c r="AO576" s="536"/>
      <c r="AP576" s="536"/>
      <c r="AQ576" s="536"/>
      <c r="AR576" s="542">
        <f t="shared" si="208"/>
        <v>0</v>
      </c>
      <c r="AS576" s="536"/>
      <c r="AT576" s="536"/>
      <c r="AU576" s="536"/>
      <c r="AV576" s="542">
        <f t="shared" si="209"/>
        <v>0</v>
      </c>
      <c r="AW576" s="536"/>
      <c r="AX576" s="536"/>
      <c r="AY576" s="536"/>
      <c r="AZ576" s="542">
        <f t="shared" si="210"/>
        <v>0</v>
      </c>
      <c r="BA576" s="536"/>
      <c r="BB576" s="536"/>
      <c r="BC576" s="536"/>
      <c r="BD576" s="542">
        <f t="shared" si="211"/>
        <v>0</v>
      </c>
      <c r="BE576" s="536"/>
      <c r="BF576" s="536"/>
      <c r="BG576" s="536"/>
      <c r="BH576" s="542">
        <f t="shared" si="212"/>
        <v>0</v>
      </c>
      <c r="BI576" s="536"/>
      <c r="BJ576" s="536"/>
      <c r="BK576" s="536"/>
      <c r="BL576" s="542">
        <f t="shared" si="213"/>
        <v>0</v>
      </c>
      <c r="BM576" s="536"/>
      <c r="BN576" s="536"/>
      <c r="BO576" s="536"/>
      <c r="BP576" s="542">
        <f t="shared" si="214"/>
        <v>0</v>
      </c>
      <c r="BQ576" s="536"/>
      <c r="BR576" s="536"/>
      <c r="BS576" s="536"/>
      <c r="BT576" s="542">
        <f t="shared" si="215"/>
        <v>0</v>
      </c>
      <c r="BU576" s="536"/>
      <c r="BV576" s="536"/>
      <c r="BW576" s="536"/>
      <c r="BX576" s="542">
        <f t="shared" si="216"/>
        <v>0</v>
      </c>
      <c r="BY576" s="536"/>
      <c r="BZ576" s="536"/>
      <c r="CA576" s="536"/>
      <c r="CB576" s="542">
        <v>0</v>
      </c>
      <c r="CC576" s="536"/>
      <c r="CD576" s="536"/>
      <c r="CE576" s="536"/>
      <c r="CF576" s="541">
        <f t="shared" si="217"/>
        <v>0</v>
      </c>
      <c r="CG576" s="536"/>
      <c r="CH576" s="536"/>
      <c r="CI576" s="536"/>
      <c r="CJ576" s="541">
        <f t="shared" si="218"/>
        <v>0</v>
      </c>
      <c r="CK576" s="536"/>
      <c r="CL576" s="536"/>
      <c r="CM576" s="536"/>
      <c r="CN576" s="541">
        <f t="shared" si="219"/>
        <v>0</v>
      </c>
      <c r="CO576" s="536"/>
      <c r="CP576" s="536"/>
      <c r="CQ576" s="536"/>
      <c r="CR576" s="541">
        <f t="shared" si="220"/>
        <v>0</v>
      </c>
      <c r="CS576" s="536"/>
      <c r="CT576" s="536"/>
      <c r="CU576" s="536"/>
      <c r="CV576" s="541">
        <f t="shared" si="221"/>
        <v>0</v>
      </c>
      <c r="CW576" s="536"/>
      <c r="CX576" s="536"/>
      <c r="CY576" s="536"/>
      <c r="CZ576" s="541">
        <f t="shared" si="222"/>
        <v>0</v>
      </c>
      <c r="DA576" s="536"/>
      <c r="DB576" s="536"/>
      <c r="DC576" s="536"/>
      <c r="DD576" s="541">
        <f t="shared" si="223"/>
        <v>0</v>
      </c>
      <c r="DE576" s="536"/>
      <c r="DF576" s="536"/>
      <c r="DG576" s="536"/>
      <c r="DH576" s="541">
        <f t="shared" si="224"/>
        <v>0</v>
      </c>
      <c r="DI576" s="536"/>
      <c r="DJ576" s="536"/>
      <c r="DK576" s="536"/>
      <c r="DL576" s="541">
        <f t="shared" si="225"/>
        <v>0</v>
      </c>
      <c r="DM576" s="536"/>
      <c r="DN576" s="536"/>
      <c r="DO576" s="536"/>
      <c r="DP576" s="541">
        <f>IF( SUM((DJ576*(20/100))+(DK576*(30/100))+(DL576*(50/100))) &gt;=9.3,9.5,
IF(AND( SUM((DJ576*(20/100))+(DK576*(30/100))+(DL576*(50/100))) &lt;=9.3, SUM((DJ576*(20/100))+(DK576*(30/100))+(DL576*(50/100))) &gt;=8.8),9,
IF(AND( SUM((DJ576*(20/100))+(DK576*(30/100))+(DL576*(50/100))) &lt;=8.8, SUM((DJ576*(20/100))+(DK576*(30/100))+(DL576*(50/100))) &gt;=8.3),8.5,
IF(AND( SUM((DJ576*(20/100))+(DK576*(30/100))+(DL576*(50/100))) &lt;=8.3, SUM((DJ576*(20/100))+(DK576*(30/100))+(DL576*(50/100))) &gt;=7.8),8,
IF(AND( SUM((DJ576*(20/100))+(DK576*(30/100))+(DL576*(50/100))) &lt;=7.8, SUM((DJ576*(20/100))+(DK576*(30/100))+(DL576*(50/100))) &gt;=7.3),7.5,
IF(AND( SUM((DJ576*(20/100))+(DK576*(30/100))+(DL576*(50/100))) &lt;=7.3, SUM((DJ576*(20/100))+(DK576*(30/100))+(DL576*(50/100))) &gt;=6.8),7,
IF(AND( SUM((DJ576*(20/100))+(DK576*(30/100))+(DL576*(50/100))) &lt;=6.8, SUM((DJ576*(20/100))+(DK576*(30/100))+(DL576*(50/100))) &gt;=6.3),6.5,
IF(AND( SUM((DJ576*(20/100))+(DK576*(30/100))+(DL576*(50/100))) &lt;=6.3, SUM((DJ576*(20/100))+(DK576*(30/100))+(DL576*(50/100))) &gt;=5.8),6,
IF(AND( SUM((DJ576*(20/100))+(DK576*(30/100))+(DL576*(50/100))) &lt;=5.8, SUM((DJ576*(20/100))+(DK576*(30/100))+(DL576*(50/100))) &gt;=5.3),5.5,
IF(AND( SUM((DJ576*(20/100))+(DK576*(30/100))+(DL576*(50/100))) &lt;=5.3, SUM((DJ576*(20/100))+(DK576*(30/100))+(DL576*(50/100))) &gt;=4.8),5,
IF(AND( SUM((DJ576*(20/100))+(DK576*(30/100))+(DL576*(50/100))) &lt;=4.8, SUM((DJ576*(20/100))+(DK576*(30/100))+(DL576*(50/100))) &gt;=4.3),4.5,
IF(AND( SUM((DJ576*(20/100))+(DK576*(30/100))+(DL576*(50/100))) &lt;=4.3, SUM((DJ576*(20/100))+(DK576*(30/100))+(DL576*(50/100))) &gt;=3.8),4,
IF(AND( SUM((DJ576*(20/100))+(DK576*(30/100))+(DL576*(50/100))) &lt;=3.8, SUM((DJ576*(20/100))+(DK576*(30/100))+(DL576*(50/100))) &gt;=3.5),3.5,0)))))))))))))</f>
        <v>0</v>
      </c>
      <c r="DQ576" s="541"/>
      <c r="DR576" s="541"/>
      <c r="DS576" s="541"/>
      <c r="DT576" s="541"/>
      <c r="DU576" s="541"/>
      <c r="DV576" s="541"/>
      <c r="DW576" s="541"/>
      <c r="DX576" s="541"/>
      <c r="DY576" s="541"/>
      <c r="DZ576" s="541"/>
    </row>
    <row r="577" spans="2:130" x14ac:dyDescent="0.25">
      <c r="B577" s="334">
        <v>20</v>
      </c>
      <c r="C577" s="541"/>
      <c r="D577" s="334"/>
      <c r="E577" s="334"/>
      <c r="F577" s="334"/>
      <c r="G577" s="334"/>
      <c r="H577" s="334"/>
      <c r="I577" s="334"/>
      <c r="J577" s="536"/>
      <c r="K577" s="536"/>
      <c r="L577" s="536"/>
      <c r="M577" s="536"/>
      <c r="N577" s="536"/>
      <c r="O577" s="536"/>
      <c r="P577" s="536">
        <f t="shared" si="201"/>
        <v>0</v>
      </c>
      <c r="Q577" s="536"/>
      <c r="R577" s="536"/>
      <c r="S577" s="536"/>
      <c r="T577" s="536">
        <f t="shared" si="202"/>
        <v>0</v>
      </c>
      <c r="U577" s="536"/>
      <c r="V577" s="536"/>
      <c r="W577" s="536"/>
      <c r="X577" s="536">
        <f t="shared" si="203"/>
        <v>0</v>
      </c>
      <c r="Y577" s="536"/>
      <c r="Z577" s="536"/>
      <c r="AA577" s="536"/>
      <c r="AB577" s="536">
        <f t="shared" si="204"/>
        <v>0</v>
      </c>
      <c r="AC577" s="536"/>
      <c r="AD577" s="536"/>
      <c r="AE577" s="536"/>
      <c r="AF577" s="536">
        <f t="shared" si="205"/>
        <v>0</v>
      </c>
      <c r="AG577" s="536"/>
      <c r="AH577" s="536"/>
      <c r="AI577" s="536"/>
      <c r="AJ577" s="536">
        <f t="shared" si="206"/>
        <v>0</v>
      </c>
      <c r="AK577" s="536"/>
      <c r="AL577" s="536"/>
      <c r="AM577" s="536"/>
      <c r="AN577" s="542">
        <f t="shared" si="207"/>
        <v>0</v>
      </c>
      <c r="AO577" s="536"/>
      <c r="AP577" s="536"/>
      <c r="AQ577" s="536"/>
      <c r="AR577" s="542">
        <f t="shared" si="208"/>
        <v>0</v>
      </c>
      <c r="AS577" s="536"/>
      <c r="AT577" s="536"/>
      <c r="AU577" s="536"/>
      <c r="AV577" s="542">
        <f t="shared" si="209"/>
        <v>0</v>
      </c>
      <c r="AW577" s="536"/>
      <c r="AX577" s="536"/>
      <c r="AY577" s="536"/>
      <c r="AZ577" s="542">
        <f t="shared" si="210"/>
        <v>0</v>
      </c>
      <c r="BA577" s="536"/>
      <c r="BB577" s="536"/>
      <c r="BC577" s="536"/>
      <c r="BD577" s="542">
        <f t="shared" si="211"/>
        <v>0</v>
      </c>
      <c r="BE577" s="536"/>
      <c r="BF577" s="536"/>
      <c r="BG577" s="536"/>
      <c r="BH577" s="542">
        <f t="shared" si="212"/>
        <v>0</v>
      </c>
      <c r="BI577" s="536"/>
      <c r="BJ577" s="536"/>
      <c r="BK577" s="536"/>
      <c r="BL577" s="542">
        <f t="shared" si="213"/>
        <v>0</v>
      </c>
      <c r="BM577" s="536"/>
      <c r="BN577" s="536"/>
      <c r="BO577" s="536"/>
      <c r="BP577" s="542">
        <f t="shared" si="214"/>
        <v>0</v>
      </c>
      <c r="BQ577" s="536"/>
      <c r="BR577" s="536"/>
      <c r="BS577" s="536"/>
      <c r="BT577" s="542">
        <f t="shared" si="215"/>
        <v>0</v>
      </c>
      <c r="BU577" s="536"/>
      <c r="BV577" s="536"/>
      <c r="BW577" s="536"/>
      <c r="BX577" s="542">
        <f t="shared" si="216"/>
        <v>0</v>
      </c>
      <c r="BY577" s="536"/>
      <c r="BZ577" s="536"/>
      <c r="CA577" s="536"/>
      <c r="CB577" s="542">
        <v>0</v>
      </c>
      <c r="CC577" s="536"/>
      <c r="CD577" s="536"/>
      <c r="CE577" s="536"/>
      <c r="CF577" s="541">
        <f t="shared" si="217"/>
        <v>0</v>
      </c>
      <c r="CG577" s="536"/>
      <c r="CH577" s="536"/>
      <c r="CI577" s="536"/>
      <c r="CJ577" s="541">
        <f t="shared" si="218"/>
        <v>0</v>
      </c>
      <c r="CK577" s="536"/>
      <c r="CL577" s="536"/>
      <c r="CM577" s="536"/>
      <c r="CN577" s="541">
        <f t="shared" si="219"/>
        <v>0</v>
      </c>
      <c r="CO577" s="536"/>
      <c r="CP577" s="536"/>
      <c r="CQ577" s="536"/>
      <c r="CR577" s="541">
        <f t="shared" si="220"/>
        <v>0</v>
      </c>
      <c r="CS577" s="536"/>
      <c r="CT577" s="536"/>
      <c r="CU577" s="536"/>
      <c r="CV577" s="541">
        <f t="shared" si="221"/>
        <v>0</v>
      </c>
      <c r="CW577" s="536"/>
      <c r="CX577" s="536"/>
      <c r="CY577" s="536"/>
      <c r="CZ577" s="541">
        <f t="shared" si="222"/>
        <v>0</v>
      </c>
      <c r="DA577" s="536"/>
      <c r="DB577" s="536"/>
      <c r="DC577" s="536"/>
      <c r="DD577" s="541">
        <f t="shared" si="223"/>
        <v>0</v>
      </c>
      <c r="DE577" s="536"/>
      <c r="DF577" s="536"/>
      <c r="DG577" s="536"/>
      <c r="DH577" s="541">
        <f t="shared" si="224"/>
        <v>0</v>
      </c>
      <c r="DI577" s="536"/>
      <c r="DJ577" s="536"/>
      <c r="DK577" s="536"/>
      <c r="DL577" s="541">
        <f t="shared" si="225"/>
        <v>0</v>
      </c>
      <c r="DM577" s="536"/>
      <c r="DN577" s="536"/>
      <c r="DO577" s="536"/>
      <c r="DP577" s="541">
        <f>IF( SUM((DJ577*(20/100))+(DK577*(30/100))+(DL577*(50/100))) &gt;=9.3,9.5,
IF(AND( SUM((DJ577*(20/100))+(DK577*(30/100))+(DL577*(50/100))) &lt;=9.3, SUM((DJ577*(20/100))+(DK577*(30/100))+(DL577*(50/100))) &gt;=8.8),9,
IF(AND( SUM((DJ577*(20/100))+(DK577*(30/100))+(DL577*(50/100))) &lt;=8.8, SUM((DJ577*(20/100))+(DK577*(30/100))+(DL577*(50/100))) &gt;=8.3),8.5,
IF(AND( SUM((DJ577*(20/100))+(DK577*(30/100))+(DL577*(50/100))) &lt;=8.3, SUM((DJ577*(20/100))+(DK577*(30/100))+(DL577*(50/100))) &gt;=7.8),8,
IF(AND( SUM((DJ577*(20/100))+(DK577*(30/100))+(DL577*(50/100))) &lt;=7.8, SUM((DJ577*(20/100))+(DK577*(30/100))+(DL577*(50/100))) &gt;=7.3),7.5,
IF(AND( SUM((DJ577*(20/100))+(DK577*(30/100))+(DL577*(50/100))) &lt;=7.3, SUM((DJ577*(20/100))+(DK577*(30/100))+(DL577*(50/100))) &gt;=6.8),7,
IF(AND( SUM((DJ577*(20/100))+(DK577*(30/100))+(DL577*(50/100))) &lt;=6.8, SUM((DJ577*(20/100))+(DK577*(30/100))+(DL577*(50/100))) &gt;=6.3),6.5,
IF(AND( SUM((DJ577*(20/100))+(DK577*(30/100))+(DL577*(50/100))) &lt;=6.3, SUM((DJ577*(20/100))+(DK577*(30/100))+(DL577*(50/100))) &gt;=5.8),6,
IF(AND( SUM((DJ577*(20/100))+(DK577*(30/100))+(DL577*(50/100))) &lt;=5.8, SUM((DJ577*(20/100))+(DK577*(30/100))+(DL577*(50/100))) &gt;=5.3),5.5,
IF(AND( SUM((DJ577*(20/100))+(DK577*(30/100))+(DL577*(50/100))) &lt;=5.3, SUM((DJ577*(20/100))+(DK577*(30/100))+(DL577*(50/100))) &gt;=4.8),5,
IF(AND( SUM((DJ577*(20/100))+(DK577*(30/100))+(DL577*(50/100))) &lt;=4.8, SUM((DJ577*(20/100))+(DK577*(30/100))+(DL577*(50/100))) &gt;=4.3),4.5,
IF(AND( SUM((DJ577*(20/100))+(DK577*(30/100))+(DL577*(50/100))) &lt;=4.3, SUM((DJ577*(20/100))+(DK577*(30/100))+(DL577*(50/100))) &gt;=3.8),4,
IF(AND( SUM((DJ577*(20/100))+(DK577*(30/100))+(DL577*(50/100))) &lt;=3.8, SUM((DJ577*(20/100))+(DK577*(30/100))+(DL577*(50/100))) &gt;=3.5),3.5,0)))))))))))))</f>
        <v>0</v>
      </c>
      <c r="DQ577" s="541"/>
      <c r="DR577" s="541"/>
      <c r="DS577" s="541"/>
      <c r="DT577" s="541"/>
      <c r="DU577" s="541"/>
      <c r="DV577" s="541"/>
      <c r="DW577" s="541"/>
      <c r="DX577" s="541"/>
      <c r="DY577" s="541"/>
      <c r="DZ577" s="541"/>
    </row>
    <row r="578" spans="2:130" x14ac:dyDescent="0.25">
      <c r="B578" s="334">
        <v>21</v>
      </c>
      <c r="C578" s="541"/>
      <c r="D578" s="334"/>
      <c r="E578" s="334"/>
      <c r="F578" s="334"/>
      <c r="G578" s="334"/>
      <c r="H578" s="334"/>
      <c r="I578" s="334"/>
      <c r="J578" s="536"/>
      <c r="K578" s="536"/>
      <c r="L578" s="536"/>
      <c r="M578" s="536"/>
      <c r="N578" s="536"/>
      <c r="O578" s="536"/>
      <c r="P578" s="536">
        <f t="shared" si="201"/>
        <v>0</v>
      </c>
      <c r="Q578" s="536"/>
      <c r="R578" s="536"/>
      <c r="S578" s="536"/>
      <c r="T578" s="536">
        <f t="shared" si="202"/>
        <v>0</v>
      </c>
      <c r="U578" s="536"/>
      <c r="V578" s="536"/>
      <c r="W578" s="536"/>
      <c r="X578" s="536">
        <f t="shared" si="203"/>
        <v>0</v>
      </c>
      <c r="Y578" s="536"/>
      <c r="Z578" s="536"/>
      <c r="AA578" s="536"/>
      <c r="AB578" s="536">
        <f t="shared" si="204"/>
        <v>0</v>
      </c>
      <c r="AC578" s="536"/>
      <c r="AD578" s="536"/>
      <c r="AE578" s="536"/>
      <c r="AF578" s="536">
        <f t="shared" si="205"/>
        <v>0</v>
      </c>
      <c r="AG578" s="536"/>
      <c r="AH578" s="536"/>
      <c r="AI578" s="536"/>
      <c r="AJ578" s="536">
        <f t="shared" si="206"/>
        <v>0</v>
      </c>
      <c r="AK578" s="536"/>
      <c r="AL578" s="536"/>
      <c r="AM578" s="536"/>
      <c r="AN578" s="542">
        <f t="shared" si="207"/>
        <v>0</v>
      </c>
      <c r="AO578" s="536"/>
      <c r="AP578" s="536"/>
      <c r="AQ578" s="536"/>
      <c r="AR578" s="542">
        <f t="shared" si="208"/>
        <v>0</v>
      </c>
      <c r="AS578" s="536"/>
      <c r="AT578" s="536"/>
      <c r="AU578" s="536"/>
      <c r="AV578" s="542">
        <f t="shared" si="209"/>
        <v>0</v>
      </c>
      <c r="AW578" s="536"/>
      <c r="AX578" s="536"/>
      <c r="AY578" s="536"/>
      <c r="AZ578" s="542">
        <f t="shared" si="210"/>
        <v>0</v>
      </c>
      <c r="BA578" s="536"/>
      <c r="BB578" s="536"/>
      <c r="BC578" s="536"/>
      <c r="BD578" s="542">
        <f t="shared" si="211"/>
        <v>0</v>
      </c>
      <c r="BE578" s="536"/>
      <c r="BF578" s="536"/>
      <c r="BG578" s="536"/>
      <c r="BH578" s="542">
        <f t="shared" si="212"/>
        <v>0</v>
      </c>
      <c r="BI578" s="536"/>
      <c r="BJ578" s="536"/>
      <c r="BK578" s="536"/>
      <c r="BL578" s="542">
        <f t="shared" si="213"/>
        <v>0</v>
      </c>
      <c r="BM578" s="536"/>
      <c r="BN578" s="536"/>
      <c r="BO578" s="536"/>
      <c r="BP578" s="542">
        <f t="shared" si="214"/>
        <v>0</v>
      </c>
      <c r="BQ578" s="536"/>
      <c r="BR578" s="536"/>
      <c r="BS578" s="536"/>
      <c r="BT578" s="542">
        <f t="shared" si="215"/>
        <v>0</v>
      </c>
      <c r="BU578" s="536"/>
      <c r="BV578" s="536"/>
      <c r="BW578" s="536"/>
      <c r="BX578" s="542">
        <f t="shared" si="216"/>
        <v>0</v>
      </c>
      <c r="BY578" s="536"/>
      <c r="BZ578" s="536"/>
      <c r="CA578" s="536"/>
      <c r="CB578" s="542">
        <v>0</v>
      </c>
      <c r="CC578" s="536"/>
      <c r="CD578" s="536"/>
      <c r="CE578" s="536"/>
      <c r="CF578" s="541">
        <f t="shared" si="217"/>
        <v>0</v>
      </c>
      <c r="CG578" s="536"/>
      <c r="CH578" s="536"/>
      <c r="CI578" s="536"/>
      <c r="CJ578" s="541">
        <f t="shared" si="218"/>
        <v>0</v>
      </c>
      <c r="CK578" s="536"/>
      <c r="CL578" s="536"/>
      <c r="CM578" s="536"/>
      <c r="CN578" s="541">
        <f t="shared" si="219"/>
        <v>0</v>
      </c>
      <c r="CO578" s="536"/>
      <c r="CP578" s="536"/>
      <c r="CQ578" s="536"/>
      <c r="CR578" s="541">
        <f t="shared" si="220"/>
        <v>0</v>
      </c>
      <c r="CS578" s="536"/>
      <c r="CT578" s="536"/>
      <c r="CU578" s="536"/>
      <c r="CV578" s="541">
        <f t="shared" si="221"/>
        <v>0</v>
      </c>
      <c r="CW578" s="536"/>
      <c r="CX578" s="536"/>
      <c r="CY578" s="536"/>
      <c r="CZ578" s="541">
        <f t="shared" si="222"/>
        <v>0</v>
      </c>
      <c r="DA578" s="536"/>
      <c r="DB578" s="536"/>
      <c r="DC578" s="536"/>
      <c r="DD578" s="541">
        <f t="shared" si="223"/>
        <v>0</v>
      </c>
      <c r="DE578" s="536"/>
      <c r="DF578" s="536"/>
      <c r="DG578" s="536"/>
      <c r="DH578" s="541">
        <f t="shared" si="224"/>
        <v>0</v>
      </c>
      <c r="DI578" s="536"/>
      <c r="DJ578" s="536"/>
      <c r="DK578" s="536"/>
      <c r="DL578" s="541">
        <f t="shared" si="225"/>
        <v>0</v>
      </c>
      <c r="DM578" s="536"/>
      <c r="DN578" s="536"/>
      <c r="DO578" s="536"/>
      <c r="DP578" s="541">
        <f>IF( SUM((DJ578*(20/100))+(DK578*(30/100))+(DL578*(50/100))) &gt;=9.3,9.5,
IF(AND( SUM((DJ578*(20/100))+(DK578*(30/100))+(DL578*(50/100))) &lt;=9.3, SUM((DJ578*(20/100))+(DK578*(30/100))+(DL578*(50/100))) &gt;=8.8),9,
IF(AND( SUM((DJ578*(20/100))+(DK578*(30/100))+(DL578*(50/100))) &lt;=8.8, SUM((DJ578*(20/100))+(DK578*(30/100))+(DL578*(50/100))) &gt;=8.3),8.5,
IF(AND( SUM((DJ578*(20/100))+(DK578*(30/100))+(DL578*(50/100))) &lt;=8.3, SUM((DJ578*(20/100))+(DK578*(30/100))+(DL578*(50/100))) &gt;=7.8),8,
IF(AND( SUM((DJ578*(20/100))+(DK578*(30/100))+(DL578*(50/100))) &lt;=7.8, SUM((DJ578*(20/100))+(DK578*(30/100))+(DL578*(50/100))) &gt;=7.3),7.5,
IF(AND( SUM((DJ578*(20/100))+(DK578*(30/100))+(DL578*(50/100))) &lt;=7.3, SUM((DJ578*(20/100))+(DK578*(30/100))+(DL578*(50/100))) &gt;=6.8),7,
IF(AND( SUM((DJ578*(20/100))+(DK578*(30/100))+(DL578*(50/100))) &lt;=6.8, SUM((DJ578*(20/100))+(DK578*(30/100))+(DL578*(50/100))) &gt;=6.3),6.5,
IF(AND( SUM((DJ578*(20/100))+(DK578*(30/100))+(DL578*(50/100))) &lt;=6.3, SUM((DJ578*(20/100))+(DK578*(30/100))+(DL578*(50/100))) &gt;=5.8),6,
IF(AND( SUM((DJ578*(20/100))+(DK578*(30/100))+(DL578*(50/100))) &lt;=5.8, SUM((DJ578*(20/100))+(DK578*(30/100))+(DL578*(50/100))) &gt;=5.3),5.5,
IF(AND( SUM((DJ578*(20/100))+(DK578*(30/100))+(DL578*(50/100))) &lt;=5.3, SUM((DJ578*(20/100))+(DK578*(30/100))+(DL578*(50/100))) &gt;=4.8),5,
IF(AND( SUM((DJ578*(20/100))+(DK578*(30/100))+(DL578*(50/100))) &lt;=4.8, SUM((DJ578*(20/100))+(DK578*(30/100))+(DL578*(50/100))) &gt;=4.3),4.5,
IF(AND( SUM((DJ578*(20/100))+(DK578*(30/100))+(DL578*(50/100))) &lt;=4.3, SUM((DJ578*(20/100))+(DK578*(30/100))+(DL578*(50/100))) &gt;=3.8),4,
IF(AND( SUM((DJ578*(20/100))+(DK578*(30/100))+(DL578*(50/100))) &lt;=3.8, SUM((DJ578*(20/100))+(DK578*(30/100))+(DL578*(50/100))) &gt;=3.5),3.5,0)))))))))))))</f>
        <v>0</v>
      </c>
      <c r="DQ578" s="541"/>
      <c r="DR578" s="541"/>
      <c r="DS578" s="541"/>
      <c r="DT578" s="541"/>
      <c r="DU578" s="541"/>
      <c r="DV578" s="541"/>
      <c r="DW578" s="541"/>
      <c r="DX578" s="541"/>
      <c r="DY578" s="541"/>
      <c r="DZ578" s="541"/>
    </row>
    <row r="579" spans="2:130" x14ac:dyDescent="0.25">
      <c r="B579" s="334">
        <v>22</v>
      </c>
      <c r="C579" s="541"/>
      <c r="D579" s="334"/>
      <c r="E579" s="334"/>
      <c r="F579" s="334"/>
      <c r="G579" s="334"/>
      <c r="H579" s="334"/>
      <c r="I579" s="334"/>
      <c r="J579" s="536"/>
      <c r="K579" s="536"/>
      <c r="L579" s="536"/>
      <c r="M579" s="536"/>
      <c r="N579" s="536"/>
      <c r="O579" s="536"/>
      <c r="P579" s="536">
        <f t="shared" si="201"/>
        <v>0</v>
      </c>
      <c r="Q579" s="536"/>
      <c r="R579" s="536"/>
      <c r="S579" s="536"/>
      <c r="T579" s="536">
        <f t="shared" si="202"/>
        <v>0</v>
      </c>
      <c r="U579" s="536"/>
      <c r="V579" s="536"/>
      <c r="W579" s="536"/>
      <c r="X579" s="536">
        <f t="shared" si="203"/>
        <v>0</v>
      </c>
      <c r="Y579" s="536"/>
      <c r="Z579" s="536"/>
      <c r="AA579" s="536"/>
      <c r="AB579" s="536">
        <f t="shared" si="204"/>
        <v>0</v>
      </c>
      <c r="AC579" s="536"/>
      <c r="AD579" s="536"/>
      <c r="AE579" s="536"/>
      <c r="AF579" s="536">
        <f t="shared" si="205"/>
        <v>0</v>
      </c>
      <c r="AG579" s="536"/>
      <c r="AH579" s="536"/>
      <c r="AI579" s="536"/>
      <c r="AJ579" s="536">
        <f t="shared" si="206"/>
        <v>0</v>
      </c>
      <c r="AK579" s="536"/>
      <c r="AL579" s="536"/>
      <c r="AM579" s="536"/>
      <c r="AN579" s="542">
        <f t="shared" si="207"/>
        <v>0</v>
      </c>
      <c r="AO579" s="536"/>
      <c r="AP579" s="536"/>
      <c r="AQ579" s="536"/>
      <c r="AR579" s="542">
        <f t="shared" si="208"/>
        <v>0</v>
      </c>
      <c r="AS579" s="536"/>
      <c r="AT579" s="536"/>
      <c r="AU579" s="536"/>
      <c r="AV579" s="542">
        <f t="shared" si="209"/>
        <v>0</v>
      </c>
      <c r="AW579" s="536"/>
      <c r="AX579" s="536"/>
      <c r="AY579" s="536"/>
      <c r="AZ579" s="542">
        <f t="shared" si="210"/>
        <v>0</v>
      </c>
      <c r="BA579" s="536"/>
      <c r="BB579" s="536"/>
      <c r="BC579" s="536"/>
      <c r="BD579" s="542">
        <f t="shared" si="211"/>
        <v>0</v>
      </c>
      <c r="BE579" s="536"/>
      <c r="BF579" s="536"/>
      <c r="BG579" s="536"/>
      <c r="BH579" s="542">
        <f t="shared" si="212"/>
        <v>0</v>
      </c>
      <c r="BI579" s="536"/>
      <c r="BJ579" s="536"/>
      <c r="BK579" s="536"/>
      <c r="BL579" s="542">
        <f t="shared" si="213"/>
        <v>0</v>
      </c>
      <c r="BM579" s="536"/>
      <c r="BN579" s="536"/>
      <c r="BO579" s="536"/>
      <c r="BP579" s="542">
        <f t="shared" si="214"/>
        <v>0</v>
      </c>
      <c r="BQ579" s="536"/>
      <c r="BR579" s="536"/>
      <c r="BS579" s="536"/>
      <c r="BT579" s="542">
        <f t="shared" si="215"/>
        <v>0</v>
      </c>
      <c r="BU579" s="536"/>
      <c r="BV579" s="536"/>
      <c r="BW579" s="536"/>
      <c r="BX579" s="542">
        <f t="shared" si="216"/>
        <v>0</v>
      </c>
      <c r="BY579" s="536"/>
      <c r="BZ579" s="536"/>
      <c r="CA579" s="536"/>
      <c r="CB579" s="542">
        <v>0</v>
      </c>
      <c r="CC579" s="536"/>
      <c r="CD579" s="536"/>
      <c r="CE579" s="536"/>
      <c r="CF579" s="541">
        <f t="shared" si="217"/>
        <v>0</v>
      </c>
      <c r="CG579" s="536"/>
      <c r="CH579" s="536"/>
      <c r="CI579" s="536"/>
      <c r="CJ579" s="541">
        <f t="shared" si="218"/>
        <v>0</v>
      </c>
      <c r="CK579" s="536"/>
      <c r="CL579" s="536"/>
      <c r="CM579" s="536"/>
      <c r="CN579" s="541">
        <f t="shared" si="219"/>
        <v>0</v>
      </c>
      <c r="CO579" s="536"/>
      <c r="CP579" s="536"/>
      <c r="CQ579" s="536"/>
      <c r="CR579" s="541">
        <f t="shared" si="220"/>
        <v>0</v>
      </c>
      <c r="CS579" s="536"/>
      <c r="CT579" s="536"/>
      <c r="CU579" s="536"/>
      <c r="CV579" s="541">
        <f t="shared" si="221"/>
        <v>0</v>
      </c>
      <c r="CW579" s="536"/>
      <c r="CX579" s="536"/>
      <c r="CY579" s="536"/>
      <c r="CZ579" s="541">
        <f t="shared" si="222"/>
        <v>0</v>
      </c>
      <c r="DA579" s="536"/>
      <c r="DB579" s="536"/>
      <c r="DC579" s="536"/>
      <c r="DD579" s="541">
        <f t="shared" si="223"/>
        <v>0</v>
      </c>
      <c r="DE579" s="536"/>
      <c r="DF579" s="536"/>
      <c r="DG579" s="536"/>
      <c r="DH579" s="541">
        <f t="shared" si="224"/>
        <v>0</v>
      </c>
      <c r="DI579" s="536"/>
      <c r="DJ579" s="536"/>
      <c r="DK579" s="536"/>
      <c r="DL579" s="541">
        <f t="shared" si="225"/>
        <v>0</v>
      </c>
      <c r="DM579" s="536"/>
      <c r="DN579" s="536"/>
      <c r="DO579" s="536"/>
      <c r="DP579" s="541">
        <f>IF( SUM((DJ579*(20/100))+(DK579*(30/100))+(DL579*(50/100))) &gt;=9.3,9.5,
IF(AND( SUM((DJ579*(20/100))+(DK579*(30/100))+(DL579*(50/100))) &lt;=9.3, SUM((DJ579*(20/100))+(DK579*(30/100))+(DL579*(50/100))) &gt;=8.8),9,
IF(AND( SUM((DJ579*(20/100))+(DK579*(30/100))+(DL579*(50/100))) &lt;=8.8, SUM((DJ579*(20/100))+(DK579*(30/100))+(DL579*(50/100))) &gt;=8.3),8.5,
IF(AND( SUM((DJ579*(20/100))+(DK579*(30/100))+(DL579*(50/100))) &lt;=8.3, SUM((DJ579*(20/100))+(DK579*(30/100))+(DL579*(50/100))) &gt;=7.8),8,
IF(AND( SUM((DJ579*(20/100))+(DK579*(30/100))+(DL579*(50/100))) &lt;=7.8, SUM((DJ579*(20/100))+(DK579*(30/100))+(DL579*(50/100))) &gt;=7.3),7.5,
IF(AND( SUM((DJ579*(20/100))+(DK579*(30/100))+(DL579*(50/100))) &lt;=7.3, SUM((DJ579*(20/100))+(DK579*(30/100))+(DL579*(50/100))) &gt;=6.8),7,
IF(AND( SUM((DJ579*(20/100))+(DK579*(30/100))+(DL579*(50/100))) &lt;=6.8, SUM((DJ579*(20/100))+(DK579*(30/100))+(DL579*(50/100))) &gt;=6.3),6.5,
IF(AND( SUM((DJ579*(20/100))+(DK579*(30/100))+(DL579*(50/100))) &lt;=6.3, SUM((DJ579*(20/100))+(DK579*(30/100))+(DL579*(50/100))) &gt;=5.8),6,
IF(AND( SUM((DJ579*(20/100))+(DK579*(30/100))+(DL579*(50/100))) &lt;=5.8, SUM((DJ579*(20/100))+(DK579*(30/100))+(DL579*(50/100))) &gt;=5.3),5.5,
IF(AND( SUM((DJ579*(20/100))+(DK579*(30/100))+(DL579*(50/100))) &lt;=5.3, SUM((DJ579*(20/100))+(DK579*(30/100))+(DL579*(50/100))) &gt;=4.8),5,
IF(AND( SUM((DJ579*(20/100))+(DK579*(30/100))+(DL579*(50/100))) &lt;=4.8, SUM((DJ579*(20/100))+(DK579*(30/100))+(DL579*(50/100))) &gt;=4.3),4.5,
IF(AND( SUM((DJ579*(20/100))+(DK579*(30/100))+(DL579*(50/100))) &lt;=4.3, SUM((DJ579*(20/100))+(DK579*(30/100))+(DL579*(50/100))) &gt;=3.8),4,
IF(AND( SUM((DJ579*(20/100))+(DK579*(30/100))+(DL579*(50/100))) &lt;=3.8, SUM((DJ579*(20/100))+(DK579*(30/100))+(DL579*(50/100))) &gt;=3.5),3.5,0)))))))))))))</f>
        <v>0</v>
      </c>
      <c r="DQ579" s="541"/>
      <c r="DR579" s="541"/>
      <c r="DS579" s="541"/>
      <c r="DT579" s="541"/>
      <c r="DU579" s="541"/>
      <c r="DV579" s="541"/>
      <c r="DW579" s="541"/>
      <c r="DX579" s="541"/>
      <c r="DY579" s="541"/>
      <c r="DZ579" s="541"/>
    </row>
    <row r="580" spans="2:130" x14ac:dyDescent="0.25">
      <c r="B580" s="334">
        <v>23</v>
      </c>
      <c r="C580" s="541"/>
      <c r="D580" s="334"/>
      <c r="E580" s="334"/>
      <c r="F580" s="334"/>
      <c r="G580" s="334"/>
      <c r="H580" s="334"/>
      <c r="I580" s="334"/>
      <c r="J580" s="536"/>
      <c r="K580" s="536"/>
      <c r="L580" s="536"/>
      <c r="M580" s="536"/>
      <c r="N580" s="536"/>
      <c r="O580" s="536"/>
      <c r="P580" s="536">
        <f t="shared" si="201"/>
        <v>0</v>
      </c>
      <c r="Q580" s="536"/>
      <c r="R580" s="536"/>
      <c r="S580" s="536"/>
      <c r="T580" s="536">
        <f t="shared" si="202"/>
        <v>0</v>
      </c>
      <c r="U580" s="536"/>
      <c r="V580" s="536"/>
      <c r="W580" s="536"/>
      <c r="X580" s="536">
        <f t="shared" si="203"/>
        <v>0</v>
      </c>
      <c r="Y580" s="536"/>
      <c r="Z580" s="536"/>
      <c r="AA580" s="536"/>
      <c r="AB580" s="536">
        <f t="shared" si="204"/>
        <v>0</v>
      </c>
      <c r="AC580" s="536"/>
      <c r="AD580" s="536"/>
      <c r="AE580" s="536"/>
      <c r="AF580" s="536">
        <f t="shared" si="205"/>
        <v>0</v>
      </c>
      <c r="AG580" s="536"/>
      <c r="AH580" s="536"/>
      <c r="AI580" s="536"/>
      <c r="AJ580" s="536">
        <f t="shared" si="206"/>
        <v>0</v>
      </c>
      <c r="AK580" s="536"/>
      <c r="AL580" s="536"/>
      <c r="AM580" s="536"/>
      <c r="AN580" s="542">
        <f t="shared" si="207"/>
        <v>0</v>
      </c>
      <c r="AO580" s="536"/>
      <c r="AP580" s="536"/>
      <c r="AQ580" s="536"/>
      <c r="AR580" s="542">
        <f t="shared" si="208"/>
        <v>0</v>
      </c>
      <c r="AS580" s="536"/>
      <c r="AT580" s="536"/>
      <c r="AU580" s="536"/>
      <c r="AV580" s="542">
        <f t="shared" si="209"/>
        <v>0</v>
      </c>
      <c r="AW580" s="536"/>
      <c r="AX580" s="536"/>
      <c r="AY580" s="536"/>
      <c r="AZ580" s="542">
        <f t="shared" si="210"/>
        <v>0</v>
      </c>
      <c r="BA580" s="536"/>
      <c r="BB580" s="536"/>
      <c r="BC580" s="536"/>
      <c r="BD580" s="542">
        <f t="shared" si="211"/>
        <v>0</v>
      </c>
      <c r="BE580" s="536"/>
      <c r="BF580" s="536"/>
      <c r="BG580" s="536"/>
      <c r="BH580" s="542">
        <f t="shared" si="212"/>
        <v>0</v>
      </c>
      <c r="BI580" s="536"/>
      <c r="BJ580" s="536"/>
      <c r="BK580" s="536"/>
      <c r="BL580" s="542">
        <f t="shared" si="213"/>
        <v>0</v>
      </c>
      <c r="BM580" s="536"/>
      <c r="BN580" s="536"/>
      <c r="BO580" s="536"/>
      <c r="BP580" s="542">
        <f t="shared" si="214"/>
        <v>0</v>
      </c>
      <c r="BQ580" s="536"/>
      <c r="BR580" s="536"/>
      <c r="BS580" s="536"/>
      <c r="BT580" s="542">
        <f t="shared" si="215"/>
        <v>0</v>
      </c>
      <c r="BU580" s="536"/>
      <c r="BV580" s="536"/>
      <c r="BW580" s="536"/>
      <c r="BX580" s="542">
        <f t="shared" si="216"/>
        <v>0</v>
      </c>
      <c r="BY580" s="536"/>
      <c r="BZ580" s="536"/>
      <c r="CA580" s="536"/>
      <c r="CB580" s="542">
        <v>0</v>
      </c>
      <c r="CC580" s="536"/>
      <c r="CD580" s="536"/>
      <c r="CE580" s="536"/>
      <c r="CF580" s="541">
        <f t="shared" si="217"/>
        <v>0</v>
      </c>
      <c r="CG580" s="536"/>
      <c r="CH580" s="536"/>
      <c r="CI580" s="536"/>
      <c r="CJ580" s="541">
        <f t="shared" si="218"/>
        <v>0</v>
      </c>
      <c r="CK580" s="536"/>
      <c r="CL580" s="536"/>
      <c r="CM580" s="536"/>
      <c r="CN580" s="541">
        <f t="shared" si="219"/>
        <v>0</v>
      </c>
      <c r="CO580" s="536"/>
      <c r="CP580" s="536"/>
      <c r="CQ580" s="536"/>
      <c r="CR580" s="541">
        <f t="shared" si="220"/>
        <v>0</v>
      </c>
      <c r="CS580" s="536"/>
      <c r="CT580" s="536"/>
      <c r="CU580" s="536"/>
      <c r="CV580" s="541">
        <f t="shared" si="221"/>
        <v>0</v>
      </c>
      <c r="CW580" s="536"/>
      <c r="CX580" s="536"/>
      <c r="CY580" s="536"/>
      <c r="CZ580" s="541">
        <f t="shared" si="222"/>
        <v>0</v>
      </c>
      <c r="DA580" s="536"/>
      <c r="DB580" s="536"/>
      <c r="DC580" s="536"/>
      <c r="DD580" s="541">
        <f t="shared" si="223"/>
        <v>0</v>
      </c>
      <c r="DE580" s="536"/>
      <c r="DF580" s="536"/>
      <c r="DG580" s="536"/>
      <c r="DH580" s="541">
        <f t="shared" si="224"/>
        <v>0</v>
      </c>
      <c r="DI580" s="536"/>
      <c r="DJ580" s="536"/>
      <c r="DK580" s="536"/>
      <c r="DL580" s="541">
        <f t="shared" si="225"/>
        <v>0</v>
      </c>
      <c r="DM580" s="536"/>
      <c r="DN580" s="536"/>
      <c r="DO580" s="536"/>
      <c r="DP580" s="541">
        <f>IF( SUM((DJ580*(20/100))+(DK580*(30/100))+(DL580*(50/100))) &gt;=9.3,9.5,
IF(AND( SUM((DJ580*(20/100))+(DK580*(30/100))+(DL580*(50/100))) &lt;=9.3, SUM((DJ580*(20/100))+(DK580*(30/100))+(DL580*(50/100))) &gt;=8.8),9,
IF(AND( SUM((DJ580*(20/100))+(DK580*(30/100))+(DL580*(50/100))) &lt;=8.8, SUM((DJ580*(20/100))+(DK580*(30/100))+(DL580*(50/100))) &gt;=8.3),8.5,
IF(AND( SUM((DJ580*(20/100))+(DK580*(30/100))+(DL580*(50/100))) &lt;=8.3, SUM((DJ580*(20/100))+(DK580*(30/100))+(DL580*(50/100))) &gt;=7.8),8,
IF(AND( SUM((DJ580*(20/100))+(DK580*(30/100))+(DL580*(50/100))) &lt;=7.8, SUM((DJ580*(20/100))+(DK580*(30/100))+(DL580*(50/100))) &gt;=7.3),7.5,
IF(AND( SUM((DJ580*(20/100))+(DK580*(30/100))+(DL580*(50/100))) &lt;=7.3, SUM((DJ580*(20/100))+(DK580*(30/100))+(DL580*(50/100))) &gt;=6.8),7,
IF(AND( SUM((DJ580*(20/100))+(DK580*(30/100))+(DL580*(50/100))) &lt;=6.8, SUM((DJ580*(20/100))+(DK580*(30/100))+(DL580*(50/100))) &gt;=6.3),6.5,
IF(AND( SUM((DJ580*(20/100))+(DK580*(30/100))+(DL580*(50/100))) &lt;=6.3, SUM((DJ580*(20/100))+(DK580*(30/100))+(DL580*(50/100))) &gt;=5.8),6,
IF(AND( SUM((DJ580*(20/100))+(DK580*(30/100))+(DL580*(50/100))) &lt;=5.8, SUM((DJ580*(20/100))+(DK580*(30/100))+(DL580*(50/100))) &gt;=5.3),5.5,
IF(AND( SUM((DJ580*(20/100))+(DK580*(30/100))+(DL580*(50/100))) &lt;=5.3, SUM((DJ580*(20/100))+(DK580*(30/100))+(DL580*(50/100))) &gt;=4.8),5,
IF(AND( SUM((DJ580*(20/100))+(DK580*(30/100))+(DL580*(50/100))) &lt;=4.8, SUM((DJ580*(20/100))+(DK580*(30/100))+(DL580*(50/100))) &gt;=4.3),4.5,
IF(AND( SUM((DJ580*(20/100))+(DK580*(30/100))+(DL580*(50/100))) &lt;=4.3, SUM((DJ580*(20/100))+(DK580*(30/100))+(DL580*(50/100))) &gt;=3.8),4,
IF(AND( SUM((DJ580*(20/100))+(DK580*(30/100))+(DL580*(50/100))) &lt;=3.8, SUM((DJ580*(20/100))+(DK580*(30/100))+(DL580*(50/100))) &gt;=3.5),3.5,0)))))))))))))</f>
        <v>0</v>
      </c>
      <c r="DQ580" s="541"/>
      <c r="DR580" s="541"/>
      <c r="DS580" s="541"/>
      <c r="DT580" s="541"/>
      <c r="DU580" s="541"/>
      <c r="DV580" s="541"/>
      <c r="DW580" s="541"/>
      <c r="DX580" s="541"/>
      <c r="DY580" s="541"/>
      <c r="DZ580" s="541"/>
    </row>
    <row r="581" spans="2:130" x14ac:dyDescent="0.25">
      <c r="B581" s="334">
        <v>24</v>
      </c>
      <c r="C581" s="541"/>
      <c r="D581" s="334"/>
      <c r="E581" s="334"/>
      <c r="F581" s="334"/>
      <c r="G581" s="334"/>
      <c r="H581" s="334"/>
      <c r="I581" s="334"/>
      <c r="J581" s="536"/>
      <c r="K581" s="536"/>
      <c r="L581" s="536"/>
      <c r="M581" s="536"/>
      <c r="N581" s="536"/>
      <c r="O581" s="536"/>
      <c r="P581" s="536">
        <f t="shared" si="201"/>
        <v>0</v>
      </c>
      <c r="Q581" s="536"/>
      <c r="R581" s="536"/>
      <c r="S581" s="536"/>
      <c r="T581" s="536">
        <f t="shared" si="202"/>
        <v>0</v>
      </c>
      <c r="U581" s="536"/>
      <c r="V581" s="536"/>
      <c r="W581" s="536"/>
      <c r="X581" s="536">
        <f t="shared" si="203"/>
        <v>0</v>
      </c>
      <c r="Y581" s="536"/>
      <c r="Z581" s="536"/>
      <c r="AA581" s="536"/>
      <c r="AB581" s="536">
        <f t="shared" si="204"/>
        <v>0</v>
      </c>
      <c r="AC581" s="536"/>
      <c r="AD581" s="536"/>
      <c r="AE581" s="536"/>
      <c r="AF581" s="536">
        <f t="shared" si="205"/>
        <v>0</v>
      </c>
      <c r="AG581" s="536"/>
      <c r="AH581" s="536"/>
      <c r="AI581" s="536"/>
      <c r="AJ581" s="536">
        <f t="shared" si="206"/>
        <v>0</v>
      </c>
      <c r="AK581" s="536"/>
      <c r="AL581" s="536"/>
      <c r="AM581" s="536"/>
      <c r="AN581" s="542">
        <f t="shared" si="207"/>
        <v>0</v>
      </c>
      <c r="AO581" s="536"/>
      <c r="AP581" s="536"/>
      <c r="AQ581" s="536"/>
      <c r="AR581" s="542">
        <f t="shared" si="208"/>
        <v>0</v>
      </c>
      <c r="AS581" s="536"/>
      <c r="AT581" s="536"/>
      <c r="AU581" s="536"/>
      <c r="AV581" s="542">
        <f t="shared" si="209"/>
        <v>0</v>
      </c>
      <c r="AW581" s="536"/>
      <c r="AX581" s="536"/>
      <c r="AY581" s="536"/>
      <c r="AZ581" s="542">
        <f t="shared" si="210"/>
        <v>0</v>
      </c>
      <c r="BA581" s="536"/>
      <c r="BB581" s="536"/>
      <c r="BC581" s="536"/>
      <c r="BD581" s="542">
        <f t="shared" si="211"/>
        <v>0</v>
      </c>
      <c r="BE581" s="536"/>
      <c r="BF581" s="536"/>
      <c r="BG581" s="536"/>
      <c r="BH581" s="542">
        <f t="shared" si="212"/>
        <v>0</v>
      </c>
      <c r="BI581" s="536"/>
      <c r="BJ581" s="536"/>
      <c r="BK581" s="536"/>
      <c r="BL581" s="542">
        <f t="shared" si="213"/>
        <v>0</v>
      </c>
      <c r="BM581" s="536"/>
      <c r="BN581" s="536"/>
      <c r="BO581" s="536"/>
      <c r="BP581" s="542">
        <f t="shared" si="214"/>
        <v>0</v>
      </c>
      <c r="BQ581" s="536"/>
      <c r="BR581" s="536"/>
      <c r="BS581" s="536"/>
      <c r="BT581" s="542">
        <f t="shared" si="215"/>
        <v>0</v>
      </c>
      <c r="BU581" s="536"/>
      <c r="BV581" s="536"/>
      <c r="BW581" s="536"/>
      <c r="BX581" s="542">
        <f t="shared" si="216"/>
        <v>0</v>
      </c>
      <c r="BY581" s="536"/>
      <c r="BZ581" s="536"/>
      <c r="CA581" s="536"/>
      <c r="CB581" s="542">
        <v>0</v>
      </c>
      <c r="CC581" s="536"/>
      <c r="CD581" s="536"/>
      <c r="CE581" s="536"/>
      <c r="CF581" s="541">
        <f t="shared" si="217"/>
        <v>0</v>
      </c>
      <c r="CG581" s="536"/>
      <c r="CH581" s="536"/>
      <c r="CI581" s="536"/>
      <c r="CJ581" s="541">
        <f t="shared" si="218"/>
        <v>0</v>
      </c>
      <c r="CK581" s="536"/>
      <c r="CL581" s="536"/>
      <c r="CM581" s="536"/>
      <c r="CN581" s="541">
        <f t="shared" si="219"/>
        <v>0</v>
      </c>
      <c r="CO581" s="536"/>
      <c r="CP581" s="536"/>
      <c r="CQ581" s="536"/>
      <c r="CR581" s="541">
        <f t="shared" si="220"/>
        <v>0</v>
      </c>
      <c r="CS581" s="536"/>
      <c r="CT581" s="536"/>
      <c r="CU581" s="536"/>
      <c r="CV581" s="541">
        <f t="shared" si="221"/>
        <v>0</v>
      </c>
      <c r="CW581" s="536"/>
      <c r="CX581" s="536"/>
      <c r="CY581" s="536"/>
      <c r="CZ581" s="541">
        <f t="shared" si="222"/>
        <v>0</v>
      </c>
      <c r="DA581" s="536"/>
      <c r="DB581" s="536"/>
      <c r="DC581" s="536"/>
      <c r="DD581" s="541">
        <f t="shared" si="223"/>
        <v>0</v>
      </c>
      <c r="DE581" s="536"/>
      <c r="DF581" s="536"/>
      <c r="DG581" s="536"/>
      <c r="DH581" s="541">
        <f t="shared" si="224"/>
        <v>0</v>
      </c>
      <c r="DI581" s="536"/>
      <c r="DJ581" s="536"/>
      <c r="DK581" s="536"/>
      <c r="DL581" s="541">
        <f t="shared" si="225"/>
        <v>0</v>
      </c>
      <c r="DM581" s="536"/>
      <c r="DN581" s="536"/>
      <c r="DO581" s="536"/>
      <c r="DP581" s="541">
        <f>IF( SUM((DJ581*(20/100))+(DK581*(30/100))+(DL581*(50/100))) &gt;=9.3,9.5,
IF(AND( SUM((DJ581*(20/100))+(DK581*(30/100))+(DL581*(50/100))) &lt;=9.3, SUM((DJ581*(20/100))+(DK581*(30/100))+(DL581*(50/100))) &gt;=8.8),9,
IF(AND( SUM((DJ581*(20/100))+(DK581*(30/100))+(DL581*(50/100))) &lt;=8.8, SUM((DJ581*(20/100))+(DK581*(30/100))+(DL581*(50/100))) &gt;=8.3),8.5,
IF(AND( SUM((DJ581*(20/100))+(DK581*(30/100))+(DL581*(50/100))) &lt;=8.3, SUM((DJ581*(20/100))+(DK581*(30/100))+(DL581*(50/100))) &gt;=7.8),8,
IF(AND( SUM((DJ581*(20/100))+(DK581*(30/100))+(DL581*(50/100))) &lt;=7.8, SUM((DJ581*(20/100))+(DK581*(30/100))+(DL581*(50/100))) &gt;=7.3),7.5,
IF(AND( SUM((DJ581*(20/100))+(DK581*(30/100))+(DL581*(50/100))) &lt;=7.3, SUM((DJ581*(20/100))+(DK581*(30/100))+(DL581*(50/100))) &gt;=6.8),7,
IF(AND( SUM((DJ581*(20/100))+(DK581*(30/100))+(DL581*(50/100))) &lt;=6.8, SUM((DJ581*(20/100))+(DK581*(30/100))+(DL581*(50/100))) &gt;=6.3),6.5,
IF(AND( SUM((DJ581*(20/100))+(DK581*(30/100))+(DL581*(50/100))) &lt;=6.3, SUM((DJ581*(20/100))+(DK581*(30/100))+(DL581*(50/100))) &gt;=5.8),6,
IF(AND( SUM((DJ581*(20/100))+(DK581*(30/100))+(DL581*(50/100))) &lt;=5.8, SUM((DJ581*(20/100))+(DK581*(30/100))+(DL581*(50/100))) &gt;=5.3),5.5,
IF(AND( SUM((DJ581*(20/100))+(DK581*(30/100))+(DL581*(50/100))) &lt;=5.3, SUM((DJ581*(20/100))+(DK581*(30/100))+(DL581*(50/100))) &gt;=4.8),5,
IF(AND( SUM((DJ581*(20/100))+(DK581*(30/100))+(DL581*(50/100))) &lt;=4.8, SUM((DJ581*(20/100))+(DK581*(30/100))+(DL581*(50/100))) &gt;=4.3),4.5,
IF(AND( SUM((DJ581*(20/100))+(DK581*(30/100))+(DL581*(50/100))) &lt;=4.3, SUM((DJ581*(20/100))+(DK581*(30/100))+(DL581*(50/100))) &gt;=3.8),4,
IF(AND( SUM((DJ581*(20/100))+(DK581*(30/100))+(DL581*(50/100))) &lt;=3.8, SUM((DJ581*(20/100))+(DK581*(30/100))+(DL581*(50/100))) &gt;=3.5),3.5,0)))))))))))))</f>
        <v>0</v>
      </c>
      <c r="DQ581" s="541"/>
      <c r="DR581" s="541"/>
      <c r="DS581" s="541"/>
      <c r="DT581" s="541"/>
      <c r="DU581" s="541"/>
      <c r="DV581" s="541"/>
      <c r="DW581" s="541"/>
      <c r="DX581" s="541"/>
      <c r="DY581" s="541"/>
      <c r="DZ581" s="541"/>
    </row>
    <row r="582" spans="2:130" x14ac:dyDescent="0.25">
      <c r="B582" s="334">
        <v>25</v>
      </c>
      <c r="C582" s="541"/>
      <c r="D582" s="334"/>
      <c r="E582" s="334"/>
      <c r="F582" s="334"/>
      <c r="G582" s="334"/>
      <c r="H582" s="334"/>
      <c r="I582" s="334"/>
      <c r="J582" s="536"/>
      <c r="K582" s="536"/>
      <c r="L582" s="536"/>
      <c r="M582" s="536"/>
      <c r="N582" s="536"/>
      <c r="O582" s="536"/>
      <c r="P582" s="536">
        <f t="shared" si="201"/>
        <v>0</v>
      </c>
      <c r="Q582" s="536"/>
      <c r="R582" s="536"/>
      <c r="S582" s="536"/>
      <c r="T582" s="536">
        <f t="shared" si="202"/>
        <v>0</v>
      </c>
      <c r="U582" s="536"/>
      <c r="V582" s="536"/>
      <c r="W582" s="536"/>
      <c r="X582" s="536">
        <f t="shared" si="203"/>
        <v>0</v>
      </c>
      <c r="Y582" s="536"/>
      <c r="Z582" s="536"/>
      <c r="AA582" s="536"/>
      <c r="AB582" s="536">
        <f t="shared" si="204"/>
        <v>0</v>
      </c>
      <c r="AC582" s="536"/>
      <c r="AD582" s="536"/>
      <c r="AE582" s="536"/>
      <c r="AF582" s="536">
        <f t="shared" si="205"/>
        <v>0</v>
      </c>
      <c r="AG582" s="536"/>
      <c r="AH582" s="536"/>
      <c r="AI582" s="536"/>
      <c r="AJ582" s="536">
        <f t="shared" si="206"/>
        <v>0</v>
      </c>
      <c r="AK582" s="536"/>
      <c r="AL582" s="536"/>
      <c r="AM582" s="536"/>
      <c r="AN582" s="542">
        <f t="shared" si="207"/>
        <v>0</v>
      </c>
      <c r="AO582" s="536"/>
      <c r="AP582" s="536"/>
      <c r="AQ582" s="536"/>
      <c r="AR582" s="542">
        <f t="shared" si="208"/>
        <v>0</v>
      </c>
      <c r="AS582" s="536"/>
      <c r="AT582" s="536"/>
      <c r="AU582" s="536"/>
      <c r="AV582" s="542">
        <f t="shared" si="209"/>
        <v>0</v>
      </c>
      <c r="AW582" s="536"/>
      <c r="AX582" s="536"/>
      <c r="AY582" s="536"/>
      <c r="AZ582" s="542">
        <f t="shared" si="210"/>
        <v>0</v>
      </c>
      <c r="BA582" s="536"/>
      <c r="BB582" s="536"/>
      <c r="BC582" s="536"/>
      <c r="BD582" s="542">
        <f t="shared" si="211"/>
        <v>0</v>
      </c>
      <c r="BE582" s="536"/>
      <c r="BF582" s="536"/>
      <c r="BG582" s="536"/>
      <c r="BH582" s="542">
        <f t="shared" si="212"/>
        <v>0</v>
      </c>
      <c r="BI582" s="536"/>
      <c r="BJ582" s="536"/>
      <c r="BK582" s="536"/>
      <c r="BL582" s="542">
        <f t="shared" si="213"/>
        <v>0</v>
      </c>
      <c r="BM582" s="536"/>
      <c r="BN582" s="536"/>
      <c r="BO582" s="536"/>
      <c r="BP582" s="542">
        <f t="shared" si="214"/>
        <v>0</v>
      </c>
      <c r="BQ582" s="536"/>
      <c r="BR582" s="536"/>
      <c r="BS582" s="536"/>
      <c r="BT582" s="542">
        <f t="shared" si="215"/>
        <v>0</v>
      </c>
      <c r="BU582" s="536"/>
      <c r="BV582" s="536"/>
      <c r="BW582" s="536"/>
      <c r="BX582" s="542">
        <f t="shared" si="216"/>
        <v>0</v>
      </c>
      <c r="BY582" s="536"/>
      <c r="BZ582" s="536"/>
      <c r="CA582" s="536"/>
      <c r="CB582" s="542">
        <v>0</v>
      </c>
      <c r="CC582" s="536"/>
      <c r="CD582" s="536"/>
      <c r="CE582" s="536"/>
      <c r="CF582" s="541">
        <f t="shared" si="217"/>
        <v>0</v>
      </c>
      <c r="CG582" s="536"/>
      <c r="CH582" s="536"/>
      <c r="CI582" s="536"/>
      <c r="CJ582" s="541">
        <f t="shared" si="218"/>
        <v>0</v>
      </c>
      <c r="CK582" s="536"/>
      <c r="CL582" s="536"/>
      <c r="CM582" s="536"/>
      <c r="CN582" s="541">
        <f t="shared" si="219"/>
        <v>0</v>
      </c>
      <c r="CO582" s="536"/>
      <c r="CP582" s="536"/>
      <c r="CQ582" s="536"/>
      <c r="CR582" s="541">
        <f t="shared" si="220"/>
        <v>0</v>
      </c>
      <c r="CS582" s="536"/>
      <c r="CT582" s="536"/>
      <c r="CU582" s="536"/>
      <c r="CV582" s="541">
        <f t="shared" si="221"/>
        <v>0</v>
      </c>
      <c r="CW582" s="536"/>
      <c r="CX582" s="536"/>
      <c r="CY582" s="536"/>
      <c r="CZ582" s="541">
        <f t="shared" si="222"/>
        <v>0</v>
      </c>
      <c r="DA582" s="536"/>
      <c r="DB582" s="536"/>
      <c r="DC582" s="536"/>
      <c r="DD582" s="541">
        <f t="shared" si="223"/>
        <v>0</v>
      </c>
      <c r="DE582" s="536"/>
      <c r="DF582" s="536"/>
      <c r="DG582" s="536"/>
      <c r="DH582" s="541">
        <f t="shared" si="224"/>
        <v>0</v>
      </c>
      <c r="DI582" s="536"/>
      <c r="DJ582" s="536"/>
      <c r="DK582" s="536"/>
      <c r="DL582" s="541">
        <f t="shared" si="225"/>
        <v>0</v>
      </c>
      <c r="DM582" s="536"/>
      <c r="DN582" s="536"/>
      <c r="DO582" s="536"/>
      <c r="DP582" s="541">
        <f>IF( SUM((DJ582*(20/100))+(DK582*(30/100))+(DL582*(50/100))) &gt;=9.3,9.5,
IF(AND( SUM((DJ582*(20/100))+(DK582*(30/100))+(DL582*(50/100))) &lt;=9.3, SUM((DJ582*(20/100))+(DK582*(30/100))+(DL582*(50/100))) &gt;=8.8),9,
IF(AND( SUM((DJ582*(20/100))+(DK582*(30/100))+(DL582*(50/100))) &lt;=8.8, SUM((DJ582*(20/100))+(DK582*(30/100))+(DL582*(50/100))) &gt;=8.3),8.5,
IF(AND( SUM((DJ582*(20/100))+(DK582*(30/100))+(DL582*(50/100))) &lt;=8.3, SUM((DJ582*(20/100))+(DK582*(30/100))+(DL582*(50/100))) &gt;=7.8),8,
IF(AND( SUM((DJ582*(20/100))+(DK582*(30/100))+(DL582*(50/100))) &lt;=7.8, SUM((DJ582*(20/100))+(DK582*(30/100))+(DL582*(50/100))) &gt;=7.3),7.5,
IF(AND( SUM((DJ582*(20/100))+(DK582*(30/100))+(DL582*(50/100))) &lt;=7.3, SUM((DJ582*(20/100))+(DK582*(30/100))+(DL582*(50/100))) &gt;=6.8),7,
IF(AND( SUM((DJ582*(20/100))+(DK582*(30/100))+(DL582*(50/100))) &lt;=6.8, SUM((DJ582*(20/100))+(DK582*(30/100))+(DL582*(50/100))) &gt;=6.3),6.5,
IF(AND( SUM((DJ582*(20/100))+(DK582*(30/100))+(DL582*(50/100))) &lt;=6.3, SUM((DJ582*(20/100))+(DK582*(30/100))+(DL582*(50/100))) &gt;=5.8),6,
IF(AND( SUM((DJ582*(20/100))+(DK582*(30/100))+(DL582*(50/100))) &lt;=5.8, SUM((DJ582*(20/100))+(DK582*(30/100))+(DL582*(50/100))) &gt;=5.3),5.5,
IF(AND( SUM((DJ582*(20/100))+(DK582*(30/100))+(DL582*(50/100))) &lt;=5.3, SUM((DJ582*(20/100))+(DK582*(30/100))+(DL582*(50/100))) &gt;=4.8),5,
IF(AND( SUM((DJ582*(20/100))+(DK582*(30/100))+(DL582*(50/100))) &lt;=4.8, SUM((DJ582*(20/100))+(DK582*(30/100))+(DL582*(50/100))) &gt;=4.3),4.5,
IF(AND( SUM((DJ582*(20/100))+(DK582*(30/100))+(DL582*(50/100))) &lt;=4.3, SUM((DJ582*(20/100))+(DK582*(30/100))+(DL582*(50/100))) &gt;=3.8),4,
IF(AND( SUM((DJ582*(20/100))+(DK582*(30/100))+(DL582*(50/100))) &lt;=3.8, SUM((DJ582*(20/100))+(DK582*(30/100))+(DL582*(50/100))) &gt;=3.5),3.5,0)))))))))))))</f>
        <v>0</v>
      </c>
      <c r="DQ582" s="541"/>
      <c r="DR582" s="541"/>
      <c r="DS582" s="541"/>
      <c r="DT582" s="541"/>
      <c r="DU582" s="541"/>
      <c r="DV582" s="541"/>
      <c r="DW582" s="541"/>
      <c r="DX582" s="541"/>
      <c r="DY582" s="541"/>
      <c r="DZ582" s="541"/>
    </row>
    <row r="583" spans="2:130" x14ac:dyDescent="0.25">
      <c r="B583" s="334">
        <v>26</v>
      </c>
      <c r="C583" s="541"/>
      <c r="D583" s="334"/>
      <c r="E583" s="334"/>
      <c r="F583" s="334"/>
      <c r="G583" s="334"/>
      <c r="H583" s="334"/>
      <c r="I583" s="334"/>
      <c r="J583" s="536"/>
      <c r="K583" s="536"/>
      <c r="L583" s="536"/>
      <c r="M583" s="536"/>
      <c r="N583" s="536"/>
      <c r="O583" s="536"/>
      <c r="P583" s="536">
        <f t="shared" si="201"/>
        <v>0</v>
      </c>
      <c r="Q583" s="536"/>
      <c r="R583" s="536"/>
      <c r="S583" s="536"/>
      <c r="T583" s="536">
        <f t="shared" si="202"/>
        <v>0</v>
      </c>
      <c r="U583" s="536"/>
      <c r="V583" s="536"/>
      <c r="W583" s="536"/>
      <c r="X583" s="536">
        <f t="shared" si="203"/>
        <v>0</v>
      </c>
      <c r="Y583" s="536"/>
      <c r="Z583" s="536"/>
      <c r="AA583" s="536"/>
      <c r="AB583" s="536">
        <f t="shared" si="204"/>
        <v>0</v>
      </c>
      <c r="AC583" s="536"/>
      <c r="AD583" s="536"/>
      <c r="AE583" s="536"/>
      <c r="AF583" s="536">
        <f t="shared" si="205"/>
        <v>0</v>
      </c>
      <c r="AG583" s="536"/>
      <c r="AH583" s="536"/>
      <c r="AI583" s="536"/>
      <c r="AJ583" s="536">
        <f t="shared" si="206"/>
        <v>0</v>
      </c>
      <c r="AK583" s="536"/>
      <c r="AL583" s="536"/>
      <c r="AM583" s="536"/>
      <c r="AN583" s="542">
        <f t="shared" si="207"/>
        <v>0</v>
      </c>
      <c r="AO583" s="536"/>
      <c r="AP583" s="536"/>
      <c r="AQ583" s="536"/>
      <c r="AR583" s="542">
        <f t="shared" si="208"/>
        <v>0</v>
      </c>
      <c r="AS583" s="536"/>
      <c r="AT583" s="536"/>
      <c r="AU583" s="536"/>
      <c r="AV583" s="542">
        <f t="shared" si="209"/>
        <v>0</v>
      </c>
      <c r="AW583" s="536"/>
      <c r="AX583" s="536"/>
      <c r="AY583" s="536"/>
      <c r="AZ583" s="542">
        <f t="shared" si="210"/>
        <v>0</v>
      </c>
      <c r="BA583" s="536"/>
      <c r="BB583" s="536"/>
      <c r="BC583" s="536"/>
      <c r="BD583" s="542">
        <f t="shared" si="211"/>
        <v>0</v>
      </c>
      <c r="BE583" s="536"/>
      <c r="BF583" s="536"/>
      <c r="BG583" s="536"/>
      <c r="BH583" s="542">
        <f t="shared" si="212"/>
        <v>0</v>
      </c>
      <c r="BI583" s="536"/>
      <c r="BJ583" s="536"/>
      <c r="BK583" s="536"/>
      <c r="BL583" s="542">
        <f t="shared" si="213"/>
        <v>0</v>
      </c>
      <c r="BM583" s="536"/>
      <c r="BN583" s="536"/>
      <c r="BO583" s="536"/>
      <c r="BP583" s="542">
        <f t="shared" si="214"/>
        <v>0</v>
      </c>
      <c r="BQ583" s="536"/>
      <c r="BR583" s="536"/>
      <c r="BS583" s="536"/>
      <c r="BT583" s="542">
        <f t="shared" si="215"/>
        <v>0</v>
      </c>
      <c r="BU583" s="536"/>
      <c r="BV583" s="536"/>
      <c r="BW583" s="536"/>
      <c r="BX583" s="542">
        <f t="shared" si="216"/>
        <v>0</v>
      </c>
      <c r="BY583" s="536"/>
      <c r="BZ583" s="536"/>
      <c r="CA583" s="536"/>
      <c r="CB583" s="542">
        <v>0</v>
      </c>
      <c r="CC583" s="536"/>
      <c r="CD583" s="536"/>
      <c r="CE583" s="536"/>
      <c r="CF583" s="541">
        <f t="shared" si="217"/>
        <v>0</v>
      </c>
      <c r="CG583" s="536"/>
      <c r="CH583" s="536"/>
      <c r="CI583" s="536"/>
      <c r="CJ583" s="541">
        <f t="shared" si="218"/>
        <v>0</v>
      </c>
      <c r="CK583" s="536"/>
      <c r="CL583" s="536"/>
      <c r="CM583" s="536"/>
      <c r="CN583" s="541">
        <f t="shared" si="219"/>
        <v>0</v>
      </c>
      <c r="CO583" s="536"/>
      <c r="CP583" s="536"/>
      <c r="CQ583" s="536"/>
      <c r="CR583" s="541">
        <f t="shared" si="220"/>
        <v>0</v>
      </c>
      <c r="CS583" s="536"/>
      <c r="CT583" s="536"/>
      <c r="CU583" s="536"/>
      <c r="CV583" s="541">
        <f t="shared" si="221"/>
        <v>0</v>
      </c>
      <c r="CW583" s="536"/>
      <c r="CX583" s="536"/>
      <c r="CY583" s="536"/>
      <c r="CZ583" s="541">
        <f t="shared" si="222"/>
        <v>0</v>
      </c>
      <c r="DA583" s="536"/>
      <c r="DB583" s="536"/>
      <c r="DC583" s="536"/>
      <c r="DD583" s="541">
        <f t="shared" si="223"/>
        <v>0</v>
      </c>
      <c r="DE583" s="536"/>
      <c r="DF583" s="536"/>
      <c r="DG583" s="536"/>
      <c r="DH583" s="541">
        <f t="shared" si="224"/>
        <v>0</v>
      </c>
      <c r="DI583" s="536"/>
      <c r="DJ583" s="536"/>
      <c r="DK583" s="536"/>
      <c r="DL583" s="541">
        <f t="shared" si="225"/>
        <v>0</v>
      </c>
      <c r="DM583" s="536"/>
      <c r="DN583" s="536"/>
      <c r="DO583" s="536"/>
      <c r="DP583" s="541">
        <f>IF( SUM((DJ583*(20/100))+(DK583*(30/100))+(DL583*(50/100))) &gt;=9.3,9.5,
IF(AND( SUM((DJ583*(20/100))+(DK583*(30/100))+(DL583*(50/100))) &lt;=9.3, SUM((DJ583*(20/100))+(DK583*(30/100))+(DL583*(50/100))) &gt;=8.8),9,
IF(AND( SUM((DJ583*(20/100))+(DK583*(30/100))+(DL583*(50/100))) &lt;=8.8, SUM((DJ583*(20/100))+(DK583*(30/100))+(DL583*(50/100))) &gt;=8.3),8.5,
IF(AND( SUM((DJ583*(20/100))+(DK583*(30/100))+(DL583*(50/100))) &lt;=8.3, SUM((DJ583*(20/100))+(DK583*(30/100))+(DL583*(50/100))) &gt;=7.8),8,
IF(AND( SUM((DJ583*(20/100))+(DK583*(30/100))+(DL583*(50/100))) &lt;=7.8, SUM((DJ583*(20/100))+(DK583*(30/100))+(DL583*(50/100))) &gt;=7.3),7.5,
IF(AND( SUM((DJ583*(20/100))+(DK583*(30/100))+(DL583*(50/100))) &lt;=7.3, SUM((DJ583*(20/100))+(DK583*(30/100))+(DL583*(50/100))) &gt;=6.8),7,
IF(AND( SUM((DJ583*(20/100))+(DK583*(30/100))+(DL583*(50/100))) &lt;=6.8, SUM((DJ583*(20/100))+(DK583*(30/100))+(DL583*(50/100))) &gt;=6.3),6.5,
IF(AND( SUM((DJ583*(20/100))+(DK583*(30/100))+(DL583*(50/100))) &lt;=6.3, SUM((DJ583*(20/100))+(DK583*(30/100))+(DL583*(50/100))) &gt;=5.8),6,
IF(AND( SUM((DJ583*(20/100))+(DK583*(30/100))+(DL583*(50/100))) &lt;=5.8, SUM((DJ583*(20/100))+(DK583*(30/100))+(DL583*(50/100))) &gt;=5.3),5.5,
IF(AND( SUM((DJ583*(20/100))+(DK583*(30/100))+(DL583*(50/100))) &lt;=5.3, SUM((DJ583*(20/100))+(DK583*(30/100))+(DL583*(50/100))) &gt;=4.8),5,
IF(AND( SUM((DJ583*(20/100))+(DK583*(30/100))+(DL583*(50/100))) &lt;=4.8, SUM((DJ583*(20/100))+(DK583*(30/100))+(DL583*(50/100))) &gt;=4.3),4.5,
IF(AND( SUM((DJ583*(20/100))+(DK583*(30/100))+(DL583*(50/100))) &lt;=4.3, SUM((DJ583*(20/100))+(DK583*(30/100))+(DL583*(50/100))) &gt;=3.8),4,
IF(AND( SUM((DJ583*(20/100))+(DK583*(30/100))+(DL583*(50/100))) &lt;=3.8, SUM((DJ583*(20/100))+(DK583*(30/100))+(DL583*(50/100))) &gt;=3.5),3.5,0)))))))))))))</f>
        <v>0</v>
      </c>
      <c r="DQ583" s="541"/>
      <c r="DR583" s="541"/>
      <c r="DS583" s="541"/>
      <c r="DT583" s="541"/>
      <c r="DU583" s="541"/>
      <c r="DV583" s="541"/>
      <c r="DW583" s="541"/>
      <c r="DX583" s="541"/>
      <c r="DY583" s="541"/>
      <c r="DZ583" s="541"/>
    </row>
    <row r="584" spans="2:130" x14ac:dyDescent="0.25">
      <c r="B584" s="334">
        <v>27</v>
      </c>
      <c r="C584" s="541"/>
      <c r="D584" s="334"/>
      <c r="E584" s="334"/>
      <c r="F584" s="334"/>
      <c r="G584" s="334"/>
      <c r="H584" s="334"/>
      <c r="I584" s="334"/>
      <c r="J584" s="536"/>
      <c r="K584" s="536"/>
      <c r="L584" s="536"/>
      <c r="M584" s="536"/>
      <c r="N584" s="536"/>
      <c r="O584" s="536"/>
      <c r="P584" s="536">
        <f t="shared" si="201"/>
        <v>0</v>
      </c>
      <c r="Q584" s="536"/>
      <c r="R584" s="536"/>
      <c r="S584" s="536"/>
      <c r="T584" s="536">
        <f t="shared" si="202"/>
        <v>0</v>
      </c>
      <c r="U584" s="536"/>
      <c r="V584" s="536"/>
      <c r="W584" s="536"/>
      <c r="X584" s="536">
        <f t="shared" si="203"/>
        <v>0</v>
      </c>
      <c r="Y584" s="536"/>
      <c r="Z584" s="536"/>
      <c r="AA584" s="536"/>
      <c r="AB584" s="536">
        <f t="shared" si="204"/>
        <v>0</v>
      </c>
      <c r="AC584" s="536"/>
      <c r="AD584" s="536"/>
      <c r="AE584" s="536"/>
      <c r="AF584" s="536">
        <f t="shared" si="205"/>
        <v>0</v>
      </c>
      <c r="AG584" s="536"/>
      <c r="AH584" s="536"/>
      <c r="AI584" s="536"/>
      <c r="AJ584" s="536">
        <f t="shared" si="206"/>
        <v>0</v>
      </c>
      <c r="AK584" s="536"/>
      <c r="AL584" s="536"/>
      <c r="AM584" s="536"/>
      <c r="AN584" s="542">
        <f t="shared" si="207"/>
        <v>0</v>
      </c>
      <c r="AO584" s="536"/>
      <c r="AP584" s="536"/>
      <c r="AQ584" s="536"/>
      <c r="AR584" s="542">
        <f t="shared" si="208"/>
        <v>0</v>
      </c>
      <c r="AS584" s="536"/>
      <c r="AT584" s="536"/>
      <c r="AU584" s="536"/>
      <c r="AV584" s="542">
        <f t="shared" si="209"/>
        <v>0</v>
      </c>
      <c r="AW584" s="536"/>
      <c r="AX584" s="536"/>
      <c r="AY584" s="536"/>
      <c r="AZ584" s="542">
        <f t="shared" si="210"/>
        <v>0</v>
      </c>
      <c r="BA584" s="536"/>
      <c r="BB584" s="536"/>
      <c r="BC584" s="536"/>
      <c r="BD584" s="542">
        <f t="shared" si="211"/>
        <v>0</v>
      </c>
      <c r="BE584" s="536"/>
      <c r="BF584" s="536"/>
      <c r="BG584" s="536"/>
      <c r="BH584" s="542">
        <f t="shared" si="212"/>
        <v>0</v>
      </c>
      <c r="BI584" s="536"/>
      <c r="BJ584" s="536"/>
      <c r="BK584" s="536"/>
      <c r="BL584" s="542">
        <f t="shared" si="213"/>
        <v>0</v>
      </c>
      <c r="BM584" s="536"/>
      <c r="BN584" s="536"/>
      <c r="BO584" s="536"/>
      <c r="BP584" s="542">
        <f t="shared" si="214"/>
        <v>0</v>
      </c>
      <c r="BQ584" s="536"/>
      <c r="BR584" s="536"/>
      <c r="BS584" s="536"/>
      <c r="BT584" s="542">
        <f t="shared" si="215"/>
        <v>0</v>
      </c>
      <c r="BU584" s="536"/>
      <c r="BV584" s="536"/>
      <c r="BW584" s="536"/>
      <c r="BX584" s="542">
        <f t="shared" si="216"/>
        <v>0</v>
      </c>
      <c r="BY584" s="536"/>
      <c r="BZ584" s="536"/>
      <c r="CA584" s="536"/>
      <c r="CB584" s="542">
        <v>0</v>
      </c>
      <c r="CC584" s="536"/>
      <c r="CD584" s="536"/>
      <c r="CE584" s="536"/>
      <c r="CF584" s="541">
        <f t="shared" si="217"/>
        <v>0</v>
      </c>
      <c r="CG584" s="536"/>
      <c r="CH584" s="536"/>
      <c r="CI584" s="536"/>
      <c r="CJ584" s="541">
        <f t="shared" si="218"/>
        <v>0</v>
      </c>
      <c r="CK584" s="536"/>
      <c r="CL584" s="536"/>
      <c r="CM584" s="536"/>
      <c r="CN584" s="541">
        <f t="shared" si="219"/>
        <v>0</v>
      </c>
      <c r="CO584" s="536"/>
      <c r="CP584" s="536"/>
      <c r="CQ584" s="536"/>
      <c r="CR584" s="541">
        <f t="shared" si="220"/>
        <v>0</v>
      </c>
      <c r="CS584" s="536"/>
      <c r="CT584" s="536"/>
      <c r="CU584" s="536"/>
      <c r="CV584" s="541">
        <f t="shared" si="221"/>
        <v>0</v>
      </c>
      <c r="CW584" s="536"/>
      <c r="CX584" s="536"/>
      <c r="CY584" s="536"/>
      <c r="CZ584" s="541">
        <f t="shared" si="222"/>
        <v>0</v>
      </c>
      <c r="DA584" s="536"/>
      <c r="DB584" s="536"/>
      <c r="DC584" s="536"/>
      <c r="DD584" s="541">
        <f t="shared" si="223"/>
        <v>0</v>
      </c>
      <c r="DE584" s="536"/>
      <c r="DF584" s="536"/>
      <c r="DG584" s="536"/>
      <c r="DH584" s="541">
        <f t="shared" si="224"/>
        <v>0</v>
      </c>
      <c r="DI584" s="536"/>
      <c r="DJ584" s="536"/>
      <c r="DK584" s="536"/>
      <c r="DL584" s="541">
        <f t="shared" si="225"/>
        <v>0</v>
      </c>
      <c r="DM584" s="536"/>
      <c r="DN584" s="536"/>
      <c r="DO584" s="536"/>
      <c r="DP584" s="541">
        <f>IF( SUM((DJ584*(20/100))+(DK584*(30/100))+(DL584*(50/100))) &gt;=9.3,9.5,
IF(AND( SUM((DJ584*(20/100))+(DK584*(30/100))+(DL584*(50/100))) &lt;=9.3, SUM((DJ584*(20/100))+(DK584*(30/100))+(DL584*(50/100))) &gt;=8.8),9,
IF(AND( SUM((DJ584*(20/100))+(DK584*(30/100))+(DL584*(50/100))) &lt;=8.8, SUM((DJ584*(20/100))+(DK584*(30/100))+(DL584*(50/100))) &gt;=8.3),8.5,
IF(AND( SUM((DJ584*(20/100))+(DK584*(30/100))+(DL584*(50/100))) &lt;=8.3, SUM((DJ584*(20/100))+(DK584*(30/100))+(DL584*(50/100))) &gt;=7.8),8,
IF(AND( SUM((DJ584*(20/100))+(DK584*(30/100))+(DL584*(50/100))) &lt;=7.8, SUM((DJ584*(20/100))+(DK584*(30/100))+(DL584*(50/100))) &gt;=7.3),7.5,
IF(AND( SUM((DJ584*(20/100))+(DK584*(30/100))+(DL584*(50/100))) &lt;=7.3, SUM((DJ584*(20/100))+(DK584*(30/100))+(DL584*(50/100))) &gt;=6.8),7,
IF(AND( SUM((DJ584*(20/100))+(DK584*(30/100))+(DL584*(50/100))) &lt;=6.8, SUM((DJ584*(20/100))+(DK584*(30/100))+(DL584*(50/100))) &gt;=6.3),6.5,
IF(AND( SUM((DJ584*(20/100))+(DK584*(30/100))+(DL584*(50/100))) &lt;=6.3, SUM((DJ584*(20/100))+(DK584*(30/100))+(DL584*(50/100))) &gt;=5.8),6,
IF(AND( SUM((DJ584*(20/100))+(DK584*(30/100))+(DL584*(50/100))) &lt;=5.8, SUM((DJ584*(20/100))+(DK584*(30/100))+(DL584*(50/100))) &gt;=5.3),5.5,
IF(AND( SUM((DJ584*(20/100))+(DK584*(30/100))+(DL584*(50/100))) &lt;=5.3, SUM((DJ584*(20/100))+(DK584*(30/100))+(DL584*(50/100))) &gt;=4.8),5,
IF(AND( SUM((DJ584*(20/100))+(DK584*(30/100))+(DL584*(50/100))) &lt;=4.8, SUM((DJ584*(20/100))+(DK584*(30/100))+(DL584*(50/100))) &gt;=4.3),4.5,
IF(AND( SUM((DJ584*(20/100))+(DK584*(30/100))+(DL584*(50/100))) &lt;=4.3, SUM((DJ584*(20/100))+(DK584*(30/100))+(DL584*(50/100))) &gt;=3.8),4,
IF(AND( SUM((DJ584*(20/100))+(DK584*(30/100))+(DL584*(50/100))) &lt;=3.8, SUM((DJ584*(20/100))+(DK584*(30/100))+(DL584*(50/100))) &gt;=3.5),3.5,0)))))))))))))</f>
        <v>0</v>
      </c>
      <c r="DQ584" s="541"/>
      <c r="DR584" s="541"/>
      <c r="DS584" s="541"/>
      <c r="DT584" s="541"/>
      <c r="DU584" s="541"/>
      <c r="DV584" s="541"/>
      <c r="DW584" s="541"/>
      <c r="DX584" s="541"/>
      <c r="DY584" s="541"/>
      <c r="DZ584" s="541"/>
    </row>
    <row r="585" spans="2:130" x14ac:dyDescent="0.25">
      <c r="B585" s="334">
        <v>28</v>
      </c>
      <c r="C585" s="541"/>
      <c r="D585" s="334"/>
      <c r="E585" s="334"/>
      <c r="F585" s="334"/>
      <c r="G585" s="334"/>
      <c r="H585" s="334"/>
      <c r="I585" s="334"/>
      <c r="J585" s="536"/>
      <c r="K585" s="536"/>
      <c r="L585" s="536"/>
      <c r="M585" s="536"/>
      <c r="N585" s="536"/>
      <c r="O585" s="536"/>
      <c r="P585" s="536">
        <f t="shared" ref="P585:P607" si="226">IF( SUM((M585*(20/100))+(N585*(30/100))+(O585*(50/100))) &gt;=9.3,9.5,
IF(AND( SUM((M585*(20/100))+(N585*(30/100))+(O585*(50/100))) &lt;=9.3, SUM((M585*(20/100))+(N585*(30/100))+(O585*(50/100))) &gt;=8.8),9,
IF(AND( SUM((M585*(20/100))+(N585*(30/100))+(O585*(50/100))) &lt;=8.8, SUM((M585*(20/100))+(N585*(30/100))+(O585*(50/100))) &gt;=8.3),8.5,
IF(AND( SUM((M585*(20/100))+(N585*(30/100))+(O585*(50/100))) &lt;=8.3, SUM((M585*(20/100))+(N585*(30/100))+(O585*(50/100))) &gt;=7.8),8,
IF(AND( SUM((M585*(20/100))+(N585*(30/100))+(O585*(50/100))) &lt;=7.8, SUM((M585*(20/100))+(N585*(30/100))+(O585*(50/100))) &gt;=7.3),7.5,
IF(AND( SUM((M585*(20/100))+(N585*(30/100))+(O585*(50/100))) &lt;=7.3, SUM((M585*(20/100))+(N585*(30/100))+(O585*(50/100))) &gt;=6.8),7,
IF(AND( SUM((M585*(20/100))+(N585*(30/100))+(O585*(50/100))) &lt;=6.8, SUM((M585*(20/100))+(N585*(30/100))+(O585*(50/100))) &gt;=6.3),6.5,
IF(AND( SUM((M585*(20/100))+(N585*(30/100))+(O585*(50/100))) &lt;=6.3, SUM((M585*(20/100))+(N585*(30/100))+(O585*(50/100))) &gt;=5.8),6,
IF(AND( SUM((M585*(20/100))+(N585*(30/100))+(O585*(50/100))) &lt;=5.8, SUM((M585*(20/100))+(N585*(30/100))+(O585*(50/100))) &gt;=5.3),5.5,
IF(AND( SUM((M585*(20/100))+(N585*(30/100))+(O585*(50/100))) &lt;=5.3, SUM((M585*(20/100))+(N585*(30/100))+(O585*(50/100))) &gt;=4.8),5,
IF(AND( SUM((M585*(20/100))+(N585*(30/100))+(O585*(50/100))) &lt;=4.8, SUM((M585*(20/100))+(N585*(30/100))+(O585*(50/100))) &gt;=4.3),4.5,
IF(AND( SUM((M585*(20/100))+(N585*(30/100))+(O585*(50/100))) &lt;=4.3, SUM((M585*(20/100))+(N585*(30/100))+(O585*(50/100))) &gt;=3.8),4,
IF(AND( SUM((M585*(20/100))+(N585*(30/100))+(O585*(50/100))) &lt;=3.8, SUM((M585*(20/100))+(N585*(30/100))+(O585*(50/100))) &gt;=3.5),3.5,0)))))))))))))</f>
        <v>0</v>
      </c>
      <c r="Q585" s="536"/>
      <c r="R585" s="536"/>
      <c r="S585" s="536"/>
      <c r="T585" s="536">
        <f t="shared" ref="T585:T607" si="227">IF( SUM((Q585*(20/100))+(R585*(30/100))+(S585*(50/100))) &gt;=9.3,9.5,
IF(AND( SUM((Q585*(20/100))+(R585*(30/100))+(S585*(50/100))) &lt;=9.3, SUM((Q585*(20/100))+(R585*(30/100))+(S585*(50/100))) &gt;=8.8),9,
IF(AND( SUM((Q585*(20/100))+(R585*(30/100))+(S585*(50/100))) &lt;=8.8, SUM((Q585*(20/100))+(R585*(30/100))+(S585*(50/100))) &gt;=8.3),8.5,
IF(AND( SUM((Q585*(20/100))+(R585*(30/100))+(S585*(50/100))) &lt;=8.3, SUM((Q585*(20/100))+(R585*(30/100))+(S585*(50/100))) &gt;=7.8),8,
IF(AND( SUM((Q585*(20/100))+(R585*(30/100))+(S585*(50/100))) &lt;=7.8, SUM((Q585*(20/100))+(R585*(30/100))+(S585*(50/100))) &gt;=7.3),7.5,
IF(AND( SUM((Q585*(20/100))+(R585*(30/100))+(S585*(50/100))) &lt;=7.3, SUM((Q585*(20/100))+(R585*(30/100))+(S585*(50/100))) &gt;=6.8),7,
IF(AND( SUM((Q585*(20/100))+(R585*(30/100))+(S585*(50/100))) &lt;=6.8, SUM((Q585*(20/100))+(R585*(30/100))+(S585*(50/100))) &gt;=6.3),6.5,
IF(AND( SUM((Q585*(20/100))+(R585*(30/100))+(S585*(50/100))) &lt;=6.3, SUM((Q585*(20/100))+(R585*(30/100))+(S585*(50/100))) &gt;=5.8),6,
IF(AND( SUM((Q585*(20/100))+(R585*(30/100))+(S585*(50/100))) &lt;=5.8, SUM((Q585*(20/100))+(R585*(30/100))+(S585*(50/100))) &gt;=5.3),5.5,
IF(AND( SUM((Q585*(20/100))+(R585*(30/100))+(S585*(50/100))) &lt;=5.3, SUM((Q585*(20/100))+(R585*(30/100))+(S585*(50/100))) &gt;=4.8),5,
IF(AND( SUM((Q585*(20/100))+(R585*(30/100))+(S585*(50/100))) &lt;=4.8, SUM((Q585*(20/100))+(R585*(30/100))+(S585*(50/100))) &gt;=4.3),4.5,
IF(AND( SUM((Q585*(20/100))+(R585*(30/100))+(S585*(50/100))) &lt;=4.3, SUM((Q585*(20/100))+(R585*(30/100))+(S585*(50/100))) &gt;=3.8),4,
IF(AND( SUM((Q585*(20/100))+(R585*(30/100))+(S585*(50/100))) &lt;=3.8, SUM((Q585*(20/100))+(R585*(30/100))+(S585*(50/100))) &gt;=3.5),3.5,0)))))))))))))</f>
        <v>0</v>
      </c>
      <c r="U585" s="536"/>
      <c r="V585" s="536"/>
      <c r="W585" s="536"/>
      <c r="X585" s="536">
        <f t="shared" ref="X585:X607" si="228">IF( SUM((U585*(20/100))+(V585*(30/100))+(W585*(50/100))) &gt;=9.3,9.5,
IF(AND( SUM((U585*(20/100))+(V585*(30/100))+(W585*(50/100))) &lt;=9.3, SUM((U585*(20/100))+(V585*(30/100))+(W585*(50/100))) &gt;=8.8),9,
IF(AND( SUM((U585*(20/100))+(V585*(30/100))+(W585*(50/100))) &lt;=8.8, SUM((U585*(20/100))+(V585*(30/100))+(W585*(50/100))) &gt;=8.3),8.5,
IF(AND( SUM((U585*(20/100))+(V585*(30/100))+(W585*(50/100))) &lt;=8.3, SUM((U585*(20/100))+(V585*(30/100))+(W585*(50/100))) &gt;=7.8),8,
IF(AND( SUM((U585*(20/100))+(V585*(30/100))+(W585*(50/100))) &lt;=7.8, SUM((U585*(20/100))+(V585*(30/100))+(W585*(50/100))) &gt;=7.3),7.5,
IF(AND( SUM((U585*(20/100))+(V585*(30/100))+(W585*(50/100))) &lt;=7.3, SUM((U585*(20/100))+(V585*(30/100))+(W585*(50/100))) &gt;=6.8),7,
IF(AND( SUM((U585*(20/100))+(V585*(30/100))+(W585*(50/100))) &lt;=6.8, SUM((U585*(20/100))+(V585*(30/100))+(W585*(50/100))) &gt;=6.3),6.5,
IF(AND( SUM((U585*(20/100))+(V585*(30/100))+(W585*(50/100))) &lt;=6.3, SUM((U585*(20/100))+(V585*(30/100))+(W585*(50/100))) &gt;=5.8),6,
IF(AND( SUM((U585*(20/100))+(V585*(30/100))+(W585*(50/100))) &lt;=5.8, SUM((U585*(20/100))+(V585*(30/100))+(W585*(50/100))) &gt;=5.3),5.5,
IF(AND( SUM((U585*(20/100))+(V585*(30/100))+(W585*(50/100))) &lt;=5.3, SUM((U585*(20/100))+(V585*(30/100))+(W585*(50/100))) &gt;=4.8),5,
IF(AND( SUM((U585*(20/100))+(V585*(30/100))+(W585*(50/100))) &lt;=4.8, SUM((U585*(20/100))+(V585*(30/100))+(W585*(50/100))) &gt;=4.3),4.5,
IF(AND( SUM((U585*(20/100))+(V585*(30/100))+(W585*(50/100))) &lt;=4.3, SUM((U585*(20/100))+(V585*(30/100))+(W585*(50/100))) &gt;=3.8),4,
IF(AND( SUM((U585*(20/100))+(V585*(30/100))+(W585*(50/100))) &lt;=3.8, SUM((U585*(20/100))+(V585*(30/100))+(W585*(50/100))) &gt;=3.5),3.5,0)))))))))))))</f>
        <v>0</v>
      </c>
      <c r="Y585" s="536"/>
      <c r="Z585" s="536"/>
      <c r="AA585" s="536"/>
      <c r="AB585" s="536">
        <f t="shared" ref="AB585:AB607" si="229">IF( SUM((Y585*(20/100))+(Z585*(30/100))+(AA585*(50/100))) &gt;=9.3,9.5,
IF(AND( SUM((Y585*(20/100))+(Z585*(30/100))+(AA585*(50/100))) &lt;=9.3, SUM((Y585*(20/100))+(Z585*(30/100))+(AA585*(50/100))) &gt;=8.8),9,
IF(AND( SUM((Y585*(20/100))+(Z585*(30/100))+(AA585*(50/100))) &lt;=8.8, SUM((Y585*(20/100))+(Z585*(30/100))+(AA585*(50/100))) &gt;=8.3),8.5,
IF(AND( SUM((Y585*(20/100))+(Z585*(30/100))+(AA585*(50/100))) &lt;=8.3, SUM((Y585*(20/100))+(Z585*(30/100))+(AA585*(50/100))) &gt;=7.8),8,
IF(AND( SUM((Y585*(20/100))+(Z585*(30/100))+(AA585*(50/100))) &lt;=7.8, SUM((Y585*(20/100))+(Z585*(30/100))+(AA585*(50/100))) &gt;=7.3),7.5,
IF(AND( SUM((Y585*(20/100))+(Z585*(30/100))+(AA585*(50/100))) &lt;=7.3, SUM((Y585*(20/100))+(Z585*(30/100))+(AA585*(50/100))) &gt;=6.8),7,
IF(AND( SUM((Y585*(20/100))+(Z585*(30/100))+(AA585*(50/100))) &lt;=6.8, SUM((Y585*(20/100))+(Z585*(30/100))+(AA585*(50/100))) &gt;=6.3),6.5,
IF(AND( SUM((Y585*(20/100))+(Z585*(30/100))+(AA585*(50/100))) &lt;=6.3, SUM((Y585*(20/100))+(Z585*(30/100))+(AA585*(50/100))) &gt;=5.8),6,
IF(AND( SUM((Y585*(20/100))+(Z585*(30/100))+(AA585*(50/100))) &lt;=5.8, SUM((Y585*(20/100))+(Z585*(30/100))+(AA585*(50/100))) &gt;=5.3),5.5,
IF(AND( SUM((Y585*(20/100))+(Z585*(30/100))+(AA585*(50/100))) &lt;=5.3, SUM((Y585*(20/100))+(Z585*(30/100))+(AA585*(50/100))) &gt;=4.8),5,
IF(AND( SUM((Y585*(20/100))+(Z585*(30/100))+(AA585*(50/100))) &lt;=4.8, SUM((Y585*(20/100))+(Z585*(30/100))+(AA585*(50/100))) &gt;=4.3),4.5,
IF(AND( SUM((Y585*(20/100))+(Z585*(30/100))+(AA585*(50/100))) &lt;=4.3, SUM((Y585*(20/100))+(Z585*(30/100))+(AA585*(50/100))) &gt;=3.8),4,
IF(AND( SUM((Y585*(20/100))+(Z585*(30/100))+(AA585*(50/100))) &lt;=3.8, SUM((Y585*(20/100))+(Z585*(30/100))+(AA585*(50/100))) &gt;=3.5),3.5,0)))))))))))))</f>
        <v>0</v>
      </c>
      <c r="AC585" s="536"/>
      <c r="AD585" s="536"/>
      <c r="AE585" s="536"/>
      <c r="AF585" s="536">
        <f t="shared" ref="AF585:AF607" si="230">IF( SUM((AC585*(20/100))+(AD585*(30/100))+(AE585*(50/100))) &gt;=9.3,9.5,
IF(AND( SUM((AC585*(20/100))+(AD585*(30/100))+(AE585*(50/100))) &lt;=9.3, SUM((AC585*(20/100))+(AD585*(30/100))+(AE585*(50/100))) &gt;=8.8),9,
IF(AND( SUM((AC585*(20/100))+(AD585*(30/100))+(AE585*(50/100))) &lt;=8.8, SUM((AC585*(20/100))+(AD585*(30/100))+(AE585*(50/100))) &gt;=8.3),8.5,
IF(AND( SUM((AC585*(20/100))+(AD585*(30/100))+(AE585*(50/100))) &lt;=8.3, SUM((AC585*(20/100))+(AD585*(30/100))+(AE585*(50/100))) &gt;=7.8),8,
IF(AND( SUM((AC585*(20/100))+(AD585*(30/100))+(AE585*(50/100))) &lt;=7.8, SUM((AC585*(20/100))+(AD585*(30/100))+(AE585*(50/100))) &gt;=7.3),7.5,
IF(AND( SUM((AC585*(20/100))+(AD585*(30/100))+(AE585*(50/100))) &lt;=7.3, SUM((AC585*(20/100))+(AD585*(30/100))+(AE585*(50/100))) &gt;=6.8),7,
IF(AND( SUM((AC585*(20/100))+(AD585*(30/100))+(AE585*(50/100))) &lt;=6.8, SUM((AC585*(20/100))+(AD585*(30/100))+(AE585*(50/100))) &gt;=6.3),6.5,
IF(AND( SUM((AC585*(20/100))+(AD585*(30/100))+(AE585*(50/100))) &lt;=6.3, SUM((AC585*(20/100))+(AD585*(30/100))+(AE585*(50/100))) &gt;=5.8),6,
IF(AND( SUM((AC585*(20/100))+(AD585*(30/100))+(AE585*(50/100))) &lt;=5.8, SUM((AC585*(20/100))+(AD585*(30/100))+(AE585*(50/100))) &gt;=5.3),5.5,
IF(AND( SUM((AC585*(20/100))+(AD585*(30/100))+(AE585*(50/100))) &lt;=5.3, SUM((AC585*(20/100))+(AD585*(30/100))+(AE585*(50/100))) &gt;=4.8),5,
IF(AND( SUM((AC585*(20/100))+(AD585*(30/100))+(AE585*(50/100))) &lt;=4.8, SUM((AC585*(20/100))+(AD585*(30/100))+(AE585*(50/100))) &gt;=4.3),4.5,
IF(AND( SUM((AC585*(20/100))+(AD585*(30/100))+(AE585*(50/100))) &lt;=4.3, SUM((AC585*(20/100))+(AD585*(30/100))+(AE585*(50/100))) &gt;=3.8),4,
IF(AND( SUM((AC585*(20/100))+(AD585*(30/100))+(AE585*(50/100))) &lt;=3.8, SUM((AC585*(20/100))+(AD585*(30/100))+(AE585*(50/100))) &gt;=3.5),3.5,0)))))))))))))</f>
        <v>0</v>
      </c>
      <c r="AG585" s="536"/>
      <c r="AH585" s="536"/>
      <c r="AI585" s="536"/>
      <c r="AJ585" s="536">
        <f t="shared" ref="AJ585:AJ607" si="231">IF( SUM((AG585*(20/100))+(AH585*(30/100))+(AI585*(50/100))) &gt;=9.3,9.5,
IF(AND( SUM((AG585*(20/100))+(AH585*(30/100))+(AI585*(50/100))) &lt;=9.3, SUM((AG585*(20/100))+(AH585*(30/100))+(AI585*(50/100))) &gt;=8.8),9,
IF(AND( SUM((AG585*(20/100))+(AH585*(30/100))+(AI585*(50/100))) &lt;=8.8, SUM((AG585*(20/100))+(AH585*(30/100))+(AI585*(50/100))) &gt;=8.3),8.5,
IF(AND( SUM((AG585*(20/100))+(AH585*(30/100))+(AI585*(50/100))) &lt;=8.3, SUM((AG585*(20/100))+(AH585*(30/100))+(AI585*(50/100))) &gt;=7.8),8,
IF(AND( SUM((AG585*(20/100))+(AH585*(30/100))+(AI585*(50/100))) &lt;=7.8, SUM((AG585*(20/100))+(AH585*(30/100))+(AI585*(50/100))) &gt;=7.3),7.5,
IF(AND( SUM((AG585*(20/100))+(AH585*(30/100))+(AI585*(50/100))) &lt;=7.3, SUM((AG585*(20/100))+(AH585*(30/100))+(AI585*(50/100))) &gt;=6.8),7,
IF(AND( SUM((AG585*(20/100))+(AH585*(30/100))+(AI585*(50/100))) &lt;=6.8, SUM((AG585*(20/100))+(AH585*(30/100))+(AI585*(50/100))) &gt;=6.3),6.5,
IF(AND( SUM((AG585*(20/100))+(AH585*(30/100))+(AI585*(50/100))) &lt;=6.3, SUM((AG585*(20/100))+(AH585*(30/100))+(AI585*(50/100))) &gt;=5.8),6,
IF(AND( SUM((AG585*(20/100))+(AH585*(30/100))+(AI585*(50/100))) &lt;=5.8, SUM((AG585*(20/100))+(AH585*(30/100))+(AI585*(50/100))) &gt;=5.3),5.5,
IF(AND( SUM((AG585*(20/100))+(AH585*(30/100))+(AI585*(50/100))) &lt;=5.3, SUM((AG585*(20/100))+(AH585*(30/100))+(AI585*(50/100))) &gt;=4.8),5,
IF(AND( SUM((AG585*(20/100))+(AH585*(30/100))+(AI585*(50/100))) &lt;=4.8, SUM((AG585*(20/100))+(AH585*(30/100))+(AI585*(50/100))) &gt;=4.3),4.5,
IF(AND( SUM((AG585*(20/100))+(AH585*(30/100))+(AI585*(50/100))) &lt;=4.3, SUM((AG585*(20/100))+(AH585*(30/100))+(AI585*(50/100))) &gt;=3.8),4,
IF(AND( SUM((AG585*(20/100))+(AH585*(30/100))+(AI585*(50/100))) &lt;=3.8, SUM((AG585*(20/100))+(AH585*(30/100))+(AI585*(50/100))) &gt;=3.5),3.5,0)))))))))))))</f>
        <v>0</v>
      </c>
      <c r="AK585" s="536"/>
      <c r="AL585" s="536"/>
      <c r="AM585" s="536"/>
      <c r="AN585" s="542">
        <f t="shared" ref="AN585:AN607" si="232">IF( SUM((AK585*(20/100))+(AL585*(30/100))+(AM585*(50/100))) &gt;=9.3,9.5,
IF(AND( SUM((AK585*(20/100))+(AL585*(30/100))+(AM585*(50/100))) &lt;=9.3, SUM((AK585*(20/100))+(AL585*(30/100))+(AM585*(50/100))) &gt;=8.8),9,
IF(AND( SUM((AK585*(20/100))+(AL585*(30/100))+(AM585*(50/100))) &lt;=8.8, SUM((AK585*(20/100))+(AL585*(30/100))+(AM585*(50/100))) &gt;=8.3),8.5,
IF(AND( SUM((AK585*(20/100))+(AL585*(30/100))+(AM585*(50/100))) &lt;=8.3, SUM((AK585*(20/100))+(AL585*(30/100))+(AM585*(50/100))) &gt;=7.8),8,
IF(AND( SUM((AK585*(20/100))+(AL585*(30/100))+(AM585*(50/100))) &lt;=7.8, SUM((AK585*(20/100))+(AL585*(30/100))+(AM585*(50/100))) &gt;=7.3),7.5,
IF(AND( SUM((AK585*(20/100))+(AL585*(30/100))+(AM585*(50/100))) &lt;=7.3, SUM((AK585*(20/100))+(AL585*(30/100))+(AM585*(50/100))) &gt;=6.8),7,
IF(AND( SUM((AK585*(20/100))+(AL585*(30/100))+(AM585*(50/100))) &lt;=6.8, SUM((AK585*(20/100))+(AL585*(30/100))+(AM585*(50/100))) &gt;=6.3),6.5,
IF(AND( SUM((AK585*(20/100))+(AL585*(30/100))+(AM585*(50/100))) &lt;=6.3, SUM((AK585*(20/100))+(AL585*(30/100))+(AM585*(50/100))) &gt;=5.8),6,
IF(AND( SUM((AK585*(20/100))+(AL585*(30/100))+(AM585*(50/100))) &lt;=5.8, SUM((AK585*(20/100))+(AL585*(30/100))+(AM585*(50/100))) &gt;=5.3),5.5,
IF(AND( SUM((AK585*(20/100))+(AL585*(30/100))+(AM585*(50/100))) &lt;=5.3, SUM((AK585*(20/100))+(AL585*(30/100))+(AM585*(50/100))) &gt;=4.8),5,
IF(AND( SUM((AK585*(20/100))+(AL585*(30/100))+(AM585*(50/100))) &lt;=4.8, SUM((AK585*(20/100))+(AL585*(30/100))+(AM585*(50/100))) &gt;=4.3),4.5,
IF(AND( SUM((AK585*(20/100))+(AL585*(30/100))+(AM585*(50/100))) &lt;=4.3, SUM((AK585*(20/100))+(AL585*(30/100))+(AM585*(50/100))) &gt;=3.8),4,
IF(AND( SUM((AK585*(20/100))+(AL585*(30/100))+(AM585*(50/100))) &lt;=3.8, SUM((AK585*(20/100))+(AL585*(30/100))+(AM585*(50/100))) &gt;=3.5),3.5,0)))))))))))))</f>
        <v>0</v>
      </c>
      <c r="AO585" s="536"/>
      <c r="AP585" s="536"/>
      <c r="AQ585" s="536"/>
      <c r="AR585" s="542">
        <f t="shared" ref="AR585:AR607" si="233">IF( SUM((AO585*(20/100))+(AP585*(30/100))+(AQ585*(50/100))) &gt;=9.3,9.5,
IF(AND( SUM((AO585*(20/100))+(AP585*(30/100))+(AQ585*(50/100))) &lt;=9.3, SUM((AO585*(20/100))+(AP585*(30/100))+(AQ585*(50/100))) &gt;=8.8),9,
IF(AND( SUM((AO585*(20/100))+(AP585*(30/100))+(AQ585*(50/100))) &lt;=8.8, SUM((AO585*(20/100))+(AP585*(30/100))+(AQ585*(50/100))) &gt;=8.3),8.5,
IF(AND( SUM((AO585*(20/100))+(AP585*(30/100))+(AQ585*(50/100))) &lt;=8.3, SUM((AO585*(20/100))+(AP585*(30/100))+(AQ585*(50/100))) &gt;=7.8),8,
IF(AND( SUM((AO585*(20/100))+(AP585*(30/100))+(AQ585*(50/100))) &lt;=7.8, SUM((AO585*(20/100))+(AP585*(30/100))+(AQ585*(50/100))) &gt;=7.3),7.5,
IF(AND( SUM((AO585*(20/100))+(AP585*(30/100))+(AQ585*(50/100))) &lt;=7.3, SUM((AO585*(20/100))+(AP585*(30/100))+(AQ585*(50/100))) &gt;=6.8),7,
IF(AND( SUM((AO585*(20/100))+(AP585*(30/100))+(AQ585*(50/100))) &lt;=6.8, SUM((AO585*(20/100))+(AP585*(30/100))+(AQ585*(50/100))) &gt;=6.3),6.5,
IF(AND( SUM((AO585*(20/100))+(AP585*(30/100))+(AQ585*(50/100))) &lt;=6.3, SUM((AO585*(20/100))+(AP585*(30/100))+(AQ585*(50/100))) &gt;=5.8),6,
IF(AND( SUM((AO585*(20/100))+(AP585*(30/100))+(AQ585*(50/100))) &lt;=5.8, SUM((AO585*(20/100))+(AP585*(30/100))+(AQ585*(50/100))) &gt;=5.3),5.5,
IF(AND( SUM((AO585*(20/100))+(AP585*(30/100))+(AQ585*(50/100))) &lt;=5.3, SUM((AO585*(20/100))+(AP585*(30/100))+(AQ585*(50/100))) &gt;=4.8),5,
IF(AND( SUM((AO585*(20/100))+(AP585*(30/100))+(AQ585*(50/100))) &lt;=4.8, SUM((AO585*(20/100))+(AP585*(30/100))+(AQ585*(50/100))) &gt;=4.3),4.5,
IF(AND( SUM((AO585*(20/100))+(AP585*(30/100))+(AQ585*(50/100))) &lt;=4.3, SUM((AO585*(20/100))+(AP585*(30/100))+(AQ585*(50/100))) &gt;=3.8),4,
IF(AND( SUM((AO585*(20/100))+(AP585*(30/100))+(AQ585*(50/100))) &lt;=3.8, SUM((AO585*(20/100))+(AP585*(30/100))+(AQ585*(50/100))) &gt;=3.5),3.5,0)))))))))))))</f>
        <v>0</v>
      </c>
      <c r="AS585" s="536"/>
      <c r="AT585" s="536"/>
      <c r="AU585" s="536"/>
      <c r="AV585" s="542">
        <f t="shared" ref="AV585:AV607" si="234">IF( SUM((AS585*(20/100))+(AT585*(30/100))+(AU585*(50/100))) &gt;=9.3,9.5,
IF(AND( SUM((AS585*(20/100))+(AT585*(30/100))+(AU585*(50/100))) &lt;=9.3, SUM((AS585*(20/100))+(AT585*(30/100))+(AU585*(50/100))) &gt;=8.8),9,
IF(AND( SUM((AS585*(20/100))+(AT585*(30/100))+(AU585*(50/100))) &lt;=8.8, SUM((AS585*(20/100))+(AT585*(30/100))+(AU585*(50/100))) &gt;=8.3),8.5,
IF(AND( SUM((AS585*(20/100))+(AT585*(30/100))+(AU585*(50/100))) &lt;=8.3, SUM((AS585*(20/100))+(AT585*(30/100))+(AU585*(50/100))) &gt;=7.8),8,
IF(AND( SUM((AS585*(20/100))+(AT585*(30/100))+(AU585*(50/100))) &lt;=7.8, SUM((AS585*(20/100))+(AT585*(30/100))+(AU585*(50/100))) &gt;=7.3),7.5,
IF(AND( SUM((AS585*(20/100))+(AT585*(30/100))+(AU585*(50/100))) &lt;=7.3, SUM((AS585*(20/100))+(AT585*(30/100))+(AU585*(50/100))) &gt;=6.8),7,
IF(AND( SUM((AS585*(20/100))+(AT585*(30/100))+(AU585*(50/100))) &lt;=6.8, SUM((AS585*(20/100))+(AT585*(30/100))+(AU585*(50/100))) &gt;=6.3),6.5,
IF(AND( SUM((AS585*(20/100))+(AT585*(30/100))+(AU585*(50/100))) &lt;=6.3, SUM((AS585*(20/100))+(AT585*(30/100))+(AU585*(50/100))) &gt;=5.8),6,
IF(AND( SUM((AS585*(20/100))+(AT585*(30/100))+(AU585*(50/100))) &lt;=5.8, SUM((AS585*(20/100))+(AT585*(30/100))+(AU585*(50/100))) &gt;=5.3),5.5,
IF(AND( SUM((AS585*(20/100))+(AT585*(30/100))+(AU585*(50/100))) &lt;=5.3, SUM((AS585*(20/100))+(AT585*(30/100))+(AU585*(50/100))) &gt;=4.8),5,
IF(AND( SUM((AS585*(20/100))+(AT585*(30/100))+(AU585*(50/100))) &lt;=4.8, SUM((AS585*(20/100))+(AT585*(30/100))+(AU585*(50/100))) &gt;=4.3),4.5,
IF(AND( SUM((AS585*(20/100))+(AT585*(30/100))+(AU585*(50/100))) &lt;=4.3, SUM((AS585*(20/100))+(AT585*(30/100))+(AU585*(50/100))) &gt;=3.8),4,
IF(AND( SUM((AS585*(20/100))+(AT585*(30/100))+(AU585*(50/100))) &lt;=3.8, SUM((AS585*(20/100))+(AT585*(30/100))+(AU585*(50/100))) &gt;=3.5),3.5,0)))))))))))))</f>
        <v>0</v>
      </c>
      <c r="AW585" s="536"/>
      <c r="AX585" s="536"/>
      <c r="AY585" s="536"/>
      <c r="AZ585" s="542">
        <f t="shared" ref="AZ585:AZ607" si="235">IF( SUM((AW585*(20/100))+(AX585*(30/100))+(AY585*(50/100))) &gt;=9.3,9.5,
IF(AND( SUM((AW585*(20/100))+(AX585*(30/100))+(AY585*(50/100))) &lt;=9.3, SUM((AW585*(20/100))+(AX585*(30/100))+(AY585*(50/100))) &gt;=8.8),9,
IF(AND( SUM((AW585*(20/100))+(AX585*(30/100))+(AY585*(50/100))) &lt;=8.8, SUM((AW585*(20/100))+(AX585*(30/100))+(AY585*(50/100))) &gt;=8.3),8.5,
IF(AND( SUM((AW585*(20/100))+(AX585*(30/100))+(AY585*(50/100))) &lt;=8.3, SUM((AW585*(20/100))+(AX585*(30/100))+(AY585*(50/100))) &gt;=7.8),8,
IF(AND( SUM((AW585*(20/100))+(AX585*(30/100))+(AY585*(50/100))) &lt;=7.8, SUM((AW585*(20/100))+(AX585*(30/100))+(AY585*(50/100))) &gt;=7.3),7.5,
IF(AND( SUM((AW585*(20/100))+(AX585*(30/100))+(AY585*(50/100))) &lt;=7.3, SUM((AW585*(20/100))+(AX585*(30/100))+(AY585*(50/100))) &gt;=6.8),7,
IF(AND( SUM((AW585*(20/100))+(AX585*(30/100))+(AY585*(50/100))) &lt;=6.8, SUM((AW585*(20/100))+(AX585*(30/100))+(AY585*(50/100))) &gt;=6.3),6.5,
IF(AND( SUM((AW585*(20/100))+(AX585*(30/100))+(AY585*(50/100))) &lt;=6.3, SUM((AW585*(20/100))+(AX585*(30/100))+(AY585*(50/100))) &gt;=5.8),6,
IF(AND( SUM((AW585*(20/100))+(AX585*(30/100))+(AY585*(50/100))) &lt;=5.8, SUM((AW585*(20/100))+(AX585*(30/100))+(AY585*(50/100))) &gt;=5.3),5.5,
IF(AND( SUM((AW585*(20/100))+(AX585*(30/100))+(AY585*(50/100))) &lt;=5.3, SUM((AW585*(20/100))+(AX585*(30/100))+(AY585*(50/100))) &gt;=4.8),5,
IF(AND( SUM((AW585*(20/100))+(AX585*(30/100))+(AY585*(50/100))) &lt;=4.8, SUM((AW585*(20/100))+(AX585*(30/100))+(AY585*(50/100))) &gt;=4.3),4.5,
IF(AND( SUM((AW585*(20/100))+(AX585*(30/100))+(AY585*(50/100))) &lt;=4.3, SUM((AW585*(20/100))+(AX585*(30/100))+(AY585*(50/100))) &gt;=3.8),4,
IF(AND( SUM((AW585*(20/100))+(AX585*(30/100))+(AY585*(50/100))) &lt;=3.8, SUM((AW585*(20/100))+(AX585*(30/100))+(AY585*(50/100))) &gt;=3.5),3.5,0)))))))))))))</f>
        <v>0</v>
      </c>
      <c r="BA585" s="536"/>
      <c r="BB585" s="536"/>
      <c r="BC585" s="536"/>
      <c r="BD585" s="542">
        <f t="shared" ref="BD585:BD607" si="236">IF( SUM((BA585*(20/100))+(BB585*(30/100))+(BC585*(50/100))) &gt;=9.3,9.5,
IF(AND( SUM((BA585*(20/100))+(BB585*(30/100))+(BC585*(50/100))) &lt;=9.3, SUM((BA585*(20/100))+(BB585*(30/100))+(BC585*(50/100))) &gt;=8.8),9,
IF(AND( SUM((BA585*(20/100))+(BB585*(30/100))+(BC585*(50/100))) &lt;=8.8, SUM((BA585*(20/100))+(BB585*(30/100))+(BC585*(50/100))) &gt;=8.3),8.5,
IF(AND( SUM((BA585*(20/100))+(BB585*(30/100))+(BC585*(50/100))) &lt;=8.3, SUM((BA585*(20/100))+(BB585*(30/100))+(BC585*(50/100))) &gt;=7.8),8,
IF(AND( SUM((BA585*(20/100))+(BB585*(30/100))+(BC585*(50/100))) &lt;=7.8, SUM((BA585*(20/100))+(BB585*(30/100))+(BC585*(50/100))) &gt;=7.3),7.5,
IF(AND( SUM((BA585*(20/100))+(BB585*(30/100))+(BC585*(50/100))) &lt;=7.3, SUM((BA585*(20/100))+(BB585*(30/100))+(BC585*(50/100))) &gt;=6.8),7,
IF(AND( SUM((BA585*(20/100))+(BB585*(30/100))+(BC585*(50/100))) &lt;=6.8, SUM((BA585*(20/100))+(BB585*(30/100))+(BC585*(50/100))) &gt;=6.3),6.5,
IF(AND( SUM((BA585*(20/100))+(BB585*(30/100))+(BC585*(50/100))) &lt;=6.3, SUM((BA585*(20/100))+(BB585*(30/100))+(BC585*(50/100))) &gt;=5.8),6,
IF(AND( SUM((BA585*(20/100))+(BB585*(30/100))+(BC585*(50/100))) &lt;=5.8, SUM((BA585*(20/100))+(BB585*(30/100))+(BC585*(50/100))) &gt;=5.3),5.5,
IF(AND( SUM((BA585*(20/100))+(BB585*(30/100))+(BC585*(50/100))) &lt;=5.3, SUM((BA585*(20/100))+(BB585*(30/100))+(BC585*(50/100))) &gt;=4.8),5,
IF(AND( SUM((BA585*(20/100))+(BB585*(30/100))+(BC585*(50/100))) &lt;=4.8, SUM((BA585*(20/100))+(BB585*(30/100))+(BC585*(50/100))) &gt;=4.3),4.5,
IF(AND( SUM((BA585*(20/100))+(BB585*(30/100))+(BC585*(50/100))) &lt;=4.3, SUM((BA585*(20/100))+(BB585*(30/100))+(BC585*(50/100))) &gt;=3.8),4,
IF(AND( SUM((BA585*(20/100))+(BB585*(30/100))+(BC585*(50/100))) &lt;=3.8, SUM((BA585*(20/100))+(BB585*(30/100))+(BC585*(50/100))) &gt;=3.5),3.5,0)))))))))))))</f>
        <v>0</v>
      </c>
      <c r="BE585" s="536"/>
      <c r="BF585" s="536"/>
      <c r="BG585" s="536"/>
      <c r="BH585" s="542">
        <f t="shared" ref="BH585:BH607" si="237">IF( SUM((BE585*(20/100))+(BF585*(30/100))+(BG585*(50/100))) &gt;=9.3,9.5,
IF(AND( SUM((BE585*(20/100))+(BF585*(30/100))+(BG585*(50/100))) &lt;=9.3, SUM((BE585*(20/100))+(BF585*(30/100))+(BG585*(50/100))) &gt;=8.8),9,
IF(AND( SUM((BE585*(20/100))+(BF585*(30/100))+(BG585*(50/100))) &lt;=8.8, SUM((BE585*(20/100))+(BF585*(30/100))+(BG585*(50/100))) &gt;=8.3),8.5,
IF(AND( SUM((BE585*(20/100))+(BF585*(30/100))+(BG585*(50/100))) &lt;=8.3, SUM((BE585*(20/100))+(BF585*(30/100))+(BG585*(50/100))) &gt;=7.8),8,
IF(AND( SUM((BE585*(20/100))+(BF585*(30/100))+(BG585*(50/100))) &lt;=7.8, SUM((BE585*(20/100))+(BF585*(30/100))+(BG585*(50/100))) &gt;=7.3),7.5,
IF(AND( SUM((BE585*(20/100))+(BF585*(30/100))+(BG585*(50/100))) &lt;=7.3, SUM((BE585*(20/100))+(BF585*(30/100))+(BG585*(50/100))) &gt;=6.8),7,
IF(AND( SUM((BE585*(20/100))+(BF585*(30/100))+(BG585*(50/100))) &lt;=6.8, SUM((BE585*(20/100))+(BF585*(30/100))+(BG585*(50/100))) &gt;=6.3),6.5,
IF(AND( SUM((BE585*(20/100))+(BF585*(30/100))+(BG585*(50/100))) &lt;=6.3, SUM((BE585*(20/100))+(BF585*(30/100))+(BG585*(50/100))) &gt;=5.8),6,
IF(AND( SUM((BE585*(20/100))+(BF585*(30/100))+(BG585*(50/100))) &lt;=5.8, SUM((BE585*(20/100))+(BF585*(30/100))+(BG585*(50/100))) &gt;=5.3),5.5,
IF(AND( SUM((BE585*(20/100))+(BF585*(30/100))+(BG585*(50/100))) &lt;=5.3, SUM((BE585*(20/100))+(BF585*(30/100))+(BG585*(50/100))) &gt;=4.8),5,
IF(AND( SUM((BE585*(20/100))+(BF585*(30/100))+(BG585*(50/100))) &lt;=4.8, SUM((BE585*(20/100))+(BF585*(30/100))+(BG585*(50/100))) &gt;=4.3),4.5,
IF(AND( SUM((BE585*(20/100))+(BF585*(30/100))+(BG585*(50/100))) &lt;=4.3, SUM((BE585*(20/100))+(BF585*(30/100))+(BG585*(50/100))) &gt;=3.8),4,
IF(AND( SUM((BE585*(20/100))+(BF585*(30/100))+(BG585*(50/100))) &lt;=3.8, SUM((BE585*(20/100))+(BF585*(30/100))+(BG585*(50/100))) &gt;=3.5),3.5,0)))))))))))))</f>
        <v>0</v>
      </c>
      <c r="BI585" s="536"/>
      <c r="BJ585" s="536"/>
      <c r="BK585" s="536"/>
      <c r="BL585" s="542">
        <f t="shared" ref="BL585:BL607" si="238">IF( SUM((BI585*(20/100))+(BJ585*(30/100))+(BK585*(50/100))) &gt;=9.3,9.5,
IF(AND( SUM((BI585*(20/100))+(BJ585*(30/100))+(BK585*(50/100))) &lt;=9.3, SUM((BI585*(20/100))+(BJ585*(30/100))+(BK585*(50/100))) &gt;=8.8),9,
IF(AND( SUM((BI585*(20/100))+(BJ585*(30/100))+(BK585*(50/100))) &lt;=8.8, SUM((BI585*(20/100))+(BJ585*(30/100))+(BK585*(50/100))) &gt;=8.3),8.5,
IF(AND( SUM((BI585*(20/100))+(BJ585*(30/100))+(BK585*(50/100))) &lt;=8.3, SUM((BI585*(20/100))+(BJ585*(30/100))+(BK585*(50/100))) &gt;=7.8),8,
IF(AND( SUM((BI585*(20/100))+(BJ585*(30/100))+(BK585*(50/100))) &lt;=7.8, SUM((BI585*(20/100))+(BJ585*(30/100))+(BK585*(50/100))) &gt;=7.3),7.5,
IF(AND( SUM((BI585*(20/100))+(BJ585*(30/100))+(BK585*(50/100))) &lt;=7.3, SUM((BI585*(20/100))+(BJ585*(30/100))+(BK585*(50/100))) &gt;=6.8),7,
IF(AND( SUM((BI585*(20/100))+(BJ585*(30/100))+(BK585*(50/100))) &lt;=6.8, SUM((BI585*(20/100))+(BJ585*(30/100))+(BK585*(50/100))) &gt;=6.3),6.5,
IF(AND( SUM((BI585*(20/100))+(BJ585*(30/100))+(BK585*(50/100))) &lt;=6.3, SUM((BI585*(20/100))+(BJ585*(30/100))+(BK585*(50/100))) &gt;=5.8),6,
IF(AND( SUM((BI585*(20/100))+(BJ585*(30/100))+(BK585*(50/100))) &lt;=5.8, SUM((BI585*(20/100))+(BJ585*(30/100))+(BK585*(50/100))) &gt;=5.3),5.5,
IF(AND( SUM((BI585*(20/100))+(BJ585*(30/100))+(BK585*(50/100))) &lt;=5.3, SUM((BI585*(20/100))+(BJ585*(30/100))+(BK585*(50/100))) &gt;=4.8),5,
IF(AND( SUM((BI585*(20/100))+(BJ585*(30/100))+(BK585*(50/100))) &lt;=4.8, SUM((BI585*(20/100))+(BJ585*(30/100))+(BK585*(50/100))) &gt;=4.3),4.5,
IF(AND( SUM((BI585*(20/100))+(BJ585*(30/100))+(BK585*(50/100))) &lt;=4.3, SUM((BI585*(20/100))+(BJ585*(30/100))+(BK585*(50/100))) &gt;=3.8),4,
IF(AND( SUM((BI585*(20/100))+(BJ585*(30/100))+(BK585*(50/100))) &lt;=3.8, SUM((BI585*(20/100))+(BJ585*(30/100))+(BK585*(50/100))) &gt;=3.5),3.5,0)))))))))))))</f>
        <v>0</v>
      </c>
      <c r="BM585" s="536"/>
      <c r="BN585" s="536"/>
      <c r="BO585" s="536"/>
      <c r="BP585" s="542">
        <f t="shared" ref="BP585:BP607" si="239">IF( SUM((BM585*(20/100))+(BN585*(30/100))+(BO585*(50/100))) &gt;=9.3,9.5,
IF(AND( SUM((BM585*(20/100))+(BN585*(30/100))+(BO585*(50/100))) &lt;=9.3, SUM((BM585*(20/100))+(BN585*(30/100))+(BO585*(50/100))) &gt;=8.8),9,
IF(AND( SUM((BM585*(20/100))+(BN585*(30/100))+(BO585*(50/100))) &lt;=8.8, SUM((BM585*(20/100))+(BN585*(30/100))+(BO585*(50/100))) &gt;=8.3),8.5,
IF(AND( SUM((BM585*(20/100))+(BN585*(30/100))+(BO585*(50/100))) &lt;=8.3, SUM((BM585*(20/100))+(BN585*(30/100))+(BO585*(50/100))) &gt;=7.8),8,
IF(AND( SUM((BM585*(20/100))+(BN585*(30/100))+(BO585*(50/100))) &lt;=7.8, SUM((BM585*(20/100))+(BN585*(30/100))+(BO585*(50/100))) &gt;=7.3),7.5,
IF(AND( SUM((BM585*(20/100))+(BN585*(30/100))+(BO585*(50/100))) &lt;=7.3, SUM((BM585*(20/100))+(BN585*(30/100))+(BO585*(50/100))) &gt;=6.8),7,
IF(AND( SUM((BM585*(20/100))+(BN585*(30/100))+(BO585*(50/100))) &lt;=6.8, SUM((BM585*(20/100))+(BN585*(30/100))+(BO585*(50/100))) &gt;=6.3),6.5,
IF(AND( SUM((BM585*(20/100))+(BN585*(30/100))+(BO585*(50/100))) &lt;=6.3, SUM((BM585*(20/100))+(BN585*(30/100))+(BO585*(50/100))) &gt;=5.8),6,
IF(AND( SUM((BM585*(20/100))+(BN585*(30/100))+(BO585*(50/100))) &lt;=5.8, SUM((BM585*(20/100))+(BN585*(30/100))+(BO585*(50/100))) &gt;=5.3),5.5,
IF(AND( SUM((BM585*(20/100))+(BN585*(30/100))+(BO585*(50/100))) &lt;=5.3, SUM((BM585*(20/100))+(BN585*(30/100))+(BO585*(50/100))) &gt;=4.8),5,
IF(AND( SUM((BM585*(20/100))+(BN585*(30/100))+(BO585*(50/100))) &lt;=4.8, SUM((BM585*(20/100))+(BN585*(30/100))+(BO585*(50/100))) &gt;=4.3),4.5,
IF(AND( SUM((BM585*(20/100))+(BN585*(30/100))+(BO585*(50/100))) &lt;=4.3, SUM((BM585*(20/100))+(BN585*(30/100))+(BO585*(50/100))) &gt;=3.8),4,
IF(AND( SUM((BM585*(20/100))+(BN585*(30/100))+(BO585*(50/100))) &lt;=3.8, SUM((BM585*(20/100))+(BN585*(30/100))+(BO585*(50/100))) &gt;=3.5),3.5,0)))))))))))))</f>
        <v>0</v>
      </c>
      <c r="BQ585" s="536"/>
      <c r="BR585" s="536"/>
      <c r="BS585" s="536"/>
      <c r="BT585" s="542">
        <f t="shared" ref="BT585:BT607" si="240">IF( SUM((BQ585*(20/100))+(BR585*(30/100))+(BS585*(50/100))) &gt;=9.3,9.5,
IF(AND( SUM((BQ585*(20/100))+(BR585*(30/100))+(BS585*(50/100))) &lt;=9.3, SUM((BQ585*(20/100))+(BR585*(30/100))+(BS585*(50/100))) &gt;=8.8),9,
IF(AND( SUM((BQ585*(20/100))+(BR585*(30/100))+(BS585*(50/100))) &lt;=8.8, SUM((BQ585*(20/100))+(BR585*(30/100))+(BS585*(50/100))) &gt;=8.3),8.5,
IF(AND( SUM((BQ585*(20/100))+(BR585*(30/100))+(BS585*(50/100))) &lt;=8.3, SUM((BQ585*(20/100))+(BR585*(30/100))+(BS585*(50/100))) &gt;=7.8),8,
IF(AND( SUM((BQ585*(20/100))+(BR585*(30/100))+(BS585*(50/100))) &lt;=7.8, SUM((BQ585*(20/100))+(BR585*(30/100))+(BS585*(50/100))) &gt;=7.3),7.5,
IF(AND( SUM((BQ585*(20/100))+(BR585*(30/100))+(BS585*(50/100))) &lt;=7.3, SUM((BQ585*(20/100))+(BR585*(30/100))+(BS585*(50/100))) &gt;=6.8),7,
IF(AND( SUM((BQ585*(20/100))+(BR585*(30/100))+(BS585*(50/100))) &lt;=6.8, SUM((BQ585*(20/100))+(BR585*(30/100))+(BS585*(50/100))) &gt;=6.3),6.5,
IF(AND( SUM((BQ585*(20/100))+(BR585*(30/100))+(BS585*(50/100))) &lt;=6.3, SUM((BQ585*(20/100))+(BR585*(30/100))+(BS585*(50/100))) &gt;=5.8),6,
IF(AND( SUM((BQ585*(20/100))+(BR585*(30/100))+(BS585*(50/100))) &lt;=5.8, SUM((BQ585*(20/100))+(BR585*(30/100))+(BS585*(50/100))) &gt;=5.3),5.5,
IF(AND( SUM((BQ585*(20/100))+(BR585*(30/100))+(BS585*(50/100))) &lt;=5.3, SUM((BQ585*(20/100))+(BR585*(30/100))+(BS585*(50/100))) &gt;=4.8),5,
IF(AND( SUM((BQ585*(20/100))+(BR585*(30/100))+(BS585*(50/100))) &lt;=4.8, SUM((BQ585*(20/100))+(BR585*(30/100))+(BS585*(50/100))) &gt;=4.3),4.5,
IF(AND( SUM((BQ585*(20/100))+(BR585*(30/100))+(BS585*(50/100))) &lt;=4.3, SUM((BQ585*(20/100))+(BR585*(30/100))+(BS585*(50/100))) &gt;=3.8),4,
IF(AND( SUM((BQ585*(20/100))+(BR585*(30/100))+(BS585*(50/100))) &lt;=3.8, SUM((BQ585*(20/100))+(BR585*(30/100))+(BS585*(50/100))) &gt;=3.5),3.5,0)))))))))))))</f>
        <v>0</v>
      </c>
      <c r="BU585" s="536"/>
      <c r="BV585" s="536"/>
      <c r="BW585" s="536"/>
      <c r="BX585" s="542">
        <f t="shared" ref="BX585:BX607" si="241">IF( SUM((BU585*(20/100))+(BV585*(30/100))+(BW585*(50/100))) &gt;=9.3,9.5,
IF(AND( SUM((BU585*(20/100))+(BV585*(30/100))+(BW585*(50/100))) &lt;=9.3, SUM((BU585*(20/100))+(BV585*(30/100))+(BW585*(50/100))) &gt;=8.8),9,
IF(AND( SUM((BU585*(20/100))+(BV585*(30/100))+(BW585*(50/100))) &lt;=8.8, SUM((BU585*(20/100))+(BV585*(30/100))+(BW585*(50/100))) &gt;=8.3),8.5,
IF(AND( SUM((BU585*(20/100))+(BV585*(30/100))+(BW585*(50/100))) &lt;=8.3, SUM((BU585*(20/100))+(BV585*(30/100))+(BW585*(50/100))) &gt;=7.8),8,
IF(AND( SUM((BU585*(20/100))+(BV585*(30/100))+(BW585*(50/100))) &lt;=7.8, SUM((BU585*(20/100))+(BV585*(30/100))+(BW585*(50/100))) &gt;=7.3),7.5,
IF(AND( SUM((BU585*(20/100))+(BV585*(30/100))+(BW585*(50/100))) &lt;=7.3, SUM((BU585*(20/100))+(BV585*(30/100))+(BW585*(50/100))) &gt;=6.8),7,
IF(AND( SUM((BU585*(20/100))+(BV585*(30/100))+(BW585*(50/100))) &lt;=6.8, SUM((BU585*(20/100))+(BV585*(30/100))+(BW585*(50/100))) &gt;=6.3),6.5,
IF(AND( SUM((BU585*(20/100))+(BV585*(30/100))+(BW585*(50/100))) &lt;=6.3, SUM((BU585*(20/100))+(BV585*(30/100))+(BW585*(50/100))) &gt;=5.8),6,
IF(AND( SUM((BU585*(20/100))+(BV585*(30/100))+(BW585*(50/100))) &lt;=5.8, SUM((BU585*(20/100))+(BV585*(30/100))+(BW585*(50/100))) &gt;=5.3),5.5,
IF(AND( SUM((BU585*(20/100))+(BV585*(30/100))+(BW585*(50/100))) &lt;=5.3, SUM((BU585*(20/100))+(BV585*(30/100))+(BW585*(50/100))) &gt;=4.8),5,
IF(AND( SUM((BU585*(20/100))+(BV585*(30/100))+(BW585*(50/100))) &lt;=4.8, SUM((BU585*(20/100))+(BV585*(30/100))+(BW585*(50/100))) &gt;=4.3),4.5,
IF(AND( SUM((BU585*(20/100))+(BV585*(30/100))+(BW585*(50/100))) &lt;=4.3, SUM((BU585*(20/100))+(BV585*(30/100))+(BW585*(50/100))) &gt;=3.8),4,
IF(AND( SUM((BU585*(20/100))+(BV585*(30/100))+(BW585*(50/100))) &lt;=3.8, SUM((BU585*(20/100))+(BV585*(30/100))+(BW585*(50/100))) &gt;=3.5),3.5,0)))))))))))))</f>
        <v>0</v>
      </c>
      <c r="BY585" s="536"/>
      <c r="BZ585" s="536"/>
      <c r="CA585" s="536"/>
      <c r="CB585" s="542">
        <v>0</v>
      </c>
      <c r="CC585" s="536"/>
      <c r="CD585" s="536"/>
      <c r="CE585" s="536"/>
      <c r="CF585" s="541">
        <f t="shared" ref="CF585:CF607" si="242">IF( SUM((CC585*(20/100))+(CD585*(30/100))+(CE585*(50/100))) &gt;=9.3,9.5,
IF(AND( SUM((CC585*(20/100))+(CD585*(30/100))+(CE585*(50/100))) &lt;=9.3, SUM((CC585*(20/100))+(CD585*(30/100))+(CE585*(50/100))) &gt;=8.8),9,
IF(AND( SUM((CC585*(20/100))+(CD585*(30/100))+(CE585*(50/100))) &lt;=8.8, SUM((CC585*(20/100))+(CD585*(30/100))+(CE585*(50/100))) &gt;=8.3),8.5,
IF(AND( SUM((CC585*(20/100))+(CD585*(30/100))+(CE585*(50/100))) &lt;=8.3, SUM((CC585*(20/100))+(CD585*(30/100))+(CE585*(50/100))) &gt;=7.8),8,
IF(AND( SUM((CC585*(20/100))+(CD585*(30/100))+(CE585*(50/100))) &lt;=7.8, SUM((CC585*(20/100))+(CD585*(30/100))+(CE585*(50/100))) &gt;=7.3),7.5,
IF(AND( SUM((CC585*(20/100))+(CD585*(30/100))+(CE585*(50/100))) &lt;=7.3, SUM((CC585*(20/100))+(CD585*(30/100))+(CE585*(50/100))) &gt;=6.8),7,
IF(AND( SUM((CC585*(20/100))+(CD585*(30/100))+(CE585*(50/100))) &lt;=6.8, SUM((CC585*(20/100))+(CD585*(30/100))+(CE585*(50/100))) &gt;=6.3),6.5,
IF(AND( SUM((CC585*(20/100))+(CD585*(30/100))+(CE585*(50/100))) &lt;=6.3, SUM((CC585*(20/100))+(CD585*(30/100))+(CE585*(50/100))) &gt;=5.8),6,
IF(AND( SUM((CC585*(20/100))+(CD585*(30/100))+(CE585*(50/100))) &lt;=5.8, SUM((CC585*(20/100))+(CD585*(30/100))+(CE585*(50/100))) &gt;=5.3),5.5,
IF(AND( SUM((CC585*(20/100))+(CD585*(30/100))+(CE585*(50/100))) &lt;=5.3, SUM((CC585*(20/100))+(CD585*(30/100))+(CE585*(50/100))) &gt;=4.8),5,
IF(AND( SUM((CC585*(20/100))+(CD585*(30/100))+(CE585*(50/100))) &lt;=4.8, SUM((CC585*(20/100))+(CD585*(30/100))+(CE585*(50/100))) &gt;=4.3),4.5,
IF(AND( SUM((CC585*(20/100))+(CD585*(30/100))+(CE585*(50/100))) &lt;=4.3, SUM((CC585*(20/100))+(CD585*(30/100))+(CE585*(50/100))) &gt;=3.8),4,
IF(AND( SUM((CC585*(20/100))+(CD585*(30/100))+(CE585*(50/100))) &lt;=3.8, SUM((CC585*(20/100))+(CD585*(30/100))+(CE585*(50/100))) &gt;=3.5),3.5,0)))))))))))))</f>
        <v>0</v>
      </c>
      <c r="CG585" s="536"/>
      <c r="CH585" s="536"/>
      <c r="CI585" s="536"/>
      <c r="CJ585" s="541">
        <f t="shared" ref="CJ585:CJ607" si="243">IF( SUM((CG585*(20/100))+(CH585*(30/100))+(CI585*(50/100))) &gt;=9.3,9.5,
IF(AND( SUM((CG585*(20/100))+(CH585*(30/100))+(CI585*(50/100))) &lt;=9.3, SUM((CG585*(20/100))+(CH585*(30/100))+(CI585*(50/100))) &gt;=8.8),9,
IF(AND( SUM((CG585*(20/100))+(CH585*(30/100))+(CI585*(50/100))) &lt;=8.8, SUM((CG585*(20/100))+(CH585*(30/100))+(CI585*(50/100))) &gt;=8.3),8.5,
IF(AND( SUM((CG585*(20/100))+(CH585*(30/100))+(CI585*(50/100))) &lt;=8.3, SUM((CG585*(20/100))+(CH585*(30/100))+(CI585*(50/100))) &gt;=7.8),8,
IF(AND( SUM((CG585*(20/100))+(CH585*(30/100))+(CI585*(50/100))) &lt;=7.8, SUM((CG585*(20/100))+(CH585*(30/100))+(CI585*(50/100))) &gt;=7.3),7.5,
IF(AND( SUM((CG585*(20/100))+(CH585*(30/100))+(CI585*(50/100))) &lt;=7.3, SUM((CG585*(20/100))+(CH585*(30/100))+(CI585*(50/100))) &gt;=6.8),7,
IF(AND( SUM((CG585*(20/100))+(CH585*(30/100))+(CI585*(50/100))) &lt;=6.8, SUM((CG585*(20/100))+(CH585*(30/100))+(CI585*(50/100))) &gt;=6.3),6.5,
IF(AND( SUM((CG585*(20/100))+(CH585*(30/100))+(CI585*(50/100))) &lt;=6.3, SUM((CG585*(20/100))+(CH585*(30/100))+(CI585*(50/100))) &gt;=5.8),6,
IF(AND( SUM((CG585*(20/100))+(CH585*(30/100))+(CI585*(50/100))) &lt;=5.8, SUM((CG585*(20/100))+(CH585*(30/100))+(CI585*(50/100))) &gt;=5.3),5.5,
IF(AND( SUM((CG585*(20/100))+(CH585*(30/100))+(CI585*(50/100))) &lt;=5.3, SUM((CG585*(20/100))+(CH585*(30/100))+(CI585*(50/100))) &gt;=4.8),5,
IF(AND( SUM((CG585*(20/100))+(CH585*(30/100))+(CI585*(50/100))) &lt;=4.8, SUM((CG585*(20/100))+(CH585*(30/100))+(CI585*(50/100))) &gt;=4.3),4.5,
IF(AND( SUM((CG585*(20/100))+(CH585*(30/100))+(CI585*(50/100))) &lt;=4.3, SUM((CG585*(20/100))+(CH585*(30/100))+(CI585*(50/100))) &gt;=3.8),4,
IF(AND( SUM((CG585*(20/100))+(CH585*(30/100))+(CI585*(50/100))) &lt;=3.8, SUM((CG585*(20/100))+(CH585*(30/100))+(CI585*(50/100))) &gt;=3.5),3.5,0)))))))))))))</f>
        <v>0</v>
      </c>
      <c r="CK585" s="536"/>
      <c r="CL585" s="536"/>
      <c r="CM585" s="536"/>
      <c r="CN585" s="541">
        <f t="shared" ref="CN585:CN607" si="244">IF( SUM((CK585*(20/100))+(CL585*(30/100))+(CM585*(50/100))) &gt;=9.3,9.5,
IF(AND( SUM((CK585*(20/100))+(CL585*(30/100))+(CM585*(50/100))) &lt;=9.3, SUM((CK585*(20/100))+(CL585*(30/100))+(CM585*(50/100))) &gt;=8.8),9,
IF(AND( SUM((CK585*(20/100))+(CL585*(30/100))+(CM585*(50/100))) &lt;=8.8, SUM((CK585*(20/100))+(CL585*(30/100))+(CM585*(50/100))) &gt;=8.3),8.5,
IF(AND( SUM((CK585*(20/100))+(CL585*(30/100))+(CM585*(50/100))) &lt;=8.3, SUM((CK585*(20/100))+(CL585*(30/100))+(CM585*(50/100))) &gt;=7.8),8,
IF(AND( SUM((CK585*(20/100))+(CL585*(30/100))+(CM585*(50/100))) &lt;=7.8, SUM((CK585*(20/100))+(CL585*(30/100))+(CM585*(50/100))) &gt;=7.3),7.5,
IF(AND( SUM((CK585*(20/100))+(CL585*(30/100))+(CM585*(50/100))) &lt;=7.3, SUM((CK585*(20/100))+(CL585*(30/100))+(CM585*(50/100))) &gt;=6.8),7,
IF(AND( SUM((CK585*(20/100))+(CL585*(30/100))+(CM585*(50/100))) &lt;=6.8, SUM((CK585*(20/100))+(CL585*(30/100))+(CM585*(50/100))) &gt;=6.3),6.5,
IF(AND( SUM((CK585*(20/100))+(CL585*(30/100))+(CM585*(50/100))) &lt;=6.3, SUM((CK585*(20/100))+(CL585*(30/100))+(CM585*(50/100))) &gt;=5.8),6,
IF(AND( SUM((CK585*(20/100))+(CL585*(30/100))+(CM585*(50/100))) &lt;=5.8, SUM((CK585*(20/100))+(CL585*(30/100))+(CM585*(50/100))) &gt;=5.3),5.5,
IF(AND( SUM((CK585*(20/100))+(CL585*(30/100))+(CM585*(50/100))) &lt;=5.3, SUM((CK585*(20/100))+(CL585*(30/100))+(CM585*(50/100))) &gt;=4.8),5,
IF(AND( SUM((CK585*(20/100))+(CL585*(30/100))+(CM585*(50/100))) &lt;=4.8, SUM((CK585*(20/100))+(CL585*(30/100))+(CM585*(50/100))) &gt;=4.3),4.5,
IF(AND( SUM((CK585*(20/100))+(CL585*(30/100))+(CM585*(50/100))) &lt;=4.3, SUM((CK585*(20/100))+(CL585*(30/100))+(CM585*(50/100))) &gt;=3.8),4,
IF(AND( SUM((CK585*(20/100))+(CL585*(30/100))+(CM585*(50/100))) &lt;=3.8, SUM((CK585*(20/100))+(CL585*(30/100))+(CM585*(50/100))) &gt;=3.5),3.5,0)))))))))))))</f>
        <v>0</v>
      </c>
      <c r="CO585" s="536"/>
      <c r="CP585" s="536"/>
      <c r="CQ585" s="536"/>
      <c r="CR585" s="541">
        <f t="shared" ref="CR585:CR607" si="245">IF( SUM((CO585*(20/100))+(CP585*(30/100))+(CQ585*(50/100))) &gt;=9.3,9.5,
IF(AND( SUM((CO585*(20/100))+(CP585*(30/100))+(CQ585*(50/100))) &lt;=9.3, SUM((CO585*(20/100))+(CP585*(30/100))+(CQ585*(50/100))) &gt;=8.8),9,
IF(AND( SUM((CO585*(20/100))+(CP585*(30/100))+(CQ585*(50/100))) &lt;=8.8, SUM((CO585*(20/100))+(CP585*(30/100))+(CQ585*(50/100))) &gt;=8.3),8.5,
IF(AND( SUM((CO585*(20/100))+(CP585*(30/100))+(CQ585*(50/100))) &lt;=8.3, SUM((CO585*(20/100))+(CP585*(30/100))+(CQ585*(50/100))) &gt;=7.8),8,
IF(AND( SUM((CO585*(20/100))+(CP585*(30/100))+(CQ585*(50/100))) &lt;=7.8, SUM((CO585*(20/100))+(CP585*(30/100))+(CQ585*(50/100))) &gt;=7.3),7.5,
IF(AND( SUM((CO585*(20/100))+(CP585*(30/100))+(CQ585*(50/100))) &lt;=7.3, SUM((CO585*(20/100))+(CP585*(30/100))+(CQ585*(50/100))) &gt;=6.8),7,
IF(AND( SUM((CO585*(20/100))+(CP585*(30/100))+(CQ585*(50/100))) &lt;=6.8, SUM((CO585*(20/100))+(CP585*(30/100))+(CQ585*(50/100))) &gt;=6.3),6.5,
IF(AND( SUM((CO585*(20/100))+(CP585*(30/100))+(CQ585*(50/100))) &lt;=6.3, SUM((CO585*(20/100))+(CP585*(30/100))+(CQ585*(50/100))) &gt;=5.8),6,
IF(AND( SUM((CO585*(20/100))+(CP585*(30/100))+(CQ585*(50/100))) &lt;=5.8, SUM((CO585*(20/100))+(CP585*(30/100))+(CQ585*(50/100))) &gt;=5.3),5.5,
IF(AND( SUM((CO585*(20/100))+(CP585*(30/100))+(CQ585*(50/100))) &lt;=5.3, SUM((CO585*(20/100))+(CP585*(30/100))+(CQ585*(50/100))) &gt;=4.8),5,
IF(AND( SUM((CO585*(20/100))+(CP585*(30/100))+(CQ585*(50/100))) &lt;=4.8, SUM((CO585*(20/100))+(CP585*(30/100))+(CQ585*(50/100))) &gt;=4.3),4.5,
IF(AND( SUM((CO585*(20/100))+(CP585*(30/100))+(CQ585*(50/100))) &lt;=4.3, SUM((CO585*(20/100))+(CP585*(30/100))+(CQ585*(50/100))) &gt;=3.8),4,
IF(AND( SUM((CO585*(20/100))+(CP585*(30/100))+(CQ585*(50/100))) &lt;=3.8, SUM((CO585*(20/100))+(CP585*(30/100))+(CQ585*(50/100))) &gt;=3.5),3.5,0)))))))))))))</f>
        <v>0</v>
      </c>
      <c r="CS585" s="536"/>
      <c r="CT585" s="536"/>
      <c r="CU585" s="536"/>
      <c r="CV585" s="541">
        <f t="shared" ref="CV585:CV607" si="246">IF( SUM((CS585*(20/100))+(CT585*(30/100))+(CU585*(50/100))) &gt;=9.3,9.5,
IF(AND( SUM((CS585*(20/100))+(CT585*(30/100))+(CU585*(50/100))) &lt;=9.3, SUM((CS585*(20/100))+(CT585*(30/100))+(CU585*(50/100))) &gt;=8.8),9,
IF(AND( SUM((CS585*(20/100))+(CT585*(30/100))+(CU585*(50/100))) &lt;=8.8, SUM((CS585*(20/100))+(CT585*(30/100))+(CU585*(50/100))) &gt;=8.3),8.5,
IF(AND( SUM((CS585*(20/100))+(CT585*(30/100))+(CU585*(50/100))) &lt;=8.3, SUM((CS585*(20/100))+(CT585*(30/100))+(CU585*(50/100))) &gt;=7.8),8,
IF(AND( SUM((CS585*(20/100))+(CT585*(30/100))+(CU585*(50/100))) &lt;=7.8, SUM((CS585*(20/100))+(CT585*(30/100))+(CU585*(50/100))) &gt;=7.3),7.5,
IF(AND( SUM((CS585*(20/100))+(CT585*(30/100))+(CU585*(50/100))) &lt;=7.3, SUM((CS585*(20/100))+(CT585*(30/100))+(CU585*(50/100))) &gt;=6.8),7,
IF(AND( SUM((CS585*(20/100))+(CT585*(30/100))+(CU585*(50/100))) &lt;=6.8, SUM((CS585*(20/100))+(CT585*(30/100))+(CU585*(50/100))) &gt;=6.3),6.5,
IF(AND( SUM((CS585*(20/100))+(CT585*(30/100))+(CU585*(50/100))) &lt;=6.3, SUM((CS585*(20/100))+(CT585*(30/100))+(CU585*(50/100))) &gt;=5.8),6,
IF(AND( SUM((CS585*(20/100))+(CT585*(30/100))+(CU585*(50/100))) &lt;=5.8, SUM((CS585*(20/100))+(CT585*(30/100))+(CU585*(50/100))) &gt;=5.3),5.5,
IF(AND( SUM((CS585*(20/100))+(CT585*(30/100))+(CU585*(50/100))) &lt;=5.3, SUM((CS585*(20/100))+(CT585*(30/100))+(CU585*(50/100))) &gt;=4.8),5,
IF(AND( SUM((CS585*(20/100))+(CT585*(30/100))+(CU585*(50/100))) &lt;=4.8, SUM((CS585*(20/100))+(CT585*(30/100))+(CU585*(50/100))) &gt;=4.3),4.5,
IF(AND( SUM((CS585*(20/100))+(CT585*(30/100))+(CU585*(50/100))) &lt;=4.3, SUM((CS585*(20/100))+(CT585*(30/100))+(CU585*(50/100))) &gt;=3.8),4,
IF(AND( SUM((CS585*(20/100))+(CT585*(30/100))+(CU585*(50/100))) &lt;=3.8, SUM((CS585*(20/100))+(CT585*(30/100))+(CU585*(50/100))) &gt;=3.5),3.5,0)))))))))))))</f>
        <v>0</v>
      </c>
      <c r="CW585" s="536"/>
      <c r="CX585" s="536"/>
      <c r="CY585" s="536"/>
      <c r="CZ585" s="541">
        <f t="shared" ref="CZ585:CZ607" si="247">IF( SUM((CW585*(20/100))+(CX585*(30/100))+(CY585*(50/100))) &gt;=9.3,9.5,
IF(AND( SUM((CW585*(20/100))+(CX585*(30/100))+(CY585*(50/100))) &lt;=9.3, SUM((CW585*(20/100))+(CX585*(30/100))+(CY585*(50/100))) &gt;=8.8),9,
IF(AND( SUM((CW585*(20/100))+(CX585*(30/100))+(CY585*(50/100))) &lt;=8.8, SUM((CW585*(20/100))+(CX585*(30/100))+(CY585*(50/100))) &gt;=8.3),8.5,
IF(AND( SUM((CW585*(20/100))+(CX585*(30/100))+(CY585*(50/100))) &lt;=8.3, SUM((CW585*(20/100))+(CX585*(30/100))+(CY585*(50/100))) &gt;=7.8),8,
IF(AND( SUM((CW585*(20/100))+(CX585*(30/100))+(CY585*(50/100))) &lt;=7.8, SUM((CW585*(20/100))+(CX585*(30/100))+(CY585*(50/100))) &gt;=7.3),7.5,
IF(AND( SUM((CW585*(20/100))+(CX585*(30/100))+(CY585*(50/100))) &lt;=7.3, SUM((CW585*(20/100))+(CX585*(30/100))+(CY585*(50/100))) &gt;=6.8),7,
IF(AND( SUM((CW585*(20/100))+(CX585*(30/100))+(CY585*(50/100))) &lt;=6.8, SUM((CW585*(20/100))+(CX585*(30/100))+(CY585*(50/100))) &gt;=6.3),6.5,
IF(AND( SUM((CW585*(20/100))+(CX585*(30/100))+(CY585*(50/100))) &lt;=6.3, SUM((CW585*(20/100))+(CX585*(30/100))+(CY585*(50/100))) &gt;=5.8),6,
IF(AND( SUM((CW585*(20/100))+(CX585*(30/100))+(CY585*(50/100))) &lt;=5.8, SUM((CW585*(20/100))+(CX585*(30/100))+(CY585*(50/100))) &gt;=5.3),5.5,
IF(AND( SUM((CW585*(20/100))+(CX585*(30/100))+(CY585*(50/100))) &lt;=5.3, SUM((CW585*(20/100))+(CX585*(30/100))+(CY585*(50/100))) &gt;=4.8),5,
IF(AND( SUM((CW585*(20/100))+(CX585*(30/100))+(CY585*(50/100))) &lt;=4.8, SUM((CW585*(20/100))+(CX585*(30/100))+(CY585*(50/100))) &gt;=4.3),4.5,
IF(AND( SUM((CW585*(20/100))+(CX585*(30/100))+(CY585*(50/100))) &lt;=4.3, SUM((CW585*(20/100))+(CX585*(30/100))+(CY585*(50/100))) &gt;=3.8),4,
IF(AND( SUM((CW585*(20/100))+(CX585*(30/100))+(CY585*(50/100))) &lt;=3.8, SUM((CW585*(20/100))+(CX585*(30/100))+(CY585*(50/100))) &gt;=3.5),3.5,0)))))))))))))</f>
        <v>0</v>
      </c>
      <c r="DA585" s="536"/>
      <c r="DB585" s="536"/>
      <c r="DC585" s="536"/>
      <c r="DD585" s="541">
        <f t="shared" ref="DD585:DD607" si="248">IF( SUM((DA585*(20/100))+(DB585*(30/100))+(DC585*(50/100))) &gt;=9.3,9.5,
IF(AND( SUM((DA585*(20/100))+(DB585*(30/100))+(DC585*(50/100))) &lt;=9.3, SUM((DA585*(20/100))+(DB585*(30/100))+(DC585*(50/100))) &gt;=8.8),9,
IF(AND( SUM((DA585*(20/100))+(DB585*(30/100))+(DC585*(50/100))) &lt;=8.8, SUM((DA585*(20/100))+(DB585*(30/100))+(DC585*(50/100))) &gt;=8.3),8.5,
IF(AND( SUM((DA585*(20/100))+(DB585*(30/100))+(DC585*(50/100))) &lt;=8.3, SUM((DA585*(20/100))+(DB585*(30/100))+(DC585*(50/100))) &gt;=7.8),8,
IF(AND( SUM((DA585*(20/100))+(DB585*(30/100))+(DC585*(50/100))) &lt;=7.8, SUM((DA585*(20/100))+(DB585*(30/100))+(DC585*(50/100))) &gt;=7.3),7.5,
IF(AND( SUM((DA585*(20/100))+(DB585*(30/100))+(DC585*(50/100))) &lt;=7.3, SUM((DA585*(20/100))+(DB585*(30/100))+(DC585*(50/100))) &gt;=6.8),7,
IF(AND( SUM((DA585*(20/100))+(DB585*(30/100))+(DC585*(50/100))) &lt;=6.8, SUM((DA585*(20/100))+(DB585*(30/100))+(DC585*(50/100))) &gt;=6.3),6.5,
IF(AND( SUM((DA585*(20/100))+(DB585*(30/100))+(DC585*(50/100))) &lt;=6.3, SUM((DA585*(20/100))+(DB585*(30/100))+(DC585*(50/100))) &gt;=5.8),6,
IF(AND( SUM((DA585*(20/100))+(DB585*(30/100))+(DC585*(50/100))) &lt;=5.8, SUM((DA585*(20/100))+(DB585*(30/100))+(DC585*(50/100))) &gt;=5.3),5.5,
IF(AND( SUM((DA585*(20/100))+(DB585*(30/100))+(DC585*(50/100))) &lt;=5.3, SUM((DA585*(20/100))+(DB585*(30/100))+(DC585*(50/100))) &gt;=4.8),5,
IF(AND( SUM((DA585*(20/100))+(DB585*(30/100))+(DC585*(50/100))) &lt;=4.8, SUM((DA585*(20/100))+(DB585*(30/100))+(DC585*(50/100))) &gt;=4.3),4.5,
IF(AND( SUM((DA585*(20/100))+(DB585*(30/100))+(DC585*(50/100))) &lt;=4.3, SUM((DA585*(20/100))+(DB585*(30/100))+(DC585*(50/100))) &gt;=3.8),4,
IF(AND( SUM((DA585*(20/100))+(DB585*(30/100))+(DC585*(50/100))) &lt;=3.8, SUM((DA585*(20/100))+(DB585*(30/100))+(DC585*(50/100))) &gt;=3.5),3.5,0)))))))))))))</f>
        <v>0</v>
      </c>
      <c r="DE585" s="536"/>
      <c r="DF585" s="536"/>
      <c r="DG585" s="536"/>
      <c r="DH585" s="541">
        <f t="shared" ref="DH585:DH607" si="249">IF( SUM((DE585*(20/100))+(DF585*(30/100))+(DG585*(50/100))) &gt;=9.3,9.5,
IF(AND( SUM((DE585*(20/100))+(DF585*(30/100))+(DG585*(50/100))) &lt;=9.3, SUM((DE585*(20/100))+(DF585*(30/100))+(DG585*(50/100))) &gt;=8.8),9,
IF(AND( SUM((DE585*(20/100))+(DF585*(30/100))+(DG585*(50/100))) &lt;=8.8, SUM((DE585*(20/100))+(DF585*(30/100))+(DG585*(50/100))) &gt;=8.3),8.5,
IF(AND( SUM((DE585*(20/100))+(DF585*(30/100))+(DG585*(50/100))) &lt;=8.3, SUM((DE585*(20/100))+(DF585*(30/100))+(DG585*(50/100))) &gt;=7.8),8,
IF(AND( SUM((DE585*(20/100))+(DF585*(30/100))+(DG585*(50/100))) &lt;=7.8, SUM((DE585*(20/100))+(DF585*(30/100))+(DG585*(50/100))) &gt;=7.3),7.5,
IF(AND( SUM((DE585*(20/100))+(DF585*(30/100))+(DG585*(50/100))) &lt;=7.3, SUM((DE585*(20/100))+(DF585*(30/100))+(DG585*(50/100))) &gt;=6.8),7,
IF(AND( SUM((DE585*(20/100))+(DF585*(30/100))+(DG585*(50/100))) &lt;=6.8, SUM((DE585*(20/100))+(DF585*(30/100))+(DG585*(50/100))) &gt;=6.3),6.5,
IF(AND( SUM((DE585*(20/100))+(DF585*(30/100))+(DG585*(50/100))) &lt;=6.3, SUM((DE585*(20/100))+(DF585*(30/100))+(DG585*(50/100))) &gt;=5.8),6,
IF(AND( SUM((DE585*(20/100))+(DF585*(30/100))+(DG585*(50/100))) &lt;=5.8, SUM((DE585*(20/100))+(DF585*(30/100))+(DG585*(50/100))) &gt;=5.3),5.5,
IF(AND( SUM((DE585*(20/100))+(DF585*(30/100))+(DG585*(50/100))) &lt;=5.3, SUM((DE585*(20/100))+(DF585*(30/100))+(DG585*(50/100))) &gt;=4.8),5,
IF(AND( SUM((DE585*(20/100))+(DF585*(30/100))+(DG585*(50/100))) &lt;=4.8, SUM((DE585*(20/100))+(DF585*(30/100))+(DG585*(50/100))) &gt;=4.3),4.5,
IF(AND( SUM((DE585*(20/100))+(DF585*(30/100))+(DG585*(50/100))) &lt;=4.3, SUM((DE585*(20/100))+(DF585*(30/100))+(DG585*(50/100))) &gt;=3.8),4,
IF(AND( SUM((DE585*(20/100))+(DF585*(30/100))+(DG585*(50/100))) &lt;=3.8, SUM((DE585*(20/100))+(DF585*(30/100))+(DG585*(50/100))) &gt;=3.5),3.5,0)))))))))))))</f>
        <v>0</v>
      </c>
      <c r="DI585" s="536"/>
      <c r="DJ585" s="536"/>
      <c r="DK585" s="536"/>
      <c r="DL585" s="541">
        <f t="shared" ref="DL585:DL607" si="250">IF( SUM((DI585*(20/100))+(DJ585*(30/100))+(DK585*(50/100))) &gt;=9.3,9.5,
IF(AND( SUM((DI585*(20/100))+(DJ585*(30/100))+(DK585*(50/100))) &lt;=9.3, SUM((DI585*(20/100))+(DJ585*(30/100))+(DK585*(50/100))) &gt;=8.8),9,
IF(AND( SUM((DI585*(20/100))+(DJ585*(30/100))+(DK585*(50/100))) &lt;=8.8, SUM((DI585*(20/100))+(DJ585*(30/100))+(DK585*(50/100))) &gt;=8.3),8.5,
IF(AND( SUM((DI585*(20/100))+(DJ585*(30/100))+(DK585*(50/100))) &lt;=8.3, SUM((DI585*(20/100))+(DJ585*(30/100))+(DK585*(50/100))) &gt;=7.8),8,
IF(AND( SUM((DI585*(20/100))+(DJ585*(30/100))+(DK585*(50/100))) &lt;=7.8, SUM((DI585*(20/100))+(DJ585*(30/100))+(DK585*(50/100))) &gt;=7.3),7.5,
IF(AND( SUM((DI585*(20/100))+(DJ585*(30/100))+(DK585*(50/100))) &lt;=7.3, SUM((DI585*(20/100))+(DJ585*(30/100))+(DK585*(50/100))) &gt;=6.8),7,
IF(AND( SUM((DI585*(20/100))+(DJ585*(30/100))+(DK585*(50/100))) &lt;=6.8, SUM((DI585*(20/100))+(DJ585*(30/100))+(DK585*(50/100))) &gt;=6.3),6.5,
IF(AND( SUM((DI585*(20/100))+(DJ585*(30/100))+(DK585*(50/100))) &lt;=6.3, SUM((DI585*(20/100))+(DJ585*(30/100))+(DK585*(50/100))) &gt;=5.8),6,
IF(AND( SUM((DI585*(20/100))+(DJ585*(30/100))+(DK585*(50/100))) &lt;=5.8, SUM((DI585*(20/100))+(DJ585*(30/100))+(DK585*(50/100))) &gt;=5.3),5.5,
IF(AND( SUM((DI585*(20/100))+(DJ585*(30/100))+(DK585*(50/100))) &lt;=5.3, SUM((DI585*(20/100))+(DJ585*(30/100))+(DK585*(50/100))) &gt;=4.8),5,
IF(AND( SUM((DI585*(20/100))+(DJ585*(30/100))+(DK585*(50/100))) &lt;=4.8, SUM((DI585*(20/100))+(DJ585*(30/100))+(DK585*(50/100))) &gt;=4.3),4.5,
IF(AND( SUM((DI585*(20/100))+(DJ585*(30/100))+(DK585*(50/100))) &lt;=4.3, SUM((DI585*(20/100))+(DJ585*(30/100))+(DK585*(50/100))) &gt;=3.8),4,
IF(AND( SUM((DI585*(20/100))+(DJ585*(30/100))+(DK585*(50/100))) &lt;=3.8, SUM((DI585*(20/100))+(DJ585*(30/100))+(DK585*(50/100))) &gt;=3.5),3.5,0)))))))))))))</f>
        <v>0</v>
      </c>
      <c r="DM585" s="536"/>
      <c r="DN585" s="536"/>
      <c r="DO585" s="536"/>
      <c r="DP585" s="541">
        <f>IF( SUM((DJ585*(20/100))+(DK585*(30/100))+(DL585*(50/100))) &gt;=9.3,9.5,
IF(AND( SUM((DJ585*(20/100))+(DK585*(30/100))+(DL585*(50/100))) &lt;=9.3, SUM((DJ585*(20/100))+(DK585*(30/100))+(DL585*(50/100))) &gt;=8.8),9,
IF(AND( SUM((DJ585*(20/100))+(DK585*(30/100))+(DL585*(50/100))) &lt;=8.8, SUM((DJ585*(20/100))+(DK585*(30/100))+(DL585*(50/100))) &gt;=8.3),8.5,
IF(AND( SUM((DJ585*(20/100))+(DK585*(30/100))+(DL585*(50/100))) &lt;=8.3, SUM((DJ585*(20/100))+(DK585*(30/100))+(DL585*(50/100))) &gt;=7.8),8,
IF(AND( SUM((DJ585*(20/100))+(DK585*(30/100))+(DL585*(50/100))) &lt;=7.8, SUM((DJ585*(20/100))+(DK585*(30/100))+(DL585*(50/100))) &gt;=7.3),7.5,
IF(AND( SUM((DJ585*(20/100))+(DK585*(30/100))+(DL585*(50/100))) &lt;=7.3, SUM((DJ585*(20/100))+(DK585*(30/100))+(DL585*(50/100))) &gt;=6.8),7,
IF(AND( SUM((DJ585*(20/100))+(DK585*(30/100))+(DL585*(50/100))) &lt;=6.8, SUM((DJ585*(20/100))+(DK585*(30/100))+(DL585*(50/100))) &gt;=6.3),6.5,
IF(AND( SUM((DJ585*(20/100))+(DK585*(30/100))+(DL585*(50/100))) &lt;=6.3, SUM((DJ585*(20/100))+(DK585*(30/100))+(DL585*(50/100))) &gt;=5.8),6,
IF(AND( SUM((DJ585*(20/100))+(DK585*(30/100))+(DL585*(50/100))) &lt;=5.8, SUM((DJ585*(20/100))+(DK585*(30/100))+(DL585*(50/100))) &gt;=5.3),5.5,
IF(AND( SUM((DJ585*(20/100))+(DK585*(30/100))+(DL585*(50/100))) &lt;=5.3, SUM((DJ585*(20/100))+(DK585*(30/100))+(DL585*(50/100))) &gt;=4.8),5,
IF(AND( SUM((DJ585*(20/100))+(DK585*(30/100))+(DL585*(50/100))) &lt;=4.8, SUM((DJ585*(20/100))+(DK585*(30/100))+(DL585*(50/100))) &gt;=4.3),4.5,
IF(AND( SUM((DJ585*(20/100))+(DK585*(30/100))+(DL585*(50/100))) &lt;=4.3, SUM((DJ585*(20/100))+(DK585*(30/100))+(DL585*(50/100))) &gt;=3.8),4,
IF(AND( SUM((DJ585*(20/100))+(DK585*(30/100))+(DL585*(50/100))) &lt;=3.8, SUM((DJ585*(20/100))+(DK585*(30/100))+(DL585*(50/100))) &gt;=3.5),3.5,0)))))))))))))</f>
        <v>0</v>
      </c>
      <c r="DQ585" s="541"/>
      <c r="DR585" s="541"/>
      <c r="DS585" s="541"/>
      <c r="DT585" s="541"/>
      <c r="DU585" s="541"/>
      <c r="DV585" s="541"/>
      <c r="DW585" s="541"/>
      <c r="DX585" s="541"/>
      <c r="DY585" s="541"/>
      <c r="DZ585" s="541"/>
    </row>
    <row r="586" spans="2:130" x14ac:dyDescent="0.25">
      <c r="B586" s="334">
        <v>29</v>
      </c>
      <c r="C586" s="541"/>
      <c r="D586" s="334"/>
      <c r="E586" s="334"/>
      <c r="F586" s="334"/>
      <c r="G586" s="334"/>
      <c r="H586" s="334"/>
      <c r="I586" s="334"/>
      <c r="J586" s="536"/>
      <c r="K586" s="536"/>
      <c r="L586" s="536"/>
      <c r="M586" s="536"/>
      <c r="N586" s="536"/>
      <c r="O586" s="536"/>
      <c r="P586" s="536">
        <f t="shared" si="226"/>
        <v>0</v>
      </c>
      <c r="Q586" s="536"/>
      <c r="R586" s="536"/>
      <c r="S586" s="536"/>
      <c r="T586" s="536">
        <f t="shared" si="227"/>
        <v>0</v>
      </c>
      <c r="U586" s="536"/>
      <c r="V586" s="536"/>
      <c r="W586" s="536"/>
      <c r="X586" s="536">
        <f t="shared" si="228"/>
        <v>0</v>
      </c>
      <c r="Y586" s="536"/>
      <c r="Z586" s="536"/>
      <c r="AA586" s="536"/>
      <c r="AB586" s="536">
        <f t="shared" si="229"/>
        <v>0</v>
      </c>
      <c r="AC586" s="536"/>
      <c r="AD586" s="536"/>
      <c r="AE586" s="536"/>
      <c r="AF586" s="536">
        <f t="shared" si="230"/>
        <v>0</v>
      </c>
      <c r="AG586" s="536"/>
      <c r="AH586" s="536"/>
      <c r="AI586" s="536"/>
      <c r="AJ586" s="536">
        <f t="shared" si="231"/>
        <v>0</v>
      </c>
      <c r="AK586" s="536"/>
      <c r="AL586" s="536"/>
      <c r="AM586" s="536"/>
      <c r="AN586" s="542">
        <f t="shared" si="232"/>
        <v>0</v>
      </c>
      <c r="AO586" s="536"/>
      <c r="AP586" s="536"/>
      <c r="AQ586" s="536"/>
      <c r="AR586" s="542">
        <f t="shared" si="233"/>
        <v>0</v>
      </c>
      <c r="AS586" s="536"/>
      <c r="AT586" s="536"/>
      <c r="AU586" s="536"/>
      <c r="AV586" s="542">
        <f t="shared" si="234"/>
        <v>0</v>
      </c>
      <c r="AW586" s="536"/>
      <c r="AX586" s="536"/>
      <c r="AY586" s="536"/>
      <c r="AZ586" s="542">
        <f t="shared" si="235"/>
        <v>0</v>
      </c>
      <c r="BA586" s="536"/>
      <c r="BB586" s="536"/>
      <c r="BC586" s="536"/>
      <c r="BD586" s="542">
        <f t="shared" si="236"/>
        <v>0</v>
      </c>
      <c r="BE586" s="536"/>
      <c r="BF586" s="536"/>
      <c r="BG586" s="536"/>
      <c r="BH586" s="542">
        <f t="shared" si="237"/>
        <v>0</v>
      </c>
      <c r="BI586" s="536"/>
      <c r="BJ586" s="536"/>
      <c r="BK586" s="536"/>
      <c r="BL586" s="542">
        <f t="shared" si="238"/>
        <v>0</v>
      </c>
      <c r="BM586" s="536"/>
      <c r="BN586" s="536"/>
      <c r="BO586" s="536"/>
      <c r="BP586" s="542">
        <f t="shared" si="239"/>
        <v>0</v>
      </c>
      <c r="BQ586" s="536"/>
      <c r="BR586" s="536"/>
      <c r="BS586" s="536"/>
      <c r="BT586" s="542">
        <f t="shared" si="240"/>
        <v>0</v>
      </c>
      <c r="BU586" s="536"/>
      <c r="BV586" s="536"/>
      <c r="BW586" s="536"/>
      <c r="BX586" s="542">
        <f t="shared" si="241"/>
        <v>0</v>
      </c>
      <c r="BY586" s="536"/>
      <c r="BZ586" s="536"/>
      <c r="CA586" s="536"/>
      <c r="CB586" s="542">
        <v>0</v>
      </c>
      <c r="CC586" s="536"/>
      <c r="CD586" s="536"/>
      <c r="CE586" s="536"/>
      <c r="CF586" s="541">
        <f t="shared" si="242"/>
        <v>0</v>
      </c>
      <c r="CG586" s="536"/>
      <c r="CH586" s="536"/>
      <c r="CI586" s="536"/>
      <c r="CJ586" s="541">
        <f t="shared" si="243"/>
        <v>0</v>
      </c>
      <c r="CK586" s="536"/>
      <c r="CL586" s="536"/>
      <c r="CM586" s="536"/>
      <c r="CN586" s="541">
        <f t="shared" si="244"/>
        <v>0</v>
      </c>
      <c r="CO586" s="536"/>
      <c r="CP586" s="536"/>
      <c r="CQ586" s="536"/>
      <c r="CR586" s="541">
        <f t="shared" si="245"/>
        <v>0</v>
      </c>
      <c r="CS586" s="536"/>
      <c r="CT586" s="536"/>
      <c r="CU586" s="536"/>
      <c r="CV586" s="541">
        <f t="shared" si="246"/>
        <v>0</v>
      </c>
      <c r="CW586" s="536"/>
      <c r="CX586" s="536"/>
      <c r="CY586" s="536"/>
      <c r="CZ586" s="541">
        <f t="shared" si="247"/>
        <v>0</v>
      </c>
      <c r="DA586" s="536"/>
      <c r="DB586" s="536"/>
      <c r="DC586" s="536"/>
      <c r="DD586" s="541">
        <f t="shared" si="248"/>
        <v>0</v>
      </c>
      <c r="DE586" s="536"/>
      <c r="DF586" s="536"/>
      <c r="DG586" s="536"/>
      <c r="DH586" s="541">
        <f t="shared" si="249"/>
        <v>0</v>
      </c>
      <c r="DI586" s="536"/>
      <c r="DJ586" s="536"/>
      <c r="DK586" s="536"/>
      <c r="DL586" s="541">
        <f t="shared" si="250"/>
        <v>0</v>
      </c>
      <c r="DM586" s="536"/>
      <c r="DN586" s="536"/>
      <c r="DO586" s="536"/>
      <c r="DP586" s="541">
        <f>IF( SUM((DJ586*(20/100))+(DK586*(30/100))+(DL586*(50/100))) &gt;=9.3,9.5,
IF(AND( SUM((DJ586*(20/100))+(DK586*(30/100))+(DL586*(50/100))) &lt;=9.3, SUM((DJ586*(20/100))+(DK586*(30/100))+(DL586*(50/100))) &gt;=8.8),9,
IF(AND( SUM((DJ586*(20/100))+(DK586*(30/100))+(DL586*(50/100))) &lt;=8.8, SUM((DJ586*(20/100))+(DK586*(30/100))+(DL586*(50/100))) &gt;=8.3),8.5,
IF(AND( SUM((DJ586*(20/100))+(DK586*(30/100))+(DL586*(50/100))) &lt;=8.3, SUM((DJ586*(20/100))+(DK586*(30/100))+(DL586*(50/100))) &gt;=7.8),8,
IF(AND( SUM((DJ586*(20/100))+(DK586*(30/100))+(DL586*(50/100))) &lt;=7.8, SUM((DJ586*(20/100))+(DK586*(30/100))+(DL586*(50/100))) &gt;=7.3),7.5,
IF(AND( SUM((DJ586*(20/100))+(DK586*(30/100))+(DL586*(50/100))) &lt;=7.3, SUM((DJ586*(20/100))+(DK586*(30/100))+(DL586*(50/100))) &gt;=6.8),7,
IF(AND( SUM((DJ586*(20/100))+(DK586*(30/100))+(DL586*(50/100))) &lt;=6.8, SUM((DJ586*(20/100))+(DK586*(30/100))+(DL586*(50/100))) &gt;=6.3),6.5,
IF(AND( SUM((DJ586*(20/100))+(DK586*(30/100))+(DL586*(50/100))) &lt;=6.3, SUM((DJ586*(20/100))+(DK586*(30/100))+(DL586*(50/100))) &gt;=5.8),6,
IF(AND( SUM((DJ586*(20/100))+(DK586*(30/100))+(DL586*(50/100))) &lt;=5.8, SUM((DJ586*(20/100))+(DK586*(30/100))+(DL586*(50/100))) &gt;=5.3),5.5,
IF(AND( SUM((DJ586*(20/100))+(DK586*(30/100))+(DL586*(50/100))) &lt;=5.3, SUM((DJ586*(20/100))+(DK586*(30/100))+(DL586*(50/100))) &gt;=4.8),5,
IF(AND( SUM((DJ586*(20/100))+(DK586*(30/100))+(DL586*(50/100))) &lt;=4.8, SUM((DJ586*(20/100))+(DK586*(30/100))+(DL586*(50/100))) &gt;=4.3),4.5,
IF(AND( SUM((DJ586*(20/100))+(DK586*(30/100))+(DL586*(50/100))) &lt;=4.3, SUM((DJ586*(20/100))+(DK586*(30/100))+(DL586*(50/100))) &gt;=3.8),4,
IF(AND( SUM((DJ586*(20/100))+(DK586*(30/100))+(DL586*(50/100))) &lt;=3.8, SUM((DJ586*(20/100))+(DK586*(30/100))+(DL586*(50/100))) &gt;=3.5),3.5,0)))))))))))))</f>
        <v>0</v>
      </c>
      <c r="DQ586" s="541"/>
      <c r="DR586" s="541"/>
      <c r="DS586" s="541"/>
      <c r="DT586" s="541"/>
      <c r="DU586" s="541"/>
      <c r="DV586" s="541"/>
      <c r="DW586" s="541"/>
      <c r="DX586" s="541"/>
      <c r="DY586" s="541"/>
      <c r="DZ586" s="541"/>
    </row>
    <row r="587" spans="2:130" x14ac:dyDescent="0.25">
      <c r="B587" s="334">
        <v>30</v>
      </c>
      <c r="C587" s="541"/>
      <c r="D587" s="334"/>
      <c r="E587" s="334"/>
      <c r="F587" s="334"/>
      <c r="G587" s="334"/>
      <c r="H587" s="334"/>
      <c r="I587" s="334"/>
      <c r="J587" s="536"/>
      <c r="K587" s="536"/>
      <c r="L587" s="536"/>
      <c r="M587" s="536"/>
      <c r="N587" s="536"/>
      <c r="O587" s="536"/>
      <c r="P587" s="536">
        <f t="shared" si="226"/>
        <v>0</v>
      </c>
      <c r="Q587" s="536"/>
      <c r="R587" s="536"/>
      <c r="S587" s="536"/>
      <c r="T587" s="536">
        <f t="shared" si="227"/>
        <v>0</v>
      </c>
      <c r="U587" s="536"/>
      <c r="V587" s="536"/>
      <c r="W587" s="536"/>
      <c r="X587" s="536">
        <f t="shared" si="228"/>
        <v>0</v>
      </c>
      <c r="Y587" s="536"/>
      <c r="Z587" s="536"/>
      <c r="AA587" s="536"/>
      <c r="AB587" s="536">
        <f t="shared" si="229"/>
        <v>0</v>
      </c>
      <c r="AC587" s="536"/>
      <c r="AD587" s="536"/>
      <c r="AE587" s="536"/>
      <c r="AF587" s="536">
        <f t="shared" si="230"/>
        <v>0</v>
      </c>
      <c r="AG587" s="536"/>
      <c r="AH587" s="536"/>
      <c r="AI587" s="536"/>
      <c r="AJ587" s="536">
        <f t="shared" si="231"/>
        <v>0</v>
      </c>
      <c r="AK587" s="536"/>
      <c r="AL587" s="536"/>
      <c r="AM587" s="536"/>
      <c r="AN587" s="542">
        <f t="shared" si="232"/>
        <v>0</v>
      </c>
      <c r="AO587" s="536"/>
      <c r="AP587" s="536"/>
      <c r="AQ587" s="536"/>
      <c r="AR587" s="542">
        <f t="shared" si="233"/>
        <v>0</v>
      </c>
      <c r="AS587" s="536"/>
      <c r="AT587" s="536"/>
      <c r="AU587" s="536"/>
      <c r="AV587" s="542">
        <f t="shared" si="234"/>
        <v>0</v>
      </c>
      <c r="AW587" s="536"/>
      <c r="AX587" s="536"/>
      <c r="AY587" s="536"/>
      <c r="AZ587" s="542">
        <f t="shared" si="235"/>
        <v>0</v>
      </c>
      <c r="BA587" s="536"/>
      <c r="BB587" s="536"/>
      <c r="BC587" s="536"/>
      <c r="BD587" s="542">
        <f t="shared" si="236"/>
        <v>0</v>
      </c>
      <c r="BE587" s="536"/>
      <c r="BF587" s="536"/>
      <c r="BG587" s="536"/>
      <c r="BH587" s="542">
        <f t="shared" si="237"/>
        <v>0</v>
      </c>
      <c r="BI587" s="536"/>
      <c r="BJ587" s="536"/>
      <c r="BK587" s="536"/>
      <c r="BL587" s="542">
        <f t="shared" si="238"/>
        <v>0</v>
      </c>
      <c r="BM587" s="536"/>
      <c r="BN587" s="536"/>
      <c r="BO587" s="536"/>
      <c r="BP587" s="542">
        <f t="shared" si="239"/>
        <v>0</v>
      </c>
      <c r="BQ587" s="536"/>
      <c r="BR587" s="536"/>
      <c r="BS587" s="536"/>
      <c r="BT587" s="542">
        <f t="shared" si="240"/>
        <v>0</v>
      </c>
      <c r="BU587" s="536"/>
      <c r="BV587" s="536"/>
      <c r="BW587" s="536"/>
      <c r="BX587" s="542">
        <f t="shared" si="241"/>
        <v>0</v>
      </c>
      <c r="BY587" s="536"/>
      <c r="BZ587" s="536"/>
      <c r="CA587" s="536"/>
      <c r="CB587" s="542">
        <v>0</v>
      </c>
      <c r="CC587" s="536"/>
      <c r="CD587" s="536"/>
      <c r="CE587" s="536"/>
      <c r="CF587" s="541">
        <f t="shared" si="242"/>
        <v>0</v>
      </c>
      <c r="CG587" s="536"/>
      <c r="CH587" s="536"/>
      <c r="CI587" s="536"/>
      <c r="CJ587" s="541">
        <f t="shared" si="243"/>
        <v>0</v>
      </c>
      <c r="CK587" s="536"/>
      <c r="CL587" s="536"/>
      <c r="CM587" s="536"/>
      <c r="CN587" s="541">
        <f t="shared" si="244"/>
        <v>0</v>
      </c>
      <c r="CO587" s="536"/>
      <c r="CP587" s="536"/>
      <c r="CQ587" s="536"/>
      <c r="CR587" s="541">
        <f t="shared" si="245"/>
        <v>0</v>
      </c>
      <c r="CS587" s="536"/>
      <c r="CT587" s="536"/>
      <c r="CU587" s="536"/>
      <c r="CV587" s="541">
        <f t="shared" si="246"/>
        <v>0</v>
      </c>
      <c r="CW587" s="536"/>
      <c r="CX587" s="536"/>
      <c r="CY587" s="536"/>
      <c r="CZ587" s="541">
        <f t="shared" si="247"/>
        <v>0</v>
      </c>
      <c r="DA587" s="536"/>
      <c r="DB587" s="536"/>
      <c r="DC587" s="536"/>
      <c r="DD587" s="541">
        <f t="shared" si="248"/>
        <v>0</v>
      </c>
      <c r="DE587" s="536"/>
      <c r="DF587" s="536"/>
      <c r="DG587" s="536"/>
      <c r="DH587" s="541">
        <f t="shared" si="249"/>
        <v>0</v>
      </c>
      <c r="DI587" s="536"/>
      <c r="DJ587" s="536"/>
      <c r="DK587" s="536"/>
      <c r="DL587" s="541">
        <f t="shared" si="250"/>
        <v>0</v>
      </c>
      <c r="DM587" s="536"/>
      <c r="DN587" s="536"/>
      <c r="DO587" s="536"/>
      <c r="DP587" s="541">
        <f>IF( SUM((DJ587*(20/100))+(DK587*(30/100))+(DL587*(50/100))) &gt;=9.3,9.5,
IF(AND( SUM((DJ587*(20/100))+(DK587*(30/100))+(DL587*(50/100))) &lt;=9.3, SUM((DJ587*(20/100))+(DK587*(30/100))+(DL587*(50/100))) &gt;=8.8),9,
IF(AND( SUM((DJ587*(20/100))+(DK587*(30/100))+(DL587*(50/100))) &lt;=8.8, SUM((DJ587*(20/100))+(DK587*(30/100))+(DL587*(50/100))) &gt;=8.3),8.5,
IF(AND( SUM((DJ587*(20/100))+(DK587*(30/100))+(DL587*(50/100))) &lt;=8.3, SUM((DJ587*(20/100))+(DK587*(30/100))+(DL587*(50/100))) &gt;=7.8),8,
IF(AND( SUM((DJ587*(20/100))+(DK587*(30/100))+(DL587*(50/100))) &lt;=7.8, SUM((DJ587*(20/100))+(DK587*(30/100))+(DL587*(50/100))) &gt;=7.3),7.5,
IF(AND( SUM((DJ587*(20/100))+(DK587*(30/100))+(DL587*(50/100))) &lt;=7.3, SUM((DJ587*(20/100))+(DK587*(30/100))+(DL587*(50/100))) &gt;=6.8),7,
IF(AND( SUM((DJ587*(20/100))+(DK587*(30/100))+(DL587*(50/100))) &lt;=6.8, SUM((DJ587*(20/100))+(DK587*(30/100))+(DL587*(50/100))) &gt;=6.3),6.5,
IF(AND( SUM((DJ587*(20/100))+(DK587*(30/100))+(DL587*(50/100))) &lt;=6.3, SUM((DJ587*(20/100))+(DK587*(30/100))+(DL587*(50/100))) &gt;=5.8),6,
IF(AND( SUM((DJ587*(20/100))+(DK587*(30/100))+(DL587*(50/100))) &lt;=5.8, SUM((DJ587*(20/100))+(DK587*(30/100))+(DL587*(50/100))) &gt;=5.3),5.5,
IF(AND( SUM((DJ587*(20/100))+(DK587*(30/100))+(DL587*(50/100))) &lt;=5.3, SUM((DJ587*(20/100))+(DK587*(30/100))+(DL587*(50/100))) &gt;=4.8),5,
IF(AND( SUM((DJ587*(20/100))+(DK587*(30/100))+(DL587*(50/100))) &lt;=4.8, SUM((DJ587*(20/100))+(DK587*(30/100))+(DL587*(50/100))) &gt;=4.3),4.5,
IF(AND( SUM((DJ587*(20/100))+(DK587*(30/100))+(DL587*(50/100))) &lt;=4.3, SUM((DJ587*(20/100))+(DK587*(30/100))+(DL587*(50/100))) &gt;=3.8),4,
IF(AND( SUM((DJ587*(20/100))+(DK587*(30/100))+(DL587*(50/100))) &lt;=3.8, SUM((DJ587*(20/100))+(DK587*(30/100))+(DL587*(50/100))) &gt;=3.5),3.5,0)))))))))))))</f>
        <v>0</v>
      </c>
      <c r="DQ587" s="541"/>
      <c r="DR587" s="541"/>
      <c r="DS587" s="541"/>
      <c r="DT587" s="541"/>
      <c r="DU587" s="541"/>
      <c r="DV587" s="541"/>
      <c r="DW587" s="541"/>
      <c r="DX587" s="541"/>
      <c r="DY587" s="541"/>
      <c r="DZ587" s="541"/>
    </row>
    <row r="588" spans="2:130" x14ac:dyDescent="0.25">
      <c r="B588" s="334">
        <v>31</v>
      </c>
      <c r="C588" s="541"/>
      <c r="D588" s="334"/>
      <c r="E588" s="334"/>
      <c r="F588" s="334"/>
      <c r="G588" s="334"/>
      <c r="H588" s="334"/>
      <c r="I588" s="334"/>
      <c r="J588" s="536"/>
      <c r="K588" s="536"/>
      <c r="L588" s="536"/>
      <c r="M588" s="536"/>
      <c r="N588" s="536"/>
      <c r="O588" s="536"/>
      <c r="P588" s="536">
        <f t="shared" si="226"/>
        <v>0</v>
      </c>
      <c r="Q588" s="536"/>
      <c r="R588" s="536"/>
      <c r="S588" s="536"/>
      <c r="T588" s="536">
        <f t="shared" si="227"/>
        <v>0</v>
      </c>
      <c r="U588" s="536"/>
      <c r="V588" s="536"/>
      <c r="W588" s="536"/>
      <c r="X588" s="536">
        <f t="shared" si="228"/>
        <v>0</v>
      </c>
      <c r="Y588" s="536"/>
      <c r="Z588" s="536"/>
      <c r="AA588" s="536"/>
      <c r="AB588" s="536">
        <f t="shared" si="229"/>
        <v>0</v>
      </c>
      <c r="AC588" s="536"/>
      <c r="AD588" s="536"/>
      <c r="AE588" s="536"/>
      <c r="AF588" s="536">
        <f t="shared" si="230"/>
        <v>0</v>
      </c>
      <c r="AG588" s="536"/>
      <c r="AH588" s="536"/>
      <c r="AI588" s="536"/>
      <c r="AJ588" s="536">
        <f t="shared" si="231"/>
        <v>0</v>
      </c>
      <c r="AK588" s="536"/>
      <c r="AL588" s="536"/>
      <c r="AM588" s="536"/>
      <c r="AN588" s="542">
        <f t="shared" si="232"/>
        <v>0</v>
      </c>
      <c r="AO588" s="536"/>
      <c r="AP588" s="536"/>
      <c r="AQ588" s="536"/>
      <c r="AR588" s="542">
        <f t="shared" si="233"/>
        <v>0</v>
      </c>
      <c r="AS588" s="536"/>
      <c r="AT588" s="536"/>
      <c r="AU588" s="536"/>
      <c r="AV588" s="542">
        <f t="shared" si="234"/>
        <v>0</v>
      </c>
      <c r="AW588" s="536"/>
      <c r="AX588" s="536"/>
      <c r="AY588" s="536"/>
      <c r="AZ588" s="542">
        <f t="shared" si="235"/>
        <v>0</v>
      </c>
      <c r="BA588" s="536"/>
      <c r="BB588" s="536"/>
      <c r="BC588" s="536"/>
      <c r="BD588" s="542">
        <f t="shared" si="236"/>
        <v>0</v>
      </c>
      <c r="BE588" s="536"/>
      <c r="BF588" s="536"/>
      <c r="BG588" s="536"/>
      <c r="BH588" s="542">
        <f t="shared" si="237"/>
        <v>0</v>
      </c>
      <c r="BI588" s="536"/>
      <c r="BJ588" s="536"/>
      <c r="BK588" s="536"/>
      <c r="BL588" s="542">
        <f t="shared" si="238"/>
        <v>0</v>
      </c>
      <c r="BM588" s="536"/>
      <c r="BN588" s="536"/>
      <c r="BO588" s="536"/>
      <c r="BP588" s="542">
        <f t="shared" si="239"/>
        <v>0</v>
      </c>
      <c r="BQ588" s="536"/>
      <c r="BR588" s="536"/>
      <c r="BS588" s="536"/>
      <c r="BT588" s="542">
        <f t="shared" si="240"/>
        <v>0</v>
      </c>
      <c r="BU588" s="536"/>
      <c r="BV588" s="536"/>
      <c r="BW588" s="536"/>
      <c r="BX588" s="542">
        <f t="shared" si="241"/>
        <v>0</v>
      </c>
      <c r="BY588" s="536"/>
      <c r="BZ588" s="536"/>
      <c r="CA588" s="536"/>
      <c r="CB588" s="542">
        <v>0</v>
      </c>
      <c r="CC588" s="536"/>
      <c r="CD588" s="536"/>
      <c r="CE588" s="536"/>
      <c r="CF588" s="541">
        <f t="shared" si="242"/>
        <v>0</v>
      </c>
      <c r="CG588" s="536"/>
      <c r="CH588" s="536"/>
      <c r="CI588" s="536"/>
      <c r="CJ588" s="541">
        <f t="shared" si="243"/>
        <v>0</v>
      </c>
      <c r="CK588" s="536"/>
      <c r="CL588" s="536"/>
      <c r="CM588" s="536"/>
      <c r="CN588" s="541">
        <f t="shared" si="244"/>
        <v>0</v>
      </c>
      <c r="CO588" s="536"/>
      <c r="CP588" s="536"/>
      <c r="CQ588" s="536"/>
      <c r="CR588" s="541">
        <f t="shared" si="245"/>
        <v>0</v>
      </c>
      <c r="CS588" s="536"/>
      <c r="CT588" s="536"/>
      <c r="CU588" s="536"/>
      <c r="CV588" s="541">
        <f t="shared" si="246"/>
        <v>0</v>
      </c>
      <c r="CW588" s="536"/>
      <c r="CX588" s="536"/>
      <c r="CY588" s="536"/>
      <c r="CZ588" s="541">
        <f t="shared" si="247"/>
        <v>0</v>
      </c>
      <c r="DA588" s="536"/>
      <c r="DB588" s="536"/>
      <c r="DC588" s="536"/>
      <c r="DD588" s="541">
        <f t="shared" si="248"/>
        <v>0</v>
      </c>
      <c r="DE588" s="536"/>
      <c r="DF588" s="536"/>
      <c r="DG588" s="536"/>
      <c r="DH588" s="541">
        <f t="shared" si="249"/>
        <v>0</v>
      </c>
      <c r="DI588" s="536"/>
      <c r="DJ588" s="536"/>
      <c r="DK588" s="536"/>
      <c r="DL588" s="541">
        <f t="shared" si="250"/>
        <v>0</v>
      </c>
      <c r="DM588" s="536"/>
      <c r="DN588" s="536"/>
      <c r="DO588" s="536"/>
      <c r="DP588" s="541">
        <f>IF( SUM((DJ588*(20/100))+(DK588*(30/100))+(DL588*(50/100))) &gt;=9.3,9.5,
IF(AND( SUM((DJ588*(20/100))+(DK588*(30/100))+(DL588*(50/100))) &lt;=9.3, SUM((DJ588*(20/100))+(DK588*(30/100))+(DL588*(50/100))) &gt;=8.8),9,
IF(AND( SUM((DJ588*(20/100))+(DK588*(30/100))+(DL588*(50/100))) &lt;=8.8, SUM((DJ588*(20/100))+(DK588*(30/100))+(DL588*(50/100))) &gt;=8.3),8.5,
IF(AND( SUM((DJ588*(20/100))+(DK588*(30/100))+(DL588*(50/100))) &lt;=8.3, SUM((DJ588*(20/100))+(DK588*(30/100))+(DL588*(50/100))) &gt;=7.8),8,
IF(AND( SUM((DJ588*(20/100))+(DK588*(30/100))+(DL588*(50/100))) &lt;=7.8, SUM((DJ588*(20/100))+(DK588*(30/100))+(DL588*(50/100))) &gt;=7.3),7.5,
IF(AND( SUM((DJ588*(20/100))+(DK588*(30/100))+(DL588*(50/100))) &lt;=7.3, SUM((DJ588*(20/100))+(DK588*(30/100))+(DL588*(50/100))) &gt;=6.8),7,
IF(AND( SUM((DJ588*(20/100))+(DK588*(30/100))+(DL588*(50/100))) &lt;=6.8, SUM((DJ588*(20/100))+(DK588*(30/100))+(DL588*(50/100))) &gt;=6.3),6.5,
IF(AND( SUM((DJ588*(20/100))+(DK588*(30/100))+(DL588*(50/100))) &lt;=6.3, SUM((DJ588*(20/100))+(DK588*(30/100))+(DL588*(50/100))) &gt;=5.8),6,
IF(AND( SUM((DJ588*(20/100))+(DK588*(30/100))+(DL588*(50/100))) &lt;=5.8, SUM((DJ588*(20/100))+(DK588*(30/100))+(DL588*(50/100))) &gt;=5.3),5.5,
IF(AND( SUM((DJ588*(20/100))+(DK588*(30/100))+(DL588*(50/100))) &lt;=5.3, SUM((DJ588*(20/100))+(DK588*(30/100))+(DL588*(50/100))) &gt;=4.8),5,
IF(AND( SUM((DJ588*(20/100))+(DK588*(30/100))+(DL588*(50/100))) &lt;=4.8, SUM((DJ588*(20/100))+(DK588*(30/100))+(DL588*(50/100))) &gt;=4.3),4.5,
IF(AND( SUM((DJ588*(20/100))+(DK588*(30/100))+(DL588*(50/100))) &lt;=4.3, SUM((DJ588*(20/100))+(DK588*(30/100))+(DL588*(50/100))) &gt;=3.8),4,
IF(AND( SUM((DJ588*(20/100))+(DK588*(30/100))+(DL588*(50/100))) &lt;=3.8, SUM((DJ588*(20/100))+(DK588*(30/100))+(DL588*(50/100))) &gt;=3.5),3.5,0)))))))))))))</f>
        <v>0</v>
      </c>
      <c r="DQ588" s="541"/>
      <c r="DR588" s="541"/>
      <c r="DS588" s="541"/>
      <c r="DT588" s="541"/>
      <c r="DU588" s="541"/>
      <c r="DV588" s="541"/>
      <c r="DW588" s="541"/>
      <c r="DX588" s="541"/>
      <c r="DY588" s="541"/>
      <c r="DZ588" s="541"/>
    </row>
    <row r="589" spans="2:130" x14ac:dyDescent="0.25">
      <c r="B589" s="334">
        <v>32</v>
      </c>
      <c r="C589" s="541"/>
      <c r="D589" s="334"/>
      <c r="E589" s="334"/>
      <c r="F589" s="334"/>
      <c r="G589" s="334"/>
      <c r="H589" s="334"/>
      <c r="I589" s="334"/>
      <c r="J589" s="536"/>
      <c r="K589" s="536"/>
      <c r="L589" s="536"/>
      <c r="M589" s="536"/>
      <c r="N589" s="536"/>
      <c r="O589" s="536"/>
      <c r="P589" s="536">
        <f t="shared" si="226"/>
        <v>0</v>
      </c>
      <c r="Q589" s="536"/>
      <c r="R589" s="536"/>
      <c r="S589" s="536"/>
      <c r="T589" s="536">
        <f t="shared" si="227"/>
        <v>0</v>
      </c>
      <c r="U589" s="536"/>
      <c r="V589" s="536"/>
      <c r="W589" s="536"/>
      <c r="X589" s="536">
        <f t="shared" si="228"/>
        <v>0</v>
      </c>
      <c r="Y589" s="536"/>
      <c r="Z589" s="536"/>
      <c r="AA589" s="536"/>
      <c r="AB589" s="536">
        <f t="shared" si="229"/>
        <v>0</v>
      </c>
      <c r="AC589" s="536"/>
      <c r="AD589" s="536"/>
      <c r="AE589" s="536"/>
      <c r="AF589" s="536">
        <f t="shared" si="230"/>
        <v>0</v>
      </c>
      <c r="AG589" s="536"/>
      <c r="AH589" s="536"/>
      <c r="AI589" s="536"/>
      <c r="AJ589" s="536">
        <f t="shared" si="231"/>
        <v>0</v>
      </c>
      <c r="AK589" s="536"/>
      <c r="AL589" s="536"/>
      <c r="AM589" s="536"/>
      <c r="AN589" s="542">
        <f t="shared" si="232"/>
        <v>0</v>
      </c>
      <c r="AO589" s="536"/>
      <c r="AP589" s="536"/>
      <c r="AQ589" s="536"/>
      <c r="AR589" s="542">
        <f t="shared" si="233"/>
        <v>0</v>
      </c>
      <c r="AS589" s="536"/>
      <c r="AT589" s="536"/>
      <c r="AU589" s="536"/>
      <c r="AV589" s="542">
        <f t="shared" si="234"/>
        <v>0</v>
      </c>
      <c r="AW589" s="536"/>
      <c r="AX589" s="536"/>
      <c r="AY589" s="536"/>
      <c r="AZ589" s="542">
        <f t="shared" si="235"/>
        <v>0</v>
      </c>
      <c r="BA589" s="536"/>
      <c r="BB589" s="536"/>
      <c r="BC589" s="536"/>
      <c r="BD589" s="542">
        <f t="shared" si="236"/>
        <v>0</v>
      </c>
      <c r="BE589" s="536"/>
      <c r="BF589" s="536"/>
      <c r="BG589" s="536"/>
      <c r="BH589" s="542">
        <f t="shared" si="237"/>
        <v>0</v>
      </c>
      <c r="BI589" s="536"/>
      <c r="BJ589" s="536"/>
      <c r="BK589" s="536"/>
      <c r="BL589" s="542">
        <f t="shared" si="238"/>
        <v>0</v>
      </c>
      <c r="BM589" s="536"/>
      <c r="BN589" s="536"/>
      <c r="BO589" s="536"/>
      <c r="BP589" s="542">
        <f t="shared" si="239"/>
        <v>0</v>
      </c>
      <c r="BQ589" s="536"/>
      <c r="BR589" s="536"/>
      <c r="BS589" s="536"/>
      <c r="BT589" s="542">
        <f t="shared" si="240"/>
        <v>0</v>
      </c>
      <c r="BU589" s="536"/>
      <c r="BV589" s="536"/>
      <c r="BW589" s="536"/>
      <c r="BX589" s="542">
        <f t="shared" si="241"/>
        <v>0</v>
      </c>
      <c r="BY589" s="536"/>
      <c r="BZ589" s="536"/>
      <c r="CA589" s="536"/>
      <c r="CB589" s="542">
        <v>0</v>
      </c>
      <c r="CC589" s="536"/>
      <c r="CD589" s="536"/>
      <c r="CE589" s="536"/>
      <c r="CF589" s="541">
        <f t="shared" si="242"/>
        <v>0</v>
      </c>
      <c r="CG589" s="536"/>
      <c r="CH589" s="536"/>
      <c r="CI589" s="536"/>
      <c r="CJ589" s="541">
        <f t="shared" si="243"/>
        <v>0</v>
      </c>
      <c r="CK589" s="536"/>
      <c r="CL589" s="536"/>
      <c r="CM589" s="536"/>
      <c r="CN589" s="541">
        <f t="shared" si="244"/>
        <v>0</v>
      </c>
      <c r="CO589" s="536"/>
      <c r="CP589" s="536"/>
      <c r="CQ589" s="536"/>
      <c r="CR589" s="541">
        <f t="shared" si="245"/>
        <v>0</v>
      </c>
      <c r="CS589" s="536"/>
      <c r="CT589" s="536"/>
      <c r="CU589" s="536"/>
      <c r="CV589" s="541">
        <f t="shared" si="246"/>
        <v>0</v>
      </c>
      <c r="CW589" s="536"/>
      <c r="CX589" s="536"/>
      <c r="CY589" s="536"/>
      <c r="CZ589" s="541">
        <f t="shared" si="247"/>
        <v>0</v>
      </c>
      <c r="DA589" s="536"/>
      <c r="DB589" s="536"/>
      <c r="DC589" s="536"/>
      <c r="DD589" s="541">
        <f t="shared" si="248"/>
        <v>0</v>
      </c>
      <c r="DE589" s="536"/>
      <c r="DF589" s="536"/>
      <c r="DG589" s="536"/>
      <c r="DH589" s="541">
        <f t="shared" si="249"/>
        <v>0</v>
      </c>
      <c r="DI589" s="536"/>
      <c r="DJ589" s="536"/>
      <c r="DK589" s="536"/>
      <c r="DL589" s="541">
        <f t="shared" si="250"/>
        <v>0</v>
      </c>
      <c r="DM589" s="536"/>
      <c r="DN589" s="536"/>
      <c r="DO589" s="536"/>
      <c r="DP589" s="541">
        <f>IF( SUM((DJ589*(20/100))+(DK589*(30/100))+(DL589*(50/100))) &gt;=9.3,9.5,
IF(AND( SUM((DJ589*(20/100))+(DK589*(30/100))+(DL589*(50/100))) &lt;=9.3, SUM((DJ589*(20/100))+(DK589*(30/100))+(DL589*(50/100))) &gt;=8.8),9,
IF(AND( SUM((DJ589*(20/100))+(DK589*(30/100))+(DL589*(50/100))) &lt;=8.8, SUM((DJ589*(20/100))+(DK589*(30/100))+(DL589*(50/100))) &gt;=8.3),8.5,
IF(AND( SUM((DJ589*(20/100))+(DK589*(30/100))+(DL589*(50/100))) &lt;=8.3, SUM((DJ589*(20/100))+(DK589*(30/100))+(DL589*(50/100))) &gt;=7.8),8,
IF(AND( SUM((DJ589*(20/100))+(DK589*(30/100))+(DL589*(50/100))) &lt;=7.8, SUM((DJ589*(20/100))+(DK589*(30/100))+(DL589*(50/100))) &gt;=7.3),7.5,
IF(AND( SUM((DJ589*(20/100))+(DK589*(30/100))+(DL589*(50/100))) &lt;=7.3, SUM((DJ589*(20/100))+(DK589*(30/100))+(DL589*(50/100))) &gt;=6.8),7,
IF(AND( SUM((DJ589*(20/100))+(DK589*(30/100))+(DL589*(50/100))) &lt;=6.8, SUM((DJ589*(20/100))+(DK589*(30/100))+(DL589*(50/100))) &gt;=6.3),6.5,
IF(AND( SUM((DJ589*(20/100))+(DK589*(30/100))+(DL589*(50/100))) &lt;=6.3, SUM((DJ589*(20/100))+(DK589*(30/100))+(DL589*(50/100))) &gt;=5.8),6,
IF(AND( SUM((DJ589*(20/100))+(DK589*(30/100))+(DL589*(50/100))) &lt;=5.8, SUM((DJ589*(20/100))+(DK589*(30/100))+(DL589*(50/100))) &gt;=5.3),5.5,
IF(AND( SUM((DJ589*(20/100))+(DK589*(30/100))+(DL589*(50/100))) &lt;=5.3, SUM((DJ589*(20/100))+(DK589*(30/100))+(DL589*(50/100))) &gt;=4.8),5,
IF(AND( SUM((DJ589*(20/100))+(DK589*(30/100))+(DL589*(50/100))) &lt;=4.8, SUM((DJ589*(20/100))+(DK589*(30/100))+(DL589*(50/100))) &gt;=4.3),4.5,
IF(AND( SUM((DJ589*(20/100))+(DK589*(30/100))+(DL589*(50/100))) &lt;=4.3, SUM((DJ589*(20/100))+(DK589*(30/100))+(DL589*(50/100))) &gt;=3.8),4,
IF(AND( SUM((DJ589*(20/100))+(DK589*(30/100))+(DL589*(50/100))) &lt;=3.8, SUM((DJ589*(20/100))+(DK589*(30/100))+(DL589*(50/100))) &gt;=3.5),3.5,0)))))))))))))</f>
        <v>0</v>
      </c>
      <c r="DQ589" s="541"/>
      <c r="DR589" s="541"/>
      <c r="DS589" s="541"/>
      <c r="DT589" s="541"/>
      <c r="DU589" s="541"/>
      <c r="DV589" s="541"/>
      <c r="DW589" s="541"/>
      <c r="DX589" s="541"/>
      <c r="DY589" s="541"/>
      <c r="DZ589" s="541"/>
    </row>
    <row r="590" spans="2:130" x14ac:dyDescent="0.25">
      <c r="B590" s="334">
        <v>33</v>
      </c>
      <c r="C590" s="541"/>
      <c r="D590" s="334"/>
      <c r="E590" s="334"/>
      <c r="F590" s="334"/>
      <c r="G590" s="334"/>
      <c r="H590" s="334"/>
      <c r="I590" s="334"/>
      <c r="J590" s="536"/>
      <c r="K590" s="536"/>
      <c r="L590" s="536"/>
      <c r="M590" s="536"/>
      <c r="N590" s="536"/>
      <c r="O590" s="536"/>
      <c r="P590" s="536">
        <f t="shared" si="226"/>
        <v>0</v>
      </c>
      <c r="Q590" s="536"/>
      <c r="R590" s="536"/>
      <c r="S590" s="536"/>
      <c r="T590" s="536">
        <f t="shared" si="227"/>
        <v>0</v>
      </c>
      <c r="U590" s="536"/>
      <c r="V590" s="536"/>
      <c r="W590" s="536"/>
      <c r="X590" s="536">
        <f t="shared" si="228"/>
        <v>0</v>
      </c>
      <c r="Y590" s="536"/>
      <c r="Z590" s="536"/>
      <c r="AA590" s="536"/>
      <c r="AB590" s="536">
        <f t="shared" si="229"/>
        <v>0</v>
      </c>
      <c r="AC590" s="536"/>
      <c r="AD590" s="536"/>
      <c r="AE590" s="536"/>
      <c r="AF590" s="536">
        <f t="shared" si="230"/>
        <v>0</v>
      </c>
      <c r="AG590" s="536"/>
      <c r="AH590" s="536"/>
      <c r="AI590" s="536"/>
      <c r="AJ590" s="536">
        <f t="shared" si="231"/>
        <v>0</v>
      </c>
      <c r="AK590" s="536"/>
      <c r="AL590" s="536"/>
      <c r="AM590" s="536"/>
      <c r="AN590" s="542">
        <f t="shared" si="232"/>
        <v>0</v>
      </c>
      <c r="AO590" s="536"/>
      <c r="AP590" s="536"/>
      <c r="AQ590" s="536"/>
      <c r="AR590" s="542">
        <f t="shared" si="233"/>
        <v>0</v>
      </c>
      <c r="AS590" s="536"/>
      <c r="AT590" s="536"/>
      <c r="AU590" s="536"/>
      <c r="AV590" s="542">
        <f t="shared" si="234"/>
        <v>0</v>
      </c>
      <c r="AW590" s="536"/>
      <c r="AX590" s="536"/>
      <c r="AY590" s="536"/>
      <c r="AZ590" s="542">
        <f t="shared" si="235"/>
        <v>0</v>
      </c>
      <c r="BA590" s="536"/>
      <c r="BB590" s="536"/>
      <c r="BC590" s="536"/>
      <c r="BD590" s="542">
        <f t="shared" si="236"/>
        <v>0</v>
      </c>
      <c r="BE590" s="536"/>
      <c r="BF590" s="536"/>
      <c r="BG590" s="536"/>
      <c r="BH590" s="542">
        <f t="shared" si="237"/>
        <v>0</v>
      </c>
      <c r="BI590" s="536"/>
      <c r="BJ590" s="536"/>
      <c r="BK590" s="536"/>
      <c r="BL590" s="542">
        <f t="shared" si="238"/>
        <v>0</v>
      </c>
      <c r="BM590" s="536"/>
      <c r="BN590" s="536"/>
      <c r="BO590" s="536"/>
      <c r="BP590" s="542">
        <f t="shared" si="239"/>
        <v>0</v>
      </c>
      <c r="BQ590" s="536"/>
      <c r="BR590" s="536"/>
      <c r="BS590" s="536"/>
      <c r="BT590" s="542">
        <f t="shared" si="240"/>
        <v>0</v>
      </c>
      <c r="BU590" s="536"/>
      <c r="BV590" s="536"/>
      <c r="BW590" s="536"/>
      <c r="BX590" s="542">
        <f t="shared" si="241"/>
        <v>0</v>
      </c>
      <c r="BY590" s="536"/>
      <c r="BZ590" s="536"/>
      <c r="CA590" s="536"/>
      <c r="CB590" s="542">
        <v>0</v>
      </c>
      <c r="CC590" s="536"/>
      <c r="CD590" s="536"/>
      <c r="CE590" s="536"/>
      <c r="CF590" s="541">
        <f t="shared" si="242"/>
        <v>0</v>
      </c>
      <c r="CG590" s="536"/>
      <c r="CH590" s="536"/>
      <c r="CI590" s="536"/>
      <c r="CJ590" s="541">
        <f t="shared" si="243"/>
        <v>0</v>
      </c>
      <c r="CK590" s="536"/>
      <c r="CL590" s="536"/>
      <c r="CM590" s="536"/>
      <c r="CN590" s="541">
        <f t="shared" si="244"/>
        <v>0</v>
      </c>
      <c r="CO590" s="536"/>
      <c r="CP590" s="536"/>
      <c r="CQ590" s="536"/>
      <c r="CR590" s="541">
        <f t="shared" si="245"/>
        <v>0</v>
      </c>
      <c r="CS590" s="536"/>
      <c r="CT590" s="536"/>
      <c r="CU590" s="536"/>
      <c r="CV590" s="541">
        <f t="shared" si="246"/>
        <v>0</v>
      </c>
      <c r="CW590" s="536"/>
      <c r="CX590" s="536"/>
      <c r="CY590" s="536"/>
      <c r="CZ590" s="541">
        <f t="shared" si="247"/>
        <v>0</v>
      </c>
      <c r="DA590" s="536"/>
      <c r="DB590" s="536"/>
      <c r="DC590" s="536"/>
      <c r="DD590" s="541">
        <f t="shared" si="248"/>
        <v>0</v>
      </c>
      <c r="DE590" s="536"/>
      <c r="DF590" s="536"/>
      <c r="DG590" s="536"/>
      <c r="DH590" s="541">
        <f t="shared" si="249"/>
        <v>0</v>
      </c>
      <c r="DI590" s="536"/>
      <c r="DJ590" s="536"/>
      <c r="DK590" s="536"/>
      <c r="DL590" s="541">
        <f t="shared" si="250"/>
        <v>0</v>
      </c>
      <c r="DM590" s="536"/>
      <c r="DN590" s="536"/>
      <c r="DO590" s="536"/>
      <c r="DP590" s="541">
        <f>IF( SUM((DJ590*(20/100))+(DK590*(30/100))+(DL590*(50/100))) &gt;=9.3,9.5,
IF(AND( SUM((DJ590*(20/100))+(DK590*(30/100))+(DL590*(50/100))) &lt;=9.3, SUM((DJ590*(20/100))+(DK590*(30/100))+(DL590*(50/100))) &gt;=8.8),9,
IF(AND( SUM((DJ590*(20/100))+(DK590*(30/100))+(DL590*(50/100))) &lt;=8.8, SUM((DJ590*(20/100))+(DK590*(30/100))+(DL590*(50/100))) &gt;=8.3),8.5,
IF(AND( SUM((DJ590*(20/100))+(DK590*(30/100))+(DL590*(50/100))) &lt;=8.3, SUM((DJ590*(20/100))+(DK590*(30/100))+(DL590*(50/100))) &gt;=7.8),8,
IF(AND( SUM((DJ590*(20/100))+(DK590*(30/100))+(DL590*(50/100))) &lt;=7.8, SUM((DJ590*(20/100))+(DK590*(30/100))+(DL590*(50/100))) &gt;=7.3),7.5,
IF(AND( SUM((DJ590*(20/100))+(DK590*(30/100))+(DL590*(50/100))) &lt;=7.3, SUM((DJ590*(20/100))+(DK590*(30/100))+(DL590*(50/100))) &gt;=6.8),7,
IF(AND( SUM((DJ590*(20/100))+(DK590*(30/100))+(DL590*(50/100))) &lt;=6.8, SUM((DJ590*(20/100))+(DK590*(30/100))+(DL590*(50/100))) &gt;=6.3),6.5,
IF(AND( SUM((DJ590*(20/100))+(DK590*(30/100))+(DL590*(50/100))) &lt;=6.3, SUM((DJ590*(20/100))+(DK590*(30/100))+(DL590*(50/100))) &gt;=5.8),6,
IF(AND( SUM((DJ590*(20/100))+(DK590*(30/100))+(DL590*(50/100))) &lt;=5.8, SUM((DJ590*(20/100))+(DK590*(30/100))+(DL590*(50/100))) &gt;=5.3),5.5,
IF(AND( SUM((DJ590*(20/100))+(DK590*(30/100))+(DL590*(50/100))) &lt;=5.3, SUM((DJ590*(20/100))+(DK590*(30/100))+(DL590*(50/100))) &gt;=4.8),5,
IF(AND( SUM((DJ590*(20/100))+(DK590*(30/100))+(DL590*(50/100))) &lt;=4.8, SUM((DJ590*(20/100))+(DK590*(30/100))+(DL590*(50/100))) &gt;=4.3),4.5,
IF(AND( SUM((DJ590*(20/100))+(DK590*(30/100))+(DL590*(50/100))) &lt;=4.3, SUM((DJ590*(20/100))+(DK590*(30/100))+(DL590*(50/100))) &gt;=3.8),4,
IF(AND( SUM((DJ590*(20/100))+(DK590*(30/100))+(DL590*(50/100))) &lt;=3.8, SUM((DJ590*(20/100))+(DK590*(30/100))+(DL590*(50/100))) &gt;=3.5),3.5,0)))))))))))))</f>
        <v>0</v>
      </c>
      <c r="DQ590" s="541"/>
      <c r="DR590" s="541"/>
      <c r="DS590" s="541"/>
      <c r="DT590" s="541"/>
      <c r="DU590" s="541"/>
      <c r="DV590" s="541"/>
      <c r="DW590" s="541"/>
      <c r="DX590" s="541"/>
      <c r="DY590" s="541"/>
      <c r="DZ590" s="541"/>
    </row>
    <row r="591" spans="2:130" x14ac:dyDescent="0.25">
      <c r="B591" s="334">
        <v>34</v>
      </c>
      <c r="C591" s="541"/>
      <c r="D591" s="334"/>
      <c r="E591" s="334"/>
      <c r="F591" s="334"/>
      <c r="G591" s="334"/>
      <c r="H591" s="334"/>
      <c r="I591" s="334"/>
      <c r="J591" s="536"/>
      <c r="K591" s="536"/>
      <c r="L591" s="536"/>
      <c r="M591" s="536"/>
      <c r="N591" s="536"/>
      <c r="O591" s="536"/>
      <c r="P591" s="536">
        <f t="shared" si="226"/>
        <v>0</v>
      </c>
      <c r="Q591" s="536"/>
      <c r="R591" s="536"/>
      <c r="S591" s="536"/>
      <c r="T591" s="536">
        <f t="shared" si="227"/>
        <v>0</v>
      </c>
      <c r="U591" s="536"/>
      <c r="V591" s="536"/>
      <c r="W591" s="536"/>
      <c r="X591" s="536">
        <f t="shared" si="228"/>
        <v>0</v>
      </c>
      <c r="Y591" s="536"/>
      <c r="Z591" s="536"/>
      <c r="AA591" s="536"/>
      <c r="AB591" s="536">
        <f t="shared" si="229"/>
        <v>0</v>
      </c>
      <c r="AC591" s="536"/>
      <c r="AD591" s="536"/>
      <c r="AE591" s="536"/>
      <c r="AF591" s="536">
        <f t="shared" si="230"/>
        <v>0</v>
      </c>
      <c r="AG591" s="536"/>
      <c r="AH591" s="536"/>
      <c r="AI591" s="536"/>
      <c r="AJ591" s="536">
        <f t="shared" si="231"/>
        <v>0</v>
      </c>
      <c r="AK591" s="536"/>
      <c r="AL591" s="536"/>
      <c r="AM591" s="536"/>
      <c r="AN591" s="542">
        <f t="shared" si="232"/>
        <v>0</v>
      </c>
      <c r="AO591" s="536"/>
      <c r="AP591" s="536"/>
      <c r="AQ591" s="536"/>
      <c r="AR591" s="542">
        <f t="shared" si="233"/>
        <v>0</v>
      </c>
      <c r="AS591" s="536"/>
      <c r="AT591" s="536"/>
      <c r="AU591" s="536"/>
      <c r="AV591" s="542">
        <f t="shared" si="234"/>
        <v>0</v>
      </c>
      <c r="AW591" s="536"/>
      <c r="AX591" s="536"/>
      <c r="AY591" s="536"/>
      <c r="AZ591" s="542">
        <f t="shared" si="235"/>
        <v>0</v>
      </c>
      <c r="BA591" s="536"/>
      <c r="BB591" s="536"/>
      <c r="BC591" s="536"/>
      <c r="BD591" s="542">
        <f t="shared" si="236"/>
        <v>0</v>
      </c>
      <c r="BE591" s="536"/>
      <c r="BF591" s="536"/>
      <c r="BG591" s="536"/>
      <c r="BH591" s="542">
        <f t="shared" si="237"/>
        <v>0</v>
      </c>
      <c r="BI591" s="536"/>
      <c r="BJ591" s="536"/>
      <c r="BK591" s="536"/>
      <c r="BL591" s="542">
        <f t="shared" si="238"/>
        <v>0</v>
      </c>
      <c r="BM591" s="536"/>
      <c r="BN591" s="536"/>
      <c r="BO591" s="536"/>
      <c r="BP591" s="542">
        <f t="shared" si="239"/>
        <v>0</v>
      </c>
      <c r="BQ591" s="536"/>
      <c r="BR591" s="536"/>
      <c r="BS591" s="536"/>
      <c r="BT591" s="542">
        <f t="shared" si="240"/>
        <v>0</v>
      </c>
      <c r="BU591" s="536"/>
      <c r="BV591" s="536"/>
      <c r="BW591" s="536"/>
      <c r="BX591" s="542">
        <f t="shared" si="241"/>
        <v>0</v>
      </c>
      <c r="BY591" s="536"/>
      <c r="BZ591" s="536"/>
      <c r="CA591" s="536"/>
      <c r="CB591" s="542">
        <v>0</v>
      </c>
      <c r="CC591" s="536"/>
      <c r="CD591" s="536"/>
      <c r="CE591" s="536"/>
      <c r="CF591" s="541">
        <f t="shared" si="242"/>
        <v>0</v>
      </c>
      <c r="CG591" s="536"/>
      <c r="CH591" s="536"/>
      <c r="CI591" s="536"/>
      <c r="CJ591" s="541">
        <f t="shared" si="243"/>
        <v>0</v>
      </c>
      <c r="CK591" s="536"/>
      <c r="CL591" s="536"/>
      <c r="CM591" s="536"/>
      <c r="CN591" s="541">
        <f t="shared" si="244"/>
        <v>0</v>
      </c>
      <c r="CO591" s="536"/>
      <c r="CP591" s="536"/>
      <c r="CQ591" s="536"/>
      <c r="CR591" s="541">
        <f t="shared" si="245"/>
        <v>0</v>
      </c>
      <c r="CS591" s="536"/>
      <c r="CT591" s="536"/>
      <c r="CU591" s="536"/>
      <c r="CV591" s="541">
        <f t="shared" si="246"/>
        <v>0</v>
      </c>
      <c r="CW591" s="536"/>
      <c r="CX591" s="536"/>
      <c r="CY591" s="536"/>
      <c r="CZ591" s="541">
        <f t="shared" si="247"/>
        <v>0</v>
      </c>
      <c r="DA591" s="536"/>
      <c r="DB591" s="536"/>
      <c r="DC591" s="536"/>
      <c r="DD591" s="541">
        <f t="shared" si="248"/>
        <v>0</v>
      </c>
      <c r="DE591" s="536"/>
      <c r="DF591" s="536"/>
      <c r="DG591" s="536"/>
      <c r="DH591" s="541">
        <f t="shared" si="249"/>
        <v>0</v>
      </c>
      <c r="DI591" s="536"/>
      <c r="DJ591" s="536"/>
      <c r="DK591" s="536"/>
      <c r="DL591" s="541">
        <f t="shared" si="250"/>
        <v>0</v>
      </c>
      <c r="DM591" s="536"/>
      <c r="DN591" s="536"/>
      <c r="DO591" s="536"/>
      <c r="DP591" s="541">
        <f>IF( SUM((DJ591*(20/100))+(DK591*(30/100))+(DL591*(50/100))) &gt;=9.3,9.5,
IF(AND( SUM((DJ591*(20/100))+(DK591*(30/100))+(DL591*(50/100))) &lt;=9.3, SUM((DJ591*(20/100))+(DK591*(30/100))+(DL591*(50/100))) &gt;=8.8),9,
IF(AND( SUM((DJ591*(20/100))+(DK591*(30/100))+(DL591*(50/100))) &lt;=8.8, SUM((DJ591*(20/100))+(DK591*(30/100))+(DL591*(50/100))) &gt;=8.3),8.5,
IF(AND( SUM((DJ591*(20/100))+(DK591*(30/100))+(DL591*(50/100))) &lt;=8.3, SUM((DJ591*(20/100))+(DK591*(30/100))+(DL591*(50/100))) &gt;=7.8),8,
IF(AND( SUM((DJ591*(20/100))+(DK591*(30/100))+(DL591*(50/100))) &lt;=7.8, SUM((DJ591*(20/100))+(DK591*(30/100))+(DL591*(50/100))) &gt;=7.3),7.5,
IF(AND( SUM((DJ591*(20/100))+(DK591*(30/100))+(DL591*(50/100))) &lt;=7.3, SUM((DJ591*(20/100))+(DK591*(30/100))+(DL591*(50/100))) &gt;=6.8),7,
IF(AND( SUM((DJ591*(20/100))+(DK591*(30/100))+(DL591*(50/100))) &lt;=6.8, SUM((DJ591*(20/100))+(DK591*(30/100))+(DL591*(50/100))) &gt;=6.3),6.5,
IF(AND( SUM((DJ591*(20/100))+(DK591*(30/100))+(DL591*(50/100))) &lt;=6.3, SUM((DJ591*(20/100))+(DK591*(30/100))+(DL591*(50/100))) &gt;=5.8),6,
IF(AND( SUM((DJ591*(20/100))+(DK591*(30/100))+(DL591*(50/100))) &lt;=5.8, SUM((DJ591*(20/100))+(DK591*(30/100))+(DL591*(50/100))) &gt;=5.3),5.5,
IF(AND( SUM((DJ591*(20/100))+(DK591*(30/100))+(DL591*(50/100))) &lt;=5.3, SUM((DJ591*(20/100))+(DK591*(30/100))+(DL591*(50/100))) &gt;=4.8),5,
IF(AND( SUM((DJ591*(20/100))+(DK591*(30/100))+(DL591*(50/100))) &lt;=4.8, SUM((DJ591*(20/100))+(DK591*(30/100))+(DL591*(50/100))) &gt;=4.3),4.5,
IF(AND( SUM((DJ591*(20/100))+(DK591*(30/100))+(DL591*(50/100))) &lt;=4.3, SUM((DJ591*(20/100))+(DK591*(30/100))+(DL591*(50/100))) &gt;=3.8),4,
IF(AND( SUM((DJ591*(20/100))+(DK591*(30/100))+(DL591*(50/100))) &lt;=3.8, SUM((DJ591*(20/100))+(DK591*(30/100))+(DL591*(50/100))) &gt;=3.5),3.5,0)))))))))))))</f>
        <v>0</v>
      </c>
      <c r="DQ591" s="541"/>
      <c r="DR591" s="541"/>
      <c r="DS591" s="541"/>
      <c r="DT591" s="541"/>
      <c r="DU591" s="541"/>
      <c r="DV591" s="541"/>
      <c r="DW591" s="541"/>
      <c r="DX591" s="541"/>
      <c r="DY591" s="541"/>
      <c r="DZ591" s="541"/>
    </row>
    <row r="592" spans="2:130" x14ac:dyDescent="0.25">
      <c r="B592" s="334">
        <v>35</v>
      </c>
      <c r="C592" s="541"/>
      <c r="D592" s="334"/>
      <c r="E592" s="334"/>
      <c r="F592" s="334"/>
      <c r="G592" s="334"/>
      <c r="H592" s="334"/>
      <c r="I592" s="334"/>
      <c r="J592" s="536"/>
      <c r="K592" s="536"/>
      <c r="L592" s="536"/>
      <c r="M592" s="536"/>
      <c r="N592" s="536"/>
      <c r="O592" s="536"/>
      <c r="P592" s="536">
        <f t="shared" si="226"/>
        <v>0</v>
      </c>
      <c r="Q592" s="536"/>
      <c r="R592" s="536"/>
      <c r="S592" s="536"/>
      <c r="T592" s="536">
        <f t="shared" si="227"/>
        <v>0</v>
      </c>
      <c r="U592" s="536"/>
      <c r="V592" s="536"/>
      <c r="W592" s="536"/>
      <c r="X592" s="536">
        <f t="shared" si="228"/>
        <v>0</v>
      </c>
      <c r="Y592" s="536"/>
      <c r="Z592" s="536"/>
      <c r="AA592" s="536"/>
      <c r="AB592" s="536">
        <f t="shared" si="229"/>
        <v>0</v>
      </c>
      <c r="AC592" s="536"/>
      <c r="AD592" s="536"/>
      <c r="AE592" s="536"/>
      <c r="AF592" s="536">
        <f t="shared" si="230"/>
        <v>0</v>
      </c>
      <c r="AG592" s="536"/>
      <c r="AH592" s="536"/>
      <c r="AI592" s="536"/>
      <c r="AJ592" s="536">
        <f t="shared" si="231"/>
        <v>0</v>
      </c>
      <c r="AK592" s="536"/>
      <c r="AL592" s="536"/>
      <c r="AM592" s="536"/>
      <c r="AN592" s="542">
        <f t="shared" si="232"/>
        <v>0</v>
      </c>
      <c r="AO592" s="536"/>
      <c r="AP592" s="536"/>
      <c r="AQ592" s="536"/>
      <c r="AR592" s="542">
        <f t="shared" si="233"/>
        <v>0</v>
      </c>
      <c r="AS592" s="536"/>
      <c r="AT592" s="536"/>
      <c r="AU592" s="536"/>
      <c r="AV592" s="542">
        <f t="shared" si="234"/>
        <v>0</v>
      </c>
      <c r="AW592" s="536"/>
      <c r="AX592" s="536"/>
      <c r="AY592" s="536"/>
      <c r="AZ592" s="542">
        <f t="shared" si="235"/>
        <v>0</v>
      </c>
      <c r="BA592" s="536"/>
      <c r="BB592" s="536"/>
      <c r="BC592" s="536"/>
      <c r="BD592" s="542">
        <f t="shared" si="236"/>
        <v>0</v>
      </c>
      <c r="BE592" s="536"/>
      <c r="BF592" s="536"/>
      <c r="BG592" s="536"/>
      <c r="BH592" s="542">
        <f t="shared" si="237"/>
        <v>0</v>
      </c>
      <c r="BI592" s="536"/>
      <c r="BJ592" s="536"/>
      <c r="BK592" s="536"/>
      <c r="BL592" s="542">
        <f t="shared" si="238"/>
        <v>0</v>
      </c>
      <c r="BM592" s="536"/>
      <c r="BN592" s="536"/>
      <c r="BO592" s="536"/>
      <c r="BP592" s="542">
        <f t="shared" si="239"/>
        <v>0</v>
      </c>
      <c r="BQ592" s="536"/>
      <c r="BR592" s="536"/>
      <c r="BS592" s="536"/>
      <c r="BT592" s="542">
        <f t="shared" si="240"/>
        <v>0</v>
      </c>
      <c r="BU592" s="536"/>
      <c r="BV592" s="536"/>
      <c r="BW592" s="536"/>
      <c r="BX592" s="542">
        <f t="shared" si="241"/>
        <v>0</v>
      </c>
      <c r="BY592" s="536"/>
      <c r="BZ592" s="536"/>
      <c r="CA592" s="536"/>
      <c r="CB592" s="542">
        <v>0</v>
      </c>
      <c r="CC592" s="536"/>
      <c r="CD592" s="536"/>
      <c r="CE592" s="536"/>
      <c r="CF592" s="541">
        <f t="shared" si="242"/>
        <v>0</v>
      </c>
      <c r="CG592" s="536"/>
      <c r="CH592" s="536"/>
      <c r="CI592" s="536"/>
      <c r="CJ592" s="541">
        <f t="shared" si="243"/>
        <v>0</v>
      </c>
      <c r="CK592" s="536"/>
      <c r="CL592" s="536"/>
      <c r="CM592" s="536"/>
      <c r="CN592" s="541">
        <f t="shared" si="244"/>
        <v>0</v>
      </c>
      <c r="CO592" s="536"/>
      <c r="CP592" s="536"/>
      <c r="CQ592" s="536"/>
      <c r="CR592" s="541">
        <f t="shared" si="245"/>
        <v>0</v>
      </c>
      <c r="CS592" s="536"/>
      <c r="CT592" s="536"/>
      <c r="CU592" s="536"/>
      <c r="CV592" s="541">
        <f t="shared" si="246"/>
        <v>0</v>
      </c>
      <c r="CW592" s="536"/>
      <c r="CX592" s="536"/>
      <c r="CY592" s="536"/>
      <c r="CZ592" s="541">
        <f t="shared" si="247"/>
        <v>0</v>
      </c>
      <c r="DA592" s="536"/>
      <c r="DB592" s="536"/>
      <c r="DC592" s="536"/>
      <c r="DD592" s="541">
        <f t="shared" si="248"/>
        <v>0</v>
      </c>
      <c r="DE592" s="536"/>
      <c r="DF592" s="536"/>
      <c r="DG592" s="536"/>
      <c r="DH592" s="541">
        <f t="shared" si="249"/>
        <v>0</v>
      </c>
      <c r="DI592" s="536"/>
      <c r="DJ592" s="536"/>
      <c r="DK592" s="536"/>
      <c r="DL592" s="541">
        <f t="shared" si="250"/>
        <v>0</v>
      </c>
      <c r="DM592" s="536"/>
      <c r="DN592" s="536"/>
      <c r="DO592" s="536"/>
      <c r="DP592" s="541">
        <f>IF( SUM((DJ592*(20/100))+(DK592*(30/100))+(DL592*(50/100))) &gt;=9.3,9.5,
IF(AND( SUM((DJ592*(20/100))+(DK592*(30/100))+(DL592*(50/100))) &lt;=9.3, SUM((DJ592*(20/100))+(DK592*(30/100))+(DL592*(50/100))) &gt;=8.8),9,
IF(AND( SUM((DJ592*(20/100))+(DK592*(30/100))+(DL592*(50/100))) &lt;=8.8, SUM((DJ592*(20/100))+(DK592*(30/100))+(DL592*(50/100))) &gt;=8.3),8.5,
IF(AND( SUM((DJ592*(20/100))+(DK592*(30/100))+(DL592*(50/100))) &lt;=8.3, SUM((DJ592*(20/100))+(DK592*(30/100))+(DL592*(50/100))) &gt;=7.8),8,
IF(AND( SUM((DJ592*(20/100))+(DK592*(30/100))+(DL592*(50/100))) &lt;=7.8, SUM((DJ592*(20/100))+(DK592*(30/100))+(DL592*(50/100))) &gt;=7.3),7.5,
IF(AND( SUM((DJ592*(20/100))+(DK592*(30/100))+(DL592*(50/100))) &lt;=7.3, SUM((DJ592*(20/100))+(DK592*(30/100))+(DL592*(50/100))) &gt;=6.8),7,
IF(AND( SUM((DJ592*(20/100))+(DK592*(30/100))+(DL592*(50/100))) &lt;=6.8, SUM((DJ592*(20/100))+(DK592*(30/100))+(DL592*(50/100))) &gt;=6.3),6.5,
IF(AND( SUM((DJ592*(20/100))+(DK592*(30/100))+(DL592*(50/100))) &lt;=6.3, SUM((DJ592*(20/100))+(DK592*(30/100))+(DL592*(50/100))) &gt;=5.8),6,
IF(AND( SUM((DJ592*(20/100))+(DK592*(30/100))+(DL592*(50/100))) &lt;=5.8, SUM((DJ592*(20/100))+(DK592*(30/100))+(DL592*(50/100))) &gt;=5.3),5.5,
IF(AND( SUM((DJ592*(20/100))+(DK592*(30/100))+(DL592*(50/100))) &lt;=5.3, SUM((DJ592*(20/100))+(DK592*(30/100))+(DL592*(50/100))) &gt;=4.8),5,
IF(AND( SUM((DJ592*(20/100))+(DK592*(30/100))+(DL592*(50/100))) &lt;=4.8, SUM((DJ592*(20/100))+(DK592*(30/100))+(DL592*(50/100))) &gt;=4.3),4.5,
IF(AND( SUM((DJ592*(20/100))+(DK592*(30/100))+(DL592*(50/100))) &lt;=4.3, SUM((DJ592*(20/100))+(DK592*(30/100))+(DL592*(50/100))) &gt;=3.8),4,
IF(AND( SUM((DJ592*(20/100))+(DK592*(30/100))+(DL592*(50/100))) &lt;=3.8, SUM((DJ592*(20/100))+(DK592*(30/100))+(DL592*(50/100))) &gt;=3.5),3.5,0)))))))))))))</f>
        <v>0</v>
      </c>
      <c r="DQ592" s="541"/>
      <c r="DR592" s="541"/>
      <c r="DS592" s="541"/>
      <c r="DT592" s="541"/>
      <c r="DU592" s="541"/>
      <c r="DV592" s="541"/>
      <c r="DW592" s="541"/>
      <c r="DX592" s="541"/>
      <c r="DY592" s="541"/>
      <c r="DZ592" s="541"/>
    </row>
    <row r="593" spans="2:130" x14ac:dyDescent="0.25">
      <c r="B593" s="334">
        <v>36</v>
      </c>
      <c r="C593" s="541"/>
      <c r="D593" s="334"/>
      <c r="E593" s="334"/>
      <c r="F593" s="334"/>
      <c r="G593" s="334"/>
      <c r="H593" s="334"/>
      <c r="I593" s="334"/>
      <c r="J593" s="536"/>
      <c r="K593" s="536"/>
      <c r="L593" s="536"/>
      <c r="M593" s="536"/>
      <c r="N593" s="536"/>
      <c r="O593" s="536"/>
      <c r="P593" s="536">
        <f t="shared" si="226"/>
        <v>0</v>
      </c>
      <c r="Q593" s="536"/>
      <c r="R593" s="536"/>
      <c r="S593" s="536"/>
      <c r="T593" s="536">
        <f t="shared" si="227"/>
        <v>0</v>
      </c>
      <c r="U593" s="536"/>
      <c r="V593" s="536"/>
      <c r="W593" s="536"/>
      <c r="X593" s="536">
        <f t="shared" si="228"/>
        <v>0</v>
      </c>
      <c r="Y593" s="536"/>
      <c r="Z593" s="536"/>
      <c r="AA593" s="536"/>
      <c r="AB593" s="536">
        <f t="shared" si="229"/>
        <v>0</v>
      </c>
      <c r="AC593" s="536"/>
      <c r="AD593" s="536"/>
      <c r="AE593" s="536"/>
      <c r="AF593" s="536">
        <f t="shared" si="230"/>
        <v>0</v>
      </c>
      <c r="AG593" s="536"/>
      <c r="AH593" s="536"/>
      <c r="AI593" s="536"/>
      <c r="AJ593" s="536">
        <f t="shared" si="231"/>
        <v>0</v>
      </c>
      <c r="AK593" s="536"/>
      <c r="AL593" s="536"/>
      <c r="AM593" s="536"/>
      <c r="AN593" s="542">
        <f t="shared" si="232"/>
        <v>0</v>
      </c>
      <c r="AO593" s="536"/>
      <c r="AP593" s="536"/>
      <c r="AQ593" s="536"/>
      <c r="AR593" s="542">
        <f t="shared" si="233"/>
        <v>0</v>
      </c>
      <c r="AS593" s="536"/>
      <c r="AT593" s="536"/>
      <c r="AU593" s="536"/>
      <c r="AV593" s="542">
        <f t="shared" si="234"/>
        <v>0</v>
      </c>
      <c r="AW593" s="536"/>
      <c r="AX593" s="536"/>
      <c r="AY593" s="536"/>
      <c r="AZ593" s="542">
        <f t="shared" si="235"/>
        <v>0</v>
      </c>
      <c r="BA593" s="536"/>
      <c r="BB593" s="536"/>
      <c r="BC593" s="536"/>
      <c r="BD593" s="542">
        <f t="shared" si="236"/>
        <v>0</v>
      </c>
      <c r="BE593" s="536"/>
      <c r="BF593" s="536"/>
      <c r="BG593" s="536"/>
      <c r="BH593" s="542">
        <f t="shared" si="237"/>
        <v>0</v>
      </c>
      <c r="BI593" s="536"/>
      <c r="BJ593" s="536"/>
      <c r="BK593" s="536"/>
      <c r="BL593" s="542">
        <f t="shared" si="238"/>
        <v>0</v>
      </c>
      <c r="BM593" s="536"/>
      <c r="BN593" s="536"/>
      <c r="BO593" s="536"/>
      <c r="BP593" s="542">
        <f t="shared" si="239"/>
        <v>0</v>
      </c>
      <c r="BQ593" s="536"/>
      <c r="BR593" s="536"/>
      <c r="BS593" s="536"/>
      <c r="BT593" s="542">
        <f t="shared" si="240"/>
        <v>0</v>
      </c>
      <c r="BU593" s="536"/>
      <c r="BV593" s="536"/>
      <c r="BW593" s="536"/>
      <c r="BX593" s="542">
        <f t="shared" si="241"/>
        <v>0</v>
      </c>
      <c r="BY593" s="536"/>
      <c r="BZ593" s="536"/>
      <c r="CA593" s="536"/>
      <c r="CB593" s="542">
        <v>0</v>
      </c>
      <c r="CC593" s="536"/>
      <c r="CD593" s="536"/>
      <c r="CE593" s="536"/>
      <c r="CF593" s="541">
        <f t="shared" si="242"/>
        <v>0</v>
      </c>
      <c r="CG593" s="536"/>
      <c r="CH593" s="536"/>
      <c r="CI593" s="536"/>
      <c r="CJ593" s="541">
        <f t="shared" si="243"/>
        <v>0</v>
      </c>
      <c r="CK593" s="536"/>
      <c r="CL593" s="536"/>
      <c r="CM593" s="536"/>
      <c r="CN593" s="541">
        <f t="shared" si="244"/>
        <v>0</v>
      </c>
      <c r="CO593" s="536"/>
      <c r="CP593" s="536"/>
      <c r="CQ593" s="536"/>
      <c r="CR593" s="541">
        <f t="shared" si="245"/>
        <v>0</v>
      </c>
      <c r="CS593" s="536"/>
      <c r="CT593" s="536"/>
      <c r="CU593" s="536"/>
      <c r="CV593" s="541">
        <f t="shared" si="246"/>
        <v>0</v>
      </c>
      <c r="CW593" s="536"/>
      <c r="CX593" s="536"/>
      <c r="CY593" s="536"/>
      <c r="CZ593" s="541">
        <f t="shared" si="247"/>
        <v>0</v>
      </c>
      <c r="DA593" s="536"/>
      <c r="DB593" s="536"/>
      <c r="DC593" s="536"/>
      <c r="DD593" s="541">
        <f t="shared" si="248"/>
        <v>0</v>
      </c>
      <c r="DE593" s="536"/>
      <c r="DF593" s="536"/>
      <c r="DG593" s="536"/>
      <c r="DH593" s="541">
        <f t="shared" si="249"/>
        <v>0</v>
      </c>
      <c r="DI593" s="536"/>
      <c r="DJ593" s="536"/>
      <c r="DK593" s="536"/>
      <c r="DL593" s="541">
        <f t="shared" si="250"/>
        <v>0</v>
      </c>
      <c r="DM593" s="536"/>
      <c r="DN593" s="536"/>
      <c r="DO593" s="536"/>
      <c r="DP593" s="541">
        <f>IF( SUM((DJ593*(20/100))+(DK593*(30/100))+(DL593*(50/100))) &gt;=9.3,9.5,
IF(AND( SUM((DJ593*(20/100))+(DK593*(30/100))+(DL593*(50/100))) &lt;=9.3, SUM((DJ593*(20/100))+(DK593*(30/100))+(DL593*(50/100))) &gt;=8.8),9,
IF(AND( SUM((DJ593*(20/100))+(DK593*(30/100))+(DL593*(50/100))) &lt;=8.8, SUM((DJ593*(20/100))+(DK593*(30/100))+(DL593*(50/100))) &gt;=8.3),8.5,
IF(AND( SUM((DJ593*(20/100))+(DK593*(30/100))+(DL593*(50/100))) &lt;=8.3, SUM((DJ593*(20/100))+(DK593*(30/100))+(DL593*(50/100))) &gt;=7.8),8,
IF(AND( SUM((DJ593*(20/100))+(DK593*(30/100))+(DL593*(50/100))) &lt;=7.8, SUM((DJ593*(20/100))+(DK593*(30/100))+(DL593*(50/100))) &gt;=7.3),7.5,
IF(AND( SUM((DJ593*(20/100))+(DK593*(30/100))+(DL593*(50/100))) &lt;=7.3, SUM((DJ593*(20/100))+(DK593*(30/100))+(DL593*(50/100))) &gt;=6.8),7,
IF(AND( SUM((DJ593*(20/100))+(DK593*(30/100))+(DL593*(50/100))) &lt;=6.8, SUM((DJ593*(20/100))+(DK593*(30/100))+(DL593*(50/100))) &gt;=6.3),6.5,
IF(AND( SUM((DJ593*(20/100))+(DK593*(30/100))+(DL593*(50/100))) &lt;=6.3, SUM((DJ593*(20/100))+(DK593*(30/100))+(DL593*(50/100))) &gt;=5.8),6,
IF(AND( SUM((DJ593*(20/100))+(DK593*(30/100))+(DL593*(50/100))) &lt;=5.8, SUM((DJ593*(20/100))+(DK593*(30/100))+(DL593*(50/100))) &gt;=5.3),5.5,
IF(AND( SUM((DJ593*(20/100))+(DK593*(30/100))+(DL593*(50/100))) &lt;=5.3, SUM((DJ593*(20/100))+(DK593*(30/100))+(DL593*(50/100))) &gt;=4.8),5,
IF(AND( SUM((DJ593*(20/100))+(DK593*(30/100))+(DL593*(50/100))) &lt;=4.8, SUM((DJ593*(20/100))+(DK593*(30/100))+(DL593*(50/100))) &gt;=4.3),4.5,
IF(AND( SUM((DJ593*(20/100))+(DK593*(30/100))+(DL593*(50/100))) &lt;=4.3, SUM((DJ593*(20/100))+(DK593*(30/100))+(DL593*(50/100))) &gt;=3.8),4,
IF(AND( SUM((DJ593*(20/100))+(DK593*(30/100))+(DL593*(50/100))) &lt;=3.8, SUM((DJ593*(20/100))+(DK593*(30/100))+(DL593*(50/100))) &gt;=3.5),3.5,0)))))))))))))</f>
        <v>0</v>
      </c>
      <c r="DQ593" s="541"/>
      <c r="DR593" s="541"/>
      <c r="DS593" s="541"/>
      <c r="DT593" s="541"/>
      <c r="DU593" s="541"/>
      <c r="DV593" s="541"/>
      <c r="DW593" s="541"/>
      <c r="DX593" s="541"/>
      <c r="DY593" s="541"/>
      <c r="DZ593" s="541"/>
    </row>
    <row r="594" spans="2:130" x14ac:dyDescent="0.25">
      <c r="B594" s="334">
        <v>37</v>
      </c>
      <c r="C594" s="541"/>
      <c r="D594" s="334"/>
      <c r="E594" s="334"/>
      <c r="F594" s="334"/>
      <c r="G594" s="334"/>
      <c r="H594" s="334"/>
      <c r="I594" s="334"/>
      <c r="J594" s="536"/>
      <c r="K594" s="536"/>
      <c r="L594" s="536"/>
      <c r="M594" s="536"/>
      <c r="N594" s="536"/>
      <c r="O594" s="536"/>
      <c r="P594" s="536">
        <f t="shared" si="226"/>
        <v>0</v>
      </c>
      <c r="Q594" s="536"/>
      <c r="R594" s="536"/>
      <c r="S594" s="536"/>
      <c r="T594" s="536">
        <f t="shared" si="227"/>
        <v>0</v>
      </c>
      <c r="U594" s="536"/>
      <c r="V594" s="536"/>
      <c r="W594" s="536"/>
      <c r="X594" s="536">
        <f t="shared" si="228"/>
        <v>0</v>
      </c>
      <c r="Y594" s="536"/>
      <c r="Z594" s="536"/>
      <c r="AA594" s="536"/>
      <c r="AB594" s="536">
        <f t="shared" si="229"/>
        <v>0</v>
      </c>
      <c r="AC594" s="536"/>
      <c r="AD594" s="536"/>
      <c r="AE594" s="536"/>
      <c r="AF594" s="536">
        <f t="shared" si="230"/>
        <v>0</v>
      </c>
      <c r="AG594" s="536"/>
      <c r="AH594" s="536"/>
      <c r="AI594" s="536"/>
      <c r="AJ594" s="536">
        <f t="shared" si="231"/>
        <v>0</v>
      </c>
      <c r="AK594" s="536"/>
      <c r="AL594" s="536"/>
      <c r="AM594" s="536"/>
      <c r="AN594" s="542">
        <f t="shared" si="232"/>
        <v>0</v>
      </c>
      <c r="AO594" s="536"/>
      <c r="AP594" s="536"/>
      <c r="AQ594" s="536"/>
      <c r="AR594" s="542">
        <f t="shared" si="233"/>
        <v>0</v>
      </c>
      <c r="AS594" s="536"/>
      <c r="AT594" s="536"/>
      <c r="AU594" s="536"/>
      <c r="AV594" s="542">
        <f t="shared" si="234"/>
        <v>0</v>
      </c>
      <c r="AW594" s="536"/>
      <c r="AX594" s="536"/>
      <c r="AY594" s="536"/>
      <c r="AZ594" s="542">
        <f t="shared" si="235"/>
        <v>0</v>
      </c>
      <c r="BA594" s="536"/>
      <c r="BB594" s="536"/>
      <c r="BC594" s="536"/>
      <c r="BD594" s="542">
        <f t="shared" si="236"/>
        <v>0</v>
      </c>
      <c r="BE594" s="536"/>
      <c r="BF594" s="536"/>
      <c r="BG594" s="536"/>
      <c r="BH594" s="542">
        <f t="shared" si="237"/>
        <v>0</v>
      </c>
      <c r="BI594" s="536"/>
      <c r="BJ594" s="536"/>
      <c r="BK594" s="536"/>
      <c r="BL594" s="542">
        <f t="shared" si="238"/>
        <v>0</v>
      </c>
      <c r="BM594" s="536"/>
      <c r="BN594" s="536"/>
      <c r="BO594" s="536"/>
      <c r="BP594" s="542">
        <f t="shared" si="239"/>
        <v>0</v>
      </c>
      <c r="BQ594" s="536"/>
      <c r="BR594" s="536"/>
      <c r="BS594" s="536"/>
      <c r="BT594" s="542">
        <f t="shared" si="240"/>
        <v>0</v>
      </c>
      <c r="BU594" s="536"/>
      <c r="BV594" s="536"/>
      <c r="BW594" s="536"/>
      <c r="BX594" s="542">
        <f t="shared" si="241"/>
        <v>0</v>
      </c>
      <c r="BY594" s="536"/>
      <c r="BZ594" s="536"/>
      <c r="CA594" s="536"/>
      <c r="CB594" s="542">
        <v>0</v>
      </c>
      <c r="CC594" s="536"/>
      <c r="CD594" s="536"/>
      <c r="CE594" s="536"/>
      <c r="CF594" s="541">
        <f t="shared" si="242"/>
        <v>0</v>
      </c>
      <c r="CG594" s="536"/>
      <c r="CH594" s="536"/>
      <c r="CI594" s="536"/>
      <c r="CJ594" s="541">
        <f t="shared" si="243"/>
        <v>0</v>
      </c>
      <c r="CK594" s="536"/>
      <c r="CL594" s="536"/>
      <c r="CM594" s="536"/>
      <c r="CN594" s="541">
        <f t="shared" si="244"/>
        <v>0</v>
      </c>
      <c r="CO594" s="536"/>
      <c r="CP594" s="536"/>
      <c r="CQ594" s="536"/>
      <c r="CR594" s="541">
        <f t="shared" si="245"/>
        <v>0</v>
      </c>
      <c r="CS594" s="536"/>
      <c r="CT594" s="536"/>
      <c r="CU594" s="536"/>
      <c r="CV594" s="541">
        <f t="shared" si="246"/>
        <v>0</v>
      </c>
      <c r="CW594" s="536"/>
      <c r="CX594" s="536"/>
      <c r="CY594" s="536"/>
      <c r="CZ594" s="541">
        <f t="shared" si="247"/>
        <v>0</v>
      </c>
      <c r="DA594" s="536"/>
      <c r="DB594" s="536"/>
      <c r="DC594" s="536"/>
      <c r="DD594" s="541">
        <f t="shared" si="248"/>
        <v>0</v>
      </c>
      <c r="DE594" s="536"/>
      <c r="DF594" s="536"/>
      <c r="DG594" s="536"/>
      <c r="DH594" s="541">
        <f t="shared" si="249"/>
        <v>0</v>
      </c>
      <c r="DI594" s="536"/>
      <c r="DJ594" s="536"/>
      <c r="DK594" s="536"/>
      <c r="DL594" s="541">
        <f t="shared" si="250"/>
        <v>0</v>
      </c>
      <c r="DM594" s="536"/>
      <c r="DN594" s="536"/>
      <c r="DO594" s="536"/>
      <c r="DP594" s="541">
        <f>IF( SUM((DJ594*(20/100))+(DK594*(30/100))+(DL594*(50/100))) &gt;=9.3,9.5,
IF(AND( SUM((DJ594*(20/100))+(DK594*(30/100))+(DL594*(50/100))) &lt;=9.3, SUM((DJ594*(20/100))+(DK594*(30/100))+(DL594*(50/100))) &gt;=8.8),9,
IF(AND( SUM((DJ594*(20/100))+(DK594*(30/100))+(DL594*(50/100))) &lt;=8.8, SUM((DJ594*(20/100))+(DK594*(30/100))+(DL594*(50/100))) &gt;=8.3),8.5,
IF(AND( SUM((DJ594*(20/100))+(DK594*(30/100))+(DL594*(50/100))) &lt;=8.3, SUM((DJ594*(20/100))+(DK594*(30/100))+(DL594*(50/100))) &gt;=7.8),8,
IF(AND( SUM((DJ594*(20/100))+(DK594*(30/100))+(DL594*(50/100))) &lt;=7.8, SUM((DJ594*(20/100))+(DK594*(30/100))+(DL594*(50/100))) &gt;=7.3),7.5,
IF(AND( SUM((DJ594*(20/100))+(DK594*(30/100))+(DL594*(50/100))) &lt;=7.3, SUM((DJ594*(20/100))+(DK594*(30/100))+(DL594*(50/100))) &gt;=6.8),7,
IF(AND( SUM((DJ594*(20/100))+(DK594*(30/100))+(DL594*(50/100))) &lt;=6.8, SUM((DJ594*(20/100))+(DK594*(30/100))+(DL594*(50/100))) &gt;=6.3),6.5,
IF(AND( SUM((DJ594*(20/100))+(DK594*(30/100))+(DL594*(50/100))) &lt;=6.3, SUM((DJ594*(20/100))+(DK594*(30/100))+(DL594*(50/100))) &gt;=5.8),6,
IF(AND( SUM((DJ594*(20/100))+(DK594*(30/100))+(DL594*(50/100))) &lt;=5.8, SUM((DJ594*(20/100))+(DK594*(30/100))+(DL594*(50/100))) &gt;=5.3),5.5,
IF(AND( SUM((DJ594*(20/100))+(DK594*(30/100))+(DL594*(50/100))) &lt;=5.3, SUM((DJ594*(20/100))+(DK594*(30/100))+(DL594*(50/100))) &gt;=4.8),5,
IF(AND( SUM((DJ594*(20/100))+(DK594*(30/100))+(DL594*(50/100))) &lt;=4.8, SUM((DJ594*(20/100))+(DK594*(30/100))+(DL594*(50/100))) &gt;=4.3),4.5,
IF(AND( SUM((DJ594*(20/100))+(DK594*(30/100))+(DL594*(50/100))) &lt;=4.3, SUM((DJ594*(20/100))+(DK594*(30/100))+(DL594*(50/100))) &gt;=3.8),4,
IF(AND( SUM((DJ594*(20/100))+(DK594*(30/100))+(DL594*(50/100))) &lt;=3.8, SUM((DJ594*(20/100))+(DK594*(30/100))+(DL594*(50/100))) &gt;=3.5),3.5,0)))))))))))))</f>
        <v>0</v>
      </c>
      <c r="DQ594" s="541"/>
      <c r="DR594" s="541"/>
      <c r="DS594" s="541"/>
      <c r="DT594" s="541"/>
      <c r="DU594" s="541"/>
      <c r="DV594" s="541"/>
      <c r="DW594" s="541"/>
      <c r="DX594" s="541"/>
      <c r="DY594" s="541"/>
      <c r="DZ594" s="541"/>
    </row>
    <row r="595" spans="2:130" x14ac:dyDescent="0.25">
      <c r="B595" s="334">
        <v>38</v>
      </c>
      <c r="C595" s="541"/>
      <c r="D595" s="334"/>
      <c r="E595" s="334"/>
      <c r="F595" s="334"/>
      <c r="G595" s="334"/>
      <c r="H595" s="334"/>
      <c r="I595" s="334"/>
      <c r="J595" s="536"/>
      <c r="K595" s="536"/>
      <c r="L595" s="536"/>
      <c r="M595" s="536"/>
      <c r="N595" s="536"/>
      <c r="O595" s="536"/>
      <c r="P595" s="536">
        <f t="shared" si="226"/>
        <v>0</v>
      </c>
      <c r="Q595" s="536"/>
      <c r="R595" s="536"/>
      <c r="S595" s="536"/>
      <c r="T595" s="536">
        <f t="shared" si="227"/>
        <v>0</v>
      </c>
      <c r="U595" s="536"/>
      <c r="V595" s="536"/>
      <c r="W595" s="536"/>
      <c r="X595" s="536">
        <f t="shared" si="228"/>
        <v>0</v>
      </c>
      <c r="Y595" s="536"/>
      <c r="Z595" s="536"/>
      <c r="AA595" s="536"/>
      <c r="AB595" s="536">
        <f t="shared" si="229"/>
        <v>0</v>
      </c>
      <c r="AC595" s="536"/>
      <c r="AD595" s="536"/>
      <c r="AE595" s="536"/>
      <c r="AF595" s="536">
        <f t="shared" si="230"/>
        <v>0</v>
      </c>
      <c r="AG595" s="536"/>
      <c r="AH595" s="536"/>
      <c r="AI595" s="536"/>
      <c r="AJ595" s="536">
        <f t="shared" si="231"/>
        <v>0</v>
      </c>
      <c r="AK595" s="536"/>
      <c r="AL595" s="536"/>
      <c r="AM595" s="536"/>
      <c r="AN595" s="542">
        <f t="shared" si="232"/>
        <v>0</v>
      </c>
      <c r="AO595" s="536"/>
      <c r="AP595" s="536"/>
      <c r="AQ595" s="536"/>
      <c r="AR595" s="542">
        <f t="shared" si="233"/>
        <v>0</v>
      </c>
      <c r="AS595" s="536"/>
      <c r="AT595" s="536"/>
      <c r="AU595" s="536"/>
      <c r="AV595" s="542">
        <f t="shared" si="234"/>
        <v>0</v>
      </c>
      <c r="AW595" s="536"/>
      <c r="AX595" s="536"/>
      <c r="AY595" s="536"/>
      <c r="AZ595" s="542">
        <f t="shared" si="235"/>
        <v>0</v>
      </c>
      <c r="BA595" s="536"/>
      <c r="BB595" s="536"/>
      <c r="BC595" s="536"/>
      <c r="BD595" s="542">
        <f t="shared" si="236"/>
        <v>0</v>
      </c>
      <c r="BE595" s="536"/>
      <c r="BF595" s="536"/>
      <c r="BG595" s="536"/>
      <c r="BH595" s="542">
        <f t="shared" si="237"/>
        <v>0</v>
      </c>
      <c r="BI595" s="536"/>
      <c r="BJ595" s="536"/>
      <c r="BK595" s="536"/>
      <c r="BL595" s="542">
        <f t="shared" si="238"/>
        <v>0</v>
      </c>
      <c r="BM595" s="536"/>
      <c r="BN595" s="536"/>
      <c r="BO595" s="536"/>
      <c r="BP595" s="542">
        <f t="shared" si="239"/>
        <v>0</v>
      </c>
      <c r="BQ595" s="536"/>
      <c r="BR595" s="536"/>
      <c r="BS595" s="536"/>
      <c r="BT595" s="542">
        <f t="shared" si="240"/>
        <v>0</v>
      </c>
      <c r="BU595" s="536"/>
      <c r="BV595" s="536"/>
      <c r="BW595" s="536"/>
      <c r="BX595" s="542">
        <f t="shared" si="241"/>
        <v>0</v>
      </c>
      <c r="BY595" s="536"/>
      <c r="BZ595" s="536"/>
      <c r="CA595" s="536"/>
      <c r="CB595" s="542">
        <v>0</v>
      </c>
      <c r="CC595" s="536"/>
      <c r="CD595" s="536"/>
      <c r="CE595" s="536"/>
      <c r="CF595" s="541">
        <f t="shared" si="242"/>
        <v>0</v>
      </c>
      <c r="CG595" s="536"/>
      <c r="CH595" s="536"/>
      <c r="CI595" s="536"/>
      <c r="CJ595" s="541">
        <f t="shared" si="243"/>
        <v>0</v>
      </c>
      <c r="CK595" s="536"/>
      <c r="CL595" s="536"/>
      <c r="CM595" s="536"/>
      <c r="CN595" s="541">
        <f t="shared" si="244"/>
        <v>0</v>
      </c>
      <c r="CO595" s="536"/>
      <c r="CP595" s="536"/>
      <c r="CQ595" s="536"/>
      <c r="CR595" s="541">
        <f t="shared" si="245"/>
        <v>0</v>
      </c>
      <c r="CS595" s="536"/>
      <c r="CT595" s="536"/>
      <c r="CU595" s="536"/>
      <c r="CV595" s="541">
        <f t="shared" si="246"/>
        <v>0</v>
      </c>
      <c r="CW595" s="536"/>
      <c r="CX595" s="536"/>
      <c r="CY595" s="536"/>
      <c r="CZ595" s="541">
        <f t="shared" si="247"/>
        <v>0</v>
      </c>
      <c r="DA595" s="536"/>
      <c r="DB595" s="536"/>
      <c r="DC595" s="536"/>
      <c r="DD595" s="541">
        <f t="shared" si="248"/>
        <v>0</v>
      </c>
      <c r="DE595" s="536"/>
      <c r="DF595" s="536"/>
      <c r="DG595" s="536"/>
      <c r="DH595" s="541">
        <f t="shared" si="249"/>
        <v>0</v>
      </c>
      <c r="DI595" s="536"/>
      <c r="DJ595" s="536"/>
      <c r="DK595" s="536"/>
      <c r="DL595" s="541">
        <f t="shared" si="250"/>
        <v>0</v>
      </c>
      <c r="DM595" s="536"/>
      <c r="DN595" s="536"/>
      <c r="DO595" s="536"/>
      <c r="DP595" s="541">
        <f>IF( SUM((DJ595*(20/100))+(DK595*(30/100))+(DL595*(50/100))) &gt;=9.3,9.5,
IF(AND( SUM((DJ595*(20/100))+(DK595*(30/100))+(DL595*(50/100))) &lt;=9.3, SUM((DJ595*(20/100))+(DK595*(30/100))+(DL595*(50/100))) &gt;=8.8),9,
IF(AND( SUM((DJ595*(20/100))+(DK595*(30/100))+(DL595*(50/100))) &lt;=8.8, SUM((DJ595*(20/100))+(DK595*(30/100))+(DL595*(50/100))) &gt;=8.3),8.5,
IF(AND( SUM((DJ595*(20/100))+(DK595*(30/100))+(DL595*(50/100))) &lt;=8.3, SUM((DJ595*(20/100))+(DK595*(30/100))+(DL595*(50/100))) &gt;=7.8),8,
IF(AND( SUM((DJ595*(20/100))+(DK595*(30/100))+(DL595*(50/100))) &lt;=7.8, SUM((DJ595*(20/100))+(DK595*(30/100))+(DL595*(50/100))) &gt;=7.3),7.5,
IF(AND( SUM((DJ595*(20/100))+(DK595*(30/100))+(DL595*(50/100))) &lt;=7.3, SUM((DJ595*(20/100))+(DK595*(30/100))+(DL595*(50/100))) &gt;=6.8),7,
IF(AND( SUM((DJ595*(20/100))+(DK595*(30/100))+(DL595*(50/100))) &lt;=6.8, SUM((DJ595*(20/100))+(DK595*(30/100))+(DL595*(50/100))) &gt;=6.3),6.5,
IF(AND( SUM((DJ595*(20/100))+(DK595*(30/100))+(DL595*(50/100))) &lt;=6.3, SUM((DJ595*(20/100))+(DK595*(30/100))+(DL595*(50/100))) &gt;=5.8),6,
IF(AND( SUM((DJ595*(20/100))+(DK595*(30/100))+(DL595*(50/100))) &lt;=5.8, SUM((DJ595*(20/100))+(DK595*(30/100))+(DL595*(50/100))) &gt;=5.3),5.5,
IF(AND( SUM((DJ595*(20/100))+(DK595*(30/100))+(DL595*(50/100))) &lt;=5.3, SUM((DJ595*(20/100))+(DK595*(30/100))+(DL595*(50/100))) &gt;=4.8),5,
IF(AND( SUM((DJ595*(20/100))+(DK595*(30/100))+(DL595*(50/100))) &lt;=4.8, SUM((DJ595*(20/100))+(DK595*(30/100))+(DL595*(50/100))) &gt;=4.3),4.5,
IF(AND( SUM((DJ595*(20/100))+(DK595*(30/100))+(DL595*(50/100))) &lt;=4.3, SUM((DJ595*(20/100))+(DK595*(30/100))+(DL595*(50/100))) &gt;=3.8),4,
IF(AND( SUM((DJ595*(20/100))+(DK595*(30/100))+(DL595*(50/100))) &lt;=3.8, SUM((DJ595*(20/100))+(DK595*(30/100))+(DL595*(50/100))) &gt;=3.5),3.5,0)))))))))))))</f>
        <v>0</v>
      </c>
      <c r="DQ595" s="541"/>
      <c r="DR595" s="541"/>
      <c r="DS595" s="541"/>
      <c r="DT595" s="541"/>
      <c r="DU595" s="541"/>
      <c r="DV595" s="541"/>
      <c r="DW595" s="541"/>
      <c r="DX595" s="541"/>
      <c r="DY595" s="541"/>
      <c r="DZ595" s="541"/>
    </row>
    <row r="596" spans="2:130" x14ac:dyDescent="0.25">
      <c r="B596" s="334">
        <v>39</v>
      </c>
      <c r="C596" s="541"/>
      <c r="D596" s="334"/>
      <c r="E596" s="334"/>
      <c r="F596" s="334"/>
      <c r="G596" s="334"/>
      <c r="H596" s="334"/>
      <c r="I596" s="334"/>
      <c r="J596" s="536"/>
      <c r="K596" s="536"/>
      <c r="L596" s="536"/>
      <c r="M596" s="536"/>
      <c r="N596" s="536"/>
      <c r="O596" s="536"/>
      <c r="P596" s="536">
        <f t="shared" si="226"/>
        <v>0</v>
      </c>
      <c r="Q596" s="536"/>
      <c r="R596" s="536"/>
      <c r="S596" s="536"/>
      <c r="T596" s="536">
        <f t="shared" si="227"/>
        <v>0</v>
      </c>
      <c r="U596" s="536"/>
      <c r="V596" s="536"/>
      <c r="W596" s="536"/>
      <c r="X596" s="536">
        <f t="shared" si="228"/>
        <v>0</v>
      </c>
      <c r="Y596" s="536"/>
      <c r="Z596" s="536"/>
      <c r="AA596" s="536"/>
      <c r="AB596" s="536">
        <f t="shared" si="229"/>
        <v>0</v>
      </c>
      <c r="AC596" s="536"/>
      <c r="AD596" s="536"/>
      <c r="AE596" s="536"/>
      <c r="AF596" s="536">
        <f t="shared" si="230"/>
        <v>0</v>
      </c>
      <c r="AG596" s="536"/>
      <c r="AH596" s="536"/>
      <c r="AI596" s="536"/>
      <c r="AJ596" s="536">
        <f t="shared" si="231"/>
        <v>0</v>
      </c>
      <c r="AK596" s="536"/>
      <c r="AL596" s="536"/>
      <c r="AM596" s="536"/>
      <c r="AN596" s="542">
        <f t="shared" si="232"/>
        <v>0</v>
      </c>
      <c r="AO596" s="536"/>
      <c r="AP596" s="536"/>
      <c r="AQ596" s="536"/>
      <c r="AR596" s="542">
        <f t="shared" si="233"/>
        <v>0</v>
      </c>
      <c r="AS596" s="536"/>
      <c r="AT596" s="536"/>
      <c r="AU596" s="536"/>
      <c r="AV596" s="542">
        <f t="shared" si="234"/>
        <v>0</v>
      </c>
      <c r="AW596" s="536"/>
      <c r="AX596" s="536"/>
      <c r="AY596" s="536"/>
      <c r="AZ596" s="542">
        <f t="shared" si="235"/>
        <v>0</v>
      </c>
      <c r="BA596" s="536"/>
      <c r="BB596" s="536"/>
      <c r="BC596" s="536"/>
      <c r="BD596" s="542">
        <f t="shared" si="236"/>
        <v>0</v>
      </c>
      <c r="BE596" s="536"/>
      <c r="BF596" s="536"/>
      <c r="BG596" s="536"/>
      <c r="BH596" s="542">
        <f t="shared" si="237"/>
        <v>0</v>
      </c>
      <c r="BI596" s="536"/>
      <c r="BJ596" s="536"/>
      <c r="BK596" s="536"/>
      <c r="BL596" s="542">
        <f t="shared" si="238"/>
        <v>0</v>
      </c>
      <c r="BM596" s="536"/>
      <c r="BN596" s="536"/>
      <c r="BO596" s="536"/>
      <c r="BP596" s="542">
        <f t="shared" si="239"/>
        <v>0</v>
      </c>
      <c r="BQ596" s="536"/>
      <c r="BR596" s="536"/>
      <c r="BS596" s="536"/>
      <c r="BT596" s="542">
        <f t="shared" si="240"/>
        <v>0</v>
      </c>
      <c r="BU596" s="536"/>
      <c r="BV596" s="536"/>
      <c r="BW596" s="536"/>
      <c r="BX596" s="542">
        <f t="shared" si="241"/>
        <v>0</v>
      </c>
      <c r="BY596" s="536"/>
      <c r="BZ596" s="536"/>
      <c r="CA596" s="536"/>
      <c r="CB596" s="542">
        <v>0</v>
      </c>
      <c r="CC596" s="536"/>
      <c r="CD596" s="536"/>
      <c r="CE596" s="536"/>
      <c r="CF596" s="541">
        <f t="shared" si="242"/>
        <v>0</v>
      </c>
      <c r="CG596" s="536"/>
      <c r="CH596" s="536"/>
      <c r="CI596" s="536"/>
      <c r="CJ596" s="541">
        <f t="shared" si="243"/>
        <v>0</v>
      </c>
      <c r="CK596" s="536"/>
      <c r="CL596" s="536"/>
      <c r="CM596" s="536"/>
      <c r="CN596" s="541">
        <f t="shared" si="244"/>
        <v>0</v>
      </c>
      <c r="CO596" s="536"/>
      <c r="CP596" s="536"/>
      <c r="CQ596" s="536"/>
      <c r="CR596" s="541">
        <f t="shared" si="245"/>
        <v>0</v>
      </c>
      <c r="CS596" s="536"/>
      <c r="CT596" s="536"/>
      <c r="CU596" s="536"/>
      <c r="CV596" s="541">
        <f t="shared" si="246"/>
        <v>0</v>
      </c>
      <c r="CW596" s="536"/>
      <c r="CX596" s="536"/>
      <c r="CY596" s="536"/>
      <c r="CZ596" s="541">
        <f t="shared" si="247"/>
        <v>0</v>
      </c>
      <c r="DA596" s="536"/>
      <c r="DB596" s="536"/>
      <c r="DC596" s="536"/>
      <c r="DD596" s="541">
        <f t="shared" si="248"/>
        <v>0</v>
      </c>
      <c r="DE596" s="536"/>
      <c r="DF596" s="536"/>
      <c r="DG596" s="536"/>
      <c r="DH596" s="541">
        <f t="shared" si="249"/>
        <v>0</v>
      </c>
      <c r="DI596" s="536"/>
      <c r="DJ596" s="536"/>
      <c r="DK596" s="536"/>
      <c r="DL596" s="541">
        <f t="shared" si="250"/>
        <v>0</v>
      </c>
      <c r="DM596" s="536"/>
      <c r="DN596" s="536"/>
      <c r="DO596" s="536"/>
      <c r="DP596" s="541">
        <f>IF( SUM((DJ596*(20/100))+(DK596*(30/100))+(DL596*(50/100))) &gt;=9.3,9.5,
IF(AND( SUM((DJ596*(20/100))+(DK596*(30/100))+(DL596*(50/100))) &lt;=9.3, SUM((DJ596*(20/100))+(DK596*(30/100))+(DL596*(50/100))) &gt;=8.8),9,
IF(AND( SUM((DJ596*(20/100))+(DK596*(30/100))+(DL596*(50/100))) &lt;=8.8, SUM((DJ596*(20/100))+(DK596*(30/100))+(DL596*(50/100))) &gt;=8.3),8.5,
IF(AND( SUM((DJ596*(20/100))+(DK596*(30/100))+(DL596*(50/100))) &lt;=8.3, SUM((DJ596*(20/100))+(DK596*(30/100))+(DL596*(50/100))) &gt;=7.8),8,
IF(AND( SUM((DJ596*(20/100))+(DK596*(30/100))+(DL596*(50/100))) &lt;=7.8, SUM((DJ596*(20/100))+(DK596*(30/100))+(DL596*(50/100))) &gt;=7.3),7.5,
IF(AND( SUM((DJ596*(20/100))+(DK596*(30/100))+(DL596*(50/100))) &lt;=7.3, SUM((DJ596*(20/100))+(DK596*(30/100))+(DL596*(50/100))) &gt;=6.8),7,
IF(AND( SUM((DJ596*(20/100))+(DK596*(30/100))+(DL596*(50/100))) &lt;=6.8, SUM((DJ596*(20/100))+(DK596*(30/100))+(DL596*(50/100))) &gt;=6.3),6.5,
IF(AND( SUM((DJ596*(20/100))+(DK596*(30/100))+(DL596*(50/100))) &lt;=6.3, SUM((DJ596*(20/100))+(DK596*(30/100))+(DL596*(50/100))) &gt;=5.8),6,
IF(AND( SUM((DJ596*(20/100))+(DK596*(30/100))+(DL596*(50/100))) &lt;=5.8, SUM((DJ596*(20/100))+(DK596*(30/100))+(DL596*(50/100))) &gt;=5.3),5.5,
IF(AND( SUM((DJ596*(20/100))+(DK596*(30/100))+(DL596*(50/100))) &lt;=5.3, SUM((DJ596*(20/100))+(DK596*(30/100))+(DL596*(50/100))) &gt;=4.8),5,
IF(AND( SUM((DJ596*(20/100))+(DK596*(30/100))+(DL596*(50/100))) &lt;=4.8, SUM((DJ596*(20/100))+(DK596*(30/100))+(DL596*(50/100))) &gt;=4.3),4.5,
IF(AND( SUM((DJ596*(20/100))+(DK596*(30/100))+(DL596*(50/100))) &lt;=4.3, SUM((DJ596*(20/100))+(DK596*(30/100))+(DL596*(50/100))) &gt;=3.8),4,
IF(AND( SUM((DJ596*(20/100))+(DK596*(30/100))+(DL596*(50/100))) &lt;=3.8, SUM((DJ596*(20/100))+(DK596*(30/100))+(DL596*(50/100))) &gt;=3.5),3.5,0)))))))))))))</f>
        <v>0</v>
      </c>
      <c r="DQ596" s="541"/>
      <c r="DR596" s="541"/>
      <c r="DS596" s="541"/>
      <c r="DT596" s="541"/>
      <c r="DU596" s="541"/>
      <c r="DV596" s="541"/>
      <c r="DW596" s="541"/>
      <c r="DX596" s="541"/>
      <c r="DY596" s="541"/>
      <c r="DZ596" s="541"/>
    </row>
    <row r="597" spans="2:130" x14ac:dyDescent="0.25">
      <c r="B597" s="334">
        <v>40</v>
      </c>
      <c r="C597" s="541"/>
      <c r="D597" s="334"/>
      <c r="E597" s="334"/>
      <c r="F597" s="334"/>
      <c r="G597" s="334"/>
      <c r="H597" s="334"/>
      <c r="I597" s="334"/>
      <c r="J597" s="536"/>
      <c r="K597" s="536"/>
      <c r="L597" s="536"/>
      <c r="M597" s="536"/>
      <c r="N597" s="536"/>
      <c r="O597" s="536"/>
      <c r="P597" s="536">
        <f t="shared" si="226"/>
        <v>0</v>
      </c>
      <c r="Q597" s="536"/>
      <c r="R597" s="536"/>
      <c r="S597" s="536"/>
      <c r="T597" s="536">
        <f t="shared" si="227"/>
        <v>0</v>
      </c>
      <c r="U597" s="536"/>
      <c r="V597" s="536"/>
      <c r="W597" s="536"/>
      <c r="X597" s="536">
        <f t="shared" si="228"/>
        <v>0</v>
      </c>
      <c r="Y597" s="536"/>
      <c r="Z597" s="536"/>
      <c r="AA597" s="536"/>
      <c r="AB597" s="536">
        <f t="shared" si="229"/>
        <v>0</v>
      </c>
      <c r="AC597" s="536"/>
      <c r="AD597" s="536"/>
      <c r="AE597" s="536"/>
      <c r="AF597" s="536">
        <f t="shared" si="230"/>
        <v>0</v>
      </c>
      <c r="AG597" s="536"/>
      <c r="AH597" s="536"/>
      <c r="AI597" s="536"/>
      <c r="AJ597" s="536">
        <f t="shared" si="231"/>
        <v>0</v>
      </c>
      <c r="AK597" s="536"/>
      <c r="AL597" s="536"/>
      <c r="AM597" s="536"/>
      <c r="AN597" s="542">
        <f t="shared" si="232"/>
        <v>0</v>
      </c>
      <c r="AO597" s="536"/>
      <c r="AP597" s="536"/>
      <c r="AQ597" s="536"/>
      <c r="AR597" s="542">
        <f t="shared" si="233"/>
        <v>0</v>
      </c>
      <c r="AS597" s="536"/>
      <c r="AT597" s="536"/>
      <c r="AU597" s="536"/>
      <c r="AV597" s="542">
        <f t="shared" si="234"/>
        <v>0</v>
      </c>
      <c r="AW597" s="536"/>
      <c r="AX597" s="536"/>
      <c r="AY597" s="536"/>
      <c r="AZ597" s="542">
        <f t="shared" si="235"/>
        <v>0</v>
      </c>
      <c r="BA597" s="536"/>
      <c r="BB597" s="536"/>
      <c r="BC597" s="536"/>
      <c r="BD597" s="542">
        <f t="shared" si="236"/>
        <v>0</v>
      </c>
      <c r="BE597" s="536"/>
      <c r="BF597" s="536"/>
      <c r="BG597" s="536"/>
      <c r="BH597" s="542">
        <f t="shared" si="237"/>
        <v>0</v>
      </c>
      <c r="BI597" s="536"/>
      <c r="BJ597" s="536"/>
      <c r="BK597" s="536"/>
      <c r="BL597" s="542">
        <f t="shared" si="238"/>
        <v>0</v>
      </c>
      <c r="BM597" s="536"/>
      <c r="BN597" s="536"/>
      <c r="BO597" s="536"/>
      <c r="BP597" s="542">
        <f t="shared" si="239"/>
        <v>0</v>
      </c>
      <c r="BQ597" s="536"/>
      <c r="BR597" s="536"/>
      <c r="BS597" s="536"/>
      <c r="BT597" s="542">
        <f t="shared" si="240"/>
        <v>0</v>
      </c>
      <c r="BU597" s="536"/>
      <c r="BV597" s="536"/>
      <c r="BW597" s="536"/>
      <c r="BX597" s="542">
        <f t="shared" si="241"/>
        <v>0</v>
      </c>
      <c r="BY597" s="536"/>
      <c r="BZ597" s="536"/>
      <c r="CA597" s="536"/>
      <c r="CB597" s="542">
        <v>0</v>
      </c>
      <c r="CC597" s="536"/>
      <c r="CD597" s="536"/>
      <c r="CE597" s="536"/>
      <c r="CF597" s="541">
        <f t="shared" si="242"/>
        <v>0</v>
      </c>
      <c r="CG597" s="536"/>
      <c r="CH597" s="536"/>
      <c r="CI597" s="536"/>
      <c r="CJ597" s="541">
        <f t="shared" si="243"/>
        <v>0</v>
      </c>
      <c r="CK597" s="536"/>
      <c r="CL597" s="536"/>
      <c r="CM597" s="536"/>
      <c r="CN597" s="541">
        <f t="shared" si="244"/>
        <v>0</v>
      </c>
      <c r="CO597" s="536"/>
      <c r="CP597" s="536"/>
      <c r="CQ597" s="536"/>
      <c r="CR597" s="541">
        <f t="shared" si="245"/>
        <v>0</v>
      </c>
      <c r="CS597" s="536"/>
      <c r="CT597" s="536"/>
      <c r="CU597" s="536"/>
      <c r="CV597" s="541">
        <f t="shared" si="246"/>
        <v>0</v>
      </c>
      <c r="CW597" s="536"/>
      <c r="CX597" s="536"/>
      <c r="CY597" s="536"/>
      <c r="CZ597" s="541">
        <f t="shared" si="247"/>
        <v>0</v>
      </c>
      <c r="DA597" s="536"/>
      <c r="DB597" s="536"/>
      <c r="DC597" s="536"/>
      <c r="DD597" s="541">
        <f t="shared" si="248"/>
        <v>0</v>
      </c>
      <c r="DE597" s="536"/>
      <c r="DF597" s="536"/>
      <c r="DG597" s="536"/>
      <c r="DH597" s="541">
        <f t="shared" si="249"/>
        <v>0</v>
      </c>
      <c r="DI597" s="536"/>
      <c r="DJ597" s="536"/>
      <c r="DK597" s="536"/>
      <c r="DL597" s="541">
        <f t="shared" si="250"/>
        <v>0</v>
      </c>
      <c r="DM597" s="536"/>
      <c r="DN597" s="536"/>
      <c r="DO597" s="536"/>
      <c r="DP597" s="541">
        <f>IF( SUM((DJ597*(20/100))+(DK597*(30/100))+(DL597*(50/100))) &gt;=9.3,9.5,
IF(AND( SUM((DJ597*(20/100))+(DK597*(30/100))+(DL597*(50/100))) &lt;=9.3, SUM((DJ597*(20/100))+(DK597*(30/100))+(DL597*(50/100))) &gt;=8.8),9,
IF(AND( SUM((DJ597*(20/100))+(DK597*(30/100))+(DL597*(50/100))) &lt;=8.8, SUM((DJ597*(20/100))+(DK597*(30/100))+(DL597*(50/100))) &gt;=8.3),8.5,
IF(AND( SUM((DJ597*(20/100))+(DK597*(30/100))+(DL597*(50/100))) &lt;=8.3, SUM((DJ597*(20/100))+(DK597*(30/100))+(DL597*(50/100))) &gt;=7.8),8,
IF(AND( SUM((DJ597*(20/100))+(DK597*(30/100))+(DL597*(50/100))) &lt;=7.8, SUM((DJ597*(20/100))+(DK597*(30/100))+(DL597*(50/100))) &gt;=7.3),7.5,
IF(AND( SUM((DJ597*(20/100))+(DK597*(30/100))+(DL597*(50/100))) &lt;=7.3, SUM((DJ597*(20/100))+(DK597*(30/100))+(DL597*(50/100))) &gt;=6.8),7,
IF(AND( SUM((DJ597*(20/100))+(DK597*(30/100))+(DL597*(50/100))) &lt;=6.8, SUM((DJ597*(20/100))+(DK597*(30/100))+(DL597*(50/100))) &gt;=6.3),6.5,
IF(AND( SUM((DJ597*(20/100))+(DK597*(30/100))+(DL597*(50/100))) &lt;=6.3, SUM((DJ597*(20/100))+(DK597*(30/100))+(DL597*(50/100))) &gt;=5.8),6,
IF(AND( SUM((DJ597*(20/100))+(DK597*(30/100))+(DL597*(50/100))) &lt;=5.8, SUM((DJ597*(20/100))+(DK597*(30/100))+(DL597*(50/100))) &gt;=5.3),5.5,
IF(AND( SUM((DJ597*(20/100))+(DK597*(30/100))+(DL597*(50/100))) &lt;=5.3, SUM((DJ597*(20/100))+(DK597*(30/100))+(DL597*(50/100))) &gt;=4.8),5,
IF(AND( SUM((DJ597*(20/100))+(DK597*(30/100))+(DL597*(50/100))) &lt;=4.8, SUM((DJ597*(20/100))+(DK597*(30/100))+(DL597*(50/100))) &gt;=4.3),4.5,
IF(AND( SUM((DJ597*(20/100))+(DK597*(30/100))+(DL597*(50/100))) &lt;=4.3, SUM((DJ597*(20/100))+(DK597*(30/100))+(DL597*(50/100))) &gt;=3.8),4,
IF(AND( SUM((DJ597*(20/100))+(DK597*(30/100))+(DL597*(50/100))) &lt;=3.8, SUM((DJ597*(20/100))+(DK597*(30/100))+(DL597*(50/100))) &gt;=3.5),3.5,0)))))))))))))</f>
        <v>0</v>
      </c>
      <c r="DQ597" s="541"/>
      <c r="DR597" s="541"/>
      <c r="DS597" s="541"/>
      <c r="DT597" s="541"/>
      <c r="DU597" s="541"/>
      <c r="DV597" s="541"/>
      <c r="DW597" s="541"/>
      <c r="DX597" s="541"/>
      <c r="DY597" s="541"/>
      <c r="DZ597" s="541"/>
    </row>
    <row r="598" spans="2:130" x14ac:dyDescent="0.25">
      <c r="B598" s="334">
        <v>41</v>
      </c>
      <c r="C598" s="541"/>
      <c r="D598" s="334"/>
      <c r="E598" s="334"/>
      <c r="F598" s="334"/>
      <c r="G598" s="334"/>
      <c r="H598" s="334"/>
      <c r="I598" s="334"/>
      <c r="J598" s="536"/>
      <c r="K598" s="536"/>
      <c r="L598" s="536"/>
      <c r="M598" s="536"/>
      <c r="N598" s="536"/>
      <c r="O598" s="536"/>
      <c r="P598" s="536">
        <f t="shared" si="226"/>
        <v>0</v>
      </c>
      <c r="Q598" s="536"/>
      <c r="R598" s="536"/>
      <c r="S598" s="536"/>
      <c r="T598" s="536">
        <f t="shared" si="227"/>
        <v>0</v>
      </c>
      <c r="U598" s="536"/>
      <c r="V598" s="536"/>
      <c r="W598" s="536"/>
      <c r="X598" s="536">
        <f t="shared" si="228"/>
        <v>0</v>
      </c>
      <c r="Y598" s="536"/>
      <c r="Z598" s="536"/>
      <c r="AA598" s="536"/>
      <c r="AB598" s="536">
        <f t="shared" si="229"/>
        <v>0</v>
      </c>
      <c r="AC598" s="536"/>
      <c r="AD598" s="536"/>
      <c r="AE598" s="536"/>
      <c r="AF598" s="536">
        <f t="shared" si="230"/>
        <v>0</v>
      </c>
      <c r="AG598" s="536"/>
      <c r="AH598" s="536"/>
      <c r="AI598" s="536"/>
      <c r="AJ598" s="536">
        <f t="shared" si="231"/>
        <v>0</v>
      </c>
      <c r="AK598" s="536"/>
      <c r="AL598" s="536"/>
      <c r="AM598" s="536"/>
      <c r="AN598" s="542">
        <f t="shared" si="232"/>
        <v>0</v>
      </c>
      <c r="AO598" s="536"/>
      <c r="AP598" s="536"/>
      <c r="AQ598" s="536"/>
      <c r="AR598" s="542">
        <f t="shared" si="233"/>
        <v>0</v>
      </c>
      <c r="AS598" s="536"/>
      <c r="AT598" s="536"/>
      <c r="AU598" s="536"/>
      <c r="AV598" s="542">
        <f t="shared" si="234"/>
        <v>0</v>
      </c>
      <c r="AW598" s="536"/>
      <c r="AX598" s="536"/>
      <c r="AY598" s="536"/>
      <c r="AZ598" s="542">
        <f t="shared" si="235"/>
        <v>0</v>
      </c>
      <c r="BA598" s="536"/>
      <c r="BB598" s="536"/>
      <c r="BC598" s="536"/>
      <c r="BD598" s="542">
        <f t="shared" si="236"/>
        <v>0</v>
      </c>
      <c r="BE598" s="536"/>
      <c r="BF598" s="536"/>
      <c r="BG598" s="536"/>
      <c r="BH598" s="542">
        <f t="shared" si="237"/>
        <v>0</v>
      </c>
      <c r="BI598" s="536"/>
      <c r="BJ598" s="536"/>
      <c r="BK598" s="536"/>
      <c r="BL598" s="542">
        <f t="shared" si="238"/>
        <v>0</v>
      </c>
      <c r="BM598" s="536"/>
      <c r="BN598" s="536"/>
      <c r="BO598" s="536"/>
      <c r="BP598" s="542">
        <f t="shared" si="239"/>
        <v>0</v>
      </c>
      <c r="BQ598" s="536"/>
      <c r="BR598" s="536"/>
      <c r="BS598" s="536"/>
      <c r="BT598" s="542">
        <f t="shared" si="240"/>
        <v>0</v>
      </c>
      <c r="BU598" s="536"/>
      <c r="BV598" s="536"/>
      <c r="BW598" s="536"/>
      <c r="BX598" s="542">
        <f t="shared" si="241"/>
        <v>0</v>
      </c>
      <c r="BY598" s="536"/>
      <c r="BZ598" s="536"/>
      <c r="CA598" s="536"/>
      <c r="CB598" s="542">
        <v>0</v>
      </c>
      <c r="CC598" s="536"/>
      <c r="CD598" s="536"/>
      <c r="CE598" s="536"/>
      <c r="CF598" s="541">
        <f t="shared" si="242"/>
        <v>0</v>
      </c>
      <c r="CG598" s="536"/>
      <c r="CH598" s="536"/>
      <c r="CI598" s="536"/>
      <c r="CJ598" s="541">
        <f t="shared" si="243"/>
        <v>0</v>
      </c>
      <c r="CK598" s="536"/>
      <c r="CL598" s="536"/>
      <c r="CM598" s="536"/>
      <c r="CN598" s="541">
        <f t="shared" si="244"/>
        <v>0</v>
      </c>
      <c r="CO598" s="536"/>
      <c r="CP598" s="536"/>
      <c r="CQ598" s="536"/>
      <c r="CR598" s="541">
        <f t="shared" si="245"/>
        <v>0</v>
      </c>
      <c r="CS598" s="536"/>
      <c r="CT598" s="536"/>
      <c r="CU598" s="536"/>
      <c r="CV598" s="541">
        <f t="shared" si="246"/>
        <v>0</v>
      </c>
      <c r="CW598" s="536"/>
      <c r="CX598" s="536"/>
      <c r="CY598" s="536"/>
      <c r="CZ598" s="541">
        <f t="shared" si="247"/>
        <v>0</v>
      </c>
      <c r="DA598" s="536"/>
      <c r="DB598" s="536"/>
      <c r="DC598" s="536"/>
      <c r="DD598" s="541">
        <f t="shared" si="248"/>
        <v>0</v>
      </c>
      <c r="DE598" s="536"/>
      <c r="DF598" s="536"/>
      <c r="DG598" s="536"/>
      <c r="DH598" s="541">
        <f t="shared" si="249"/>
        <v>0</v>
      </c>
      <c r="DI598" s="536"/>
      <c r="DJ598" s="536"/>
      <c r="DK598" s="536"/>
      <c r="DL598" s="541">
        <f t="shared" si="250"/>
        <v>0</v>
      </c>
      <c r="DM598" s="536"/>
      <c r="DN598" s="536"/>
      <c r="DO598" s="536"/>
      <c r="DP598" s="541">
        <f>IF( SUM((DJ598*(20/100))+(DK598*(30/100))+(DL598*(50/100))) &gt;=9.3,9.5,
IF(AND( SUM((DJ598*(20/100))+(DK598*(30/100))+(DL598*(50/100))) &lt;=9.3, SUM((DJ598*(20/100))+(DK598*(30/100))+(DL598*(50/100))) &gt;=8.8),9,
IF(AND( SUM((DJ598*(20/100))+(DK598*(30/100))+(DL598*(50/100))) &lt;=8.8, SUM((DJ598*(20/100))+(DK598*(30/100))+(DL598*(50/100))) &gt;=8.3),8.5,
IF(AND( SUM((DJ598*(20/100))+(DK598*(30/100))+(DL598*(50/100))) &lt;=8.3, SUM((DJ598*(20/100))+(DK598*(30/100))+(DL598*(50/100))) &gt;=7.8),8,
IF(AND( SUM((DJ598*(20/100))+(DK598*(30/100))+(DL598*(50/100))) &lt;=7.8, SUM((DJ598*(20/100))+(DK598*(30/100))+(DL598*(50/100))) &gt;=7.3),7.5,
IF(AND( SUM((DJ598*(20/100))+(DK598*(30/100))+(DL598*(50/100))) &lt;=7.3, SUM((DJ598*(20/100))+(DK598*(30/100))+(DL598*(50/100))) &gt;=6.8),7,
IF(AND( SUM((DJ598*(20/100))+(DK598*(30/100))+(DL598*(50/100))) &lt;=6.8, SUM((DJ598*(20/100))+(DK598*(30/100))+(DL598*(50/100))) &gt;=6.3),6.5,
IF(AND( SUM((DJ598*(20/100))+(DK598*(30/100))+(DL598*(50/100))) &lt;=6.3, SUM((DJ598*(20/100))+(DK598*(30/100))+(DL598*(50/100))) &gt;=5.8),6,
IF(AND( SUM((DJ598*(20/100))+(DK598*(30/100))+(DL598*(50/100))) &lt;=5.8, SUM((DJ598*(20/100))+(DK598*(30/100))+(DL598*(50/100))) &gt;=5.3),5.5,
IF(AND( SUM((DJ598*(20/100))+(DK598*(30/100))+(DL598*(50/100))) &lt;=5.3, SUM((DJ598*(20/100))+(DK598*(30/100))+(DL598*(50/100))) &gt;=4.8),5,
IF(AND( SUM((DJ598*(20/100))+(DK598*(30/100))+(DL598*(50/100))) &lt;=4.8, SUM((DJ598*(20/100))+(DK598*(30/100))+(DL598*(50/100))) &gt;=4.3),4.5,
IF(AND( SUM((DJ598*(20/100))+(DK598*(30/100))+(DL598*(50/100))) &lt;=4.3, SUM((DJ598*(20/100))+(DK598*(30/100))+(DL598*(50/100))) &gt;=3.8),4,
IF(AND( SUM((DJ598*(20/100))+(DK598*(30/100))+(DL598*(50/100))) &lt;=3.8, SUM((DJ598*(20/100))+(DK598*(30/100))+(DL598*(50/100))) &gt;=3.5),3.5,0)))))))))))))</f>
        <v>0</v>
      </c>
      <c r="DQ598" s="541"/>
      <c r="DR598" s="541"/>
      <c r="DS598" s="541"/>
      <c r="DT598" s="541"/>
      <c r="DU598" s="541"/>
      <c r="DV598" s="541"/>
      <c r="DW598" s="541"/>
      <c r="DX598" s="541"/>
      <c r="DY598" s="541"/>
      <c r="DZ598" s="541"/>
    </row>
    <row r="599" spans="2:130" x14ac:dyDescent="0.25">
      <c r="B599" s="334">
        <v>42</v>
      </c>
      <c r="C599" s="541"/>
      <c r="D599" s="334"/>
      <c r="E599" s="334"/>
      <c r="F599" s="334"/>
      <c r="G599" s="334"/>
      <c r="H599" s="334"/>
      <c r="I599" s="334"/>
      <c r="J599" s="536"/>
      <c r="K599" s="536"/>
      <c r="L599" s="536"/>
      <c r="M599" s="536"/>
      <c r="N599" s="536"/>
      <c r="O599" s="536"/>
      <c r="P599" s="536">
        <f t="shared" si="226"/>
        <v>0</v>
      </c>
      <c r="Q599" s="536"/>
      <c r="R599" s="536"/>
      <c r="S599" s="536"/>
      <c r="T599" s="536">
        <f t="shared" si="227"/>
        <v>0</v>
      </c>
      <c r="U599" s="536"/>
      <c r="V599" s="536"/>
      <c r="W599" s="536"/>
      <c r="X599" s="536">
        <f t="shared" si="228"/>
        <v>0</v>
      </c>
      <c r="Y599" s="536"/>
      <c r="Z599" s="536"/>
      <c r="AA599" s="536"/>
      <c r="AB599" s="536">
        <f t="shared" si="229"/>
        <v>0</v>
      </c>
      <c r="AC599" s="536"/>
      <c r="AD599" s="536"/>
      <c r="AE599" s="536"/>
      <c r="AF599" s="536">
        <f t="shared" si="230"/>
        <v>0</v>
      </c>
      <c r="AG599" s="536"/>
      <c r="AH599" s="536"/>
      <c r="AI599" s="536"/>
      <c r="AJ599" s="536">
        <f t="shared" si="231"/>
        <v>0</v>
      </c>
      <c r="AK599" s="536"/>
      <c r="AL599" s="536"/>
      <c r="AM599" s="536"/>
      <c r="AN599" s="542">
        <f t="shared" si="232"/>
        <v>0</v>
      </c>
      <c r="AO599" s="536"/>
      <c r="AP599" s="536"/>
      <c r="AQ599" s="536"/>
      <c r="AR599" s="542">
        <f t="shared" si="233"/>
        <v>0</v>
      </c>
      <c r="AS599" s="536"/>
      <c r="AT599" s="536"/>
      <c r="AU599" s="536"/>
      <c r="AV599" s="542">
        <f t="shared" si="234"/>
        <v>0</v>
      </c>
      <c r="AW599" s="536"/>
      <c r="AX599" s="536"/>
      <c r="AY599" s="536"/>
      <c r="AZ599" s="542">
        <f t="shared" si="235"/>
        <v>0</v>
      </c>
      <c r="BA599" s="536"/>
      <c r="BB599" s="536"/>
      <c r="BC599" s="536"/>
      <c r="BD599" s="542">
        <f t="shared" si="236"/>
        <v>0</v>
      </c>
      <c r="BE599" s="536"/>
      <c r="BF599" s="536"/>
      <c r="BG599" s="536"/>
      <c r="BH599" s="542">
        <f t="shared" si="237"/>
        <v>0</v>
      </c>
      <c r="BI599" s="536"/>
      <c r="BJ599" s="536"/>
      <c r="BK599" s="536"/>
      <c r="BL599" s="542">
        <f t="shared" si="238"/>
        <v>0</v>
      </c>
      <c r="BM599" s="536"/>
      <c r="BN599" s="536"/>
      <c r="BO599" s="536"/>
      <c r="BP599" s="542">
        <f t="shared" si="239"/>
        <v>0</v>
      </c>
      <c r="BQ599" s="536"/>
      <c r="BR599" s="536"/>
      <c r="BS599" s="536"/>
      <c r="BT599" s="542">
        <f t="shared" si="240"/>
        <v>0</v>
      </c>
      <c r="BU599" s="536"/>
      <c r="BV599" s="536"/>
      <c r="BW599" s="536"/>
      <c r="BX599" s="542">
        <f t="shared" si="241"/>
        <v>0</v>
      </c>
      <c r="BY599" s="536"/>
      <c r="BZ599" s="536"/>
      <c r="CA599" s="536"/>
      <c r="CB599" s="542">
        <v>0</v>
      </c>
      <c r="CC599" s="536"/>
      <c r="CD599" s="536"/>
      <c r="CE599" s="536"/>
      <c r="CF599" s="541">
        <f t="shared" si="242"/>
        <v>0</v>
      </c>
      <c r="CG599" s="536"/>
      <c r="CH599" s="536"/>
      <c r="CI599" s="536"/>
      <c r="CJ599" s="541">
        <f t="shared" si="243"/>
        <v>0</v>
      </c>
      <c r="CK599" s="536"/>
      <c r="CL599" s="536"/>
      <c r="CM599" s="536"/>
      <c r="CN599" s="541">
        <f t="shared" si="244"/>
        <v>0</v>
      </c>
      <c r="CO599" s="536"/>
      <c r="CP599" s="536"/>
      <c r="CQ599" s="536"/>
      <c r="CR599" s="541">
        <f t="shared" si="245"/>
        <v>0</v>
      </c>
      <c r="CS599" s="536"/>
      <c r="CT599" s="536"/>
      <c r="CU599" s="536"/>
      <c r="CV599" s="541">
        <f t="shared" si="246"/>
        <v>0</v>
      </c>
      <c r="CW599" s="536"/>
      <c r="CX599" s="536"/>
      <c r="CY599" s="536"/>
      <c r="CZ599" s="541">
        <f t="shared" si="247"/>
        <v>0</v>
      </c>
      <c r="DA599" s="536"/>
      <c r="DB599" s="536"/>
      <c r="DC599" s="536"/>
      <c r="DD599" s="541">
        <f t="shared" si="248"/>
        <v>0</v>
      </c>
      <c r="DE599" s="536"/>
      <c r="DF599" s="536"/>
      <c r="DG599" s="536"/>
      <c r="DH599" s="541">
        <f t="shared" si="249"/>
        <v>0</v>
      </c>
      <c r="DI599" s="536"/>
      <c r="DJ599" s="536"/>
      <c r="DK599" s="536"/>
      <c r="DL599" s="541">
        <f t="shared" si="250"/>
        <v>0</v>
      </c>
      <c r="DM599" s="536"/>
      <c r="DN599" s="536"/>
      <c r="DO599" s="536"/>
      <c r="DP599" s="541">
        <f>IF( SUM((DJ599*(20/100))+(DK599*(30/100))+(DL599*(50/100))) &gt;=9.3,9.5,
IF(AND( SUM((DJ599*(20/100))+(DK599*(30/100))+(DL599*(50/100))) &lt;=9.3, SUM((DJ599*(20/100))+(DK599*(30/100))+(DL599*(50/100))) &gt;=8.8),9,
IF(AND( SUM((DJ599*(20/100))+(DK599*(30/100))+(DL599*(50/100))) &lt;=8.8, SUM((DJ599*(20/100))+(DK599*(30/100))+(DL599*(50/100))) &gt;=8.3),8.5,
IF(AND( SUM((DJ599*(20/100))+(DK599*(30/100))+(DL599*(50/100))) &lt;=8.3, SUM((DJ599*(20/100))+(DK599*(30/100))+(DL599*(50/100))) &gt;=7.8),8,
IF(AND( SUM((DJ599*(20/100))+(DK599*(30/100))+(DL599*(50/100))) &lt;=7.8, SUM((DJ599*(20/100))+(DK599*(30/100))+(DL599*(50/100))) &gt;=7.3),7.5,
IF(AND( SUM((DJ599*(20/100))+(DK599*(30/100))+(DL599*(50/100))) &lt;=7.3, SUM((DJ599*(20/100))+(DK599*(30/100))+(DL599*(50/100))) &gt;=6.8),7,
IF(AND( SUM((DJ599*(20/100))+(DK599*(30/100))+(DL599*(50/100))) &lt;=6.8, SUM((DJ599*(20/100))+(DK599*(30/100))+(DL599*(50/100))) &gt;=6.3),6.5,
IF(AND( SUM((DJ599*(20/100))+(DK599*(30/100))+(DL599*(50/100))) &lt;=6.3, SUM((DJ599*(20/100))+(DK599*(30/100))+(DL599*(50/100))) &gt;=5.8),6,
IF(AND( SUM((DJ599*(20/100))+(DK599*(30/100))+(DL599*(50/100))) &lt;=5.8, SUM((DJ599*(20/100))+(DK599*(30/100))+(DL599*(50/100))) &gt;=5.3),5.5,
IF(AND( SUM((DJ599*(20/100))+(DK599*(30/100))+(DL599*(50/100))) &lt;=5.3, SUM((DJ599*(20/100))+(DK599*(30/100))+(DL599*(50/100))) &gt;=4.8),5,
IF(AND( SUM((DJ599*(20/100))+(DK599*(30/100))+(DL599*(50/100))) &lt;=4.8, SUM((DJ599*(20/100))+(DK599*(30/100))+(DL599*(50/100))) &gt;=4.3),4.5,
IF(AND( SUM((DJ599*(20/100))+(DK599*(30/100))+(DL599*(50/100))) &lt;=4.3, SUM((DJ599*(20/100))+(DK599*(30/100))+(DL599*(50/100))) &gt;=3.8),4,
IF(AND( SUM((DJ599*(20/100))+(DK599*(30/100))+(DL599*(50/100))) &lt;=3.8, SUM((DJ599*(20/100))+(DK599*(30/100))+(DL599*(50/100))) &gt;=3.5),3.5,0)))))))))))))</f>
        <v>0</v>
      </c>
      <c r="DQ599" s="541"/>
      <c r="DR599" s="541"/>
      <c r="DS599" s="541"/>
      <c r="DT599" s="541"/>
      <c r="DU599" s="541"/>
      <c r="DV599" s="541"/>
      <c r="DW599" s="541"/>
      <c r="DX599" s="541"/>
      <c r="DY599" s="541"/>
      <c r="DZ599" s="541"/>
    </row>
    <row r="600" spans="2:130" x14ac:dyDescent="0.25">
      <c r="B600" s="334">
        <v>43</v>
      </c>
      <c r="C600" s="541"/>
      <c r="D600" s="334"/>
      <c r="E600" s="334"/>
      <c r="F600" s="334"/>
      <c r="G600" s="334"/>
      <c r="H600" s="334"/>
      <c r="I600" s="334"/>
      <c r="J600" s="536"/>
      <c r="K600" s="536"/>
      <c r="L600" s="536"/>
      <c r="M600" s="536"/>
      <c r="N600" s="536"/>
      <c r="O600" s="536"/>
      <c r="P600" s="536">
        <f t="shared" si="226"/>
        <v>0</v>
      </c>
      <c r="Q600" s="536"/>
      <c r="R600" s="536"/>
      <c r="S600" s="536"/>
      <c r="T600" s="536">
        <f t="shared" si="227"/>
        <v>0</v>
      </c>
      <c r="U600" s="536"/>
      <c r="V600" s="536"/>
      <c r="W600" s="536"/>
      <c r="X600" s="536">
        <f t="shared" si="228"/>
        <v>0</v>
      </c>
      <c r="Y600" s="536"/>
      <c r="Z600" s="536"/>
      <c r="AA600" s="536"/>
      <c r="AB600" s="536">
        <f t="shared" si="229"/>
        <v>0</v>
      </c>
      <c r="AC600" s="536"/>
      <c r="AD600" s="536"/>
      <c r="AE600" s="536"/>
      <c r="AF600" s="536">
        <f t="shared" si="230"/>
        <v>0</v>
      </c>
      <c r="AG600" s="536"/>
      <c r="AH600" s="536"/>
      <c r="AI600" s="536"/>
      <c r="AJ600" s="536">
        <f t="shared" si="231"/>
        <v>0</v>
      </c>
      <c r="AK600" s="536"/>
      <c r="AL600" s="536"/>
      <c r="AM600" s="536"/>
      <c r="AN600" s="542">
        <f t="shared" si="232"/>
        <v>0</v>
      </c>
      <c r="AO600" s="536"/>
      <c r="AP600" s="536"/>
      <c r="AQ600" s="536"/>
      <c r="AR600" s="542">
        <f t="shared" si="233"/>
        <v>0</v>
      </c>
      <c r="AS600" s="536"/>
      <c r="AT600" s="536"/>
      <c r="AU600" s="536"/>
      <c r="AV600" s="542">
        <f t="shared" si="234"/>
        <v>0</v>
      </c>
      <c r="AW600" s="536"/>
      <c r="AX600" s="536"/>
      <c r="AY600" s="536"/>
      <c r="AZ600" s="542">
        <f t="shared" si="235"/>
        <v>0</v>
      </c>
      <c r="BA600" s="536"/>
      <c r="BB600" s="536"/>
      <c r="BC600" s="536"/>
      <c r="BD600" s="542">
        <f t="shared" si="236"/>
        <v>0</v>
      </c>
      <c r="BE600" s="536"/>
      <c r="BF600" s="536"/>
      <c r="BG600" s="536"/>
      <c r="BH600" s="542">
        <f t="shared" si="237"/>
        <v>0</v>
      </c>
      <c r="BI600" s="536"/>
      <c r="BJ600" s="536"/>
      <c r="BK600" s="536"/>
      <c r="BL600" s="542">
        <f t="shared" si="238"/>
        <v>0</v>
      </c>
      <c r="BM600" s="536"/>
      <c r="BN600" s="536"/>
      <c r="BO600" s="536"/>
      <c r="BP600" s="542">
        <f t="shared" si="239"/>
        <v>0</v>
      </c>
      <c r="BQ600" s="536"/>
      <c r="BR600" s="536"/>
      <c r="BS600" s="536"/>
      <c r="BT600" s="542">
        <f t="shared" si="240"/>
        <v>0</v>
      </c>
      <c r="BU600" s="536"/>
      <c r="BV600" s="536"/>
      <c r="BW600" s="536"/>
      <c r="BX600" s="542">
        <f t="shared" si="241"/>
        <v>0</v>
      </c>
      <c r="BY600" s="536"/>
      <c r="BZ600" s="536"/>
      <c r="CA600" s="536"/>
      <c r="CB600" s="542">
        <v>0</v>
      </c>
      <c r="CC600" s="536"/>
      <c r="CD600" s="536"/>
      <c r="CE600" s="536"/>
      <c r="CF600" s="541">
        <f t="shared" si="242"/>
        <v>0</v>
      </c>
      <c r="CG600" s="536"/>
      <c r="CH600" s="536"/>
      <c r="CI600" s="536"/>
      <c r="CJ600" s="541">
        <f t="shared" si="243"/>
        <v>0</v>
      </c>
      <c r="CK600" s="536"/>
      <c r="CL600" s="536"/>
      <c r="CM600" s="536"/>
      <c r="CN600" s="541">
        <f t="shared" si="244"/>
        <v>0</v>
      </c>
      <c r="CO600" s="536"/>
      <c r="CP600" s="536"/>
      <c r="CQ600" s="536"/>
      <c r="CR600" s="541">
        <f t="shared" si="245"/>
        <v>0</v>
      </c>
      <c r="CS600" s="536"/>
      <c r="CT600" s="536"/>
      <c r="CU600" s="536"/>
      <c r="CV600" s="541">
        <f t="shared" si="246"/>
        <v>0</v>
      </c>
      <c r="CW600" s="536"/>
      <c r="CX600" s="536"/>
      <c r="CY600" s="536"/>
      <c r="CZ600" s="541">
        <f t="shared" si="247"/>
        <v>0</v>
      </c>
      <c r="DA600" s="536"/>
      <c r="DB600" s="536"/>
      <c r="DC600" s="536"/>
      <c r="DD600" s="541">
        <f t="shared" si="248"/>
        <v>0</v>
      </c>
      <c r="DE600" s="536"/>
      <c r="DF600" s="536"/>
      <c r="DG600" s="536"/>
      <c r="DH600" s="541">
        <f t="shared" si="249"/>
        <v>0</v>
      </c>
      <c r="DI600" s="536"/>
      <c r="DJ600" s="536"/>
      <c r="DK600" s="536"/>
      <c r="DL600" s="541">
        <f t="shared" si="250"/>
        <v>0</v>
      </c>
      <c r="DM600" s="536"/>
      <c r="DN600" s="536"/>
      <c r="DO600" s="536"/>
      <c r="DP600" s="541">
        <f>IF( SUM((DJ600*(20/100))+(DK600*(30/100))+(DL600*(50/100))) &gt;=9.3,9.5,
IF(AND( SUM((DJ600*(20/100))+(DK600*(30/100))+(DL600*(50/100))) &lt;=9.3, SUM((DJ600*(20/100))+(DK600*(30/100))+(DL600*(50/100))) &gt;=8.8),9,
IF(AND( SUM((DJ600*(20/100))+(DK600*(30/100))+(DL600*(50/100))) &lt;=8.8, SUM((DJ600*(20/100))+(DK600*(30/100))+(DL600*(50/100))) &gt;=8.3),8.5,
IF(AND( SUM((DJ600*(20/100))+(DK600*(30/100))+(DL600*(50/100))) &lt;=8.3, SUM((DJ600*(20/100))+(DK600*(30/100))+(DL600*(50/100))) &gt;=7.8),8,
IF(AND( SUM((DJ600*(20/100))+(DK600*(30/100))+(DL600*(50/100))) &lt;=7.8, SUM((DJ600*(20/100))+(DK600*(30/100))+(DL600*(50/100))) &gt;=7.3),7.5,
IF(AND( SUM((DJ600*(20/100))+(DK600*(30/100))+(DL600*(50/100))) &lt;=7.3, SUM((DJ600*(20/100))+(DK600*(30/100))+(DL600*(50/100))) &gt;=6.8),7,
IF(AND( SUM((DJ600*(20/100))+(DK600*(30/100))+(DL600*(50/100))) &lt;=6.8, SUM((DJ600*(20/100))+(DK600*(30/100))+(DL600*(50/100))) &gt;=6.3),6.5,
IF(AND( SUM((DJ600*(20/100))+(DK600*(30/100))+(DL600*(50/100))) &lt;=6.3, SUM((DJ600*(20/100))+(DK600*(30/100))+(DL600*(50/100))) &gt;=5.8),6,
IF(AND( SUM((DJ600*(20/100))+(DK600*(30/100))+(DL600*(50/100))) &lt;=5.8, SUM((DJ600*(20/100))+(DK600*(30/100))+(DL600*(50/100))) &gt;=5.3),5.5,
IF(AND( SUM((DJ600*(20/100))+(DK600*(30/100))+(DL600*(50/100))) &lt;=5.3, SUM((DJ600*(20/100))+(DK600*(30/100))+(DL600*(50/100))) &gt;=4.8),5,
IF(AND( SUM((DJ600*(20/100))+(DK600*(30/100))+(DL600*(50/100))) &lt;=4.8, SUM((DJ600*(20/100))+(DK600*(30/100))+(DL600*(50/100))) &gt;=4.3),4.5,
IF(AND( SUM((DJ600*(20/100))+(DK600*(30/100))+(DL600*(50/100))) &lt;=4.3, SUM((DJ600*(20/100))+(DK600*(30/100))+(DL600*(50/100))) &gt;=3.8),4,
IF(AND( SUM((DJ600*(20/100))+(DK600*(30/100))+(DL600*(50/100))) &lt;=3.8, SUM((DJ600*(20/100))+(DK600*(30/100))+(DL600*(50/100))) &gt;=3.5),3.5,0)))))))))))))</f>
        <v>0</v>
      </c>
      <c r="DQ600" s="541"/>
      <c r="DR600" s="541"/>
      <c r="DS600" s="541"/>
      <c r="DT600" s="541"/>
      <c r="DU600" s="541"/>
      <c r="DV600" s="541"/>
      <c r="DW600" s="541"/>
      <c r="DX600" s="541"/>
      <c r="DY600" s="541"/>
      <c r="DZ600" s="541"/>
    </row>
    <row r="601" spans="2:130" x14ac:dyDescent="0.25">
      <c r="B601" s="334">
        <v>44</v>
      </c>
      <c r="C601" s="541"/>
      <c r="D601" s="334"/>
      <c r="E601" s="334"/>
      <c r="F601" s="334"/>
      <c r="G601" s="334"/>
      <c r="H601" s="334"/>
      <c r="I601" s="334"/>
      <c r="J601" s="536"/>
      <c r="K601" s="536"/>
      <c r="L601" s="536"/>
      <c r="M601" s="536"/>
      <c r="N601" s="536"/>
      <c r="O601" s="536"/>
      <c r="P601" s="536">
        <f t="shared" si="226"/>
        <v>0</v>
      </c>
      <c r="Q601" s="536"/>
      <c r="R601" s="536"/>
      <c r="S601" s="536"/>
      <c r="T601" s="536">
        <f t="shared" si="227"/>
        <v>0</v>
      </c>
      <c r="U601" s="536"/>
      <c r="V601" s="536"/>
      <c r="W601" s="536"/>
      <c r="X601" s="536">
        <f t="shared" si="228"/>
        <v>0</v>
      </c>
      <c r="Y601" s="536"/>
      <c r="Z601" s="536"/>
      <c r="AA601" s="536"/>
      <c r="AB601" s="536">
        <f t="shared" si="229"/>
        <v>0</v>
      </c>
      <c r="AC601" s="536"/>
      <c r="AD601" s="536"/>
      <c r="AE601" s="536"/>
      <c r="AF601" s="536">
        <f t="shared" si="230"/>
        <v>0</v>
      </c>
      <c r="AG601" s="536"/>
      <c r="AH601" s="536"/>
      <c r="AI601" s="536"/>
      <c r="AJ601" s="536">
        <f t="shared" si="231"/>
        <v>0</v>
      </c>
      <c r="AK601" s="536"/>
      <c r="AL601" s="536"/>
      <c r="AM601" s="536"/>
      <c r="AN601" s="542">
        <f t="shared" si="232"/>
        <v>0</v>
      </c>
      <c r="AO601" s="536"/>
      <c r="AP601" s="536"/>
      <c r="AQ601" s="536"/>
      <c r="AR601" s="542">
        <f t="shared" si="233"/>
        <v>0</v>
      </c>
      <c r="AS601" s="536"/>
      <c r="AT601" s="536"/>
      <c r="AU601" s="536"/>
      <c r="AV601" s="542">
        <f t="shared" si="234"/>
        <v>0</v>
      </c>
      <c r="AW601" s="536"/>
      <c r="AX601" s="536"/>
      <c r="AY601" s="536"/>
      <c r="AZ601" s="542">
        <f t="shared" si="235"/>
        <v>0</v>
      </c>
      <c r="BA601" s="536"/>
      <c r="BB601" s="536"/>
      <c r="BC601" s="536"/>
      <c r="BD601" s="542">
        <f t="shared" si="236"/>
        <v>0</v>
      </c>
      <c r="BE601" s="536"/>
      <c r="BF601" s="536"/>
      <c r="BG601" s="536"/>
      <c r="BH601" s="542">
        <f t="shared" si="237"/>
        <v>0</v>
      </c>
      <c r="BI601" s="536"/>
      <c r="BJ601" s="536"/>
      <c r="BK601" s="536"/>
      <c r="BL601" s="542">
        <f t="shared" si="238"/>
        <v>0</v>
      </c>
      <c r="BM601" s="536"/>
      <c r="BN601" s="536"/>
      <c r="BO601" s="536"/>
      <c r="BP601" s="542">
        <f t="shared" si="239"/>
        <v>0</v>
      </c>
      <c r="BQ601" s="536"/>
      <c r="BR601" s="536"/>
      <c r="BS601" s="536"/>
      <c r="BT601" s="542">
        <f t="shared" si="240"/>
        <v>0</v>
      </c>
      <c r="BU601" s="536"/>
      <c r="BV601" s="536"/>
      <c r="BW601" s="536"/>
      <c r="BX601" s="542">
        <f t="shared" si="241"/>
        <v>0</v>
      </c>
      <c r="BY601" s="536"/>
      <c r="BZ601" s="536"/>
      <c r="CA601" s="536"/>
      <c r="CB601" s="542">
        <v>0</v>
      </c>
      <c r="CC601" s="536"/>
      <c r="CD601" s="536"/>
      <c r="CE601" s="536"/>
      <c r="CF601" s="541">
        <f t="shared" si="242"/>
        <v>0</v>
      </c>
      <c r="CG601" s="536"/>
      <c r="CH601" s="536"/>
      <c r="CI601" s="536"/>
      <c r="CJ601" s="541">
        <f t="shared" si="243"/>
        <v>0</v>
      </c>
      <c r="CK601" s="536"/>
      <c r="CL601" s="536"/>
      <c r="CM601" s="536"/>
      <c r="CN601" s="541">
        <f t="shared" si="244"/>
        <v>0</v>
      </c>
      <c r="CO601" s="536"/>
      <c r="CP601" s="536"/>
      <c r="CQ601" s="536"/>
      <c r="CR601" s="541">
        <f t="shared" si="245"/>
        <v>0</v>
      </c>
      <c r="CS601" s="536"/>
      <c r="CT601" s="536"/>
      <c r="CU601" s="536"/>
      <c r="CV601" s="541">
        <f t="shared" si="246"/>
        <v>0</v>
      </c>
      <c r="CW601" s="536"/>
      <c r="CX601" s="536"/>
      <c r="CY601" s="536"/>
      <c r="CZ601" s="541">
        <f t="shared" si="247"/>
        <v>0</v>
      </c>
      <c r="DA601" s="536"/>
      <c r="DB601" s="536"/>
      <c r="DC601" s="536"/>
      <c r="DD601" s="541">
        <f t="shared" si="248"/>
        <v>0</v>
      </c>
      <c r="DE601" s="536"/>
      <c r="DF601" s="536"/>
      <c r="DG601" s="536"/>
      <c r="DH601" s="541">
        <f t="shared" si="249"/>
        <v>0</v>
      </c>
      <c r="DI601" s="536"/>
      <c r="DJ601" s="536"/>
      <c r="DK601" s="536"/>
      <c r="DL601" s="541">
        <f t="shared" si="250"/>
        <v>0</v>
      </c>
      <c r="DM601" s="536"/>
      <c r="DN601" s="536"/>
      <c r="DO601" s="536"/>
      <c r="DP601" s="541">
        <f>IF( SUM((DJ601*(20/100))+(DK601*(30/100))+(DL601*(50/100))) &gt;=9.3,9.5,
IF(AND( SUM((DJ601*(20/100))+(DK601*(30/100))+(DL601*(50/100))) &lt;=9.3, SUM((DJ601*(20/100))+(DK601*(30/100))+(DL601*(50/100))) &gt;=8.8),9,
IF(AND( SUM((DJ601*(20/100))+(DK601*(30/100))+(DL601*(50/100))) &lt;=8.8, SUM((DJ601*(20/100))+(DK601*(30/100))+(DL601*(50/100))) &gt;=8.3),8.5,
IF(AND( SUM((DJ601*(20/100))+(DK601*(30/100))+(DL601*(50/100))) &lt;=8.3, SUM((DJ601*(20/100))+(DK601*(30/100))+(DL601*(50/100))) &gt;=7.8),8,
IF(AND( SUM((DJ601*(20/100))+(DK601*(30/100))+(DL601*(50/100))) &lt;=7.8, SUM((DJ601*(20/100))+(DK601*(30/100))+(DL601*(50/100))) &gt;=7.3),7.5,
IF(AND( SUM((DJ601*(20/100))+(DK601*(30/100))+(DL601*(50/100))) &lt;=7.3, SUM((DJ601*(20/100))+(DK601*(30/100))+(DL601*(50/100))) &gt;=6.8),7,
IF(AND( SUM((DJ601*(20/100))+(DK601*(30/100))+(DL601*(50/100))) &lt;=6.8, SUM((DJ601*(20/100))+(DK601*(30/100))+(DL601*(50/100))) &gt;=6.3),6.5,
IF(AND( SUM((DJ601*(20/100))+(DK601*(30/100))+(DL601*(50/100))) &lt;=6.3, SUM((DJ601*(20/100))+(DK601*(30/100))+(DL601*(50/100))) &gt;=5.8),6,
IF(AND( SUM((DJ601*(20/100))+(DK601*(30/100))+(DL601*(50/100))) &lt;=5.8, SUM((DJ601*(20/100))+(DK601*(30/100))+(DL601*(50/100))) &gt;=5.3),5.5,
IF(AND( SUM((DJ601*(20/100))+(DK601*(30/100))+(DL601*(50/100))) &lt;=5.3, SUM((DJ601*(20/100))+(DK601*(30/100))+(DL601*(50/100))) &gt;=4.8),5,
IF(AND( SUM((DJ601*(20/100))+(DK601*(30/100))+(DL601*(50/100))) &lt;=4.8, SUM((DJ601*(20/100))+(DK601*(30/100))+(DL601*(50/100))) &gt;=4.3),4.5,
IF(AND( SUM((DJ601*(20/100))+(DK601*(30/100))+(DL601*(50/100))) &lt;=4.3, SUM((DJ601*(20/100))+(DK601*(30/100))+(DL601*(50/100))) &gt;=3.8),4,
IF(AND( SUM((DJ601*(20/100))+(DK601*(30/100))+(DL601*(50/100))) &lt;=3.8, SUM((DJ601*(20/100))+(DK601*(30/100))+(DL601*(50/100))) &gt;=3.5),3.5,0)))))))))))))</f>
        <v>0</v>
      </c>
      <c r="DQ601" s="541"/>
      <c r="DR601" s="541"/>
      <c r="DS601" s="541"/>
      <c r="DT601" s="541"/>
      <c r="DU601" s="541"/>
      <c r="DV601" s="541"/>
      <c r="DW601" s="541"/>
      <c r="DX601" s="541"/>
      <c r="DY601" s="541"/>
      <c r="DZ601" s="541"/>
    </row>
    <row r="602" spans="2:130" x14ac:dyDescent="0.25">
      <c r="B602" s="334">
        <v>45</v>
      </c>
      <c r="C602" s="541"/>
      <c r="D602" s="334"/>
      <c r="E602" s="334"/>
      <c r="F602" s="334"/>
      <c r="G602" s="334"/>
      <c r="H602" s="334"/>
      <c r="I602" s="334"/>
      <c r="J602" s="536"/>
      <c r="K602" s="536"/>
      <c r="L602" s="536"/>
      <c r="M602" s="536"/>
      <c r="N602" s="536"/>
      <c r="O602" s="536"/>
      <c r="P602" s="536">
        <f t="shared" si="226"/>
        <v>0</v>
      </c>
      <c r="Q602" s="536"/>
      <c r="R602" s="536"/>
      <c r="S602" s="536"/>
      <c r="T602" s="536">
        <f t="shared" si="227"/>
        <v>0</v>
      </c>
      <c r="U602" s="536"/>
      <c r="V602" s="536"/>
      <c r="W602" s="536"/>
      <c r="X602" s="536">
        <f t="shared" si="228"/>
        <v>0</v>
      </c>
      <c r="Y602" s="536"/>
      <c r="Z602" s="536"/>
      <c r="AA602" s="536"/>
      <c r="AB602" s="536">
        <f t="shared" si="229"/>
        <v>0</v>
      </c>
      <c r="AC602" s="536"/>
      <c r="AD602" s="536"/>
      <c r="AE602" s="536"/>
      <c r="AF602" s="536">
        <f t="shared" si="230"/>
        <v>0</v>
      </c>
      <c r="AG602" s="536"/>
      <c r="AH602" s="536"/>
      <c r="AI602" s="536"/>
      <c r="AJ602" s="536">
        <f t="shared" si="231"/>
        <v>0</v>
      </c>
      <c r="AK602" s="536"/>
      <c r="AL602" s="536"/>
      <c r="AM602" s="536"/>
      <c r="AN602" s="542">
        <f t="shared" si="232"/>
        <v>0</v>
      </c>
      <c r="AO602" s="536"/>
      <c r="AP602" s="536"/>
      <c r="AQ602" s="536"/>
      <c r="AR602" s="542">
        <f t="shared" si="233"/>
        <v>0</v>
      </c>
      <c r="AS602" s="536"/>
      <c r="AT602" s="536"/>
      <c r="AU602" s="536"/>
      <c r="AV602" s="542">
        <f t="shared" si="234"/>
        <v>0</v>
      </c>
      <c r="AW602" s="536"/>
      <c r="AX602" s="536"/>
      <c r="AY602" s="536"/>
      <c r="AZ602" s="542">
        <f t="shared" si="235"/>
        <v>0</v>
      </c>
      <c r="BA602" s="536"/>
      <c r="BB602" s="536"/>
      <c r="BC602" s="536"/>
      <c r="BD602" s="542">
        <f t="shared" si="236"/>
        <v>0</v>
      </c>
      <c r="BE602" s="536"/>
      <c r="BF602" s="536"/>
      <c r="BG602" s="536"/>
      <c r="BH602" s="542">
        <f t="shared" si="237"/>
        <v>0</v>
      </c>
      <c r="BI602" s="536"/>
      <c r="BJ602" s="536"/>
      <c r="BK602" s="536"/>
      <c r="BL602" s="542">
        <f t="shared" si="238"/>
        <v>0</v>
      </c>
      <c r="BM602" s="536"/>
      <c r="BN602" s="536"/>
      <c r="BO602" s="536"/>
      <c r="BP602" s="542">
        <f t="shared" si="239"/>
        <v>0</v>
      </c>
      <c r="BQ602" s="536"/>
      <c r="BR602" s="536"/>
      <c r="BS602" s="536"/>
      <c r="BT602" s="542">
        <f t="shared" si="240"/>
        <v>0</v>
      </c>
      <c r="BU602" s="536"/>
      <c r="BV602" s="536"/>
      <c r="BW602" s="536"/>
      <c r="BX602" s="542">
        <f t="shared" si="241"/>
        <v>0</v>
      </c>
      <c r="BY602" s="536"/>
      <c r="BZ602" s="536"/>
      <c r="CA602" s="536"/>
      <c r="CB602" s="542">
        <v>0</v>
      </c>
      <c r="CC602" s="536"/>
      <c r="CD602" s="536"/>
      <c r="CE602" s="536"/>
      <c r="CF602" s="541">
        <f t="shared" si="242"/>
        <v>0</v>
      </c>
      <c r="CG602" s="536"/>
      <c r="CH602" s="536"/>
      <c r="CI602" s="536"/>
      <c r="CJ602" s="541">
        <f t="shared" si="243"/>
        <v>0</v>
      </c>
      <c r="CK602" s="536"/>
      <c r="CL602" s="536"/>
      <c r="CM602" s="536"/>
      <c r="CN602" s="541">
        <f t="shared" si="244"/>
        <v>0</v>
      </c>
      <c r="CO602" s="536"/>
      <c r="CP602" s="536"/>
      <c r="CQ602" s="536"/>
      <c r="CR602" s="541">
        <f t="shared" si="245"/>
        <v>0</v>
      </c>
      <c r="CS602" s="536"/>
      <c r="CT602" s="536"/>
      <c r="CU602" s="536"/>
      <c r="CV602" s="541">
        <f t="shared" si="246"/>
        <v>0</v>
      </c>
      <c r="CW602" s="536"/>
      <c r="CX602" s="536"/>
      <c r="CY602" s="536"/>
      <c r="CZ602" s="541">
        <f t="shared" si="247"/>
        <v>0</v>
      </c>
      <c r="DA602" s="536"/>
      <c r="DB602" s="536"/>
      <c r="DC602" s="536"/>
      <c r="DD602" s="541">
        <f t="shared" si="248"/>
        <v>0</v>
      </c>
      <c r="DE602" s="536"/>
      <c r="DF602" s="536"/>
      <c r="DG602" s="536"/>
      <c r="DH602" s="541">
        <f t="shared" si="249"/>
        <v>0</v>
      </c>
      <c r="DI602" s="536"/>
      <c r="DJ602" s="536"/>
      <c r="DK602" s="536"/>
      <c r="DL602" s="541">
        <f t="shared" si="250"/>
        <v>0</v>
      </c>
      <c r="DM602" s="536"/>
      <c r="DN602" s="536"/>
      <c r="DO602" s="536"/>
      <c r="DP602" s="541">
        <f>IF( SUM((DJ602*(20/100))+(DK602*(30/100))+(DL602*(50/100))) &gt;=9.3,9.5,
IF(AND( SUM((DJ602*(20/100))+(DK602*(30/100))+(DL602*(50/100))) &lt;=9.3, SUM((DJ602*(20/100))+(DK602*(30/100))+(DL602*(50/100))) &gt;=8.8),9,
IF(AND( SUM((DJ602*(20/100))+(DK602*(30/100))+(DL602*(50/100))) &lt;=8.8, SUM((DJ602*(20/100))+(DK602*(30/100))+(DL602*(50/100))) &gt;=8.3),8.5,
IF(AND( SUM((DJ602*(20/100))+(DK602*(30/100))+(DL602*(50/100))) &lt;=8.3, SUM((DJ602*(20/100))+(DK602*(30/100))+(DL602*(50/100))) &gt;=7.8),8,
IF(AND( SUM((DJ602*(20/100))+(DK602*(30/100))+(DL602*(50/100))) &lt;=7.8, SUM((DJ602*(20/100))+(DK602*(30/100))+(DL602*(50/100))) &gt;=7.3),7.5,
IF(AND( SUM((DJ602*(20/100))+(DK602*(30/100))+(DL602*(50/100))) &lt;=7.3, SUM((DJ602*(20/100))+(DK602*(30/100))+(DL602*(50/100))) &gt;=6.8),7,
IF(AND( SUM((DJ602*(20/100))+(DK602*(30/100))+(DL602*(50/100))) &lt;=6.8, SUM((DJ602*(20/100))+(DK602*(30/100))+(DL602*(50/100))) &gt;=6.3),6.5,
IF(AND( SUM((DJ602*(20/100))+(DK602*(30/100))+(DL602*(50/100))) &lt;=6.3, SUM((DJ602*(20/100))+(DK602*(30/100))+(DL602*(50/100))) &gt;=5.8),6,
IF(AND( SUM((DJ602*(20/100))+(DK602*(30/100))+(DL602*(50/100))) &lt;=5.8, SUM((DJ602*(20/100))+(DK602*(30/100))+(DL602*(50/100))) &gt;=5.3),5.5,
IF(AND( SUM((DJ602*(20/100))+(DK602*(30/100))+(DL602*(50/100))) &lt;=5.3, SUM((DJ602*(20/100))+(DK602*(30/100))+(DL602*(50/100))) &gt;=4.8),5,
IF(AND( SUM((DJ602*(20/100))+(DK602*(30/100))+(DL602*(50/100))) &lt;=4.8, SUM((DJ602*(20/100))+(DK602*(30/100))+(DL602*(50/100))) &gt;=4.3),4.5,
IF(AND( SUM((DJ602*(20/100))+(DK602*(30/100))+(DL602*(50/100))) &lt;=4.3, SUM((DJ602*(20/100))+(DK602*(30/100))+(DL602*(50/100))) &gt;=3.8),4,
IF(AND( SUM((DJ602*(20/100))+(DK602*(30/100))+(DL602*(50/100))) &lt;=3.8, SUM((DJ602*(20/100))+(DK602*(30/100))+(DL602*(50/100))) &gt;=3.5),3.5,0)))))))))))))</f>
        <v>0</v>
      </c>
      <c r="DQ602" s="541"/>
      <c r="DR602" s="541"/>
      <c r="DS602" s="541"/>
      <c r="DT602" s="541"/>
      <c r="DU602" s="541"/>
      <c r="DV602" s="541"/>
      <c r="DW602" s="541"/>
      <c r="DX602" s="541"/>
      <c r="DY602" s="541"/>
      <c r="DZ602" s="541"/>
    </row>
    <row r="603" spans="2:130" x14ac:dyDescent="0.25">
      <c r="B603" s="334">
        <v>46</v>
      </c>
      <c r="C603" s="541"/>
      <c r="D603" s="334"/>
      <c r="E603" s="334"/>
      <c r="F603" s="334"/>
      <c r="G603" s="334"/>
      <c r="H603" s="334"/>
      <c r="I603" s="334"/>
      <c r="J603" s="536"/>
      <c r="K603" s="536"/>
      <c r="L603" s="536"/>
      <c r="M603" s="536"/>
      <c r="N603" s="536"/>
      <c r="O603" s="536"/>
      <c r="P603" s="536">
        <f t="shared" si="226"/>
        <v>0</v>
      </c>
      <c r="Q603" s="536"/>
      <c r="R603" s="536"/>
      <c r="S603" s="536"/>
      <c r="T603" s="536">
        <f t="shared" si="227"/>
        <v>0</v>
      </c>
      <c r="U603" s="536"/>
      <c r="V603" s="536"/>
      <c r="W603" s="536"/>
      <c r="X603" s="536">
        <f t="shared" si="228"/>
        <v>0</v>
      </c>
      <c r="Y603" s="536"/>
      <c r="Z603" s="536"/>
      <c r="AA603" s="536"/>
      <c r="AB603" s="536">
        <f t="shared" si="229"/>
        <v>0</v>
      </c>
      <c r="AC603" s="536"/>
      <c r="AD603" s="536"/>
      <c r="AE603" s="536"/>
      <c r="AF603" s="536">
        <f t="shared" si="230"/>
        <v>0</v>
      </c>
      <c r="AG603" s="536"/>
      <c r="AH603" s="536"/>
      <c r="AI603" s="536"/>
      <c r="AJ603" s="536">
        <f t="shared" si="231"/>
        <v>0</v>
      </c>
      <c r="AK603" s="536"/>
      <c r="AL603" s="536"/>
      <c r="AM603" s="536"/>
      <c r="AN603" s="542">
        <f t="shared" si="232"/>
        <v>0</v>
      </c>
      <c r="AO603" s="536"/>
      <c r="AP603" s="536"/>
      <c r="AQ603" s="536"/>
      <c r="AR603" s="542">
        <f t="shared" si="233"/>
        <v>0</v>
      </c>
      <c r="AS603" s="536"/>
      <c r="AT603" s="536"/>
      <c r="AU603" s="536"/>
      <c r="AV603" s="542">
        <f t="shared" si="234"/>
        <v>0</v>
      </c>
      <c r="AW603" s="536"/>
      <c r="AX603" s="536"/>
      <c r="AY603" s="536"/>
      <c r="AZ603" s="542">
        <f t="shared" si="235"/>
        <v>0</v>
      </c>
      <c r="BA603" s="536"/>
      <c r="BB603" s="536"/>
      <c r="BC603" s="536"/>
      <c r="BD603" s="542">
        <f t="shared" si="236"/>
        <v>0</v>
      </c>
      <c r="BE603" s="536"/>
      <c r="BF603" s="536"/>
      <c r="BG603" s="536"/>
      <c r="BH603" s="542">
        <f t="shared" si="237"/>
        <v>0</v>
      </c>
      <c r="BI603" s="536"/>
      <c r="BJ603" s="536"/>
      <c r="BK603" s="536"/>
      <c r="BL603" s="542">
        <f t="shared" si="238"/>
        <v>0</v>
      </c>
      <c r="BM603" s="536"/>
      <c r="BN603" s="536"/>
      <c r="BO603" s="536"/>
      <c r="BP603" s="542">
        <f t="shared" si="239"/>
        <v>0</v>
      </c>
      <c r="BQ603" s="536"/>
      <c r="BR603" s="536"/>
      <c r="BS603" s="536"/>
      <c r="BT603" s="542">
        <f t="shared" si="240"/>
        <v>0</v>
      </c>
      <c r="BU603" s="536"/>
      <c r="BV603" s="536"/>
      <c r="BW603" s="536"/>
      <c r="BX603" s="542">
        <f t="shared" si="241"/>
        <v>0</v>
      </c>
      <c r="BY603" s="536"/>
      <c r="BZ603" s="536"/>
      <c r="CA603" s="536"/>
      <c r="CB603" s="542">
        <v>0</v>
      </c>
      <c r="CC603" s="536"/>
      <c r="CD603" s="536"/>
      <c r="CE603" s="536"/>
      <c r="CF603" s="541">
        <f t="shared" si="242"/>
        <v>0</v>
      </c>
      <c r="CG603" s="536"/>
      <c r="CH603" s="536"/>
      <c r="CI603" s="536"/>
      <c r="CJ603" s="541">
        <f t="shared" si="243"/>
        <v>0</v>
      </c>
      <c r="CK603" s="536"/>
      <c r="CL603" s="536"/>
      <c r="CM603" s="536"/>
      <c r="CN603" s="541">
        <f t="shared" si="244"/>
        <v>0</v>
      </c>
      <c r="CO603" s="536"/>
      <c r="CP603" s="536"/>
      <c r="CQ603" s="536"/>
      <c r="CR603" s="541">
        <f t="shared" si="245"/>
        <v>0</v>
      </c>
      <c r="CS603" s="536"/>
      <c r="CT603" s="536"/>
      <c r="CU603" s="536"/>
      <c r="CV603" s="541">
        <f t="shared" si="246"/>
        <v>0</v>
      </c>
      <c r="CW603" s="536"/>
      <c r="CX603" s="536"/>
      <c r="CY603" s="536"/>
      <c r="CZ603" s="541">
        <f t="shared" si="247"/>
        <v>0</v>
      </c>
      <c r="DA603" s="536"/>
      <c r="DB603" s="536"/>
      <c r="DC603" s="536"/>
      <c r="DD603" s="541">
        <f t="shared" si="248"/>
        <v>0</v>
      </c>
      <c r="DE603" s="536"/>
      <c r="DF603" s="536"/>
      <c r="DG603" s="536"/>
      <c r="DH603" s="541">
        <f t="shared" si="249"/>
        <v>0</v>
      </c>
      <c r="DI603" s="536"/>
      <c r="DJ603" s="536"/>
      <c r="DK603" s="536"/>
      <c r="DL603" s="541">
        <f t="shared" si="250"/>
        <v>0</v>
      </c>
      <c r="DM603" s="536"/>
      <c r="DN603" s="536"/>
      <c r="DO603" s="536"/>
      <c r="DP603" s="541">
        <f>IF( SUM((DJ603*(20/100))+(DK603*(30/100))+(DL603*(50/100))) &gt;=9.3,9.5,
IF(AND( SUM((DJ603*(20/100))+(DK603*(30/100))+(DL603*(50/100))) &lt;=9.3, SUM((DJ603*(20/100))+(DK603*(30/100))+(DL603*(50/100))) &gt;=8.8),9,
IF(AND( SUM((DJ603*(20/100))+(DK603*(30/100))+(DL603*(50/100))) &lt;=8.8, SUM((DJ603*(20/100))+(DK603*(30/100))+(DL603*(50/100))) &gt;=8.3),8.5,
IF(AND( SUM((DJ603*(20/100))+(DK603*(30/100))+(DL603*(50/100))) &lt;=8.3, SUM((DJ603*(20/100))+(DK603*(30/100))+(DL603*(50/100))) &gt;=7.8),8,
IF(AND( SUM((DJ603*(20/100))+(DK603*(30/100))+(DL603*(50/100))) &lt;=7.8, SUM((DJ603*(20/100))+(DK603*(30/100))+(DL603*(50/100))) &gt;=7.3),7.5,
IF(AND( SUM((DJ603*(20/100))+(DK603*(30/100))+(DL603*(50/100))) &lt;=7.3, SUM((DJ603*(20/100))+(DK603*(30/100))+(DL603*(50/100))) &gt;=6.8),7,
IF(AND( SUM((DJ603*(20/100))+(DK603*(30/100))+(DL603*(50/100))) &lt;=6.8, SUM((DJ603*(20/100))+(DK603*(30/100))+(DL603*(50/100))) &gt;=6.3),6.5,
IF(AND( SUM((DJ603*(20/100))+(DK603*(30/100))+(DL603*(50/100))) &lt;=6.3, SUM((DJ603*(20/100))+(DK603*(30/100))+(DL603*(50/100))) &gt;=5.8),6,
IF(AND( SUM((DJ603*(20/100))+(DK603*(30/100))+(DL603*(50/100))) &lt;=5.8, SUM((DJ603*(20/100))+(DK603*(30/100))+(DL603*(50/100))) &gt;=5.3),5.5,
IF(AND( SUM((DJ603*(20/100))+(DK603*(30/100))+(DL603*(50/100))) &lt;=5.3, SUM((DJ603*(20/100))+(DK603*(30/100))+(DL603*(50/100))) &gt;=4.8),5,
IF(AND( SUM((DJ603*(20/100))+(DK603*(30/100))+(DL603*(50/100))) &lt;=4.8, SUM((DJ603*(20/100))+(DK603*(30/100))+(DL603*(50/100))) &gt;=4.3),4.5,
IF(AND( SUM((DJ603*(20/100))+(DK603*(30/100))+(DL603*(50/100))) &lt;=4.3, SUM((DJ603*(20/100))+(DK603*(30/100))+(DL603*(50/100))) &gt;=3.8),4,
IF(AND( SUM((DJ603*(20/100))+(DK603*(30/100))+(DL603*(50/100))) &lt;=3.8, SUM((DJ603*(20/100))+(DK603*(30/100))+(DL603*(50/100))) &gt;=3.5),3.5,0)))))))))))))</f>
        <v>0</v>
      </c>
      <c r="DQ603" s="541"/>
      <c r="DR603" s="541"/>
      <c r="DS603" s="541"/>
      <c r="DT603" s="541"/>
      <c r="DU603" s="541"/>
      <c r="DV603" s="541"/>
      <c r="DW603" s="541"/>
      <c r="DX603" s="541"/>
      <c r="DY603" s="541"/>
      <c r="DZ603" s="541"/>
    </row>
    <row r="604" spans="2:130" x14ac:dyDescent="0.25">
      <c r="B604" s="334">
        <v>47</v>
      </c>
      <c r="C604" s="541"/>
      <c r="D604" s="334"/>
      <c r="E604" s="334"/>
      <c r="F604" s="334"/>
      <c r="G604" s="334"/>
      <c r="H604" s="334"/>
      <c r="I604" s="334"/>
      <c r="J604" s="536"/>
      <c r="K604" s="536"/>
      <c r="L604" s="536"/>
      <c r="M604" s="536"/>
      <c r="N604" s="536"/>
      <c r="O604" s="536"/>
      <c r="P604" s="536">
        <f t="shared" si="226"/>
        <v>0</v>
      </c>
      <c r="Q604" s="536"/>
      <c r="R604" s="536"/>
      <c r="S604" s="536"/>
      <c r="T604" s="536">
        <f t="shared" si="227"/>
        <v>0</v>
      </c>
      <c r="U604" s="536"/>
      <c r="V604" s="536"/>
      <c r="W604" s="536"/>
      <c r="X604" s="536">
        <f t="shared" si="228"/>
        <v>0</v>
      </c>
      <c r="Y604" s="536"/>
      <c r="Z604" s="536"/>
      <c r="AA604" s="536"/>
      <c r="AB604" s="536">
        <f t="shared" si="229"/>
        <v>0</v>
      </c>
      <c r="AC604" s="536"/>
      <c r="AD604" s="536"/>
      <c r="AE604" s="536"/>
      <c r="AF604" s="536">
        <f t="shared" si="230"/>
        <v>0</v>
      </c>
      <c r="AG604" s="536"/>
      <c r="AH604" s="536"/>
      <c r="AI604" s="536"/>
      <c r="AJ604" s="536">
        <f t="shared" si="231"/>
        <v>0</v>
      </c>
      <c r="AK604" s="536"/>
      <c r="AL604" s="536"/>
      <c r="AM604" s="536"/>
      <c r="AN604" s="542">
        <f t="shared" si="232"/>
        <v>0</v>
      </c>
      <c r="AO604" s="536"/>
      <c r="AP604" s="536"/>
      <c r="AQ604" s="536"/>
      <c r="AR604" s="542">
        <f t="shared" si="233"/>
        <v>0</v>
      </c>
      <c r="AS604" s="536"/>
      <c r="AT604" s="536"/>
      <c r="AU604" s="536"/>
      <c r="AV604" s="542">
        <f t="shared" si="234"/>
        <v>0</v>
      </c>
      <c r="AW604" s="536"/>
      <c r="AX604" s="536"/>
      <c r="AY604" s="536"/>
      <c r="AZ604" s="542">
        <f t="shared" si="235"/>
        <v>0</v>
      </c>
      <c r="BA604" s="536"/>
      <c r="BB604" s="536"/>
      <c r="BC604" s="536"/>
      <c r="BD604" s="542">
        <f t="shared" si="236"/>
        <v>0</v>
      </c>
      <c r="BE604" s="536"/>
      <c r="BF604" s="536"/>
      <c r="BG604" s="536"/>
      <c r="BH604" s="542">
        <f t="shared" si="237"/>
        <v>0</v>
      </c>
      <c r="BI604" s="536"/>
      <c r="BJ604" s="536"/>
      <c r="BK604" s="536"/>
      <c r="BL604" s="542">
        <f t="shared" si="238"/>
        <v>0</v>
      </c>
      <c r="BM604" s="536"/>
      <c r="BN604" s="536"/>
      <c r="BO604" s="536"/>
      <c r="BP604" s="542">
        <f t="shared" si="239"/>
        <v>0</v>
      </c>
      <c r="BQ604" s="536"/>
      <c r="BR604" s="536"/>
      <c r="BS604" s="536"/>
      <c r="BT604" s="542">
        <f t="shared" si="240"/>
        <v>0</v>
      </c>
      <c r="BU604" s="536"/>
      <c r="BV604" s="536"/>
      <c r="BW604" s="536"/>
      <c r="BX604" s="542">
        <f t="shared" si="241"/>
        <v>0</v>
      </c>
      <c r="BY604" s="536"/>
      <c r="BZ604" s="536"/>
      <c r="CA604" s="536"/>
      <c r="CB604" s="542">
        <v>0</v>
      </c>
      <c r="CC604" s="536"/>
      <c r="CD604" s="536"/>
      <c r="CE604" s="536"/>
      <c r="CF604" s="541">
        <f t="shared" si="242"/>
        <v>0</v>
      </c>
      <c r="CG604" s="536"/>
      <c r="CH604" s="536"/>
      <c r="CI604" s="536"/>
      <c r="CJ604" s="541">
        <f t="shared" si="243"/>
        <v>0</v>
      </c>
      <c r="CK604" s="536"/>
      <c r="CL604" s="536"/>
      <c r="CM604" s="536"/>
      <c r="CN604" s="541">
        <f t="shared" si="244"/>
        <v>0</v>
      </c>
      <c r="CO604" s="536"/>
      <c r="CP604" s="536"/>
      <c r="CQ604" s="536"/>
      <c r="CR604" s="541">
        <f t="shared" si="245"/>
        <v>0</v>
      </c>
      <c r="CS604" s="536"/>
      <c r="CT604" s="536"/>
      <c r="CU604" s="536"/>
      <c r="CV604" s="541">
        <f t="shared" si="246"/>
        <v>0</v>
      </c>
      <c r="CW604" s="536"/>
      <c r="CX604" s="536"/>
      <c r="CY604" s="536"/>
      <c r="CZ604" s="541">
        <f t="shared" si="247"/>
        <v>0</v>
      </c>
      <c r="DA604" s="536"/>
      <c r="DB604" s="536"/>
      <c r="DC604" s="536"/>
      <c r="DD604" s="541">
        <f t="shared" si="248"/>
        <v>0</v>
      </c>
      <c r="DE604" s="536"/>
      <c r="DF604" s="536"/>
      <c r="DG604" s="536"/>
      <c r="DH604" s="541">
        <f t="shared" si="249"/>
        <v>0</v>
      </c>
      <c r="DI604" s="536"/>
      <c r="DJ604" s="536"/>
      <c r="DK604" s="536"/>
      <c r="DL604" s="541">
        <f t="shared" si="250"/>
        <v>0</v>
      </c>
      <c r="DM604" s="536"/>
      <c r="DN604" s="536"/>
      <c r="DO604" s="536"/>
      <c r="DP604" s="541">
        <f>IF( SUM((DJ604*(20/100))+(DK604*(30/100))+(DL604*(50/100))) &gt;=9.3,9.5,
IF(AND( SUM((DJ604*(20/100))+(DK604*(30/100))+(DL604*(50/100))) &lt;=9.3, SUM((DJ604*(20/100))+(DK604*(30/100))+(DL604*(50/100))) &gt;=8.8),9,
IF(AND( SUM((DJ604*(20/100))+(DK604*(30/100))+(DL604*(50/100))) &lt;=8.8, SUM((DJ604*(20/100))+(DK604*(30/100))+(DL604*(50/100))) &gt;=8.3),8.5,
IF(AND( SUM((DJ604*(20/100))+(DK604*(30/100))+(DL604*(50/100))) &lt;=8.3, SUM((DJ604*(20/100))+(DK604*(30/100))+(DL604*(50/100))) &gt;=7.8),8,
IF(AND( SUM((DJ604*(20/100))+(DK604*(30/100))+(DL604*(50/100))) &lt;=7.8, SUM((DJ604*(20/100))+(DK604*(30/100))+(DL604*(50/100))) &gt;=7.3),7.5,
IF(AND( SUM((DJ604*(20/100))+(DK604*(30/100))+(DL604*(50/100))) &lt;=7.3, SUM((DJ604*(20/100))+(DK604*(30/100))+(DL604*(50/100))) &gt;=6.8),7,
IF(AND( SUM((DJ604*(20/100))+(DK604*(30/100))+(DL604*(50/100))) &lt;=6.8, SUM((DJ604*(20/100))+(DK604*(30/100))+(DL604*(50/100))) &gt;=6.3),6.5,
IF(AND( SUM((DJ604*(20/100))+(DK604*(30/100))+(DL604*(50/100))) &lt;=6.3, SUM((DJ604*(20/100))+(DK604*(30/100))+(DL604*(50/100))) &gt;=5.8),6,
IF(AND( SUM((DJ604*(20/100))+(DK604*(30/100))+(DL604*(50/100))) &lt;=5.8, SUM((DJ604*(20/100))+(DK604*(30/100))+(DL604*(50/100))) &gt;=5.3),5.5,
IF(AND( SUM((DJ604*(20/100))+(DK604*(30/100))+(DL604*(50/100))) &lt;=5.3, SUM((DJ604*(20/100))+(DK604*(30/100))+(DL604*(50/100))) &gt;=4.8),5,
IF(AND( SUM((DJ604*(20/100))+(DK604*(30/100))+(DL604*(50/100))) &lt;=4.8, SUM((DJ604*(20/100))+(DK604*(30/100))+(DL604*(50/100))) &gt;=4.3),4.5,
IF(AND( SUM((DJ604*(20/100))+(DK604*(30/100))+(DL604*(50/100))) &lt;=4.3, SUM((DJ604*(20/100))+(DK604*(30/100))+(DL604*(50/100))) &gt;=3.8),4,
IF(AND( SUM((DJ604*(20/100))+(DK604*(30/100))+(DL604*(50/100))) &lt;=3.8, SUM((DJ604*(20/100))+(DK604*(30/100))+(DL604*(50/100))) &gt;=3.5),3.5,0)))))))))))))</f>
        <v>0</v>
      </c>
      <c r="DQ604" s="541"/>
      <c r="DR604" s="541"/>
      <c r="DS604" s="541"/>
      <c r="DT604" s="541"/>
      <c r="DU604" s="541"/>
      <c r="DV604" s="541"/>
      <c r="DW604" s="541"/>
      <c r="DX604" s="541"/>
      <c r="DY604" s="541"/>
      <c r="DZ604" s="541"/>
    </row>
    <row r="605" spans="2:130" x14ac:dyDescent="0.25">
      <c r="B605" s="334">
        <v>48</v>
      </c>
      <c r="C605" s="541"/>
      <c r="D605" s="334"/>
      <c r="E605" s="334"/>
      <c r="F605" s="334"/>
      <c r="G605" s="334"/>
      <c r="H605" s="334"/>
      <c r="I605" s="334"/>
      <c r="J605" s="536"/>
      <c r="K605" s="536"/>
      <c r="L605" s="536"/>
      <c r="M605" s="536"/>
      <c r="N605" s="536"/>
      <c r="O605" s="536"/>
      <c r="P605" s="536">
        <f t="shared" si="226"/>
        <v>0</v>
      </c>
      <c r="Q605" s="536"/>
      <c r="R605" s="536"/>
      <c r="S605" s="536"/>
      <c r="T605" s="536">
        <f t="shared" si="227"/>
        <v>0</v>
      </c>
      <c r="U605" s="536"/>
      <c r="V605" s="536"/>
      <c r="W605" s="536"/>
      <c r="X605" s="536">
        <f t="shared" si="228"/>
        <v>0</v>
      </c>
      <c r="Y605" s="536"/>
      <c r="Z605" s="536"/>
      <c r="AA605" s="536"/>
      <c r="AB605" s="536">
        <f t="shared" si="229"/>
        <v>0</v>
      </c>
      <c r="AC605" s="536"/>
      <c r="AD605" s="536"/>
      <c r="AE605" s="536"/>
      <c r="AF605" s="536">
        <f t="shared" si="230"/>
        <v>0</v>
      </c>
      <c r="AG605" s="536"/>
      <c r="AH605" s="536"/>
      <c r="AI605" s="536"/>
      <c r="AJ605" s="536">
        <f t="shared" si="231"/>
        <v>0</v>
      </c>
      <c r="AK605" s="536"/>
      <c r="AL605" s="536"/>
      <c r="AM605" s="536"/>
      <c r="AN605" s="542">
        <f t="shared" si="232"/>
        <v>0</v>
      </c>
      <c r="AO605" s="536"/>
      <c r="AP605" s="536"/>
      <c r="AQ605" s="536"/>
      <c r="AR605" s="542">
        <f t="shared" si="233"/>
        <v>0</v>
      </c>
      <c r="AS605" s="536"/>
      <c r="AT605" s="536"/>
      <c r="AU605" s="536"/>
      <c r="AV605" s="542">
        <f t="shared" si="234"/>
        <v>0</v>
      </c>
      <c r="AW605" s="536"/>
      <c r="AX605" s="536"/>
      <c r="AY605" s="536"/>
      <c r="AZ605" s="542">
        <f t="shared" si="235"/>
        <v>0</v>
      </c>
      <c r="BA605" s="536"/>
      <c r="BB605" s="536"/>
      <c r="BC605" s="536"/>
      <c r="BD605" s="542">
        <f t="shared" si="236"/>
        <v>0</v>
      </c>
      <c r="BE605" s="536"/>
      <c r="BF605" s="536"/>
      <c r="BG605" s="536"/>
      <c r="BH605" s="542">
        <f t="shared" si="237"/>
        <v>0</v>
      </c>
      <c r="BI605" s="536"/>
      <c r="BJ605" s="536"/>
      <c r="BK605" s="536"/>
      <c r="BL605" s="542">
        <f t="shared" si="238"/>
        <v>0</v>
      </c>
      <c r="BM605" s="536"/>
      <c r="BN605" s="536"/>
      <c r="BO605" s="536"/>
      <c r="BP605" s="542">
        <f t="shared" si="239"/>
        <v>0</v>
      </c>
      <c r="BQ605" s="536"/>
      <c r="BR605" s="536"/>
      <c r="BS605" s="536"/>
      <c r="BT605" s="542">
        <f t="shared" si="240"/>
        <v>0</v>
      </c>
      <c r="BU605" s="536"/>
      <c r="BV605" s="536"/>
      <c r="BW605" s="536"/>
      <c r="BX605" s="542">
        <f t="shared" si="241"/>
        <v>0</v>
      </c>
      <c r="BY605" s="536"/>
      <c r="BZ605" s="536"/>
      <c r="CA605" s="536"/>
      <c r="CB605" s="542">
        <v>0</v>
      </c>
      <c r="CC605" s="536"/>
      <c r="CD605" s="536"/>
      <c r="CE605" s="536"/>
      <c r="CF605" s="541">
        <f t="shared" si="242"/>
        <v>0</v>
      </c>
      <c r="CG605" s="536"/>
      <c r="CH605" s="536"/>
      <c r="CI605" s="536"/>
      <c r="CJ605" s="541">
        <f t="shared" si="243"/>
        <v>0</v>
      </c>
      <c r="CK605" s="536"/>
      <c r="CL605" s="536"/>
      <c r="CM605" s="536"/>
      <c r="CN605" s="541">
        <f t="shared" si="244"/>
        <v>0</v>
      </c>
      <c r="CO605" s="536"/>
      <c r="CP605" s="536"/>
      <c r="CQ605" s="536"/>
      <c r="CR605" s="541">
        <f t="shared" si="245"/>
        <v>0</v>
      </c>
      <c r="CS605" s="536"/>
      <c r="CT605" s="536"/>
      <c r="CU605" s="536"/>
      <c r="CV605" s="541">
        <f t="shared" si="246"/>
        <v>0</v>
      </c>
      <c r="CW605" s="536"/>
      <c r="CX605" s="536"/>
      <c r="CY605" s="536"/>
      <c r="CZ605" s="541">
        <f t="shared" si="247"/>
        <v>0</v>
      </c>
      <c r="DA605" s="536"/>
      <c r="DB605" s="536"/>
      <c r="DC605" s="536"/>
      <c r="DD605" s="541">
        <f t="shared" si="248"/>
        <v>0</v>
      </c>
      <c r="DE605" s="536"/>
      <c r="DF605" s="536"/>
      <c r="DG605" s="536"/>
      <c r="DH605" s="541">
        <f t="shared" si="249"/>
        <v>0</v>
      </c>
      <c r="DI605" s="536"/>
      <c r="DJ605" s="536"/>
      <c r="DK605" s="536"/>
      <c r="DL605" s="541">
        <f t="shared" si="250"/>
        <v>0</v>
      </c>
      <c r="DM605" s="536"/>
      <c r="DN605" s="536"/>
      <c r="DO605" s="536"/>
      <c r="DP605" s="541">
        <f>IF( SUM((DJ605*(20/100))+(DK605*(30/100))+(DL605*(50/100))) &gt;=9.3,9.5,
IF(AND( SUM((DJ605*(20/100))+(DK605*(30/100))+(DL605*(50/100))) &lt;=9.3, SUM((DJ605*(20/100))+(DK605*(30/100))+(DL605*(50/100))) &gt;=8.8),9,
IF(AND( SUM((DJ605*(20/100))+(DK605*(30/100))+(DL605*(50/100))) &lt;=8.8, SUM((DJ605*(20/100))+(DK605*(30/100))+(DL605*(50/100))) &gt;=8.3),8.5,
IF(AND( SUM((DJ605*(20/100))+(DK605*(30/100))+(DL605*(50/100))) &lt;=8.3, SUM((DJ605*(20/100))+(DK605*(30/100))+(DL605*(50/100))) &gt;=7.8),8,
IF(AND( SUM((DJ605*(20/100))+(DK605*(30/100))+(DL605*(50/100))) &lt;=7.8, SUM((DJ605*(20/100))+(DK605*(30/100))+(DL605*(50/100))) &gt;=7.3),7.5,
IF(AND( SUM((DJ605*(20/100))+(DK605*(30/100))+(DL605*(50/100))) &lt;=7.3, SUM((DJ605*(20/100))+(DK605*(30/100))+(DL605*(50/100))) &gt;=6.8),7,
IF(AND( SUM((DJ605*(20/100))+(DK605*(30/100))+(DL605*(50/100))) &lt;=6.8, SUM((DJ605*(20/100))+(DK605*(30/100))+(DL605*(50/100))) &gt;=6.3),6.5,
IF(AND( SUM((DJ605*(20/100))+(DK605*(30/100))+(DL605*(50/100))) &lt;=6.3, SUM((DJ605*(20/100))+(DK605*(30/100))+(DL605*(50/100))) &gt;=5.8),6,
IF(AND( SUM((DJ605*(20/100))+(DK605*(30/100))+(DL605*(50/100))) &lt;=5.8, SUM((DJ605*(20/100))+(DK605*(30/100))+(DL605*(50/100))) &gt;=5.3),5.5,
IF(AND( SUM((DJ605*(20/100))+(DK605*(30/100))+(DL605*(50/100))) &lt;=5.3, SUM((DJ605*(20/100))+(DK605*(30/100))+(DL605*(50/100))) &gt;=4.8),5,
IF(AND( SUM((DJ605*(20/100))+(DK605*(30/100))+(DL605*(50/100))) &lt;=4.8, SUM((DJ605*(20/100))+(DK605*(30/100))+(DL605*(50/100))) &gt;=4.3),4.5,
IF(AND( SUM((DJ605*(20/100))+(DK605*(30/100))+(DL605*(50/100))) &lt;=4.3, SUM((DJ605*(20/100))+(DK605*(30/100))+(DL605*(50/100))) &gt;=3.8),4,
IF(AND( SUM((DJ605*(20/100))+(DK605*(30/100))+(DL605*(50/100))) &lt;=3.8, SUM((DJ605*(20/100))+(DK605*(30/100))+(DL605*(50/100))) &gt;=3.5),3.5,0)))))))))))))</f>
        <v>0</v>
      </c>
      <c r="DQ605" s="541"/>
      <c r="DR605" s="541"/>
      <c r="DS605" s="541"/>
      <c r="DT605" s="541"/>
      <c r="DU605" s="541"/>
      <c r="DV605" s="541"/>
      <c r="DW605" s="541"/>
      <c r="DX605" s="541"/>
      <c r="DY605" s="541"/>
      <c r="DZ605" s="541"/>
    </row>
    <row r="606" spans="2:130" x14ac:dyDescent="0.25">
      <c r="B606" s="334">
        <v>49</v>
      </c>
      <c r="C606" s="541"/>
      <c r="D606" s="334"/>
      <c r="E606" s="334"/>
      <c r="F606" s="334"/>
      <c r="G606" s="334"/>
      <c r="H606" s="334"/>
      <c r="I606" s="334"/>
      <c r="J606" s="536"/>
      <c r="K606" s="536"/>
      <c r="L606" s="536"/>
      <c r="M606" s="536"/>
      <c r="N606" s="536"/>
      <c r="O606" s="536"/>
      <c r="P606" s="536">
        <f t="shared" si="226"/>
        <v>0</v>
      </c>
      <c r="Q606" s="536"/>
      <c r="R606" s="536"/>
      <c r="S606" s="536"/>
      <c r="T606" s="536">
        <f t="shared" si="227"/>
        <v>0</v>
      </c>
      <c r="U606" s="536"/>
      <c r="V606" s="536"/>
      <c r="W606" s="536"/>
      <c r="X606" s="536">
        <f t="shared" si="228"/>
        <v>0</v>
      </c>
      <c r="Y606" s="536"/>
      <c r="Z606" s="536"/>
      <c r="AA606" s="536"/>
      <c r="AB606" s="536">
        <f t="shared" si="229"/>
        <v>0</v>
      </c>
      <c r="AC606" s="536"/>
      <c r="AD606" s="536"/>
      <c r="AE606" s="536"/>
      <c r="AF606" s="536">
        <f t="shared" si="230"/>
        <v>0</v>
      </c>
      <c r="AG606" s="536"/>
      <c r="AH606" s="536"/>
      <c r="AI606" s="536"/>
      <c r="AJ606" s="536">
        <f t="shared" si="231"/>
        <v>0</v>
      </c>
      <c r="AK606" s="536"/>
      <c r="AL606" s="536"/>
      <c r="AM606" s="536"/>
      <c r="AN606" s="542">
        <f t="shared" si="232"/>
        <v>0</v>
      </c>
      <c r="AO606" s="536"/>
      <c r="AP606" s="536"/>
      <c r="AQ606" s="536"/>
      <c r="AR606" s="542">
        <f t="shared" si="233"/>
        <v>0</v>
      </c>
      <c r="AS606" s="536"/>
      <c r="AT606" s="536"/>
      <c r="AU606" s="536"/>
      <c r="AV606" s="542">
        <f t="shared" si="234"/>
        <v>0</v>
      </c>
      <c r="AW606" s="536"/>
      <c r="AX606" s="536"/>
      <c r="AY606" s="536"/>
      <c r="AZ606" s="542">
        <f t="shared" si="235"/>
        <v>0</v>
      </c>
      <c r="BA606" s="536"/>
      <c r="BB606" s="536"/>
      <c r="BC606" s="536"/>
      <c r="BD606" s="542">
        <f t="shared" si="236"/>
        <v>0</v>
      </c>
      <c r="BE606" s="536"/>
      <c r="BF606" s="536"/>
      <c r="BG606" s="536"/>
      <c r="BH606" s="542">
        <f t="shared" si="237"/>
        <v>0</v>
      </c>
      <c r="BI606" s="536"/>
      <c r="BJ606" s="536"/>
      <c r="BK606" s="536"/>
      <c r="BL606" s="542">
        <f t="shared" si="238"/>
        <v>0</v>
      </c>
      <c r="BM606" s="536"/>
      <c r="BN606" s="536"/>
      <c r="BO606" s="536"/>
      <c r="BP606" s="542">
        <f t="shared" si="239"/>
        <v>0</v>
      </c>
      <c r="BQ606" s="536"/>
      <c r="BR606" s="536"/>
      <c r="BS606" s="536"/>
      <c r="BT606" s="542">
        <f t="shared" si="240"/>
        <v>0</v>
      </c>
      <c r="BU606" s="536"/>
      <c r="BV606" s="536"/>
      <c r="BW606" s="536"/>
      <c r="BX606" s="542">
        <f t="shared" si="241"/>
        <v>0</v>
      </c>
      <c r="BY606" s="536"/>
      <c r="BZ606" s="536"/>
      <c r="CA606" s="536"/>
      <c r="CB606" s="542">
        <v>0</v>
      </c>
      <c r="CC606" s="536"/>
      <c r="CD606" s="536"/>
      <c r="CE606" s="536"/>
      <c r="CF606" s="541">
        <f t="shared" si="242"/>
        <v>0</v>
      </c>
      <c r="CG606" s="536"/>
      <c r="CH606" s="536"/>
      <c r="CI606" s="536"/>
      <c r="CJ606" s="541">
        <f t="shared" si="243"/>
        <v>0</v>
      </c>
      <c r="CK606" s="536"/>
      <c r="CL606" s="536"/>
      <c r="CM606" s="536"/>
      <c r="CN606" s="541">
        <f t="shared" si="244"/>
        <v>0</v>
      </c>
      <c r="CO606" s="536"/>
      <c r="CP606" s="536"/>
      <c r="CQ606" s="536"/>
      <c r="CR606" s="541">
        <f t="shared" si="245"/>
        <v>0</v>
      </c>
      <c r="CS606" s="536"/>
      <c r="CT606" s="536"/>
      <c r="CU606" s="536"/>
      <c r="CV606" s="541">
        <f t="shared" si="246"/>
        <v>0</v>
      </c>
      <c r="CW606" s="536"/>
      <c r="CX606" s="536"/>
      <c r="CY606" s="536"/>
      <c r="CZ606" s="541">
        <f t="shared" si="247"/>
        <v>0</v>
      </c>
      <c r="DA606" s="536"/>
      <c r="DB606" s="536"/>
      <c r="DC606" s="536"/>
      <c r="DD606" s="541">
        <f t="shared" si="248"/>
        <v>0</v>
      </c>
      <c r="DE606" s="536"/>
      <c r="DF606" s="536"/>
      <c r="DG606" s="536"/>
      <c r="DH606" s="541">
        <f t="shared" si="249"/>
        <v>0</v>
      </c>
      <c r="DI606" s="536"/>
      <c r="DJ606" s="536"/>
      <c r="DK606" s="536"/>
      <c r="DL606" s="541">
        <f t="shared" si="250"/>
        <v>0</v>
      </c>
      <c r="DM606" s="536"/>
      <c r="DN606" s="536"/>
      <c r="DO606" s="536"/>
      <c r="DP606" s="541">
        <f>IF( SUM((DJ606*(20/100))+(DK606*(30/100))+(DL606*(50/100))) &gt;=9.3,9.5,
IF(AND( SUM((DJ606*(20/100))+(DK606*(30/100))+(DL606*(50/100))) &lt;=9.3, SUM((DJ606*(20/100))+(DK606*(30/100))+(DL606*(50/100))) &gt;=8.8),9,
IF(AND( SUM((DJ606*(20/100))+(DK606*(30/100))+(DL606*(50/100))) &lt;=8.8, SUM((DJ606*(20/100))+(DK606*(30/100))+(DL606*(50/100))) &gt;=8.3),8.5,
IF(AND( SUM((DJ606*(20/100))+(DK606*(30/100))+(DL606*(50/100))) &lt;=8.3, SUM((DJ606*(20/100))+(DK606*(30/100))+(DL606*(50/100))) &gt;=7.8),8,
IF(AND( SUM((DJ606*(20/100))+(DK606*(30/100))+(DL606*(50/100))) &lt;=7.8, SUM((DJ606*(20/100))+(DK606*(30/100))+(DL606*(50/100))) &gt;=7.3),7.5,
IF(AND( SUM((DJ606*(20/100))+(DK606*(30/100))+(DL606*(50/100))) &lt;=7.3, SUM((DJ606*(20/100))+(DK606*(30/100))+(DL606*(50/100))) &gt;=6.8),7,
IF(AND( SUM((DJ606*(20/100))+(DK606*(30/100))+(DL606*(50/100))) &lt;=6.8, SUM((DJ606*(20/100))+(DK606*(30/100))+(DL606*(50/100))) &gt;=6.3),6.5,
IF(AND( SUM((DJ606*(20/100))+(DK606*(30/100))+(DL606*(50/100))) &lt;=6.3, SUM((DJ606*(20/100))+(DK606*(30/100))+(DL606*(50/100))) &gt;=5.8),6,
IF(AND( SUM((DJ606*(20/100))+(DK606*(30/100))+(DL606*(50/100))) &lt;=5.8, SUM((DJ606*(20/100))+(DK606*(30/100))+(DL606*(50/100))) &gt;=5.3),5.5,
IF(AND( SUM((DJ606*(20/100))+(DK606*(30/100))+(DL606*(50/100))) &lt;=5.3, SUM((DJ606*(20/100))+(DK606*(30/100))+(DL606*(50/100))) &gt;=4.8),5,
IF(AND( SUM((DJ606*(20/100))+(DK606*(30/100))+(DL606*(50/100))) &lt;=4.8, SUM((DJ606*(20/100))+(DK606*(30/100))+(DL606*(50/100))) &gt;=4.3),4.5,
IF(AND( SUM((DJ606*(20/100))+(DK606*(30/100))+(DL606*(50/100))) &lt;=4.3, SUM((DJ606*(20/100))+(DK606*(30/100))+(DL606*(50/100))) &gt;=3.8),4,
IF(AND( SUM((DJ606*(20/100))+(DK606*(30/100))+(DL606*(50/100))) &lt;=3.8, SUM((DJ606*(20/100))+(DK606*(30/100))+(DL606*(50/100))) &gt;=3.5),3.5,0)))))))))))))</f>
        <v>0</v>
      </c>
      <c r="DQ606" s="541"/>
      <c r="DR606" s="541"/>
      <c r="DS606" s="541"/>
      <c r="DT606" s="541"/>
      <c r="DU606" s="541"/>
      <c r="DV606" s="541"/>
      <c r="DW606" s="541"/>
      <c r="DX606" s="541"/>
      <c r="DY606" s="541"/>
      <c r="DZ606" s="541"/>
    </row>
    <row r="607" spans="2:130" x14ac:dyDescent="0.25">
      <c r="B607" s="334">
        <v>50</v>
      </c>
      <c r="C607" s="541"/>
      <c r="D607" s="334"/>
      <c r="E607" s="334"/>
      <c r="F607" s="334"/>
      <c r="G607" s="334"/>
      <c r="H607" s="334"/>
      <c r="I607" s="334"/>
      <c r="J607" s="536"/>
      <c r="K607" s="536"/>
      <c r="L607" s="536"/>
      <c r="M607" s="536"/>
      <c r="N607" s="536"/>
      <c r="O607" s="536"/>
      <c r="P607" s="536">
        <f t="shared" si="226"/>
        <v>0</v>
      </c>
      <c r="Q607" s="536"/>
      <c r="R607" s="536"/>
      <c r="S607" s="536"/>
      <c r="T607" s="536">
        <f t="shared" si="227"/>
        <v>0</v>
      </c>
      <c r="U607" s="536"/>
      <c r="V607" s="536"/>
      <c r="W607" s="536"/>
      <c r="X607" s="536">
        <f t="shared" si="228"/>
        <v>0</v>
      </c>
      <c r="Y607" s="536"/>
      <c r="Z607" s="536"/>
      <c r="AA607" s="536"/>
      <c r="AB607" s="536">
        <f t="shared" si="229"/>
        <v>0</v>
      </c>
      <c r="AC607" s="536"/>
      <c r="AD607" s="536"/>
      <c r="AE607" s="536"/>
      <c r="AF607" s="536">
        <f t="shared" si="230"/>
        <v>0</v>
      </c>
      <c r="AG607" s="536"/>
      <c r="AH607" s="536"/>
      <c r="AI607" s="536"/>
      <c r="AJ607" s="536">
        <f t="shared" si="231"/>
        <v>0</v>
      </c>
      <c r="AK607" s="536"/>
      <c r="AL607" s="536"/>
      <c r="AM607" s="536"/>
      <c r="AN607" s="542">
        <f t="shared" si="232"/>
        <v>0</v>
      </c>
      <c r="AO607" s="536"/>
      <c r="AP607" s="536"/>
      <c r="AQ607" s="536"/>
      <c r="AR607" s="542">
        <f t="shared" si="233"/>
        <v>0</v>
      </c>
      <c r="AS607" s="536"/>
      <c r="AT607" s="536"/>
      <c r="AU607" s="536"/>
      <c r="AV607" s="542">
        <f t="shared" si="234"/>
        <v>0</v>
      </c>
      <c r="AW607" s="536"/>
      <c r="AX607" s="536"/>
      <c r="AY607" s="536"/>
      <c r="AZ607" s="542">
        <f t="shared" si="235"/>
        <v>0</v>
      </c>
      <c r="BA607" s="536"/>
      <c r="BB607" s="536"/>
      <c r="BC607" s="536"/>
      <c r="BD607" s="542">
        <f t="shared" si="236"/>
        <v>0</v>
      </c>
      <c r="BE607" s="536"/>
      <c r="BF607" s="536"/>
      <c r="BG607" s="536"/>
      <c r="BH607" s="542">
        <f t="shared" si="237"/>
        <v>0</v>
      </c>
      <c r="BI607" s="536"/>
      <c r="BJ607" s="536"/>
      <c r="BK607" s="536"/>
      <c r="BL607" s="542">
        <f t="shared" si="238"/>
        <v>0</v>
      </c>
      <c r="BM607" s="536"/>
      <c r="BN607" s="536"/>
      <c r="BO607" s="536"/>
      <c r="BP607" s="542">
        <f t="shared" si="239"/>
        <v>0</v>
      </c>
      <c r="BQ607" s="536"/>
      <c r="BR607" s="536"/>
      <c r="BS607" s="536"/>
      <c r="BT607" s="542">
        <f t="shared" si="240"/>
        <v>0</v>
      </c>
      <c r="BU607" s="536"/>
      <c r="BV607" s="536"/>
      <c r="BW607" s="536"/>
      <c r="BX607" s="542">
        <f t="shared" si="241"/>
        <v>0</v>
      </c>
      <c r="BY607" s="536"/>
      <c r="BZ607" s="536"/>
      <c r="CA607" s="536"/>
      <c r="CB607" s="542">
        <v>0</v>
      </c>
      <c r="CC607" s="536"/>
      <c r="CD607" s="536"/>
      <c r="CE607" s="536"/>
      <c r="CF607" s="541">
        <f t="shared" si="242"/>
        <v>0</v>
      </c>
      <c r="CG607" s="536"/>
      <c r="CH607" s="536"/>
      <c r="CI607" s="536"/>
      <c r="CJ607" s="541">
        <f t="shared" si="243"/>
        <v>0</v>
      </c>
      <c r="CK607" s="536"/>
      <c r="CL607" s="536"/>
      <c r="CM607" s="536"/>
      <c r="CN607" s="541">
        <f t="shared" si="244"/>
        <v>0</v>
      </c>
      <c r="CO607" s="536"/>
      <c r="CP607" s="536"/>
      <c r="CQ607" s="536"/>
      <c r="CR607" s="541">
        <f t="shared" si="245"/>
        <v>0</v>
      </c>
      <c r="CS607" s="536"/>
      <c r="CT607" s="536"/>
      <c r="CU607" s="536"/>
      <c r="CV607" s="541">
        <f t="shared" si="246"/>
        <v>0</v>
      </c>
      <c r="CW607" s="536"/>
      <c r="CX607" s="536"/>
      <c r="CY607" s="536"/>
      <c r="CZ607" s="541">
        <f t="shared" si="247"/>
        <v>0</v>
      </c>
      <c r="DA607" s="536"/>
      <c r="DB607" s="536"/>
      <c r="DC607" s="536"/>
      <c r="DD607" s="541">
        <f t="shared" si="248"/>
        <v>0</v>
      </c>
      <c r="DE607" s="536"/>
      <c r="DF607" s="536"/>
      <c r="DG607" s="536"/>
      <c r="DH607" s="541">
        <f t="shared" si="249"/>
        <v>0</v>
      </c>
      <c r="DI607" s="536"/>
      <c r="DJ607" s="536"/>
      <c r="DK607" s="536"/>
      <c r="DL607" s="541">
        <f t="shared" si="250"/>
        <v>0</v>
      </c>
      <c r="DM607" s="536"/>
      <c r="DN607" s="536"/>
      <c r="DO607" s="536"/>
      <c r="DP607" s="541">
        <f>IF( SUM((DJ607*(20/100))+(DK607*(30/100))+(DL607*(50/100))) &gt;=9.3,9.5,
IF(AND( SUM((DJ607*(20/100))+(DK607*(30/100))+(DL607*(50/100))) &lt;=9.3, SUM((DJ607*(20/100))+(DK607*(30/100))+(DL607*(50/100))) &gt;=8.8),9,
IF(AND( SUM((DJ607*(20/100))+(DK607*(30/100))+(DL607*(50/100))) &lt;=8.8, SUM((DJ607*(20/100))+(DK607*(30/100))+(DL607*(50/100))) &gt;=8.3),8.5,
IF(AND( SUM((DJ607*(20/100))+(DK607*(30/100))+(DL607*(50/100))) &lt;=8.3, SUM((DJ607*(20/100))+(DK607*(30/100))+(DL607*(50/100))) &gt;=7.8),8,
IF(AND( SUM((DJ607*(20/100))+(DK607*(30/100))+(DL607*(50/100))) &lt;=7.8, SUM((DJ607*(20/100))+(DK607*(30/100))+(DL607*(50/100))) &gt;=7.3),7.5,
IF(AND( SUM((DJ607*(20/100))+(DK607*(30/100))+(DL607*(50/100))) &lt;=7.3, SUM((DJ607*(20/100))+(DK607*(30/100))+(DL607*(50/100))) &gt;=6.8),7,
IF(AND( SUM((DJ607*(20/100))+(DK607*(30/100))+(DL607*(50/100))) &lt;=6.8, SUM((DJ607*(20/100))+(DK607*(30/100))+(DL607*(50/100))) &gt;=6.3),6.5,
IF(AND( SUM((DJ607*(20/100))+(DK607*(30/100))+(DL607*(50/100))) &lt;=6.3, SUM((DJ607*(20/100))+(DK607*(30/100))+(DL607*(50/100))) &gt;=5.8),6,
IF(AND( SUM((DJ607*(20/100))+(DK607*(30/100))+(DL607*(50/100))) &lt;=5.8, SUM((DJ607*(20/100))+(DK607*(30/100))+(DL607*(50/100))) &gt;=5.3),5.5,
IF(AND( SUM((DJ607*(20/100))+(DK607*(30/100))+(DL607*(50/100))) &lt;=5.3, SUM((DJ607*(20/100))+(DK607*(30/100))+(DL607*(50/100))) &gt;=4.8),5,
IF(AND( SUM((DJ607*(20/100))+(DK607*(30/100))+(DL607*(50/100))) &lt;=4.8, SUM((DJ607*(20/100))+(DK607*(30/100))+(DL607*(50/100))) &gt;=4.3),4.5,
IF(AND( SUM((DJ607*(20/100))+(DK607*(30/100))+(DL607*(50/100))) &lt;=4.3, SUM((DJ607*(20/100))+(DK607*(30/100))+(DL607*(50/100))) &gt;=3.8),4,
IF(AND( SUM((DJ607*(20/100))+(DK607*(30/100))+(DL607*(50/100))) &lt;=3.8, SUM((DJ607*(20/100))+(DK607*(30/100))+(DL607*(50/100))) &gt;=3.5),3.5,0)))))))))))))</f>
        <v>0</v>
      </c>
      <c r="DQ607" s="541"/>
      <c r="DR607" s="541"/>
      <c r="DS607" s="541"/>
      <c r="DT607" s="541"/>
      <c r="DU607" s="541"/>
      <c r="DV607" s="541"/>
      <c r="DW607" s="541"/>
      <c r="DX607" s="541"/>
      <c r="DY607" s="541"/>
      <c r="DZ607" s="541"/>
    </row>
    <row r="608" spans="2:130" x14ac:dyDescent="0.25">
      <c r="B608" s="334"/>
      <c r="C608" s="541"/>
      <c r="D608" s="334"/>
      <c r="E608" s="334"/>
      <c r="F608" s="334"/>
      <c r="G608" s="334"/>
      <c r="H608" s="334"/>
      <c r="I608" s="334"/>
      <c r="J608" s="536"/>
      <c r="K608" s="536"/>
      <c r="L608" s="536"/>
      <c r="M608" s="536"/>
      <c r="N608" s="536"/>
      <c r="O608" s="536"/>
      <c r="P608" s="536"/>
      <c r="Q608" s="536"/>
      <c r="R608" s="536"/>
      <c r="S608" s="536"/>
      <c r="T608" s="536"/>
      <c r="U608" s="536"/>
      <c r="V608" s="536"/>
      <c r="W608" s="536"/>
      <c r="X608" s="536"/>
      <c r="Y608" s="536"/>
      <c r="Z608" s="536"/>
      <c r="AA608" s="536"/>
      <c r="AB608" s="536"/>
      <c r="AC608" s="536"/>
      <c r="AD608" s="536"/>
      <c r="AE608" s="536"/>
      <c r="AF608" s="536"/>
      <c r="AG608" s="536"/>
      <c r="AH608" s="536"/>
      <c r="AI608" s="536"/>
      <c r="AJ608" s="536"/>
      <c r="AK608" s="536"/>
      <c r="AL608" s="536"/>
      <c r="AM608" s="536"/>
      <c r="AN608" s="542"/>
      <c r="AO608" s="536"/>
      <c r="AP608" s="536"/>
      <c r="AQ608" s="536"/>
      <c r="AR608" s="542"/>
      <c r="AS608" s="536"/>
      <c r="AT608" s="536"/>
      <c r="AU608" s="536"/>
      <c r="AV608" s="542"/>
      <c r="AW608" s="536"/>
      <c r="AX608" s="536"/>
      <c r="AY608" s="536"/>
      <c r="AZ608" s="542"/>
      <c r="BA608" s="536"/>
      <c r="BB608" s="536"/>
      <c r="BC608" s="536"/>
      <c r="BD608" s="542"/>
      <c r="BE608" s="536"/>
      <c r="BF608" s="536"/>
      <c r="BG608" s="536"/>
      <c r="BH608" s="542"/>
      <c r="BI608" s="536"/>
      <c r="BJ608" s="536"/>
      <c r="BK608" s="536"/>
      <c r="BL608" s="542"/>
      <c r="BM608" s="536"/>
      <c r="BN608" s="536"/>
      <c r="BO608" s="536"/>
      <c r="BP608" s="542"/>
      <c r="BQ608" s="536"/>
      <c r="BR608" s="536"/>
      <c r="BS608" s="536"/>
      <c r="BT608" s="542"/>
      <c r="BU608" s="536"/>
      <c r="BV608" s="536"/>
      <c r="BW608" s="536"/>
      <c r="BX608" s="542"/>
      <c r="BY608" s="536"/>
      <c r="BZ608" s="536"/>
      <c r="CA608" s="536"/>
      <c r="CB608" s="542"/>
      <c r="CC608" s="536"/>
      <c r="CD608" s="536"/>
      <c r="CE608" s="536"/>
      <c r="CF608" s="541"/>
      <c r="CG608" s="536"/>
      <c r="CH608" s="536"/>
      <c r="CI608" s="536"/>
      <c r="CJ608" s="541"/>
      <c r="CK608" s="536"/>
      <c r="CL608" s="536"/>
      <c r="CM608" s="536"/>
      <c r="CN608" s="541"/>
      <c r="CO608" s="536"/>
      <c r="CP608" s="536"/>
      <c r="CQ608" s="536"/>
      <c r="CR608" s="541"/>
      <c r="CS608" s="536"/>
      <c r="CT608" s="536"/>
      <c r="CU608" s="536"/>
      <c r="CV608" s="541"/>
      <c r="CW608" s="536"/>
      <c r="CX608" s="536"/>
      <c r="CY608" s="536"/>
      <c r="CZ608" s="541"/>
      <c r="DA608" s="536"/>
      <c r="DB608" s="536"/>
      <c r="DC608" s="536"/>
      <c r="DD608" s="541"/>
      <c r="DE608" s="536"/>
      <c r="DF608" s="536"/>
      <c r="DG608" s="536"/>
      <c r="DH608" s="541"/>
      <c r="DI608" s="536"/>
      <c r="DJ608" s="536"/>
      <c r="DK608" s="536"/>
      <c r="DL608" s="541"/>
      <c r="DM608" s="536"/>
      <c r="DN608" s="536"/>
      <c r="DO608" s="536"/>
      <c r="DP608" s="541"/>
      <c r="DQ608" s="541"/>
      <c r="DR608" s="541"/>
      <c r="DS608" s="541"/>
      <c r="DT608" s="541"/>
      <c r="DU608" s="541"/>
      <c r="DV608" s="541"/>
      <c r="DW608" s="541"/>
      <c r="DX608" s="541"/>
      <c r="DY608" s="541"/>
      <c r="DZ608" s="541"/>
    </row>
    <row r="609" spans="2:130" x14ac:dyDescent="0.25">
      <c r="B609" s="334"/>
      <c r="C609" s="541"/>
      <c r="D609" s="334"/>
      <c r="E609" s="334"/>
      <c r="F609" s="334"/>
      <c r="G609" s="334"/>
      <c r="H609" s="334"/>
      <c r="I609" s="334"/>
      <c r="J609" s="536"/>
      <c r="K609" s="536"/>
      <c r="L609" s="536"/>
      <c r="M609" s="536"/>
      <c r="N609" s="536"/>
      <c r="O609" s="536"/>
      <c r="P609" s="536"/>
      <c r="Q609" s="536"/>
      <c r="R609" s="536"/>
      <c r="S609" s="536"/>
      <c r="T609" s="536"/>
      <c r="U609" s="536"/>
      <c r="V609" s="536"/>
      <c r="W609" s="536"/>
      <c r="X609" s="536"/>
      <c r="Y609" s="536"/>
      <c r="Z609" s="536"/>
      <c r="AA609" s="536"/>
      <c r="AB609" s="536"/>
      <c r="AC609" s="536"/>
      <c r="AD609" s="536"/>
      <c r="AE609" s="536"/>
      <c r="AF609" s="536"/>
      <c r="AG609" s="536"/>
      <c r="AH609" s="536"/>
      <c r="AI609" s="536"/>
      <c r="AJ609" s="536"/>
      <c r="AK609" s="536"/>
      <c r="AL609" s="536"/>
      <c r="AM609" s="536"/>
      <c r="AN609" s="542"/>
      <c r="AO609" s="536"/>
      <c r="AP609" s="536"/>
      <c r="AQ609" s="536"/>
      <c r="AR609" s="542"/>
      <c r="AS609" s="536"/>
      <c r="AT609" s="536"/>
      <c r="AU609" s="536"/>
      <c r="AV609" s="542"/>
      <c r="AW609" s="536"/>
      <c r="AX609" s="536"/>
      <c r="AY609" s="536"/>
      <c r="AZ609" s="542"/>
      <c r="BA609" s="536"/>
      <c r="BB609" s="536"/>
      <c r="BC609" s="536"/>
      <c r="BD609" s="542"/>
      <c r="BE609" s="536"/>
      <c r="BF609" s="536"/>
      <c r="BG609" s="536"/>
      <c r="BH609" s="542"/>
      <c r="BI609" s="536"/>
      <c r="BJ609" s="536"/>
      <c r="BK609" s="536"/>
      <c r="BL609" s="542"/>
      <c r="BM609" s="536"/>
      <c r="BN609" s="536"/>
      <c r="BO609" s="536"/>
      <c r="BP609" s="542"/>
      <c r="BQ609" s="536"/>
      <c r="BR609" s="536"/>
      <c r="BS609" s="536"/>
      <c r="BT609" s="542"/>
      <c r="BU609" s="536"/>
      <c r="BV609" s="536"/>
      <c r="BW609" s="536"/>
      <c r="BX609" s="542"/>
      <c r="BY609" s="536"/>
      <c r="BZ609" s="536"/>
      <c r="CA609" s="536"/>
      <c r="CB609" s="542"/>
      <c r="CC609" s="536"/>
      <c r="CD609" s="536"/>
      <c r="CE609" s="536"/>
      <c r="CF609" s="541"/>
      <c r="CG609" s="536"/>
      <c r="CH609" s="536"/>
      <c r="CI609" s="536"/>
      <c r="CJ609" s="541"/>
      <c r="CK609" s="536"/>
      <c r="CL609" s="536"/>
      <c r="CM609" s="536"/>
      <c r="CN609" s="541"/>
      <c r="CO609" s="536"/>
      <c r="CP609" s="536"/>
      <c r="CQ609" s="536"/>
      <c r="CR609" s="541"/>
      <c r="CS609" s="536"/>
      <c r="CT609" s="536"/>
      <c r="CU609" s="536"/>
      <c r="CV609" s="541"/>
      <c r="CW609" s="536"/>
      <c r="CX609" s="536"/>
      <c r="CY609" s="536"/>
      <c r="CZ609" s="541"/>
      <c r="DA609" s="536"/>
      <c r="DB609" s="536"/>
      <c r="DC609" s="536"/>
      <c r="DD609" s="541"/>
      <c r="DE609" s="536"/>
      <c r="DF609" s="536"/>
      <c r="DG609" s="536"/>
      <c r="DH609" s="541"/>
      <c r="DI609" s="536"/>
      <c r="DJ609" s="536"/>
      <c r="DK609" s="536"/>
      <c r="DL609" s="541"/>
      <c r="DM609" s="536"/>
      <c r="DN609" s="536"/>
      <c r="DO609" s="536"/>
      <c r="DP609" s="541"/>
      <c r="DQ609" s="541"/>
      <c r="DR609" s="541"/>
      <c r="DS609" s="541"/>
      <c r="DT609" s="541"/>
      <c r="DU609" s="541"/>
      <c r="DV609" s="541"/>
      <c r="DW609" s="541"/>
      <c r="DX609" s="541"/>
      <c r="DY609" s="541"/>
      <c r="DZ609" s="541"/>
    </row>
    <row r="610" spans="2:130" x14ac:dyDescent="0.25">
      <c r="B610" s="334"/>
      <c r="C610" s="541"/>
      <c r="D610" s="334"/>
      <c r="E610" s="334"/>
      <c r="F610" s="334"/>
      <c r="G610" s="334"/>
      <c r="H610" s="334"/>
      <c r="I610" s="334"/>
      <c r="J610" s="536"/>
      <c r="K610" s="536"/>
      <c r="L610" s="536"/>
      <c r="M610" s="536"/>
      <c r="N610" s="536"/>
      <c r="O610" s="536"/>
      <c r="P610" s="536"/>
      <c r="Q610" s="536"/>
      <c r="R610" s="536"/>
      <c r="S610" s="536"/>
      <c r="T610" s="536"/>
      <c r="U610" s="536"/>
      <c r="V610" s="536"/>
      <c r="W610" s="536"/>
      <c r="X610" s="536"/>
      <c r="Y610" s="536"/>
      <c r="Z610" s="536"/>
      <c r="AA610" s="536"/>
      <c r="AB610" s="536"/>
      <c r="AC610" s="536"/>
      <c r="AD610" s="536"/>
      <c r="AE610" s="536"/>
      <c r="AF610" s="536"/>
      <c r="AG610" s="536"/>
      <c r="AH610" s="536"/>
      <c r="AI610" s="536"/>
      <c r="AJ610" s="536"/>
      <c r="AK610" s="536"/>
      <c r="AL610" s="536"/>
      <c r="AM610" s="536"/>
      <c r="AN610" s="542"/>
      <c r="AO610" s="536"/>
      <c r="AP610" s="536"/>
      <c r="AQ610" s="536"/>
      <c r="AR610" s="542"/>
      <c r="AS610" s="536"/>
      <c r="AT610" s="536"/>
      <c r="AU610" s="536"/>
      <c r="AV610" s="542"/>
      <c r="AW610" s="536"/>
      <c r="AX610" s="536"/>
      <c r="AY610" s="536"/>
      <c r="AZ610" s="542"/>
      <c r="BA610" s="536"/>
      <c r="BB610" s="536"/>
      <c r="BC610" s="536"/>
      <c r="BD610" s="542"/>
      <c r="BE610" s="536"/>
      <c r="BF610" s="536"/>
      <c r="BG610" s="536"/>
      <c r="BH610" s="542"/>
      <c r="BI610" s="536"/>
      <c r="BJ610" s="536"/>
      <c r="BK610" s="536"/>
      <c r="BL610" s="542"/>
      <c r="BM610" s="536"/>
      <c r="BN610" s="536"/>
      <c r="BO610" s="536"/>
      <c r="BP610" s="542"/>
      <c r="BQ610" s="536"/>
      <c r="BR610" s="536"/>
      <c r="BS610" s="536"/>
      <c r="BT610" s="542"/>
      <c r="BU610" s="536"/>
      <c r="BV610" s="536"/>
      <c r="BW610" s="536"/>
      <c r="BX610" s="542"/>
      <c r="BY610" s="536"/>
      <c r="BZ610" s="536"/>
      <c r="CA610" s="536"/>
      <c r="CB610" s="542"/>
      <c r="CC610" s="536"/>
      <c r="CD610" s="536"/>
      <c r="CE610" s="536"/>
      <c r="CF610" s="541"/>
      <c r="CG610" s="536"/>
      <c r="CH610" s="536"/>
      <c r="CI610" s="536"/>
      <c r="CJ610" s="541"/>
      <c r="CK610" s="536"/>
      <c r="CL610" s="536"/>
      <c r="CM610" s="536"/>
      <c r="CN610" s="541"/>
      <c r="CO610" s="536"/>
      <c r="CP610" s="536"/>
      <c r="CQ610" s="536"/>
      <c r="CR610" s="541"/>
      <c r="CS610" s="536"/>
      <c r="CT610" s="536"/>
      <c r="CU610" s="536"/>
      <c r="CV610" s="541"/>
      <c r="CW610" s="536"/>
      <c r="CX610" s="536"/>
      <c r="CY610" s="536"/>
      <c r="CZ610" s="541"/>
      <c r="DA610" s="536"/>
      <c r="DB610" s="536"/>
      <c r="DC610" s="536"/>
      <c r="DD610" s="541"/>
      <c r="DE610" s="536"/>
      <c r="DF610" s="536"/>
      <c r="DG610" s="536"/>
      <c r="DH610" s="541"/>
      <c r="DI610" s="536"/>
      <c r="DJ610" s="536"/>
      <c r="DK610" s="536"/>
      <c r="DL610" s="541"/>
      <c r="DM610" s="536"/>
      <c r="DN610" s="536"/>
      <c r="DO610" s="536"/>
      <c r="DP610" s="541"/>
      <c r="DQ610" s="541"/>
      <c r="DR610" s="541"/>
      <c r="DS610" s="541"/>
      <c r="DT610" s="541"/>
      <c r="DU610" s="541"/>
      <c r="DV610" s="541"/>
      <c r="DW610" s="541"/>
      <c r="DX610" s="541"/>
      <c r="DY610" s="541"/>
      <c r="DZ610" s="541"/>
    </row>
    <row r="611" spans="2:130" x14ac:dyDescent="0.25">
      <c r="B611" s="334"/>
      <c r="C611" s="541"/>
      <c r="D611" s="334"/>
      <c r="E611" s="334"/>
      <c r="F611" s="334"/>
      <c r="G611" s="334"/>
      <c r="H611" s="334"/>
      <c r="I611" s="334"/>
      <c r="J611" s="536"/>
      <c r="K611" s="536"/>
      <c r="L611" s="536"/>
      <c r="M611" s="536"/>
      <c r="N611" s="536"/>
      <c r="O611" s="536"/>
      <c r="P611" s="536"/>
      <c r="Q611" s="536"/>
      <c r="R611" s="536"/>
      <c r="S611" s="536"/>
      <c r="T611" s="536"/>
      <c r="U611" s="536"/>
      <c r="V611" s="536"/>
      <c r="W611" s="536"/>
      <c r="X611" s="536"/>
      <c r="Y611" s="536"/>
      <c r="Z611" s="536"/>
      <c r="AA611" s="536"/>
      <c r="AB611" s="536"/>
      <c r="AC611" s="536"/>
      <c r="AD611" s="536"/>
      <c r="AE611" s="536"/>
      <c r="AF611" s="536"/>
      <c r="AG611" s="536"/>
      <c r="AH611" s="536"/>
      <c r="AI611" s="536"/>
      <c r="AJ611" s="536"/>
      <c r="AK611" s="536"/>
      <c r="AL611" s="536"/>
      <c r="AM611" s="536"/>
      <c r="AN611" s="542"/>
      <c r="AO611" s="536"/>
      <c r="AP611" s="536"/>
      <c r="AQ611" s="536"/>
      <c r="AR611" s="542"/>
      <c r="AS611" s="536"/>
      <c r="AT611" s="536"/>
      <c r="AU611" s="536"/>
      <c r="AV611" s="542"/>
      <c r="AW611" s="536"/>
      <c r="AX611" s="536"/>
      <c r="AY611" s="536"/>
      <c r="AZ611" s="542"/>
      <c r="BA611" s="536"/>
      <c r="BB611" s="536"/>
      <c r="BC611" s="536"/>
      <c r="BD611" s="542"/>
      <c r="BE611" s="536"/>
      <c r="BF611" s="536"/>
      <c r="BG611" s="536"/>
      <c r="BH611" s="542"/>
      <c r="BI611" s="536"/>
      <c r="BJ611" s="536"/>
      <c r="BK611" s="536"/>
      <c r="BL611" s="542"/>
      <c r="BM611" s="536"/>
      <c r="BN611" s="536"/>
      <c r="BO611" s="536"/>
      <c r="BP611" s="542"/>
      <c r="BQ611" s="536"/>
      <c r="BR611" s="536"/>
      <c r="BS611" s="536"/>
      <c r="BT611" s="542"/>
      <c r="BU611" s="536"/>
      <c r="BV611" s="536"/>
      <c r="BW611" s="536"/>
      <c r="BX611" s="542"/>
      <c r="BY611" s="536"/>
      <c r="BZ611" s="536"/>
      <c r="CA611" s="536"/>
      <c r="CB611" s="542"/>
      <c r="CC611" s="536"/>
      <c r="CD611" s="536"/>
      <c r="CE611" s="536"/>
      <c r="CF611" s="541"/>
      <c r="CG611" s="536"/>
      <c r="CH611" s="536"/>
      <c r="CI611" s="536"/>
      <c r="CJ611" s="541"/>
      <c r="CK611" s="536"/>
      <c r="CL611" s="536"/>
      <c r="CM611" s="536"/>
      <c r="CN611" s="541"/>
      <c r="CO611" s="536"/>
      <c r="CP611" s="536"/>
      <c r="CQ611" s="536"/>
      <c r="CR611" s="541"/>
      <c r="CS611" s="536"/>
      <c r="CT611" s="536"/>
      <c r="CU611" s="536"/>
      <c r="CV611" s="541"/>
      <c r="CW611" s="536"/>
      <c r="CX611" s="536"/>
      <c r="CY611" s="536"/>
      <c r="CZ611" s="541"/>
      <c r="DA611" s="536"/>
      <c r="DB611" s="536"/>
      <c r="DC611" s="536"/>
      <c r="DD611" s="541"/>
      <c r="DE611" s="536"/>
      <c r="DF611" s="536"/>
      <c r="DG611" s="536"/>
      <c r="DH611" s="541"/>
      <c r="DI611" s="536"/>
      <c r="DJ611" s="536"/>
      <c r="DK611" s="536"/>
      <c r="DL611" s="541"/>
      <c r="DM611" s="536"/>
      <c r="DN611" s="536"/>
      <c r="DO611" s="536"/>
      <c r="DP611" s="541"/>
      <c r="DQ611" s="541"/>
      <c r="DR611" s="541"/>
      <c r="DS611" s="541"/>
      <c r="DT611" s="541"/>
      <c r="DU611" s="541"/>
      <c r="DV611" s="541"/>
      <c r="DW611" s="541"/>
      <c r="DX611" s="541"/>
      <c r="DY611" s="541"/>
      <c r="DZ611" s="541"/>
    </row>
  </sheetData>
  <customSheetViews>
    <customSheetView guid="{D6876842-41DE-4A2D-BA5A-3FB60505F493}" scale="118" hiddenRows="1">
      <pane ySplit="6" topLeftCell="A7" activePane="bottomLeft" state="frozen"/>
      <selection pane="bottomLeft" activeCell="K60" sqref="K60"/>
      <pageMargins left="0.7" right="0.7" top="0.75" bottom="0.75" header="0.3" footer="0.3"/>
    </customSheetView>
  </customSheetViews>
  <mergeCells count="24">
    <mergeCell ref="DA6:DD6"/>
    <mergeCell ref="CC6:CF6"/>
    <mergeCell ref="CG6:CJ6"/>
    <mergeCell ref="CK6:CN6"/>
    <mergeCell ref="CO6:CR6"/>
    <mergeCell ref="CS6:CV6"/>
    <mergeCell ref="CW6:CZ6"/>
    <mergeCell ref="BE6:BH6"/>
    <mergeCell ref="BI6:BL6"/>
    <mergeCell ref="BM6:BP6"/>
    <mergeCell ref="BQ6:BT6"/>
    <mergeCell ref="BU6:BX6"/>
    <mergeCell ref="BY6:CB6"/>
    <mergeCell ref="AG6:AJ6"/>
    <mergeCell ref="AK6:AN6"/>
    <mergeCell ref="AO6:AR6"/>
    <mergeCell ref="AS6:AV6"/>
    <mergeCell ref="AW6:AZ6"/>
    <mergeCell ref="BA6:BD6"/>
    <mergeCell ref="M6:P6"/>
    <mergeCell ref="Q6:T6"/>
    <mergeCell ref="U6:X6"/>
    <mergeCell ref="Y6:AB6"/>
    <mergeCell ref="AC6:AF6"/>
  </mergeCells>
  <dataValidations count="1">
    <dataValidation type="decimal" allowBlank="1" showInputMessage="1" showErrorMessage="1" errorTitle="Digital Rapot v.4.1" error="Hanya di perboleh maskan nilai antara 3,5 sampai 9,5." sqref="J1:DZ1048576">
      <formula1>3.5</formula1>
      <formula2>9.5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0" r:id="rId3" name="Drop Down 2">
              <controlPr defaultSize="0" autoLine="0" autoPict="0" macro="[0]!DropDown2_Change">
                <anchor moveWithCells="1">
                  <from>
                    <xdr:col>1</xdr:col>
                    <xdr:colOff>66675</xdr:colOff>
                    <xdr:row>2</xdr:row>
                    <xdr:rowOff>266700</xdr:rowOff>
                  </from>
                  <to>
                    <xdr:col>2</xdr:col>
                    <xdr:colOff>1190625</xdr:colOff>
                    <xdr:row>2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T262"/>
  <sheetViews>
    <sheetView view="pageBreakPreview" zoomScale="115" zoomScaleNormal="100" zoomScaleSheetLayoutView="115" workbookViewId="0">
      <pane ySplit="4" topLeftCell="A11" activePane="bottomLeft" state="frozen"/>
      <selection activeCell="K1" sqref="A1:XFD1048576"/>
      <selection pane="bottomLeft"/>
    </sheetView>
  </sheetViews>
  <sheetFormatPr defaultColWidth="10.42578125" defaultRowHeight="21" x14ac:dyDescent="0.45"/>
  <cols>
    <col min="1" max="1" width="11.7109375" style="117" customWidth="1"/>
    <col min="2" max="3" width="5.5703125" style="117" customWidth="1"/>
    <col min="4" max="4" width="9.7109375" style="117" customWidth="1"/>
    <col min="5" max="5" width="4" style="117" customWidth="1"/>
    <col min="6" max="6" width="6.42578125" style="117" customWidth="1"/>
    <col min="7" max="7" width="6" style="117" customWidth="1"/>
    <col min="8" max="8" width="4.42578125" style="117" customWidth="1"/>
    <col min="9" max="9" width="5.42578125" style="117" customWidth="1"/>
    <col min="10" max="10" width="4.28515625" style="117" customWidth="1"/>
    <col min="11" max="11" width="5" style="117" customWidth="1"/>
    <col min="12" max="12" width="3.42578125" style="118" customWidth="1"/>
    <col min="13" max="13" width="0.85546875" style="118" customWidth="1"/>
    <col min="14" max="14" width="5.5703125" style="119" customWidth="1"/>
    <col min="15" max="15" width="9.7109375" style="117" customWidth="1"/>
    <col min="16" max="16" width="4" style="117" customWidth="1"/>
    <col min="17" max="17" width="6.42578125" style="117" customWidth="1"/>
    <col min="18" max="18" width="6" style="117" customWidth="1"/>
    <col min="19" max="19" width="4.42578125" style="117" customWidth="1"/>
    <col min="20" max="20" width="5.42578125" style="117" customWidth="1"/>
    <col min="21" max="21" width="2.42578125" style="117" customWidth="1"/>
    <col min="22" max="22" width="4.85546875" style="117" customWidth="1"/>
    <col min="23" max="23" width="3.42578125" style="117" customWidth="1"/>
    <col min="24" max="24" width="6.5703125" style="120" hidden="1" customWidth="1"/>
    <col min="25" max="25" width="12.140625" style="120" hidden="1" customWidth="1"/>
    <col min="26" max="26" width="4.28515625" style="120" hidden="1" customWidth="1"/>
    <col min="27" max="27" width="0.85546875" style="120" customWidth="1"/>
    <col min="28" max="28" width="2.28515625" style="120" hidden="1" customWidth="1"/>
    <col min="29" max="30" width="10.42578125" style="120" hidden="1" customWidth="1"/>
    <col min="31" max="31" width="0.5703125" style="120" hidden="1" customWidth="1"/>
    <col min="32" max="33" width="10.42578125" style="120" hidden="1" customWidth="1"/>
    <col min="34" max="16384" width="10.42578125" style="120"/>
  </cols>
  <sheetData>
    <row r="1" spans="1:46" s="222" customFormat="1" ht="61.5" customHeight="1" thickBot="1" x14ac:dyDescent="0.25">
      <c r="A1" s="221"/>
      <c r="C1" s="223"/>
      <c r="D1" s="224"/>
      <c r="E1" s="225"/>
      <c r="K1" s="436"/>
      <c r="L1" s="436"/>
      <c r="M1" s="436"/>
      <c r="N1" s="436"/>
      <c r="O1" s="436"/>
      <c r="P1" s="436"/>
      <c r="Q1" s="436"/>
      <c r="R1" s="436"/>
      <c r="S1" s="436"/>
      <c r="T1" s="436"/>
      <c r="V1" s="238">
        <v>4</v>
      </c>
      <c r="X1" s="226"/>
      <c r="Y1" s="227"/>
      <c r="Z1" s="226"/>
      <c r="AT1" s="222">
        <f>Legger!AT1</f>
        <v>11</v>
      </c>
    </row>
    <row r="2" spans="1:46" s="222" customFormat="1" ht="19.5" customHeight="1" thickTop="1" thickBot="1" x14ac:dyDescent="0.25">
      <c r="C2" s="228"/>
      <c r="D2" s="229"/>
      <c r="G2" s="230">
        <v>1</v>
      </c>
      <c r="L2" s="223"/>
      <c r="U2" s="440" t="s">
        <v>801</v>
      </c>
      <c r="V2" s="440"/>
      <c r="W2" s="440"/>
      <c r="X2" s="226"/>
      <c r="Y2" s="231"/>
      <c r="Z2" s="226"/>
    </row>
    <row r="3" spans="1:46" s="222" customFormat="1" ht="15.75" customHeight="1" thickTop="1" thickBot="1" x14ac:dyDescent="0.3">
      <c r="C3" s="228"/>
      <c r="D3" s="229"/>
      <c r="G3" s="230">
        <v>1</v>
      </c>
      <c r="L3" s="223"/>
      <c r="U3" s="232"/>
      <c r="V3" s="313">
        <f>Legger!AN4</f>
        <v>34</v>
      </c>
      <c r="W3" s="232"/>
      <c r="X3" s="226"/>
      <c r="Y3" s="231"/>
      <c r="Z3" s="226"/>
    </row>
    <row r="4" spans="1:46" s="222" customFormat="1" ht="8.25" customHeight="1" thickTop="1" thickBot="1" x14ac:dyDescent="0.3">
      <c r="C4" s="228"/>
      <c r="D4" s="228"/>
      <c r="G4" s="233"/>
      <c r="L4" s="223"/>
      <c r="U4" s="232"/>
      <c r="V4" s="232"/>
      <c r="W4" s="232"/>
      <c r="X4" s="226"/>
      <c r="Y4" s="231"/>
      <c r="Z4" s="226"/>
    </row>
    <row r="5" spans="1:46" s="221" customFormat="1" ht="9" customHeight="1" x14ac:dyDescent="0.25">
      <c r="A5" s="221">
        <v>1</v>
      </c>
      <c r="C5" s="234"/>
      <c r="D5" s="235"/>
      <c r="E5" s="236"/>
      <c r="L5" s="234"/>
      <c r="X5" s="221">
        <v>7</v>
      </c>
      <c r="Y5" s="237" t="e">
        <f>VLOOKUP(V1,LEGER,44)</f>
        <v>#REF!</v>
      </c>
    </row>
    <row r="6" spans="1:46" s="54" customFormat="1" ht="18" customHeight="1" x14ac:dyDescent="0.45">
      <c r="A6" s="53"/>
      <c r="B6" s="53"/>
      <c r="C6" s="130"/>
      <c r="D6" s="130"/>
      <c r="E6" s="130"/>
      <c r="F6" s="130"/>
      <c r="G6" s="130"/>
      <c r="H6" s="130"/>
      <c r="I6" s="130"/>
      <c r="J6" s="130"/>
      <c r="K6" s="130"/>
      <c r="L6" s="131"/>
      <c r="M6" s="131"/>
      <c r="N6" s="491"/>
      <c r="O6" s="491"/>
      <c r="P6" s="491"/>
      <c r="Q6" s="491"/>
      <c r="R6" s="491"/>
      <c r="S6" s="491"/>
      <c r="T6" s="491"/>
      <c r="U6" s="491"/>
      <c r="V6" s="491"/>
      <c r="W6" s="491"/>
      <c r="Z6" s="55" t="s">
        <v>1878</v>
      </c>
    </row>
    <row r="7" spans="1:46" s="54" customFormat="1" ht="17.25" customHeight="1" x14ac:dyDescent="0.45">
      <c r="A7" s="53"/>
      <c r="B7" s="53"/>
      <c r="C7" s="130"/>
      <c r="D7" s="130"/>
      <c r="E7" s="130"/>
      <c r="F7" s="130"/>
      <c r="G7" s="130"/>
      <c r="H7" s="130"/>
      <c r="I7" s="130"/>
      <c r="J7" s="130"/>
      <c r="K7" s="130"/>
      <c r="L7" s="131"/>
      <c r="M7" s="131"/>
      <c r="N7" s="132"/>
      <c r="O7" s="133"/>
      <c r="P7" s="133"/>
      <c r="Q7" s="133"/>
      <c r="R7" s="133"/>
      <c r="S7" s="134"/>
      <c r="T7" s="130"/>
      <c r="U7" s="130"/>
      <c r="V7" s="492"/>
      <c r="W7" s="492"/>
      <c r="Z7" s="55" t="s">
        <v>8109</v>
      </c>
    </row>
    <row r="8" spans="1:46" s="54" customFormat="1" ht="68.25" customHeight="1" x14ac:dyDescent="0.45">
      <c r="A8" s="53"/>
      <c r="B8" s="53"/>
      <c r="C8" s="178"/>
      <c r="D8" s="495"/>
      <c r="E8" s="495"/>
      <c r="F8" s="495"/>
      <c r="G8" s="495"/>
      <c r="H8" s="495"/>
      <c r="I8" s="495"/>
      <c r="J8" s="495"/>
      <c r="K8" s="495"/>
      <c r="L8" s="495"/>
      <c r="M8" s="179"/>
      <c r="N8" s="180"/>
      <c r="O8" s="178"/>
      <c r="P8" s="178"/>
      <c r="Q8" s="178"/>
      <c r="R8" s="178"/>
      <c r="S8" s="178"/>
      <c r="T8" s="181"/>
      <c r="U8" s="181"/>
      <c r="V8" s="182"/>
      <c r="W8" s="182"/>
      <c r="Z8" s="55" t="s">
        <v>8110</v>
      </c>
    </row>
    <row r="9" spans="1:46" s="54" customFormat="1" ht="36" customHeight="1" x14ac:dyDescent="0.45">
      <c r="A9" s="53"/>
      <c r="B9" s="53"/>
      <c r="C9" s="183"/>
      <c r="D9" s="183"/>
      <c r="E9" s="183"/>
      <c r="F9" s="183"/>
      <c r="G9" s="183"/>
      <c r="H9" s="183"/>
      <c r="I9" s="183"/>
      <c r="J9" s="183"/>
      <c r="K9" s="183"/>
      <c r="L9" s="183"/>
      <c r="M9" s="183"/>
      <c r="N9" s="183"/>
      <c r="O9" s="184"/>
      <c r="P9" s="183"/>
      <c r="Q9" s="185"/>
      <c r="R9" s="183"/>
      <c r="S9" s="186"/>
      <c r="T9" s="187"/>
      <c r="U9" s="187"/>
      <c r="V9" s="188"/>
      <c r="W9" s="188"/>
      <c r="Z9" s="55" t="s">
        <v>8111</v>
      </c>
    </row>
    <row r="10" spans="1:46" s="124" customFormat="1" ht="19.5" customHeight="1" x14ac:dyDescent="0.55000000000000004">
      <c r="A10" s="123"/>
      <c r="B10" s="123"/>
      <c r="C10" s="160"/>
      <c r="D10" s="160"/>
      <c r="E10" s="160"/>
      <c r="F10" s="160"/>
      <c r="G10" s="499" t="str">
        <f>Legger!$AN$3</f>
        <v>الخامس  A</v>
      </c>
      <c r="H10" s="499"/>
      <c r="I10" s="160" t="s">
        <v>1866</v>
      </c>
      <c r="J10" s="493" t="s">
        <v>472</v>
      </c>
      <c r="K10" s="493"/>
      <c r="L10" s="493"/>
      <c r="M10" s="493"/>
      <c r="N10" s="189"/>
      <c r="O10" s="160"/>
      <c r="P10" s="160"/>
      <c r="Q10" s="160"/>
      <c r="R10" s="160"/>
      <c r="S10" s="160"/>
      <c r="T10" s="160"/>
      <c r="U10" s="160" t="s">
        <v>1866</v>
      </c>
      <c r="V10" s="494" t="s">
        <v>1863</v>
      </c>
      <c r="W10" s="494"/>
      <c r="Z10" s="125" t="s">
        <v>8112</v>
      </c>
    </row>
    <row r="11" spans="1:46" s="124" customFormat="1" ht="19.5" customHeight="1" x14ac:dyDescent="0.55000000000000004">
      <c r="A11" s="123"/>
      <c r="B11" s="123"/>
      <c r="C11" s="160"/>
      <c r="D11" s="160"/>
      <c r="E11" s="160"/>
      <c r="F11" s="160"/>
      <c r="G11" s="498" t="str">
        <f>Pengaturan!J70</f>
        <v>النقلي</v>
      </c>
      <c r="H11" s="498"/>
      <c r="I11" s="160" t="s">
        <v>1866</v>
      </c>
      <c r="J11" s="496" t="s">
        <v>1865</v>
      </c>
      <c r="K11" s="496"/>
      <c r="L11" s="496"/>
      <c r="M11" s="496"/>
      <c r="N11" s="189"/>
      <c r="O11" s="488" t="str">
        <f>VLOOKUP(V1,LEGER,2)</f>
        <v>ArifahNurNailurfar</v>
      </c>
      <c r="P11" s="488"/>
      <c r="Q11" s="488"/>
      <c r="R11" s="488"/>
      <c r="S11" s="488"/>
      <c r="T11" s="488"/>
      <c r="U11" s="190" t="s">
        <v>1866</v>
      </c>
      <c r="V11" s="520" t="s">
        <v>1864</v>
      </c>
      <c r="W11" s="520"/>
      <c r="Z11" s="125" t="s">
        <v>8113</v>
      </c>
    </row>
    <row r="12" spans="1:46" s="57" customFormat="1" ht="8.25" customHeight="1" thickBot="1" x14ac:dyDescent="0.5">
      <c r="A12" s="56"/>
      <c r="B12" s="56"/>
      <c r="C12" s="141"/>
      <c r="D12" s="141"/>
      <c r="E12" s="141"/>
      <c r="F12" s="141"/>
      <c r="G12" s="141"/>
      <c r="H12" s="141"/>
      <c r="I12" s="142"/>
      <c r="J12" s="141"/>
      <c r="K12" s="143"/>
      <c r="L12" s="143"/>
      <c r="M12" s="143"/>
      <c r="N12" s="143"/>
      <c r="O12" s="144"/>
      <c r="P12" s="144"/>
      <c r="Q12" s="144"/>
      <c r="R12" s="144"/>
      <c r="S12" s="144"/>
      <c r="T12" s="144"/>
      <c r="U12" s="145"/>
      <c r="V12" s="177"/>
      <c r="W12" s="177"/>
      <c r="Z12" s="55" t="s">
        <v>8114</v>
      </c>
    </row>
    <row r="13" spans="1:46" s="126" customFormat="1" ht="32.25" customHeight="1" thickTop="1" x14ac:dyDescent="0.55000000000000004">
      <c r="A13" s="123"/>
      <c r="B13" s="123"/>
      <c r="C13" s="511" t="s">
        <v>8208</v>
      </c>
      <c r="D13" s="512"/>
      <c r="E13" s="512"/>
      <c r="F13" s="512"/>
      <c r="G13" s="513"/>
      <c r="H13" s="500" t="s">
        <v>807</v>
      </c>
      <c r="I13" s="505" t="s">
        <v>808</v>
      </c>
      <c r="J13" s="506"/>
      <c r="K13" s="507"/>
      <c r="L13" s="521" t="s">
        <v>809</v>
      </c>
      <c r="M13" s="146"/>
      <c r="N13" s="511" t="s">
        <v>8208</v>
      </c>
      <c r="O13" s="512"/>
      <c r="P13" s="512"/>
      <c r="Q13" s="512"/>
      <c r="R13" s="513"/>
      <c r="S13" s="500" t="s">
        <v>807</v>
      </c>
      <c r="T13" s="505" t="s">
        <v>808</v>
      </c>
      <c r="U13" s="506"/>
      <c r="V13" s="507"/>
      <c r="W13" s="521" t="s">
        <v>809</v>
      </c>
      <c r="Z13" s="125" t="s">
        <v>8115</v>
      </c>
    </row>
    <row r="14" spans="1:46" s="128" customFormat="1" ht="32.25" customHeight="1" thickBot="1" x14ac:dyDescent="0.6">
      <c r="A14" s="127"/>
      <c r="B14" s="127"/>
      <c r="C14" s="147" t="s">
        <v>810</v>
      </c>
      <c r="D14" s="514" t="s">
        <v>811</v>
      </c>
      <c r="E14" s="515"/>
      <c r="F14" s="516"/>
      <c r="G14" s="148" t="s">
        <v>812</v>
      </c>
      <c r="H14" s="501"/>
      <c r="I14" s="508"/>
      <c r="J14" s="509"/>
      <c r="K14" s="510"/>
      <c r="L14" s="522"/>
      <c r="M14" s="149"/>
      <c r="N14" s="147" t="s">
        <v>810</v>
      </c>
      <c r="O14" s="514" t="s">
        <v>811</v>
      </c>
      <c r="P14" s="515"/>
      <c r="Q14" s="516"/>
      <c r="R14" s="148" t="s">
        <v>812</v>
      </c>
      <c r="S14" s="501"/>
      <c r="T14" s="508"/>
      <c r="U14" s="509"/>
      <c r="V14" s="510"/>
      <c r="W14" s="522"/>
      <c r="Z14" s="125" t="s">
        <v>8116</v>
      </c>
    </row>
    <row r="15" spans="1:46" s="129" customFormat="1" ht="18" customHeight="1" thickTop="1" thickBot="1" x14ac:dyDescent="0.55000000000000004">
      <c r="A15" s="121"/>
      <c r="B15" s="121"/>
      <c r="C15" s="269">
        <f>SUM(F15*H15)</f>
        <v>0</v>
      </c>
      <c r="D15" s="497" t="str">
        <f>VLOOKUP(F15,NILAI,2)</f>
        <v>_</v>
      </c>
      <c r="E15" s="497"/>
      <c r="F15" s="198">
        <f>VLOOKUP(V1,LEGER,18)</f>
        <v>0</v>
      </c>
      <c r="G15" s="241">
        <f>Legger!T$55</f>
        <v>0</v>
      </c>
      <c r="H15" s="240">
        <f>Legger!$T$6</f>
        <v>4</v>
      </c>
      <c r="I15" s="475" t="str">
        <f>Legger!$T$7</f>
        <v>الرياضيات</v>
      </c>
      <c r="J15" s="475"/>
      <c r="K15" s="475"/>
      <c r="L15" s="270">
        <v>16</v>
      </c>
      <c r="M15" s="150"/>
      <c r="N15" s="517" t="s">
        <v>8207</v>
      </c>
      <c r="O15" s="518"/>
      <c r="P15" s="518"/>
      <c r="Q15" s="518"/>
      <c r="R15" s="518"/>
      <c r="S15" s="518"/>
      <c r="T15" s="518"/>
      <c r="U15" s="518"/>
      <c r="V15" s="518"/>
      <c r="W15" s="519"/>
      <c r="Z15" s="122" t="s">
        <v>8117</v>
      </c>
    </row>
    <row r="16" spans="1:46" s="129" customFormat="1" ht="18" customHeight="1" thickTop="1" x14ac:dyDescent="0.5">
      <c r="A16" s="121"/>
      <c r="B16" s="121"/>
      <c r="C16" s="151">
        <f t="shared" ref="C16:C31" si="0">SUM(F16*H16)</f>
        <v>0</v>
      </c>
      <c r="D16" s="464" t="str">
        <f t="shared" ref="D16:D23" si="1">VLOOKUP(F16,NILAI,2)</f>
        <v>_</v>
      </c>
      <c r="E16" s="464"/>
      <c r="F16" s="271">
        <f>VLOOKUP(V1,LEGER,19)</f>
        <v>0</v>
      </c>
      <c r="G16" s="272">
        <f>Legger!U$55</f>
        <v>0</v>
      </c>
      <c r="H16" s="273">
        <f>Legger!$U$6</f>
        <v>3</v>
      </c>
      <c r="I16" s="465" t="str">
        <f>Legger!$U$7</f>
        <v>اللغة الإندونيسية</v>
      </c>
      <c r="J16" s="465"/>
      <c r="K16" s="465"/>
      <c r="L16" s="153">
        <v>17</v>
      </c>
      <c r="M16" s="150"/>
      <c r="N16" s="269">
        <f>SUM(Q16*S16)</f>
        <v>0</v>
      </c>
      <c r="O16" s="523" t="str">
        <f>VLOOKUP(Q16,NILAI,2)</f>
        <v>_</v>
      </c>
      <c r="P16" s="523"/>
      <c r="Q16" s="198">
        <f>VLOOKUP(V1,LEGER,3)</f>
        <v>0</v>
      </c>
      <c r="R16" s="292">
        <f>Legger!E55</f>
        <v>0</v>
      </c>
      <c r="S16" s="293">
        <f>Legger!$E$6</f>
        <v>3</v>
      </c>
      <c r="T16" s="475" t="str">
        <f>Legger!$E$7</f>
        <v>اللغة العربية</v>
      </c>
      <c r="U16" s="475"/>
      <c r="V16" s="475"/>
      <c r="W16" s="152">
        <v>1</v>
      </c>
      <c r="Z16" s="122" t="s">
        <v>8118</v>
      </c>
    </row>
    <row r="17" spans="1:26" s="129" customFormat="1" ht="18" customHeight="1" x14ac:dyDescent="0.5">
      <c r="A17" s="121"/>
      <c r="B17" s="121"/>
      <c r="C17" s="151">
        <f t="shared" si="0"/>
        <v>0</v>
      </c>
      <c r="D17" s="464" t="str">
        <f t="shared" si="1"/>
        <v>_</v>
      </c>
      <c r="E17" s="464"/>
      <c r="F17" s="271">
        <f>VLOOKUP(V1,LEGER,20)</f>
        <v>0</v>
      </c>
      <c r="G17" s="272">
        <f>Legger!V$55</f>
        <v>0</v>
      </c>
      <c r="H17" s="273">
        <f>Legger!$V$6</f>
        <v>2</v>
      </c>
      <c r="I17" s="465" t="str">
        <f>Legger!$V$7</f>
        <v>التاريخ العام</v>
      </c>
      <c r="J17" s="465"/>
      <c r="K17" s="465"/>
      <c r="L17" s="274">
        <v>18</v>
      </c>
      <c r="M17" s="150"/>
      <c r="N17" s="151">
        <f>SUM(Q17*S17)</f>
        <v>0</v>
      </c>
      <c r="O17" s="525" t="str">
        <f>VLOOKUP(Q17,NILAI,2)</f>
        <v>_</v>
      </c>
      <c r="P17" s="525"/>
      <c r="Q17" s="271">
        <f>VLOOKUP(V1,LEGER,4)</f>
        <v>0</v>
      </c>
      <c r="R17" s="290">
        <f>Legger!F$55</f>
        <v>0</v>
      </c>
      <c r="S17" s="294">
        <f>Legger!$F$6</f>
        <v>3</v>
      </c>
      <c r="T17" s="465" t="str">
        <f>Legger!$F$7</f>
        <v>اللغة الإنجليزية</v>
      </c>
      <c r="U17" s="465"/>
      <c r="V17" s="465"/>
      <c r="W17" s="153">
        <v>2</v>
      </c>
      <c r="Z17" s="122" t="s">
        <v>607</v>
      </c>
    </row>
    <row r="18" spans="1:26" s="129" customFormat="1" ht="18" customHeight="1" thickBot="1" x14ac:dyDescent="0.55000000000000004">
      <c r="A18" s="121"/>
      <c r="B18" s="121"/>
      <c r="C18" s="151">
        <f t="shared" si="0"/>
        <v>0</v>
      </c>
      <c r="D18" s="464" t="str">
        <f t="shared" si="1"/>
        <v>_</v>
      </c>
      <c r="E18" s="464"/>
      <c r="F18" s="271">
        <f>VLOOKUP(V1,LEGER,21)</f>
        <v>0</v>
      </c>
      <c r="G18" s="272">
        <f>Legger!W$55</f>
        <v>0</v>
      </c>
      <c r="H18" s="273">
        <f>Legger!$W$6</f>
        <v>2</v>
      </c>
      <c r="I18" s="465" t="str">
        <f>Legger!$W$7</f>
        <v>الكمبيوتر</v>
      </c>
      <c r="J18" s="465"/>
      <c r="K18" s="465"/>
      <c r="L18" s="153">
        <v>19</v>
      </c>
      <c r="M18" s="150"/>
      <c r="N18" s="276">
        <f>SUM(Q18*S18)</f>
        <v>0</v>
      </c>
      <c r="O18" s="531" t="str">
        <f>VLOOKUP(Q18,NILAI,2)</f>
        <v>_</v>
      </c>
      <c r="P18" s="531"/>
      <c r="Q18" s="278">
        <f>VLOOKUP(V1,LEGER,5)</f>
        <v>0</v>
      </c>
      <c r="R18" s="291">
        <f>Legger!G$55</f>
        <v>0</v>
      </c>
      <c r="S18" s="295">
        <f>Legger!$G$6</f>
        <v>3</v>
      </c>
      <c r="T18" s="524" t="str">
        <f>Legger!$G$7</f>
        <v>الفقه وتلاوة القرآن</v>
      </c>
      <c r="U18" s="524"/>
      <c r="V18" s="524"/>
      <c r="W18" s="279">
        <v>3</v>
      </c>
      <c r="Z18" s="122" t="s">
        <v>8119</v>
      </c>
    </row>
    <row r="19" spans="1:26" s="129" customFormat="1" ht="18" customHeight="1" thickTop="1" thickBot="1" x14ac:dyDescent="0.55000000000000004">
      <c r="A19" s="121"/>
      <c r="B19" s="121"/>
      <c r="C19" s="151">
        <f t="shared" si="0"/>
        <v>0</v>
      </c>
      <c r="D19" s="464" t="str">
        <f>VLOOKUP(F19,NILAI,2)</f>
        <v>_</v>
      </c>
      <c r="E19" s="464"/>
      <c r="F19" s="271">
        <f>VLOOKUP(V1,LEGER,22)</f>
        <v>0</v>
      </c>
      <c r="G19" s="272">
        <f>Legger!X$55</f>
        <v>0</v>
      </c>
      <c r="H19" s="273">
        <f>Legger!$X$6</f>
        <v>2</v>
      </c>
      <c r="I19" s="465" t="str">
        <f>Legger!$X$7</f>
        <v>التربية الوطنية</v>
      </c>
      <c r="J19" s="465"/>
      <c r="K19" s="465"/>
      <c r="L19" s="274">
        <v>20</v>
      </c>
      <c r="M19" s="150"/>
      <c r="N19" s="502" t="s">
        <v>8214</v>
      </c>
      <c r="O19" s="503"/>
      <c r="P19" s="503"/>
      <c r="Q19" s="503"/>
      <c r="R19" s="503"/>
      <c r="S19" s="503"/>
      <c r="T19" s="503"/>
      <c r="U19" s="503"/>
      <c r="V19" s="503"/>
      <c r="W19" s="504"/>
      <c r="Z19" s="122" t="s">
        <v>8120</v>
      </c>
    </row>
    <row r="20" spans="1:26" s="129" customFormat="1" ht="18" customHeight="1" thickTop="1" x14ac:dyDescent="0.5">
      <c r="A20" s="121"/>
      <c r="B20" s="121"/>
      <c r="C20" s="151">
        <f t="shared" si="0"/>
        <v>0</v>
      </c>
      <c r="D20" s="464" t="str">
        <f t="shared" si="1"/>
        <v>_</v>
      </c>
      <c r="E20" s="464"/>
      <c r="F20" s="271">
        <f>VLOOKUP(V1,LEGER,23)</f>
        <v>0</v>
      </c>
      <c r="G20" s="272">
        <f>Legger!Y$55</f>
        <v>0</v>
      </c>
      <c r="H20" s="273">
        <f>Legger!$Y$6</f>
        <v>2</v>
      </c>
      <c r="I20" s="465" t="str">
        <f>Legger!$Y$7</f>
        <v>الصوصيولوجيا</v>
      </c>
      <c r="J20" s="465"/>
      <c r="K20" s="465"/>
      <c r="L20" s="153">
        <v>21</v>
      </c>
      <c r="M20" s="150"/>
      <c r="N20" s="269">
        <f>SUM(Q20*S20)</f>
        <v>0</v>
      </c>
      <c r="O20" s="497" t="str">
        <f t="shared" ref="O20:O31" si="2">VLOOKUP(Q20,NILAI,2)</f>
        <v>_</v>
      </c>
      <c r="P20" s="497"/>
      <c r="Q20" s="198">
        <f>VLOOKUP(V1,LEGER,6)</f>
        <v>0</v>
      </c>
      <c r="R20" s="241">
        <f>Legger!H$55</f>
        <v>0</v>
      </c>
      <c r="S20" s="240">
        <f>Legger!$H$6</f>
        <v>2</v>
      </c>
      <c r="T20" s="475" t="str">
        <f>Legger!$H$7</f>
        <v>أصول الفقه</v>
      </c>
      <c r="U20" s="475"/>
      <c r="V20" s="475"/>
      <c r="W20" s="152">
        <v>4</v>
      </c>
      <c r="Z20" s="122" t="s">
        <v>8121</v>
      </c>
    </row>
    <row r="21" spans="1:26" s="129" customFormat="1" ht="18" customHeight="1" x14ac:dyDescent="0.5">
      <c r="A21" s="121"/>
      <c r="B21" s="121"/>
      <c r="C21" s="151">
        <f t="shared" si="0"/>
        <v>0</v>
      </c>
      <c r="D21" s="464" t="str">
        <f t="shared" si="1"/>
        <v>_</v>
      </c>
      <c r="E21" s="464"/>
      <c r="F21" s="271">
        <f>VLOOKUP(V1,LEGER,24)</f>
        <v>0</v>
      </c>
      <c r="G21" s="272">
        <f>Legger!Z$55</f>
        <v>0</v>
      </c>
      <c r="H21" s="273">
        <f>Legger!Z$6</f>
        <v>4</v>
      </c>
      <c r="I21" s="465" t="str">
        <f>Legger!$Z$7</f>
        <v>الاقتصادية</v>
      </c>
      <c r="J21" s="465"/>
      <c r="K21" s="465"/>
      <c r="L21" s="274">
        <v>22</v>
      </c>
      <c r="M21" s="150"/>
      <c r="N21" s="151">
        <f t="shared" ref="N21:N31" si="3">SUM(Q21*S21)</f>
        <v>0</v>
      </c>
      <c r="O21" s="464" t="str">
        <f t="shared" si="2"/>
        <v>_</v>
      </c>
      <c r="P21" s="464"/>
      <c r="Q21" s="271">
        <f>VLOOKUP(V1,LEGER,7)</f>
        <v>0</v>
      </c>
      <c r="R21" s="272">
        <f>Legger!I$55</f>
        <v>0</v>
      </c>
      <c r="S21" s="273">
        <f>Legger!$I$6</f>
        <v>2</v>
      </c>
      <c r="T21" s="465" t="str">
        <f>Legger!$I$7</f>
        <v>المطالعة و الإنشاء</v>
      </c>
      <c r="U21" s="465"/>
      <c r="V21" s="465"/>
      <c r="W21" s="153">
        <v>5</v>
      </c>
      <c r="Z21" s="122" t="s">
        <v>8122</v>
      </c>
    </row>
    <row r="22" spans="1:26" s="129" customFormat="1" ht="18" customHeight="1" x14ac:dyDescent="0.5">
      <c r="A22" s="121"/>
      <c r="B22" s="121"/>
      <c r="C22" s="151">
        <f t="shared" si="0"/>
        <v>0</v>
      </c>
      <c r="D22" s="464" t="str">
        <f t="shared" si="1"/>
        <v>_</v>
      </c>
      <c r="E22" s="464"/>
      <c r="F22" s="275">
        <f>VLOOKUP(V1,LEGER,25)</f>
        <v>0</v>
      </c>
      <c r="G22" s="272">
        <f>Legger!AA$55</f>
        <v>0</v>
      </c>
      <c r="H22" s="297">
        <f>Legger!AA$6</f>
        <v>2</v>
      </c>
      <c r="I22" s="465" t="str">
        <f>Legger!$AA7</f>
        <v>الجغرافيا</v>
      </c>
      <c r="J22" s="465"/>
      <c r="K22" s="465"/>
      <c r="L22" s="153">
        <v>23</v>
      </c>
      <c r="M22" s="150"/>
      <c r="N22" s="151">
        <f t="shared" si="3"/>
        <v>0</v>
      </c>
      <c r="O22" s="464" t="str">
        <f t="shared" si="2"/>
        <v>_</v>
      </c>
      <c r="P22" s="464"/>
      <c r="Q22" s="271">
        <f>VLOOKUP(V1,LEGER,8)</f>
        <v>0</v>
      </c>
      <c r="R22" s="272">
        <f>Legger!J$55</f>
        <v>0</v>
      </c>
      <c r="S22" s="273">
        <f>Legger!$J$6</f>
        <v>4</v>
      </c>
      <c r="T22" s="465" t="str">
        <f>Legger!$J$7</f>
        <v>النحو</v>
      </c>
      <c r="U22" s="465"/>
      <c r="V22" s="465"/>
      <c r="W22" s="153">
        <v>6</v>
      </c>
      <c r="Z22" s="122" t="s">
        <v>6255</v>
      </c>
    </row>
    <row r="23" spans="1:26" s="129" customFormat="1" ht="18" customHeight="1" x14ac:dyDescent="0.5">
      <c r="A23" s="121"/>
      <c r="B23" s="121"/>
      <c r="C23" s="151">
        <f t="shared" si="0"/>
        <v>0</v>
      </c>
      <c r="D23" s="464" t="str">
        <f t="shared" si="1"/>
        <v>_</v>
      </c>
      <c r="E23" s="464"/>
      <c r="F23" s="275">
        <f>VLOOKUP(V1,LEGER,26)</f>
        <v>0</v>
      </c>
      <c r="G23" s="272">
        <f>Legger!AB$55</f>
        <v>0</v>
      </c>
      <c r="H23" s="297">
        <f>Legger!AB$6</f>
        <v>0</v>
      </c>
      <c r="I23" s="465">
        <f>Legger!$AB$8</f>
        <v>0</v>
      </c>
      <c r="J23" s="465"/>
      <c r="K23" s="465"/>
      <c r="L23" s="274">
        <v>24</v>
      </c>
      <c r="M23" s="150"/>
      <c r="N23" s="151">
        <f t="shared" si="3"/>
        <v>0</v>
      </c>
      <c r="O23" s="464" t="str">
        <f t="shared" si="2"/>
        <v>_</v>
      </c>
      <c r="P23" s="464"/>
      <c r="Q23" s="271">
        <f>VLOOKUP(V1,LEGER,9)</f>
        <v>0</v>
      </c>
      <c r="R23" s="272">
        <f>Legger!K$55</f>
        <v>0</v>
      </c>
      <c r="S23" s="273">
        <f>Legger!$K$6</f>
        <v>2</v>
      </c>
      <c r="T23" s="465" t="str">
        <f>Legger!$K$7</f>
        <v>التفسير</v>
      </c>
      <c r="U23" s="465"/>
      <c r="V23" s="465"/>
      <c r="W23" s="153">
        <v>7</v>
      </c>
      <c r="Z23" s="122" t="s">
        <v>6256</v>
      </c>
    </row>
    <row r="24" spans="1:26" s="129" customFormat="1" ht="18" customHeight="1" x14ac:dyDescent="0.5">
      <c r="A24" s="121"/>
      <c r="B24" s="121"/>
      <c r="C24" s="151">
        <f t="shared" si="0"/>
        <v>0</v>
      </c>
      <c r="D24" s="464" t="str">
        <f t="shared" ref="D24:D26" si="4">VLOOKUP(F24,NILAI,2)</f>
        <v>_</v>
      </c>
      <c r="E24" s="464"/>
      <c r="F24" s="275">
        <f>VLOOKUP(V1,LEGER,27)</f>
        <v>0</v>
      </c>
      <c r="G24" s="272">
        <f>Legger!AC$55</f>
        <v>0</v>
      </c>
      <c r="H24" s="297">
        <f>Legger!AC$6</f>
        <v>0</v>
      </c>
      <c r="I24" s="465">
        <f>Legger!$AC$8</f>
        <v>0</v>
      </c>
      <c r="J24" s="465"/>
      <c r="K24" s="465"/>
      <c r="L24" s="153">
        <v>25</v>
      </c>
      <c r="M24" s="150"/>
      <c r="N24" s="151">
        <f t="shared" si="3"/>
        <v>0</v>
      </c>
      <c r="O24" s="464" t="str">
        <f t="shared" si="2"/>
        <v>_</v>
      </c>
      <c r="P24" s="464"/>
      <c r="Q24" s="271">
        <f>VLOOKUP(V1,LEGER,10)</f>
        <v>0</v>
      </c>
      <c r="R24" s="272">
        <f>Legger!L$55</f>
        <v>0</v>
      </c>
      <c r="S24" s="273">
        <f>Legger!$L$6</f>
        <v>3</v>
      </c>
      <c r="T24" s="465" t="str">
        <f>Legger!$L$7</f>
        <v>التربية</v>
      </c>
      <c r="U24" s="465"/>
      <c r="V24" s="465"/>
      <c r="W24" s="153">
        <v>8</v>
      </c>
      <c r="Z24" s="122" t="s">
        <v>6257</v>
      </c>
    </row>
    <row r="25" spans="1:26" s="129" customFormat="1" ht="18" customHeight="1" x14ac:dyDescent="0.5">
      <c r="A25" s="121"/>
      <c r="B25" s="121"/>
      <c r="C25" s="151">
        <f t="shared" si="0"/>
        <v>0</v>
      </c>
      <c r="D25" s="464" t="str">
        <f t="shared" si="4"/>
        <v>_</v>
      </c>
      <c r="E25" s="464"/>
      <c r="F25" s="275">
        <f>VLOOKUP(V1,LEGER,28)</f>
        <v>0</v>
      </c>
      <c r="G25" s="272">
        <f>Legger!AD$55</f>
        <v>0</v>
      </c>
      <c r="H25" s="297">
        <f>Legger!AD$6</f>
        <v>0</v>
      </c>
      <c r="I25" s="465">
        <f>Legger!$AD$8</f>
        <v>0</v>
      </c>
      <c r="J25" s="465"/>
      <c r="K25" s="465"/>
      <c r="L25" s="274">
        <v>26</v>
      </c>
      <c r="M25" s="150"/>
      <c r="N25" s="151">
        <f t="shared" si="3"/>
        <v>0</v>
      </c>
      <c r="O25" s="464" t="str">
        <f t="shared" si="2"/>
        <v>_</v>
      </c>
      <c r="P25" s="464"/>
      <c r="Q25" s="271">
        <f>VLOOKUP(V1,LEGER,11)</f>
        <v>0</v>
      </c>
      <c r="R25" s="272">
        <f>Legger!M$55</f>
        <v>0</v>
      </c>
      <c r="S25" s="273">
        <f>Legger!$M$6</f>
        <v>4</v>
      </c>
      <c r="T25" s="465" t="str">
        <f>Legger!$M$7</f>
        <v>البلاغة</v>
      </c>
      <c r="U25" s="465"/>
      <c r="V25" s="465"/>
      <c r="W25" s="153">
        <v>9</v>
      </c>
      <c r="Z25" s="122" t="s">
        <v>6258</v>
      </c>
    </row>
    <row r="26" spans="1:26" s="129" customFormat="1" ht="18" customHeight="1" x14ac:dyDescent="0.5">
      <c r="A26" s="121"/>
      <c r="B26" s="121"/>
      <c r="C26" s="151">
        <f t="shared" si="0"/>
        <v>0</v>
      </c>
      <c r="D26" s="464" t="str">
        <f t="shared" si="4"/>
        <v>_</v>
      </c>
      <c r="E26" s="464"/>
      <c r="F26" s="275">
        <f>VLOOKUP(V$1,LEGER,29)</f>
        <v>0</v>
      </c>
      <c r="G26" s="272">
        <f>Legger!AE$55</f>
        <v>0</v>
      </c>
      <c r="H26" s="297">
        <f>Legger!AE$6</f>
        <v>0</v>
      </c>
      <c r="I26" s="465">
        <f>Legger!$AE$8</f>
        <v>0</v>
      </c>
      <c r="J26" s="465"/>
      <c r="K26" s="465"/>
      <c r="L26" s="153">
        <v>27</v>
      </c>
      <c r="M26" s="150"/>
      <c r="N26" s="151">
        <f t="shared" si="3"/>
        <v>0</v>
      </c>
      <c r="O26" s="464" t="str">
        <f t="shared" si="2"/>
        <v>_</v>
      </c>
      <c r="P26" s="464"/>
      <c r="Q26" s="271">
        <f>VLOOKUP(V1,LEGER,12)</f>
        <v>0</v>
      </c>
      <c r="R26" s="272">
        <f>Legger!N$55</f>
        <v>0</v>
      </c>
      <c r="S26" s="273">
        <f>Legger!$N$6</f>
        <v>4</v>
      </c>
      <c r="T26" s="465" t="str">
        <f>Legger!$N$7</f>
        <v>الحديث</v>
      </c>
      <c r="U26" s="465"/>
      <c r="V26" s="465"/>
      <c r="W26" s="153">
        <v>10</v>
      </c>
      <c r="Z26" s="122" t="s">
        <v>6259</v>
      </c>
    </row>
    <row r="27" spans="1:26" s="129" customFormat="1" ht="18" customHeight="1" x14ac:dyDescent="0.5">
      <c r="A27" s="121"/>
      <c r="B27" s="121"/>
      <c r="C27" s="151">
        <f t="shared" si="0"/>
        <v>0</v>
      </c>
      <c r="D27" s="464" t="str">
        <f t="shared" ref="D27:D31" si="5">VLOOKUP(F27,NILAI,2)</f>
        <v>_</v>
      </c>
      <c r="E27" s="464"/>
      <c r="F27" s="275">
        <f>VLOOKUP(V$1,LEGER,30)</f>
        <v>0</v>
      </c>
      <c r="G27" s="296">
        <f>Legger!AF$55</f>
        <v>0</v>
      </c>
      <c r="H27" s="297">
        <f>Legger!AF$6</f>
        <v>0</v>
      </c>
      <c r="I27" s="465">
        <f>Legger!$AF$8</f>
        <v>0</v>
      </c>
      <c r="J27" s="465"/>
      <c r="K27" s="465"/>
      <c r="L27" s="274">
        <v>28</v>
      </c>
      <c r="M27" s="150"/>
      <c r="N27" s="151">
        <f t="shared" si="3"/>
        <v>0</v>
      </c>
      <c r="O27" s="464" t="str">
        <f t="shared" si="2"/>
        <v>_</v>
      </c>
      <c r="P27" s="464"/>
      <c r="Q27" s="271">
        <f>VLOOKUP(V1,LEGER,13)</f>
        <v>0</v>
      </c>
      <c r="R27" s="272">
        <f>Legger!O$55</f>
        <v>0</v>
      </c>
      <c r="S27" s="273">
        <f>Legger!$O$6</f>
        <v>4</v>
      </c>
      <c r="T27" s="465" t="str">
        <f>Legger!$O$7</f>
        <v>الفقه</v>
      </c>
      <c r="U27" s="465"/>
      <c r="V27" s="465"/>
      <c r="W27" s="153">
        <v>11</v>
      </c>
      <c r="Z27" s="122" t="s">
        <v>6260</v>
      </c>
    </row>
    <row r="28" spans="1:26" s="129" customFormat="1" ht="18" customHeight="1" x14ac:dyDescent="0.5">
      <c r="A28" s="121"/>
      <c r="B28" s="121"/>
      <c r="C28" s="151">
        <f t="shared" si="0"/>
        <v>0</v>
      </c>
      <c r="D28" s="464" t="str">
        <f t="shared" si="5"/>
        <v>_</v>
      </c>
      <c r="E28" s="464"/>
      <c r="F28" s="275">
        <f>VLOOKUP(V$1,LEGER,31)</f>
        <v>0</v>
      </c>
      <c r="G28" s="296">
        <f>Legger!AG$55</f>
        <v>0</v>
      </c>
      <c r="H28" s="297">
        <f>Legger!AG$6</f>
        <v>0</v>
      </c>
      <c r="I28" s="465">
        <v>0</v>
      </c>
      <c r="J28" s="465"/>
      <c r="K28" s="465"/>
      <c r="L28" s="153">
        <v>29</v>
      </c>
      <c r="M28" s="150"/>
      <c r="N28" s="151">
        <f t="shared" si="3"/>
        <v>0</v>
      </c>
      <c r="O28" s="464" t="str">
        <f t="shared" si="2"/>
        <v>_</v>
      </c>
      <c r="P28" s="464"/>
      <c r="Q28" s="271">
        <f>VLOOKUP(V1,LEGER,14)</f>
        <v>0</v>
      </c>
      <c r="R28" s="272">
        <f>Legger!P$55</f>
        <v>0</v>
      </c>
      <c r="S28" s="273">
        <f>Legger!$P$6</f>
        <v>2</v>
      </c>
      <c r="T28" s="465" t="str">
        <f>Legger!$P$7</f>
        <v>الخط العربي</v>
      </c>
      <c r="U28" s="465"/>
      <c r="V28" s="465"/>
      <c r="W28" s="153">
        <v>12</v>
      </c>
      <c r="Z28" s="122" t="s">
        <v>6261</v>
      </c>
    </row>
    <row r="29" spans="1:26" s="129" customFormat="1" ht="18" customHeight="1" x14ac:dyDescent="0.5">
      <c r="A29" s="121"/>
      <c r="B29" s="121"/>
      <c r="C29" s="151">
        <f t="shared" si="0"/>
        <v>0</v>
      </c>
      <c r="D29" s="464" t="str">
        <f t="shared" si="5"/>
        <v>_</v>
      </c>
      <c r="E29" s="464"/>
      <c r="F29" s="275">
        <f>VLOOKUP(V$1,LEGER,32)</f>
        <v>0</v>
      </c>
      <c r="G29" s="296">
        <f>Legger!AH$55</f>
        <v>0</v>
      </c>
      <c r="H29" s="297">
        <f>Legger!AH$6</f>
        <v>0</v>
      </c>
      <c r="I29" s="465">
        <v>0</v>
      </c>
      <c r="J29" s="465"/>
      <c r="K29" s="465"/>
      <c r="L29" s="274">
        <v>30</v>
      </c>
      <c r="M29" s="150"/>
      <c r="N29" s="151">
        <f t="shared" si="3"/>
        <v>0</v>
      </c>
      <c r="O29" s="464" t="str">
        <f t="shared" si="2"/>
        <v>_</v>
      </c>
      <c r="P29" s="464"/>
      <c r="Q29" s="271">
        <f>VLOOKUP(V1,LEGER,15)</f>
        <v>0</v>
      </c>
      <c r="R29" s="272">
        <f>Legger!Q$55</f>
        <v>0</v>
      </c>
      <c r="S29" s="273">
        <f>Legger!$Q$6</f>
        <v>2</v>
      </c>
      <c r="T29" s="465" t="str">
        <f>Legger!$Q$7</f>
        <v>الفراعد</v>
      </c>
      <c r="U29" s="465"/>
      <c r="V29" s="465"/>
      <c r="W29" s="153">
        <v>13</v>
      </c>
      <c r="Z29" s="122" t="s">
        <v>6262</v>
      </c>
    </row>
    <row r="30" spans="1:26" s="129" customFormat="1" ht="18" customHeight="1" x14ac:dyDescent="0.5">
      <c r="A30" s="121"/>
      <c r="B30" s="121"/>
      <c r="C30" s="151">
        <f t="shared" si="0"/>
        <v>0</v>
      </c>
      <c r="D30" s="464" t="str">
        <f t="shared" si="5"/>
        <v>_</v>
      </c>
      <c r="E30" s="464"/>
      <c r="F30" s="275">
        <f>VLOOKUP(V$1,LEGER,33)</f>
        <v>0</v>
      </c>
      <c r="G30" s="296">
        <f>Legger!AI$55</f>
        <v>0</v>
      </c>
      <c r="H30" s="297">
        <f>Legger!AI$6</f>
        <v>0</v>
      </c>
      <c r="I30" s="465">
        <v>0</v>
      </c>
      <c r="J30" s="465"/>
      <c r="K30" s="465"/>
      <c r="L30" s="153">
        <v>31</v>
      </c>
      <c r="M30" s="150"/>
      <c r="N30" s="151">
        <f t="shared" si="3"/>
        <v>0</v>
      </c>
      <c r="O30" s="464" t="str">
        <f t="shared" si="2"/>
        <v>_</v>
      </c>
      <c r="P30" s="464"/>
      <c r="Q30" s="271">
        <f>VLOOKUP(V1,LEGER,16)</f>
        <v>0</v>
      </c>
      <c r="R30" s="272">
        <f>Legger!R$55</f>
        <v>0</v>
      </c>
      <c r="S30" s="273">
        <f>Legger!$R$6</f>
        <v>2</v>
      </c>
      <c r="T30" s="465" t="str">
        <f>Legger!$R$7</f>
        <v>المحفوظات</v>
      </c>
      <c r="U30" s="465"/>
      <c r="V30" s="465"/>
      <c r="W30" s="153">
        <v>14</v>
      </c>
      <c r="Z30" s="122" t="s">
        <v>6263</v>
      </c>
    </row>
    <row r="31" spans="1:26" s="129" customFormat="1" ht="18" customHeight="1" thickBot="1" x14ac:dyDescent="0.55000000000000004">
      <c r="A31" s="121"/>
      <c r="B31" s="121"/>
      <c r="C31" s="276">
        <f t="shared" si="0"/>
        <v>0</v>
      </c>
      <c r="D31" s="464" t="str">
        <f t="shared" si="5"/>
        <v>_</v>
      </c>
      <c r="E31" s="464"/>
      <c r="F31" s="275">
        <f>VLOOKUP(V$1,LEGER,34)</f>
        <v>0</v>
      </c>
      <c r="G31" s="296">
        <f>Legger!AJ$55</f>
        <v>0</v>
      </c>
      <c r="H31" s="297">
        <f>Legger!AJ$6</f>
        <v>0</v>
      </c>
      <c r="I31" s="524">
        <v>0</v>
      </c>
      <c r="J31" s="524"/>
      <c r="K31" s="524"/>
      <c r="L31" s="277">
        <v>32</v>
      </c>
      <c r="M31" s="150"/>
      <c r="N31" s="276">
        <f t="shared" si="3"/>
        <v>0</v>
      </c>
      <c r="O31" s="526" t="str">
        <f t="shared" si="2"/>
        <v>_</v>
      </c>
      <c r="P31" s="526"/>
      <c r="Q31" s="278">
        <f>VLOOKUP(V1,LEGER,17)</f>
        <v>0</v>
      </c>
      <c r="R31" s="239">
        <f>Legger!S$55</f>
        <v>0</v>
      </c>
      <c r="S31" s="242">
        <f>Legger!$S$6</f>
        <v>4</v>
      </c>
      <c r="T31" s="524" t="str">
        <f>Legger!$S$7</f>
        <v>اللغة الإنجليزية</v>
      </c>
      <c r="U31" s="524"/>
      <c r="V31" s="524"/>
      <c r="W31" s="279">
        <v>15</v>
      </c>
      <c r="Z31" s="122" t="s">
        <v>6264</v>
      </c>
    </row>
    <row r="32" spans="1:26" s="129" customFormat="1" ht="18" customHeight="1" thickTop="1" x14ac:dyDescent="0.5">
      <c r="A32" s="121"/>
      <c r="B32" s="121"/>
      <c r="C32" s="483" t="str">
        <f>VLOOKUP(O32,lkj,2)</f>
        <v>_</v>
      </c>
      <c r="D32" s="475"/>
      <c r="E32" s="475"/>
      <c r="F32" s="475"/>
      <c r="G32" s="475"/>
      <c r="H32" s="475"/>
      <c r="I32" s="475"/>
      <c r="J32" s="475"/>
      <c r="K32" s="475"/>
      <c r="L32" s="475"/>
      <c r="M32" s="475"/>
      <c r="N32" s="528"/>
      <c r="O32" s="154">
        <f>VLOOKUP(V1,LEGER,35)</f>
        <v>0</v>
      </c>
      <c r="P32" s="155"/>
      <c r="Q32" s="474" t="s">
        <v>1849</v>
      </c>
      <c r="R32" s="475"/>
      <c r="S32" s="475"/>
      <c r="T32" s="475"/>
      <c r="U32" s="475"/>
      <c r="V32" s="475"/>
      <c r="W32" s="476"/>
      <c r="Z32" s="122" t="s">
        <v>6265</v>
      </c>
    </row>
    <row r="33" spans="1:26" s="129" customFormat="1" ht="18" customHeight="1" thickBot="1" x14ac:dyDescent="0.55000000000000004">
      <c r="A33" s="121"/>
      <c r="B33" s="121"/>
      <c r="C33" s="529"/>
      <c r="D33" s="530"/>
      <c r="E33" s="530"/>
      <c r="F33" s="530"/>
      <c r="G33" s="156"/>
      <c r="H33" s="156">
        <f>V3</f>
        <v>34</v>
      </c>
      <c r="I33" s="157" t="s">
        <v>1855</v>
      </c>
      <c r="J33" s="193">
        <f>VLOOKUP(V1,LEGER,37)</f>
        <v>1</v>
      </c>
      <c r="K33" s="156"/>
      <c r="L33" s="156"/>
      <c r="M33" s="156"/>
      <c r="N33" s="158" t="s">
        <v>1856</v>
      </c>
      <c r="O33" s="159">
        <f>VLOOKUP(V1,LEGER,36)</f>
        <v>0</v>
      </c>
      <c r="P33" s="158"/>
      <c r="Q33" s="478" t="s">
        <v>1853</v>
      </c>
      <c r="R33" s="479"/>
      <c r="S33" s="479"/>
      <c r="T33" s="479"/>
      <c r="U33" s="479"/>
      <c r="V33" s="479"/>
      <c r="W33" s="480"/>
      <c r="Z33" s="122" t="s">
        <v>6266</v>
      </c>
    </row>
    <row r="34" spans="1:26" s="129" customFormat="1" ht="18" customHeight="1" thickTop="1" x14ac:dyDescent="0.5">
      <c r="A34" s="121"/>
      <c r="B34" s="121"/>
      <c r="C34" s="483" t="str">
        <f>VLOOKUP(J34,slk,2)</f>
        <v>ثمــــــــــــــــــــــــــــــــــــــــــان</v>
      </c>
      <c r="D34" s="475"/>
      <c r="E34" s="475"/>
      <c r="F34" s="475"/>
      <c r="G34" s="475"/>
      <c r="H34" s="475"/>
      <c r="I34" s="475"/>
      <c r="J34" s="468">
        <f>VLOOKUP($V$1,LEGER,41)</f>
        <v>8</v>
      </c>
      <c r="K34" s="468"/>
      <c r="L34" s="497" t="s">
        <v>1850</v>
      </c>
      <c r="M34" s="497"/>
      <c r="N34" s="497"/>
      <c r="O34" s="497">
        <f>VLOOKUP(Q34,bnm,4)</f>
        <v>6</v>
      </c>
      <c r="P34" s="497"/>
      <c r="Q34" s="240">
        <f>VLOOKUP($V$1,LEGER,38)</f>
        <v>6</v>
      </c>
      <c r="R34" s="497" t="s">
        <v>1851</v>
      </c>
      <c r="S34" s="497"/>
      <c r="T34" s="497"/>
      <c r="U34" s="497"/>
      <c r="V34" s="468" t="s">
        <v>1852</v>
      </c>
      <c r="W34" s="469"/>
      <c r="Z34" s="122" t="s">
        <v>6267</v>
      </c>
    </row>
    <row r="35" spans="1:26" s="129" customFormat="1" ht="18" customHeight="1" x14ac:dyDescent="0.5">
      <c r="A35" s="121"/>
      <c r="B35" s="121"/>
      <c r="C35" s="484" t="str">
        <f>VLOOKUP(J35,slk,2)</f>
        <v>ثمــــــــــــــــــــــــــــــــــــــــــان</v>
      </c>
      <c r="D35" s="465"/>
      <c r="E35" s="465"/>
      <c r="F35" s="465"/>
      <c r="G35" s="465"/>
      <c r="H35" s="465"/>
      <c r="I35" s="465"/>
      <c r="J35" s="470">
        <f>VLOOKUP($V$1,LEGER,42)</f>
        <v>8</v>
      </c>
      <c r="K35" s="470"/>
      <c r="L35" s="464" t="s">
        <v>1854</v>
      </c>
      <c r="M35" s="464"/>
      <c r="N35" s="464"/>
      <c r="O35" s="464">
        <f>VLOOKUP(Q35,bnm,4)</f>
        <v>5</v>
      </c>
      <c r="P35" s="464"/>
      <c r="Q35" s="273">
        <f>VLOOKUP($V$1,LEGER,39)</f>
        <v>5</v>
      </c>
      <c r="R35" s="464" t="s">
        <v>7209</v>
      </c>
      <c r="S35" s="464"/>
      <c r="T35" s="464"/>
      <c r="U35" s="464"/>
      <c r="V35" s="470"/>
      <c r="W35" s="471"/>
      <c r="Z35" s="122" t="s">
        <v>6268</v>
      </c>
    </row>
    <row r="36" spans="1:26" s="129" customFormat="1" ht="18" customHeight="1" thickBot="1" x14ac:dyDescent="0.55000000000000004">
      <c r="A36" s="121"/>
      <c r="B36" s="121"/>
      <c r="C36" s="527" t="str">
        <f>VLOOKUP(J36,slk,2)</f>
        <v>ثمــــــــــــــــــــــــــــــــــــــــــان</v>
      </c>
      <c r="D36" s="524"/>
      <c r="E36" s="524"/>
      <c r="F36" s="524"/>
      <c r="G36" s="524"/>
      <c r="H36" s="524"/>
      <c r="I36" s="524"/>
      <c r="J36" s="472">
        <f>VLOOKUP($V$1,LEGER,43)</f>
        <v>8</v>
      </c>
      <c r="K36" s="472"/>
      <c r="L36" s="526" t="s">
        <v>1857</v>
      </c>
      <c r="M36" s="526"/>
      <c r="N36" s="526"/>
      <c r="O36" s="526">
        <f>VLOOKUP(Q36,bnm,2)</f>
        <v>0</v>
      </c>
      <c r="P36" s="526"/>
      <c r="Q36" s="242">
        <f>VLOOKUP($V$1,LEGER,40)</f>
        <v>0</v>
      </c>
      <c r="R36" s="526" t="s">
        <v>1858</v>
      </c>
      <c r="S36" s="526"/>
      <c r="T36" s="526"/>
      <c r="U36" s="526"/>
      <c r="V36" s="472"/>
      <c r="W36" s="473"/>
      <c r="Z36" s="122" t="s">
        <v>605</v>
      </c>
    </row>
    <row r="37" spans="1:26" s="138" customFormat="1" ht="24" customHeight="1" thickTop="1" x14ac:dyDescent="0.55000000000000004">
      <c r="A37" s="137"/>
      <c r="B37" s="137"/>
      <c r="C37" s="160"/>
      <c r="D37" s="160"/>
      <c r="E37" s="160"/>
      <c r="F37" s="160"/>
      <c r="G37" s="160"/>
      <c r="H37" s="160"/>
      <c r="I37" s="160"/>
      <c r="J37" s="160"/>
      <c r="K37" s="160"/>
      <c r="L37" s="161"/>
      <c r="M37" s="161"/>
      <c r="N37" s="489" t="s">
        <v>1861</v>
      </c>
      <c r="O37" s="489"/>
      <c r="P37" s="489"/>
      <c r="Q37" s="489"/>
      <c r="R37" s="489"/>
      <c r="S37" s="489"/>
      <c r="T37" s="489"/>
      <c r="U37" s="489"/>
      <c r="V37" s="489"/>
      <c r="W37" s="489"/>
      <c r="Z37" s="139" t="s">
        <v>6269</v>
      </c>
    </row>
    <row r="38" spans="1:26" s="126" customFormat="1" ht="24" customHeight="1" x14ac:dyDescent="0.55000000000000004">
      <c r="A38" s="123"/>
      <c r="B38" s="123"/>
      <c r="C38" s="160"/>
      <c r="D38" s="160"/>
      <c r="E38" s="160"/>
      <c r="F38" s="160"/>
      <c r="G38" s="160"/>
      <c r="H38" s="160"/>
      <c r="I38" s="160"/>
      <c r="J38" s="160"/>
      <c r="K38" s="160"/>
      <c r="L38" s="490" t="s">
        <v>8108</v>
      </c>
      <c r="M38" s="490"/>
      <c r="N38" s="490"/>
      <c r="O38" s="490"/>
      <c r="P38" s="490"/>
      <c r="Q38" s="490"/>
      <c r="R38" s="191" t="s">
        <v>1866</v>
      </c>
      <c r="S38" s="437" t="s">
        <v>1862</v>
      </c>
      <c r="T38" s="437"/>
      <c r="U38" s="437"/>
      <c r="V38" s="437"/>
      <c r="W38" s="437"/>
      <c r="Z38" s="125" t="s">
        <v>6270</v>
      </c>
    </row>
    <row r="39" spans="1:26" s="126" customFormat="1" ht="24" customHeight="1" x14ac:dyDescent="0.55000000000000004">
      <c r="A39" s="123"/>
      <c r="B39" s="123"/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60"/>
      <c r="N39" s="488" t="str">
        <f>IF(O33&lt;4.9,"راسب",IF(O33&lt;6.9,"مقبول",IF(O33&lt;7.9,"جيد",IF(O33&lt;8.9,"جيد جدا","ممتاز"))))</f>
        <v>راسب</v>
      </c>
      <c r="O39" s="488"/>
      <c r="P39" s="488"/>
      <c r="Q39" s="488"/>
      <c r="R39" s="191" t="s">
        <v>1866</v>
      </c>
      <c r="S39" s="438" t="s">
        <v>7536</v>
      </c>
      <c r="T39" s="438"/>
      <c r="U39" s="438"/>
      <c r="V39" s="438"/>
      <c r="W39" s="438"/>
      <c r="Z39" s="125" t="s">
        <v>6271</v>
      </c>
    </row>
    <row r="40" spans="1:26" s="126" customFormat="1" ht="24" customHeight="1" x14ac:dyDescent="0.55000000000000004">
      <c r="A40" s="123"/>
      <c r="B40" s="123"/>
      <c r="C40" s="486" t="s">
        <v>8211</v>
      </c>
      <c r="D40" s="486"/>
      <c r="E40" s="486"/>
      <c r="F40" s="486"/>
      <c r="G40" s="486"/>
      <c r="H40" s="486"/>
      <c r="I40" s="486"/>
      <c r="J40" s="486"/>
      <c r="K40" s="486"/>
      <c r="L40" s="486"/>
      <c r="M40" s="486"/>
      <c r="N40" s="486"/>
      <c r="O40" s="486"/>
      <c r="P40" s="486"/>
      <c r="Q40" s="486"/>
      <c r="R40" s="192" t="s">
        <v>1866</v>
      </c>
      <c r="S40" s="438" t="s">
        <v>7537</v>
      </c>
      <c r="T40" s="438"/>
      <c r="U40" s="438"/>
      <c r="V40" s="438"/>
      <c r="W40" s="438"/>
      <c r="Z40" s="125" t="s">
        <v>6272</v>
      </c>
    </row>
    <row r="41" spans="1:26" s="126" customFormat="1" ht="24" customHeight="1" x14ac:dyDescent="0.55000000000000004">
      <c r="A41" s="123"/>
      <c r="B41" s="123"/>
      <c r="C41" s="485" t="s">
        <v>8211</v>
      </c>
      <c r="D41" s="485"/>
      <c r="E41" s="485"/>
      <c r="F41" s="485"/>
      <c r="G41" s="485"/>
      <c r="H41" s="485"/>
      <c r="I41" s="485"/>
      <c r="J41" s="485"/>
      <c r="K41" s="485"/>
      <c r="L41" s="485"/>
      <c r="M41" s="485"/>
      <c r="N41" s="485"/>
      <c r="O41" s="485"/>
      <c r="P41" s="485"/>
      <c r="Q41" s="485"/>
      <c r="R41" s="162" t="s">
        <v>1866</v>
      </c>
      <c r="S41" s="439"/>
      <c r="T41" s="439"/>
      <c r="U41" s="439"/>
      <c r="V41" s="439"/>
      <c r="W41" s="439"/>
      <c r="Z41" s="125" t="s">
        <v>6273</v>
      </c>
    </row>
    <row r="42" spans="1:26" s="126" customFormat="1" ht="5.25" customHeight="1" x14ac:dyDescent="0.55000000000000004">
      <c r="A42" s="123"/>
      <c r="B42" s="123"/>
      <c r="C42" s="163"/>
      <c r="D42" s="163"/>
      <c r="E42" s="163"/>
      <c r="F42" s="163"/>
      <c r="G42" s="163"/>
      <c r="H42" s="163"/>
      <c r="I42" s="163"/>
      <c r="J42" s="163"/>
      <c r="K42" s="163"/>
      <c r="L42" s="164"/>
      <c r="M42" s="164"/>
      <c r="N42" s="176"/>
      <c r="O42" s="165"/>
      <c r="P42" s="165"/>
      <c r="Q42" s="165"/>
      <c r="R42" s="165"/>
      <c r="S42" s="165"/>
      <c r="T42" s="166"/>
      <c r="U42" s="166"/>
      <c r="V42" s="165"/>
      <c r="W42" s="165"/>
      <c r="Z42" s="125" t="s">
        <v>6274</v>
      </c>
    </row>
    <row r="43" spans="1:26" s="138" customFormat="1" ht="24" customHeight="1" x14ac:dyDescent="0.55000000000000004">
      <c r="A43" s="137"/>
      <c r="B43" s="137"/>
      <c r="C43" s="171" t="s">
        <v>1859</v>
      </c>
      <c r="D43" s="482" t="str">
        <f>Pengaturan!J67</f>
        <v>2014/2015</v>
      </c>
      <c r="E43" s="482"/>
      <c r="F43" s="482"/>
      <c r="G43" s="172" t="s">
        <v>1866</v>
      </c>
      <c r="H43" s="487" t="s">
        <v>8212</v>
      </c>
      <c r="I43" s="487"/>
      <c r="J43" s="487"/>
      <c r="K43" s="487"/>
      <c r="L43" s="173"/>
      <c r="M43" s="173"/>
      <c r="N43" s="174"/>
      <c r="O43" s="174"/>
      <c r="P43" s="174"/>
      <c r="Q43" s="174"/>
      <c r="R43" s="174"/>
      <c r="S43" s="174"/>
      <c r="T43" s="174"/>
      <c r="U43" s="174"/>
      <c r="V43" s="174"/>
      <c r="W43" s="174"/>
      <c r="Z43" s="139" t="s">
        <v>6275</v>
      </c>
    </row>
    <row r="44" spans="1:26" s="138" customFormat="1" ht="24" customHeight="1" x14ac:dyDescent="0.55000000000000004">
      <c r="A44" s="137"/>
      <c r="B44" s="137"/>
      <c r="C44" s="171" t="s">
        <v>1860</v>
      </c>
      <c r="D44" s="481" t="str">
        <f>Pengaturan!J68</f>
        <v>2014/2015</v>
      </c>
      <c r="E44" s="481"/>
      <c r="F44" s="481"/>
      <c r="G44" s="175"/>
      <c r="H44" s="174"/>
      <c r="I44" s="174"/>
      <c r="J44" s="174"/>
      <c r="K44" s="174"/>
      <c r="L44" s="173"/>
      <c r="M44" s="173"/>
      <c r="N44" s="174"/>
      <c r="O44" s="174"/>
      <c r="P44" s="174"/>
      <c r="Q44" s="174"/>
      <c r="R44" s="174"/>
      <c r="S44" s="174"/>
      <c r="T44" s="174"/>
      <c r="U44" s="174"/>
      <c r="V44" s="174"/>
      <c r="W44" s="174"/>
      <c r="Z44" s="139" t="s">
        <v>6276</v>
      </c>
    </row>
    <row r="45" spans="1:26" s="126" customFormat="1" ht="9.75" customHeight="1" x14ac:dyDescent="0.55000000000000004">
      <c r="A45" s="123"/>
      <c r="B45" s="123"/>
      <c r="C45" s="166"/>
      <c r="D45" s="168"/>
      <c r="E45" s="168"/>
      <c r="F45" s="168"/>
      <c r="G45" s="167"/>
      <c r="H45" s="163"/>
      <c r="I45" s="163"/>
      <c r="J45" s="163"/>
      <c r="K45" s="163"/>
      <c r="L45" s="164"/>
      <c r="M45" s="164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Z45" s="125"/>
    </row>
    <row r="46" spans="1:26" s="126" customFormat="1" ht="20.25" customHeight="1" x14ac:dyDescent="0.55000000000000004">
      <c r="A46" s="123"/>
      <c r="B46" s="123"/>
      <c r="C46" s="163"/>
      <c r="D46" s="163"/>
      <c r="E46" s="163"/>
      <c r="F46" s="176" t="s">
        <v>578</v>
      </c>
      <c r="G46" s="163"/>
      <c r="H46" s="163"/>
      <c r="I46" s="163"/>
      <c r="J46" s="163"/>
      <c r="K46" s="163"/>
      <c r="L46" s="164"/>
      <c r="M46" s="164"/>
      <c r="N46" s="164"/>
      <c r="O46" s="163"/>
      <c r="P46" s="163"/>
      <c r="Q46" s="466" t="s">
        <v>577</v>
      </c>
      <c r="R46" s="466"/>
      <c r="S46" s="466"/>
      <c r="T46" s="466"/>
      <c r="U46" s="176"/>
      <c r="V46" s="163"/>
      <c r="W46" s="163"/>
      <c r="Z46" s="125" t="s">
        <v>6277</v>
      </c>
    </row>
    <row r="47" spans="1:26" s="126" customFormat="1" ht="14.25" customHeight="1" x14ac:dyDescent="0.55000000000000004">
      <c r="A47" s="123"/>
      <c r="B47" s="123"/>
      <c r="C47" s="163"/>
      <c r="D47" s="163"/>
      <c r="E47" s="163"/>
      <c r="F47" s="176"/>
      <c r="G47" s="163"/>
      <c r="H47" s="163"/>
      <c r="I47" s="163"/>
      <c r="J47" s="163"/>
      <c r="K47" s="163"/>
      <c r="L47" s="164"/>
      <c r="M47" s="164"/>
      <c r="N47" s="164"/>
      <c r="O47" s="163"/>
      <c r="P47" s="163"/>
      <c r="Q47" s="163"/>
      <c r="R47" s="163"/>
      <c r="S47" s="163"/>
      <c r="T47" s="176"/>
      <c r="U47" s="176"/>
      <c r="V47" s="163"/>
      <c r="W47" s="163"/>
      <c r="Z47" s="125" t="s">
        <v>6278</v>
      </c>
    </row>
    <row r="48" spans="1:26" s="126" customFormat="1" ht="46.5" customHeight="1" x14ac:dyDescent="0.55000000000000004">
      <c r="A48" s="123"/>
      <c r="B48" s="123"/>
      <c r="C48" s="163"/>
      <c r="D48" s="163"/>
      <c r="E48" s="163"/>
      <c r="F48" s="163"/>
      <c r="G48" s="163"/>
      <c r="H48" s="163"/>
      <c r="I48" s="163"/>
      <c r="J48" s="163"/>
      <c r="K48" s="163"/>
      <c r="L48" s="164"/>
      <c r="M48" s="164"/>
      <c r="N48" s="164"/>
      <c r="O48" s="163"/>
      <c r="P48" s="163"/>
      <c r="Q48" s="163"/>
      <c r="R48" s="163"/>
      <c r="S48" s="163"/>
      <c r="T48" s="167"/>
      <c r="U48" s="167"/>
      <c r="V48" s="163"/>
      <c r="W48" s="163"/>
      <c r="Z48" s="125" t="s">
        <v>4132</v>
      </c>
    </row>
    <row r="49" spans="1:26" s="126" customFormat="1" ht="26.25" customHeight="1" x14ac:dyDescent="0.55000000000000004">
      <c r="A49" s="123"/>
      <c r="B49" s="123"/>
      <c r="C49" s="163"/>
      <c r="D49" s="434" t="str">
        <f>CONCATENATE("Ust. ",VLOOKUP(Legger!AT1,TabelKelas,7))</f>
        <v>Ust. H. Yalet N, S.Ag</v>
      </c>
      <c r="E49" s="434"/>
      <c r="F49" s="434"/>
      <c r="G49" s="434"/>
      <c r="H49" s="434"/>
      <c r="I49" s="434"/>
      <c r="J49" s="163"/>
      <c r="K49" s="163"/>
      <c r="L49" s="164"/>
      <c r="M49" s="164"/>
      <c r="N49" s="164"/>
      <c r="O49" s="163"/>
      <c r="P49" s="163"/>
      <c r="Q49" s="435" t="s">
        <v>8213</v>
      </c>
      <c r="R49" s="435"/>
      <c r="S49" s="435"/>
      <c r="T49" s="435"/>
      <c r="U49" s="163"/>
      <c r="V49" s="163"/>
      <c r="W49" s="163"/>
      <c r="Z49" s="125" t="s">
        <v>4134</v>
      </c>
    </row>
    <row r="50" spans="1:26" s="126" customFormat="1" ht="17.25" customHeight="1" x14ac:dyDescent="0.55000000000000004">
      <c r="A50" s="123"/>
      <c r="B50" s="123"/>
      <c r="C50" s="163"/>
      <c r="D50" s="169"/>
      <c r="E50" s="477" t="s">
        <v>7530</v>
      </c>
      <c r="F50" s="477"/>
      <c r="G50" s="477"/>
      <c r="H50" s="477"/>
      <c r="I50" s="477"/>
      <c r="J50" s="477"/>
      <c r="K50" s="477"/>
      <c r="L50" s="477"/>
      <c r="M50" s="477"/>
      <c r="N50" s="477"/>
      <c r="O50" s="477"/>
      <c r="P50" s="477"/>
      <c r="Q50" s="477"/>
      <c r="R50" s="477"/>
      <c r="S50" s="477"/>
      <c r="T50" s="477"/>
      <c r="U50" s="477"/>
      <c r="V50" s="477"/>
      <c r="W50" s="169"/>
      <c r="Z50" s="125" t="s">
        <v>1961</v>
      </c>
    </row>
    <row r="51" spans="1:26" s="126" customFormat="1" ht="17.25" customHeight="1" x14ac:dyDescent="0.55000000000000004">
      <c r="A51" s="123"/>
      <c r="B51" s="123"/>
      <c r="C51" s="163"/>
      <c r="D51" s="163"/>
      <c r="E51" s="163"/>
      <c r="F51" s="176" t="s">
        <v>580</v>
      </c>
      <c r="G51" s="140"/>
      <c r="H51" s="163"/>
      <c r="I51" s="163"/>
      <c r="J51" s="163"/>
      <c r="K51" s="163"/>
      <c r="L51" s="164"/>
      <c r="M51" s="164"/>
      <c r="N51" s="170"/>
      <c r="O51" s="140"/>
      <c r="P51" s="466" t="s">
        <v>579</v>
      </c>
      <c r="Q51" s="466"/>
      <c r="R51" s="466"/>
      <c r="S51" s="466"/>
      <c r="T51" s="466"/>
      <c r="U51" s="176"/>
      <c r="V51" s="167"/>
      <c r="W51" s="163"/>
      <c r="Z51" s="125" t="s">
        <v>1963</v>
      </c>
    </row>
    <row r="52" spans="1:26" s="126" customFormat="1" ht="30.75" customHeight="1" x14ac:dyDescent="0.55000000000000004">
      <c r="A52" s="123"/>
      <c r="B52" s="123"/>
      <c r="C52" s="163"/>
      <c r="D52" s="163"/>
      <c r="E52" s="163"/>
      <c r="F52" s="140"/>
      <c r="G52" s="140"/>
      <c r="H52" s="140"/>
      <c r="I52" s="163"/>
      <c r="J52" s="140"/>
      <c r="K52" s="140"/>
      <c r="L52" s="140"/>
      <c r="M52" s="140"/>
      <c r="N52" s="140"/>
      <c r="O52" s="140"/>
      <c r="P52" s="140"/>
      <c r="Q52" s="140"/>
      <c r="R52" s="140"/>
      <c r="S52" s="140"/>
      <c r="T52" s="140"/>
      <c r="U52" s="140"/>
      <c r="V52" s="140"/>
      <c r="W52" s="163"/>
      <c r="Z52" s="125" t="s">
        <v>6279</v>
      </c>
    </row>
    <row r="53" spans="1:26" s="126" customFormat="1" ht="12.75" customHeight="1" x14ac:dyDescent="0.55000000000000004">
      <c r="A53" s="123"/>
      <c r="B53" s="123"/>
      <c r="C53" s="163"/>
      <c r="D53" s="163"/>
      <c r="E53" s="163"/>
      <c r="F53" s="163"/>
      <c r="G53" s="176"/>
      <c r="H53" s="163"/>
      <c r="I53" s="163"/>
      <c r="J53" s="163"/>
      <c r="K53" s="163"/>
      <c r="L53" s="164"/>
      <c r="M53" s="164"/>
      <c r="N53" s="170"/>
      <c r="O53" s="163"/>
      <c r="P53" s="176"/>
      <c r="Q53" s="176"/>
      <c r="R53" s="176"/>
      <c r="S53" s="167"/>
      <c r="T53" s="163"/>
      <c r="U53" s="176"/>
      <c r="V53" s="167"/>
      <c r="W53" s="163"/>
      <c r="Z53" s="125" t="s">
        <v>1966</v>
      </c>
    </row>
    <row r="54" spans="1:26" s="126" customFormat="1" ht="15.75" customHeight="1" x14ac:dyDescent="0.55000000000000004">
      <c r="A54" s="123"/>
      <c r="B54" s="123"/>
      <c r="C54" s="163"/>
      <c r="D54" s="163"/>
      <c r="E54" s="163"/>
      <c r="F54" s="163"/>
      <c r="G54" s="176"/>
      <c r="H54" s="163"/>
      <c r="I54" s="163"/>
      <c r="J54" s="163"/>
      <c r="K54" s="140"/>
      <c r="L54" s="140"/>
      <c r="M54" s="140"/>
      <c r="N54" s="140"/>
      <c r="O54" s="140"/>
      <c r="P54" s="140"/>
      <c r="Q54" s="140"/>
      <c r="R54" s="140"/>
      <c r="S54" s="140"/>
      <c r="T54" s="140"/>
      <c r="U54" s="176"/>
      <c r="V54" s="167"/>
      <c r="W54" s="163"/>
      <c r="Z54" s="125" t="s">
        <v>1930</v>
      </c>
    </row>
    <row r="55" spans="1:26" s="126" customFormat="1" ht="19.5" customHeight="1" x14ac:dyDescent="0.55000000000000004">
      <c r="A55" s="123"/>
      <c r="B55" s="123"/>
      <c r="C55" s="136"/>
      <c r="D55" s="136"/>
      <c r="E55" s="136"/>
      <c r="F55" s="314" t="s">
        <v>8685</v>
      </c>
      <c r="G55" s="135"/>
      <c r="H55" s="136"/>
      <c r="I55" s="136"/>
      <c r="J55" s="136"/>
      <c r="K55" s="136"/>
      <c r="L55" s="135"/>
      <c r="M55" s="135"/>
      <c r="N55" s="135"/>
      <c r="O55" s="135"/>
      <c r="P55" s="467" t="str">
        <f>CONCATENATE("Ust. ",Pengaturan!J57)</f>
        <v>Ust. Deden Priatna, M.Pd.I</v>
      </c>
      <c r="Q55" s="467"/>
      <c r="R55" s="467"/>
      <c r="S55" s="467"/>
      <c r="T55" s="467"/>
      <c r="U55" s="135"/>
      <c r="V55" s="135"/>
      <c r="W55" s="136"/>
      <c r="Z55" s="125" t="s">
        <v>1933</v>
      </c>
    </row>
    <row r="56" spans="1:26" s="46" customFormat="1" ht="36" hidden="1" thickBot="1" x14ac:dyDescent="0.3">
      <c r="A56" s="46">
        <v>1</v>
      </c>
      <c r="C56" s="47"/>
      <c r="D56" s="48" t="s">
        <v>806</v>
      </c>
      <c r="E56" s="49" t="s">
        <v>805</v>
      </c>
      <c r="L56" s="47"/>
      <c r="O56" s="46" t="s">
        <v>1867</v>
      </c>
      <c r="V56" s="50">
        <v>2</v>
      </c>
      <c r="X56" s="51">
        <v>7</v>
      </c>
      <c r="Y56" s="52" t="e">
        <f>VLOOKUP(V56,LEGER,44)</f>
        <v>#REF!</v>
      </c>
    </row>
    <row r="57" spans="1:26" s="61" customFormat="1" ht="3" customHeight="1" x14ac:dyDescent="0.4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90"/>
      <c r="S57" s="91"/>
      <c r="T57" s="92"/>
      <c r="U57" s="92"/>
      <c r="V57" s="93"/>
      <c r="W57" s="93"/>
      <c r="Z57" s="62"/>
    </row>
    <row r="58" spans="1:26" s="96" customFormat="1" ht="25.5" hidden="1" customHeight="1" x14ac:dyDescent="0.45">
      <c r="A58" s="94"/>
      <c r="B58" s="94"/>
      <c r="C58" s="95"/>
      <c r="D58" s="95"/>
      <c r="E58" s="95"/>
      <c r="F58" s="95"/>
      <c r="G58" s="95"/>
      <c r="H58" s="95"/>
      <c r="I58" s="95"/>
      <c r="J58" s="458"/>
      <c r="K58" s="458"/>
      <c r="L58" s="458"/>
      <c r="M58" s="458"/>
      <c r="N58" s="94"/>
      <c r="O58" s="95"/>
      <c r="P58" s="95"/>
      <c r="Q58" s="95"/>
      <c r="R58" s="95"/>
      <c r="S58" s="95"/>
      <c r="T58" s="95"/>
      <c r="U58" s="95"/>
      <c r="V58" s="459"/>
      <c r="W58" s="459"/>
      <c r="Z58" s="62"/>
    </row>
    <row r="59" spans="1:26" s="96" customFormat="1" ht="24" hidden="1" customHeight="1" x14ac:dyDescent="0.45">
      <c r="A59" s="94"/>
      <c r="B59" s="94"/>
      <c r="C59" s="95"/>
      <c r="D59" s="95"/>
      <c r="E59" s="95"/>
      <c r="F59" s="95"/>
      <c r="G59" s="97"/>
      <c r="H59" s="95"/>
      <c r="I59" s="95"/>
      <c r="J59" s="461"/>
      <c r="K59" s="461"/>
      <c r="L59" s="461"/>
      <c r="M59" s="461"/>
      <c r="N59" s="94"/>
      <c r="O59" s="462"/>
      <c r="P59" s="462"/>
      <c r="Q59" s="462"/>
      <c r="R59" s="462"/>
      <c r="S59" s="462"/>
      <c r="T59" s="462"/>
      <c r="U59" s="97"/>
      <c r="V59" s="463"/>
      <c r="W59" s="463"/>
      <c r="Z59" s="62"/>
    </row>
    <row r="60" spans="1:26" s="96" customFormat="1" ht="8.25" hidden="1" customHeight="1" x14ac:dyDescent="0.45">
      <c r="A60" s="94"/>
      <c r="B60" s="94"/>
      <c r="C60" s="95"/>
      <c r="D60" s="95"/>
      <c r="E60" s="95"/>
      <c r="F60" s="95"/>
      <c r="G60" s="95"/>
      <c r="H60" s="95"/>
      <c r="I60" s="97"/>
      <c r="J60" s="95"/>
      <c r="K60" s="98"/>
      <c r="L60" s="98"/>
      <c r="M60" s="98"/>
      <c r="N60" s="98"/>
      <c r="O60" s="99"/>
      <c r="P60" s="99"/>
      <c r="Q60" s="99"/>
      <c r="R60" s="99"/>
      <c r="S60" s="99"/>
      <c r="T60" s="99"/>
      <c r="U60" s="97"/>
      <c r="V60" s="100"/>
      <c r="W60" s="100"/>
      <c r="Z60" s="62"/>
    </row>
    <row r="61" spans="1:26" s="103" customFormat="1" ht="44.25" hidden="1" customHeight="1" x14ac:dyDescent="0.4">
      <c r="A61" s="101"/>
      <c r="B61" s="101"/>
      <c r="C61" s="454"/>
      <c r="D61" s="454"/>
      <c r="E61" s="454"/>
      <c r="F61" s="454"/>
      <c r="G61" s="454"/>
      <c r="H61" s="455"/>
      <c r="I61" s="456"/>
      <c r="J61" s="456"/>
      <c r="K61" s="456"/>
      <c r="L61" s="452"/>
      <c r="M61" s="102"/>
      <c r="N61" s="454"/>
      <c r="O61" s="454"/>
      <c r="P61" s="454"/>
      <c r="Q61" s="454"/>
      <c r="R61" s="454"/>
      <c r="S61" s="455"/>
      <c r="T61" s="456"/>
      <c r="U61" s="456"/>
      <c r="V61" s="456"/>
      <c r="W61" s="452"/>
      <c r="Z61" s="62"/>
    </row>
    <row r="62" spans="1:26" s="105" customFormat="1" ht="57" hidden="1" customHeight="1" x14ac:dyDescent="0.4">
      <c r="A62" s="86"/>
      <c r="B62" s="86"/>
      <c r="C62" s="104"/>
      <c r="D62" s="453"/>
      <c r="E62" s="453"/>
      <c r="F62" s="453"/>
      <c r="G62" s="104"/>
      <c r="H62" s="455"/>
      <c r="I62" s="456"/>
      <c r="J62" s="456"/>
      <c r="K62" s="456"/>
      <c r="L62" s="452"/>
      <c r="M62" s="102"/>
      <c r="N62" s="104"/>
      <c r="O62" s="453"/>
      <c r="P62" s="453"/>
      <c r="Q62" s="453"/>
      <c r="R62" s="104"/>
      <c r="S62" s="455"/>
      <c r="T62" s="456"/>
      <c r="U62" s="456"/>
      <c r="V62" s="456"/>
      <c r="W62" s="452"/>
      <c r="Z62" s="62"/>
    </row>
    <row r="63" spans="1:26" s="103" customFormat="1" ht="17.25" hidden="1" customHeight="1" x14ac:dyDescent="0.4">
      <c r="A63" s="101"/>
      <c r="B63" s="101"/>
      <c r="C63" s="106"/>
      <c r="D63" s="442"/>
      <c r="E63" s="442"/>
      <c r="F63" s="107"/>
      <c r="G63" s="106"/>
      <c r="H63" s="108"/>
      <c r="I63" s="443"/>
      <c r="J63" s="443"/>
      <c r="K63" s="443"/>
      <c r="L63" s="109"/>
      <c r="M63" s="109"/>
      <c r="N63" s="442"/>
      <c r="O63" s="442"/>
      <c r="P63" s="442"/>
      <c r="Q63" s="442"/>
      <c r="R63" s="442"/>
      <c r="S63" s="442"/>
      <c r="T63" s="442"/>
      <c r="U63" s="442"/>
      <c r="V63" s="442"/>
      <c r="W63" s="442"/>
      <c r="Z63" s="62"/>
    </row>
    <row r="64" spans="1:26" s="103" customFormat="1" ht="17.25" hidden="1" customHeight="1" x14ac:dyDescent="0.4">
      <c r="A64" s="101"/>
      <c r="B64" s="101"/>
      <c r="C64" s="106"/>
      <c r="D64" s="442"/>
      <c r="E64" s="442"/>
      <c r="F64" s="107"/>
      <c r="G64" s="106"/>
      <c r="H64" s="108"/>
      <c r="I64" s="443"/>
      <c r="J64" s="443"/>
      <c r="K64" s="443"/>
      <c r="L64" s="110"/>
      <c r="M64" s="109"/>
      <c r="N64" s="106"/>
      <c r="O64" s="442"/>
      <c r="P64" s="442"/>
      <c r="Q64" s="107"/>
      <c r="R64" s="106"/>
      <c r="S64" s="108"/>
      <c r="T64" s="443"/>
      <c r="U64" s="443"/>
      <c r="V64" s="443"/>
      <c r="W64" s="110"/>
      <c r="Z64" s="62"/>
    </row>
    <row r="65" spans="1:26" s="103" customFormat="1" ht="17.25" hidden="1" customHeight="1" x14ac:dyDescent="0.4">
      <c r="A65" s="101"/>
      <c r="B65" s="101"/>
      <c r="C65" s="106"/>
      <c r="D65" s="442"/>
      <c r="E65" s="442"/>
      <c r="F65" s="107"/>
      <c r="G65" s="106"/>
      <c r="H65" s="108"/>
      <c r="I65" s="443"/>
      <c r="J65" s="443"/>
      <c r="K65" s="443"/>
      <c r="L65" s="109"/>
      <c r="M65" s="109"/>
      <c r="N65" s="106"/>
      <c r="O65" s="442"/>
      <c r="P65" s="442"/>
      <c r="Q65" s="107"/>
      <c r="R65" s="106"/>
      <c r="S65" s="108"/>
      <c r="T65" s="443"/>
      <c r="U65" s="443"/>
      <c r="V65" s="443"/>
      <c r="W65" s="110"/>
      <c r="Z65" s="62"/>
    </row>
    <row r="66" spans="1:26" s="103" customFormat="1" ht="17.25" hidden="1" customHeight="1" x14ac:dyDescent="0.4">
      <c r="A66" s="101"/>
      <c r="B66" s="101"/>
      <c r="C66" s="106"/>
      <c r="D66" s="442"/>
      <c r="E66" s="442"/>
      <c r="F66" s="107"/>
      <c r="G66" s="106"/>
      <c r="H66" s="108"/>
      <c r="I66" s="443"/>
      <c r="J66" s="443"/>
      <c r="K66" s="443"/>
      <c r="L66" s="110"/>
      <c r="M66" s="109"/>
      <c r="N66" s="106"/>
      <c r="O66" s="442"/>
      <c r="P66" s="442"/>
      <c r="Q66" s="107"/>
      <c r="R66" s="106"/>
      <c r="S66" s="108"/>
      <c r="T66" s="443"/>
      <c r="U66" s="443"/>
      <c r="V66" s="443"/>
      <c r="W66" s="110"/>
      <c r="Z66" s="62"/>
    </row>
    <row r="67" spans="1:26" s="103" customFormat="1" ht="17.25" hidden="1" customHeight="1" x14ac:dyDescent="0.4">
      <c r="A67" s="101"/>
      <c r="B67" s="101"/>
      <c r="C67" s="106"/>
      <c r="D67" s="442"/>
      <c r="E67" s="442"/>
      <c r="F67" s="107"/>
      <c r="G67" s="106"/>
      <c r="H67" s="108"/>
      <c r="I67" s="443"/>
      <c r="J67" s="443"/>
      <c r="K67" s="443"/>
      <c r="L67" s="109"/>
      <c r="M67" s="109"/>
      <c r="N67" s="442"/>
      <c r="O67" s="442"/>
      <c r="P67" s="442"/>
      <c r="Q67" s="442"/>
      <c r="R67" s="442"/>
      <c r="S67" s="442"/>
      <c r="T67" s="442"/>
      <c r="U67" s="442"/>
      <c r="V67" s="442"/>
      <c r="W67" s="442"/>
      <c r="Z67" s="62"/>
    </row>
    <row r="68" spans="1:26" s="103" customFormat="1" ht="17.25" hidden="1" customHeight="1" x14ac:dyDescent="0.4">
      <c r="A68" s="101"/>
      <c r="B68" s="101"/>
      <c r="C68" s="106"/>
      <c r="D68" s="442"/>
      <c r="E68" s="442"/>
      <c r="F68" s="107"/>
      <c r="G68" s="106"/>
      <c r="H68" s="108"/>
      <c r="I68" s="443"/>
      <c r="J68" s="443"/>
      <c r="K68" s="443"/>
      <c r="L68" s="110"/>
      <c r="M68" s="109"/>
      <c r="N68" s="106"/>
      <c r="O68" s="442"/>
      <c r="P68" s="442"/>
      <c r="Q68" s="107"/>
      <c r="R68" s="106"/>
      <c r="S68" s="108"/>
      <c r="T68" s="443"/>
      <c r="U68" s="443"/>
      <c r="V68" s="443"/>
      <c r="W68" s="110"/>
      <c r="Z68" s="62"/>
    </row>
    <row r="69" spans="1:26" s="103" customFormat="1" ht="17.25" hidden="1" customHeight="1" x14ac:dyDescent="0.4">
      <c r="A69" s="101"/>
      <c r="B69" s="101"/>
      <c r="C69" s="106"/>
      <c r="D69" s="442"/>
      <c r="E69" s="442"/>
      <c r="F69" s="107"/>
      <c r="G69" s="106"/>
      <c r="H69" s="108"/>
      <c r="I69" s="443"/>
      <c r="J69" s="443"/>
      <c r="K69" s="443"/>
      <c r="L69" s="109"/>
      <c r="M69" s="109"/>
      <c r="N69" s="106"/>
      <c r="O69" s="442"/>
      <c r="P69" s="442"/>
      <c r="Q69" s="107"/>
      <c r="R69" s="106"/>
      <c r="S69" s="108"/>
      <c r="T69" s="443"/>
      <c r="U69" s="443"/>
      <c r="V69" s="443"/>
      <c r="W69" s="110"/>
      <c r="Z69" s="62"/>
    </row>
    <row r="70" spans="1:26" s="103" customFormat="1" ht="3.75" hidden="1" customHeight="1" x14ac:dyDescent="0.4">
      <c r="A70" s="101"/>
      <c r="B70" s="101"/>
      <c r="C70" s="106"/>
      <c r="D70" s="442"/>
      <c r="E70" s="442"/>
      <c r="F70" s="107"/>
      <c r="G70" s="106"/>
      <c r="H70" s="108"/>
      <c r="I70" s="443"/>
      <c r="J70" s="443"/>
      <c r="K70" s="443"/>
      <c r="L70" s="110"/>
      <c r="M70" s="109"/>
      <c r="N70" s="106"/>
      <c r="O70" s="442"/>
      <c r="P70" s="442"/>
      <c r="Q70" s="107"/>
      <c r="R70" s="106"/>
      <c r="S70" s="108"/>
      <c r="T70" s="443"/>
      <c r="U70" s="443"/>
      <c r="V70" s="443"/>
      <c r="W70" s="110"/>
      <c r="Z70" s="62"/>
    </row>
    <row r="71" spans="1:26" s="103" customFormat="1" ht="17.25" hidden="1" customHeight="1" x14ac:dyDescent="0.4">
      <c r="A71" s="101"/>
      <c r="B71" s="101"/>
      <c r="C71" s="106"/>
      <c r="D71" s="442"/>
      <c r="E71" s="442"/>
      <c r="F71" s="107"/>
      <c r="G71" s="106"/>
      <c r="H71" s="108"/>
      <c r="I71" s="443"/>
      <c r="J71" s="443"/>
      <c r="K71" s="443"/>
      <c r="L71" s="109"/>
      <c r="M71" s="109"/>
      <c r="N71" s="106"/>
      <c r="O71" s="442"/>
      <c r="P71" s="442"/>
      <c r="Q71" s="107"/>
      <c r="R71" s="106"/>
      <c r="S71" s="108"/>
      <c r="T71" s="443"/>
      <c r="U71" s="443"/>
      <c r="V71" s="443"/>
      <c r="W71" s="110"/>
      <c r="Z71" s="62"/>
    </row>
    <row r="72" spans="1:26" s="103" customFormat="1" ht="17.25" hidden="1" customHeight="1" x14ac:dyDescent="0.4">
      <c r="A72" s="101"/>
      <c r="B72" s="101"/>
      <c r="C72" s="106"/>
      <c r="D72" s="442"/>
      <c r="E72" s="442"/>
      <c r="F72" s="111"/>
      <c r="G72" s="106"/>
      <c r="H72" s="108"/>
      <c r="I72" s="443"/>
      <c r="J72" s="443"/>
      <c r="K72" s="443"/>
      <c r="L72" s="110"/>
      <c r="M72" s="109"/>
      <c r="N72" s="106"/>
      <c r="O72" s="442"/>
      <c r="P72" s="442"/>
      <c r="Q72" s="107"/>
      <c r="R72" s="106"/>
      <c r="S72" s="108"/>
      <c r="T72" s="443"/>
      <c r="U72" s="443"/>
      <c r="V72" s="443"/>
      <c r="W72" s="110"/>
      <c r="Z72" s="62"/>
    </row>
    <row r="73" spans="1:26" s="103" customFormat="1" ht="17.25" hidden="1" customHeight="1" x14ac:dyDescent="0.4">
      <c r="A73" s="101"/>
      <c r="B73" s="101"/>
      <c r="C73" s="106"/>
      <c r="D73" s="442"/>
      <c r="E73" s="442"/>
      <c r="F73" s="111"/>
      <c r="G73" s="106"/>
      <c r="H73" s="108"/>
      <c r="I73" s="443"/>
      <c r="J73" s="443"/>
      <c r="K73" s="443"/>
      <c r="L73" s="109"/>
      <c r="M73" s="109"/>
      <c r="N73" s="106"/>
      <c r="O73" s="442"/>
      <c r="P73" s="442"/>
      <c r="Q73" s="107"/>
      <c r="R73" s="106"/>
      <c r="S73" s="108"/>
      <c r="T73" s="443"/>
      <c r="U73" s="443"/>
      <c r="V73" s="443"/>
      <c r="W73" s="110"/>
      <c r="Z73" s="62"/>
    </row>
    <row r="74" spans="1:26" s="103" customFormat="1" ht="17.25" hidden="1" customHeight="1" x14ac:dyDescent="0.4">
      <c r="A74" s="101"/>
      <c r="B74" s="101"/>
      <c r="C74" s="106"/>
      <c r="D74" s="442"/>
      <c r="E74" s="442"/>
      <c r="F74" s="111"/>
      <c r="G74" s="106"/>
      <c r="H74" s="108"/>
      <c r="I74" s="443"/>
      <c r="J74" s="443"/>
      <c r="K74" s="443"/>
      <c r="L74" s="110"/>
      <c r="M74" s="109"/>
      <c r="N74" s="106"/>
      <c r="O74" s="442"/>
      <c r="P74" s="442"/>
      <c r="Q74" s="107"/>
      <c r="R74" s="106"/>
      <c r="S74" s="108"/>
      <c r="T74" s="443"/>
      <c r="U74" s="443"/>
      <c r="V74" s="443"/>
      <c r="W74" s="110"/>
      <c r="Z74" s="62"/>
    </row>
    <row r="75" spans="1:26" s="103" customFormat="1" ht="17.25" hidden="1" customHeight="1" x14ac:dyDescent="0.4">
      <c r="A75" s="101"/>
      <c r="B75" s="101"/>
      <c r="C75" s="106"/>
      <c r="D75" s="442"/>
      <c r="E75" s="442"/>
      <c r="F75" s="111"/>
      <c r="G75" s="106"/>
      <c r="H75" s="108"/>
      <c r="I75" s="443"/>
      <c r="J75" s="443"/>
      <c r="K75" s="443"/>
      <c r="L75" s="109"/>
      <c r="M75" s="109"/>
      <c r="N75" s="106"/>
      <c r="O75" s="442"/>
      <c r="P75" s="442"/>
      <c r="Q75" s="107"/>
      <c r="R75" s="106"/>
      <c r="S75" s="108"/>
      <c r="T75" s="443"/>
      <c r="U75" s="443"/>
      <c r="V75" s="443"/>
      <c r="W75" s="110"/>
      <c r="Z75" s="62"/>
    </row>
    <row r="76" spans="1:26" s="103" customFormat="1" ht="17.25" hidden="1" customHeight="1" x14ac:dyDescent="0.4">
      <c r="A76" s="101"/>
      <c r="B76" s="101"/>
      <c r="C76" s="106"/>
      <c r="D76" s="442"/>
      <c r="E76" s="442"/>
      <c r="F76" s="111"/>
      <c r="G76" s="106"/>
      <c r="H76" s="108"/>
      <c r="I76" s="443"/>
      <c r="J76" s="443"/>
      <c r="K76" s="443"/>
      <c r="L76" s="110"/>
      <c r="M76" s="109"/>
      <c r="N76" s="106"/>
      <c r="O76" s="442"/>
      <c r="P76" s="442"/>
      <c r="Q76" s="107"/>
      <c r="R76" s="106"/>
      <c r="S76" s="108"/>
      <c r="T76" s="443"/>
      <c r="U76" s="443"/>
      <c r="V76" s="443"/>
      <c r="W76" s="110"/>
      <c r="Z76" s="62"/>
    </row>
    <row r="77" spans="1:26" s="103" customFormat="1" ht="17.25" hidden="1" customHeight="1" x14ac:dyDescent="0.4">
      <c r="A77" s="101"/>
      <c r="B77" s="101"/>
      <c r="C77" s="106"/>
      <c r="D77" s="442"/>
      <c r="E77" s="442"/>
      <c r="F77" s="111"/>
      <c r="G77" s="106"/>
      <c r="H77" s="108"/>
      <c r="I77" s="443"/>
      <c r="J77" s="443"/>
      <c r="K77" s="443"/>
      <c r="L77" s="109"/>
      <c r="M77" s="109"/>
      <c r="N77" s="106"/>
      <c r="O77" s="442"/>
      <c r="P77" s="442"/>
      <c r="Q77" s="107"/>
      <c r="R77" s="106"/>
      <c r="S77" s="108"/>
      <c r="T77" s="443"/>
      <c r="U77" s="443"/>
      <c r="V77" s="443"/>
      <c r="W77" s="110"/>
      <c r="Z77" s="62"/>
    </row>
    <row r="78" spans="1:26" s="103" customFormat="1" ht="17.25" hidden="1" customHeight="1" x14ac:dyDescent="0.4">
      <c r="A78" s="101"/>
      <c r="B78" s="101"/>
      <c r="C78" s="106"/>
      <c r="D78" s="442"/>
      <c r="E78" s="442"/>
      <c r="F78" s="111"/>
      <c r="G78" s="106"/>
      <c r="H78" s="108"/>
      <c r="I78" s="443"/>
      <c r="J78" s="443"/>
      <c r="K78" s="443"/>
      <c r="L78" s="110"/>
      <c r="M78" s="109"/>
      <c r="N78" s="106"/>
      <c r="O78" s="442"/>
      <c r="P78" s="442"/>
      <c r="Q78" s="107"/>
      <c r="R78" s="106"/>
      <c r="S78" s="108"/>
      <c r="T78" s="443"/>
      <c r="U78" s="443"/>
      <c r="V78" s="443"/>
      <c r="W78" s="110"/>
      <c r="Z78" s="62"/>
    </row>
    <row r="79" spans="1:26" s="103" customFormat="1" ht="17.25" hidden="1" customHeight="1" x14ac:dyDescent="0.4">
      <c r="A79" s="101"/>
      <c r="B79" s="101"/>
      <c r="C79" s="106"/>
      <c r="D79" s="442"/>
      <c r="E79" s="442"/>
      <c r="F79" s="111"/>
      <c r="G79" s="106"/>
      <c r="H79" s="108"/>
      <c r="I79" s="443"/>
      <c r="J79" s="443"/>
      <c r="K79" s="443"/>
      <c r="L79" s="109"/>
      <c r="M79" s="109"/>
      <c r="N79" s="106"/>
      <c r="O79" s="442"/>
      <c r="P79" s="442"/>
      <c r="Q79" s="107"/>
      <c r="R79" s="106"/>
      <c r="S79" s="108"/>
      <c r="T79" s="443"/>
      <c r="U79" s="443"/>
      <c r="V79" s="443"/>
      <c r="W79" s="110"/>
      <c r="Z79" s="62"/>
    </row>
    <row r="80" spans="1:26" s="103" customFormat="1" ht="17.25" hidden="1" customHeight="1" x14ac:dyDescent="0.4">
      <c r="A80" s="101"/>
      <c r="B80" s="101"/>
      <c r="C80" s="443"/>
      <c r="D80" s="443"/>
      <c r="E80" s="443"/>
      <c r="F80" s="443"/>
      <c r="G80" s="443"/>
      <c r="H80" s="443"/>
      <c r="I80" s="443"/>
      <c r="J80" s="443"/>
      <c r="K80" s="443"/>
      <c r="L80" s="443"/>
      <c r="M80" s="443"/>
      <c r="N80" s="443"/>
      <c r="O80" s="112"/>
      <c r="P80" s="73"/>
      <c r="Q80" s="443"/>
      <c r="R80" s="443"/>
      <c r="S80" s="443"/>
      <c r="T80" s="443"/>
      <c r="U80" s="443"/>
      <c r="V80" s="443"/>
      <c r="W80" s="443"/>
      <c r="Z80" s="62"/>
    </row>
    <row r="81" spans="1:26" s="103" customFormat="1" ht="17.25" hidden="1" customHeight="1" x14ac:dyDescent="0.4">
      <c r="A81" s="101"/>
      <c r="B81" s="101"/>
      <c r="C81" s="444"/>
      <c r="D81" s="444"/>
      <c r="E81" s="444"/>
      <c r="F81" s="444"/>
      <c r="G81" s="113"/>
      <c r="H81" s="113"/>
      <c r="I81" s="109"/>
      <c r="J81" s="113"/>
      <c r="K81" s="113"/>
      <c r="L81" s="113"/>
      <c r="M81" s="113"/>
      <c r="N81" s="113"/>
      <c r="O81" s="112"/>
      <c r="P81" s="113"/>
      <c r="Q81" s="443"/>
      <c r="R81" s="443"/>
      <c r="S81" s="443"/>
      <c r="T81" s="443"/>
      <c r="U81" s="443"/>
      <c r="V81" s="443"/>
      <c r="W81" s="443"/>
      <c r="Z81" s="62"/>
    </row>
    <row r="82" spans="1:26" s="103" customFormat="1" ht="15.75" hidden="1" customHeight="1" x14ac:dyDescent="0.4">
      <c r="A82" s="101"/>
      <c r="B82" s="101"/>
      <c r="C82" s="443"/>
      <c r="D82" s="443"/>
      <c r="E82" s="443"/>
      <c r="F82" s="443"/>
      <c r="G82" s="443"/>
      <c r="H82" s="443"/>
      <c r="I82" s="443"/>
      <c r="J82" s="446"/>
      <c r="K82" s="446"/>
      <c r="L82" s="442"/>
      <c r="M82" s="442"/>
      <c r="N82" s="442"/>
      <c r="O82" s="442"/>
      <c r="P82" s="442"/>
      <c r="Q82" s="114"/>
      <c r="R82" s="442"/>
      <c r="S82" s="442"/>
      <c r="T82" s="442"/>
      <c r="U82" s="442"/>
      <c r="V82" s="445"/>
      <c r="W82" s="445"/>
      <c r="Z82" s="62"/>
    </row>
    <row r="83" spans="1:26" s="103" customFormat="1" ht="15.75" hidden="1" customHeight="1" x14ac:dyDescent="0.4">
      <c r="A83" s="101"/>
      <c r="B83" s="101"/>
      <c r="C83" s="443"/>
      <c r="D83" s="443"/>
      <c r="E83" s="443"/>
      <c r="F83" s="443"/>
      <c r="G83" s="443"/>
      <c r="H83" s="443"/>
      <c r="I83" s="443"/>
      <c r="J83" s="446"/>
      <c r="K83" s="446"/>
      <c r="L83" s="442"/>
      <c r="M83" s="442"/>
      <c r="N83" s="442"/>
      <c r="O83" s="442"/>
      <c r="P83" s="442"/>
      <c r="Q83" s="114"/>
      <c r="R83" s="442"/>
      <c r="S83" s="442"/>
      <c r="T83" s="442"/>
      <c r="U83" s="442"/>
      <c r="V83" s="445"/>
      <c r="W83" s="445"/>
      <c r="Z83" s="62"/>
    </row>
    <row r="84" spans="1:26" s="103" customFormat="1" ht="15.75" hidden="1" customHeight="1" x14ac:dyDescent="0.4">
      <c r="A84" s="101"/>
      <c r="B84" s="101"/>
      <c r="C84" s="443"/>
      <c r="D84" s="443"/>
      <c r="E84" s="443"/>
      <c r="F84" s="443"/>
      <c r="G84" s="443"/>
      <c r="H84" s="443"/>
      <c r="I84" s="443"/>
      <c r="J84" s="446"/>
      <c r="K84" s="446"/>
      <c r="L84" s="442"/>
      <c r="M84" s="442"/>
      <c r="N84" s="442"/>
      <c r="O84" s="442"/>
      <c r="P84" s="442"/>
      <c r="Q84" s="114"/>
      <c r="R84" s="442"/>
      <c r="S84" s="442"/>
      <c r="T84" s="442"/>
      <c r="U84" s="442"/>
      <c r="V84" s="445"/>
      <c r="W84" s="445"/>
      <c r="Z84" s="62"/>
    </row>
    <row r="85" spans="1:26" s="61" customFormat="1" ht="30" hidden="1" customHeight="1" x14ac:dyDescent="0.45">
      <c r="A85" s="58"/>
      <c r="B85" s="58"/>
      <c r="C85" s="115"/>
      <c r="D85" s="115"/>
      <c r="E85" s="115"/>
      <c r="F85" s="115"/>
      <c r="G85" s="115"/>
      <c r="H85" s="115"/>
      <c r="I85" s="115"/>
      <c r="J85" s="115"/>
      <c r="K85" s="115"/>
      <c r="L85" s="109"/>
      <c r="M85" s="109"/>
      <c r="N85" s="443"/>
      <c r="O85" s="443"/>
      <c r="P85" s="443"/>
      <c r="Q85" s="443"/>
      <c r="R85" s="443"/>
      <c r="S85" s="443"/>
      <c r="T85" s="443"/>
      <c r="U85" s="443"/>
      <c r="V85" s="443"/>
      <c r="W85" s="443"/>
      <c r="Z85" s="62"/>
    </row>
    <row r="86" spans="1:26" s="61" customFormat="1" ht="14.25" hidden="1" customHeight="1" x14ac:dyDescent="0.45">
      <c r="A86" s="58"/>
      <c r="B86" s="58"/>
      <c r="C86" s="115"/>
      <c r="D86" s="115"/>
      <c r="E86" s="115"/>
      <c r="F86" s="115"/>
      <c r="G86" s="115"/>
      <c r="H86" s="115"/>
      <c r="I86" s="115"/>
      <c r="J86" s="115"/>
      <c r="K86" s="115"/>
      <c r="L86" s="447"/>
      <c r="M86" s="447"/>
      <c r="N86" s="447"/>
      <c r="O86" s="447"/>
      <c r="P86" s="447"/>
      <c r="Q86" s="447"/>
      <c r="R86" s="116"/>
      <c r="S86" s="115"/>
      <c r="T86" s="115"/>
      <c r="U86" s="115"/>
      <c r="V86" s="113"/>
      <c r="W86" s="113"/>
      <c r="Z86" s="62"/>
    </row>
    <row r="87" spans="1:26" s="61" customFormat="1" ht="14.25" hidden="1" customHeight="1" x14ac:dyDescent="0.45">
      <c r="A87" s="58"/>
      <c r="B87" s="58"/>
      <c r="C87" s="115"/>
      <c r="D87" s="115"/>
      <c r="E87" s="115"/>
      <c r="F87" s="115"/>
      <c r="G87" s="115"/>
      <c r="H87" s="115"/>
      <c r="I87" s="115"/>
      <c r="J87" s="115"/>
      <c r="K87" s="115"/>
      <c r="L87" s="115"/>
      <c r="M87" s="115"/>
      <c r="N87" s="444"/>
      <c r="O87" s="444"/>
      <c r="P87" s="444"/>
      <c r="Q87" s="444"/>
      <c r="R87" s="116"/>
      <c r="S87" s="115"/>
      <c r="T87" s="115"/>
      <c r="U87" s="115"/>
      <c r="V87" s="113"/>
      <c r="W87" s="113"/>
      <c r="Z87" s="62"/>
    </row>
    <row r="88" spans="1:26" s="61" customFormat="1" ht="14.25" hidden="1" customHeight="1" x14ac:dyDescent="0.45">
      <c r="A88" s="58"/>
      <c r="B88" s="58"/>
      <c r="C88" s="448"/>
      <c r="D88" s="448"/>
      <c r="E88" s="448"/>
      <c r="F88" s="448"/>
      <c r="G88" s="448"/>
      <c r="H88" s="448"/>
      <c r="I88" s="448"/>
      <c r="J88" s="448"/>
      <c r="K88" s="448"/>
      <c r="L88" s="448"/>
      <c r="M88" s="448"/>
      <c r="N88" s="448"/>
      <c r="O88" s="448"/>
      <c r="P88" s="448"/>
      <c r="Q88" s="448"/>
      <c r="R88" s="72"/>
      <c r="S88" s="73"/>
      <c r="T88" s="73"/>
      <c r="U88" s="74"/>
      <c r="V88" s="75"/>
      <c r="W88" s="113"/>
      <c r="Z88" s="62"/>
    </row>
    <row r="89" spans="1:26" s="61" customFormat="1" ht="14.25" hidden="1" customHeight="1" x14ac:dyDescent="0.45">
      <c r="A89" s="58"/>
      <c r="B89" s="58"/>
      <c r="C89" s="448"/>
      <c r="D89" s="448"/>
      <c r="E89" s="448"/>
      <c r="F89" s="448"/>
      <c r="G89" s="448"/>
      <c r="H89" s="448"/>
      <c r="I89" s="448"/>
      <c r="J89" s="448"/>
      <c r="K89" s="448"/>
      <c r="L89" s="448"/>
      <c r="M89" s="448"/>
      <c r="N89" s="448"/>
      <c r="O89" s="448"/>
      <c r="P89" s="448"/>
      <c r="Q89" s="448"/>
      <c r="R89" s="72"/>
      <c r="S89" s="73"/>
      <c r="T89" s="73"/>
      <c r="U89" s="74"/>
      <c r="V89" s="75"/>
      <c r="W89" s="75"/>
      <c r="Z89" s="62"/>
    </row>
    <row r="90" spans="1:26" s="61" customFormat="1" ht="5.25" hidden="1" customHeight="1" x14ac:dyDescent="0.45">
      <c r="A90" s="58"/>
      <c r="B90" s="58"/>
      <c r="C90" s="59"/>
      <c r="D90" s="59"/>
      <c r="E90" s="59"/>
      <c r="F90" s="59"/>
      <c r="G90" s="59"/>
      <c r="H90" s="59"/>
      <c r="I90" s="59"/>
      <c r="J90" s="59"/>
      <c r="K90" s="59"/>
      <c r="L90" s="70"/>
      <c r="M90" s="70"/>
      <c r="N90" s="68"/>
      <c r="O90" s="76"/>
      <c r="P90" s="76"/>
      <c r="Q90" s="76"/>
      <c r="R90" s="76"/>
      <c r="S90" s="76"/>
      <c r="T90" s="77"/>
      <c r="U90" s="77"/>
      <c r="V90" s="78"/>
      <c r="W90" s="78"/>
      <c r="Z90" s="62"/>
    </row>
    <row r="91" spans="1:26" s="61" customFormat="1" ht="14.25" hidden="1" customHeight="1" x14ac:dyDescent="0.45">
      <c r="A91" s="58"/>
      <c r="B91" s="58"/>
      <c r="C91" s="77"/>
      <c r="D91" s="450"/>
      <c r="E91" s="450"/>
      <c r="F91" s="450"/>
      <c r="G91" s="79"/>
      <c r="H91" s="449"/>
      <c r="I91" s="449"/>
      <c r="J91" s="449"/>
      <c r="K91" s="449"/>
      <c r="L91" s="70"/>
      <c r="M91" s="70"/>
      <c r="N91" s="59"/>
      <c r="O91" s="59"/>
      <c r="P91" s="59"/>
      <c r="Q91" s="59"/>
      <c r="R91" s="59"/>
      <c r="S91" s="69"/>
      <c r="T91" s="69"/>
      <c r="U91" s="69"/>
      <c r="V91" s="69"/>
      <c r="W91" s="69"/>
      <c r="Z91" s="62"/>
    </row>
    <row r="92" spans="1:26" s="61" customFormat="1" ht="14.25" hidden="1" customHeight="1" x14ac:dyDescent="0.45">
      <c r="A92" s="58"/>
      <c r="B92" s="58"/>
      <c r="C92" s="77"/>
      <c r="D92" s="451"/>
      <c r="E92" s="451"/>
      <c r="F92" s="451"/>
      <c r="G92" s="69"/>
      <c r="H92" s="69"/>
      <c r="I92" s="59"/>
      <c r="J92" s="59"/>
      <c r="K92" s="59"/>
      <c r="L92" s="70"/>
      <c r="M92" s="70"/>
      <c r="N92" s="59"/>
      <c r="O92" s="59"/>
      <c r="P92" s="59"/>
      <c r="Q92" s="59"/>
      <c r="R92" s="59"/>
      <c r="S92" s="69"/>
      <c r="T92" s="69"/>
      <c r="U92" s="69"/>
      <c r="V92" s="69"/>
      <c r="W92" s="69"/>
      <c r="Z92" s="62"/>
    </row>
    <row r="93" spans="1:26" s="61" customFormat="1" ht="14.25" hidden="1" customHeight="1" x14ac:dyDescent="0.45">
      <c r="A93" s="58"/>
      <c r="B93" s="58"/>
      <c r="C93" s="77"/>
      <c r="D93" s="80"/>
      <c r="E93" s="80"/>
      <c r="F93" s="80"/>
      <c r="G93" s="69"/>
      <c r="H93" s="69"/>
      <c r="I93" s="59"/>
      <c r="J93" s="59"/>
      <c r="K93" s="59"/>
      <c r="L93" s="70"/>
      <c r="M93" s="70"/>
      <c r="N93" s="59"/>
      <c r="O93" s="59"/>
      <c r="P93" s="59"/>
      <c r="Q93" s="59"/>
      <c r="R93" s="59"/>
      <c r="S93" s="69"/>
      <c r="T93" s="69"/>
      <c r="U93" s="69"/>
      <c r="V93" s="69"/>
      <c r="W93" s="69"/>
      <c r="Z93" s="62"/>
    </row>
    <row r="94" spans="1:26" s="61" customFormat="1" ht="14.25" hidden="1" customHeight="1" x14ac:dyDescent="0.45">
      <c r="A94" s="58"/>
      <c r="B94" s="58"/>
      <c r="C94" s="59"/>
      <c r="D94" s="59"/>
      <c r="E94" s="59"/>
      <c r="F94" s="68"/>
      <c r="G94" s="59"/>
      <c r="H94" s="59"/>
      <c r="I94" s="59"/>
      <c r="J94" s="59"/>
      <c r="K94" s="59"/>
      <c r="L94" s="70"/>
      <c r="M94" s="70"/>
      <c r="N94" s="70"/>
      <c r="O94" s="59"/>
      <c r="P94" s="69"/>
      <c r="Q94" s="69"/>
      <c r="R94" s="69"/>
      <c r="S94" s="69"/>
      <c r="T94" s="68"/>
      <c r="U94" s="68"/>
      <c r="V94" s="69"/>
      <c r="W94" s="69"/>
      <c r="Z94" s="62"/>
    </row>
    <row r="95" spans="1:26" s="61" customFormat="1" ht="14.25" hidden="1" customHeight="1" x14ac:dyDescent="0.45">
      <c r="A95" s="58"/>
      <c r="B95" s="58"/>
      <c r="C95" s="59"/>
      <c r="D95" s="59"/>
      <c r="E95" s="59"/>
      <c r="F95" s="68"/>
      <c r="G95" s="59"/>
      <c r="H95" s="59"/>
      <c r="I95" s="59"/>
      <c r="J95" s="59"/>
      <c r="K95" s="59"/>
      <c r="L95" s="70"/>
      <c r="M95" s="70"/>
      <c r="N95" s="70"/>
      <c r="O95" s="59"/>
      <c r="P95" s="69"/>
      <c r="Q95" s="69"/>
      <c r="R95" s="69"/>
      <c r="S95" s="69"/>
      <c r="T95" s="68"/>
      <c r="U95" s="68"/>
      <c r="V95" s="69"/>
      <c r="W95" s="69"/>
      <c r="Z95" s="62"/>
    </row>
    <row r="96" spans="1:26" s="61" customFormat="1" ht="27.75" hidden="1" customHeight="1" x14ac:dyDescent="0.45">
      <c r="A96" s="58"/>
      <c r="B96" s="58"/>
      <c r="C96" s="59"/>
      <c r="D96" s="59"/>
      <c r="E96" s="59"/>
      <c r="F96" s="59"/>
      <c r="G96" s="59"/>
      <c r="H96" s="59"/>
      <c r="I96" s="59"/>
      <c r="J96" s="59"/>
      <c r="K96" s="59"/>
      <c r="L96" s="70"/>
      <c r="M96" s="70"/>
      <c r="N96" s="70"/>
      <c r="O96" s="59"/>
      <c r="P96" s="59"/>
      <c r="Q96" s="59"/>
      <c r="R96" s="69"/>
      <c r="S96" s="69"/>
      <c r="T96" s="69"/>
      <c r="U96" s="69"/>
      <c r="V96" s="69"/>
      <c r="W96" s="69"/>
      <c r="Z96" s="62"/>
    </row>
    <row r="97" spans="1:26" s="61" customFormat="1" ht="25.5" hidden="1" customHeight="1" x14ac:dyDescent="0.45">
      <c r="A97" s="58"/>
      <c r="B97" s="58"/>
      <c r="C97" s="59"/>
      <c r="D97" s="59"/>
      <c r="E97" s="59"/>
      <c r="F97" s="67"/>
      <c r="G97" s="59"/>
      <c r="H97" s="59"/>
      <c r="I97" s="59"/>
      <c r="J97" s="59"/>
      <c r="K97" s="59"/>
      <c r="L97" s="70"/>
      <c r="M97" s="70"/>
      <c r="N97" s="70"/>
      <c r="O97" s="69"/>
      <c r="P97" s="69"/>
      <c r="Q97" s="69"/>
      <c r="R97" s="69"/>
      <c r="S97" s="69"/>
      <c r="T97" s="71"/>
      <c r="U97" s="69"/>
      <c r="V97" s="69"/>
      <c r="W97" s="69"/>
      <c r="Z97" s="62"/>
    </row>
    <row r="98" spans="1:26" s="61" customFormat="1" ht="21" hidden="1" customHeight="1" x14ac:dyDescent="0.45">
      <c r="A98" s="58"/>
      <c r="B98" s="58"/>
      <c r="C98" s="59"/>
      <c r="D98" s="81"/>
      <c r="E98" s="441"/>
      <c r="F98" s="441"/>
      <c r="G98" s="441"/>
      <c r="H98" s="441"/>
      <c r="I98" s="441"/>
      <c r="J98" s="441"/>
      <c r="K98" s="441"/>
      <c r="L98" s="441"/>
      <c r="M98" s="441"/>
      <c r="N98" s="441"/>
      <c r="O98" s="441"/>
      <c r="P98" s="441"/>
      <c r="Q98" s="441"/>
      <c r="R98" s="441"/>
      <c r="S98" s="441"/>
      <c r="T98" s="441"/>
      <c r="U98" s="441"/>
      <c r="V98" s="441"/>
      <c r="W98" s="81"/>
      <c r="Z98" s="62"/>
    </row>
    <row r="99" spans="1:26" s="61" customFormat="1" hidden="1" x14ac:dyDescent="0.45">
      <c r="A99" s="58"/>
      <c r="B99" s="58"/>
      <c r="C99" s="59"/>
      <c r="D99" s="59"/>
      <c r="E99" s="59"/>
      <c r="F99" s="60"/>
      <c r="G99" s="58"/>
      <c r="H99" s="59"/>
      <c r="I99" s="59"/>
      <c r="J99" s="59"/>
      <c r="K99" s="59"/>
      <c r="L99" s="70"/>
      <c r="M99" s="70"/>
      <c r="N99" s="70"/>
      <c r="O99" s="58"/>
      <c r="P99" s="441"/>
      <c r="Q99" s="441"/>
      <c r="R99" s="441"/>
      <c r="S99" s="441"/>
      <c r="T99" s="441"/>
      <c r="U99" s="68"/>
      <c r="V99" s="69"/>
      <c r="W99" s="69"/>
      <c r="Z99" s="62"/>
    </row>
    <row r="100" spans="1:26" s="61" customFormat="1" hidden="1" x14ac:dyDescent="0.45">
      <c r="A100" s="58"/>
      <c r="B100" s="58"/>
      <c r="C100" s="59"/>
      <c r="D100" s="59"/>
      <c r="E100" s="59"/>
      <c r="F100" s="58"/>
      <c r="G100" s="58"/>
      <c r="H100" s="58"/>
      <c r="I100" s="59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69"/>
      <c r="Z100" s="62"/>
    </row>
    <row r="101" spans="1:26" s="61" customFormat="1" ht="12.75" hidden="1" customHeight="1" x14ac:dyDescent="0.45">
      <c r="A101" s="58"/>
      <c r="B101" s="58"/>
      <c r="C101" s="59"/>
      <c r="D101" s="59"/>
      <c r="E101" s="59"/>
      <c r="F101" s="59"/>
      <c r="G101" s="60"/>
      <c r="H101" s="59"/>
      <c r="I101" s="59"/>
      <c r="J101" s="59"/>
      <c r="K101" s="59"/>
      <c r="L101" s="67"/>
      <c r="M101" s="67"/>
      <c r="N101" s="67"/>
      <c r="O101" s="59"/>
      <c r="P101" s="60"/>
      <c r="Q101" s="60"/>
      <c r="R101" s="60"/>
      <c r="S101" s="59"/>
      <c r="T101" s="59"/>
      <c r="U101" s="68"/>
      <c r="V101" s="69"/>
      <c r="W101" s="69"/>
      <c r="Z101" s="62"/>
    </row>
    <row r="102" spans="1:26" s="61" customFormat="1" ht="7.5" hidden="1" customHeight="1" x14ac:dyDescent="0.45">
      <c r="A102" s="58"/>
      <c r="B102" s="58"/>
      <c r="C102" s="59"/>
      <c r="D102" s="59"/>
      <c r="E102" s="59"/>
      <c r="F102" s="59"/>
      <c r="G102" s="60"/>
      <c r="H102" s="59"/>
      <c r="I102" s="59"/>
      <c r="J102" s="59"/>
      <c r="K102" s="58"/>
      <c r="L102" s="58"/>
      <c r="M102" s="58"/>
      <c r="N102" s="58"/>
      <c r="O102" s="58"/>
      <c r="P102" s="58"/>
      <c r="Q102" s="58"/>
      <c r="R102" s="58"/>
      <c r="S102" s="58"/>
      <c r="T102" s="58"/>
      <c r="U102" s="68"/>
      <c r="V102" s="69"/>
      <c r="W102" s="69"/>
      <c r="Z102" s="62"/>
    </row>
    <row r="103" spans="1:26" s="61" customFormat="1" hidden="1" x14ac:dyDescent="0.45">
      <c r="A103" s="58"/>
      <c r="B103" s="58"/>
      <c r="C103" s="59"/>
      <c r="D103" s="59"/>
      <c r="E103" s="59"/>
      <c r="F103" s="60"/>
      <c r="G103" s="58"/>
      <c r="H103" s="59"/>
      <c r="I103" s="59"/>
      <c r="J103" s="59"/>
      <c r="K103" s="59"/>
      <c r="L103" s="58"/>
      <c r="M103" s="58"/>
      <c r="N103" s="58"/>
      <c r="O103" s="58"/>
      <c r="P103" s="441"/>
      <c r="Q103" s="441"/>
      <c r="R103" s="441"/>
      <c r="S103" s="441"/>
      <c r="T103" s="441"/>
      <c r="U103" s="58"/>
      <c r="V103" s="58"/>
      <c r="W103" s="59"/>
      <c r="Z103" s="62"/>
    </row>
    <row r="104" spans="1:26" s="66" customFormat="1" hidden="1" x14ac:dyDescent="0.45">
      <c r="A104" s="63"/>
      <c r="B104" s="63"/>
      <c r="C104" s="63"/>
      <c r="D104" s="63"/>
      <c r="E104" s="63"/>
      <c r="F104" s="63"/>
      <c r="G104" s="63"/>
      <c r="H104" s="63"/>
      <c r="I104" s="63"/>
      <c r="J104" s="63"/>
      <c r="K104" s="63"/>
      <c r="L104" s="64"/>
      <c r="M104" s="64"/>
      <c r="N104" s="65"/>
      <c r="O104" s="63"/>
      <c r="P104" s="63"/>
      <c r="Q104" s="63"/>
      <c r="R104" s="63"/>
      <c r="S104" s="63"/>
      <c r="T104" s="63"/>
      <c r="U104" s="63"/>
      <c r="V104" s="63"/>
      <c r="W104" s="63"/>
    </row>
    <row r="105" spans="1:26" s="82" customFormat="1" ht="35.25" hidden="1" x14ac:dyDescent="0.25">
      <c r="C105" s="64"/>
      <c r="D105" s="83"/>
      <c r="E105" s="84"/>
      <c r="L105" s="64"/>
      <c r="Y105" s="85"/>
    </row>
    <row r="106" spans="1:26" s="61" customFormat="1" hidden="1" x14ac:dyDescent="0.4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58"/>
      <c r="L106" s="86"/>
      <c r="M106" s="86"/>
      <c r="N106" s="87"/>
      <c r="O106" s="58"/>
      <c r="P106" s="58"/>
      <c r="Q106" s="58"/>
      <c r="R106" s="58"/>
      <c r="S106" s="58"/>
      <c r="T106" s="58"/>
      <c r="U106" s="58"/>
      <c r="V106" s="58"/>
      <c r="W106" s="58"/>
      <c r="X106" s="88"/>
    </row>
    <row r="107" spans="1:26" s="61" customFormat="1" ht="37.5" hidden="1" customHeight="1" x14ac:dyDescent="0.4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58"/>
      <c r="L107" s="86"/>
      <c r="M107" s="86"/>
      <c r="N107" s="460"/>
      <c r="O107" s="460"/>
      <c r="P107" s="460"/>
      <c r="Q107" s="460"/>
      <c r="R107" s="460"/>
      <c r="S107" s="460"/>
      <c r="T107" s="460"/>
      <c r="U107" s="460"/>
      <c r="V107" s="460"/>
      <c r="W107" s="460"/>
      <c r="Z107" s="62"/>
    </row>
    <row r="108" spans="1:26" s="61" customFormat="1" ht="17.25" hidden="1" customHeight="1" x14ac:dyDescent="0.4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58"/>
      <c r="L108" s="86"/>
      <c r="M108" s="86"/>
      <c r="N108" s="89"/>
      <c r="O108" s="90"/>
      <c r="P108" s="90"/>
      <c r="Q108" s="90"/>
      <c r="R108" s="90"/>
      <c r="S108" s="91"/>
      <c r="T108" s="58"/>
      <c r="U108" s="58"/>
      <c r="V108" s="457"/>
      <c r="W108" s="457"/>
      <c r="Z108" s="62"/>
    </row>
    <row r="109" spans="1:26" s="61" customFormat="1" ht="95.25" hidden="1" customHeight="1" x14ac:dyDescent="0.45">
      <c r="A109" s="58"/>
      <c r="B109" s="58"/>
      <c r="C109" s="58"/>
      <c r="D109" s="58"/>
      <c r="E109" s="58"/>
      <c r="F109" s="81"/>
      <c r="G109" s="81"/>
      <c r="H109" s="81"/>
      <c r="I109" s="81"/>
      <c r="J109" s="58"/>
      <c r="K109" s="81"/>
      <c r="L109" s="86"/>
      <c r="M109" s="86"/>
      <c r="N109" s="89"/>
      <c r="O109" s="58"/>
      <c r="P109" s="58"/>
      <c r="Q109" s="58"/>
      <c r="R109" s="58"/>
      <c r="S109" s="58"/>
      <c r="T109" s="92"/>
      <c r="U109" s="92"/>
      <c r="V109" s="93"/>
      <c r="W109" s="93"/>
      <c r="Z109" s="62"/>
    </row>
    <row r="110" spans="1:26" s="61" customFormat="1" ht="30" hidden="1" x14ac:dyDescent="0.4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90"/>
      <c r="R110" s="58"/>
      <c r="S110" s="91"/>
      <c r="T110" s="92"/>
      <c r="U110" s="92"/>
      <c r="V110" s="93"/>
      <c r="W110" s="93"/>
      <c r="Z110" s="62"/>
    </row>
    <row r="111" spans="1:26" s="96" customFormat="1" ht="25.5" hidden="1" customHeight="1" x14ac:dyDescent="0.45">
      <c r="A111" s="94"/>
      <c r="B111" s="94"/>
      <c r="C111" s="95"/>
      <c r="D111" s="95"/>
      <c r="E111" s="95"/>
      <c r="F111" s="95"/>
      <c r="G111" s="95"/>
      <c r="H111" s="95"/>
      <c r="I111" s="95"/>
      <c r="J111" s="458"/>
      <c r="K111" s="458"/>
      <c r="L111" s="458"/>
      <c r="M111" s="458"/>
      <c r="N111" s="94"/>
      <c r="O111" s="95"/>
      <c r="P111" s="95"/>
      <c r="Q111" s="95"/>
      <c r="R111" s="95"/>
      <c r="S111" s="95"/>
      <c r="T111" s="95"/>
      <c r="U111" s="95"/>
      <c r="V111" s="459"/>
      <c r="W111" s="459"/>
      <c r="Z111" s="62"/>
    </row>
    <row r="112" spans="1:26" s="96" customFormat="1" ht="24" hidden="1" customHeight="1" x14ac:dyDescent="0.45">
      <c r="A112" s="94"/>
      <c r="B112" s="94"/>
      <c r="C112" s="95"/>
      <c r="D112" s="95"/>
      <c r="E112" s="95"/>
      <c r="F112" s="95"/>
      <c r="G112" s="97"/>
      <c r="H112" s="95"/>
      <c r="I112" s="95"/>
      <c r="J112" s="461"/>
      <c r="K112" s="461"/>
      <c r="L112" s="461"/>
      <c r="M112" s="461"/>
      <c r="N112" s="94"/>
      <c r="O112" s="462"/>
      <c r="P112" s="462"/>
      <c r="Q112" s="462"/>
      <c r="R112" s="462"/>
      <c r="S112" s="462"/>
      <c r="T112" s="462"/>
      <c r="U112" s="97"/>
      <c r="V112" s="463"/>
      <c r="W112" s="463"/>
      <c r="Z112" s="62"/>
    </row>
    <row r="113" spans="1:26" s="96" customFormat="1" ht="8.25" hidden="1" customHeight="1" x14ac:dyDescent="0.45">
      <c r="A113" s="94"/>
      <c r="B113" s="94"/>
      <c r="C113" s="95"/>
      <c r="D113" s="95"/>
      <c r="E113" s="95"/>
      <c r="F113" s="95"/>
      <c r="G113" s="95"/>
      <c r="H113" s="95"/>
      <c r="I113" s="97"/>
      <c r="J113" s="95"/>
      <c r="K113" s="98"/>
      <c r="L113" s="98"/>
      <c r="M113" s="98"/>
      <c r="N113" s="98"/>
      <c r="O113" s="99"/>
      <c r="P113" s="99"/>
      <c r="Q113" s="99"/>
      <c r="R113" s="99"/>
      <c r="S113" s="99"/>
      <c r="T113" s="99"/>
      <c r="U113" s="97"/>
      <c r="V113" s="100"/>
      <c r="W113" s="100"/>
      <c r="Z113" s="62"/>
    </row>
    <row r="114" spans="1:26" s="103" customFormat="1" ht="44.25" hidden="1" customHeight="1" x14ac:dyDescent="0.4">
      <c r="A114" s="101"/>
      <c r="B114" s="101"/>
      <c r="C114" s="454"/>
      <c r="D114" s="454"/>
      <c r="E114" s="454"/>
      <c r="F114" s="454"/>
      <c r="G114" s="454"/>
      <c r="H114" s="455"/>
      <c r="I114" s="456"/>
      <c r="J114" s="456"/>
      <c r="K114" s="456"/>
      <c r="L114" s="452"/>
      <c r="M114" s="102"/>
      <c r="N114" s="454"/>
      <c r="O114" s="454"/>
      <c r="P114" s="454"/>
      <c r="Q114" s="454"/>
      <c r="R114" s="454"/>
      <c r="S114" s="455"/>
      <c r="T114" s="456"/>
      <c r="U114" s="456"/>
      <c r="V114" s="456"/>
      <c r="W114" s="452"/>
      <c r="Z114" s="62"/>
    </row>
    <row r="115" spans="1:26" s="105" customFormat="1" ht="57" hidden="1" customHeight="1" x14ac:dyDescent="0.4">
      <c r="A115" s="86"/>
      <c r="B115" s="86"/>
      <c r="C115" s="104"/>
      <c r="D115" s="453"/>
      <c r="E115" s="453"/>
      <c r="F115" s="453"/>
      <c r="G115" s="104"/>
      <c r="H115" s="455"/>
      <c r="I115" s="456"/>
      <c r="J115" s="456"/>
      <c r="K115" s="456"/>
      <c r="L115" s="452"/>
      <c r="M115" s="102"/>
      <c r="N115" s="104"/>
      <c r="O115" s="453"/>
      <c r="P115" s="453"/>
      <c r="Q115" s="453"/>
      <c r="R115" s="104"/>
      <c r="S115" s="455"/>
      <c r="T115" s="456"/>
      <c r="U115" s="456"/>
      <c r="V115" s="456"/>
      <c r="W115" s="452"/>
      <c r="Z115" s="62"/>
    </row>
    <row r="116" spans="1:26" s="103" customFormat="1" ht="17.25" hidden="1" customHeight="1" x14ac:dyDescent="0.4">
      <c r="A116" s="101"/>
      <c r="B116" s="101"/>
      <c r="C116" s="106"/>
      <c r="D116" s="442"/>
      <c r="E116" s="442"/>
      <c r="F116" s="107"/>
      <c r="G116" s="106"/>
      <c r="H116" s="108"/>
      <c r="I116" s="443"/>
      <c r="J116" s="443"/>
      <c r="K116" s="443"/>
      <c r="L116" s="109"/>
      <c r="M116" s="109"/>
      <c r="N116" s="442"/>
      <c r="O116" s="442"/>
      <c r="P116" s="442"/>
      <c r="Q116" s="442"/>
      <c r="R116" s="442"/>
      <c r="S116" s="442"/>
      <c r="T116" s="442"/>
      <c r="U116" s="442"/>
      <c r="V116" s="442"/>
      <c r="W116" s="442"/>
      <c r="Z116" s="62"/>
    </row>
    <row r="117" spans="1:26" s="103" customFormat="1" ht="17.25" hidden="1" customHeight="1" x14ac:dyDescent="0.4">
      <c r="A117" s="101"/>
      <c r="B117" s="101"/>
      <c r="C117" s="106"/>
      <c r="D117" s="442"/>
      <c r="E117" s="442"/>
      <c r="F117" s="107"/>
      <c r="G117" s="106"/>
      <c r="H117" s="108"/>
      <c r="I117" s="443"/>
      <c r="J117" s="443"/>
      <c r="K117" s="443"/>
      <c r="L117" s="110"/>
      <c r="M117" s="109"/>
      <c r="N117" s="106"/>
      <c r="O117" s="442"/>
      <c r="P117" s="442"/>
      <c r="Q117" s="107"/>
      <c r="R117" s="106"/>
      <c r="S117" s="108"/>
      <c r="T117" s="443"/>
      <c r="U117" s="443"/>
      <c r="V117" s="443"/>
      <c r="W117" s="110"/>
      <c r="Z117" s="62"/>
    </row>
    <row r="118" spans="1:26" s="103" customFormat="1" ht="17.25" hidden="1" customHeight="1" x14ac:dyDescent="0.4">
      <c r="A118" s="101"/>
      <c r="B118" s="101"/>
      <c r="C118" s="106"/>
      <c r="D118" s="442"/>
      <c r="E118" s="442"/>
      <c r="F118" s="107"/>
      <c r="G118" s="106"/>
      <c r="H118" s="108"/>
      <c r="I118" s="443"/>
      <c r="J118" s="443"/>
      <c r="K118" s="443"/>
      <c r="L118" s="109"/>
      <c r="M118" s="109"/>
      <c r="N118" s="106"/>
      <c r="O118" s="442"/>
      <c r="P118" s="442"/>
      <c r="Q118" s="107"/>
      <c r="R118" s="106"/>
      <c r="S118" s="108"/>
      <c r="T118" s="443"/>
      <c r="U118" s="443"/>
      <c r="V118" s="443"/>
      <c r="W118" s="110"/>
      <c r="Z118" s="62"/>
    </row>
    <row r="119" spans="1:26" s="103" customFormat="1" ht="17.25" hidden="1" customHeight="1" x14ac:dyDescent="0.4">
      <c r="A119" s="101"/>
      <c r="B119" s="101"/>
      <c r="C119" s="106"/>
      <c r="D119" s="442"/>
      <c r="E119" s="442"/>
      <c r="F119" s="107"/>
      <c r="G119" s="106"/>
      <c r="H119" s="108"/>
      <c r="I119" s="443"/>
      <c r="J119" s="443"/>
      <c r="K119" s="443"/>
      <c r="L119" s="110"/>
      <c r="M119" s="109"/>
      <c r="N119" s="106"/>
      <c r="O119" s="442"/>
      <c r="P119" s="442"/>
      <c r="Q119" s="107"/>
      <c r="R119" s="106"/>
      <c r="S119" s="108"/>
      <c r="T119" s="443"/>
      <c r="U119" s="443"/>
      <c r="V119" s="443"/>
      <c r="W119" s="110"/>
      <c r="Z119" s="62"/>
    </row>
    <row r="120" spans="1:26" s="103" customFormat="1" ht="17.25" hidden="1" customHeight="1" x14ac:dyDescent="0.4">
      <c r="A120" s="101"/>
      <c r="B120" s="101"/>
      <c r="C120" s="106"/>
      <c r="D120" s="442"/>
      <c r="E120" s="442"/>
      <c r="F120" s="107"/>
      <c r="G120" s="106"/>
      <c r="H120" s="108"/>
      <c r="I120" s="443"/>
      <c r="J120" s="443"/>
      <c r="K120" s="443"/>
      <c r="L120" s="109"/>
      <c r="M120" s="109"/>
      <c r="N120" s="442"/>
      <c r="O120" s="442"/>
      <c r="P120" s="442"/>
      <c r="Q120" s="442"/>
      <c r="R120" s="442"/>
      <c r="S120" s="442"/>
      <c r="T120" s="442"/>
      <c r="U120" s="442"/>
      <c r="V120" s="442"/>
      <c r="W120" s="442"/>
      <c r="Z120" s="62"/>
    </row>
    <row r="121" spans="1:26" s="103" customFormat="1" ht="17.25" hidden="1" customHeight="1" x14ac:dyDescent="0.4">
      <c r="A121" s="101"/>
      <c r="B121" s="101"/>
      <c r="C121" s="106"/>
      <c r="D121" s="442"/>
      <c r="E121" s="442"/>
      <c r="F121" s="107"/>
      <c r="G121" s="106"/>
      <c r="H121" s="108"/>
      <c r="I121" s="443"/>
      <c r="J121" s="443"/>
      <c r="K121" s="443"/>
      <c r="L121" s="110"/>
      <c r="M121" s="109"/>
      <c r="N121" s="106"/>
      <c r="O121" s="442"/>
      <c r="P121" s="442"/>
      <c r="Q121" s="107"/>
      <c r="R121" s="106"/>
      <c r="S121" s="108"/>
      <c r="T121" s="443"/>
      <c r="U121" s="443"/>
      <c r="V121" s="443"/>
      <c r="W121" s="110"/>
      <c r="Z121" s="62"/>
    </row>
    <row r="122" spans="1:26" s="103" customFormat="1" ht="17.25" hidden="1" customHeight="1" x14ac:dyDescent="0.4">
      <c r="A122" s="101"/>
      <c r="B122" s="101"/>
      <c r="C122" s="106"/>
      <c r="D122" s="442"/>
      <c r="E122" s="442"/>
      <c r="F122" s="107"/>
      <c r="G122" s="106"/>
      <c r="H122" s="108"/>
      <c r="I122" s="443"/>
      <c r="J122" s="443"/>
      <c r="K122" s="443"/>
      <c r="L122" s="109"/>
      <c r="M122" s="109"/>
      <c r="N122" s="106"/>
      <c r="O122" s="442"/>
      <c r="P122" s="442"/>
      <c r="Q122" s="107"/>
      <c r="R122" s="106"/>
      <c r="S122" s="108"/>
      <c r="T122" s="443"/>
      <c r="U122" s="443"/>
      <c r="V122" s="443"/>
      <c r="W122" s="110"/>
      <c r="Z122" s="62"/>
    </row>
    <row r="123" spans="1:26" s="103" customFormat="1" ht="0.75" hidden="1" customHeight="1" x14ac:dyDescent="0.4">
      <c r="A123" s="101"/>
      <c r="B123" s="101"/>
      <c r="C123" s="106"/>
      <c r="D123" s="442"/>
      <c r="E123" s="442"/>
      <c r="F123" s="107"/>
      <c r="G123" s="106"/>
      <c r="H123" s="108"/>
      <c r="I123" s="443"/>
      <c r="J123" s="443"/>
      <c r="K123" s="443"/>
      <c r="L123" s="110"/>
      <c r="M123" s="109"/>
      <c r="N123" s="106"/>
      <c r="O123" s="442"/>
      <c r="P123" s="442"/>
      <c r="Q123" s="107"/>
      <c r="R123" s="106"/>
      <c r="S123" s="108"/>
      <c r="T123" s="443"/>
      <c r="U123" s="443"/>
      <c r="V123" s="443"/>
      <c r="W123" s="110"/>
      <c r="Z123" s="62"/>
    </row>
    <row r="124" spans="1:26" s="103" customFormat="1" ht="17.25" hidden="1" customHeight="1" x14ac:dyDescent="0.4">
      <c r="A124" s="101"/>
      <c r="B124" s="101"/>
      <c r="C124" s="106"/>
      <c r="D124" s="442"/>
      <c r="E124" s="442"/>
      <c r="F124" s="107"/>
      <c r="G124" s="106"/>
      <c r="H124" s="108"/>
      <c r="I124" s="443"/>
      <c r="J124" s="443"/>
      <c r="K124" s="443"/>
      <c r="L124" s="109"/>
      <c r="M124" s="109"/>
      <c r="N124" s="106"/>
      <c r="O124" s="442"/>
      <c r="P124" s="442"/>
      <c r="Q124" s="107"/>
      <c r="R124" s="106"/>
      <c r="S124" s="108"/>
      <c r="T124" s="443"/>
      <c r="U124" s="443"/>
      <c r="V124" s="443"/>
      <c r="W124" s="110"/>
      <c r="Z124" s="62"/>
    </row>
    <row r="125" spans="1:26" s="103" customFormat="1" ht="17.25" hidden="1" customHeight="1" x14ac:dyDescent="0.4">
      <c r="A125" s="101"/>
      <c r="B125" s="101"/>
      <c r="C125" s="106"/>
      <c r="D125" s="442"/>
      <c r="E125" s="442"/>
      <c r="F125" s="111"/>
      <c r="G125" s="106"/>
      <c r="H125" s="108"/>
      <c r="I125" s="443"/>
      <c r="J125" s="443"/>
      <c r="K125" s="443"/>
      <c r="L125" s="110"/>
      <c r="M125" s="109"/>
      <c r="N125" s="106"/>
      <c r="O125" s="442"/>
      <c r="P125" s="442"/>
      <c r="Q125" s="107"/>
      <c r="R125" s="106"/>
      <c r="S125" s="108"/>
      <c r="T125" s="443"/>
      <c r="U125" s="443"/>
      <c r="V125" s="443"/>
      <c r="W125" s="110"/>
      <c r="Z125" s="62"/>
    </row>
    <row r="126" spans="1:26" s="103" customFormat="1" ht="17.25" hidden="1" customHeight="1" x14ac:dyDescent="0.4">
      <c r="A126" s="101"/>
      <c r="B126" s="101"/>
      <c r="C126" s="106"/>
      <c r="D126" s="442"/>
      <c r="E126" s="442"/>
      <c r="F126" s="111"/>
      <c r="G126" s="106"/>
      <c r="H126" s="108"/>
      <c r="I126" s="443"/>
      <c r="J126" s="443"/>
      <c r="K126" s="443"/>
      <c r="L126" s="109"/>
      <c r="M126" s="109"/>
      <c r="N126" s="106"/>
      <c r="O126" s="442"/>
      <c r="P126" s="442"/>
      <c r="Q126" s="107"/>
      <c r="R126" s="106"/>
      <c r="S126" s="108"/>
      <c r="T126" s="443"/>
      <c r="U126" s="443"/>
      <c r="V126" s="443"/>
      <c r="W126" s="110"/>
      <c r="Z126" s="62"/>
    </row>
    <row r="127" spans="1:26" s="103" customFormat="1" ht="17.25" hidden="1" customHeight="1" x14ac:dyDescent="0.4">
      <c r="A127" s="101"/>
      <c r="B127" s="101"/>
      <c r="C127" s="106"/>
      <c r="D127" s="442"/>
      <c r="E127" s="442"/>
      <c r="F127" s="111"/>
      <c r="G127" s="106"/>
      <c r="H127" s="108"/>
      <c r="I127" s="443"/>
      <c r="J127" s="443"/>
      <c r="K127" s="443"/>
      <c r="L127" s="110"/>
      <c r="M127" s="109"/>
      <c r="N127" s="106"/>
      <c r="O127" s="442"/>
      <c r="P127" s="442"/>
      <c r="Q127" s="107"/>
      <c r="R127" s="106"/>
      <c r="S127" s="108"/>
      <c r="T127" s="443"/>
      <c r="U127" s="443"/>
      <c r="V127" s="443"/>
      <c r="W127" s="110"/>
      <c r="Z127" s="62"/>
    </row>
    <row r="128" spans="1:26" s="103" customFormat="1" ht="17.25" hidden="1" customHeight="1" x14ac:dyDescent="0.4">
      <c r="A128" s="101"/>
      <c r="B128" s="101"/>
      <c r="C128" s="106"/>
      <c r="D128" s="442"/>
      <c r="E128" s="442"/>
      <c r="F128" s="111"/>
      <c r="G128" s="106"/>
      <c r="H128" s="108"/>
      <c r="I128" s="443"/>
      <c r="J128" s="443"/>
      <c r="K128" s="443"/>
      <c r="L128" s="109"/>
      <c r="M128" s="109"/>
      <c r="N128" s="106"/>
      <c r="O128" s="442"/>
      <c r="P128" s="442"/>
      <c r="Q128" s="107"/>
      <c r="R128" s="106"/>
      <c r="S128" s="108"/>
      <c r="T128" s="443"/>
      <c r="U128" s="443"/>
      <c r="V128" s="443"/>
      <c r="W128" s="110"/>
      <c r="Z128" s="62"/>
    </row>
    <row r="129" spans="1:26" s="103" customFormat="1" ht="17.25" hidden="1" customHeight="1" x14ac:dyDescent="0.4">
      <c r="A129" s="101"/>
      <c r="B129" s="101"/>
      <c r="C129" s="106"/>
      <c r="D129" s="442"/>
      <c r="E129" s="442"/>
      <c r="F129" s="111"/>
      <c r="G129" s="106"/>
      <c r="H129" s="108"/>
      <c r="I129" s="443"/>
      <c r="J129" s="443"/>
      <c r="K129" s="443"/>
      <c r="L129" s="110"/>
      <c r="M129" s="109"/>
      <c r="N129" s="106"/>
      <c r="O129" s="442"/>
      <c r="P129" s="442"/>
      <c r="Q129" s="107"/>
      <c r="R129" s="106"/>
      <c r="S129" s="108"/>
      <c r="T129" s="443"/>
      <c r="U129" s="443"/>
      <c r="V129" s="443"/>
      <c r="W129" s="110"/>
      <c r="Z129" s="62"/>
    </row>
    <row r="130" spans="1:26" s="103" customFormat="1" ht="17.25" hidden="1" customHeight="1" x14ac:dyDescent="0.4">
      <c r="A130" s="101"/>
      <c r="B130" s="101"/>
      <c r="C130" s="106"/>
      <c r="D130" s="442"/>
      <c r="E130" s="442"/>
      <c r="F130" s="111"/>
      <c r="G130" s="106"/>
      <c r="H130" s="108"/>
      <c r="I130" s="443"/>
      <c r="J130" s="443"/>
      <c r="K130" s="443"/>
      <c r="L130" s="109"/>
      <c r="M130" s="109"/>
      <c r="N130" s="106"/>
      <c r="O130" s="442"/>
      <c r="P130" s="442"/>
      <c r="Q130" s="107"/>
      <c r="R130" s="106"/>
      <c r="S130" s="108"/>
      <c r="T130" s="443"/>
      <c r="U130" s="443"/>
      <c r="V130" s="443"/>
      <c r="W130" s="110"/>
      <c r="Z130" s="62"/>
    </row>
    <row r="131" spans="1:26" s="103" customFormat="1" ht="17.25" hidden="1" customHeight="1" x14ac:dyDescent="0.4">
      <c r="A131" s="101"/>
      <c r="B131" s="101"/>
      <c r="C131" s="106"/>
      <c r="D131" s="442"/>
      <c r="E131" s="442"/>
      <c r="F131" s="111"/>
      <c r="G131" s="106"/>
      <c r="H131" s="108"/>
      <c r="I131" s="443"/>
      <c r="J131" s="443"/>
      <c r="K131" s="443"/>
      <c r="L131" s="110"/>
      <c r="M131" s="109"/>
      <c r="N131" s="106"/>
      <c r="O131" s="442"/>
      <c r="P131" s="442"/>
      <c r="Q131" s="107"/>
      <c r="R131" s="106"/>
      <c r="S131" s="108"/>
      <c r="T131" s="443"/>
      <c r="U131" s="443"/>
      <c r="V131" s="443"/>
      <c r="W131" s="110"/>
      <c r="Z131" s="62"/>
    </row>
    <row r="132" spans="1:26" s="103" customFormat="1" ht="17.25" hidden="1" customHeight="1" x14ac:dyDescent="0.4">
      <c r="A132" s="101"/>
      <c r="B132" s="101"/>
      <c r="C132" s="106"/>
      <c r="D132" s="442"/>
      <c r="E132" s="442"/>
      <c r="F132" s="111"/>
      <c r="G132" s="106"/>
      <c r="H132" s="108"/>
      <c r="I132" s="443"/>
      <c r="J132" s="443"/>
      <c r="K132" s="443"/>
      <c r="L132" s="109"/>
      <c r="M132" s="109"/>
      <c r="N132" s="106"/>
      <c r="O132" s="442"/>
      <c r="P132" s="442"/>
      <c r="Q132" s="107"/>
      <c r="R132" s="106"/>
      <c r="S132" s="108"/>
      <c r="T132" s="443"/>
      <c r="U132" s="443"/>
      <c r="V132" s="443"/>
      <c r="W132" s="110"/>
      <c r="Z132" s="62"/>
    </row>
    <row r="133" spans="1:26" s="103" customFormat="1" ht="17.25" hidden="1" customHeight="1" x14ac:dyDescent="0.4">
      <c r="A133" s="101"/>
      <c r="B133" s="101"/>
      <c r="C133" s="443"/>
      <c r="D133" s="443"/>
      <c r="E133" s="443"/>
      <c r="F133" s="443"/>
      <c r="G133" s="443"/>
      <c r="H133" s="443"/>
      <c r="I133" s="443"/>
      <c r="J133" s="443"/>
      <c r="K133" s="443"/>
      <c r="L133" s="443"/>
      <c r="M133" s="443"/>
      <c r="N133" s="443"/>
      <c r="O133" s="112"/>
      <c r="P133" s="73"/>
      <c r="Q133" s="443"/>
      <c r="R133" s="443"/>
      <c r="S133" s="443"/>
      <c r="T133" s="443"/>
      <c r="U133" s="443"/>
      <c r="V133" s="443"/>
      <c r="W133" s="443"/>
      <c r="Z133" s="62"/>
    </row>
    <row r="134" spans="1:26" s="103" customFormat="1" ht="17.25" hidden="1" customHeight="1" x14ac:dyDescent="0.4">
      <c r="A134" s="101"/>
      <c r="B134" s="101"/>
      <c r="C134" s="444"/>
      <c r="D134" s="444"/>
      <c r="E134" s="444"/>
      <c r="F134" s="444"/>
      <c r="G134" s="113"/>
      <c r="H134" s="113"/>
      <c r="I134" s="109"/>
      <c r="J134" s="113"/>
      <c r="K134" s="113"/>
      <c r="L134" s="113"/>
      <c r="M134" s="113"/>
      <c r="N134" s="113"/>
      <c r="O134" s="112"/>
      <c r="P134" s="113"/>
      <c r="Q134" s="443"/>
      <c r="R134" s="443"/>
      <c r="S134" s="443"/>
      <c r="T134" s="443"/>
      <c r="U134" s="443"/>
      <c r="V134" s="443"/>
      <c r="W134" s="443"/>
      <c r="Z134" s="62"/>
    </row>
    <row r="135" spans="1:26" s="103" customFormat="1" ht="15.75" hidden="1" customHeight="1" x14ac:dyDescent="0.4">
      <c r="A135" s="101"/>
      <c r="B135" s="101"/>
      <c r="C135" s="443"/>
      <c r="D135" s="443"/>
      <c r="E135" s="443"/>
      <c r="F135" s="443"/>
      <c r="G135" s="443"/>
      <c r="H135" s="443"/>
      <c r="I135" s="443"/>
      <c r="J135" s="446"/>
      <c r="K135" s="446"/>
      <c r="L135" s="442"/>
      <c r="M135" s="442"/>
      <c r="N135" s="442"/>
      <c r="O135" s="442"/>
      <c r="P135" s="442"/>
      <c r="Q135" s="114"/>
      <c r="R135" s="442"/>
      <c r="S135" s="442"/>
      <c r="T135" s="442"/>
      <c r="U135" s="442"/>
      <c r="V135" s="445"/>
      <c r="W135" s="445"/>
      <c r="Z135" s="62"/>
    </row>
    <row r="136" spans="1:26" s="103" customFormat="1" ht="15.75" hidden="1" customHeight="1" x14ac:dyDescent="0.4">
      <c r="A136" s="101"/>
      <c r="B136" s="101"/>
      <c r="C136" s="443"/>
      <c r="D136" s="443"/>
      <c r="E136" s="443"/>
      <c r="F136" s="443"/>
      <c r="G136" s="443"/>
      <c r="H136" s="443"/>
      <c r="I136" s="443"/>
      <c r="J136" s="446"/>
      <c r="K136" s="446"/>
      <c r="L136" s="442"/>
      <c r="M136" s="442"/>
      <c r="N136" s="442"/>
      <c r="O136" s="442"/>
      <c r="P136" s="442"/>
      <c r="Q136" s="114"/>
      <c r="R136" s="442"/>
      <c r="S136" s="442"/>
      <c r="T136" s="442"/>
      <c r="U136" s="442"/>
      <c r="V136" s="445"/>
      <c r="W136" s="445"/>
      <c r="Z136" s="62"/>
    </row>
    <row r="137" spans="1:26" s="103" customFormat="1" ht="15.75" hidden="1" customHeight="1" x14ac:dyDescent="0.4">
      <c r="A137" s="101"/>
      <c r="B137" s="101"/>
      <c r="C137" s="443"/>
      <c r="D137" s="443"/>
      <c r="E137" s="443"/>
      <c r="F137" s="443"/>
      <c r="G137" s="443"/>
      <c r="H137" s="443"/>
      <c r="I137" s="443"/>
      <c r="J137" s="446"/>
      <c r="K137" s="446"/>
      <c r="L137" s="442"/>
      <c r="M137" s="442"/>
      <c r="N137" s="442"/>
      <c r="O137" s="442"/>
      <c r="P137" s="442"/>
      <c r="Q137" s="114"/>
      <c r="R137" s="442"/>
      <c r="S137" s="442"/>
      <c r="T137" s="442"/>
      <c r="U137" s="442"/>
      <c r="V137" s="445"/>
      <c r="W137" s="445"/>
      <c r="Z137" s="62"/>
    </row>
    <row r="138" spans="1:26" s="61" customFormat="1" ht="30" hidden="1" customHeight="1" x14ac:dyDescent="0.45">
      <c r="A138" s="58"/>
      <c r="B138" s="58"/>
      <c r="C138" s="115"/>
      <c r="D138" s="115"/>
      <c r="E138" s="115"/>
      <c r="F138" s="115"/>
      <c r="G138" s="115"/>
      <c r="H138" s="115"/>
      <c r="I138" s="115"/>
      <c r="J138" s="115"/>
      <c r="K138" s="115"/>
      <c r="L138" s="109"/>
      <c r="M138" s="109"/>
      <c r="N138" s="443"/>
      <c r="O138" s="443"/>
      <c r="P138" s="443"/>
      <c r="Q138" s="443"/>
      <c r="R138" s="443"/>
      <c r="S138" s="443"/>
      <c r="T138" s="443"/>
      <c r="U138" s="443"/>
      <c r="V138" s="443"/>
      <c r="W138" s="443"/>
      <c r="Z138" s="62"/>
    </row>
    <row r="139" spans="1:26" s="61" customFormat="1" ht="14.25" hidden="1" customHeight="1" x14ac:dyDescent="0.45">
      <c r="A139" s="58"/>
      <c r="B139" s="58"/>
      <c r="C139" s="115"/>
      <c r="D139" s="115"/>
      <c r="E139" s="115"/>
      <c r="F139" s="115"/>
      <c r="G139" s="115"/>
      <c r="H139" s="115"/>
      <c r="I139" s="115"/>
      <c r="J139" s="115"/>
      <c r="K139" s="115"/>
      <c r="L139" s="447"/>
      <c r="M139" s="447"/>
      <c r="N139" s="447"/>
      <c r="O139" s="447"/>
      <c r="P139" s="447"/>
      <c r="Q139" s="447"/>
      <c r="R139" s="116"/>
      <c r="S139" s="115"/>
      <c r="T139" s="115"/>
      <c r="U139" s="115"/>
      <c r="V139" s="113"/>
      <c r="W139" s="113"/>
      <c r="Z139" s="62"/>
    </row>
    <row r="140" spans="1:26" s="61" customFormat="1" ht="14.25" hidden="1" customHeight="1" x14ac:dyDescent="0.45">
      <c r="A140" s="58"/>
      <c r="B140" s="58"/>
      <c r="C140" s="115"/>
      <c r="D140" s="115"/>
      <c r="E140" s="115"/>
      <c r="F140" s="115"/>
      <c r="G140" s="115"/>
      <c r="H140" s="115"/>
      <c r="I140" s="115"/>
      <c r="J140" s="115"/>
      <c r="K140" s="115"/>
      <c r="L140" s="115"/>
      <c r="M140" s="115"/>
      <c r="N140" s="444"/>
      <c r="O140" s="444"/>
      <c r="P140" s="444"/>
      <c r="Q140" s="444"/>
      <c r="R140" s="116"/>
      <c r="S140" s="115"/>
      <c r="T140" s="115"/>
      <c r="U140" s="115"/>
      <c r="V140" s="113"/>
      <c r="W140" s="113"/>
      <c r="Z140" s="62"/>
    </row>
    <row r="141" spans="1:26" s="61" customFormat="1" ht="14.25" hidden="1" customHeight="1" x14ac:dyDescent="0.45">
      <c r="A141" s="58"/>
      <c r="B141" s="58"/>
      <c r="C141" s="448"/>
      <c r="D141" s="448"/>
      <c r="E141" s="448"/>
      <c r="F141" s="448"/>
      <c r="G141" s="448"/>
      <c r="H141" s="448"/>
      <c r="I141" s="448"/>
      <c r="J141" s="448"/>
      <c r="K141" s="448"/>
      <c r="L141" s="448"/>
      <c r="M141" s="448"/>
      <c r="N141" s="448"/>
      <c r="O141" s="448"/>
      <c r="P141" s="448"/>
      <c r="Q141" s="448"/>
      <c r="R141" s="72"/>
      <c r="S141" s="73"/>
      <c r="T141" s="73"/>
      <c r="U141" s="74"/>
      <c r="V141" s="75"/>
      <c r="W141" s="113"/>
      <c r="Z141" s="62"/>
    </row>
    <row r="142" spans="1:26" s="61" customFormat="1" ht="14.25" hidden="1" customHeight="1" x14ac:dyDescent="0.45">
      <c r="A142" s="58"/>
      <c r="B142" s="58"/>
      <c r="C142" s="448"/>
      <c r="D142" s="448"/>
      <c r="E142" s="448"/>
      <c r="F142" s="448"/>
      <c r="G142" s="448"/>
      <c r="H142" s="448"/>
      <c r="I142" s="448"/>
      <c r="J142" s="448"/>
      <c r="K142" s="448"/>
      <c r="L142" s="448"/>
      <c r="M142" s="448"/>
      <c r="N142" s="448"/>
      <c r="O142" s="448"/>
      <c r="P142" s="448"/>
      <c r="Q142" s="448"/>
      <c r="R142" s="72"/>
      <c r="S142" s="73"/>
      <c r="T142" s="73"/>
      <c r="U142" s="74"/>
      <c r="V142" s="75"/>
      <c r="W142" s="75"/>
      <c r="Z142" s="62"/>
    </row>
    <row r="143" spans="1:26" s="61" customFormat="1" ht="5.25" hidden="1" customHeight="1" x14ac:dyDescent="0.45">
      <c r="A143" s="58"/>
      <c r="B143" s="58"/>
      <c r="C143" s="59"/>
      <c r="D143" s="59"/>
      <c r="E143" s="59"/>
      <c r="F143" s="59"/>
      <c r="G143" s="59"/>
      <c r="H143" s="59"/>
      <c r="I143" s="59"/>
      <c r="J143" s="59"/>
      <c r="K143" s="59"/>
      <c r="L143" s="70"/>
      <c r="M143" s="70"/>
      <c r="N143" s="68"/>
      <c r="O143" s="76"/>
      <c r="P143" s="76"/>
      <c r="Q143" s="76"/>
      <c r="R143" s="76"/>
      <c r="S143" s="76"/>
      <c r="T143" s="77"/>
      <c r="U143" s="77"/>
      <c r="V143" s="78"/>
      <c r="W143" s="78"/>
      <c r="Z143" s="62"/>
    </row>
    <row r="144" spans="1:26" s="61" customFormat="1" ht="14.25" hidden="1" customHeight="1" x14ac:dyDescent="0.45">
      <c r="A144" s="58"/>
      <c r="B144" s="58"/>
      <c r="C144" s="77"/>
      <c r="D144" s="450"/>
      <c r="E144" s="450"/>
      <c r="F144" s="450"/>
      <c r="G144" s="79"/>
      <c r="H144" s="449"/>
      <c r="I144" s="449"/>
      <c r="J144" s="449"/>
      <c r="K144" s="449"/>
      <c r="L144" s="70"/>
      <c r="M144" s="70"/>
      <c r="N144" s="59"/>
      <c r="O144" s="59"/>
      <c r="P144" s="59"/>
      <c r="Q144" s="59"/>
      <c r="R144" s="59"/>
      <c r="S144" s="69"/>
      <c r="T144" s="69"/>
      <c r="U144" s="69"/>
      <c r="V144" s="69"/>
      <c r="W144" s="69"/>
      <c r="Z144" s="62"/>
    </row>
    <row r="145" spans="1:26" s="61" customFormat="1" ht="9.75" hidden="1" customHeight="1" x14ac:dyDescent="0.45">
      <c r="A145" s="58"/>
      <c r="B145" s="58"/>
      <c r="C145" s="77"/>
      <c r="D145" s="451"/>
      <c r="E145" s="451"/>
      <c r="F145" s="451"/>
      <c r="G145" s="69"/>
      <c r="H145" s="69"/>
      <c r="I145" s="59"/>
      <c r="J145" s="59"/>
      <c r="K145" s="59"/>
      <c r="L145" s="70"/>
      <c r="M145" s="70"/>
      <c r="N145" s="59"/>
      <c r="O145" s="59"/>
      <c r="P145" s="59"/>
      <c r="Q145" s="59"/>
      <c r="R145" s="59"/>
      <c r="S145" s="69"/>
      <c r="T145" s="69"/>
      <c r="U145" s="69"/>
      <c r="V145" s="69"/>
      <c r="W145" s="69"/>
      <c r="Z145" s="62"/>
    </row>
    <row r="146" spans="1:26" s="61" customFormat="1" ht="14.25" hidden="1" customHeight="1" x14ac:dyDescent="0.45">
      <c r="A146" s="58"/>
      <c r="B146" s="58"/>
      <c r="C146" s="77"/>
      <c r="D146" s="80"/>
      <c r="E146" s="80"/>
      <c r="F146" s="80"/>
      <c r="G146" s="69"/>
      <c r="H146" s="69"/>
      <c r="I146" s="59"/>
      <c r="J146" s="59"/>
      <c r="K146" s="59"/>
      <c r="L146" s="70"/>
      <c r="M146" s="70"/>
      <c r="N146" s="59"/>
      <c r="O146" s="59"/>
      <c r="P146" s="59"/>
      <c r="Q146" s="59"/>
      <c r="R146" s="59"/>
      <c r="S146" s="69"/>
      <c r="T146" s="69"/>
      <c r="U146" s="69"/>
      <c r="V146" s="69"/>
      <c r="W146" s="69"/>
      <c r="Z146" s="62"/>
    </row>
    <row r="147" spans="1:26" s="61" customFormat="1" ht="14.25" hidden="1" customHeight="1" x14ac:dyDescent="0.45">
      <c r="A147" s="58"/>
      <c r="B147" s="58"/>
      <c r="C147" s="59"/>
      <c r="D147" s="59"/>
      <c r="E147" s="59"/>
      <c r="F147" s="68"/>
      <c r="G147" s="59"/>
      <c r="H147" s="59"/>
      <c r="I147" s="59"/>
      <c r="J147" s="59"/>
      <c r="K147" s="59"/>
      <c r="L147" s="70"/>
      <c r="M147" s="70"/>
      <c r="N147" s="70"/>
      <c r="O147" s="59"/>
      <c r="P147" s="69"/>
      <c r="Q147" s="69"/>
      <c r="R147" s="69"/>
      <c r="S147" s="69"/>
      <c r="T147" s="68"/>
      <c r="U147" s="68"/>
      <c r="V147" s="69"/>
      <c r="W147" s="69"/>
      <c r="Z147" s="62"/>
    </row>
    <row r="148" spans="1:26" s="61" customFormat="1" ht="14.25" hidden="1" customHeight="1" x14ac:dyDescent="0.45">
      <c r="A148" s="58"/>
      <c r="B148" s="58"/>
      <c r="C148" s="59"/>
      <c r="D148" s="59"/>
      <c r="E148" s="59"/>
      <c r="F148" s="68"/>
      <c r="G148" s="59"/>
      <c r="H148" s="59"/>
      <c r="I148" s="59"/>
      <c r="J148" s="59"/>
      <c r="K148" s="59"/>
      <c r="L148" s="70"/>
      <c r="M148" s="70"/>
      <c r="N148" s="70"/>
      <c r="O148" s="59"/>
      <c r="P148" s="69"/>
      <c r="Q148" s="69"/>
      <c r="R148" s="69"/>
      <c r="S148" s="69"/>
      <c r="T148" s="68"/>
      <c r="U148" s="68"/>
      <c r="V148" s="69"/>
      <c r="W148" s="69"/>
      <c r="Z148" s="62"/>
    </row>
    <row r="149" spans="1:26" s="61" customFormat="1" ht="27.75" hidden="1" customHeight="1" x14ac:dyDescent="0.45">
      <c r="A149" s="58"/>
      <c r="B149" s="58"/>
      <c r="C149" s="59"/>
      <c r="D149" s="59"/>
      <c r="E149" s="59"/>
      <c r="F149" s="59"/>
      <c r="G149" s="59"/>
      <c r="H149" s="59"/>
      <c r="I149" s="59"/>
      <c r="J149" s="59"/>
      <c r="K149" s="59"/>
      <c r="L149" s="70"/>
      <c r="M149" s="70"/>
      <c r="N149" s="70"/>
      <c r="O149" s="59"/>
      <c r="P149" s="59"/>
      <c r="Q149" s="59"/>
      <c r="R149" s="69"/>
      <c r="S149" s="69"/>
      <c r="T149" s="69"/>
      <c r="U149" s="69"/>
      <c r="V149" s="69"/>
      <c r="W149" s="69"/>
      <c r="Z149" s="62"/>
    </row>
    <row r="150" spans="1:26" s="61" customFormat="1" ht="25.5" hidden="1" customHeight="1" x14ac:dyDescent="0.45">
      <c r="A150" s="58"/>
      <c r="B150" s="58"/>
      <c r="C150" s="59"/>
      <c r="D150" s="59"/>
      <c r="E150" s="59"/>
      <c r="F150" s="67"/>
      <c r="G150" s="59"/>
      <c r="H150" s="59"/>
      <c r="I150" s="59"/>
      <c r="J150" s="59"/>
      <c r="K150" s="59"/>
      <c r="L150" s="70"/>
      <c r="M150" s="70"/>
      <c r="N150" s="70"/>
      <c r="O150" s="69"/>
      <c r="P150" s="69"/>
      <c r="Q150" s="69"/>
      <c r="R150" s="69"/>
      <c r="S150" s="69"/>
      <c r="T150" s="71"/>
      <c r="U150" s="69"/>
      <c r="V150" s="69"/>
      <c r="W150" s="69"/>
      <c r="Z150" s="62"/>
    </row>
    <row r="151" spans="1:26" s="61" customFormat="1" ht="21" hidden="1" customHeight="1" x14ac:dyDescent="0.45">
      <c r="A151" s="58"/>
      <c r="B151" s="58"/>
      <c r="C151" s="59"/>
      <c r="D151" s="81"/>
      <c r="E151" s="441"/>
      <c r="F151" s="441"/>
      <c r="G151" s="441"/>
      <c r="H151" s="441"/>
      <c r="I151" s="441"/>
      <c r="J151" s="441"/>
      <c r="K151" s="441"/>
      <c r="L151" s="441"/>
      <c r="M151" s="441"/>
      <c r="N151" s="441"/>
      <c r="O151" s="441"/>
      <c r="P151" s="441"/>
      <c r="Q151" s="441"/>
      <c r="R151" s="441"/>
      <c r="S151" s="441"/>
      <c r="T151" s="441"/>
      <c r="U151" s="441"/>
      <c r="V151" s="441"/>
      <c r="W151" s="81"/>
      <c r="Z151" s="62"/>
    </row>
    <row r="152" spans="1:26" s="61" customFormat="1" hidden="1" x14ac:dyDescent="0.45">
      <c r="A152" s="58"/>
      <c r="B152" s="58"/>
      <c r="C152" s="59"/>
      <c r="D152" s="59"/>
      <c r="E152" s="59"/>
      <c r="F152" s="60"/>
      <c r="G152" s="58"/>
      <c r="H152" s="59"/>
      <c r="I152" s="59"/>
      <c r="J152" s="59"/>
      <c r="K152" s="59"/>
      <c r="L152" s="70"/>
      <c r="M152" s="70"/>
      <c r="N152" s="70"/>
      <c r="O152" s="58"/>
      <c r="P152" s="441"/>
      <c r="Q152" s="441"/>
      <c r="R152" s="441"/>
      <c r="S152" s="441"/>
      <c r="T152" s="441"/>
      <c r="U152" s="68"/>
      <c r="V152" s="69"/>
      <c r="W152" s="69"/>
      <c r="Z152" s="62"/>
    </row>
    <row r="153" spans="1:26" s="61" customFormat="1" hidden="1" x14ac:dyDescent="0.45">
      <c r="A153" s="58"/>
      <c r="B153" s="58"/>
      <c r="C153" s="59"/>
      <c r="D153" s="59"/>
      <c r="E153" s="59"/>
      <c r="F153" s="58"/>
      <c r="G153" s="58"/>
      <c r="H153" s="58"/>
      <c r="I153" s="59"/>
      <c r="J153" s="58"/>
      <c r="K153" s="58"/>
      <c r="L153" s="58"/>
      <c r="M153" s="58"/>
      <c r="N153" s="58"/>
      <c r="O153" s="58"/>
      <c r="P153" s="58"/>
      <c r="Q153" s="58"/>
      <c r="R153" s="58"/>
      <c r="S153" s="58"/>
      <c r="T153" s="58"/>
      <c r="U153" s="58"/>
      <c r="V153" s="58"/>
      <c r="W153" s="69"/>
      <c r="Z153" s="62"/>
    </row>
    <row r="154" spans="1:26" s="61" customFormat="1" ht="12.75" hidden="1" customHeight="1" x14ac:dyDescent="0.45">
      <c r="A154" s="58"/>
      <c r="B154" s="58"/>
      <c r="C154" s="59"/>
      <c r="D154" s="59"/>
      <c r="E154" s="59"/>
      <c r="F154" s="59"/>
      <c r="G154" s="60"/>
      <c r="H154" s="59"/>
      <c r="I154" s="59"/>
      <c r="J154" s="59"/>
      <c r="K154" s="59"/>
      <c r="L154" s="67"/>
      <c r="M154" s="67"/>
      <c r="N154" s="67"/>
      <c r="O154" s="59"/>
      <c r="P154" s="60"/>
      <c r="Q154" s="60"/>
      <c r="R154" s="60"/>
      <c r="S154" s="59"/>
      <c r="T154" s="59"/>
      <c r="U154" s="68"/>
      <c r="V154" s="69"/>
      <c r="W154" s="69"/>
      <c r="Z154" s="62"/>
    </row>
    <row r="155" spans="1:26" s="61" customFormat="1" hidden="1" x14ac:dyDescent="0.45">
      <c r="A155" s="58"/>
      <c r="B155" s="58"/>
      <c r="C155" s="59"/>
      <c r="D155" s="59"/>
      <c r="E155" s="59"/>
      <c r="F155" s="59"/>
      <c r="G155" s="60"/>
      <c r="H155" s="59"/>
      <c r="I155" s="59"/>
      <c r="J155" s="59"/>
      <c r="K155" s="58"/>
      <c r="L155" s="58"/>
      <c r="M155" s="58"/>
      <c r="N155" s="58"/>
      <c r="O155" s="58"/>
      <c r="P155" s="58"/>
      <c r="Q155" s="58"/>
      <c r="R155" s="58"/>
      <c r="S155" s="58"/>
      <c r="T155" s="58"/>
      <c r="U155" s="68"/>
      <c r="V155" s="69"/>
      <c r="W155" s="69"/>
      <c r="Z155" s="62"/>
    </row>
    <row r="156" spans="1:26" s="61" customFormat="1" hidden="1" x14ac:dyDescent="0.45">
      <c r="A156" s="58"/>
      <c r="B156" s="58"/>
      <c r="C156" s="59"/>
      <c r="D156" s="59"/>
      <c r="E156" s="59"/>
      <c r="F156" s="60"/>
      <c r="G156" s="58"/>
      <c r="H156" s="59"/>
      <c r="I156" s="59"/>
      <c r="J156" s="59"/>
      <c r="K156" s="59"/>
      <c r="L156" s="58"/>
      <c r="M156" s="58"/>
      <c r="N156" s="58"/>
      <c r="O156" s="58"/>
      <c r="P156" s="441"/>
      <c r="Q156" s="441"/>
      <c r="R156" s="441"/>
      <c r="S156" s="441"/>
      <c r="T156" s="441"/>
      <c r="U156" s="58"/>
      <c r="V156" s="58"/>
      <c r="W156" s="59"/>
      <c r="Z156" s="62"/>
    </row>
    <row r="157" spans="1:26" s="66" customFormat="1" hidden="1" x14ac:dyDescent="0.45">
      <c r="A157" s="63"/>
      <c r="B157" s="63"/>
      <c r="C157" s="63"/>
      <c r="D157" s="63"/>
      <c r="E157" s="63"/>
      <c r="F157" s="63"/>
      <c r="G157" s="63"/>
      <c r="H157" s="63"/>
      <c r="I157" s="63"/>
      <c r="J157" s="63"/>
      <c r="K157" s="63"/>
      <c r="L157" s="64"/>
      <c r="M157" s="64"/>
      <c r="N157" s="65"/>
      <c r="O157" s="63"/>
      <c r="P157" s="63"/>
      <c r="Q157" s="63"/>
      <c r="R157" s="63"/>
      <c r="S157" s="63"/>
      <c r="T157" s="63"/>
      <c r="U157" s="63"/>
      <c r="V157" s="63"/>
      <c r="W157" s="63"/>
    </row>
    <row r="158" spans="1:26" s="82" customFormat="1" ht="35.25" hidden="1" x14ac:dyDescent="0.25">
      <c r="C158" s="64"/>
      <c r="D158" s="83"/>
      <c r="E158" s="84"/>
      <c r="L158" s="64"/>
      <c r="Y158" s="85"/>
    </row>
    <row r="159" spans="1:26" s="61" customFormat="1" hidden="1" x14ac:dyDescent="0.4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58"/>
      <c r="L159" s="86"/>
      <c r="M159" s="86"/>
      <c r="N159" s="87"/>
      <c r="O159" s="58"/>
      <c r="P159" s="58"/>
      <c r="Q159" s="58"/>
      <c r="R159" s="58"/>
      <c r="S159" s="58"/>
      <c r="T159" s="58"/>
      <c r="U159" s="58"/>
      <c r="V159" s="58"/>
      <c r="W159" s="58"/>
      <c r="X159" s="88"/>
    </row>
    <row r="160" spans="1:26" s="61" customFormat="1" ht="37.5" hidden="1" customHeight="1" x14ac:dyDescent="0.4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58"/>
      <c r="L160" s="86"/>
      <c r="M160" s="86"/>
      <c r="N160" s="460"/>
      <c r="O160" s="460"/>
      <c r="P160" s="460"/>
      <c r="Q160" s="460"/>
      <c r="R160" s="460"/>
      <c r="S160" s="460"/>
      <c r="T160" s="460"/>
      <c r="U160" s="460"/>
      <c r="V160" s="460"/>
      <c r="W160" s="460"/>
      <c r="Z160" s="62"/>
    </row>
    <row r="161" spans="1:26" s="61" customFormat="1" ht="17.25" hidden="1" customHeight="1" x14ac:dyDescent="0.4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58"/>
      <c r="L161" s="86"/>
      <c r="M161" s="86"/>
      <c r="N161" s="89"/>
      <c r="O161" s="90"/>
      <c r="P161" s="90"/>
      <c r="Q161" s="90"/>
      <c r="R161" s="90"/>
      <c r="S161" s="91"/>
      <c r="T161" s="58"/>
      <c r="U161" s="58"/>
      <c r="V161" s="457"/>
      <c r="W161" s="457"/>
      <c r="Z161" s="62"/>
    </row>
    <row r="162" spans="1:26" s="61" customFormat="1" ht="95.25" hidden="1" customHeight="1" x14ac:dyDescent="0.45">
      <c r="A162" s="58"/>
      <c r="B162" s="58"/>
      <c r="C162" s="58"/>
      <c r="D162" s="58"/>
      <c r="E162" s="58"/>
      <c r="F162" s="81"/>
      <c r="G162" s="81"/>
      <c r="H162" s="81"/>
      <c r="I162" s="81"/>
      <c r="J162" s="58"/>
      <c r="K162" s="81"/>
      <c r="L162" s="86"/>
      <c r="M162" s="86"/>
      <c r="N162" s="89"/>
      <c r="O162" s="58"/>
      <c r="P162" s="58"/>
      <c r="Q162" s="58"/>
      <c r="R162" s="58"/>
      <c r="S162" s="58"/>
      <c r="T162" s="92"/>
      <c r="U162" s="92"/>
      <c r="V162" s="93"/>
      <c r="W162" s="93"/>
      <c r="Z162" s="62"/>
    </row>
    <row r="163" spans="1:26" s="61" customFormat="1" ht="30" hidden="1" x14ac:dyDescent="0.4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58"/>
      <c r="L163" s="58"/>
      <c r="M163" s="58"/>
      <c r="N163" s="58"/>
      <c r="O163" s="58"/>
      <c r="P163" s="58"/>
      <c r="Q163" s="90"/>
      <c r="R163" s="58"/>
      <c r="S163" s="91"/>
      <c r="T163" s="92"/>
      <c r="U163" s="92"/>
      <c r="V163" s="93"/>
      <c r="W163" s="93"/>
      <c r="Z163" s="62"/>
    </row>
    <row r="164" spans="1:26" s="96" customFormat="1" ht="25.5" hidden="1" customHeight="1" x14ac:dyDescent="0.45">
      <c r="A164" s="94"/>
      <c r="B164" s="94"/>
      <c r="C164" s="95"/>
      <c r="D164" s="95"/>
      <c r="E164" s="95"/>
      <c r="F164" s="95"/>
      <c r="G164" s="95"/>
      <c r="H164" s="95"/>
      <c r="I164" s="95"/>
      <c r="J164" s="458"/>
      <c r="K164" s="458"/>
      <c r="L164" s="458"/>
      <c r="M164" s="458"/>
      <c r="N164" s="94"/>
      <c r="O164" s="95"/>
      <c r="P164" s="95"/>
      <c r="Q164" s="95"/>
      <c r="R164" s="95"/>
      <c r="S164" s="95"/>
      <c r="T164" s="95"/>
      <c r="U164" s="95"/>
      <c r="V164" s="459"/>
      <c r="W164" s="459"/>
      <c r="Z164" s="62"/>
    </row>
    <row r="165" spans="1:26" s="96" customFormat="1" ht="24" hidden="1" customHeight="1" x14ac:dyDescent="0.45">
      <c r="A165" s="94"/>
      <c r="B165" s="94"/>
      <c r="C165" s="95"/>
      <c r="D165" s="95"/>
      <c r="E165" s="95"/>
      <c r="F165" s="95"/>
      <c r="G165" s="97"/>
      <c r="H165" s="95"/>
      <c r="I165" s="95"/>
      <c r="J165" s="461"/>
      <c r="K165" s="461"/>
      <c r="L165" s="461"/>
      <c r="M165" s="461"/>
      <c r="N165" s="94"/>
      <c r="O165" s="462"/>
      <c r="P165" s="462"/>
      <c r="Q165" s="462"/>
      <c r="R165" s="462"/>
      <c r="S165" s="462"/>
      <c r="T165" s="462"/>
      <c r="U165" s="97"/>
      <c r="V165" s="463"/>
      <c r="W165" s="463"/>
      <c r="Z165" s="62"/>
    </row>
    <row r="166" spans="1:26" s="96" customFormat="1" ht="8.25" hidden="1" customHeight="1" x14ac:dyDescent="0.45">
      <c r="A166" s="94"/>
      <c r="B166" s="94"/>
      <c r="C166" s="95"/>
      <c r="D166" s="95"/>
      <c r="E166" s="95"/>
      <c r="F166" s="95"/>
      <c r="G166" s="95"/>
      <c r="H166" s="95"/>
      <c r="I166" s="97"/>
      <c r="J166" s="95"/>
      <c r="K166" s="98"/>
      <c r="L166" s="98"/>
      <c r="M166" s="98"/>
      <c r="N166" s="98"/>
      <c r="O166" s="99"/>
      <c r="P166" s="99"/>
      <c r="Q166" s="99"/>
      <c r="R166" s="99"/>
      <c r="S166" s="99"/>
      <c r="T166" s="99"/>
      <c r="U166" s="97"/>
      <c r="V166" s="100"/>
      <c r="W166" s="100"/>
      <c r="Z166" s="62"/>
    </row>
    <row r="167" spans="1:26" s="103" customFormat="1" ht="44.25" hidden="1" customHeight="1" x14ac:dyDescent="0.4">
      <c r="A167" s="101"/>
      <c r="B167" s="101"/>
      <c r="C167" s="454"/>
      <c r="D167" s="454"/>
      <c r="E167" s="454"/>
      <c r="F167" s="454"/>
      <c r="G167" s="454"/>
      <c r="H167" s="455"/>
      <c r="I167" s="456"/>
      <c r="J167" s="456"/>
      <c r="K167" s="456"/>
      <c r="L167" s="452"/>
      <c r="M167" s="102"/>
      <c r="N167" s="454"/>
      <c r="O167" s="454"/>
      <c r="P167" s="454"/>
      <c r="Q167" s="454"/>
      <c r="R167" s="454"/>
      <c r="S167" s="455"/>
      <c r="T167" s="456"/>
      <c r="U167" s="456"/>
      <c r="V167" s="456"/>
      <c r="W167" s="452"/>
      <c r="Z167" s="62"/>
    </row>
    <row r="168" spans="1:26" s="105" customFormat="1" ht="36.75" hidden="1" customHeight="1" x14ac:dyDescent="0.4">
      <c r="A168" s="86"/>
      <c r="B168" s="86"/>
      <c r="C168" s="104"/>
      <c r="D168" s="453"/>
      <c r="E168" s="453"/>
      <c r="F168" s="453"/>
      <c r="G168" s="104"/>
      <c r="H168" s="455"/>
      <c r="I168" s="456"/>
      <c r="J168" s="456"/>
      <c r="K168" s="456"/>
      <c r="L168" s="452"/>
      <c r="M168" s="102"/>
      <c r="N168" s="104"/>
      <c r="O168" s="453"/>
      <c r="P168" s="453"/>
      <c r="Q168" s="453"/>
      <c r="R168" s="104"/>
      <c r="S168" s="455"/>
      <c r="T168" s="456"/>
      <c r="U168" s="456"/>
      <c r="V168" s="456"/>
      <c r="W168" s="452"/>
      <c r="Z168" s="62"/>
    </row>
    <row r="169" spans="1:26" s="103" customFormat="1" ht="17.25" hidden="1" customHeight="1" x14ac:dyDescent="0.4">
      <c r="A169" s="101"/>
      <c r="B169" s="101"/>
      <c r="C169" s="106"/>
      <c r="D169" s="442"/>
      <c r="E169" s="442"/>
      <c r="F169" s="107"/>
      <c r="G169" s="106"/>
      <c r="H169" s="108"/>
      <c r="I169" s="443"/>
      <c r="J169" s="443"/>
      <c r="K169" s="443"/>
      <c r="L169" s="109"/>
      <c r="M169" s="109"/>
      <c r="N169" s="442"/>
      <c r="O169" s="442"/>
      <c r="P169" s="442"/>
      <c r="Q169" s="442"/>
      <c r="R169" s="442"/>
      <c r="S169" s="442"/>
      <c r="T169" s="442"/>
      <c r="U169" s="442"/>
      <c r="V169" s="442"/>
      <c r="W169" s="442"/>
      <c r="Z169" s="62"/>
    </row>
    <row r="170" spans="1:26" s="103" customFormat="1" ht="17.25" hidden="1" customHeight="1" x14ac:dyDescent="0.4">
      <c r="A170" s="101"/>
      <c r="B170" s="101"/>
      <c r="C170" s="106"/>
      <c r="D170" s="442"/>
      <c r="E170" s="442"/>
      <c r="F170" s="107"/>
      <c r="G170" s="106"/>
      <c r="H170" s="108"/>
      <c r="I170" s="443"/>
      <c r="J170" s="443"/>
      <c r="K170" s="443"/>
      <c r="L170" s="110"/>
      <c r="M170" s="109"/>
      <c r="N170" s="106"/>
      <c r="O170" s="442"/>
      <c r="P170" s="442"/>
      <c r="Q170" s="107"/>
      <c r="R170" s="106"/>
      <c r="S170" s="108"/>
      <c r="T170" s="443"/>
      <c r="U170" s="443"/>
      <c r="V170" s="443"/>
      <c r="W170" s="110"/>
      <c r="Z170" s="62"/>
    </row>
    <row r="171" spans="1:26" s="103" customFormat="1" ht="17.25" hidden="1" customHeight="1" x14ac:dyDescent="0.4">
      <c r="A171" s="101"/>
      <c r="B171" s="101"/>
      <c r="C171" s="106"/>
      <c r="D171" s="442"/>
      <c r="E171" s="442"/>
      <c r="F171" s="107"/>
      <c r="G171" s="106"/>
      <c r="H171" s="108"/>
      <c r="I171" s="443"/>
      <c r="J171" s="443"/>
      <c r="K171" s="443"/>
      <c r="L171" s="109"/>
      <c r="M171" s="109"/>
      <c r="N171" s="106"/>
      <c r="O171" s="442"/>
      <c r="P171" s="442"/>
      <c r="Q171" s="107"/>
      <c r="R171" s="106"/>
      <c r="S171" s="108"/>
      <c r="T171" s="443"/>
      <c r="U171" s="443"/>
      <c r="V171" s="443"/>
      <c r="W171" s="110"/>
      <c r="Z171" s="62"/>
    </row>
    <row r="172" spans="1:26" s="103" customFormat="1" ht="17.25" hidden="1" customHeight="1" x14ac:dyDescent="0.4">
      <c r="A172" s="101"/>
      <c r="B172" s="101"/>
      <c r="C172" s="106"/>
      <c r="D172" s="442"/>
      <c r="E172" s="442"/>
      <c r="F172" s="107"/>
      <c r="G172" s="106"/>
      <c r="H172" s="108"/>
      <c r="I172" s="443"/>
      <c r="J172" s="443"/>
      <c r="K172" s="443"/>
      <c r="L172" s="110"/>
      <c r="M172" s="109"/>
      <c r="N172" s="106"/>
      <c r="O172" s="442"/>
      <c r="P172" s="442"/>
      <c r="Q172" s="107"/>
      <c r="R172" s="106"/>
      <c r="S172" s="108"/>
      <c r="T172" s="443"/>
      <c r="U172" s="443"/>
      <c r="V172" s="443"/>
      <c r="W172" s="110"/>
      <c r="Z172" s="62"/>
    </row>
    <row r="173" spans="1:26" s="103" customFormat="1" ht="17.25" hidden="1" customHeight="1" x14ac:dyDescent="0.4">
      <c r="A173" s="101"/>
      <c r="B173" s="101"/>
      <c r="C173" s="106"/>
      <c r="D173" s="442"/>
      <c r="E173" s="442"/>
      <c r="F173" s="107"/>
      <c r="G173" s="106"/>
      <c r="H173" s="108"/>
      <c r="I173" s="443"/>
      <c r="J173" s="443"/>
      <c r="K173" s="443"/>
      <c r="L173" s="109"/>
      <c r="M173" s="109"/>
      <c r="N173" s="442"/>
      <c r="O173" s="442"/>
      <c r="P173" s="442"/>
      <c r="Q173" s="442"/>
      <c r="R173" s="442"/>
      <c r="S173" s="442"/>
      <c r="T173" s="442"/>
      <c r="U173" s="442"/>
      <c r="V173" s="442"/>
      <c r="W173" s="442"/>
      <c r="Z173" s="62"/>
    </row>
    <row r="174" spans="1:26" s="103" customFormat="1" ht="17.25" hidden="1" customHeight="1" x14ac:dyDescent="0.4">
      <c r="A174" s="101"/>
      <c r="B174" s="101"/>
      <c r="C174" s="106"/>
      <c r="D174" s="442"/>
      <c r="E174" s="442"/>
      <c r="F174" s="107"/>
      <c r="G174" s="106"/>
      <c r="H174" s="108"/>
      <c r="I174" s="443"/>
      <c r="J174" s="443"/>
      <c r="K174" s="443"/>
      <c r="L174" s="110"/>
      <c r="M174" s="109"/>
      <c r="N174" s="106"/>
      <c r="O174" s="442"/>
      <c r="P174" s="442"/>
      <c r="Q174" s="107"/>
      <c r="R174" s="106"/>
      <c r="S174" s="108"/>
      <c r="T174" s="443"/>
      <c r="U174" s="443"/>
      <c r="V174" s="443"/>
      <c r="W174" s="110"/>
      <c r="Z174" s="62"/>
    </row>
    <row r="175" spans="1:26" s="103" customFormat="1" ht="17.25" hidden="1" customHeight="1" x14ac:dyDescent="0.4">
      <c r="A175" s="101"/>
      <c r="B175" s="101"/>
      <c r="C175" s="106"/>
      <c r="D175" s="442"/>
      <c r="E175" s="442"/>
      <c r="F175" s="107"/>
      <c r="G175" s="106"/>
      <c r="H175" s="108"/>
      <c r="I175" s="443"/>
      <c r="J175" s="443"/>
      <c r="K175" s="443"/>
      <c r="L175" s="109"/>
      <c r="M175" s="109"/>
      <c r="N175" s="106"/>
      <c r="O175" s="442"/>
      <c r="P175" s="442"/>
      <c r="Q175" s="107"/>
      <c r="R175" s="106"/>
      <c r="S175" s="108"/>
      <c r="T175" s="443"/>
      <c r="U175" s="443"/>
      <c r="V175" s="443"/>
      <c r="W175" s="110"/>
      <c r="Z175" s="62"/>
    </row>
    <row r="176" spans="1:26" s="103" customFormat="1" ht="17.25" hidden="1" customHeight="1" x14ac:dyDescent="0.4">
      <c r="A176" s="101"/>
      <c r="B176" s="101"/>
      <c r="C176" s="106"/>
      <c r="D176" s="442"/>
      <c r="E176" s="442"/>
      <c r="F176" s="107"/>
      <c r="G176" s="106"/>
      <c r="H176" s="108"/>
      <c r="I176" s="443"/>
      <c r="J176" s="443"/>
      <c r="K176" s="443"/>
      <c r="L176" s="110"/>
      <c r="M176" s="109"/>
      <c r="N176" s="106"/>
      <c r="O176" s="442"/>
      <c r="P176" s="442"/>
      <c r="Q176" s="107"/>
      <c r="R176" s="106"/>
      <c r="S176" s="108"/>
      <c r="T176" s="443"/>
      <c r="U176" s="443"/>
      <c r="V176" s="443"/>
      <c r="W176" s="110"/>
      <c r="Z176" s="62"/>
    </row>
    <row r="177" spans="1:26" s="103" customFormat="1" ht="17.25" hidden="1" customHeight="1" x14ac:dyDescent="0.4">
      <c r="A177" s="101"/>
      <c r="B177" s="101"/>
      <c r="C177" s="106"/>
      <c r="D177" s="442"/>
      <c r="E177" s="442"/>
      <c r="F177" s="107"/>
      <c r="G177" s="106"/>
      <c r="H177" s="108"/>
      <c r="I177" s="443"/>
      <c r="J177" s="443"/>
      <c r="K177" s="443"/>
      <c r="L177" s="109"/>
      <c r="M177" s="109"/>
      <c r="N177" s="106"/>
      <c r="O177" s="442"/>
      <c r="P177" s="442"/>
      <c r="Q177" s="107"/>
      <c r="R177" s="106"/>
      <c r="S177" s="108"/>
      <c r="T177" s="443"/>
      <c r="U177" s="443"/>
      <c r="V177" s="443"/>
      <c r="W177" s="110"/>
      <c r="Z177" s="62"/>
    </row>
    <row r="178" spans="1:26" s="103" customFormat="1" ht="17.25" hidden="1" customHeight="1" x14ac:dyDescent="0.4">
      <c r="A178" s="101"/>
      <c r="B178" s="101"/>
      <c r="C178" s="106"/>
      <c r="D178" s="442"/>
      <c r="E178" s="442"/>
      <c r="F178" s="111"/>
      <c r="G178" s="106"/>
      <c r="H178" s="108"/>
      <c r="I178" s="443"/>
      <c r="J178" s="443"/>
      <c r="K178" s="443"/>
      <c r="L178" s="110"/>
      <c r="M178" s="109"/>
      <c r="N178" s="106"/>
      <c r="O178" s="442"/>
      <c r="P178" s="442"/>
      <c r="Q178" s="107"/>
      <c r="R178" s="106"/>
      <c r="S178" s="108"/>
      <c r="T178" s="443"/>
      <c r="U178" s="443"/>
      <c r="V178" s="443"/>
      <c r="W178" s="110"/>
      <c r="Z178" s="62"/>
    </row>
    <row r="179" spans="1:26" s="103" customFormat="1" ht="17.25" hidden="1" customHeight="1" x14ac:dyDescent="0.4">
      <c r="A179" s="101"/>
      <c r="B179" s="101"/>
      <c r="C179" s="106"/>
      <c r="D179" s="442"/>
      <c r="E179" s="442"/>
      <c r="F179" s="111"/>
      <c r="G179" s="106"/>
      <c r="H179" s="108"/>
      <c r="I179" s="443"/>
      <c r="J179" s="443"/>
      <c r="K179" s="443"/>
      <c r="L179" s="109"/>
      <c r="M179" s="109"/>
      <c r="N179" s="106"/>
      <c r="O179" s="442"/>
      <c r="P179" s="442"/>
      <c r="Q179" s="107"/>
      <c r="R179" s="106"/>
      <c r="S179" s="108"/>
      <c r="T179" s="443"/>
      <c r="U179" s="443"/>
      <c r="V179" s="443"/>
      <c r="W179" s="110"/>
      <c r="Z179" s="62"/>
    </row>
    <row r="180" spans="1:26" s="103" customFormat="1" ht="17.25" hidden="1" customHeight="1" x14ac:dyDescent="0.4">
      <c r="A180" s="101"/>
      <c r="B180" s="101"/>
      <c r="C180" s="106"/>
      <c r="D180" s="442"/>
      <c r="E180" s="442"/>
      <c r="F180" s="111"/>
      <c r="G180" s="106"/>
      <c r="H180" s="108"/>
      <c r="I180" s="443"/>
      <c r="J180" s="443"/>
      <c r="K180" s="443"/>
      <c r="L180" s="110"/>
      <c r="M180" s="109"/>
      <c r="N180" s="106"/>
      <c r="O180" s="442"/>
      <c r="P180" s="442"/>
      <c r="Q180" s="107"/>
      <c r="R180" s="106"/>
      <c r="S180" s="108"/>
      <c r="T180" s="443"/>
      <c r="U180" s="443"/>
      <c r="V180" s="443"/>
      <c r="W180" s="110"/>
      <c r="Z180" s="62"/>
    </row>
    <row r="181" spans="1:26" s="103" customFormat="1" ht="17.25" hidden="1" customHeight="1" x14ac:dyDescent="0.4">
      <c r="A181" s="101"/>
      <c r="B181" s="101"/>
      <c r="C181" s="106"/>
      <c r="D181" s="442"/>
      <c r="E181" s="442"/>
      <c r="F181" s="111"/>
      <c r="G181" s="106"/>
      <c r="H181" s="108"/>
      <c r="I181" s="443"/>
      <c r="J181" s="443"/>
      <c r="K181" s="443"/>
      <c r="L181" s="109"/>
      <c r="M181" s="109"/>
      <c r="N181" s="106"/>
      <c r="O181" s="442"/>
      <c r="P181" s="442"/>
      <c r="Q181" s="107"/>
      <c r="R181" s="106"/>
      <c r="S181" s="108"/>
      <c r="T181" s="443"/>
      <c r="U181" s="443"/>
      <c r="V181" s="443"/>
      <c r="W181" s="110"/>
      <c r="Z181" s="62"/>
    </row>
    <row r="182" spans="1:26" s="103" customFormat="1" ht="17.25" hidden="1" customHeight="1" x14ac:dyDescent="0.4">
      <c r="A182" s="101"/>
      <c r="B182" s="101"/>
      <c r="C182" s="106"/>
      <c r="D182" s="442"/>
      <c r="E182" s="442"/>
      <c r="F182" s="111"/>
      <c r="G182" s="106"/>
      <c r="H182" s="108"/>
      <c r="I182" s="443"/>
      <c r="J182" s="443"/>
      <c r="K182" s="443"/>
      <c r="L182" s="110"/>
      <c r="M182" s="109"/>
      <c r="N182" s="106"/>
      <c r="O182" s="442"/>
      <c r="P182" s="442"/>
      <c r="Q182" s="107"/>
      <c r="R182" s="106"/>
      <c r="S182" s="108"/>
      <c r="T182" s="443"/>
      <c r="U182" s="443"/>
      <c r="V182" s="443"/>
      <c r="W182" s="110"/>
      <c r="Z182" s="62"/>
    </row>
    <row r="183" spans="1:26" s="103" customFormat="1" ht="17.25" hidden="1" customHeight="1" x14ac:dyDescent="0.4">
      <c r="A183" s="101"/>
      <c r="B183" s="101"/>
      <c r="C183" s="106"/>
      <c r="D183" s="442"/>
      <c r="E183" s="442"/>
      <c r="F183" s="111"/>
      <c r="G183" s="106"/>
      <c r="H183" s="108"/>
      <c r="I183" s="443"/>
      <c r="J183" s="443"/>
      <c r="K183" s="443"/>
      <c r="L183" s="109"/>
      <c r="M183" s="109"/>
      <c r="N183" s="106"/>
      <c r="O183" s="442"/>
      <c r="P183" s="442"/>
      <c r="Q183" s="107"/>
      <c r="R183" s="106"/>
      <c r="S183" s="108"/>
      <c r="T183" s="443"/>
      <c r="U183" s="443"/>
      <c r="V183" s="443"/>
      <c r="W183" s="110"/>
      <c r="Z183" s="62"/>
    </row>
    <row r="184" spans="1:26" s="103" customFormat="1" ht="17.25" hidden="1" customHeight="1" x14ac:dyDescent="0.4">
      <c r="A184" s="101"/>
      <c r="B184" s="101"/>
      <c r="C184" s="106"/>
      <c r="D184" s="442"/>
      <c r="E184" s="442"/>
      <c r="F184" s="111"/>
      <c r="G184" s="106"/>
      <c r="H184" s="108"/>
      <c r="I184" s="443"/>
      <c r="J184" s="443"/>
      <c r="K184" s="443"/>
      <c r="L184" s="110"/>
      <c r="M184" s="109"/>
      <c r="N184" s="106"/>
      <c r="O184" s="442"/>
      <c r="P184" s="442"/>
      <c r="Q184" s="107"/>
      <c r="R184" s="106"/>
      <c r="S184" s="108"/>
      <c r="T184" s="443"/>
      <c r="U184" s="443"/>
      <c r="V184" s="443"/>
      <c r="W184" s="110"/>
      <c r="Z184" s="62"/>
    </row>
    <row r="185" spans="1:26" s="103" customFormat="1" ht="17.25" hidden="1" customHeight="1" x14ac:dyDescent="0.4">
      <c r="A185" s="101"/>
      <c r="B185" s="101"/>
      <c r="C185" s="106"/>
      <c r="D185" s="442"/>
      <c r="E185" s="442"/>
      <c r="F185" s="111"/>
      <c r="G185" s="106"/>
      <c r="H185" s="108"/>
      <c r="I185" s="443"/>
      <c r="J185" s="443"/>
      <c r="K185" s="443"/>
      <c r="L185" s="109"/>
      <c r="M185" s="109"/>
      <c r="N185" s="106"/>
      <c r="O185" s="442"/>
      <c r="P185" s="442"/>
      <c r="Q185" s="107"/>
      <c r="R185" s="106"/>
      <c r="S185" s="108"/>
      <c r="T185" s="443"/>
      <c r="U185" s="443"/>
      <c r="V185" s="443"/>
      <c r="W185" s="110"/>
      <c r="Z185" s="62"/>
    </row>
    <row r="186" spans="1:26" s="103" customFormat="1" ht="17.25" hidden="1" customHeight="1" x14ac:dyDescent="0.4">
      <c r="A186" s="101"/>
      <c r="B186" s="101"/>
      <c r="C186" s="443"/>
      <c r="D186" s="443"/>
      <c r="E186" s="443"/>
      <c r="F186" s="443"/>
      <c r="G186" s="443"/>
      <c r="H186" s="443"/>
      <c r="I186" s="443"/>
      <c r="J186" s="443"/>
      <c r="K186" s="443"/>
      <c r="L186" s="443"/>
      <c r="M186" s="443"/>
      <c r="N186" s="443"/>
      <c r="O186" s="112"/>
      <c r="P186" s="73"/>
      <c r="Q186" s="443"/>
      <c r="R186" s="443"/>
      <c r="S186" s="443"/>
      <c r="T186" s="443"/>
      <c r="U186" s="443"/>
      <c r="V186" s="443"/>
      <c r="W186" s="443"/>
      <c r="Z186" s="62"/>
    </row>
    <row r="187" spans="1:26" s="103" customFormat="1" ht="17.25" hidden="1" customHeight="1" x14ac:dyDescent="0.4">
      <c r="A187" s="101"/>
      <c r="B187" s="101"/>
      <c r="C187" s="444"/>
      <c r="D187" s="444"/>
      <c r="E187" s="444"/>
      <c r="F187" s="444"/>
      <c r="G187" s="113"/>
      <c r="H187" s="113"/>
      <c r="I187" s="109"/>
      <c r="J187" s="113"/>
      <c r="K187" s="113"/>
      <c r="L187" s="113"/>
      <c r="M187" s="113"/>
      <c r="N187" s="113"/>
      <c r="O187" s="112"/>
      <c r="P187" s="113"/>
      <c r="Q187" s="443"/>
      <c r="R187" s="443"/>
      <c r="S187" s="443"/>
      <c r="T187" s="443"/>
      <c r="U187" s="443"/>
      <c r="V187" s="443"/>
      <c r="W187" s="443"/>
      <c r="Z187" s="62"/>
    </row>
    <row r="188" spans="1:26" s="103" customFormat="1" ht="15.75" hidden="1" customHeight="1" x14ac:dyDescent="0.4">
      <c r="A188" s="101"/>
      <c r="B188" s="101"/>
      <c r="C188" s="443"/>
      <c r="D188" s="443"/>
      <c r="E188" s="443"/>
      <c r="F188" s="443"/>
      <c r="G188" s="443"/>
      <c r="H188" s="443"/>
      <c r="I188" s="443"/>
      <c r="J188" s="446"/>
      <c r="K188" s="446"/>
      <c r="L188" s="442"/>
      <c r="M188" s="442"/>
      <c r="N188" s="442"/>
      <c r="O188" s="442"/>
      <c r="P188" s="442"/>
      <c r="Q188" s="114"/>
      <c r="R188" s="442"/>
      <c r="S188" s="442"/>
      <c r="T188" s="442"/>
      <c r="U188" s="442"/>
      <c r="V188" s="445"/>
      <c r="W188" s="445"/>
      <c r="Z188" s="62"/>
    </row>
    <row r="189" spans="1:26" s="103" customFormat="1" ht="15.75" hidden="1" customHeight="1" x14ac:dyDescent="0.4">
      <c r="A189" s="101"/>
      <c r="B189" s="101"/>
      <c r="C189" s="443"/>
      <c r="D189" s="443"/>
      <c r="E189" s="443"/>
      <c r="F189" s="443"/>
      <c r="G189" s="443"/>
      <c r="H189" s="443"/>
      <c r="I189" s="443"/>
      <c r="J189" s="446"/>
      <c r="K189" s="446"/>
      <c r="L189" s="442"/>
      <c r="M189" s="442"/>
      <c r="N189" s="442"/>
      <c r="O189" s="442"/>
      <c r="P189" s="442"/>
      <c r="Q189" s="114"/>
      <c r="R189" s="442"/>
      <c r="S189" s="442"/>
      <c r="T189" s="442"/>
      <c r="U189" s="442"/>
      <c r="V189" s="445"/>
      <c r="W189" s="445"/>
      <c r="Z189" s="62"/>
    </row>
    <row r="190" spans="1:26" s="103" customFormat="1" ht="15.75" hidden="1" customHeight="1" x14ac:dyDescent="0.4">
      <c r="A190" s="101"/>
      <c r="B190" s="101"/>
      <c r="C190" s="443"/>
      <c r="D190" s="443"/>
      <c r="E190" s="443"/>
      <c r="F190" s="443"/>
      <c r="G190" s="443"/>
      <c r="H190" s="443"/>
      <c r="I190" s="443"/>
      <c r="J190" s="446"/>
      <c r="K190" s="446"/>
      <c r="L190" s="442"/>
      <c r="M190" s="442"/>
      <c r="N190" s="442"/>
      <c r="O190" s="442"/>
      <c r="P190" s="442"/>
      <c r="Q190" s="114"/>
      <c r="R190" s="442"/>
      <c r="S190" s="442"/>
      <c r="T190" s="442"/>
      <c r="U190" s="442"/>
      <c r="V190" s="445"/>
      <c r="W190" s="445"/>
      <c r="Z190" s="62"/>
    </row>
    <row r="191" spans="1:26" s="61" customFormat="1" ht="30" hidden="1" customHeight="1" x14ac:dyDescent="0.45">
      <c r="A191" s="58"/>
      <c r="B191" s="58"/>
      <c r="C191" s="115"/>
      <c r="D191" s="115"/>
      <c r="E191" s="115"/>
      <c r="F191" s="115"/>
      <c r="G191" s="115"/>
      <c r="H191" s="115"/>
      <c r="I191" s="115"/>
      <c r="J191" s="115"/>
      <c r="K191" s="115"/>
      <c r="L191" s="109"/>
      <c r="M191" s="109"/>
      <c r="N191" s="443"/>
      <c r="O191" s="443"/>
      <c r="P191" s="443"/>
      <c r="Q191" s="443"/>
      <c r="R191" s="443"/>
      <c r="S191" s="443"/>
      <c r="T191" s="443"/>
      <c r="U191" s="443"/>
      <c r="V191" s="443"/>
      <c r="W191" s="443"/>
      <c r="Z191" s="62"/>
    </row>
    <row r="192" spans="1:26" s="61" customFormat="1" ht="14.25" hidden="1" customHeight="1" x14ac:dyDescent="0.45">
      <c r="A192" s="58"/>
      <c r="B192" s="58"/>
      <c r="C192" s="115"/>
      <c r="D192" s="115"/>
      <c r="E192" s="115"/>
      <c r="F192" s="115"/>
      <c r="G192" s="115"/>
      <c r="H192" s="115"/>
      <c r="I192" s="115"/>
      <c r="J192" s="115"/>
      <c r="K192" s="115"/>
      <c r="L192" s="447"/>
      <c r="M192" s="447"/>
      <c r="N192" s="447"/>
      <c r="O192" s="447"/>
      <c r="P192" s="447"/>
      <c r="Q192" s="447"/>
      <c r="R192" s="116"/>
      <c r="S192" s="115"/>
      <c r="T192" s="115"/>
      <c r="U192" s="115"/>
      <c r="V192" s="113"/>
      <c r="W192" s="113"/>
      <c r="Z192" s="62"/>
    </row>
    <row r="193" spans="1:26" s="61" customFormat="1" ht="14.25" hidden="1" customHeight="1" x14ac:dyDescent="0.45">
      <c r="A193" s="58"/>
      <c r="B193" s="58"/>
      <c r="C193" s="115"/>
      <c r="D193" s="115"/>
      <c r="E193" s="115"/>
      <c r="F193" s="115"/>
      <c r="G193" s="115"/>
      <c r="H193" s="115"/>
      <c r="I193" s="115"/>
      <c r="J193" s="115"/>
      <c r="K193" s="115"/>
      <c r="L193" s="115"/>
      <c r="M193" s="115"/>
      <c r="N193" s="444"/>
      <c r="O193" s="444"/>
      <c r="P193" s="444"/>
      <c r="Q193" s="444"/>
      <c r="R193" s="116"/>
      <c r="S193" s="115"/>
      <c r="T193" s="115"/>
      <c r="U193" s="115"/>
      <c r="V193" s="113"/>
      <c r="W193" s="113"/>
      <c r="Z193" s="62"/>
    </row>
    <row r="194" spans="1:26" s="61" customFormat="1" ht="14.25" hidden="1" customHeight="1" x14ac:dyDescent="0.45">
      <c r="A194" s="58"/>
      <c r="B194" s="58"/>
      <c r="C194" s="448"/>
      <c r="D194" s="448"/>
      <c r="E194" s="448"/>
      <c r="F194" s="448"/>
      <c r="G194" s="448"/>
      <c r="H194" s="448"/>
      <c r="I194" s="448"/>
      <c r="J194" s="448"/>
      <c r="K194" s="448"/>
      <c r="L194" s="448"/>
      <c r="M194" s="448"/>
      <c r="N194" s="448"/>
      <c r="O194" s="448"/>
      <c r="P194" s="448"/>
      <c r="Q194" s="448"/>
      <c r="R194" s="72"/>
      <c r="S194" s="73"/>
      <c r="T194" s="73"/>
      <c r="U194" s="74"/>
      <c r="V194" s="75"/>
      <c r="W194" s="113"/>
      <c r="Z194" s="62"/>
    </row>
    <row r="195" spans="1:26" s="61" customFormat="1" ht="14.25" hidden="1" customHeight="1" x14ac:dyDescent="0.45">
      <c r="A195" s="58"/>
      <c r="B195" s="58"/>
      <c r="C195" s="448"/>
      <c r="D195" s="448"/>
      <c r="E195" s="448"/>
      <c r="F195" s="448"/>
      <c r="G195" s="448"/>
      <c r="H195" s="448"/>
      <c r="I195" s="448"/>
      <c r="J195" s="448"/>
      <c r="K195" s="448"/>
      <c r="L195" s="448"/>
      <c r="M195" s="448"/>
      <c r="N195" s="448"/>
      <c r="O195" s="448"/>
      <c r="P195" s="448"/>
      <c r="Q195" s="448"/>
      <c r="R195" s="72"/>
      <c r="S195" s="73"/>
      <c r="T195" s="73"/>
      <c r="U195" s="74"/>
      <c r="V195" s="75"/>
      <c r="W195" s="75"/>
      <c r="Z195" s="62"/>
    </row>
    <row r="196" spans="1:26" s="61" customFormat="1" ht="5.25" hidden="1" customHeight="1" x14ac:dyDescent="0.45">
      <c r="A196" s="58"/>
      <c r="B196" s="58"/>
      <c r="C196" s="59"/>
      <c r="D196" s="59"/>
      <c r="E196" s="59"/>
      <c r="F196" s="59"/>
      <c r="G196" s="59"/>
      <c r="H196" s="59"/>
      <c r="I196" s="59"/>
      <c r="J196" s="59"/>
      <c r="K196" s="59"/>
      <c r="L196" s="70"/>
      <c r="M196" s="70"/>
      <c r="N196" s="68"/>
      <c r="O196" s="76"/>
      <c r="P196" s="76"/>
      <c r="Q196" s="76"/>
      <c r="R196" s="76"/>
      <c r="S196" s="76"/>
      <c r="T196" s="77"/>
      <c r="U196" s="77"/>
      <c r="V196" s="78"/>
      <c r="W196" s="78"/>
      <c r="Z196" s="62"/>
    </row>
    <row r="197" spans="1:26" s="61" customFormat="1" ht="14.25" hidden="1" customHeight="1" x14ac:dyDescent="0.45">
      <c r="A197" s="58"/>
      <c r="B197" s="58"/>
      <c r="C197" s="77"/>
      <c r="D197" s="450"/>
      <c r="E197" s="450"/>
      <c r="F197" s="450"/>
      <c r="G197" s="79"/>
      <c r="H197" s="449"/>
      <c r="I197" s="449"/>
      <c r="J197" s="449"/>
      <c r="K197" s="449"/>
      <c r="L197" s="70"/>
      <c r="M197" s="70"/>
      <c r="N197" s="59"/>
      <c r="O197" s="59"/>
      <c r="P197" s="59"/>
      <c r="Q197" s="59"/>
      <c r="R197" s="59"/>
      <c r="S197" s="69"/>
      <c r="T197" s="69"/>
      <c r="U197" s="69"/>
      <c r="V197" s="69"/>
      <c r="W197" s="69"/>
      <c r="Z197" s="62"/>
    </row>
    <row r="198" spans="1:26" s="61" customFormat="1" ht="14.25" hidden="1" customHeight="1" x14ac:dyDescent="0.45">
      <c r="A198" s="58"/>
      <c r="B198" s="58"/>
      <c r="C198" s="77"/>
      <c r="D198" s="451"/>
      <c r="E198" s="451"/>
      <c r="F198" s="451"/>
      <c r="G198" s="69"/>
      <c r="H198" s="69"/>
      <c r="I198" s="59"/>
      <c r="J198" s="59"/>
      <c r="K198" s="59"/>
      <c r="L198" s="70"/>
      <c r="M198" s="70"/>
      <c r="N198" s="59"/>
      <c r="O198" s="59"/>
      <c r="P198" s="59"/>
      <c r="Q198" s="59"/>
      <c r="R198" s="59"/>
      <c r="S198" s="69"/>
      <c r="T198" s="69"/>
      <c r="U198" s="69"/>
      <c r="V198" s="69"/>
      <c r="W198" s="69"/>
      <c r="Z198" s="62"/>
    </row>
    <row r="199" spans="1:26" s="61" customFormat="1" ht="14.25" hidden="1" customHeight="1" x14ac:dyDescent="0.45">
      <c r="A199" s="58"/>
      <c r="B199" s="58"/>
      <c r="C199" s="77"/>
      <c r="D199" s="80"/>
      <c r="E199" s="80"/>
      <c r="F199" s="80"/>
      <c r="G199" s="69"/>
      <c r="H199" s="69"/>
      <c r="I199" s="59"/>
      <c r="J199" s="59"/>
      <c r="K199" s="59"/>
      <c r="L199" s="70"/>
      <c r="M199" s="70"/>
      <c r="N199" s="59"/>
      <c r="O199" s="59"/>
      <c r="P199" s="59"/>
      <c r="Q199" s="59"/>
      <c r="R199" s="59"/>
      <c r="S199" s="69"/>
      <c r="T199" s="69"/>
      <c r="U199" s="69"/>
      <c r="V199" s="69"/>
      <c r="W199" s="69"/>
      <c r="Z199" s="62"/>
    </row>
    <row r="200" spans="1:26" s="61" customFormat="1" ht="14.25" hidden="1" customHeight="1" x14ac:dyDescent="0.45">
      <c r="A200" s="58"/>
      <c r="B200" s="58"/>
      <c r="C200" s="59"/>
      <c r="D200" s="59"/>
      <c r="E200" s="59"/>
      <c r="F200" s="68"/>
      <c r="G200" s="59"/>
      <c r="H200" s="59"/>
      <c r="I200" s="59"/>
      <c r="J200" s="59"/>
      <c r="K200" s="59"/>
      <c r="L200" s="70"/>
      <c r="M200" s="70"/>
      <c r="N200" s="70"/>
      <c r="O200" s="59"/>
      <c r="P200" s="69"/>
      <c r="Q200" s="69"/>
      <c r="R200" s="69"/>
      <c r="S200" s="69"/>
      <c r="T200" s="68"/>
      <c r="U200" s="68"/>
      <c r="V200" s="69"/>
      <c r="W200" s="69"/>
      <c r="Z200" s="62"/>
    </row>
    <row r="201" spans="1:26" s="61" customFormat="1" ht="9" hidden="1" customHeight="1" x14ac:dyDescent="0.45">
      <c r="A201" s="58"/>
      <c r="B201" s="58"/>
      <c r="C201" s="59"/>
      <c r="D201" s="59"/>
      <c r="E201" s="59"/>
      <c r="F201" s="68"/>
      <c r="G201" s="59"/>
      <c r="H201" s="59"/>
      <c r="I201" s="59"/>
      <c r="J201" s="59"/>
      <c r="K201" s="59"/>
      <c r="L201" s="70"/>
      <c r="M201" s="70"/>
      <c r="N201" s="70"/>
      <c r="O201" s="59"/>
      <c r="P201" s="69"/>
      <c r="Q201" s="69"/>
      <c r="R201" s="69"/>
      <c r="S201" s="69"/>
      <c r="T201" s="68"/>
      <c r="U201" s="68"/>
      <c r="V201" s="69"/>
      <c r="W201" s="69"/>
      <c r="Z201" s="62"/>
    </row>
    <row r="202" spans="1:26" s="61" customFormat="1" ht="27.75" hidden="1" customHeight="1" x14ac:dyDescent="0.45">
      <c r="A202" s="58"/>
      <c r="B202" s="58"/>
      <c r="C202" s="59"/>
      <c r="D202" s="59"/>
      <c r="E202" s="59"/>
      <c r="F202" s="59"/>
      <c r="G202" s="59"/>
      <c r="H202" s="59"/>
      <c r="I202" s="59"/>
      <c r="J202" s="59"/>
      <c r="K202" s="59"/>
      <c r="L202" s="70"/>
      <c r="M202" s="70"/>
      <c r="N202" s="70"/>
      <c r="O202" s="59"/>
      <c r="P202" s="59"/>
      <c r="Q202" s="59"/>
      <c r="R202" s="69"/>
      <c r="S202" s="69"/>
      <c r="T202" s="69"/>
      <c r="U202" s="69"/>
      <c r="V202" s="69"/>
      <c r="W202" s="69"/>
      <c r="Z202" s="62"/>
    </row>
    <row r="203" spans="1:26" s="61" customFormat="1" ht="25.5" hidden="1" customHeight="1" x14ac:dyDescent="0.45">
      <c r="A203" s="58"/>
      <c r="B203" s="58"/>
      <c r="C203" s="59"/>
      <c r="D203" s="59"/>
      <c r="E203" s="59"/>
      <c r="F203" s="67"/>
      <c r="G203" s="59"/>
      <c r="H203" s="59"/>
      <c r="I203" s="59"/>
      <c r="J203" s="59"/>
      <c r="K203" s="59"/>
      <c r="L203" s="70"/>
      <c r="M203" s="70"/>
      <c r="N203" s="70"/>
      <c r="O203" s="69"/>
      <c r="P203" s="69"/>
      <c r="Q203" s="69"/>
      <c r="R203" s="69"/>
      <c r="S203" s="69"/>
      <c r="T203" s="71"/>
      <c r="U203" s="69"/>
      <c r="V203" s="69"/>
      <c r="W203" s="69"/>
      <c r="Z203" s="62"/>
    </row>
    <row r="204" spans="1:26" s="61" customFormat="1" ht="21" hidden="1" customHeight="1" x14ac:dyDescent="0.45">
      <c r="A204" s="58"/>
      <c r="B204" s="58"/>
      <c r="C204" s="59"/>
      <c r="D204" s="81"/>
      <c r="E204" s="441"/>
      <c r="F204" s="441"/>
      <c r="G204" s="441"/>
      <c r="H204" s="441"/>
      <c r="I204" s="441"/>
      <c r="J204" s="441"/>
      <c r="K204" s="441"/>
      <c r="L204" s="441"/>
      <c r="M204" s="441"/>
      <c r="N204" s="441"/>
      <c r="O204" s="441"/>
      <c r="P204" s="441"/>
      <c r="Q204" s="441"/>
      <c r="R204" s="441"/>
      <c r="S204" s="441"/>
      <c r="T204" s="441"/>
      <c r="U204" s="441"/>
      <c r="V204" s="441"/>
      <c r="W204" s="81"/>
      <c r="Z204" s="62"/>
    </row>
    <row r="205" spans="1:26" s="61" customFormat="1" hidden="1" x14ac:dyDescent="0.45">
      <c r="A205" s="58"/>
      <c r="B205" s="58"/>
      <c r="C205" s="59"/>
      <c r="D205" s="59"/>
      <c r="E205" s="59"/>
      <c r="F205" s="60"/>
      <c r="G205" s="58"/>
      <c r="H205" s="59"/>
      <c r="I205" s="59"/>
      <c r="J205" s="59"/>
      <c r="K205" s="59"/>
      <c r="L205" s="70"/>
      <c r="M205" s="70"/>
      <c r="N205" s="70"/>
      <c r="O205" s="58"/>
      <c r="P205" s="441"/>
      <c r="Q205" s="441"/>
      <c r="R205" s="441"/>
      <c r="S205" s="441"/>
      <c r="T205" s="441"/>
      <c r="U205" s="68"/>
      <c r="V205" s="69"/>
      <c r="W205" s="69"/>
      <c r="Z205" s="62"/>
    </row>
    <row r="206" spans="1:26" s="61" customFormat="1" hidden="1" x14ac:dyDescent="0.45">
      <c r="A206" s="58"/>
      <c r="B206" s="58"/>
      <c r="C206" s="59"/>
      <c r="D206" s="59"/>
      <c r="E206" s="59"/>
      <c r="F206" s="58"/>
      <c r="G206" s="58"/>
      <c r="H206" s="58"/>
      <c r="I206" s="59"/>
      <c r="J206" s="58"/>
      <c r="K206" s="58"/>
      <c r="L206" s="58"/>
      <c r="M206" s="58"/>
      <c r="N206" s="58"/>
      <c r="O206" s="58"/>
      <c r="P206" s="58"/>
      <c r="Q206" s="58"/>
      <c r="R206" s="58"/>
      <c r="S206" s="58"/>
      <c r="T206" s="58"/>
      <c r="U206" s="58"/>
      <c r="V206" s="58"/>
      <c r="W206" s="69"/>
      <c r="Z206" s="62"/>
    </row>
    <row r="207" spans="1:26" s="61" customFormat="1" ht="12.75" hidden="1" customHeight="1" x14ac:dyDescent="0.45">
      <c r="A207" s="58"/>
      <c r="B207" s="58"/>
      <c r="C207" s="59"/>
      <c r="D207" s="59"/>
      <c r="E207" s="59"/>
      <c r="F207" s="59"/>
      <c r="G207" s="60"/>
      <c r="H207" s="59"/>
      <c r="I207" s="59"/>
      <c r="J207" s="59"/>
      <c r="K207" s="59"/>
      <c r="L207" s="67"/>
      <c r="M207" s="67"/>
      <c r="N207" s="67"/>
      <c r="O207" s="59"/>
      <c r="P207" s="60"/>
      <c r="Q207" s="60"/>
      <c r="R207" s="60"/>
      <c r="S207" s="59"/>
      <c r="T207" s="59"/>
      <c r="U207" s="68"/>
      <c r="V207" s="69"/>
      <c r="W207" s="69"/>
      <c r="Z207" s="62"/>
    </row>
    <row r="208" spans="1:26" s="61" customFormat="1" hidden="1" x14ac:dyDescent="0.45">
      <c r="A208" s="58"/>
      <c r="B208" s="58"/>
      <c r="C208" s="59"/>
      <c r="D208" s="59"/>
      <c r="E208" s="59"/>
      <c r="F208" s="59"/>
      <c r="G208" s="60"/>
      <c r="H208" s="59"/>
      <c r="I208" s="59"/>
      <c r="J208" s="59"/>
      <c r="K208" s="58"/>
      <c r="L208" s="58"/>
      <c r="M208" s="58"/>
      <c r="N208" s="58"/>
      <c r="O208" s="58"/>
      <c r="P208" s="58"/>
      <c r="Q208" s="58"/>
      <c r="R208" s="58"/>
      <c r="S208" s="58"/>
      <c r="T208" s="58"/>
      <c r="U208" s="68"/>
      <c r="V208" s="69"/>
      <c r="W208" s="69"/>
      <c r="Z208" s="62"/>
    </row>
    <row r="209" spans="1:26" s="61" customFormat="1" hidden="1" x14ac:dyDescent="0.45">
      <c r="A209" s="58"/>
      <c r="B209" s="58"/>
      <c r="C209" s="59"/>
      <c r="D209" s="59"/>
      <c r="E209" s="59"/>
      <c r="F209" s="60"/>
      <c r="G209" s="58"/>
      <c r="H209" s="59"/>
      <c r="I209" s="59"/>
      <c r="J209" s="59"/>
      <c r="K209" s="59"/>
      <c r="L209" s="58"/>
      <c r="M209" s="58"/>
      <c r="N209" s="58"/>
      <c r="O209" s="58"/>
      <c r="P209" s="441"/>
      <c r="Q209" s="441"/>
      <c r="R209" s="441"/>
      <c r="S209" s="441"/>
      <c r="T209" s="441"/>
      <c r="U209" s="58"/>
      <c r="V209" s="58"/>
      <c r="W209" s="59"/>
      <c r="Z209" s="62"/>
    </row>
    <row r="210" spans="1:26" s="66" customFormat="1" hidden="1" x14ac:dyDescent="0.45">
      <c r="A210" s="63"/>
      <c r="B210" s="63"/>
      <c r="C210" s="63"/>
      <c r="D210" s="63"/>
      <c r="E210" s="63"/>
      <c r="F210" s="63"/>
      <c r="G210" s="63"/>
      <c r="H210" s="63"/>
      <c r="I210" s="63"/>
      <c r="J210" s="63"/>
      <c r="K210" s="63"/>
      <c r="L210" s="64"/>
      <c r="M210" s="64"/>
      <c r="N210" s="65"/>
      <c r="O210" s="63"/>
      <c r="P210" s="63"/>
      <c r="Q210" s="63"/>
      <c r="R210" s="63"/>
      <c r="S210" s="63"/>
      <c r="T210" s="63"/>
      <c r="U210" s="63"/>
      <c r="V210" s="63"/>
      <c r="W210" s="63"/>
    </row>
    <row r="211" spans="1:26" s="82" customFormat="1" ht="35.25" hidden="1" x14ac:dyDescent="0.25">
      <c r="C211" s="64"/>
      <c r="D211" s="83"/>
      <c r="E211" s="84"/>
      <c r="L211" s="64"/>
      <c r="Y211" s="85"/>
    </row>
    <row r="212" spans="1:26" s="61" customFormat="1" hidden="1" x14ac:dyDescent="0.4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58"/>
      <c r="L212" s="86"/>
      <c r="M212" s="86"/>
      <c r="N212" s="87"/>
      <c r="O212" s="58"/>
      <c r="P212" s="58"/>
      <c r="Q212" s="58"/>
      <c r="R212" s="58"/>
      <c r="S212" s="58"/>
      <c r="T212" s="58"/>
      <c r="U212" s="58"/>
      <c r="V212" s="58"/>
      <c r="W212" s="58"/>
      <c r="X212" s="88"/>
    </row>
    <row r="213" spans="1:26" s="61" customFormat="1" ht="37.5" hidden="1" customHeight="1" x14ac:dyDescent="0.4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58"/>
      <c r="L213" s="86"/>
      <c r="M213" s="86"/>
      <c r="N213" s="460"/>
      <c r="O213" s="460"/>
      <c r="P213" s="460"/>
      <c r="Q213" s="460"/>
      <c r="R213" s="460"/>
      <c r="S213" s="460"/>
      <c r="T213" s="460"/>
      <c r="U213" s="460"/>
      <c r="V213" s="460"/>
      <c r="W213" s="460"/>
      <c r="Z213" s="62"/>
    </row>
    <row r="214" spans="1:26" s="61" customFormat="1" ht="17.25" hidden="1" customHeight="1" x14ac:dyDescent="0.4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58"/>
      <c r="L214" s="86"/>
      <c r="M214" s="86"/>
      <c r="N214" s="89"/>
      <c r="O214" s="90"/>
      <c r="P214" s="90"/>
      <c r="Q214" s="90"/>
      <c r="R214" s="90"/>
      <c r="S214" s="91"/>
      <c r="T214" s="58"/>
      <c r="U214" s="58"/>
      <c r="V214" s="457"/>
      <c r="W214" s="457"/>
      <c r="Z214" s="62"/>
    </row>
    <row r="215" spans="1:26" s="61" customFormat="1" ht="95.25" hidden="1" customHeight="1" x14ac:dyDescent="0.45">
      <c r="A215" s="58"/>
      <c r="B215" s="58"/>
      <c r="C215" s="58"/>
      <c r="D215" s="58"/>
      <c r="E215" s="58"/>
      <c r="F215" s="81"/>
      <c r="G215" s="81"/>
      <c r="H215" s="81"/>
      <c r="I215" s="81"/>
      <c r="J215" s="58"/>
      <c r="K215" s="81"/>
      <c r="L215" s="86"/>
      <c r="M215" s="86"/>
      <c r="N215" s="89"/>
      <c r="O215" s="58"/>
      <c r="P215" s="58"/>
      <c r="Q215" s="58"/>
      <c r="R215" s="58"/>
      <c r="S215" s="58"/>
      <c r="T215" s="92"/>
      <c r="U215" s="92"/>
      <c r="V215" s="93"/>
      <c r="W215" s="93"/>
      <c r="Z215" s="62"/>
    </row>
    <row r="216" spans="1:26" s="61" customFormat="1" ht="30" hidden="1" x14ac:dyDescent="0.4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58"/>
      <c r="L216" s="58"/>
      <c r="M216" s="58"/>
      <c r="N216" s="58"/>
      <c r="O216" s="58"/>
      <c r="P216" s="58"/>
      <c r="Q216" s="90"/>
      <c r="R216" s="58"/>
      <c r="S216" s="91"/>
      <c r="T216" s="92"/>
      <c r="U216" s="92"/>
      <c r="V216" s="93"/>
      <c r="W216" s="93"/>
      <c r="Z216" s="62"/>
    </row>
    <row r="217" spans="1:26" s="96" customFormat="1" ht="3.75" hidden="1" customHeight="1" x14ac:dyDescent="0.45">
      <c r="A217" s="94"/>
      <c r="B217" s="94"/>
      <c r="C217" s="95"/>
      <c r="D217" s="95"/>
      <c r="E217" s="95"/>
      <c r="F217" s="95"/>
      <c r="G217" s="95"/>
      <c r="H217" s="95"/>
      <c r="I217" s="95"/>
      <c r="J217" s="458"/>
      <c r="K217" s="458"/>
      <c r="L217" s="458"/>
      <c r="M217" s="458"/>
      <c r="N217" s="94"/>
      <c r="O217" s="95"/>
      <c r="P217" s="95"/>
      <c r="Q217" s="95"/>
      <c r="R217" s="95"/>
      <c r="S217" s="95"/>
      <c r="T217" s="95"/>
      <c r="U217" s="95"/>
      <c r="V217" s="459"/>
      <c r="W217" s="459"/>
      <c r="Z217" s="62"/>
    </row>
    <row r="218" spans="1:26" s="96" customFormat="1" ht="24" hidden="1" customHeight="1" x14ac:dyDescent="0.45">
      <c r="A218" s="94"/>
      <c r="B218" s="94"/>
      <c r="C218" s="95"/>
      <c r="D218" s="95"/>
      <c r="E218" s="95"/>
      <c r="F218" s="95"/>
      <c r="G218" s="97"/>
      <c r="H218" s="95"/>
      <c r="I218" s="95"/>
      <c r="J218" s="461"/>
      <c r="K218" s="461"/>
      <c r="L218" s="461"/>
      <c r="M218" s="461"/>
      <c r="N218" s="94"/>
      <c r="O218" s="462"/>
      <c r="P218" s="462"/>
      <c r="Q218" s="462"/>
      <c r="R218" s="462"/>
      <c r="S218" s="462"/>
      <c r="T218" s="462"/>
      <c r="U218" s="97"/>
      <c r="V218" s="463"/>
      <c r="W218" s="463"/>
      <c r="Z218" s="62"/>
    </row>
    <row r="219" spans="1:26" s="96" customFormat="1" ht="8.25" hidden="1" customHeight="1" x14ac:dyDescent="0.45">
      <c r="A219" s="94"/>
      <c r="B219" s="94"/>
      <c r="C219" s="95"/>
      <c r="D219" s="95"/>
      <c r="E219" s="95"/>
      <c r="F219" s="95"/>
      <c r="G219" s="95"/>
      <c r="H219" s="95"/>
      <c r="I219" s="97"/>
      <c r="J219" s="95"/>
      <c r="K219" s="98"/>
      <c r="L219" s="98"/>
      <c r="M219" s="98"/>
      <c r="N219" s="98"/>
      <c r="O219" s="99"/>
      <c r="P219" s="99"/>
      <c r="Q219" s="99"/>
      <c r="R219" s="99"/>
      <c r="S219" s="99"/>
      <c r="T219" s="99"/>
      <c r="U219" s="97"/>
      <c r="V219" s="100"/>
      <c r="W219" s="100"/>
      <c r="Z219" s="62"/>
    </row>
    <row r="220" spans="1:26" s="103" customFormat="1" ht="44.25" hidden="1" customHeight="1" x14ac:dyDescent="0.4">
      <c r="A220" s="101"/>
      <c r="B220" s="101"/>
      <c r="C220" s="454"/>
      <c r="D220" s="454"/>
      <c r="E220" s="454"/>
      <c r="F220" s="454"/>
      <c r="G220" s="454"/>
      <c r="H220" s="455"/>
      <c r="I220" s="456"/>
      <c r="J220" s="456"/>
      <c r="K220" s="456"/>
      <c r="L220" s="452"/>
      <c r="M220" s="102"/>
      <c r="N220" s="454"/>
      <c r="O220" s="454"/>
      <c r="P220" s="454"/>
      <c r="Q220" s="454"/>
      <c r="R220" s="454"/>
      <c r="S220" s="455"/>
      <c r="T220" s="456"/>
      <c r="U220" s="456"/>
      <c r="V220" s="456"/>
      <c r="W220" s="452"/>
      <c r="Z220" s="62"/>
    </row>
    <row r="221" spans="1:26" s="105" customFormat="1" ht="57" customHeight="1" x14ac:dyDescent="0.4">
      <c r="A221" s="86"/>
      <c r="B221" s="86"/>
      <c r="C221" s="104"/>
      <c r="D221" s="453"/>
      <c r="E221" s="453"/>
      <c r="F221" s="453"/>
      <c r="G221" s="104"/>
      <c r="H221" s="455"/>
      <c r="I221" s="456"/>
      <c r="J221" s="456"/>
      <c r="K221" s="456"/>
      <c r="L221" s="452"/>
      <c r="M221" s="102"/>
      <c r="N221" s="104"/>
      <c r="O221" s="453"/>
      <c r="P221" s="453"/>
      <c r="Q221" s="453"/>
      <c r="R221" s="104"/>
      <c r="S221" s="455"/>
      <c r="T221" s="456"/>
      <c r="U221" s="456"/>
      <c r="V221" s="456"/>
      <c r="W221" s="452"/>
      <c r="Z221" s="62"/>
    </row>
    <row r="222" spans="1:26" s="103" customFormat="1" ht="17.25" customHeight="1" x14ac:dyDescent="0.4">
      <c r="A222" s="101"/>
      <c r="B222" s="101"/>
      <c r="C222" s="106"/>
      <c r="D222" s="442"/>
      <c r="E222" s="442"/>
      <c r="F222" s="107"/>
      <c r="G222" s="106"/>
      <c r="H222" s="108"/>
      <c r="I222" s="443"/>
      <c r="J222" s="443"/>
      <c r="K222" s="443"/>
      <c r="L222" s="109"/>
      <c r="M222" s="109"/>
      <c r="N222" s="442"/>
      <c r="O222" s="442"/>
      <c r="P222" s="442"/>
      <c r="Q222" s="442"/>
      <c r="R222" s="442"/>
      <c r="S222" s="442"/>
      <c r="T222" s="442"/>
      <c r="U222" s="442"/>
      <c r="V222" s="442"/>
      <c r="W222" s="442"/>
      <c r="Z222" s="62"/>
    </row>
    <row r="223" spans="1:26" s="103" customFormat="1" ht="17.25" customHeight="1" x14ac:dyDescent="0.4">
      <c r="A223" s="101"/>
      <c r="B223" s="101"/>
      <c r="C223" s="106"/>
      <c r="D223" s="442"/>
      <c r="E223" s="442"/>
      <c r="F223" s="107"/>
      <c r="G223" s="106"/>
      <c r="H223" s="108"/>
      <c r="I223" s="443"/>
      <c r="J223" s="443"/>
      <c r="K223" s="443"/>
      <c r="L223" s="110"/>
      <c r="M223" s="109"/>
      <c r="N223" s="106"/>
      <c r="O223" s="442"/>
      <c r="P223" s="442"/>
      <c r="Q223" s="107"/>
      <c r="R223" s="106"/>
      <c r="S223" s="108"/>
      <c r="T223" s="443"/>
      <c r="U223" s="443"/>
      <c r="V223" s="443"/>
      <c r="W223" s="110"/>
      <c r="Z223" s="62"/>
    </row>
    <row r="224" spans="1:26" s="103" customFormat="1" ht="17.25" customHeight="1" x14ac:dyDescent="0.4">
      <c r="A224" s="101"/>
      <c r="B224" s="101"/>
      <c r="C224" s="106"/>
      <c r="D224" s="442"/>
      <c r="E224" s="442"/>
      <c r="F224" s="107"/>
      <c r="G224" s="106"/>
      <c r="H224" s="108"/>
      <c r="I224" s="443"/>
      <c r="J224" s="443"/>
      <c r="K224" s="443"/>
      <c r="L224" s="109"/>
      <c r="M224" s="109"/>
      <c r="N224" s="106"/>
      <c r="O224" s="442"/>
      <c r="P224" s="442"/>
      <c r="Q224" s="107"/>
      <c r="R224" s="106"/>
      <c r="S224" s="108"/>
      <c r="T224" s="443"/>
      <c r="U224" s="443"/>
      <c r="V224" s="443"/>
      <c r="W224" s="110"/>
      <c r="Z224" s="62"/>
    </row>
    <row r="225" spans="1:26" s="103" customFormat="1" ht="17.25" customHeight="1" x14ac:dyDescent="0.4">
      <c r="A225" s="101"/>
      <c r="B225" s="101"/>
      <c r="C225" s="106"/>
      <c r="D225" s="442"/>
      <c r="E225" s="442"/>
      <c r="F225" s="107"/>
      <c r="G225" s="106"/>
      <c r="H225" s="108"/>
      <c r="I225" s="443"/>
      <c r="J225" s="443"/>
      <c r="K225" s="443"/>
      <c r="L225" s="110"/>
      <c r="M225" s="109"/>
      <c r="N225" s="106"/>
      <c r="O225" s="442"/>
      <c r="P225" s="442"/>
      <c r="Q225" s="107"/>
      <c r="R225" s="106"/>
      <c r="S225" s="108"/>
      <c r="T225" s="443"/>
      <c r="U225" s="443"/>
      <c r="V225" s="443"/>
      <c r="W225" s="110"/>
      <c r="Z225" s="62"/>
    </row>
    <row r="226" spans="1:26" s="103" customFormat="1" ht="17.25" customHeight="1" x14ac:dyDescent="0.4">
      <c r="A226" s="101"/>
      <c r="B226" s="101"/>
      <c r="C226" s="106"/>
      <c r="D226" s="442"/>
      <c r="E226" s="442"/>
      <c r="F226" s="107"/>
      <c r="G226" s="106"/>
      <c r="H226" s="108"/>
      <c r="I226" s="443"/>
      <c r="J226" s="443"/>
      <c r="K226" s="443"/>
      <c r="L226" s="109"/>
      <c r="M226" s="109"/>
      <c r="N226" s="442"/>
      <c r="O226" s="442"/>
      <c r="P226" s="442"/>
      <c r="Q226" s="442"/>
      <c r="R226" s="442"/>
      <c r="S226" s="442"/>
      <c r="T226" s="442"/>
      <c r="U226" s="442"/>
      <c r="V226" s="442"/>
      <c r="W226" s="442"/>
      <c r="Z226" s="62"/>
    </row>
    <row r="227" spans="1:26" s="103" customFormat="1" ht="17.25" customHeight="1" x14ac:dyDescent="0.4">
      <c r="A227" s="101"/>
      <c r="B227" s="101"/>
      <c r="C227" s="106"/>
      <c r="D227" s="442"/>
      <c r="E227" s="442"/>
      <c r="F227" s="107"/>
      <c r="G227" s="106"/>
      <c r="H227" s="108"/>
      <c r="I227" s="443"/>
      <c r="J227" s="443"/>
      <c r="K227" s="443"/>
      <c r="L227" s="110"/>
      <c r="M227" s="109"/>
      <c r="N227" s="106"/>
      <c r="O227" s="442"/>
      <c r="P227" s="442"/>
      <c r="Q227" s="107"/>
      <c r="R227" s="106"/>
      <c r="S227" s="108"/>
      <c r="T227" s="443"/>
      <c r="U227" s="443"/>
      <c r="V227" s="443"/>
      <c r="W227" s="110"/>
      <c r="Z227" s="62"/>
    </row>
    <row r="228" spans="1:26" s="103" customFormat="1" ht="17.25" customHeight="1" x14ac:dyDescent="0.4">
      <c r="A228" s="101"/>
      <c r="B228" s="101"/>
      <c r="C228" s="106"/>
      <c r="D228" s="442"/>
      <c r="E228" s="442"/>
      <c r="F228" s="107"/>
      <c r="G228" s="106"/>
      <c r="H228" s="108"/>
      <c r="I228" s="443"/>
      <c r="J228" s="443"/>
      <c r="K228" s="443"/>
      <c r="L228" s="109"/>
      <c r="M228" s="109"/>
      <c r="N228" s="106"/>
      <c r="O228" s="442"/>
      <c r="P228" s="442"/>
      <c r="Q228" s="107"/>
      <c r="R228" s="106"/>
      <c r="S228" s="108"/>
      <c r="T228" s="443"/>
      <c r="U228" s="443"/>
      <c r="V228" s="443"/>
      <c r="W228" s="110"/>
      <c r="Z228" s="62"/>
    </row>
    <row r="229" spans="1:26" s="103" customFormat="1" ht="17.25" customHeight="1" x14ac:dyDescent="0.4">
      <c r="A229" s="101"/>
      <c r="B229" s="101"/>
      <c r="C229" s="106"/>
      <c r="D229" s="442"/>
      <c r="E229" s="442"/>
      <c r="F229" s="107"/>
      <c r="G229" s="106"/>
      <c r="H229" s="108"/>
      <c r="I229" s="443"/>
      <c r="J229" s="443"/>
      <c r="K229" s="443"/>
      <c r="L229" s="110"/>
      <c r="M229" s="109"/>
      <c r="N229" s="106"/>
      <c r="O229" s="442"/>
      <c r="P229" s="442"/>
      <c r="Q229" s="107"/>
      <c r="R229" s="106"/>
      <c r="S229" s="108"/>
      <c r="T229" s="443"/>
      <c r="U229" s="443"/>
      <c r="V229" s="443"/>
      <c r="W229" s="110"/>
      <c r="Z229" s="62"/>
    </row>
    <row r="230" spans="1:26" s="103" customFormat="1" ht="17.25" customHeight="1" x14ac:dyDescent="0.4">
      <c r="A230" s="101"/>
      <c r="B230" s="101"/>
      <c r="C230" s="106"/>
      <c r="D230" s="442"/>
      <c r="E230" s="442"/>
      <c r="F230" s="107"/>
      <c r="G230" s="106"/>
      <c r="H230" s="108"/>
      <c r="I230" s="443"/>
      <c r="J230" s="443"/>
      <c r="K230" s="443"/>
      <c r="L230" s="109"/>
      <c r="M230" s="109"/>
      <c r="N230" s="106"/>
      <c r="O230" s="442"/>
      <c r="P230" s="442"/>
      <c r="Q230" s="107"/>
      <c r="R230" s="106"/>
      <c r="S230" s="108"/>
      <c r="T230" s="443"/>
      <c r="U230" s="443"/>
      <c r="V230" s="443"/>
      <c r="W230" s="110"/>
      <c r="Z230" s="62"/>
    </row>
    <row r="231" spans="1:26" s="103" customFormat="1" ht="17.25" customHeight="1" x14ac:dyDescent="0.4">
      <c r="A231" s="101"/>
      <c r="B231" s="101"/>
      <c r="C231" s="106"/>
      <c r="D231" s="442"/>
      <c r="E231" s="442"/>
      <c r="F231" s="111"/>
      <c r="G231" s="106"/>
      <c r="H231" s="108"/>
      <c r="I231" s="443"/>
      <c r="J231" s="443"/>
      <c r="K231" s="443"/>
      <c r="L231" s="110"/>
      <c r="M231" s="109"/>
      <c r="N231" s="106"/>
      <c r="O231" s="442"/>
      <c r="P231" s="442"/>
      <c r="Q231" s="107"/>
      <c r="R231" s="106"/>
      <c r="S231" s="108"/>
      <c r="T231" s="443"/>
      <c r="U231" s="443"/>
      <c r="V231" s="443"/>
      <c r="W231" s="110"/>
      <c r="Z231" s="62"/>
    </row>
    <row r="232" spans="1:26" s="103" customFormat="1" ht="17.25" customHeight="1" x14ac:dyDescent="0.4">
      <c r="A232" s="101"/>
      <c r="B232" s="101"/>
      <c r="C232" s="106"/>
      <c r="D232" s="442"/>
      <c r="E232" s="442"/>
      <c r="F232" s="111"/>
      <c r="G232" s="106"/>
      <c r="H232" s="108"/>
      <c r="I232" s="443"/>
      <c r="J232" s="443"/>
      <c r="K232" s="443"/>
      <c r="L232" s="109"/>
      <c r="M232" s="109"/>
      <c r="N232" s="106"/>
      <c r="O232" s="442"/>
      <c r="P232" s="442"/>
      <c r="Q232" s="107"/>
      <c r="R232" s="106"/>
      <c r="S232" s="108"/>
      <c r="T232" s="443"/>
      <c r="U232" s="443"/>
      <c r="V232" s="443"/>
      <c r="W232" s="110"/>
      <c r="Z232" s="62"/>
    </row>
    <row r="233" spans="1:26" s="103" customFormat="1" ht="17.25" customHeight="1" x14ac:dyDescent="0.4">
      <c r="A233" s="101"/>
      <c r="B233" s="101"/>
      <c r="C233" s="106"/>
      <c r="D233" s="442"/>
      <c r="E233" s="442"/>
      <c r="F233" s="111"/>
      <c r="G233" s="106"/>
      <c r="H233" s="108"/>
      <c r="I233" s="443"/>
      <c r="J233" s="443"/>
      <c r="K233" s="443"/>
      <c r="L233" s="110"/>
      <c r="M233" s="109"/>
      <c r="N233" s="106"/>
      <c r="O233" s="442"/>
      <c r="P233" s="442"/>
      <c r="Q233" s="107"/>
      <c r="R233" s="106"/>
      <c r="S233" s="108"/>
      <c r="T233" s="443"/>
      <c r="U233" s="443"/>
      <c r="V233" s="443"/>
      <c r="W233" s="110"/>
      <c r="Z233" s="62"/>
    </row>
    <row r="234" spans="1:26" s="103" customFormat="1" ht="17.25" customHeight="1" x14ac:dyDescent="0.4">
      <c r="A234" s="101"/>
      <c r="B234" s="101"/>
      <c r="C234" s="106"/>
      <c r="D234" s="442"/>
      <c r="E234" s="442"/>
      <c r="F234" s="111"/>
      <c r="G234" s="106"/>
      <c r="H234" s="108"/>
      <c r="I234" s="443"/>
      <c r="J234" s="443"/>
      <c r="K234" s="443"/>
      <c r="L234" s="109"/>
      <c r="M234" s="109"/>
      <c r="N234" s="106"/>
      <c r="O234" s="442"/>
      <c r="P234" s="442"/>
      <c r="Q234" s="107"/>
      <c r="R234" s="106"/>
      <c r="S234" s="108"/>
      <c r="T234" s="443"/>
      <c r="U234" s="443"/>
      <c r="V234" s="443"/>
      <c r="W234" s="110"/>
      <c r="Z234" s="62"/>
    </row>
    <row r="235" spans="1:26" s="103" customFormat="1" ht="17.25" customHeight="1" x14ac:dyDescent="0.4">
      <c r="A235" s="101"/>
      <c r="B235" s="101"/>
      <c r="C235" s="106"/>
      <c r="D235" s="442"/>
      <c r="E235" s="442"/>
      <c r="F235" s="111"/>
      <c r="G235" s="106"/>
      <c r="H235" s="108"/>
      <c r="I235" s="443"/>
      <c r="J235" s="443"/>
      <c r="K235" s="443"/>
      <c r="L235" s="110"/>
      <c r="M235" s="109"/>
      <c r="N235" s="106"/>
      <c r="O235" s="442"/>
      <c r="P235" s="442"/>
      <c r="Q235" s="107"/>
      <c r="R235" s="106"/>
      <c r="S235" s="108"/>
      <c r="T235" s="443"/>
      <c r="U235" s="443"/>
      <c r="V235" s="443"/>
      <c r="W235" s="110"/>
      <c r="Z235" s="62"/>
    </row>
    <row r="236" spans="1:26" s="103" customFormat="1" ht="17.25" customHeight="1" x14ac:dyDescent="0.4">
      <c r="A236" s="101"/>
      <c r="B236" s="101"/>
      <c r="C236" s="106"/>
      <c r="D236" s="442"/>
      <c r="E236" s="442"/>
      <c r="F236" s="111"/>
      <c r="G236" s="106"/>
      <c r="H236" s="108"/>
      <c r="I236" s="443"/>
      <c r="J236" s="443"/>
      <c r="K236" s="443"/>
      <c r="L236" s="109"/>
      <c r="M236" s="109"/>
      <c r="N236" s="106"/>
      <c r="O236" s="442"/>
      <c r="P236" s="442"/>
      <c r="Q236" s="107"/>
      <c r="R236" s="106"/>
      <c r="S236" s="108"/>
      <c r="T236" s="443"/>
      <c r="U236" s="443"/>
      <c r="V236" s="443"/>
      <c r="W236" s="110"/>
      <c r="Z236" s="62"/>
    </row>
    <row r="237" spans="1:26" s="103" customFormat="1" ht="17.25" customHeight="1" x14ac:dyDescent="0.4">
      <c r="A237" s="101"/>
      <c r="B237" s="101"/>
      <c r="C237" s="106"/>
      <c r="D237" s="442"/>
      <c r="E237" s="442"/>
      <c r="F237" s="111"/>
      <c r="G237" s="106"/>
      <c r="H237" s="108"/>
      <c r="I237" s="443"/>
      <c r="J237" s="443"/>
      <c r="K237" s="443"/>
      <c r="L237" s="110"/>
      <c r="M237" s="109"/>
      <c r="N237" s="106"/>
      <c r="O237" s="442"/>
      <c r="P237" s="442"/>
      <c r="Q237" s="107"/>
      <c r="R237" s="106"/>
      <c r="S237" s="108"/>
      <c r="T237" s="443"/>
      <c r="U237" s="443"/>
      <c r="V237" s="443"/>
      <c r="W237" s="110"/>
      <c r="Z237" s="62"/>
    </row>
    <row r="238" spans="1:26" s="103" customFormat="1" ht="17.25" customHeight="1" x14ac:dyDescent="0.4">
      <c r="A238" s="101"/>
      <c r="B238" s="101"/>
      <c r="C238" s="106"/>
      <c r="D238" s="442"/>
      <c r="E238" s="442"/>
      <c r="F238" s="111"/>
      <c r="G238" s="106"/>
      <c r="H238" s="108"/>
      <c r="I238" s="443"/>
      <c r="J238" s="443"/>
      <c r="K238" s="443"/>
      <c r="L238" s="109"/>
      <c r="M238" s="109"/>
      <c r="N238" s="106"/>
      <c r="O238" s="442"/>
      <c r="P238" s="442"/>
      <c r="Q238" s="107"/>
      <c r="R238" s="106"/>
      <c r="S238" s="108"/>
      <c r="T238" s="443"/>
      <c r="U238" s="443"/>
      <c r="V238" s="443"/>
      <c r="W238" s="110"/>
      <c r="Z238" s="62"/>
    </row>
    <row r="239" spans="1:26" s="103" customFormat="1" ht="17.25" customHeight="1" x14ac:dyDescent="0.4">
      <c r="A239" s="101"/>
      <c r="B239" s="101"/>
      <c r="C239" s="443"/>
      <c r="D239" s="443"/>
      <c r="E239" s="443"/>
      <c r="F239" s="443"/>
      <c r="G239" s="443"/>
      <c r="H239" s="443"/>
      <c r="I239" s="443"/>
      <c r="J239" s="443"/>
      <c r="K239" s="443"/>
      <c r="L239" s="443"/>
      <c r="M239" s="443"/>
      <c r="N239" s="443"/>
      <c r="O239" s="112"/>
      <c r="P239" s="73"/>
      <c r="Q239" s="443"/>
      <c r="R239" s="443"/>
      <c r="S239" s="443"/>
      <c r="T239" s="443"/>
      <c r="U239" s="443"/>
      <c r="V239" s="443"/>
      <c r="W239" s="443"/>
      <c r="Z239" s="62"/>
    </row>
    <row r="240" spans="1:26" s="103" customFormat="1" ht="17.25" customHeight="1" x14ac:dyDescent="0.4">
      <c r="A240" s="101"/>
      <c r="B240" s="101"/>
      <c r="C240" s="444"/>
      <c r="D240" s="444"/>
      <c r="E240" s="444"/>
      <c r="F240" s="444"/>
      <c r="G240" s="113"/>
      <c r="H240" s="113"/>
      <c r="I240" s="109"/>
      <c r="J240" s="113"/>
      <c r="K240" s="113"/>
      <c r="L240" s="113"/>
      <c r="M240" s="113"/>
      <c r="N240" s="113"/>
      <c r="O240" s="112"/>
      <c r="P240" s="113"/>
      <c r="Q240" s="443"/>
      <c r="R240" s="443"/>
      <c r="S240" s="443"/>
      <c r="T240" s="443"/>
      <c r="U240" s="443"/>
      <c r="V240" s="443"/>
      <c r="W240" s="443"/>
      <c r="Z240" s="62"/>
    </row>
    <row r="241" spans="1:26" s="103" customFormat="1" ht="15.75" customHeight="1" x14ac:dyDescent="0.4">
      <c r="A241" s="101"/>
      <c r="B241" s="101"/>
      <c r="C241" s="443"/>
      <c r="D241" s="443"/>
      <c r="E241" s="443"/>
      <c r="F241" s="443"/>
      <c r="G241" s="443"/>
      <c r="H241" s="443"/>
      <c r="I241" s="443"/>
      <c r="J241" s="446"/>
      <c r="K241" s="446"/>
      <c r="L241" s="442"/>
      <c r="M241" s="442"/>
      <c r="N241" s="442"/>
      <c r="O241" s="442"/>
      <c r="P241" s="442"/>
      <c r="Q241" s="114"/>
      <c r="R241" s="442"/>
      <c r="S241" s="442"/>
      <c r="T241" s="442"/>
      <c r="U241" s="442"/>
      <c r="V241" s="445"/>
      <c r="W241" s="445"/>
      <c r="Z241" s="62"/>
    </row>
    <row r="242" spans="1:26" s="103" customFormat="1" ht="15.75" customHeight="1" x14ac:dyDescent="0.4">
      <c r="A242" s="101"/>
      <c r="B242" s="101"/>
      <c r="C242" s="443"/>
      <c r="D242" s="443"/>
      <c r="E242" s="443"/>
      <c r="F242" s="443"/>
      <c r="G242" s="443"/>
      <c r="H242" s="443"/>
      <c r="I242" s="443"/>
      <c r="J242" s="446"/>
      <c r="K242" s="446"/>
      <c r="L242" s="442"/>
      <c r="M242" s="442"/>
      <c r="N242" s="442"/>
      <c r="O242" s="442"/>
      <c r="P242" s="442"/>
      <c r="Q242" s="114"/>
      <c r="R242" s="442"/>
      <c r="S242" s="442"/>
      <c r="T242" s="442"/>
      <c r="U242" s="442"/>
      <c r="V242" s="445"/>
      <c r="W242" s="445"/>
      <c r="Z242" s="62"/>
    </row>
    <row r="243" spans="1:26" s="103" customFormat="1" ht="15.75" customHeight="1" x14ac:dyDescent="0.4">
      <c r="A243" s="101"/>
      <c r="B243" s="101"/>
      <c r="C243" s="443"/>
      <c r="D243" s="443"/>
      <c r="E243" s="443"/>
      <c r="F243" s="443"/>
      <c r="G243" s="443"/>
      <c r="H243" s="443"/>
      <c r="I243" s="443"/>
      <c r="J243" s="446"/>
      <c r="K243" s="446"/>
      <c r="L243" s="442"/>
      <c r="M243" s="442"/>
      <c r="N243" s="442"/>
      <c r="O243" s="442"/>
      <c r="P243" s="442"/>
      <c r="Q243" s="114"/>
      <c r="R243" s="442"/>
      <c r="S243" s="442"/>
      <c r="T243" s="442"/>
      <c r="U243" s="442"/>
      <c r="V243" s="445"/>
      <c r="W243" s="445"/>
      <c r="Z243" s="62"/>
    </row>
    <row r="244" spans="1:26" s="61" customFormat="1" ht="30" customHeight="1" x14ac:dyDescent="0.45">
      <c r="A244" s="58"/>
      <c r="B244" s="58"/>
      <c r="C244" s="115"/>
      <c r="D244" s="115"/>
      <c r="E244" s="115"/>
      <c r="F244" s="115"/>
      <c r="G244" s="115"/>
      <c r="H244" s="115"/>
      <c r="I244" s="115"/>
      <c r="J244" s="115"/>
      <c r="K244" s="115"/>
      <c r="L244" s="109"/>
      <c r="M244" s="109"/>
      <c r="N244" s="443"/>
      <c r="O244" s="443"/>
      <c r="P244" s="443"/>
      <c r="Q244" s="443"/>
      <c r="R244" s="443"/>
      <c r="S244" s="443"/>
      <c r="T244" s="443"/>
      <c r="U244" s="443"/>
      <c r="V244" s="443"/>
      <c r="W244" s="443"/>
      <c r="Z244" s="62"/>
    </row>
    <row r="245" spans="1:26" s="61" customFormat="1" ht="14.25" customHeight="1" x14ac:dyDescent="0.45">
      <c r="A245" s="58"/>
      <c r="B245" s="58"/>
      <c r="C245" s="115"/>
      <c r="D245" s="115"/>
      <c r="E245" s="115"/>
      <c r="F245" s="115"/>
      <c r="G245" s="115"/>
      <c r="H245" s="115"/>
      <c r="I245" s="115"/>
      <c r="J245" s="115"/>
      <c r="K245" s="115"/>
      <c r="L245" s="447"/>
      <c r="M245" s="447"/>
      <c r="N245" s="447"/>
      <c r="O245" s="447"/>
      <c r="P245" s="447"/>
      <c r="Q245" s="447"/>
      <c r="R245" s="116"/>
      <c r="S245" s="115"/>
      <c r="T245" s="115"/>
      <c r="U245" s="115"/>
      <c r="V245" s="113"/>
      <c r="W245" s="113"/>
      <c r="Z245" s="62"/>
    </row>
    <row r="246" spans="1:26" s="61" customFormat="1" ht="14.25" customHeight="1" x14ac:dyDescent="0.45">
      <c r="A246" s="58"/>
      <c r="B246" s="58"/>
      <c r="C246" s="115"/>
      <c r="D246" s="115"/>
      <c r="E246" s="115"/>
      <c r="F246" s="115"/>
      <c r="G246" s="115"/>
      <c r="H246" s="115"/>
      <c r="I246" s="115"/>
      <c r="J246" s="115"/>
      <c r="K246" s="115"/>
      <c r="L246" s="115"/>
      <c r="M246" s="115"/>
      <c r="N246" s="444"/>
      <c r="O246" s="444"/>
      <c r="P246" s="444"/>
      <c r="Q246" s="444"/>
      <c r="R246" s="116"/>
      <c r="S246" s="115"/>
      <c r="T246" s="115"/>
      <c r="U246" s="115"/>
      <c r="V246" s="113"/>
      <c r="W246" s="113"/>
      <c r="Z246" s="62"/>
    </row>
    <row r="247" spans="1:26" s="61" customFormat="1" ht="14.25" customHeight="1" x14ac:dyDescent="0.45">
      <c r="A247" s="58"/>
      <c r="B247" s="58"/>
      <c r="C247" s="448"/>
      <c r="D247" s="448"/>
      <c r="E247" s="448"/>
      <c r="F247" s="448"/>
      <c r="G247" s="448"/>
      <c r="H247" s="448"/>
      <c r="I247" s="448"/>
      <c r="J247" s="448"/>
      <c r="K247" s="448"/>
      <c r="L247" s="448"/>
      <c r="M247" s="448"/>
      <c r="N247" s="448"/>
      <c r="O247" s="448"/>
      <c r="P247" s="448"/>
      <c r="Q247" s="448"/>
      <c r="R247" s="72"/>
      <c r="S247" s="73"/>
      <c r="T247" s="73"/>
      <c r="U247" s="74"/>
      <c r="V247" s="75"/>
      <c r="W247" s="113"/>
      <c r="Z247" s="62"/>
    </row>
    <row r="248" spans="1:26" s="61" customFormat="1" ht="14.25" customHeight="1" x14ac:dyDescent="0.45">
      <c r="A248" s="58"/>
      <c r="B248" s="58"/>
      <c r="C248" s="448"/>
      <c r="D248" s="448"/>
      <c r="E248" s="448"/>
      <c r="F248" s="448"/>
      <c r="G248" s="448"/>
      <c r="H248" s="448"/>
      <c r="I248" s="448"/>
      <c r="J248" s="448"/>
      <c r="K248" s="448"/>
      <c r="L248" s="448"/>
      <c r="M248" s="448"/>
      <c r="N248" s="448"/>
      <c r="O248" s="448"/>
      <c r="P248" s="448"/>
      <c r="Q248" s="448"/>
      <c r="R248" s="72"/>
      <c r="S248" s="73"/>
      <c r="T248" s="73"/>
      <c r="U248" s="74"/>
      <c r="V248" s="75"/>
      <c r="W248" s="75"/>
      <c r="Z248" s="62"/>
    </row>
    <row r="249" spans="1:26" s="61" customFormat="1" ht="5.25" customHeight="1" x14ac:dyDescent="0.45">
      <c r="A249" s="58"/>
      <c r="B249" s="58"/>
      <c r="C249" s="59"/>
      <c r="D249" s="59"/>
      <c r="E249" s="59"/>
      <c r="F249" s="59"/>
      <c r="G249" s="59"/>
      <c r="H249" s="59"/>
      <c r="I249" s="59"/>
      <c r="J249" s="59"/>
      <c r="K249" s="59"/>
      <c r="L249" s="70"/>
      <c r="M249" s="70"/>
      <c r="N249" s="68"/>
      <c r="O249" s="76"/>
      <c r="P249" s="76"/>
      <c r="Q249" s="76"/>
      <c r="R249" s="76"/>
      <c r="S249" s="76"/>
      <c r="T249" s="77"/>
      <c r="U249" s="77"/>
      <c r="V249" s="78"/>
      <c r="W249" s="78"/>
      <c r="Z249" s="62"/>
    </row>
    <row r="250" spans="1:26" s="61" customFormat="1" ht="14.25" customHeight="1" x14ac:dyDescent="0.45">
      <c r="A250" s="58"/>
      <c r="B250" s="58"/>
      <c r="C250" s="77"/>
      <c r="D250" s="450"/>
      <c r="E250" s="450"/>
      <c r="F250" s="450"/>
      <c r="G250" s="79"/>
      <c r="H250" s="449"/>
      <c r="I250" s="449"/>
      <c r="J250" s="449"/>
      <c r="K250" s="449"/>
      <c r="L250" s="70"/>
      <c r="M250" s="70"/>
      <c r="N250" s="59"/>
      <c r="O250" s="59"/>
      <c r="P250" s="59"/>
      <c r="Q250" s="59"/>
      <c r="R250" s="59"/>
      <c r="S250" s="69"/>
      <c r="T250" s="69"/>
      <c r="U250" s="69"/>
      <c r="V250" s="69"/>
      <c r="W250" s="69"/>
      <c r="Z250" s="62"/>
    </row>
    <row r="251" spans="1:26" s="61" customFormat="1" ht="14.25" customHeight="1" x14ac:dyDescent="0.45">
      <c r="A251" s="58"/>
      <c r="B251" s="58"/>
      <c r="C251" s="77"/>
      <c r="D251" s="451"/>
      <c r="E251" s="451"/>
      <c r="F251" s="451"/>
      <c r="G251" s="69"/>
      <c r="H251" s="69"/>
      <c r="I251" s="59"/>
      <c r="J251" s="59"/>
      <c r="K251" s="59"/>
      <c r="L251" s="70"/>
      <c r="M251" s="70"/>
      <c r="N251" s="59"/>
      <c r="O251" s="59"/>
      <c r="P251" s="59"/>
      <c r="Q251" s="59"/>
      <c r="R251" s="59"/>
      <c r="S251" s="69"/>
      <c r="T251" s="69"/>
      <c r="U251" s="69"/>
      <c r="V251" s="69"/>
      <c r="W251" s="69"/>
      <c r="Z251" s="62"/>
    </row>
    <row r="252" spans="1:26" s="61" customFormat="1" ht="14.25" customHeight="1" x14ac:dyDescent="0.45">
      <c r="A252" s="58"/>
      <c r="B252" s="58"/>
      <c r="C252" s="77"/>
      <c r="D252" s="80"/>
      <c r="E252" s="80"/>
      <c r="F252" s="80"/>
      <c r="G252" s="69"/>
      <c r="H252" s="69"/>
      <c r="I252" s="59"/>
      <c r="J252" s="59"/>
      <c r="K252" s="59"/>
      <c r="L252" s="70"/>
      <c r="M252" s="70"/>
      <c r="N252" s="59"/>
      <c r="O252" s="59"/>
      <c r="P252" s="59"/>
      <c r="Q252" s="59"/>
      <c r="R252" s="59"/>
      <c r="S252" s="69"/>
      <c r="T252" s="69"/>
      <c r="U252" s="69"/>
      <c r="V252" s="69"/>
      <c r="W252" s="69"/>
      <c r="Z252" s="62"/>
    </row>
    <row r="253" spans="1:26" s="61" customFormat="1" ht="14.25" customHeight="1" x14ac:dyDescent="0.45">
      <c r="A253" s="58"/>
      <c r="B253" s="58"/>
      <c r="C253" s="59"/>
      <c r="D253" s="59"/>
      <c r="E253" s="59"/>
      <c r="F253" s="68"/>
      <c r="G253" s="59"/>
      <c r="H253" s="59"/>
      <c r="I253" s="59"/>
      <c r="J253" s="59"/>
      <c r="K253" s="59"/>
      <c r="L253" s="70"/>
      <c r="M253" s="70"/>
      <c r="N253" s="70"/>
      <c r="O253" s="59"/>
      <c r="P253" s="69"/>
      <c r="Q253" s="69"/>
      <c r="R253" s="69"/>
      <c r="S253" s="69"/>
      <c r="T253" s="68"/>
      <c r="U253" s="68"/>
      <c r="V253" s="69"/>
      <c r="W253" s="69"/>
      <c r="Z253" s="62"/>
    </row>
    <row r="254" spans="1:26" s="61" customFormat="1" ht="14.25" customHeight="1" x14ac:dyDescent="0.45">
      <c r="A254" s="58"/>
      <c r="B254" s="58"/>
      <c r="C254" s="59"/>
      <c r="D254" s="59"/>
      <c r="E254" s="59"/>
      <c r="F254" s="68"/>
      <c r="G254" s="59"/>
      <c r="H254" s="59"/>
      <c r="I254" s="59"/>
      <c r="J254" s="59"/>
      <c r="K254" s="59"/>
      <c r="L254" s="70"/>
      <c r="M254" s="70"/>
      <c r="N254" s="70"/>
      <c r="O254" s="59"/>
      <c r="P254" s="69"/>
      <c r="Q254" s="69"/>
      <c r="R254" s="69"/>
      <c r="S254" s="69"/>
      <c r="T254" s="68"/>
      <c r="U254" s="68"/>
      <c r="V254" s="69"/>
      <c r="W254" s="69"/>
      <c r="Z254" s="62"/>
    </row>
    <row r="255" spans="1:26" s="61" customFormat="1" ht="27.75" customHeight="1" x14ac:dyDescent="0.45">
      <c r="A255" s="58"/>
      <c r="B255" s="58"/>
      <c r="C255" s="59"/>
      <c r="D255" s="59"/>
      <c r="E255" s="59"/>
      <c r="F255" s="59"/>
      <c r="G255" s="59"/>
      <c r="H255" s="59"/>
      <c r="I255" s="59"/>
      <c r="J255" s="59"/>
      <c r="K255" s="59"/>
      <c r="L255" s="70"/>
      <c r="M255" s="70"/>
      <c r="N255" s="70"/>
      <c r="O255" s="59"/>
      <c r="P255" s="59"/>
      <c r="Q255" s="59"/>
      <c r="R255" s="69"/>
      <c r="S255" s="69"/>
      <c r="T255" s="69"/>
      <c r="U255" s="69"/>
      <c r="V255" s="69"/>
      <c r="W255" s="69"/>
      <c r="Z255" s="62"/>
    </row>
    <row r="256" spans="1:26" s="61" customFormat="1" ht="25.5" customHeight="1" x14ac:dyDescent="0.45">
      <c r="A256" s="58"/>
      <c r="B256" s="58"/>
      <c r="C256" s="59"/>
      <c r="D256" s="59"/>
      <c r="E256" s="59"/>
      <c r="F256" s="67"/>
      <c r="G256" s="59"/>
      <c r="H256" s="59"/>
      <c r="I256" s="59"/>
      <c r="J256" s="59"/>
      <c r="K256" s="59"/>
      <c r="L256" s="70"/>
      <c r="M256" s="70"/>
      <c r="N256" s="70"/>
      <c r="O256" s="69"/>
      <c r="P256" s="69"/>
      <c r="Q256" s="69"/>
      <c r="R256" s="69"/>
      <c r="S256" s="69"/>
      <c r="T256" s="71"/>
      <c r="U256" s="69"/>
      <c r="V256" s="69"/>
      <c r="W256" s="69"/>
      <c r="Z256" s="62"/>
    </row>
    <row r="257" spans="1:26" s="61" customFormat="1" ht="21" customHeight="1" x14ac:dyDescent="0.45">
      <c r="A257" s="58"/>
      <c r="B257" s="58"/>
      <c r="C257" s="59"/>
      <c r="D257" s="81"/>
      <c r="E257" s="441"/>
      <c r="F257" s="441"/>
      <c r="G257" s="441"/>
      <c r="H257" s="441"/>
      <c r="I257" s="441"/>
      <c r="J257" s="441"/>
      <c r="K257" s="441"/>
      <c r="L257" s="441"/>
      <c r="M257" s="441"/>
      <c r="N257" s="441"/>
      <c r="O257" s="441"/>
      <c r="P257" s="441"/>
      <c r="Q257" s="441"/>
      <c r="R257" s="441"/>
      <c r="S257" s="441"/>
      <c r="T257" s="441"/>
      <c r="U257" s="441"/>
      <c r="V257" s="441"/>
      <c r="W257" s="81"/>
      <c r="Z257" s="62"/>
    </row>
    <row r="258" spans="1:26" s="61" customFormat="1" x14ac:dyDescent="0.45">
      <c r="A258" s="58"/>
      <c r="B258" s="58"/>
      <c r="C258" s="59"/>
      <c r="D258" s="59"/>
      <c r="E258" s="59"/>
      <c r="F258" s="60"/>
      <c r="G258" s="58"/>
      <c r="H258" s="59"/>
      <c r="I258" s="59"/>
      <c r="J258" s="59"/>
      <c r="K258" s="59"/>
      <c r="L258" s="70"/>
      <c r="M258" s="70"/>
      <c r="N258" s="70"/>
      <c r="O258" s="58"/>
      <c r="P258" s="441"/>
      <c r="Q258" s="441"/>
      <c r="R258" s="441"/>
      <c r="S258" s="441"/>
      <c r="T258" s="441"/>
      <c r="U258" s="68"/>
      <c r="V258" s="69"/>
      <c r="W258" s="69"/>
      <c r="Z258" s="62"/>
    </row>
    <row r="259" spans="1:26" s="61" customFormat="1" x14ac:dyDescent="0.45">
      <c r="A259" s="58"/>
      <c r="B259" s="58"/>
      <c r="C259" s="59"/>
      <c r="D259" s="59"/>
      <c r="E259" s="59"/>
      <c r="F259" s="58"/>
      <c r="G259" s="58"/>
      <c r="H259" s="58"/>
      <c r="I259" s="59"/>
      <c r="J259" s="58"/>
      <c r="K259" s="58"/>
      <c r="L259" s="58"/>
      <c r="M259" s="58"/>
      <c r="N259" s="58"/>
      <c r="O259" s="58"/>
      <c r="P259" s="58"/>
      <c r="Q259" s="58"/>
      <c r="R259" s="58"/>
      <c r="S259" s="58"/>
      <c r="T259" s="58"/>
      <c r="U259" s="58"/>
      <c r="V259" s="58"/>
      <c r="W259" s="69"/>
      <c r="Z259" s="62"/>
    </row>
    <row r="260" spans="1:26" s="61" customFormat="1" ht="12.75" customHeight="1" x14ac:dyDescent="0.45">
      <c r="A260" s="58"/>
      <c r="B260" s="58"/>
      <c r="C260" s="59"/>
      <c r="D260" s="59"/>
      <c r="E260" s="59"/>
      <c r="F260" s="59"/>
      <c r="G260" s="60"/>
      <c r="H260" s="59"/>
      <c r="I260" s="59"/>
      <c r="J260" s="59"/>
      <c r="K260" s="59"/>
      <c r="L260" s="67"/>
      <c r="M260" s="67"/>
      <c r="N260" s="67"/>
      <c r="O260" s="59"/>
      <c r="P260" s="60"/>
      <c r="Q260" s="60"/>
      <c r="R260" s="60"/>
      <c r="S260" s="59"/>
      <c r="T260" s="59"/>
      <c r="U260" s="68"/>
      <c r="V260" s="69"/>
      <c r="W260" s="69"/>
      <c r="Z260" s="62"/>
    </row>
    <row r="261" spans="1:26" s="61" customFormat="1" x14ac:dyDescent="0.45">
      <c r="A261" s="58"/>
      <c r="B261" s="58"/>
      <c r="C261" s="59"/>
      <c r="D261" s="59"/>
      <c r="E261" s="59"/>
      <c r="F261" s="59"/>
      <c r="G261" s="60"/>
      <c r="H261" s="59"/>
      <c r="I261" s="59"/>
      <c r="J261" s="59"/>
      <c r="K261" s="58"/>
      <c r="L261" s="58"/>
      <c r="M261" s="58"/>
      <c r="N261" s="58"/>
      <c r="O261" s="58"/>
      <c r="P261" s="58"/>
      <c r="Q261" s="58"/>
      <c r="R261" s="58"/>
      <c r="S261" s="58"/>
      <c r="T261" s="58"/>
      <c r="U261" s="68"/>
      <c r="V261" s="69"/>
      <c r="W261" s="69"/>
      <c r="Z261" s="62"/>
    </row>
    <row r="262" spans="1:26" s="61" customFormat="1" x14ac:dyDescent="0.45">
      <c r="A262" s="58"/>
      <c r="B262" s="58"/>
      <c r="C262" s="59"/>
      <c r="D262" s="59"/>
      <c r="E262" s="59"/>
      <c r="F262" s="60"/>
      <c r="G262" s="58"/>
      <c r="H262" s="59"/>
      <c r="I262" s="59"/>
      <c r="J262" s="59"/>
      <c r="K262" s="59"/>
      <c r="L262" s="58"/>
      <c r="M262" s="58"/>
      <c r="N262" s="58"/>
      <c r="O262" s="58"/>
      <c r="P262" s="441"/>
      <c r="Q262" s="441"/>
      <c r="R262" s="441"/>
      <c r="S262" s="441"/>
      <c r="T262" s="441"/>
      <c r="U262" s="58"/>
      <c r="V262" s="58"/>
      <c r="W262" s="59"/>
      <c r="Z262" s="62"/>
    </row>
  </sheetData>
  <customSheetViews>
    <customSheetView guid="{D6876842-41DE-4A2D-BA5A-3FB60505F493}" scale="115" showPageBreaks="1" printArea="1" hiddenRows="1" hiddenColumns="1" view="pageBreakPreview">
      <pane ySplit="4" topLeftCell="A11" activePane="bottomLeft" state="frozen"/>
      <selection pane="bottomLeft" activeCell="D16" sqref="D16:E16"/>
      <rowBreaks count="4" manualBreakCount="4">
        <brk id="55" max="16383" man="1"/>
        <brk id="103" max="32" man="1"/>
        <brk id="156" max="32" man="1"/>
        <brk id="211" max="32" man="1"/>
      </rowBreaks>
      <pageMargins left="0.27559055118110237" right="0.27559055118110237" top="0.27559055118110237" bottom="0.11811023622047245" header="0.31496062992125984" footer="0.51181102362204722"/>
      <printOptions horizontalCentered="1"/>
      <pageSetup paperSize="5" scale="81" orientation="portrait" horizontalDpi="4294967294" verticalDpi="300" r:id="rId1"/>
    </customSheetView>
    <customSheetView guid="{EAA758B6-7AEC-45F7-937A-E71BA55957BB}" showGridLines="0" showRowCol="0" zeroValues="0" printArea="1" view="pageBreakPreview">
      <pane ySplit="4" topLeftCell="A5" activePane="bottomLeft" state="frozen"/>
      <selection pane="bottomLeft"/>
      <rowBreaks count="4" manualBreakCount="4">
        <brk id="56" max="16383" man="1"/>
        <brk id="104" min="2" max="25" man="1"/>
        <brk id="157" min="2" max="25" man="1"/>
        <brk id="212" min="2" max="25" man="1"/>
      </rowBreaks>
      <pageMargins left="0.27559055118110237" right="0.27559055118110237" top="0.27559055118110237" bottom="0.11811023622047245" header="0.31496062992125984" footer="0.51181102362204722"/>
      <printOptions horizontalCentered="1"/>
      <pageSetup paperSize="5" scale="81" orientation="portrait" horizontalDpi="4294967294" verticalDpi="300" r:id="rId2"/>
    </customSheetView>
    <customSheetView guid="{9E5BF7AF-C1C4-4AED-923E-F8A9FE973BF3}" showPageBreaks="1" showGridLines="0" showRowCol="0" printArea="1" hiddenColumns="1" view="pageBreakPreview" topLeftCell="B10">
      <selection activeCell="F20" sqref="F12:F20"/>
      <pageMargins left="0.39" right="0.6" top="0.27559055118110237" bottom="0.51181102362204722" header="0.31496062992125984" footer="0.51181102362204722"/>
      <printOptions horizontalCentered="1"/>
      <pageSetup paperSize="9" scale="93" orientation="portrait" horizontalDpi="300" verticalDpi="300" r:id="rId3"/>
    </customSheetView>
  </customSheetViews>
  <mergeCells count="580">
    <mergeCell ref="D29:E29"/>
    <mergeCell ref="O31:P31"/>
    <mergeCell ref="D27:E27"/>
    <mergeCell ref="D25:E25"/>
    <mergeCell ref="L13:L14"/>
    <mergeCell ref="T21:V21"/>
    <mergeCell ref="C13:G13"/>
    <mergeCell ref="D15:E15"/>
    <mergeCell ref="I15:K15"/>
    <mergeCell ref="O18:P18"/>
    <mergeCell ref="D22:E22"/>
    <mergeCell ref="I18:K18"/>
    <mergeCell ref="I21:K21"/>
    <mergeCell ref="D19:E19"/>
    <mergeCell ref="D18:E18"/>
    <mergeCell ref="D21:E21"/>
    <mergeCell ref="I29:K29"/>
    <mergeCell ref="T24:V24"/>
    <mergeCell ref="T23:V23"/>
    <mergeCell ref="T22:V22"/>
    <mergeCell ref="T25:V25"/>
    <mergeCell ref="T27:V27"/>
    <mergeCell ref="T28:V28"/>
    <mergeCell ref="D30:E30"/>
    <mergeCell ref="D31:E31"/>
    <mergeCell ref="J34:K34"/>
    <mergeCell ref="O36:P36"/>
    <mergeCell ref="I31:K31"/>
    <mergeCell ref="T30:V30"/>
    <mergeCell ref="I30:K30"/>
    <mergeCell ref="T31:V31"/>
    <mergeCell ref="O30:P30"/>
    <mergeCell ref="R34:U34"/>
    <mergeCell ref="R36:U36"/>
    <mergeCell ref="L36:N36"/>
    <mergeCell ref="C36:I36"/>
    <mergeCell ref="L34:N34"/>
    <mergeCell ref="L35:N35"/>
    <mergeCell ref="R35:U35"/>
    <mergeCell ref="C32:N32"/>
    <mergeCell ref="O34:P34"/>
    <mergeCell ref="C33:F33"/>
    <mergeCell ref="O24:P24"/>
    <mergeCell ref="I16:K16"/>
    <mergeCell ref="D16:E16"/>
    <mergeCell ref="I13:K14"/>
    <mergeCell ref="H13:H14"/>
    <mergeCell ref="D14:F14"/>
    <mergeCell ref="T18:V18"/>
    <mergeCell ref="I19:K19"/>
    <mergeCell ref="I24:K24"/>
    <mergeCell ref="I22:K22"/>
    <mergeCell ref="D23:E23"/>
    <mergeCell ref="O17:P17"/>
    <mergeCell ref="D20:E20"/>
    <mergeCell ref="N6:W6"/>
    <mergeCell ref="V7:W7"/>
    <mergeCell ref="J10:M10"/>
    <mergeCell ref="V10:W10"/>
    <mergeCell ref="D8:L8"/>
    <mergeCell ref="O11:T11"/>
    <mergeCell ref="J11:M11"/>
    <mergeCell ref="D17:E17"/>
    <mergeCell ref="I20:K20"/>
    <mergeCell ref="O20:P20"/>
    <mergeCell ref="G11:H11"/>
    <mergeCell ref="G10:H10"/>
    <mergeCell ref="S13:S14"/>
    <mergeCell ref="T20:V20"/>
    <mergeCell ref="N19:W19"/>
    <mergeCell ref="T13:V14"/>
    <mergeCell ref="T16:V16"/>
    <mergeCell ref="N13:R13"/>
    <mergeCell ref="I17:K17"/>
    <mergeCell ref="O14:Q14"/>
    <mergeCell ref="N15:W15"/>
    <mergeCell ref="V11:W11"/>
    <mergeCell ref="W13:W14"/>
    <mergeCell ref="O16:P16"/>
    <mergeCell ref="D65:E65"/>
    <mergeCell ref="I65:K65"/>
    <mergeCell ref="O65:P65"/>
    <mergeCell ref="J58:M58"/>
    <mergeCell ref="V58:W58"/>
    <mergeCell ref="P55:T55"/>
    <mergeCell ref="V34:W36"/>
    <mergeCell ref="Q32:W32"/>
    <mergeCell ref="O35:P35"/>
    <mergeCell ref="E50:V50"/>
    <mergeCell ref="Q33:W33"/>
    <mergeCell ref="D44:F44"/>
    <mergeCell ref="D43:F43"/>
    <mergeCell ref="C34:I34"/>
    <mergeCell ref="C35:I35"/>
    <mergeCell ref="C41:Q41"/>
    <mergeCell ref="J35:K35"/>
    <mergeCell ref="P51:T51"/>
    <mergeCell ref="C40:Q40"/>
    <mergeCell ref="J36:K36"/>
    <mergeCell ref="H43:K43"/>
    <mergeCell ref="N39:Q39"/>
    <mergeCell ref="N37:W37"/>
    <mergeCell ref="L38:Q38"/>
    <mergeCell ref="D28:E28"/>
    <mergeCell ref="D26:E26"/>
    <mergeCell ref="T26:V26"/>
    <mergeCell ref="T17:V17"/>
    <mergeCell ref="D64:E64"/>
    <mergeCell ref="I64:K64"/>
    <mergeCell ref="O64:P64"/>
    <mergeCell ref="T64:V64"/>
    <mergeCell ref="O21:P21"/>
    <mergeCell ref="I28:K28"/>
    <mergeCell ref="O28:P28"/>
    <mergeCell ref="O29:P29"/>
    <mergeCell ref="O27:P27"/>
    <mergeCell ref="O23:P23"/>
    <mergeCell ref="T29:V29"/>
    <mergeCell ref="I26:K26"/>
    <mergeCell ref="O22:P22"/>
    <mergeCell ref="I23:K23"/>
    <mergeCell ref="D24:E24"/>
    <mergeCell ref="I27:K27"/>
    <mergeCell ref="I25:K25"/>
    <mergeCell ref="O25:P25"/>
    <mergeCell ref="O26:P26"/>
    <mergeCell ref="Q46:T46"/>
    <mergeCell ref="W61:W62"/>
    <mergeCell ref="D62:F62"/>
    <mergeCell ref="O62:Q62"/>
    <mergeCell ref="D63:E63"/>
    <mergeCell ref="I63:K63"/>
    <mergeCell ref="N63:W63"/>
    <mergeCell ref="J59:M59"/>
    <mergeCell ref="O59:T59"/>
    <mergeCell ref="V59:W59"/>
    <mergeCell ref="C61:G61"/>
    <mergeCell ref="H61:H62"/>
    <mergeCell ref="I61:K62"/>
    <mergeCell ref="L61:L62"/>
    <mergeCell ref="N61:R61"/>
    <mergeCell ref="S61:S62"/>
    <mergeCell ref="T61:V62"/>
    <mergeCell ref="T65:V65"/>
    <mergeCell ref="T68:V68"/>
    <mergeCell ref="D66:E66"/>
    <mergeCell ref="I66:K66"/>
    <mergeCell ref="O66:P66"/>
    <mergeCell ref="T66:V66"/>
    <mergeCell ref="O68:P68"/>
    <mergeCell ref="D77:E77"/>
    <mergeCell ref="I77:K77"/>
    <mergeCell ref="O77:P77"/>
    <mergeCell ref="T77:V77"/>
    <mergeCell ref="D76:E76"/>
    <mergeCell ref="I76:K76"/>
    <mergeCell ref="O76:P76"/>
    <mergeCell ref="T76:V76"/>
    <mergeCell ref="D67:E67"/>
    <mergeCell ref="I67:K67"/>
    <mergeCell ref="N67:W67"/>
    <mergeCell ref="D68:E68"/>
    <mergeCell ref="I68:K68"/>
    <mergeCell ref="T69:V69"/>
    <mergeCell ref="D71:E71"/>
    <mergeCell ref="I71:K71"/>
    <mergeCell ref="O71:P71"/>
    <mergeCell ref="D69:E69"/>
    <mergeCell ref="I69:K69"/>
    <mergeCell ref="O69:P69"/>
    <mergeCell ref="T71:V71"/>
    <mergeCell ref="D70:E70"/>
    <mergeCell ref="I70:K70"/>
    <mergeCell ref="O70:P70"/>
    <mergeCell ref="D73:E73"/>
    <mergeCell ref="I73:K73"/>
    <mergeCell ref="O73:P73"/>
    <mergeCell ref="T73:V73"/>
    <mergeCell ref="D72:E72"/>
    <mergeCell ref="I72:K72"/>
    <mergeCell ref="O72:P72"/>
    <mergeCell ref="T72:V72"/>
    <mergeCell ref="T70:V70"/>
    <mergeCell ref="D74:E74"/>
    <mergeCell ref="I74:K74"/>
    <mergeCell ref="O74:P74"/>
    <mergeCell ref="T74:V74"/>
    <mergeCell ref="T79:V79"/>
    <mergeCell ref="D78:E78"/>
    <mergeCell ref="I78:K78"/>
    <mergeCell ref="O78:P78"/>
    <mergeCell ref="T78:V78"/>
    <mergeCell ref="O82:P82"/>
    <mergeCell ref="C80:N80"/>
    <mergeCell ref="Q80:W80"/>
    <mergeCell ref="C81:F81"/>
    <mergeCell ref="Q81:W81"/>
    <mergeCell ref="C89:Q89"/>
    <mergeCell ref="D75:E75"/>
    <mergeCell ref="I75:K75"/>
    <mergeCell ref="O75:P75"/>
    <mergeCell ref="T75:V75"/>
    <mergeCell ref="D91:F91"/>
    <mergeCell ref="H91:K91"/>
    <mergeCell ref="C83:I83"/>
    <mergeCell ref="J83:K83"/>
    <mergeCell ref="L83:N83"/>
    <mergeCell ref="O83:P83"/>
    <mergeCell ref="C84:I84"/>
    <mergeCell ref="D79:E79"/>
    <mergeCell ref="I79:K79"/>
    <mergeCell ref="O79:P79"/>
    <mergeCell ref="J84:K84"/>
    <mergeCell ref="L84:N84"/>
    <mergeCell ref="N85:W85"/>
    <mergeCell ref="L86:Q86"/>
    <mergeCell ref="R82:U82"/>
    <mergeCell ref="V82:W84"/>
    <mergeCell ref="R83:U83"/>
    <mergeCell ref="O84:P84"/>
    <mergeCell ref="R84:U84"/>
    <mergeCell ref="N87:Q87"/>
    <mergeCell ref="C88:Q88"/>
    <mergeCell ref="C82:I82"/>
    <mergeCell ref="J82:K82"/>
    <mergeCell ref="L82:N82"/>
    <mergeCell ref="V108:W108"/>
    <mergeCell ref="J111:M111"/>
    <mergeCell ref="V111:W111"/>
    <mergeCell ref="D92:F92"/>
    <mergeCell ref="E98:V98"/>
    <mergeCell ref="P99:T99"/>
    <mergeCell ref="P103:T103"/>
    <mergeCell ref="N107:W107"/>
    <mergeCell ref="J112:M112"/>
    <mergeCell ref="O112:T112"/>
    <mergeCell ref="V112:W112"/>
    <mergeCell ref="D120:E120"/>
    <mergeCell ref="I120:K120"/>
    <mergeCell ref="N120:W120"/>
    <mergeCell ref="D121:E121"/>
    <mergeCell ref="I121:K121"/>
    <mergeCell ref="T122:V122"/>
    <mergeCell ref="D118:E118"/>
    <mergeCell ref="I118:K118"/>
    <mergeCell ref="O118:P118"/>
    <mergeCell ref="T118:V118"/>
    <mergeCell ref="T121:V121"/>
    <mergeCell ref="D119:E119"/>
    <mergeCell ref="I119:K119"/>
    <mergeCell ref="O119:P119"/>
    <mergeCell ref="T119:V119"/>
    <mergeCell ref="O121:P121"/>
    <mergeCell ref="D122:E122"/>
    <mergeCell ref="I122:K122"/>
    <mergeCell ref="O122:P122"/>
    <mergeCell ref="D117:E117"/>
    <mergeCell ref="I117:K117"/>
    <mergeCell ref="O117:P117"/>
    <mergeCell ref="T117:V117"/>
    <mergeCell ref="W114:W115"/>
    <mergeCell ref="D115:F115"/>
    <mergeCell ref="O115:Q115"/>
    <mergeCell ref="D116:E116"/>
    <mergeCell ref="I116:K116"/>
    <mergeCell ref="N116:W116"/>
    <mergeCell ref="C114:G114"/>
    <mergeCell ref="H114:H115"/>
    <mergeCell ref="I114:K115"/>
    <mergeCell ref="L114:L115"/>
    <mergeCell ref="N114:R114"/>
    <mergeCell ref="S114:S115"/>
    <mergeCell ref="T114:V115"/>
    <mergeCell ref="D123:E123"/>
    <mergeCell ref="I123:K123"/>
    <mergeCell ref="O123:P123"/>
    <mergeCell ref="T123:V123"/>
    <mergeCell ref="D126:E126"/>
    <mergeCell ref="I126:K126"/>
    <mergeCell ref="O126:P126"/>
    <mergeCell ref="T126:V126"/>
    <mergeCell ref="D125:E125"/>
    <mergeCell ref="I125:K125"/>
    <mergeCell ref="O125:P125"/>
    <mergeCell ref="T125:V125"/>
    <mergeCell ref="T131:V131"/>
    <mergeCell ref="D124:E124"/>
    <mergeCell ref="I124:K124"/>
    <mergeCell ref="O124:P124"/>
    <mergeCell ref="D128:E128"/>
    <mergeCell ref="I128:K128"/>
    <mergeCell ref="O128:P128"/>
    <mergeCell ref="T128:V128"/>
    <mergeCell ref="D127:E127"/>
    <mergeCell ref="I127:K127"/>
    <mergeCell ref="O127:P127"/>
    <mergeCell ref="T127:V127"/>
    <mergeCell ref="D130:E130"/>
    <mergeCell ref="I130:K130"/>
    <mergeCell ref="O130:P130"/>
    <mergeCell ref="T130:V130"/>
    <mergeCell ref="D129:E129"/>
    <mergeCell ref="T124:V124"/>
    <mergeCell ref="R135:U135"/>
    <mergeCell ref="V135:W137"/>
    <mergeCell ref="R136:U136"/>
    <mergeCell ref="O137:P137"/>
    <mergeCell ref="R137:U137"/>
    <mergeCell ref="V161:W161"/>
    <mergeCell ref="J164:M164"/>
    <mergeCell ref="V164:W164"/>
    <mergeCell ref="I129:K129"/>
    <mergeCell ref="O129:P129"/>
    <mergeCell ref="T129:V129"/>
    <mergeCell ref="C133:N133"/>
    <mergeCell ref="Q133:W133"/>
    <mergeCell ref="C134:F134"/>
    <mergeCell ref="Q134:W134"/>
    <mergeCell ref="J137:K137"/>
    <mergeCell ref="L137:N137"/>
    <mergeCell ref="D132:E132"/>
    <mergeCell ref="I132:K132"/>
    <mergeCell ref="O132:P132"/>
    <mergeCell ref="T132:V132"/>
    <mergeCell ref="D131:E131"/>
    <mergeCell ref="I131:K131"/>
    <mergeCell ref="O131:P131"/>
    <mergeCell ref="D171:E171"/>
    <mergeCell ref="I171:K171"/>
    <mergeCell ref="O171:P171"/>
    <mergeCell ref="D145:F145"/>
    <mergeCell ref="E151:V151"/>
    <mergeCell ref="P152:T152"/>
    <mergeCell ref="P156:T156"/>
    <mergeCell ref="N160:W160"/>
    <mergeCell ref="C135:I135"/>
    <mergeCell ref="J135:K135"/>
    <mergeCell ref="L135:N135"/>
    <mergeCell ref="O135:P135"/>
    <mergeCell ref="N140:Q140"/>
    <mergeCell ref="C141:Q141"/>
    <mergeCell ref="C142:Q142"/>
    <mergeCell ref="D144:F144"/>
    <mergeCell ref="H144:K144"/>
    <mergeCell ref="C136:I136"/>
    <mergeCell ref="J136:K136"/>
    <mergeCell ref="L136:N136"/>
    <mergeCell ref="O136:P136"/>
    <mergeCell ref="C137:I137"/>
    <mergeCell ref="N138:W138"/>
    <mergeCell ref="L139:Q139"/>
    <mergeCell ref="D170:E170"/>
    <mergeCell ref="I170:K170"/>
    <mergeCell ref="O170:P170"/>
    <mergeCell ref="T170:V170"/>
    <mergeCell ref="W167:W168"/>
    <mergeCell ref="D168:F168"/>
    <mergeCell ref="O168:Q168"/>
    <mergeCell ref="D169:E169"/>
    <mergeCell ref="I169:K169"/>
    <mergeCell ref="N169:W169"/>
    <mergeCell ref="J165:M165"/>
    <mergeCell ref="O165:T165"/>
    <mergeCell ref="V165:W165"/>
    <mergeCell ref="C167:G167"/>
    <mergeCell ref="H167:H168"/>
    <mergeCell ref="I167:K168"/>
    <mergeCell ref="L167:L168"/>
    <mergeCell ref="N167:R167"/>
    <mergeCell ref="S167:S168"/>
    <mergeCell ref="T167:V168"/>
    <mergeCell ref="T171:V171"/>
    <mergeCell ref="T174:V174"/>
    <mergeCell ref="D172:E172"/>
    <mergeCell ref="I172:K172"/>
    <mergeCell ref="O172:P172"/>
    <mergeCell ref="T172:V172"/>
    <mergeCell ref="O174:P174"/>
    <mergeCell ref="D183:E183"/>
    <mergeCell ref="I183:K183"/>
    <mergeCell ref="O183:P183"/>
    <mergeCell ref="T183:V183"/>
    <mergeCell ref="D182:E182"/>
    <mergeCell ref="I182:K182"/>
    <mergeCell ref="O182:P182"/>
    <mergeCell ref="T182:V182"/>
    <mergeCell ref="D173:E173"/>
    <mergeCell ref="I173:K173"/>
    <mergeCell ref="N173:W173"/>
    <mergeCell ref="D174:E174"/>
    <mergeCell ref="I174:K174"/>
    <mergeCell ref="T175:V175"/>
    <mergeCell ref="D177:E177"/>
    <mergeCell ref="I177:K177"/>
    <mergeCell ref="O177:P177"/>
    <mergeCell ref="D175:E175"/>
    <mergeCell ref="I175:K175"/>
    <mergeCell ref="O175:P175"/>
    <mergeCell ref="T177:V177"/>
    <mergeCell ref="D176:E176"/>
    <mergeCell ref="I176:K176"/>
    <mergeCell ref="O176:P176"/>
    <mergeCell ref="D179:E179"/>
    <mergeCell ref="I179:K179"/>
    <mergeCell ref="O179:P179"/>
    <mergeCell ref="T179:V179"/>
    <mergeCell ref="D178:E178"/>
    <mergeCell ref="I178:K178"/>
    <mergeCell ref="O178:P178"/>
    <mergeCell ref="T178:V178"/>
    <mergeCell ref="T176:V176"/>
    <mergeCell ref="D180:E180"/>
    <mergeCell ref="I180:K180"/>
    <mergeCell ref="O180:P180"/>
    <mergeCell ref="T180:V180"/>
    <mergeCell ref="T185:V185"/>
    <mergeCell ref="D184:E184"/>
    <mergeCell ref="I184:K184"/>
    <mergeCell ref="O184:P184"/>
    <mergeCell ref="T184:V184"/>
    <mergeCell ref="O188:P188"/>
    <mergeCell ref="C186:N186"/>
    <mergeCell ref="Q186:W186"/>
    <mergeCell ref="C187:F187"/>
    <mergeCell ref="Q187:W187"/>
    <mergeCell ref="C195:Q195"/>
    <mergeCell ref="D181:E181"/>
    <mergeCell ref="I181:K181"/>
    <mergeCell ref="O181:P181"/>
    <mergeCell ref="T181:V181"/>
    <mergeCell ref="D197:F197"/>
    <mergeCell ref="H197:K197"/>
    <mergeCell ref="C189:I189"/>
    <mergeCell ref="J189:K189"/>
    <mergeCell ref="L189:N189"/>
    <mergeCell ref="O189:P189"/>
    <mergeCell ref="C190:I190"/>
    <mergeCell ref="D185:E185"/>
    <mergeCell ref="I185:K185"/>
    <mergeCell ref="O185:P185"/>
    <mergeCell ref="J190:K190"/>
    <mergeCell ref="L190:N190"/>
    <mergeCell ref="N191:W191"/>
    <mergeCell ref="L192:Q192"/>
    <mergeCell ref="R188:U188"/>
    <mergeCell ref="V188:W190"/>
    <mergeCell ref="R189:U189"/>
    <mergeCell ref="O190:P190"/>
    <mergeCell ref="R190:U190"/>
    <mergeCell ref="N193:Q193"/>
    <mergeCell ref="C194:Q194"/>
    <mergeCell ref="C188:I188"/>
    <mergeCell ref="J188:K188"/>
    <mergeCell ref="L188:N188"/>
    <mergeCell ref="V214:W214"/>
    <mergeCell ref="J217:M217"/>
    <mergeCell ref="V217:W217"/>
    <mergeCell ref="D198:F198"/>
    <mergeCell ref="E204:V204"/>
    <mergeCell ref="P205:T205"/>
    <mergeCell ref="P209:T209"/>
    <mergeCell ref="N213:W213"/>
    <mergeCell ref="J218:M218"/>
    <mergeCell ref="O218:T218"/>
    <mergeCell ref="V218:W218"/>
    <mergeCell ref="W220:W221"/>
    <mergeCell ref="D221:F221"/>
    <mergeCell ref="O221:Q221"/>
    <mergeCell ref="D222:E222"/>
    <mergeCell ref="I222:K222"/>
    <mergeCell ref="N222:W222"/>
    <mergeCell ref="D226:E226"/>
    <mergeCell ref="I226:K226"/>
    <mergeCell ref="N226:W226"/>
    <mergeCell ref="D224:E224"/>
    <mergeCell ref="I224:K224"/>
    <mergeCell ref="O224:P224"/>
    <mergeCell ref="T224:V224"/>
    <mergeCell ref="D225:E225"/>
    <mergeCell ref="I225:K225"/>
    <mergeCell ref="O225:P225"/>
    <mergeCell ref="T225:V225"/>
    <mergeCell ref="C220:G220"/>
    <mergeCell ref="H220:H221"/>
    <mergeCell ref="I220:K221"/>
    <mergeCell ref="L220:L221"/>
    <mergeCell ref="N220:R220"/>
    <mergeCell ref="S220:S221"/>
    <mergeCell ref="T220:V221"/>
    <mergeCell ref="D232:E232"/>
    <mergeCell ref="I232:K232"/>
    <mergeCell ref="O232:P232"/>
    <mergeCell ref="T232:V232"/>
    <mergeCell ref="D231:E231"/>
    <mergeCell ref="I231:K231"/>
    <mergeCell ref="O231:P231"/>
    <mergeCell ref="T231:V231"/>
    <mergeCell ref="D223:E223"/>
    <mergeCell ref="I223:K223"/>
    <mergeCell ref="O223:P223"/>
    <mergeCell ref="T223:V223"/>
    <mergeCell ref="D227:E227"/>
    <mergeCell ref="I227:K227"/>
    <mergeCell ref="T228:V228"/>
    <mergeCell ref="T227:V227"/>
    <mergeCell ref="O227:P227"/>
    <mergeCell ref="D230:E230"/>
    <mergeCell ref="I230:K230"/>
    <mergeCell ref="O230:P230"/>
    <mergeCell ref="D228:E228"/>
    <mergeCell ref="I228:K228"/>
    <mergeCell ref="O228:P228"/>
    <mergeCell ref="T230:V230"/>
    <mergeCell ref="D229:E229"/>
    <mergeCell ref="I229:K229"/>
    <mergeCell ref="O229:P229"/>
    <mergeCell ref="T229:V229"/>
    <mergeCell ref="J243:K243"/>
    <mergeCell ref="L243:N243"/>
    <mergeCell ref="O243:P243"/>
    <mergeCell ref="D234:E234"/>
    <mergeCell ref="I234:K234"/>
    <mergeCell ref="O234:P234"/>
    <mergeCell ref="T234:V234"/>
    <mergeCell ref="D233:E233"/>
    <mergeCell ref="I233:K233"/>
    <mergeCell ref="O233:P233"/>
    <mergeCell ref="T233:V233"/>
    <mergeCell ref="D235:E235"/>
    <mergeCell ref="I235:K235"/>
    <mergeCell ref="O235:P235"/>
    <mergeCell ref="T235:V235"/>
    <mergeCell ref="D236:E236"/>
    <mergeCell ref="I236:K236"/>
    <mergeCell ref="O236:P236"/>
    <mergeCell ref="T236:V236"/>
    <mergeCell ref="I237:K237"/>
    <mergeCell ref="P258:T258"/>
    <mergeCell ref="P262:T262"/>
    <mergeCell ref="N244:W244"/>
    <mergeCell ref="L245:Q245"/>
    <mergeCell ref="N246:Q246"/>
    <mergeCell ref="C247:Q247"/>
    <mergeCell ref="H250:K250"/>
    <mergeCell ref="C248:Q248"/>
    <mergeCell ref="D250:F250"/>
    <mergeCell ref="D251:F251"/>
    <mergeCell ref="J241:K241"/>
    <mergeCell ref="L241:N241"/>
    <mergeCell ref="O241:P241"/>
    <mergeCell ref="C239:N239"/>
    <mergeCell ref="O242:P242"/>
    <mergeCell ref="R242:U242"/>
    <mergeCell ref="C243:I243"/>
    <mergeCell ref="O237:P237"/>
    <mergeCell ref="T237:V237"/>
    <mergeCell ref="D49:I49"/>
    <mergeCell ref="Q49:T49"/>
    <mergeCell ref="K1:T1"/>
    <mergeCell ref="S38:W38"/>
    <mergeCell ref="S39:W39"/>
    <mergeCell ref="S40:W40"/>
    <mergeCell ref="S41:W41"/>
    <mergeCell ref="U2:W2"/>
    <mergeCell ref="E257:V257"/>
    <mergeCell ref="R243:U243"/>
    <mergeCell ref="C242:I242"/>
    <mergeCell ref="Q239:W239"/>
    <mergeCell ref="C240:F240"/>
    <mergeCell ref="Q240:W240"/>
    <mergeCell ref="R241:U241"/>
    <mergeCell ref="V241:W243"/>
    <mergeCell ref="J242:K242"/>
    <mergeCell ref="L242:N242"/>
    <mergeCell ref="D238:E238"/>
    <mergeCell ref="I238:K238"/>
    <mergeCell ref="O238:P238"/>
    <mergeCell ref="T238:V238"/>
    <mergeCell ref="D237:E237"/>
    <mergeCell ref="C241:I241"/>
  </mergeCells>
  <phoneticPr fontId="0" type="noConversion"/>
  <conditionalFormatting sqref="O16:P18 O20:P31 D15:E21">
    <cfRule type="containsText" priority="1" operator="containsText" text="أربع ونصف">
      <formula>NOT(ISERROR(SEARCH("أربع ونصف",D15)))</formula>
    </cfRule>
    <cfRule type="containsText" dxfId="2" priority="2" operator="containsText" text="أربع">
      <formula>NOT(ISERROR(SEARCH("أربع",D15)))</formula>
    </cfRule>
    <cfRule type="containsText" dxfId="1" priority="3" operator="containsText" text="ثلاث ونصف">
      <formula>NOT(ISERROR(SEARCH("ثلاث ونصف",D15)))</formula>
    </cfRule>
    <cfRule type="containsText" dxfId="0" priority="4" operator="containsText" text="ثلاث">
      <formula>NOT(ISERROR(SEARCH("ثلاث",D15)))</formula>
    </cfRule>
  </conditionalFormatting>
  <dataValidations count="5">
    <dataValidation type="custom" errorStyle="information" allowBlank="1" showInputMessage="1" showErrorMessage="1" errorTitle="Maklumat...!" error="Jika Ada Perubahan pada Sheet ini, Hubungi Administrator... ! _x000a__x000a_Klik Cancel untuk Melanjutkan...." sqref="S57:V57 U48:U55 U1 L56:U56 L53:T55 W1 X1:Z4 AB1:IP1 AA2:IN3 AB4:IN4 W42:W1048576 T11:T13 H9 J9:K12 T42:U44 D9:G12 L9:L13 H15:L44 S15:S44 F32:F44 T15:W37 D1:K1 V42:V55 G14:G44 P15:Q44 F15:F18 O14:O44 I9:I13 H12:H13 R14:R44 X5:IT1048576 D58:V62619 D57:Q57 E15:E44 D48:T48 E50:T50 D49:D52 W5:W13 S5:S13 V6:V12 U5:U12 O5:R12 M5:N44 T5:T9 D5:L7 A1:C1048576 D14:D44 J49:Q49">
      <formula1>"'"</formula1>
    </dataValidation>
    <dataValidation allowBlank="1" showInputMessage="1" showErrorMessage="1" errorTitle="Maklumat...!" error="Jika Ada Perubahan pada Sheet ini, Hubungi Administrator... ! _x000a__x000a_Klik Cancel untuk Melanjutkan...." sqref="E51:T52 V1 D53:K56 V56 D45:P47 Q45:U45 Q47:U47 U46 Q46"/>
    <dataValidation allowBlank="1" showInputMessage="1" showErrorMessage="1" errorTitle="Maklumat." error="Jika ada perubahan pada sheet ini hubungi Administrator... !  _x000a__x000a_Klik cancel untuk melanjutkan..." sqref="D8"/>
    <dataValidation allowBlank="1" showInputMessage="1" sqref="D3:W4 D2:U2"/>
    <dataValidation type="custom" allowBlank="1" showInputMessage="1" errorTitle="Maklumat...!" error="Jika Ada Perubahan pada Sheet ini, Hubungi Administrator... ! _x000a__x000a_Klik Cancel untuk Melanjutkan...." sqref="T10">
      <formula1>"'"</formula1>
    </dataValidation>
  </dataValidations>
  <hyperlinks>
    <hyperlink ref="E56" location="MENU!A1" display="MENU!A1"/>
  </hyperlinks>
  <printOptions horizontalCentered="1"/>
  <pageMargins left="0.27559055118110237" right="0.27559055118110237" top="0.27559055118110237" bottom="0.11811023622047245" header="0.31496062992125984" footer="0.51181102362204722"/>
  <pageSetup paperSize="5" scale="81" orientation="portrait" horizontalDpi="4294967294" verticalDpi="300" r:id="rId4"/>
  <rowBreaks count="4" manualBreakCount="4">
    <brk id="55" max="16383" man="1"/>
    <brk id="103" max="32" man="1"/>
    <brk id="156" max="32" man="1"/>
    <brk id="211" max="32" man="1"/>
  </rowBreaks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69" r:id="rId7" name="Drop Down 897">
              <controlPr defaultSize="0" autoLine="0" autoPict="0">
                <anchor moveWithCells="1">
                  <from>
                    <xdr:col>10</xdr:col>
                    <xdr:colOff>19050</xdr:colOff>
                    <xdr:row>1</xdr:row>
                    <xdr:rowOff>38100</xdr:rowOff>
                  </from>
                  <to>
                    <xdr:col>19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70" r:id="rId8" name="Drop Down 898">
              <controlPr defaultSize="0" autoLine="0" autoPict="0">
                <anchor moveWithCells="1">
                  <from>
                    <xdr:col>1</xdr:col>
                    <xdr:colOff>352425</xdr:colOff>
                    <xdr:row>1</xdr:row>
                    <xdr:rowOff>66675</xdr:rowOff>
                  </from>
                  <to>
                    <xdr:col>3</xdr:col>
                    <xdr:colOff>590550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48"/>
  <sheetViews>
    <sheetView topLeftCell="A25" workbookViewId="0">
      <selection activeCell="I37" sqref="I37"/>
    </sheetView>
  </sheetViews>
  <sheetFormatPr defaultRowHeight="15" x14ac:dyDescent="0.25"/>
  <cols>
    <col min="1" max="1" width="19.28515625" customWidth="1"/>
    <col min="2" max="2" width="19.28515625" style="194" customWidth="1"/>
    <col min="3" max="3" width="19.28515625" style="200" customWidth="1"/>
    <col min="4" max="5" width="19.28515625" style="194" customWidth="1"/>
    <col min="6" max="6" width="19.28515625" customWidth="1"/>
  </cols>
  <sheetData>
    <row r="1" spans="1:6" ht="77.25" customHeight="1" x14ac:dyDescent="0.25"/>
    <row r="2" spans="1:6" ht="21.75" customHeight="1" x14ac:dyDescent="0.25">
      <c r="A2" s="197" t="s">
        <v>8533</v>
      </c>
      <c r="B2" s="197" t="s">
        <v>8536</v>
      </c>
      <c r="C2" s="201" t="s">
        <v>8669</v>
      </c>
      <c r="D2" s="197" t="s">
        <v>8534</v>
      </c>
      <c r="E2" s="197" t="s">
        <v>8535</v>
      </c>
      <c r="F2" s="197" t="s">
        <v>8657</v>
      </c>
    </row>
    <row r="3" spans="1:6" ht="15.75" x14ac:dyDescent="0.25">
      <c r="A3" s="199">
        <v>0</v>
      </c>
      <c r="B3" s="195">
        <v>0</v>
      </c>
      <c r="C3" s="202">
        <v>0</v>
      </c>
      <c r="D3" s="195">
        <v>1</v>
      </c>
      <c r="E3" s="196">
        <v>100</v>
      </c>
      <c r="F3" s="196" t="s">
        <v>8660</v>
      </c>
    </row>
    <row r="4" spans="1:6" ht="15.75" x14ac:dyDescent="0.25">
      <c r="A4" s="199">
        <v>0</v>
      </c>
      <c r="B4" s="195">
        <v>0</v>
      </c>
      <c r="C4" s="202">
        <v>0</v>
      </c>
      <c r="D4" s="195">
        <v>1</v>
      </c>
      <c r="E4" s="196">
        <v>100</v>
      </c>
      <c r="F4" s="196" t="s">
        <v>8660</v>
      </c>
    </row>
    <row r="5" spans="1:6" ht="15.75" x14ac:dyDescent="0.25">
      <c r="A5" s="199">
        <v>0</v>
      </c>
      <c r="B5" s="195">
        <v>0</v>
      </c>
      <c r="C5" s="202">
        <v>0</v>
      </c>
      <c r="D5" s="195">
        <v>1</v>
      </c>
      <c r="E5" s="196">
        <v>100</v>
      </c>
      <c r="F5" s="196" t="s">
        <v>8660</v>
      </c>
    </row>
    <row r="6" spans="1:6" ht="15.75" x14ac:dyDescent="0.25">
      <c r="A6" s="199">
        <v>0</v>
      </c>
      <c r="B6" s="195">
        <v>0</v>
      </c>
      <c r="C6" s="202">
        <v>0</v>
      </c>
      <c r="D6" s="195">
        <v>1</v>
      </c>
      <c r="E6" s="196">
        <v>100</v>
      </c>
      <c r="F6" s="196" t="s">
        <v>8659</v>
      </c>
    </row>
    <row r="7" spans="1:6" ht="15.75" x14ac:dyDescent="0.25">
      <c r="A7" s="199">
        <v>0</v>
      </c>
      <c r="B7" s="195">
        <v>0</v>
      </c>
      <c r="C7" s="202">
        <v>0</v>
      </c>
      <c r="D7" s="195">
        <v>1</v>
      </c>
      <c r="E7" s="196">
        <v>100</v>
      </c>
      <c r="F7" s="196" t="s">
        <v>8659</v>
      </c>
    </row>
    <row r="8" spans="1:6" ht="15.75" x14ac:dyDescent="0.25">
      <c r="A8" s="199">
        <v>0</v>
      </c>
      <c r="B8" s="195">
        <v>0</v>
      </c>
      <c r="C8" s="202">
        <v>0</v>
      </c>
      <c r="D8" s="195">
        <v>1</v>
      </c>
      <c r="E8" s="196">
        <v>100</v>
      </c>
      <c r="F8" s="196" t="s">
        <v>8659</v>
      </c>
    </row>
    <row r="9" spans="1:6" ht="15.75" x14ac:dyDescent="0.25">
      <c r="A9" s="199">
        <v>0</v>
      </c>
      <c r="B9" s="195">
        <v>0</v>
      </c>
      <c r="C9" s="202">
        <v>0</v>
      </c>
      <c r="D9" s="195">
        <v>1</v>
      </c>
      <c r="E9" s="196">
        <v>100</v>
      </c>
      <c r="F9" s="196" t="s">
        <v>8658</v>
      </c>
    </row>
    <row r="10" spans="1:6" ht="15.75" x14ac:dyDescent="0.25">
      <c r="A10" s="199">
        <v>0</v>
      </c>
      <c r="B10" s="195">
        <v>0</v>
      </c>
      <c r="C10" s="202">
        <v>0</v>
      </c>
      <c r="D10" s="195">
        <v>1</v>
      </c>
      <c r="E10" s="196">
        <v>100</v>
      </c>
      <c r="F10" s="196" t="s">
        <v>8658</v>
      </c>
    </row>
    <row r="11" spans="1:6" ht="15.75" x14ac:dyDescent="0.25">
      <c r="A11" s="199">
        <v>0</v>
      </c>
      <c r="B11" s="195">
        <v>0</v>
      </c>
      <c r="C11" s="202">
        <v>0</v>
      </c>
      <c r="D11" s="195">
        <v>1</v>
      </c>
      <c r="E11" s="196">
        <v>100</v>
      </c>
      <c r="F11" s="196" t="s">
        <v>8658</v>
      </c>
    </row>
    <row r="12" spans="1:6" ht="15.75" x14ac:dyDescent="0.25">
      <c r="A12" s="199">
        <v>0</v>
      </c>
      <c r="B12" s="195">
        <v>0</v>
      </c>
      <c r="C12" s="202">
        <v>0</v>
      </c>
      <c r="D12" s="195">
        <v>1</v>
      </c>
      <c r="E12" s="196">
        <v>100</v>
      </c>
      <c r="F12" s="196" t="s">
        <v>8662</v>
      </c>
    </row>
    <row r="13" spans="1:6" ht="15.75" x14ac:dyDescent="0.25">
      <c r="A13" s="199">
        <v>0</v>
      </c>
      <c r="B13" s="195">
        <v>0</v>
      </c>
      <c r="C13" s="202">
        <v>0</v>
      </c>
      <c r="D13" s="195">
        <v>1</v>
      </c>
      <c r="E13" s="196">
        <v>100</v>
      </c>
      <c r="F13" s="196" t="s">
        <v>8662</v>
      </c>
    </row>
    <row r="14" spans="1:6" ht="15.75" x14ac:dyDescent="0.25">
      <c r="A14" s="199">
        <v>0</v>
      </c>
      <c r="B14" s="195">
        <v>0</v>
      </c>
      <c r="C14" s="202">
        <v>0</v>
      </c>
      <c r="D14" s="195">
        <v>1</v>
      </c>
      <c r="E14" s="196">
        <v>100</v>
      </c>
      <c r="F14" s="196" t="s">
        <v>8662</v>
      </c>
    </row>
    <row r="15" spans="1:6" ht="15.75" x14ac:dyDescent="0.25">
      <c r="A15" s="199">
        <v>0</v>
      </c>
      <c r="B15" s="195">
        <v>0</v>
      </c>
      <c r="C15" s="202">
        <v>0</v>
      </c>
      <c r="D15" s="195">
        <v>1</v>
      </c>
      <c r="E15" s="196">
        <v>100</v>
      </c>
      <c r="F15" s="196" t="s">
        <v>8663</v>
      </c>
    </row>
    <row r="16" spans="1:6" ht="15.75" x14ac:dyDescent="0.25">
      <c r="A16" s="199">
        <v>0</v>
      </c>
      <c r="B16" s="195">
        <v>0</v>
      </c>
      <c r="C16" s="202">
        <v>0</v>
      </c>
      <c r="D16" s="195">
        <v>1</v>
      </c>
      <c r="E16" s="196">
        <v>100</v>
      </c>
      <c r="F16" s="196" t="s">
        <v>8663</v>
      </c>
    </row>
    <row r="17" spans="1:6" ht="15.75" x14ac:dyDescent="0.25">
      <c r="A17" s="199">
        <v>0</v>
      </c>
      <c r="B17" s="195">
        <v>0</v>
      </c>
      <c r="C17" s="202">
        <v>0</v>
      </c>
      <c r="D17" s="195">
        <v>1</v>
      </c>
      <c r="E17" s="196">
        <v>100</v>
      </c>
      <c r="F17" s="196" t="s">
        <v>8663</v>
      </c>
    </row>
    <row r="18" spans="1:6" ht="15.75" x14ac:dyDescent="0.25">
      <c r="A18" s="199">
        <v>0</v>
      </c>
      <c r="B18" s="195">
        <v>0</v>
      </c>
      <c r="C18" s="202">
        <v>0</v>
      </c>
      <c r="D18" s="195">
        <v>1</v>
      </c>
      <c r="E18" s="196">
        <v>100</v>
      </c>
      <c r="F18" s="196" t="s">
        <v>8661</v>
      </c>
    </row>
    <row r="19" spans="1:6" ht="15.75" x14ac:dyDescent="0.25">
      <c r="A19" s="199">
        <v>0</v>
      </c>
      <c r="B19" s="195">
        <v>0</v>
      </c>
      <c r="C19" s="202">
        <v>0</v>
      </c>
      <c r="D19" s="195">
        <v>1</v>
      </c>
      <c r="E19" s="196">
        <v>100</v>
      </c>
      <c r="F19" s="196" t="s">
        <v>8661</v>
      </c>
    </row>
    <row r="20" spans="1:6" ht="15.75" x14ac:dyDescent="0.25">
      <c r="A20" s="199">
        <v>0</v>
      </c>
      <c r="B20" s="195">
        <v>0</v>
      </c>
      <c r="C20" s="202">
        <v>0</v>
      </c>
      <c r="D20" s="195">
        <v>1</v>
      </c>
      <c r="E20" s="196">
        <v>100</v>
      </c>
      <c r="F20" s="196" t="s">
        <v>8661</v>
      </c>
    </row>
    <row r="21" spans="1:6" ht="15.75" x14ac:dyDescent="0.25">
      <c r="A21" s="199">
        <v>0</v>
      </c>
      <c r="B21" s="195">
        <v>0</v>
      </c>
      <c r="C21" s="202">
        <v>0</v>
      </c>
      <c r="D21" s="195">
        <v>1</v>
      </c>
      <c r="E21" s="196">
        <v>100</v>
      </c>
      <c r="F21" s="196" t="s">
        <v>8665</v>
      </c>
    </row>
    <row r="22" spans="1:6" ht="15.75" x14ac:dyDescent="0.25">
      <c r="A22" s="199">
        <v>0</v>
      </c>
      <c r="B22" s="195">
        <v>0</v>
      </c>
      <c r="C22" s="202">
        <v>0</v>
      </c>
      <c r="D22" s="195">
        <v>1</v>
      </c>
      <c r="E22" s="196">
        <v>100</v>
      </c>
      <c r="F22" s="196" t="s">
        <v>8665</v>
      </c>
    </row>
    <row r="23" spans="1:6" ht="15.75" x14ac:dyDescent="0.25">
      <c r="A23" s="199">
        <v>0</v>
      </c>
      <c r="B23" s="195">
        <v>0</v>
      </c>
      <c r="C23" s="202">
        <v>0</v>
      </c>
      <c r="D23" s="195">
        <v>1</v>
      </c>
      <c r="E23" s="196">
        <v>100</v>
      </c>
      <c r="F23" s="196" t="s">
        <v>8665</v>
      </c>
    </row>
    <row r="24" spans="1:6" ht="15.75" x14ac:dyDescent="0.25">
      <c r="A24" s="199">
        <v>0</v>
      </c>
      <c r="B24" s="195">
        <v>0</v>
      </c>
      <c r="C24" s="202">
        <v>0</v>
      </c>
      <c r="D24" s="195">
        <v>1</v>
      </c>
      <c r="E24" s="196">
        <v>100</v>
      </c>
      <c r="F24" s="196" t="s">
        <v>8664</v>
      </c>
    </row>
    <row r="25" spans="1:6" ht="15.75" x14ac:dyDescent="0.25">
      <c r="A25" s="199">
        <v>0</v>
      </c>
      <c r="B25" s="195">
        <v>0</v>
      </c>
      <c r="C25" s="202">
        <v>0</v>
      </c>
      <c r="D25" s="195">
        <v>1</v>
      </c>
      <c r="E25" s="196">
        <v>100</v>
      </c>
      <c r="F25" s="196" t="s">
        <v>8664</v>
      </c>
    </row>
    <row r="26" spans="1:6" ht="15.75" x14ac:dyDescent="0.25">
      <c r="A26" s="199">
        <v>0</v>
      </c>
      <c r="B26" s="195">
        <v>0</v>
      </c>
      <c r="C26" s="202">
        <v>0</v>
      </c>
      <c r="D26" s="195">
        <v>1</v>
      </c>
      <c r="E26" s="196">
        <v>100</v>
      </c>
      <c r="F26" s="196" t="s">
        <v>8664</v>
      </c>
    </row>
    <row r="27" spans="1:6" ht="15.75" x14ac:dyDescent="0.25">
      <c r="A27" s="199">
        <v>0</v>
      </c>
      <c r="B27" s="195">
        <v>0</v>
      </c>
      <c r="C27" s="202">
        <v>0</v>
      </c>
      <c r="D27" s="195">
        <v>1</v>
      </c>
      <c r="E27" s="196">
        <v>100</v>
      </c>
      <c r="F27" s="196" t="s">
        <v>8666</v>
      </c>
    </row>
    <row r="28" spans="1:6" ht="15.75" x14ac:dyDescent="0.25">
      <c r="A28" s="199">
        <v>0</v>
      </c>
      <c r="B28" s="195">
        <v>0</v>
      </c>
      <c r="C28" s="202">
        <v>0</v>
      </c>
      <c r="D28" s="195">
        <v>1</v>
      </c>
      <c r="E28" s="196">
        <v>100</v>
      </c>
      <c r="F28" s="196" t="s">
        <v>8666</v>
      </c>
    </row>
    <row r="29" spans="1:6" ht="15.75" x14ac:dyDescent="0.25">
      <c r="A29" s="199">
        <v>0</v>
      </c>
      <c r="B29" s="195">
        <v>0</v>
      </c>
      <c r="C29" s="202">
        <v>0</v>
      </c>
      <c r="D29" s="195">
        <v>1</v>
      </c>
      <c r="E29" s="196">
        <v>100</v>
      </c>
      <c r="F29" s="196" t="s">
        <v>8666</v>
      </c>
    </row>
    <row r="30" spans="1:6" ht="15.75" x14ac:dyDescent="0.25">
      <c r="A30" s="199">
        <v>0</v>
      </c>
      <c r="B30" s="195">
        <v>0</v>
      </c>
      <c r="C30" s="202">
        <v>0</v>
      </c>
      <c r="D30" s="195">
        <v>1</v>
      </c>
      <c r="E30" s="196">
        <v>100</v>
      </c>
      <c r="F30" s="196" t="s">
        <v>8667</v>
      </c>
    </row>
    <row r="31" spans="1:6" ht="15.75" x14ac:dyDescent="0.25">
      <c r="A31" s="199">
        <v>0</v>
      </c>
      <c r="B31" s="195">
        <v>0</v>
      </c>
      <c r="C31" s="202">
        <v>0</v>
      </c>
      <c r="D31" s="195">
        <v>1</v>
      </c>
      <c r="E31" s="196">
        <v>100</v>
      </c>
      <c r="F31" s="196" t="s">
        <v>8667</v>
      </c>
    </row>
    <row r="32" spans="1:6" ht="15.75" x14ac:dyDescent="0.25">
      <c r="A32" s="199">
        <v>0</v>
      </c>
      <c r="B32" s="195">
        <v>0</v>
      </c>
      <c r="C32" s="202">
        <v>0</v>
      </c>
      <c r="D32" s="195">
        <v>1</v>
      </c>
      <c r="E32" s="196">
        <v>100</v>
      </c>
      <c r="F32" s="196" t="s">
        <v>8667</v>
      </c>
    </row>
    <row r="33" spans="1:6" ht="15.75" x14ac:dyDescent="0.25">
      <c r="A33" s="199" t="s">
        <v>8584</v>
      </c>
      <c r="B33" s="195">
        <v>0</v>
      </c>
      <c r="C33" s="202">
        <v>0</v>
      </c>
      <c r="D33" s="195">
        <v>1</v>
      </c>
      <c r="E33" s="196">
        <v>100</v>
      </c>
      <c r="F33" s="196" t="s">
        <v>8638</v>
      </c>
    </row>
    <row r="34" spans="1:6" ht="15.75" x14ac:dyDescent="0.25">
      <c r="A34" s="199" t="s">
        <v>8585</v>
      </c>
      <c r="B34" s="195">
        <v>0</v>
      </c>
      <c r="C34" s="202">
        <v>0</v>
      </c>
      <c r="D34" s="195">
        <v>1</v>
      </c>
      <c r="E34" s="196">
        <v>100</v>
      </c>
      <c r="F34" s="196" t="s">
        <v>8638</v>
      </c>
    </row>
    <row r="35" spans="1:6" ht="15.75" x14ac:dyDescent="0.25">
      <c r="A35" s="199" t="s">
        <v>8586</v>
      </c>
      <c r="B35" s="195">
        <v>0</v>
      </c>
      <c r="C35" s="202">
        <v>0</v>
      </c>
      <c r="D35" s="195">
        <v>1</v>
      </c>
      <c r="E35" s="196">
        <v>100</v>
      </c>
      <c r="F35" s="196" t="s">
        <v>8638</v>
      </c>
    </row>
    <row r="36" spans="1:6" ht="15.75" x14ac:dyDescent="0.25">
      <c r="A36" s="199">
        <v>0</v>
      </c>
      <c r="B36" s="195">
        <v>0</v>
      </c>
      <c r="C36" s="202">
        <v>0</v>
      </c>
      <c r="D36" s="195">
        <v>1</v>
      </c>
      <c r="E36" s="196">
        <v>100</v>
      </c>
      <c r="F36" s="196" t="s">
        <v>8618</v>
      </c>
    </row>
    <row r="37" spans="1:6" ht="15.75" x14ac:dyDescent="0.25">
      <c r="A37" s="199">
        <v>0</v>
      </c>
      <c r="B37" s="195">
        <v>0</v>
      </c>
      <c r="C37" s="202">
        <v>0</v>
      </c>
      <c r="D37" s="195">
        <v>1</v>
      </c>
      <c r="E37" s="196">
        <v>100</v>
      </c>
      <c r="F37" s="196" t="s">
        <v>8618</v>
      </c>
    </row>
    <row r="38" spans="1:6" ht="15.75" x14ac:dyDescent="0.25">
      <c r="A38" s="199">
        <v>0</v>
      </c>
      <c r="B38" s="195">
        <v>0</v>
      </c>
      <c r="C38" s="202">
        <v>0</v>
      </c>
      <c r="D38" s="195">
        <v>1</v>
      </c>
      <c r="E38" s="196">
        <v>100</v>
      </c>
      <c r="F38" s="196" t="s">
        <v>8618</v>
      </c>
    </row>
    <row r="39" spans="1:6" ht="15.75" x14ac:dyDescent="0.25">
      <c r="A39" s="199"/>
      <c r="B39" s="195"/>
      <c r="C39" s="202"/>
      <c r="D39" s="195"/>
      <c r="E39" s="196"/>
      <c r="F39" s="196"/>
    </row>
    <row r="40" spans="1:6" ht="15.75" x14ac:dyDescent="0.25">
      <c r="A40" s="199"/>
      <c r="B40" s="195"/>
      <c r="C40" s="202"/>
      <c r="D40" s="195"/>
      <c r="E40" s="196"/>
      <c r="F40" s="196"/>
    </row>
    <row r="41" spans="1:6" ht="15.75" x14ac:dyDescent="0.25">
      <c r="A41" s="199"/>
      <c r="B41" s="195"/>
      <c r="C41" s="202"/>
      <c r="D41" s="195"/>
      <c r="E41" s="196"/>
      <c r="F41" s="196"/>
    </row>
    <row r="42" spans="1:6" ht="15.75" x14ac:dyDescent="0.25">
      <c r="A42" s="199"/>
      <c r="B42" s="195"/>
      <c r="C42" s="202"/>
      <c r="D42" s="195"/>
      <c r="E42" s="196"/>
      <c r="F42" s="196"/>
    </row>
    <row r="43" spans="1:6" ht="15.75" x14ac:dyDescent="0.25">
      <c r="A43" s="199"/>
      <c r="B43" s="195"/>
      <c r="C43" s="202"/>
      <c r="D43" s="195"/>
      <c r="E43" s="196"/>
      <c r="F43" s="196"/>
    </row>
    <row r="44" spans="1:6" ht="15.75" x14ac:dyDescent="0.25">
      <c r="A44" s="199"/>
      <c r="B44" s="195"/>
      <c r="C44" s="202"/>
      <c r="D44" s="195"/>
      <c r="E44" s="196"/>
      <c r="F44" s="196"/>
    </row>
    <row r="45" spans="1:6" ht="15.75" x14ac:dyDescent="0.25">
      <c r="A45" s="199"/>
      <c r="B45" s="195"/>
      <c r="C45" s="202"/>
      <c r="D45" s="195"/>
      <c r="E45" s="196"/>
      <c r="F45" s="196"/>
    </row>
    <row r="46" spans="1:6" ht="15.75" x14ac:dyDescent="0.25">
      <c r="A46" s="199"/>
      <c r="B46" s="195"/>
      <c r="C46" s="202"/>
      <c r="D46" s="195"/>
      <c r="E46" s="196"/>
      <c r="F46" s="196"/>
    </row>
    <row r="47" spans="1:6" ht="15.75" x14ac:dyDescent="0.25">
      <c r="A47" s="199"/>
      <c r="B47" s="195"/>
      <c r="C47" s="202"/>
      <c r="D47" s="195"/>
      <c r="E47" s="196"/>
      <c r="F47" s="196"/>
    </row>
    <row r="48" spans="1:6" ht="15.75" x14ac:dyDescent="0.25">
      <c r="A48" s="199"/>
      <c r="B48" s="195"/>
      <c r="C48" s="202"/>
      <c r="D48" s="195"/>
      <c r="E48" s="196"/>
      <c r="F48" s="196"/>
    </row>
  </sheetData>
  <autoFilter ref="A2:F2">
    <sortState ref="A3:F17">
      <sortCondition ref="F2"/>
    </sortState>
  </autoFilter>
  <customSheetViews>
    <customSheetView guid="{D6876842-41DE-4A2D-BA5A-3FB60505F493}" showAutoFilter="1" topLeftCell="A25">
      <selection activeCell="I37" sqref="I37"/>
      <pageMargins left="0.94" right="0.7" top="1.06" bottom="0.75" header="0.3" footer="0.3"/>
      <pageSetup paperSize="9" scale="95" orientation="portrait" horizontalDpi="4294967293" verticalDpi="0" r:id="rId1"/>
      <autoFilter ref="A2:F2">
        <sortState ref="A3:F17">
          <sortCondition ref="F2"/>
        </sortState>
      </autoFilter>
    </customSheetView>
    <customSheetView guid="{EAA758B6-7AEC-45F7-937A-E71BA55957BB}" showGridLines="0" showRowCol="0" zeroValues="0">
      <pane ySplit="2" topLeftCell="A3" activePane="bottomLeft" state="frozen"/>
      <selection pane="bottomLeft"/>
      <pageMargins left="0.7" right="0.7" top="0.75" bottom="0.75" header="0.3" footer="0.3"/>
      <pageSetup paperSize="9" orientation="portrait" horizontalDpi="0" verticalDpi="0" r:id="rId2"/>
    </customSheetView>
  </customSheetViews>
  <pageMargins left="0.94" right="0.7" top="1.06" bottom="0.75" header="0.3" footer="0.3"/>
  <pageSetup paperSize="9" scale="95" orientation="portrait" horizontalDpi="4294967293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14" r:id="rId6" name="Button 50">
              <controlPr defaultSize="0" print="0" autoFill="0" autoPict="0" macro="[0]!RANGKING2">
                <anchor moveWithCells="1" sizeWithCells="1">
                  <from>
                    <xdr:col>4</xdr:col>
                    <xdr:colOff>600075</xdr:colOff>
                    <xdr:row>0</xdr:row>
                    <xdr:rowOff>133350</xdr:rowOff>
                  </from>
                  <to>
                    <xdr:col>5</xdr:col>
                    <xdr:colOff>1047750</xdr:colOff>
                    <xdr:row>0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46"/>
  <sheetViews>
    <sheetView workbookViewId="0">
      <selection activeCell="I15" sqref="I15"/>
    </sheetView>
  </sheetViews>
  <sheetFormatPr defaultRowHeight="15" x14ac:dyDescent="0.25"/>
  <cols>
    <col min="8" max="8" width="18.7109375" bestFit="1" customWidth="1"/>
    <col min="9" max="9" width="21.85546875" bestFit="1" customWidth="1"/>
  </cols>
  <sheetData>
    <row r="1" spans="1:11" x14ac:dyDescent="0.25">
      <c r="A1" t="s">
        <v>8533</v>
      </c>
      <c r="B1" t="s">
        <v>8668</v>
      </c>
      <c r="C1" t="s">
        <v>8669</v>
      </c>
      <c r="D1" t="s">
        <v>8534</v>
      </c>
      <c r="E1" t="s">
        <v>8670</v>
      </c>
    </row>
    <row r="2" spans="1:11" x14ac:dyDescent="0.25">
      <c r="A2">
        <v>0</v>
      </c>
      <c r="B2">
        <v>0</v>
      </c>
      <c r="C2">
        <v>0</v>
      </c>
      <c r="D2">
        <v>1</v>
      </c>
      <c r="E2">
        <v>100</v>
      </c>
      <c r="F2" t="s">
        <v>8618</v>
      </c>
    </row>
    <row r="3" spans="1:11" x14ac:dyDescent="0.25">
      <c r="A3">
        <v>0</v>
      </c>
      <c r="B3">
        <v>0</v>
      </c>
      <c r="C3">
        <v>0</v>
      </c>
      <c r="D3">
        <v>1</v>
      </c>
      <c r="E3">
        <v>100</v>
      </c>
      <c r="F3" t="s">
        <v>8618</v>
      </c>
    </row>
    <row r="4" spans="1:11" x14ac:dyDescent="0.25">
      <c r="A4">
        <v>0</v>
      </c>
      <c r="B4">
        <v>0</v>
      </c>
      <c r="C4">
        <v>0</v>
      </c>
      <c r="D4">
        <v>1</v>
      </c>
      <c r="E4">
        <v>100</v>
      </c>
      <c r="F4" t="s">
        <v>8618</v>
      </c>
      <c r="I4" t="str">
        <f>CONCATENATE("Rows(""",J4,":",K4,"""",")",".Select")</f>
        <v>Rows("8:57").Select</v>
      </c>
      <c r="J4">
        <v>8</v>
      </c>
      <c r="K4">
        <v>57</v>
      </c>
    </row>
    <row r="5" spans="1:11" x14ac:dyDescent="0.25">
      <c r="A5">
        <v>0</v>
      </c>
      <c r="B5">
        <v>0</v>
      </c>
      <c r="C5">
        <v>0</v>
      </c>
      <c r="D5">
        <v>1</v>
      </c>
      <c r="E5">
        <v>100</v>
      </c>
      <c r="F5" t="s">
        <v>8618</v>
      </c>
      <c r="I5" t="str">
        <f t="shared" ref="I5:I15" si="0">CONCATENATE("Rows(""",J5,":",K5,"""",")",".Select")</f>
        <v>Rows("58:107").Select</v>
      </c>
      <c r="J5">
        <f>SUM(J4+50)</f>
        <v>58</v>
      </c>
      <c r="K5">
        <f>SUM(K4+50)</f>
        <v>107</v>
      </c>
    </row>
    <row r="6" spans="1:11" x14ac:dyDescent="0.25">
      <c r="A6">
        <v>0</v>
      </c>
      <c r="B6">
        <v>0</v>
      </c>
      <c r="C6">
        <v>0</v>
      </c>
      <c r="D6">
        <v>1</v>
      </c>
      <c r="E6">
        <v>100</v>
      </c>
      <c r="F6" t="s">
        <v>8618</v>
      </c>
      <c r="I6" t="str">
        <f t="shared" si="0"/>
        <v>Rows("108:157").Select</v>
      </c>
      <c r="J6">
        <f t="shared" ref="J6:J15" si="1">SUM(J5+50)</f>
        <v>108</v>
      </c>
      <c r="K6">
        <f t="shared" ref="K6:K15" si="2">SUM(K5+50)</f>
        <v>157</v>
      </c>
    </row>
    <row r="7" spans="1:11" x14ac:dyDescent="0.25">
      <c r="A7">
        <v>0</v>
      </c>
      <c r="B7">
        <v>0</v>
      </c>
      <c r="C7">
        <v>0</v>
      </c>
      <c r="D7">
        <v>1</v>
      </c>
      <c r="E7">
        <v>100</v>
      </c>
      <c r="F7" t="s">
        <v>8618</v>
      </c>
      <c r="I7" t="str">
        <f t="shared" si="0"/>
        <v>Rows("158:207").Select</v>
      </c>
      <c r="J7">
        <f t="shared" si="1"/>
        <v>158</v>
      </c>
      <c r="K7">
        <f t="shared" si="2"/>
        <v>207</v>
      </c>
    </row>
    <row r="8" spans="1:11" x14ac:dyDescent="0.25">
      <c r="A8">
        <v>0</v>
      </c>
      <c r="B8">
        <v>0</v>
      </c>
      <c r="C8">
        <v>0</v>
      </c>
      <c r="D8">
        <v>1</v>
      </c>
      <c r="E8">
        <v>100</v>
      </c>
      <c r="F8" t="s">
        <v>8618</v>
      </c>
      <c r="I8" t="str">
        <f t="shared" si="0"/>
        <v>Rows("208:257").Select</v>
      </c>
      <c r="J8">
        <f t="shared" si="1"/>
        <v>208</v>
      </c>
      <c r="K8">
        <f t="shared" si="2"/>
        <v>257</v>
      </c>
    </row>
    <row r="9" spans="1:11" x14ac:dyDescent="0.25">
      <c r="A9">
        <v>0</v>
      </c>
      <c r="B9">
        <v>0</v>
      </c>
      <c r="C9">
        <v>0</v>
      </c>
      <c r="D9">
        <v>1</v>
      </c>
      <c r="E9">
        <v>100</v>
      </c>
      <c r="F9" t="s">
        <v>8618</v>
      </c>
      <c r="I9" t="str">
        <f t="shared" si="0"/>
        <v>Rows("258:307").Select</v>
      </c>
      <c r="J9">
        <f t="shared" si="1"/>
        <v>258</v>
      </c>
      <c r="K9">
        <f t="shared" si="2"/>
        <v>307</v>
      </c>
    </row>
    <row r="10" spans="1:11" x14ac:dyDescent="0.25">
      <c r="A10">
        <v>0</v>
      </c>
      <c r="B10">
        <v>0</v>
      </c>
      <c r="C10">
        <v>0</v>
      </c>
      <c r="D10">
        <v>1</v>
      </c>
      <c r="E10">
        <v>100</v>
      </c>
      <c r="F10" t="s">
        <v>8618</v>
      </c>
      <c r="I10" t="str">
        <f t="shared" si="0"/>
        <v>Rows("308:357").Select</v>
      </c>
      <c r="J10">
        <f t="shared" si="1"/>
        <v>308</v>
      </c>
      <c r="K10">
        <f t="shared" si="2"/>
        <v>357</v>
      </c>
    </row>
    <row r="11" spans="1:11" x14ac:dyDescent="0.25">
      <c r="A11">
        <v>0</v>
      </c>
      <c r="B11">
        <v>0</v>
      </c>
      <c r="C11">
        <v>0</v>
      </c>
      <c r="D11">
        <v>1</v>
      </c>
      <c r="E11">
        <v>100</v>
      </c>
      <c r="F11" t="s">
        <v>8618</v>
      </c>
      <c r="I11" t="str">
        <f t="shared" si="0"/>
        <v>Rows("358:407").Select</v>
      </c>
      <c r="J11">
        <f t="shared" si="1"/>
        <v>358</v>
      </c>
      <c r="K11">
        <f t="shared" si="2"/>
        <v>407</v>
      </c>
    </row>
    <row r="12" spans="1:11" x14ac:dyDescent="0.25">
      <c r="A12">
        <v>0</v>
      </c>
      <c r="B12">
        <v>0</v>
      </c>
      <c r="C12">
        <v>0</v>
      </c>
      <c r="D12">
        <v>1</v>
      </c>
      <c r="E12">
        <v>100</v>
      </c>
      <c r="F12" t="s">
        <v>8618</v>
      </c>
      <c r="I12" t="str">
        <f>CONCATENATE("Rows(""",J12,":",K12,"""",")",".Select")</f>
        <v>Rows("408:457").Select</v>
      </c>
      <c r="J12">
        <f t="shared" si="1"/>
        <v>408</v>
      </c>
      <c r="K12">
        <f t="shared" si="2"/>
        <v>457</v>
      </c>
    </row>
    <row r="13" spans="1:11" x14ac:dyDescent="0.25">
      <c r="A13">
        <v>0</v>
      </c>
      <c r="B13">
        <v>0</v>
      </c>
      <c r="C13">
        <v>0</v>
      </c>
      <c r="D13">
        <v>1</v>
      </c>
      <c r="E13">
        <v>100</v>
      </c>
      <c r="F13" t="s">
        <v>8618</v>
      </c>
      <c r="I13" t="str">
        <f>CONCATENATE("Rows(""",J13,":",K13,"""",")",".Select")</f>
        <v>Rows("458:507").Select</v>
      </c>
      <c r="J13">
        <f t="shared" si="1"/>
        <v>458</v>
      </c>
      <c r="K13">
        <f t="shared" si="2"/>
        <v>507</v>
      </c>
    </row>
    <row r="14" spans="1:11" x14ac:dyDescent="0.25">
      <c r="A14">
        <v>0</v>
      </c>
      <c r="B14">
        <v>0</v>
      </c>
      <c r="C14">
        <v>0</v>
      </c>
      <c r="D14">
        <v>1</v>
      </c>
      <c r="E14">
        <v>100</v>
      </c>
      <c r="F14" t="s">
        <v>8618</v>
      </c>
      <c r="I14" t="str">
        <f>CONCATENATE("Rows(""",J14,":",K14,"""",")",".Select")</f>
        <v>Rows("508:557").Select</v>
      </c>
      <c r="J14">
        <f t="shared" si="1"/>
        <v>508</v>
      </c>
      <c r="K14">
        <f t="shared" si="2"/>
        <v>557</v>
      </c>
    </row>
    <row r="15" spans="1:11" x14ac:dyDescent="0.25">
      <c r="A15">
        <v>0</v>
      </c>
      <c r="B15">
        <v>0</v>
      </c>
      <c r="C15">
        <v>0</v>
      </c>
      <c r="D15">
        <v>1</v>
      </c>
      <c r="E15">
        <v>100</v>
      </c>
      <c r="F15" t="s">
        <v>8618</v>
      </c>
      <c r="I15" t="str">
        <f t="shared" si="0"/>
        <v>Rows("558:607").Select</v>
      </c>
      <c r="J15">
        <f t="shared" si="1"/>
        <v>558</v>
      </c>
      <c r="K15">
        <f t="shared" si="2"/>
        <v>607</v>
      </c>
    </row>
    <row r="16" spans="1:11" x14ac:dyDescent="0.25">
      <c r="A16">
        <v>0</v>
      </c>
      <c r="B16">
        <v>0</v>
      </c>
      <c r="C16">
        <v>0</v>
      </c>
      <c r="D16">
        <v>1</v>
      </c>
      <c r="E16">
        <v>100</v>
      </c>
      <c r="F16" t="s">
        <v>8618</v>
      </c>
    </row>
    <row r="17" spans="1:6" x14ac:dyDescent="0.25">
      <c r="A17">
        <v>0</v>
      </c>
      <c r="B17">
        <v>0</v>
      </c>
      <c r="C17">
        <v>0</v>
      </c>
      <c r="D17">
        <v>1</v>
      </c>
      <c r="E17">
        <v>100</v>
      </c>
      <c r="F17" t="s">
        <v>8618</v>
      </c>
    </row>
    <row r="18" spans="1:6" x14ac:dyDescent="0.25">
      <c r="A18">
        <v>0</v>
      </c>
      <c r="B18">
        <v>0</v>
      </c>
      <c r="C18">
        <v>0</v>
      </c>
      <c r="D18">
        <v>1</v>
      </c>
      <c r="E18">
        <v>100</v>
      </c>
      <c r="F18" t="s">
        <v>8618</v>
      </c>
    </row>
    <row r="19" spans="1:6" x14ac:dyDescent="0.25">
      <c r="A19">
        <v>0</v>
      </c>
      <c r="B19">
        <v>0</v>
      </c>
      <c r="C19">
        <v>0</v>
      </c>
      <c r="D19">
        <v>1</v>
      </c>
      <c r="E19">
        <v>100</v>
      </c>
      <c r="F19" t="s">
        <v>8618</v>
      </c>
    </row>
    <row r="20" spans="1:6" x14ac:dyDescent="0.25">
      <c r="A20">
        <v>0</v>
      </c>
      <c r="B20">
        <v>0</v>
      </c>
      <c r="C20">
        <v>0</v>
      </c>
      <c r="D20">
        <v>1</v>
      </c>
      <c r="E20">
        <v>100</v>
      </c>
      <c r="F20" t="s">
        <v>8618</v>
      </c>
    </row>
    <row r="21" spans="1:6" x14ac:dyDescent="0.25">
      <c r="A21">
        <v>0</v>
      </c>
      <c r="B21">
        <v>0</v>
      </c>
      <c r="C21">
        <v>0</v>
      </c>
      <c r="D21">
        <v>1</v>
      </c>
      <c r="E21">
        <v>100</v>
      </c>
      <c r="F21" t="s">
        <v>8618</v>
      </c>
    </row>
    <row r="22" spans="1:6" x14ac:dyDescent="0.25">
      <c r="A22">
        <v>0</v>
      </c>
      <c r="B22">
        <v>0</v>
      </c>
      <c r="C22">
        <v>0</v>
      </c>
      <c r="D22">
        <v>1</v>
      </c>
      <c r="E22">
        <v>100</v>
      </c>
      <c r="F22" t="s">
        <v>8618</v>
      </c>
    </row>
    <row r="23" spans="1:6" x14ac:dyDescent="0.25">
      <c r="A23">
        <v>0</v>
      </c>
      <c r="B23">
        <v>0</v>
      </c>
      <c r="C23">
        <v>0</v>
      </c>
      <c r="D23">
        <v>1</v>
      </c>
      <c r="E23">
        <v>100</v>
      </c>
      <c r="F23" t="s">
        <v>8618</v>
      </c>
    </row>
    <row r="24" spans="1:6" x14ac:dyDescent="0.25">
      <c r="A24">
        <v>0</v>
      </c>
      <c r="B24">
        <v>0</v>
      </c>
      <c r="C24">
        <v>0</v>
      </c>
      <c r="D24">
        <v>1</v>
      </c>
      <c r="E24">
        <v>100</v>
      </c>
      <c r="F24" t="s">
        <v>8618</v>
      </c>
    </row>
    <row r="25" spans="1:6" x14ac:dyDescent="0.25">
      <c r="A25">
        <v>0</v>
      </c>
      <c r="B25">
        <v>0</v>
      </c>
      <c r="C25">
        <v>0</v>
      </c>
      <c r="D25">
        <v>1</v>
      </c>
      <c r="E25">
        <v>100</v>
      </c>
      <c r="F25" t="s">
        <v>8618</v>
      </c>
    </row>
    <row r="26" spans="1:6" x14ac:dyDescent="0.25">
      <c r="A26">
        <v>0</v>
      </c>
      <c r="B26">
        <v>0</v>
      </c>
      <c r="C26">
        <v>0</v>
      </c>
      <c r="D26">
        <v>1</v>
      </c>
      <c r="E26">
        <v>100</v>
      </c>
      <c r="F26" t="s">
        <v>8618</v>
      </c>
    </row>
    <row r="27" spans="1:6" x14ac:dyDescent="0.25">
      <c r="A27">
        <v>0</v>
      </c>
      <c r="B27">
        <v>0</v>
      </c>
      <c r="C27">
        <v>0</v>
      </c>
      <c r="D27">
        <v>1</v>
      </c>
      <c r="E27">
        <v>100</v>
      </c>
      <c r="F27" t="s">
        <v>8618</v>
      </c>
    </row>
    <row r="28" spans="1:6" x14ac:dyDescent="0.25">
      <c r="A28">
        <v>0</v>
      </c>
      <c r="B28">
        <v>0</v>
      </c>
      <c r="C28">
        <v>0</v>
      </c>
      <c r="D28">
        <v>1</v>
      </c>
      <c r="E28">
        <v>100</v>
      </c>
      <c r="F28" t="s">
        <v>8618</v>
      </c>
    </row>
    <row r="29" spans="1:6" x14ac:dyDescent="0.25">
      <c r="A29">
        <v>0</v>
      </c>
      <c r="B29">
        <v>0</v>
      </c>
      <c r="C29">
        <v>0</v>
      </c>
      <c r="D29">
        <v>1</v>
      </c>
      <c r="E29">
        <v>100</v>
      </c>
      <c r="F29" t="s">
        <v>8618</v>
      </c>
    </row>
    <row r="30" spans="1:6" x14ac:dyDescent="0.25">
      <c r="A30">
        <v>0</v>
      </c>
      <c r="B30">
        <v>0</v>
      </c>
      <c r="C30">
        <v>0</v>
      </c>
      <c r="D30">
        <v>1</v>
      </c>
      <c r="E30">
        <v>100</v>
      </c>
      <c r="F30" t="s">
        <v>8618</v>
      </c>
    </row>
    <row r="31" spans="1:6" x14ac:dyDescent="0.25">
      <c r="A31">
        <v>0</v>
      </c>
      <c r="B31">
        <v>0</v>
      </c>
      <c r="C31">
        <v>0</v>
      </c>
      <c r="D31">
        <v>1</v>
      </c>
      <c r="E31">
        <v>100</v>
      </c>
      <c r="F31" t="s">
        <v>8618</v>
      </c>
    </row>
    <row r="32" spans="1:6" x14ac:dyDescent="0.25">
      <c r="A32">
        <v>0</v>
      </c>
      <c r="B32">
        <v>0</v>
      </c>
      <c r="C32">
        <v>0</v>
      </c>
      <c r="D32">
        <v>1</v>
      </c>
      <c r="E32">
        <v>100</v>
      </c>
      <c r="F32" t="s">
        <v>8618</v>
      </c>
    </row>
    <row r="33" spans="1:6" x14ac:dyDescent="0.25">
      <c r="A33">
        <v>0</v>
      </c>
      <c r="B33">
        <v>0</v>
      </c>
      <c r="C33">
        <v>0</v>
      </c>
      <c r="D33">
        <v>1</v>
      </c>
      <c r="E33">
        <v>100</v>
      </c>
      <c r="F33" t="s">
        <v>8618</v>
      </c>
    </row>
    <row r="34" spans="1:6" x14ac:dyDescent="0.25">
      <c r="A34">
        <v>0</v>
      </c>
      <c r="B34">
        <v>0</v>
      </c>
      <c r="C34">
        <v>0</v>
      </c>
      <c r="D34">
        <v>1</v>
      </c>
      <c r="E34">
        <v>100</v>
      </c>
      <c r="F34" t="s">
        <v>8618</v>
      </c>
    </row>
    <row r="35" spans="1:6" x14ac:dyDescent="0.25">
      <c r="A35">
        <v>0</v>
      </c>
      <c r="B35">
        <v>0</v>
      </c>
      <c r="C35">
        <v>0</v>
      </c>
      <c r="D35">
        <v>1</v>
      </c>
      <c r="E35">
        <v>100</v>
      </c>
      <c r="F35" t="s">
        <v>8618</v>
      </c>
    </row>
    <row r="36" spans="1:6" x14ac:dyDescent="0.25">
      <c r="A36">
        <v>0</v>
      </c>
      <c r="B36">
        <v>0</v>
      </c>
      <c r="C36">
        <v>0</v>
      </c>
      <c r="D36">
        <v>1</v>
      </c>
      <c r="E36">
        <v>100</v>
      </c>
      <c r="F36" t="s">
        <v>8618</v>
      </c>
    </row>
    <row r="37" spans="1:6" x14ac:dyDescent="0.25">
      <c r="A37">
        <v>0</v>
      </c>
      <c r="B37">
        <v>0</v>
      </c>
      <c r="C37">
        <v>0</v>
      </c>
      <c r="D37">
        <v>1</v>
      </c>
      <c r="E37">
        <v>100</v>
      </c>
      <c r="F37" t="s">
        <v>8618</v>
      </c>
    </row>
    <row r="38" spans="1:6" x14ac:dyDescent="0.25">
      <c r="A38">
        <v>0</v>
      </c>
      <c r="B38">
        <v>0</v>
      </c>
      <c r="C38">
        <v>0</v>
      </c>
      <c r="D38">
        <v>1</v>
      </c>
      <c r="E38">
        <v>100</v>
      </c>
      <c r="F38" t="s">
        <v>8618</v>
      </c>
    </row>
    <row r="39" spans="1:6" x14ac:dyDescent="0.25">
      <c r="A39">
        <v>0</v>
      </c>
      <c r="B39">
        <v>0</v>
      </c>
      <c r="C39">
        <v>0</v>
      </c>
      <c r="D39">
        <v>1</v>
      </c>
      <c r="E39">
        <v>100</v>
      </c>
      <c r="F39" t="s">
        <v>8618</v>
      </c>
    </row>
    <row r="40" spans="1:6" x14ac:dyDescent="0.25">
      <c r="A40">
        <v>0</v>
      </c>
      <c r="B40">
        <v>0</v>
      </c>
      <c r="C40">
        <v>0</v>
      </c>
      <c r="D40">
        <v>1</v>
      </c>
      <c r="E40">
        <v>100</v>
      </c>
      <c r="F40" t="s">
        <v>8618</v>
      </c>
    </row>
    <row r="41" spans="1:6" x14ac:dyDescent="0.25">
      <c r="A41">
        <v>0</v>
      </c>
      <c r="B41">
        <v>0</v>
      </c>
      <c r="C41">
        <v>0</v>
      </c>
      <c r="D41">
        <v>1</v>
      </c>
      <c r="E41">
        <v>100</v>
      </c>
      <c r="F41" t="s">
        <v>8618</v>
      </c>
    </row>
    <row r="42" spans="1:6" x14ac:dyDescent="0.25">
      <c r="A42">
        <v>0</v>
      </c>
      <c r="B42">
        <v>0</v>
      </c>
      <c r="C42">
        <v>0</v>
      </c>
      <c r="D42">
        <v>1</v>
      </c>
      <c r="E42">
        <v>100</v>
      </c>
      <c r="F42" t="s">
        <v>8618</v>
      </c>
    </row>
    <row r="43" spans="1:6" x14ac:dyDescent="0.25">
      <c r="A43">
        <v>0</v>
      </c>
      <c r="B43">
        <v>0</v>
      </c>
      <c r="C43">
        <v>0</v>
      </c>
      <c r="D43">
        <v>1</v>
      </c>
      <c r="E43">
        <v>100</v>
      </c>
      <c r="F43" t="s">
        <v>8618</v>
      </c>
    </row>
    <row r="44" spans="1:6" x14ac:dyDescent="0.25">
      <c r="A44">
        <v>0</v>
      </c>
      <c r="B44">
        <v>0</v>
      </c>
      <c r="C44">
        <v>0</v>
      </c>
      <c r="D44">
        <v>1</v>
      </c>
      <c r="E44">
        <v>100</v>
      </c>
      <c r="F44" t="s">
        <v>8618</v>
      </c>
    </row>
    <row r="45" spans="1:6" x14ac:dyDescent="0.25">
      <c r="A45">
        <v>0</v>
      </c>
      <c r="B45">
        <v>0</v>
      </c>
      <c r="C45">
        <v>0</v>
      </c>
      <c r="D45">
        <v>1</v>
      </c>
      <c r="E45">
        <v>100</v>
      </c>
      <c r="F45" t="s">
        <v>8618</v>
      </c>
    </row>
    <row r="46" spans="1:6" x14ac:dyDescent="0.25">
      <c r="A46">
        <v>0</v>
      </c>
      <c r="B46">
        <v>0</v>
      </c>
      <c r="C46">
        <v>0</v>
      </c>
      <c r="D46">
        <v>1</v>
      </c>
      <c r="E46">
        <v>100</v>
      </c>
      <c r="F46" t="s">
        <v>8618</v>
      </c>
    </row>
  </sheetData>
  <autoFilter ref="A1:E1">
    <sortState ref="A2:E46">
      <sortCondition ref="D1"/>
    </sortState>
  </autoFilter>
  <customSheetViews>
    <customSheetView guid="{D6876842-41DE-4A2D-BA5A-3FB60505F493}" showAutoFilter="1">
      <selection activeCell="I15" sqref="I15"/>
      <pageMargins left="0.7" right="0.7" top="0.75" bottom="0.75" header="0.3" footer="0.3"/>
      <autoFilter ref="A1:E1">
        <sortState ref="A2:E46">
          <sortCondition ref="D1"/>
        </sortState>
      </autoFilter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Menu</vt:lpstr>
      <vt:lpstr>Bantuan</vt:lpstr>
      <vt:lpstr>Pengaturan</vt:lpstr>
      <vt:lpstr>Legger</vt:lpstr>
      <vt:lpstr>InputNilai</vt:lpstr>
      <vt:lpstr>Rapot</vt:lpstr>
      <vt:lpstr>Top</vt:lpstr>
      <vt:lpstr>Temp</vt:lpstr>
      <vt:lpstr>bnm</vt:lpstr>
      <vt:lpstr>JurusanA</vt:lpstr>
      <vt:lpstr>JurusanB</vt:lpstr>
      <vt:lpstr>KelasA</vt:lpstr>
      <vt:lpstr>KelasB</vt:lpstr>
      <vt:lpstr>KelasC</vt:lpstr>
      <vt:lpstr>KelasD</vt:lpstr>
      <vt:lpstr>KelasE</vt:lpstr>
      <vt:lpstr>KelasF</vt:lpstr>
      <vt:lpstr>KelasG</vt:lpstr>
      <vt:lpstr>KelasH</vt:lpstr>
      <vt:lpstr>KelasI</vt:lpstr>
      <vt:lpstr>KelasJ</vt:lpstr>
      <vt:lpstr>KelasK</vt:lpstr>
      <vt:lpstr>KelasL</vt:lpstr>
      <vt:lpstr>KNV</vt:lpstr>
      <vt:lpstr>LEGER</vt:lpstr>
      <vt:lpstr>lkj</vt:lpstr>
      <vt:lpstr>NILAI</vt:lpstr>
      <vt:lpstr>Legger!Print_Area</vt:lpstr>
      <vt:lpstr>Menu!Print_Area</vt:lpstr>
      <vt:lpstr>Pengaturan!Print_Area</vt:lpstr>
      <vt:lpstr>Rapot!Print_Area</vt:lpstr>
      <vt:lpstr>Top!Print_Area</vt:lpstr>
      <vt:lpstr>slk</vt:lpstr>
      <vt:lpstr>TabelKelas</vt:lpstr>
      <vt:lpstr>TablePelajaran</vt:lpstr>
      <vt:lpstr>ؤلا</vt:lpstr>
    </vt:vector>
  </TitlesOfParts>
  <Company>PEDULI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BPPK</dc:creator>
  <cp:lastModifiedBy>Pusdai-B</cp:lastModifiedBy>
  <cp:lastPrinted>2015-01-09T16:07:49Z</cp:lastPrinted>
  <dcterms:created xsi:type="dcterms:W3CDTF">2009-11-10T19:21:11Z</dcterms:created>
  <dcterms:modified xsi:type="dcterms:W3CDTF">2015-06-02T02:01:22Z</dcterms:modified>
</cp:coreProperties>
</file>